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TABLERO" sheetId="2" state="visible" r:id="rId2"/>
    <sheet name="NOVEDADES" sheetId="3" state="visible" r:id="rId3"/>
    <sheet name="ENVIOS" sheetId="4" state="visible" r:id="rId4"/>
    <sheet name="CONFIG" sheetId="5" state="visible" r:id="rId5"/>
  </sheets>
  <definedNames>
    <definedName name="TIPOS_NOVEDAD">OFFSET(CONFIG!$A$4,0,0,MAX(1,COUNTA(CONFIG!$A$4:$A$43)),1)</definedName>
    <definedName name="CAUSAS_RAIZ">OFFSET(CONFIG!$F$4,0,0,MAX(1,COUNTA(CONFIG!$F$4:$F$43)),1)</definedName>
    <definedName name="ESTADOS_NOVEDAD">OFFSET(CONFIG!$J$4,0,0,MAX(1,COUNTA(CONFIG!$J$4:$J$43)),1)</definedName>
    <definedName name="TRANSPORTADORAS">OFFSET(CONFIG!$M$4,0,0,MAX(1,COUNTA(CONFIG!$M$4:$M$43)),1)</definedName>
    <definedName name="RESPONSABLES">OFFSET(CONFIG!$O$4,0,0,MAX(1,COUNTA(CONFIG!$O$4:$O$43)),1)</definedName>
    <definedName name="_xlnm._FilterDatabase" localSheetId="2" hidden="1">'NOVEDADES'!$A$3:$Z$1503</definedName>
    <definedName name="_xlnm._FilterDatabase" localSheetId="3" hidden="1">'ENVIOS'!$A$3:$P$3003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&quot;$&quot;#,##0"/>
    <numFmt numFmtId="166" formatCode="yyyy-mm-dd"/>
    <numFmt numFmtId="167" formatCode="#,##0.0"/>
    <numFmt numFmtId="168" formatCode="0.0%"/>
    <numFmt numFmtId="169" formatCode="0.00000"/>
  </numFmts>
  <fonts count="13">
    <font>
      <name val="Calibri"/>
      <family val="2"/>
      <color theme="1"/>
      <sz val="11"/>
      <scheme val="minor"/>
    </font>
    <font>
      <name val="Calibri"/>
      <b val="1"/>
      <color rgb="FFFFFFFF"/>
      <sz val="18"/>
    </font>
    <font>
      <name val="Calibri"/>
      <i val="1"/>
      <color rgb="FF475569"/>
      <sz val="9"/>
    </font>
    <font>
      <name val="Calibri"/>
      <b val="1"/>
      <color rgb="FFFFFFFF"/>
      <sz val="10"/>
    </font>
    <font>
      <name val="Calibri"/>
      <color rgb="FF0F172A"/>
      <sz val="10"/>
    </font>
    <font>
      <name val="Calibri"/>
      <b val="1"/>
      <color rgb="FFFFFFFF"/>
      <sz val="9"/>
    </font>
    <font>
      <name val="Calibri"/>
      <b val="1"/>
      <color rgb="FF0F172A"/>
      <sz val="10"/>
    </font>
    <font>
      <name val="Calibri"/>
      <b val="1"/>
      <color rgb="FF0F172A"/>
      <sz val="11"/>
    </font>
    <font>
      <name val="Calibri"/>
      <b val="1"/>
      <color rgb="FF475569"/>
      <sz val="9"/>
    </font>
    <font>
      <name val="Calibri"/>
      <b val="1"/>
      <color rgb="FF0F172A"/>
      <sz val="22"/>
    </font>
    <font>
      <name val="Calibri"/>
      <b val="1"/>
      <color rgb="FFFFFFFF"/>
      <sz val="11"/>
    </font>
    <font>
      <name val="Calibri"/>
      <b val="1"/>
      <color rgb="FF0F172A"/>
      <sz val="12"/>
    </font>
    <font>
      <name val="Calibri"/>
      <b val="1"/>
      <color rgb="FFFFFFFF"/>
      <sz val="16"/>
    </font>
  </fonts>
  <fills count="11">
    <fill>
      <patternFill/>
    </fill>
    <fill>
      <patternFill patternType="gray125"/>
    </fill>
    <fill>
      <patternFill patternType="solid">
        <fgColor rgb="FF0F172A"/>
      </patternFill>
    </fill>
    <fill>
      <patternFill patternType="solid">
        <fgColor rgb="FFD97706"/>
      </patternFill>
    </fill>
    <fill>
      <patternFill patternType="solid">
        <fgColor rgb="FFFEF3C7"/>
      </patternFill>
    </fill>
    <fill>
      <patternFill patternType="solid">
        <fgColor rgb="FF1E293B"/>
      </patternFill>
    </fill>
    <fill>
      <patternFill patternType="solid">
        <fgColor rgb="FF475569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F1F5F9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/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1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10" fillId="5" borderId="0" applyAlignment="1" pivotButton="0" quotePrefix="0" xfId="0">
      <alignment horizontal="left" vertical="center" indent="1"/>
    </xf>
    <xf numFmtId="0" fontId="12" fillId="7" borderId="0" applyAlignment="1" pivotButton="0" quotePrefix="0" xfId="0">
      <alignment horizontal="center" vertical="center" wrapText="1"/>
    </xf>
    <xf numFmtId="0" fontId="4" fillId="9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6" fillId="0" borderId="0" applyAlignment="1" pivotButton="0" quotePrefix="0" xfId="0">
      <alignment horizontal="right" vertical="center"/>
    </xf>
    <xf numFmtId="164" fontId="7" fillId="4" borderId="1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left" vertical="center"/>
    </xf>
    <xf numFmtId="0" fontId="0" fillId="0" borderId="3" pivotButton="0" quotePrefix="0" xfId="0"/>
    <xf numFmtId="0" fontId="8" fillId="9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9" fontId="9" fillId="9" borderId="1" applyAlignment="1" pivotButton="0" quotePrefix="0" xfId="0">
      <alignment horizontal="center" vertical="center" wrapText="1"/>
    </xf>
    <xf numFmtId="165" fontId="9" fillId="9" borderId="1" applyAlignment="1" pivotButton="0" quotePrefix="0" xfId="0">
      <alignment horizontal="center" vertical="center" wrapText="1"/>
    </xf>
    <xf numFmtId="3" fontId="9" fillId="9" borderId="1" applyAlignment="1" pivotButton="0" quotePrefix="0" xfId="0">
      <alignment horizontal="center" vertical="center" wrapText="1"/>
    </xf>
    <xf numFmtId="167" fontId="9" fillId="9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center" vertical="center" wrapText="1"/>
    </xf>
    <xf numFmtId="168" fontId="4" fillId="8" borderId="1" applyAlignment="1" pivotButton="0" quotePrefix="0" xfId="0">
      <alignment horizontal="center" vertical="center" wrapText="1"/>
    </xf>
    <xf numFmtId="167" fontId="4" fillId="8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left" vertical="center"/>
    </xf>
    <xf numFmtId="3" fontId="6" fillId="9" borderId="1" applyAlignment="1" pivotButton="0" quotePrefix="0" xfId="0">
      <alignment horizontal="center" vertical="center" wrapText="1"/>
    </xf>
    <xf numFmtId="168" fontId="6" fillId="9" borderId="1" applyAlignment="1" pivotButton="0" quotePrefix="0" xfId="0">
      <alignment horizontal="center" vertical="center" wrapText="1"/>
    </xf>
    <xf numFmtId="167" fontId="6" fillId="9" borderId="1" applyAlignment="1" pivotButton="0" quotePrefix="0" xfId="0">
      <alignment horizontal="center" vertical="center" wrapText="1"/>
    </xf>
    <xf numFmtId="165" fontId="6" fillId="9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11" fillId="4" borderId="1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4" fillId="9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/>
    </xf>
    <xf numFmtId="0" fontId="0" fillId="0" borderId="9" pivotButton="0" quotePrefix="0" xfId="0"/>
    <xf numFmtId="164" fontId="6" fillId="8" borderId="1" applyAlignment="1" pivotButton="0" quotePrefix="0" xfId="0">
      <alignment horizontal="left" vertical="center"/>
    </xf>
    <xf numFmtId="3" fontId="6" fillId="8" borderId="1" applyAlignment="1" pivotButton="0" quotePrefix="0" xfId="0">
      <alignment horizontal="left" vertical="center"/>
    </xf>
    <xf numFmtId="165" fontId="6" fillId="8" borderId="1" applyAlignment="1" pivotButton="0" quotePrefix="0" xfId="0">
      <alignment horizontal="left" vertical="center"/>
    </xf>
    <xf numFmtId="0" fontId="5" fillId="5" borderId="0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center" vertical="center" wrapText="1"/>
      <protection locked="0" hidden="0"/>
    </xf>
    <xf numFmtId="164" fontId="4" fillId="8" borderId="1" applyAlignment="1" pivotButton="0" quotePrefix="0" xfId="0">
      <alignment horizontal="center" vertical="center" wrapText="1"/>
    </xf>
    <xf numFmtId="0" fontId="4" fillId="4" borderId="1" applyAlignment="1" applyProtection="1" pivotButton="0" quotePrefix="0" xfId="0">
      <alignment horizontal="left" vertical="center"/>
      <protection locked="0" hidden="0"/>
    </xf>
    <xf numFmtId="3" fontId="4" fillId="4" borderId="1" applyAlignment="1" applyProtection="1" pivotButton="0" quotePrefix="0" xfId="0">
      <alignment horizontal="center" vertical="center" wrapText="1"/>
      <protection locked="0" hidden="0"/>
    </xf>
    <xf numFmtId="165" fontId="4" fillId="4" borderId="1" applyAlignment="1" applyProtection="1" pivotButton="0" quotePrefix="0" xfId="0">
      <alignment horizontal="right" vertical="center"/>
      <protection locked="0" hidden="0"/>
    </xf>
    <xf numFmtId="169" fontId="4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2">
    <dxf>
      <font>
        <name val="Calibri"/>
        <b val="1"/>
        <color rgb="FF166534"/>
        <sz val="18"/>
      </font>
      <fill>
        <patternFill patternType="solid">
          <fgColor rgb="FFDCFCE7"/>
        </patternFill>
      </fill>
    </dxf>
    <dxf>
      <font>
        <name val="Calibri"/>
        <b val="1"/>
        <color rgb="FF991B1B"/>
        <sz val="18"/>
      </font>
      <fill>
        <patternFill patternType="solid">
          <fgColor rgb="FFFEE2E2"/>
        </patternFill>
      </fill>
    </dxf>
    <dxf>
      <font>
        <name val="Calibri"/>
        <b val="1"/>
        <color rgb="FF854D0E"/>
        <sz val="18"/>
      </font>
      <fill>
        <patternFill patternType="solid">
          <fgColor rgb="FFFEF9C3"/>
        </patternFill>
      </fill>
    </dxf>
    <dxf>
      <font>
        <name val="Calibri"/>
        <b val="1"/>
        <color rgb="FF166534"/>
        <sz val="10"/>
      </font>
      <fill>
        <patternFill patternType="solid">
          <fgColor rgb="FFDCFCE7"/>
        </patternFill>
      </fill>
    </dxf>
    <dxf>
      <font>
        <name val="Calibri"/>
        <b val="1"/>
        <color rgb="FF1E40AF"/>
        <sz val="10"/>
      </font>
      <fill>
        <patternFill patternType="solid">
          <fgColor rgb="FFDBEAFE"/>
        </patternFill>
      </fill>
    </dxf>
    <dxf>
      <font>
        <name val="Calibri"/>
        <b val="1"/>
        <color rgb="FF854D0E"/>
        <sz val="10"/>
      </font>
      <fill>
        <patternFill patternType="solid">
          <fgColor rgb="FFFEF9C3"/>
        </patternFill>
      </fill>
    </dxf>
    <dxf>
      <font>
        <name val="Calibri"/>
        <b val="1"/>
        <color rgb="FF991B1B"/>
        <sz val="10"/>
      </font>
      <fill>
        <patternFill patternType="solid">
          <fgColor rgb="FFFEE2E2"/>
        </patternFill>
      </fill>
    </dxf>
    <dxf>
      <font>
        <name val="Calibri"/>
        <b val="1"/>
        <color rgb="FFFFFFFF"/>
        <sz val="10"/>
      </font>
      <fill>
        <patternFill patternType="solid">
          <fgColor rgb="FF991B1B"/>
        </patternFill>
      </fill>
    </dxf>
    <dxf>
      <font>
        <name val="Calibri"/>
        <b val="1"/>
        <color rgb="FF475569"/>
        <sz val="10"/>
      </font>
      <fill>
        <patternFill patternType="solid">
          <fgColor rgb="FFF1F5F9"/>
        </patternFill>
      </fill>
    </dxf>
    <dxf>
      <font>
        <name val="Calibri"/>
        <b val="1"/>
        <color rgb="FF9A3412"/>
        <sz val="10"/>
      </font>
      <fill>
        <patternFill patternType="solid">
          <fgColor rgb="FFFFE4C4"/>
        </patternFill>
      </fill>
    </dxf>
    <dxf>
      <font>
        <name val="Calibri"/>
        <b val="1"/>
        <color rgb="FF991B1B"/>
        <sz val="10"/>
      </font>
    </dxf>
    <dxf>
      <font>
        <name val="Calibri"/>
        <b val="1"/>
        <color rgb="FF9A3412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6A34A"/>
    <outlinePr summaryBelow="1" summaryRight="1"/>
    <pageSetUpPr/>
  </sheetPr>
  <dimension ref="B2:C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148" customWidth="1" min="3" max="3"/>
  </cols>
  <sheetData>
    <row r="2" ht="40" customHeight="1">
      <c r="B2" s="1" t="inlineStr">
        <is>
          <t>MATRIZ DE NOVEDADES · LOGÍSTICA Y TRANSPORTE</t>
        </is>
      </c>
    </row>
    <row r="3" ht="32" customHeight="1">
      <c r="B3" s="2" t="n"/>
      <c r="C3" s="3" t="inlineStr">
        <is>
          <t>Un solo archivo para registrar todo lo que sale mal en una entrega, saber a quién cobrárselo y medir si está mejorando.</t>
        </is>
      </c>
    </row>
    <row r="4" ht="24" customHeight="1">
      <c r="B4" s="4" t="inlineStr">
        <is>
          <t>CÓMO SE USA — TRES PASOS</t>
        </is>
      </c>
    </row>
    <row r="5" ht="42" customHeight="1">
      <c r="B5" s="5" t="inlineStr">
        <is>
          <t>1</t>
        </is>
      </c>
      <c r="C5" s="6" t="inlineStr">
        <is>
          <t>ENVÍOS.  Cada despacho es una fila. Escriba guía, fecha, cliente, ciudad, transportadora, conductor, placa, unidades, valor y la FECHA PROMESA DE ENTREGA. Cuando llegue, escriba la fecha de entrega real. Con eso el archivo calcula solo si llegó a tiempo y si llegó completo.</t>
        </is>
      </c>
    </row>
    <row r="6" ht="42" customHeight="1">
      <c r="B6" s="5" t="inlineStr">
        <is>
          <t>2</t>
        </is>
      </c>
      <c r="C6" s="6" t="inlineStr">
        <is>
          <t>NOVEDADES.  ¿Algo salió mal? Escriba la fecha y el Nº de guía: cliente, ciudad, transportadora, conductor, placa y fecha de despacho se traen solos. Usted solo elige el tipo, la causa, cuánto costó, el estado y quién responde.</t>
        </is>
      </c>
    </row>
    <row r="7" ht="42" customHeight="1">
      <c r="B7" s="5" t="inlineStr">
        <is>
          <t>3</t>
        </is>
      </c>
      <c r="C7" s="6" t="inlineStr">
        <is>
          <t>TABLERO.  Ponga el periodo arriba y lea. Le dice su OTIF, qué transportadora rinde y cuál no, y cuáles causas explican el 80% de sus problemas.</t>
        </is>
      </c>
    </row>
    <row r="8" ht="24" customHeight="1">
      <c r="B8" s="4" t="inlineStr">
        <is>
          <t>LA REGLA DE COLORES</t>
        </is>
      </c>
    </row>
    <row r="9" ht="32" customHeight="1">
      <c r="B9" s="2" t="n"/>
      <c r="C9" s="3" t="inlineStr">
        <is>
          <t>AMARILLO = usted lo escribe.        GRIS = se calcula solo, no lo toque.        Encabezado dorado = columna de captura.        Encabezado azul = columna calculada.</t>
        </is>
      </c>
    </row>
    <row r="10" ht="32" customHeight="1">
      <c r="B10" s="2" t="n"/>
      <c r="C10" s="3" t="inlineStr">
        <is>
          <t>Además, cada hoja tiene una banda oscura arriba que separa las zonas: lo que se digita, lo que se calcula y lo que es seguimiento.</t>
        </is>
      </c>
    </row>
    <row r="11" ht="24" customHeight="1">
      <c r="B11" s="4" t="inlineStr">
        <is>
          <t>LOS CUATRO NÚMEROS QUE IMPORTAN</t>
        </is>
      </c>
    </row>
    <row r="12" ht="32" customHeight="1">
      <c r="B12" s="2" t="n"/>
      <c r="C12" s="3" t="inlineStr">
        <is>
          <t>OTIF (On Time In Full): de los envíos ya entregados, cuántos llegaron a tiempo Y completos. Es el estándar de la industria; una operación sana anda por encima del 95%.</t>
        </is>
      </c>
    </row>
    <row r="13" ht="32" customHeight="1">
      <c r="B13" s="2" t="n"/>
      <c r="C13" s="3" t="inlineStr">
        <is>
          <t>TASA DE NOVEDADES: de cada 100 envíos, cuántos tuvieron algún problema. Cuenta envíos afectados, no novedades, para que no se infle cuando un envío genera tres.</t>
        </is>
      </c>
    </row>
    <row r="14" ht="32" customHeight="1">
      <c r="B14" s="2" t="n"/>
      <c r="C14" s="3" t="inlineStr">
        <is>
          <t>CUMPLIMIENTO DE SLA: de las novedades ya resueltas, cuántas se resolvieron dentro del plazo que usted mismo definió por tipo.</t>
        </is>
      </c>
    </row>
    <row r="15" ht="32" customHeight="1">
      <c r="B15" s="2" t="n"/>
      <c r="C15" s="3" t="inlineStr">
        <is>
          <t>PUNTAJE Y NOTA POR TRANSPORTADORA: A, B, C o D. Es la hoja que se lleva a la reunión de negociación.</t>
        </is>
      </c>
    </row>
    <row r="16" ht="24" customHeight="1">
      <c r="B16" s="4" t="inlineStr">
        <is>
          <t>CÓMO CAMBIAR LAS REGLAS SIN TOCAR FÓRMULAS</t>
        </is>
      </c>
    </row>
    <row r="17" ht="32" customHeight="1">
      <c r="B17" s="2" t="n"/>
      <c r="C17" s="3" t="inlineStr">
        <is>
          <t>Todo vive en la hoja CONFIG: los tipos de novedad con su gravedad y su plazo en días hábiles, las causas raíz con su familia 6M y su área responsable, los estados y cuáles cierran el caso, las transportadoras y los responsables.</t>
        </is>
      </c>
    </row>
    <row r="18" ht="32" customHeight="1">
      <c r="B18" s="2" t="n"/>
      <c r="C18" s="3" t="inlineStr">
        <is>
          <t>Agregue filas hacia abajo y listo: las listas desplegables crecen solas y el tablero las recoge en el siguiente cálculo. Reemplace «Transportadora A, B, C» por los nombres reales antes de empezar.</t>
        </is>
      </c>
    </row>
    <row r="19" ht="24" customHeight="1">
      <c r="B19" s="4" t="inlineStr">
        <is>
          <t>SOBRE LA CAUSA RAÍZ (LAS 6M)</t>
        </is>
      </c>
    </row>
    <row r="20" ht="32" customHeight="1">
      <c r="B20" s="2" t="n"/>
      <c r="C20" s="3" t="inlineStr">
        <is>
          <t>Cada causa está clasificada en una de las seis familias del diagrama de Ishikawa: Método, Material, Medición, Mano de obra, Máquina y Medio ambiente (más Externo y Por definir). Sirve para ver si sus problemas son de proceso, de gente, de equipos o de afuera — y esa respuesta cambia qué se hace al respecto.</t>
        </is>
      </c>
    </row>
    <row r="21" ht="24" customHeight="1">
      <c r="B21" s="4" t="inlineStr">
        <is>
          <t>DETALLES PRÁCTICOS</t>
        </is>
      </c>
    </row>
    <row r="22" ht="32" customHeight="1">
      <c r="B22" s="2" t="n"/>
      <c r="C22" s="3" t="inlineStr">
        <is>
          <t>Las hojas están protegidas para que nadie borre una fórmula por accidente, pero SIN contraseña: Revisar → Desproteger hoja y ya. Los plazos se cuentan en días hábiles (sin sábados ni domingos); si quiere descontar festivos, agregue una columna de fechas festivas en CONFIG y páselas como tercer argumento de DIA.LAB.</t>
        </is>
      </c>
    </row>
    <row r="23" ht="32" customHeight="1">
      <c r="B23" s="2" t="n"/>
      <c r="C23" s="3" t="inlineStr">
        <is>
          <t>Capacidad: 3.000 envíos y 1.500 novedades. Cuando se acerque al tope, guarde una copia con el nombre del periodo y borre solo las celdas amarillas.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7">
    <mergeCell ref="B21:C21"/>
    <mergeCell ref="B16:C16"/>
    <mergeCell ref="B2:C2"/>
    <mergeCell ref="B11:C11"/>
    <mergeCell ref="B19:C19"/>
    <mergeCell ref="B8:C8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F172A"/>
    <outlinePr summaryBelow="1" summaryRight="1"/>
    <pageSetUpPr/>
  </sheetPr>
  <dimension ref="B2:M9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5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5" customWidth="1" min="11" max="11"/>
    <col width="13" customWidth="1" min="12" max="12"/>
    <col width="13" customWidth="1" min="13" max="13"/>
    <col width="2" customWidth="1" min="14" max="14"/>
  </cols>
  <sheetData>
    <row r="2" ht="34" customHeight="1">
      <c r="B2" s="1" t="inlineStr">
        <is>
          <t>TABLERO DE NOVEDADES · logística y transporte</t>
        </is>
      </c>
    </row>
    <row r="3">
      <c r="B3" s="7" t="inlineStr">
        <is>
          <t>Todo se filtra por el periodo de abajo. Novedades por su fecha de registro; envíos por su fecha de despacho.</t>
        </is>
      </c>
    </row>
    <row r="4" ht="22" customHeight="1">
      <c r="B4" s="8" t="inlineStr">
        <is>
          <t>PERIODO</t>
        </is>
      </c>
      <c r="C4" s="9" t="n"/>
      <c r="D4" s="10" t="inlineStr">
        <is>
          <t>Desde:</t>
        </is>
      </c>
      <c r="E4" s="11" t="n">
        <v>46023</v>
      </c>
      <c r="F4" s="10" t="inlineStr">
        <is>
          <t>Hasta:</t>
        </is>
      </c>
      <c r="G4" s="11" t="n">
        <v>46387</v>
      </c>
      <c r="H4" s="12" t="inlineStr">
        <is>
          <t>◄ cambie estas dos fechas y todo el tablero se recalcula</t>
        </is>
      </c>
    </row>
    <row r="6" ht="20" customHeight="1">
      <c r="B6" s="8" t="inlineStr">
        <is>
          <t>LO ESENCIAL</t>
        </is>
      </c>
      <c r="C6" s="13" t="n"/>
      <c r="D6" s="14" t="inlineStr">
        <is>
          <t>OTIF (a tiempo y completo)</t>
        </is>
      </c>
      <c r="E6" s="9" t="n"/>
      <c r="F6" s="14" t="inlineStr">
        <is>
          <t>ENTREGAS A TIEMPO</t>
        </is>
      </c>
      <c r="G6" s="9" t="n"/>
      <c r="H6" s="14" t="inlineStr">
        <is>
          <t>TASA DE NOVEDADES</t>
        </is>
      </c>
      <c r="I6" s="9" t="n"/>
      <c r="J6" s="14" t="inlineStr">
        <is>
          <t>VALOR AFECTADO</t>
        </is>
      </c>
      <c r="K6" s="9" t="n"/>
      <c r="L6" s="14" t="inlineStr">
        <is>
          <t>ENVÍOS DEL PERIODO</t>
        </is>
      </c>
      <c r="M6" s="9" t="n"/>
    </row>
    <row r="7" ht="34" customHeight="1">
      <c r="B7" s="15" t="n"/>
      <c r="C7" s="16" t="n"/>
      <c r="D7" s="17">
        <f>IFERROR(COUNTIFS(ENVIOS!$P$4:$P$3003,"OTIF",ENVIOS!$B$4:$B$3003,"&gt;="&amp;$E$4,ENVIOS!$B$4:$B$3003,"&lt;="&amp;$G$4)/(COUNTIFS(ENVIOS!$P$4:$P$3003,"OTIF",ENVIOS!$B$4:$B$3003,"&gt;="&amp;$E$4,ENVIOS!$B$4:$B$3003,"&lt;="&amp;$G$4)+COUNTIFS(ENVIOS!$P$4:$P$3003,"Falló",ENVIOS!$B$4:$B$3003,"&gt;="&amp;$E$4,ENVIOS!$B$4:$B$3003,"&lt;="&amp;$G$4)),"—")</f>
        <v/>
      </c>
      <c r="E7" s="9" t="n"/>
      <c r="F7" s="17">
        <f>IFERROR(COUNTIFS(ENVIOS!$M$4:$M$3003,"Sí",ENVIOS!$B$4:$B$3003,"&gt;="&amp;$E$4,ENVIOS!$B$4:$B$3003,"&lt;="&amp;$G$4)/(COUNTIFS(ENVIOS!$P$4:$P$3003,"OTIF",ENVIOS!$B$4:$B$3003,"&gt;="&amp;$E$4,ENVIOS!$B$4:$B$3003,"&lt;="&amp;$G$4)+COUNTIFS(ENVIOS!$P$4:$P$3003,"Falló",ENVIOS!$B$4:$B$3003,"&gt;="&amp;$E$4,ENVIOS!$B$4:$B$3003,"&lt;="&amp;$G$4)),"—")</f>
        <v/>
      </c>
      <c r="G7" s="9" t="n"/>
      <c r="H7" s="17">
        <f>IFERROR(COUNTIFS(ENVIOS!$N$4:$N$3003,"&gt;0",ENVIOS!$B$4:$B$3003,"&gt;="&amp;$E$4,ENVIOS!$B$4:$B$3003,"&lt;="&amp;$G$4)/COUNTIFS(ENVIOS!$B$4:$B$3003,"&gt;="&amp;$E$4,ENVIOS!$B$4:$B$3003,"&lt;="&amp;$G$4),"—")</f>
        <v/>
      </c>
      <c r="I7" s="9" t="n"/>
      <c r="J7" s="18">
        <f>SUMIFS(NOVEDADES!$R$4:$R$1503,NOVEDADES!$B$4:$B$1503,"&gt;="&amp;$E$4,NOVEDADES!$B$4:$B$1503,"&lt;="&amp;$G$4)</f>
        <v/>
      </c>
      <c r="K7" s="9" t="n"/>
      <c r="L7" s="19">
        <f>COUNTIFS(ENVIOS!$B$4:$B$3003,"&gt;="&amp;$E$4,ENVIOS!$B$4:$B$3003,"&lt;="&amp;$G$4)</f>
        <v/>
      </c>
      <c r="M7" s="9" t="n"/>
    </row>
    <row r="9" ht="20" customHeight="1">
      <c r="B9" s="8" t="inlineStr">
        <is>
          <t>LA GESTIÓN</t>
        </is>
      </c>
      <c r="C9" s="13" t="n"/>
      <c r="D9" s="14" t="inlineStr">
        <is>
          <t>NOVEDADES</t>
        </is>
      </c>
      <c r="E9" s="9" t="n"/>
      <c r="F9" s="14" t="inlineStr">
        <is>
          <t>ABIERTAS</t>
        </is>
      </c>
      <c r="G9" s="9" t="n"/>
      <c r="H9" s="14" t="inlineStr">
        <is>
          <t>VENCIDAS (SLA roto)</t>
        </is>
      </c>
      <c r="I9" s="9" t="n"/>
      <c r="J9" s="14" t="inlineStr">
        <is>
          <t>DÍAS PROM. SOLUCIÓN</t>
        </is>
      </c>
      <c r="K9" s="9" t="n"/>
      <c r="L9" s="14" t="inlineStr">
        <is>
          <t>CUMPLIMIENTO DE SLA</t>
        </is>
      </c>
      <c r="M9" s="9" t="n"/>
    </row>
    <row r="10" ht="34" customHeight="1">
      <c r="B10" s="15" t="n"/>
      <c r="C10" s="16" t="n"/>
      <c r="D10" s="19">
        <f>COUNTIFS(NOVEDADES!$B$4:$B$1503,"&gt;="&amp;$E$4,NOVEDADES!$B$4:$B$1503,"&lt;="&amp;$G$4)</f>
        <v/>
      </c>
      <c r="E10" s="9" t="n"/>
      <c r="F10" s="19">
        <f>COUNTIFS(NOVEDADES!$X$4:$X$1503,"En plazo",NOVEDADES!$B$4:$B$1503,"&gt;="&amp;$E$4,NOVEDADES!$B$4:$B$1503,"&lt;="&amp;$G$4)+COUNTIFS(NOVEDADES!$X$4:$X$1503,"Por vencer",NOVEDADES!$B$4:$B$1503,"&gt;="&amp;$E$4,NOVEDADES!$B$4:$B$1503,"&lt;="&amp;$G$4)+COUNTIFS(NOVEDADES!$X$4:$X$1503,"Vencida",NOVEDADES!$B$4:$B$1503,"&gt;="&amp;$E$4,NOVEDADES!$B$4:$B$1503,"&lt;="&amp;$G$4)+COUNTIFS(NOVEDADES!$X$4:$X$1503,"Sin clasificar",NOVEDADES!$B$4:$B$1503,"&gt;="&amp;$E$4,NOVEDADES!$B$4:$B$1503,"&lt;="&amp;$G$4)</f>
        <v/>
      </c>
      <c r="G10" s="9" t="n"/>
      <c r="H10" s="19">
        <f>COUNTIFS(NOVEDADES!$X$4:$X$1503,"Vencida",NOVEDADES!$B$4:$B$1503,"&gt;="&amp;$E$4,NOVEDADES!$B$4:$B$1503,"&lt;="&amp;$G$4)</f>
        <v/>
      </c>
      <c r="I10" s="9" t="n"/>
      <c r="J10" s="20">
        <f>IFERROR(ROUND(AVERAGEIFS(NOVEDADES!$W$4:$W$1503,NOVEDADES!$B$4:$B$1503,"&gt;="&amp;$E$4,NOVEDADES!$B$4:$B$1503,"&lt;="&amp;$G$4),1),0)</f>
        <v/>
      </c>
      <c r="K10" s="9" t="n"/>
      <c r="L10" s="17">
        <f>IFERROR(COUNTIFS(NOVEDADES!$X$4:$X$1503,"Resuelta a tiempo",NOVEDADES!$B$4:$B$1503,"&gt;="&amp;$E$4,NOVEDADES!$B$4:$B$1503,"&lt;="&amp;$G$4)/COUNTIFS(NOVEDADES!$X$4:$X$1503,"Resuelta*",NOVEDADES!$B$4:$B$1503,"&gt;="&amp;$E$4,NOVEDADES!$B$4:$B$1503,"&lt;="&amp;$G$4),"—")</f>
        <v/>
      </c>
      <c r="M10" s="9" t="n"/>
    </row>
    <row r="12" ht="22" customHeight="1">
      <c r="B12" s="4" t="inlineStr">
        <is>
          <t>1 · SCORECARD DE TRANSPORTADORAS</t>
        </is>
      </c>
    </row>
    <row r="13">
      <c r="B13" s="7" t="inlineStr">
        <is>
          <t>Nota A = 90 puntos o más · B = 80 a 89 · C = 70 a 79 · D = menos de 70.   Puntaje = OTIF ×60 + (1 − tasa de novedades) ×25 + (1 − vencidas/novedades) ×15.</t>
        </is>
      </c>
    </row>
    <row r="14" ht="32" customHeight="1">
      <c r="B14" s="21" t="inlineStr">
        <is>
          <t>Transportadora</t>
        </is>
      </c>
      <c r="C14" s="9" t="n"/>
      <c r="D14" s="21" t="inlineStr">
        <is>
          <t>Envíos</t>
        </is>
      </c>
      <c r="E14" s="21" t="inlineStr">
        <is>
          <t>OTIF</t>
        </is>
      </c>
      <c r="F14" s="21" t="inlineStr">
        <is>
          <t>Novedades</t>
        </is>
      </c>
      <c r="G14" s="21" t="inlineStr">
        <is>
          <t>Tasa</t>
        </is>
      </c>
      <c r="H14" s="21" t="inlineStr">
        <is>
          <t>Abiertas</t>
        </is>
      </c>
      <c r="I14" s="21" t="inlineStr">
        <is>
          <t>Vencidas</t>
        </is>
      </c>
      <c r="J14" s="21" t="inlineStr">
        <is>
          <t>Días prom.</t>
        </is>
      </c>
      <c r="K14" s="21" t="inlineStr">
        <is>
          <t>Valor afectado</t>
        </is>
      </c>
      <c r="L14" s="21" t="inlineStr">
        <is>
          <t>Puntaje</t>
        </is>
      </c>
      <c r="M14" s="21" t="inlineStr">
        <is>
          <t>Nota</t>
        </is>
      </c>
    </row>
    <row r="15">
      <c r="B15" s="22">
        <f>IF(CONFIG!$M4="","",CONFIG!$M4)</f>
        <v/>
      </c>
      <c r="C15" s="9" t="n"/>
      <c r="D15" s="23">
        <f>IF($B15="","",COUNTIFS(ENVIOS!$E$4:$E$3003,$B15,ENVIOS!$B$4:$B$3003,"&gt;="&amp;$E$4,ENVIOS!$B$4:$B$3003,"&lt;="&amp;$G$4))</f>
        <v/>
      </c>
      <c r="E15" s="24">
        <f>IF($B15="","",IFERROR(COUNTIFS(ENVIOS!$E$4:$E$3003,$B15,ENVIOS!$P$4:$P$3003,"OTIF",ENVIOS!$B$4:$B$3003,"&gt;="&amp;$E$4,ENVIOS!$B$4:$B$3003,"&lt;="&amp;$G$4)/(COUNTIFS(ENVIOS!$E$4:$E$3003,$B15,ENVIOS!$P$4:$P$3003,"OTIF",ENVIOS!$B$4:$B$3003,"&gt;="&amp;$E$4,ENVIOS!$B$4:$B$3003,"&lt;="&amp;$G$4)+COUNTIFS(ENVIOS!$E$4:$E$3003,$B15,ENVIOS!$P$4:$P$3003,"Falló",ENVIOS!$B$4:$B$3003,"&gt;="&amp;$E$4,ENVIOS!$B$4:$B$3003,"&lt;="&amp;$G$4)),"—"))</f>
        <v/>
      </c>
      <c r="F15" s="23">
        <f>IF($B15="","",COUNTIFS(NOVEDADES!$G$4:$G$1503,$B15,NOVEDADES!$B$4:$B$1503,"&gt;="&amp;$E$4,NOVEDADES!$B$4:$B$1503,"&lt;="&amp;$G$4))</f>
        <v/>
      </c>
      <c r="G15" s="24">
        <f>IF($B15="","",IFERROR(COUNTIFS(ENVIOS!$E$4:$E$3003,$B15,ENVIOS!$N$4:$N$3003,"&gt;0",ENVIOS!$B$4:$B$3003,"&gt;="&amp;$E$4,ENVIOS!$B$4:$B$3003,"&lt;="&amp;$G$4)/$D15,"—"))</f>
        <v/>
      </c>
      <c r="H15" s="23">
        <f>IF($B15="","",COUNTIFS(NOVEDADES!$X$4:$X$1503,"En plazo",NOVEDADES!$B$4:$B$1503,"&gt;="&amp;$E$4,NOVEDADES!$B$4:$B$1503,"&lt;="&amp;$G$4,NOVEDADES!$G$4:$G$1503,$B15)+COUNTIFS(NOVEDADES!$X$4:$X$1503,"Por vencer",NOVEDADES!$B$4:$B$1503,"&gt;="&amp;$E$4,NOVEDADES!$B$4:$B$1503,"&lt;="&amp;$G$4,NOVEDADES!$G$4:$G$1503,$B15)+COUNTIFS(NOVEDADES!$X$4:$X$1503,"Vencida",NOVEDADES!$B$4:$B$1503,"&gt;="&amp;$E$4,NOVEDADES!$B$4:$B$1503,"&lt;="&amp;$G$4,NOVEDADES!$G$4:$G$1503,$B15)+COUNTIFS(NOVEDADES!$X$4:$X$1503,"Sin clasificar",NOVEDADES!$B$4:$B$1503,"&gt;="&amp;$E$4,NOVEDADES!$B$4:$B$1503,"&lt;="&amp;$G$4,NOVEDADES!$G$4:$G$1503,$B15))</f>
        <v/>
      </c>
      <c r="I15" s="23">
        <f>IF($B15="","",COUNTIFS(NOVEDADES!$G$4:$G$1503,$B15,NOVEDADES!$X$4:$X$1503,"Vencida",NOVEDADES!$B$4:$B$1503,"&gt;="&amp;$E$4,NOVEDADES!$B$4:$B$1503,"&lt;="&amp;$G$4))</f>
        <v/>
      </c>
      <c r="J15" s="25">
        <f>IF($B15="","",IFERROR(ROUND(AVERAGEIFS(NOVEDADES!$W$4:$W$1503,NOVEDADES!$G$4:$G$1503,$B15,NOVEDADES!$B$4:$B$1503,"&gt;="&amp;$E$4,NOVEDADES!$B$4:$B$1503,"&lt;="&amp;$G$4),1),0))</f>
        <v/>
      </c>
      <c r="K15" s="26">
        <f>IF($B15="","",SUMIFS(NOVEDADES!$R$4:$R$1503,NOVEDADES!$G$4:$G$1503,$B15,NOVEDADES!$B$4:$B$1503,"&gt;="&amp;$E$4,NOVEDADES!$B$4:$B$1503,"&lt;="&amp;$G$4))</f>
        <v/>
      </c>
      <c r="L15" s="23">
        <f>IF(OR($B15="",$D15=0,NOT(ISNUMBER($E15))),"—",ROUND($E15*60+(1-N($G15))*25+IF($F15=0,15,(1-$I15/$F15)*15),0))</f>
        <v/>
      </c>
      <c r="M15" s="27">
        <f>IF(NOT(ISNUMBER($L15)),"—",IF($L15&gt;=90,"A",IF($L15&gt;=80,"B",IF($L15&gt;=70,"C","D"))))</f>
        <v/>
      </c>
    </row>
    <row r="16">
      <c r="B16" s="22">
        <f>IF(CONFIG!$M5="","",CONFIG!$M5)</f>
        <v/>
      </c>
      <c r="C16" s="9" t="n"/>
      <c r="D16" s="23">
        <f>IF($B16="","",COUNTIFS(ENVIOS!$E$4:$E$3003,$B16,ENVIOS!$B$4:$B$3003,"&gt;="&amp;$E$4,ENVIOS!$B$4:$B$3003,"&lt;="&amp;$G$4))</f>
        <v/>
      </c>
      <c r="E16" s="24">
        <f>IF($B16="","",IFERROR(COUNTIFS(ENVIOS!$E$4:$E$3003,$B16,ENVIOS!$P$4:$P$3003,"OTIF",ENVIOS!$B$4:$B$3003,"&gt;="&amp;$E$4,ENVIOS!$B$4:$B$3003,"&lt;="&amp;$G$4)/(COUNTIFS(ENVIOS!$E$4:$E$3003,$B16,ENVIOS!$P$4:$P$3003,"OTIF",ENVIOS!$B$4:$B$3003,"&gt;="&amp;$E$4,ENVIOS!$B$4:$B$3003,"&lt;="&amp;$G$4)+COUNTIFS(ENVIOS!$E$4:$E$3003,$B16,ENVIOS!$P$4:$P$3003,"Falló",ENVIOS!$B$4:$B$3003,"&gt;="&amp;$E$4,ENVIOS!$B$4:$B$3003,"&lt;="&amp;$G$4)),"—"))</f>
        <v/>
      </c>
      <c r="F16" s="23">
        <f>IF($B16="","",COUNTIFS(NOVEDADES!$G$4:$G$1503,$B16,NOVEDADES!$B$4:$B$1503,"&gt;="&amp;$E$4,NOVEDADES!$B$4:$B$1503,"&lt;="&amp;$G$4))</f>
        <v/>
      </c>
      <c r="G16" s="24">
        <f>IF($B16="","",IFERROR(COUNTIFS(ENVIOS!$E$4:$E$3003,$B16,ENVIOS!$N$4:$N$3003,"&gt;0",ENVIOS!$B$4:$B$3003,"&gt;="&amp;$E$4,ENVIOS!$B$4:$B$3003,"&lt;="&amp;$G$4)/$D16,"—"))</f>
        <v/>
      </c>
      <c r="H16" s="23">
        <f>IF($B16="","",COUNTIFS(NOVEDADES!$X$4:$X$1503,"En plazo",NOVEDADES!$B$4:$B$1503,"&gt;="&amp;$E$4,NOVEDADES!$B$4:$B$1503,"&lt;="&amp;$G$4,NOVEDADES!$G$4:$G$1503,$B16)+COUNTIFS(NOVEDADES!$X$4:$X$1503,"Por vencer",NOVEDADES!$B$4:$B$1503,"&gt;="&amp;$E$4,NOVEDADES!$B$4:$B$1503,"&lt;="&amp;$G$4,NOVEDADES!$G$4:$G$1503,$B16)+COUNTIFS(NOVEDADES!$X$4:$X$1503,"Vencida",NOVEDADES!$B$4:$B$1503,"&gt;="&amp;$E$4,NOVEDADES!$B$4:$B$1503,"&lt;="&amp;$G$4,NOVEDADES!$G$4:$G$1503,$B16)+COUNTIFS(NOVEDADES!$X$4:$X$1503,"Sin clasificar",NOVEDADES!$B$4:$B$1503,"&gt;="&amp;$E$4,NOVEDADES!$B$4:$B$1503,"&lt;="&amp;$G$4,NOVEDADES!$G$4:$G$1503,$B16))</f>
        <v/>
      </c>
      <c r="I16" s="23">
        <f>IF($B16="","",COUNTIFS(NOVEDADES!$G$4:$G$1503,$B16,NOVEDADES!$X$4:$X$1503,"Vencida",NOVEDADES!$B$4:$B$1503,"&gt;="&amp;$E$4,NOVEDADES!$B$4:$B$1503,"&lt;="&amp;$G$4))</f>
        <v/>
      </c>
      <c r="J16" s="25">
        <f>IF($B16="","",IFERROR(ROUND(AVERAGEIFS(NOVEDADES!$W$4:$W$1503,NOVEDADES!$G$4:$G$1503,$B16,NOVEDADES!$B$4:$B$1503,"&gt;="&amp;$E$4,NOVEDADES!$B$4:$B$1503,"&lt;="&amp;$G$4),1),0))</f>
        <v/>
      </c>
      <c r="K16" s="26">
        <f>IF($B16="","",SUMIFS(NOVEDADES!$R$4:$R$1503,NOVEDADES!$G$4:$G$1503,$B16,NOVEDADES!$B$4:$B$1503,"&gt;="&amp;$E$4,NOVEDADES!$B$4:$B$1503,"&lt;="&amp;$G$4))</f>
        <v/>
      </c>
      <c r="L16" s="23">
        <f>IF(OR($B16="",$D16=0,NOT(ISNUMBER($E16))),"—",ROUND($E16*60+(1-N($G16))*25+IF($F16=0,15,(1-$I16/$F16)*15),0))</f>
        <v/>
      </c>
      <c r="M16" s="27">
        <f>IF(NOT(ISNUMBER($L16)),"—",IF($L16&gt;=90,"A",IF($L16&gt;=80,"B",IF($L16&gt;=70,"C","D"))))</f>
        <v/>
      </c>
    </row>
    <row r="17">
      <c r="B17" s="22">
        <f>IF(CONFIG!$M6="","",CONFIG!$M6)</f>
        <v/>
      </c>
      <c r="C17" s="9" t="n"/>
      <c r="D17" s="23">
        <f>IF($B17="","",COUNTIFS(ENVIOS!$E$4:$E$3003,$B17,ENVIOS!$B$4:$B$3003,"&gt;="&amp;$E$4,ENVIOS!$B$4:$B$3003,"&lt;="&amp;$G$4))</f>
        <v/>
      </c>
      <c r="E17" s="24">
        <f>IF($B17="","",IFERROR(COUNTIFS(ENVIOS!$E$4:$E$3003,$B17,ENVIOS!$P$4:$P$3003,"OTIF",ENVIOS!$B$4:$B$3003,"&gt;="&amp;$E$4,ENVIOS!$B$4:$B$3003,"&lt;="&amp;$G$4)/(COUNTIFS(ENVIOS!$E$4:$E$3003,$B17,ENVIOS!$P$4:$P$3003,"OTIF",ENVIOS!$B$4:$B$3003,"&gt;="&amp;$E$4,ENVIOS!$B$4:$B$3003,"&lt;="&amp;$G$4)+COUNTIFS(ENVIOS!$E$4:$E$3003,$B17,ENVIOS!$P$4:$P$3003,"Falló",ENVIOS!$B$4:$B$3003,"&gt;="&amp;$E$4,ENVIOS!$B$4:$B$3003,"&lt;="&amp;$G$4)),"—"))</f>
        <v/>
      </c>
      <c r="F17" s="23">
        <f>IF($B17="","",COUNTIFS(NOVEDADES!$G$4:$G$1503,$B17,NOVEDADES!$B$4:$B$1503,"&gt;="&amp;$E$4,NOVEDADES!$B$4:$B$1503,"&lt;="&amp;$G$4))</f>
        <v/>
      </c>
      <c r="G17" s="24">
        <f>IF($B17="","",IFERROR(COUNTIFS(ENVIOS!$E$4:$E$3003,$B17,ENVIOS!$N$4:$N$3003,"&gt;0",ENVIOS!$B$4:$B$3003,"&gt;="&amp;$E$4,ENVIOS!$B$4:$B$3003,"&lt;="&amp;$G$4)/$D17,"—"))</f>
        <v/>
      </c>
      <c r="H17" s="23">
        <f>IF($B17="","",COUNTIFS(NOVEDADES!$X$4:$X$1503,"En plazo",NOVEDADES!$B$4:$B$1503,"&gt;="&amp;$E$4,NOVEDADES!$B$4:$B$1503,"&lt;="&amp;$G$4,NOVEDADES!$G$4:$G$1503,$B17)+COUNTIFS(NOVEDADES!$X$4:$X$1503,"Por vencer",NOVEDADES!$B$4:$B$1503,"&gt;="&amp;$E$4,NOVEDADES!$B$4:$B$1503,"&lt;="&amp;$G$4,NOVEDADES!$G$4:$G$1503,$B17)+COUNTIFS(NOVEDADES!$X$4:$X$1503,"Vencida",NOVEDADES!$B$4:$B$1503,"&gt;="&amp;$E$4,NOVEDADES!$B$4:$B$1503,"&lt;="&amp;$G$4,NOVEDADES!$G$4:$G$1503,$B17)+COUNTIFS(NOVEDADES!$X$4:$X$1503,"Sin clasificar",NOVEDADES!$B$4:$B$1503,"&gt;="&amp;$E$4,NOVEDADES!$B$4:$B$1503,"&lt;="&amp;$G$4,NOVEDADES!$G$4:$G$1503,$B17))</f>
        <v/>
      </c>
      <c r="I17" s="23">
        <f>IF($B17="","",COUNTIFS(NOVEDADES!$G$4:$G$1503,$B17,NOVEDADES!$X$4:$X$1503,"Vencida",NOVEDADES!$B$4:$B$1503,"&gt;="&amp;$E$4,NOVEDADES!$B$4:$B$1503,"&lt;="&amp;$G$4))</f>
        <v/>
      </c>
      <c r="J17" s="25">
        <f>IF($B17="","",IFERROR(ROUND(AVERAGEIFS(NOVEDADES!$W$4:$W$1503,NOVEDADES!$G$4:$G$1503,$B17,NOVEDADES!$B$4:$B$1503,"&gt;="&amp;$E$4,NOVEDADES!$B$4:$B$1503,"&lt;="&amp;$G$4),1),0))</f>
        <v/>
      </c>
      <c r="K17" s="26">
        <f>IF($B17="","",SUMIFS(NOVEDADES!$R$4:$R$1503,NOVEDADES!$G$4:$G$1503,$B17,NOVEDADES!$B$4:$B$1503,"&gt;="&amp;$E$4,NOVEDADES!$B$4:$B$1503,"&lt;="&amp;$G$4))</f>
        <v/>
      </c>
      <c r="L17" s="23">
        <f>IF(OR($B17="",$D17=0,NOT(ISNUMBER($E17))),"—",ROUND($E17*60+(1-N($G17))*25+IF($F17=0,15,(1-$I17/$F17)*15),0))</f>
        <v/>
      </c>
      <c r="M17" s="27">
        <f>IF(NOT(ISNUMBER($L17)),"—",IF($L17&gt;=90,"A",IF($L17&gt;=80,"B",IF($L17&gt;=70,"C","D"))))</f>
        <v/>
      </c>
    </row>
    <row r="18">
      <c r="B18" s="22">
        <f>IF(CONFIG!$M7="","",CONFIG!$M7)</f>
        <v/>
      </c>
      <c r="C18" s="9" t="n"/>
      <c r="D18" s="23">
        <f>IF($B18="","",COUNTIFS(ENVIOS!$E$4:$E$3003,$B18,ENVIOS!$B$4:$B$3003,"&gt;="&amp;$E$4,ENVIOS!$B$4:$B$3003,"&lt;="&amp;$G$4))</f>
        <v/>
      </c>
      <c r="E18" s="24">
        <f>IF($B18="","",IFERROR(COUNTIFS(ENVIOS!$E$4:$E$3003,$B18,ENVIOS!$P$4:$P$3003,"OTIF",ENVIOS!$B$4:$B$3003,"&gt;="&amp;$E$4,ENVIOS!$B$4:$B$3003,"&lt;="&amp;$G$4)/(COUNTIFS(ENVIOS!$E$4:$E$3003,$B18,ENVIOS!$P$4:$P$3003,"OTIF",ENVIOS!$B$4:$B$3003,"&gt;="&amp;$E$4,ENVIOS!$B$4:$B$3003,"&lt;="&amp;$G$4)+COUNTIFS(ENVIOS!$E$4:$E$3003,$B18,ENVIOS!$P$4:$P$3003,"Falló",ENVIOS!$B$4:$B$3003,"&gt;="&amp;$E$4,ENVIOS!$B$4:$B$3003,"&lt;="&amp;$G$4)),"—"))</f>
        <v/>
      </c>
      <c r="F18" s="23">
        <f>IF($B18="","",COUNTIFS(NOVEDADES!$G$4:$G$1503,$B18,NOVEDADES!$B$4:$B$1503,"&gt;="&amp;$E$4,NOVEDADES!$B$4:$B$1503,"&lt;="&amp;$G$4))</f>
        <v/>
      </c>
      <c r="G18" s="24">
        <f>IF($B18="","",IFERROR(COUNTIFS(ENVIOS!$E$4:$E$3003,$B18,ENVIOS!$N$4:$N$3003,"&gt;0",ENVIOS!$B$4:$B$3003,"&gt;="&amp;$E$4,ENVIOS!$B$4:$B$3003,"&lt;="&amp;$G$4)/$D18,"—"))</f>
        <v/>
      </c>
      <c r="H18" s="23">
        <f>IF($B18="","",COUNTIFS(NOVEDADES!$X$4:$X$1503,"En plazo",NOVEDADES!$B$4:$B$1503,"&gt;="&amp;$E$4,NOVEDADES!$B$4:$B$1503,"&lt;="&amp;$G$4,NOVEDADES!$G$4:$G$1503,$B18)+COUNTIFS(NOVEDADES!$X$4:$X$1503,"Por vencer",NOVEDADES!$B$4:$B$1503,"&gt;="&amp;$E$4,NOVEDADES!$B$4:$B$1503,"&lt;="&amp;$G$4,NOVEDADES!$G$4:$G$1503,$B18)+COUNTIFS(NOVEDADES!$X$4:$X$1503,"Vencida",NOVEDADES!$B$4:$B$1503,"&gt;="&amp;$E$4,NOVEDADES!$B$4:$B$1503,"&lt;="&amp;$G$4,NOVEDADES!$G$4:$G$1503,$B18)+COUNTIFS(NOVEDADES!$X$4:$X$1503,"Sin clasificar",NOVEDADES!$B$4:$B$1503,"&gt;="&amp;$E$4,NOVEDADES!$B$4:$B$1503,"&lt;="&amp;$G$4,NOVEDADES!$G$4:$G$1503,$B18))</f>
        <v/>
      </c>
      <c r="I18" s="23">
        <f>IF($B18="","",COUNTIFS(NOVEDADES!$G$4:$G$1503,$B18,NOVEDADES!$X$4:$X$1503,"Vencida",NOVEDADES!$B$4:$B$1503,"&gt;="&amp;$E$4,NOVEDADES!$B$4:$B$1503,"&lt;="&amp;$G$4))</f>
        <v/>
      </c>
      <c r="J18" s="25">
        <f>IF($B18="","",IFERROR(ROUND(AVERAGEIFS(NOVEDADES!$W$4:$W$1503,NOVEDADES!$G$4:$G$1503,$B18,NOVEDADES!$B$4:$B$1503,"&gt;="&amp;$E$4,NOVEDADES!$B$4:$B$1503,"&lt;="&amp;$G$4),1),0))</f>
        <v/>
      </c>
      <c r="K18" s="26">
        <f>IF($B18="","",SUMIFS(NOVEDADES!$R$4:$R$1503,NOVEDADES!$G$4:$G$1503,$B18,NOVEDADES!$B$4:$B$1503,"&gt;="&amp;$E$4,NOVEDADES!$B$4:$B$1503,"&lt;="&amp;$G$4))</f>
        <v/>
      </c>
      <c r="L18" s="23">
        <f>IF(OR($B18="",$D18=0,NOT(ISNUMBER($E18))),"—",ROUND($E18*60+(1-N($G18))*25+IF($F18=0,15,(1-$I18/$F18)*15),0))</f>
        <v/>
      </c>
      <c r="M18" s="27">
        <f>IF(NOT(ISNUMBER($L18)),"—",IF($L18&gt;=90,"A",IF($L18&gt;=80,"B",IF($L18&gt;=70,"C","D"))))</f>
        <v/>
      </c>
    </row>
    <row r="19">
      <c r="B19" s="22">
        <f>IF(CONFIG!$M8="","",CONFIG!$M8)</f>
        <v/>
      </c>
      <c r="C19" s="9" t="n"/>
      <c r="D19" s="23">
        <f>IF($B19="","",COUNTIFS(ENVIOS!$E$4:$E$3003,$B19,ENVIOS!$B$4:$B$3003,"&gt;="&amp;$E$4,ENVIOS!$B$4:$B$3003,"&lt;="&amp;$G$4))</f>
        <v/>
      </c>
      <c r="E19" s="24">
        <f>IF($B19="","",IFERROR(COUNTIFS(ENVIOS!$E$4:$E$3003,$B19,ENVIOS!$P$4:$P$3003,"OTIF",ENVIOS!$B$4:$B$3003,"&gt;="&amp;$E$4,ENVIOS!$B$4:$B$3003,"&lt;="&amp;$G$4)/(COUNTIFS(ENVIOS!$E$4:$E$3003,$B19,ENVIOS!$P$4:$P$3003,"OTIF",ENVIOS!$B$4:$B$3003,"&gt;="&amp;$E$4,ENVIOS!$B$4:$B$3003,"&lt;="&amp;$G$4)+COUNTIFS(ENVIOS!$E$4:$E$3003,$B19,ENVIOS!$P$4:$P$3003,"Falló",ENVIOS!$B$4:$B$3003,"&gt;="&amp;$E$4,ENVIOS!$B$4:$B$3003,"&lt;="&amp;$G$4)),"—"))</f>
        <v/>
      </c>
      <c r="F19" s="23">
        <f>IF($B19="","",COUNTIFS(NOVEDADES!$G$4:$G$1503,$B19,NOVEDADES!$B$4:$B$1503,"&gt;="&amp;$E$4,NOVEDADES!$B$4:$B$1503,"&lt;="&amp;$G$4))</f>
        <v/>
      </c>
      <c r="G19" s="24">
        <f>IF($B19="","",IFERROR(COUNTIFS(ENVIOS!$E$4:$E$3003,$B19,ENVIOS!$N$4:$N$3003,"&gt;0",ENVIOS!$B$4:$B$3003,"&gt;="&amp;$E$4,ENVIOS!$B$4:$B$3003,"&lt;="&amp;$G$4)/$D19,"—"))</f>
        <v/>
      </c>
      <c r="H19" s="23">
        <f>IF($B19="","",COUNTIFS(NOVEDADES!$X$4:$X$1503,"En plazo",NOVEDADES!$B$4:$B$1503,"&gt;="&amp;$E$4,NOVEDADES!$B$4:$B$1503,"&lt;="&amp;$G$4,NOVEDADES!$G$4:$G$1503,$B19)+COUNTIFS(NOVEDADES!$X$4:$X$1503,"Por vencer",NOVEDADES!$B$4:$B$1503,"&gt;="&amp;$E$4,NOVEDADES!$B$4:$B$1503,"&lt;="&amp;$G$4,NOVEDADES!$G$4:$G$1503,$B19)+COUNTIFS(NOVEDADES!$X$4:$X$1503,"Vencida",NOVEDADES!$B$4:$B$1503,"&gt;="&amp;$E$4,NOVEDADES!$B$4:$B$1503,"&lt;="&amp;$G$4,NOVEDADES!$G$4:$G$1503,$B19)+COUNTIFS(NOVEDADES!$X$4:$X$1503,"Sin clasificar",NOVEDADES!$B$4:$B$1503,"&gt;="&amp;$E$4,NOVEDADES!$B$4:$B$1503,"&lt;="&amp;$G$4,NOVEDADES!$G$4:$G$1503,$B19))</f>
        <v/>
      </c>
      <c r="I19" s="23">
        <f>IF($B19="","",COUNTIFS(NOVEDADES!$G$4:$G$1503,$B19,NOVEDADES!$X$4:$X$1503,"Vencida",NOVEDADES!$B$4:$B$1503,"&gt;="&amp;$E$4,NOVEDADES!$B$4:$B$1503,"&lt;="&amp;$G$4))</f>
        <v/>
      </c>
      <c r="J19" s="25">
        <f>IF($B19="","",IFERROR(ROUND(AVERAGEIFS(NOVEDADES!$W$4:$W$1503,NOVEDADES!$G$4:$G$1503,$B19,NOVEDADES!$B$4:$B$1503,"&gt;="&amp;$E$4,NOVEDADES!$B$4:$B$1503,"&lt;="&amp;$G$4),1),0))</f>
        <v/>
      </c>
      <c r="K19" s="26">
        <f>IF($B19="","",SUMIFS(NOVEDADES!$R$4:$R$1503,NOVEDADES!$G$4:$G$1503,$B19,NOVEDADES!$B$4:$B$1503,"&gt;="&amp;$E$4,NOVEDADES!$B$4:$B$1503,"&lt;="&amp;$G$4))</f>
        <v/>
      </c>
      <c r="L19" s="23">
        <f>IF(OR($B19="",$D19=0,NOT(ISNUMBER($E19))),"—",ROUND($E19*60+(1-N($G19))*25+IF($F19=0,15,(1-$I19/$F19)*15),0))</f>
        <v/>
      </c>
      <c r="M19" s="27">
        <f>IF(NOT(ISNUMBER($L19)),"—",IF($L19&gt;=90,"A",IF($L19&gt;=80,"B",IF($L19&gt;=70,"C","D"))))</f>
        <v/>
      </c>
    </row>
    <row r="20">
      <c r="B20" s="22">
        <f>IF(CONFIG!$M9="","",CONFIG!$M9)</f>
        <v/>
      </c>
      <c r="C20" s="9" t="n"/>
      <c r="D20" s="23">
        <f>IF($B20="","",COUNTIFS(ENVIOS!$E$4:$E$3003,$B20,ENVIOS!$B$4:$B$3003,"&gt;="&amp;$E$4,ENVIOS!$B$4:$B$3003,"&lt;="&amp;$G$4))</f>
        <v/>
      </c>
      <c r="E20" s="24">
        <f>IF($B20="","",IFERROR(COUNTIFS(ENVIOS!$E$4:$E$3003,$B20,ENVIOS!$P$4:$P$3003,"OTIF",ENVIOS!$B$4:$B$3003,"&gt;="&amp;$E$4,ENVIOS!$B$4:$B$3003,"&lt;="&amp;$G$4)/(COUNTIFS(ENVIOS!$E$4:$E$3003,$B20,ENVIOS!$P$4:$P$3003,"OTIF",ENVIOS!$B$4:$B$3003,"&gt;="&amp;$E$4,ENVIOS!$B$4:$B$3003,"&lt;="&amp;$G$4)+COUNTIFS(ENVIOS!$E$4:$E$3003,$B20,ENVIOS!$P$4:$P$3003,"Falló",ENVIOS!$B$4:$B$3003,"&gt;="&amp;$E$4,ENVIOS!$B$4:$B$3003,"&lt;="&amp;$G$4)),"—"))</f>
        <v/>
      </c>
      <c r="F20" s="23">
        <f>IF($B20="","",COUNTIFS(NOVEDADES!$G$4:$G$1503,$B20,NOVEDADES!$B$4:$B$1503,"&gt;="&amp;$E$4,NOVEDADES!$B$4:$B$1503,"&lt;="&amp;$G$4))</f>
        <v/>
      </c>
      <c r="G20" s="24">
        <f>IF($B20="","",IFERROR(COUNTIFS(ENVIOS!$E$4:$E$3003,$B20,ENVIOS!$N$4:$N$3003,"&gt;0",ENVIOS!$B$4:$B$3003,"&gt;="&amp;$E$4,ENVIOS!$B$4:$B$3003,"&lt;="&amp;$G$4)/$D20,"—"))</f>
        <v/>
      </c>
      <c r="H20" s="23">
        <f>IF($B20="","",COUNTIFS(NOVEDADES!$X$4:$X$1503,"En plazo",NOVEDADES!$B$4:$B$1503,"&gt;="&amp;$E$4,NOVEDADES!$B$4:$B$1503,"&lt;="&amp;$G$4,NOVEDADES!$G$4:$G$1503,$B20)+COUNTIFS(NOVEDADES!$X$4:$X$1503,"Por vencer",NOVEDADES!$B$4:$B$1503,"&gt;="&amp;$E$4,NOVEDADES!$B$4:$B$1503,"&lt;="&amp;$G$4,NOVEDADES!$G$4:$G$1503,$B20)+COUNTIFS(NOVEDADES!$X$4:$X$1503,"Vencida",NOVEDADES!$B$4:$B$1503,"&gt;="&amp;$E$4,NOVEDADES!$B$4:$B$1503,"&lt;="&amp;$G$4,NOVEDADES!$G$4:$G$1503,$B20)+COUNTIFS(NOVEDADES!$X$4:$X$1503,"Sin clasificar",NOVEDADES!$B$4:$B$1503,"&gt;="&amp;$E$4,NOVEDADES!$B$4:$B$1503,"&lt;="&amp;$G$4,NOVEDADES!$G$4:$G$1503,$B20))</f>
        <v/>
      </c>
      <c r="I20" s="23">
        <f>IF($B20="","",COUNTIFS(NOVEDADES!$G$4:$G$1503,$B20,NOVEDADES!$X$4:$X$1503,"Vencida",NOVEDADES!$B$4:$B$1503,"&gt;="&amp;$E$4,NOVEDADES!$B$4:$B$1503,"&lt;="&amp;$G$4))</f>
        <v/>
      </c>
      <c r="J20" s="25">
        <f>IF($B20="","",IFERROR(ROUND(AVERAGEIFS(NOVEDADES!$W$4:$W$1503,NOVEDADES!$G$4:$G$1503,$B20,NOVEDADES!$B$4:$B$1503,"&gt;="&amp;$E$4,NOVEDADES!$B$4:$B$1503,"&lt;="&amp;$G$4),1),0))</f>
        <v/>
      </c>
      <c r="K20" s="26">
        <f>IF($B20="","",SUMIFS(NOVEDADES!$R$4:$R$1503,NOVEDADES!$G$4:$G$1503,$B20,NOVEDADES!$B$4:$B$1503,"&gt;="&amp;$E$4,NOVEDADES!$B$4:$B$1503,"&lt;="&amp;$G$4))</f>
        <v/>
      </c>
      <c r="L20" s="23">
        <f>IF(OR($B20="",$D20=0,NOT(ISNUMBER($E20))),"—",ROUND($E20*60+(1-N($G20))*25+IF($F20=0,15,(1-$I20/$F20)*15),0))</f>
        <v/>
      </c>
      <c r="M20" s="27">
        <f>IF(NOT(ISNUMBER($L20)),"—",IF($L20&gt;=90,"A",IF($L20&gt;=80,"B",IF($L20&gt;=70,"C","D"))))</f>
        <v/>
      </c>
    </row>
    <row r="21">
      <c r="B21" s="22">
        <f>IF(CONFIG!$M10="","",CONFIG!$M10)</f>
        <v/>
      </c>
      <c r="C21" s="9" t="n"/>
      <c r="D21" s="23">
        <f>IF($B21="","",COUNTIFS(ENVIOS!$E$4:$E$3003,$B21,ENVIOS!$B$4:$B$3003,"&gt;="&amp;$E$4,ENVIOS!$B$4:$B$3003,"&lt;="&amp;$G$4))</f>
        <v/>
      </c>
      <c r="E21" s="24">
        <f>IF($B21="","",IFERROR(COUNTIFS(ENVIOS!$E$4:$E$3003,$B21,ENVIOS!$P$4:$P$3003,"OTIF",ENVIOS!$B$4:$B$3003,"&gt;="&amp;$E$4,ENVIOS!$B$4:$B$3003,"&lt;="&amp;$G$4)/(COUNTIFS(ENVIOS!$E$4:$E$3003,$B21,ENVIOS!$P$4:$P$3003,"OTIF",ENVIOS!$B$4:$B$3003,"&gt;="&amp;$E$4,ENVIOS!$B$4:$B$3003,"&lt;="&amp;$G$4)+COUNTIFS(ENVIOS!$E$4:$E$3003,$B21,ENVIOS!$P$4:$P$3003,"Falló",ENVIOS!$B$4:$B$3003,"&gt;="&amp;$E$4,ENVIOS!$B$4:$B$3003,"&lt;="&amp;$G$4)),"—"))</f>
        <v/>
      </c>
      <c r="F21" s="23">
        <f>IF($B21="","",COUNTIFS(NOVEDADES!$G$4:$G$1503,$B21,NOVEDADES!$B$4:$B$1503,"&gt;="&amp;$E$4,NOVEDADES!$B$4:$B$1503,"&lt;="&amp;$G$4))</f>
        <v/>
      </c>
      <c r="G21" s="24">
        <f>IF($B21="","",IFERROR(COUNTIFS(ENVIOS!$E$4:$E$3003,$B21,ENVIOS!$N$4:$N$3003,"&gt;0",ENVIOS!$B$4:$B$3003,"&gt;="&amp;$E$4,ENVIOS!$B$4:$B$3003,"&lt;="&amp;$G$4)/$D21,"—"))</f>
        <v/>
      </c>
      <c r="H21" s="23">
        <f>IF($B21="","",COUNTIFS(NOVEDADES!$X$4:$X$1503,"En plazo",NOVEDADES!$B$4:$B$1503,"&gt;="&amp;$E$4,NOVEDADES!$B$4:$B$1503,"&lt;="&amp;$G$4,NOVEDADES!$G$4:$G$1503,$B21)+COUNTIFS(NOVEDADES!$X$4:$X$1503,"Por vencer",NOVEDADES!$B$4:$B$1503,"&gt;="&amp;$E$4,NOVEDADES!$B$4:$B$1503,"&lt;="&amp;$G$4,NOVEDADES!$G$4:$G$1503,$B21)+COUNTIFS(NOVEDADES!$X$4:$X$1503,"Vencida",NOVEDADES!$B$4:$B$1503,"&gt;="&amp;$E$4,NOVEDADES!$B$4:$B$1503,"&lt;="&amp;$G$4,NOVEDADES!$G$4:$G$1503,$B21)+COUNTIFS(NOVEDADES!$X$4:$X$1503,"Sin clasificar",NOVEDADES!$B$4:$B$1503,"&gt;="&amp;$E$4,NOVEDADES!$B$4:$B$1503,"&lt;="&amp;$G$4,NOVEDADES!$G$4:$G$1503,$B21))</f>
        <v/>
      </c>
      <c r="I21" s="23">
        <f>IF($B21="","",COUNTIFS(NOVEDADES!$G$4:$G$1503,$B21,NOVEDADES!$X$4:$X$1503,"Vencida",NOVEDADES!$B$4:$B$1503,"&gt;="&amp;$E$4,NOVEDADES!$B$4:$B$1503,"&lt;="&amp;$G$4))</f>
        <v/>
      </c>
      <c r="J21" s="25">
        <f>IF($B21="","",IFERROR(ROUND(AVERAGEIFS(NOVEDADES!$W$4:$W$1503,NOVEDADES!$G$4:$G$1503,$B21,NOVEDADES!$B$4:$B$1503,"&gt;="&amp;$E$4,NOVEDADES!$B$4:$B$1503,"&lt;="&amp;$G$4),1),0))</f>
        <v/>
      </c>
      <c r="K21" s="26">
        <f>IF($B21="","",SUMIFS(NOVEDADES!$R$4:$R$1503,NOVEDADES!$G$4:$G$1503,$B21,NOVEDADES!$B$4:$B$1503,"&gt;="&amp;$E$4,NOVEDADES!$B$4:$B$1503,"&lt;="&amp;$G$4))</f>
        <v/>
      </c>
      <c r="L21" s="23">
        <f>IF(OR($B21="",$D21=0,NOT(ISNUMBER($E21))),"—",ROUND($E21*60+(1-N($G21))*25+IF($F21=0,15,(1-$I21/$F21)*15),0))</f>
        <v/>
      </c>
      <c r="M21" s="27">
        <f>IF(NOT(ISNUMBER($L21)),"—",IF($L21&gt;=90,"A",IF($L21&gt;=80,"B",IF($L21&gt;=70,"C","D"))))</f>
        <v/>
      </c>
    </row>
    <row r="22">
      <c r="B22" s="22">
        <f>IF(CONFIG!$M11="","",CONFIG!$M11)</f>
        <v/>
      </c>
      <c r="C22" s="9" t="n"/>
      <c r="D22" s="23">
        <f>IF($B22="","",COUNTIFS(ENVIOS!$E$4:$E$3003,$B22,ENVIOS!$B$4:$B$3003,"&gt;="&amp;$E$4,ENVIOS!$B$4:$B$3003,"&lt;="&amp;$G$4))</f>
        <v/>
      </c>
      <c r="E22" s="24">
        <f>IF($B22="","",IFERROR(COUNTIFS(ENVIOS!$E$4:$E$3003,$B22,ENVIOS!$P$4:$P$3003,"OTIF",ENVIOS!$B$4:$B$3003,"&gt;="&amp;$E$4,ENVIOS!$B$4:$B$3003,"&lt;="&amp;$G$4)/(COUNTIFS(ENVIOS!$E$4:$E$3003,$B22,ENVIOS!$P$4:$P$3003,"OTIF",ENVIOS!$B$4:$B$3003,"&gt;="&amp;$E$4,ENVIOS!$B$4:$B$3003,"&lt;="&amp;$G$4)+COUNTIFS(ENVIOS!$E$4:$E$3003,$B22,ENVIOS!$P$4:$P$3003,"Falló",ENVIOS!$B$4:$B$3003,"&gt;="&amp;$E$4,ENVIOS!$B$4:$B$3003,"&lt;="&amp;$G$4)),"—"))</f>
        <v/>
      </c>
      <c r="F22" s="23">
        <f>IF($B22="","",COUNTIFS(NOVEDADES!$G$4:$G$1503,$B22,NOVEDADES!$B$4:$B$1503,"&gt;="&amp;$E$4,NOVEDADES!$B$4:$B$1503,"&lt;="&amp;$G$4))</f>
        <v/>
      </c>
      <c r="G22" s="24">
        <f>IF($B22="","",IFERROR(COUNTIFS(ENVIOS!$E$4:$E$3003,$B22,ENVIOS!$N$4:$N$3003,"&gt;0",ENVIOS!$B$4:$B$3003,"&gt;="&amp;$E$4,ENVIOS!$B$4:$B$3003,"&lt;="&amp;$G$4)/$D22,"—"))</f>
        <v/>
      </c>
      <c r="H22" s="23">
        <f>IF($B22="","",COUNTIFS(NOVEDADES!$X$4:$X$1503,"En plazo",NOVEDADES!$B$4:$B$1503,"&gt;="&amp;$E$4,NOVEDADES!$B$4:$B$1503,"&lt;="&amp;$G$4,NOVEDADES!$G$4:$G$1503,$B22)+COUNTIFS(NOVEDADES!$X$4:$X$1503,"Por vencer",NOVEDADES!$B$4:$B$1503,"&gt;="&amp;$E$4,NOVEDADES!$B$4:$B$1503,"&lt;="&amp;$G$4,NOVEDADES!$G$4:$G$1503,$B22)+COUNTIFS(NOVEDADES!$X$4:$X$1503,"Vencida",NOVEDADES!$B$4:$B$1503,"&gt;="&amp;$E$4,NOVEDADES!$B$4:$B$1503,"&lt;="&amp;$G$4,NOVEDADES!$G$4:$G$1503,$B22)+COUNTIFS(NOVEDADES!$X$4:$X$1503,"Sin clasificar",NOVEDADES!$B$4:$B$1503,"&gt;="&amp;$E$4,NOVEDADES!$B$4:$B$1503,"&lt;="&amp;$G$4,NOVEDADES!$G$4:$G$1503,$B22))</f>
        <v/>
      </c>
      <c r="I22" s="23">
        <f>IF($B22="","",COUNTIFS(NOVEDADES!$G$4:$G$1503,$B22,NOVEDADES!$X$4:$X$1503,"Vencida",NOVEDADES!$B$4:$B$1503,"&gt;="&amp;$E$4,NOVEDADES!$B$4:$B$1503,"&lt;="&amp;$G$4))</f>
        <v/>
      </c>
      <c r="J22" s="25">
        <f>IF($B22="","",IFERROR(ROUND(AVERAGEIFS(NOVEDADES!$W$4:$W$1503,NOVEDADES!$G$4:$G$1503,$B22,NOVEDADES!$B$4:$B$1503,"&gt;="&amp;$E$4,NOVEDADES!$B$4:$B$1503,"&lt;="&amp;$G$4),1),0))</f>
        <v/>
      </c>
      <c r="K22" s="26">
        <f>IF($B22="","",SUMIFS(NOVEDADES!$R$4:$R$1503,NOVEDADES!$G$4:$G$1503,$B22,NOVEDADES!$B$4:$B$1503,"&gt;="&amp;$E$4,NOVEDADES!$B$4:$B$1503,"&lt;="&amp;$G$4))</f>
        <v/>
      </c>
      <c r="L22" s="23">
        <f>IF(OR($B22="",$D22=0,NOT(ISNUMBER($E22))),"—",ROUND($E22*60+(1-N($G22))*25+IF($F22=0,15,(1-$I22/$F22)*15),0))</f>
        <v/>
      </c>
      <c r="M22" s="27">
        <f>IF(NOT(ISNUMBER($L22)),"—",IF($L22&gt;=90,"A",IF($L22&gt;=80,"B",IF($L22&gt;=70,"C","D"))))</f>
        <v/>
      </c>
    </row>
    <row r="23">
      <c r="B23" s="22">
        <f>IF(CONFIG!$M12="","",CONFIG!$M12)</f>
        <v/>
      </c>
      <c r="C23" s="9" t="n"/>
      <c r="D23" s="23">
        <f>IF($B23="","",COUNTIFS(ENVIOS!$E$4:$E$3003,$B23,ENVIOS!$B$4:$B$3003,"&gt;="&amp;$E$4,ENVIOS!$B$4:$B$3003,"&lt;="&amp;$G$4))</f>
        <v/>
      </c>
      <c r="E23" s="24">
        <f>IF($B23="","",IFERROR(COUNTIFS(ENVIOS!$E$4:$E$3003,$B23,ENVIOS!$P$4:$P$3003,"OTIF",ENVIOS!$B$4:$B$3003,"&gt;="&amp;$E$4,ENVIOS!$B$4:$B$3003,"&lt;="&amp;$G$4)/(COUNTIFS(ENVIOS!$E$4:$E$3003,$B23,ENVIOS!$P$4:$P$3003,"OTIF",ENVIOS!$B$4:$B$3003,"&gt;="&amp;$E$4,ENVIOS!$B$4:$B$3003,"&lt;="&amp;$G$4)+COUNTIFS(ENVIOS!$E$4:$E$3003,$B23,ENVIOS!$P$4:$P$3003,"Falló",ENVIOS!$B$4:$B$3003,"&gt;="&amp;$E$4,ENVIOS!$B$4:$B$3003,"&lt;="&amp;$G$4)),"—"))</f>
        <v/>
      </c>
      <c r="F23" s="23">
        <f>IF($B23="","",COUNTIFS(NOVEDADES!$G$4:$G$1503,$B23,NOVEDADES!$B$4:$B$1503,"&gt;="&amp;$E$4,NOVEDADES!$B$4:$B$1503,"&lt;="&amp;$G$4))</f>
        <v/>
      </c>
      <c r="G23" s="24">
        <f>IF($B23="","",IFERROR(COUNTIFS(ENVIOS!$E$4:$E$3003,$B23,ENVIOS!$N$4:$N$3003,"&gt;0",ENVIOS!$B$4:$B$3003,"&gt;="&amp;$E$4,ENVIOS!$B$4:$B$3003,"&lt;="&amp;$G$4)/$D23,"—"))</f>
        <v/>
      </c>
      <c r="H23" s="23">
        <f>IF($B23="","",COUNTIFS(NOVEDADES!$X$4:$X$1503,"En plazo",NOVEDADES!$B$4:$B$1503,"&gt;="&amp;$E$4,NOVEDADES!$B$4:$B$1503,"&lt;="&amp;$G$4,NOVEDADES!$G$4:$G$1503,$B23)+COUNTIFS(NOVEDADES!$X$4:$X$1503,"Por vencer",NOVEDADES!$B$4:$B$1503,"&gt;="&amp;$E$4,NOVEDADES!$B$4:$B$1503,"&lt;="&amp;$G$4,NOVEDADES!$G$4:$G$1503,$B23)+COUNTIFS(NOVEDADES!$X$4:$X$1503,"Vencida",NOVEDADES!$B$4:$B$1503,"&gt;="&amp;$E$4,NOVEDADES!$B$4:$B$1503,"&lt;="&amp;$G$4,NOVEDADES!$G$4:$G$1503,$B23)+COUNTIFS(NOVEDADES!$X$4:$X$1503,"Sin clasificar",NOVEDADES!$B$4:$B$1503,"&gt;="&amp;$E$4,NOVEDADES!$B$4:$B$1503,"&lt;="&amp;$G$4,NOVEDADES!$G$4:$G$1503,$B23))</f>
        <v/>
      </c>
      <c r="I23" s="23">
        <f>IF($B23="","",COUNTIFS(NOVEDADES!$G$4:$G$1503,$B23,NOVEDADES!$X$4:$X$1503,"Vencida",NOVEDADES!$B$4:$B$1503,"&gt;="&amp;$E$4,NOVEDADES!$B$4:$B$1503,"&lt;="&amp;$G$4))</f>
        <v/>
      </c>
      <c r="J23" s="25">
        <f>IF($B23="","",IFERROR(ROUND(AVERAGEIFS(NOVEDADES!$W$4:$W$1503,NOVEDADES!$G$4:$G$1503,$B23,NOVEDADES!$B$4:$B$1503,"&gt;="&amp;$E$4,NOVEDADES!$B$4:$B$1503,"&lt;="&amp;$G$4),1),0))</f>
        <v/>
      </c>
      <c r="K23" s="26">
        <f>IF($B23="","",SUMIFS(NOVEDADES!$R$4:$R$1503,NOVEDADES!$G$4:$G$1503,$B23,NOVEDADES!$B$4:$B$1503,"&gt;="&amp;$E$4,NOVEDADES!$B$4:$B$1503,"&lt;="&amp;$G$4))</f>
        <v/>
      </c>
      <c r="L23" s="23">
        <f>IF(OR($B23="",$D23=0,NOT(ISNUMBER($E23))),"—",ROUND($E23*60+(1-N($G23))*25+IF($F23=0,15,(1-$I23/$F23)*15),0))</f>
        <v/>
      </c>
      <c r="M23" s="27">
        <f>IF(NOT(ISNUMBER($L23)),"—",IF($L23&gt;=90,"A",IF($L23&gt;=80,"B",IF($L23&gt;=70,"C","D"))))</f>
        <v/>
      </c>
    </row>
    <row r="24">
      <c r="B24" s="22">
        <f>IF(CONFIG!$M13="","",CONFIG!$M13)</f>
        <v/>
      </c>
      <c r="C24" s="9" t="n"/>
      <c r="D24" s="23">
        <f>IF($B24="","",COUNTIFS(ENVIOS!$E$4:$E$3003,$B24,ENVIOS!$B$4:$B$3003,"&gt;="&amp;$E$4,ENVIOS!$B$4:$B$3003,"&lt;="&amp;$G$4))</f>
        <v/>
      </c>
      <c r="E24" s="24">
        <f>IF($B24="","",IFERROR(COUNTIFS(ENVIOS!$E$4:$E$3003,$B24,ENVIOS!$P$4:$P$3003,"OTIF",ENVIOS!$B$4:$B$3003,"&gt;="&amp;$E$4,ENVIOS!$B$4:$B$3003,"&lt;="&amp;$G$4)/(COUNTIFS(ENVIOS!$E$4:$E$3003,$B24,ENVIOS!$P$4:$P$3003,"OTIF",ENVIOS!$B$4:$B$3003,"&gt;="&amp;$E$4,ENVIOS!$B$4:$B$3003,"&lt;="&amp;$G$4)+COUNTIFS(ENVIOS!$E$4:$E$3003,$B24,ENVIOS!$P$4:$P$3003,"Falló",ENVIOS!$B$4:$B$3003,"&gt;="&amp;$E$4,ENVIOS!$B$4:$B$3003,"&lt;="&amp;$G$4)),"—"))</f>
        <v/>
      </c>
      <c r="F24" s="23">
        <f>IF($B24="","",COUNTIFS(NOVEDADES!$G$4:$G$1503,$B24,NOVEDADES!$B$4:$B$1503,"&gt;="&amp;$E$4,NOVEDADES!$B$4:$B$1503,"&lt;="&amp;$G$4))</f>
        <v/>
      </c>
      <c r="G24" s="24">
        <f>IF($B24="","",IFERROR(COUNTIFS(ENVIOS!$E$4:$E$3003,$B24,ENVIOS!$N$4:$N$3003,"&gt;0",ENVIOS!$B$4:$B$3003,"&gt;="&amp;$E$4,ENVIOS!$B$4:$B$3003,"&lt;="&amp;$G$4)/$D24,"—"))</f>
        <v/>
      </c>
      <c r="H24" s="23">
        <f>IF($B24="","",COUNTIFS(NOVEDADES!$X$4:$X$1503,"En plazo",NOVEDADES!$B$4:$B$1503,"&gt;="&amp;$E$4,NOVEDADES!$B$4:$B$1503,"&lt;="&amp;$G$4,NOVEDADES!$G$4:$G$1503,$B24)+COUNTIFS(NOVEDADES!$X$4:$X$1503,"Por vencer",NOVEDADES!$B$4:$B$1503,"&gt;="&amp;$E$4,NOVEDADES!$B$4:$B$1503,"&lt;="&amp;$G$4,NOVEDADES!$G$4:$G$1503,$B24)+COUNTIFS(NOVEDADES!$X$4:$X$1503,"Vencida",NOVEDADES!$B$4:$B$1503,"&gt;="&amp;$E$4,NOVEDADES!$B$4:$B$1503,"&lt;="&amp;$G$4,NOVEDADES!$G$4:$G$1503,$B24)+COUNTIFS(NOVEDADES!$X$4:$X$1503,"Sin clasificar",NOVEDADES!$B$4:$B$1503,"&gt;="&amp;$E$4,NOVEDADES!$B$4:$B$1503,"&lt;="&amp;$G$4,NOVEDADES!$G$4:$G$1503,$B24))</f>
        <v/>
      </c>
      <c r="I24" s="23">
        <f>IF($B24="","",COUNTIFS(NOVEDADES!$G$4:$G$1503,$B24,NOVEDADES!$X$4:$X$1503,"Vencida",NOVEDADES!$B$4:$B$1503,"&gt;="&amp;$E$4,NOVEDADES!$B$4:$B$1503,"&lt;="&amp;$G$4))</f>
        <v/>
      </c>
      <c r="J24" s="25">
        <f>IF($B24="","",IFERROR(ROUND(AVERAGEIFS(NOVEDADES!$W$4:$W$1503,NOVEDADES!$G$4:$G$1503,$B24,NOVEDADES!$B$4:$B$1503,"&gt;="&amp;$E$4,NOVEDADES!$B$4:$B$1503,"&lt;="&amp;$G$4),1),0))</f>
        <v/>
      </c>
      <c r="K24" s="26">
        <f>IF($B24="","",SUMIFS(NOVEDADES!$R$4:$R$1503,NOVEDADES!$G$4:$G$1503,$B24,NOVEDADES!$B$4:$B$1503,"&gt;="&amp;$E$4,NOVEDADES!$B$4:$B$1503,"&lt;="&amp;$G$4))</f>
        <v/>
      </c>
      <c r="L24" s="23">
        <f>IF(OR($B24="",$D24=0,NOT(ISNUMBER($E24))),"—",ROUND($E24*60+(1-N($G24))*25+IF($F24=0,15,(1-$I24/$F24)*15),0))</f>
        <v/>
      </c>
      <c r="M24" s="27">
        <f>IF(NOT(ISNUMBER($L24)),"—",IF($L24&gt;=90,"A",IF($L24&gt;=80,"B",IF($L24&gt;=70,"C","D"))))</f>
        <v/>
      </c>
    </row>
    <row r="25">
      <c r="B25" s="28">
        <f>"TOTAL"</f>
        <v/>
      </c>
      <c r="C25" s="9" t="n"/>
      <c r="D25" s="29">
        <f>SUM($D$15:$D$24)</f>
        <v/>
      </c>
      <c r="E25" s="30">
        <f>IFERROR(COUNTIFS(ENVIOS!$P$4:$P$3003,"OTIF",ENVIOS!$B$4:$B$3003,"&gt;="&amp;$E$4,ENVIOS!$B$4:$B$3003,"&lt;="&amp;$G$4)/(COUNTIFS(ENVIOS!$P$4:$P$3003,"OTIF",ENVIOS!$B$4:$B$3003,"&gt;="&amp;$E$4,ENVIOS!$B$4:$B$3003,"&lt;="&amp;$G$4)+COUNTIFS(ENVIOS!$P$4:$P$3003,"Falló",ENVIOS!$B$4:$B$3003,"&gt;="&amp;$E$4,ENVIOS!$B$4:$B$3003,"&lt;="&amp;$G$4)),"—")</f>
        <v/>
      </c>
      <c r="F25" s="29">
        <f>SUM($F$15:$F$24)</f>
        <v/>
      </c>
      <c r="G25" s="30">
        <f>IFERROR(COUNTIFS(ENVIOS!$N$4:$N$3003,"&gt;0",ENVIOS!$B$4:$B$3003,"&gt;="&amp;$E$4,ENVIOS!$B$4:$B$3003,"&lt;="&amp;$G$4)/COUNTIFS(ENVIOS!$B$4:$B$3003,"&gt;="&amp;$E$4,ENVIOS!$B$4:$B$3003,"&lt;="&amp;$G$4),"—")</f>
        <v/>
      </c>
      <c r="H25" s="29">
        <f>SUM($H$15:$H$24)</f>
        <v/>
      </c>
      <c r="I25" s="29">
        <f>SUM($I$15:$I$24)</f>
        <v/>
      </c>
      <c r="J25" s="31">
        <f>IFERROR(ROUND(AVERAGEIFS(NOVEDADES!$W$4:$W$1503,NOVEDADES!$B$4:$B$1503,"&gt;="&amp;$E$4,NOVEDADES!$B$4:$B$1503,"&lt;="&amp;$G$4),1),0)</f>
        <v/>
      </c>
      <c r="K25" s="32">
        <f>SUM($K$15:$K$24)</f>
        <v/>
      </c>
      <c r="L25" s="33" t="inlineStr"/>
      <c r="M25" s="33" t="inlineStr"/>
    </row>
    <row r="27" ht="22" customHeight="1">
      <c r="B27" s="4" t="inlineStr">
        <is>
          <t>2 · PARETO DE CAUSA RAÍZ — dónde atacar primero</t>
        </is>
      </c>
    </row>
    <row r="28">
      <c r="B28" s="7" t="inlineStr">
        <is>
          <t>Regla 80/20: las causas que aparecen hasta llegar a 80% en la columna «% acumulado» son las que explican casi todas sus novedades. Empiece por ahí.</t>
        </is>
      </c>
    </row>
    <row r="29" ht="32" customHeight="1">
      <c r="B29" s="21" t="inlineStr">
        <is>
          <t>Causa raíz</t>
        </is>
      </c>
      <c r="C29" s="9" t="n"/>
      <c r="D29" s="21" t="inlineStr">
        <is>
          <t>Casos</t>
        </is>
      </c>
      <c r="E29" s="21" t="inlineStr">
        <is>
          <t>% de las novedades</t>
        </is>
      </c>
      <c r="F29" s="21" t="inlineStr">
        <is>
          <t>% acumulado</t>
        </is>
      </c>
      <c r="G29" s="21" t="inlineStr">
        <is>
          <t>Valor afectado</t>
        </is>
      </c>
      <c r="H29" s="21" t="inlineStr">
        <is>
          <t>Familia (6M)</t>
        </is>
      </c>
      <c r="I29" s="21" t="inlineStr">
        <is>
          <t>Área responsable</t>
        </is>
      </c>
      <c r="J29" s="21" t="n"/>
      <c r="K29" s="21" t="n"/>
      <c r="L29" s="21" t="n"/>
      <c r="M29" s="21" t="n"/>
    </row>
    <row r="30">
      <c r="B30" s="22">
        <f>IFERROR(INDEX(CONFIG!$F$4:$F$23,MATCH(LARGE(CONFIG!$Q$4:$Q$23,1),CONFIG!$Q$4:$Q$23,0)),"")</f>
        <v/>
      </c>
      <c r="C30" s="9" t="n"/>
      <c r="D30" s="23">
        <f>IF($B30="","",ROUNDDOWN(LARGE(CONFIG!$Q$4:$Q$23,1),0))</f>
        <v/>
      </c>
      <c r="E30" s="24">
        <f>IF($B30="","",IFERROR($D30/$D$42,0))</f>
        <v/>
      </c>
      <c r="F30" s="24">
        <f>IF($B30="","",IFERROR(SUM($D$30:$D30)/$D$42,0))</f>
        <v/>
      </c>
      <c r="G30" s="26">
        <f>IF($B30="","",SUMIFS(NOVEDADES!$R$4:$R$1503,NOVEDADES!$N$4:$N$1503,$B30,NOVEDADES!$B$4:$B$1503,"&gt;="&amp;$E$4,NOVEDADES!$B$4:$B$1503,"&lt;="&amp;$G$4))</f>
        <v/>
      </c>
      <c r="H30" s="27">
        <f>IF($B30="","",IFERROR(INDEX(CONFIG!$G$4:$G$43,MATCH($B30,CONFIG!$F$4:$F$43,0)),""))</f>
        <v/>
      </c>
      <c r="I30" s="27">
        <f>IF($B30="","",IFERROR(INDEX(CONFIG!$H$4:$H$43,MATCH($B30,CONFIG!$F$4:$F$43,0)),""))</f>
        <v/>
      </c>
      <c r="J30" s="27" t="n"/>
      <c r="K30" s="27" t="n"/>
      <c r="L30" s="27" t="n"/>
      <c r="M30" s="27" t="n"/>
    </row>
    <row r="31">
      <c r="B31" s="22">
        <f>IFERROR(INDEX(CONFIG!$F$4:$F$23,MATCH(LARGE(CONFIG!$Q$4:$Q$23,2),CONFIG!$Q$4:$Q$23,0)),"")</f>
        <v/>
      </c>
      <c r="C31" s="9" t="n"/>
      <c r="D31" s="23">
        <f>IF($B31="","",ROUNDDOWN(LARGE(CONFIG!$Q$4:$Q$23,2),0))</f>
        <v/>
      </c>
      <c r="E31" s="24">
        <f>IF($B31="","",IFERROR($D31/$D$42,0))</f>
        <v/>
      </c>
      <c r="F31" s="24">
        <f>IF($B31="","",IFERROR(SUM($D$30:$D31)/$D$42,0))</f>
        <v/>
      </c>
      <c r="G31" s="26">
        <f>IF($B31="","",SUMIFS(NOVEDADES!$R$4:$R$1503,NOVEDADES!$N$4:$N$1503,$B31,NOVEDADES!$B$4:$B$1503,"&gt;="&amp;$E$4,NOVEDADES!$B$4:$B$1503,"&lt;="&amp;$G$4))</f>
        <v/>
      </c>
      <c r="H31" s="27">
        <f>IF($B31="","",IFERROR(INDEX(CONFIG!$G$4:$G$43,MATCH($B31,CONFIG!$F$4:$F$43,0)),""))</f>
        <v/>
      </c>
      <c r="I31" s="27">
        <f>IF($B31="","",IFERROR(INDEX(CONFIG!$H$4:$H$43,MATCH($B31,CONFIG!$F$4:$F$43,0)),""))</f>
        <v/>
      </c>
      <c r="J31" s="27" t="n"/>
      <c r="K31" s="27" t="n"/>
      <c r="L31" s="27" t="n"/>
      <c r="M31" s="27" t="n"/>
    </row>
    <row r="32">
      <c r="B32" s="22">
        <f>IFERROR(INDEX(CONFIG!$F$4:$F$23,MATCH(LARGE(CONFIG!$Q$4:$Q$23,3),CONFIG!$Q$4:$Q$23,0)),"")</f>
        <v/>
      </c>
      <c r="C32" s="9" t="n"/>
      <c r="D32" s="23">
        <f>IF($B32="","",ROUNDDOWN(LARGE(CONFIG!$Q$4:$Q$23,3),0))</f>
        <v/>
      </c>
      <c r="E32" s="24">
        <f>IF($B32="","",IFERROR($D32/$D$42,0))</f>
        <v/>
      </c>
      <c r="F32" s="24">
        <f>IF($B32="","",IFERROR(SUM($D$30:$D32)/$D$42,0))</f>
        <v/>
      </c>
      <c r="G32" s="26">
        <f>IF($B32="","",SUMIFS(NOVEDADES!$R$4:$R$1503,NOVEDADES!$N$4:$N$1503,$B32,NOVEDADES!$B$4:$B$1503,"&gt;="&amp;$E$4,NOVEDADES!$B$4:$B$1503,"&lt;="&amp;$G$4))</f>
        <v/>
      </c>
      <c r="H32" s="27">
        <f>IF($B32="","",IFERROR(INDEX(CONFIG!$G$4:$G$43,MATCH($B32,CONFIG!$F$4:$F$43,0)),""))</f>
        <v/>
      </c>
      <c r="I32" s="27">
        <f>IF($B32="","",IFERROR(INDEX(CONFIG!$H$4:$H$43,MATCH($B32,CONFIG!$F$4:$F$43,0)),""))</f>
        <v/>
      </c>
      <c r="J32" s="27" t="n"/>
      <c r="K32" s="27" t="n"/>
      <c r="L32" s="27" t="n"/>
      <c r="M32" s="27" t="n"/>
    </row>
    <row r="33">
      <c r="B33" s="22">
        <f>IFERROR(INDEX(CONFIG!$F$4:$F$23,MATCH(LARGE(CONFIG!$Q$4:$Q$23,4),CONFIG!$Q$4:$Q$23,0)),"")</f>
        <v/>
      </c>
      <c r="C33" s="9" t="n"/>
      <c r="D33" s="23">
        <f>IF($B33="","",ROUNDDOWN(LARGE(CONFIG!$Q$4:$Q$23,4),0))</f>
        <v/>
      </c>
      <c r="E33" s="24">
        <f>IF($B33="","",IFERROR($D33/$D$42,0))</f>
        <v/>
      </c>
      <c r="F33" s="24">
        <f>IF($B33="","",IFERROR(SUM($D$30:$D33)/$D$42,0))</f>
        <v/>
      </c>
      <c r="G33" s="26">
        <f>IF($B33="","",SUMIFS(NOVEDADES!$R$4:$R$1503,NOVEDADES!$N$4:$N$1503,$B33,NOVEDADES!$B$4:$B$1503,"&gt;="&amp;$E$4,NOVEDADES!$B$4:$B$1503,"&lt;="&amp;$G$4))</f>
        <v/>
      </c>
      <c r="H33" s="27">
        <f>IF($B33="","",IFERROR(INDEX(CONFIG!$G$4:$G$43,MATCH($B33,CONFIG!$F$4:$F$43,0)),""))</f>
        <v/>
      </c>
      <c r="I33" s="27">
        <f>IF($B33="","",IFERROR(INDEX(CONFIG!$H$4:$H$43,MATCH($B33,CONFIG!$F$4:$F$43,0)),""))</f>
        <v/>
      </c>
      <c r="J33" s="27" t="n"/>
      <c r="K33" s="27" t="n"/>
      <c r="L33" s="27" t="n"/>
      <c r="M33" s="27" t="n"/>
    </row>
    <row r="34">
      <c r="B34" s="22">
        <f>IFERROR(INDEX(CONFIG!$F$4:$F$23,MATCH(LARGE(CONFIG!$Q$4:$Q$23,5),CONFIG!$Q$4:$Q$23,0)),"")</f>
        <v/>
      </c>
      <c r="C34" s="9" t="n"/>
      <c r="D34" s="23">
        <f>IF($B34="","",ROUNDDOWN(LARGE(CONFIG!$Q$4:$Q$23,5),0))</f>
        <v/>
      </c>
      <c r="E34" s="24">
        <f>IF($B34="","",IFERROR($D34/$D$42,0))</f>
        <v/>
      </c>
      <c r="F34" s="24">
        <f>IF($B34="","",IFERROR(SUM($D$30:$D34)/$D$42,0))</f>
        <v/>
      </c>
      <c r="G34" s="26">
        <f>IF($B34="","",SUMIFS(NOVEDADES!$R$4:$R$1503,NOVEDADES!$N$4:$N$1503,$B34,NOVEDADES!$B$4:$B$1503,"&gt;="&amp;$E$4,NOVEDADES!$B$4:$B$1503,"&lt;="&amp;$G$4))</f>
        <v/>
      </c>
      <c r="H34" s="27">
        <f>IF($B34="","",IFERROR(INDEX(CONFIG!$G$4:$G$43,MATCH($B34,CONFIG!$F$4:$F$43,0)),""))</f>
        <v/>
      </c>
      <c r="I34" s="27">
        <f>IF($B34="","",IFERROR(INDEX(CONFIG!$H$4:$H$43,MATCH($B34,CONFIG!$F$4:$F$43,0)),""))</f>
        <v/>
      </c>
      <c r="J34" s="27" t="n"/>
      <c r="K34" s="27" t="n"/>
      <c r="L34" s="27" t="n"/>
      <c r="M34" s="27" t="n"/>
    </row>
    <row r="35">
      <c r="B35" s="22">
        <f>IFERROR(INDEX(CONFIG!$F$4:$F$23,MATCH(LARGE(CONFIG!$Q$4:$Q$23,6),CONFIG!$Q$4:$Q$23,0)),"")</f>
        <v/>
      </c>
      <c r="C35" s="9" t="n"/>
      <c r="D35" s="23">
        <f>IF($B35="","",ROUNDDOWN(LARGE(CONFIG!$Q$4:$Q$23,6),0))</f>
        <v/>
      </c>
      <c r="E35" s="24">
        <f>IF($B35="","",IFERROR($D35/$D$42,0))</f>
        <v/>
      </c>
      <c r="F35" s="24">
        <f>IF($B35="","",IFERROR(SUM($D$30:$D35)/$D$42,0))</f>
        <v/>
      </c>
      <c r="G35" s="26">
        <f>IF($B35="","",SUMIFS(NOVEDADES!$R$4:$R$1503,NOVEDADES!$N$4:$N$1503,$B35,NOVEDADES!$B$4:$B$1503,"&gt;="&amp;$E$4,NOVEDADES!$B$4:$B$1503,"&lt;="&amp;$G$4))</f>
        <v/>
      </c>
      <c r="H35" s="27">
        <f>IF($B35="","",IFERROR(INDEX(CONFIG!$G$4:$G$43,MATCH($B35,CONFIG!$F$4:$F$43,0)),""))</f>
        <v/>
      </c>
      <c r="I35" s="27">
        <f>IF($B35="","",IFERROR(INDEX(CONFIG!$H$4:$H$43,MATCH($B35,CONFIG!$F$4:$F$43,0)),""))</f>
        <v/>
      </c>
      <c r="J35" s="27" t="n"/>
      <c r="K35" s="27" t="n"/>
      <c r="L35" s="27" t="n"/>
      <c r="M35" s="27" t="n"/>
    </row>
    <row r="36">
      <c r="B36" s="22">
        <f>IFERROR(INDEX(CONFIG!$F$4:$F$23,MATCH(LARGE(CONFIG!$Q$4:$Q$23,7),CONFIG!$Q$4:$Q$23,0)),"")</f>
        <v/>
      </c>
      <c r="C36" s="9" t="n"/>
      <c r="D36" s="23">
        <f>IF($B36="","",ROUNDDOWN(LARGE(CONFIG!$Q$4:$Q$23,7),0))</f>
        <v/>
      </c>
      <c r="E36" s="24">
        <f>IF($B36="","",IFERROR($D36/$D$42,0))</f>
        <v/>
      </c>
      <c r="F36" s="24">
        <f>IF($B36="","",IFERROR(SUM($D$30:$D36)/$D$42,0))</f>
        <v/>
      </c>
      <c r="G36" s="26">
        <f>IF($B36="","",SUMIFS(NOVEDADES!$R$4:$R$1503,NOVEDADES!$N$4:$N$1503,$B36,NOVEDADES!$B$4:$B$1503,"&gt;="&amp;$E$4,NOVEDADES!$B$4:$B$1503,"&lt;="&amp;$G$4))</f>
        <v/>
      </c>
      <c r="H36" s="27">
        <f>IF($B36="","",IFERROR(INDEX(CONFIG!$G$4:$G$43,MATCH($B36,CONFIG!$F$4:$F$43,0)),""))</f>
        <v/>
      </c>
      <c r="I36" s="27">
        <f>IF($B36="","",IFERROR(INDEX(CONFIG!$H$4:$H$43,MATCH($B36,CONFIG!$F$4:$F$43,0)),""))</f>
        <v/>
      </c>
      <c r="J36" s="27" t="n"/>
      <c r="K36" s="27" t="n"/>
      <c r="L36" s="27" t="n"/>
      <c r="M36" s="27" t="n"/>
    </row>
    <row r="37">
      <c r="B37" s="22">
        <f>IFERROR(INDEX(CONFIG!$F$4:$F$23,MATCH(LARGE(CONFIG!$Q$4:$Q$23,8),CONFIG!$Q$4:$Q$23,0)),"")</f>
        <v/>
      </c>
      <c r="C37" s="9" t="n"/>
      <c r="D37" s="23">
        <f>IF($B37="","",ROUNDDOWN(LARGE(CONFIG!$Q$4:$Q$23,8),0))</f>
        <v/>
      </c>
      <c r="E37" s="24">
        <f>IF($B37="","",IFERROR($D37/$D$42,0))</f>
        <v/>
      </c>
      <c r="F37" s="24">
        <f>IF($B37="","",IFERROR(SUM($D$30:$D37)/$D$42,0))</f>
        <v/>
      </c>
      <c r="G37" s="26">
        <f>IF($B37="","",SUMIFS(NOVEDADES!$R$4:$R$1503,NOVEDADES!$N$4:$N$1503,$B37,NOVEDADES!$B$4:$B$1503,"&gt;="&amp;$E$4,NOVEDADES!$B$4:$B$1503,"&lt;="&amp;$G$4))</f>
        <v/>
      </c>
      <c r="H37" s="27">
        <f>IF($B37="","",IFERROR(INDEX(CONFIG!$G$4:$G$43,MATCH($B37,CONFIG!$F$4:$F$43,0)),""))</f>
        <v/>
      </c>
      <c r="I37" s="27">
        <f>IF($B37="","",IFERROR(INDEX(CONFIG!$H$4:$H$43,MATCH($B37,CONFIG!$F$4:$F$43,0)),""))</f>
        <v/>
      </c>
      <c r="J37" s="27" t="n"/>
      <c r="K37" s="27" t="n"/>
      <c r="L37" s="27" t="n"/>
      <c r="M37" s="27" t="n"/>
    </row>
    <row r="38">
      <c r="B38" s="22">
        <f>IFERROR(INDEX(CONFIG!$F$4:$F$23,MATCH(LARGE(CONFIG!$Q$4:$Q$23,9),CONFIG!$Q$4:$Q$23,0)),"")</f>
        <v/>
      </c>
      <c r="C38" s="9" t="n"/>
      <c r="D38" s="23">
        <f>IF($B38="","",ROUNDDOWN(LARGE(CONFIG!$Q$4:$Q$23,9),0))</f>
        <v/>
      </c>
      <c r="E38" s="24">
        <f>IF($B38="","",IFERROR($D38/$D$42,0))</f>
        <v/>
      </c>
      <c r="F38" s="24">
        <f>IF($B38="","",IFERROR(SUM($D$30:$D38)/$D$42,0))</f>
        <v/>
      </c>
      <c r="G38" s="26">
        <f>IF($B38="","",SUMIFS(NOVEDADES!$R$4:$R$1503,NOVEDADES!$N$4:$N$1503,$B38,NOVEDADES!$B$4:$B$1503,"&gt;="&amp;$E$4,NOVEDADES!$B$4:$B$1503,"&lt;="&amp;$G$4))</f>
        <v/>
      </c>
      <c r="H38" s="27">
        <f>IF($B38="","",IFERROR(INDEX(CONFIG!$G$4:$G$43,MATCH($B38,CONFIG!$F$4:$F$43,0)),""))</f>
        <v/>
      </c>
      <c r="I38" s="27">
        <f>IF($B38="","",IFERROR(INDEX(CONFIG!$H$4:$H$43,MATCH($B38,CONFIG!$F$4:$F$43,0)),""))</f>
        <v/>
      </c>
      <c r="J38" s="27" t="n"/>
      <c r="K38" s="27" t="n"/>
      <c r="L38" s="27" t="n"/>
      <c r="M38" s="27" t="n"/>
    </row>
    <row r="39">
      <c r="B39" s="22">
        <f>IFERROR(INDEX(CONFIG!$F$4:$F$23,MATCH(LARGE(CONFIG!$Q$4:$Q$23,10),CONFIG!$Q$4:$Q$23,0)),"")</f>
        <v/>
      </c>
      <c r="C39" s="9" t="n"/>
      <c r="D39" s="23">
        <f>IF($B39="","",ROUNDDOWN(LARGE(CONFIG!$Q$4:$Q$23,10),0))</f>
        <v/>
      </c>
      <c r="E39" s="24">
        <f>IF($B39="","",IFERROR($D39/$D$42,0))</f>
        <v/>
      </c>
      <c r="F39" s="24">
        <f>IF($B39="","",IFERROR(SUM($D$30:$D39)/$D$42,0))</f>
        <v/>
      </c>
      <c r="G39" s="26">
        <f>IF($B39="","",SUMIFS(NOVEDADES!$R$4:$R$1503,NOVEDADES!$N$4:$N$1503,$B39,NOVEDADES!$B$4:$B$1503,"&gt;="&amp;$E$4,NOVEDADES!$B$4:$B$1503,"&lt;="&amp;$G$4))</f>
        <v/>
      </c>
      <c r="H39" s="27">
        <f>IF($B39="","",IFERROR(INDEX(CONFIG!$G$4:$G$43,MATCH($B39,CONFIG!$F$4:$F$43,0)),""))</f>
        <v/>
      </c>
      <c r="I39" s="27">
        <f>IF($B39="","",IFERROR(INDEX(CONFIG!$H$4:$H$43,MATCH($B39,CONFIG!$F$4:$F$43,0)),""))</f>
        <v/>
      </c>
      <c r="J39" s="27" t="n"/>
      <c r="K39" s="27" t="n"/>
      <c r="L39" s="27" t="n"/>
      <c r="M39" s="27" t="n"/>
    </row>
    <row r="40">
      <c r="B40" s="22">
        <f>IFERROR(INDEX(CONFIG!$F$4:$F$23,MATCH(LARGE(CONFIG!$Q$4:$Q$23,11),CONFIG!$Q$4:$Q$23,0)),"")</f>
        <v/>
      </c>
      <c r="C40" s="9" t="n"/>
      <c r="D40" s="23">
        <f>IF($B40="","",ROUNDDOWN(LARGE(CONFIG!$Q$4:$Q$23,11),0))</f>
        <v/>
      </c>
      <c r="E40" s="24">
        <f>IF($B40="","",IFERROR($D40/$D$42,0))</f>
        <v/>
      </c>
      <c r="F40" s="24">
        <f>IF($B40="","",IFERROR(SUM($D$30:$D40)/$D$42,0))</f>
        <v/>
      </c>
      <c r="G40" s="26">
        <f>IF($B40="","",SUMIFS(NOVEDADES!$R$4:$R$1503,NOVEDADES!$N$4:$N$1503,$B40,NOVEDADES!$B$4:$B$1503,"&gt;="&amp;$E$4,NOVEDADES!$B$4:$B$1503,"&lt;="&amp;$G$4))</f>
        <v/>
      </c>
      <c r="H40" s="27">
        <f>IF($B40="","",IFERROR(INDEX(CONFIG!$G$4:$G$43,MATCH($B40,CONFIG!$F$4:$F$43,0)),""))</f>
        <v/>
      </c>
      <c r="I40" s="27">
        <f>IF($B40="","",IFERROR(INDEX(CONFIG!$H$4:$H$43,MATCH($B40,CONFIG!$F$4:$F$43,0)),""))</f>
        <v/>
      </c>
      <c r="J40" s="27" t="n"/>
      <c r="K40" s="27" t="n"/>
      <c r="L40" s="27" t="n"/>
      <c r="M40" s="27" t="n"/>
    </row>
    <row r="41">
      <c r="B41" s="22">
        <f>IFERROR(INDEX(CONFIG!$F$4:$F$23,MATCH(LARGE(CONFIG!$Q$4:$Q$23,12),CONFIG!$Q$4:$Q$23,0)),"")</f>
        <v/>
      </c>
      <c r="C41" s="9" t="n"/>
      <c r="D41" s="23">
        <f>IF($B41="","",ROUNDDOWN(LARGE(CONFIG!$Q$4:$Q$23,12),0))</f>
        <v/>
      </c>
      <c r="E41" s="24">
        <f>IF($B41="","",IFERROR($D41/$D$42,0))</f>
        <v/>
      </c>
      <c r="F41" s="24">
        <f>IF($B41="","",IFERROR(SUM($D$30:$D41)/$D$42,0))</f>
        <v/>
      </c>
      <c r="G41" s="26">
        <f>IF($B41="","",SUMIFS(NOVEDADES!$R$4:$R$1503,NOVEDADES!$N$4:$N$1503,$B41,NOVEDADES!$B$4:$B$1503,"&gt;="&amp;$E$4,NOVEDADES!$B$4:$B$1503,"&lt;="&amp;$G$4))</f>
        <v/>
      </c>
      <c r="H41" s="27">
        <f>IF($B41="","",IFERROR(INDEX(CONFIG!$G$4:$G$43,MATCH($B41,CONFIG!$F$4:$F$43,0)),""))</f>
        <v/>
      </c>
      <c r="I41" s="27">
        <f>IF($B41="","",IFERROR(INDEX(CONFIG!$H$4:$H$43,MATCH($B41,CONFIG!$F$4:$F$43,0)),""))</f>
        <v/>
      </c>
      <c r="J41" s="27" t="n"/>
      <c r="K41" s="27" t="n"/>
      <c r="L41" s="27" t="n"/>
      <c r="M41" s="27" t="n"/>
    </row>
    <row r="42">
      <c r="B42" s="28">
        <f>"TOTAL de novedades del periodo"</f>
        <v/>
      </c>
      <c r="C42" s="9" t="n"/>
      <c r="D42" s="29">
        <f>COUNTIFS(NOVEDADES!$B$4:$B$1503,"&gt;="&amp;$E$4,NOVEDADES!$B$4:$B$1503,"&lt;="&amp;$G$4)</f>
        <v/>
      </c>
      <c r="E42" s="30">
        <f>IF($D$42=0,0,1)</f>
        <v/>
      </c>
      <c r="F42" s="33" t="inlineStr"/>
      <c r="G42" s="32">
        <f>SUMIFS(NOVEDADES!$R$4:$R$1503,NOVEDADES!$B$4:$B$1503,"&gt;="&amp;$E$4,NOVEDADES!$B$4:$B$1503,"&lt;="&amp;$G$4)</f>
        <v/>
      </c>
      <c r="H42" s="33" t="n"/>
      <c r="I42" s="33" t="n"/>
      <c r="J42" s="33" t="n"/>
      <c r="K42" s="33" t="n"/>
      <c r="L42" s="33" t="n"/>
      <c r="M42" s="33" t="n"/>
    </row>
    <row r="44" ht="22" customHeight="1">
      <c r="B44" s="4" t="inlineStr">
        <is>
          <t>3 · NOVEDADES POR TIPO — qué está pasando</t>
        </is>
      </c>
    </row>
    <row r="45" ht="32" customHeight="1">
      <c r="B45" s="21" t="inlineStr">
        <is>
          <t>Tipo de novedad</t>
        </is>
      </c>
      <c r="C45" s="9" t="n"/>
      <c r="D45" s="21" t="inlineStr">
        <is>
          <t>Casos</t>
        </is>
      </c>
      <c r="E45" s="21" t="inlineStr">
        <is>
          <t>% del total</t>
        </is>
      </c>
      <c r="F45" s="21" t="inlineStr">
        <is>
          <t>Valor afectado</t>
        </is>
      </c>
      <c r="G45" s="21" t="inlineStr">
        <is>
          <t>Gravedad</t>
        </is>
      </c>
      <c r="H45" s="21" t="inlineStr">
        <is>
          <t>¿Afecta la entrega?</t>
        </is>
      </c>
      <c r="I45" s="21" t="inlineStr">
        <is>
          <t>Abiertas</t>
        </is>
      </c>
      <c r="J45" s="21" t="inlineStr">
        <is>
          <t>Vencidas</t>
        </is>
      </c>
      <c r="K45" s="21" t="inlineStr">
        <is>
          <t>Días prom.</t>
        </is>
      </c>
      <c r="L45" s="21" t="n"/>
      <c r="M45" s="21" t="n"/>
    </row>
    <row r="46">
      <c r="B46" s="22">
        <f>IF(CONFIG!$A4="","",CONFIG!$A4)</f>
        <v/>
      </c>
      <c r="C46" s="9" t="n"/>
      <c r="D46" s="23">
        <f>IF($B46="","",COUNTIFS(NOVEDADES!$K$4:$K$1503,$B46,NOVEDADES!$B$4:$B$1503,"&gt;="&amp;$E$4,NOVEDADES!$B$4:$B$1503,"&lt;="&amp;$G$4))</f>
        <v/>
      </c>
      <c r="E46" s="24">
        <f>IF($B46="","",IFERROR($D46/$D$65,0))</f>
        <v/>
      </c>
      <c r="F46" s="26">
        <f>IF($B46="","",SUMIFS(NOVEDADES!$R$4:$R$1503,NOVEDADES!$K$4:$K$1503,$B46,NOVEDADES!$B$4:$B$1503,"&gt;="&amp;$E$4,NOVEDADES!$B$4:$B$1503,"&lt;="&amp;$G$4))</f>
        <v/>
      </c>
      <c r="G46" s="27">
        <f>IF($B46="","",IFERROR(INDEX(CONFIG!$B$4:$B$43,MATCH($B46,CONFIG!$A$4:$A$43,0)),""))</f>
        <v/>
      </c>
      <c r="H46" s="27">
        <f>IF($B46="","",IFERROR(INDEX(CONFIG!$D$4:$D$43,MATCH($B46,CONFIG!$A$4:$A$43,0)),""))</f>
        <v/>
      </c>
      <c r="I46" s="23">
        <f>IF($B46="","",COUNTIFS(NOVEDADES!$X$4:$X$1503,"En plazo",NOVEDADES!$B$4:$B$1503,"&gt;="&amp;$E$4,NOVEDADES!$B$4:$B$1503,"&lt;="&amp;$G$4,NOVEDADES!$K$4:$K$1503,$B46)+COUNTIFS(NOVEDADES!$X$4:$X$1503,"Por vencer",NOVEDADES!$B$4:$B$1503,"&gt;="&amp;$E$4,NOVEDADES!$B$4:$B$1503,"&lt;="&amp;$G$4,NOVEDADES!$K$4:$K$1503,$B46)+COUNTIFS(NOVEDADES!$X$4:$X$1503,"Vencida",NOVEDADES!$B$4:$B$1503,"&gt;="&amp;$E$4,NOVEDADES!$B$4:$B$1503,"&lt;="&amp;$G$4,NOVEDADES!$K$4:$K$1503,$B46)+COUNTIFS(NOVEDADES!$X$4:$X$1503,"Sin clasificar",NOVEDADES!$B$4:$B$1503,"&gt;="&amp;$E$4,NOVEDADES!$B$4:$B$1503,"&lt;="&amp;$G$4,NOVEDADES!$K$4:$K$1503,$B46))</f>
        <v/>
      </c>
      <c r="J46" s="23">
        <f>IF($B46="","",COUNTIFS(NOVEDADES!$K$4:$K$1503,$B46,NOVEDADES!$X$4:$X$1503,"Vencida",NOVEDADES!$B$4:$B$1503,"&gt;="&amp;$E$4,NOVEDADES!$B$4:$B$1503,"&lt;="&amp;$G$4))</f>
        <v/>
      </c>
      <c r="K46" s="25">
        <f>IF($B46="","",IFERROR(ROUND(AVERAGEIFS(NOVEDADES!$W$4:$W$1503,NOVEDADES!$K$4:$K$1503,$B46,NOVEDADES!$B$4:$B$1503,"&gt;="&amp;$E$4,NOVEDADES!$B$4:$B$1503,"&lt;="&amp;$G$4),1),0))</f>
        <v/>
      </c>
      <c r="L46" s="27" t="n"/>
      <c r="M46" s="27" t="n"/>
    </row>
    <row r="47">
      <c r="B47" s="22">
        <f>IF(CONFIG!$A5="","",CONFIG!$A5)</f>
        <v/>
      </c>
      <c r="C47" s="9" t="n"/>
      <c r="D47" s="23">
        <f>IF($B47="","",COUNTIFS(NOVEDADES!$K$4:$K$1503,$B47,NOVEDADES!$B$4:$B$1503,"&gt;="&amp;$E$4,NOVEDADES!$B$4:$B$1503,"&lt;="&amp;$G$4))</f>
        <v/>
      </c>
      <c r="E47" s="24">
        <f>IF($B47="","",IFERROR($D47/$D$65,0))</f>
        <v/>
      </c>
      <c r="F47" s="26">
        <f>IF($B47="","",SUMIFS(NOVEDADES!$R$4:$R$1503,NOVEDADES!$K$4:$K$1503,$B47,NOVEDADES!$B$4:$B$1503,"&gt;="&amp;$E$4,NOVEDADES!$B$4:$B$1503,"&lt;="&amp;$G$4))</f>
        <v/>
      </c>
      <c r="G47" s="27">
        <f>IF($B47="","",IFERROR(INDEX(CONFIG!$B$4:$B$43,MATCH($B47,CONFIG!$A$4:$A$43,0)),""))</f>
        <v/>
      </c>
      <c r="H47" s="27">
        <f>IF($B47="","",IFERROR(INDEX(CONFIG!$D$4:$D$43,MATCH($B47,CONFIG!$A$4:$A$43,0)),""))</f>
        <v/>
      </c>
      <c r="I47" s="23">
        <f>IF($B47="","",COUNTIFS(NOVEDADES!$X$4:$X$1503,"En plazo",NOVEDADES!$B$4:$B$1503,"&gt;="&amp;$E$4,NOVEDADES!$B$4:$B$1503,"&lt;="&amp;$G$4,NOVEDADES!$K$4:$K$1503,$B47)+COUNTIFS(NOVEDADES!$X$4:$X$1503,"Por vencer",NOVEDADES!$B$4:$B$1503,"&gt;="&amp;$E$4,NOVEDADES!$B$4:$B$1503,"&lt;="&amp;$G$4,NOVEDADES!$K$4:$K$1503,$B47)+COUNTIFS(NOVEDADES!$X$4:$X$1503,"Vencida",NOVEDADES!$B$4:$B$1503,"&gt;="&amp;$E$4,NOVEDADES!$B$4:$B$1503,"&lt;="&amp;$G$4,NOVEDADES!$K$4:$K$1503,$B47)+COUNTIFS(NOVEDADES!$X$4:$X$1503,"Sin clasificar",NOVEDADES!$B$4:$B$1503,"&gt;="&amp;$E$4,NOVEDADES!$B$4:$B$1503,"&lt;="&amp;$G$4,NOVEDADES!$K$4:$K$1503,$B47))</f>
        <v/>
      </c>
      <c r="J47" s="23">
        <f>IF($B47="","",COUNTIFS(NOVEDADES!$K$4:$K$1503,$B47,NOVEDADES!$X$4:$X$1503,"Vencida",NOVEDADES!$B$4:$B$1503,"&gt;="&amp;$E$4,NOVEDADES!$B$4:$B$1503,"&lt;="&amp;$G$4))</f>
        <v/>
      </c>
      <c r="K47" s="25">
        <f>IF($B47="","",IFERROR(ROUND(AVERAGEIFS(NOVEDADES!$W$4:$W$1503,NOVEDADES!$K$4:$K$1503,$B47,NOVEDADES!$B$4:$B$1503,"&gt;="&amp;$E$4,NOVEDADES!$B$4:$B$1503,"&lt;="&amp;$G$4),1),0))</f>
        <v/>
      </c>
      <c r="L47" s="27" t="n"/>
      <c r="M47" s="27" t="n"/>
    </row>
    <row r="48">
      <c r="B48" s="22">
        <f>IF(CONFIG!$A6="","",CONFIG!$A6)</f>
        <v/>
      </c>
      <c r="C48" s="9" t="n"/>
      <c r="D48" s="23">
        <f>IF($B48="","",COUNTIFS(NOVEDADES!$K$4:$K$1503,$B48,NOVEDADES!$B$4:$B$1503,"&gt;="&amp;$E$4,NOVEDADES!$B$4:$B$1503,"&lt;="&amp;$G$4))</f>
        <v/>
      </c>
      <c r="E48" s="24">
        <f>IF($B48="","",IFERROR($D48/$D$65,0))</f>
        <v/>
      </c>
      <c r="F48" s="26">
        <f>IF($B48="","",SUMIFS(NOVEDADES!$R$4:$R$1503,NOVEDADES!$K$4:$K$1503,$B48,NOVEDADES!$B$4:$B$1503,"&gt;="&amp;$E$4,NOVEDADES!$B$4:$B$1503,"&lt;="&amp;$G$4))</f>
        <v/>
      </c>
      <c r="G48" s="27">
        <f>IF($B48="","",IFERROR(INDEX(CONFIG!$B$4:$B$43,MATCH($B48,CONFIG!$A$4:$A$43,0)),""))</f>
        <v/>
      </c>
      <c r="H48" s="27">
        <f>IF($B48="","",IFERROR(INDEX(CONFIG!$D$4:$D$43,MATCH($B48,CONFIG!$A$4:$A$43,0)),""))</f>
        <v/>
      </c>
      <c r="I48" s="23">
        <f>IF($B48="","",COUNTIFS(NOVEDADES!$X$4:$X$1503,"En plazo",NOVEDADES!$B$4:$B$1503,"&gt;="&amp;$E$4,NOVEDADES!$B$4:$B$1503,"&lt;="&amp;$G$4,NOVEDADES!$K$4:$K$1503,$B48)+COUNTIFS(NOVEDADES!$X$4:$X$1503,"Por vencer",NOVEDADES!$B$4:$B$1503,"&gt;="&amp;$E$4,NOVEDADES!$B$4:$B$1503,"&lt;="&amp;$G$4,NOVEDADES!$K$4:$K$1503,$B48)+COUNTIFS(NOVEDADES!$X$4:$X$1503,"Vencida",NOVEDADES!$B$4:$B$1503,"&gt;="&amp;$E$4,NOVEDADES!$B$4:$B$1503,"&lt;="&amp;$G$4,NOVEDADES!$K$4:$K$1503,$B48)+COUNTIFS(NOVEDADES!$X$4:$X$1503,"Sin clasificar",NOVEDADES!$B$4:$B$1503,"&gt;="&amp;$E$4,NOVEDADES!$B$4:$B$1503,"&lt;="&amp;$G$4,NOVEDADES!$K$4:$K$1503,$B48))</f>
        <v/>
      </c>
      <c r="J48" s="23">
        <f>IF($B48="","",COUNTIFS(NOVEDADES!$K$4:$K$1503,$B48,NOVEDADES!$X$4:$X$1503,"Vencida",NOVEDADES!$B$4:$B$1503,"&gt;="&amp;$E$4,NOVEDADES!$B$4:$B$1503,"&lt;="&amp;$G$4))</f>
        <v/>
      </c>
      <c r="K48" s="25">
        <f>IF($B48="","",IFERROR(ROUND(AVERAGEIFS(NOVEDADES!$W$4:$W$1503,NOVEDADES!$K$4:$K$1503,$B48,NOVEDADES!$B$4:$B$1503,"&gt;="&amp;$E$4,NOVEDADES!$B$4:$B$1503,"&lt;="&amp;$G$4),1),0))</f>
        <v/>
      </c>
      <c r="L48" s="27" t="n"/>
      <c r="M48" s="27" t="n"/>
    </row>
    <row r="49">
      <c r="B49" s="22">
        <f>IF(CONFIG!$A7="","",CONFIG!$A7)</f>
        <v/>
      </c>
      <c r="C49" s="9" t="n"/>
      <c r="D49" s="23">
        <f>IF($B49="","",COUNTIFS(NOVEDADES!$K$4:$K$1503,$B49,NOVEDADES!$B$4:$B$1503,"&gt;="&amp;$E$4,NOVEDADES!$B$4:$B$1503,"&lt;="&amp;$G$4))</f>
        <v/>
      </c>
      <c r="E49" s="24">
        <f>IF($B49="","",IFERROR($D49/$D$65,0))</f>
        <v/>
      </c>
      <c r="F49" s="26">
        <f>IF($B49="","",SUMIFS(NOVEDADES!$R$4:$R$1503,NOVEDADES!$K$4:$K$1503,$B49,NOVEDADES!$B$4:$B$1503,"&gt;="&amp;$E$4,NOVEDADES!$B$4:$B$1503,"&lt;="&amp;$G$4))</f>
        <v/>
      </c>
      <c r="G49" s="27">
        <f>IF($B49="","",IFERROR(INDEX(CONFIG!$B$4:$B$43,MATCH($B49,CONFIG!$A$4:$A$43,0)),""))</f>
        <v/>
      </c>
      <c r="H49" s="27">
        <f>IF($B49="","",IFERROR(INDEX(CONFIG!$D$4:$D$43,MATCH($B49,CONFIG!$A$4:$A$43,0)),""))</f>
        <v/>
      </c>
      <c r="I49" s="23">
        <f>IF($B49="","",COUNTIFS(NOVEDADES!$X$4:$X$1503,"En plazo",NOVEDADES!$B$4:$B$1503,"&gt;="&amp;$E$4,NOVEDADES!$B$4:$B$1503,"&lt;="&amp;$G$4,NOVEDADES!$K$4:$K$1503,$B49)+COUNTIFS(NOVEDADES!$X$4:$X$1503,"Por vencer",NOVEDADES!$B$4:$B$1503,"&gt;="&amp;$E$4,NOVEDADES!$B$4:$B$1503,"&lt;="&amp;$G$4,NOVEDADES!$K$4:$K$1503,$B49)+COUNTIFS(NOVEDADES!$X$4:$X$1503,"Vencida",NOVEDADES!$B$4:$B$1503,"&gt;="&amp;$E$4,NOVEDADES!$B$4:$B$1503,"&lt;="&amp;$G$4,NOVEDADES!$K$4:$K$1503,$B49)+COUNTIFS(NOVEDADES!$X$4:$X$1503,"Sin clasificar",NOVEDADES!$B$4:$B$1503,"&gt;="&amp;$E$4,NOVEDADES!$B$4:$B$1503,"&lt;="&amp;$G$4,NOVEDADES!$K$4:$K$1503,$B49))</f>
        <v/>
      </c>
      <c r="J49" s="23">
        <f>IF($B49="","",COUNTIFS(NOVEDADES!$K$4:$K$1503,$B49,NOVEDADES!$X$4:$X$1503,"Vencida",NOVEDADES!$B$4:$B$1503,"&gt;="&amp;$E$4,NOVEDADES!$B$4:$B$1503,"&lt;="&amp;$G$4))</f>
        <v/>
      </c>
      <c r="K49" s="25">
        <f>IF($B49="","",IFERROR(ROUND(AVERAGEIFS(NOVEDADES!$W$4:$W$1503,NOVEDADES!$K$4:$K$1503,$B49,NOVEDADES!$B$4:$B$1503,"&gt;="&amp;$E$4,NOVEDADES!$B$4:$B$1503,"&lt;="&amp;$G$4),1),0))</f>
        <v/>
      </c>
      <c r="L49" s="27" t="n"/>
      <c r="M49" s="27" t="n"/>
    </row>
    <row r="50">
      <c r="B50" s="22">
        <f>IF(CONFIG!$A8="","",CONFIG!$A8)</f>
        <v/>
      </c>
      <c r="C50" s="9" t="n"/>
      <c r="D50" s="23">
        <f>IF($B50="","",COUNTIFS(NOVEDADES!$K$4:$K$1503,$B50,NOVEDADES!$B$4:$B$1503,"&gt;="&amp;$E$4,NOVEDADES!$B$4:$B$1503,"&lt;="&amp;$G$4))</f>
        <v/>
      </c>
      <c r="E50" s="24">
        <f>IF($B50="","",IFERROR($D50/$D$65,0))</f>
        <v/>
      </c>
      <c r="F50" s="26">
        <f>IF($B50="","",SUMIFS(NOVEDADES!$R$4:$R$1503,NOVEDADES!$K$4:$K$1503,$B50,NOVEDADES!$B$4:$B$1503,"&gt;="&amp;$E$4,NOVEDADES!$B$4:$B$1503,"&lt;="&amp;$G$4))</f>
        <v/>
      </c>
      <c r="G50" s="27">
        <f>IF($B50="","",IFERROR(INDEX(CONFIG!$B$4:$B$43,MATCH($B50,CONFIG!$A$4:$A$43,0)),""))</f>
        <v/>
      </c>
      <c r="H50" s="27">
        <f>IF($B50="","",IFERROR(INDEX(CONFIG!$D$4:$D$43,MATCH($B50,CONFIG!$A$4:$A$43,0)),""))</f>
        <v/>
      </c>
      <c r="I50" s="23">
        <f>IF($B50="","",COUNTIFS(NOVEDADES!$X$4:$X$1503,"En plazo",NOVEDADES!$B$4:$B$1503,"&gt;="&amp;$E$4,NOVEDADES!$B$4:$B$1503,"&lt;="&amp;$G$4,NOVEDADES!$K$4:$K$1503,$B50)+COUNTIFS(NOVEDADES!$X$4:$X$1503,"Por vencer",NOVEDADES!$B$4:$B$1503,"&gt;="&amp;$E$4,NOVEDADES!$B$4:$B$1503,"&lt;="&amp;$G$4,NOVEDADES!$K$4:$K$1503,$B50)+COUNTIFS(NOVEDADES!$X$4:$X$1503,"Vencida",NOVEDADES!$B$4:$B$1503,"&gt;="&amp;$E$4,NOVEDADES!$B$4:$B$1503,"&lt;="&amp;$G$4,NOVEDADES!$K$4:$K$1503,$B50)+COUNTIFS(NOVEDADES!$X$4:$X$1503,"Sin clasificar",NOVEDADES!$B$4:$B$1503,"&gt;="&amp;$E$4,NOVEDADES!$B$4:$B$1503,"&lt;="&amp;$G$4,NOVEDADES!$K$4:$K$1503,$B50))</f>
        <v/>
      </c>
      <c r="J50" s="23">
        <f>IF($B50="","",COUNTIFS(NOVEDADES!$K$4:$K$1503,$B50,NOVEDADES!$X$4:$X$1503,"Vencida",NOVEDADES!$B$4:$B$1503,"&gt;="&amp;$E$4,NOVEDADES!$B$4:$B$1503,"&lt;="&amp;$G$4))</f>
        <v/>
      </c>
      <c r="K50" s="25">
        <f>IF($B50="","",IFERROR(ROUND(AVERAGEIFS(NOVEDADES!$W$4:$W$1503,NOVEDADES!$K$4:$K$1503,$B50,NOVEDADES!$B$4:$B$1503,"&gt;="&amp;$E$4,NOVEDADES!$B$4:$B$1503,"&lt;="&amp;$G$4),1),0))</f>
        <v/>
      </c>
      <c r="L50" s="27" t="n"/>
      <c r="M50" s="27" t="n"/>
    </row>
    <row r="51">
      <c r="B51" s="22">
        <f>IF(CONFIG!$A9="","",CONFIG!$A9)</f>
        <v/>
      </c>
      <c r="C51" s="9" t="n"/>
      <c r="D51" s="23">
        <f>IF($B51="","",COUNTIFS(NOVEDADES!$K$4:$K$1503,$B51,NOVEDADES!$B$4:$B$1503,"&gt;="&amp;$E$4,NOVEDADES!$B$4:$B$1503,"&lt;="&amp;$G$4))</f>
        <v/>
      </c>
      <c r="E51" s="24">
        <f>IF($B51="","",IFERROR($D51/$D$65,0))</f>
        <v/>
      </c>
      <c r="F51" s="26">
        <f>IF($B51="","",SUMIFS(NOVEDADES!$R$4:$R$1503,NOVEDADES!$K$4:$K$1503,$B51,NOVEDADES!$B$4:$B$1503,"&gt;="&amp;$E$4,NOVEDADES!$B$4:$B$1503,"&lt;="&amp;$G$4))</f>
        <v/>
      </c>
      <c r="G51" s="27">
        <f>IF($B51="","",IFERROR(INDEX(CONFIG!$B$4:$B$43,MATCH($B51,CONFIG!$A$4:$A$43,0)),""))</f>
        <v/>
      </c>
      <c r="H51" s="27">
        <f>IF($B51="","",IFERROR(INDEX(CONFIG!$D$4:$D$43,MATCH($B51,CONFIG!$A$4:$A$43,0)),""))</f>
        <v/>
      </c>
      <c r="I51" s="23">
        <f>IF($B51="","",COUNTIFS(NOVEDADES!$X$4:$X$1503,"En plazo",NOVEDADES!$B$4:$B$1503,"&gt;="&amp;$E$4,NOVEDADES!$B$4:$B$1503,"&lt;="&amp;$G$4,NOVEDADES!$K$4:$K$1503,$B51)+COUNTIFS(NOVEDADES!$X$4:$X$1503,"Por vencer",NOVEDADES!$B$4:$B$1503,"&gt;="&amp;$E$4,NOVEDADES!$B$4:$B$1503,"&lt;="&amp;$G$4,NOVEDADES!$K$4:$K$1503,$B51)+COUNTIFS(NOVEDADES!$X$4:$X$1503,"Vencida",NOVEDADES!$B$4:$B$1503,"&gt;="&amp;$E$4,NOVEDADES!$B$4:$B$1503,"&lt;="&amp;$G$4,NOVEDADES!$K$4:$K$1503,$B51)+COUNTIFS(NOVEDADES!$X$4:$X$1503,"Sin clasificar",NOVEDADES!$B$4:$B$1503,"&gt;="&amp;$E$4,NOVEDADES!$B$4:$B$1503,"&lt;="&amp;$G$4,NOVEDADES!$K$4:$K$1503,$B51))</f>
        <v/>
      </c>
      <c r="J51" s="23">
        <f>IF($B51="","",COUNTIFS(NOVEDADES!$K$4:$K$1503,$B51,NOVEDADES!$X$4:$X$1503,"Vencida",NOVEDADES!$B$4:$B$1503,"&gt;="&amp;$E$4,NOVEDADES!$B$4:$B$1503,"&lt;="&amp;$G$4))</f>
        <v/>
      </c>
      <c r="K51" s="25">
        <f>IF($B51="","",IFERROR(ROUND(AVERAGEIFS(NOVEDADES!$W$4:$W$1503,NOVEDADES!$K$4:$K$1503,$B51,NOVEDADES!$B$4:$B$1503,"&gt;="&amp;$E$4,NOVEDADES!$B$4:$B$1503,"&lt;="&amp;$G$4),1),0))</f>
        <v/>
      </c>
      <c r="L51" s="27" t="n"/>
      <c r="M51" s="27" t="n"/>
    </row>
    <row r="52">
      <c r="B52" s="22">
        <f>IF(CONFIG!$A10="","",CONFIG!$A10)</f>
        <v/>
      </c>
      <c r="C52" s="9" t="n"/>
      <c r="D52" s="23">
        <f>IF($B52="","",COUNTIFS(NOVEDADES!$K$4:$K$1503,$B52,NOVEDADES!$B$4:$B$1503,"&gt;="&amp;$E$4,NOVEDADES!$B$4:$B$1503,"&lt;="&amp;$G$4))</f>
        <v/>
      </c>
      <c r="E52" s="24">
        <f>IF($B52="","",IFERROR($D52/$D$65,0))</f>
        <v/>
      </c>
      <c r="F52" s="26">
        <f>IF($B52="","",SUMIFS(NOVEDADES!$R$4:$R$1503,NOVEDADES!$K$4:$K$1503,$B52,NOVEDADES!$B$4:$B$1503,"&gt;="&amp;$E$4,NOVEDADES!$B$4:$B$1503,"&lt;="&amp;$G$4))</f>
        <v/>
      </c>
      <c r="G52" s="27">
        <f>IF($B52="","",IFERROR(INDEX(CONFIG!$B$4:$B$43,MATCH($B52,CONFIG!$A$4:$A$43,0)),""))</f>
        <v/>
      </c>
      <c r="H52" s="27">
        <f>IF($B52="","",IFERROR(INDEX(CONFIG!$D$4:$D$43,MATCH($B52,CONFIG!$A$4:$A$43,0)),""))</f>
        <v/>
      </c>
      <c r="I52" s="23">
        <f>IF($B52="","",COUNTIFS(NOVEDADES!$X$4:$X$1503,"En plazo",NOVEDADES!$B$4:$B$1503,"&gt;="&amp;$E$4,NOVEDADES!$B$4:$B$1503,"&lt;="&amp;$G$4,NOVEDADES!$K$4:$K$1503,$B52)+COUNTIFS(NOVEDADES!$X$4:$X$1503,"Por vencer",NOVEDADES!$B$4:$B$1503,"&gt;="&amp;$E$4,NOVEDADES!$B$4:$B$1503,"&lt;="&amp;$G$4,NOVEDADES!$K$4:$K$1503,$B52)+COUNTIFS(NOVEDADES!$X$4:$X$1503,"Vencida",NOVEDADES!$B$4:$B$1503,"&gt;="&amp;$E$4,NOVEDADES!$B$4:$B$1503,"&lt;="&amp;$G$4,NOVEDADES!$K$4:$K$1503,$B52)+COUNTIFS(NOVEDADES!$X$4:$X$1503,"Sin clasificar",NOVEDADES!$B$4:$B$1503,"&gt;="&amp;$E$4,NOVEDADES!$B$4:$B$1503,"&lt;="&amp;$G$4,NOVEDADES!$K$4:$K$1503,$B52))</f>
        <v/>
      </c>
      <c r="J52" s="23">
        <f>IF($B52="","",COUNTIFS(NOVEDADES!$K$4:$K$1503,$B52,NOVEDADES!$X$4:$X$1503,"Vencida",NOVEDADES!$B$4:$B$1503,"&gt;="&amp;$E$4,NOVEDADES!$B$4:$B$1503,"&lt;="&amp;$G$4))</f>
        <v/>
      </c>
      <c r="K52" s="25">
        <f>IF($B52="","",IFERROR(ROUND(AVERAGEIFS(NOVEDADES!$W$4:$W$1503,NOVEDADES!$K$4:$K$1503,$B52,NOVEDADES!$B$4:$B$1503,"&gt;="&amp;$E$4,NOVEDADES!$B$4:$B$1503,"&lt;="&amp;$G$4),1),0))</f>
        <v/>
      </c>
      <c r="L52" s="27" t="n"/>
      <c r="M52" s="27" t="n"/>
    </row>
    <row r="53">
      <c r="B53" s="22">
        <f>IF(CONFIG!$A11="","",CONFIG!$A11)</f>
        <v/>
      </c>
      <c r="C53" s="9" t="n"/>
      <c r="D53" s="23">
        <f>IF($B53="","",COUNTIFS(NOVEDADES!$K$4:$K$1503,$B53,NOVEDADES!$B$4:$B$1503,"&gt;="&amp;$E$4,NOVEDADES!$B$4:$B$1503,"&lt;="&amp;$G$4))</f>
        <v/>
      </c>
      <c r="E53" s="24">
        <f>IF($B53="","",IFERROR($D53/$D$65,0))</f>
        <v/>
      </c>
      <c r="F53" s="26">
        <f>IF($B53="","",SUMIFS(NOVEDADES!$R$4:$R$1503,NOVEDADES!$K$4:$K$1503,$B53,NOVEDADES!$B$4:$B$1503,"&gt;="&amp;$E$4,NOVEDADES!$B$4:$B$1503,"&lt;="&amp;$G$4))</f>
        <v/>
      </c>
      <c r="G53" s="27">
        <f>IF($B53="","",IFERROR(INDEX(CONFIG!$B$4:$B$43,MATCH($B53,CONFIG!$A$4:$A$43,0)),""))</f>
        <v/>
      </c>
      <c r="H53" s="27">
        <f>IF($B53="","",IFERROR(INDEX(CONFIG!$D$4:$D$43,MATCH($B53,CONFIG!$A$4:$A$43,0)),""))</f>
        <v/>
      </c>
      <c r="I53" s="23">
        <f>IF($B53="","",COUNTIFS(NOVEDADES!$X$4:$X$1503,"En plazo",NOVEDADES!$B$4:$B$1503,"&gt;="&amp;$E$4,NOVEDADES!$B$4:$B$1503,"&lt;="&amp;$G$4,NOVEDADES!$K$4:$K$1503,$B53)+COUNTIFS(NOVEDADES!$X$4:$X$1503,"Por vencer",NOVEDADES!$B$4:$B$1503,"&gt;="&amp;$E$4,NOVEDADES!$B$4:$B$1503,"&lt;="&amp;$G$4,NOVEDADES!$K$4:$K$1503,$B53)+COUNTIFS(NOVEDADES!$X$4:$X$1503,"Vencida",NOVEDADES!$B$4:$B$1503,"&gt;="&amp;$E$4,NOVEDADES!$B$4:$B$1503,"&lt;="&amp;$G$4,NOVEDADES!$K$4:$K$1503,$B53)+COUNTIFS(NOVEDADES!$X$4:$X$1503,"Sin clasificar",NOVEDADES!$B$4:$B$1503,"&gt;="&amp;$E$4,NOVEDADES!$B$4:$B$1503,"&lt;="&amp;$G$4,NOVEDADES!$K$4:$K$1503,$B53))</f>
        <v/>
      </c>
      <c r="J53" s="23">
        <f>IF($B53="","",COUNTIFS(NOVEDADES!$K$4:$K$1503,$B53,NOVEDADES!$X$4:$X$1503,"Vencida",NOVEDADES!$B$4:$B$1503,"&gt;="&amp;$E$4,NOVEDADES!$B$4:$B$1503,"&lt;="&amp;$G$4))</f>
        <v/>
      </c>
      <c r="K53" s="25">
        <f>IF($B53="","",IFERROR(ROUND(AVERAGEIFS(NOVEDADES!$W$4:$W$1503,NOVEDADES!$K$4:$K$1503,$B53,NOVEDADES!$B$4:$B$1503,"&gt;="&amp;$E$4,NOVEDADES!$B$4:$B$1503,"&lt;="&amp;$G$4),1),0))</f>
        <v/>
      </c>
      <c r="L53" s="27" t="n"/>
      <c r="M53" s="27" t="n"/>
    </row>
    <row r="54">
      <c r="B54" s="22">
        <f>IF(CONFIG!$A12="","",CONFIG!$A12)</f>
        <v/>
      </c>
      <c r="C54" s="9" t="n"/>
      <c r="D54" s="23">
        <f>IF($B54="","",COUNTIFS(NOVEDADES!$K$4:$K$1503,$B54,NOVEDADES!$B$4:$B$1503,"&gt;="&amp;$E$4,NOVEDADES!$B$4:$B$1503,"&lt;="&amp;$G$4))</f>
        <v/>
      </c>
      <c r="E54" s="24">
        <f>IF($B54="","",IFERROR($D54/$D$65,0))</f>
        <v/>
      </c>
      <c r="F54" s="26">
        <f>IF($B54="","",SUMIFS(NOVEDADES!$R$4:$R$1503,NOVEDADES!$K$4:$K$1503,$B54,NOVEDADES!$B$4:$B$1503,"&gt;="&amp;$E$4,NOVEDADES!$B$4:$B$1503,"&lt;="&amp;$G$4))</f>
        <v/>
      </c>
      <c r="G54" s="27">
        <f>IF($B54="","",IFERROR(INDEX(CONFIG!$B$4:$B$43,MATCH($B54,CONFIG!$A$4:$A$43,0)),""))</f>
        <v/>
      </c>
      <c r="H54" s="27">
        <f>IF($B54="","",IFERROR(INDEX(CONFIG!$D$4:$D$43,MATCH($B54,CONFIG!$A$4:$A$43,0)),""))</f>
        <v/>
      </c>
      <c r="I54" s="23">
        <f>IF($B54="","",COUNTIFS(NOVEDADES!$X$4:$X$1503,"En plazo",NOVEDADES!$B$4:$B$1503,"&gt;="&amp;$E$4,NOVEDADES!$B$4:$B$1503,"&lt;="&amp;$G$4,NOVEDADES!$K$4:$K$1503,$B54)+COUNTIFS(NOVEDADES!$X$4:$X$1503,"Por vencer",NOVEDADES!$B$4:$B$1503,"&gt;="&amp;$E$4,NOVEDADES!$B$4:$B$1503,"&lt;="&amp;$G$4,NOVEDADES!$K$4:$K$1503,$B54)+COUNTIFS(NOVEDADES!$X$4:$X$1503,"Vencida",NOVEDADES!$B$4:$B$1503,"&gt;="&amp;$E$4,NOVEDADES!$B$4:$B$1503,"&lt;="&amp;$G$4,NOVEDADES!$K$4:$K$1503,$B54)+COUNTIFS(NOVEDADES!$X$4:$X$1503,"Sin clasificar",NOVEDADES!$B$4:$B$1503,"&gt;="&amp;$E$4,NOVEDADES!$B$4:$B$1503,"&lt;="&amp;$G$4,NOVEDADES!$K$4:$K$1503,$B54))</f>
        <v/>
      </c>
      <c r="J54" s="23">
        <f>IF($B54="","",COUNTIFS(NOVEDADES!$K$4:$K$1503,$B54,NOVEDADES!$X$4:$X$1503,"Vencida",NOVEDADES!$B$4:$B$1503,"&gt;="&amp;$E$4,NOVEDADES!$B$4:$B$1503,"&lt;="&amp;$G$4))</f>
        <v/>
      </c>
      <c r="K54" s="25">
        <f>IF($B54="","",IFERROR(ROUND(AVERAGEIFS(NOVEDADES!$W$4:$W$1503,NOVEDADES!$K$4:$K$1503,$B54,NOVEDADES!$B$4:$B$1503,"&gt;="&amp;$E$4,NOVEDADES!$B$4:$B$1503,"&lt;="&amp;$G$4),1),0))</f>
        <v/>
      </c>
      <c r="L54" s="27" t="n"/>
      <c r="M54" s="27" t="n"/>
    </row>
    <row r="55">
      <c r="B55" s="22">
        <f>IF(CONFIG!$A13="","",CONFIG!$A13)</f>
        <v/>
      </c>
      <c r="C55" s="9" t="n"/>
      <c r="D55" s="23">
        <f>IF($B55="","",COUNTIFS(NOVEDADES!$K$4:$K$1503,$B55,NOVEDADES!$B$4:$B$1503,"&gt;="&amp;$E$4,NOVEDADES!$B$4:$B$1503,"&lt;="&amp;$G$4))</f>
        <v/>
      </c>
      <c r="E55" s="24">
        <f>IF($B55="","",IFERROR($D55/$D$65,0))</f>
        <v/>
      </c>
      <c r="F55" s="26">
        <f>IF($B55="","",SUMIFS(NOVEDADES!$R$4:$R$1503,NOVEDADES!$K$4:$K$1503,$B55,NOVEDADES!$B$4:$B$1503,"&gt;="&amp;$E$4,NOVEDADES!$B$4:$B$1503,"&lt;="&amp;$G$4))</f>
        <v/>
      </c>
      <c r="G55" s="27">
        <f>IF($B55="","",IFERROR(INDEX(CONFIG!$B$4:$B$43,MATCH($B55,CONFIG!$A$4:$A$43,0)),""))</f>
        <v/>
      </c>
      <c r="H55" s="27">
        <f>IF($B55="","",IFERROR(INDEX(CONFIG!$D$4:$D$43,MATCH($B55,CONFIG!$A$4:$A$43,0)),""))</f>
        <v/>
      </c>
      <c r="I55" s="23">
        <f>IF($B55="","",COUNTIFS(NOVEDADES!$X$4:$X$1503,"En plazo",NOVEDADES!$B$4:$B$1503,"&gt;="&amp;$E$4,NOVEDADES!$B$4:$B$1503,"&lt;="&amp;$G$4,NOVEDADES!$K$4:$K$1503,$B55)+COUNTIFS(NOVEDADES!$X$4:$X$1503,"Por vencer",NOVEDADES!$B$4:$B$1503,"&gt;="&amp;$E$4,NOVEDADES!$B$4:$B$1503,"&lt;="&amp;$G$4,NOVEDADES!$K$4:$K$1503,$B55)+COUNTIFS(NOVEDADES!$X$4:$X$1503,"Vencida",NOVEDADES!$B$4:$B$1503,"&gt;="&amp;$E$4,NOVEDADES!$B$4:$B$1503,"&lt;="&amp;$G$4,NOVEDADES!$K$4:$K$1503,$B55)+COUNTIFS(NOVEDADES!$X$4:$X$1503,"Sin clasificar",NOVEDADES!$B$4:$B$1503,"&gt;="&amp;$E$4,NOVEDADES!$B$4:$B$1503,"&lt;="&amp;$G$4,NOVEDADES!$K$4:$K$1503,$B55))</f>
        <v/>
      </c>
      <c r="J55" s="23">
        <f>IF($B55="","",COUNTIFS(NOVEDADES!$K$4:$K$1503,$B55,NOVEDADES!$X$4:$X$1503,"Vencida",NOVEDADES!$B$4:$B$1503,"&gt;="&amp;$E$4,NOVEDADES!$B$4:$B$1503,"&lt;="&amp;$G$4))</f>
        <v/>
      </c>
      <c r="K55" s="25">
        <f>IF($B55="","",IFERROR(ROUND(AVERAGEIFS(NOVEDADES!$W$4:$W$1503,NOVEDADES!$K$4:$K$1503,$B55,NOVEDADES!$B$4:$B$1503,"&gt;="&amp;$E$4,NOVEDADES!$B$4:$B$1503,"&lt;="&amp;$G$4),1),0))</f>
        <v/>
      </c>
      <c r="L55" s="27" t="n"/>
      <c r="M55" s="27" t="n"/>
    </row>
    <row r="56">
      <c r="B56" s="22">
        <f>IF(CONFIG!$A14="","",CONFIG!$A14)</f>
        <v/>
      </c>
      <c r="C56" s="9" t="n"/>
      <c r="D56" s="23">
        <f>IF($B56="","",COUNTIFS(NOVEDADES!$K$4:$K$1503,$B56,NOVEDADES!$B$4:$B$1503,"&gt;="&amp;$E$4,NOVEDADES!$B$4:$B$1503,"&lt;="&amp;$G$4))</f>
        <v/>
      </c>
      <c r="E56" s="24">
        <f>IF($B56="","",IFERROR($D56/$D$65,0))</f>
        <v/>
      </c>
      <c r="F56" s="26">
        <f>IF($B56="","",SUMIFS(NOVEDADES!$R$4:$R$1503,NOVEDADES!$K$4:$K$1503,$B56,NOVEDADES!$B$4:$B$1503,"&gt;="&amp;$E$4,NOVEDADES!$B$4:$B$1503,"&lt;="&amp;$G$4))</f>
        <v/>
      </c>
      <c r="G56" s="27">
        <f>IF($B56="","",IFERROR(INDEX(CONFIG!$B$4:$B$43,MATCH($B56,CONFIG!$A$4:$A$43,0)),""))</f>
        <v/>
      </c>
      <c r="H56" s="27">
        <f>IF($B56="","",IFERROR(INDEX(CONFIG!$D$4:$D$43,MATCH($B56,CONFIG!$A$4:$A$43,0)),""))</f>
        <v/>
      </c>
      <c r="I56" s="23">
        <f>IF($B56="","",COUNTIFS(NOVEDADES!$X$4:$X$1503,"En plazo",NOVEDADES!$B$4:$B$1503,"&gt;="&amp;$E$4,NOVEDADES!$B$4:$B$1503,"&lt;="&amp;$G$4,NOVEDADES!$K$4:$K$1503,$B56)+COUNTIFS(NOVEDADES!$X$4:$X$1503,"Por vencer",NOVEDADES!$B$4:$B$1503,"&gt;="&amp;$E$4,NOVEDADES!$B$4:$B$1503,"&lt;="&amp;$G$4,NOVEDADES!$K$4:$K$1503,$B56)+COUNTIFS(NOVEDADES!$X$4:$X$1503,"Vencida",NOVEDADES!$B$4:$B$1503,"&gt;="&amp;$E$4,NOVEDADES!$B$4:$B$1503,"&lt;="&amp;$G$4,NOVEDADES!$K$4:$K$1503,$B56)+COUNTIFS(NOVEDADES!$X$4:$X$1503,"Sin clasificar",NOVEDADES!$B$4:$B$1503,"&gt;="&amp;$E$4,NOVEDADES!$B$4:$B$1503,"&lt;="&amp;$G$4,NOVEDADES!$K$4:$K$1503,$B56))</f>
        <v/>
      </c>
      <c r="J56" s="23">
        <f>IF($B56="","",COUNTIFS(NOVEDADES!$K$4:$K$1503,$B56,NOVEDADES!$X$4:$X$1503,"Vencida",NOVEDADES!$B$4:$B$1503,"&gt;="&amp;$E$4,NOVEDADES!$B$4:$B$1503,"&lt;="&amp;$G$4))</f>
        <v/>
      </c>
      <c r="K56" s="25">
        <f>IF($B56="","",IFERROR(ROUND(AVERAGEIFS(NOVEDADES!$W$4:$W$1503,NOVEDADES!$K$4:$K$1503,$B56,NOVEDADES!$B$4:$B$1503,"&gt;="&amp;$E$4,NOVEDADES!$B$4:$B$1503,"&lt;="&amp;$G$4),1),0))</f>
        <v/>
      </c>
      <c r="L56" s="27" t="n"/>
      <c r="M56" s="27" t="n"/>
    </row>
    <row r="57">
      <c r="B57" s="22">
        <f>IF(CONFIG!$A15="","",CONFIG!$A15)</f>
        <v/>
      </c>
      <c r="C57" s="9" t="n"/>
      <c r="D57" s="23">
        <f>IF($B57="","",COUNTIFS(NOVEDADES!$K$4:$K$1503,$B57,NOVEDADES!$B$4:$B$1503,"&gt;="&amp;$E$4,NOVEDADES!$B$4:$B$1503,"&lt;="&amp;$G$4))</f>
        <v/>
      </c>
      <c r="E57" s="24">
        <f>IF($B57="","",IFERROR($D57/$D$65,0))</f>
        <v/>
      </c>
      <c r="F57" s="26">
        <f>IF($B57="","",SUMIFS(NOVEDADES!$R$4:$R$1503,NOVEDADES!$K$4:$K$1503,$B57,NOVEDADES!$B$4:$B$1503,"&gt;="&amp;$E$4,NOVEDADES!$B$4:$B$1503,"&lt;="&amp;$G$4))</f>
        <v/>
      </c>
      <c r="G57" s="27">
        <f>IF($B57="","",IFERROR(INDEX(CONFIG!$B$4:$B$43,MATCH($B57,CONFIG!$A$4:$A$43,0)),""))</f>
        <v/>
      </c>
      <c r="H57" s="27">
        <f>IF($B57="","",IFERROR(INDEX(CONFIG!$D$4:$D$43,MATCH($B57,CONFIG!$A$4:$A$43,0)),""))</f>
        <v/>
      </c>
      <c r="I57" s="23">
        <f>IF($B57="","",COUNTIFS(NOVEDADES!$X$4:$X$1503,"En plazo",NOVEDADES!$B$4:$B$1503,"&gt;="&amp;$E$4,NOVEDADES!$B$4:$B$1503,"&lt;="&amp;$G$4,NOVEDADES!$K$4:$K$1503,$B57)+COUNTIFS(NOVEDADES!$X$4:$X$1503,"Por vencer",NOVEDADES!$B$4:$B$1503,"&gt;="&amp;$E$4,NOVEDADES!$B$4:$B$1503,"&lt;="&amp;$G$4,NOVEDADES!$K$4:$K$1503,$B57)+COUNTIFS(NOVEDADES!$X$4:$X$1503,"Vencida",NOVEDADES!$B$4:$B$1503,"&gt;="&amp;$E$4,NOVEDADES!$B$4:$B$1503,"&lt;="&amp;$G$4,NOVEDADES!$K$4:$K$1503,$B57)+COUNTIFS(NOVEDADES!$X$4:$X$1503,"Sin clasificar",NOVEDADES!$B$4:$B$1503,"&gt;="&amp;$E$4,NOVEDADES!$B$4:$B$1503,"&lt;="&amp;$G$4,NOVEDADES!$K$4:$K$1503,$B57))</f>
        <v/>
      </c>
      <c r="J57" s="23">
        <f>IF($B57="","",COUNTIFS(NOVEDADES!$K$4:$K$1503,$B57,NOVEDADES!$X$4:$X$1503,"Vencida",NOVEDADES!$B$4:$B$1503,"&gt;="&amp;$E$4,NOVEDADES!$B$4:$B$1503,"&lt;="&amp;$G$4))</f>
        <v/>
      </c>
      <c r="K57" s="25">
        <f>IF($B57="","",IFERROR(ROUND(AVERAGEIFS(NOVEDADES!$W$4:$W$1503,NOVEDADES!$K$4:$K$1503,$B57,NOVEDADES!$B$4:$B$1503,"&gt;="&amp;$E$4,NOVEDADES!$B$4:$B$1503,"&lt;="&amp;$G$4),1),0))</f>
        <v/>
      </c>
      <c r="L57" s="27" t="n"/>
      <c r="M57" s="27" t="n"/>
    </row>
    <row r="58">
      <c r="B58" s="22">
        <f>IF(CONFIG!$A16="","",CONFIG!$A16)</f>
        <v/>
      </c>
      <c r="C58" s="9" t="n"/>
      <c r="D58" s="23">
        <f>IF($B58="","",COUNTIFS(NOVEDADES!$K$4:$K$1503,$B58,NOVEDADES!$B$4:$B$1503,"&gt;="&amp;$E$4,NOVEDADES!$B$4:$B$1503,"&lt;="&amp;$G$4))</f>
        <v/>
      </c>
      <c r="E58" s="24">
        <f>IF($B58="","",IFERROR($D58/$D$65,0))</f>
        <v/>
      </c>
      <c r="F58" s="26">
        <f>IF($B58="","",SUMIFS(NOVEDADES!$R$4:$R$1503,NOVEDADES!$K$4:$K$1503,$B58,NOVEDADES!$B$4:$B$1503,"&gt;="&amp;$E$4,NOVEDADES!$B$4:$B$1503,"&lt;="&amp;$G$4))</f>
        <v/>
      </c>
      <c r="G58" s="27">
        <f>IF($B58="","",IFERROR(INDEX(CONFIG!$B$4:$B$43,MATCH($B58,CONFIG!$A$4:$A$43,0)),""))</f>
        <v/>
      </c>
      <c r="H58" s="27">
        <f>IF($B58="","",IFERROR(INDEX(CONFIG!$D$4:$D$43,MATCH($B58,CONFIG!$A$4:$A$43,0)),""))</f>
        <v/>
      </c>
      <c r="I58" s="23">
        <f>IF($B58="","",COUNTIFS(NOVEDADES!$X$4:$X$1503,"En plazo",NOVEDADES!$B$4:$B$1503,"&gt;="&amp;$E$4,NOVEDADES!$B$4:$B$1503,"&lt;="&amp;$G$4,NOVEDADES!$K$4:$K$1503,$B58)+COUNTIFS(NOVEDADES!$X$4:$X$1503,"Por vencer",NOVEDADES!$B$4:$B$1503,"&gt;="&amp;$E$4,NOVEDADES!$B$4:$B$1503,"&lt;="&amp;$G$4,NOVEDADES!$K$4:$K$1503,$B58)+COUNTIFS(NOVEDADES!$X$4:$X$1503,"Vencida",NOVEDADES!$B$4:$B$1503,"&gt;="&amp;$E$4,NOVEDADES!$B$4:$B$1503,"&lt;="&amp;$G$4,NOVEDADES!$K$4:$K$1503,$B58)+COUNTIFS(NOVEDADES!$X$4:$X$1503,"Sin clasificar",NOVEDADES!$B$4:$B$1503,"&gt;="&amp;$E$4,NOVEDADES!$B$4:$B$1503,"&lt;="&amp;$G$4,NOVEDADES!$K$4:$K$1503,$B58))</f>
        <v/>
      </c>
      <c r="J58" s="23">
        <f>IF($B58="","",COUNTIFS(NOVEDADES!$K$4:$K$1503,$B58,NOVEDADES!$X$4:$X$1503,"Vencida",NOVEDADES!$B$4:$B$1503,"&gt;="&amp;$E$4,NOVEDADES!$B$4:$B$1503,"&lt;="&amp;$G$4))</f>
        <v/>
      </c>
      <c r="K58" s="25">
        <f>IF($B58="","",IFERROR(ROUND(AVERAGEIFS(NOVEDADES!$W$4:$W$1503,NOVEDADES!$K$4:$K$1503,$B58,NOVEDADES!$B$4:$B$1503,"&gt;="&amp;$E$4,NOVEDADES!$B$4:$B$1503,"&lt;="&amp;$G$4),1),0))</f>
        <v/>
      </c>
      <c r="L58" s="27" t="n"/>
      <c r="M58" s="27" t="n"/>
    </row>
    <row r="59">
      <c r="B59" s="22">
        <f>IF(CONFIG!$A17="","",CONFIG!$A17)</f>
        <v/>
      </c>
      <c r="C59" s="9" t="n"/>
      <c r="D59" s="23">
        <f>IF($B59="","",COUNTIFS(NOVEDADES!$K$4:$K$1503,$B59,NOVEDADES!$B$4:$B$1503,"&gt;="&amp;$E$4,NOVEDADES!$B$4:$B$1503,"&lt;="&amp;$G$4))</f>
        <v/>
      </c>
      <c r="E59" s="24">
        <f>IF($B59="","",IFERROR($D59/$D$65,0))</f>
        <v/>
      </c>
      <c r="F59" s="26">
        <f>IF($B59="","",SUMIFS(NOVEDADES!$R$4:$R$1503,NOVEDADES!$K$4:$K$1503,$B59,NOVEDADES!$B$4:$B$1503,"&gt;="&amp;$E$4,NOVEDADES!$B$4:$B$1503,"&lt;="&amp;$G$4))</f>
        <v/>
      </c>
      <c r="G59" s="27">
        <f>IF($B59="","",IFERROR(INDEX(CONFIG!$B$4:$B$43,MATCH($B59,CONFIG!$A$4:$A$43,0)),""))</f>
        <v/>
      </c>
      <c r="H59" s="27">
        <f>IF($B59="","",IFERROR(INDEX(CONFIG!$D$4:$D$43,MATCH($B59,CONFIG!$A$4:$A$43,0)),""))</f>
        <v/>
      </c>
      <c r="I59" s="23">
        <f>IF($B59="","",COUNTIFS(NOVEDADES!$X$4:$X$1503,"En plazo",NOVEDADES!$B$4:$B$1503,"&gt;="&amp;$E$4,NOVEDADES!$B$4:$B$1503,"&lt;="&amp;$G$4,NOVEDADES!$K$4:$K$1503,$B59)+COUNTIFS(NOVEDADES!$X$4:$X$1503,"Por vencer",NOVEDADES!$B$4:$B$1503,"&gt;="&amp;$E$4,NOVEDADES!$B$4:$B$1503,"&lt;="&amp;$G$4,NOVEDADES!$K$4:$K$1503,$B59)+COUNTIFS(NOVEDADES!$X$4:$X$1503,"Vencida",NOVEDADES!$B$4:$B$1503,"&gt;="&amp;$E$4,NOVEDADES!$B$4:$B$1503,"&lt;="&amp;$G$4,NOVEDADES!$K$4:$K$1503,$B59)+COUNTIFS(NOVEDADES!$X$4:$X$1503,"Sin clasificar",NOVEDADES!$B$4:$B$1503,"&gt;="&amp;$E$4,NOVEDADES!$B$4:$B$1503,"&lt;="&amp;$G$4,NOVEDADES!$K$4:$K$1503,$B59))</f>
        <v/>
      </c>
      <c r="J59" s="23">
        <f>IF($B59="","",COUNTIFS(NOVEDADES!$K$4:$K$1503,$B59,NOVEDADES!$X$4:$X$1503,"Vencida",NOVEDADES!$B$4:$B$1503,"&gt;="&amp;$E$4,NOVEDADES!$B$4:$B$1503,"&lt;="&amp;$G$4))</f>
        <v/>
      </c>
      <c r="K59" s="25">
        <f>IF($B59="","",IFERROR(ROUND(AVERAGEIFS(NOVEDADES!$W$4:$W$1503,NOVEDADES!$K$4:$K$1503,$B59,NOVEDADES!$B$4:$B$1503,"&gt;="&amp;$E$4,NOVEDADES!$B$4:$B$1503,"&lt;="&amp;$G$4),1),0))</f>
        <v/>
      </c>
      <c r="L59" s="27" t="n"/>
      <c r="M59" s="27" t="n"/>
    </row>
    <row r="60">
      <c r="B60" s="22">
        <f>IF(CONFIG!$A18="","",CONFIG!$A18)</f>
        <v/>
      </c>
      <c r="C60" s="9" t="n"/>
      <c r="D60" s="23">
        <f>IF($B60="","",COUNTIFS(NOVEDADES!$K$4:$K$1503,$B60,NOVEDADES!$B$4:$B$1503,"&gt;="&amp;$E$4,NOVEDADES!$B$4:$B$1503,"&lt;="&amp;$G$4))</f>
        <v/>
      </c>
      <c r="E60" s="24">
        <f>IF($B60="","",IFERROR($D60/$D$65,0))</f>
        <v/>
      </c>
      <c r="F60" s="26">
        <f>IF($B60="","",SUMIFS(NOVEDADES!$R$4:$R$1503,NOVEDADES!$K$4:$K$1503,$B60,NOVEDADES!$B$4:$B$1503,"&gt;="&amp;$E$4,NOVEDADES!$B$4:$B$1503,"&lt;="&amp;$G$4))</f>
        <v/>
      </c>
      <c r="G60" s="27">
        <f>IF($B60="","",IFERROR(INDEX(CONFIG!$B$4:$B$43,MATCH($B60,CONFIG!$A$4:$A$43,0)),""))</f>
        <v/>
      </c>
      <c r="H60" s="27">
        <f>IF($B60="","",IFERROR(INDEX(CONFIG!$D$4:$D$43,MATCH($B60,CONFIG!$A$4:$A$43,0)),""))</f>
        <v/>
      </c>
      <c r="I60" s="23">
        <f>IF($B60="","",COUNTIFS(NOVEDADES!$X$4:$X$1503,"En plazo",NOVEDADES!$B$4:$B$1503,"&gt;="&amp;$E$4,NOVEDADES!$B$4:$B$1503,"&lt;="&amp;$G$4,NOVEDADES!$K$4:$K$1503,$B60)+COUNTIFS(NOVEDADES!$X$4:$X$1503,"Por vencer",NOVEDADES!$B$4:$B$1503,"&gt;="&amp;$E$4,NOVEDADES!$B$4:$B$1503,"&lt;="&amp;$G$4,NOVEDADES!$K$4:$K$1503,$B60)+COUNTIFS(NOVEDADES!$X$4:$X$1503,"Vencida",NOVEDADES!$B$4:$B$1503,"&gt;="&amp;$E$4,NOVEDADES!$B$4:$B$1503,"&lt;="&amp;$G$4,NOVEDADES!$K$4:$K$1503,$B60)+COUNTIFS(NOVEDADES!$X$4:$X$1503,"Sin clasificar",NOVEDADES!$B$4:$B$1503,"&gt;="&amp;$E$4,NOVEDADES!$B$4:$B$1503,"&lt;="&amp;$G$4,NOVEDADES!$K$4:$K$1503,$B60))</f>
        <v/>
      </c>
      <c r="J60" s="23">
        <f>IF($B60="","",COUNTIFS(NOVEDADES!$K$4:$K$1503,$B60,NOVEDADES!$X$4:$X$1503,"Vencida",NOVEDADES!$B$4:$B$1503,"&gt;="&amp;$E$4,NOVEDADES!$B$4:$B$1503,"&lt;="&amp;$G$4))</f>
        <v/>
      </c>
      <c r="K60" s="25">
        <f>IF($B60="","",IFERROR(ROUND(AVERAGEIFS(NOVEDADES!$W$4:$W$1503,NOVEDADES!$K$4:$K$1503,$B60,NOVEDADES!$B$4:$B$1503,"&gt;="&amp;$E$4,NOVEDADES!$B$4:$B$1503,"&lt;="&amp;$G$4),1),0))</f>
        <v/>
      </c>
      <c r="L60" s="27" t="n"/>
      <c r="M60" s="27" t="n"/>
    </row>
    <row r="61">
      <c r="B61" s="22">
        <f>IF(CONFIG!$A19="","",CONFIG!$A19)</f>
        <v/>
      </c>
      <c r="C61" s="9" t="n"/>
      <c r="D61" s="23">
        <f>IF($B61="","",COUNTIFS(NOVEDADES!$K$4:$K$1503,$B61,NOVEDADES!$B$4:$B$1503,"&gt;="&amp;$E$4,NOVEDADES!$B$4:$B$1503,"&lt;="&amp;$G$4))</f>
        <v/>
      </c>
      <c r="E61" s="24">
        <f>IF($B61="","",IFERROR($D61/$D$65,0))</f>
        <v/>
      </c>
      <c r="F61" s="26">
        <f>IF($B61="","",SUMIFS(NOVEDADES!$R$4:$R$1503,NOVEDADES!$K$4:$K$1503,$B61,NOVEDADES!$B$4:$B$1503,"&gt;="&amp;$E$4,NOVEDADES!$B$4:$B$1503,"&lt;="&amp;$G$4))</f>
        <v/>
      </c>
      <c r="G61" s="27">
        <f>IF($B61="","",IFERROR(INDEX(CONFIG!$B$4:$B$43,MATCH($B61,CONFIG!$A$4:$A$43,0)),""))</f>
        <v/>
      </c>
      <c r="H61" s="27">
        <f>IF($B61="","",IFERROR(INDEX(CONFIG!$D$4:$D$43,MATCH($B61,CONFIG!$A$4:$A$43,0)),""))</f>
        <v/>
      </c>
      <c r="I61" s="23">
        <f>IF($B61="","",COUNTIFS(NOVEDADES!$X$4:$X$1503,"En plazo",NOVEDADES!$B$4:$B$1503,"&gt;="&amp;$E$4,NOVEDADES!$B$4:$B$1503,"&lt;="&amp;$G$4,NOVEDADES!$K$4:$K$1503,$B61)+COUNTIFS(NOVEDADES!$X$4:$X$1503,"Por vencer",NOVEDADES!$B$4:$B$1503,"&gt;="&amp;$E$4,NOVEDADES!$B$4:$B$1503,"&lt;="&amp;$G$4,NOVEDADES!$K$4:$K$1503,$B61)+COUNTIFS(NOVEDADES!$X$4:$X$1503,"Vencida",NOVEDADES!$B$4:$B$1503,"&gt;="&amp;$E$4,NOVEDADES!$B$4:$B$1503,"&lt;="&amp;$G$4,NOVEDADES!$K$4:$K$1503,$B61)+COUNTIFS(NOVEDADES!$X$4:$X$1503,"Sin clasificar",NOVEDADES!$B$4:$B$1503,"&gt;="&amp;$E$4,NOVEDADES!$B$4:$B$1503,"&lt;="&amp;$G$4,NOVEDADES!$K$4:$K$1503,$B61))</f>
        <v/>
      </c>
      <c r="J61" s="23">
        <f>IF($B61="","",COUNTIFS(NOVEDADES!$K$4:$K$1503,$B61,NOVEDADES!$X$4:$X$1503,"Vencida",NOVEDADES!$B$4:$B$1503,"&gt;="&amp;$E$4,NOVEDADES!$B$4:$B$1503,"&lt;="&amp;$G$4))</f>
        <v/>
      </c>
      <c r="K61" s="25">
        <f>IF($B61="","",IFERROR(ROUND(AVERAGEIFS(NOVEDADES!$W$4:$W$1503,NOVEDADES!$K$4:$K$1503,$B61,NOVEDADES!$B$4:$B$1503,"&gt;="&amp;$E$4,NOVEDADES!$B$4:$B$1503,"&lt;="&amp;$G$4),1),0))</f>
        <v/>
      </c>
      <c r="L61" s="27" t="n"/>
      <c r="M61" s="27" t="n"/>
    </row>
    <row r="62">
      <c r="B62" s="22">
        <f>IF(CONFIG!$A20="","",CONFIG!$A20)</f>
        <v/>
      </c>
      <c r="C62" s="9" t="n"/>
      <c r="D62" s="23">
        <f>IF($B62="","",COUNTIFS(NOVEDADES!$K$4:$K$1503,$B62,NOVEDADES!$B$4:$B$1503,"&gt;="&amp;$E$4,NOVEDADES!$B$4:$B$1503,"&lt;="&amp;$G$4))</f>
        <v/>
      </c>
      <c r="E62" s="24">
        <f>IF($B62="","",IFERROR($D62/$D$65,0))</f>
        <v/>
      </c>
      <c r="F62" s="26">
        <f>IF($B62="","",SUMIFS(NOVEDADES!$R$4:$R$1503,NOVEDADES!$K$4:$K$1503,$B62,NOVEDADES!$B$4:$B$1503,"&gt;="&amp;$E$4,NOVEDADES!$B$4:$B$1503,"&lt;="&amp;$G$4))</f>
        <v/>
      </c>
      <c r="G62" s="27">
        <f>IF($B62="","",IFERROR(INDEX(CONFIG!$B$4:$B$43,MATCH($B62,CONFIG!$A$4:$A$43,0)),""))</f>
        <v/>
      </c>
      <c r="H62" s="27">
        <f>IF($B62="","",IFERROR(INDEX(CONFIG!$D$4:$D$43,MATCH($B62,CONFIG!$A$4:$A$43,0)),""))</f>
        <v/>
      </c>
      <c r="I62" s="23">
        <f>IF($B62="","",COUNTIFS(NOVEDADES!$X$4:$X$1503,"En plazo",NOVEDADES!$B$4:$B$1503,"&gt;="&amp;$E$4,NOVEDADES!$B$4:$B$1503,"&lt;="&amp;$G$4,NOVEDADES!$K$4:$K$1503,$B62)+COUNTIFS(NOVEDADES!$X$4:$X$1503,"Por vencer",NOVEDADES!$B$4:$B$1503,"&gt;="&amp;$E$4,NOVEDADES!$B$4:$B$1503,"&lt;="&amp;$G$4,NOVEDADES!$K$4:$K$1503,$B62)+COUNTIFS(NOVEDADES!$X$4:$X$1503,"Vencida",NOVEDADES!$B$4:$B$1503,"&gt;="&amp;$E$4,NOVEDADES!$B$4:$B$1503,"&lt;="&amp;$G$4,NOVEDADES!$K$4:$K$1503,$B62)+COUNTIFS(NOVEDADES!$X$4:$X$1503,"Sin clasificar",NOVEDADES!$B$4:$B$1503,"&gt;="&amp;$E$4,NOVEDADES!$B$4:$B$1503,"&lt;="&amp;$G$4,NOVEDADES!$K$4:$K$1503,$B62))</f>
        <v/>
      </c>
      <c r="J62" s="23">
        <f>IF($B62="","",COUNTIFS(NOVEDADES!$K$4:$K$1503,$B62,NOVEDADES!$X$4:$X$1503,"Vencida",NOVEDADES!$B$4:$B$1503,"&gt;="&amp;$E$4,NOVEDADES!$B$4:$B$1503,"&lt;="&amp;$G$4))</f>
        <v/>
      </c>
      <c r="K62" s="25">
        <f>IF($B62="","",IFERROR(ROUND(AVERAGEIFS(NOVEDADES!$W$4:$W$1503,NOVEDADES!$K$4:$K$1503,$B62,NOVEDADES!$B$4:$B$1503,"&gt;="&amp;$E$4,NOVEDADES!$B$4:$B$1503,"&lt;="&amp;$G$4),1),0))</f>
        <v/>
      </c>
      <c r="L62" s="27" t="n"/>
      <c r="M62" s="27" t="n"/>
    </row>
    <row r="63">
      <c r="B63" s="22">
        <f>IF(CONFIG!$A21="","",CONFIG!$A21)</f>
        <v/>
      </c>
      <c r="C63" s="9" t="n"/>
      <c r="D63" s="23">
        <f>IF($B63="","",COUNTIFS(NOVEDADES!$K$4:$K$1503,$B63,NOVEDADES!$B$4:$B$1503,"&gt;="&amp;$E$4,NOVEDADES!$B$4:$B$1503,"&lt;="&amp;$G$4))</f>
        <v/>
      </c>
      <c r="E63" s="24">
        <f>IF($B63="","",IFERROR($D63/$D$65,0))</f>
        <v/>
      </c>
      <c r="F63" s="26">
        <f>IF($B63="","",SUMIFS(NOVEDADES!$R$4:$R$1503,NOVEDADES!$K$4:$K$1503,$B63,NOVEDADES!$B$4:$B$1503,"&gt;="&amp;$E$4,NOVEDADES!$B$4:$B$1503,"&lt;="&amp;$G$4))</f>
        <v/>
      </c>
      <c r="G63" s="27">
        <f>IF($B63="","",IFERROR(INDEX(CONFIG!$B$4:$B$43,MATCH($B63,CONFIG!$A$4:$A$43,0)),""))</f>
        <v/>
      </c>
      <c r="H63" s="27">
        <f>IF($B63="","",IFERROR(INDEX(CONFIG!$D$4:$D$43,MATCH($B63,CONFIG!$A$4:$A$43,0)),""))</f>
        <v/>
      </c>
      <c r="I63" s="23">
        <f>IF($B63="","",COUNTIFS(NOVEDADES!$X$4:$X$1503,"En plazo",NOVEDADES!$B$4:$B$1503,"&gt;="&amp;$E$4,NOVEDADES!$B$4:$B$1503,"&lt;="&amp;$G$4,NOVEDADES!$K$4:$K$1503,$B63)+COUNTIFS(NOVEDADES!$X$4:$X$1503,"Por vencer",NOVEDADES!$B$4:$B$1503,"&gt;="&amp;$E$4,NOVEDADES!$B$4:$B$1503,"&lt;="&amp;$G$4,NOVEDADES!$K$4:$K$1503,$B63)+COUNTIFS(NOVEDADES!$X$4:$X$1503,"Vencida",NOVEDADES!$B$4:$B$1503,"&gt;="&amp;$E$4,NOVEDADES!$B$4:$B$1503,"&lt;="&amp;$G$4,NOVEDADES!$K$4:$K$1503,$B63)+COUNTIFS(NOVEDADES!$X$4:$X$1503,"Sin clasificar",NOVEDADES!$B$4:$B$1503,"&gt;="&amp;$E$4,NOVEDADES!$B$4:$B$1503,"&lt;="&amp;$G$4,NOVEDADES!$K$4:$K$1503,$B63))</f>
        <v/>
      </c>
      <c r="J63" s="23">
        <f>IF($B63="","",COUNTIFS(NOVEDADES!$K$4:$K$1503,$B63,NOVEDADES!$X$4:$X$1503,"Vencida",NOVEDADES!$B$4:$B$1503,"&gt;="&amp;$E$4,NOVEDADES!$B$4:$B$1503,"&lt;="&amp;$G$4))</f>
        <v/>
      </c>
      <c r="K63" s="25">
        <f>IF($B63="","",IFERROR(ROUND(AVERAGEIFS(NOVEDADES!$W$4:$W$1503,NOVEDADES!$K$4:$K$1503,$B63,NOVEDADES!$B$4:$B$1503,"&gt;="&amp;$E$4,NOVEDADES!$B$4:$B$1503,"&lt;="&amp;$G$4),1),0))</f>
        <v/>
      </c>
      <c r="L63" s="27" t="n"/>
      <c r="M63" s="27" t="n"/>
    </row>
    <row r="64">
      <c r="B64" s="22">
        <f>IF(CONFIG!$A22="","",CONFIG!$A22)</f>
        <v/>
      </c>
      <c r="C64" s="9" t="n"/>
      <c r="D64" s="23">
        <f>IF($B64="","",COUNTIFS(NOVEDADES!$K$4:$K$1503,$B64,NOVEDADES!$B$4:$B$1503,"&gt;="&amp;$E$4,NOVEDADES!$B$4:$B$1503,"&lt;="&amp;$G$4))</f>
        <v/>
      </c>
      <c r="E64" s="24">
        <f>IF($B64="","",IFERROR($D64/$D$65,0))</f>
        <v/>
      </c>
      <c r="F64" s="26">
        <f>IF($B64="","",SUMIFS(NOVEDADES!$R$4:$R$1503,NOVEDADES!$K$4:$K$1503,$B64,NOVEDADES!$B$4:$B$1503,"&gt;="&amp;$E$4,NOVEDADES!$B$4:$B$1503,"&lt;="&amp;$G$4))</f>
        <v/>
      </c>
      <c r="G64" s="27">
        <f>IF($B64="","",IFERROR(INDEX(CONFIG!$B$4:$B$43,MATCH($B64,CONFIG!$A$4:$A$43,0)),""))</f>
        <v/>
      </c>
      <c r="H64" s="27">
        <f>IF($B64="","",IFERROR(INDEX(CONFIG!$D$4:$D$43,MATCH($B64,CONFIG!$A$4:$A$43,0)),""))</f>
        <v/>
      </c>
      <c r="I64" s="23">
        <f>IF($B64="","",COUNTIFS(NOVEDADES!$X$4:$X$1503,"En plazo",NOVEDADES!$B$4:$B$1503,"&gt;="&amp;$E$4,NOVEDADES!$B$4:$B$1503,"&lt;="&amp;$G$4,NOVEDADES!$K$4:$K$1503,$B64)+COUNTIFS(NOVEDADES!$X$4:$X$1503,"Por vencer",NOVEDADES!$B$4:$B$1503,"&gt;="&amp;$E$4,NOVEDADES!$B$4:$B$1503,"&lt;="&amp;$G$4,NOVEDADES!$K$4:$K$1503,$B64)+COUNTIFS(NOVEDADES!$X$4:$X$1503,"Vencida",NOVEDADES!$B$4:$B$1503,"&gt;="&amp;$E$4,NOVEDADES!$B$4:$B$1503,"&lt;="&amp;$G$4,NOVEDADES!$K$4:$K$1503,$B64)+COUNTIFS(NOVEDADES!$X$4:$X$1503,"Sin clasificar",NOVEDADES!$B$4:$B$1503,"&gt;="&amp;$E$4,NOVEDADES!$B$4:$B$1503,"&lt;="&amp;$G$4,NOVEDADES!$K$4:$K$1503,$B64))</f>
        <v/>
      </c>
      <c r="J64" s="23">
        <f>IF($B64="","",COUNTIFS(NOVEDADES!$K$4:$K$1503,$B64,NOVEDADES!$X$4:$X$1503,"Vencida",NOVEDADES!$B$4:$B$1503,"&gt;="&amp;$E$4,NOVEDADES!$B$4:$B$1503,"&lt;="&amp;$G$4))</f>
        <v/>
      </c>
      <c r="K64" s="25">
        <f>IF($B64="","",IFERROR(ROUND(AVERAGEIFS(NOVEDADES!$W$4:$W$1503,NOVEDADES!$K$4:$K$1503,$B64,NOVEDADES!$B$4:$B$1503,"&gt;="&amp;$E$4,NOVEDADES!$B$4:$B$1503,"&lt;="&amp;$G$4),1),0))</f>
        <v/>
      </c>
      <c r="L64" s="27" t="n"/>
      <c r="M64" s="27" t="n"/>
    </row>
    <row r="65">
      <c r="B65" s="28">
        <f>"TOTAL"</f>
        <v/>
      </c>
      <c r="C65" s="9" t="n"/>
      <c r="D65" s="29">
        <f>SUM($D$46:$D$64)</f>
        <v/>
      </c>
      <c r="E65" s="30">
        <f>IF($D$65=0,0,1)</f>
        <v/>
      </c>
      <c r="F65" s="32">
        <f>SUM($F$46:$F$64)</f>
        <v/>
      </c>
      <c r="G65" s="33" t="n"/>
      <c r="H65" s="33" t="n"/>
      <c r="I65" s="29">
        <f>SUM($I$46:$I$64)</f>
        <v/>
      </c>
      <c r="J65" s="29">
        <f>SUM($J$46:$J$64)</f>
        <v/>
      </c>
      <c r="K65" s="31">
        <f>IFERROR(ROUND(AVERAGEIFS(NOVEDADES!$W$4:$W$1503,NOVEDADES!$B$4:$B$1503,"&gt;="&amp;$E$4,NOVEDADES!$B$4:$B$1503,"&lt;="&amp;$G$4),1),0)</f>
        <v/>
      </c>
      <c r="L65" s="33" t="n"/>
      <c r="M65" s="33" t="n"/>
    </row>
    <row r="67" ht="22" customHeight="1">
      <c r="B67" s="4" t="inlineStr">
        <is>
          <t>4 · ESTADO DE LA GESTIÓN  y  FAMILIA DE LA CAUSA (6M de Ishikawa)</t>
        </is>
      </c>
    </row>
    <row r="68" ht="32" customHeight="1">
      <c r="B68" s="21" t="inlineStr">
        <is>
          <t>Estado</t>
        </is>
      </c>
      <c r="C68" s="9" t="n"/>
      <c r="D68" s="21" t="inlineStr">
        <is>
          <t>Casos</t>
        </is>
      </c>
      <c r="E68" s="21" t="inlineStr">
        <is>
          <t>% del total</t>
        </is>
      </c>
      <c r="F68" s="21" t="n"/>
      <c r="G68" s="21" t="inlineStr">
        <is>
          <t>Familia (6M)</t>
        </is>
      </c>
      <c r="H68" s="9" t="n"/>
      <c r="I68" s="21" t="inlineStr">
        <is>
          <t>Casos</t>
        </is>
      </c>
      <c r="J68" s="21" t="inlineStr">
        <is>
          <t>% del total</t>
        </is>
      </c>
      <c r="K68" s="21" t="inlineStr">
        <is>
          <t>Valor afectado</t>
        </is>
      </c>
      <c r="L68" s="21" t="n"/>
      <c r="M68" s="21" t="n"/>
    </row>
    <row r="69">
      <c r="B69" s="22">
        <f>IF(CONFIG!$J4="","",CONFIG!$J4)</f>
        <v/>
      </c>
      <c r="C69" s="9" t="n"/>
      <c r="D69" s="23">
        <f>IF($B69="","",COUNTIFS(NOVEDADES!$S$4:$S$1503,$B69,NOVEDADES!$B$4:$B$1503,"&gt;="&amp;$E$4,NOVEDADES!$B$4:$B$1503,"&lt;="&amp;$G$4))</f>
        <v/>
      </c>
      <c r="E69" s="24">
        <f>IF($B69="","",IFERROR($D69/$D$77,0))</f>
        <v/>
      </c>
      <c r="F69" s="27" t="n"/>
      <c r="G69" s="22" t="inlineStr">
        <is>
          <t>Método</t>
        </is>
      </c>
      <c r="H69" s="9" t="n"/>
      <c r="I69" s="23">
        <f>COUNTIFS(NOVEDADES!$O$4:$O$1503,$G69,NOVEDADES!$B$4:$B$1503,"&gt;="&amp;$E$4,NOVEDADES!$B$4:$B$1503,"&lt;="&amp;$G$4)</f>
        <v/>
      </c>
      <c r="J69" s="24">
        <f>IFERROR($I69/$I$77,0)</f>
        <v/>
      </c>
      <c r="K69" s="26">
        <f>SUMIFS(NOVEDADES!$R$4:$R$1503,NOVEDADES!$O$4:$O$1503,$G69,NOVEDADES!$B$4:$B$1503,"&gt;="&amp;$E$4,NOVEDADES!$B$4:$B$1503,"&lt;="&amp;$G$4)</f>
        <v/>
      </c>
      <c r="L69" s="27" t="n"/>
      <c r="M69" s="27" t="n"/>
    </row>
    <row r="70">
      <c r="B70" s="22">
        <f>IF(CONFIG!$J5="","",CONFIG!$J5)</f>
        <v/>
      </c>
      <c r="C70" s="9" t="n"/>
      <c r="D70" s="23">
        <f>IF($B70="","",COUNTIFS(NOVEDADES!$S$4:$S$1503,$B70,NOVEDADES!$B$4:$B$1503,"&gt;="&amp;$E$4,NOVEDADES!$B$4:$B$1503,"&lt;="&amp;$G$4))</f>
        <v/>
      </c>
      <c r="E70" s="24">
        <f>IF($B70="","",IFERROR($D70/$D$77,0))</f>
        <v/>
      </c>
      <c r="F70" s="27" t="n"/>
      <c r="G70" s="22" t="inlineStr">
        <is>
          <t>Material</t>
        </is>
      </c>
      <c r="H70" s="9" t="n"/>
      <c r="I70" s="23">
        <f>COUNTIFS(NOVEDADES!$O$4:$O$1503,$G70,NOVEDADES!$B$4:$B$1503,"&gt;="&amp;$E$4,NOVEDADES!$B$4:$B$1503,"&lt;="&amp;$G$4)</f>
        <v/>
      </c>
      <c r="J70" s="24">
        <f>IFERROR($I70/$I$77,0)</f>
        <v/>
      </c>
      <c r="K70" s="26">
        <f>SUMIFS(NOVEDADES!$R$4:$R$1503,NOVEDADES!$O$4:$O$1503,$G70,NOVEDADES!$B$4:$B$1503,"&gt;="&amp;$E$4,NOVEDADES!$B$4:$B$1503,"&lt;="&amp;$G$4)</f>
        <v/>
      </c>
      <c r="L70" s="27" t="n"/>
      <c r="M70" s="27" t="n"/>
    </row>
    <row r="71">
      <c r="B71" s="22">
        <f>IF(CONFIG!$J6="","",CONFIG!$J6)</f>
        <v/>
      </c>
      <c r="C71" s="9" t="n"/>
      <c r="D71" s="23">
        <f>IF($B71="","",COUNTIFS(NOVEDADES!$S$4:$S$1503,$B71,NOVEDADES!$B$4:$B$1503,"&gt;="&amp;$E$4,NOVEDADES!$B$4:$B$1503,"&lt;="&amp;$G$4))</f>
        <v/>
      </c>
      <c r="E71" s="24">
        <f>IF($B71="","",IFERROR($D71/$D$77,0))</f>
        <v/>
      </c>
      <c r="F71" s="27" t="n"/>
      <c r="G71" s="22" t="inlineStr">
        <is>
          <t>Medición</t>
        </is>
      </c>
      <c r="H71" s="9" t="n"/>
      <c r="I71" s="23">
        <f>COUNTIFS(NOVEDADES!$O$4:$O$1503,$G71,NOVEDADES!$B$4:$B$1503,"&gt;="&amp;$E$4,NOVEDADES!$B$4:$B$1503,"&lt;="&amp;$G$4)</f>
        <v/>
      </c>
      <c r="J71" s="24">
        <f>IFERROR($I71/$I$77,0)</f>
        <v/>
      </c>
      <c r="K71" s="26">
        <f>SUMIFS(NOVEDADES!$R$4:$R$1503,NOVEDADES!$O$4:$O$1503,$G71,NOVEDADES!$B$4:$B$1503,"&gt;="&amp;$E$4,NOVEDADES!$B$4:$B$1503,"&lt;="&amp;$G$4)</f>
        <v/>
      </c>
      <c r="L71" s="27" t="n"/>
      <c r="M71" s="27" t="n"/>
    </row>
    <row r="72">
      <c r="B72" s="22">
        <f>IF(CONFIG!$J7="","",CONFIG!$J7)</f>
        <v/>
      </c>
      <c r="C72" s="9" t="n"/>
      <c r="D72" s="23">
        <f>IF($B72="","",COUNTIFS(NOVEDADES!$S$4:$S$1503,$B72,NOVEDADES!$B$4:$B$1503,"&gt;="&amp;$E$4,NOVEDADES!$B$4:$B$1503,"&lt;="&amp;$G$4))</f>
        <v/>
      </c>
      <c r="E72" s="24">
        <f>IF($B72="","",IFERROR($D72/$D$77,0))</f>
        <v/>
      </c>
      <c r="F72" s="27" t="n"/>
      <c r="G72" s="22" t="inlineStr">
        <is>
          <t>Mano de obra</t>
        </is>
      </c>
      <c r="H72" s="9" t="n"/>
      <c r="I72" s="23">
        <f>COUNTIFS(NOVEDADES!$O$4:$O$1503,$G72,NOVEDADES!$B$4:$B$1503,"&gt;="&amp;$E$4,NOVEDADES!$B$4:$B$1503,"&lt;="&amp;$G$4)</f>
        <v/>
      </c>
      <c r="J72" s="24">
        <f>IFERROR($I72/$I$77,0)</f>
        <v/>
      </c>
      <c r="K72" s="26">
        <f>SUMIFS(NOVEDADES!$R$4:$R$1503,NOVEDADES!$O$4:$O$1503,$G72,NOVEDADES!$B$4:$B$1503,"&gt;="&amp;$E$4,NOVEDADES!$B$4:$B$1503,"&lt;="&amp;$G$4)</f>
        <v/>
      </c>
      <c r="L72" s="27" t="n"/>
      <c r="M72" s="27" t="n"/>
    </row>
    <row r="73">
      <c r="B73" s="22">
        <f>IF(CONFIG!$J8="","",CONFIG!$J8)</f>
        <v/>
      </c>
      <c r="C73" s="9" t="n"/>
      <c r="D73" s="23">
        <f>IF($B73="","",COUNTIFS(NOVEDADES!$S$4:$S$1503,$B73,NOVEDADES!$B$4:$B$1503,"&gt;="&amp;$E$4,NOVEDADES!$B$4:$B$1503,"&lt;="&amp;$G$4))</f>
        <v/>
      </c>
      <c r="E73" s="24">
        <f>IF($B73="","",IFERROR($D73/$D$77,0))</f>
        <v/>
      </c>
      <c r="F73" s="27" t="n"/>
      <c r="G73" s="22" t="inlineStr">
        <is>
          <t>Máquina</t>
        </is>
      </c>
      <c r="H73" s="9" t="n"/>
      <c r="I73" s="23">
        <f>COUNTIFS(NOVEDADES!$O$4:$O$1503,$G73,NOVEDADES!$B$4:$B$1503,"&gt;="&amp;$E$4,NOVEDADES!$B$4:$B$1503,"&lt;="&amp;$G$4)</f>
        <v/>
      </c>
      <c r="J73" s="24">
        <f>IFERROR($I73/$I$77,0)</f>
        <v/>
      </c>
      <c r="K73" s="26">
        <f>SUMIFS(NOVEDADES!$R$4:$R$1503,NOVEDADES!$O$4:$O$1503,$G73,NOVEDADES!$B$4:$B$1503,"&gt;="&amp;$E$4,NOVEDADES!$B$4:$B$1503,"&lt;="&amp;$G$4)</f>
        <v/>
      </c>
      <c r="L73" s="27" t="n"/>
      <c r="M73" s="27" t="n"/>
    </row>
    <row r="74">
      <c r="B74" s="22">
        <f>IF(CONFIG!$J9="","",CONFIG!$J9)</f>
        <v/>
      </c>
      <c r="C74" s="9" t="n"/>
      <c r="D74" s="23">
        <f>IF($B74="","",COUNTIFS(NOVEDADES!$S$4:$S$1503,$B74,NOVEDADES!$B$4:$B$1503,"&gt;="&amp;$E$4,NOVEDADES!$B$4:$B$1503,"&lt;="&amp;$G$4))</f>
        <v/>
      </c>
      <c r="E74" s="24">
        <f>IF($B74="","",IFERROR($D74/$D$77,0))</f>
        <v/>
      </c>
      <c r="F74" s="27" t="n"/>
      <c r="G74" s="22" t="inlineStr">
        <is>
          <t>Medio ambiente</t>
        </is>
      </c>
      <c r="H74" s="9" t="n"/>
      <c r="I74" s="23">
        <f>COUNTIFS(NOVEDADES!$O$4:$O$1503,$G74,NOVEDADES!$B$4:$B$1503,"&gt;="&amp;$E$4,NOVEDADES!$B$4:$B$1503,"&lt;="&amp;$G$4)</f>
        <v/>
      </c>
      <c r="J74" s="24">
        <f>IFERROR($I74/$I$77,0)</f>
        <v/>
      </c>
      <c r="K74" s="26">
        <f>SUMIFS(NOVEDADES!$R$4:$R$1503,NOVEDADES!$O$4:$O$1503,$G74,NOVEDADES!$B$4:$B$1503,"&gt;="&amp;$E$4,NOVEDADES!$B$4:$B$1503,"&lt;="&amp;$G$4)</f>
        <v/>
      </c>
      <c r="L74" s="27" t="n"/>
      <c r="M74" s="27" t="n"/>
    </row>
    <row r="75">
      <c r="B75" s="22" t="n"/>
      <c r="C75" s="9" t="n"/>
      <c r="D75" s="27" t="n"/>
      <c r="E75" s="27" t="n"/>
      <c r="F75" s="27" t="n"/>
      <c r="G75" s="22" t="inlineStr">
        <is>
          <t>Externo</t>
        </is>
      </c>
      <c r="H75" s="9" t="n"/>
      <c r="I75" s="23">
        <f>COUNTIFS(NOVEDADES!$O$4:$O$1503,$G75,NOVEDADES!$B$4:$B$1503,"&gt;="&amp;$E$4,NOVEDADES!$B$4:$B$1503,"&lt;="&amp;$G$4)</f>
        <v/>
      </c>
      <c r="J75" s="24">
        <f>IFERROR($I75/$I$77,0)</f>
        <v/>
      </c>
      <c r="K75" s="26">
        <f>SUMIFS(NOVEDADES!$R$4:$R$1503,NOVEDADES!$O$4:$O$1503,$G75,NOVEDADES!$B$4:$B$1503,"&gt;="&amp;$E$4,NOVEDADES!$B$4:$B$1503,"&lt;="&amp;$G$4)</f>
        <v/>
      </c>
      <c r="L75" s="27" t="n"/>
      <c r="M75" s="27" t="n"/>
    </row>
    <row r="76">
      <c r="B76" s="22" t="n"/>
      <c r="C76" s="9" t="n"/>
      <c r="D76" s="27" t="n"/>
      <c r="E76" s="27" t="n"/>
      <c r="F76" s="27" t="n"/>
      <c r="G76" s="22" t="inlineStr">
        <is>
          <t>Por definir</t>
        </is>
      </c>
      <c r="H76" s="9" t="n"/>
      <c r="I76" s="23">
        <f>COUNTIFS(NOVEDADES!$O$4:$O$1503,$G76,NOVEDADES!$B$4:$B$1503,"&gt;="&amp;$E$4,NOVEDADES!$B$4:$B$1503,"&lt;="&amp;$G$4)</f>
        <v/>
      </c>
      <c r="J76" s="24">
        <f>IFERROR($I76/$I$77,0)</f>
        <v/>
      </c>
      <c r="K76" s="26">
        <f>SUMIFS(NOVEDADES!$R$4:$R$1503,NOVEDADES!$O$4:$O$1503,$G76,NOVEDADES!$B$4:$B$1503,"&gt;="&amp;$E$4,NOVEDADES!$B$4:$B$1503,"&lt;="&amp;$G$4)</f>
        <v/>
      </c>
      <c r="L76" s="27" t="n"/>
      <c r="M76" s="27" t="n"/>
    </row>
    <row r="77">
      <c r="B77" s="28">
        <f>"TOTAL"</f>
        <v/>
      </c>
      <c r="C77" s="9" t="n"/>
      <c r="D77" s="29">
        <f>SUM($D$69:$D$74)</f>
        <v/>
      </c>
      <c r="E77" s="30">
        <f>IF($D$77=0,0,1)</f>
        <v/>
      </c>
      <c r="F77" s="34" t="n"/>
      <c r="G77" s="28" t="inlineStr">
        <is>
          <t>TOTAL</t>
        </is>
      </c>
      <c r="H77" s="9" t="n"/>
      <c r="I77" s="29">
        <f>SUM($I$69:$I$76)</f>
        <v/>
      </c>
      <c r="J77" s="30">
        <f>IF($I$77=0,0,1)</f>
        <v/>
      </c>
      <c r="K77" s="32">
        <f>SUM($K$69:$K$76)</f>
        <v/>
      </c>
      <c r="L77" s="33" t="n"/>
      <c r="M77" s="33" t="n"/>
    </row>
    <row r="79" ht="22" customHeight="1">
      <c r="B79" s="4" t="inlineStr">
        <is>
          <t>5 · BUSCADOR — la ficha completa de un envío</t>
        </is>
      </c>
    </row>
    <row r="80" ht="22" customHeight="1">
      <c r="B80" s="28" t="inlineStr">
        <is>
          <t>Escriba el Nº de guía →</t>
        </is>
      </c>
      <c r="C80" s="9" t="n"/>
      <c r="D80" s="35" t="n"/>
      <c r="E80" s="36" t="n"/>
      <c r="F80" s="12" t="inlineStr">
        <is>
          <t>◄ la ficha de abajo se llena sola</t>
        </is>
      </c>
    </row>
    <row r="82" ht="16" customHeight="1">
      <c r="B82" s="37" t="inlineStr">
        <is>
          <t>Cliente</t>
        </is>
      </c>
      <c r="C82" s="9" t="n"/>
      <c r="D82" s="38">
        <f>IF($D$80="","—",IFERROR(INDEX(ENVIOS!$C$4:$C$3003,MATCH($D$80,ENVIOS!$A$4:$A$3003,0)),"—"))</f>
        <v/>
      </c>
      <c r="E82" s="39" t="n"/>
      <c r="F82" s="9" t="n"/>
    </row>
    <row r="83" ht="16" customHeight="1">
      <c r="B83" s="37" t="inlineStr">
        <is>
          <t>Ciudad destino</t>
        </is>
      </c>
      <c r="C83" s="9" t="n"/>
      <c r="D83" s="38">
        <f>IF($D$80="","—",IFERROR(INDEX(ENVIOS!$D$4:$D$3003,MATCH($D$80,ENVIOS!$A$4:$A$3003,0)),"—"))</f>
        <v/>
      </c>
      <c r="E83" s="39" t="n"/>
      <c r="F83" s="9" t="n"/>
    </row>
    <row r="84" ht="16" customHeight="1">
      <c r="B84" s="37" t="inlineStr">
        <is>
          <t>Transportadora</t>
        </is>
      </c>
      <c r="C84" s="9" t="n"/>
      <c r="D84" s="38">
        <f>IF($D$80="","—",IFERROR(INDEX(ENVIOS!$E$4:$E$3003,MATCH($D$80,ENVIOS!$A$4:$A$3003,0)),"—"))</f>
        <v/>
      </c>
      <c r="E84" s="39" t="n"/>
      <c r="F84" s="9" t="n"/>
    </row>
    <row r="85" ht="16" customHeight="1">
      <c r="B85" s="37" t="inlineStr">
        <is>
          <t>Conductor</t>
        </is>
      </c>
      <c r="C85" s="9" t="n"/>
      <c r="D85" s="38">
        <f>IF($D$80="","—",IFERROR(INDEX(ENVIOS!$F$4:$F$3003,MATCH($D$80,ENVIOS!$A$4:$A$3003,0)),"—"))</f>
        <v/>
      </c>
      <c r="E85" s="39" t="n"/>
      <c r="F85" s="9" t="n"/>
    </row>
    <row r="86" ht="16" customHeight="1">
      <c r="B86" s="37" t="inlineStr">
        <is>
          <t>Placa</t>
        </is>
      </c>
      <c r="C86" s="9" t="n"/>
      <c r="D86" s="38">
        <f>IF($D$80="","—",IFERROR(INDEX(ENVIOS!$G$4:$G$3003,MATCH($D$80,ENVIOS!$A$4:$A$3003,0)),"—"))</f>
        <v/>
      </c>
      <c r="E86" s="39" t="n"/>
      <c r="F86" s="9" t="n"/>
    </row>
    <row r="87" ht="16" customHeight="1">
      <c r="B87" s="37" t="inlineStr">
        <is>
          <t>Fecha despacho</t>
        </is>
      </c>
      <c r="C87" s="9" t="n"/>
      <c r="D87" s="40">
        <f>IF($D$80="","—",IFERROR(INDEX(ENVIOS!$B$4:$B$3003,MATCH($D$80,ENVIOS!$A$4:$A$3003,0)),"—"))</f>
        <v/>
      </c>
      <c r="E87" s="39" t="n"/>
      <c r="F87" s="9" t="n"/>
    </row>
    <row r="88" ht="16" customHeight="1">
      <c r="B88" s="37" t="inlineStr">
        <is>
          <t>Fecha promesa</t>
        </is>
      </c>
      <c r="C88" s="9" t="n"/>
      <c r="D88" s="40">
        <f>IF($D$80="","—",IFERROR(INDEX(ENVIOS!$J$4:$J$3003,MATCH($D$80,ENVIOS!$A$4:$A$3003,0)),"—"))</f>
        <v/>
      </c>
      <c r="E88" s="39" t="n"/>
      <c r="F88" s="9" t="n"/>
    </row>
    <row r="89" ht="16" customHeight="1">
      <c r="B89" s="37" t="inlineStr">
        <is>
          <t>Fecha entrega real</t>
        </is>
      </c>
      <c r="C89" s="9" t="n"/>
      <c r="D89" s="40">
        <f>IF($D$80="","—",IFERROR(INDEX(ENVIOS!$K$4:$K$3003,MATCH($D$80,ENVIOS!$A$4:$A$3003,0)),"—"))</f>
        <v/>
      </c>
      <c r="E89" s="39" t="n"/>
      <c r="F89" s="9" t="n"/>
    </row>
    <row r="90" ht="16" customHeight="1">
      <c r="B90" s="37" t="inlineStr">
        <is>
          <t>¿Llegó a tiempo?</t>
        </is>
      </c>
      <c r="C90" s="9" t="n"/>
      <c r="D90" s="38">
        <f>IF($D$80="","—",IFERROR(INDEX(ENVIOS!$M$4:$M$3003,MATCH($D$80,ENVIOS!$A$4:$A$3003,0)),"—"))</f>
        <v/>
      </c>
      <c r="E90" s="39" t="n"/>
      <c r="F90" s="9" t="n"/>
    </row>
    <row r="91" ht="16" customHeight="1">
      <c r="B91" s="37" t="inlineStr">
        <is>
          <t>¿Llegó completa?</t>
        </is>
      </c>
      <c r="C91" s="9" t="n"/>
      <c r="D91" s="38">
        <f>IF($D$80="","—",IFERROR(INDEX(ENVIOS!$O$4:$O$3003,MATCH($D$80,ENVIOS!$A$4:$A$3003,0)),"—"))</f>
        <v/>
      </c>
      <c r="E91" s="39" t="n"/>
      <c r="F91" s="9" t="n"/>
    </row>
    <row r="92" ht="16" customHeight="1">
      <c r="B92" s="37" t="inlineStr">
        <is>
          <t>OTIF</t>
        </is>
      </c>
      <c r="C92" s="9" t="n"/>
      <c r="D92" s="38">
        <f>IF($D$80="","—",IFERROR(INDEX(ENVIOS!$P$4:$P$3003,MATCH($D$80,ENVIOS!$A$4:$A$3003,0)),"—"))</f>
        <v/>
      </c>
      <c r="E92" s="39" t="n"/>
      <c r="F92" s="9" t="n"/>
    </row>
    <row r="93" ht="16" customHeight="1">
      <c r="B93" s="37" t="inlineStr">
        <is>
          <t>Novedades registradas</t>
        </is>
      </c>
      <c r="C93" s="9" t="n"/>
      <c r="D93" s="41">
        <f>IF($D$80="","—",COUNTIFS(NOVEDADES!$C$4:$C$1503,$D$80))</f>
        <v/>
      </c>
      <c r="E93" s="39" t="n"/>
      <c r="F93" s="9" t="n"/>
    </row>
    <row r="94" ht="16" customHeight="1">
      <c r="B94" s="37" t="inlineStr">
        <is>
          <t>Valor afectado</t>
        </is>
      </c>
      <c r="C94" s="9" t="n"/>
      <c r="D94" s="42">
        <f>IF($D$80="","—",SUMIFS(NOVEDADES!$R$4:$R$1503,NOVEDADES!$C$4:$C$1503,$D$80))</f>
        <v/>
      </c>
      <c r="E94" s="39" t="n"/>
      <c r="F94" s="9" t="n"/>
    </row>
    <row r="95" ht="16" customHeight="1">
      <c r="B95" s="37" t="inlineStr">
        <is>
          <t>Última novedad</t>
        </is>
      </c>
      <c r="C95" s="9" t="n"/>
      <c r="D95" s="38">
        <f>IF($D$80="","—",IFERROR(LOOKUP(2,1/(NOVEDADES!$C$4:$C$1503=$D$80),NOVEDADES!$K$4:$K$1503),"—"))</f>
        <v/>
      </c>
      <c r="E95" s="39" t="n"/>
      <c r="F95" s="9" t="n"/>
    </row>
    <row r="96" ht="16" customHeight="1">
      <c r="B96" s="37" t="inlineStr">
        <is>
          <t>Estado de esa novedad</t>
        </is>
      </c>
      <c r="C96" s="9" t="n"/>
      <c r="D96" s="38">
        <f>IF($D$80="","—",IFERROR(LOOKUP(2,1/(NOVEDADES!$C$4:$C$1503=$D$80),NOVEDADES!$S$4:$S$1503),"—"))</f>
        <v/>
      </c>
      <c r="E96" s="39" t="n"/>
      <c r="F96" s="9" t="n"/>
    </row>
    <row r="97" ht="16" customHeight="1">
      <c r="B97" s="37" t="inlineStr">
        <is>
          <t>Estado SLA</t>
        </is>
      </c>
      <c r="C97" s="9" t="n"/>
      <c r="D97" s="38">
        <f>IF($D$80="","—",IFERROR(LOOKUP(2,1/(NOVEDADES!$C$4:$C$1503=$D$80),NOVEDADES!$X$4:$X$1503),"—"))</f>
        <v/>
      </c>
      <c r="E97" s="39" t="n"/>
      <c r="F97" s="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35">
    <mergeCell ref="B91:C91"/>
    <mergeCell ref="B2:M2"/>
    <mergeCell ref="H10:I10"/>
    <mergeCell ref="J10:K10"/>
    <mergeCell ref="G71:H71"/>
    <mergeCell ref="B22:C22"/>
    <mergeCell ref="B93:C93"/>
    <mergeCell ref="B31:C31"/>
    <mergeCell ref="B44:M44"/>
    <mergeCell ref="H9:I9"/>
    <mergeCell ref="J9:K9"/>
    <mergeCell ref="B77:C77"/>
    <mergeCell ref="D6:E6"/>
    <mergeCell ref="B21:C21"/>
    <mergeCell ref="B86:C86"/>
    <mergeCell ref="B28:M28"/>
    <mergeCell ref="B61:C61"/>
    <mergeCell ref="B14:C14"/>
    <mergeCell ref="D92:F92"/>
    <mergeCell ref="B69:C69"/>
    <mergeCell ref="B38:C38"/>
    <mergeCell ref="D7:E7"/>
    <mergeCell ref="G68:H68"/>
    <mergeCell ref="D94:F94"/>
    <mergeCell ref="B79:M79"/>
    <mergeCell ref="B40:C40"/>
    <mergeCell ref="B49:C49"/>
    <mergeCell ref="B55:C55"/>
    <mergeCell ref="B24:C24"/>
    <mergeCell ref="B64:C64"/>
    <mergeCell ref="B33:C33"/>
    <mergeCell ref="B51:C51"/>
    <mergeCell ref="B32:C32"/>
    <mergeCell ref="G75:H75"/>
    <mergeCell ref="B63:C63"/>
    <mergeCell ref="D96:F96"/>
    <mergeCell ref="B41:C41"/>
    <mergeCell ref="B35:C35"/>
    <mergeCell ref="B16:C16"/>
    <mergeCell ref="G77:H77"/>
    <mergeCell ref="L7:M7"/>
    <mergeCell ref="D10:E10"/>
    <mergeCell ref="B25:C25"/>
    <mergeCell ref="F10:G10"/>
    <mergeCell ref="B90:C90"/>
    <mergeCell ref="F6:G6"/>
    <mergeCell ref="B18:C18"/>
    <mergeCell ref="G70:H70"/>
    <mergeCell ref="D91:F91"/>
    <mergeCell ref="B9:C10"/>
    <mergeCell ref="D93:F93"/>
    <mergeCell ref="F80:M80"/>
    <mergeCell ref="D83:F83"/>
    <mergeCell ref="B53:C53"/>
    <mergeCell ref="B29:C29"/>
    <mergeCell ref="B37:C37"/>
    <mergeCell ref="D85:F85"/>
    <mergeCell ref="B84:C84"/>
    <mergeCell ref="D9:E9"/>
    <mergeCell ref="F9:G9"/>
    <mergeCell ref="B15:C15"/>
    <mergeCell ref="L6:M6"/>
    <mergeCell ref="G76:H76"/>
    <mergeCell ref="B80:C80"/>
    <mergeCell ref="B95:C95"/>
    <mergeCell ref="B89:C89"/>
    <mergeCell ref="D86:F86"/>
    <mergeCell ref="D95:F95"/>
    <mergeCell ref="B97:C97"/>
    <mergeCell ref="B54:C54"/>
    <mergeCell ref="B72:C72"/>
    <mergeCell ref="D97:F97"/>
    <mergeCell ref="B13:M13"/>
    <mergeCell ref="B56:C56"/>
    <mergeCell ref="B71:C71"/>
    <mergeCell ref="B96:C96"/>
    <mergeCell ref="F7:G7"/>
    <mergeCell ref="B58:C58"/>
    <mergeCell ref="D87:F87"/>
    <mergeCell ref="B52:C52"/>
    <mergeCell ref="B42:C42"/>
    <mergeCell ref="B60:C60"/>
    <mergeCell ref="B17:C17"/>
    <mergeCell ref="G69:H69"/>
    <mergeCell ref="B57:C57"/>
    <mergeCell ref="B88:C88"/>
    <mergeCell ref="B82:C82"/>
    <mergeCell ref="D82:F82"/>
    <mergeCell ref="B19:C19"/>
    <mergeCell ref="B34:C34"/>
    <mergeCell ref="L10:M10"/>
    <mergeCell ref="B83:C83"/>
    <mergeCell ref="L9:M9"/>
    <mergeCell ref="G73:H73"/>
    <mergeCell ref="B92:C92"/>
    <mergeCell ref="B30:C30"/>
    <mergeCell ref="B20:C20"/>
    <mergeCell ref="B76:C76"/>
    <mergeCell ref="D84:F84"/>
    <mergeCell ref="B45:C45"/>
    <mergeCell ref="B85:C85"/>
    <mergeCell ref="B94:C94"/>
    <mergeCell ref="B4:C4"/>
    <mergeCell ref="B12:M12"/>
    <mergeCell ref="B75:C75"/>
    <mergeCell ref="B47:C47"/>
    <mergeCell ref="B62:C62"/>
    <mergeCell ref="B59:C59"/>
    <mergeCell ref="B67:M67"/>
    <mergeCell ref="B46:C46"/>
    <mergeCell ref="B6:C7"/>
    <mergeCell ref="D80:E80"/>
    <mergeCell ref="B39:C39"/>
    <mergeCell ref="B70:C70"/>
    <mergeCell ref="B48:C48"/>
    <mergeCell ref="H6:I6"/>
    <mergeCell ref="J6:K6"/>
    <mergeCell ref="B23:C23"/>
    <mergeCell ref="G74:H74"/>
    <mergeCell ref="B73:C73"/>
    <mergeCell ref="B87:C87"/>
    <mergeCell ref="D89:F89"/>
    <mergeCell ref="H7:I7"/>
    <mergeCell ref="J7:K7"/>
    <mergeCell ref="D88:F88"/>
    <mergeCell ref="B65:C65"/>
    <mergeCell ref="B74:C74"/>
    <mergeCell ref="B68:C68"/>
    <mergeCell ref="D90:F90"/>
    <mergeCell ref="B3:M3"/>
    <mergeCell ref="H4:M4"/>
    <mergeCell ref="B36:C36"/>
    <mergeCell ref="B50:C50"/>
    <mergeCell ref="B27:M27"/>
    <mergeCell ref="G72:H72"/>
  </mergeCells>
  <conditionalFormatting sqref="D7">
    <cfRule type="cellIs" priority="1" operator="greaterThanOrEqual" dxfId="0">
      <formula>0.95</formula>
    </cfRule>
    <cfRule type="cellIs" priority="2" operator="lessThan" dxfId="1">
      <formula>0.9</formula>
    </cfRule>
  </conditionalFormatting>
  <conditionalFormatting sqref="F7">
    <cfRule type="cellIs" priority="3" operator="greaterThanOrEqual" dxfId="0">
      <formula>0.95</formula>
    </cfRule>
    <cfRule type="cellIs" priority="4" operator="lessThan" dxfId="1">
      <formula>0.9</formula>
    </cfRule>
  </conditionalFormatting>
  <conditionalFormatting sqref="H7">
    <cfRule type="cellIs" priority="5" operator="greaterThan" dxfId="1">
      <formula>0.05</formula>
    </cfRule>
    <cfRule type="cellIs" priority="6" operator="lessThanOrEqual" dxfId="0">
      <formula>0.03</formula>
    </cfRule>
  </conditionalFormatting>
  <conditionalFormatting sqref="H10">
    <cfRule type="cellIs" priority="7" operator="greaterThan" dxfId="1">
      <formula>0</formula>
    </cfRule>
  </conditionalFormatting>
  <conditionalFormatting sqref="F10">
    <cfRule type="cellIs" priority="8" operator="greaterThan" dxfId="2">
      <formula>0</formula>
    </cfRule>
  </conditionalFormatting>
  <conditionalFormatting sqref="L10">
    <cfRule type="cellIs" priority="9" operator="lessThan" dxfId="1">
      <formula>0.9</formula>
    </cfRule>
    <cfRule type="cellIs" priority="10" operator="greaterThanOrEqual" dxfId="0">
      <formula>0.9</formula>
    </cfRule>
  </conditionalFormatting>
  <conditionalFormatting sqref="M15:M24">
    <cfRule type="cellIs" priority="11" operator="equal" dxfId="3">
      <formula>"A"</formula>
    </cfRule>
    <cfRule type="cellIs" priority="12" operator="equal" dxfId="4">
      <formula>"B"</formula>
    </cfRule>
    <cfRule type="cellIs" priority="13" operator="equal" dxfId="5">
      <formula>"C"</formula>
    </cfRule>
    <cfRule type="cellIs" priority="14" operator="equal" dxfId="6">
      <formula>"D"</formula>
    </cfRule>
  </conditionalFormatting>
  <conditionalFormatting sqref="E15:E24">
    <cfRule type="cellIs" priority="15" operator="greaterThanOrEqual" dxfId="3">
      <formula>0.95</formula>
    </cfRule>
    <cfRule type="cellIs" priority="16" operator="lessThan" dxfId="6">
      <formula>0.9</formula>
    </cfRule>
  </conditionalFormatting>
  <conditionalFormatting sqref="G15:G24">
    <cfRule type="cellIs" priority="17" operator="greaterThan" dxfId="6">
      <formula>0.05</formula>
    </cfRule>
  </conditionalFormatting>
  <conditionalFormatting sqref="I15:I24">
    <cfRule type="cellIs" priority="18" operator="greaterThan" dxfId="6">
      <formula>0</formula>
    </cfRule>
  </conditionalFormatting>
  <conditionalFormatting sqref="L15:L24">
    <cfRule type="dataBar" priority="19">
      <dataBar showValue="1">
        <cfvo type="num" val="0"/>
        <cfvo type="num" val="100"/>
        <color rgb="002563EB"/>
      </dataBar>
    </cfRule>
  </conditionalFormatting>
  <conditionalFormatting sqref="F30:F41">
    <cfRule type="cellIs" priority="20" operator="lessThanOrEqual" dxfId="5">
      <formula>0.8</formula>
    </cfRule>
  </conditionalFormatting>
  <conditionalFormatting sqref="D30:D41">
    <cfRule type="dataBar" priority="21">
      <dataBar showValue="1">
        <cfvo type="num" val="0"/>
        <cfvo type="percentile" val="100"/>
        <color rgb="002563EB"/>
      </dataBar>
    </cfRule>
  </conditionalFormatting>
  <conditionalFormatting sqref="D46:D64">
    <cfRule type="dataBar" priority="22">
      <dataBar showValue="1">
        <cfvo type="num" val="0"/>
        <cfvo type="percentile" val="100"/>
        <color rgb="002563EB"/>
      </dataBar>
    </cfRule>
  </conditionalFormatting>
  <conditionalFormatting sqref="I69:I76">
    <cfRule type="dataBar" priority="23">
      <dataBar showValue="1">
        <cfvo type="num" val="0"/>
        <cfvo type="percentile" val="100"/>
        <color rgb="002563EB"/>
      </dataBar>
    </cfRule>
  </conditionalFormatting>
  <conditionalFormatting sqref="G46:G64">
    <cfRule type="cellIs" priority="24" operator="equal" dxfId="7">
      <formula>"Crítica"</formula>
    </cfRule>
    <cfRule type="cellIs" priority="25" operator="equal" dxfId="6">
      <formula>"Alta"</formula>
    </cfRule>
    <cfRule type="cellIs" priority="26" operator="equal" dxfId="5">
      <formula>"Media"</formula>
    </cfRule>
    <cfRule type="cellIs" priority="27" operator="equal" dxfId="3">
      <formula>"Baja"</formula>
    </cfRule>
  </conditionalFormatting>
  <conditionalFormatting sqref="H46:H64">
    <cfRule type="cellIs" priority="28" operator="equal" dxfId="5">
      <formula>"SÍ"</formula>
    </cfRule>
  </conditionalFormatting>
  <conditionalFormatting sqref="J46:J64">
    <cfRule type="cellIs" priority="29" operator="greaterThan" dxfId="6">
      <formula>0</formula>
    </cfRule>
  </conditionalFormatting>
  <conditionalFormatting sqref="D82:D97">
    <cfRule type="cellIs" priority="30" operator="equal" dxfId="3">
      <formula>"Sí"</formula>
    </cfRule>
    <cfRule type="cellIs" priority="31" operator="equal" dxfId="6">
      <formula>"No"</formula>
    </cfRule>
    <cfRule type="cellIs" priority="32" operator="equal" dxfId="3">
      <formula>"OTIF"</formula>
    </cfRule>
    <cfRule type="cellIs" priority="33" operator="equal" dxfId="6">
      <formula>"Falló"</formula>
    </cfRule>
    <cfRule type="cellIs" priority="34" operator="equal" dxfId="8">
      <formula>"En ruta"</formula>
    </cfRule>
    <cfRule type="cellIs" priority="35" operator="equal" dxfId="6">
      <formula>"Atrasado"</formula>
    </cfRule>
    <cfRule type="cellIs" priority="36" operator="equal" dxfId="6">
      <formula>"Vencida"</formula>
    </cfRule>
    <cfRule type="cellIs" priority="37" operator="equal" dxfId="3">
      <formula>"En plazo"</formula>
    </cfRule>
    <cfRule type="cellIs" priority="38" operator="equal" dxfId="5">
      <formula>"Por vencer"</formula>
    </cfRule>
    <cfRule type="cellIs" priority="39" operator="equal" dxfId="4">
      <formula>"Resuelta a tiempo"</formula>
    </cfRule>
    <cfRule type="cellIs" priority="40" operator="equal" dxfId="9">
      <formula>"Resuelta tarde"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D97706"/>
    <outlinePr summaryBelow="1" summaryRight="1"/>
    <pageSetUpPr/>
  </sheetPr>
  <dimension ref="A1:Z150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3" customWidth="1" min="4" max="4"/>
    <col width="30" customWidth="1" min="5" max="5"/>
    <col width="17" customWidth="1" min="6" max="6"/>
    <col width="19" customWidth="1" min="7" max="7"/>
    <col width="21" customWidth="1" min="8" max="8"/>
    <col width="10" customWidth="1" min="9" max="9"/>
    <col width="13" customWidth="1" min="10" max="10"/>
    <col width="32" customWidth="1" min="11" max="11"/>
    <col width="11" customWidth="1" min="12" max="12"/>
    <col width="13" customWidth="1" min="13" max="13"/>
    <col width="34" customWidth="1" min="14" max="14"/>
    <col width="15" customWidth="1" min="15" max="15"/>
    <col width="15" customWidth="1" min="16" max="16"/>
    <col width="13" customWidth="1" min="17" max="17"/>
    <col width="15" customWidth="1" min="18" max="18"/>
    <col width="26" customWidth="1" min="19" max="19"/>
    <col width="24" customWidth="1" min="20" max="20"/>
    <col width="13" customWidth="1" min="21" max="21"/>
    <col width="14" customWidth="1" min="22" max="22"/>
    <col width="11" customWidth="1" min="23" max="23"/>
    <col width="18" customWidth="1" min="24" max="24"/>
    <col width="40" customWidth="1" min="25" max="25"/>
    <col width="34" customWidth="1" min="26" max="26"/>
  </cols>
  <sheetData>
    <row r="1" ht="34" customHeight="1">
      <c r="A1" s="1" t="inlineStr">
        <is>
          <t>MATRIZ DE NOVEDADES · logística y transporte</t>
        </is>
      </c>
    </row>
    <row r="2" ht="17" customHeight="1">
      <c r="A2" s="43" t="inlineStr">
        <is>
          <t>① IDENTIFICAR EL ENVÍO  ·  digite la fecha y el Nº de guía; lo demás se trae solo</t>
        </is>
      </c>
      <c r="K2" s="44" t="inlineStr">
        <is>
          <t>② CLASIFICAR  ·  qué pasó y por qué</t>
        </is>
      </c>
      <c r="Q2" s="43" t="inlineStr">
        <is>
          <t>③ IMPACTO</t>
        </is>
      </c>
      <c r="S2" s="44" t="inlineStr">
        <is>
          <t>④ GESTIONAR Y CERRAR</t>
        </is>
      </c>
      <c r="Y2" s="43" t="inlineStr">
        <is>
          <t>⑤ CONSTANCIA</t>
        </is>
      </c>
    </row>
    <row r="3" ht="34" customHeight="1">
      <c r="A3" s="21" t="inlineStr">
        <is>
          <t>ID</t>
        </is>
      </c>
      <c r="B3" s="45" t="inlineStr">
        <is>
          <t>Fecha de la novedad</t>
        </is>
      </c>
      <c r="C3" s="45" t="inlineStr">
        <is>
          <t>Nº Guía / Remisión</t>
        </is>
      </c>
      <c r="D3" s="21" t="inlineStr">
        <is>
          <t>Validación</t>
        </is>
      </c>
      <c r="E3" s="21" t="inlineStr">
        <is>
          <t>Cliente</t>
        </is>
      </c>
      <c r="F3" s="21" t="inlineStr">
        <is>
          <t>Ciudad destino</t>
        </is>
      </c>
      <c r="G3" s="21" t="inlineStr">
        <is>
          <t>Transportadora</t>
        </is>
      </c>
      <c r="H3" s="21" t="inlineStr">
        <is>
          <t>Conductor</t>
        </is>
      </c>
      <c r="I3" s="21" t="inlineStr">
        <is>
          <t>Placa</t>
        </is>
      </c>
      <c r="J3" s="21" t="inlineStr">
        <is>
          <t>Fecha despacho</t>
        </is>
      </c>
      <c r="K3" s="45" t="inlineStr">
        <is>
          <t>Tipo de novedad</t>
        </is>
      </c>
      <c r="L3" s="21" t="inlineStr">
        <is>
          <t>Gravedad</t>
        </is>
      </c>
      <c r="M3" s="21" t="inlineStr">
        <is>
          <t>¿Afecta la entrega?</t>
        </is>
      </c>
      <c r="N3" s="45" t="inlineStr">
        <is>
          <t>Causa raíz</t>
        </is>
      </c>
      <c r="O3" s="21" t="inlineStr">
        <is>
          <t>Familia (6M)</t>
        </is>
      </c>
      <c r="P3" s="21" t="inlineStr">
        <is>
          <t>Área responsable</t>
        </is>
      </c>
      <c r="Q3" s="45" t="inlineStr">
        <is>
          <t>Unidades afectadas</t>
        </is>
      </c>
      <c r="R3" s="45" t="inlineStr">
        <is>
          <t>Valor afectado</t>
        </is>
      </c>
      <c r="S3" s="45" t="inlineStr">
        <is>
          <t>Estado</t>
        </is>
      </c>
      <c r="T3" s="45" t="inlineStr">
        <is>
          <t>Responsable</t>
        </is>
      </c>
      <c r="U3" s="21" t="inlineStr">
        <is>
          <t>Fecha límite</t>
        </is>
      </c>
      <c r="V3" s="45" t="inlineStr">
        <is>
          <t>Fecha de solución</t>
        </is>
      </c>
      <c r="W3" s="21" t="inlineStr">
        <is>
          <t>Días abiertos</t>
        </is>
      </c>
      <c r="X3" s="21" t="inlineStr">
        <is>
          <t>Estado SLA</t>
        </is>
      </c>
      <c r="Y3" s="45" t="inlineStr">
        <is>
          <t>Qué se hizo</t>
        </is>
      </c>
      <c r="Z3" s="45" t="inlineStr">
        <is>
          <t>Notas / soporte</t>
        </is>
      </c>
    </row>
    <row r="4" ht="16" customHeight="1">
      <c r="A4" s="27">
        <f>IF($C4="","","N-"&amp;TEXT(ROW()-3,"0000"))</f>
        <v/>
      </c>
      <c r="B4" s="46" t="n"/>
      <c r="C4" s="47" t="n"/>
      <c r="D4" s="27">
        <f>IF($C4="","",IF(COUNTIFS(ENVIOS!$A$4:$A$3003,$C4)=0,"NO EXISTE",IF(COUNTIFS(ENVIOS!$A$4:$A$3003,$C4)&gt;1,"DUPLICADA","OK")))</f>
        <v/>
      </c>
      <c r="E4" s="22">
        <f>IF($C4="","",IFERROR(INDEX(ENVIOS!$C$4:$C$3003,MATCH($C4,ENVIOS!$A$4:$A$3003,0)),"—"))</f>
        <v/>
      </c>
      <c r="F4" s="22">
        <f>IF($C4="","",IFERROR(INDEX(ENVIOS!$D$4:$D$3003,MATCH($C4,ENVIOS!$A$4:$A$3003,0)),"—"))</f>
        <v/>
      </c>
      <c r="G4" s="22">
        <f>IF($C4="","",IFERROR(INDEX(ENVIOS!$E$4:$E$3003,MATCH($C4,ENVIOS!$A$4:$A$3003,0)),"—"))</f>
        <v/>
      </c>
      <c r="H4" s="22">
        <f>IF($C4="","",IFERROR(INDEX(ENVIOS!$F$4:$F$3003,MATCH($C4,ENVIOS!$A$4:$A$3003,0)),"—"))</f>
        <v/>
      </c>
      <c r="I4" s="27">
        <f>IF($C4="","",IFERROR(INDEX(ENVIOS!$G$4:$G$3003,MATCH($C4,ENVIOS!$A$4:$A$3003,0)),"—"))</f>
        <v/>
      </c>
      <c r="J4" s="48">
        <f>IF($C4="","",IFERROR(INDEX(ENVIOS!$B$4:$B$3003,MATCH($C4,ENVIOS!$A$4:$A$3003,0)),""))</f>
        <v/>
      </c>
      <c r="K4" s="49" t="n"/>
      <c r="L4" s="27">
        <f>IF($K4="","",IFERROR(INDEX(CONFIG!$B$4:$B$43,MATCH($K4,CONFIG!$A$4:$A$43,0)),"Media"))</f>
        <v/>
      </c>
      <c r="M4" s="27">
        <f>IF($K4="","",IFERROR(INDEX(CONFIG!$D$4:$D$43,MATCH($K4,CONFIG!$A$4:$A$43,0)),"NO"))</f>
        <v/>
      </c>
      <c r="N4" s="49" t="n"/>
      <c r="O4" s="27">
        <f>IF($N4="","",IFERROR(INDEX(CONFIG!$G$4:$G$43,MATCH($N4,CONFIG!$F$4:$F$43,0)),"Por definir"))</f>
        <v/>
      </c>
      <c r="P4" s="27">
        <f>IF($N4="","",IFERROR(INDEX(CONFIG!$H$4:$H$43,MATCH($N4,CONFIG!$F$4:$F$43,0)),"Por definir"))</f>
        <v/>
      </c>
      <c r="Q4" s="50" t="n"/>
      <c r="R4" s="51" t="n"/>
      <c r="S4" s="49" t="n"/>
      <c r="T4" s="49" t="n"/>
      <c r="U4" s="48">
        <f>IF(OR($B4="",$K4=""),"",WORKDAY($B4,IFERROR(INDEX(CONFIG!$C$4:$C$43,MATCH($K4,CONFIG!$A$4:$A$43,0)),3)))</f>
        <v/>
      </c>
      <c r="V4" s="46" t="n"/>
      <c r="W4" s="23">
        <f>IF($B4="","",IF($V4&lt;&gt;"",$V4-$B4,TODAY()-$B4))</f>
        <v/>
      </c>
      <c r="X4" s="27">
        <f>IF($C4="","",IF(IFERROR(INDEX(CONFIG!$K$4:$K$43,MATCH($S4,CONFIG!$J$4:$J$43,0)),"NO")="SÍ",IF(OR($V4="",$U4=""),"Resuelta",IF($V4&gt;$U4,"Resuelta tarde","Resuelta a tiempo")),IF($U4="","Sin clasificar",IF(TODAY()&gt;$U4,"Vencida",IF(TODAY()&gt;=$U4-1,"Por vencer","En plazo")))))</f>
        <v/>
      </c>
      <c r="Y4" s="49" t="n"/>
      <c r="Z4" s="49" t="n"/>
    </row>
    <row r="5" ht="16" customHeight="1">
      <c r="A5" s="27">
        <f>IF($C5="","","N-"&amp;TEXT(ROW()-3,"0000"))</f>
        <v/>
      </c>
      <c r="B5" s="46" t="n"/>
      <c r="C5" s="47" t="n"/>
      <c r="D5" s="27">
        <f>IF($C5="","",IF(COUNTIFS(ENVIOS!$A$4:$A$3003,$C5)=0,"NO EXISTE",IF(COUNTIFS(ENVIOS!$A$4:$A$3003,$C5)&gt;1,"DUPLICADA","OK")))</f>
        <v/>
      </c>
      <c r="E5" s="22">
        <f>IF($C5="","",IFERROR(INDEX(ENVIOS!$C$4:$C$3003,MATCH($C5,ENVIOS!$A$4:$A$3003,0)),"—"))</f>
        <v/>
      </c>
      <c r="F5" s="22">
        <f>IF($C5="","",IFERROR(INDEX(ENVIOS!$D$4:$D$3003,MATCH($C5,ENVIOS!$A$4:$A$3003,0)),"—"))</f>
        <v/>
      </c>
      <c r="G5" s="22">
        <f>IF($C5="","",IFERROR(INDEX(ENVIOS!$E$4:$E$3003,MATCH($C5,ENVIOS!$A$4:$A$3003,0)),"—"))</f>
        <v/>
      </c>
      <c r="H5" s="22">
        <f>IF($C5="","",IFERROR(INDEX(ENVIOS!$F$4:$F$3003,MATCH($C5,ENVIOS!$A$4:$A$3003,0)),"—"))</f>
        <v/>
      </c>
      <c r="I5" s="27">
        <f>IF($C5="","",IFERROR(INDEX(ENVIOS!$G$4:$G$3003,MATCH($C5,ENVIOS!$A$4:$A$3003,0)),"—"))</f>
        <v/>
      </c>
      <c r="J5" s="48">
        <f>IF($C5="","",IFERROR(INDEX(ENVIOS!$B$4:$B$3003,MATCH($C5,ENVIOS!$A$4:$A$3003,0)),""))</f>
        <v/>
      </c>
      <c r="K5" s="49" t="n"/>
      <c r="L5" s="27">
        <f>IF($K5="","",IFERROR(INDEX(CONFIG!$B$4:$B$43,MATCH($K5,CONFIG!$A$4:$A$43,0)),"Media"))</f>
        <v/>
      </c>
      <c r="M5" s="27">
        <f>IF($K5="","",IFERROR(INDEX(CONFIG!$D$4:$D$43,MATCH($K5,CONFIG!$A$4:$A$43,0)),"NO"))</f>
        <v/>
      </c>
      <c r="N5" s="49" t="n"/>
      <c r="O5" s="27">
        <f>IF($N5="","",IFERROR(INDEX(CONFIG!$G$4:$G$43,MATCH($N5,CONFIG!$F$4:$F$43,0)),"Por definir"))</f>
        <v/>
      </c>
      <c r="P5" s="27">
        <f>IF($N5="","",IFERROR(INDEX(CONFIG!$H$4:$H$43,MATCH($N5,CONFIG!$F$4:$F$43,0)),"Por definir"))</f>
        <v/>
      </c>
      <c r="Q5" s="50" t="n"/>
      <c r="R5" s="51" t="n"/>
      <c r="S5" s="49" t="n"/>
      <c r="T5" s="49" t="n"/>
      <c r="U5" s="48">
        <f>IF(OR($B5="",$K5=""),"",WORKDAY($B5,IFERROR(INDEX(CONFIG!$C$4:$C$43,MATCH($K5,CONFIG!$A$4:$A$43,0)),3)))</f>
        <v/>
      </c>
      <c r="V5" s="46" t="n"/>
      <c r="W5" s="23">
        <f>IF($B5="","",IF($V5&lt;&gt;"",$V5-$B5,TODAY()-$B5))</f>
        <v/>
      </c>
      <c r="X5" s="27">
        <f>IF($C5="","",IF(IFERROR(INDEX(CONFIG!$K$4:$K$43,MATCH($S5,CONFIG!$J$4:$J$43,0)),"NO")="SÍ",IF(OR($V5="",$U5=""),"Resuelta",IF($V5&gt;$U5,"Resuelta tarde","Resuelta a tiempo")),IF($U5="","Sin clasificar",IF(TODAY()&gt;$U5,"Vencida",IF(TODAY()&gt;=$U5-1,"Por vencer","En plazo")))))</f>
        <v/>
      </c>
      <c r="Y5" s="49" t="n"/>
      <c r="Z5" s="49" t="n"/>
    </row>
    <row r="6" ht="16" customHeight="1">
      <c r="A6" s="27">
        <f>IF($C6="","","N-"&amp;TEXT(ROW()-3,"0000"))</f>
        <v/>
      </c>
      <c r="B6" s="46" t="n"/>
      <c r="C6" s="47" t="n"/>
      <c r="D6" s="27">
        <f>IF($C6="","",IF(COUNTIFS(ENVIOS!$A$4:$A$3003,$C6)=0,"NO EXISTE",IF(COUNTIFS(ENVIOS!$A$4:$A$3003,$C6)&gt;1,"DUPLICADA","OK")))</f>
        <v/>
      </c>
      <c r="E6" s="22">
        <f>IF($C6="","",IFERROR(INDEX(ENVIOS!$C$4:$C$3003,MATCH($C6,ENVIOS!$A$4:$A$3003,0)),"—"))</f>
        <v/>
      </c>
      <c r="F6" s="22">
        <f>IF($C6="","",IFERROR(INDEX(ENVIOS!$D$4:$D$3003,MATCH($C6,ENVIOS!$A$4:$A$3003,0)),"—"))</f>
        <v/>
      </c>
      <c r="G6" s="22">
        <f>IF($C6="","",IFERROR(INDEX(ENVIOS!$E$4:$E$3003,MATCH($C6,ENVIOS!$A$4:$A$3003,0)),"—"))</f>
        <v/>
      </c>
      <c r="H6" s="22">
        <f>IF($C6="","",IFERROR(INDEX(ENVIOS!$F$4:$F$3003,MATCH($C6,ENVIOS!$A$4:$A$3003,0)),"—"))</f>
        <v/>
      </c>
      <c r="I6" s="27">
        <f>IF($C6="","",IFERROR(INDEX(ENVIOS!$G$4:$G$3003,MATCH($C6,ENVIOS!$A$4:$A$3003,0)),"—"))</f>
        <v/>
      </c>
      <c r="J6" s="48">
        <f>IF($C6="","",IFERROR(INDEX(ENVIOS!$B$4:$B$3003,MATCH($C6,ENVIOS!$A$4:$A$3003,0)),""))</f>
        <v/>
      </c>
      <c r="K6" s="49" t="n"/>
      <c r="L6" s="27">
        <f>IF($K6="","",IFERROR(INDEX(CONFIG!$B$4:$B$43,MATCH($K6,CONFIG!$A$4:$A$43,0)),"Media"))</f>
        <v/>
      </c>
      <c r="M6" s="27">
        <f>IF($K6="","",IFERROR(INDEX(CONFIG!$D$4:$D$43,MATCH($K6,CONFIG!$A$4:$A$43,0)),"NO"))</f>
        <v/>
      </c>
      <c r="N6" s="49" t="n"/>
      <c r="O6" s="27">
        <f>IF($N6="","",IFERROR(INDEX(CONFIG!$G$4:$G$43,MATCH($N6,CONFIG!$F$4:$F$43,0)),"Por definir"))</f>
        <v/>
      </c>
      <c r="P6" s="27">
        <f>IF($N6="","",IFERROR(INDEX(CONFIG!$H$4:$H$43,MATCH($N6,CONFIG!$F$4:$F$43,0)),"Por definir"))</f>
        <v/>
      </c>
      <c r="Q6" s="50" t="n"/>
      <c r="R6" s="51" t="n"/>
      <c r="S6" s="49" t="n"/>
      <c r="T6" s="49" t="n"/>
      <c r="U6" s="48">
        <f>IF(OR($B6="",$K6=""),"",WORKDAY($B6,IFERROR(INDEX(CONFIG!$C$4:$C$43,MATCH($K6,CONFIG!$A$4:$A$43,0)),3)))</f>
        <v/>
      </c>
      <c r="V6" s="46" t="n"/>
      <c r="W6" s="23">
        <f>IF($B6="","",IF($V6&lt;&gt;"",$V6-$B6,TODAY()-$B6))</f>
        <v/>
      </c>
      <c r="X6" s="27">
        <f>IF($C6="","",IF(IFERROR(INDEX(CONFIG!$K$4:$K$43,MATCH($S6,CONFIG!$J$4:$J$43,0)),"NO")="SÍ",IF(OR($V6="",$U6=""),"Resuelta",IF($V6&gt;$U6,"Resuelta tarde","Resuelta a tiempo")),IF($U6="","Sin clasificar",IF(TODAY()&gt;$U6,"Vencida",IF(TODAY()&gt;=$U6-1,"Por vencer","En plazo")))))</f>
        <v/>
      </c>
      <c r="Y6" s="49" t="n"/>
      <c r="Z6" s="49" t="n"/>
    </row>
    <row r="7" ht="16" customHeight="1">
      <c r="A7" s="27">
        <f>IF($C7="","","N-"&amp;TEXT(ROW()-3,"0000"))</f>
        <v/>
      </c>
      <c r="B7" s="46" t="n"/>
      <c r="C7" s="47" t="n"/>
      <c r="D7" s="27">
        <f>IF($C7="","",IF(COUNTIFS(ENVIOS!$A$4:$A$3003,$C7)=0,"NO EXISTE",IF(COUNTIFS(ENVIOS!$A$4:$A$3003,$C7)&gt;1,"DUPLICADA","OK")))</f>
        <v/>
      </c>
      <c r="E7" s="22">
        <f>IF($C7="","",IFERROR(INDEX(ENVIOS!$C$4:$C$3003,MATCH($C7,ENVIOS!$A$4:$A$3003,0)),"—"))</f>
        <v/>
      </c>
      <c r="F7" s="22">
        <f>IF($C7="","",IFERROR(INDEX(ENVIOS!$D$4:$D$3003,MATCH($C7,ENVIOS!$A$4:$A$3003,0)),"—"))</f>
        <v/>
      </c>
      <c r="G7" s="22">
        <f>IF($C7="","",IFERROR(INDEX(ENVIOS!$E$4:$E$3003,MATCH($C7,ENVIOS!$A$4:$A$3003,0)),"—"))</f>
        <v/>
      </c>
      <c r="H7" s="22">
        <f>IF($C7="","",IFERROR(INDEX(ENVIOS!$F$4:$F$3003,MATCH($C7,ENVIOS!$A$4:$A$3003,0)),"—"))</f>
        <v/>
      </c>
      <c r="I7" s="27">
        <f>IF($C7="","",IFERROR(INDEX(ENVIOS!$G$4:$G$3003,MATCH($C7,ENVIOS!$A$4:$A$3003,0)),"—"))</f>
        <v/>
      </c>
      <c r="J7" s="48">
        <f>IF($C7="","",IFERROR(INDEX(ENVIOS!$B$4:$B$3003,MATCH($C7,ENVIOS!$A$4:$A$3003,0)),""))</f>
        <v/>
      </c>
      <c r="K7" s="49" t="n"/>
      <c r="L7" s="27">
        <f>IF($K7="","",IFERROR(INDEX(CONFIG!$B$4:$B$43,MATCH($K7,CONFIG!$A$4:$A$43,0)),"Media"))</f>
        <v/>
      </c>
      <c r="M7" s="27">
        <f>IF($K7="","",IFERROR(INDEX(CONFIG!$D$4:$D$43,MATCH($K7,CONFIG!$A$4:$A$43,0)),"NO"))</f>
        <v/>
      </c>
      <c r="N7" s="49" t="n"/>
      <c r="O7" s="27">
        <f>IF($N7="","",IFERROR(INDEX(CONFIG!$G$4:$G$43,MATCH($N7,CONFIG!$F$4:$F$43,0)),"Por definir"))</f>
        <v/>
      </c>
      <c r="P7" s="27">
        <f>IF($N7="","",IFERROR(INDEX(CONFIG!$H$4:$H$43,MATCH($N7,CONFIG!$F$4:$F$43,0)),"Por definir"))</f>
        <v/>
      </c>
      <c r="Q7" s="50" t="n"/>
      <c r="R7" s="51" t="n"/>
      <c r="S7" s="49" t="n"/>
      <c r="T7" s="49" t="n"/>
      <c r="U7" s="48">
        <f>IF(OR($B7="",$K7=""),"",WORKDAY($B7,IFERROR(INDEX(CONFIG!$C$4:$C$43,MATCH($K7,CONFIG!$A$4:$A$43,0)),3)))</f>
        <v/>
      </c>
      <c r="V7" s="46" t="n"/>
      <c r="W7" s="23">
        <f>IF($B7="","",IF($V7&lt;&gt;"",$V7-$B7,TODAY()-$B7))</f>
        <v/>
      </c>
      <c r="X7" s="27">
        <f>IF($C7="","",IF(IFERROR(INDEX(CONFIG!$K$4:$K$43,MATCH($S7,CONFIG!$J$4:$J$43,0)),"NO")="SÍ",IF(OR($V7="",$U7=""),"Resuelta",IF($V7&gt;$U7,"Resuelta tarde","Resuelta a tiempo")),IF($U7="","Sin clasificar",IF(TODAY()&gt;$U7,"Vencida",IF(TODAY()&gt;=$U7-1,"Por vencer","En plazo")))))</f>
        <v/>
      </c>
      <c r="Y7" s="49" t="n"/>
      <c r="Z7" s="49" t="n"/>
    </row>
    <row r="8" ht="16" customHeight="1">
      <c r="A8" s="27">
        <f>IF($C8="","","N-"&amp;TEXT(ROW()-3,"0000"))</f>
        <v/>
      </c>
      <c r="B8" s="46" t="n"/>
      <c r="C8" s="47" t="n"/>
      <c r="D8" s="27">
        <f>IF($C8="","",IF(COUNTIFS(ENVIOS!$A$4:$A$3003,$C8)=0,"NO EXISTE",IF(COUNTIFS(ENVIOS!$A$4:$A$3003,$C8)&gt;1,"DUPLICADA","OK")))</f>
        <v/>
      </c>
      <c r="E8" s="22">
        <f>IF($C8="","",IFERROR(INDEX(ENVIOS!$C$4:$C$3003,MATCH($C8,ENVIOS!$A$4:$A$3003,0)),"—"))</f>
        <v/>
      </c>
      <c r="F8" s="22">
        <f>IF($C8="","",IFERROR(INDEX(ENVIOS!$D$4:$D$3003,MATCH($C8,ENVIOS!$A$4:$A$3003,0)),"—"))</f>
        <v/>
      </c>
      <c r="G8" s="22">
        <f>IF($C8="","",IFERROR(INDEX(ENVIOS!$E$4:$E$3003,MATCH($C8,ENVIOS!$A$4:$A$3003,0)),"—"))</f>
        <v/>
      </c>
      <c r="H8" s="22">
        <f>IF($C8="","",IFERROR(INDEX(ENVIOS!$F$4:$F$3003,MATCH($C8,ENVIOS!$A$4:$A$3003,0)),"—"))</f>
        <v/>
      </c>
      <c r="I8" s="27">
        <f>IF($C8="","",IFERROR(INDEX(ENVIOS!$G$4:$G$3003,MATCH($C8,ENVIOS!$A$4:$A$3003,0)),"—"))</f>
        <v/>
      </c>
      <c r="J8" s="48">
        <f>IF($C8="","",IFERROR(INDEX(ENVIOS!$B$4:$B$3003,MATCH($C8,ENVIOS!$A$4:$A$3003,0)),""))</f>
        <v/>
      </c>
      <c r="K8" s="49" t="n"/>
      <c r="L8" s="27">
        <f>IF($K8="","",IFERROR(INDEX(CONFIG!$B$4:$B$43,MATCH($K8,CONFIG!$A$4:$A$43,0)),"Media"))</f>
        <v/>
      </c>
      <c r="M8" s="27">
        <f>IF($K8="","",IFERROR(INDEX(CONFIG!$D$4:$D$43,MATCH($K8,CONFIG!$A$4:$A$43,0)),"NO"))</f>
        <v/>
      </c>
      <c r="N8" s="49" t="n"/>
      <c r="O8" s="27">
        <f>IF($N8="","",IFERROR(INDEX(CONFIG!$G$4:$G$43,MATCH($N8,CONFIG!$F$4:$F$43,0)),"Por definir"))</f>
        <v/>
      </c>
      <c r="P8" s="27">
        <f>IF($N8="","",IFERROR(INDEX(CONFIG!$H$4:$H$43,MATCH($N8,CONFIG!$F$4:$F$43,0)),"Por definir"))</f>
        <v/>
      </c>
      <c r="Q8" s="50" t="n"/>
      <c r="R8" s="51" t="n"/>
      <c r="S8" s="49" t="n"/>
      <c r="T8" s="49" t="n"/>
      <c r="U8" s="48">
        <f>IF(OR($B8="",$K8=""),"",WORKDAY($B8,IFERROR(INDEX(CONFIG!$C$4:$C$43,MATCH($K8,CONFIG!$A$4:$A$43,0)),3)))</f>
        <v/>
      </c>
      <c r="V8" s="46" t="n"/>
      <c r="W8" s="23">
        <f>IF($B8="","",IF($V8&lt;&gt;"",$V8-$B8,TODAY()-$B8))</f>
        <v/>
      </c>
      <c r="X8" s="27">
        <f>IF($C8="","",IF(IFERROR(INDEX(CONFIG!$K$4:$K$43,MATCH($S8,CONFIG!$J$4:$J$43,0)),"NO")="SÍ",IF(OR($V8="",$U8=""),"Resuelta",IF($V8&gt;$U8,"Resuelta tarde","Resuelta a tiempo")),IF($U8="","Sin clasificar",IF(TODAY()&gt;$U8,"Vencida",IF(TODAY()&gt;=$U8-1,"Por vencer","En plazo")))))</f>
        <v/>
      </c>
      <c r="Y8" s="49" t="n"/>
      <c r="Z8" s="49" t="n"/>
    </row>
    <row r="9" ht="16" customHeight="1">
      <c r="A9" s="27">
        <f>IF($C9="","","N-"&amp;TEXT(ROW()-3,"0000"))</f>
        <v/>
      </c>
      <c r="B9" s="46" t="n"/>
      <c r="C9" s="47" t="n"/>
      <c r="D9" s="27">
        <f>IF($C9="","",IF(COUNTIFS(ENVIOS!$A$4:$A$3003,$C9)=0,"NO EXISTE",IF(COUNTIFS(ENVIOS!$A$4:$A$3003,$C9)&gt;1,"DUPLICADA","OK")))</f>
        <v/>
      </c>
      <c r="E9" s="22">
        <f>IF($C9="","",IFERROR(INDEX(ENVIOS!$C$4:$C$3003,MATCH($C9,ENVIOS!$A$4:$A$3003,0)),"—"))</f>
        <v/>
      </c>
      <c r="F9" s="22">
        <f>IF($C9="","",IFERROR(INDEX(ENVIOS!$D$4:$D$3003,MATCH($C9,ENVIOS!$A$4:$A$3003,0)),"—"))</f>
        <v/>
      </c>
      <c r="G9" s="22">
        <f>IF($C9="","",IFERROR(INDEX(ENVIOS!$E$4:$E$3003,MATCH($C9,ENVIOS!$A$4:$A$3003,0)),"—"))</f>
        <v/>
      </c>
      <c r="H9" s="22">
        <f>IF($C9="","",IFERROR(INDEX(ENVIOS!$F$4:$F$3003,MATCH($C9,ENVIOS!$A$4:$A$3003,0)),"—"))</f>
        <v/>
      </c>
      <c r="I9" s="27">
        <f>IF($C9="","",IFERROR(INDEX(ENVIOS!$G$4:$G$3003,MATCH($C9,ENVIOS!$A$4:$A$3003,0)),"—"))</f>
        <v/>
      </c>
      <c r="J9" s="48">
        <f>IF($C9="","",IFERROR(INDEX(ENVIOS!$B$4:$B$3003,MATCH($C9,ENVIOS!$A$4:$A$3003,0)),""))</f>
        <v/>
      </c>
      <c r="K9" s="49" t="n"/>
      <c r="L9" s="27">
        <f>IF($K9="","",IFERROR(INDEX(CONFIG!$B$4:$B$43,MATCH($K9,CONFIG!$A$4:$A$43,0)),"Media"))</f>
        <v/>
      </c>
      <c r="M9" s="27">
        <f>IF($K9="","",IFERROR(INDEX(CONFIG!$D$4:$D$43,MATCH($K9,CONFIG!$A$4:$A$43,0)),"NO"))</f>
        <v/>
      </c>
      <c r="N9" s="49" t="n"/>
      <c r="O9" s="27">
        <f>IF($N9="","",IFERROR(INDEX(CONFIG!$G$4:$G$43,MATCH($N9,CONFIG!$F$4:$F$43,0)),"Por definir"))</f>
        <v/>
      </c>
      <c r="P9" s="27">
        <f>IF($N9="","",IFERROR(INDEX(CONFIG!$H$4:$H$43,MATCH($N9,CONFIG!$F$4:$F$43,0)),"Por definir"))</f>
        <v/>
      </c>
      <c r="Q9" s="50" t="n"/>
      <c r="R9" s="51" t="n"/>
      <c r="S9" s="49" t="n"/>
      <c r="T9" s="49" t="n"/>
      <c r="U9" s="48">
        <f>IF(OR($B9="",$K9=""),"",WORKDAY($B9,IFERROR(INDEX(CONFIG!$C$4:$C$43,MATCH($K9,CONFIG!$A$4:$A$43,0)),3)))</f>
        <v/>
      </c>
      <c r="V9" s="46" t="n"/>
      <c r="W9" s="23">
        <f>IF($B9="","",IF($V9&lt;&gt;"",$V9-$B9,TODAY()-$B9))</f>
        <v/>
      </c>
      <c r="X9" s="27">
        <f>IF($C9="","",IF(IFERROR(INDEX(CONFIG!$K$4:$K$43,MATCH($S9,CONFIG!$J$4:$J$43,0)),"NO")="SÍ",IF(OR($V9="",$U9=""),"Resuelta",IF($V9&gt;$U9,"Resuelta tarde","Resuelta a tiempo")),IF($U9="","Sin clasificar",IF(TODAY()&gt;$U9,"Vencida",IF(TODAY()&gt;=$U9-1,"Por vencer","En plazo")))))</f>
        <v/>
      </c>
      <c r="Y9" s="49" t="n"/>
      <c r="Z9" s="49" t="n"/>
    </row>
    <row r="10" ht="16" customHeight="1">
      <c r="A10" s="27">
        <f>IF($C10="","","N-"&amp;TEXT(ROW()-3,"0000"))</f>
        <v/>
      </c>
      <c r="B10" s="46" t="n"/>
      <c r="C10" s="47" t="n"/>
      <c r="D10" s="27">
        <f>IF($C10="","",IF(COUNTIFS(ENVIOS!$A$4:$A$3003,$C10)=0,"NO EXISTE",IF(COUNTIFS(ENVIOS!$A$4:$A$3003,$C10)&gt;1,"DUPLICADA","OK")))</f>
        <v/>
      </c>
      <c r="E10" s="22">
        <f>IF($C10="","",IFERROR(INDEX(ENVIOS!$C$4:$C$3003,MATCH($C10,ENVIOS!$A$4:$A$3003,0)),"—"))</f>
        <v/>
      </c>
      <c r="F10" s="22">
        <f>IF($C10="","",IFERROR(INDEX(ENVIOS!$D$4:$D$3003,MATCH($C10,ENVIOS!$A$4:$A$3003,0)),"—"))</f>
        <v/>
      </c>
      <c r="G10" s="22">
        <f>IF($C10="","",IFERROR(INDEX(ENVIOS!$E$4:$E$3003,MATCH($C10,ENVIOS!$A$4:$A$3003,0)),"—"))</f>
        <v/>
      </c>
      <c r="H10" s="22">
        <f>IF($C10="","",IFERROR(INDEX(ENVIOS!$F$4:$F$3003,MATCH($C10,ENVIOS!$A$4:$A$3003,0)),"—"))</f>
        <v/>
      </c>
      <c r="I10" s="27">
        <f>IF($C10="","",IFERROR(INDEX(ENVIOS!$G$4:$G$3003,MATCH($C10,ENVIOS!$A$4:$A$3003,0)),"—"))</f>
        <v/>
      </c>
      <c r="J10" s="48">
        <f>IF($C10="","",IFERROR(INDEX(ENVIOS!$B$4:$B$3003,MATCH($C10,ENVIOS!$A$4:$A$3003,0)),""))</f>
        <v/>
      </c>
      <c r="K10" s="49" t="n"/>
      <c r="L10" s="27">
        <f>IF($K10="","",IFERROR(INDEX(CONFIG!$B$4:$B$43,MATCH($K10,CONFIG!$A$4:$A$43,0)),"Media"))</f>
        <v/>
      </c>
      <c r="M10" s="27">
        <f>IF($K10="","",IFERROR(INDEX(CONFIG!$D$4:$D$43,MATCH($K10,CONFIG!$A$4:$A$43,0)),"NO"))</f>
        <v/>
      </c>
      <c r="N10" s="49" t="n"/>
      <c r="O10" s="27">
        <f>IF($N10="","",IFERROR(INDEX(CONFIG!$G$4:$G$43,MATCH($N10,CONFIG!$F$4:$F$43,0)),"Por definir"))</f>
        <v/>
      </c>
      <c r="P10" s="27">
        <f>IF($N10="","",IFERROR(INDEX(CONFIG!$H$4:$H$43,MATCH($N10,CONFIG!$F$4:$F$43,0)),"Por definir"))</f>
        <v/>
      </c>
      <c r="Q10" s="50" t="n"/>
      <c r="R10" s="51" t="n"/>
      <c r="S10" s="49" t="n"/>
      <c r="T10" s="49" t="n"/>
      <c r="U10" s="48">
        <f>IF(OR($B10="",$K10=""),"",WORKDAY($B10,IFERROR(INDEX(CONFIG!$C$4:$C$43,MATCH($K10,CONFIG!$A$4:$A$43,0)),3)))</f>
        <v/>
      </c>
      <c r="V10" s="46" t="n"/>
      <c r="W10" s="23">
        <f>IF($B10="","",IF($V10&lt;&gt;"",$V10-$B10,TODAY()-$B10))</f>
        <v/>
      </c>
      <c r="X10" s="27">
        <f>IF($C10="","",IF(IFERROR(INDEX(CONFIG!$K$4:$K$43,MATCH($S10,CONFIG!$J$4:$J$43,0)),"NO")="SÍ",IF(OR($V10="",$U10=""),"Resuelta",IF($V10&gt;$U10,"Resuelta tarde","Resuelta a tiempo")),IF($U10="","Sin clasificar",IF(TODAY()&gt;$U10,"Vencida",IF(TODAY()&gt;=$U10-1,"Por vencer","En plazo")))))</f>
        <v/>
      </c>
      <c r="Y10" s="49" t="n"/>
      <c r="Z10" s="49" t="n"/>
    </row>
    <row r="11" ht="16" customHeight="1">
      <c r="A11" s="27">
        <f>IF($C11="","","N-"&amp;TEXT(ROW()-3,"0000"))</f>
        <v/>
      </c>
      <c r="B11" s="46" t="n"/>
      <c r="C11" s="47" t="n"/>
      <c r="D11" s="27">
        <f>IF($C11="","",IF(COUNTIFS(ENVIOS!$A$4:$A$3003,$C11)=0,"NO EXISTE",IF(COUNTIFS(ENVIOS!$A$4:$A$3003,$C11)&gt;1,"DUPLICADA","OK")))</f>
        <v/>
      </c>
      <c r="E11" s="22">
        <f>IF($C11="","",IFERROR(INDEX(ENVIOS!$C$4:$C$3003,MATCH($C11,ENVIOS!$A$4:$A$3003,0)),"—"))</f>
        <v/>
      </c>
      <c r="F11" s="22">
        <f>IF($C11="","",IFERROR(INDEX(ENVIOS!$D$4:$D$3003,MATCH($C11,ENVIOS!$A$4:$A$3003,0)),"—"))</f>
        <v/>
      </c>
      <c r="G11" s="22">
        <f>IF($C11="","",IFERROR(INDEX(ENVIOS!$E$4:$E$3003,MATCH($C11,ENVIOS!$A$4:$A$3003,0)),"—"))</f>
        <v/>
      </c>
      <c r="H11" s="22">
        <f>IF($C11="","",IFERROR(INDEX(ENVIOS!$F$4:$F$3003,MATCH($C11,ENVIOS!$A$4:$A$3003,0)),"—"))</f>
        <v/>
      </c>
      <c r="I11" s="27">
        <f>IF($C11="","",IFERROR(INDEX(ENVIOS!$G$4:$G$3003,MATCH($C11,ENVIOS!$A$4:$A$3003,0)),"—"))</f>
        <v/>
      </c>
      <c r="J11" s="48">
        <f>IF($C11="","",IFERROR(INDEX(ENVIOS!$B$4:$B$3003,MATCH($C11,ENVIOS!$A$4:$A$3003,0)),""))</f>
        <v/>
      </c>
      <c r="K11" s="49" t="n"/>
      <c r="L11" s="27">
        <f>IF($K11="","",IFERROR(INDEX(CONFIG!$B$4:$B$43,MATCH($K11,CONFIG!$A$4:$A$43,0)),"Media"))</f>
        <v/>
      </c>
      <c r="M11" s="27">
        <f>IF($K11="","",IFERROR(INDEX(CONFIG!$D$4:$D$43,MATCH($K11,CONFIG!$A$4:$A$43,0)),"NO"))</f>
        <v/>
      </c>
      <c r="N11" s="49" t="n"/>
      <c r="O11" s="27">
        <f>IF($N11="","",IFERROR(INDEX(CONFIG!$G$4:$G$43,MATCH($N11,CONFIG!$F$4:$F$43,0)),"Por definir"))</f>
        <v/>
      </c>
      <c r="P11" s="27">
        <f>IF($N11="","",IFERROR(INDEX(CONFIG!$H$4:$H$43,MATCH($N11,CONFIG!$F$4:$F$43,0)),"Por definir"))</f>
        <v/>
      </c>
      <c r="Q11" s="50" t="n"/>
      <c r="R11" s="51" t="n"/>
      <c r="S11" s="49" t="n"/>
      <c r="T11" s="49" t="n"/>
      <c r="U11" s="48">
        <f>IF(OR($B11="",$K11=""),"",WORKDAY($B11,IFERROR(INDEX(CONFIG!$C$4:$C$43,MATCH($K11,CONFIG!$A$4:$A$43,0)),3)))</f>
        <v/>
      </c>
      <c r="V11" s="46" t="n"/>
      <c r="W11" s="23">
        <f>IF($B11="","",IF($V11&lt;&gt;"",$V11-$B11,TODAY()-$B11))</f>
        <v/>
      </c>
      <c r="X11" s="27">
        <f>IF($C11="","",IF(IFERROR(INDEX(CONFIG!$K$4:$K$43,MATCH($S11,CONFIG!$J$4:$J$43,0)),"NO")="SÍ",IF(OR($V11="",$U11=""),"Resuelta",IF($V11&gt;$U11,"Resuelta tarde","Resuelta a tiempo")),IF($U11="","Sin clasificar",IF(TODAY()&gt;$U11,"Vencida",IF(TODAY()&gt;=$U11-1,"Por vencer","En plazo")))))</f>
        <v/>
      </c>
      <c r="Y11" s="49" t="n"/>
      <c r="Z11" s="49" t="n"/>
    </row>
    <row r="12" ht="16" customHeight="1">
      <c r="A12" s="27">
        <f>IF($C12="","","N-"&amp;TEXT(ROW()-3,"0000"))</f>
        <v/>
      </c>
      <c r="B12" s="46" t="n"/>
      <c r="C12" s="47" t="n"/>
      <c r="D12" s="27">
        <f>IF($C12="","",IF(COUNTIFS(ENVIOS!$A$4:$A$3003,$C12)=0,"NO EXISTE",IF(COUNTIFS(ENVIOS!$A$4:$A$3003,$C12)&gt;1,"DUPLICADA","OK")))</f>
        <v/>
      </c>
      <c r="E12" s="22">
        <f>IF($C12="","",IFERROR(INDEX(ENVIOS!$C$4:$C$3003,MATCH($C12,ENVIOS!$A$4:$A$3003,0)),"—"))</f>
        <v/>
      </c>
      <c r="F12" s="22">
        <f>IF($C12="","",IFERROR(INDEX(ENVIOS!$D$4:$D$3003,MATCH($C12,ENVIOS!$A$4:$A$3003,0)),"—"))</f>
        <v/>
      </c>
      <c r="G12" s="22">
        <f>IF($C12="","",IFERROR(INDEX(ENVIOS!$E$4:$E$3003,MATCH($C12,ENVIOS!$A$4:$A$3003,0)),"—"))</f>
        <v/>
      </c>
      <c r="H12" s="22">
        <f>IF($C12="","",IFERROR(INDEX(ENVIOS!$F$4:$F$3003,MATCH($C12,ENVIOS!$A$4:$A$3003,0)),"—"))</f>
        <v/>
      </c>
      <c r="I12" s="27">
        <f>IF($C12="","",IFERROR(INDEX(ENVIOS!$G$4:$G$3003,MATCH($C12,ENVIOS!$A$4:$A$3003,0)),"—"))</f>
        <v/>
      </c>
      <c r="J12" s="48">
        <f>IF($C12="","",IFERROR(INDEX(ENVIOS!$B$4:$B$3003,MATCH($C12,ENVIOS!$A$4:$A$3003,0)),""))</f>
        <v/>
      </c>
      <c r="K12" s="49" t="n"/>
      <c r="L12" s="27">
        <f>IF($K12="","",IFERROR(INDEX(CONFIG!$B$4:$B$43,MATCH($K12,CONFIG!$A$4:$A$43,0)),"Media"))</f>
        <v/>
      </c>
      <c r="M12" s="27">
        <f>IF($K12="","",IFERROR(INDEX(CONFIG!$D$4:$D$43,MATCH($K12,CONFIG!$A$4:$A$43,0)),"NO"))</f>
        <v/>
      </c>
      <c r="N12" s="49" t="n"/>
      <c r="O12" s="27">
        <f>IF($N12="","",IFERROR(INDEX(CONFIG!$G$4:$G$43,MATCH($N12,CONFIG!$F$4:$F$43,0)),"Por definir"))</f>
        <v/>
      </c>
      <c r="P12" s="27">
        <f>IF($N12="","",IFERROR(INDEX(CONFIG!$H$4:$H$43,MATCH($N12,CONFIG!$F$4:$F$43,0)),"Por definir"))</f>
        <v/>
      </c>
      <c r="Q12" s="50" t="n"/>
      <c r="R12" s="51" t="n"/>
      <c r="S12" s="49" t="n"/>
      <c r="T12" s="49" t="n"/>
      <c r="U12" s="48">
        <f>IF(OR($B12="",$K12=""),"",WORKDAY($B12,IFERROR(INDEX(CONFIG!$C$4:$C$43,MATCH($K12,CONFIG!$A$4:$A$43,0)),3)))</f>
        <v/>
      </c>
      <c r="V12" s="46" t="n"/>
      <c r="W12" s="23">
        <f>IF($B12="","",IF($V12&lt;&gt;"",$V12-$B12,TODAY()-$B12))</f>
        <v/>
      </c>
      <c r="X12" s="27">
        <f>IF($C12="","",IF(IFERROR(INDEX(CONFIG!$K$4:$K$43,MATCH($S12,CONFIG!$J$4:$J$43,0)),"NO")="SÍ",IF(OR($V12="",$U12=""),"Resuelta",IF($V12&gt;$U12,"Resuelta tarde","Resuelta a tiempo")),IF($U12="","Sin clasificar",IF(TODAY()&gt;$U12,"Vencida",IF(TODAY()&gt;=$U12-1,"Por vencer","En plazo")))))</f>
        <v/>
      </c>
      <c r="Y12" s="49" t="n"/>
      <c r="Z12" s="49" t="n"/>
    </row>
    <row r="13" ht="16" customHeight="1">
      <c r="A13" s="27">
        <f>IF($C13="","","N-"&amp;TEXT(ROW()-3,"0000"))</f>
        <v/>
      </c>
      <c r="B13" s="46" t="n"/>
      <c r="C13" s="47" t="n"/>
      <c r="D13" s="27">
        <f>IF($C13="","",IF(COUNTIFS(ENVIOS!$A$4:$A$3003,$C13)=0,"NO EXISTE",IF(COUNTIFS(ENVIOS!$A$4:$A$3003,$C13)&gt;1,"DUPLICADA","OK")))</f>
        <v/>
      </c>
      <c r="E13" s="22">
        <f>IF($C13="","",IFERROR(INDEX(ENVIOS!$C$4:$C$3003,MATCH($C13,ENVIOS!$A$4:$A$3003,0)),"—"))</f>
        <v/>
      </c>
      <c r="F13" s="22">
        <f>IF($C13="","",IFERROR(INDEX(ENVIOS!$D$4:$D$3003,MATCH($C13,ENVIOS!$A$4:$A$3003,0)),"—"))</f>
        <v/>
      </c>
      <c r="G13" s="22">
        <f>IF($C13="","",IFERROR(INDEX(ENVIOS!$E$4:$E$3003,MATCH($C13,ENVIOS!$A$4:$A$3003,0)),"—"))</f>
        <v/>
      </c>
      <c r="H13" s="22">
        <f>IF($C13="","",IFERROR(INDEX(ENVIOS!$F$4:$F$3003,MATCH($C13,ENVIOS!$A$4:$A$3003,0)),"—"))</f>
        <v/>
      </c>
      <c r="I13" s="27">
        <f>IF($C13="","",IFERROR(INDEX(ENVIOS!$G$4:$G$3003,MATCH($C13,ENVIOS!$A$4:$A$3003,0)),"—"))</f>
        <v/>
      </c>
      <c r="J13" s="48">
        <f>IF($C13="","",IFERROR(INDEX(ENVIOS!$B$4:$B$3003,MATCH($C13,ENVIOS!$A$4:$A$3003,0)),""))</f>
        <v/>
      </c>
      <c r="K13" s="49" t="n"/>
      <c r="L13" s="27">
        <f>IF($K13="","",IFERROR(INDEX(CONFIG!$B$4:$B$43,MATCH($K13,CONFIG!$A$4:$A$43,0)),"Media"))</f>
        <v/>
      </c>
      <c r="M13" s="27">
        <f>IF($K13="","",IFERROR(INDEX(CONFIG!$D$4:$D$43,MATCH($K13,CONFIG!$A$4:$A$43,0)),"NO"))</f>
        <v/>
      </c>
      <c r="N13" s="49" t="n"/>
      <c r="O13" s="27">
        <f>IF($N13="","",IFERROR(INDEX(CONFIG!$G$4:$G$43,MATCH($N13,CONFIG!$F$4:$F$43,0)),"Por definir"))</f>
        <v/>
      </c>
      <c r="P13" s="27">
        <f>IF($N13="","",IFERROR(INDEX(CONFIG!$H$4:$H$43,MATCH($N13,CONFIG!$F$4:$F$43,0)),"Por definir"))</f>
        <v/>
      </c>
      <c r="Q13" s="50" t="n"/>
      <c r="R13" s="51" t="n"/>
      <c r="S13" s="49" t="n"/>
      <c r="T13" s="49" t="n"/>
      <c r="U13" s="48">
        <f>IF(OR($B13="",$K13=""),"",WORKDAY($B13,IFERROR(INDEX(CONFIG!$C$4:$C$43,MATCH($K13,CONFIG!$A$4:$A$43,0)),3)))</f>
        <v/>
      </c>
      <c r="V13" s="46" t="n"/>
      <c r="W13" s="23">
        <f>IF($B13="","",IF($V13&lt;&gt;"",$V13-$B13,TODAY()-$B13))</f>
        <v/>
      </c>
      <c r="X13" s="27">
        <f>IF($C13="","",IF(IFERROR(INDEX(CONFIG!$K$4:$K$43,MATCH($S13,CONFIG!$J$4:$J$43,0)),"NO")="SÍ",IF(OR($V13="",$U13=""),"Resuelta",IF($V13&gt;$U13,"Resuelta tarde","Resuelta a tiempo")),IF($U13="","Sin clasificar",IF(TODAY()&gt;$U13,"Vencida",IF(TODAY()&gt;=$U13-1,"Por vencer","En plazo")))))</f>
        <v/>
      </c>
      <c r="Y13" s="49" t="n"/>
      <c r="Z13" s="49" t="n"/>
    </row>
    <row r="14" ht="16" customHeight="1">
      <c r="A14" s="27">
        <f>IF($C14="","","N-"&amp;TEXT(ROW()-3,"0000"))</f>
        <v/>
      </c>
      <c r="B14" s="46" t="n"/>
      <c r="C14" s="47" t="n"/>
      <c r="D14" s="27">
        <f>IF($C14="","",IF(COUNTIFS(ENVIOS!$A$4:$A$3003,$C14)=0,"NO EXISTE",IF(COUNTIFS(ENVIOS!$A$4:$A$3003,$C14)&gt;1,"DUPLICADA","OK")))</f>
        <v/>
      </c>
      <c r="E14" s="22">
        <f>IF($C14="","",IFERROR(INDEX(ENVIOS!$C$4:$C$3003,MATCH($C14,ENVIOS!$A$4:$A$3003,0)),"—"))</f>
        <v/>
      </c>
      <c r="F14" s="22">
        <f>IF($C14="","",IFERROR(INDEX(ENVIOS!$D$4:$D$3003,MATCH($C14,ENVIOS!$A$4:$A$3003,0)),"—"))</f>
        <v/>
      </c>
      <c r="G14" s="22">
        <f>IF($C14="","",IFERROR(INDEX(ENVIOS!$E$4:$E$3003,MATCH($C14,ENVIOS!$A$4:$A$3003,0)),"—"))</f>
        <v/>
      </c>
      <c r="H14" s="22">
        <f>IF($C14="","",IFERROR(INDEX(ENVIOS!$F$4:$F$3003,MATCH($C14,ENVIOS!$A$4:$A$3003,0)),"—"))</f>
        <v/>
      </c>
      <c r="I14" s="27">
        <f>IF($C14="","",IFERROR(INDEX(ENVIOS!$G$4:$G$3003,MATCH($C14,ENVIOS!$A$4:$A$3003,0)),"—"))</f>
        <v/>
      </c>
      <c r="J14" s="48">
        <f>IF($C14="","",IFERROR(INDEX(ENVIOS!$B$4:$B$3003,MATCH($C14,ENVIOS!$A$4:$A$3003,0)),""))</f>
        <v/>
      </c>
      <c r="K14" s="49" t="n"/>
      <c r="L14" s="27">
        <f>IF($K14="","",IFERROR(INDEX(CONFIG!$B$4:$B$43,MATCH($K14,CONFIG!$A$4:$A$43,0)),"Media"))</f>
        <v/>
      </c>
      <c r="M14" s="27">
        <f>IF($K14="","",IFERROR(INDEX(CONFIG!$D$4:$D$43,MATCH($K14,CONFIG!$A$4:$A$43,0)),"NO"))</f>
        <v/>
      </c>
      <c r="N14" s="49" t="n"/>
      <c r="O14" s="27">
        <f>IF($N14="","",IFERROR(INDEX(CONFIG!$G$4:$G$43,MATCH($N14,CONFIG!$F$4:$F$43,0)),"Por definir"))</f>
        <v/>
      </c>
      <c r="P14" s="27">
        <f>IF($N14="","",IFERROR(INDEX(CONFIG!$H$4:$H$43,MATCH($N14,CONFIG!$F$4:$F$43,0)),"Por definir"))</f>
        <v/>
      </c>
      <c r="Q14" s="50" t="n"/>
      <c r="R14" s="51" t="n"/>
      <c r="S14" s="49" t="n"/>
      <c r="T14" s="49" t="n"/>
      <c r="U14" s="48">
        <f>IF(OR($B14="",$K14=""),"",WORKDAY($B14,IFERROR(INDEX(CONFIG!$C$4:$C$43,MATCH($K14,CONFIG!$A$4:$A$43,0)),3)))</f>
        <v/>
      </c>
      <c r="V14" s="46" t="n"/>
      <c r="W14" s="23">
        <f>IF($B14="","",IF($V14&lt;&gt;"",$V14-$B14,TODAY()-$B14))</f>
        <v/>
      </c>
      <c r="X14" s="27">
        <f>IF($C14="","",IF(IFERROR(INDEX(CONFIG!$K$4:$K$43,MATCH($S14,CONFIG!$J$4:$J$43,0)),"NO")="SÍ",IF(OR($V14="",$U14=""),"Resuelta",IF($V14&gt;$U14,"Resuelta tarde","Resuelta a tiempo")),IF($U14="","Sin clasificar",IF(TODAY()&gt;$U14,"Vencida",IF(TODAY()&gt;=$U14-1,"Por vencer","En plazo")))))</f>
        <v/>
      </c>
      <c r="Y14" s="49" t="n"/>
      <c r="Z14" s="49" t="n"/>
    </row>
    <row r="15" ht="16" customHeight="1">
      <c r="A15" s="27">
        <f>IF($C15="","","N-"&amp;TEXT(ROW()-3,"0000"))</f>
        <v/>
      </c>
      <c r="B15" s="46" t="n"/>
      <c r="C15" s="47" t="n"/>
      <c r="D15" s="27">
        <f>IF($C15="","",IF(COUNTIFS(ENVIOS!$A$4:$A$3003,$C15)=0,"NO EXISTE",IF(COUNTIFS(ENVIOS!$A$4:$A$3003,$C15)&gt;1,"DUPLICADA","OK")))</f>
        <v/>
      </c>
      <c r="E15" s="22">
        <f>IF($C15="","",IFERROR(INDEX(ENVIOS!$C$4:$C$3003,MATCH($C15,ENVIOS!$A$4:$A$3003,0)),"—"))</f>
        <v/>
      </c>
      <c r="F15" s="22">
        <f>IF($C15="","",IFERROR(INDEX(ENVIOS!$D$4:$D$3003,MATCH($C15,ENVIOS!$A$4:$A$3003,0)),"—"))</f>
        <v/>
      </c>
      <c r="G15" s="22">
        <f>IF($C15="","",IFERROR(INDEX(ENVIOS!$E$4:$E$3003,MATCH($C15,ENVIOS!$A$4:$A$3003,0)),"—"))</f>
        <v/>
      </c>
      <c r="H15" s="22">
        <f>IF($C15="","",IFERROR(INDEX(ENVIOS!$F$4:$F$3003,MATCH($C15,ENVIOS!$A$4:$A$3003,0)),"—"))</f>
        <v/>
      </c>
      <c r="I15" s="27">
        <f>IF($C15="","",IFERROR(INDEX(ENVIOS!$G$4:$G$3003,MATCH($C15,ENVIOS!$A$4:$A$3003,0)),"—"))</f>
        <v/>
      </c>
      <c r="J15" s="48">
        <f>IF($C15="","",IFERROR(INDEX(ENVIOS!$B$4:$B$3003,MATCH($C15,ENVIOS!$A$4:$A$3003,0)),""))</f>
        <v/>
      </c>
      <c r="K15" s="49" t="n"/>
      <c r="L15" s="27">
        <f>IF($K15="","",IFERROR(INDEX(CONFIG!$B$4:$B$43,MATCH($K15,CONFIG!$A$4:$A$43,0)),"Media"))</f>
        <v/>
      </c>
      <c r="M15" s="27">
        <f>IF($K15="","",IFERROR(INDEX(CONFIG!$D$4:$D$43,MATCH($K15,CONFIG!$A$4:$A$43,0)),"NO"))</f>
        <v/>
      </c>
      <c r="N15" s="49" t="n"/>
      <c r="O15" s="27">
        <f>IF($N15="","",IFERROR(INDEX(CONFIG!$G$4:$G$43,MATCH($N15,CONFIG!$F$4:$F$43,0)),"Por definir"))</f>
        <v/>
      </c>
      <c r="P15" s="27">
        <f>IF($N15="","",IFERROR(INDEX(CONFIG!$H$4:$H$43,MATCH($N15,CONFIG!$F$4:$F$43,0)),"Por definir"))</f>
        <v/>
      </c>
      <c r="Q15" s="50" t="n"/>
      <c r="R15" s="51" t="n"/>
      <c r="S15" s="49" t="n"/>
      <c r="T15" s="49" t="n"/>
      <c r="U15" s="48">
        <f>IF(OR($B15="",$K15=""),"",WORKDAY($B15,IFERROR(INDEX(CONFIG!$C$4:$C$43,MATCH($K15,CONFIG!$A$4:$A$43,0)),3)))</f>
        <v/>
      </c>
      <c r="V15" s="46" t="n"/>
      <c r="W15" s="23">
        <f>IF($B15="","",IF($V15&lt;&gt;"",$V15-$B15,TODAY()-$B15))</f>
        <v/>
      </c>
      <c r="X15" s="27">
        <f>IF($C15="","",IF(IFERROR(INDEX(CONFIG!$K$4:$K$43,MATCH($S15,CONFIG!$J$4:$J$43,0)),"NO")="SÍ",IF(OR($V15="",$U15=""),"Resuelta",IF($V15&gt;$U15,"Resuelta tarde","Resuelta a tiempo")),IF($U15="","Sin clasificar",IF(TODAY()&gt;$U15,"Vencida",IF(TODAY()&gt;=$U15-1,"Por vencer","En plazo")))))</f>
        <v/>
      </c>
      <c r="Y15" s="49" t="n"/>
      <c r="Z15" s="49" t="n"/>
    </row>
    <row r="16" ht="16" customHeight="1">
      <c r="A16" s="27">
        <f>IF($C16="","","N-"&amp;TEXT(ROW()-3,"0000"))</f>
        <v/>
      </c>
      <c r="B16" s="46" t="n"/>
      <c r="C16" s="47" t="n"/>
      <c r="D16" s="27">
        <f>IF($C16="","",IF(COUNTIFS(ENVIOS!$A$4:$A$3003,$C16)=0,"NO EXISTE",IF(COUNTIFS(ENVIOS!$A$4:$A$3003,$C16)&gt;1,"DUPLICADA","OK")))</f>
        <v/>
      </c>
      <c r="E16" s="22">
        <f>IF($C16="","",IFERROR(INDEX(ENVIOS!$C$4:$C$3003,MATCH($C16,ENVIOS!$A$4:$A$3003,0)),"—"))</f>
        <v/>
      </c>
      <c r="F16" s="22">
        <f>IF($C16="","",IFERROR(INDEX(ENVIOS!$D$4:$D$3003,MATCH($C16,ENVIOS!$A$4:$A$3003,0)),"—"))</f>
        <v/>
      </c>
      <c r="G16" s="22">
        <f>IF($C16="","",IFERROR(INDEX(ENVIOS!$E$4:$E$3003,MATCH($C16,ENVIOS!$A$4:$A$3003,0)),"—"))</f>
        <v/>
      </c>
      <c r="H16" s="22">
        <f>IF($C16="","",IFERROR(INDEX(ENVIOS!$F$4:$F$3003,MATCH($C16,ENVIOS!$A$4:$A$3003,0)),"—"))</f>
        <v/>
      </c>
      <c r="I16" s="27">
        <f>IF($C16="","",IFERROR(INDEX(ENVIOS!$G$4:$G$3003,MATCH($C16,ENVIOS!$A$4:$A$3003,0)),"—"))</f>
        <v/>
      </c>
      <c r="J16" s="48">
        <f>IF($C16="","",IFERROR(INDEX(ENVIOS!$B$4:$B$3003,MATCH($C16,ENVIOS!$A$4:$A$3003,0)),""))</f>
        <v/>
      </c>
      <c r="K16" s="49" t="n"/>
      <c r="L16" s="27">
        <f>IF($K16="","",IFERROR(INDEX(CONFIG!$B$4:$B$43,MATCH($K16,CONFIG!$A$4:$A$43,0)),"Media"))</f>
        <v/>
      </c>
      <c r="M16" s="27">
        <f>IF($K16="","",IFERROR(INDEX(CONFIG!$D$4:$D$43,MATCH($K16,CONFIG!$A$4:$A$43,0)),"NO"))</f>
        <v/>
      </c>
      <c r="N16" s="49" t="n"/>
      <c r="O16" s="27">
        <f>IF($N16="","",IFERROR(INDEX(CONFIG!$G$4:$G$43,MATCH($N16,CONFIG!$F$4:$F$43,0)),"Por definir"))</f>
        <v/>
      </c>
      <c r="P16" s="27">
        <f>IF($N16="","",IFERROR(INDEX(CONFIG!$H$4:$H$43,MATCH($N16,CONFIG!$F$4:$F$43,0)),"Por definir"))</f>
        <v/>
      </c>
      <c r="Q16" s="50" t="n"/>
      <c r="R16" s="51" t="n"/>
      <c r="S16" s="49" t="n"/>
      <c r="T16" s="49" t="n"/>
      <c r="U16" s="48">
        <f>IF(OR($B16="",$K16=""),"",WORKDAY($B16,IFERROR(INDEX(CONFIG!$C$4:$C$43,MATCH($K16,CONFIG!$A$4:$A$43,0)),3)))</f>
        <v/>
      </c>
      <c r="V16" s="46" t="n"/>
      <c r="W16" s="23">
        <f>IF($B16="","",IF($V16&lt;&gt;"",$V16-$B16,TODAY()-$B16))</f>
        <v/>
      </c>
      <c r="X16" s="27">
        <f>IF($C16="","",IF(IFERROR(INDEX(CONFIG!$K$4:$K$43,MATCH($S16,CONFIG!$J$4:$J$43,0)),"NO")="SÍ",IF(OR($V16="",$U16=""),"Resuelta",IF($V16&gt;$U16,"Resuelta tarde","Resuelta a tiempo")),IF($U16="","Sin clasificar",IF(TODAY()&gt;$U16,"Vencida",IF(TODAY()&gt;=$U16-1,"Por vencer","En plazo")))))</f>
        <v/>
      </c>
      <c r="Y16" s="49" t="n"/>
      <c r="Z16" s="49" t="n"/>
    </row>
    <row r="17" ht="16" customHeight="1">
      <c r="A17" s="27">
        <f>IF($C17="","","N-"&amp;TEXT(ROW()-3,"0000"))</f>
        <v/>
      </c>
      <c r="B17" s="46" t="n"/>
      <c r="C17" s="47" t="n"/>
      <c r="D17" s="27">
        <f>IF($C17="","",IF(COUNTIFS(ENVIOS!$A$4:$A$3003,$C17)=0,"NO EXISTE",IF(COUNTIFS(ENVIOS!$A$4:$A$3003,$C17)&gt;1,"DUPLICADA","OK")))</f>
        <v/>
      </c>
      <c r="E17" s="22">
        <f>IF($C17="","",IFERROR(INDEX(ENVIOS!$C$4:$C$3003,MATCH($C17,ENVIOS!$A$4:$A$3003,0)),"—"))</f>
        <v/>
      </c>
      <c r="F17" s="22">
        <f>IF($C17="","",IFERROR(INDEX(ENVIOS!$D$4:$D$3003,MATCH($C17,ENVIOS!$A$4:$A$3003,0)),"—"))</f>
        <v/>
      </c>
      <c r="G17" s="22">
        <f>IF($C17="","",IFERROR(INDEX(ENVIOS!$E$4:$E$3003,MATCH($C17,ENVIOS!$A$4:$A$3003,0)),"—"))</f>
        <v/>
      </c>
      <c r="H17" s="22">
        <f>IF($C17="","",IFERROR(INDEX(ENVIOS!$F$4:$F$3003,MATCH($C17,ENVIOS!$A$4:$A$3003,0)),"—"))</f>
        <v/>
      </c>
      <c r="I17" s="27">
        <f>IF($C17="","",IFERROR(INDEX(ENVIOS!$G$4:$G$3003,MATCH($C17,ENVIOS!$A$4:$A$3003,0)),"—"))</f>
        <v/>
      </c>
      <c r="J17" s="48">
        <f>IF($C17="","",IFERROR(INDEX(ENVIOS!$B$4:$B$3003,MATCH($C17,ENVIOS!$A$4:$A$3003,0)),""))</f>
        <v/>
      </c>
      <c r="K17" s="49" t="n"/>
      <c r="L17" s="27">
        <f>IF($K17="","",IFERROR(INDEX(CONFIG!$B$4:$B$43,MATCH($K17,CONFIG!$A$4:$A$43,0)),"Media"))</f>
        <v/>
      </c>
      <c r="M17" s="27">
        <f>IF($K17="","",IFERROR(INDEX(CONFIG!$D$4:$D$43,MATCH($K17,CONFIG!$A$4:$A$43,0)),"NO"))</f>
        <v/>
      </c>
      <c r="N17" s="49" t="n"/>
      <c r="O17" s="27">
        <f>IF($N17="","",IFERROR(INDEX(CONFIG!$G$4:$G$43,MATCH($N17,CONFIG!$F$4:$F$43,0)),"Por definir"))</f>
        <v/>
      </c>
      <c r="P17" s="27">
        <f>IF($N17="","",IFERROR(INDEX(CONFIG!$H$4:$H$43,MATCH($N17,CONFIG!$F$4:$F$43,0)),"Por definir"))</f>
        <v/>
      </c>
      <c r="Q17" s="50" t="n"/>
      <c r="R17" s="51" t="n"/>
      <c r="S17" s="49" t="n"/>
      <c r="T17" s="49" t="n"/>
      <c r="U17" s="48">
        <f>IF(OR($B17="",$K17=""),"",WORKDAY($B17,IFERROR(INDEX(CONFIG!$C$4:$C$43,MATCH($K17,CONFIG!$A$4:$A$43,0)),3)))</f>
        <v/>
      </c>
      <c r="V17" s="46" t="n"/>
      <c r="W17" s="23">
        <f>IF($B17="","",IF($V17&lt;&gt;"",$V17-$B17,TODAY()-$B17))</f>
        <v/>
      </c>
      <c r="X17" s="27">
        <f>IF($C17="","",IF(IFERROR(INDEX(CONFIG!$K$4:$K$43,MATCH($S17,CONFIG!$J$4:$J$43,0)),"NO")="SÍ",IF(OR($V17="",$U17=""),"Resuelta",IF($V17&gt;$U17,"Resuelta tarde","Resuelta a tiempo")),IF($U17="","Sin clasificar",IF(TODAY()&gt;$U17,"Vencida",IF(TODAY()&gt;=$U17-1,"Por vencer","En plazo")))))</f>
        <v/>
      </c>
      <c r="Y17" s="49" t="n"/>
      <c r="Z17" s="49" t="n"/>
    </row>
    <row r="18" ht="16" customHeight="1">
      <c r="A18" s="27">
        <f>IF($C18="","","N-"&amp;TEXT(ROW()-3,"0000"))</f>
        <v/>
      </c>
      <c r="B18" s="46" t="n"/>
      <c r="C18" s="47" t="n"/>
      <c r="D18" s="27">
        <f>IF($C18="","",IF(COUNTIFS(ENVIOS!$A$4:$A$3003,$C18)=0,"NO EXISTE",IF(COUNTIFS(ENVIOS!$A$4:$A$3003,$C18)&gt;1,"DUPLICADA","OK")))</f>
        <v/>
      </c>
      <c r="E18" s="22">
        <f>IF($C18="","",IFERROR(INDEX(ENVIOS!$C$4:$C$3003,MATCH($C18,ENVIOS!$A$4:$A$3003,0)),"—"))</f>
        <v/>
      </c>
      <c r="F18" s="22">
        <f>IF($C18="","",IFERROR(INDEX(ENVIOS!$D$4:$D$3003,MATCH($C18,ENVIOS!$A$4:$A$3003,0)),"—"))</f>
        <v/>
      </c>
      <c r="G18" s="22">
        <f>IF($C18="","",IFERROR(INDEX(ENVIOS!$E$4:$E$3003,MATCH($C18,ENVIOS!$A$4:$A$3003,0)),"—"))</f>
        <v/>
      </c>
      <c r="H18" s="22">
        <f>IF($C18="","",IFERROR(INDEX(ENVIOS!$F$4:$F$3003,MATCH($C18,ENVIOS!$A$4:$A$3003,0)),"—"))</f>
        <v/>
      </c>
      <c r="I18" s="27">
        <f>IF($C18="","",IFERROR(INDEX(ENVIOS!$G$4:$G$3003,MATCH($C18,ENVIOS!$A$4:$A$3003,0)),"—"))</f>
        <v/>
      </c>
      <c r="J18" s="48">
        <f>IF($C18="","",IFERROR(INDEX(ENVIOS!$B$4:$B$3003,MATCH($C18,ENVIOS!$A$4:$A$3003,0)),""))</f>
        <v/>
      </c>
      <c r="K18" s="49" t="n"/>
      <c r="L18" s="27">
        <f>IF($K18="","",IFERROR(INDEX(CONFIG!$B$4:$B$43,MATCH($K18,CONFIG!$A$4:$A$43,0)),"Media"))</f>
        <v/>
      </c>
      <c r="M18" s="27">
        <f>IF($K18="","",IFERROR(INDEX(CONFIG!$D$4:$D$43,MATCH($K18,CONFIG!$A$4:$A$43,0)),"NO"))</f>
        <v/>
      </c>
      <c r="N18" s="49" t="n"/>
      <c r="O18" s="27">
        <f>IF($N18="","",IFERROR(INDEX(CONFIG!$G$4:$G$43,MATCH($N18,CONFIG!$F$4:$F$43,0)),"Por definir"))</f>
        <v/>
      </c>
      <c r="P18" s="27">
        <f>IF($N18="","",IFERROR(INDEX(CONFIG!$H$4:$H$43,MATCH($N18,CONFIG!$F$4:$F$43,0)),"Por definir"))</f>
        <v/>
      </c>
      <c r="Q18" s="50" t="n"/>
      <c r="R18" s="51" t="n"/>
      <c r="S18" s="49" t="n"/>
      <c r="T18" s="49" t="n"/>
      <c r="U18" s="48">
        <f>IF(OR($B18="",$K18=""),"",WORKDAY($B18,IFERROR(INDEX(CONFIG!$C$4:$C$43,MATCH($K18,CONFIG!$A$4:$A$43,0)),3)))</f>
        <v/>
      </c>
      <c r="V18" s="46" t="n"/>
      <c r="W18" s="23">
        <f>IF($B18="","",IF($V18&lt;&gt;"",$V18-$B18,TODAY()-$B18))</f>
        <v/>
      </c>
      <c r="X18" s="27">
        <f>IF($C18="","",IF(IFERROR(INDEX(CONFIG!$K$4:$K$43,MATCH($S18,CONFIG!$J$4:$J$43,0)),"NO")="SÍ",IF(OR($V18="",$U18=""),"Resuelta",IF($V18&gt;$U18,"Resuelta tarde","Resuelta a tiempo")),IF($U18="","Sin clasificar",IF(TODAY()&gt;$U18,"Vencida",IF(TODAY()&gt;=$U18-1,"Por vencer","En plazo")))))</f>
        <v/>
      </c>
      <c r="Y18" s="49" t="n"/>
      <c r="Z18" s="49" t="n"/>
    </row>
    <row r="19" ht="16" customHeight="1">
      <c r="A19" s="27">
        <f>IF($C19="","","N-"&amp;TEXT(ROW()-3,"0000"))</f>
        <v/>
      </c>
      <c r="B19" s="46" t="n"/>
      <c r="C19" s="47" t="n"/>
      <c r="D19" s="27">
        <f>IF($C19="","",IF(COUNTIFS(ENVIOS!$A$4:$A$3003,$C19)=0,"NO EXISTE",IF(COUNTIFS(ENVIOS!$A$4:$A$3003,$C19)&gt;1,"DUPLICADA","OK")))</f>
        <v/>
      </c>
      <c r="E19" s="22">
        <f>IF($C19="","",IFERROR(INDEX(ENVIOS!$C$4:$C$3003,MATCH($C19,ENVIOS!$A$4:$A$3003,0)),"—"))</f>
        <v/>
      </c>
      <c r="F19" s="22">
        <f>IF($C19="","",IFERROR(INDEX(ENVIOS!$D$4:$D$3003,MATCH($C19,ENVIOS!$A$4:$A$3003,0)),"—"))</f>
        <v/>
      </c>
      <c r="G19" s="22">
        <f>IF($C19="","",IFERROR(INDEX(ENVIOS!$E$4:$E$3003,MATCH($C19,ENVIOS!$A$4:$A$3003,0)),"—"))</f>
        <v/>
      </c>
      <c r="H19" s="22">
        <f>IF($C19="","",IFERROR(INDEX(ENVIOS!$F$4:$F$3003,MATCH($C19,ENVIOS!$A$4:$A$3003,0)),"—"))</f>
        <v/>
      </c>
      <c r="I19" s="27">
        <f>IF($C19="","",IFERROR(INDEX(ENVIOS!$G$4:$G$3003,MATCH($C19,ENVIOS!$A$4:$A$3003,0)),"—"))</f>
        <v/>
      </c>
      <c r="J19" s="48">
        <f>IF($C19="","",IFERROR(INDEX(ENVIOS!$B$4:$B$3003,MATCH($C19,ENVIOS!$A$4:$A$3003,0)),""))</f>
        <v/>
      </c>
      <c r="K19" s="49" t="n"/>
      <c r="L19" s="27">
        <f>IF($K19="","",IFERROR(INDEX(CONFIG!$B$4:$B$43,MATCH($K19,CONFIG!$A$4:$A$43,0)),"Media"))</f>
        <v/>
      </c>
      <c r="M19" s="27">
        <f>IF($K19="","",IFERROR(INDEX(CONFIG!$D$4:$D$43,MATCH($K19,CONFIG!$A$4:$A$43,0)),"NO"))</f>
        <v/>
      </c>
      <c r="N19" s="49" t="n"/>
      <c r="O19" s="27">
        <f>IF($N19="","",IFERROR(INDEX(CONFIG!$G$4:$G$43,MATCH($N19,CONFIG!$F$4:$F$43,0)),"Por definir"))</f>
        <v/>
      </c>
      <c r="P19" s="27">
        <f>IF($N19="","",IFERROR(INDEX(CONFIG!$H$4:$H$43,MATCH($N19,CONFIG!$F$4:$F$43,0)),"Por definir"))</f>
        <v/>
      </c>
      <c r="Q19" s="50" t="n"/>
      <c r="R19" s="51" t="n"/>
      <c r="S19" s="49" t="n"/>
      <c r="T19" s="49" t="n"/>
      <c r="U19" s="48">
        <f>IF(OR($B19="",$K19=""),"",WORKDAY($B19,IFERROR(INDEX(CONFIG!$C$4:$C$43,MATCH($K19,CONFIG!$A$4:$A$43,0)),3)))</f>
        <v/>
      </c>
      <c r="V19" s="46" t="n"/>
      <c r="W19" s="23">
        <f>IF($B19="","",IF($V19&lt;&gt;"",$V19-$B19,TODAY()-$B19))</f>
        <v/>
      </c>
      <c r="X19" s="27">
        <f>IF($C19="","",IF(IFERROR(INDEX(CONFIG!$K$4:$K$43,MATCH($S19,CONFIG!$J$4:$J$43,0)),"NO")="SÍ",IF(OR($V19="",$U19=""),"Resuelta",IF($V19&gt;$U19,"Resuelta tarde","Resuelta a tiempo")),IF($U19="","Sin clasificar",IF(TODAY()&gt;$U19,"Vencida",IF(TODAY()&gt;=$U19-1,"Por vencer","En plazo")))))</f>
        <v/>
      </c>
      <c r="Y19" s="49" t="n"/>
      <c r="Z19" s="49" t="n"/>
    </row>
    <row r="20" ht="16" customHeight="1">
      <c r="A20" s="27">
        <f>IF($C20="","","N-"&amp;TEXT(ROW()-3,"0000"))</f>
        <v/>
      </c>
      <c r="B20" s="46" t="n"/>
      <c r="C20" s="47" t="n"/>
      <c r="D20" s="27">
        <f>IF($C20="","",IF(COUNTIFS(ENVIOS!$A$4:$A$3003,$C20)=0,"NO EXISTE",IF(COUNTIFS(ENVIOS!$A$4:$A$3003,$C20)&gt;1,"DUPLICADA","OK")))</f>
        <v/>
      </c>
      <c r="E20" s="22">
        <f>IF($C20="","",IFERROR(INDEX(ENVIOS!$C$4:$C$3003,MATCH($C20,ENVIOS!$A$4:$A$3003,0)),"—"))</f>
        <v/>
      </c>
      <c r="F20" s="22">
        <f>IF($C20="","",IFERROR(INDEX(ENVIOS!$D$4:$D$3003,MATCH($C20,ENVIOS!$A$4:$A$3003,0)),"—"))</f>
        <v/>
      </c>
      <c r="G20" s="22">
        <f>IF($C20="","",IFERROR(INDEX(ENVIOS!$E$4:$E$3003,MATCH($C20,ENVIOS!$A$4:$A$3003,0)),"—"))</f>
        <v/>
      </c>
      <c r="H20" s="22">
        <f>IF($C20="","",IFERROR(INDEX(ENVIOS!$F$4:$F$3003,MATCH($C20,ENVIOS!$A$4:$A$3003,0)),"—"))</f>
        <v/>
      </c>
      <c r="I20" s="27">
        <f>IF($C20="","",IFERROR(INDEX(ENVIOS!$G$4:$G$3003,MATCH($C20,ENVIOS!$A$4:$A$3003,0)),"—"))</f>
        <v/>
      </c>
      <c r="J20" s="48">
        <f>IF($C20="","",IFERROR(INDEX(ENVIOS!$B$4:$B$3003,MATCH($C20,ENVIOS!$A$4:$A$3003,0)),""))</f>
        <v/>
      </c>
      <c r="K20" s="49" t="n"/>
      <c r="L20" s="27">
        <f>IF($K20="","",IFERROR(INDEX(CONFIG!$B$4:$B$43,MATCH($K20,CONFIG!$A$4:$A$43,0)),"Media"))</f>
        <v/>
      </c>
      <c r="M20" s="27">
        <f>IF($K20="","",IFERROR(INDEX(CONFIG!$D$4:$D$43,MATCH($K20,CONFIG!$A$4:$A$43,0)),"NO"))</f>
        <v/>
      </c>
      <c r="N20" s="49" t="n"/>
      <c r="O20" s="27">
        <f>IF($N20="","",IFERROR(INDEX(CONFIG!$G$4:$G$43,MATCH($N20,CONFIG!$F$4:$F$43,0)),"Por definir"))</f>
        <v/>
      </c>
      <c r="P20" s="27">
        <f>IF($N20="","",IFERROR(INDEX(CONFIG!$H$4:$H$43,MATCH($N20,CONFIG!$F$4:$F$43,0)),"Por definir"))</f>
        <v/>
      </c>
      <c r="Q20" s="50" t="n"/>
      <c r="R20" s="51" t="n"/>
      <c r="S20" s="49" t="n"/>
      <c r="T20" s="49" t="n"/>
      <c r="U20" s="48">
        <f>IF(OR($B20="",$K20=""),"",WORKDAY($B20,IFERROR(INDEX(CONFIG!$C$4:$C$43,MATCH($K20,CONFIG!$A$4:$A$43,0)),3)))</f>
        <v/>
      </c>
      <c r="V20" s="46" t="n"/>
      <c r="W20" s="23">
        <f>IF($B20="","",IF($V20&lt;&gt;"",$V20-$B20,TODAY()-$B20))</f>
        <v/>
      </c>
      <c r="X20" s="27">
        <f>IF($C20="","",IF(IFERROR(INDEX(CONFIG!$K$4:$K$43,MATCH($S20,CONFIG!$J$4:$J$43,0)),"NO")="SÍ",IF(OR($V20="",$U20=""),"Resuelta",IF($V20&gt;$U20,"Resuelta tarde","Resuelta a tiempo")),IF($U20="","Sin clasificar",IF(TODAY()&gt;$U20,"Vencida",IF(TODAY()&gt;=$U20-1,"Por vencer","En plazo")))))</f>
        <v/>
      </c>
      <c r="Y20" s="49" t="n"/>
      <c r="Z20" s="49" t="n"/>
    </row>
    <row r="21" ht="16" customHeight="1">
      <c r="A21" s="27">
        <f>IF($C21="","","N-"&amp;TEXT(ROW()-3,"0000"))</f>
        <v/>
      </c>
      <c r="B21" s="46" t="n"/>
      <c r="C21" s="47" t="n"/>
      <c r="D21" s="27">
        <f>IF($C21="","",IF(COUNTIFS(ENVIOS!$A$4:$A$3003,$C21)=0,"NO EXISTE",IF(COUNTIFS(ENVIOS!$A$4:$A$3003,$C21)&gt;1,"DUPLICADA","OK")))</f>
        <v/>
      </c>
      <c r="E21" s="22">
        <f>IF($C21="","",IFERROR(INDEX(ENVIOS!$C$4:$C$3003,MATCH($C21,ENVIOS!$A$4:$A$3003,0)),"—"))</f>
        <v/>
      </c>
      <c r="F21" s="22">
        <f>IF($C21="","",IFERROR(INDEX(ENVIOS!$D$4:$D$3003,MATCH($C21,ENVIOS!$A$4:$A$3003,0)),"—"))</f>
        <v/>
      </c>
      <c r="G21" s="22">
        <f>IF($C21="","",IFERROR(INDEX(ENVIOS!$E$4:$E$3003,MATCH($C21,ENVIOS!$A$4:$A$3003,0)),"—"))</f>
        <v/>
      </c>
      <c r="H21" s="22">
        <f>IF($C21="","",IFERROR(INDEX(ENVIOS!$F$4:$F$3003,MATCH($C21,ENVIOS!$A$4:$A$3003,0)),"—"))</f>
        <v/>
      </c>
      <c r="I21" s="27">
        <f>IF($C21="","",IFERROR(INDEX(ENVIOS!$G$4:$G$3003,MATCH($C21,ENVIOS!$A$4:$A$3003,0)),"—"))</f>
        <v/>
      </c>
      <c r="J21" s="48">
        <f>IF($C21="","",IFERROR(INDEX(ENVIOS!$B$4:$B$3003,MATCH($C21,ENVIOS!$A$4:$A$3003,0)),""))</f>
        <v/>
      </c>
      <c r="K21" s="49" t="n"/>
      <c r="L21" s="27">
        <f>IF($K21="","",IFERROR(INDEX(CONFIG!$B$4:$B$43,MATCH($K21,CONFIG!$A$4:$A$43,0)),"Media"))</f>
        <v/>
      </c>
      <c r="M21" s="27">
        <f>IF($K21="","",IFERROR(INDEX(CONFIG!$D$4:$D$43,MATCH($K21,CONFIG!$A$4:$A$43,0)),"NO"))</f>
        <v/>
      </c>
      <c r="N21" s="49" t="n"/>
      <c r="O21" s="27">
        <f>IF($N21="","",IFERROR(INDEX(CONFIG!$G$4:$G$43,MATCH($N21,CONFIG!$F$4:$F$43,0)),"Por definir"))</f>
        <v/>
      </c>
      <c r="P21" s="27">
        <f>IF($N21="","",IFERROR(INDEX(CONFIG!$H$4:$H$43,MATCH($N21,CONFIG!$F$4:$F$43,0)),"Por definir"))</f>
        <v/>
      </c>
      <c r="Q21" s="50" t="n"/>
      <c r="R21" s="51" t="n"/>
      <c r="S21" s="49" t="n"/>
      <c r="T21" s="49" t="n"/>
      <c r="U21" s="48">
        <f>IF(OR($B21="",$K21=""),"",WORKDAY($B21,IFERROR(INDEX(CONFIG!$C$4:$C$43,MATCH($K21,CONFIG!$A$4:$A$43,0)),3)))</f>
        <v/>
      </c>
      <c r="V21" s="46" t="n"/>
      <c r="W21" s="23">
        <f>IF($B21="","",IF($V21&lt;&gt;"",$V21-$B21,TODAY()-$B21))</f>
        <v/>
      </c>
      <c r="X21" s="27">
        <f>IF($C21="","",IF(IFERROR(INDEX(CONFIG!$K$4:$K$43,MATCH($S21,CONFIG!$J$4:$J$43,0)),"NO")="SÍ",IF(OR($V21="",$U21=""),"Resuelta",IF($V21&gt;$U21,"Resuelta tarde","Resuelta a tiempo")),IF($U21="","Sin clasificar",IF(TODAY()&gt;$U21,"Vencida",IF(TODAY()&gt;=$U21-1,"Por vencer","En plazo")))))</f>
        <v/>
      </c>
      <c r="Y21" s="49" t="n"/>
      <c r="Z21" s="49" t="n"/>
    </row>
    <row r="22" ht="16" customHeight="1">
      <c r="A22" s="27">
        <f>IF($C22="","","N-"&amp;TEXT(ROW()-3,"0000"))</f>
        <v/>
      </c>
      <c r="B22" s="46" t="n"/>
      <c r="C22" s="47" t="n"/>
      <c r="D22" s="27">
        <f>IF($C22="","",IF(COUNTIFS(ENVIOS!$A$4:$A$3003,$C22)=0,"NO EXISTE",IF(COUNTIFS(ENVIOS!$A$4:$A$3003,$C22)&gt;1,"DUPLICADA","OK")))</f>
        <v/>
      </c>
      <c r="E22" s="22">
        <f>IF($C22="","",IFERROR(INDEX(ENVIOS!$C$4:$C$3003,MATCH($C22,ENVIOS!$A$4:$A$3003,0)),"—"))</f>
        <v/>
      </c>
      <c r="F22" s="22">
        <f>IF($C22="","",IFERROR(INDEX(ENVIOS!$D$4:$D$3003,MATCH($C22,ENVIOS!$A$4:$A$3003,0)),"—"))</f>
        <v/>
      </c>
      <c r="G22" s="22">
        <f>IF($C22="","",IFERROR(INDEX(ENVIOS!$E$4:$E$3003,MATCH($C22,ENVIOS!$A$4:$A$3003,0)),"—"))</f>
        <v/>
      </c>
      <c r="H22" s="22">
        <f>IF($C22="","",IFERROR(INDEX(ENVIOS!$F$4:$F$3003,MATCH($C22,ENVIOS!$A$4:$A$3003,0)),"—"))</f>
        <v/>
      </c>
      <c r="I22" s="27">
        <f>IF($C22="","",IFERROR(INDEX(ENVIOS!$G$4:$G$3003,MATCH($C22,ENVIOS!$A$4:$A$3003,0)),"—"))</f>
        <v/>
      </c>
      <c r="J22" s="48">
        <f>IF($C22="","",IFERROR(INDEX(ENVIOS!$B$4:$B$3003,MATCH($C22,ENVIOS!$A$4:$A$3003,0)),""))</f>
        <v/>
      </c>
      <c r="K22" s="49" t="n"/>
      <c r="L22" s="27">
        <f>IF($K22="","",IFERROR(INDEX(CONFIG!$B$4:$B$43,MATCH($K22,CONFIG!$A$4:$A$43,0)),"Media"))</f>
        <v/>
      </c>
      <c r="M22" s="27">
        <f>IF($K22="","",IFERROR(INDEX(CONFIG!$D$4:$D$43,MATCH($K22,CONFIG!$A$4:$A$43,0)),"NO"))</f>
        <v/>
      </c>
      <c r="N22" s="49" t="n"/>
      <c r="O22" s="27">
        <f>IF($N22="","",IFERROR(INDEX(CONFIG!$G$4:$G$43,MATCH($N22,CONFIG!$F$4:$F$43,0)),"Por definir"))</f>
        <v/>
      </c>
      <c r="P22" s="27">
        <f>IF($N22="","",IFERROR(INDEX(CONFIG!$H$4:$H$43,MATCH($N22,CONFIG!$F$4:$F$43,0)),"Por definir"))</f>
        <v/>
      </c>
      <c r="Q22" s="50" t="n"/>
      <c r="R22" s="51" t="n"/>
      <c r="S22" s="49" t="n"/>
      <c r="T22" s="49" t="n"/>
      <c r="U22" s="48">
        <f>IF(OR($B22="",$K22=""),"",WORKDAY($B22,IFERROR(INDEX(CONFIG!$C$4:$C$43,MATCH($K22,CONFIG!$A$4:$A$43,0)),3)))</f>
        <v/>
      </c>
      <c r="V22" s="46" t="n"/>
      <c r="W22" s="23">
        <f>IF($B22="","",IF($V22&lt;&gt;"",$V22-$B22,TODAY()-$B22))</f>
        <v/>
      </c>
      <c r="X22" s="27">
        <f>IF($C22="","",IF(IFERROR(INDEX(CONFIG!$K$4:$K$43,MATCH($S22,CONFIG!$J$4:$J$43,0)),"NO")="SÍ",IF(OR($V22="",$U22=""),"Resuelta",IF($V22&gt;$U22,"Resuelta tarde","Resuelta a tiempo")),IF($U22="","Sin clasificar",IF(TODAY()&gt;$U22,"Vencida",IF(TODAY()&gt;=$U22-1,"Por vencer","En plazo")))))</f>
        <v/>
      </c>
      <c r="Y22" s="49" t="n"/>
      <c r="Z22" s="49" t="n"/>
    </row>
    <row r="23" ht="16" customHeight="1">
      <c r="A23" s="27">
        <f>IF($C23="","","N-"&amp;TEXT(ROW()-3,"0000"))</f>
        <v/>
      </c>
      <c r="B23" s="46" t="n"/>
      <c r="C23" s="47" t="n"/>
      <c r="D23" s="27">
        <f>IF($C23="","",IF(COUNTIFS(ENVIOS!$A$4:$A$3003,$C23)=0,"NO EXISTE",IF(COUNTIFS(ENVIOS!$A$4:$A$3003,$C23)&gt;1,"DUPLICADA","OK")))</f>
        <v/>
      </c>
      <c r="E23" s="22">
        <f>IF($C23="","",IFERROR(INDEX(ENVIOS!$C$4:$C$3003,MATCH($C23,ENVIOS!$A$4:$A$3003,0)),"—"))</f>
        <v/>
      </c>
      <c r="F23" s="22">
        <f>IF($C23="","",IFERROR(INDEX(ENVIOS!$D$4:$D$3003,MATCH($C23,ENVIOS!$A$4:$A$3003,0)),"—"))</f>
        <v/>
      </c>
      <c r="G23" s="22">
        <f>IF($C23="","",IFERROR(INDEX(ENVIOS!$E$4:$E$3003,MATCH($C23,ENVIOS!$A$4:$A$3003,0)),"—"))</f>
        <v/>
      </c>
      <c r="H23" s="22">
        <f>IF($C23="","",IFERROR(INDEX(ENVIOS!$F$4:$F$3003,MATCH($C23,ENVIOS!$A$4:$A$3003,0)),"—"))</f>
        <v/>
      </c>
      <c r="I23" s="27">
        <f>IF($C23="","",IFERROR(INDEX(ENVIOS!$G$4:$G$3003,MATCH($C23,ENVIOS!$A$4:$A$3003,0)),"—"))</f>
        <v/>
      </c>
      <c r="J23" s="48">
        <f>IF($C23="","",IFERROR(INDEX(ENVIOS!$B$4:$B$3003,MATCH($C23,ENVIOS!$A$4:$A$3003,0)),""))</f>
        <v/>
      </c>
      <c r="K23" s="49" t="n"/>
      <c r="L23" s="27">
        <f>IF($K23="","",IFERROR(INDEX(CONFIG!$B$4:$B$43,MATCH($K23,CONFIG!$A$4:$A$43,0)),"Media"))</f>
        <v/>
      </c>
      <c r="M23" s="27">
        <f>IF($K23="","",IFERROR(INDEX(CONFIG!$D$4:$D$43,MATCH($K23,CONFIG!$A$4:$A$43,0)),"NO"))</f>
        <v/>
      </c>
      <c r="N23" s="49" t="n"/>
      <c r="O23" s="27">
        <f>IF($N23="","",IFERROR(INDEX(CONFIG!$G$4:$G$43,MATCH($N23,CONFIG!$F$4:$F$43,0)),"Por definir"))</f>
        <v/>
      </c>
      <c r="P23" s="27">
        <f>IF($N23="","",IFERROR(INDEX(CONFIG!$H$4:$H$43,MATCH($N23,CONFIG!$F$4:$F$43,0)),"Por definir"))</f>
        <v/>
      </c>
      <c r="Q23" s="50" t="n"/>
      <c r="R23" s="51" t="n"/>
      <c r="S23" s="49" t="n"/>
      <c r="T23" s="49" t="n"/>
      <c r="U23" s="48">
        <f>IF(OR($B23="",$K23=""),"",WORKDAY($B23,IFERROR(INDEX(CONFIG!$C$4:$C$43,MATCH($K23,CONFIG!$A$4:$A$43,0)),3)))</f>
        <v/>
      </c>
      <c r="V23" s="46" t="n"/>
      <c r="W23" s="23">
        <f>IF($B23="","",IF($V23&lt;&gt;"",$V23-$B23,TODAY()-$B23))</f>
        <v/>
      </c>
      <c r="X23" s="27">
        <f>IF($C23="","",IF(IFERROR(INDEX(CONFIG!$K$4:$K$43,MATCH($S23,CONFIG!$J$4:$J$43,0)),"NO")="SÍ",IF(OR($V23="",$U23=""),"Resuelta",IF($V23&gt;$U23,"Resuelta tarde","Resuelta a tiempo")),IF($U23="","Sin clasificar",IF(TODAY()&gt;$U23,"Vencida",IF(TODAY()&gt;=$U23-1,"Por vencer","En plazo")))))</f>
        <v/>
      </c>
      <c r="Y23" s="49" t="n"/>
      <c r="Z23" s="49" t="n"/>
    </row>
    <row r="24" ht="16" customHeight="1">
      <c r="A24" s="27">
        <f>IF($C24="","","N-"&amp;TEXT(ROW()-3,"0000"))</f>
        <v/>
      </c>
      <c r="B24" s="46" t="n"/>
      <c r="C24" s="47" t="n"/>
      <c r="D24" s="27">
        <f>IF($C24="","",IF(COUNTIFS(ENVIOS!$A$4:$A$3003,$C24)=0,"NO EXISTE",IF(COUNTIFS(ENVIOS!$A$4:$A$3003,$C24)&gt;1,"DUPLICADA","OK")))</f>
        <v/>
      </c>
      <c r="E24" s="22">
        <f>IF($C24="","",IFERROR(INDEX(ENVIOS!$C$4:$C$3003,MATCH($C24,ENVIOS!$A$4:$A$3003,0)),"—"))</f>
        <v/>
      </c>
      <c r="F24" s="22">
        <f>IF($C24="","",IFERROR(INDEX(ENVIOS!$D$4:$D$3003,MATCH($C24,ENVIOS!$A$4:$A$3003,0)),"—"))</f>
        <v/>
      </c>
      <c r="G24" s="22">
        <f>IF($C24="","",IFERROR(INDEX(ENVIOS!$E$4:$E$3003,MATCH($C24,ENVIOS!$A$4:$A$3003,0)),"—"))</f>
        <v/>
      </c>
      <c r="H24" s="22">
        <f>IF($C24="","",IFERROR(INDEX(ENVIOS!$F$4:$F$3003,MATCH($C24,ENVIOS!$A$4:$A$3003,0)),"—"))</f>
        <v/>
      </c>
      <c r="I24" s="27">
        <f>IF($C24="","",IFERROR(INDEX(ENVIOS!$G$4:$G$3003,MATCH($C24,ENVIOS!$A$4:$A$3003,0)),"—"))</f>
        <v/>
      </c>
      <c r="J24" s="48">
        <f>IF($C24="","",IFERROR(INDEX(ENVIOS!$B$4:$B$3003,MATCH($C24,ENVIOS!$A$4:$A$3003,0)),""))</f>
        <v/>
      </c>
      <c r="K24" s="49" t="n"/>
      <c r="L24" s="27">
        <f>IF($K24="","",IFERROR(INDEX(CONFIG!$B$4:$B$43,MATCH($K24,CONFIG!$A$4:$A$43,0)),"Media"))</f>
        <v/>
      </c>
      <c r="M24" s="27">
        <f>IF($K24="","",IFERROR(INDEX(CONFIG!$D$4:$D$43,MATCH($K24,CONFIG!$A$4:$A$43,0)),"NO"))</f>
        <v/>
      </c>
      <c r="N24" s="49" t="n"/>
      <c r="O24" s="27">
        <f>IF($N24="","",IFERROR(INDEX(CONFIG!$G$4:$G$43,MATCH($N24,CONFIG!$F$4:$F$43,0)),"Por definir"))</f>
        <v/>
      </c>
      <c r="P24" s="27">
        <f>IF($N24="","",IFERROR(INDEX(CONFIG!$H$4:$H$43,MATCH($N24,CONFIG!$F$4:$F$43,0)),"Por definir"))</f>
        <v/>
      </c>
      <c r="Q24" s="50" t="n"/>
      <c r="R24" s="51" t="n"/>
      <c r="S24" s="49" t="n"/>
      <c r="T24" s="49" t="n"/>
      <c r="U24" s="48">
        <f>IF(OR($B24="",$K24=""),"",WORKDAY($B24,IFERROR(INDEX(CONFIG!$C$4:$C$43,MATCH($K24,CONFIG!$A$4:$A$43,0)),3)))</f>
        <v/>
      </c>
      <c r="V24" s="46" t="n"/>
      <c r="W24" s="23">
        <f>IF($B24="","",IF($V24&lt;&gt;"",$V24-$B24,TODAY()-$B24))</f>
        <v/>
      </c>
      <c r="X24" s="27">
        <f>IF($C24="","",IF(IFERROR(INDEX(CONFIG!$K$4:$K$43,MATCH($S24,CONFIG!$J$4:$J$43,0)),"NO")="SÍ",IF(OR($V24="",$U24=""),"Resuelta",IF($V24&gt;$U24,"Resuelta tarde","Resuelta a tiempo")),IF($U24="","Sin clasificar",IF(TODAY()&gt;$U24,"Vencida",IF(TODAY()&gt;=$U24-1,"Por vencer","En plazo")))))</f>
        <v/>
      </c>
      <c r="Y24" s="49" t="n"/>
      <c r="Z24" s="49" t="n"/>
    </row>
    <row r="25" ht="16" customHeight="1">
      <c r="A25" s="27">
        <f>IF($C25="","","N-"&amp;TEXT(ROW()-3,"0000"))</f>
        <v/>
      </c>
      <c r="B25" s="46" t="n"/>
      <c r="C25" s="47" t="n"/>
      <c r="D25" s="27">
        <f>IF($C25="","",IF(COUNTIFS(ENVIOS!$A$4:$A$3003,$C25)=0,"NO EXISTE",IF(COUNTIFS(ENVIOS!$A$4:$A$3003,$C25)&gt;1,"DUPLICADA","OK")))</f>
        <v/>
      </c>
      <c r="E25" s="22">
        <f>IF($C25="","",IFERROR(INDEX(ENVIOS!$C$4:$C$3003,MATCH($C25,ENVIOS!$A$4:$A$3003,0)),"—"))</f>
        <v/>
      </c>
      <c r="F25" s="22">
        <f>IF($C25="","",IFERROR(INDEX(ENVIOS!$D$4:$D$3003,MATCH($C25,ENVIOS!$A$4:$A$3003,0)),"—"))</f>
        <v/>
      </c>
      <c r="G25" s="22">
        <f>IF($C25="","",IFERROR(INDEX(ENVIOS!$E$4:$E$3003,MATCH($C25,ENVIOS!$A$4:$A$3003,0)),"—"))</f>
        <v/>
      </c>
      <c r="H25" s="22">
        <f>IF($C25="","",IFERROR(INDEX(ENVIOS!$F$4:$F$3003,MATCH($C25,ENVIOS!$A$4:$A$3003,0)),"—"))</f>
        <v/>
      </c>
      <c r="I25" s="27">
        <f>IF($C25="","",IFERROR(INDEX(ENVIOS!$G$4:$G$3003,MATCH($C25,ENVIOS!$A$4:$A$3003,0)),"—"))</f>
        <v/>
      </c>
      <c r="J25" s="48">
        <f>IF($C25="","",IFERROR(INDEX(ENVIOS!$B$4:$B$3003,MATCH($C25,ENVIOS!$A$4:$A$3003,0)),""))</f>
        <v/>
      </c>
      <c r="K25" s="49" t="n"/>
      <c r="L25" s="27">
        <f>IF($K25="","",IFERROR(INDEX(CONFIG!$B$4:$B$43,MATCH($K25,CONFIG!$A$4:$A$43,0)),"Media"))</f>
        <v/>
      </c>
      <c r="M25" s="27">
        <f>IF($K25="","",IFERROR(INDEX(CONFIG!$D$4:$D$43,MATCH($K25,CONFIG!$A$4:$A$43,0)),"NO"))</f>
        <v/>
      </c>
      <c r="N25" s="49" t="n"/>
      <c r="O25" s="27">
        <f>IF($N25="","",IFERROR(INDEX(CONFIG!$G$4:$G$43,MATCH($N25,CONFIG!$F$4:$F$43,0)),"Por definir"))</f>
        <v/>
      </c>
      <c r="P25" s="27">
        <f>IF($N25="","",IFERROR(INDEX(CONFIG!$H$4:$H$43,MATCH($N25,CONFIG!$F$4:$F$43,0)),"Por definir"))</f>
        <v/>
      </c>
      <c r="Q25" s="50" t="n"/>
      <c r="R25" s="51" t="n"/>
      <c r="S25" s="49" t="n"/>
      <c r="T25" s="49" t="n"/>
      <c r="U25" s="48">
        <f>IF(OR($B25="",$K25=""),"",WORKDAY($B25,IFERROR(INDEX(CONFIG!$C$4:$C$43,MATCH($K25,CONFIG!$A$4:$A$43,0)),3)))</f>
        <v/>
      </c>
      <c r="V25" s="46" t="n"/>
      <c r="W25" s="23">
        <f>IF($B25="","",IF($V25&lt;&gt;"",$V25-$B25,TODAY()-$B25))</f>
        <v/>
      </c>
      <c r="X25" s="27">
        <f>IF($C25="","",IF(IFERROR(INDEX(CONFIG!$K$4:$K$43,MATCH($S25,CONFIG!$J$4:$J$43,0)),"NO")="SÍ",IF(OR($V25="",$U25=""),"Resuelta",IF($V25&gt;$U25,"Resuelta tarde","Resuelta a tiempo")),IF($U25="","Sin clasificar",IF(TODAY()&gt;$U25,"Vencida",IF(TODAY()&gt;=$U25-1,"Por vencer","En plazo")))))</f>
        <v/>
      </c>
      <c r="Y25" s="49" t="n"/>
      <c r="Z25" s="49" t="n"/>
    </row>
    <row r="26" ht="16" customHeight="1">
      <c r="A26" s="27">
        <f>IF($C26="","","N-"&amp;TEXT(ROW()-3,"0000"))</f>
        <v/>
      </c>
      <c r="B26" s="46" t="n"/>
      <c r="C26" s="47" t="n"/>
      <c r="D26" s="27">
        <f>IF($C26="","",IF(COUNTIFS(ENVIOS!$A$4:$A$3003,$C26)=0,"NO EXISTE",IF(COUNTIFS(ENVIOS!$A$4:$A$3003,$C26)&gt;1,"DUPLICADA","OK")))</f>
        <v/>
      </c>
      <c r="E26" s="22">
        <f>IF($C26="","",IFERROR(INDEX(ENVIOS!$C$4:$C$3003,MATCH($C26,ENVIOS!$A$4:$A$3003,0)),"—"))</f>
        <v/>
      </c>
      <c r="F26" s="22">
        <f>IF($C26="","",IFERROR(INDEX(ENVIOS!$D$4:$D$3003,MATCH($C26,ENVIOS!$A$4:$A$3003,0)),"—"))</f>
        <v/>
      </c>
      <c r="G26" s="22">
        <f>IF($C26="","",IFERROR(INDEX(ENVIOS!$E$4:$E$3003,MATCH($C26,ENVIOS!$A$4:$A$3003,0)),"—"))</f>
        <v/>
      </c>
      <c r="H26" s="22">
        <f>IF($C26="","",IFERROR(INDEX(ENVIOS!$F$4:$F$3003,MATCH($C26,ENVIOS!$A$4:$A$3003,0)),"—"))</f>
        <v/>
      </c>
      <c r="I26" s="27">
        <f>IF($C26="","",IFERROR(INDEX(ENVIOS!$G$4:$G$3003,MATCH($C26,ENVIOS!$A$4:$A$3003,0)),"—"))</f>
        <v/>
      </c>
      <c r="J26" s="48">
        <f>IF($C26="","",IFERROR(INDEX(ENVIOS!$B$4:$B$3003,MATCH($C26,ENVIOS!$A$4:$A$3003,0)),""))</f>
        <v/>
      </c>
      <c r="K26" s="49" t="n"/>
      <c r="L26" s="27">
        <f>IF($K26="","",IFERROR(INDEX(CONFIG!$B$4:$B$43,MATCH($K26,CONFIG!$A$4:$A$43,0)),"Media"))</f>
        <v/>
      </c>
      <c r="M26" s="27">
        <f>IF($K26="","",IFERROR(INDEX(CONFIG!$D$4:$D$43,MATCH($K26,CONFIG!$A$4:$A$43,0)),"NO"))</f>
        <v/>
      </c>
      <c r="N26" s="49" t="n"/>
      <c r="O26" s="27">
        <f>IF($N26="","",IFERROR(INDEX(CONFIG!$G$4:$G$43,MATCH($N26,CONFIG!$F$4:$F$43,0)),"Por definir"))</f>
        <v/>
      </c>
      <c r="P26" s="27">
        <f>IF($N26="","",IFERROR(INDEX(CONFIG!$H$4:$H$43,MATCH($N26,CONFIG!$F$4:$F$43,0)),"Por definir"))</f>
        <v/>
      </c>
      <c r="Q26" s="50" t="n"/>
      <c r="R26" s="51" t="n"/>
      <c r="S26" s="49" t="n"/>
      <c r="T26" s="49" t="n"/>
      <c r="U26" s="48">
        <f>IF(OR($B26="",$K26=""),"",WORKDAY($B26,IFERROR(INDEX(CONFIG!$C$4:$C$43,MATCH($K26,CONFIG!$A$4:$A$43,0)),3)))</f>
        <v/>
      </c>
      <c r="V26" s="46" t="n"/>
      <c r="W26" s="23">
        <f>IF($B26="","",IF($V26&lt;&gt;"",$V26-$B26,TODAY()-$B26))</f>
        <v/>
      </c>
      <c r="X26" s="27">
        <f>IF($C26="","",IF(IFERROR(INDEX(CONFIG!$K$4:$K$43,MATCH($S26,CONFIG!$J$4:$J$43,0)),"NO")="SÍ",IF(OR($V26="",$U26=""),"Resuelta",IF($V26&gt;$U26,"Resuelta tarde","Resuelta a tiempo")),IF($U26="","Sin clasificar",IF(TODAY()&gt;$U26,"Vencida",IF(TODAY()&gt;=$U26-1,"Por vencer","En plazo")))))</f>
        <v/>
      </c>
      <c r="Y26" s="49" t="n"/>
      <c r="Z26" s="49" t="n"/>
    </row>
    <row r="27" ht="16" customHeight="1">
      <c r="A27" s="27">
        <f>IF($C27="","","N-"&amp;TEXT(ROW()-3,"0000"))</f>
        <v/>
      </c>
      <c r="B27" s="46" t="n"/>
      <c r="C27" s="47" t="n"/>
      <c r="D27" s="27">
        <f>IF($C27="","",IF(COUNTIFS(ENVIOS!$A$4:$A$3003,$C27)=0,"NO EXISTE",IF(COUNTIFS(ENVIOS!$A$4:$A$3003,$C27)&gt;1,"DUPLICADA","OK")))</f>
        <v/>
      </c>
      <c r="E27" s="22">
        <f>IF($C27="","",IFERROR(INDEX(ENVIOS!$C$4:$C$3003,MATCH($C27,ENVIOS!$A$4:$A$3003,0)),"—"))</f>
        <v/>
      </c>
      <c r="F27" s="22">
        <f>IF($C27="","",IFERROR(INDEX(ENVIOS!$D$4:$D$3003,MATCH($C27,ENVIOS!$A$4:$A$3003,0)),"—"))</f>
        <v/>
      </c>
      <c r="G27" s="22">
        <f>IF($C27="","",IFERROR(INDEX(ENVIOS!$E$4:$E$3003,MATCH($C27,ENVIOS!$A$4:$A$3003,0)),"—"))</f>
        <v/>
      </c>
      <c r="H27" s="22">
        <f>IF($C27="","",IFERROR(INDEX(ENVIOS!$F$4:$F$3003,MATCH($C27,ENVIOS!$A$4:$A$3003,0)),"—"))</f>
        <v/>
      </c>
      <c r="I27" s="27">
        <f>IF($C27="","",IFERROR(INDEX(ENVIOS!$G$4:$G$3003,MATCH($C27,ENVIOS!$A$4:$A$3003,0)),"—"))</f>
        <v/>
      </c>
      <c r="J27" s="48">
        <f>IF($C27="","",IFERROR(INDEX(ENVIOS!$B$4:$B$3003,MATCH($C27,ENVIOS!$A$4:$A$3003,0)),""))</f>
        <v/>
      </c>
      <c r="K27" s="49" t="n"/>
      <c r="L27" s="27">
        <f>IF($K27="","",IFERROR(INDEX(CONFIG!$B$4:$B$43,MATCH($K27,CONFIG!$A$4:$A$43,0)),"Media"))</f>
        <v/>
      </c>
      <c r="M27" s="27">
        <f>IF($K27="","",IFERROR(INDEX(CONFIG!$D$4:$D$43,MATCH($K27,CONFIG!$A$4:$A$43,0)),"NO"))</f>
        <v/>
      </c>
      <c r="N27" s="49" t="n"/>
      <c r="O27" s="27">
        <f>IF($N27="","",IFERROR(INDEX(CONFIG!$G$4:$G$43,MATCH($N27,CONFIG!$F$4:$F$43,0)),"Por definir"))</f>
        <v/>
      </c>
      <c r="P27" s="27">
        <f>IF($N27="","",IFERROR(INDEX(CONFIG!$H$4:$H$43,MATCH($N27,CONFIG!$F$4:$F$43,0)),"Por definir"))</f>
        <v/>
      </c>
      <c r="Q27" s="50" t="n"/>
      <c r="R27" s="51" t="n"/>
      <c r="S27" s="49" t="n"/>
      <c r="T27" s="49" t="n"/>
      <c r="U27" s="48">
        <f>IF(OR($B27="",$K27=""),"",WORKDAY($B27,IFERROR(INDEX(CONFIG!$C$4:$C$43,MATCH($K27,CONFIG!$A$4:$A$43,0)),3)))</f>
        <v/>
      </c>
      <c r="V27" s="46" t="n"/>
      <c r="W27" s="23">
        <f>IF($B27="","",IF($V27&lt;&gt;"",$V27-$B27,TODAY()-$B27))</f>
        <v/>
      </c>
      <c r="X27" s="27">
        <f>IF($C27="","",IF(IFERROR(INDEX(CONFIG!$K$4:$K$43,MATCH($S27,CONFIG!$J$4:$J$43,0)),"NO")="SÍ",IF(OR($V27="",$U27=""),"Resuelta",IF($V27&gt;$U27,"Resuelta tarde","Resuelta a tiempo")),IF($U27="","Sin clasificar",IF(TODAY()&gt;$U27,"Vencida",IF(TODAY()&gt;=$U27-1,"Por vencer","En plazo")))))</f>
        <v/>
      </c>
      <c r="Y27" s="49" t="n"/>
      <c r="Z27" s="49" t="n"/>
    </row>
    <row r="28" ht="16" customHeight="1">
      <c r="A28" s="27">
        <f>IF($C28="","","N-"&amp;TEXT(ROW()-3,"0000"))</f>
        <v/>
      </c>
      <c r="B28" s="46" t="n"/>
      <c r="C28" s="47" t="n"/>
      <c r="D28" s="27">
        <f>IF($C28="","",IF(COUNTIFS(ENVIOS!$A$4:$A$3003,$C28)=0,"NO EXISTE",IF(COUNTIFS(ENVIOS!$A$4:$A$3003,$C28)&gt;1,"DUPLICADA","OK")))</f>
        <v/>
      </c>
      <c r="E28" s="22">
        <f>IF($C28="","",IFERROR(INDEX(ENVIOS!$C$4:$C$3003,MATCH($C28,ENVIOS!$A$4:$A$3003,0)),"—"))</f>
        <v/>
      </c>
      <c r="F28" s="22">
        <f>IF($C28="","",IFERROR(INDEX(ENVIOS!$D$4:$D$3003,MATCH($C28,ENVIOS!$A$4:$A$3003,0)),"—"))</f>
        <v/>
      </c>
      <c r="G28" s="22">
        <f>IF($C28="","",IFERROR(INDEX(ENVIOS!$E$4:$E$3003,MATCH($C28,ENVIOS!$A$4:$A$3003,0)),"—"))</f>
        <v/>
      </c>
      <c r="H28" s="22">
        <f>IF($C28="","",IFERROR(INDEX(ENVIOS!$F$4:$F$3003,MATCH($C28,ENVIOS!$A$4:$A$3003,0)),"—"))</f>
        <v/>
      </c>
      <c r="I28" s="27">
        <f>IF($C28="","",IFERROR(INDEX(ENVIOS!$G$4:$G$3003,MATCH($C28,ENVIOS!$A$4:$A$3003,0)),"—"))</f>
        <v/>
      </c>
      <c r="J28" s="48">
        <f>IF($C28="","",IFERROR(INDEX(ENVIOS!$B$4:$B$3003,MATCH($C28,ENVIOS!$A$4:$A$3003,0)),""))</f>
        <v/>
      </c>
      <c r="K28" s="49" t="n"/>
      <c r="L28" s="27">
        <f>IF($K28="","",IFERROR(INDEX(CONFIG!$B$4:$B$43,MATCH($K28,CONFIG!$A$4:$A$43,0)),"Media"))</f>
        <v/>
      </c>
      <c r="M28" s="27">
        <f>IF($K28="","",IFERROR(INDEX(CONFIG!$D$4:$D$43,MATCH($K28,CONFIG!$A$4:$A$43,0)),"NO"))</f>
        <v/>
      </c>
      <c r="N28" s="49" t="n"/>
      <c r="O28" s="27">
        <f>IF($N28="","",IFERROR(INDEX(CONFIG!$G$4:$G$43,MATCH($N28,CONFIG!$F$4:$F$43,0)),"Por definir"))</f>
        <v/>
      </c>
      <c r="P28" s="27">
        <f>IF($N28="","",IFERROR(INDEX(CONFIG!$H$4:$H$43,MATCH($N28,CONFIG!$F$4:$F$43,0)),"Por definir"))</f>
        <v/>
      </c>
      <c r="Q28" s="50" t="n"/>
      <c r="R28" s="51" t="n"/>
      <c r="S28" s="49" t="n"/>
      <c r="T28" s="49" t="n"/>
      <c r="U28" s="48">
        <f>IF(OR($B28="",$K28=""),"",WORKDAY($B28,IFERROR(INDEX(CONFIG!$C$4:$C$43,MATCH($K28,CONFIG!$A$4:$A$43,0)),3)))</f>
        <v/>
      </c>
      <c r="V28" s="46" t="n"/>
      <c r="W28" s="23">
        <f>IF($B28="","",IF($V28&lt;&gt;"",$V28-$B28,TODAY()-$B28))</f>
        <v/>
      </c>
      <c r="X28" s="27">
        <f>IF($C28="","",IF(IFERROR(INDEX(CONFIG!$K$4:$K$43,MATCH($S28,CONFIG!$J$4:$J$43,0)),"NO")="SÍ",IF(OR($V28="",$U28=""),"Resuelta",IF($V28&gt;$U28,"Resuelta tarde","Resuelta a tiempo")),IF($U28="","Sin clasificar",IF(TODAY()&gt;$U28,"Vencida",IF(TODAY()&gt;=$U28-1,"Por vencer","En plazo")))))</f>
        <v/>
      </c>
      <c r="Y28" s="49" t="n"/>
      <c r="Z28" s="49" t="n"/>
    </row>
    <row r="29" ht="16" customHeight="1">
      <c r="A29" s="27">
        <f>IF($C29="","","N-"&amp;TEXT(ROW()-3,"0000"))</f>
        <v/>
      </c>
      <c r="B29" s="46" t="n"/>
      <c r="C29" s="47" t="n"/>
      <c r="D29" s="27">
        <f>IF($C29="","",IF(COUNTIFS(ENVIOS!$A$4:$A$3003,$C29)=0,"NO EXISTE",IF(COUNTIFS(ENVIOS!$A$4:$A$3003,$C29)&gt;1,"DUPLICADA","OK")))</f>
        <v/>
      </c>
      <c r="E29" s="22">
        <f>IF($C29="","",IFERROR(INDEX(ENVIOS!$C$4:$C$3003,MATCH($C29,ENVIOS!$A$4:$A$3003,0)),"—"))</f>
        <v/>
      </c>
      <c r="F29" s="22">
        <f>IF($C29="","",IFERROR(INDEX(ENVIOS!$D$4:$D$3003,MATCH($C29,ENVIOS!$A$4:$A$3003,0)),"—"))</f>
        <v/>
      </c>
      <c r="G29" s="22">
        <f>IF($C29="","",IFERROR(INDEX(ENVIOS!$E$4:$E$3003,MATCH($C29,ENVIOS!$A$4:$A$3003,0)),"—"))</f>
        <v/>
      </c>
      <c r="H29" s="22">
        <f>IF($C29="","",IFERROR(INDEX(ENVIOS!$F$4:$F$3003,MATCH($C29,ENVIOS!$A$4:$A$3003,0)),"—"))</f>
        <v/>
      </c>
      <c r="I29" s="27">
        <f>IF($C29="","",IFERROR(INDEX(ENVIOS!$G$4:$G$3003,MATCH($C29,ENVIOS!$A$4:$A$3003,0)),"—"))</f>
        <v/>
      </c>
      <c r="J29" s="48">
        <f>IF($C29="","",IFERROR(INDEX(ENVIOS!$B$4:$B$3003,MATCH($C29,ENVIOS!$A$4:$A$3003,0)),""))</f>
        <v/>
      </c>
      <c r="K29" s="49" t="n"/>
      <c r="L29" s="27">
        <f>IF($K29="","",IFERROR(INDEX(CONFIG!$B$4:$B$43,MATCH($K29,CONFIG!$A$4:$A$43,0)),"Media"))</f>
        <v/>
      </c>
      <c r="M29" s="27">
        <f>IF($K29="","",IFERROR(INDEX(CONFIG!$D$4:$D$43,MATCH($K29,CONFIG!$A$4:$A$43,0)),"NO"))</f>
        <v/>
      </c>
      <c r="N29" s="49" t="n"/>
      <c r="O29" s="27">
        <f>IF($N29="","",IFERROR(INDEX(CONFIG!$G$4:$G$43,MATCH($N29,CONFIG!$F$4:$F$43,0)),"Por definir"))</f>
        <v/>
      </c>
      <c r="P29" s="27">
        <f>IF($N29="","",IFERROR(INDEX(CONFIG!$H$4:$H$43,MATCH($N29,CONFIG!$F$4:$F$43,0)),"Por definir"))</f>
        <v/>
      </c>
      <c r="Q29" s="50" t="n"/>
      <c r="R29" s="51" t="n"/>
      <c r="S29" s="49" t="n"/>
      <c r="T29" s="49" t="n"/>
      <c r="U29" s="48">
        <f>IF(OR($B29="",$K29=""),"",WORKDAY($B29,IFERROR(INDEX(CONFIG!$C$4:$C$43,MATCH($K29,CONFIG!$A$4:$A$43,0)),3)))</f>
        <v/>
      </c>
      <c r="V29" s="46" t="n"/>
      <c r="W29" s="23">
        <f>IF($B29="","",IF($V29&lt;&gt;"",$V29-$B29,TODAY()-$B29))</f>
        <v/>
      </c>
      <c r="X29" s="27">
        <f>IF($C29="","",IF(IFERROR(INDEX(CONFIG!$K$4:$K$43,MATCH($S29,CONFIG!$J$4:$J$43,0)),"NO")="SÍ",IF(OR($V29="",$U29=""),"Resuelta",IF($V29&gt;$U29,"Resuelta tarde","Resuelta a tiempo")),IF($U29="","Sin clasificar",IF(TODAY()&gt;$U29,"Vencida",IF(TODAY()&gt;=$U29-1,"Por vencer","En plazo")))))</f>
        <v/>
      </c>
      <c r="Y29" s="49" t="n"/>
      <c r="Z29" s="49" t="n"/>
    </row>
    <row r="30" ht="16" customHeight="1">
      <c r="A30" s="27">
        <f>IF($C30="","","N-"&amp;TEXT(ROW()-3,"0000"))</f>
        <v/>
      </c>
      <c r="B30" s="46" t="n"/>
      <c r="C30" s="47" t="n"/>
      <c r="D30" s="27">
        <f>IF($C30="","",IF(COUNTIFS(ENVIOS!$A$4:$A$3003,$C30)=0,"NO EXISTE",IF(COUNTIFS(ENVIOS!$A$4:$A$3003,$C30)&gt;1,"DUPLICADA","OK")))</f>
        <v/>
      </c>
      <c r="E30" s="22">
        <f>IF($C30="","",IFERROR(INDEX(ENVIOS!$C$4:$C$3003,MATCH($C30,ENVIOS!$A$4:$A$3003,0)),"—"))</f>
        <v/>
      </c>
      <c r="F30" s="22">
        <f>IF($C30="","",IFERROR(INDEX(ENVIOS!$D$4:$D$3003,MATCH($C30,ENVIOS!$A$4:$A$3003,0)),"—"))</f>
        <v/>
      </c>
      <c r="G30" s="22">
        <f>IF($C30="","",IFERROR(INDEX(ENVIOS!$E$4:$E$3003,MATCH($C30,ENVIOS!$A$4:$A$3003,0)),"—"))</f>
        <v/>
      </c>
      <c r="H30" s="22">
        <f>IF($C30="","",IFERROR(INDEX(ENVIOS!$F$4:$F$3003,MATCH($C30,ENVIOS!$A$4:$A$3003,0)),"—"))</f>
        <v/>
      </c>
      <c r="I30" s="27">
        <f>IF($C30="","",IFERROR(INDEX(ENVIOS!$G$4:$G$3003,MATCH($C30,ENVIOS!$A$4:$A$3003,0)),"—"))</f>
        <v/>
      </c>
      <c r="J30" s="48">
        <f>IF($C30="","",IFERROR(INDEX(ENVIOS!$B$4:$B$3003,MATCH($C30,ENVIOS!$A$4:$A$3003,0)),""))</f>
        <v/>
      </c>
      <c r="K30" s="49" t="n"/>
      <c r="L30" s="27">
        <f>IF($K30="","",IFERROR(INDEX(CONFIG!$B$4:$B$43,MATCH($K30,CONFIG!$A$4:$A$43,0)),"Media"))</f>
        <v/>
      </c>
      <c r="M30" s="27">
        <f>IF($K30="","",IFERROR(INDEX(CONFIG!$D$4:$D$43,MATCH($K30,CONFIG!$A$4:$A$43,0)),"NO"))</f>
        <v/>
      </c>
      <c r="N30" s="49" t="n"/>
      <c r="O30" s="27">
        <f>IF($N30="","",IFERROR(INDEX(CONFIG!$G$4:$G$43,MATCH($N30,CONFIG!$F$4:$F$43,0)),"Por definir"))</f>
        <v/>
      </c>
      <c r="P30" s="27">
        <f>IF($N30="","",IFERROR(INDEX(CONFIG!$H$4:$H$43,MATCH($N30,CONFIG!$F$4:$F$43,0)),"Por definir"))</f>
        <v/>
      </c>
      <c r="Q30" s="50" t="n"/>
      <c r="R30" s="51" t="n"/>
      <c r="S30" s="49" t="n"/>
      <c r="T30" s="49" t="n"/>
      <c r="U30" s="48">
        <f>IF(OR($B30="",$K30=""),"",WORKDAY($B30,IFERROR(INDEX(CONFIG!$C$4:$C$43,MATCH($K30,CONFIG!$A$4:$A$43,0)),3)))</f>
        <v/>
      </c>
      <c r="V30" s="46" t="n"/>
      <c r="W30" s="23">
        <f>IF($B30="","",IF($V30&lt;&gt;"",$V30-$B30,TODAY()-$B30))</f>
        <v/>
      </c>
      <c r="X30" s="27">
        <f>IF($C30="","",IF(IFERROR(INDEX(CONFIG!$K$4:$K$43,MATCH($S30,CONFIG!$J$4:$J$43,0)),"NO")="SÍ",IF(OR($V30="",$U30=""),"Resuelta",IF($V30&gt;$U30,"Resuelta tarde","Resuelta a tiempo")),IF($U30="","Sin clasificar",IF(TODAY()&gt;$U30,"Vencida",IF(TODAY()&gt;=$U30-1,"Por vencer","En plazo")))))</f>
        <v/>
      </c>
      <c r="Y30" s="49" t="n"/>
      <c r="Z30" s="49" t="n"/>
    </row>
    <row r="31" ht="16" customHeight="1">
      <c r="A31" s="27">
        <f>IF($C31="","","N-"&amp;TEXT(ROW()-3,"0000"))</f>
        <v/>
      </c>
      <c r="B31" s="46" t="n"/>
      <c r="C31" s="47" t="n"/>
      <c r="D31" s="27">
        <f>IF($C31="","",IF(COUNTIFS(ENVIOS!$A$4:$A$3003,$C31)=0,"NO EXISTE",IF(COUNTIFS(ENVIOS!$A$4:$A$3003,$C31)&gt;1,"DUPLICADA","OK")))</f>
        <v/>
      </c>
      <c r="E31" s="22">
        <f>IF($C31="","",IFERROR(INDEX(ENVIOS!$C$4:$C$3003,MATCH($C31,ENVIOS!$A$4:$A$3003,0)),"—"))</f>
        <v/>
      </c>
      <c r="F31" s="22">
        <f>IF($C31="","",IFERROR(INDEX(ENVIOS!$D$4:$D$3003,MATCH($C31,ENVIOS!$A$4:$A$3003,0)),"—"))</f>
        <v/>
      </c>
      <c r="G31" s="22">
        <f>IF($C31="","",IFERROR(INDEX(ENVIOS!$E$4:$E$3003,MATCH($C31,ENVIOS!$A$4:$A$3003,0)),"—"))</f>
        <v/>
      </c>
      <c r="H31" s="22">
        <f>IF($C31="","",IFERROR(INDEX(ENVIOS!$F$4:$F$3003,MATCH($C31,ENVIOS!$A$4:$A$3003,0)),"—"))</f>
        <v/>
      </c>
      <c r="I31" s="27">
        <f>IF($C31="","",IFERROR(INDEX(ENVIOS!$G$4:$G$3003,MATCH($C31,ENVIOS!$A$4:$A$3003,0)),"—"))</f>
        <v/>
      </c>
      <c r="J31" s="48">
        <f>IF($C31="","",IFERROR(INDEX(ENVIOS!$B$4:$B$3003,MATCH($C31,ENVIOS!$A$4:$A$3003,0)),""))</f>
        <v/>
      </c>
      <c r="K31" s="49" t="n"/>
      <c r="L31" s="27">
        <f>IF($K31="","",IFERROR(INDEX(CONFIG!$B$4:$B$43,MATCH($K31,CONFIG!$A$4:$A$43,0)),"Media"))</f>
        <v/>
      </c>
      <c r="M31" s="27">
        <f>IF($K31="","",IFERROR(INDEX(CONFIG!$D$4:$D$43,MATCH($K31,CONFIG!$A$4:$A$43,0)),"NO"))</f>
        <v/>
      </c>
      <c r="N31" s="49" t="n"/>
      <c r="O31" s="27">
        <f>IF($N31="","",IFERROR(INDEX(CONFIG!$G$4:$G$43,MATCH($N31,CONFIG!$F$4:$F$43,0)),"Por definir"))</f>
        <v/>
      </c>
      <c r="P31" s="27">
        <f>IF($N31="","",IFERROR(INDEX(CONFIG!$H$4:$H$43,MATCH($N31,CONFIG!$F$4:$F$43,0)),"Por definir"))</f>
        <v/>
      </c>
      <c r="Q31" s="50" t="n"/>
      <c r="R31" s="51" t="n"/>
      <c r="S31" s="49" t="n"/>
      <c r="T31" s="49" t="n"/>
      <c r="U31" s="48">
        <f>IF(OR($B31="",$K31=""),"",WORKDAY($B31,IFERROR(INDEX(CONFIG!$C$4:$C$43,MATCH($K31,CONFIG!$A$4:$A$43,0)),3)))</f>
        <v/>
      </c>
      <c r="V31" s="46" t="n"/>
      <c r="W31" s="23">
        <f>IF($B31="","",IF($V31&lt;&gt;"",$V31-$B31,TODAY()-$B31))</f>
        <v/>
      </c>
      <c r="X31" s="27">
        <f>IF($C31="","",IF(IFERROR(INDEX(CONFIG!$K$4:$K$43,MATCH($S31,CONFIG!$J$4:$J$43,0)),"NO")="SÍ",IF(OR($V31="",$U31=""),"Resuelta",IF($V31&gt;$U31,"Resuelta tarde","Resuelta a tiempo")),IF($U31="","Sin clasificar",IF(TODAY()&gt;$U31,"Vencida",IF(TODAY()&gt;=$U31-1,"Por vencer","En plazo")))))</f>
        <v/>
      </c>
      <c r="Y31" s="49" t="n"/>
      <c r="Z31" s="49" t="n"/>
    </row>
    <row r="32" ht="16" customHeight="1">
      <c r="A32" s="27">
        <f>IF($C32="","","N-"&amp;TEXT(ROW()-3,"0000"))</f>
        <v/>
      </c>
      <c r="B32" s="46" t="n"/>
      <c r="C32" s="47" t="n"/>
      <c r="D32" s="27">
        <f>IF($C32="","",IF(COUNTIFS(ENVIOS!$A$4:$A$3003,$C32)=0,"NO EXISTE",IF(COUNTIFS(ENVIOS!$A$4:$A$3003,$C32)&gt;1,"DUPLICADA","OK")))</f>
        <v/>
      </c>
      <c r="E32" s="22">
        <f>IF($C32="","",IFERROR(INDEX(ENVIOS!$C$4:$C$3003,MATCH($C32,ENVIOS!$A$4:$A$3003,0)),"—"))</f>
        <v/>
      </c>
      <c r="F32" s="22">
        <f>IF($C32="","",IFERROR(INDEX(ENVIOS!$D$4:$D$3003,MATCH($C32,ENVIOS!$A$4:$A$3003,0)),"—"))</f>
        <v/>
      </c>
      <c r="G32" s="22">
        <f>IF($C32="","",IFERROR(INDEX(ENVIOS!$E$4:$E$3003,MATCH($C32,ENVIOS!$A$4:$A$3003,0)),"—"))</f>
        <v/>
      </c>
      <c r="H32" s="22">
        <f>IF($C32="","",IFERROR(INDEX(ENVIOS!$F$4:$F$3003,MATCH($C32,ENVIOS!$A$4:$A$3003,0)),"—"))</f>
        <v/>
      </c>
      <c r="I32" s="27">
        <f>IF($C32="","",IFERROR(INDEX(ENVIOS!$G$4:$G$3003,MATCH($C32,ENVIOS!$A$4:$A$3003,0)),"—"))</f>
        <v/>
      </c>
      <c r="J32" s="48">
        <f>IF($C32="","",IFERROR(INDEX(ENVIOS!$B$4:$B$3003,MATCH($C32,ENVIOS!$A$4:$A$3003,0)),""))</f>
        <v/>
      </c>
      <c r="K32" s="49" t="n"/>
      <c r="L32" s="27">
        <f>IF($K32="","",IFERROR(INDEX(CONFIG!$B$4:$B$43,MATCH($K32,CONFIG!$A$4:$A$43,0)),"Media"))</f>
        <v/>
      </c>
      <c r="M32" s="27">
        <f>IF($K32="","",IFERROR(INDEX(CONFIG!$D$4:$D$43,MATCH($K32,CONFIG!$A$4:$A$43,0)),"NO"))</f>
        <v/>
      </c>
      <c r="N32" s="49" t="n"/>
      <c r="O32" s="27">
        <f>IF($N32="","",IFERROR(INDEX(CONFIG!$G$4:$G$43,MATCH($N32,CONFIG!$F$4:$F$43,0)),"Por definir"))</f>
        <v/>
      </c>
      <c r="P32" s="27">
        <f>IF($N32="","",IFERROR(INDEX(CONFIG!$H$4:$H$43,MATCH($N32,CONFIG!$F$4:$F$43,0)),"Por definir"))</f>
        <v/>
      </c>
      <c r="Q32" s="50" t="n"/>
      <c r="R32" s="51" t="n"/>
      <c r="S32" s="49" t="n"/>
      <c r="T32" s="49" t="n"/>
      <c r="U32" s="48">
        <f>IF(OR($B32="",$K32=""),"",WORKDAY($B32,IFERROR(INDEX(CONFIG!$C$4:$C$43,MATCH($K32,CONFIG!$A$4:$A$43,0)),3)))</f>
        <v/>
      </c>
      <c r="V32" s="46" t="n"/>
      <c r="W32" s="23">
        <f>IF($B32="","",IF($V32&lt;&gt;"",$V32-$B32,TODAY()-$B32))</f>
        <v/>
      </c>
      <c r="X32" s="27">
        <f>IF($C32="","",IF(IFERROR(INDEX(CONFIG!$K$4:$K$43,MATCH($S32,CONFIG!$J$4:$J$43,0)),"NO")="SÍ",IF(OR($V32="",$U32=""),"Resuelta",IF($V32&gt;$U32,"Resuelta tarde","Resuelta a tiempo")),IF($U32="","Sin clasificar",IF(TODAY()&gt;$U32,"Vencida",IF(TODAY()&gt;=$U32-1,"Por vencer","En plazo")))))</f>
        <v/>
      </c>
      <c r="Y32" s="49" t="n"/>
      <c r="Z32" s="49" t="n"/>
    </row>
    <row r="33" ht="16" customHeight="1">
      <c r="A33" s="27">
        <f>IF($C33="","","N-"&amp;TEXT(ROW()-3,"0000"))</f>
        <v/>
      </c>
      <c r="B33" s="46" t="n"/>
      <c r="C33" s="47" t="n"/>
      <c r="D33" s="27">
        <f>IF($C33="","",IF(COUNTIFS(ENVIOS!$A$4:$A$3003,$C33)=0,"NO EXISTE",IF(COUNTIFS(ENVIOS!$A$4:$A$3003,$C33)&gt;1,"DUPLICADA","OK")))</f>
        <v/>
      </c>
      <c r="E33" s="22">
        <f>IF($C33="","",IFERROR(INDEX(ENVIOS!$C$4:$C$3003,MATCH($C33,ENVIOS!$A$4:$A$3003,0)),"—"))</f>
        <v/>
      </c>
      <c r="F33" s="22">
        <f>IF($C33="","",IFERROR(INDEX(ENVIOS!$D$4:$D$3003,MATCH($C33,ENVIOS!$A$4:$A$3003,0)),"—"))</f>
        <v/>
      </c>
      <c r="G33" s="22">
        <f>IF($C33="","",IFERROR(INDEX(ENVIOS!$E$4:$E$3003,MATCH($C33,ENVIOS!$A$4:$A$3003,0)),"—"))</f>
        <v/>
      </c>
      <c r="H33" s="22">
        <f>IF($C33="","",IFERROR(INDEX(ENVIOS!$F$4:$F$3003,MATCH($C33,ENVIOS!$A$4:$A$3003,0)),"—"))</f>
        <v/>
      </c>
      <c r="I33" s="27">
        <f>IF($C33="","",IFERROR(INDEX(ENVIOS!$G$4:$G$3003,MATCH($C33,ENVIOS!$A$4:$A$3003,0)),"—"))</f>
        <v/>
      </c>
      <c r="J33" s="48">
        <f>IF($C33="","",IFERROR(INDEX(ENVIOS!$B$4:$B$3003,MATCH($C33,ENVIOS!$A$4:$A$3003,0)),""))</f>
        <v/>
      </c>
      <c r="K33" s="49" t="n"/>
      <c r="L33" s="27">
        <f>IF($K33="","",IFERROR(INDEX(CONFIG!$B$4:$B$43,MATCH($K33,CONFIG!$A$4:$A$43,0)),"Media"))</f>
        <v/>
      </c>
      <c r="M33" s="27">
        <f>IF($K33="","",IFERROR(INDEX(CONFIG!$D$4:$D$43,MATCH($K33,CONFIG!$A$4:$A$43,0)),"NO"))</f>
        <v/>
      </c>
      <c r="N33" s="49" t="n"/>
      <c r="O33" s="27">
        <f>IF($N33="","",IFERROR(INDEX(CONFIG!$G$4:$G$43,MATCH($N33,CONFIG!$F$4:$F$43,0)),"Por definir"))</f>
        <v/>
      </c>
      <c r="P33" s="27">
        <f>IF($N33="","",IFERROR(INDEX(CONFIG!$H$4:$H$43,MATCH($N33,CONFIG!$F$4:$F$43,0)),"Por definir"))</f>
        <v/>
      </c>
      <c r="Q33" s="50" t="n"/>
      <c r="R33" s="51" t="n"/>
      <c r="S33" s="49" t="n"/>
      <c r="T33" s="49" t="n"/>
      <c r="U33" s="48">
        <f>IF(OR($B33="",$K33=""),"",WORKDAY($B33,IFERROR(INDEX(CONFIG!$C$4:$C$43,MATCH($K33,CONFIG!$A$4:$A$43,0)),3)))</f>
        <v/>
      </c>
      <c r="V33" s="46" t="n"/>
      <c r="W33" s="23">
        <f>IF($B33="","",IF($V33&lt;&gt;"",$V33-$B33,TODAY()-$B33))</f>
        <v/>
      </c>
      <c r="X33" s="27">
        <f>IF($C33="","",IF(IFERROR(INDEX(CONFIG!$K$4:$K$43,MATCH($S33,CONFIG!$J$4:$J$43,0)),"NO")="SÍ",IF(OR($V33="",$U33=""),"Resuelta",IF($V33&gt;$U33,"Resuelta tarde","Resuelta a tiempo")),IF($U33="","Sin clasificar",IF(TODAY()&gt;$U33,"Vencida",IF(TODAY()&gt;=$U33-1,"Por vencer","En plazo")))))</f>
        <v/>
      </c>
      <c r="Y33" s="49" t="n"/>
      <c r="Z33" s="49" t="n"/>
    </row>
    <row r="34" ht="16" customHeight="1">
      <c r="A34" s="27">
        <f>IF($C34="","","N-"&amp;TEXT(ROW()-3,"0000"))</f>
        <v/>
      </c>
      <c r="B34" s="46" t="n"/>
      <c r="C34" s="47" t="n"/>
      <c r="D34" s="27">
        <f>IF($C34="","",IF(COUNTIFS(ENVIOS!$A$4:$A$3003,$C34)=0,"NO EXISTE",IF(COUNTIFS(ENVIOS!$A$4:$A$3003,$C34)&gt;1,"DUPLICADA","OK")))</f>
        <v/>
      </c>
      <c r="E34" s="22">
        <f>IF($C34="","",IFERROR(INDEX(ENVIOS!$C$4:$C$3003,MATCH($C34,ENVIOS!$A$4:$A$3003,0)),"—"))</f>
        <v/>
      </c>
      <c r="F34" s="22">
        <f>IF($C34="","",IFERROR(INDEX(ENVIOS!$D$4:$D$3003,MATCH($C34,ENVIOS!$A$4:$A$3003,0)),"—"))</f>
        <v/>
      </c>
      <c r="G34" s="22">
        <f>IF($C34="","",IFERROR(INDEX(ENVIOS!$E$4:$E$3003,MATCH($C34,ENVIOS!$A$4:$A$3003,0)),"—"))</f>
        <v/>
      </c>
      <c r="H34" s="22">
        <f>IF($C34="","",IFERROR(INDEX(ENVIOS!$F$4:$F$3003,MATCH($C34,ENVIOS!$A$4:$A$3003,0)),"—"))</f>
        <v/>
      </c>
      <c r="I34" s="27">
        <f>IF($C34="","",IFERROR(INDEX(ENVIOS!$G$4:$G$3003,MATCH($C34,ENVIOS!$A$4:$A$3003,0)),"—"))</f>
        <v/>
      </c>
      <c r="J34" s="48">
        <f>IF($C34="","",IFERROR(INDEX(ENVIOS!$B$4:$B$3003,MATCH($C34,ENVIOS!$A$4:$A$3003,0)),""))</f>
        <v/>
      </c>
      <c r="K34" s="49" t="n"/>
      <c r="L34" s="27">
        <f>IF($K34="","",IFERROR(INDEX(CONFIG!$B$4:$B$43,MATCH($K34,CONFIG!$A$4:$A$43,0)),"Media"))</f>
        <v/>
      </c>
      <c r="M34" s="27">
        <f>IF($K34="","",IFERROR(INDEX(CONFIG!$D$4:$D$43,MATCH($K34,CONFIG!$A$4:$A$43,0)),"NO"))</f>
        <v/>
      </c>
      <c r="N34" s="49" t="n"/>
      <c r="O34" s="27">
        <f>IF($N34="","",IFERROR(INDEX(CONFIG!$G$4:$G$43,MATCH($N34,CONFIG!$F$4:$F$43,0)),"Por definir"))</f>
        <v/>
      </c>
      <c r="P34" s="27">
        <f>IF($N34="","",IFERROR(INDEX(CONFIG!$H$4:$H$43,MATCH($N34,CONFIG!$F$4:$F$43,0)),"Por definir"))</f>
        <v/>
      </c>
      <c r="Q34" s="50" t="n"/>
      <c r="R34" s="51" t="n"/>
      <c r="S34" s="49" t="n"/>
      <c r="T34" s="49" t="n"/>
      <c r="U34" s="48">
        <f>IF(OR($B34="",$K34=""),"",WORKDAY($B34,IFERROR(INDEX(CONFIG!$C$4:$C$43,MATCH($K34,CONFIG!$A$4:$A$43,0)),3)))</f>
        <v/>
      </c>
      <c r="V34" s="46" t="n"/>
      <c r="W34" s="23">
        <f>IF($B34="","",IF($V34&lt;&gt;"",$V34-$B34,TODAY()-$B34))</f>
        <v/>
      </c>
      <c r="X34" s="27">
        <f>IF($C34="","",IF(IFERROR(INDEX(CONFIG!$K$4:$K$43,MATCH($S34,CONFIG!$J$4:$J$43,0)),"NO")="SÍ",IF(OR($V34="",$U34=""),"Resuelta",IF($V34&gt;$U34,"Resuelta tarde","Resuelta a tiempo")),IF($U34="","Sin clasificar",IF(TODAY()&gt;$U34,"Vencida",IF(TODAY()&gt;=$U34-1,"Por vencer","En plazo")))))</f>
        <v/>
      </c>
      <c r="Y34" s="49" t="n"/>
      <c r="Z34" s="49" t="n"/>
    </row>
    <row r="35" ht="16" customHeight="1">
      <c r="A35" s="27">
        <f>IF($C35="","","N-"&amp;TEXT(ROW()-3,"0000"))</f>
        <v/>
      </c>
      <c r="B35" s="46" t="n"/>
      <c r="C35" s="47" t="n"/>
      <c r="D35" s="27">
        <f>IF($C35="","",IF(COUNTIFS(ENVIOS!$A$4:$A$3003,$C35)=0,"NO EXISTE",IF(COUNTIFS(ENVIOS!$A$4:$A$3003,$C35)&gt;1,"DUPLICADA","OK")))</f>
        <v/>
      </c>
      <c r="E35" s="22">
        <f>IF($C35="","",IFERROR(INDEX(ENVIOS!$C$4:$C$3003,MATCH($C35,ENVIOS!$A$4:$A$3003,0)),"—"))</f>
        <v/>
      </c>
      <c r="F35" s="22">
        <f>IF($C35="","",IFERROR(INDEX(ENVIOS!$D$4:$D$3003,MATCH($C35,ENVIOS!$A$4:$A$3003,0)),"—"))</f>
        <v/>
      </c>
      <c r="G35" s="22">
        <f>IF($C35="","",IFERROR(INDEX(ENVIOS!$E$4:$E$3003,MATCH($C35,ENVIOS!$A$4:$A$3003,0)),"—"))</f>
        <v/>
      </c>
      <c r="H35" s="22">
        <f>IF($C35="","",IFERROR(INDEX(ENVIOS!$F$4:$F$3003,MATCH($C35,ENVIOS!$A$4:$A$3003,0)),"—"))</f>
        <v/>
      </c>
      <c r="I35" s="27">
        <f>IF($C35="","",IFERROR(INDEX(ENVIOS!$G$4:$G$3003,MATCH($C35,ENVIOS!$A$4:$A$3003,0)),"—"))</f>
        <v/>
      </c>
      <c r="J35" s="48">
        <f>IF($C35="","",IFERROR(INDEX(ENVIOS!$B$4:$B$3003,MATCH($C35,ENVIOS!$A$4:$A$3003,0)),""))</f>
        <v/>
      </c>
      <c r="K35" s="49" t="n"/>
      <c r="L35" s="27">
        <f>IF($K35="","",IFERROR(INDEX(CONFIG!$B$4:$B$43,MATCH($K35,CONFIG!$A$4:$A$43,0)),"Media"))</f>
        <v/>
      </c>
      <c r="M35" s="27">
        <f>IF($K35="","",IFERROR(INDEX(CONFIG!$D$4:$D$43,MATCH($K35,CONFIG!$A$4:$A$43,0)),"NO"))</f>
        <v/>
      </c>
      <c r="N35" s="49" t="n"/>
      <c r="O35" s="27">
        <f>IF($N35="","",IFERROR(INDEX(CONFIG!$G$4:$G$43,MATCH($N35,CONFIG!$F$4:$F$43,0)),"Por definir"))</f>
        <v/>
      </c>
      <c r="P35" s="27">
        <f>IF($N35="","",IFERROR(INDEX(CONFIG!$H$4:$H$43,MATCH($N35,CONFIG!$F$4:$F$43,0)),"Por definir"))</f>
        <v/>
      </c>
      <c r="Q35" s="50" t="n"/>
      <c r="R35" s="51" t="n"/>
      <c r="S35" s="49" t="n"/>
      <c r="T35" s="49" t="n"/>
      <c r="U35" s="48">
        <f>IF(OR($B35="",$K35=""),"",WORKDAY($B35,IFERROR(INDEX(CONFIG!$C$4:$C$43,MATCH($K35,CONFIG!$A$4:$A$43,0)),3)))</f>
        <v/>
      </c>
      <c r="V35" s="46" t="n"/>
      <c r="W35" s="23">
        <f>IF($B35="","",IF($V35&lt;&gt;"",$V35-$B35,TODAY()-$B35))</f>
        <v/>
      </c>
      <c r="X35" s="27">
        <f>IF($C35="","",IF(IFERROR(INDEX(CONFIG!$K$4:$K$43,MATCH($S35,CONFIG!$J$4:$J$43,0)),"NO")="SÍ",IF(OR($V35="",$U35=""),"Resuelta",IF($V35&gt;$U35,"Resuelta tarde","Resuelta a tiempo")),IF($U35="","Sin clasificar",IF(TODAY()&gt;$U35,"Vencida",IF(TODAY()&gt;=$U35-1,"Por vencer","En plazo")))))</f>
        <v/>
      </c>
      <c r="Y35" s="49" t="n"/>
      <c r="Z35" s="49" t="n"/>
    </row>
    <row r="36" ht="16" customHeight="1">
      <c r="A36" s="27">
        <f>IF($C36="","","N-"&amp;TEXT(ROW()-3,"0000"))</f>
        <v/>
      </c>
      <c r="B36" s="46" t="n"/>
      <c r="C36" s="47" t="n"/>
      <c r="D36" s="27">
        <f>IF($C36="","",IF(COUNTIFS(ENVIOS!$A$4:$A$3003,$C36)=0,"NO EXISTE",IF(COUNTIFS(ENVIOS!$A$4:$A$3003,$C36)&gt;1,"DUPLICADA","OK")))</f>
        <v/>
      </c>
      <c r="E36" s="22">
        <f>IF($C36="","",IFERROR(INDEX(ENVIOS!$C$4:$C$3003,MATCH($C36,ENVIOS!$A$4:$A$3003,0)),"—"))</f>
        <v/>
      </c>
      <c r="F36" s="22">
        <f>IF($C36="","",IFERROR(INDEX(ENVIOS!$D$4:$D$3003,MATCH($C36,ENVIOS!$A$4:$A$3003,0)),"—"))</f>
        <v/>
      </c>
      <c r="G36" s="22">
        <f>IF($C36="","",IFERROR(INDEX(ENVIOS!$E$4:$E$3003,MATCH($C36,ENVIOS!$A$4:$A$3003,0)),"—"))</f>
        <v/>
      </c>
      <c r="H36" s="22">
        <f>IF($C36="","",IFERROR(INDEX(ENVIOS!$F$4:$F$3003,MATCH($C36,ENVIOS!$A$4:$A$3003,0)),"—"))</f>
        <v/>
      </c>
      <c r="I36" s="27">
        <f>IF($C36="","",IFERROR(INDEX(ENVIOS!$G$4:$G$3003,MATCH($C36,ENVIOS!$A$4:$A$3003,0)),"—"))</f>
        <v/>
      </c>
      <c r="J36" s="48">
        <f>IF($C36="","",IFERROR(INDEX(ENVIOS!$B$4:$B$3003,MATCH($C36,ENVIOS!$A$4:$A$3003,0)),""))</f>
        <v/>
      </c>
      <c r="K36" s="49" t="n"/>
      <c r="L36" s="27">
        <f>IF($K36="","",IFERROR(INDEX(CONFIG!$B$4:$B$43,MATCH($K36,CONFIG!$A$4:$A$43,0)),"Media"))</f>
        <v/>
      </c>
      <c r="M36" s="27">
        <f>IF($K36="","",IFERROR(INDEX(CONFIG!$D$4:$D$43,MATCH($K36,CONFIG!$A$4:$A$43,0)),"NO"))</f>
        <v/>
      </c>
      <c r="N36" s="49" t="n"/>
      <c r="O36" s="27">
        <f>IF($N36="","",IFERROR(INDEX(CONFIG!$G$4:$G$43,MATCH($N36,CONFIG!$F$4:$F$43,0)),"Por definir"))</f>
        <v/>
      </c>
      <c r="P36" s="27">
        <f>IF($N36="","",IFERROR(INDEX(CONFIG!$H$4:$H$43,MATCH($N36,CONFIG!$F$4:$F$43,0)),"Por definir"))</f>
        <v/>
      </c>
      <c r="Q36" s="50" t="n"/>
      <c r="R36" s="51" t="n"/>
      <c r="S36" s="49" t="n"/>
      <c r="T36" s="49" t="n"/>
      <c r="U36" s="48">
        <f>IF(OR($B36="",$K36=""),"",WORKDAY($B36,IFERROR(INDEX(CONFIG!$C$4:$C$43,MATCH($K36,CONFIG!$A$4:$A$43,0)),3)))</f>
        <v/>
      </c>
      <c r="V36" s="46" t="n"/>
      <c r="W36" s="23">
        <f>IF($B36="","",IF($V36&lt;&gt;"",$V36-$B36,TODAY()-$B36))</f>
        <v/>
      </c>
      <c r="X36" s="27">
        <f>IF($C36="","",IF(IFERROR(INDEX(CONFIG!$K$4:$K$43,MATCH($S36,CONFIG!$J$4:$J$43,0)),"NO")="SÍ",IF(OR($V36="",$U36=""),"Resuelta",IF($V36&gt;$U36,"Resuelta tarde","Resuelta a tiempo")),IF($U36="","Sin clasificar",IF(TODAY()&gt;$U36,"Vencida",IF(TODAY()&gt;=$U36-1,"Por vencer","En plazo")))))</f>
        <v/>
      </c>
      <c r="Y36" s="49" t="n"/>
      <c r="Z36" s="49" t="n"/>
    </row>
    <row r="37" ht="16" customHeight="1">
      <c r="A37" s="27">
        <f>IF($C37="","","N-"&amp;TEXT(ROW()-3,"0000"))</f>
        <v/>
      </c>
      <c r="B37" s="46" t="n"/>
      <c r="C37" s="47" t="n"/>
      <c r="D37" s="27">
        <f>IF($C37="","",IF(COUNTIFS(ENVIOS!$A$4:$A$3003,$C37)=0,"NO EXISTE",IF(COUNTIFS(ENVIOS!$A$4:$A$3003,$C37)&gt;1,"DUPLICADA","OK")))</f>
        <v/>
      </c>
      <c r="E37" s="22">
        <f>IF($C37="","",IFERROR(INDEX(ENVIOS!$C$4:$C$3003,MATCH($C37,ENVIOS!$A$4:$A$3003,0)),"—"))</f>
        <v/>
      </c>
      <c r="F37" s="22">
        <f>IF($C37="","",IFERROR(INDEX(ENVIOS!$D$4:$D$3003,MATCH($C37,ENVIOS!$A$4:$A$3003,0)),"—"))</f>
        <v/>
      </c>
      <c r="G37" s="22">
        <f>IF($C37="","",IFERROR(INDEX(ENVIOS!$E$4:$E$3003,MATCH($C37,ENVIOS!$A$4:$A$3003,0)),"—"))</f>
        <v/>
      </c>
      <c r="H37" s="22">
        <f>IF($C37="","",IFERROR(INDEX(ENVIOS!$F$4:$F$3003,MATCH($C37,ENVIOS!$A$4:$A$3003,0)),"—"))</f>
        <v/>
      </c>
      <c r="I37" s="27">
        <f>IF($C37="","",IFERROR(INDEX(ENVIOS!$G$4:$G$3003,MATCH($C37,ENVIOS!$A$4:$A$3003,0)),"—"))</f>
        <v/>
      </c>
      <c r="J37" s="48">
        <f>IF($C37="","",IFERROR(INDEX(ENVIOS!$B$4:$B$3003,MATCH($C37,ENVIOS!$A$4:$A$3003,0)),""))</f>
        <v/>
      </c>
      <c r="K37" s="49" t="n"/>
      <c r="L37" s="27">
        <f>IF($K37="","",IFERROR(INDEX(CONFIG!$B$4:$B$43,MATCH($K37,CONFIG!$A$4:$A$43,0)),"Media"))</f>
        <v/>
      </c>
      <c r="M37" s="27">
        <f>IF($K37="","",IFERROR(INDEX(CONFIG!$D$4:$D$43,MATCH($K37,CONFIG!$A$4:$A$43,0)),"NO"))</f>
        <v/>
      </c>
      <c r="N37" s="49" t="n"/>
      <c r="O37" s="27">
        <f>IF($N37="","",IFERROR(INDEX(CONFIG!$G$4:$G$43,MATCH($N37,CONFIG!$F$4:$F$43,0)),"Por definir"))</f>
        <v/>
      </c>
      <c r="P37" s="27">
        <f>IF($N37="","",IFERROR(INDEX(CONFIG!$H$4:$H$43,MATCH($N37,CONFIG!$F$4:$F$43,0)),"Por definir"))</f>
        <v/>
      </c>
      <c r="Q37" s="50" t="n"/>
      <c r="R37" s="51" t="n"/>
      <c r="S37" s="49" t="n"/>
      <c r="T37" s="49" t="n"/>
      <c r="U37" s="48">
        <f>IF(OR($B37="",$K37=""),"",WORKDAY($B37,IFERROR(INDEX(CONFIG!$C$4:$C$43,MATCH($K37,CONFIG!$A$4:$A$43,0)),3)))</f>
        <v/>
      </c>
      <c r="V37" s="46" t="n"/>
      <c r="W37" s="23">
        <f>IF($B37="","",IF($V37&lt;&gt;"",$V37-$B37,TODAY()-$B37))</f>
        <v/>
      </c>
      <c r="X37" s="27">
        <f>IF($C37="","",IF(IFERROR(INDEX(CONFIG!$K$4:$K$43,MATCH($S37,CONFIG!$J$4:$J$43,0)),"NO")="SÍ",IF(OR($V37="",$U37=""),"Resuelta",IF($V37&gt;$U37,"Resuelta tarde","Resuelta a tiempo")),IF($U37="","Sin clasificar",IF(TODAY()&gt;$U37,"Vencida",IF(TODAY()&gt;=$U37-1,"Por vencer","En plazo")))))</f>
        <v/>
      </c>
      <c r="Y37" s="49" t="n"/>
      <c r="Z37" s="49" t="n"/>
    </row>
    <row r="38" ht="16" customHeight="1">
      <c r="A38" s="27">
        <f>IF($C38="","","N-"&amp;TEXT(ROW()-3,"0000"))</f>
        <v/>
      </c>
      <c r="B38" s="46" t="n"/>
      <c r="C38" s="47" t="n"/>
      <c r="D38" s="27">
        <f>IF($C38="","",IF(COUNTIFS(ENVIOS!$A$4:$A$3003,$C38)=0,"NO EXISTE",IF(COUNTIFS(ENVIOS!$A$4:$A$3003,$C38)&gt;1,"DUPLICADA","OK")))</f>
        <v/>
      </c>
      <c r="E38" s="22">
        <f>IF($C38="","",IFERROR(INDEX(ENVIOS!$C$4:$C$3003,MATCH($C38,ENVIOS!$A$4:$A$3003,0)),"—"))</f>
        <v/>
      </c>
      <c r="F38" s="22">
        <f>IF($C38="","",IFERROR(INDEX(ENVIOS!$D$4:$D$3003,MATCH($C38,ENVIOS!$A$4:$A$3003,0)),"—"))</f>
        <v/>
      </c>
      <c r="G38" s="22">
        <f>IF($C38="","",IFERROR(INDEX(ENVIOS!$E$4:$E$3003,MATCH($C38,ENVIOS!$A$4:$A$3003,0)),"—"))</f>
        <v/>
      </c>
      <c r="H38" s="22">
        <f>IF($C38="","",IFERROR(INDEX(ENVIOS!$F$4:$F$3003,MATCH($C38,ENVIOS!$A$4:$A$3003,0)),"—"))</f>
        <v/>
      </c>
      <c r="I38" s="27">
        <f>IF($C38="","",IFERROR(INDEX(ENVIOS!$G$4:$G$3003,MATCH($C38,ENVIOS!$A$4:$A$3003,0)),"—"))</f>
        <v/>
      </c>
      <c r="J38" s="48">
        <f>IF($C38="","",IFERROR(INDEX(ENVIOS!$B$4:$B$3003,MATCH($C38,ENVIOS!$A$4:$A$3003,0)),""))</f>
        <v/>
      </c>
      <c r="K38" s="49" t="n"/>
      <c r="L38" s="27">
        <f>IF($K38="","",IFERROR(INDEX(CONFIG!$B$4:$B$43,MATCH($K38,CONFIG!$A$4:$A$43,0)),"Media"))</f>
        <v/>
      </c>
      <c r="M38" s="27">
        <f>IF($K38="","",IFERROR(INDEX(CONFIG!$D$4:$D$43,MATCH($K38,CONFIG!$A$4:$A$43,0)),"NO"))</f>
        <v/>
      </c>
      <c r="N38" s="49" t="n"/>
      <c r="O38" s="27">
        <f>IF($N38="","",IFERROR(INDEX(CONFIG!$G$4:$G$43,MATCH($N38,CONFIG!$F$4:$F$43,0)),"Por definir"))</f>
        <v/>
      </c>
      <c r="P38" s="27">
        <f>IF($N38="","",IFERROR(INDEX(CONFIG!$H$4:$H$43,MATCH($N38,CONFIG!$F$4:$F$43,0)),"Por definir"))</f>
        <v/>
      </c>
      <c r="Q38" s="50" t="n"/>
      <c r="R38" s="51" t="n"/>
      <c r="S38" s="49" t="n"/>
      <c r="T38" s="49" t="n"/>
      <c r="U38" s="48">
        <f>IF(OR($B38="",$K38=""),"",WORKDAY($B38,IFERROR(INDEX(CONFIG!$C$4:$C$43,MATCH($K38,CONFIG!$A$4:$A$43,0)),3)))</f>
        <v/>
      </c>
      <c r="V38" s="46" t="n"/>
      <c r="W38" s="23">
        <f>IF($B38="","",IF($V38&lt;&gt;"",$V38-$B38,TODAY()-$B38))</f>
        <v/>
      </c>
      <c r="X38" s="27">
        <f>IF($C38="","",IF(IFERROR(INDEX(CONFIG!$K$4:$K$43,MATCH($S38,CONFIG!$J$4:$J$43,0)),"NO")="SÍ",IF(OR($V38="",$U38=""),"Resuelta",IF($V38&gt;$U38,"Resuelta tarde","Resuelta a tiempo")),IF($U38="","Sin clasificar",IF(TODAY()&gt;$U38,"Vencida",IF(TODAY()&gt;=$U38-1,"Por vencer","En plazo")))))</f>
        <v/>
      </c>
      <c r="Y38" s="49" t="n"/>
      <c r="Z38" s="49" t="n"/>
    </row>
    <row r="39" ht="16" customHeight="1">
      <c r="A39" s="27">
        <f>IF($C39="","","N-"&amp;TEXT(ROW()-3,"0000"))</f>
        <v/>
      </c>
      <c r="B39" s="46" t="n"/>
      <c r="C39" s="47" t="n"/>
      <c r="D39" s="27">
        <f>IF($C39="","",IF(COUNTIFS(ENVIOS!$A$4:$A$3003,$C39)=0,"NO EXISTE",IF(COUNTIFS(ENVIOS!$A$4:$A$3003,$C39)&gt;1,"DUPLICADA","OK")))</f>
        <v/>
      </c>
      <c r="E39" s="22">
        <f>IF($C39="","",IFERROR(INDEX(ENVIOS!$C$4:$C$3003,MATCH($C39,ENVIOS!$A$4:$A$3003,0)),"—"))</f>
        <v/>
      </c>
      <c r="F39" s="22">
        <f>IF($C39="","",IFERROR(INDEX(ENVIOS!$D$4:$D$3003,MATCH($C39,ENVIOS!$A$4:$A$3003,0)),"—"))</f>
        <v/>
      </c>
      <c r="G39" s="22">
        <f>IF($C39="","",IFERROR(INDEX(ENVIOS!$E$4:$E$3003,MATCH($C39,ENVIOS!$A$4:$A$3003,0)),"—"))</f>
        <v/>
      </c>
      <c r="H39" s="22">
        <f>IF($C39="","",IFERROR(INDEX(ENVIOS!$F$4:$F$3003,MATCH($C39,ENVIOS!$A$4:$A$3003,0)),"—"))</f>
        <v/>
      </c>
      <c r="I39" s="27">
        <f>IF($C39="","",IFERROR(INDEX(ENVIOS!$G$4:$G$3003,MATCH($C39,ENVIOS!$A$4:$A$3003,0)),"—"))</f>
        <v/>
      </c>
      <c r="J39" s="48">
        <f>IF($C39="","",IFERROR(INDEX(ENVIOS!$B$4:$B$3003,MATCH($C39,ENVIOS!$A$4:$A$3003,0)),""))</f>
        <v/>
      </c>
      <c r="K39" s="49" t="n"/>
      <c r="L39" s="27">
        <f>IF($K39="","",IFERROR(INDEX(CONFIG!$B$4:$B$43,MATCH($K39,CONFIG!$A$4:$A$43,0)),"Media"))</f>
        <v/>
      </c>
      <c r="M39" s="27">
        <f>IF($K39="","",IFERROR(INDEX(CONFIG!$D$4:$D$43,MATCH($K39,CONFIG!$A$4:$A$43,0)),"NO"))</f>
        <v/>
      </c>
      <c r="N39" s="49" t="n"/>
      <c r="O39" s="27">
        <f>IF($N39="","",IFERROR(INDEX(CONFIG!$G$4:$G$43,MATCH($N39,CONFIG!$F$4:$F$43,0)),"Por definir"))</f>
        <v/>
      </c>
      <c r="P39" s="27">
        <f>IF($N39="","",IFERROR(INDEX(CONFIG!$H$4:$H$43,MATCH($N39,CONFIG!$F$4:$F$43,0)),"Por definir"))</f>
        <v/>
      </c>
      <c r="Q39" s="50" t="n"/>
      <c r="R39" s="51" t="n"/>
      <c r="S39" s="49" t="n"/>
      <c r="T39" s="49" t="n"/>
      <c r="U39" s="48">
        <f>IF(OR($B39="",$K39=""),"",WORKDAY($B39,IFERROR(INDEX(CONFIG!$C$4:$C$43,MATCH($K39,CONFIG!$A$4:$A$43,0)),3)))</f>
        <v/>
      </c>
      <c r="V39" s="46" t="n"/>
      <c r="W39" s="23">
        <f>IF($B39="","",IF($V39&lt;&gt;"",$V39-$B39,TODAY()-$B39))</f>
        <v/>
      </c>
      <c r="X39" s="27">
        <f>IF($C39="","",IF(IFERROR(INDEX(CONFIG!$K$4:$K$43,MATCH($S39,CONFIG!$J$4:$J$43,0)),"NO")="SÍ",IF(OR($V39="",$U39=""),"Resuelta",IF($V39&gt;$U39,"Resuelta tarde","Resuelta a tiempo")),IF($U39="","Sin clasificar",IF(TODAY()&gt;$U39,"Vencida",IF(TODAY()&gt;=$U39-1,"Por vencer","En plazo")))))</f>
        <v/>
      </c>
      <c r="Y39" s="49" t="n"/>
      <c r="Z39" s="49" t="n"/>
    </row>
    <row r="40" ht="16" customHeight="1">
      <c r="A40" s="27">
        <f>IF($C40="","","N-"&amp;TEXT(ROW()-3,"0000"))</f>
        <v/>
      </c>
      <c r="B40" s="46" t="n"/>
      <c r="C40" s="47" t="n"/>
      <c r="D40" s="27">
        <f>IF($C40="","",IF(COUNTIFS(ENVIOS!$A$4:$A$3003,$C40)=0,"NO EXISTE",IF(COUNTIFS(ENVIOS!$A$4:$A$3003,$C40)&gt;1,"DUPLICADA","OK")))</f>
        <v/>
      </c>
      <c r="E40" s="22">
        <f>IF($C40="","",IFERROR(INDEX(ENVIOS!$C$4:$C$3003,MATCH($C40,ENVIOS!$A$4:$A$3003,0)),"—"))</f>
        <v/>
      </c>
      <c r="F40" s="22">
        <f>IF($C40="","",IFERROR(INDEX(ENVIOS!$D$4:$D$3003,MATCH($C40,ENVIOS!$A$4:$A$3003,0)),"—"))</f>
        <v/>
      </c>
      <c r="G40" s="22">
        <f>IF($C40="","",IFERROR(INDEX(ENVIOS!$E$4:$E$3003,MATCH($C40,ENVIOS!$A$4:$A$3003,0)),"—"))</f>
        <v/>
      </c>
      <c r="H40" s="22">
        <f>IF($C40="","",IFERROR(INDEX(ENVIOS!$F$4:$F$3003,MATCH($C40,ENVIOS!$A$4:$A$3003,0)),"—"))</f>
        <v/>
      </c>
      <c r="I40" s="27">
        <f>IF($C40="","",IFERROR(INDEX(ENVIOS!$G$4:$G$3003,MATCH($C40,ENVIOS!$A$4:$A$3003,0)),"—"))</f>
        <v/>
      </c>
      <c r="J40" s="48">
        <f>IF($C40="","",IFERROR(INDEX(ENVIOS!$B$4:$B$3003,MATCH($C40,ENVIOS!$A$4:$A$3003,0)),""))</f>
        <v/>
      </c>
      <c r="K40" s="49" t="n"/>
      <c r="L40" s="27">
        <f>IF($K40="","",IFERROR(INDEX(CONFIG!$B$4:$B$43,MATCH($K40,CONFIG!$A$4:$A$43,0)),"Media"))</f>
        <v/>
      </c>
      <c r="M40" s="27">
        <f>IF($K40="","",IFERROR(INDEX(CONFIG!$D$4:$D$43,MATCH($K40,CONFIG!$A$4:$A$43,0)),"NO"))</f>
        <v/>
      </c>
      <c r="N40" s="49" t="n"/>
      <c r="O40" s="27">
        <f>IF($N40="","",IFERROR(INDEX(CONFIG!$G$4:$G$43,MATCH($N40,CONFIG!$F$4:$F$43,0)),"Por definir"))</f>
        <v/>
      </c>
      <c r="P40" s="27">
        <f>IF($N40="","",IFERROR(INDEX(CONFIG!$H$4:$H$43,MATCH($N40,CONFIG!$F$4:$F$43,0)),"Por definir"))</f>
        <v/>
      </c>
      <c r="Q40" s="50" t="n"/>
      <c r="R40" s="51" t="n"/>
      <c r="S40" s="49" t="n"/>
      <c r="T40" s="49" t="n"/>
      <c r="U40" s="48">
        <f>IF(OR($B40="",$K40=""),"",WORKDAY($B40,IFERROR(INDEX(CONFIG!$C$4:$C$43,MATCH($K40,CONFIG!$A$4:$A$43,0)),3)))</f>
        <v/>
      </c>
      <c r="V40" s="46" t="n"/>
      <c r="W40" s="23">
        <f>IF($B40="","",IF($V40&lt;&gt;"",$V40-$B40,TODAY()-$B40))</f>
        <v/>
      </c>
      <c r="X40" s="27">
        <f>IF($C40="","",IF(IFERROR(INDEX(CONFIG!$K$4:$K$43,MATCH($S40,CONFIG!$J$4:$J$43,0)),"NO")="SÍ",IF(OR($V40="",$U40=""),"Resuelta",IF($V40&gt;$U40,"Resuelta tarde","Resuelta a tiempo")),IF($U40="","Sin clasificar",IF(TODAY()&gt;$U40,"Vencida",IF(TODAY()&gt;=$U40-1,"Por vencer","En plazo")))))</f>
        <v/>
      </c>
      <c r="Y40" s="49" t="n"/>
      <c r="Z40" s="49" t="n"/>
    </row>
    <row r="41" ht="16" customHeight="1">
      <c r="A41" s="27">
        <f>IF($C41="","","N-"&amp;TEXT(ROW()-3,"0000"))</f>
        <v/>
      </c>
      <c r="B41" s="46" t="n"/>
      <c r="C41" s="47" t="n"/>
      <c r="D41" s="27">
        <f>IF($C41="","",IF(COUNTIFS(ENVIOS!$A$4:$A$3003,$C41)=0,"NO EXISTE",IF(COUNTIFS(ENVIOS!$A$4:$A$3003,$C41)&gt;1,"DUPLICADA","OK")))</f>
        <v/>
      </c>
      <c r="E41" s="22">
        <f>IF($C41="","",IFERROR(INDEX(ENVIOS!$C$4:$C$3003,MATCH($C41,ENVIOS!$A$4:$A$3003,0)),"—"))</f>
        <v/>
      </c>
      <c r="F41" s="22">
        <f>IF($C41="","",IFERROR(INDEX(ENVIOS!$D$4:$D$3003,MATCH($C41,ENVIOS!$A$4:$A$3003,0)),"—"))</f>
        <v/>
      </c>
      <c r="G41" s="22">
        <f>IF($C41="","",IFERROR(INDEX(ENVIOS!$E$4:$E$3003,MATCH($C41,ENVIOS!$A$4:$A$3003,0)),"—"))</f>
        <v/>
      </c>
      <c r="H41" s="22">
        <f>IF($C41="","",IFERROR(INDEX(ENVIOS!$F$4:$F$3003,MATCH($C41,ENVIOS!$A$4:$A$3003,0)),"—"))</f>
        <v/>
      </c>
      <c r="I41" s="27">
        <f>IF($C41="","",IFERROR(INDEX(ENVIOS!$G$4:$G$3003,MATCH($C41,ENVIOS!$A$4:$A$3003,0)),"—"))</f>
        <v/>
      </c>
      <c r="J41" s="48">
        <f>IF($C41="","",IFERROR(INDEX(ENVIOS!$B$4:$B$3003,MATCH($C41,ENVIOS!$A$4:$A$3003,0)),""))</f>
        <v/>
      </c>
      <c r="K41" s="49" t="n"/>
      <c r="L41" s="27">
        <f>IF($K41="","",IFERROR(INDEX(CONFIG!$B$4:$B$43,MATCH($K41,CONFIG!$A$4:$A$43,0)),"Media"))</f>
        <v/>
      </c>
      <c r="M41" s="27">
        <f>IF($K41="","",IFERROR(INDEX(CONFIG!$D$4:$D$43,MATCH($K41,CONFIG!$A$4:$A$43,0)),"NO"))</f>
        <v/>
      </c>
      <c r="N41" s="49" t="n"/>
      <c r="O41" s="27">
        <f>IF($N41="","",IFERROR(INDEX(CONFIG!$G$4:$G$43,MATCH($N41,CONFIG!$F$4:$F$43,0)),"Por definir"))</f>
        <v/>
      </c>
      <c r="P41" s="27">
        <f>IF($N41="","",IFERROR(INDEX(CONFIG!$H$4:$H$43,MATCH($N41,CONFIG!$F$4:$F$43,0)),"Por definir"))</f>
        <v/>
      </c>
      <c r="Q41" s="50" t="n"/>
      <c r="R41" s="51" t="n"/>
      <c r="S41" s="49" t="n"/>
      <c r="T41" s="49" t="n"/>
      <c r="U41" s="48">
        <f>IF(OR($B41="",$K41=""),"",WORKDAY($B41,IFERROR(INDEX(CONFIG!$C$4:$C$43,MATCH($K41,CONFIG!$A$4:$A$43,0)),3)))</f>
        <v/>
      </c>
      <c r="V41" s="46" t="n"/>
      <c r="W41" s="23">
        <f>IF($B41="","",IF($V41&lt;&gt;"",$V41-$B41,TODAY()-$B41))</f>
        <v/>
      </c>
      <c r="X41" s="27">
        <f>IF($C41="","",IF(IFERROR(INDEX(CONFIG!$K$4:$K$43,MATCH($S41,CONFIG!$J$4:$J$43,0)),"NO")="SÍ",IF(OR($V41="",$U41=""),"Resuelta",IF($V41&gt;$U41,"Resuelta tarde","Resuelta a tiempo")),IF($U41="","Sin clasificar",IF(TODAY()&gt;$U41,"Vencida",IF(TODAY()&gt;=$U41-1,"Por vencer","En plazo")))))</f>
        <v/>
      </c>
      <c r="Y41" s="49" t="n"/>
      <c r="Z41" s="49" t="n"/>
    </row>
    <row r="42" ht="16" customHeight="1">
      <c r="A42" s="27">
        <f>IF($C42="","","N-"&amp;TEXT(ROW()-3,"0000"))</f>
        <v/>
      </c>
      <c r="B42" s="46" t="n"/>
      <c r="C42" s="47" t="n"/>
      <c r="D42" s="27">
        <f>IF($C42="","",IF(COUNTIFS(ENVIOS!$A$4:$A$3003,$C42)=0,"NO EXISTE",IF(COUNTIFS(ENVIOS!$A$4:$A$3003,$C42)&gt;1,"DUPLICADA","OK")))</f>
        <v/>
      </c>
      <c r="E42" s="22">
        <f>IF($C42="","",IFERROR(INDEX(ENVIOS!$C$4:$C$3003,MATCH($C42,ENVIOS!$A$4:$A$3003,0)),"—"))</f>
        <v/>
      </c>
      <c r="F42" s="22">
        <f>IF($C42="","",IFERROR(INDEX(ENVIOS!$D$4:$D$3003,MATCH($C42,ENVIOS!$A$4:$A$3003,0)),"—"))</f>
        <v/>
      </c>
      <c r="G42" s="22">
        <f>IF($C42="","",IFERROR(INDEX(ENVIOS!$E$4:$E$3003,MATCH($C42,ENVIOS!$A$4:$A$3003,0)),"—"))</f>
        <v/>
      </c>
      <c r="H42" s="22">
        <f>IF($C42="","",IFERROR(INDEX(ENVIOS!$F$4:$F$3003,MATCH($C42,ENVIOS!$A$4:$A$3003,0)),"—"))</f>
        <v/>
      </c>
      <c r="I42" s="27">
        <f>IF($C42="","",IFERROR(INDEX(ENVIOS!$G$4:$G$3003,MATCH($C42,ENVIOS!$A$4:$A$3003,0)),"—"))</f>
        <v/>
      </c>
      <c r="J42" s="48">
        <f>IF($C42="","",IFERROR(INDEX(ENVIOS!$B$4:$B$3003,MATCH($C42,ENVIOS!$A$4:$A$3003,0)),""))</f>
        <v/>
      </c>
      <c r="K42" s="49" t="n"/>
      <c r="L42" s="27">
        <f>IF($K42="","",IFERROR(INDEX(CONFIG!$B$4:$B$43,MATCH($K42,CONFIG!$A$4:$A$43,0)),"Media"))</f>
        <v/>
      </c>
      <c r="M42" s="27">
        <f>IF($K42="","",IFERROR(INDEX(CONFIG!$D$4:$D$43,MATCH($K42,CONFIG!$A$4:$A$43,0)),"NO"))</f>
        <v/>
      </c>
      <c r="N42" s="49" t="n"/>
      <c r="O42" s="27">
        <f>IF($N42="","",IFERROR(INDEX(CONFIG!$G$4:$G$43,MATCH($N42,CONFIG!$F$4:$F$43,0)),"Por definir"))</f>
        <v/>
      </c>
      <c r="P42" s="27">
        <f>IF($N42="","",IFERROR(INDEX(CONFIG!$H$4:$H$43,MATCH($N42,CONFIG!$F$4:$F$43,0)),"Por definir"))</f>
        <v/>
      </c>
      <c r="Q42" s="50" t="n"/>
      <c r="R42" s="51" t="n"/>
      <c r="S42" s="49" t="n"/>
      <c r="T42" s="49" t="n"/>
      <c r="U42" s="48">
        <f>IF(OR($B42="",$K42=""),"",WORKDAY($B42,IFERROR(INDEX(CONFIG!$C$4:$C$43,MATCH($K42,CONFIG!$A$4:$A$43,0)),3)))</f>
        <v/>
      </c>
      <c r="V42" s="46" t="n"/>
      <c r="W42" s="23">
        <f>IF($B42="","",IF($V42&lt;&gt;"",$V42-$B42,TODAY()-$B42))</f>
        <v/>
      </c>
      <c r="X42" s="27">
        <f>IF($C42="","",IF(IFERROR(INDEX(CONFIG!$K$4:$K$43,MATCH($S42,CONFIG!$J$4:$J$43,0)),"NO")="SÍ",IF(OR($V42="",$U42=""),"Resuelta",IF($V42&gt;$U42,"Resuelta tarde","Resuelta a tiempo")),IF($U42="","Sin clasificar",IF(TODAY()&gt;$U42,"Vencida",IF(TODAY()&gt;=$U42-1,"Por vencer","En plazo")))))</f>
        <v/>
      </c>
      <c r="Y42" s="49" t="n"/>
      <c r="Z42" s="49" t="n"/>
    </row>
    <row r="43" ht="16" customHeight="1">
      <c r="A43" s="27">
        <f>IF($C43="","","N-"&amp;TEXT(ROW()-3,"0000"))</f>
        <v/>
      </c>
      <c r="B43" s="46" t="n"/>
      <c r="C43" s="47" t="n"/>
      <c r="D43" s="27">
        <f>IF($C43="","",IF(COUNTIFS(ENVIOS!$A$4:$A$3003,$C43)=0,"NO EXISTE",IF(COUNTIFS(ENVIOS!$A$4:$A$3003,$C43)&gt;1,"DUPLICADA","OK")))</f>
        <v/>
      </c>
      <c r="E43" s="22">
        <f>IF($C43="","",IFERROR(INDEX(ENVIOS!$C$4:$C$3003,MATCH($C43,ENVIOS!$A$4:$A$3003,0)),"—"))</f>
        <v/>
      </c>
      <c r="F43" s="22">
        <f>IF($C43="","",IFERROR(INDEX(ENVIOS!$D$4:$D$3003,MATCH($C43,ENVIOS!$A$4:$A$3003,0)),"—"))</f>
        <v/>
      </c>
      <c r="G43" s="22">
        <f>IF($C43="","",IFERROR(INDEX(ENVIOS!$E$4:$E$3003,MATCH($C43,ENVIOS!$A$4:$A$3003,0)),"—"))</f>
        <v/>
      </c>
      <c r="H43" s="22">
        <f>IF($C43="","",IFERROR(INDEX(ENVIOS!$F$4:$F$3003,MATCH($C43,ENVIOS!$A$4:$A$3003,0)),"—"))</f>
        <v/>
      </c>
      <c r="I43" s="27">
        <f>IF($C43="","",IFERROR(INDEX(ENVIOS!$G$4:$G$3003,MATCH($C43,ENVIOS!$A$4:$A$3003,0)),"—"))</f>
        <v/>
      </c>
      <c r="J43" s="48">
        <f>IF($C43="","",IFERROR(INDEX(ENVIOS!$B$4:$B$3003,MATCH($C43,ENVIOS!$A$4:$A$3003,0)),""))</f>
        <v/>
      </c>
      <c r="K43" s="49" t="n"/>
      <c r="L43" s="27">
        <f>IF($K43="","",IFERROR(INDEX(CONFIG!$B$4:$B$43,MATCH($K43,CONFIG!$A$4:$A$43,0)),"Media"))</f>
        <v/>
      </c>
      <c r="M43" s="27">
        <f>IF($K43="","",IFERROR(INDEX(CONFIG!$D$4:$D$43,MATCH($K43,CONFIG!$A$4:$A$43,0)),"NO"))</f>
        <v/>
      </c>
      <c r="N43" s="49" t="n"/>
      <c r="O43" s="27">
        <f>IF($N43="","",IFERROR(INDEX(CONFIG!$G$4:$G$43,MATCH($N43,CONFIG!$F$4:$F$43,0)),"Por definir"))</f>
        <v/>
      </c>
      <c r="P43" s="27">
        <f>IF($N43="","",IFERROR(INDEX(CONFIG!$H$4:$H$43,MATCH($N43,CONFIG!$F$4:$F$43,0)),"Por definir"))</f>
        <v/>
      </c>
      <c r="Q43" s="50" t="n"/>
      <c r="R43" s="51" t="n"/>
      <c r="S43" s="49" t="n"/>
      <c r="T43" s="49" t="n"/>
      <c r="U43" s="48">
        <f>IF(OR($B43="",$K43=""),"",WORKDAY($B43,IFERROR(INDEX(CONFIG!$C$4:$C$43,MATCH($K43,CONFIG!$A$4:$A$43,0)),3)))</f>
        <v/>
      </c>
      <c r="V43" s="46" t="n"/>
      <c r="W43" s="23">
        <f>IF($B43="","",IF($V43&lt;&gt;"",$V43-$B43,TODAY()-$B43))</f>
        <v/>
      </c>
      <c r="X43" s="27">
        <f>IF($C43="","",IF(IFERROR(INDEX(CONFIG!$K$4:$K$43,MATCH($S43,CONFIG!$J$4:$J$43,0)),"NO")="SÍ",IF(OR($V43="",$U43=""),"Resuelta",IF($V43&gt;$U43,"Resuelta tarde","Resuelta a tiempo")),IF($U43="","Sin clasificar",IF(TODAY()&gt;$U43,"Vencida",IF(TODAY()&gt;=$U43-1,"Por vencer","En plazo")))))</f>
        <v/>
      </c>
      <c r="Y43" s="49" t="n"/>
      <c r="Z43" s="49" t="n"/>
    </row>
    <row r="44" ht="16" customHeight="1">
      <c r="A44" s="27">
        <f>IF($C44="","","N-"&amp;TEXT(ROW()-3,"0000"))</f>
        <v/>
      </c>
      <c r="B44" s="46" t="n"/>
      <c r="C44" s="47" t="n"/>
      <c r="D44" s="27">
        <f>IF($C44="","",IF(COUNTIFS(ENVIOS!$A$4:$A$3003,$C44)=0,"NO EXISTE",IF(COUNTIFS(ENVIOS!$A$4:$A$3003,$C44)&gt;1,"DUPLICADA","OK")))</f>
        <v/>
      </c>
      <c r="E44" s="22">
        <f>IF($C44="","",IFERROR(INDEX(ENVIOS!$C$4:$C$3003,MATCH($C44,ENVIOS!$A$4:$A$3003,0)),"—"))</f>
        <v/>
      </c>
      <c r="F44" s="22">
        <f>IF($C44="","",IFERROR(INDEX(ENVIOS!$D$4:$D$3003,MATCH($C44,ENVIOS!$A$4:$A$3003,0)),"—"))</f>
        <v/>
      </c>
      <c r="G44" s="22">
        <f>IF($C44="","",IFERROR(INDEX(ENVIOS!$E$4:$E$3003,MATCH($C44,ENVIOS!$A$4:$A$3003,0)),"—"))</f>
        <v/>
      </c>
      <c r="H44" s="22">
        <f>IF($C44="","",IFERROR(INDEX(ENVIOS!$F$4:$F$3003,MATCH($C44,ENVIOS!$A$4:$A$3003,0)),"—"))</f>
        <v/>
      </c>
      <c r="I44" s="27">
        <f>IF($C44="","",IFERROR(INDEX(ENVIOS!$G$4:$G$3003,MATCH($C44,ENVIOS!$A$4:$A$3003,0)),"—"))</f>
        <v/>
      </c>
      <c r="J44" s="48">
        <f>IF($C44="","",IFERROR(INDEX(ENVIOS!$B$4:$B$3003,MATCH($C44,ENVIOS!$A$4:$A$3003,0)),""))</f>
        <v/>
      </c>
      <c r="K44" s="49" t="n"/>
      <c r="L44" s="27">
        <f>IF($K44="","",IFERROR(INDEX(CONFIG!$B$4:$B$43,MATCH($K44,CONFIG!$A$4:$A$43,0)),"Media"))</f>
        <v/>
      </c>
      <c r="M44" s="27">
        <f>IF($K44="","",IFERROR(INDEX(CONFIG!$D$4:$D$43,MATCH($K44,CONFIG!$A$4:$A$43,0)),"NO"))</f>
        <v/>
      </c>
      <c r="N44" s="49" t="n"/>
      <c r="O44" s="27">
        <f>IF($N44="","",IFERROR(INDEX(CONFIG!$G$4:$G$43,MATCH($N44,CONFIG!$F$4:$F$43,0)),"Por definir"))</f>
        <v/>
      </c>
      <c r="P44" s="27">
        <f>IF($N44="","",IFERROR(INDEX(CONFIG!$H$4:$H$43,MATCH($N44,CONFIG!$F$4:$F$43,0)),"Por definir"))</f>
        <v/>
      </c>
      <c r="Q44" s="50" t="n"/>
      <c r="R44" s="51" t="n"/>
      <c r="S44" s="49" t="n"/>
      <c r="T44" s="49" t="n"/>
      <c r="U44" s="48">
        <f>IF(OR($B44="",$K44=""),"",WORKDAY($B44,IFERROR(INDEX(CONFIG!$C$4:$C$43,MATCH($K44,CONFIG!$A$4:$A$43,0)),3)))</f>
        <v/>
      </c>
      <c r="V44" s="46" t="n"/>
      <c r="W44" s="23">
        <f>IF($B44="","",IF($V44&lt;&gt;"",$V44-$B44,TODAY()-$B44))</f>
        <v/>
      </c>
      <c r="X44" s="27">
        <f>IF($C44="","",IF(IFERROR(INDEX(CONFIG!$K$4:$K$43,MATCH($S44,CONFIG!$J$4:$J$43,0)),"NO")="SÍ",IF(OR($V44="",$U44=""),"Resuelta",IF($V44&gt;$U44,"Resuelta tarde","Resuelta a tiempo")),IF($U44="","Sin clasificar",IF(TODAY()&gt;$U44,"Vencida",IF(TODAY()&gt;=$U44-1,"Por vencer","En plazo")))))</f>
        <v/>
      </c>
      <c r="Y44" s="49" t="n"/>
      <c r="Z44" s="49" t="n"/>
    </row>
    <row r="45" ht="16" customHeight="1">
      <c r="A45" s="27">
        <f>IF($C45="","","N-"&amp;TEXT(ROW()-3,"0000"))</f>
        <v/>
      </c>
      <c r="B45" s="46" t="n"/>
      <c r="C45" s="47" t="n"/>
      <c r="D45" s="27">
        <f>IF($C45="","",IF(COUNTIFS(ENVIOS!$A$4:$A$3003,$C45)=0,"NO EXISTE",IF(COUNTIFS(ENVIOS!$A$4:$A$3003,$C45)&gt;1,"DUPLICADA","OK")))</f>
        <v/>
      </c>
      <c r="E45" s="22">
        <f>IF($C45="","",IFERROR(INDEX(ENVIOS!$C$4:$C$3003,MATCH($C45,ENVIOS!$A$4:$A$3003,0)),"—"))</f>
        <v/>
      </c>
      <c r="F45" s="22">
        <f>IF($C45="","",IFERROR(INDEX(ENVIOS!$D$4:$D$3003,MATCH($C45,ENVIOS!$A$4:$A$3003,0)),"—"))</f>
        <v/>
      </c>
      <c r="G45" s="22">
        <f>IF($C45="","",IFERROR(INDEX(ENVIOS!$E$4:$E$3003,MATCH($C45,ENVIOS!$A$4:$A$3003,0)),"—"))</f>
        <v/>
      </c>
      <c r="H45" s="22">
        <f>IF($C45="","",IFERROR(INDEX(ENVIOS!$F$4:$F$3003,MATCH($C45,ENVIOS!$A$4:$A$3003,0)),"—"))</f>
        <v/>
      </c>
      <c r="I45" s="27">
        <f>IF($C45="","",IFERROR(INDEX(ENVIOS!$G$4:$G$3003,MATCH($C45,ENVIOS!$A$4:$A$3003,0)),"—"))</f>
        <v/>
      </c>
      <c r="J45" s="48">
        <f>IF($C45="","",IFERROR(INDEX(ENVIOS!$B$4:$B$3003,MATCH($C45,ENVIOS!$A$4:$A$3003,0)),""))</f>
        <v/>
      </c>
      <c r="K45" s="49" t="n"/>
      <c r="L45" s="27">
        <f>IF($K45="","",IFERROR(INDEX(CONFIG!$B$4:$B$43,MATCH($K45,CONFIG!$A$4:$A$43,0)),"Media"))</f>
        <v/>
      </c>
      <c r="M45" s="27">
        <f>IF($K45="","",IFERROR(INDEX(CONFIG!$D$4:$D$43,MATCH($K45,CONFIG!$A$4:$A$43,0)),"NO"))</f>
        <v/>
      </c>
      <c r="N45" s="49" t="n"/>
      <c r="O45" s="27">
        <f>IF($N45="","",IFERROR(INDEX(CONFIG!$G$4:$G$43,MATCH($N45,CONFIG!$F$4:$F$43,0)),"Por definir"))</f>
        <v/>
      </c>
      <c r="P45" s="27">
        <f>IF($N45="","",IFERROR(INDEX(CONFIG!$H$4:$H$43,MATCH($N45,CONFIG!$F$4:$F$43,0)),"Por definir"))</f>
        <v/>
      </c>
      <c r="Q45" s="50" t="n"/>
      <c r="R45" s="51" t="n"/>
      <c r="S45" s="49" t="n"/>
      <c r="T45" s="49" t="n"/>
      <c r="U45" s="48">
        <f>IF(OR($B45="",$K45=""),"",WORKDAY($B45,IFERROR(INDEX(CONFIG!$C$4:$C$43,MATCH($K45,CONFIG!$A$4:$A$43,0)),3)))</f>
        <v/>
      </c>
      <c r="V45" s="46" t="n"/>
      <c r="W45" s="23">
        <f>IF($B45="","",IF($V45&lt;&gt;"",$V45-$B45,TODAY()-$B45))</f>
        <v/>
      </c>
      <c r="X45" s="27">
        <f>IF($C45="","",IF(IFERROR(INDEX(CONFIG!$K$4:$K$43,MATCH($S45,CONFIG!$J$4:$J$43,0)),"NO")="SÍ",IF(OR($V45="",$U45=""),"Resuelta",IF($V45&gt;$U45,"Resuelta tarde","Resuelta a tiempo")),IF($U45="","Sin clasificar",IF(TODAY()&gt;$U45,"Vencida",IF(TODAY()&gt;=$U45-1,"Por vencer","En plazo")))))</f>
        <v/>
      </c>
      <c r="Y45" s="49" t="n"/>
      <c r="Z45" s="49" t="n"/>
    </row>
    <row r="46" ht="16" customHeight="1">
      <c r="A46" s="27">
        <f>IF($C46="","","N-"&amp;TEXT(ROW()-3,"0000"))</f>
        <v/>
      </c>
      <c r="B46" s="46" t="n"/>
      <c r="C46" s="47" t="n"/>
      <c r="D46" s="27">
        <f>IF($C46="","",IF(COUNTIFS(ENVIOS!$A$4:$A$3003,$C46)=0,"NO EXISTE",IF(COUNTIFS(ENVIOS!$A$4:$A$3003,$C46)&gt;1,"DUPLICADA","OK")))</f>
        <v/>
      </c>
      <c r="E46" s="22">
        <f>IF($C46="","",IFERROR(INDEX(ENVIOS!$C$4:$C$3003,MATCH($C46,ENVIOS!$A$4:$A$3003,0)),"—"))</f>
        <v/>
      </c>
      <c r="F46" s="22">
        <f>IF($C46="","",IFERROR(INDEX(ENVIOS!$D$4:$D$3003,MATCH($C46,ENVIOS!$A$4:$A$3003,0)),"—"))</f>
        <v/>
      </c>
      <c r="G46" s="22">
        <f>IF($C46="","",IFERROR(INDEX(ENVIOS!$E$4:$E$3003,MATCH($C46,ENVIOS!$A$4:$A$3003,0)),"—"))</f>
        <v/>
      </c>
      <c r="H46" s="22">
        <f>IF($C46="","",IFERROR(INDEX(ENVIOS!$F$4:$F$3003,MATCH($C46,ENVIOS!$A$4:$A$3003,0)),"—"))</f>
        <v/>
      </c>
      <c r="I46" s="27">
        <f>IF($C46="","",IFERROR(INDEX(ENVIOS!$G$4:$G$3003,MATCH($C46,ENVIOS!$A$4:$A$3003,0)),"—"))</f>
        <v/>
      </c>
      <c r="J46" s="48">
        <f>IF($C46="","",IFERROR(INDEX(ENVIOS!$B$4:$B$3003,MATCH($C46,ENVIOS!$A$4:$A$3003,0)),""))</f>
        <v/>
      </c>
      <c r="K46" s="49" t="n"/>
      <c r="L46" s="27">
        <f>IF($K46="","",IFERROR(INDEX(CONFIG!$B$4:$B$43,MATCH($K46,CONFIG!$A$4:$A$43,0)),"Media"))</f>
        <v/>
      </c>
      <c r="M46" s="27">
        <f>IF($K46="","",IFERROR(INDEX(CONFIG!$D$4:$D$43,MATCH($K46,CONFIG!$A$4:$A$43,0)),"NO"))</f>
        <v/>
      </c>
      <c r="N46" s="49" t="n"/>
      <c r="O46" s="27">
        <f>IF($N46="","",IFERROR(INDEX(CONFIG!$G$4:$G$43,MATCH($N46,CONFIG!$F$4:$F$43,0)),"Por definir"))</f>
        <v/>
      </c>
      <c r="P46" s="27">
        <f>IF($N46="","",IFERROR(INDEX(CONFIG!$H$4:$H$43,MATCH($N46,CONFIG!$F$4:$F$43,0)),"Por definir"))</f>
        <v/>
      </c>
      <c r="Q46" s="50" t="n"/>
      <c r="R46" s="51" t="n"/>
      <c r="S46" s="49" t="n"/>
      <c r="T46" s="49" t="n"/>
      <c r="U46" s="48">
        <f>IF(OR($B46="",$K46=""),"",WORKDAY($B46,IFERROR(INDEX(CONFIG!$C$4:$C$43,MATCH($K46,CONFIG!$A$4:$A$43,0)),3)))</f>
        <v/>
      </c>
      <c r="V46" s="46" t="n"/>
      <c r="W46" s="23">
        <f>IF($B46="","",IF($V46&lt;&gt;"",$V46-$B46,TODAY()-$B46))</f>
        <v/>
      </c>
      <c r="X46" s="27">
        <f>IF($C46="","",IF(IFERROR(INDEX(CONFIG!$K$4:$K$43,MATCH($S46,CONFIG!$J$4:$J$43,0)),"NO")="SÍ",IF(OR($V46="",$U46=""),"Resuelta",IF($V46&gt;$U46,"Resuelta tarde","Resuelta a tiempo")),IF($U46="","Sin clasificar",IF(TODAY()&gt;$U46,"Vencida",IF(TODAY()&gt;=$U46-1,"Por vencer","En plazo")))))</f>
        <v/>
      </c>
      <c r="Y46" s="49" t="n"/>
      <c r="Z46" s="49" t="n"/>
    </row>
    <row r="47" ht="16" customHeight="1">
      <c r="A47" s="27">
        <f>IF($C47="","","N-"&amp;TEXT(ROW()-3,"0000"))</f>
        <v/>
      </c>
      <c r="B47" s="46" t="n"/>
      <c r="C47" s="47" t="n"/>
      <c r="D47" s="27">
        <f>IF($C47="","",IF(COUNTIFS(ENVIOS!$A$4:$A$3003,$C47)=0,"NO EXISTE",IF(COUNTIFS(ENVIOS!$A$4:$A$3003,$C47)&gt;1,"DUPLICADA","OK")))</f>
        <v/>
      </c>
      <c r="E47" s="22">
        <f>IF($C47="","",IFERROR(INDEX(ENVIOS!$C$4:$C$3003,MATCH($C47,ENVIOS!$A$4:$A$3003,0)),"—"))</f>
        <v/>
      </c>
      <c r="F47" s="22">
        <f>IF($C47="","",IFERROR(INDEX(ENVIOS!$D$4:$D$3003,MATCH($C47,ENVIOS!$A$4:$A$3003,0)),"—"))</f>
        <v/>
      </c>
      <c r="G47" s="22">
        <f>IF($C47="","",IFERROR(INDEX(ENVIOS!$E$4:$E$3003,MATCH($C47,ENVIOS!$A$4:$A$3003,0)),"—"))</f>
        <v/>
      </c>
      <c r="H47" s="22">
        <f>IF($C47="","",IFERROR(INDEX(ENVIOS!$F$4:$F$3003,MATCH($C47,ENVIOS!$A$4:$A$3003,0)),"—"))</f>
        <v/>
      </c>
      <c r="I47" s="27">
        <f>IF($C47="","",IFERROR(INDEX(ENVIOS!$G$4:$G$3003,MATCH($C47,ENVIOS!$A$4:$A$3003,0)),"—"))</f>
        <v/>
      </c>
      <c r="J47" s="48">
        <f>IF($C47="","",IFERROR(INDEX(ENVIOS!$B$4:$B$3003,MATCH($C47,ENVIOS!$A$4:$A$3003,0)),""))</f>
        <v/>
      </c>
      <c r="K47" s="49" t="n"/>
      <c r="L47" s="27">
        <f>IF($K47="","",IFERROR(INDEX(CONFIG!$B$4:$B$43,MATCH($K47,CONFIG!$A$4:$A$43,0)),"Media"))</f>
        <v/>
      </c>
      <c r="M47" s="27">
        <f>IF($K47="","",IFERROR(INDEX(CONFIG!$D$4:$D$43,MATCH($K47,CONFIG!$A$4:$A$43,0)),"NO"))</f>
        <v/>
      </c>
      <c r="N47" s="49" t="n"/>
      <c r="O47" s="27">
        <f>IF($N47="","",IFERROR(INDEX(CONFIG!$G$4:$G$43,MATCH($N47,CONFIG!$F$4:$F$43,0)),"Por definir"))</f>
        <v/>
      </c>
      <c r="P47" s="27">
        <f>IF($N47="","",IFERROR(INDEX(CONFIG!$H$4:$H$43,MATCH($N47,CONFIG!$F$4:$F$43,0)),"Por definir"))</f>
        <v/>
      </c>
      <c r="Q47" s="50" t="n"/>
      <c r="R47" s="51" t="n"/>
      <c r="S47" s="49" t="n"/>
      <c r="T47" s="49" t="n"/>
      <c r="U47" s="48">
        <f>IF(OR($B47="",$K47=""),"",WORKDAY($B47,IFERROR(INDEX(CONFIG!$C$4:$C$43,MATCH($K47,CONFIG!$A$4:$A$43,0)),3)))</f>
        <v/>
      </c>
      <c r="V47" s="46" t="n"/>
      <c r="W47" s="23">
        <f>IF($B47="","",IF($V47&lt;&gt;"",$V47-$B47,TODAY()-$B47))</f>
        <v/>
      </c>
      <c r="X47" s="27">
        <f>IF($C47="","",IF(IFERROR(INDEX(CONFIG!$K$4:$K$43,MATCH($S47,CONFIG!$J$4:$J$43,0)),"NO")="SÍ",IF(OR($V47="",$U47=""),"Resuelta",IF($V47&gt;$U47,"Resuelta tarde","Resuelta a tiempo")),IF($U47="","Sin clasificar",IF(TODAY()&gt;$U47,"Vencida",IF(TODAY()&gt;=$U47-1,"Por vencer","En plazo")))))</f>
        <v/>
      </c>
      <c r="Y47" s="49" t="n"/>
      <c r="Z47" s="49" t="n"/>
    </row>
    <row r="48" ht="16" customHeight="1">
      <c r="A48" s="27">
        <f>IF($C48="","","N-"&amp;TEXT(ROW()-3,"0000"))</f>
        <v/>
      </c>
      <c r="B48" s="46" t="n"/>
      <c r="C48" s="47" t="n"/>
      <c r="D48" s="27">
        <f>IF($C48="","",IF(COUNTIFS(ENVIOS!$A$4:$A$3003,$C48)=0,"NO EXISTE",IF(COUNTIFS(ENVIOS!$A$4:$A$3003,$C48)&gt;1,"DUPLICADA","OK")))</f>
        <v/>
      </c>
      <c r="E48" s="22">
        <f>IF($C48="","",IFERROR(INDEX(ENVIOS!$C$4:$C$3003,MATCH($C48,ENVIOS!$A$4:$A$3003,0)),"—"))</f>
        <v/>
      </c>
      <c r="F48" s="22">
        <f>IF($C48="","",IFERROR(INDEX(ENVIOS!$D$4:$D$3003,MATCH($C48,ENVIOS!$A$4:$A$3003,0)),"—"))</f>
        <v/>
      </c>
      <c r="G48" s="22">
        <f>IF($C48="","",IFERROR(INDEX(ENVIOS!$E$4:$E$3003,MATCH($C48,ENVIOS!$A$4:$A$3003,0)),"—"))</f>
        <v/>
      </c>
      <c r="H48" s="22">
        <f>IF($C48="","",IFERROR(INDEX(ENVIOS!$F$4:$F$3003,MATCH($C48,ENVIOS!$A$4:$A$3003,0)),"—"))</f>
        <v/>
      </c>
      <c r="I48" s="27">
        <f>IF($C48="","",IFERROR(INDEX(ENVIOS!$G$4:$G$3003,MATCH($C48,ENVIOS!$A$4:$A$3003,0)),"—"))</f>
        <v/>
      </c>
      <c r="J48" s="48">
        <f>IF($C48="","",IFERROR(INDEX(ENVIOS!$B$4:$B$3003,MATCH($C48,ENVIOS!$A$4:$A$3003,0)),""))</f>
        <v/>
      </c>
      <c r="K48" s="49" t="n"/>
      <c r="L48" s="27">
        <f>IF($K48="","",IFERROR(INDEX(CONFIG!$B$4:$B$43,MATCH($K48,CONFIG!$A$4:$A$43,0)),"Media"))</f>
        <v/>
      </c>
      <c r="M48" s="27">
        <f>IF($K48="","",IFERROR(INDEX(CONFIG!$D$4:$D$43,MATCH($K48,CONFIG!$A$4:$A$43,0)),"NO"))</f>
        <v/>
      </c>
      <c r="N48" s="49" t="n"/>
      <c r="O48" s="27">
        <f>IF($N48="","",IFERROR(INDEX(CONFIG!$G$4:$G$43,MATCH($N48,CONFIG!$F$4:$F$43,0)),"Por definir"))</f>
        <v/>
      </c>
      <c r="P48" s="27">
        <f>IF($N48="","",IFERROR(INDEX(CONFIG!$H$4:$H$43,MATCH($N48,CONFIG!$F$4:$F$43,0)),"Por definir"))</f>
        <v/>
      </c>
      <c r="Q48" s="50" t="n"/>
      <c r="R48" s="51" t="n"/>
      <c r="S48" s="49" t="n"/>
      <c r="T48" s="49" t="n"/>
      <c r="U48" s="48">
        <f>IF(OR($B48="",$K48=""),"",WORKDAY($B48,IFERROR(INDEX(CONFIG!$C$4:$C$43,MATCH($K48,CONFIG!$A$4:$A$43,0)),3)))</f>
        <v/>
      </c>
      <c r="V48" s="46" t="n"/>
      <c r="W48" s="23">
        <f>IF($B48="","",IF($V48&lt;&gt;"",$V48-$B48,TODAY()-$B48))</f>
        <v/>
      </c>
      <c r="X48" s="27">
        <f>IF($C48="","",IF(IFERROR(INDEX(CONFIG!$K$4:$K$43,MATCH($S48,CONFIG!$J$4:$J$43,0)),"NO")="SÍ",IF(OR($V48="",$U48=""),"Resuelta",IF($V48&gt;$U48,"Resuelta tarde","Resuelta a tiempo")),IF($U48="","Sin clasificar",IF(TODAY()&gt;$U48,"Vencida",IF(TODAY()&gt;=$U48-1,"Por vencer","En plazo")))))</f>
        <v/>
      </c>
      <c r="Y48" s="49" t="n"/>
      <c r="Z48" s="49" t="n"/>
    </row>
    <row r="49" ht="16" customHeight="1">
      <c r="A49" s="27">
        <f>IF($C49="","","N-"&amp;TEXT(ROW()-3,"0000"))</f>
        <v/>
      </c>
      <c r="B49" s="46" t="n"/>
      <c r="C49" s="47" t="n"/>
      <c r="D49" s="27">
        <f>IF($C49="","",IF(COUNTIFS(ENVIOS!$A$4:$A$3003,$C49)=0,"NO EXISTE",IF(COUNTIFS(ENVIOS!$A$4:$A$3003,$C49)&gt;1,"DUPLICADA","OK")))</f>
        <v/>
      </c>
      <c r="E49" s="22">
        <f>IF($C49="","",IFERROR(INDEX(ENVIOS!$C$4:$C$3003,MATCH($C49,ENVIOS!$A$4:$A$3003,0)),"—"))</f>
        <v/>
      </c>
      <c r="F49" s="22">
        <f>IF($C49="","",IFERROR(INDEX(ENVIOS!$D$4:$D$3003,MATCH($C49,ENVIOS!$A$4:$A$3003,0)),"—"))</f>
        <v/>
      </c>
      <c r="G49" s="22">
        <f>IF($C49="","",IFERROR(INDEX(ENVIOS!$E$4:$E$3003,MATCH($C49,ENVIOS!$A$4:$A$3003,0)),"—"))</f>
        <v/>
      </c>
      <c r="H49" s="22">
        <f>IF($C49="","",IFERROR(INDEX(ENVIOS!$F$4:$F$3003,MATCH($C49,ENVIOS!$A$4:$A$3003,0)),"—"))</f>
        <v/>
      </c>
      <c r="I49" s="27">
        <f>IF($C49="","",IFERROR(INDEX(ENVIOS!$G$4:$G$3003,MATCH($C49,ENVIOS!$A$4:$A$3003,0)),"—"))</f>
        <v/>
      </c>
      <c r="J49" s="48">
        <f>IF($C49="","",IFERROR(INDEX(ENVIOS!$B$4:$B$3003,MATCH($C49,ENVIOS!$A$4:$A$3003,0)),""))</f>
        <v/>
      </c>
      <c r="K49" s="49" t="n"/>
      <c r="L49" s="27">
        <f>IF($K49="","",IFERROR(INDEX(CONFIG!$B$4:$B$43,MATCH($K49,CONFIG!$A$4:$A$43,0)),"Media"))</f>
        <v/>
      </c>
      <c r="M49" s="27">
        <f>IF($K49="","",IFERROR(INDEX(CONFIG!$D$4:$D$43,MATCH($K49,CONFIG!$A$4:$A$43,0)),"NO"))</f>
        <v/>
      </c>
      <c r="N49" s="49" t="n"/>
      <c r="O49" s="27">
        <f>IF($N49="","",IFERROR(INDEX(CONFIG!$G$4:$G$43,MATCH($N49,CONFIG!$F$4:$F$43,0)),"Por definir"))</f>
        <v/>
      </c>
      <c r="P49" s="27">
        <f>IF($N49="","",IFERROR(INDEX(CONFIG!$H$4:$H$43,MATCH($N49,CONFIG!$F$4:$F$43,0)),"Por definir"))</f>
        <v/>
      </c>
      <c r="Q49" s="50" t="n"/>
      <c r="R49" s="51" t="n"/>
      <c r="S49" s="49" t="n"/>
      <c r="T49" s="49" t="n"/>
      <c r="U49" s="48">
        <f>IF(OR($B49="",$K49=""),"",WORKDAY($B49,IFERROR(INDEX(CONFIG!$C$4:$C$43,MATCH($K49,CONFIG!$A$4:$A$43,0)),3)))</f>
        <v/>
      </c>
      <c r="V49" s="46" t="n"/>
      <c r="W49" s="23">
        <f>IF($B49="","",IF($V49&lt;&gt;"",$V49-$B49,TODAY()-$B49))</f>
        <v/>
      </c>
      <c r="X49" s="27">
        <f>IF($C49="","",IF(IFERROR(INDEX(CONFIG!$K$4:$K$43,MATCH($S49,CONFIG!$J$4:$J$43,0)),"NO")="SÍ",IF(OR($V49="",$U49=""),"Resuelta",IF($V49&gt;$U49,"Resuelta tarde","Resuelta a tiempo")),IF($U49="","Sin clasificar",IF(TODAY()&gt;$U49,"Vencida",IF(TODAY()&gt;=$U49-1,"Por vencer","En plazo")))))</f>
        <v/>
      </c>
      <c r="Y49" s="49" t="n"/>
      <c r="Z49" s="49" t="n"/>
    </row>
    <row r="50" ht="16" customHeight="1">
      <c r="A50" s="27">
        <f>IF($C50="","","N-"&amp;TEXT(ROW()-3,"0000"))</f>
        <v/>
      </c>
      <c r="B50" s="46" t="n"/>
      <c r="C50" s="47" t="n"/>
      <c r="D50" s="27">
        <f>IF($C50="","",IF(COUNTIFS(ENVIOS!$A$4:$A$3003,$C50)=0,"NO EXISTE",IF(COUNTIFS(ENVIOS!$A$4:$A$3003,$C50)&gt;1,"DUPLICADA","OK")))</f>
        <v/>
      </c>
      <c r="E50" s="22">
        <f>IF($C50="","",IFERROR(INDEX(ENVIOS!$C$4:$C$3003,MATCH($C50,ENVIOS!$A$4:$A$3003,0)),"—"))</f>
        <v/>
      </c>
      <c r="F50" s="22">
        <f>IF($C50="","",IFERROR(INDEX(ENVIOS!$D$4:$D$3003,MATCH($C50,ENVIOS!$A$4:$A$3003,0)),"—"))</f>
        <v/>
      </c>
      <c r="G50" s="22">
        <f>IF($C50="","",IFERROR(INDEX(ENVIOS!$E$4:$E$3003,MATCH($C50,ENVIOS!$A$4:$A$3003,0)),"—"))</f>
        <v/>
      </c>
      <c r="H50" s="22">
        <f>IF($C50="","",IFERROR(INDEX(ENVIOS!$F$4:$F$3003,MATCH($C50,ENVIOS!$A$4:$A$3003,0)),"—"))</f>
        <v/>
      </c>
      <c r="I50" s="27">
        <f>IF($C50="","",IFERROR(INDEX(ENVIOS!$G$4:$G$3003,MATCH($C50,ENVIOS!$A$4:$A$3003,0)),"—"))</f>
        <v/>
      </c>
      <c r="J50" s="48">
        <f>IF($C50="","",IFERROR(INDEX(ENVIOS!$B$4:$B$3003,MATCH($C50,ENVIOS!$A$4:$A$3003,0)),""))</f>
        <v/>
      </c>
      <c r="K50" s="49" t="n"/>
      <c r="L50" s="27">
        <f>IF($K50="","",IFERROR(INDEX(CONFIG!$B$4:$B$43,MATCH($K50,CONFIG!$A$4:$A$43,0)),"Media"))</f>
        <v/>
      </c>
      <c r="M50" s="27">
        <f>IF($K50="","",IFERROR(INDEX(CONFIG!$D$4:$D$43,MATCH($K50,CONFIG!$A$4:$A$43,0)),"NO"))</f>
        <v/>
      </c>
      <c r="N50" s="49" t="n"/>
      <c r="O50" s="27">
        <f>IF($N50="","",IFERROR(INDEX(CONFIG!$G$4:$G$43,MATCH($N50,CONFIG!$F$4:$F$43,0)),"Por definir"))</f>
        <v/>
      </c>
      <c r="P50" s="27">
        <f>IF($N50="","",IFERROR(INDEX(CONFIG!$H$4:$H$43,MATCH($N50,CONFIG!$F$4:$F$43,0)),"Por definir"))</f>
        <v/>
      </c>
      <c r="Q50" s="50" t="n"/>
      <c r="R50" s="51" t="n"/>
      <c r="S50" s="49" t="n"/>
      <c r="T50" s="49" t="n"/>
      <c r="U50" s="48">
        <f>IF(OR($B50="",$K50=""),"",WORKDAY($B50,IFERROR(INDEX(CONFIG!$C$4:$C$43,MATCH($K50,CONFIG!$A$4:$A$43,0)),3)))</f>
        <v/>
      </c>
      <c r="V50" s="46" t="n"/>
      <c r="W50" s="23">
        <f>IF($B50="","",IF($V50&lt;&gt;"",$V50-$B50,TODAY()-$B50))</f>
        <v/>
      </c>
      <c r="X50" s="27">
        <f>IF($C50="","",IF(IFERROR(INDEX(CONFIG!$K$4:$K$43,MATCH($S50,CONFIG!$J$4:$J$43,0)),"NO")="SÍ",IF(OR($V50="",$U50=""),"Resuelta",IF($V50&gt;$U50,"Resuelta tarde","Resuelta a tiempo")),IF($U50="","Sin clasificar",IF(TODAY()&gt;$U50,"Vencida",IF(TODAY()&gt;=$U50-1,"Por vencer","En plazo")))))</f>
        <v/>
      </c>
      <c r="Y50" s="49" t="n"/>
      <c r="Z50" s="49" t="n"/>
    </row>
    <row r="51" ht="16" customHeight="1">
      <c r="A51" s="27">
        <f>IF($C51="","","N-"&amp;TEXT(ROW()-3,"0000"))</f>
        <v/>
      </c>
      <c r="B51" s="46" t="n"/>
      <c r="C51" s="47" t="n"/>
      <c r="D51" s="27">
        <f>IF($C51="","",IF(COUNTIFS(ENVIOS!$A$4:$A$3003,$C51)=0,"NO EXISTE",IF(COUNTIFS(ENVIOS!$A$4:$A$3003,$C51)&gt;1,"DUPLICADA","OK")))</f>
        <v/>
      </c>
      <c r="E51" s="22">
        <f>IF($C51="","",IFERROR(INDEX(ENVIOS!$C$4:$C$3003,MATCH($C51,ENVIOS!$A$4:$A$3003,0)),"—"))</f>
        <v/>
      </c>
      <c r="F51" s="22">
        <f>IF($C51="","",IFERROR(INDEX(ENVIOS!$D$4:$D$3003,MATCH($C51,ENVIOS!$A$4:$A$3003,0)),"—"))</f>
        <v/>
      </c>
      <c r="G51" s="22">
        <f>IF($C51="","",IFERROR(INDEX(ENVIOS!$E$4:$E$3003,MATCH($C51,ENVIOS!$A$4:$A$3003,0)),"—"))</f>
        <v/>
      </c>
      <c r="H51" s="22">
        <f>IF($C51="","",IFERROR(INDEX(ENVIOS!$F$4:$F$3003,MATCH($C51,ENVIOS!$A$4:$A$3003,0)),"—"))</f>
        <v/>
      </c>
      <c r="I51" s="27">
        <f>IF($C51="","",IFERROR(INDEX(ENVIOS!$G$4:$G$3003,MATCH($C51,ENVIOS!$A$4:$A$3003,0)),"—"))</f>
        <v/>
      </c>
      <c r="J51" s="48">
        <f>IF($C51="","",IFERROR(INDEX(ENVIOS!$B$4:$B$3003,MATCH($C51,ENVIOS!$A$4:$A$3003,0)),""))</f>
        <v/>
      </c>
      <c r="K51" s="49" t="n"/>
      <c r="L51" s="27">
        <f>IF($K51="","",IFERROR(INDEX(CONFIG!$B$4:$B$43,MATCH($K51,CONFIG!$A$4:$A$43,0)),"Media"))</f>
        <v/>
      </c>
      <c r="M51" s="27">
        <f>IF($K51="","",IFERROR(INDEX(CONFIG!$D$4:$D$43,MATCH($K51,CONFIG!$A$4:$A$43,0)),"NO"))</f>
        <v/>
      </c>
      <c r="N51" s="49" t="n"/>
      <c r="O51" s="27">
        <f>IF($N51="","",IFERROR(INDEX(CONFIG!$G$4:$G$43,MATCH($N51,CONFIG!$F$4:$F$43,0)),"Por definir"))</f>
        <v/>
      </c>
      <c r="P51" s="27">
        <f>IF($N51="","",IFERROR(INDEX(CONFIG!$H$4:$H$43,MATCH($N51,CONFIG!$F$4:$F$43,0)),"Por definir"))</f>
        <v/>
      </c>
      <c r="Q51" s="50" t="n"/>
      <c r="R51" s="51" t="n"/>
      <c r="S51" s="49" t="n"/>
      <c r="T51" s="49" t="n"/>
      <c r="U51" s="48">
        <f>IF(OR($B51="",$K51=""),"",WORKDAY($B51,IFERROR(INDEX(CONFIG!$C$4:$C$43,MATCH($K51,CONFIG!$A$4:$A$43,0)),3)))</f>
        <v/>
      </c>
      <c r="V51" s="46" t="n"/>
      <c r="W51" s="23">
        <f>IF($B51="","",IF($V51&lt;&gt;"",$V51-$B51,TODAY()-$B51))</f>
        <v/>
      </c>
      <c r="X51" s="27">
        <f>IF($C51="","",IF(IFERROR(INDEX(CONFIG!$K$4:$K$43,MATCH($S51,CONFIG!$J$4:$J$43,0)),"NO")="SÍ",IF(OR($V51="",$U51=""),"Resuelta",IF($V51&gt;$U51,"Resuelta tarde","Resuelta a tiempo")),IF($U51="","Sin clasificar",IF(TODAY()&gt;$U51,"Vencida",IF(TODAY()&gt;=$U51-1,"Por vencer","En plazo")))))</f>
        <v/>
      </c>
      <c r="Y51" s="49" t="n"/>
      <c r="Z51" s="49" t="n"/>
    </row>
    <row r="52" ht="16" customHeight="1">
      <c r="A52" s="27">
        <f>IF($C52="","","N-"&amp;TEXT(ROW()-3,"0000"))</f>
        <v/>
      </c>
      <c r="B52" s="46" t="n"/>
      <c r="C52" s="47" t="n"/>
      <c r="D52" s="27">
        <f>IF($C52="","",IF(COUNTIFS(ENVIOS!$A$4:$A$3003,$C52)=0,"NO EXISTE",IF(COUNTIFS(ENVIOS!$A$4:$A$3003,$C52)&gt;1,"DUPLICADA","OK")))</f>
        <v/>
      </c>
      <c r="E52" s="22">
        <f>IF($C52="","",IFERROR(INDEX(ENVIOS!$C$4:$C$3003,MATCH($C52,ENVIOS!$A$4:$A$3003,0)),"—"))</f>
        <v/>
      </c>
      <c r="F52" s="22">
        <f>IF($C52="","",IFERROR(INDEX(ENVIOS!$D$4:$D$3003,MATCH($C52,ENVIOS!$A$4:$A$3003,0)),"—"))</f>
        <v/>
      </c>
      <c r="G52" s="22">
        <f>IF($C52="","",IFERROR(INDEX(ENVIOS!$E$4:$E$3003,MATCH($C52,ENVIOS!$A$4:$A$3003,0)),"—"))</f>
        <v/>
      </c>
      <c r="H52" s="22">
        <f>IF($C52="","",IFERROR(INDEX(ENVIOS!$F$4:$F$3003,MATCH($C52,ENVIOS!$A$4:$A$3003,0)),"—"))</f>
        <v/>
      </c>
      <c r="I52" s="27">
        <f>IF($C52="","",IFERROR(INDEX(ENVIOS!$G$4:$G$3003,MATCH($C52,ENVIOS!$A$4:$A$3003,0)),"—"))</f>
        <v/>
      </c>
      <c r="J52" s="48">
        <f>IF($C52="","",IFERROR(INDEX(ENVIOS!$B$4:$B$3003,MATCH($C52,ENVIOS!$A$4:$A$3003,0)),""))</f>
        <v/>
      </c>
      <c r="K52" s="49" t="n"/>
      <c r="L52" s="27">
        <f>IF($K52="","",IFERROR(INDEX(CONFIG!$B$4:$B$43,MATCH($K52,CONFIG!$A$4:$A$43,0)),"Media"))</f>
        <v/>
      </c>
      <c r="M52" s="27">
        <f>IF($K52="","",IFERROR(INDEX(CONFIG!$D$4:$D$43,MATCH($K52,CONFIG!$A$4:$A$43,0)),"NO"))</f>
        <v/>
      </c>
      <c r="N52" s="49" t="n"/>
      <c r="O52" s="27">
        <f>IF($N52="","",IFERROR(INDEX(CONFIG!$G$4:$G$43,MATCH($N52,CONFIG!$F$4:$F$43,0)),"Por definir"))</f>
        <v/>
      </c>
      <c r="P52" s="27">
        <f>IF($N52="","",IFERROR(INDEX(CONFIG!$H$4:$H$43,MATCH($N52,CONFIG!$F$4:$F$43,0)),"Por definir"))</f>
        <v/>
      </c>
      <c r="Q52" s="50" t="n"/>
      <c r="R52" s="51" t="n"/>
      <c r="S52" s="49" t="n"/>
      <c r="T52" s="49" t="n"/>
      <c r="U52" s="48">
        <f>IF(OR($B52="",$K52=""),"",WORKDAY($B52,IFERROR(INDEX(CONFIG!$C$4:$C$43,MATCH($K52,CONFIG!$A$4:$A$43,0)),3)))</f>
        <v/>
      </c>
      <c r="V52" s="46" t="n"/>
      <c r="W52" s="23">
        <f>IF($B52="","",IF($V52&lt;&gt;"",$V52-$B52,TODAY()-$B52))</f>
        <v/>
      </c>
      <c r="X52" s="27">
        <f>IF($C52="","",IF(IFERROR(INDEX(CONFIG!$K$4:$K$43,MATCH($S52,CONFIG!$J$4:$J$43,0)),"NO")="SÍ",IF(OR($V52="",$U52=""),"Resuelta",IF($V52&gt;$U52,"Resuelta tarde","Resuelta a tiempo")),IF($U52="","Sin clasificar",IF(TODAY()&gt;$U52,"Vencida",IF(TODAY()&gt;=$U52-1,"Por vencer","En plazo")))))</f>
        <v/>
      </c>
      <c r="Y52" s="49" t="n"/>
      <c r="Z52" s="49" t="n"/>
    </row>
    <row r="53" ht="16" customHeight="1">
      <c r="A53" s="27">
        <f>IF($C53="","","N-"&amp;TEXT(ROW()-3,"0000"))</f>
        <v/>
      </c>
      <c r="B53" s="46" t="n"/>
      <c r="C53" s="47" t="n"/>
      <c r="D53" s="27">
        <f>IF($C53="","",IF(COUNTIFS(ENVIOS!$A$4:$A$3003,$C53)=0,"NO EXISTE",IF(COUNTIFS(ENVIOS!$A$4:$A$3003,$C53)&gt;1,"DUPLICADA","OK")))</f>
        <v/>
      </c>
      <c r="E53" s="22">
        <f>IF($C53="","",IFERROR(INDEX(ENVIOS!$C$4:$C$3003,MATCH($C53,ENVIOS!$A$4:$A$3003,0)),"—"))</f>
        <v/>
      </c>
      <c r="F53" s="22">
        <f>IF($C53="","",IFERROR(INDEX(ENVIOS!$D$4:$D$3003,MATCH($C53,ENVIOS!$A$4:$A$3003,0)),"—"))</f>
        <v/>
      </c>
      <c r="G53" s="22">
        <f>IF($C53="","",IFERROR(INDEX(ENVIOS!$E$4:$E$3003,MATCH($C53,ENVIOS!$A$4:$A$3003,0)),"—"))</f>
        <v/>
      </c>
      <c r="H53" s="22">
        <f>IF($C53="","",IFERROR(INDEX(ENVIOS!$F$4:$F$3003,MATCH($C53,ENVIOS!$A$4:$A$3003,0)),"—"))</f>
        <v/>
      </c>
      <c r="I53" s="27">
        <f>IF($C53="","",IFERROR(INDEX(ENVIOS!$G$4:$G$3003,MATCH($C53,ENVIOS!$A$4:$A$3003,0)),"—"))</f>
        <v/>
      </c>
      <c r="J53" s="48">
        <f>IF($C53="","",IFERROR(INDEX(ENVIOS!$B$4:$B$3003,MATCH($C53,ENVIOS!$A$4:$A$3003,0)),""))</f>
        <v/>
      </c>
      <c r="K53" s="49" t="n"/>
      <c r="L53" s="27">
        <f>IF($K53="","",IFERROR(INDEX(CONFIG!$B$4:$B$43,MATCH($K53,CONFIG!$A$4:$A$43,0)),"Media"))</f>
        <v/>
      </c>
      <c r="M53" s="27">
        <f>IF($K53="","",IFERROR(INDEX(CONFIG!$D$4:$D$43,MATCH($K53,CONFIG!$A$4:$A$43,0)),"NO"))</f>
        <v/>
      </c>
      <c r="N53" s="49" t="n"/>
      <c r="O53" s="27">
        <f>IF($N53="","",IFERROR(INDEX(CONFIG!$G$4:$G$43,MATCH($N53,CONFIG!$F$4:$F$43,0)),"Por definir"))</f>
        <v/>
      </c>
      <c r="P53" s="27">
        <f>IF($N53="","",IFERROR(INDEX(CONFIG!$H$4:$H$43,MATCH($N53,CONFIG!$F$4:$F$43,0)),"Por definir"))</f>
        <v/>
      </c>
      <c r="Q53" s="50" t="n"/>
      <c r="R53" s="51" t="n"/>
      <c r="S53" s="49" t="n"/>
      <c r="T53" s="49" t="n"/>
      <c r="U53" s="48">
        <f>IF(OR($B53="",$K53=""),"",WORKDAY($B53,IFERROR(INDEX(CONFIG!$C$4:$C$43,MATCH($K53,CONFIG!$A$4:$A$43,0)),3)))</f>
        <v/>
      </c>
      <c r="V53" s="46" t="n"/>
      <c r="W53" s="23">
        <f>IF($B53="","",IF($V53&lt;&gt;"",$V53-$B53,TODAY()-$B53))</f>
        <v/>
      </c>
      <c r="X53" s="27">
        <f>IF($C53="","",IF(IFERROR(INDEX(CONFIG!$K$4:$K$43,MATCH($S53,CONFIG!$J$4:$J$43,0)),"NO")="SÍ",IF(OR($V53="",$U53=""),"Resuelta",IF($V53&gt;$U53,"Resuelta tarde","Resuelta a tiempo")),IF($U53="","Sin clasificar",IF(TODAY()&gt;$U53,"Vencida",IF(TODAY()&gt;=$U53-1,"Por vencer","En plazo")))))</f>
        <v/>
      </c>
      <c r="Y53" s="49" t="n"/>
      <c r="Z53" s="49" t="n"/>
    </row>
    <row r="54" ht="16" customHeight="1">
      <c r="A54" s="27">
        <f>IF($C54="","","N-"&amp;TEXT(ROW()-3,"0000"))</f>
        <v/>
      </c>
      <c r="B54" s="46" t="n"/>
      <c r="C54" s="47" t="n"/>
      <c r="D54" s="27">
        <f>IF($C54="","",IF(COUNTIFS(ENVIOS!$A$4:$A$3003,$C54)=0,"NO EXISTE",IF(COUNTIFS(ENVIOS!$A$4:$A$3003,$C54)&gt;1,"DUPLICADA","OK")))</f>
        <v/>
      </c>
      <c r="E54" s="22">
        <f>IF($C54="","",IFERROR(INDEX(ENVIOS!$C$4:$C$3003,MATCH($C54,ENVIOS!$A$4:$A$3003,0)),"—"))</f>
        <v/>
      </c>
      <c r="F54" s="22">
        <f>IF($C54="","",IFERROR(INDEX(ENVIOS!$D$4:$D$3003,MATCH($C54,ENVIOS!$A$4:$A$3003,0)),"—"))</f>
        <v/>
      </c>
      <c r="G54" s="22">
        <f>IF($C54="","",IFERROR(INDEX(ENVIOS!$E$4:$E$3003,MATCH($C54,ENVIOS!$A$4:$A$3003,0)),"—"))</f>
        <v/>
      </c>
      <c r="H54" s="22">
        <f>IF($C54="","",IFERROR(INDEX(ENVIOS!$F$4:$F$3003,MATCH($C54,ENVIOS!$A$4:$A$3003,0)),"—"))</f>
        <v/>
      </c>
      <c r="I54" s="27">
        <f>IF($C54="","",IFERROR(INDEX(ENVIOS!$G$4:$G$3003,MATCH($C54,ENVIOS!$A$4:$A$3003,0)),"—"))</f>
        <v/>
      </c>
      <c r="J54" s="48">
        <f>IF($C54="","",IFERROR(INDEX(ENVIOS!$B$4:$B$3003,MATCH($C54,ENVIOS!$A$4:$A$3003,0)),""))</f>
        <v/>
      </c>
      <c r="K54" s="49" t="n"/>
      <c r="L54" s="27">
        <f>IF($K54="","",IFERROR(INDEX(CONFIG!$B$4:$B$43,MATCH($K54,CONFIG!$A$4:$A$43,0)),"Media"))</f>
        <v/>
      </c>
      <c r="M54" s="27">
        <f>IF($K54="","",IFERROR(INDEX(CONFIG!$D$4:$D$43,MATCH($K54,CONFIG!$A$4:$A$43,0)),"NO"))</f>
        <v/>
      </c>
      <c r="N54" s="49" t="n"/>
      <c r="O54" s="27">
        <f>IF($N54="","",IFERROR(INDEX(CONFIG!$G$4:$G$43,MATCH($N54,CONFIG!$F$4:$F$43,0)),"Por definir"))</f>
        <v/>
      </c>
      <c r="P54" s="27">
        <f>IF($N54="","",IFERROR(INDEX(CONFIG!$H$4:$H$43,MATCH($N54,CONFIG!$F$4:$F$43,0)),"Por definir"))</f>
        <v/>
      </c>
      <c r="Q54" s="50" t="n"/>
      <c r="R54" s="51" t="n"/>
      <c r="S54" s="49" t="n"/>
      <c r="T54" s="49" t="n"/>
      <c r="U54" s="48">
        <f>IF(OR($B54="",$K54=""),"",WORKDAY($B54,IFERROR(INDEX(CONFIG!$C$4:$C$43,MATCH($K54,CONFIG!$A$4:$A$43,0)),3)))</f>
        <v/>
      </c>
      <c r="V54" s="46" t="n"/>
      <c r="W54" s="23">
        <f>IF($B54="","",IF($V54&lt;&gt;"",$V54-$B54,TODAY()-$B54))</f>
        <v/>
      </c>
      <c r="X54" s="27">
        <f>IF($C54="","",IF(IFERROR(INDEX(CONFIG!$K$4:$K$43,MATCH($S54,CONFIG!$J$4:$J$43,0)),"NO")="SÍ",IF(OR($V54="",$U54=""),"Resuelta",IF($V54&gt;$U54,"Resuelta tarde","Resuelta a tiempo")),IF($U54="","Sin clasificar",IF(TODAY()&gt;$U54,"Vencida",IF(TODAY()&gt;=$U54-1,"Por vencer","En plazo")))))</f>
        <v/>
      </c>
      <c r="Y54" s="49" t="n"/>
      <c r="Z54" s="49" t="n"/>
    </row>
    <row r="55" ht="16" customHeight="1">
      <c r="A55" s="27">
        <f>IF($C55="","","N-"&amp;TEXT(ROW()-3,"0000"))</f>
        <v/>
      </c>
      <c r="B55" s="46" t="n"/>
      <c r="C55" s="47" t="n"/>
      <c r="D55" s="27">
        <f>IF($C55="","",IF(COUNTIFS(ENVIOS!$A$4:$A$3003,$C55)=0,"NO EXISTE",IF(COUNTIFS(ENVIOS!$A$4:$A$3003,$C55)&gt;1,"DUPLICADA","OK")))</f>
        <v/>
      </c>
      <c r="E55" s="22">
        <f>IF($C55="","",IFERROR(INDEX(ENVIOS!$C$4:$C$3003,MATCH($C55,ENVIOS!$A$4:$A$3003,0)),"—"))</f>
        <v/>
      </c>
      <c r="F55" s="22">
        <f>IF($C55="","",IFERROR(INDEX(ENVIOS!$D$4:$D$3003,MATCH($C55,ENVIOS!$A$4:$A$3003,0)),"—"))</f>
        <v/>
      </c>
      <c r="G55" s="22">
        <f>IF($C55="","",IFERROR(INDEX(ENVIOS!$E$4:$E$3003,MATCH($C55,ENVIOS!$A$4:$A$3003,0)),"—"))</f>
        <v/>
      </c>
      <c r="H55" s="22">
        <f>IF($C55="","",IFERROR(INDEX(ENVIOS!$F$4:$F$3003,MATCH($C55,ENVIOS!$A$4:$A$3003,0)),"—"))</f>
        <v/>
      </c>
      <c r="I55" s="27">
        <f>IF($C55="","",IFERROR(INDEX(ENVIOS!$G$4:$G$3003,MATCH($C55,ENVIOS!$A$4:$A$3003,0)),"—"))</f>
        <v/>
      </c>
      <c r="J55" s="48">
        <f>IF($C55="","",IFERROR(INDEX(ENVIOS!$B$4:$B$3003,MATCH($C55,ENVIOS!$A$4:$A$3003,0)),""))</f>
        <v/>
      </c>
      <c r="K55" s="49" t="n"/>
      <c r="L55" s="27">
        <f>IF($K55="","",IFERROR(INDEX(CONFIG!$B$4:$B$43,MATCH($K55,CONFIG!$A$4:$A$43,0)),"Media"))</f>
        <v/>
      </c>
      <c r="M55" s="27">
        <f>IF($K55="","",IFERROR(INDEX(CONFIG!$D$4:$D$43,MATCH($K55,CONFIG!$A$4:$A$43,0)),"NO"))</f>
        <v/>
      </c>
      <c r="N55" s="49" t="n"/>
      <c r="O55" s="27">
        <f>IF($N55="","",IFERROR(INDEX(CONFIG!$G$4:$G$43,MATCH($N55,CONFIG!$F$4:$F$43,0)),"Por definir"))</f>
        <v/>
      </c>
      <c r="P55" s="27">
        <f>IF($N55="","",IFERROR(INDEX(CONFIG!$H$4:$H$43,MATCH($N55,CONFIG!$F$4:$F$43,0)),"Por definir"))</f>
        <v/>
      </c>
      <c r="Q55" s="50" t="n"/>
      <c r="R55" s="51" t="n"/>
      <c r="S55" s="49" t="n"/>
      <c r="T55" s="49" t="n"/>
      <c r="U55" s="48">
        <f>IF(OR($B55="",$K55=""),"",WORKDAY($B55,IFERROR(INDEX(CONFIG!$C$4:$C$43,MATCH($K55,CONFIG!$A$4:$A$43,0)),3)))</f>
        <v/>
      </c>
      <c r="V55" s="46" t="n"/>
      <c r="W55" s="23">
        <f>IF($B55="","",IF($V55&lt;&gt;"",$V55-$B55,TODAY()-$B55))</f>
        <v/>
      </c>
      <c r="X55" s="27">
        <f>IF($C55="","",IF(IFERROR(INDEX(CONFIG!$K$4:$K$43,MATCH($S55,CONFIG!$J$4:$J$43,0)),"NO")="SÍ",IF(OR($V55="",$U55=""),"Resuelta",IF($V55&gt;$U55,"Resuelta tarde","Resuelta a tiempo")),IF($U55="","Sin clasificar",IF(TODAY()&gt;$U55,"Vencida",IF(TODAY()&gt;=$U55-1,"Por vencer","En plazo")))))</f>
        <v/>
      </c>
      <c r="Y55" s="49" t="n"/>
      <c r="Z55" s="49" t="n"/>
    </row>
    <row r="56" ht="16" customHeight="1">
      <c r="A56" s="27">
        <f>IF($C56="","","N-"&amp;TEXT(ROW()-3,"0000"))</f>
        <v/>
      </c>
      <c r="B56" s="46" t="n"/>
      <c r="C56" s="47" t="n"/>
      <c r="D56" s="27">
        <f>IF($C56="","",IF(COUNTIFS(ENVIOS!$A$4:$A$3003,$C56)=0,"NO EXISTE",IF(COUNTIFS(ENVIOS!$A$4:$A$3003,$C56)&gt;1,"DUPLICADA","OK")))</f>
        <v/>
      </c>
      <c r="E56" s="22">
        <f>IF($C56="","",IFERROR(INDEX(ENVIOS!$C$4:$C$3003,MATCH($C56,ENVIOS!$A$4:$A$3003,0)),"—"))</f>
        <v/>
      </c>
      <c r="F56" s="22">
        <f>IF($C56="","",IFERROR(INDEX(ENVIOS!$D$4:$D$3003,MATCH($C56,ENVIOS!$A$4:$A$3003,0)),"—"))</f>
        <v/>
      </c>
      <c r="G56" s="22">
        <f>IF($C56="","",IFERROR(INDEX(ENVIOS!$E$4:$E$3003,MATCH($C56,ENVIOS!$A$4:$A$3003,0)),"—"))</f>
        <v/>
      </c>
      <c r="H56" s="22">
        <f>IF($C56="","",IFERROR(INDEX(ENVIOS!$F$4:$F$3003,MATCH($C56,ENVIOS!$A$4:$A$3003,0)),"—"))</f>
        <v/>
      </c>
      <c r="I56" s="27">
        <f>IF($C56="","",IFERROR(INDEX(ENVIOS!$G$4:$G$3003,MATCH($C56,ENVIOS!$A$4:$A$3003,0)),"—"))</f>
        <v/>
      </c>
      <c r="J56" s="48">
        <f>IF($C56="","",IFERROR(INDEX(ENVIOS!$B$4:$B$3003,MATCH($C56,ENVIOS!$A$4:$A$3003,0)),""))</f>
        <v/>
      </c>
      <c r="K56" s="49" t="n"/>
      <c r="L56" s="27">
        <f>IF($K56="","",IFERROR(INDEX(CONFIG!$B$4:$B$43,MATCH($K56,CONFIG!$A$4:$A$43,0)),"Media"))</f>
        <v/>
      </c>
      <c r="M56" s="27">
        <f>IF($K56="","",IFERROR(INDEX(CONFIG!$D$4:$D$43,MATCH($K56,CONFIG!$A$4:$A$43,0)),"NO"))</f>
        <v/>
      </c>
      <c r="N56" s="49" t="n"/>
      <c r="O56" s="27">
        <f>IF($N56="","",IFERROR(INDEX(CONFIG!$G$4:$G$43,MATCH($N56,CONFIG!$F$4:$F$43,0)),"Por definir"))</f>
        <v/>
      </c>
      <c r="P56" s="27">
        <f>IF($N56="","",IFERROR(INDEX(CONFIG!$H$4:$H$43,MATCH($N56,CONFIG!$F$4:$F$43,0)),"Por definir"))</f>
        <v/>
      </c>
      <c r="Q56" s="50" t="n"/>
      <c r="R56" s="51" t="n"/>
      <c r="S56" s="49" t="n"/>
      <c r="T56" s="49" t="n"/>
      <c r="U56" s="48">
        <f>IF(OR($B56="",$K56=""),"",WORKDAY($B56,IFERROR(INDEX(CONFIG!$C$4:$C$43,MATCH($K56,CONFIG!$A$4:$A$43,0)),3)))</f>
        <v/>
      </c>
      <c r="V56" s="46" t="n"/>
      <c r="W56" s="23">
        <f>IF($B56="","",IF($V56&lt;&gt;"",$V56-$B56,TODAY()-$B56))</f>
        <v/>
      </c>
      <c r="X56" s="27">
        <f>IF($C56="","",IF(IFERROR(INDEX(CONFIG!$K$4:$K$43,MATCH($S56,CONFIG!$J$4:$J$43,0)),"NO")="SÍ",IF(OR($V56="",$U56=""),"Resuelta",IF($V56&gt;$U56,"Resuelta tarde","Resuelta a tiempo")),IF($U56="","Sin clasificar",IF(TODAY()&gt;$U56,"Vencida",IF(TODAY()&gt;=$U56-1,"Por vencer","En plazo")))))</f>
        <v/>
      </c>
      <c r="Y56" s="49" t="n"/>
      <c r="Z56" s="49" t="n"/>
    </row>
    <row r="57" ht="16" customHeight="1">
      <c r="A57" s="27">
        <f>IF($C57="","","N-"&amp;TEXT(ROW()-3,"0000"))</f>
        <v/>
      </c>
      <c r="B57" s="46" t="n"/>
      <c r="C57" s="47" t="n"/>
      <c r="D57" s="27">
        <f>IF($C57="","",IF(COUNTIFS(ENVIOS!$A$4:$A$3003,$C57)=0,"NO EXISTE",IF(COUNTIFS(ENVIOS!$A$4:$A$3003,$C57)&gt;1,"DUPLICADA","OK")))</f>
        <v/>
      </c>
      <c r="E57" s="22">
        <f>IF($C57="","",IFERROR(INDEX(ENVIOS!$C$4:$C$3003,MATCH($C57,ENVIOS!$A$4:$A$3003,0)),"—"))</f>
        <v/>
      </c>
      <c r="F57" s="22">
        <f>IF($C57="","",IFERROR(INDEX(ENVIOS!$D$4:$D$3003,MATCH($C57,ENVIOS!$A$4:$A$3003,0)),"—"))</f>
        <v/>
      </c>
      <c r="G57" s="22">
        <f>IF($C57="","",IFERROR(INDEX(ENVIOS!$E$4:$E$3003,MATCH($C57,ENVIOS!$A$4:$A$3003,0)),"—"))</f>
        <v/>
      </c>
      <c r="H57" s="22">
        <f>IF($C57="","",IFERROR(INDEX(ENVIOS!$F$4:$F$3003,MATCH($C57,ENVIOS!$A$4:$A$3003,0)),"—"))</f>
        <v/>
      </c>
      <c r="I57" s="27">
        <f>IF($C57="","",IFERROR(INDEX(ENVIOS!$G$4:$G$3003,MATCH($C57,ENVIOS!$A$4:$A$3003,0)),"—"))</f>
        <v/>
      </c>
      <c r="J57" s="48">
        <f>IF($C57="","",IFERROR(INDEX(ENVIOS!$B$4:$B$3003,MATCH($C57,ENVIOS!$A$4:$A$3003,0)),""))</f>
        <v/>
      </c>
      <c r="K57" s="49" t="n"/>
      <c r="L57" s="27">
        <f>IF($K57="","",IFERROR(INDEX(CONFIG!$B$4:$B$43,MATCH($K57,CONFIG!$A$4:$A$43,0)),"Media"))</f>
        <v/>
      </c>
      <c r="M57" s="27">
        <f>IF($K57="","",IFERROR(INDEX(CONFIG!$D$4:$D$43,MATCH($K57,CONFIG!$A$4:$A$43,0)),"NO"))</f>
        <v/>
      </c>
      <c r="N57" s="49" t="n"/>
      <c r="O57" s="27">
        <f>IF($N57="","",IFERROR(INDEX(CONFIG!$G$4:$G$43,MATCH($N57,CONFIG!$F$4:$F$43,0)),"Por definir"))</f>
        <v/>
      </c>
      <c r="P57" s="27">
        <f>IF($N57="","",IFERROR(INDEX(CONFIG!$H$4:$H$43,MATCH($N57,CONFIG!$F$4:$F$43,0)),"Por definir"))</f>
        <v/>
      </c>
      <c r="Q57" s="50" t="n"/>
      <c r="R57" s="51" t="n"/>
      <c r="S57" s="49" t="n"/>
      <c r="T57" s="49" t="n"/>
      <c r="U57" s="48">
        <f>IF(OR($B57="",$K57=""),"",WORKDAY($B57,IFERROR(INDEX(CONFIG!$C$4:$C$43,MATCH($K57,CONFIG!$A$4:$A$43,0)),3)))</f>
        <v/>
      </c>
      <c r="V57" s="46" t="n"/>
      <c r="W57" s="23">
        <f>IF($B57="","",IF($V57&lt;&gt;"",$V57-$B57,TODAY()-$B57))</f>
        <v/>
      </c>
      <c r="X57" s="27">
        <f>IF($C57="","",IF(IFERROR(INDEX(CONFIG!$K$4:$K$43,MATCH($S57,CONFIG!$J$4:$J$43,0)),"NO")="SÍ",IF(OR($V57="",$U57=""),"Resuelta",IF($V57&gt;$U57,"Resuelta tarde","Resuelta a tiempo")),IF($U57="","Sin clasificar",IF(TODAY()&gt;$U57,"Vencida",IF(TODAY()&gt;=$U57-1,"Por vencer","En plazo")))))</f>
        <v/>
      </c>
      <c r="Y57" s="49" t="n"/>
      <c r="Z57" s="49" t="n"/>
    </row>
    <row r="58" ht="16" customHeight="1">
      <c r="A58" s="27">
        <f>IF($C58="","","N-"&amp;TEXT(ROW()-3,"0000"))</f>
        <v/>
      </c>
      <c r="B58" s="46" t="n"/>
      <c r="C58" s="47" t="n"/>
      <c r="D58" s="27">
        <f>IF($C58="","",IF(COUNTIFS(ENVIOS!$A$4:$A$3003,$C58)=0,"NO EXISTE",IF(COUNTIFS(ENVIOS!$A$4:$A$3003,$C58)&gt;1,"DUPLICADA","OK")))</f>
        <v/>
      </c>
      <c r="E58" s="22">
        <f>IF($C58="","",IFERROR(INDEX(ENVIOS!$C$4:$C$3003,MATCH($C58,ENVIOS!$A$4:$A$3003,0)),"—"))</f>
        <v/>
      </c>
      <c r="F58" s="22">
        <f>IF($C58="","",IFERROR(INDEX(ENVIOS!$D$4:$D$3003,MATCH($C58,ENVIOS!$A$4:$A$3003,0)),"—"))</f>
        <v/>
      </c>
      <c r="G58" s="22">
        <f>IF($C58="","",IFERROR(INDEX(ENVIOS!$E$4:$E$3003,MATCH($C58,ENVIOS!$A$4:$A$3003,0)),"—"))</f>
        <v/>
      </c>
      <c r="H58" s="22">
        <f>IF($C58="","",IFERROR(INDEX(ENVIOS!$F$4:$F$3003,MATCH($C58,ENVIOS!$A$4:$A$3003,0)),"—"))</f>
        <v/>
      </c>
      <c r="I58" s="27">
        <f>IF($C58="","",IFERROR(INDEX(ENVIOS!$G$4:$G$3003,MATCH($C58,ENVIOS!$A$4:$A$3003,0)),"—"))</f>
        <v/>
      </c>
      <c r="J58" s="48">
        <f>IF($C58="","",IFERROR(INDEX(ENVIOS!$B$4:$B$3003,MATCH($C58,ENVIOS!$A$4:$A$3003,0)),""))</f>
        <v/>
      </c>
      <c r="K58" s="49" t="n"/>
      <c r="L58" s="27">
        <f>IF($K58="","",IFERROR(INDEX(CONFIG!$B$4:$B$43,MATCH($K58,CONFIG!$A$4:$A$43,0)),"Media"))</f>
        <v/>
      </c>
      <c r="M58" s="27">
        <f>IF($K58="","",IFERROR(INDEX(CONFIG!$D$4:$D$43,MATCH($K58,CONFIG!$A$4:$A$43,0)),"NO"))</f>
        <v/>
      </c>
      <c r="N58" s="49" t="n"/>
      <c r="O58" s="27">
        <f>IF($N58="","",IFERROR(INDEX(CONFIG!$G$4:$G$43,MATCH($N58,CONFIG!$F$4:$F$43,0)),"Por definir"))</f>
        <v/>
      </c>
      <c r="P58" s="27">
        <f>IF($N58="","",IFERROR(INDEX(CONFIG!$H$4:$H$43,MATCH($N58,CONFIG!$F$4:$F$43,0)),"Por definir"))</f>
        <v/>
      </c>
      <c r="Q58" s="50" t="n"/>
      <c r="R58" s="51" t="n"/>
      <c r="S58" s="49" t="n"/>
      <c r="T58" s="49" t="n"/>
      <c r="U58" s="48">
        <f>IF(OR($B58="",$K58=""),"",WORKDAY($B58,IFERROR(INDEX(CONFIG!$C$4:$C$43,MATCH($K58,CONFIG!$A$4:$A$43,0)),3)))</f>
        <v/>
      </c>
      <c r="V58" s="46" t="n"/>
      <c r="W58" s="23">
        <f>IF($B58="","",IF($V58&lt;&gt;"",$V58-$B58,TODAY()-$B58))</f>
        <v/>
      </c>
      <c r="X58" s="27">
        <f>IF($C58="","",IF(IFERROR(INDEX(CONFIG!$K$4:$K$43,MATCH($S58,CONFIG!$J$4:$J$43,0)),"NO")="SÍ",IF(OR($V58="",$U58=""),"Resuelta",IF($V58&gt;$U58,"Resuelta tarde","Resuelta a tiempo")),IF($U58="","Sin clasificar",IF(TODAY()&gt;$U58,"Vencida",IF(TODAY()&gt;=$U58-1,"Por vencer","En plazo")))))</f>
        <v/>
      </c>
      <c r="Y58" s="49" t="n"/>
      <c r="Z58" s="49" t="n"/>
    </row>
    <row r="59" ht="16" customHeight="1">
      <c r="A59" s="27">
        <f>IF($C59="","","N-"&amp;TEXT(ROW()-3,"0000"))</f>
        <v/>
      </c>
      <c r="B59" s="46" t="n"/>
      <c r="C59" s="47" t="n"/>
      <c r="D59" s="27">
        <f>IF($C59="","",IF(COUNTIFS(ENVIOS!$A$4:$A$3003,$C59)=0,"NO EXISTE",IF(COUNTIFS(ENVIOS!$A$4:$A$3003,$C59)&gt;1,"DUPLICADA","OK")))</f>
        <v/>
      </c>
      <c r="E59" s="22">
        <f>IF($C59="","",IFERROR(INDEX(ENVIOS!$C$4:$C$3003,MATCH($C59,ENVIOS!$A$4:$A$3003,0)),"—"))</f>
        <v/>
      </c>
      <c r="F59" s="22">
        <f>IF($C59="","",IFERROR(INDEX(ENVIOS!$D$4:$D$3003,MATCH($C59,ENVIOS!$A$4:$A$3003,0)),"—"))</f>
        <v/>
      </c>
      <c r="G59" s="22">
        <f>IF($C59="","",IFERROR(INDEX(ENVIOS!$E$4:$E$3003,MATCH($C59,ENVIOS!$A$4:$A$3003,0)),"—"))</f>
        <v/>
      </c>
      <c r="H59" s="22">
        <f>IF($C59="","",IFERROR(INDEX(ENVIOS!$F$4:$F$3003,MATCH($C59,ENVIOS!$A$4:$A$3003,0)),"—"))</f>
        <v/>
      </c>
      <c r="I59" s="27">
        <f>IF($C59="","",IFERROR(INDEX(ENVIOS!$G$4:$G$3003,MATCH($C59,ENVIOS!$A$4:$A$3003,0)),"—"))</f>
        <v/>
      </c>
      <c r="J59" s="48">
        <f>IF($C59="","",IFERROR(INDEX(ENVIOS!$B$4:$B$3003,MATCH($C59,ENVIOS!$A$4:$A$3003,0)),""))</f>
        <v/>
      </c>
      <c r="K59" s="49" t="n"/>
      <c r="L59" s="27">
        <f>IF($K59="","",IFERROR(INDEX(CONFIG!$B$4:$B$43,MATCH($K59,CONFIG!$A$4:$A$43,0)),"Media"))</f>
        <v/>
      </c>
      <c r="M59" s="27">
        <f>IF($K59="","",IFERROR(INDEX(CONFIG!$D$4:$D$43,MATCH($K59,CONFIG!$A$4:$A$43,0)),"NO"))</f>
        <v/>
      </c>
      <c r="N59" s="49" t="n"/>
      <c r="O59" s="27">
        <f>IF($N59="","",IFERROR(INDEX(CONFIG!$G$4:$G$43,MATCH($N59,CONFIG!$F$4:$F$43,0)),"Por definir"))</f>
        <v/>
      </c>
      <c r="P59" s="27">
        <f>IF($N59="","",IFERROR(INDEX(CONFIG!$H$4:$H$43,MATCH($N59,CONFIG!$F$4:$F$43,0)),"Por definir"))</f>
        <v/>
      </c>
      <c r="Q59" s="50" t="n"/>
      <c r="R59" s="51" t="n"/>
      <c r="S59" s="49" t="n"/>
      <c r="T59" s="49" t="n"/>
      <c r="U59" s="48">
        <f>IF(OR($B59="",$K59=""),"",WORKDAY($B59,IFERROR(INDEX(CONFIG!$C$4:$C$43,MATCH($K59,CONFIG!$A$4:$A$43,0)),3)))</f>
        <v/>
      </c>
      <c r="V59" s="46" t="n"/>
      <c r="W59" s="23">
        <f>IF($B59="","",IF($V59&lt;&gt;"",$V59-$B59,TODAY()-$B59))</f>
        <v/>
      </c>
      <c r="X59" s="27">
        <f>IF($C59="","",IF(IFERROR(INDEX(CONFIG!$K$4:$K$43,MATCH($S59,CONFIG!$J$4:$J$43,0)),"NO")="SÍ",IF(OR($V59="",$U59=""),"Resuelta",IF($V59&gt;$U59,"Resuelta tarde","Resuelta a tiempo")),IF($U59="","Sin clasificar",IF(TODAY()&gt;$U59,"Vencida",IF(TODAY()&gt;=$U59-1,"Por vencer","En plazo")))))</f>
        <v/>
      </c>
      <c r="Y59" s="49" t="n"/>
      <c r="Z59" s="49" t="n"/>
    </row>
    <row r="60" ht="16" customHeight="1">
      <c r="A60" s="27">
        <f>IF($C60="","","N-"&amp;TEXT(ROW()-3,"0000"))</f>
        <v/>
      </c>
      <c r="B60" s="46" t="n"/>
      <c r="C60" s="47" t="n"/>
      <c r="D60" s="27">
        <f>IF($C60="","",IF(COUNTIFS(ENVIOS!$A$4:$A$3003,$C60)=0,"NO EXISTE",IF(COUNTIFS(ENVIOS!$A$4:$A$3003,$C60)&gt;1,"DUPLICADA","OK")))</f>
        <v/>
      </c>
      <c r="E60" s="22">
        <f>IF($C60="","",IFERROR(INDEX(ENVIOS!$C$4:$C$3003,MATCH($C60,ENVIOS!$A$4:$A$3003,0)),"—"))</f>
        <v/>
      </c>
      <c r="F60" s="22">
        <f>IF($C60="","",IFERROR(INDEX(ENVIOS!$D$4:$D$3003,MATCH($C60,ENVIOS!$A$4:$A$3003,0)),"—"))</f>
        <v/>
      </c>
      <c r="G60" s="22">
        <f>IF($C60="","",IFERROR(INDEX(ENVIOS!$E$4:$E$3003,MATCH($C60,ENVIOS!$A$4:$A$3003,0)),"—"))</f>
        <v/>
      </c>
      <c r="H60" s="22">
        <f>IF($C60="","",IFERROR(INDEX(ENVIOS!$F$4:$F$3003,MATCH($C60,ENVIOS!$A$4:$A$3003,0)),"—"))</f>
        <v/>
      </c>
      <c r="I60" s="27">
        <f>IF($C60="","",IFERROR(INDEX(ENVIOS!$G$4:$G$3003,MATCH($C60,ENVIOS!$A$4:$A$3003,0)),"—"))</f>
        <v/>
      </c>
      <c r="J60" s="48">
        <f>IF($C60="","",IFERROR(INDEX(ENVIOS!$B$4:$B$3003,MATCH($C60,ENVIOS!$A$4:$A$3003,0)),""))</f>
        <v/>
      </c>
      <c r="K60" s="49" t="n"/>
      <c r="L60" s="27">
        <f>IF($K60="","",IFERROR(INDEX(CONFIG!$B$4:$B$43,MATCH($K60,CONFIG!$A$4:$A$43,0)),"Media"))</f>
        <v/>
      </c>
      <c r="M60" s="27">
        <f>IF($K60="","",IFERROR(INDEX(CONFIG!$D$4:$D$43,MATCH($K60,CONFIG!$A$4:$A$43,0)),"NO"))</f>
        <v/>
      </c>
      <c r="N60" s="49" t="n"/>
      <c r="O60" s="27">
        <f>IF($N60="","",IFERROR(INDEX(CONFIG!$G$4:$G$43,MATCH($N60,CONFIG!$F$4:$F$43,0)),"Por definir"))</f>
        <v/>
      </c>
      <c r="P60" s="27">
        <f>IF($N60="","",IFERROR(INDEX(CONFIG!$H$4:$H$43,MATCH($N60,CONFIG!$F$4:$F$43,0)),"Por definir"))</f>
        <v/>
      </c>
      <c r="Q60" s="50" t="n"/>
      <c r="R60" s="51" t="n"/>
      <c r="S60" s="49" t="n"/>
      <c r="T60" s="49" t="n"/>
      <c r="U60" s="48">
        <f>IF(OR($B60="",$K60=""),"",WORKDAY($B60,IFERROR(INDEX(CONFIG!$C$4:$C$43,MATCH($K60,CONFIG!$A$4:$A$43,0)),3)))</f>
        <v/>
      </c>
      <c r="V60" s="46" t="n"/>
      <c r="W60" s="23">
        <f>IF($B60="","",IF($V60&lt;&gt;"",$V60-$B60,TODAY()-$B60))</f>
        <v/>
      </c>
      <c r="X60" s="27">
        <f>IF($C60="","",IF(IFERROR(INDEX(CONFIG!$K$4:$K$43,MATCH($S60,CONFIG!$J$4:$J$43,0)),"NO")="SÍ",IF(OR($V60="",$U60=""),"Resuelta",IF($V60&gt;$U60,"Resuelta tarde","Resuelta a tiempo")),IF($U60="","Sin clasificar",IF(TODAY()&gt;$U60,"Vencida",IF(TODAY()&gt;=$U60-1,"Por vencer","En plazo")))))</f>
        <v/>
      </c>
      <c r="Y60" s="49" t="n"/>
      <c r="Z60" s="49" t="n"/>
    </row>
    <row r="61" ht="16" customHeight="1">
      <c r="A61" s="27">
        <f>IF($C61="","","N-"&amp;TEXT(ROW()-3,"0000"))</f>
        <v/>
      </c>
      <c r="B61" s="46" t="n"/>
      <c r="C61" s="47" t="n"/>
      <c r="D61" s="27">
        <f>IF($C61="","",IF(COUNTIFS(ENVIOS!$A$4:$A$3003,$C61)=0,"NO EXISTE",IF(COUNTIFS(ENVIOS!$A$4:$A$3003,$C61)&gt;1,"DUPLICADA","OK")))</f>
        <v/>
      </c>
      <c r="E61" s="22">
        <f>IF($C61="","",IFERROR(INDEX(ENVIOS!$C$4:$C$3003,MATCH($C61,ENVIOS!$A$4:$A$3003,0)),"—"))</f>
        <v/>
      </c>
      <c r="F61" s="22">
        <f>IF($C61="","",IFERROR(INDEX(ENVIOS!$D$4:$D$3003,MATCH($C61,ENVIOS!$A$4:$A$3003,0)),"—"))</f>
        <v/>
      </c>
      <c r="G61" s="22">
        <f>IF($C61="","",IFERROR(INDEX(ENVIOS!$E$4:$E$3003,MATCH($C61,ENVIOS!$A$4:$A$3003,0)),"—"))</f>
        <v/>
      </c>
      <c r="H61" s="22">
        <f>IF($C61="","",IFERROR(INDEX(ENVIOS!$F$4:$F$3003,MATCH($C61,ENVIOS!$A$4:$A$3003,0)),"—"))</f>
        <v/>
      </c>
      <c r="I61" s="27">
        <f>IF($C61="","",IFERROR(INDEX(ENVIOS!$G$4:$G$3003,MATCH($C61,ENVIOS!$A$4:$A$3003,0)),"—"))</f>
        <v/>
      </c>
      <c r="J61" s="48">
        <f>IF($C61="","",IFERROR(INDEX(ENVIOS!$B$4:$B$3003,MATCH($C61,ENVIOS!$A$4:$A$3003,0)),""))</f>
        <v/>
      </c>
      <c r="K61" s="49" t="n"/>
      <c r="L61" s="27">
        <f>IF($K61="","",IFERROR(INDEX(CONFIG!$B$4:$B$43,MATCH($K61,CONFIG!$A$4:$A$43,0)),"Media"))</f>
        <v/>
      </c>
      <c r="M61" s="27">
        <f>IF($K61="","",IFERROR(INDEX(CONFIG!$D$4:$D$43,MATCH($K61,CONFIG!$A$4:$A$43,0)),"NO"))</f>
        <v/>
      </c>
      <c r="N61" s="49" t="n"/>
      <c r="O61" s="27">
        <f>IF($N61="","",IFERROR(INDEX(CONFIG!$G$4:$G$43,MATCH($N61,CONFIG!$F$4:$F$43,0)),"Por definir"))</f>
        <v/>
      </c>
      <c r="P61" s="27">
        <f>IF($N61="","",IFERROR(INDEX(CONFIG!$H$4:$H$43,MATCH($N61,CONFIG!$F$4:$F$43,0)),"Por definir"))</f>
        <v/>
      </c>
      <c r="Q61" s="50" t="n"/>
      <c r="R61" s="51" t="n"/>
      <c r="S61" s="49" t="n"/>
      <c r="T61" s="49" t="n"/>
      <c r="U61" s="48">
        <f>IF(OR($B61="",$K61=""),"",WORKDAY($B61,IFERROR(INDEX(CONFIG!$C$4:$C$43,MATCH($K61,CONFIG!$A$4:$A$43,0)),3)))</f>
        <v/>
      </c>
      <c r="V61" s="46" t="n"/>
      <c r="W61" s="23">
        <f>IF($B61="","",IF($V61&lt;&gt;"",$V61-$B61,TODAY()-$B61))</f>
        <v/>
      </c>
      <c r="X61" s="27">
        <f>IF($C61="","",IF(IFERROR(INDEX(CONFIG!$K$4:$K$43,MATCH($S61,CONFIG!$J$4:$J$43,0)),"NO")="SÍ",IF(OR($V61="",$U61=""),"Resuelta",IF($V61&gt;$U61,"Resuelta tarde","Resuelta a tiempo")),IF($U61="","Sin clasificar",IF(TODAY()&gt;$U61,"Vencida",IF(TODAY()&gt;=$U61-1,"Por vencer","En plazo")))))</f>
        <v/>
      </c>
      <c r="Y61" s="49" t="n"/>
      <c r="Z61" s="49" t="n"/>
    </row>
    <row r="62" ht="16" customHeight="1">
      <c r="A62" s="27">
        <f>IF($C62="","","N-"&amp;TEXT(ROW()-3,"0000"))</f>
        <v/>
      </c>
      <c r="B62" s="46" t="n"/>
      <c r="C62" s="47" t="n"/>
      <c r="D62" s="27">
        <f>IF($C62="","",IF(COUNTIFS(ENVIOS!$A$4:$A$3003,$C62)=0,"NO EXISTE",IF(COUNTIFS(ENVIOS!$A$4:$A$3003,$C62)&gt;1,"DUPLICADA","OK")))</f>
        <v/>
      </c>
      <c r="E62" s="22">
        <f>IF($C62="","",IFERROR(INDEX(ENVIOS!$C$4:$C$3003,MATCH($C62,ENVIOS!$A$4:$A$3003,0)),"—"))</f>
        <v/>
      </c>
      <c r="F62" s="22">
        <f>IF($C62="","",IFERROR(INDEX(ENVIOS!$D$4:$D$3003,MATCH($C62,ENVIOS!$A$4:$A$3003,0)),"—"))</f>
        <v/>
      </c>
      <c r="G62" s="22">
        <f>IF($C62="","",IFERROR(INDEX(ENVIOS!$E$4:$E$3003,MATCH($C62,ENVIOS!$A$4:$A$3003,0)),"—"))</f>
        <v/>
      </c>
      <c r="H62" s="22">
        <f>IF($C62="","",IFERROR(INDEX(ENVIOS!$F$4:$F$3003,MATCH($C62,ENVIOS!$A$4:$A$3003,0)),"—"))</f>
        <v/>
      </c>
      <c r="I62" s="27">
        <f>IF($C62="","",IFERROR(INDEX(ENVIOS!$G$4:$G$3003,MATCH($C62,ENVIOS!$A$4:$A$3003,0)),"—"))</f>
        <v/>
      </c>
      <c r="J62" s="48">
        <f>IF($C62="","",IFERROR(INDEX(ENVIOS!$B$4:$B$3003,MATCH($C62,ENVIOS!$A$4:$A$3003,0)),""))</f>
        <v/>
      </c>
      <c r="K62" s="49" t="n"/>
      <c r="L62" s="27">
        <f>IF($K62="","",IFERROR(INDEX(CONFIG!$B$4:$B$43,MATCH($K62,CONFIG!$A$4:$A$43,0)),"Media"))</f>
        <v/>
      </c>
      <c r="M62" s="27">
        <f>IF($K62="","",IFERROR(INDEX(CONFIG!$D$4:$D$43,MATCH($K62,CONFIG!$A$4:$A$43,0)),"NO"))</f>
        <v/>
      </c>
      <c r="N62" s="49" t="n"/>
      <c r="O62" s="27">
        <f>IF($N62="","",IFERROR(INDEX(CONFIG!$G$4:$G$43,MATCH($N62,CONFIG!$F$4:$F$43,0)),"Por definir"))</f>
        <v/>
      </c>
      <c r="P62" s="27">
        <f>IF($N62="","",IFERROR(INDEX(CONFIG!$H$4:$H$43,MATCH($N62,CONFIG!$F$4:$F$43,0)),"Por definir"))</f>
        <v/>
      </c>
      <c r="Q62" s="50" t="n"/>
      <c r="R62" s="51" t="n"/>
      <c r="S62" s="49" t="n"/>
      <c r="T62" s="49" t="n"/>
      <c r="U62" s="48">
        <f>IF(OR($B62="",$K62=""),"",WORKDAY($B62,IFERROR(INDEX(CONFIG!$C$4:$C$43,MATCH($K62,CONFIG!$A$4:$A$43,0)),3)))</f>
        <v/>
      </c>
      <c r="V62" s="46" t="n"/>
      <c r="W62" s="23">
        <f>IF($B62="","",IF($V62&lt;&gt;"",$V62-$B62,TODAY()-$B62))</f>
        <v/>
      </c>
      <c r="X62" s="27">
        <f>IF($C62="","",IF(IFERROR(INDEX(CONFIG!$K$4:$K$43,MATCH($S62,CONFIG!$J$4:$J$43,0)),"NO")="SÍ",IF(OR($V62="",$U62=""),"Resuelta",IF($V62&gt;$U62,"Resuelta tarde","Resuelta a tiempo")),IF($U62="","Sin clasificar",IF(TODAY()&gt;$U62,"Vencida",IF(TODAY()&gt;=$U62-1,"Por vencer","En plazo")))))</f>
        <v/>
      </c>
      <c r="Y62" s="49" t="n"/>
      <c r="Z62" s="49" t="n"/>
    </row>
    <row r="63" ht="16" customHeight="1">
      <c r="A63" s="27">
        <f>IF($C63="","","N-"&amp;TEXT(ROW()-3,"0000"))</f>
        <v/>
      </c>
      <c r="B63" s="46" t="n"/>
      <c r="C63" s="47" t="n"/>
      <c r="D63" s="27">
        <f>IF($C63="","",IF(COUNTIFS(ENVIOS!$A$4:$A$3003,$C63)=0,"NO EXISTE",IF(COUNTIFS(ENVIOS!$A$4:$A$3003,$C63)&gt;1,"DUPLICADA","OK")))</f>
        <v/>
      </c>
      <c r="E63" s="22">
        <f>IF($C63="","",IFERROR(INDEX(ENVIOS!$C$4:$C$3003,MATCH($C63,ENVIOS!$A$4:$A$3003,0)),"—"))</f>
        <v/>
      </c>
      <c r="F63" s="22">
        <f>IF($C63="","",IFERROR(INDEX(ENVIOS!$D$4:$D$3003,MATCH($C63,ENVIOS!$A$4:$A$3003,0)),"—"))</f>
        <v/>
      </c>
      <c r="G63" s="22">
        <f>IF($C63="","",IFERROR(INDEX(ENVIOS!$E$4:$E$3003,MATCH($C63,ENVIOS!$A$4:$A$3003,0)),"—"))</f>
        <v/>
      </c>
      <c r="H63" s="22">
        <f>IF($C63="","",IFERROR(INDEX(ENVIOS!$F$4:$F$3003,MATCH($C63,ENVIOS!$A$4:$A$3003,0)),"—"))</f>
        <v/>
      </c>
      <c r="I63" s="27">
        <f>IF($C63="","",IFERROR(INDEX(ENVIOS!$G$4:$G$3003,MATCH($C63,ENVIOS!$A$4:$A$3003,0)),"—"))</f>
        <v/>
      </c>
      <c r="J63" s="48">
        <f>IF($C63="","",IFERROR(INDEX(ENVIOS!$B$4:$B$3003,MATCH($C63,ENVIOS!$A$4:$A$3003,0)),""))</f>
        <v/>
      </c>
      <c r="K63" s="49" t="n"/>
      <c r="L63" s="27">
        <f>IF($K63="","",IFERROR(INDEX(CONFIG!$B$4:$B$43,MATCH($K63,CONFIG!$A$4:$A$43,0)),"Media"))</f>
        <v/>
      </c>
      <c r="M63" s="27">
        <f>IF($K63="","",IFERROR(INDEX(CONFIG!$D$4:$D$43,MATCH($K63,CONFIG!$A$4:$A$43,0)),"NO"))</f>
        <v/>
      </c>
      <c r="N63" s="49" t="n"/>
      <c r="O63" s="27">
        <f>IF($N63="","",IFERROR(INDEX(CONFIG!$G$4:$G$43,MATCH($N63,CONFIG!$F$4:$F$43,0)),"Por definir"))</f>
        <v/>
      </c>
      <c r="P63" s="27">
        <f>IF($N63="","",IFERROR(INDEX(CONFIG!$H$4:$H$43,MATCH($N63,CONFIG!$F$4:$F$43,0)),"Por definir"))</f>
        <v/>
      </c>
      <c r="Q63" s="50" t="n"/>
      <c r="R63" s="51" t="n"/>
      <c r="S63" s="49" t="n"/>
      <c r="T63" s="49" t="n"/>
      <c r="U63" s="48">
        <f>IF(OR($B63="",$K63=""),"",WORKDAY($B63,IFERROR(INDEX(CONFIG!$C$4:$C$43,MATCH($K63,CONFIG!$A$4:$A$43,0)),3)))</f>
        <v/>
      </c>
      <c r="V63" s="46" t="n"/>
      <c r="W63" s="23">
        <f>IF($B63="","",IF($V63&lt;&gt;"",$V63-$B63,TODAY()-$B63))</f>
        <v/>
      </c>
      <c r="X63" s="27">
        <f>IF($C63="","",IF(IFERROR(INDEX(CONFIG!$K$4:$K$43,MATCH($S63,CONFIG!$J$4:$J$43,0)),"NO")="SÍ",IF(OR($V63="",$U63=""),"Resuelta",IF($V63&gt;$U63,"Resuelta tarde","Resuelta a tiempo")),IF($U63="","Sin clasificar",IF(TODAY()&gt;$U63,"Vencida",IF(TODAY()&gt;=$U63-1,"Por vencer","En plazo")))))</f>
        <v/>
      </c>
      <c r="Y63" s="49" t="n"/>
      <c r="Z63" s="49" t="n"/>
    </row>
    <row r="64" ht="16" customHeight="1">
      <c r="A64" s="27">
        <f>IF($C64="","","N-"&amp;TEXT(ROW()-3,"0000"))</f>
        <v/>
      </c>
      <c r="B64" s="46" t="n"/>
      <c r="C64" s="47" t="n"/>
      <c r="D64" s="27">
        <f>IF($C64="","",IF(COUNTIFS(ENVIOS!$A$4:$A$3003,$C64)=0,"NO EXISTE",IF(COUNTIFS(ENVIOS!$A$4:$A$3003,$C64)&gt;1,"DUPLICADA","OK")))</f>
        <v/>
      </c>
      <c r="E64" s="22">
        <f>IF($C64="","",IFERROR(INDEX(ENVIOS!$C$4:$C$3003,MATCH($C64,ENVIOS!$A$4:$A$3003,0)),"—"))</f>
        <v/>
      </c>
      <c r="F64" s="22">
        <f>IF($C64="","",IFERROR(INDEX(ENVIOS!$D$4:$D$3003,MATCH($C64,ENVIOS!$A$4:$A$3003,0)),"—"))</f>
        <v/>
      </c>
      <c r="G64" s="22">
        <f>IF($C64="","",IFERROR(INDEX(ENVIOS!$E$4:$E$3003,MATCH($C64,ENVIOS!$A$4:$A$3003,0)),"—"))</f>
        <v/>
      </c>
      <c r="H64" s="22">
        <f>IF($C64="","",IFERROR(INDEX(ENVIOS!$F$4:$F$3003,MATCH($C64,ENVIOS!$A$4:$A$3003,0)),"—"))</f>
        <v/>
      </c>
      <c r="I64" s="27">
        <f>IF($C64="","",IFERROR(INDEX(ENVIOS!$G$4:$G$3003,MATCH($C64,ENVIOS!$A$4:$A$3003,0)),"—"))</f>
        <v/>
      </c>
      <c r="J64" s="48">
        <f>IF($C64="","",IFERROR(INDEX(ENVIOS!$B$4:$B$3003,MATCH($C64,ENVIOS!$A$4:$A$3003,0)),""))</f>
        <v/>
      </c>
      <c r="K64" s="49" t="n"/>
      <c r="L64" s="27">
        <f>IF($K64="","",IFERROR(INDEX(CONFIG!$B$4:$B$43,MATCH($K64,CONFIG!$A$4:$A$43,0)),"Media"))</f>
        <v/>
      </c>
      <c r="M64" s="27">
        <f>IF($K64="","",IFERROR(INDEX(CONFIG!$D$4:$D$43,MATCH($K64,CONFIG!$A$4:$A$43,0)),"NO"))</f>
        <v/>
      </c>
      <c r="N64" s="49" t="n"/>
      <c r="O64" s="27">
        <f>IF($N64="","",IFERROR(INDEX(CONFIG!$G$4:$G$43,MATCH($N64,CONFIG!$F$4:$F$43,0)),"Por definir"))</f>
        <v/>
      </c>
      <c r="P64" s="27">
        <f>IF($N64="","",IFERROR(INDEX(CONFIG!$H$4:$H$43,MATCH($N64,CONFIG!$F$4:$F$43,0)),"Por definir"))</f>
        <v/>
      </c>
      <c r="Q64" s="50" t="n"/>
      <c r="R64" s="51" t="n"/>
      <c r="S64" s="49" t="n"/>
      <c r="T64" s="49" t="n"/>
      <c r="U64" s="48">
        <f>IF(OR($B64="",$K64=""),"",WORKDAY($B64,IFERROR(INDEX(CONFIG!$C$4:$C$43,MATCH($K64,CONFIG!$A$4:$A$43,0)),3)))</f>
        <v/>
      </c>
      <c r="V64" s="46" t="n"/>
      <c r="W64" s="23">
        <f>IF($B64="","",IF($V64&lt;&gt;"",$V64-$B64,TODAY()-$B64))</f>
        <v/>
      </c>
      <c r="X64" s="27">
        <f>IF($C64="","",IF(IFERROR(INDEX(CONFIG!$K$4:$K$43,MATCH($S64,CONFIG!$J$4:$J$43,0)),"NO")="SÍ",IF(OR($V64="",$U64=""),"Resuelta",IF($V64&gt;$U64,"Resuelta tarde","Resuelta a tiempo")),IF($U64="","Sin clasificar",IF(TODAY()&gt;$U64,"Vencida",IF(TODAY()&gt;=$U64-1,"Por vencer","En plazo")))))</f>
        <v/>
      </c>
      <c r="Y64" s="49" t="n"/>
      <c r="Z64" s="49" t="n"/>
    </row>
    <row r="65" ht="16" customHeight="1">
      <c r="A65" s="27">
        <f>IF($C65="","","N-"&amp;TEXT(ROW()-3,"0000"))</f>
        <v/>
      </c>
      <c r="B65" s="46" t="n"/>
      <c r="C65" s="47" t="n"/>
      <c r="D65" s="27">
        <f>IF($C65="","",IF(COUNTIFS(ENVIOS!$A$4:$A$3003,$C65)=0,"NO EXISTE",IF(COUNTIFS(ENVIOS!$A$4:$A$3003,$C65)&gt;1,"DUPLICADA","OK")))</f>
        <v/>
      </c>
      <c r="E65" s="22">
        <f>IF($C65="","",IFERROR(INDEX(ENVIOS!$C$4:$C$3003,MATCH($C65,ENVIOS!$A$4:$A$3003,0)),"—"))</f>
        <v/>
      </c>
      <c r="F65" s="22">
        <f>IF($C65="","",IFERROR(INDEX(ENVIOS!$D$4:$D$3003,MATCH($C65,ENVIOS!$A$4:$A$3003,0)),"—"))</f>
        <v/>
      </c>
      <c r="G65" s="22">
        <f>IF($C65="","",IFERROR(INDEX(ENVIOS!$E$4:$E$3003,MATCH($C65,ENVIOS!$A$4:$A$3003,0)),"—"))</f>
        <v/>
      </c>
      <c r="H65" s="22">
        <f>IF($C65="","",IFERROR(INDEX(ENVIOS!$F$4:$F$3003,MATCH($C65,ENVIOS!$A$4:$A$3003,0)),"—"))</f>
        <v/>
      </c>
      <c r="I65" s="27">
        <f>IF($C65="","",IFERROR(INDEX(ENVIOS!$G$4:$G$3003,MATCH($C65,ENVIOS!$A$4:$A$3003,0)),"—"))</f>
        <v/>
      </c>
      <c r="J65" s="48">
        <f>IF($C65="","",IFERROR(INDEX(ENVIOS!$B$4:$B$3003,MATCH($C65,ENVIOS!$A$4:$A$3003,0)),""))</f>
        <v/>
      </c>
      <c r="K65" s="49" t="n"/>
      <c r="L65" s="27">
        <f>IF($K65="","",IFERROR(INDEX(CONFIG!$B$4:$B$43,MATCH($K65,CONFIG!$A$4:$A$43,0)),"Media"))</f>
        <v/>
      </c>
      <c r="M65" s="27">
        <f>IF($K65="","",IFERROR(INDEX(CONFIG!$D$4:$D$43,MATCH($K65,CONFIG!$A$4:$A$43,0)),"NO"))</f>
        <v/>
      </c>
      <c r="N65" s="49" t="n"/>
      <c r="O65" s="27">
        <f>IF($N65="","",IFERROR(INDEX(CONFIG!$G$4:$G$43,MATCH($N65,CONFIG!$F$4:$F$43,0)),"Por definir"))</f>
        <v/>
      </c>
      <c r="P65" s="27">
        <f>IF($N65="","",IFERROR(INDEX(CONFIG!$H$4:$H$43,MATCH($N65,CONFIG!$F$4:$F$43,0)),"Por definir"))</f>
        <v/>
      </c>
      <c r="Q65" s="50" t="n"/>
      <c r="R65" s="51" t="n"/>
      <c r="S65" s="49" t="n"/>
      <c r="T65" s="49" t="n"/>
      <c r="U65" s="48">
        <f>IF(OR($B65="",$K65=""),"",WORKDAY($B65,IFERROR(INDEX(CONFIG!$C$4:$C$43,MATCH($K65,CONFIG!$A$4:$A$43,0)),3)))</f>
        <v/>
      </c>
      <c r="V65" s="46" t="n"/>
      <c r="W65" s="23">
        <f>IF($B65="","",IF($V65&lt;&gt;"",$V65-$B65,TODAY()-$B65))</f>
        <v/>
      </c>
      <c r="X65" s="27">
        <f>IF($C65="","",IF(IFERROR(INDEX(CONFIG!$K$4:$K$43,MATCH($S65,CONFIG!$J$4:$J$43,0)),"NO")="SÍ",IF(OR($V65="",$U65=""),"Resuelta",IF($V65&gt;$U65,"Resuelta tarde","Resuelta a tiempo")),IF($U65="","Sin clasificar",IF(TODAY()&gt;$U65,"Vencida",IF(TODAY()&gt;=$U65-1,"Por vencer","En plazo")))))</f>
        <v/>
      </c>
      <c r="Y65" s="49" t="n"/>
      <c r="Z65" s="49" t="n"/>
    </row>
    <row r="66" ht="16" customHeight="1">
      <c r="A66" s="27">
        <f>IF($C66="","","N-"&amp;TEXT(ROW()-3,"0000"))</f>
        <v/>
      </c>
      <c r="B66" s="46" t="n"/>
      <c r="C66" s="47" t="n"/>
      <c r="D66" s="27">
        <f>IF($C66="","",IF(COUNTIFS(ENVIOS!$A$4:$A$3003,$C66)=0,"NO EXISTE",IF(COUNTIFS(ENVIOS!$A$4:$A$3003,$C66)&gt;1,"DUPLICADA","OK")))</f>
        <v/>
      </c>
      <c r="E66" s="22">
        <f>IF($C66="","",IFERROR(INDEX(ENVIOS!$C$4:$C$3003,MATCH($C66,ENVIOS!$A$4:$A$3003,0)),"—"))</f>
        <v/>
      </c>
      <c r="F66" s="22">
        <f>IF($C66="","",IFERROR(INDEX(ENVIOS!$D$4:$D$3003,MATCH($C66,ENVIOS!$A$4:$A$3003,0)),"—"))</f>
        <v/>
      </c>
      <c r="G66" s="22">
        <f>IF($C66="","",IFERROR(INDEX(ENVIOS!$E$4:$E$3003,MATCH($C66,ENVIOS!$A$4:$A$3003,0)),"—"))</f>
        <v/>
      </c>
      <c r="H66" s="22">
        <f>IF($C66="","",IFERROR(INDEX(ENVIOS!$F$4:$F$3003,MATCH($C66,ENVIOS!$A$4:$A$3003,0)),"—"))</f>
        <v/>
      </c>
      <c r="I66" s="27">
        <f>IF($C66="","",IFERROR(INDEX(ENVIOS!$G$4:$G$3003,MATCH($C66,ENVIOS!$A$4:$A$3003,0)),"—"))</f>
        <v/>
      </c>
      <c r="J66" s="48">
        <f>IF($C66="","",IFERROR(INDEX(ENVIOS!$B$4:$B$3003,MATCH($C66,ENVIOS!$A$4:$A$3003,0)),""))</f>
        <v/>
      </c>
      <c r="K66" s="49" t="n"/>
      <c r="L66" s="27">
        <f>IF($K66="","",IFERROR(INDEX(CONFIG!$B$4:$B$43,MATCH($K66,CONFIG!$A$4:$A$43,0)),"Media"))</f>
        <v/>
      </c>
      <c r="M66" s="27">
        <f>IF($K66="","",IFERROR(INDEX(CONFIG!$D$4:$D$43,MATCH($K66,CONFIG!$A$4:$A$43,0)),"NO"))</f>
        <v/>
      </c>
      <c r="N66" s="49" t="n"/>
      <c r="O66" s="27">
        <f>IF($N66="","",IFERROR(INDEX(CONFIG!$G$4:$G$43,MATCH($N66,CONFIG!$F$4:$F$43,0)),"Por definir"))</f>
        <v/>
      </c>
      <c r="P66" s="27">
        <f>IF($N66="","",IFERROR(INDEX(CONFIG!$H$4:$H$43,MATCH($N66,CONFIG!$F$4:$F$43,0)),"Por definir"))</f>
        <v/>
      </c>
      <c r="Q66" s="50" t="n"/>
      <c r="R66" s="51" t="n"/>
      <c r="S66" s="49" t="n"/>
      <c r="T66" s="49" t="n"/>
      <c r="U66" s="48">
        <f>IF(OR($B66="",$K66=""),"",WORKDAY($B66,IFERROR(INDEX(CONFIG!$C$4:$C$43,MATCH($K66,CONFIG!$A$4:$A$43,0)),3)))</f>
        <v/>
      </c>
      <c r="V66" s="46" t="n"/>
      <c r="W66" s="23">
        <f>IF($B66="","",IF($V66&lt;&gt;"",$V66-$B66,TODAY()-$B66))</f>
        <v/>
      </c>
      <c r="X66" s="27">
        <f>IF($C66="","",IF(IFERROR(INDEX(CONFIG!$K$4:$K$43,MATCH($S66,CONFIG!$J$4:$J$43,0)),"NO")="SÍ",IF(OR($V66="",$U66=""),"Resuelta",IF($V66&gt;$U66,"Resuelta tarde","Resuelta a tiempo")),IF($U66="","Sin clasificar",IF(TODAY()&gt;$U66,"Vencida",IF(TODAY()&gt;=$U66-1,"Por vencer","En plazo")))))</f>
        <v/>
      </c>
      <c r="Y66" s="49" t="n"/>
      <c r="Z66" s="49" t="n"/>
    </row>
    <row r="67" ht="16" customHeight="1">
      <c r="A67" s="27">
        <f>IF($C67="","","N-"&amp;TEXT(ROW()-3,"0000"))</f>
        <v/>
      </c>
      <c r="B67" s="46" t="n"/>
      <c r="C67" s="47" t="n"/>
      <c r="D67" s="27">
        <f>IF($C67="","",IF(COUNTIFS(ENVIOS!$A$4:$A$3003,$C67)=0,"NO EXISTE",IF(COUNTIFS(ENVIOS!$A$4:$A$3003,$C67)&gt;1,"DUPLICADA","OK")))</f>
        <v/>
      </c>
      <c r="E67" s="22">
        <f>IF($C67="","",IFERROR(INDEX(ENVIOS!$C$4:$C$3003,MATCH($C67,ENVIOS!$A$4:$A$3003,0)),"—"))</f>
        <v/>
      </c>
      <c r="F67" s="22">
        <f>IF($C67="","",IFERROR(INDEX(ENVIOS!$D$4:$D$3003,MATCH($C67,ENVIOS!$A$4:$A$3003,0)),"—"))</f>
        <v/>
      </c>
      <c r="G67" s="22">
        <f>IF($C67="","",IFERROR(INDEX(ENVIOS!$E$4:$E$3003,MATCH($C67,ENVIOS!$A$4:$A$3003,0)),"—"))</f>
        <v/>
      </c>
      <c r="H67" s="22">
        <f>IF($C67="","",IFERROR(INDEX(ENVIOS!$F$4:$F$3003,MATCH($C67,ENVIOS!$A$4:$A$3003,0)),"—"))</f>
        <v/>
      </c>
      <c r="I67" s="27">
        <f>IF($C67="","",IFERROR(INDEX(ENVIOS!$G$4:$G$3003,MATCH($C67,ENVIOS!$A$4:$A$3003,0)),"—"))</f>
        <v/>
      </c>
      <c r="J67" s="48">
        <f>IF($C67="","",IFERROR(INDEX(ENVIOS!$B$4:$B$3003,MATCH($C67,ENVIOS!$A$4:$A$3003,0)),""))</f>
        <v/>
      </c>
      <c r="K67" s="49" t="n"/>
      <c r="L67" s="27">
        <f>IF($K67="","",IFERROR(INDEX(CONFIG!$B$4:$B$43,MATCH($K67,CONFIG!$A$4:$A$43,0)),"Media"))</f>
        <v/>
      </c>
      <c r="M67" s="27">
        <f>IF($K67="","",IFERROR(INDEX(CONFIG!$D$4:$D$43,MATCH($K67,CONFIG!$A$4:$A$43,0)),"NO"))</f>
        <v/>
      </c>
      <c r="N67" s="49" t="n"/>
      <c r="O67" s="27">
        <f>IF($N67="","",IFERROR(INDEX(CONFIG!$G$4:$G$43,MATCH($N67,CONFIG!$F$4:$F$43,0)),"Por definir"))</f>
        <v/>
      </c>
      <c r="P67" s="27">
        <f>IF($N67="","",IFERROR(INDEX(CONFIG!$H$4:$H$43,MATCH($N67,CONFIG!$F$4:$F$43,0)),"Por definir"))</f>
        <v/>
      </c>
      <c r="Q67" s="50" t="n"/>
      <c r="R67" s="51" t="n"/>
      <c r="S67" s="49" t="n"/>
      <c r="T67" s="49" t="n"/>
      <c r="U67" s="48">
        <f>IF(OR($B67="",$K67=""),"",WORKDAY($B67,IFERROR(INDEX(CONFIG!$C$4:$C$43,MATCH($K67,CONFIG!$A$4:$A$43,0)),3)))</f>
        <v/>
      </c>
      <c r="V67" s="46" t="n"/>
      <c r="W67" s="23">
        <f>IF($B67="","",IF($V67&lt;&gt;"",$V67-$B67,TODAY()-$B67))</f>
        <v/>
      </c>
      <c r="X67" s="27">
        <f>IF($C67="","",IF(IFERROR(INDEX(CONFIG!$K$4:$K$43,MATCH($S67,CONFIG!$J$4:$J$43,0)),"NO")="SÍ",IF(OR($V67="",$U67=""),"Resuelta",IF($V67&gt;$U67,"Resuelta tarde","Resuelta a tiempo")),IF($U67="","Sin clasificar",IF(TODAY()&gt;$U67,"Vencida",IF(TODAY()&gt;=$U67-1,"Por vencer","En plazo")))))</f>
        <v/>
      </c>
      <c r="Y67" s="49" t="n"/>
      <c r="Z67" s="49" t="n"/>
    </row>
    <row r="68" ht="16" customHeight="1">
      <c r="A68" s="27">
        <f>IF($C68="","","N-"&amp;TEXT(ROW()-3,"0000"))</f>
        <v/>
      </c>
      <c r="B68" s="46" t="n"/>
      <c r="C68" s="47" t="n"/>
      <c r="D68" s="27">
        <f>IF($C68="","",IF(COUNTIFS(ENVIOS!$A$4:$A$3003,$C68)=0,"NO EXISTE",IF(COUNTIFS(ENVIOS!$A$4:$A$3003,$C68)&gt;1,"DUPLICADA","OK")))</f>
        <v/>
      </c>
      <c r="E68" s="22">
        <f>IF($C68="","",IFERROR(INDEX(ENVIOS!$C$4:$C$3003,MATCH($C68,ENVIOS!$A$4:$A$3003,0)),"—"))</f>
        <v/>
      </c>
      <c r="F68" s="22">
        <f>IF($C68="","",IFERROR(INDEX(ENVIOS!$D$4:$D$3003,MATCH($C68,ENVIOS!$A$4:$A$3003,0)),"—"))</f>
        <v/>
      </c>
      <c r="G68" s="22">
        <f>IF($C68="","",IFERROR(INDEX(ENVIOS!$E$4:$E$3003,MATCH($C68,ENVIOS!$A$4:$A$3003,0)),"—"))</f>
        <v/>
      </c>
      <c r="H68" s="22">
        <f>IF($C68="","",IFERROR(INDEX(ENVIOS!$F$4:$F$3003,MATCH($C68,ENVIOS!$A$4:$A$3003,0)),"—"))</f>
        <v/>
      </c>
      <c r="I68" s="27">
        <f>IF($C68="","",IFERROR(INDEX(ENVIOS!$G$4:$G$3003,MATCH($C68,ENVIOS!$A$4:$A$3003,0)),"—"))</f>
        <v/>
      </c>
      <c r="J68" s="48">
        <f>IF($C68="","",IFERROR(INDEX(ENVIOS!$B$4:$B$3003,MATCH($C68,ENVIOS!$A$4:$A$3003,0)),""))</f>
        <v/>
      </c>
      <c r="K68" s="49" t="n"/>
      <c r="L68" s="27">
        <f>IF($K68="","",IFERROR(INDEX(CONFIG!$B$4:$B$43,MATCH($K68,CONFIG!$A$4:$A$43,0)),"Media"))</f>
        <v/>
      </c>
      <c r="M68" s="27">
        <f>IF($K68="","",IFERROR(INDEX(CONFIG!$D$4:$D$43,MATCH($K68,CONFIG!$A$4:$A$43,0)),"NO"))</f>
        <v/>
      </c>
      <c r="N68" s="49" t="n"/>
      <c r="O68" s="27">
        <f>IF($N68="","",IFERROR(INDEX(CONFIG!$G$4:$G$43,MATCH($N68,CONFIG!$F$4:$F$43,0)),"Por definir"))</f>
        <v/>
      </c>
      <c r="P68" s="27">
        <f>IF($N68="","",IFERROR(INDEX(CONFIG!$H$4:$H$43,MATCH($N68,CONFIG!$F$4:$F$43,0)),"Por definir"))</f>
        <v/>
      </c>
      <c r="Q68" s="50" t="n"/>
      <c r="R68" s="51" t="n"/>
      <c r="S68" s="49" t="n"/>
      <c r="T68" s="49" t="n"/>
      <c r="U68" s="48">
        <f>IF(OR($B68="",$K68=""),"",WORKDAY($B68,IFERROR(INDEX(CONFIG!$C$4:$C$43,MATCH($K68,CONFIG!$A$4:$A$43,0)),3)))</f>
        <v/>
      </c>
      <c r="V68" s="46" t="n"/>
      <c r="W68" s="23">
        <f>IF($B68="","",IF($V68&lt;&gt;"",$V68-$B68,TODAY()-$B68))</f>
        <v/>
      </c>
      <c r="X68" s="27">
        <f>IF($C68="","",IF(IFERROR(INDEX(CONFIG!$K$4:$K$43,MATCH($S68,CONFIG!$J$4:$J$43,0)),"NO")="SÍ",IF(OR($V68="",$U68=""),"Resuelta",IF($V68&gt;$U68,"Resuelta tarde","Resuelta a tiempo")),IF($U68="","Sin clasificar",IF(TODAY()&gt;$U68,"Vencida",IF(TODAY()&gt;=$U68-1,"Por vencer","En plazo")))))</f>
        <v/>
      </c>
      <c r="Y68" s="49" t="n"/>
      <c r="Z68" s="49" t="n"/>
    </row>
    <row r="69" ht="16" customHeight="1">
      <c r="A69" s="27">
        <f>IF($C69="","","N-"&amp;TEXT(ROW()-3,"0000"))</f>
        <v/>
      </c>
      <c r="B69" s="46" t="n"/>
      <c r="C69" s="47" t="n"/>
      <c r="D69" s="27">
        <f>IF($C69="","",IF(COUNTIFS(ENVIOS!$A$4:$A$3003,$C69)=0,"NO EXISTE",IF(COUNTIFS(ENVIOS!$A$4:$A$3003,$C69)&gt;1,"DUPLICADA","OK")))</f>
        <v/>
      </c>
      <c r="E69" s="22">
        <f>IF($C69="","",IFERROR(INDEX(ENVIOS!$C$4:$C$3003,MATCH($C69,ENVIOS!$A$4:$A$3003,0)),"—"))</f>
        <v/>
      </c>
      <c r="F69" s="22">
        <f>IF($C69="","",IFERROR(INDEX(ENVIOS!$D$4:$D$3003,MATCH($C69,ENVIOS!$A$4:$A$3003,0)),"—"))</f>
        <v/>
      </c>
      <c r="G69" s="22">
        <f>IF($C69="","",IFERROR(INDEX(ENVIOS!$E$4:$E$3003,MATCH($C69,ENVIOS!$A$4:$A$3003,0)),"—"))</f>
        <v/>
      </c>
      <c r="H69" s="22">
        <f>IF($C69="","",IFERROR(INDEX(ENVIOS!$F$4:$F$3003,MATCH($C69,ENVIOS!$A$4:$A$3003,0)),"—"))</f>
        <v/>
      </c>
      <c r="I69" s="27">
        <f>IF($C69="","",IFERROR(INDEX(ENVIOS!$G$4:$G$3003,MATCH($C69,ENVIOS!$A$4:$A$3003,0)),"—"))</f>
        <v/>
      </c>
      <c r="J69" s="48">
        <f>IF($C69="","",IFERROR(INDEX(ENVIOS!$B$4:$B$3003,MATCH($C69,ENVIOS!$A$4:$A$3003,0)),""))</f>
        <v/>
      </c>
      <c r="K69" s="49" t="n"/>
      <c r="L69" s="27">
        <f>IF($K69="","",IFERROR(INDEX(CONFIG!$B$4:$B$43,MATCH($K69,CONFIG!$A$4:$A$43,0)),"Media"))</f>
        <v/>
      </c>
      <c r="M69" s="27">
        <f>IF($K69="","",IFERROR(INDEX(CONFIG!$D$4:$D$43,MATCH($K69,CONFIG!$A$4:$A$43,0)),"NO"))</f>
        <v/>
      </c>
      <c r="N69" s="49" t="n"/>
      <c r="O69" s="27">
        <f>IF($N69="","",IFERROR(INDEX(CONFIG!$G$4:$G$43,MATCH($N69,CONFIG!$F$4:$F$43,0)),"Por definir"))</f>
        <v/>
      </c>
      <c r="P69" s="27">
        <f>IF($N69="","",IFERROR(INDEX(CONFIG!$H$4:$H$43,MATCH($N69,CONFIG!$F$4:$F$43,0)),"Por definir"))</f>
        <v/>
      </c>
      <c r="Q69" s="50" t="n"/>
      <c r="R69" s="51" t="n"/>
      <c r="S69" s="49" t="n"/>
      <c r="T69" s="49" t="n"/>
      <c r="U69" s="48">
        <f>IF(OR($B69="",$K69=""),"",WORKDAY($B69,IFERROR(INDEX(CONFIG!$C$4:$C$43,MATCH($K69,CONFIG!$A$4:$A$43,0)),3)))</f>
        <v/>
      </c>
      <c r="V69" s="46" t="n"/>
      <c r="W69" s="23">
        <f>IF($B69="","",IF($V69&lt;&gt;"",$V69-$B69,TODAY()-$B69))</f>
        <v/>
      </c>
      <c r="X69" s="27">
        <f>IF($C69="","",IF(IFERROR(INDEX(CONFIG!$K$4:$K$43,MATCH($S69,CONFIG!$J$4:$J$43,0)),"NO")="SÍ",IF(OR($V69="",$U69=""),"Resuelta",IF($V69&gt;$U69,"Resuelta tarde","Resuelta a tiempo")),IF($U69="","Sin clasificar",IF(TODAY()&gt;$U69,"Vencida",IF(TODAY()&gt;=$U69-1,"Por vencer","En plazo")))))</f>
        <v/>
      </c>
      <c r="Y69" s="49" t="n"/>
      <c r="Z69" s="49" t="n"/>
    </row>
    <row r="70" ht="16" customHeight="1">
      <c r="A70" s="27">
        <f>IF($C70="","","N-"&amp;TEXT(ROW()-3,"0000"))</f>
        <v/>
      </c>
      <c r="B70" s="46" t="n"/>
      <c r="C70" s="47" t="n"/>
      <c r="D70" s="27">
        <f>IF($C70="","",IF(COUNTIFS(ENVIOS!$A$4:$A$3003,$C70)=0,"NO EXISTE",IF(COUNTIFS(ENVIOS!$A$4:$A$3003,$C70)&gt;1,"DUPLICADA","OK")))</f>
        <v/>
      </c>
      <c r="E70" s="22">
        <f>IF($C70="","",IFERROR(INDEX(ENVIOS!$C$4:$C$3003,MATCH($C70,ENVIOS!$A$4:$A$3003,0)),"—"))</f>
        <v/>
      </c>
      <c r="F70" s="22">
        <f>IF($C70="","",IFERROR(INDEX(ENVIOS!$D$4:$D$3003,MATCH($C70,ENVIOS!$A$4:$A$3003,0)),"—"))</f>
        <v/>
      </c>
      <c r="G70" s="22">
        <f>IF($C70="","",IFERROR(INDEX(ENVIOS!$E$4:$E$3003,MATCH($C70,ENVIOS!$A$4:$A$3003,0)),"—"))</f>
        <v/>
      </c>
      <c r="H70" s="22">
        <f>IF($C70="","",IFERROR(INDEX(ENVIOS!$F$4:$F$3003,MATCH($C70,ENVIOS!$A$4:$A$3003,0)),"—"))</f>
        <v/>
      </c>
      <c r="I70" s="27">
        <f>IF($C70="","",IFERROR(INDEX(ENVIOS!$G$4:$G$3003,MATCH($C70,ENVIOS!$A$4:$A$3003,0)),"—"))</f>
        <v/>
      </c>
      <c r="J70" s="48">
        <f>IF($C70="","",IFERROR(INDEX(ENVIOS!$B$4:$B$3003,MATCH($C70,ENVIOS!$A$4:$A$3003,0)),""))</f>
        <v/>
      </c>
      <c r="K70" s="49" t="n"/>
      <c r="L70" s="27">
        <f>IF($K70="","",IFERROR(INDEX(CONFIG!$B$4:$B$43,MATCH($K70,CONFIG!$A$4:$A$43,0)),"Media"))</f>
        <v/>
      </c>
      <c r="M70" s="27">
        <f>IF($K70="","",IFERROR(INDEX(CONFIG!$D$4:$D$43,MATCH($K70,CONFIG!$A$4:$A$43,0)),"NO"))</f>
        <v/>
      </c>
      <c r="N70" s="49" t="n"/>
      <c r="O70" s="27">
        <f>IF($N70="","",IFERROR(INDEX(CONFIG!$G$4:$G$43,MATCH($N70,CONFIG!$F$4:$F$43,0)),"Por definir"))</f>
        <v/>
      </c>
      <c r="P70" s="27">
        <f>IF($N70="","",IFERROR(INDEX(CONFIG!$H$4:$H$43,MATCH($N70,CONFIG!$F$4:$F$43,0)),"Por definir"))</f>
        <v/>
      </c>
      <c r="Q70" s="50" t="n"/>
      <c r="R70" s="51" t="n"/>
      <c r="S70" s="49" t="n"/>
      <c r="T70" s="49" t="n"/>
      <c r="U70" s="48">
        <f>IF(OR($B70="",$K70=""),"",WORKDAY($B70,IFERROR(INDEX(CONFIG!$C$4:$C$43,MATCH($K70,CONFIG!$A$4:$A$43,0)),3)))</f>
        <v/>
      </c>
      <c r="V70" s="46" t="n"/>
      <c r="W70" s="23">
        <f>IF($B70="","",IF($V70&lt;&gt;"",$V70-$B70,TODAY()-$B70))</f>
        <v/>
      </c>
      <c r="X70" s="27">
        <f>IF($C70="","",IF(IFERROR(INDEX(CONFIG!$K$4:$K$43,MATCH($S70,CONFIG!$J$4:$J$43,0)),"NO")="SÍ",IF(OR($V70="",$U70=""),"Resuelta",IF($V70&gt;$U70,"Resuelta tarde","Resuelta a tiempo")),IF($U70="","Sin clasificar",IF(TODAY()&gt;$U70,"Vencida",IF(TODAY()&gt;=$U70-1,"Por vencer","En plazo")))))</f>
        <v/>
      </c>
      <c r="Y70" s="49" t="n"/>
      <c r="Z70" s="49" t="n"/>
    </row>
    <row r="71" ht="16" customHeight="1">
      <c r="A71" s="27">
        <f>IF($C71="","","N-"&amp;TEXT(ROW()-3,"0000"))</f>
        <v/>
      </c>
      <c r="B71" s="46" t="n"/>
      <c r="C71" s="47" t="n"/>
      <c r="D71" s="27">
        <f>IF($C71="","",IF(COUNTIFS(ENVIOS!$A$4:$A$3003,$C71)=0,"NO EXISTE",IF(COUNTIFS(ENVIOS!$A$4:$A$3003,$C71)&gt;1,"DUPLICADA","OK")))</f>
        <v/>
      </c>
      <c r="E71" s="22">
        <f>IF($C71="","",IFERROR(INDEX(ENVIOS!$C$4:$C$3003,MATCH($C71,ENVIOS!$A$4:$A$3003,0)),"—"))</f>
        <v/>
      </c>
      <c r="F71" s="22">
        <f>IF($C71="","",IFERROR(INDEX(ENVIOS!$D$4:$D$3003,MATCH($C71,ENVIOS!$A$4:$A$3003,0)),"—"))</f>
        <v/>
      </c>
      <c r="G71" s="22">
        <f>IF($C71="","",IFERROR(INDEX(ENVIOS!$E$4:$E$3003,MATCH($C71,ENVIOS!$A$4:$A$3003,0)),"—"))</f>
        <v/>
      </c>
      <c r="H71" s="22">
        <f>IF($C71="","",IFERROR(INDEX(ENVIOS!$F$4:$F$3003,MATCH($C71,ENVIOS!$A$4:$A$3003,0)),"—"))</f>
        <v/>
      </c>
      <c r="I71" s="27">
        <f>IF($C71="","",IFERROR(INDEX(ENVIOS!$G$4:$G$3003,MATCH($C71,ENVIOS!$A$4:$A$3003,0)),"—"))</f>
        <v/>
      </c>
      <c r="J71" s="48">
        <f>IF($C71="","",IFERROR(INDEX(ENVIOS!$B$4:$B$3003,MATCH($C71,ENVIOS!$A$4:$A$3003,0)),""))</f>
        <v/>
      </c>
      <c r="K71" s="49" t="n"/>
      <c r="L71" s="27">
        <f>IF($K71="","",IFERROR(INDEX(CONFIG!$B$4:$B$43,MATCH($K71,CONFIG!$A$4:$A$43,0)),"Media"))</f>
        <v/>
      </c>
      <c r="M71" s="27">
        <f>IF($K71="","",IFERROR(INDEX(CONFIG!$D$4:$D$43,MATCH($K71,CONFIG!$A$4:$A$43,0)),"NO"))</f>
        <v/>
      </c>
      <c r="N71" s="49" t="n"/>
      <c r="O71" s="27">
        <f>IF($N71="","",IFERROR(INDEX(CONFIG!$G$4:$G$43,MATCH($N71,CONFIG!$F$4:$F$43,0)),"Por definir"))</f>
        <v/>
      </c>
      <c r="P71" s="27">
        <f>IF($N71="","",IFERROR(INDEX(CONFIG!$H$4:$H$43,MATCH($N71,CONFIG!$F$4:$F$43,0)),"Por definir"))</f>
        <v/>
      </c>
      <c r="Q71" s="50" t="n"/>
      <c r="R71" s="51" t="n"/>
      <c r="S71" s="49" t="n"/>
      <c r="T71" s="49" t="n"/>
      <c r="U71" s="48">
        <f>IF(OR($B71="",$K71=""),"",WORKDAY($B71,IFERROR(INDEX(CONFIG!$C$4:$C$43,MATCH($K71,CONFIG!$A$4:$A$43,0)),3)))</f>
        <v/>
      </c>
      <c r="V71" s="46" t="n"/>
      <c r="W71" s="23">
        <f>IF($B71="","",IF($V71&lt;&gt;"",$V71-$B71,TODAY()-$B71))</f>
        <v/>
      </c>
      <c r="X71" s="27">
        <f>IF($C71="","",IF(IFERROR(INDEX(CONFIG!$K$4:$K$43,MATCH($S71,CONFIG!$J$4:$J$43,0)),"NO")="SÍ",IF(OR($V71="",$U71=""),"Resuelta",IF($V71&gt;$U71,"Resuelta tarde","Resuelta a tiempo")),IF($U71="","Sin clasificar",IF(TODAY()&gt;$U71,"Vencida",IF(TODAY()&gt;=$U71-1,"Por vencer","En plazo")))))</f>
        <v/>
      </c>
      <c r="Y71" s="49" t="n"/>
      <c r="Z71" s="49" t="n"/>
    </row>
    <row r="72" ht="16" customHeight="1">
      <c r="A72" s="27">
        <f>IF($C72="","","N-"&amp;TEXT(ROW()-3,"0000"))</f>
        <v/>
      </c>
      <c r="B72" s="46" t="n"/>
      <c r="C72" s="47" t="n"/>
      <c r="D72" s="27">
        <f>IF($C72="","",IF(COUNTIFS(ENVIOS!$A$4:$A$3003,$C72)=0,"NO EXISTE",IF(COUNTIFS(ENVIOS!$A$4:$A$3003,$C72)&gt;1,"DUPLICADA","OK")))</f>
        <v/>
      </c>
      <c r="E72" s="22">
        <f>IF($C72="","",IFERROR(INDEX(ENVIOS!$C$4:$C$3003,MATCH($C72,ENVIOS!$A$4:$A$3003,0)),"—"))</f>
        <v/>
      </c>
      <c r="F72" s="22">
        <f>IF($C72="","",IFERROR(INDEX(ENVIOS!$D$4:$D$3003,MATCH($C72,ENVIOS!$A$4:$A$3003,0)),"—"))</f>
        <v/>
      </c>
      <c r="G72" s="22">
        <f>IF($C72="","",IFERROR(INDEX(ENVIOS!$E$4:$E$3003,MATCH($C72,ENVIOS!$A$4:$A$3003,0)),"—"))</f>
        <v/>
      </c>
      <c r="H72" s="22">
        <f>IF($C72="","",IFERROR(INDEX(ENVIOS!$F$4:$F$3003,MATCH($C72,ENVIOS!$A$4:$A$3003,0)),"—"))</f>
        <v/>
      </c>
      <c r="I72" s="27">
        <f>IF($C72="","",IFERROR(INDEX(ENVIOS!$G$4:$G$3003,MATCH($C72,ENVIOS!$A$4:$A$3003,0)),"—"))</f>
        <v/>
      </c>
      <c r="J72" s="48">
        <f>IF($C72="","",IFERROR(INDEX(ENVIOS!$B$4:$B$3003,MATCH($C72,ENVIOS!$A$4:$A$3003,0)),""))</f>
        <v/>
      </c>
      <c r="K72" s="49" t="n"/>
      <c r="L72" s="27">
        <f>IF($K72="","",IFERROR(INDEX(CONFIG!$B$4:$B$43,MATCH($K72,CONFIG!$A$4:$A$43,0)),"Media"))</f>
        <v/>
      </c>
      <c r="M72" s="27">
        <f>IF($K72="","",IFERROR(INDEX(CONFIG!$D$4:$D$43,MATCH($K72,CONFIG!$A$4:$A$43,0)),"NO"))</f>
        <v/>
      </c>
      <c r="N72" s="49" t="n"/>
      <c r="O72" s="27">
        <f>IF($N72="","",IFERROR(INDEX(CONFIG!$G$4:$G$43,MATCH($N72,CONFIG!$F$4:$F$43,0)),"Por definir"))</f>
        <v/>
      </c>
      <c r="P72" s="27">
        <f>IF($N72="","",IFERROR(INDEX(CONFIG!$H$4:$H$43,MATCH($N72,CONFIG!$F$4:$F$43,0)),"Por definir"))</f>
        <v/>
      </c>
      <c r="Q72" s="50" t="n"/>
      <c r="R72" s="51" t="n"/>
      <c r="S72" s="49" t="n"/>
      <c r="T72" s="49" t="n"/>
      <c r="U72" s="48">
        <f>IF(OR($B72="",$K72=""),"",WORKDAY($B72,IFERROR(INDEX(CONFIG!$C$4:$C$43,MATCH($K72,CONFIG!$A$4:$A$43,0)),3)))</f>
        <v/>
      </c>
      <c r="V72" s="46" t="n"/>
      <c r="W72" s="23">
        <f>IF($B72="","",IF($V72&lt;&gt;"",$V72-$B72,TODAY()-$B72))</f>
        <v/>
      </c>
      <c r="X72" s="27">
        <f>IF($C72="","",IF(IFERROR(INDEX(CONFIG!$K$4:$K$43,MATCH($S72,CONFIG!$J$4:$J$43,0)),"NO")="SÍ",IF(OR($V72="",$U72=""),"Resuelta",IF($V72&gt;$U72,"Resuelta tarde","Resuelta a tiempo")),IF($U72="","Sin clasificar",IF(TODAY()&gt;$U72,"Vencida",IF(TODAY()&gt;=$U72-1,"Por vencer","En plazo")))))</f>
        <v/>
      </c>
      <c r="Y72" s="49" t="n"/>
      <c r="Z72" s="49" t="n"/>
    </row>
    <row r="73" ht="16" customHeight="1">
      <c r="A73" s="27">
        <f>IF($C73="","","N-"&amp;TEXT(ROW()-3,"0000"))</f>
        <v/>
      </c>
      <c r="B73" s="46" t="n"/>
      <c r="C73" s="47" t="n"/>
      <c r="D73" s="27">
        <f>IF($C73="","",IF(COUNTIFS(ENVIOS!$A$4:$A$3003,$C73)=0,"NO EXISTE",IF(COUNTIFS(ENVIOS!$A$4:$A$3003,$C73)&gt;1,"DUPLICADA","OK")))</f>
        <v/>
      </c>
      <c r="E73" s="22">
        <f>IF($C73="","",IFERROR(INDEX(ENVIOS!$C$4:$C$3003,MATCH($C73,ENVIOS!$A$4:$A$3003,0)),"—"))</f>
        <v/>
      </c>
      <c r="F73" s="22">
        <f>IF($C73="","",IFERROR(INDEX(ENVIOS!$D$4:$D$3003,MATCH($C73,ENVIOS!$A$4:$A$3003,0)),"—"))</f>
        <v/>
      </c>
      <c r="G73" s="22">
        <f>IF($C73="","",IFERROR(INDEX(ENVIOS!$E$4:$E$3003,MATCH($C73,ENVIOS!$A$4:$A$3003,0)),"—"))</f>
        <v/>
      </c>
      <c r="H73" s="22">
        <f>IF($C73="","",IFERROR(INDEX(ENVIOS!$F$4:$F$3003,MATCH($C73,ENVIOS!$A$4:$A$3003,0)),"—"))</f>
        <v/>
      </c>
      <c r="I73" s="27">
        <f>IF($C73="","",IFERROR(INDEX(ENVIOS!$G$4:$G$3003,MATCH($C73,ENVIOS!$A$4:$A$3003,0)),"—"))</f>
        <v/>
      </c>
      <c r="J73" s="48">
        <f>IF($C73="","",IFERROR(INDEX(ENVIOS!$B$4:$B$3003,MATCH($C73,ENVIOS!$A$4:$A$3003,0)),""))</f>
        <v/>
      </c>
      <c r="K73" s="49" t="n"/>
      <c r="L73" s="27">
        <f>IF($K73="","",IFERROR(INDEX(CONFIG!$B$4:$B$43,MATCH($K73,CONFIG!$A$4:$A$43,0)),"Media"))</f>
        <v/>
      </c>
      <c r="M73" s="27">
        <f>IF($K73="","",IFERROR(INDEX(CONFIG!$D$4:$D$43,MATCH($K73,CONFIG!$A$4:$A$43,0)),"NO"))</f>
        <v/>
      </c>
      <c r="N73" s="49" t="n"/>
      <c r="O73" s="27">
        <f>IF($N73="","",IFERROR(INDEX(CONFIG!$G$4:$G$43,MATCH($N73,CONFIG!$F$4:$F$43,0)),"Por definir"))</f>
        <v/>
      </c>
      <c r="P73" s="27">
        <f>IF($N73="","",IFERROR(INDEX(CONFIG!$H$4:$H$43,MATCH($N73,CONFIG!$F$4:$F$43,0)),"Por definir"))</f>
        <v/>
      </c>
      <c r="Q73" s="50" t="n"/>
      <c r="R73" s="51" t="n"/>
      <c r="S73" s="49" t="n"/>
      <c r="T73" s="49" t="n"/>
      <c r="U73" s="48">
        <f>IF(OR($B73="",$K73=""),"",WORKDAY($B73,IFERROR(INDEX(CONFIG!$C$4:$C$43,MATCH($K73,CONFIG!$A$4:$A$43,0)),3)))</f>
        <v/>
      </c>
      <c r="V73" s="46" t="n"/>
      <c r="W73" s="23">
        <f>IF($B73="","",IF($V73&lt;&gt;"",$V73-$B73,TODAY()-$B73))</f>
        <v/>
      </c>
      <c r="X73" s="27">
        <f>IF($C73="","",IF(IFERROR(INDEX(CONFIG!$K$4:$K$43,MATCH($S73,CONFIG!$J$4:$J$43,0)),"NO")="SÍ",IF(OR($V73="",$U73=""),"Resuelta",IF($V73&gt;$U73,"Resuelta tarde","Resuelta a tiempo")),IF($U73="","Sin clasificar",IF(TODAY()&gt;$U73,"Vencida",IF(TODAY()&gt;=$U73-1,"Por vencer","En plazo")))))</f>
        <v/>
      </c>
      <c r="Y73" s="49" t="n"/>
      <c r="Z73" s="49" t="n"/>
    </row>
    <row r="74" ht="16" customHeight="1">
      <c r="A74" s="27">
        <f>IF($C74="","","N-"&amp;TEXT(ROW()-3,"0000"))</f>
        <v/>
      </c>
      <c r="B74" s="46" t="n"/>
      <c r="C74" s="47" t="n"/>
      <c r="D74" s="27">
        <f>IF($C74="","",IF(COUNTIFS(ENVIOS!$A$4:$A$3003,$C74)=0,"NO EXISTE",IF(COUNTIFS(ENVIOS!$A$4:$A$3003,$C74)&gt;1,"DUPLICADA","OK")))</f>
        <v/>
      </c>
      <c r="E74" s="22">
        <f>IF($C74="","",IFERROR(INDEX(ENVIOS!$C$4:$C$3003,MATCH($C74,ENVIOS!$A$4:$A$3003,0)),"—"))</f>
        <v/>
      </c>
      <c r="F74" s="22">
        <f>IF($C74="","",IFERROR(INDEX(ENVIOS!$D$4:$D$3003,MATCH($C74,ENVIOS!$A$4:$A$3003,0)),"—"))</f>
        <v/>
      </c>
      <c r="G74" s="22">
        <f>IF($C74="","",IFERROR(INDEX(ENVIOS!$E$4:$E$3003,MATCH($C74,ENVIOS!$A$4:$A$3003,0)),"—"))</f>
        <v/>
      </c>
      <c r="H74" s="22">
        <f>IF($C74="","",IFERROR(INDEX(ENVIOS!$F$4:$F$3003,MATCH($C74,ENVIOS!$A$4:$A$3003,0)),"—"))</f>
        <v/>
      </c>
      <c r="I74" s="27">
        <f>IF($C74="","",IFERROR(INDEX(ENVIOS!$G$4:$G$3003,MATCH($C74,ENVIOS!$A$4:$A$3003,0)),"—"))</f>
        <v/>
      </c>
      <c r="J74" s="48">
        <f>IF($C74="","",IFERROR(INDEX(ENVIOS!$B$4:$B$3003,MATCH($C74,ENVIOS!$A$4:$A$3003,0)),""))</f>
        <v/>
      </c>
      <c r="K74" s="49" t="n"/>
      <c r="L74" s="27">
        <f>IF($K74="","",IFERROR(INDEX(CONFIG!$B$4:$B$43,MATCH($K74,CONFIG!$A$4:$A$43,0)),"Media"))</f>
        <v/>
      </c>
      <c r="M74" s="27">
        <f>IF($K74="","",IFERROR(INDEX(CONFIG!$D$4:$D$43,MATCH($K74,CONFIG!$A$4:$A$43,0)),"NO"))</f>
        <v/>
      </c>
      <c r="N74" s="49" t="n"/>
      <c r="O74" s="27">
        <f>IF($N74="","",IFERROR(INDEX(CONFIG!$G$4:$G$43,MATCH($N74,CONFIG!$F$4:$F$43,0)),"Por definir"))</f>
        <v/>
      </c>
      <c r="P74" s="27">
        <f>IF($N74="","",IFERROR(INDEX(CONFIG!$H$4:$H$43,MATCH($N74,CONFIG!$F$4:$F$43,0)),"Por definir"))</f>
        <v/>
      </c>
      <c r="Q74" s="50" t="n"/>
      <c r="R74" s="51" t="n"/>
      <c r="S74" s="49" t="n"/>
      <c r="T74" s="49" t="n"/>
      <c r="U74" s="48">
        <f>IF(OR($B74="",$K74=""),"",WORKDAY($B74,IFERROR(INDEX(CONFIG!$C$4:$C$43,MATCH($K74,CONFIG!$A$4:$A$43,0)),3)))</f>
        <v/>
      </c>
      <c r="V74" s="46" t="n"/>
      <c r="W74" s="23">
        <f>IF($B74="","",IF($V74&lt;&gt;"",$V74-$B74,TODAY()-$B74))</f>
        <v/>
      </c>
      <c r="X74" s="27">
        <f>IF($C74="","",IF(IFERROR(INDEX(CONFIG!$K$4:$K$43,MATCH($S74,CONFIG!$J$4:$J$43,0)),"NO")="SÍ",IF(OR($V74="",$U74=""),"Resuelta",IF($V74&gt;$U74,"Resuelta tarde","Resuelta a tiempo")),IF($U74="","Sin clasificar",IF(TODAY()&gt;$U74,"Vencida",IF(TODAY()&gt;=$U74-1,"Por vencer","En plazo")))))</f>
        <v/>
      </c>
      <c r="Y74" s="49" t="n"/>
      <c r="Z74" s="49" t="n"/>
    </row>
    <row r="75" ht="16" customHeight="1">
      <c r="A75" s="27">
        <f>IF($C75="","","N-"&amp;TEXT(ROW()-3,"0000"))</f>
        <v/>
      </c>
      <c r="B75" s="46" t="n"/>
      <c r="C75" s="47" t="n"/>
      <c r="D75" s="27">
        <f>IF($C75="","",IF(COUNTIFS(ENVIOS!$A$4:$A$3003,$C75)=0,"NO EXISTE",IF(COUNTIFS(ENVIOS!$A$4:$A$3003,$C75)&gt;1,"DUPLICADA","OK")))</f>
        <v/>
      </c>
      <c r="E75" s="22">
        <f>IF($C75="","",IFERROR(INDEX(ENVIOS!$C$4:$C$3003,MATCH($C75,ENVIOS!$A$4:$A$3003,0)),"—"))</f>
        <v/>
      </c>
      <c r="F75" s="22">
        <f>IF($C75="","",IFERROR(INDEX(ENVIOS!$D$4:$D$3003,MATCH($C75,ENVIOS!$A$4:$A$3003,0)),"—"))</f>
        <v/>
      </c>
      <c r="G75" s="22">
        <f>IF($C75="","",IFERROR(INDEX(ENVIOS!$E$4:$E$3003,MATCH($C75,ENVIOS!$A$4:$A$3003,0)),"—"))</f>
        <v/>
      </c>
      <c r="H75" s="22">
        <f>IF($C75="","",IFERROR(INDEX(ENVIOS!$F$4:$F$3003,MATCH($C75,ENVIOS!$A$4:$A$3003,0)),"—"))</f>
        <v/>
      </c>
      <c r="I75" s="27">
        <f>IF($C75="","",IFERROR(INDEX(ENVIOS!$G$4:$G$3003,MATCH($C75,ENVIOS!$A$4:$A$3003,0)),"—"))</f>
        <v/>
      </c>
      <c r="J75" s="48">
        <f>IF($C75="","",IFERROR(INDEX(ENVIOS!$B$4:$B$3003,MATCH($C75,ENVIOS!$A$4:$A$3003,0)),""))</f>
        <v/>
      </c>
      <c r="K75" s="49" t="n"/>
      <c r="L75" s="27">
        <f>IF($K75="","",IFERROR(INDEX(CONFIG!$B$4:$B$43,MATCH($K75,CONFIG!$A$4:$A$43,0)),"Media"))</f>
        <v/>
      </c>
      <c r="M75" s="27">
        <f>IF($K75="","",IFERROR(INDEX(CONFIG!$D$4:$D$43,MATCH($K75,CONFIG!$A$4:$A$43,0)),"NO"))</f>
        <v/>
      </c>
      <c r="N75" s="49" t="n"/>
      <c r="O75" s="27">
        <f>IF($N75="","",IFERROR(INDEX(CONFIG!$G$4:$G$43,MATCH($N75,CONFIG!$F$4:$F$43,0)),"Por definir"))</f>
        <v/>
      </c>
      <c r="P75" s="27">
        <f>IF($N75="","",IFERROR(INDEX(CONFIG!$H$4:$H$43,MATCH($N75,CONFIG!$F$4:$F$43,0)),"Por definir"))</f>
        <v/>
      </c>
      <c r="Q75" s="50" t="n"/>
      <c r="R75" s="51" t="n"/>
      <c r="S75" s="49" t="n"/>
      <c r="T75" s="49" t="n"/>
      <c r="U75" s="48">
        <f>IF(OR($B75="",$K75=""),"",WORKDAY($B75,IFERROR(INDEX(CONFIG!$C$4:$C$43,MATCH($K75,CONFIG!$A$4:$A$43,0)),3)))</f>
        <v/>
      </c>
      <c r="V75" s="46" t="n"/>
      <c r="W75" s="23">
        <f>IF($B75="","",IF($V75&lt;&gt;"",$V75-$B75,TODAY()-$B75))</f>
        <v/>
      </c>
      <c r="X75" s="27">
        <f>IF($C75="","",IF(IFERROR(INDEX(CONFIG!$K$4:$K$43,MATCH($S75,CONFIG!$J$4:$J$43,0)),"NO")="SÍ",IF(OR($V75="",$U75=""),"Resuelta",IF($V75&gt;$U75,"Resuelta tarde","Resuelta a tiempo")),IF($U75="","Sin clasificar",IF(TODAY()&gt;$U75,"Vencida",IF(TODAY()&gt;=$U75-1,"Por vencer","En plazo")))))</f>
        <v/>
      </c>
      <c r="Y75" s="49" t="n"/>
      <c r="Z75" s="49" t="n"/>
    </row>
    <row r="76" ht="16" customHeight="1">
      <c r="A76" s="27">
        <f>IF($C76="","","N-"&amp;TEXT(ROW()-3,"0000"))</f>
        <v/>
      </c>
      <c r="B76" s="46" t="n"/>
      <c r="C76" s="47" t="n"/>
      <c r="D76" s="27">
        <f>IF($C76="","",IF(COUNTIFS(ENVIOS!$A$4:$A$3003,$C76)=0,"NO EXISTE",IF(COUNTIFS(ENVIOS!$A$4:$A$3003,$C76)&gt;1,"DUPLICADA","OK")))</f>
        <v/>
      </c>
      <c r="E76" s="22">
        <f>IF($C76="","",IFERROR(INDEX(ENVIOS!$C$4:$C$3003,MATCH($C76,ENVIOS!$A$4:$A$3003,0)),"—"))</f>
        <v/>
      </c>
      <c r="F76" s="22">
        <f>IF($C76="","",IFERROR(INDEX(ENVIOS!$D$4:$D$3003,MATCH($C76,ENVIOS!$A$4:$A$3003,0)),"—"))</f>
        <v/>
      </c>
      <c r="G76" s="22">
        <f>IF($C76="","",IFERROR(INDEX(ENVIOS!$E$4:$E$3003,MATCH($C76,ENVIOS!$A$4:$A$3003,0)),"—"))</f>
        <v/>
      </c>
      <c r="H76" s="22">
        <f>IF($C76="","",IFERROR(INDEX(ENVIOS!$F$4:$F$3003,MATCH($C76,ENVIOS!$A$4:$A$3003,0)),"—"))</f>
        <v/>
      </c>
      <c r="I76" s="27">
        <f>IF($C76="","",IFERROR(INDEX(ENVIOS!$G$4:$G$3003,MATCH($C76,ENVIOS!$A$4:$A$3003,0)),"—"))</f>
        <v/>
      </c>
      <c r="J76" s="48">
        <f>IF($C76="","",IFERROR(INDEX(ENVIOS!$B$4:$B$3003,MATCH($C76,ENVIOS!$A$4:$A$3003,0)),""))</f>
        <v/>
      </c>
      <c r="K76" s="49" t="n"/>
      <c r="L76" s="27">
        <f>IF($K76="","",IFERROR(INDEX(CONFIG!$B$4:$B$43,MATCH($K76,CONFIG!$A$4:$A$43,0)),"Media"))</f>
        <v/>
      </c>
      <c r="M76" s="27">
        <f>IF($K76="","",IFERROR(INDEX(CONFIG!$D$4:$D$43,MATCH($K76,CONFIG!$A$4:$A$43,0)),"NO"))</f>
        <v/>
      </c>
      <c r="N76" s="49" t="n"/>
      <c r="O76" s="27">
        <f>IF($N76="","",IFERROR(INDEX(CONFIG!$G$4:$G$43,MATCH($N76,CONFIG!$F$4:$F$43,0)),"Por definir"))</f>
        <v/>
      </c>
      <c r="P76" s="27">
        <f>IF($N76="","",IFERROR(INDEX(CONFIG!$H$4:$H$43,MATCH($N76,CONFIG!$F$4:$F$43,0)),"Por definir"))</f>
        <v/>
      </c>
      <c r="Q76" s="50" t="n"/>
      <c r="R76" s="51" t="n"/>
      <c r="S76" s="49" t="n"/>
      <c r="T76" s="49" t="n"/>
      <c r="U76" s="48">
        <f>IF(OR($B76="",$K76=""),"",WORKDAY($B76,IFERROR(INDEX(CONFIG!$C$4:$C$43,MATCH($K76,CONFIG!$A$4:$A$43,0)),3)))</f>
        <v/>
      </c>
      <c r="V76" s="46" t="n"/>
      <c r="W76" s="23">
        <f>IF($B76="","",IF($V76&lt;&gt;"",$V76-$B76,TODAY()-$B76))</f>
        <v/>
      </c>
      <c r="X76" s="27">
        <f>IF($C76="","",IF(IFERROR(INDEX(CONFIG!$K$4:$K$43,MATCH($S76,CONFIG!$J$4:$J$43,0)),"NO")="SÍ",IF(OR($V76="",$U76=""),"Resuelta",IF($V76&gt;$U76,"Resuelta tarde","Resuelta a tiempo")),IF($U76="","Sin clasificar",IF(TODAY()&gt;$U76,"Vencida",IF(TODAY()&gt;=$U76-1,"Por vencer","En plazo")))))</f>
        <v/>
      </c>
      <c r="Y76" s="49" t="n"/>
      <c r="Z76" s="49" t="n"/>
    </row>
    <row r="77" ht="16" customHeight="1">
      <c r="A77" s="27">
        <f>IF($C77="","","N-"&amp;TEXT(ROW()-3,"0000"))</f>
        <v/>
      </c>
      <c r="B77" s="46" t="n"/>
      <c r="C77" s="47" t="n"/>
      <c r="D77" s="27">
        <f>IF($C77="","",IF(COUNTIFS(ENVIOS!$A$4:$A$3003,$C77)=0,"NO EXISTE",IF(COUNTIFS(ENVIOS!$A$4:$A$3003,$C77)&gt;1,"DUPLICADA","OK")))</f>
        <v/>
      </c>
      <c r="E77" s="22">
        <f>IF($C77="","",IFERROR(INDEX(ENVIOS!$C$4:$C$3003,MATCH($C77,ENVIOS!$A$4:$A$3003,0)),"—"))</f>
        <v/>
      </c>
      <c r="F77" s="22">
        <f>IF($C77="","",IFERROR(INDEX(ENVIOS!$D$4:$D$3003,MATCH($C77,ENVIOS!$A$4:$A$3003,0)),"—"))</f>
        <v/>
      </c>
      <c r="G77" s="22">
        <f>IF($C77="","",IFERROR(INDEX(ENVIOS!$E$4:$E$3003,MATCH($C77,ENVIOS!$A$4:$A$3003,0)),"—"))</f>
        <v/>
      </c>
      <c r="H77" s="22">
        <f>IF($C77="","",IFERROR(INDEX(ENVIOS!$F$4:$F$3003,MATCH($C77,ENVIOS!$A$4:$A$3003,0)),"—"))</f>
        <v/>
      </c>
      <c r="I77" s="27">
        <f>IF($C77="","",IFERROR(INDEX(ENVIOS!$G$4:$G$3003,MATCH($C77,ENVIOS!$A$4:$A$3003,0)),"—"))</f>
        <v/>
      </c>
      <c r="J77" s="48">
        <f>IF($C77="","",IFERROR(INDEX(ENVIOS!$B$4:$B$3003,MATCH($C77,ENVIOS!$A$4:$A$3003,0)),""))</f>
        <v/>
      </c>
      <c r="K77" s="49" t="n"/>
      <c r="L77" s="27">
        <f>IF($K77="","",IFERROR(INDEX(CONFIG!$B$4:$B$43,MATCH($K77,CONFIG!$A$4:$A$43,0)),"Media"))</f>
        <v/>
      </c>
      <c r="M77" s="27">
        <f>IF($K77="","",IFERROR(INDEX(CONFIG!$D$4:$D$43,MATCH($K77,CONFIG!$A$4:$A$43,0)),"NO"))</f>
        <v/>
      </c>
      <c r="N77" s="49" t="n"/>
      <c r="O77" s="27">
        <f>IF($N77="","",IFERROR(INDEX(CONFIG!$G$4:$G$43,MATCH($N77,CONFIG!$F$4:$F$43,0)),"Por definir"))</f>
        <v/>
      </c>
      <c r="P77" s="27">
        <f>IF($N77="","",IFERROR(INDEX(CONFIG!$H$4:$H$43,MATCH($N77,CONFIG!$F$4:$F$43,0)),"Por definir"))</f>
        <v/>
      </c>
      <c r="Q77" s="50" t="n"/>
      <c r="R77" s="51" t="n"/>
      <c r="S77" s="49" t="n"/>
      <c r="T77" s="49" t="n"/>
      <c r="U77" s="48">
        <f>IF(OR($B77="",$K77=""),"",WORKDAY($B77,IFERROR(INDEX(CONFIG!$C$4:$C$43,MATCH($K77,CONFIG!$A$4:$A$43,0)),3)))</f>
        <v/>
      </c>
      <c r="V77" s="46" t="n"/>
      <c r="W77" s="23">
        <f>IF($B77="","",IF($V77&lt;&gt;"",$V77-$B77,TODAY()-$B77))</f>
        <v/>
      </c>
      <c r="X77" s="27">
        <f>IF($C77="","",IF(IFERROR(INDEX(CONFIG!$K$4:$K$43,MATCH($S77,CONFIG!$J$4:$J$43,0)),"NO")="SÍ",IF(OR($V77="",$U77=""),"Resuelta",IF($V77&gt;$U77,"Resuelta tarde","Resuelta a tiempo")),IF($U77="","Sin clasificar",IF(TODAY()&gt;$U77,"Vencida",IF(TODAY()&gt;=$U77-1,"Por vencer","En plazo")))))</f>
        <v/>
      </c>
      <c r="Y77" s="49" t="n"/>
      <c r="Z77" s="49" t="n"/>
    </row>
    <row r="78" ht="16" customHeight="1">
      <c r="A78" s="27">
        <f>IF($C78="","","N-"&amp;TEXT(ROW()-3,"0000"))</f>
        <v/>
      </c>
      <c r="B78" s="46" t="n"/>
      <c r="C78" s="47" t="n"/>
      <c r="D78" s="27">
        <f>IF($C78="","",IF(COUNTIFS(ENVIOS!$A$4:$A$3003,$C78)=0,"NO EXISTE",IF(COUNTIFS(ENVIOS!$A$4:$A$3003,$C78)&gt;1,"DUPLICADA","OK")))</f>
        <v/>
      </c>
      <c r="E78" s="22">
        <f>IF($C78="","",IFERROR(INDEX(ENVIOS!$C$4:$C$3003,MATCH($C78,ENVIOS!$A$4:$A$3003,0)),"—"))</f>
        <v/>
      </c>
      <c r="F78" s="22">
        <f>IF($C78="","",IFERROR(INDEX(ENVIOS!$D$4:$D$3003,MATCH($C78,ENVIOS!$A$4:$A$3003,0)),"—"))</f>
        <v/>
      </c>
      <c r="G78" s="22">
        <f>IF($C78="","",IFERROR(INDEX(ENVIOS!$E$4:$E$3003,MATCH($C78,ENVIOS!$A$4:$A$3003,0)),"—"))</f>
        <v/>
      </c>
      <c r="H78" s="22">
        <f>IF($C78="","",IFERROR(INDEX(ENVIOS!$F$4:$F$3003,MATCH($C78,ENVIOS!$A$4:$A$3003,0)),"—"))</f>
        <v/>
      </c>
      <c r="I78" s="27">
        <f>IF($C78="","",IFERROR(INDEX(ENVIOS!$G$4:$G$3003,MATCH($C78,ENVIOS!$A$4:$A$3003,0)),"—"))</f>
        <v/>
      </c>
      <c r="J78" s="48">
        <f>IF($C78="","",IFERROR(INDEX(ENVIOS!$B$4:$B$3003,MATCH($C78,ENVIOS!$A$4:$A$3003,0)),""))</f>
        <v/>
      </c>
      <c r="K78" s="49" t="n"/>
      <c r="L78" s="27">
        <f>IF($K78="","",IFERROR(INDEX(CONFIG!$B$4:$B$43,MATCH($K78,CONFIG!$A$4:$A$43,0)),"Media"))</f>
        <v/>
      </c>
      <c r="M78" s="27">
        <f>IF($K78="","",IFERROR(INDEX(CONFIG!$D$4:$D$43,MATCH($K78,CONFIG!$A$4:$A$43,0)),"NO"))</f>
        <v/>
      </c>
      <c r="N78" s="49" t="n"/>
      <c r="O78" s="27">
        <f>IF($N78="","",IFERROR(INDEX(CONFIG!$G$4:$G$43,MATCH($N78,CONFIG!$F$4:$F$43,0)),"Por definir"))</f>
        <v/>
      </c>
      <c r="P78" s="27">
        <f>IF($N78="","",IFERROR(INDEX(CONFIG!$H$4:$H$43,MATCH($N78,CONFIG!$F$4:$F$43,0)),"Por definir"))</f>
        <v/>
      </c>
      <c r="Q78" s="50" t="n"/>
      <c r="R78" s="51" t="n"/>
      <c r="S78" s="49" t="n"/>
      <c r="T78" s="49" t="n"/>
      <c r="U78" s="48">
        <f>IF(OR($B78="",$K78=""),"",WORKDAY($B78,IFERROR(INDEX(CONFIG!$C$4:$C$43,MATCH($K78,CONFIG!$A$4:$A$43,0)),3)))</f>
        <v/>
      </c>
      <c r="V78" s="46" t="n"/>
      <c r="W78" s="23">
        <f>IF($B78="","",IF($V78&lt;&gt;"",$V78-$B78,TODAY()-$B78))</f>
        <v/>
      </c>
      <c r="X78" s="27">
        <f>IF($C78="","",IF(IFERROR(INDEX(CONFIG!$K$4:$K$43,MATCH($S78,CONFIG!$J$4:$J$43,0)),"NO")="SÍ",IF(OR($V78="",$U78=""),"Resuelta",IF($V78&gt;$U78,"Resuelta tarde","Resuelta a tiempo")),IF($U78="","Sin clasificar",IF(TODAY()&gt;$U78,"Vencida",IF(TODAY()&gt;=$U78-1,"Por vencer","En plazo")))))</f>
        <v/>
      </c>
      <c r="Y78" s="49" t="n"/>
      <c r="Z78" s="49" t="n"/>
    </row>
    <row r="79" ht="16" customHeight="1">
      <c r="A79" s="27">
        <f>IF($C79="","","N-"&amp;TEXT(ROW()-3,"0000"))</f>
        <v/>
      </c>
      <c r="B79" s="46" t="n"/>
      <c r="C79" s="47" t="n"/>
      <c r="D79" s="27">
        <f>IF($C79="","",IF(COUNTIFS(ENVIOS!$A$4:$A$3003,$C79)=0,"NO EXISTE",IF(COUNTIFS(ENVIOS!$A$4:$A$3003,$C79)&gt;1,"DUPLICADA","OK")))</f>
        <v/>
      </c>
      <c r="E79" s="22">
        <f>IF($C79="","",IFERROR(INDEX(ENVIOS!$C$4:$C$3003,MATCH($C79,ENVIOS!$A$4:$A$3003,0)),"—"))</f>
        <v/>
      </c>
      <c r="F79" s="22">
        <f>IF($C79="","",IFERROR(INDEX(ENVIOS!$D$4:$D$3003,MATCH($C79,ENVIOS!$A$4:$A$3003,0)),"—"))</f>
        <v/>
      </c>
      <c r="G79" s="22">
        <f>IF($C79="","",IFERROR(INDEX(ENVIOS!$E$4:$E$3003,MATCH($C79,ENVIOS!$A$4:$A$3003,0)),"—"))</f>
        <v/>
      </c>
      <c r="H79" s="22">
        <f>IF($C79="","",IFERROR(INDEX(ENVIOS!$F$4:$F$3003,MATCH($C79,ENVIOS!$A$4:$A$3003,0)),"—"))</f>
        <v/>
      </c>
      <c r="I79" s="27">
        <f>IF($C79="","",IFERROR(INDEX(ENVIOS!$G$4:$G$3003,MATCH($C79,ENVIOS!$A$4:$A$3003,0)),"—"))</f>
        <v/>
      </c>
      <c r="J79" s="48">
        <f>IF($C79="","",IFERROR(INDEX(ENVIOS!$B$4:$B$3003,MATCH($C79,ENVIOS!$A$4:$A$3003,0)),""))</f>
        <v/>
      </c>
      <c r="K79" s="49" t="n"/>
      <c r="L79" s="27">
        <f>IF($K79="","",IFERROR(INDEX(CONFIG!$B$4:$B$43,MATCH($K79,CONFIG!$A$4:$A$43,0)),"Media"))</f>
        <v/>
      </c>
      <c r="M79" s="27">
        <f>IF($K79="","",IFERROR(INDEX(CONFIG!$D$4:$D$43,MATCH($K79,CONFIG!$A$4:$A$43,0)),"NO"))</f>
        <v/>
      </c>
      <c r="N79" s="49" t="n"/>
      <c r="O79" s="27">
        <f>IF($N79="","",IFERROR(INDEX(CONFIG!$G$4:$G$43,MATCH($N79,CONFIG!$F$4:$F$43,0)),"Por definir"))</f>
        <v/>
      </c>
      <c r="P79" s="27">
        <f>IF($N79="","",IFERROR(INDEX(CONFIG!$H$4:$H$43,MATCH($N79,CONFIG!$F$4:$F$43,0)),"Por definir"))</f>
        <v/>
      </c>
      <c r="Q79" s="50" t="n"/>
      <c r="R79" s="51" t="n"/>
      <c r="S79" s="49" t="n"/>
      <c r="T79" s="49" t="n"/>
      <c r="U79" s="48">
        <f>IF(OR($B79="",$K79=""),"",WORKDAY($B79,IFERROR(INDEX(CONFIG!$C$4:$C$43,MATCH($K79,CONFIG!$A$4:$A$43,0)),3)))</f>
        <v/>
      </c>
      <c r="V79" s="46" t="n"/>
      <c r="W79" s="23">
        <f>IF($B79="","",IF($V79&lt;&gt;"",$V79-$B79,TODAY()-$B79))</f>
        <v/>
      </c>
      <c r="X79" s="27">
        <f>IF($C79="","",IF(IFERROR(INDEX(CONFIG!$K$4:$K$43,MATCH($S79,CONFIG!$J$4:$J$43,0)),"NO")="SÍ",IF(OR($V79="",$U79=""),"Resuelta",IF($V79&gt;$U79,"Resuelta tarde","Resuelta a tiempo")),IF($U79="","Sin clasificar",IF(TODAY()&gt;$U79,"Vencida",IF(TODAY()&gt;=$U79-1,"Por vencer","En plazo")))))</f>
        <v/>
      </c>
      <c r="Y79" s="49" t="n"/>
      <c r="Z79" s="49" t="n"/>
    </row>
    <row r="80" ht="16" customHeight="1">
      <c r="A80" s="27">
        <f>IF($C80="","","N-"&amp;TEXT(ROW()-3,"0000"))</f>
        <v/>
      </c>
      <c r="B80" s="46" t="n"/>
      <c r="C80" s="47" t="n"/>
      <c r="D80" s="27">
        <f>IF($C80="","",IF(COUNTIFS(ENVIOS!$A$4:$A$3003,$C80)=0,"NO EXISTE",IF(COUNTIFS(ENVIOS!$A$4:$A$3003,$C80)&gt;1,"DUPLICADA","OK")))</f>
        <v/>
      </c>
      <c r="E80" s="22">
        <f>IF($C80="","",IFERROR(INDEX(ENVIOS!$C$4:$C$3003,MATCH($C80,ENVIOS!$A$4:$A$3003,0)),"—"))</f>
        <v/>
      </c>
      <c r="F80" s="22">
        <f>IF($C80="","",IFERROR(INDEX(ENVIOS!$D$4:$D$3003,MATCH($C80,ENVIOS!$A$4:$A$3003,0)),"—"))</f>
        <v/>
      </c>
      <c r="G80" s="22">
        <f>IF($C80="","",IFERROR(INDEX(ENVIOS!$E$4:$E$3003,MATCH($C80,ENVIOS!$A$4:$A$3003,0)),"—"))</f>
        <v/>
      </c>
      <c r="H80" s="22">
        <f>IF($C80="","",IFERROR(INDEX(ENVIOS!$F$4:$F$3003,MATCH($C80,ENVIOS!$A$4:$A$3003,0)),"—"))</f>
        <v/>
      </c>
      <c r="I80" s="27">
        <f>IF($C80="","",IFERROR(INDEX(ENVIOS!$G$4:$G$3003,MATCH($C80,ENVIOS!$A$4:$A$3003,0)),"—"))</f>
        <v/>
      </c>
      <c r="J80" s="48">
        <f>IF($C80="","",IFERROR(INDEX(ENVIOS!$B$4:$B$3003,MATCH($C80,ENVIOS!$A$4:$A$3003,0)),""))</f>
        <v/>
      </c>
      <c r="K80" s="49" t="n"/>
      <c r="L80" s="27">
        <f>IF($K80="","",IFERROR(INDEX(CONFIG!$B$4:$B$43,MATCH($K80,CONFIG!$A$4:$A$43,0)),"Media"))</f>
        <v/>
      </c>
      <c r="M80" s="27">
        <f>IF($K80="","",IFERROR(INDEX(CONFIG!$D$4:$D$43,MATCH($K80,CONFIG!$A$4:$A$43,0)),"NO"))</f>
        <v/>
      </c>
      <c r="N80" s="49" t="n"/>
      <c r="O80" s="27">
        <f>IF($N80="","",IFERROR(INDEX(CONFIG!$G$4:$G$43,MATCH($N80,CONFIG!$F$4:$F$43,0)),"Por definir"))</f>
        <v/>
      </c>
      <c r="P80" s="27">
        <f>IF($N80="","",IFERROR(INDEX(CONFIG!$H$4:$H$43,MATCH($N80,CONFIG!$F$4:$F$43,0)),"Por definir"))</f>
        <v/>
      </c>
      <c r="Q80" s="50" t="n"/>
      <c r="R80" s="51" t="n"/>
      <c r="S80" s="49" t="n"/>
      <c r="T80" s="49" t="n"/>
      <c r="U80" s="48">
        <f>IF(OR($B80="",$K80=""),"",WORKDAY($B80,IFERROR(INDEX(CONFIG!$C$4:$C$43,MATCH($K80,CONFIG!$A$4:$A$43,0)),3)))</f>
        <v/>
      </c>
      <c r="V80" s="46" t="n"/>
      <c r="W80" s="23">
        <f>IF($B80="","",IF($V80&lt;&gt;"",$V80-$B80,TODAY()-$B80))</f>
        <v/>
      </c>
      <c r="X80" s="27">
        <f>IF($C80="","",IF(IFERROR(INDEX(CONFIG!$K$4:$K$43,MATCH($S80,CONFIG!$J$4:$J$43,0)),"NO")="SÍ",IF(OR($V80="",$U80=""),"Resuelta",IF($V80&gt;$U80,"Resuelta tarde","Resuelta a tiempo")),IF($U80="","Sin clasificar",IF(TODAY()&gt;$U80,"Vencida",IF(TODAY()&gt;=$U80-1,"Por vencer","En plazo")))))</f>
        <v/>
      </c>
      <c r="Y80" s="49" t="n"/>
      <c r="Z80" s="49" t="n"/>
    </row>
    <row r="81" ht="16" customHeight="1">
      <c r="A81" s="27">
        <f>IF($C81="","","N-"&amp;TEXT(ROW()-3,"0000"))</f>
        <v/>
      </c>
      <c r="B81" s="46" t="n"/>
      <c r="C81" s="47" t="n"/>
      <c r="D81" s="27">
        <f>IF($C81="","",IF(COUNTIFS(ENVIOS!$A$4:$A$3003,$C81)=0,"NO EXISTE",IF(COUNTIFS(ENVIOS!$A$4:$A$3003,$C81)&gt;1,"DUPLICADA","OK")))</f>
        <v/>
      </c>
      <c r="E81" s="22">
        <f>IF($C81="","",IFERROR(INDEX(ENVIOS!$C$4:$C$3003,MATCH($C81,ENVIOS!$A$4:$A$3003,0)),"—"))</f>
        <v/>
      </c>
      <c r="F81" s="22">
        <f>IF($C81="","",IFERROR(INDEX(ENVIOS!$D$4:$D$3003,MATCH($C81,ENVIOS!$A$4:$A$3003,0)),"—"))</f>
        <v/>
      </c>
      <c r="G81" s="22">
        <f>IF($C81="","",IFERROR(INDEX(ENVIOS!$E$4:$E$3003,MATCH($C81,ENVIOS!$A$4:$A$3003,0)),"—"))</f>
        <v/>
      </c>
      <c r="H81" s="22">
        <f>IF($C81="","",IFERROR(INDEX(ENVIOS!$F$4:$F$3003,MATCH($C81,ENVIOS!$A$4:$A$3003,0)),"—"))</f>
        <v/>
      </c>
      <c r="I81" s="27">
        <f>IF($C81="","",IFERROR(INDEX(ENVIOS!$G$4:$G$3003,MATCH($C81,ENVIOS!$A$4:$A$3003,0)),"—"))</f>
        <v/>
      </c>
      <c r="J81" s="48">
        <f>IF($C81="","",IFERROR(INDEX(ENVIOS!$B$4:$B$3003,MATCH($C81,ENVIOS!$A$4:$A$3003,0)),""))</f>
        <v/>
      </c>
      <c r="K81" s="49" t="n"/>
      <c r="L81" s="27">
        <f>IF($K81="","",IFERROR(INDEX(CONFIG!$B$4:$B$43,MATCH($K81,CONFIG!$A$4:$A$43,0)),"Media"))</f>
        <v/>
      </c>
      <c r="M81" s="27">
        <f>IF($K81="","",IFERROR(INDEX(CONFIG!$D$4:$D$43,MATCH($K81,CONFIG!$A$4:$A$43,0)),"NO"))</f>
        <v/>
      </c>
      <c r="N81" s="49" t="n"/>
      <c r="O81" s="27">
        <f>IF($N81="","",IFERROR(INDEX(CONFIG!$G$4:$G$43,MATCH($N81,CONFIG!$F$4:$F$43,0)),"Por definir"))</f>
        <v/>
      </c>
      <c r="P81" s="27">
        <f>IF($N81="","",IFERROR(INDEX(CONFIG!$H$4:$H$43,MATCH($N81,CONFIG!$F$4:$F$43,0)),"Por definir"))</f>
        <v/>
      </c>
      <c r="Q81" s="50" t="n"/>
      <c r="R81" s="51" t="n"/>
      <c r="S81" s="49" t="n"/>
      <c r="T81" s="49" t="n"/>
      <c r="U81" s="48">
        <f>IF(OR($B81="",$K81=""),"",WORKDAY($B81,IFERROR(INDEX(CONFIG!$C$4:$C$43,MATCH($K81,CONFIG!$A$4:$A$43,0)),3)))</f>
        <v/>
      </c>
      <c r="V81" s="46" t="n"/>
      <c r="W81" s="23">
        <f>IF($B81="","",IF($V81&lt;&gt;"",$V81-$B81,TODAY()-$B81))</f>
        <v/>
      </c>
      <c r="X81" s="27">
        <f>IF($C81="","",IF(IFERROR(INDEX(CONFIG!$K$4:$K$43,MATCH($S81,CONFIG!$J$4:$J$43,0)),"NO")="SÍ",IF(OR($V81="",$U81=""),"Resuelta",IF($V81&gt;$U81,"Resuelta tarde","Resuelta a tiempo")),IF($U81="","Sin clasificar",IF(TODAY()&gt;$U81,"Vencida",IF(TODAY()&gt;=$U81-1,"Por vencer","En plazo")))))</f>
        <v/>
      </c>
      <c r="Y81" s="49" t="n"/>
      <c r="Z81" s="49" t="n"/>
    </row>
    <row r="82" ht="16" customHeight="1">
      <c r="A82" s="27">
        <f>IF($C82="","","N-"&amp;TEXT(ROW()-3,"0000"))</f>
        <v/>
      </c>
      <c r="B82" s="46" t="n"/>
      <c r="C82" s="47" t="n"/>
      <c r="D82" s="27">
        <f>IF($C82="","",IF(COUNTIFS(ENVIOS!$A$4:$A$3003,$C82)=0,"NO EXISTE",IF(COUNTIFS(ENVIOS!$A$4:$A$3003,$C82)&gt;1,"DUPLICADA","OK")))</f>
        <v/>
      </c>
      <c r="E82" s="22">
        <f>IF($C82="","",IFERROR(INDEX(ENVIOS!$C$4:$C$3003,MATCH($C82,ENVIOS!$A$4:$A$3003,0)),"—"))</f>
        <v/>
      </c>
      <c r="F82" s="22">
        <f>IF($C82="","",IFERROR(INDEX(ENVIOS!$D$4:$D$3003,MATCH($C82,ENVIOS!$A$4:$A$3003,0)),"—"))</f>
        <v/>
      </c>
      <c r="G82" s="22">
        <f>IF($C82="","",IFERROR(INDEX(ENVIOS!$E$4:$E$3003,MATCH($C82,ENVIOS!$A$4:$A$3003,0)),"—"))</f>
        <v/>
      </c>
      <c r="H82" s="22">
        <f>IF($C82="","",IFERROR(INDEX(ENVIOS!$F$4:$F$3003,MATCH($C82,ENVIOS!$A$4:$A$3003,0)),"—"))</f>
        <v/>
      </c>
      <c r="I82" s="27">
        <f>IF($C82="","",IFERROR(INDEX(ENVIOS!$G$4:$G$3003,MATCH($C82,ENVIOS!$A$4:$A$3003,0)),"—"))</f>
        <v/>
      </c>
      <c r="J82" s="48">
        <f>IF($C82="","",IFERROR(INDEX(ENVIOS!$B$4:$B$3003,MATCH($C82,ENVIOS!$A$4:$A$3003,0)),""))</f>
        <v/>
      </c>
      <c r="K82" s="49" t="n"/>
      <c r="L82" s="27">
        <f>IF($K82="","",IFERROR(INDEX(CONFIG!$B$4:$B$43,MATCH($K82,CONFIG!$A$4:$A$43,0)),"Media"))</f>
        <v/>
      </c>
      <c r="M82" s="27">
        <f>IF($K82="","",IFERROR(INDEX(CONFIG!$D$4:$D$43,MATCH($K82,CONFIG!$A$4:$A$43,0)),"NO"))</f>
        <v/>
      </c>
      <c r="N82" s="49" t="n"/>
      <c r="O82" s="27">
        <f>IF($N82="","",IFERROR(INDEX(CONFIG!$G$4:$G$43,MATCH($N82,CONFIG!$F$4:$F$43,0)),"Por definir"))</f>
        <v/>
      </c>
      <c r="P82" s="27">
        <f>IF($N82="","",IFERROR(INDEX(CONFIG!$H$4:$H$43,MATCH($N82,CONFIG!$F$4:$F$43,0)),"Por definir"))</f>
        <v/>
      </c>
      <c r="Q82" s="50" t="n"/>
      <c r="R82" s="51" t="n"/>
      <c r="S82" s="49" t="n"/>
      <c r="T82" s="49" t="n"/>
      <c r="U82" s="48">
        <f>IF(OR($B82="",$K82=""),"",WORKDAY($B82,IFERROR(INDEX(CONFIG!$C$4:$C$43,MATCH($K82,CONFIG!$A$4:$A$43,0)),3)))</f>
        <v/>
      </c>
      <c r="V82" s="46" t="n"/>
      <c r="W82" s="23">
        <f>IF($B82="","",IF($V82&lt;&gt;"",$V82-$B82,TODAY()-$B82))</f>
        <v/>
      </c>
      <c r="X82" s="27">
        <f>IF($C82="","",IF(IFERROR(INDEX(CONFIG!$K$4:$K$43,MATCH($S82,CONFIG!$J$4:$J$43,0)),"NO")="SÍ",IF(OR($V82="",$U82=""),"Resuelta",IF($V82&gt;$U82,"Resuelta tarde","Resuelta a tiempo")),IF($U82="","Sin clasificar",IF(TODAY()&gt;$U82,"Vencida",IF(TODAY()&gt;=$U82-1,"Por vencer","En plazo")))))</f>
        <v/>
      </c>
      <c r="Y82" s="49" t="n"/>
      <c r="Z82" s="49" t="n"/>
    </row>
    <row r="83" ht="16" customHeight="1">
      <c r="A83" s="27">
        <f>IF($C83="","","N-"&amp;TEXT(ROW()-3,"0000"))</f>
        <v/>
      </c>
      <c r="B83" s="46" t="n"/>
      <c r="C83" s="47" t="n"/>
      <c r="D83" s="27">
        <f>IF($C83="","",IF(COUNTIFS(ENVIOS!$A$4:$A$3003,$C83)=0,"NO EXISTE",IF(COUNTIFS(ENVIOS!$A$4:$A$3003,$C83)&gt;1,"DUPLICADA","OK")))</f>
        <v/>
      </c>
      <c r="E83" s="22">
        <f>IF($C83="","",IFERROR(INDEX(ENVIOS!$C$4:$C$3003,MATCH($C83,ENVIOS!$A$4:$A$3003,0)),"—"))</f>
        <v/>
      </c>
      <c r="F83" s="22">
        <f>IF($C83="","",IFERROR(INDEX(ENVIOS!$D$4:$D$3003,MATCH($C83,ENVIOS!$A$4:$A$3003,0)),"—"))</f>
        <v/>
      </c>
      <c r="G83" s="22">
        <f>IF($C83="","",IFERROR(INDEX(ENVIOS!$E$4:$E$3003,MATCH($C83,ENVIOS!$A$4:$A$3003,0)),"—"))</f>
        <v/>
      </c>
      <c r="H83" s="22">
        <f>IF($C83="","",IFERROR(INDEX(ENVIOS!$F$4:$F$3003,MATCH($C83,ENVIOS!$A$4:$A$3003,0)),"—"))</f>
        <v/>
      </c>
      <c r="I83" s="27">
        <f>IF($C83="","",IFERROR(INDEX(ENVIOS!$G$4:$G$3003,MATCH($C83,ENVIOS!$A$4:$A$3003,0)),"—"))</f>
        <v/>
      </c>
      <c r="J83" s="48">
        <f>IF($C83="","",IFERROR(INDEX(ENVIOS!$B$4:$B$3003,MATCH($C83,ENVIOS!$A$4:$A$3003,0)),""))</f>
        <v/>
      </c>
      <c r="K83" s="49" t="n"/>
      <c r="L83" s="27">
        <f>IF($K83="","",IFERROR(INDEX(CONFIG!$B$4:$B$43,MATCH($K83,CONFIG!$A$4:$A$43,0)),"Media"))</f>
        <v/>
      </c>
      <c r="M83" s="27">
        <f>IF($K83="","",IFERROR(INDEX(CONFIG!$D$4:$D$43,MATCH($K83,CONFIG!$A$4:$A$43,0)),"NO"))</f>
        <v/>
      </c>
      <c r="N83" s="49" t="n"/>
      <c r="O83" s="27">
        <f>IF($N83="","",IFERROR(INDEX(CONFIG!$G$4:$G$43,MATCH($N83,CONFIG!$F$4:$F$43,0)),"Por definir"))</f>
        <v/>
      </c>
      <c r="P83" s="27">
        <f>IF($N83="","",IFERROR(INDEX(CONFIG!$H$4:$H$43,MATCH($N83,CONFIG!$F$4:$F$43,0)),"Por definir"))</f>
        <v/>
      </c>
      <c r="Q83" s="50" t="n"/>
      <c r="R83" s="51" t="n"/>
      <c r="S83" s="49" t="n"/>
      <c r="T83" s="49" t="n"/>
      <c r="U83" s="48">
        <f>IF(OR($B83="",$K83=""),"",WORKDAY($B83,IFERROR(INDEX(CONFIG!$C$4:$C$43,MATCH($K83,CONFIG!$A$4:$A$43,0)),3)))</f>
        <v/>
      </c>
      <c r="V83" s="46" t="n"/>
      <c r="W83" s="23">
        <f>IF($B83="","",IF($V83&lt;&gt;"",$V83-$B83,TODAY()-$B83))</f>
        <v/>
      </c>
      <c r="X83" s="27">
        <f>IF($C83="","",IF(IFERROR(INDEX(CONFIG!$K$4:$K$43,MATCH($S83,CONFIG!$J$4:$J$43,0)),"NO")="SÍ",IF(OR($V83="",$U83=""),"Resuelta",IF($V83&gt;$U83,"Resuelta tarde","Resuelta a tiempo")),IF($U83="","Sin clasificar",IF(TODAY()&gt;$U83,"Vencida",IF(TODAY()&gt;=$U83-1,"Por vencer","En plazo")))))</f>
        <v/>
      </c>
      <c r="Y83" s="49" t="n"/>
      <c r="Z83" s="49" t="n"/>
    </row>
    <row r="84" ht="16" customHeight="1">
      <c r="A84" s="27">
        <f>IF($C84="","","N-"&amp;TEXT(ROW()-3,"0000"))</f>
        <v/>
      </c>
      <c r="B84" s="46" t="n"/>
      <c r="C84" s="47" t="n"/>
      <c r="D84" s="27">
        <f>IF($C84="","",IF(COUNTIFS(ENVIOS!$A$4:$A$3003,$C84)=0,"NO EXISTE",IF(COUNTIFS(ENVIOS!$A$4:$A$3003,$C84)&gt;1,"DUPLICADA","OK")))</f>
        <v/>
      </c>
      <c r="E84" s="22">
        <f>IF($C84="","",IFERROR(INDEX(ENVIOS!$C$4:$C$3003,MATCH($C84,ENVIOS!$A$4:$A$3003,0)),"—"))</f>
        <v/>
      </c>
      <c r="F84" s="22">
        <f>IF($C84="","",IFERROR(INDEX(ENVIOS!$D$4:$D$3003,MATCH($C84,ENVIOS!$A$4:$A$3003,0)),"—"))</f>
        <v/>
      </c>
      <c r="G84" s="22">
        <f>IF($C84="","",IFERROR(INDEX(ENVIOS!$E$4:$E$3003,MATCH($C84,ENVIOS!$A$4:$A$3003,0)),"—"))</f>
        <v/>
      </c>
      <c r="H84" s="22">
        <f>IF($C84="","",IFERROR(INDEX(ENVIOS!$F$4:$F$3003,MATCH($C84,ENVIOS!$A$4:$A$3003,0)),"—"))</f>
        <v/>
      </c>
      <c r="I84" s="27">
        <f>IF($C84="","",IFERROR(INDEX(ENVIOS!$G$4:$G$3003,MATCH($C84,ENVIOS!$A$4:$A$3003,0)),"—"))</f>
        <v/>
      </c>
      <c r="J84" s="48">
        <f>IF($C84="","",IFERROR(INDEX(ENVIOS!$B$4:$B$3003,MATCH($C84,ENVIOS!$A$4:$A$3003,0)),""))</f>
        <v/>
      </c>
      <c r="K84" s="49" t="n"/>
      <c r="L84" s="27">
        <f>IF($K84="","",IFERROR(INDEX(CONFIG!$B$4:$B$43,MATCH($K84,CONFIG!$A$4:$A$43,0)),"Media"))</f>
        <v/>
      </c>
      <c r="M84" s="27">
        <f>IF($K84="","",IFERROR(INDEX(CONFIG!$D$4:$D$43,MATCH($K84,CONFIG!$A$4:$A$43,0)),"NO"))</f>
        <v/>
      </c>
      <c r="N84" s="49" t="n"/>
      <c r="O84" s="27">
        <f>IF($N84="","",IFERROR(INDEX(CONFIG!$G$4:$G$43,MATCH($N84,CONFIG!$F$4:$F$43,0)),"Por definir"))</f>
        <v/>
      </c>
      <c r="P84" s="27">
        <f>IF($N84="","",IFERROR(INDEX(CONFIG!$H$4:$H$43,MATCH($N84,CONFIG!$F$4:$F$43,0)),"Por definir"))</f>
        <v/>
      </c>
      <c r="Q84" s="50" t="n"/>
      <c r="R84" s="51" t="n"/>
      <c r="S84" s="49" t="n"/>
      <c r="T84" s="49" t="n"/>
      <c r="U84" s="48">
        <f>IF(OR($B84="",$K84=""),"",WORKDAY($B84,IFERROR(INDEX(CONFIG!$C$4:$C$43,MATCH($K84,CONFIG!$A$4:$A$43,0)),3)))</f>
        <v/>
      </c>
      <c r="V84" s="46" t="n"/>
      <c r="W84" s="23">
        <f>IF($B84="","",IF($V84&lt;&gt;"",$V84-$B84,TODAY()-$B84))</f>
        <v/>
      </c>
      <c r="X84" s="27">
        <f>IF($C84="","",IF(IFERROR(INDEX(CONFIG!$K$4:$K$43,MATCH($S84,CONFIG!$J$4:$J$43,0)),"NO")="SÍ",IF(OR($V84="",$U84=""),"Resuelta",IF($V84&gt;$U84,"Resuelta tarde","Resuelta a tiempo")),IF($U84="","Sin clasificar",IF(TODAY()&gt;$U84,"Vencida",IF(TODAY()&gt;=$U84-1,"Por vencer","En plazo")))))</f>
        <v/>
      </c>
      <c r="Y84" s="49" t="n"/>
      <c r="Z84" s="49" t="n"/>
    </row>
    <row r="85" ht="16" customHeight="1">
      <c r="A85" s="27">
        <f>IF($C85="","","N-"&amp;TEXT(ROW()-3,"0000"))</f>
        <v/>
      </c>
      <c r="B85" s="46" t="n"/>
      <c r="C85" s="47" t="n"/>
      <c r="D85" s="27">
        <f>IF($C85="","",IF(COUNTIFS(ENVIOS!$A$4:$A$3003,$C85)=0,"NO EXISTE",IF(COUNTIFS(ENVIOS!$A$4:$A$3003,$C85)&gt;1,"DUPLICADA","OK")))</f>
        <v/>
      </c>
      <c r="E85" s="22">
        <f>IF($C85="","",IFERROR(INDEX(ENVIOS!$C$4:$C$3003,MATCH($C85,ENVIOS!$A$4:$A$3003,0)),"—"))</f>
        <v/>
      </c>
      <c r="F85" s="22">
        <f>IF($C85="","",IFERROR(INDEX(ENVIOS!$D$4:$D$3003,MATCH($C85,ENVIOS!$A$4:$A$3003,0)),"—"))</f>
        <v/>
      </c>
      <c r="G85" s="22">
        <f>IF($C85="","",IFERROR(INDEX(ENVIOS!$E$4:$E$3003,MATCH($C85,ENVIOS!$A$4:$A$3003,0)),"—"))</f>
        <v/>
      </c>
      <c r="H85" s="22">
        <f>IF($C85="","",IFERROR(INDEX(ENVIOS!$F$4:$F$3003,MATCH($C85,ENVIOS!$A$4:$A$3003,0)),"—"))</f>
        <v/>
      </c>
      <c r="I85" s="27">
        <f>IF($C85="","",IFERROR(INDEX(ENVIOS!$G$4:$G$3003,MATCH($C85,ENVIOS!$A$4:$A$3003,0)),"—"))</f>
        <v/>
      </c>
      <c r="J85" s="48">
        <f>IF($C85="","",IFERROR(INDEX(ENVIOS!$B$4:$B$3003,MATCH($C85,ENVIOS!$A$4:$A$3003,0)),""))</f>
        <v/>
      </c>
      <c r="K85" s="49" t="n"/>
      <c r="L85" s="27">
        <f>IF($K85="","",IFERROR(INDEX(CONFIG!$B$4:$B$43,MATCH($K85,CONFIG!$A$4:$A$43,0)),"Media"))</f>
        <v/>
      </c>
      <c r="M85" s="27">
        <f>IF($K85="","",IFERROR(INDEX(CONFIG!$D$4:$D$43,MATCH($K85,CONFIG!$A$4:$A$43,0)),"NO"))</f>
        <v/>
      </c>
      <c r="N85" s="49" t="n"/>
      <c r="O85" s="27">
        <f>IF($N85="","",IFERROR(INDEX(CONFIG!$G$4:$G$43,MATCH($N85,CONFIG!$F$4:$F$43,0)),"Por definir"))</f>
        <v/>
      </c>
      <c r="P85" s="27">
        <f>IF($N85="","",IFERROR(INDEX(CONFIG!$H$4:$H$43,MATCH($N85,CONFIG!$F$4:$F$43,0)),"Por definir"))</f>
        <v/>
      </c>
      <c r="Q85" s="50" t="n"/>
      <c r="R85" s="51" t="n"/>
      <c r="S85" s="49" t="n"/>
      <c r="T85" s="49" t="n"/>
      <c r="U85" s="48">
        <f>IF(OR($B85="",$K85=""),"",WORKDAY($B85,IFERROR(INDEX(CONFIG!$C$4:$C$43,MATCH($K85,CONFIG!$A$4:$A$43,0)),3)))</f>
        <v/>
      </c>
      <c r="V85" s="46" t="n"/>
      <c r="W85" s="23">
        <f>IF($B85="","",IF($V85&lt;&gt;"",$V85-$B85,TODAY()-$B85))</f>
        <v/>
      </c>
      <c r="X85" s="27">
        <f>IF($C85="","",IF(IFERROR(INDEX(CONFIG!$K$4:$K$43,MATCH($S85,CONFIG!$J$4:$J$43,0)),"NO")="SÍ",IF(OR($V85="",$U85=""),"Resuelta",IF($V85&gt;$U85,"Resuelta tarde","Resuelta a tiempo")),IF($U85="","Sin clasificar",IF(TODAY()&gt;$U85,"Vencida",IF(TODAY()&gt;=$U85-1,"Por vencer","En plazo")))))</f>
        <v/>
      </c>
      <c r="Y85" s="49" t="n"/>
      <c r="Z85" s="49" t="n"/>
    </row>
    <row r="86" ht="16" customHeight="1">
      <c r="A86" s="27">
        <f>IF($C86="","","N-"&amp;TEXT(ROW()-3,"0000"))</f>
        <v/>
      </c>
      <c r="B86" s="46" t="n"/>
      <c r="C86" s="47" t="n"/>
      <c r="D86" s="27">
        <f>IF($C86="","",IF(COUNTIFS(ENVIOS!$A$4:$A$3003,$C86)=0,"NO EXISTE",IF(COUNTIFS(ENVIOS!$A$4:$A$3003,$C86)&gt;1,"DUPLICADA","OK")))</f>
        <v/>
      </c>
      <c r="E86" s="22">
        <f>IF($C86="","",IFERROR(INDEX(ENVIOS!$C$4:$C$3003,MATCH($C86,ENVIOS!$A$4:$A$3003,0)),"—"))</f>
        <v/>
      </c>
      <c r="F86" s="22">
        <f>IF($C86="","",IFERROR(INDEX(ENVIOS!$D$4:$D$3003,MATCH($C86,ENVIOS!$A$4:$A$3003,0)),"—"))</f>
        <v/>
      </c>
      <c r="G86" s="22">
        <f>IF($C86="","",IFERROR(INDEX(ENVIOS!$E$4:$E$3003,MATCH($C86,ENVIOS!$A$4:$A$3003,0)),"—"))</f>
        <v/>
      </c>
      <c r="H86" s="22">
        <f>IF($C86="","",IFERROR(INDEX(ENVIOS!$F$4:$F$3003,MATCH($C86,ENVIOS!$A$4:$A$3003,0)),"—"))</f>
        <v/>
      </c>
      <c r="I86" s="27">
        <f>IF($C86="","",IFERROR(INDEX(ENVIOS!$G$4:$G$3003,MATCH($C86,ENVIOS!$A$4:$A$3003,0)),"—"))</f>
        <v/>
      </c>
      <c r="J86" s="48">
        <f>IF($C86="","",IFERROR(INDEX(ENVIOS!$B$4:$B$3003,MATCH($C86,ENVIOS!$A$4:$A$3003,0)),""))</f>
        <v/>
      </c>
      <c r="K86" s="49" t="n"/>
      <c r="L86" s="27">
        <f>IF($K86="","",IFERROR(INDEX(CONFIG!$B$4:$B$43,MATCH($K86,CONFIG!$A$4:$A$43,0)),"Media"))</f>
        <v/>
      </c>
      <c r="M86" s="27">
        <f>IF($K86="","",IFERROR(INDEX(CONFIG!$D$4:$D$43,MATCH($K86,CONFIG!$A$4:$A$43,0)),"NO"))</f>
        <v/>
      </c>
      <c r="N86" s="49" t="n"/>
      <c r="O86" s="27">
        <f>IF($N86="","",IFERROR(INDEX(CONFIG!$G$4:$G$43,MATCH($N86,CONFIG!$F$4:$F$43,0)),"Por definir"))</f>
        <v/>
      </c>
      <c r="P86" s="27">
        <f>IF($N86="","",IFERROR(INDEX(CONFIG!$H$4:$H$43,MATCH($N86,CONFIG!$F$4:$F$43,0)),"Por definir"))</f>
        <v/>
      </c>
      <c r="Q86" s="50" t="n"/>
      <c r="R86" s="51" t="n"/>
      <c r="S86" s="49" t="n"/>
      <c r="T86" s="49" t="n"/>
      <c r="U86" s="48">
        <f>IF(OR($B86="",$K86=""),"",WORKDAY($B86,IFERROR(INDEX(CONFIG!$C$4:$C$43,MATCH($K86,CONFIG!$A$4:$A$43,0)),3)))</f>
        <v/>
      </c>
      <c r="V86" s="46" t="n"/>
      <c r="W86" s="23">
        <f>IF($B86="","",IF($V86&lt;&gt;"",$V86-$B86,TODAY()-$B86))</f>
        <v/>
      </c>
      <c r="X86" s="27">
        <f>IF($C86="","",IF(IFERROR(INDEX(CONFIG!$K$4:$K$43,MATCH($S86,CONFIG!$J$4:$J$43,0)),"NO")="SÍ",IF(OR($V86="",$U86=""),"Resuelta",IF($V86&gt;$U86,"Resuelta tarde","Resuelta a tiempo")),IF($U86="","Sin clasificar",IF(TODAY()&gt;$U86,"Vencida",IF(TODAY()&gt;=$U86-1,"Por vencer","En plazo")))))</f>
        <v/>
      </c>
      <c r="Y86" s="49" t="n"/>
      <c r="Z86" s="49" t="n"/>
    </row>
    <row r="87" ht="16" customHeight="1">
      <c r="A87" s="27">
        <f>IF($C87="","","N-"&amp;TEXT(ROW()-3,"0000"))</f>
        <v/>
      </c>
      <c r="B87" s="46" t="n"/>
      <c r="C87" s="47" t="n"/>
      <c r="D87" s="27">
        <f>IF($C87="","",IF(COUNTIFS(ENVIOS!$A$4:$A$3003,$C87)=0,"NO EXISTE",IF(COUNTIFS(ENVIOS!$A$4:$A$3003,$C87)&gt;1,"DUPLICADA","OK")))</f>
        <v/>
      </c>
      <c r="E87" s="22">
        <f>IF($C87="","",IFERROR(INDEX(ENVIOS!$C$4:$C$3003,MATCH($C87,ENVIOS!$A$4:$A$3003,0)),"—"))</f>
        <v/>
      </c>
      <c r="F87" s="22">
        <f>IF($C87="","",IFERROR(INDEX(ENVIOS!$D$4:$D$3003,MATCH($C87,ENVIOS!$A$4:$A$3003,0)),"—"))</f>
        <v/>
      </c>
      <c r="G87" s="22">
        <f>IF($C87="","",IFERROR(INDEX(ENVIOS!$E$4:$E$3003,MATCH($C87,ENVIOS!$A$4:$A$3003,0)),"—"))</f>
        <v/>
      </c>
      <c r="H87" s="22">
        <f>IF($C87="","",IFERROR(INDEX(ENVIOS!$F$4:$F$3003,MATCH($C87,ENVIOS!$A$4:$A$3003,0)),"—"))</f>
        <v/>
      </c>
      <c r="I87" s="27">
        <f>IF($C87="","",IFERROR(INDEX(ENVIOS!$G$4:$G$3003,MATCH($C87,ENVIOS!$A$4:$A$3003,0)),"—"))</f>
        <v/>
      </c>
      <c r="J87" s="48">
        <f>IF($C87="","",IFERROR(INDEX(ENVIOS!$B$4:$B$3003,MATCH($C87,ENVIOS!$A$4:$A$3003,0)),""))</f>
        <v/>
      </c>
      <c r="K87" s="49" t="n"/>
      <c r="L87" s="27">
        <f>IF($K87="","",IFERROR(INDEX(CONFIG!$B$4:$B$43,MATCH($K87,CONFIG!$A$4:$A$43,0)),"Media"))</f>
        <v/>
      </c>
      <c r="M87" s="27">
        <f>IF($K87="","",IFERROR(INDEX(CONFIG!$D$4:$D$43,MATCH($K87,CONFIG!$A$4:$A$43,0)),"NO"))</f>
        <v/>
      </c>
      <c r="N87" s="49" t="n"/>
      <c r="O87" s="27">
        <f>IF($N87="","",IFERROR(INDEX(CONFIG!$G$4:$G$43,MATCH($N87,CONFIG!$F$4:$F$43,0)),"Por definir"))</f>
        <v/>
      </c>
      <c r="P87" s="27">
        <f>IF($N87="","",IFERROR(INDEX(CONFIG!$H$4:$H$43,MATCH($N87,CONFIG!$F$4:$F$43,0)),"Por definir"))</f>
        <v/>
      </c>
      <c r="Q87" s="50" t="n"/>
      <c r="R87" s="51" t="n"/>
      <c r="S87" s="49" t="n"/>
      <c r="T87" s="49" t="n"/>
      <c r="U87" s="48">
        <f>IF(OR($B87="",$K87=""),"",WORKDAY($B87,IFERROR(INDEX(CONFIG!$C$4:$C$43,MATCH($K87,CONFIG!$A$4:$A$43,0)),3)))</f>
        <v/>
      </c>
      <c r="V87" s="46" t="n"/>
      <c r="W87" s="23">
        <f>IF($B87="","",IF($V87&lt;&gt;"",$V87-$B87,TODAY()-$B87))</f>
        <v/>
      </c>
      <c r="X87" s="27">
        <f>IF($C87="","",IF(IFERROR(INDEX(CONFIG!$K$4:$K$43,MATCH($S87,CONFIG!$J$4:$J$43,0)),"NO")="SÍ",IF(OR($V87="",$U87=""),"Resuelta",IF($V87&gt;$U87,"Resuelta tarde","Resuelta a tiempo")),IF($U87="","Sin clasificar",IF(TODAY()&gt;$U87,"Vencida",IF(TODAY()&gt;=$U87-1,"Por vencer","En plazo")))))</f>
        <v/>
      </c>
      <c r="Y87" s="49" t="n"/>
      <c r="Z87" s="49" t="n"/>
    </row>
    <row r="88" ht="16" customHeight="1">
      <c r="A88" s="27">
        <f>IF($C88="","","N-"&amp;TEXT(ROW()-3,"0000"))</f>
        <v/>
      </c>
      <c r="B88" s="46" t="n"/>
      <c r="C88" s="47" t="n"/>
      <c r="D88" s="27">
        <f>IF($C88="","",IF(COUNTIFS(ENVIOS!$A$4:$A$3003,$C88)=0,"NO EXISTE",IF(COUNTIFS(ENVIOS!$A$4:$A$3003,$C88)&gt;1,"DUPLICADA","OK")))</f>
        <v/>
      </c>
      <c r="E88" s="22">
        <f>IF($C88="","",IFERROR(INDEX(ENVIOS!$C$4:$C$3003,MATCH($C88,ENVIOS!$A$4:$A$3003,0)),"—"))</f>
        <v/>
      </c>
      <c r="F88" s="22">
        <f>IF($C88="","",IFERROR(INDEX(ENVIOS!$D$4:$D$3003,MATCH($C88,ENVIOS!$A$4:$A$3003,0)),"—"))</f>
        <v/>
      </c>
      <c r="G88" s="22">
        <f>IF($C88="","",IFERROR(INDEX(ENVIOS!$E$4:$E$3003,MATCH($C88,ENVIOS!$A$4:$A$3003,0)),"—"))</f>
        <v/>
      </c>
      <c r="H88" s="22">
        <f>IF($C88="","",IFERROR(INDEX(ENVIOS!$F$4:$F$3003,MATCH($C88,ENVIOS!$A$4:$A$3003,0)),"—"))</f>
        <v/>
      </c>
      <c r="I88" s="27">
        <f>IF($C88="","",IFERROR(INDEX(ENVIOS!$G$4:$G$3003,MATCH($C88,ENVIOS!$A$4:$A$3003,0)),"—"))</f>
        <v/>
      </c>
      <c r="J88" s="48">
        <f>IF($C88="","",IFERROR(INDEX(ENVIOS!$B$4:$B$3003,MATCH($C88,ENVIOS!$A$4:$A$3003,0)),""))</f>
        <v/>
      </c>
      <c r="K88" s="49" t="n"/>
      <c r="L88" s="27">
        <f>IF($K88="","",IFERROR(INDEX(CONFIG!$B$4:$B$43,MATCH($K88,CONFIG!$A$4:$A$43,0)),"Media"))</f>
        <v/>
      </c>
      <c r="M88" s="27">
        <f>IF($K88="","",IFERROR(INDEX(CONFIG!$D$4:$D$43,MATCH($K88,CONFIG!$A$4:$A$43,0)),"NO"))</f>
        <v/>
      </c>
      <c r="N88" s="49" t="n"/>
      <c r="O88" s="27">
        <f>IF($N88="","",IFERROR(INDEX(CONFIG!$G$4:$G$43,MATCH($N88,CONFIG!$F$4:$F$43,0)),"Por definir"))</f>
        <v/>
      </c>
      <c r="P88" s="27">
        <f>IF($N88="","",IFERROR(INDEX(CONFIG!$H$4:$H$43,MATCH($N88,CONFIG!$F$4:$F$43,0)),"Por definir"))</f>
        <v/>
      </c>
      <c r="Q88" s="50" t="n"/>
      <c r="R88" s="51" t="n"/>
      <c r="S88" s="49" t="n"/>
      <c r="T88" s="49" t="n"/>
      <c r="U88" s="48">
        <f>IF(OR($B88="",$K88=""),"",WORKDAY($B88,IFERROR(INDEX(CONFIG!$C$4:$C$43,MATCH($K88,CONFIG!$A$4:$A$43,0)),3)))</f>
        <v/>
      </c>
      <c r="V88" s="46" t="n"/>
      <c r="W88" s="23">
        <f>IF($B88="","",IF($V88&lt;&gt;"",$V88-$B88,TODAY()-$B88))</f>
        <v/>
      </c>
      <c r="X88" s="27">
        <f>IF($C88="","",IF(IFERROR(INDEX(CONFIG!$K$4:$K$43,MATCH($S88,CONFIG!$J$4:$J$43,0)),"NO")="SÍ",IF(OR($V88="",$U88=""),"Resuelta",IF($V88&gt;$U88,"Resuelta tarde","Resuelta a tiempo")),IF($U88="","Sin clasificar",IF(TODAY()&gt;$U88,"Vencida",IF(TODAY()&gt;=$U88-1,"Por vencer","En plazo")))))</f>
        <v/>
      </c>
      <c r="Y88" s="49" t="n"/>
      <c r="Z88" s="49" t="n"/>
    </row>
    <row r="89" ht="16" customHeight="1">
      <c r="A89" s="27">
        <f>IF($C89="","","N-"&amp;TEXT(ROW()-3,"0000"))</f>
        <v/>
      </c>
      <c r="B89" s="46" t="n"/>
      <c r="C89" s="47" t="n"/>
      <c r="D89" s="27">
        <f>IF($C89="","",IF(COUNTIFS(ENVIOS!$A$4:$A$3003,$C89)=0,"NO EXISTE",IF(COUNTIFS(ENVIOS!$A$4:$A$3003,$C89)&gt;1,"DUPLICADA","OK")))</f>
        <v/>
      </c>
      <c r="E89" s="22">
        <f>IF($C89="","",IFERROR(INDEX(ENVIOS!$C$4:$C$3003,MATCH($C89,ENVIOS!$A$4:$A$3003,0)),"—"))</f>
        <v/>
      </c>
      <c r="F89" s="22">
        <f>IF($C89="","",IFERROR(INDEX(ENVIOS!$D$4:$D$3003,MATCH($C89,ENVIOS!$A$4:$A$3003,0)),"—"))</f>
        <v/>
      </c>
      <c r="G89" s="22">
        <f>IF($C89="","",IFERROR(INDEX(ENVIOS!$E$4:$E$3003,MATCH($C89,ENVIOS!$A$4:$A$3003,0)),"—"))</f>
        <v/>
      </c>
      <c r="H89" s="22">
        <f>IF($C89="","",IFERROR(INDEX(ENVIOS!$F$4:$F$3003,MATCH($C89,ENVIOS!$A$4:$A$3003,0)),"—"))</f>
        <v/>
      </c>
      <c r="I89" s="27">
        <f>IF($C89="","",IFERROR(INDEX(ENVIOS!$G$4:$G$3003,MATCH($C89,ENVIOS!$A$4:$A$3003,0)),"—"))</f>
        <v/>
      </c>
      <c r="J89" s="48">
        <f>IF($C89="","",IFERROR(INDEX(ENVIOS!$B$4:$B$3003,MATCH($C89,ENVIOS!$A$4:$A$3003,0)),""))</f>
        <v/>
      </c>
      <c r="K89" s="49" t="n"/>
      <c r="L89" s="27">
        <f>IF($K89="","",IFERROR(INDEX(CONFIG!$B$4:$B$43,MATCH($K89,CONFIG!$A$4:$A$43,0)),"Media"))</f>
        <v/>
      </c>
      <c r="M89" s="27">
        <f>IF($K89="","",IFERROR(INDEX(CONFIG!$D$4:$D$43,MATCH($K89,CONFIG!$A$4:$A$43,0)),"NO"))</f>
        <v/>
      </c>
      <c r="N89" s="49" t="n"/>
      <c r="O89" s="27">
        <f>IF($N89="","",IFERROR(INDEX(CONFIG!$G$4:$G$43,MATCH($N89,CONFIG!$F$4:$F$43,0)),"Por definir"))</f>
        <v/>
      </c>
      <c r="P89" s="27">
        <f>IF($N89="","",IFERROR(INDEX(CONFIG!$H$4:$H$43,MATCH($N89,CONFIG!$F$4:$F$43,0)),"Por definir"))</f>
        <v/>
      </c>
      <c r="Q89" s="50" t="n"/>
      <c r="R89" s="51" t="n"/>
      <c r="S89" s="49" t="n"/>
      <c r="T89" s="49" t="n"/>
      <c r="U89" s="48">
        <f>IF(OR($B89="",$K89=""),"",WORKDAY($B89,IFERROR(INDEX(CONFIG!$C$4:$C$43,MATCH($K89,CONFIG!$A$4:$A$43,0)),3)))</f>
        <v/>
      </c>
      <c r="V89" s="46" t="n"/>
      <c r="W89" s="23">
        <f>IF($B89="","",IF($V89&lt;&gt;"",$V89-$B89,TODAY()-$B89))</f>
        <v/>
      </c>
      <c r="X89" s="27">
        <f>IF($C89="","",IF(IFERROR(INDEX(CONFIG!$K$4:$K$43,MATCH($S89,CONFIG!$J$4:$J$43,0)),"NO")="SÍ",IF(OR($V89="",$U89=""),"Resuelta",IF($V89&gt;$U89,"Resuelta tarde","Resuelta a tiempo")),IF($U89="","Sin clasificar",IF(TODAY()&gt;$U89,"Vencida",IF(TODAY()&gt;=$U89-1,"Por vencer","En plazo")))))</f>
        <v/>
      </c>
      <c r="Y89" s="49" t="n"/>
      <c r="Z89" s="49" t="n"/>
    </row>
    <row r="90" ht="16" customHeight="1">
      <c r="A90" s="27">
        <f>IF($C90="","","N-"&amp;TEXT(ROW()-3,"0000"))</f>
        <v/>
      </c>
      <c r="B90" s="46" t="n"/>
      <c r="C90" s="47" t="n"/>
      <c r="D90" s="27">
        <f>IF($C90="","",IF(COUNTIFS(ENVIOS!$A$4:$A$3003,$C90)=0,"NO EXISTE",IF(COUNTIFS(ENVIOS!$A$4:$A$3003,$C90)&gt;1,"DUPLICADA","OK")))</f>
        <v/>
      </c>
      <c r="E90" s="22">
        <f>IF($C90="","",IFERROR(INDEX(ENVIOS!$C$4:$C$3003,MATCH($C90,ENVIOS!$A$4:$A$3003,0)),"—"))</f>
        <v/>
      </c>
      <c r="F90" s="22">
        <f>IF($C90="","",IFERROR(INDEX(ENVIOS!$D$4:$D$3003,MATCH($C90,ENVIOS!$A$4:$A$3003,0)),"—"))</f>
        <v/>
      </c>
      <c r="G90" s="22">
        <f>IF($C90="","",IFERROR(INDEX(ENVIOS!$E$4:$E$3003,MATCH($C90,ENVIOS!$A$4:$A$3003,0)),"—"))</f>
        <v/>
      </c>
      <c r="H90" s="22">
        <f>IF($C90="","",IFERROR(INDEX(ENVIOS!$F$4:$F$3003,MATCH($C90,ENVIOS!$A$4:$A$3003,0)),"—"))</f>
        <v/>
      </c>
      <c r="I90" s="27">
        <f>IF($C90="","",IFERROR(INDEX(ENVIOS!$G$4:$G$3003,MATCH($C90,ENVIOS!$A$4:$A$3003,0)),"—"))</f>
        <v/>
      </c>
      <c r="J90" s="48">
        <f>IF($C90="","",IFERROR(INDEX(ENVIOS!$B$4:$B$3003,MATCH($C90,ENVIOS!$A$4:$A$3003,0)),""))</f>
        <v/>
      </c>
      <c r="K90" s="49" t="n"/>
      <c r="L90" s="27">
        <f>IF($K90="","",IFERROR(INDEX(CONFIG!$B$4:$B$43,MATCH($K90,CONFIG!$A$4:$A$43,0)),"Media"))</f>
        <v/>
      </c>
      <c r="M90" s="27">
        <f>IF($K90="","",IFERROR(INDEX(CONFIG!$D$4:$D$43,MATCH($K90,CONFIG!$A$4:$A$43,0)),"NO"))</f>
        <v/>
      </c>
      <c r="N90" s="49" t="n"/>
      <c r="O90" s="27">
        <f>IF($N90="","",IFERROR(INDEX(CONFIG!$G$4:$G$43,MATCH($N90,CONFIG!$F$4:$F$43,0)),"Por definir"))</f>
        <v/>
      </c>
      <c r="P90" s="27">
        <f>IF($N90="","",IFERROR(INDEX(CONFIG!$H$4:$H$43,MATCH($N90,CONFIG!$F$4:$F$43,0)),"Por definir"))</f>
        <v/>
      </c>
      <c r="Q90" s="50" t="n"/>
      <c r="R90" s="51" t="n"/>
      <c r="S90" s="49" t="n"/>
      <c r="T90" s="49" t="n"/>
      <c r="U90" s="48">
        <f>IF(OR($B90="",$K90=""),"",WORKDAY($B90,IFERROR(INDEX(CONFIG!$C$4:$C$43,MATCH($K90,CONFIG!$A$4:$A$43,0)),3)))</f>
        <v/>
      </c>
      <c r="V90" s="46" t="n"/>
      <c r="W90" s="23">
        <f>IF($B90="","",IF($V90&lt;&gt;"",$V90-$B90,TODAY()-$B90))</f>
        <v/>
      </c>
      <c r="X90" s="27">
        <f>IF($C90="","",IF(IFERROR(INDEX(CONFIG!$K$4:$K$43,MATCH($S90,CONFIG!$J$4:$J$43,0)),"NO")="SÍ",IF(OR($V90="",$U90=""),"Resuelta",IF($V90&gt;$U90,"Resuelta tarde","Resuelta a tiempo")),IF($U90="","Sin clasificar",IF(TODAY()&gt;$U90,"Vencida",IF(TODAY()&gt;=$U90-1,"Por vencer","En plazo")))))</f>
        <v/>
      </c>
      <c r="Y90" s="49" t="n"/>
      <c r="Z90" s="49" t="n"/>
    </row>
    <row r="91" ht="16" customHeight="1">
      <c r="A91" s="27">
        <f>IF($C91="","","N-"&amp;TEXT(ROW()-3,"0000"))</f>
        <v/>
      </c>
      <c r="B91" s="46" t="n"/>
      <c r="C91" s="47" t="n"/>
      <c r="D91" s="27">
        <f>IF($C91="","",IF(COUNTIFS(ENVIOS!$A$4:$A$3003,$C91)=0,"NO EXISTE",IF(COUNTIFS(ENVIOS!$A$4:$A$3003,$C91)&gt;1,"DUPLICADA","OK")))</f>
        <v/>
      </c>
      <c r="E91" s="22">
        <f>IF($C91="","",IFERROR(INDEX(ENVIOS!$C$4:$C$3003,MATCH($C91,ENVIOS!$A$4:$A$3003,0)),"—"))</f>
        <v/>
      </c>
      <c r="F91" s="22">
        <f>IF($C91="","",IFERROR(INDEX(ENVIOS!$D$4:$D$3003,MATCH($C91,ENVIOS!$A$4:$A$3003,0)),"—"))</f>
        <v/>
      </c>
      <c r="G91" s="22">
        <f>IF($C91="","",IFERROR(INDEX(ENVIOS!$E$4:$E$3003,MATCH($C91,ENVIOS!$A$4:$A$3003,0)),"—"))</f>
        <v/>
      </c>
      <c r="H91" s="22">
        <f>IF($C91="","",IFERROR(INDEX(ENVIOS!$F$4:$F$3003,MATCH($C91,ENVIOS!$A$4:$A$3003,0)),"—"))</f>
        <v/>
      </c>
      <c r="I91" s="27">
        <f>IF($C91="","",IFERROR(INDEX(ENVIOS!$G$4:$G$3003,MATCH($C91,ENVIOS!$A$4:$A$3003,0)),"—"))</f>
        <v/>
      </c>
      <c r="J91" s="48">
        <f>IF($C91="","",IFERROR(INDEX(ENVIOS!$B$4:$B$3003,MATCH($C91,ENVIOS!$A$4:$A$3003,0)),""))</f>
        <v/>
      </c>
      <c r="K91" s="49" t="n"/>
      <c r="L91" s="27">
        <f>IF($K91="","",IFERROR(INDEX(CONFIG!$B$4:$B$43,MATCH($K91,CONFIG!$A$4:$A$43,0)),"Media"))</f>
        <v/>
      </c>
      <c r="M91" s="27">
        <f>IF($K91="","",IFERROR(INDEX(CONFIG!$D$4:$D$43,MATCH($K91,CONFIG!$A$4:$A$43,0)),"NO"))</f>
        <v/>
      </c>
      <c r="N91" s="49" t="n"/>
      <c r="O91" s="27">
        <f>IF($N91="","",IFERROR(INDEX(CONFIG!$G$4:$G$43,MATCH($N91,CONFIG!$F$4:$F$43,0)),"Por definir"))</f>
        <v/>
      </c>
      <c r="P91" s="27">
        <f>IF($N91="","",IFERROR(INDEX(CONFIG!$H$4:$H$43,MATCH($N91,CONFIG!$F$4:$F$43,0)),"Por definir"))</f>
        <v/>
      </c>
      <c r="Q91" s="50" t="n"/>
      <c r="R91" s="51" t="n"/>
      <c r="S91" s="49" t="n"/>
      <c r="T91" s="49" t="n"/>
      <c r="U91" s="48">
        <f>IF(OR($B91="",$K91=""),"",WORKDAY($B91,IFERROR(INDEX(CONFIG!$C$4:$C$43,MATCH($K91,CONFIG!$A$4:$A$43,0)),3)))</f>
        <v/>
      </c>
      <c r="V91" s="46" t="n"/>
      <c r="W91" s="23">
        <f>IF($B91="","",IF($V91&lt;&gt;"",$V91-$B91,TODAY()-$B91))</f>
        <v/>
      </c>
      <c r="X91" s="27">
        <f>IF($C91="","",IF(IFERROR(INDEX(CONFIG!$K$4:$K$43,MATCH($S91,CONFIG!$J$4:$J$43,0)),"NO")="SÍ",IF(OR($V91="",$U91=""),"Resuelta",IF($V91&gt;$U91,"Resuelta tarde","Resuelta a tiempo")),IF($U91="","Sin clasificar",IF(TODAY()&gt;$U91,"Vencida",IF(TODAY()&gt;=$U91-1,"Por vencer","En plazo")))))</f>
        <v/>
      </c>
      <c r="Y91" s="49" t="n"/>
      <c r="Z91" s="49" t="n"/>
    </row>
    <row r="92" ht="16" customHeight="1">
      <c r="A92" s="27">
        <f>IF($C92="","","N-"&amp;TEXT(ROW()-3,"0000"))</f>
        <v/>
      </c>
      <c r="B92" s="46" t="n"/>
      <c r="C92" s="47" t="n"/>
      <c r="D92" s="27">
        <f>IF($C92="","",IF(COUNTIFS(ENVIOS!$A$4:$A$3003,$C92)=0,"NO EXISTE",IF(COUNTIFS(ENVIOS!$A$4:$A$3003,$C92)&gt;1,"DUPLICADA","OK")))</f>
        <v/>
      </c>
      <c r="E92" s="22">
        <f>IF($C92="","",IFERROR(INDEX(ENVIOS!$C$4:$C$3003,MATCH($C92,ENVIOS!$A$4:$A$3003,0)),"—"))</f>
        <v/>
      </c>
      <c r="F92" s="22">
        <f>IF($C92="","",IFERROR(INDEX(ENVIOS!$D$4:$D$3003,MATCH($C92,ENVIOS!$A$4:$A$3003,0)),"—"))</f>
        <v/>
      </c>
      <c r="G92" s="22">
        <f>IF($C92="","",IFERROR(INDEX(ENVIOS!$E$4:$E$3003,MATCH($C92,ENVIOS!$A$4:$A$3003,0)),"—"))</f>
        <v/>
      </c>
      <c r="H92" s="22">
        <f>IF($C92="","",IFERROR(INDEX(ENVIOS!$F$4:$F$3003,MATCH($C92,ENVIOS!$A$4:$A$3003,0)),"—"))</f>
        <v/>
      </c>
      <c r="I92" s="27">
        <f>IF($C92="","",IFERROR(INDEX(ENVIOS!$G$4:$G$3003,MATCH($C92,ENVIOS!$A$4:$A$3003,0)),"—"))</f>
        <v/>
      </c>
      <c r="J92" s="48">
        <f>IF($C92="","",IFERROR(INDEX(ENVIOS!$B$4:$B$3003,MATCH($C92,ENVIOS!$A$4:$A$3003,0)),""))</f>
        <v/>
      </c>
      <c r="K92" s="49" t="n"/>
      <c r="L92" s="27">
        <f>IF($K92="","",IFERROR(INDEX(CONFIG!$B$4:$B$43,MATCH($K92,CONFIG!$A$4:$A$43,0)),"Media"))</f>
        <v/>
      </c>
      <c r="M92" s="27">
        <f>IF($K92="","",IFERROR(INDEX(CONFIG!$D$4:$D$43,MATCH($K92,CONFIG!$A$4:$A$43,0)),"NO"))</f>
        <v/>
      </c>
      <c r="N92" s="49" t="n"/>
      <c r="O92" s="27">
        <f>IF($N92="","",IFERROR(INDEX(CONFIG!$G$4:$G$43,MATCH($N92,CONFIG!$F$4:$F$43,0)),"Por definir"))</f>
        <v/>
      </c>
      <c r="P92" s="27">
        <f>IF($N92="","",IFERROR(INDEX(CONFIG!$H$4:$H$43,MATCH($N92,CONFIG!$F$4:$F$43,0)),"Por definir"))</f>
        <v/>
      </c>
      <c r="Q92" s="50" t="n"/>
      <c r="R92" s="51" t="n"/>
      <c r="S92" s="49" t="n"/>
      <c r="T92" s="49" t="n"/>
      <c r="U92" s="48">
        <f>IF(OR($B92="",$K92=""),"",WORKDAY($B92,IFERROR(INDEX(CONFIG!$C$4:$C$43,MATCH($K92,CONFIG!$A$4:$A$43,0)),3)))</f>
        <v/>
      </c>
      <c r="V92" s="46" t="n"/>
      <c r="W92" s="23">
        <f>IF($B92="","",IF($V92&lt;&gt;"",$V92-$B92,TODAY()-$B92))</f>
        <v/>
      </c>
      <c r="X92" s="27">
        <f>IF($C92="","",IF(IFERROR(INDEX(CONFIG!$K$4:$K$43,MATCH($S92,CONFIG!$J$4:$J$43,0)),"NO")="SÍ",IF(OR($V92="",$U92=""),"Resuelta",IF($V92&gt;$U92,"Resuelta tarde","Resuelta a tiempo")),IF($U92="","Sin clasificar",IF(TODAY()&gt;$U92,"Vencida",IF(TODAY()&gt;=$U92-1,"Por vencer","En plazo")))))</f>
        <v/>
      </c>
      <c r="Y92" s="49" t="n"/>
      <c r="Z92" s="49" t="n"/>
    </row>
    <row r="93" ht="16" customHeight="1">
      <c r="A93" s="27">
        <f>IF($C93="","","N-"&amp;TEXT(ROW()-3,"0000"))</f>
        <v/>
      </c>
      <c r="B93" s="46" t="n"/>
      <c r="C93" s="47" t="n"/>
      <c r="D93" s="27">
        <f>IF($C93="","",IF(COUNTIFS(ENVIOS!$A$4:$A$3003,$C93)=0,"NO EXISTE",IF(COUNTIFS(ENVIOS!$A$4:$A$3003,$C93)&gt;1,"DUPLICADA","OK")))</f>
        <v/>
      </c>
      <c r="E93" s="22">
        <f>IF($C93="","",IFERROR(INDEX(ENVIOS!$C$4:$C$3003,MATCH($C93,ENVIOS!$A$4:$A$3003,0)),"—"))</f>
        <v/>
      </c>
      <c r="F93" s="22">
        <f>IF($C93="","",IFERROR(INDEX(ENVIOS!$D$4:$D$3003,MATCH($C93,ENVIOS!$A$4:$A$3003,0)),"—"))</f>
        <v/>
      </c>
      <c r="G93" s="22">
        <f>IF($C93="","",IFERROR(INDEX(ENVIOS!$E$4:$E$3003,MATCH($C93,ENVIOS!$A$4:$A$3003,0)),"—"))</f>
        <v/>
      </c>
      <c r="H93" s="22">
        <f>IF($C93="","",IFERROR(INDEX(ENVIOS!$F$4:$F$3003,MATCH($C93,ENVIOS!$A$4:$A$3003,0)),"—"))</f>
        <v/>
      </c>
      <c r="I93" s="27">
        <f>IF($C93="","",IFERROR(INDEX(ENVIOS!$G$4:$G$3003,MATCH($C93,ENVIOS!$A$4:$A$3003,0)),"—"))</f>
        <v/>
      </c>
      <c r="J93" s="48">
        <f>IF($C93="","",IFERROR(INDEX(ENVIOS!$B$4:$B$3003,MATCH($C93,ENVIOS!$A$4:$A$3003,0)),""))</f>
        <v/>
      </c>
      <c r="K93" s="49" t="n"/>
      <c r="L93" s="27">
        <f>IF($K93="","",IFERROR(INDEX(CONFIG!$B$4:$B$43,MATCH($K93,CONFIG!$A$4:$A$43,0)),"Media"))</f>
        <v/>
      </c>
      <c r="M93" s="27">
        <f>IF($K93="","",IFERROR(INDEX(CONFIG!$D$4:$D$43,MATCH($K93,CONFIG!$A$4:$A$43,0)),"NO"))</f>
        <v/>
      </c>
      <c r="N93" s="49" t="n"/>
      <c r="O93" s="27">
        <f>IF($N93="","",IFERROR(INDEX(CONFIG!$G$4:$G$43,MATCH($N93,CONFIG!$F$4:$F$43,0)),"Por definir"))</f>
        <v/>
      </c>
      <c r="P93" s="27">
        <f>IF($N93="","",IFERROR(INDEX(CONFIG!$H$4:$H$43,MATCH($N93,CONFIG!$F$4:$F$43,0)),"Por definir"))</f>
        <v/>
      </c>
      <c r="Q93" s="50" t="n"/>
      <c r="R93" s="51" t="n"/>
      <c r="S93" s="49" t="n"/>
      <c r="T93" s="49" t="n"/>
      <c r="U93" s="48">
        <f>IF(OR($B93="",$K93=""),"",WORKDAY($B93,IFERROR(INDEX(CONFIG!$C$4:$C$43,MATCH($K93,CONFIG!$A$4:$A$43,0)),3)))</f>
        <v/>
      </c>
      <c r="V93" s="46" t="n"/>
      <c r="W93" s="23">
        <f>IF($B93="","",IF($V93&lt;&gt;"",$V93-$B93,TODAY()-$B93))</f>
        <v/>
      </c>
      <c r="X93" s="27">
        <f>IF($C93="","",IF(IFERROR(INDEX(CONFIG!$K$4:$K$43,MATCH($S93,CONFIG!$J$4:$J$43,0)),"NO")="SÍ",IF(OR($V93="",$U93=""),"Resuelta",IF($V93&gt;$U93,"Resuelta tarde","Resuelta a tiempo")),IF($U93="","Sin clasificar",IF(TODAY()&gt;$U93,"Vencida",IF(TODAY()&gt;=$U93-1,"Por vencer","En plazo")))))</f>
        <v/>
      </c>
      <c r="Y93" s="49" t="n"/>
      <c r="Z93" s="49" t="n"/>
    </row>
    <row r="94" ht="16" customHeight="1">
      <c r="A94" s="27">
        <f>IF($C94="","","N-"&amp;TEXT(ROW()-3,"0000"))</f>
        <v/>
      </c>
      <c r="B94" s="46" t="n"/>
      <c r="C94" s="47" t="n"/>
      <c r="D94" s="27">
        <f>IF($C94="","",IF(COUNTIFS(ENVIOS!$A$4:$A$3003,$C94)=0,"NO EXISTE",IF(COUNTIFS(ENVIOS!$A$4:$A$3003,$C94)&gt;1,"DUPLICADA","OK")))</f>
        <v/>
      </c>
      <c r="E94" s="22">
        <f>IF($C94="","",IFERROR(INDEX(ENVIOS!$C$4:$C$3003,MATCH($C94,ENVIOS!$A$4:$A$3003,0)),"—"))</f>
        <v/>
      </c>
      <c r="F94" s="22">
        <f>IF($C94="","",IFERROR(INDEX(ENVIOS!$D$4:$D$3003,MATCH($C94,ENVIOS!$A$4:$A$3003,0)),"—"))</f>
        <v/>
      </c>
      <c r="G94" s="22">
        <f>IF($C94="","",IFERROR(INDEX(ENVIOS!$E$4:$E$3003,MATCH($C94,ENVIOS!$A$4:$A$3003,0)),"—"))</f>
        <v/>
      </c>
      <c r="H94" s="22">
        <f>IF($C94="","",IFERROR(INDEX(ENVIOS!$F$4:$F$3003,MATCH($C94,ENVIOS!$A$4:$A$3003,0)),"—"))</f>
        <v/>
      </c>
      <c r="I94" s="27">
        <f>IF($C94="","",IFERROR(INDEX(ENVIOS!$G$4:$G$3003,MATCH($C94,ENVIOS!$A$4:$A$3003,0)),"—"))</f>
        <v/>
      </c>
      <c r="J94" s="48">
        <f>IF($C94="","",IFERROR(INDEX(ENVIOS!$B$4:$B$3003,MATCH($C94,ENVIOS!$A$4:$A$3003,0)),""))</f>
        <v/>
      </c>
      <c r="K94" s="49" t="n"/>
      <c r="L94" s="27">
        <f>IF($K94="","",IFERROR(INDEX(CONFIG!$B$4:$B$43,MATCH($K94,CONFIG!$A$4:$A$43,0)),"Media"))</f>
        <v/>
      </c>
      <c r="M94" s="27">
        <f>IF($K94="","",IFERROR(INDEX(CONFIG!$D$4:$D$43,MATCH($K94,CONFIG!$A$4:$A$43,0)),"NO"))</f>
        <v/>
      </c>
      <c r="N94" s="49" t="n"/>
      <c r="O94" s="27">
        <f>IF($N94="","",IFERROR(INDEX(CONFIG!$G$4:$G$43,MATCH($N94,CONFIG!$F$4:$F$43,0)),"Por definir"))</f>
        <v/>
      </c>
      <c r="P94" s="27">
        <f>IF($N94="","",IFERROR(INDEX(CONFIG!$H$4:$H$43,MATCH($N94,CONFIG!$F$4:$F$43,0)),"Por definir"))</f>
        <v/>
      </c>
      <c r="Q94" s="50" t="n"/>
      <c r="R94" s="51" t="n"/>
      <c r="S94" s="49" t="n"/>
      <c r="T94" s="49" t="n"/>
      <c r="U94" s="48">
        <f>IF(OR($B94="",$K94=""),"",WORKDAY($B94,IFERROR(INDEX(CONFIG!$C$4:$C$43,MATCH($K94,CONFIG!$A$4:$A$43,0)),3)))</f>
        <v/>
      </c>
      <c r="V94" s="46" t="n"/>
      <c r="W94" s="23">
        <f>IF($B94="","",IF($V94&lt;&gt;"",$V94-$B94,TODAY()-$B94))</f>
        <v/>
      </c>
      <c r="X94" s="27">
        <f>IF($C94="","",IF(IFERROR(INDEX(CONFIG!$K$4:$K$43,MATCH($S94,CONFIG!$J$4:$J$43,0)),"NO")="SÍ",IF(OR($V94="",$U94=""),"Resuelta",IF($V94&gt;$U94,"Resuelta tarde","Resuelta a tiempo")),IF($U94="","Sin clasificar",IF(TODAY()&gt;$U94,"Vencida",IF(TODAY()&gt;=$U94-1,"Por vencer","En plazo")))))</f>
        <v/>
      </c>
      <c r="Y94" s="49" t="n"/>
      <c r="Z94" s="49" t="n"/>
    </row>
    <row r="95" ht="16" customHeight="1">
      <c r="A95" s="27">
        <f>IF($C95="","","N-"&amp;TEXT(ROW()-3,"0000"))</f>
        <v/>
      </c>
      <c r="B95" s="46" t="n"/>
      <c r="C95" s="47" t="n"/>
      <c r="D95" s="27">
        <f>IF($C95="","",IF(COUNTIFS(ENVIOS!$A$4:$A$3003,$C95)=0,"NO EXISTE",IF(COUNTIFS(ENVIOS!$A$4:$A$3003,$C95)&gt;1,"DUPLICADA","OK")))</f>
        <v/>
      </c>
      <c r="E95" s="22">
        <f>IF($C95="","",IFERROR(INDEX(ENVIOS!$C$4:$C$3003,MATCH($C95,ENVIOS!$A$4:$A$3003,0)),"—"))</f>
        <v/>
      </c>
      <c r="F95" s="22">
        <f>IF($C95="","",IFERROR(INDEX(ENVIOS!$D$4:$D$3003,MATCH($C95,ENVIOS!$A$4:$A$3003,0)),"—"))</f>
        <v/>
      </c>
      <c r="G95" s="22">
        <f>IF($C95="","",IFERROR(INDEX(ENVIOS!$E$4:$E$3003,MATCH($C95,ENVIOS!$A$4:$A$3003,0)),"—"))</f>
        <v/>
      </c>
      <c r="H95" s="22">
        <f>IF($C95="","",IFERROR(INDEX(ENVIOS!$F$4:$F$3003,MATCH($C95,ENVIOS!$A$4:$A$3003,0)),"—"))</f>
        <v/>
      </c>
      <c r="I95" s="27">
        <f>IF($C95="","",IFERROR(INDEX(ENVIOS!$G$4:$G$3003,MATCH($C95,ENVIOS!$A$4:$A$3003,0)),"—"))</f>
        <v/>
      </c>
      <c r="J95" s="48">
        <f>IF($C95="","",IFERROR(INDEX(ENVIOS!$B$4:$B$3003,MATCH($C95,ENVIOS!$A$4:$A$3003,0)),""))</f>
        <v/>
      </c>
      <c r="K95" s="49" t="n"/>
      <c r="L95" s="27">
        <f>IF($K95="","",IFERROR(INDEX(CONFIG!$B$4:$B$43,MATCH($K95,CONFIG!$A$4:$A$43,0)),"Media"))</f>
        <v/>
      </c>
      <c r="M95" s="27">
        <f>IF($K95="","",IFERROR(INDEX(CONFIG!$D$4:$D$43,MATCH($K95,CONFIG!$A$4:$A$43,0)),"NO"))</f>
        <v/>
      </c>
      <c r="N95" s="49" t="n"/>
      <c r="O95" s="27">
        <f>IF($N95="","",IFERROR(INDEX(CONFIG!$G$4:$G$43,MATCH($N95,CONFIG!$F$4:$F$43,0)),"Por definir"))</f>
        <v/>
      </c>
      <c r="P95" s="27">
        <f>IF($N95="","",IFERROR(INDEX(CONFIG!$H$4:$H$43,MATCH($N95,CONFIG!$F$4:$F$43,0)),"Por definir"))</f>
        <v/>
      </c>
      <c r="Q95" s="50" t="n"/>
      <c r="R95" s="51" t="n"/>
      <c r="S95" s="49" t="n"/>
      <c r="T95" s="49" t="n"/>
      <c r="U95" s="48">
        <f>IF(OR($B95="",$K95=""),"",WORKDAY($B95,IFERROR(INDEX(CONFIG!$C$4:$C$43,MATCH($K95,CONFIG!$A$4:$A$43,0)),3)))</f>
        <v/>
      </c>
      <c r="V95" s="46" t="n"/>
      <c r="W95" s="23">
        <f>IF($B95="","",IF($V95&lt;&gt;"",$V95-$B95,TODAY()-$B95))</f>
        <v/>
      </c>
      <c r="X95" s="27">
        <f>IF($C95="","",IF(IFERROR(INDEX(CONFIG!$K$4:$K$43,MATCH($S95,CONFIG!$J$4:$J$43,0)),"NO")="SÍ",IF(OR($V95="",$U95=""),"Resuelta",IF($V95&gt;$U95,"Resuelta tarde","Resuelta a tiempo")),IF($U95="","Sin clasificar",IF(TODAY()&gt;$U95,"Vencida",IF(TODAY()&gt;=$U95-1,"Por vencer","En plazo")))))</f>
        <v/>
      </c>
      <c r="Y95" s="49" t="n"/>
      <c r="Z95" s="49" t="n"/>
    </row>
    <row r="96" ht="16" customHeight="1">
      <c r="A96" s="27">
        <f>IF($C96="","","N-"&amp;TEXT(ROW()-3,"0000"))</f>
        <v/>
      </c>
      <c r="B96" s="46" t="n"/>
      <c r="C96" s="47" t="n"/>
      <c r="D96" s="27">
        <f>IF($C96="","",IF(COUNTIFS(ENVIOS!$A$4:$A$3003,$C96)=0,"NO EXISTE",IF(COUNTIFS(ENVIOS!$A$4:$A$3003,$C96)&gt;1,"DUPLICADA","OK")))</f>
        <v/>
      </c>
      <c r="E96" s="22">
        <f>IF($C96="","",IFERROR(INDEX(ENVIOS!$C$4:$C$3003,MATCH($C96,ENVIOS!$A$4:$A$3003,0)),"—"))</f>
        <v/>
      </c>
      <c r="F96" s="22">
        <f>IF($C96="","",IFERROR(INDEX(ENVIOS!$D$4:$D$3003,MATCH($C96,ENVIOS!$A$4:$A$3003,0)),"—"))</f>
        <v/>
      </c>
      <c r="G96" s="22">
        <f>IF($C96="","",IFERROR(INDEX(ENVIOS!$E$4:$E$3003,MATCH($C96,ENVIOS!$A$4:$A$3003,0)),"—"))</f>
        <v/>
      </c>
      <c r="H96" s="22">
        <f>IF($C96="","",IFERROR(INDEX(ENVIOS!$F$4:$F$3003,MATCH($C96,ENVIOS!$A$4:$A$3003,0)),"—"))</f>
        <v/>
      </c>
      <c r="I96" s="27">
        <f>IF($C96="","",IFERROR(INDEX(ENVIOS!$G$4:$G$3003,MATCH($C96,ENVIOS!$A$4:$A$3003,0)),"—"))</f>
        <v/>
      </c>
      <c r="J96" s="48">
        <f>IF($C96="","",IFERROR(INDEX(ENVIOS!$B$4:$B$3003,MATCH($C96,ENVIOS!$A$4:$A$3003,0)),""))</f>
        <v/>
      </c>
      <c r="K96" s="49" t="n"/>
      <c r="L96" s="27">
        <f>IF($K96="","",IFERROR(INDEX(CONFIG!$B$4:$B$43,MATCH($K96,CONFIG!$A$4:$A$43,0)),"Media"))</f>
        <v/>
      </c>
      <c r="M96" s="27">
        <f>IF($K96="","",IFERROR(INDEX(CONFIG!$D$4:$D$43,MATCH($K96,CONFIG!$A$4:$A$43,0)),"NO"))</f>
        <v/>
      </c>
      <c r="N96" s="49" t="n"/>
      <c r="O96" s="27">
        <f>IF($N96="","",IFERROR(INDEX(CONFIG!$G$4:$G$43,MATCH($N96,CONFIG!$F$4:$F$43,0)),"Por definir"))</f>
        <v/>
      </c>
      <c r="P96" s="27">
        <f>IF($N96="","",IFERROR(INDEX(CONFIG!$H$4:$H$43,MATCH($N96,CONFIG!$F$4:$F$43,0)),"Por definir"))</f>
        <v/>
      </c>
      <c r="Q96" s="50" t="n"/>
      <c r="R96" s="51" t="n"/>
      <c r="S96" s="49" t="n"/>
      <c r="T96" s="49" t="n"/>
      <c r="U96" s="48">
        <f>IF(OR($B96="",$K96=""),"",WORKDAY($B96,IFERROR(INDEX(CONFIG!$C$4:$C$43,MATCH($K96,CONFIG!$A$4:$A$43,0)),3)))</f>
        <v/>
      </c>
      <c r="V96" s="46" t="n"/>
      <c r="W96" s="23">
        <f>IF($B96="","",IF($V96&lt;&gt;"",$V96-$B96,TODAY()-$B96))</f>
        <v/>
      </c>
      <c r="X96" s="27">
        <f>IF($C96="","",IF(IFERROR(INDEX(CONFIG!$K$4:$K$43,MATCH($S96,CONFIG!$J$4:$J$43,0)),"NO")="SÍ",IF(OR($V96="",$U96=""),"Resuelta",IF($V96&gt;$U96,"Resuelta tarde","Resuelta a tiempo")),IF($U96="","Sin clasificar",IF(TODAY()&gt;$U96,"Vencida",IF(TODAY()&gt;=$U96-1,"Por vencer","En plazo")))))</f>
        <v/>
      </c>
      <c r="Y96" s="49" t="n"/>
      <c r="Z96" s="49" t="n"/>
    </row>
    <row r="97" ht="16" customHeight="1">
      <c r="A97" s="27">
        <f>IF($C97="","","N-"&amp;TEXT(ROW()-3,"0000"))</f>
        <v/>
      </c>
      <c r="B97" s="46" t="n"/>
      <c r="C97" s="47" t="n"/>
      <c r="D97" s="27">
        <f>IF($C97="","",IF(COUNTIFS(ENVIOS!$A$4:$A$3003,$C97)=0,"NO EXISTE",IF(COUNTIFS(ENVIOS!$A$4:$A$3003,$C97)&gt;1,"DUPLICADA","OK")))</f>
        <v/>
      </c>
      <c r="E97" s="22">
        <f>IF($C97="","",IFERROR(INDEX(ENVIOS!$C$4:$C$3003,MATCH($C97,ENVIOS!$A$4:$A$3003,0)),"—"))</f>
        <v/>
      </c>
      <c r="F97" s="22">
        <f>IF($C97="","",IFERROR(INDEX(ENVIOS!$D$4:$D$3003,MATCH($C97,ENVIOS!$A$4:$A$3003,0)),"—"))</f>
        <v/>
      </c>
      <c r="G97" s="22">
        <f>IF($C97="","",IFERROR(INDEX(ENVIOS!$E$4:$E$3003,MATCH($C97,ENVIOS!$A$4:$A$3003,0)),"—"))</f>
        <v/>
      </c>
      <c r="H97" s="22">
        <f>IF($C97="","",IFERROR(INDEX(ENVIOS!$F$4:$F$3003,MATCH($C97,ENVIOS!$A$4:$A$3003,0)),"—"))</f>
        <v/>
      </c>
      <c r="I97" s="27">
        <f>IF($C97="","",IFERROR(INDEX(ENVIOS!$G$4:$G$3003,MATCH($C97,ENVIOS!$A$4:$A$3003,0)),"—"))</f>
        <v/>
      </c>
      <c r="J97" s="48">
        <f>IF($C97="","",IFERROR(INDEX(ENVIOS!$B$4:$B$3003,MATCH($C97,ENVIOS!$A$4:$A$3003,0)),""))</f>
        <v/>
      </c>
      <c r="K97" s="49" t="n"/>
      <c r="L97" s="27">
        <f>IF($K97="","",IFERROR(INDEX(CONFIG!$B$4:$B$43,MATCH($K97,CONFIG!$A$4:$A$43,0)),"Media"))</f>
        <v/>
      </c>
      <c r="M97" s="27">
        <f>IF($K97="","",IFERROR(INDEX(CONFIG!$D$4:$D$43,MATCH($K97,CONFIG!$A$4:$A$43,0)),"NO"))</f>
        <v/>
      </c>
      <c r="N97" s="49" t="n"/>
      <c r="O97" s="27">
        <f>IF($N97="","",IFERROR(INDEX(CONFIG!$G$4:$G$43,MATCH($N97,CONFIG!$F$4:$F$43,0)),"Por definir"))</f>
        <v/>
      </c>
      <c r="P97" s="27">
        <f>IF($N97="","",IFERROR(INDEX(CONFIG!$H$4:$H$43,MATCH($N97,CONFIG!$F$4:$F$43,0)),"Por definir"))</f>
        <v/>
      </c>
      <c r="Q97" s="50" t="n"/>
      <c r="R97" s="51" t="n"/>
      <c r="S97" s="49" t="n"/>
      <c r="T97" s="49" t="n"/>
      <c r="U97" s="48">
        <f>IF(OR($B97="",$K97=""),"",WORKDAY($B97,IFERROR(INDEX(CONFIG!$C$4:$C$43,MATCH($K97,CONFIG!$A$4:$A$43,0)),3)))</f>
        <v/>
      </c>
      <c r="V97" s="46" t="n"/>
      <c r="W97" s="23">
        <f>IF($B97="","",IF($V97&lt;&gt;"",$V97-$B97,TODAY()-$B97))</f>
        <v/>
      </c>
      <c r="X97" s="27">
        <f>IF($C97="","",IF(IFERROR(INDEX(CONFIG!$K$4:$K$43,MATCH($S97,CONFIG!$J$4:$J$43,0)),"NO")="SÍ",IF(OR($V97="",$U97=""),"Resuelta",IF($V97&gt;$U97,"Resuelta tarde","Resuelta a tiempo")),IF($U97="","Sin clasificar",IF(TODAY()&gt;$U97,"Vencida",IF(TODAY()&gt;=$U97-1,"Por vencer","En plazo")))))</f>
        <v/>
      </c>
      <c r="Y97" s="49" t="n"/>
      <c r="Z97" s="49" t="n"/>
    </row>
    <row r="98" ht="16" customHeight="1">
      <c r="A98" s="27">
        <f>IF($C98="","","N-"&amp;TEXT(ROW()-3,"0000"))</f>
        <v/>
      </c>
      <c r="B98" s="46" t="n"/>
      <c r="C98" s="47" t="n"/>
      <c r="D98" s="27">
        <f>IF($C98="","",IF(COUNTIFS(ENVIOS!$A$4:$A$3003,$C98)=0,"NO EXISTE",IF(COUNTIFS(ENVIOS!$A$4:$A$3003,$C98)&gt;1,"DUPLICADA","OK")))</f>
        <v/>
      </c>
      <c r="E98" s="22">
        <f>IF($C98="","",IFERROR(INDEX(ENVIOS!$C$4:$C$3003,MATCH($C98,ENVIOS!$A$4:$A$3003,0)),"—"))</f>
        <v/>
      </c>
      <c r="F98" s="22">
        <f>IF($C98="","",IFERROR(INDEX(ENVIOS!$D$4:$D$3003,MATCH($C98,ENVIOS!$A$4:$A$3003,0)),"—"))</f>
        <v/>
      </c>
      <c r="G98" s="22">
        <f>IF($C98="","",IFERROR(INDEX(ENVIOS!$E$4:$E$3003,MATCH($C98,ENVIOS!$A$4:$A$3003,0)),"—"))</f>
        <v/>
      </c>
      <c r="H98" s="22">
        <f>IF($C98="","",IFERROR(INDEX(ENVIOS!$F$4:$F$3003,MATCH($C98,ENVIOS!$A$4:$A$3003,0)),"—"))</f>
        <v/>
      </c>
      <c r="I98" s="27">
        <f>IF($C98="","",IFERROR(INDEX(ENVIOS!$G$4:$G$3003,MATCH($C98,ENVIOS!$A$4:$A$3003,0)),"—"))</f>
        <v/>
      </c>
      <c r="J98" s="48">
        <f>IF($C98="","",IFERROR(INDEX(ENVIOS!$B$4:$B$3003,MATCH($C98,ENVIOS!$A$4:$A$3003,0)),""))</f>
        <v/>
      </c>
      <c r="K98" s="49" t="n"/>
      <c r="L98" s="27">
        <f>IF($K98="","",IFERROR(INDEX(CONFIG!$B$4:$B$43,MATCH($K98,CONFIG!$A$4:$A$43,0)),"Media"))</f>
        <v/>
      </c>
      <c r="M98" s="27">
        <f>IF($K98="","",IFERROR(INDEX(CONFIG!$D$4:$D$43,MATCH($K98,CONFIG!$A$4:$A$43,0)),"NO"))</f>
        <v/>
      </c>
      <c r="N98" s="49" t="n"/>
      <c r="O98" s="27">
        <f>IF($N98="","",IFERROR(INDEX(CONFIG!$G$4:$G$43,MATCH($N98,CONFIG!$F$4:$F$43,0)),"Por definir"))</f>
        <v/>
      </c>
      <c r="P98" s="27">
        <f>IF($N98="","",IFERROR(INDEX(CONFIG!$H$4:$H$43,MATCH($N98,CONFIG!$F$4:$F$43,0)),"Por definir"))</f>
        <v/>
      </c>
      <c r="Q98" s="50" t="n"/>
      <c r="R98" s="51" t="n"/>
      <c r="S98" s="49" t="n"/>
      <c r="T98" s="49" t="n"/>
      <c r="U98" s="48">
        <f>IF(OR($B98="",$K98=""),"",WORKDAY($B98,IFERROR(INDEX(CONFIG!$C$4:$C$43,MATCH($K98,CONFIG!$A$4:$A$43,0)),3)))</f>
        <v/>
      </c>
      <c r="V98" s="46" t="n"/>
      <c r="W98" s="23">
        <f>IF($B98="","",IF($V98&lt;&gt;"",$V98-$B98,TODAY()-$B98))</f>
        <v/>
      </c>
      <c r="X98" s="27">
        <f>IF($C98="","",IF(IFERROR(INDEX(CONFIG!$K$4:$K$43,MATCH($S98,CONFIG!$J$4:$J$43,0)),"NO")="SÍ",IF(OR($V98="",$U98=""),"Resuelta",IF($V98&gt;$U98,"Resuelta tarde","Resuelta a tiempo")),IF($U98="","Sin clasificar",IF(TODAY()&gt;$U98,"Vencida",IF(TODAY()&gt;=$U98-1,"Por vencer","En plazo")))))</f>
        <v/>
      </c>
      <c r="Y98" s="49" t="n"/>
      <c r="Z98" s="49" t="n"/>
    </row>
    <row r="99" ht="16" customHeight="1">
      <c r="A99" s="27">
        <f>IF($C99="","","N-"&amp;TEXT(ROW()-3,"0000"))</f>
        <v/>
      </c>
      <c r="B99" s="46" t="n"/>
      <c r="C99" s="47" t="n"/>
      <c r="D99" s="27">
        <f>IF($C99="","",IF(COUNTIFS(ENVIOS!$A$4:$A$3003,$C99)=0,"NO EXISTE",IF(COUNTIFS(ENVIOS!$A$4:$A$3003,$C99)&gt;1,"DUPLICADA","OK")))</f>
        <v/>
      </c>
      <c r="E99" s="22">
        <f>IF($C99="","",IFERROR(INDEX(ENVIOS!$C$4:$C$3003,MATCH($C99,ENVIOS!$A$4:$A$3003,0)),"—"))</f>
        <v/>
      </c>
      <c r="F99" s="22">
        <f>IF($C99="","",IFERROR(INDEX(ENVIOS!$D$4:$D$3003,MATCH($C99,ENVIOS!$A$4:$A$3003,0)),"—"))</f>
        <v/>
      </c>
      <c r="G99" s="22">
        <f>IF($C99="","",IFERROR(INDEX(ENVIOS!$E$4:$E$3003,MATCH($C99,ENVIOS!$A$4:$A$3003,0)),"—"))</f>
        <v/>
      </c>
      <c r="H99" s="22">
        <f>IF($C99="","",IFERROR(INDEX(ENVIOS!$F$4:$F$3003,MATCH($C99,ENVIOS!$A$4:$A$3003,0)),"—"))</f>
        <v/>
      </c>
      <c r="I99" s="27">
        <f>IF($C99="","",IFERROR(INDEX(ENVIOS!$G$4:$G$3003,MATCH($C99,ENVIOS!$A$4:$A$3003,0)),"—"))</f>
        <v/>
      </c>
      <c r="J99" s="48">
        <f>IF($C99="","",IFERROR(INDEX(ENVIOS!$B$4:$B$3003,MATCH($C99,ENVIOS!$A$4:$A$3003,0)),""))</f>
        <v/>
      </c>
      <c r="K99" s="49" t="n"/>
      <c r="L99" s="27">
        <f>IF($K99="","",IFERROR(INDEX(CONFIG!$B$4:$B$43,MATCH($K99,CONFIG!$A$4:$A$43,0)),"Media"))</f>
        <v/>
      </c>
      <c r="M99" s="27">
        <f>IF($K99="","",IFERROR(INDEX(CONFIG!$D$4:$D$43,MATCH($K99,CONFIG!$A$4:$A$43,0)),"NO"))</f>
        <v/>
      </c>
      <c r="N99" s="49" t="n"/>
      <c r="O99" s="27">
        <f>IF($N99="","",IFERROR(INDEX(CONFIG!$G$4:$G$43,MATCH($N99,CONFIG!$F$4:$F$43,0)),"Por definir"))</f>
        <v/>
      </c>
      <c r="P99" s="27">
        <f>IF($N99="","",IFERROR(INDEX(CONFIG!$H$4:$H$43,MATCH($N99,CONFIG!$F$4:$F$43,0)),"Por definir"))</f>
        <v/>
      </c>
      <c r="Q99" s="50" t="n"/>
      <c r="R99" s="51" t="n"/>
      <c r="S99" s="49" t="n"/>
      <c r="T99" s="49" t="n"/>
      <c r="U99" s="48">
        <f>IF(OR($B99="",$K99=""),"",WORKDAY($B99,IFERROR(INDEX(CONFIG!$C$4:$C$43,MATCH($K99,CONFIG!$A$4:$A$43,0)),3)))</f>
        <v/>
      </c>
      <c r="V99" s="46" t="n"/>
      <c r="W99" s="23">
        <f>IF($B99="","",IF($V99&lt;&gt;"",$V99-$B99,TODAY()-$B99))</f>
        <v/>
      </c>
      <c r="X99" s="27">
        <f>IF($C99="","",IF(IFERROR(INDEX(CONFIG!$K$4:$K$43,MATCH($S99,CONFIG!$J$4:$J$43,0)),"NO")="SÍ",IF(OR($V99="",$U99=""),"Resuelta",IF($V99&gt;$U99,"Resuelta tarde","Resuelta a tiempo")),IF($U99="","Sin clasificar",IF(TODAY()&gt;$U99,"Vencida",IF(TODAY()&gt;=$U99-1,"Por vencer","En plazo")))))</f>
        <v/>
      </c>
      <c r="Y99" s="49" t="n"/>
      <c r="Z99" s="49" t="n"/>
    </row>
    <row r="100" ht="16" customHeight="1">
      <c r="A100" s="27">
        <f>IF($C100="","","N-"&amp;TEXT(ROW()-3,"0000"))</f>
        <v/>
      </c>
      <c r="B100" s="46" t="n"/>
      <c r="C100" s="47" t="n"/>
      <c r="D100" s="27">
        <f>IF($C100="","",IF(COUNTIFS(ENVIOS!$A$4:$A$3003,$C100)=0,"NO EXISTE",IF(COUNTIFS(ENVIOS!$A$4:$A$3003,$C100)&gt;1,"DUPLICADA","OK")))</f>
        <v/>
      </c>
      <c r="E100" s="22">
        <f>IF($C100="","",IFERROR(INDEX(ENVIOS!$C$4:$C$3003,MATCH($C100,ENVIOS!$A$4:$A$3003,0)),"—"))</f>
        <v/>
      </c>
      <c r="F100" s="22">
        <f>IF($C100="","",IFERROR(INDEX(ENVIOS!$D$4:$D$3003,MATCH($C100,ENVIOS!$A$4:$A$3003,0)),"—"))</f>
        <v/>
      </c>
      <c r="G100" s="22">
        <f>IF($C100="","",IFERROR(INDEX(ENVIOS!$E$4:$E$3003,MATCH($C100,ENVIOS!$A$4:$A$3003,0)),"—"))</f>
        <v/>
      </c>
      <c r="H100" s="22">
        <f>IF($C100="","",IFERROR(INDEX(ENVIOS!$F$4:$F$3003,MATCH($C100,ENVIOS!$A$4:$A$3003,0)),"—"))</f>
        <v/>
      </c>
      <c r="I100" s="27">
        <f>IF($C100="","",IFERROR(INDEX(ENVIOS!$G$4:$G$3003,MATCH($C100,ENVIOS!$A$4:$A$3003,0)),"—"))</f>
        <v/>
      </c>
      <c r="J100" s="48">
        <f>IF($C100="","",IFERROR(INDEX(ENVIOS!$B$4:$B$3003,MATCH($C100,ENVIOS!$A$4:$A$3003,0)),""))</f>
        <v/>
      </c>
      <c r="K100" s="49" t="n"/>
      <c r="L100" s="27">
        <f>IF($K100="","",IFERROR(INDEX(CONFIG!$B$4:$B$43,MATCH($K100,CONFIG!$A$4:$A$43,0)),"Media"))</f>
        <v/>
      </c>
      <c r="M100" s="27">
        <f>IF($K100="","",IFERROR(INDEX(CONFIG!$D$4:$D$43,MATCH($K100,CONFIG!$A$4:$A$43,0)),"NO"))</f>
        <v/>
      </c>
      <c r="N100" s="49" t="n"/>
      <c r="O100" s="27">
        <f>IF($N100="","",IFERROR(INDEX(CONFIG!$G$4:$G$43,MATCH($N100,CONFIG!$F$4:$F$43,0)),"Por definir"))</f>
        <v/>
      </c>
      <c r="P100" s="27">
        <f>IF($N100="","",IFERROR(INDEX(CONFIG!$H$4:$H$43,MATCH($N100,CONFIG!$F$4:$F$43,0)),"Por definir"))</f>
        <v/>
      </c>
      <c r="Q100" s="50" t="n"/>
      <c r="R100" s="51" t="n"/>
      <c r="S100" s="49" t="n"/>
      <c r="T100" s="49" t="n"/>
      <c r="U100" s="48">
        <f>IF(OR($B100="",$K100=""),"",WORKDAY($B100,IFERROR(INDEX(CONFIG!$C$4:$C$43,MATCH($K100,CONFIG!$A$4:$A$43,0)),3)))</f>
        <v/>
      </c>
      <c r="V100" s="46" t="n"/>
      <c r="W100" s="23">
        <f>IF($B100="","",IF($V100&lt;&gt;"",$V100-$B100,TODAY()-$B100))</f>
        <v/>
      </c>
      <c r="X100" s="27">
        <f>IF($C100="","",IF(IFERROR(INDEX(CONFIG!$K$4:$K$43,MATCH($S100,CONFIG!$J$4:$J$43,0)),"NO")="SÍ",IF(OR($V100="",$U100=""),"Resuelta",IF($V100&gt;$U100,"Resuelta tarde","Resuelta a tiempo")),IF($U100="","Sin clasificar",IF(TODAY()&gt;$U100,"Vencida",IF(TODAY()&gt;=$U100-1,"Por vencer","En plazo")))))</f>
        <v/>
      </c>
      <c r="Y100" s="49" t="n"/>
      <c r="Z100" s="49" t="n"/>
    </row>
    <row r="101" ht="16" customHeight="1">
      <c r="A101" s="27">
        <f>IF($C101="","","N-"&amp;TEXT(ROW()-3,"0000"))</f>
        <v/>
      </c>
      <c r="B101" s="46" t="n"/>
      <c r="C101" s="47" t="n"/>
      <c r="D101" s="27">
        <f>IF($C101="","",IF(COUNTIFS(ENVIOS!$A$4:$A$3003,$C101)=0,"NO EXISTE",IF(COUNTIFS(ENVIOS!$A$4:$A$3003,$C101)&gt;1,"DUPLICADA","OK")))</f>
        <v/>
      </c>
      <c r="E101" s="22">
        <f>IF($C101="","",IFERROR(INDEX(ENVIOS!$C$4:$C$3003,MATCH($C101,ENVIOS!$A$4:$A$3003,0)),"—"))</f>
        <v/>
      </c>
      <c r="F101" s="22">
        <f>IF($C101="","",IFERROR(INDEX(ENVIOS!$D$4:$D$3003,MATCH($C101,ENVIOS!$A$4:$A$3003,0)),"—"))</f>
        <v/>
      </c>
      <c r="G101" s="22">
        <f>IF($C101="","",IFERROR(INDEX(ENVIOS!$E$4:$E$3003,MATCH($C101,ENVIOS!$A$4:$A$3003,0)),"—"))</f>
        <v/>
      </c>
      <c r="H101" s="22">
        <f>IF($C101="","",IFERROR(INDEX(ENVIOS!$F$4:$F$3003,MATCH($C101,ENVIOS!$A$4:$A$3003,0)),"—"))</f>
        <v/>
      </c>
      <c r="I101" s="27">
        <f>IF($C101="","",IFERROR(INDEX(ENVIOS!$G$4:$G$3003,MATCH($C101,ENVIOS!$A$4:$A$3003,0)),"—"))</f>
        <v/>
      </c>
      <c r="J101" s="48">
        <f>IF($C101="","",IFERROR(INDEX(ENVIOS!$B$4:$B$3003,MATCH($C101,ENVIOS!$A$4:$A$3003,0)),""))</f>
        <v/>
      </c>
      <c r="K101" s="49" t="n"/>
      <c r="L101" s="27">
        <f>IF($K101="","",IFERROR(INDEX(CONFIG!$B$4:$B$43,MATCH($K101,CONFIG!$A$4:$A$43,0)),"Media"))</f>
        <v/>
      </c>
      <c r="M101" s="27">
        <f>IF($K101="","",IFERROR(INDEX(CONFIG!$D$4:$D$43,MATCH($K101,CONFIG!$A$4:$A$43,0)),"NO"))</f>
        <v/>
      </c>
      <c r="N101" s="49" t="n"/>
      <c r="O101" s="27">
        <f>IF($N101="","",IFERROR(INDEX(CONFIG!$G$4:$G$43,MATCH($N101,CONFIG!$F$4:$F$43,0)),"Por definir"))</f>
        <v/>
      </c>
      <c r="P101" s="27">
        <f>IF($N101="","",IFERROR(INDEX(CONFIG!$H$4:$H$43,MATCH($N101,CONFIG!$F$4:$F$43,0)),"Por definir"))</f>
        <v/>
      </c>
      <c r="Q101" s="50" t="n"/>
      <c r="R101" s="51" t="n"/>
      <c r="S101" s="49" t="n"/>
      <c r="T101" s="49" t="n"/>
      <c r="U101" s="48">
        <f>IF(OR($B101="",$K101=""),"",WORKDAY($B101,IFERROR(INDEX(CONFIG!$C$4:$C$43,MATCH($K101,CONFIG!$A$4:$A$43,0)),3)))</f>
        <v/>
      </c>
      <c r="V101" s="46" t="n"/>
      <c r="W101" s="23">
        <f>IF($B101="","",IF($V101&lt;&gt;"",$V101-$B101,TODAY()-$B101))</f>
        <v/>
      </c>
      <c r="X101" s="27">
        <f>IF($C101="","",IF(IFERROR(INDEX(CONFIG!$K$4:$K$43,MATCH($S101,CONFIG!$J$4:$J$43,0)),"NO")="SÍ",IF(OR($V101="",$U101=""),"Resuelta",IF($V101&gt;$U101,"Resuelta tarde","Resuelta a tiempo")),IF($U101="","Sin clasificar",IF(TODAY()&gt;$U101,"Vencida",IF(TODAY()&gt;=$U101-1,"Por vencer","En plazo")))))</f>
        <v/>
      </c>
      <c r="Y101" s="49" t="n"/>
      <c r="Z101" s="49" t="n"/>
    </row>
    <row r="102" ht="16" customHeight="1">
      <c r="A102" s="27">
        <f>IF($C102="","","N-"&amp;TEXT(ROW()-3,"0000"))</f>
        <v/>
      </c>
      <c r="B102" s="46" t="n"/>
      <c r="C102" s="47" t="n"/>
      <c r="D102" s="27">
        <f>IF($C102="","",IF(COUNTIFS(ENVIOS!$A$4:$A$3003,$C102)=0,"NO EXISTE",IF(COUNTIFS(ENVIOS!$A$4:$A$3003,$C102)&gt;1,"DUPLICADA","OK")))</f>
        <v/>
      </c>
      <c r="E102" s="22">
        <f>IF($C102="","",IFERROR(INDEX(ENVIOS!$C$4:$C$3003,MATCH($C102,ENVIOS!$A$4:$A$3003,0)),"—"))</f>
        <v/>
      </c>
      <c r="F102" s="22">
        <f>IF($C102="","",IFERROR(INDEX(ENVIOS!$D$4:$D$3003,MATCH($C102,ENVIOS!$A$4:$A$3003,0)),"—"))</f>
        <v/>
      </c>
      <c r="G102" s="22">
        <f>IF($C102="","",IFERROR(INDEX(ENVIOS!$E$4:$E$3003,MATCH($C102,ENVIOS!$A$4:$A$3003,0)),"—"))</f>
        <v/>
      </c>
      <c r="H102" s="22">
        <f>IF($C102="","",IFERROR(INDEX(ENVIOS!$F$4:$F$3003,MATCH($C102,ENVIOS!$A$4:$A$3003,0)),"—"))</f>
        <v/>
      </c>
      <c r="I102" s="27">
        <f>IF($C102="","",IFERROR(INDEX(ENVIOS!$G$4:$G$3003,MATCH($C102,ENVIOS!$A$4:$A$3003,0)),"—"))</f>
        <v/>
      </c>
      <c r="J102" s="48">
        <f>IF($C102="","",IFERROR(INDEX(ENVIOS!$B$4:$B$3003,MATCH($C102,ENVIOS!$A$4:$A$3003,0)),""))</f>
        <v/>
      </c>
      <c r="K102" s="49" t="n"/>
      <c r="L102" s="27">
        <f>IF($K102="","",IFERROR(INDEX(CONFIG!$B$4:$B$43,MATCH($K102,CONFIG!$A$4:$A$43,0)),"Media"))</f>
        <v/>
      </c>
      <c r="M102" s="27">
        <f>IF($K102="","",IFERROR(INDEX(CONFIG!$D$4:$D$43,MATCH($K102,CONFIG!$A$4:$A$43,0)),"NO"))</f>
        <v/>
      </c>
      <c r="N102" s="49" t="n"/>
      <c r="O102" s="27">
        <f>IF($N102="","",IFERROR(INDEX(CONFIG!$G$4:$G$43,MATCH($N102,CONFIG!$F$4:$F$43,0)),"Por definir"))</f>
        <v/>
      </c>
      <c r="P102" s="27">
        <f>IF($N102="","",IFERROR(INDEX(CONFIG!$H$4:$H$43,MATCH($N102,CONFIG!$F$4:$F$43,0)),"Por definir"))</f>
        <v/>
      </c>
      <c r="Q102" s="50" t="n"/>
      <c r="R102" s="51" t="n"/>
      <c r="S102" s="49" t="n"/>
      <c r="T102" s="49" t="n"/>
      <c r="U102" s="48">
        <f>IF(OR($B102="",$K102=""),"",WORKDAY($B102,IFERROR(INDEX(CONFIG!$C$4:$C$43,MATCH($K102,CONFIG!$A$4:$A$43,0)),3)))</f>
        <v/>
      </c>
      <c r="V102" s="46" t="n"/>
      <c r="W102" s="23">
        <f>IF($B102="","",IF($V102&lt;&gt;"",$V102-$B102,TODAY()-$B102))</f>
        <v/>
      </c>
      <c r="X102" s="27">
        <f>IF($C102="","",IF(IFERROR(INDEX(CONFIG!$K$4:$K$43,MATCH($S102,CONFIG!$J$4:$J$43,0)),"NO")="SÍ",IF(OR($V102="",$U102=""),"Resuelta",IF($V102&gt;$U102,"Resuelta tarde","Resuelta a tiempo")),IF($U102="","Sin clasificar",IF(TODAY()&gt;$U102,"Vencida",IF(TODAY()&gt;=$U102-1,"Por vencer","En plazo")))))</f>
        <v/>
      </c>
      <c r="Y102" s="49" t="n"/>
      <c r="Z102" s="49" t="n"/>
    </row>
    <row r="103" ht="16" customHeight="1">
      <c r="A103" s="27">
        <f>IF($C103="","","N-"&amp;TEXT(ROW()-3,"0000"))</f>
        <v/>
      </c>
      <c r="B103" s="46" t="n"/>
      <c r="C103" s="47" t="n"/>
      <c r="D103" s="27">
        <f>IF($C103="","",IF(COUNTIFS(ENVIOS!$A$4:$A$3003,$C103)=0,"NO EXISTE",IF(COUNTIFS(ENVIOS!$A$4:$A$3003,$C103)&gt;1,"DUPLICADA","OK")))</f>
        <v/>
      </c>
      <c r="E103" s="22">
        <f>IF($C103="","",IFERROR(INDEX(ENVIOS!$C$4:$C$3003,MATCH($C103,ENVIOS!$A$4:$A$3003,0)),"—"))</f>
        <v/>
      </c>
      <c r="F103" s="22">
        <f>IF($C103="","",IFERROR(INDEX(ENVIOS!$D$4:$D$3003,MATCH($C103,ENVIOS!$A$4:$A$3003,0)),"—"))</f>
        <v/>
      </c>
      <c r="G103" s="22">
        <f>IF($C103="","",IFERROR(INDEX(ENVIOS!$E$4:$E$3003,MATCH($C103,ENVIOS!$A$4:$A$3003,0)),"—"))</f>
        <v/>
      </c>
      <c r="H103" s="22">
        <f>IF($C103="","",IFERROR(INDEX(ENVIOS!$F$4:$F$3003,MATCH($C103,ENVIOS!$A$4:$A$3003,0)),"—"))</f>
        <v/>
      </c>
      <c r="I103" s="27">
        <f>IF($C103="","",IFERROR(INDEX(ENVIOS!$G$4:$G$3003,MATCH($C103,ENVIOS!$A$4:$A$3003,0)),"—"))</f>
        <v/>
      </c>
      <c r="J103" s="48">
        <f>IF($C103="","",IFERROR(INDEX(ENVIOS!$B$4:$B$3003,MATCH($C103,ENVIOS!$A$4:$A$3003,0)),""))</f>
        <v/>
      </c>
      <c r="K103" s="49" t="n"/>
      <c r="L103" s="27">
        <f>IF($K103="","",IFERROR(INDEX(CONFIG!$B$4:$B$43,MATCH($K103,CONFIG!$A$4:$A$43,0)),"Media"))</f>
        <v/>
      </c>
      <c r="M103" s="27">
        <f>IF($K103="","",IFERROR(INDEX(CONFIG!$D$4:$D$43,MATCH($K103,CONFIG!$A$4:$A$43,0)),"NO"))</f>
        <v/>
      </c>
      <c r="N103" s="49" t="n"/>
      <c r="O103" s="27">
        <f>IF($N103="","",IFERROR(INDEX(CONFIG!$G$4:$G$43,MATCH($N103,CONFIG!$F$4:$F$43,0)),"Por definir"))</f>
        <v/>
      </c>
      <c r="P103" s="27">
        <f>IF($N103="","",IFERROR(INDEX(CONFIG!$H$4:$H$43,MATCH($N103,CONFIG!$F$4:$F$43,0)),"Por definir"))</f>
        <v/>
      </c>
      <c r="Q103" s="50" t="n"/>
      <c r="R103" s="51" t="n"/>
      <c r="S103" s="49" t="n"/>
      <c r="T103" s="49" t="n"/>
      <c r="U103" s="48">
        <f>IF(OR($B103="",$K103=""),"",WORKDAY($B103,IFERROR(INDEX(CONFIG!$C$4:$C$43,MATCH($K103,CONFIG!$A$4:$A$43,0)),3)))</f>
        <v/>
      </c>
      <c r="V103" s="46" t="n"/>
      <c r="W103" s="23">
        <f>IF($B103="","",IF($V103&lt;&gt;"",$V103-$B103,TODAY()-$B103))</f>
        <v/>
      </c>
      <c r="X103" s="27">
        <f>IF($C103="","",IF(IFERROR(INDEX(CONFIG!$K$4:$K$43,MATCH($S103,CONFIG!$J$4:$J$43,0)),"NO")="SÍ",IF(OR($V103="",$U103=""),"Resuelta",IF($V103&gt;$U103,"Resuelta tarde","Resuelta a tiempo")),IF($U103="","Sin clasificar",IF(TODAY()&gt;$U103,"Vencida",IF(TODAY()&gt;=$U103-1,"Por vencer","En plazo")))))</f>
        <v/>
      </c>
      <c r="Y103" s="49" t="n"/>
      <c r="Z103" s="49" t="n"/>
    </row>
    <row r="104" ht="16" customHeight="1">
      <c r="A104" s="27">
        <f>IF($C104="","","N-"&amp;TEXT(ROW()-3,"0000"))</f>
        <v/>
      </c>
      <c r="B104" s="46" t="n"/>
      <c r="C104" s="47" t="n"/>
      <c r="D104" s="27">
        <f>IF($C104="","",IF(COUNTIFS(ENVIOS!$A$4:$A$3003,$C104)=0,"NO EXISTE",IF(COUNTIFS(ENVIOS!$A$4:$A$3003,$C104)&gt;1,"DUPLICADA","OK")))</f>
        <v/>
      </c>
      <c r="E104" s="22">
        <f>IF($C104="","",IFERROR(INDEX(ENVIOS!$C$4:$C$3003,MATCH($C104,ENVIOS!$A$4:$A$3003,0)),"—"))</f>
        <v/>
      </c>
      <c r="F104" s="22">
        <f>IF($C104="","",IFERROR(INDEX(ENVIOS!$D$4:$D$3003,MATCH($C104,ENVIOS!$A$4:$A$3003,0)),"—"))</f>
        <v/>
      </c>
      <c r="G104" s="22">
        <f>IF($C104="","",IFERROR(INDEX(ENVIOS!$E$4:$E$3003,MATCH($C104,ENVIOS!$A$4:$A$3003,0)),"—"))</f>
        <v/>
      </c>
      <c r="H104" s="22">
        <f>IF($C104="","",IFERROR(INDEX(ENVIOS!$F$4:$F$3003,MATCH($C104,ENVIOS!$A$4:$A$3003,0)),"—"))</f>
        <v/>
      </c>
      <c r="I104" s="27">
        <f>IF($C104="","",IFERROR(INDEX(ENVIOS!$G$4:$G$3003,MATCH($C104,ENVIOS!$A$4:$A$3003,0)),"—"))</f>
        <v/>
      </c>
      <c r="J104" s="48">
        <f>IF($C104="","",IFERROR(INDEX(ENVIOS!$B$4:$B$3003,MATCH($C104,ENVIOS!$A$4:$A$3003,0)),""))</f>
        <v/>
      </c>
      <c r="K104" s="49" t="n"/>
      <c r="L104" s="27">
        <f>IF($K104="","",IFERROR(INDEX(CONFIG!$B$4:$B$43,MATCH($K104,CONFIG!$A$4:$A$43,0)),"Media"))</f>
        <v/>
      </c>
      <c r="M104" s="27">
        <f>IF($K104="","",IFERROR(INDEX(CONFIG!$D$4:$D$43,MATCH($K104,CONFIG!$A$4:$A$43,0)),"NO"))</f>
        <v/>
      </c>
      <c r="N104" s="49" t="n"/>
      <c r="O104" s="27">
        <f>IF($N104="","",IFERROR(INDEX(CONFIG!$G$4:$G$43,MATCH($N104,CONFIG!$F$4:$F$43,0)),"Por definir"))</f>
        <v/>
      </c>
      <c r="P104" s="27">
        <f>IF($N104="","",IFERROR(INDEX(CONFIG!$H$4:$H$43,MATCH($N104,CONFIG!$F$4:$F$43,0)),"Por definir"))</f>
        <v/>
      </c>
      <c r="Q104" s="50" t="n"/>
      <c r="R104" s="51" t="n"/>
      <c r="S104" s="49" t="n"/>
      <c r="T104" s="49" t="n"/>
      <c r="U104" s="48">
        <f>IF(OR($B104="",$K104=""),"",WORKDAY($B104,IFERROR(INDEX(CONFIG!$C$4:$C$43,MATCH($K104,CONFIG!$A$4:$A$43,0)),3)))</f>
        <v/>
      </c>
      <c r="V104" s="46" t="n"/>
      <c r="W104" s="23">
        <f>IF($B104="","",IF($V104&lt;&gt;"",$V104-$B104,TODAY()-$B104))</f>
        <v/>
      </c>
      <c r="X104" s="27">
        <f>IF($C104="","",IF(IFERROR(INDEX(CONFIG!$K$4:$K$43,MATCH($S104,CONFIG!$J$4:$J$43,0)),"NO")="SÍ",IF(OR($V104="",$U104=""),"Resuelta",IF($V104&gt;$U104,"Resuelta tarde","Resuelta a tiempo")),IF($U104="","Sin clasificar",IF(TODAY()&gt;$U104,"Vencida",IF(TODAY()&gt;=$U104-1,"Por vencer","En plazo")))))</f>
        <v/>
      </c>
      <c r="Y104" s="49" t="n"/>
      <c r="Z104" s="49" t="n"/>
    </row>
    <row r="105" ht="16" customHeight="1">
      <c r="A105" s="27">
        <f>IF($C105="","","N-"&amp;TEXT(ROW()-3,"0000"))</f>
        <v/>
      </c>
      <c r="B105" s="46" t="n"/>
      <c r="C105" s="47" t="n"/>
      <c r="D105" s="27">
        <f>IF($C105="","",IF(COUNTIFS(ENVIOS!$A$4:$A$3003,$C105)=0,"NO EXISTE",IF(COUNTIFS(ENVIOS!$A$4:$A$3003,$C105)&gt;1,"DUPLICADA","OK")))</f>
        <v/>
      </c>
      <c r="E105" s="22">
        <f>IF($C105="","",IFERROR(INDEX(ENVIOS!$C$4:$C$3003,MATCH($C105,ENVIOS!$A$4:$A$3003,0)),"—"))</f>
        <v/>
      </c>
      <c r="F105" s="22">
        <f>IF($C105="","",IFERROR(INDEX(ENVIOS!$D$4:$D$3003,MATCH($C105,ENVIOS!$A$4:$A$3003,0)),"—"))</f>
        <v/>
      </c>
      <c r="G105" s="22">
        <f>IF($C105="","",IFERROR(INDEX(ENVIOS!$E$4:$E$3003,MATCH($C105,ENVIOS!$A$4:$A$3003,0)),"—"))</f>
        <v/>
      </c>
      <c r="H105" s="22">
        <f>IF($C105="","",IFERROR(INDEX(ENVIOS!$F$4:$F$3003,MATCH($C105,ENVIOS!$A$4:$A$3003,0)),"—"))</f>
        <v/>
      </c>
      <c r="I105" s="27">
        <f>IF($C105="","",IFERROR(INDEX(ENVIOS!$G$4:$G$3003,MATCH($C105,ENVIOS!$A$4:$A$3003,0)),"—"))</f>
        <v/>
      </c>
      <c r="J105" s="48">
        <f>IF($C105="","",IFERROR(INDEX(ENVIOS!$B$4:$B$3003,MATCH($C105,ENVIOS!$A$4:$A$3003,0)),""))</f>
        <v/>
      </c>
      <c r="K105" s="49" t="n"/>
      <c r="L105" s="27">
        <f>IF($K105="","",IFERROR(INDEX(CONFIG!$B$4:$B$43,MATCH($K105,CONFIG!$A$4:$A$43,0)),"Media"))</f>
        <v/>
      </c>
      <c r="M105" s="27">
        <f>IF($K105="","",IFERROR(INDEX(CONFIG!$D$4:$D$43,MATCH($K105,CONFIG!$A$4:$A$43,0)),"NO"))</f>
        <v/>
      </c>
      <c r="N105" s="49" t="n"/>
      <c r="O105" s="27">
        <f>IF($N105="","",IFERROR(INDEX(CONFIG!$G$4:$G$43,MATCH($N105,CONFIG!$F$4:$F$43,0)),"Por definir"))</f>
        <v/>
      </c>
      <c r="P105" s="27">
        <f>IF($N105="","",IFERROR(INDEX(CONFIG!$H$4:$H$43,MATCH($N105,CONFIG!$F$4:$F$43,0)),"Por definir"))</f>
        <v/>
      </c>
      <c r="Q105" s="50" t="n"/>
      <c r="R105" s="51" t="n"/>
      <c r="S105" s="49" t="n"/>
      <c r="T105" s="49" t="n"/>
      <c r="U105" s="48">
        <f>IF(OR($B105="",$K105=""),"",WORKDAY($B105,IFERROR(INDEX(CONFIG!$C$4:$C$43,MATCH($K105,CONFIG!$A$4:$A$43,0)),3)))</f>
        <v/>
      </c>
      <c r="V105" s="46" t="n"/>
      <c r="W105" s="23">
        <f>IF($B105="","",IF($V105&lt;&gt;"",$V105-$B105,TODAY()-$B105))</f>
        <v/>
      </c>
      <c r="X105" s="27">
        <f>IF($C105="","",IF(IFERROR(INDEX(CONFIG!$K$4:$K$43,MATCH($S105,CONFIG!$J$4:$J$43,0)),"NO")="SÍ",IF(OR($V105="",$U105=""),"Resuelta",IF($V105&gt;$U105,"Resuelta tarde","Resuelta a tiempo")),IF($U105="","Sin clasificar",IF(TODAY()&gt;$U105,"Vencida",IF(TODAY()&gt;=$U105-1,"Por vencer","En plazo")))))</f>
        <v/>
      </c>
      <c r="Y105" s="49" t="n"/>
      <c r="Z105" s="49" t="n"/>
    </row>
    <row r="106" ht="16" customHeight="1">
      <c r="A106" s="27">
        <f>IF($C106="","","N-"&amp;TEXT(ROW()-3,"0000"))</f>
        <v/>
      </c>
      <c r="B106" s="46" t="n"/>
      <c r="C106" s="47" t="n"/>
      <c r="D106" s="27">
        <f>IF($C106="","",IF(COUNTIFS(ENVIOS!$A$4:$A$3003,$C106)=0,"NO EXISTE",IF(COUNTIFS(ENVIOS!$A$4:$A$3003,$C106)&gt;1,"DUPLICADA","OK")))</f>
        <v/>
      </c>
      <c r="E106" s="22">
        <f>IF($C106="","",IFERROR(INDEX(ENVIOS!$C$4:$C$3003,MATCH($C106,ENVIOS!$A$4:$A$3003,0)),"—"))</f>
        <v/>
      </c>
      <c r="F106" s="22">
        <f>IF($C106="","",IFERROR(INDEX(ENVIOS!$D$4:$D$3003,MATCH($C106,ENVIOS!$A$4:$A$3003,0)),"—"))</f>
        <v/>
      </c>
      <c r="G106" s="22">
        <f>IF($C106="","",IFERROR(INDEX(ENVIOS!$E$4:$E$3003,MATCH($C106,ENVIOS!$A$4:$A$3003,0)),"—"))</f>
        <v/>
      </c>
      <c r="H106" s="22">
        <f>IF($C106="","",IFERROR(INDEX(ENVIOS!$F$4:$F$3003,MATCH($C106,ENVIOS!$A$4:$A$3003,0)),"—"))</f>
        <v/>
      </c>
      <c r="I106" s="27">
        <f>IF($C106="","",IFERROR(INDEX(ENVIOS!$G$4:$G$3003,MATCH($C106,ENVIOS!$A$4:$A$3003,0)),"—"))</f>
        <v/>
      </c>
      <c r="J106" s="48">
        <f>IF($C106="","",IFERROR(INDEX(ENVIOS!$B$4:$B$3003,MATCH($C106,ENVIOS!$A$4:$A$3003,0)),""))</f>
        <v/>
      </c>
      <c r="K106" s="49" t="n"/>
      <c r="L106" s="27">
        <f>IF($K106="","",IFERROR(INDEX(CONFIG!$B$4:$B$43,MATCH($K106,CONFIG!$A$4:$A$43,0)),"Media"))</f>
        <v/>
      </c>
      <c r="M106" s="27">
        <f>IF($K106="","",IFERROR(INDEX(CONFIG!$D$4:$D$43,MATCH($K106,CONFIG!$A$4:$A$43,0)),"NO"))</f>
        <v/>
      </c>
      <c r="N106" s="49" t="n"/>
      <c r="O106" s="27">
        <f>IF($N106="","",IFERROR(INDEX(CONFIG!$G$4:$G$43,MATCH($N106,CONFIG!$F$4:$F$43,0)),"Por definir"))</f>
        <v/>
      </c>
      <c r="P106" s="27">
        <f>IF($N106="","",IFERROR(INDEX(CONFIG!$H$4:$H$43,MATCH($N106,CONFIG!$F$4:$F$43,0)),"Por definir"))</f>
        <v/>
      </c>
      <c r="Q106" s="50" t="n"/>
      <c r="R106" s="51" t="n"/>
      <c r="S106" s="49" t="n"/>
      <c r="T106" s="49" t="n"/>
      <c r="U106" s="48">
        <f>IF(OR($B106="",$K106=""),"",WORKDAY($B106,IFERROR(INDEX(CONFIG!$C$4:$C$43,MATCH($K106,CONFIG!$A$4:$A$43,0)),3)))</f>
        <v/>
      </c>
      <c r="V106" s="46" t="n"/>
      <c r="W106" s="23">
        <f>IF($B106="","",IF($V106&lt;&gt;"",$V106-$B106,TODAY()-$B106))</f>
        <v/>
      </c>
      <c r="X106" s="27">
        <f>IF($C106="","",IF(IFERROR(INDEX(CONFIG!$K$4:$K$43,MATCH($S106,CONFIG!$J$4:$J$43,0)),"NO")="SÍ",IF(OR($V106="",$U106=""),"Resuelta",IF($V106&gt;$U106,"Resuelta tarde","Resuelta a tiempo")),IF($U106="","Sin clasificar",IF(TODAY()&gt;$U106,"Vencida",IF(TODAY()&gt;=$U106-1,"Por vencer","En plazo")))))</f>
        <v/>
      </c>
      <c r="Y106" s="49" t="n"/>
      <c r="Z106" s="49" t="n"/>
    </row>
    <row r="107" ht="16" customHeight="1">
      <c r="A107" s="27">
        <f>IF($C107="","","N-"&amp;TEXT(ROW()-3,"0000"))</f>
        <v/>
      </c>
      <c r="B107" s="46" t="n"/>
      <c r="C107" s="47" t="n"/>
      <c r="D107" s="27">
        <f>IF($C107="","",IF(COUNTIFS(ENVIOS!$A$4:$A$3003,$C107)=0,"NO EXISTE",IF(COUNTIFS(ENVIOS!$A$4:$A$3003,$C107)&gt;1,"DUPLICADA","OK")))</f>
        <v/>
      </c>
      <c r="E107" s="22">
        <f>IF($C107="","",IFERROR(INDEX(ENVIOS!$C$4:$C$3003,MATCH($C107,ENVIOS!$A$4:$A$3003,0)),"—"))</f>
        <v/>
      </c>
      <c r="F107" s="22">
        <f>IF($C107="","",IFERROR(INDEX(ENVIOS!$D$4:$D$3003,MATCH($C107,ENVIOS!$A$4:$A$3003,0)),"—"))</f>
        <v/>
      </c>
      <c r="G107" s="22">
        <f>IF($C107="","",IFERROR(INDEX(ENVIOS!$E$4:$E$3003,MATCH($C107,ENVIOS!$A$4:$A$3003,0)),"—"))</f>
        <v/>
      </c>
      <c r="H107" s="22">
        <f>IF($C107="","",IFERROR(INDEX(ENVIOS!$F$4:$F$3003,MATCH($C107,ENVIOS!$A$4:$A$3003,0)),"—"))</f>
        <v/>
      </c>
      <c r="I107" s="27">
        <f>IF($C107="","",IFERROR(INDEX(ENVIOS!$G$4:$G$3003,MATCH($C107,ENVIOS!$A$4:$A$3003,0)),"—"))</f>
        <v/>
      </c>
      <c r="J107" s="48">
        <f>IF($C107="","",IFERROR(INDEX(ENVIOS!$B$4:$B$3003,MATCH($C107,ENVIOS!$A$4:$A$3003,0)),""))</f>
        <v/>
      </c>
      <c r="K107" s="49" t="n"/>
      <c r="L107" s="27">
        <f>IF($K107="","",IFERROR(INDEX(CONFIG!$B$4:$B$43,MATCH($K107,CONFIG!$A$4:$A$43,0)),"Media"))</f>
        <v/>
      </c>
      <c r="M107" s="27">
        <f>IF($K107="","",IFERROR(INDEX(CONFIG!$D$4:$D$43,MATCH($K107,CONFIG!$A$4:$A$43,0)),"NO"))</f>
        <v/>
      </c>
      <c r="N107" s="49" t="n"/>
      <c r="O107" s="27">
        <f>IF($N107="","",IFERROR(INDEX(CONFIG!$G$4:$G$43,MATCH($N107,CONFIG!$F$4:$F$43,0)),"Por definir"))</f>
        <v/>
      </c>
      <c r="P107" s="27">
        <f>IF($N107="","",IFERROR(INDEX(CONFIG!$H$4:$H$43,MATCH($N107,CONFIG!$F$4:$F$43,0)),"Por definir"))</f>
        <v/>
      </c>
      <c r="Q107" s="50" t="n"/>
      <c r="R107" s="51" t="n"/>
      <c r="S107" s="49" t="n"/>
      <c r="T107" s="49" t="n"/>
      <c r="U107" s="48">
        <f>IF(OR($B107="",$K107=""),"",WORKDAY($B107,IFERROR(INDEX(CONFIG!$C$4:$C$43,MATCH($K107,CONFIG!$A$4:$A$43,0)),3)))</f>
        <v/>
      </c>
      <c r="V107" s="46" t="n"/>
      <c r="W107" s="23">
        <f>IF($B107="","",IF($V107&lt;&gt;"",$V107-$B107,TODAY()-$B107))</f>
        <v/>
      </c>
      <c r="X107" s="27">
        <f>IF($C107="","",IF(IFERROR(INDEX(CONFIG!$K$4:$K$43,MATCH($S107,CONFIG!$J$4:$J$43,0)),"NO")="SÍ",IF(OR($V107="",$U107=""),"Resuelta",IF($V107&gt;$U107,"Resuelta tarde","Resuelta a tiempo")),IF($U107="","Sin clasificar",IF(TODAY()&gt;$U107,"Vencida",IF(TODAY()&gt;=$U107-1,"Por vencer","En plazo")))))</f>
        <v/>
      </c>
      <c r="Y107" s="49" t="n"/>
      <c r="Z107" s="49" t="n"/>
    </row>
    <row r="108" ht="16" customHeight="1">
      <c r="A108" s="27">
        <f>IF($C108="","","N-"&amp;TEXT(ROW()-3,"0000"))</f>
        <v/>
      </c>
      <c r="B108" s="46" t="n"/>
      <c r="C108" s="47" t="n"/>
      <c r="D108" s="27">
        <f>IF($C108="","",IF(COUNTIFS(ENVIOS!$A$4:$A$3003,$C108)=0,"NO EXISTE",IF(COUNTIFS(ENVIOS!$A$4:$A$3003,$C108)&gt;1,"DUPLICADA","OK")))</f>
        <v/>
      </c>
      <c r="E108" s="22">
        <f>IF($C108="","",IFERROR(INDEX(ENVIOS!$C$4:$C$3003,MATCH($C108,ENVIOS!$A$4:$A$3003,0)),"—"))</f>
        <v/>
      </c>
      <c r="F108" s="22">
        <f>IF($C108="","",IFERROR(INDEX(ENVIOS!$D$4:$D$3003,MATCH($C108,ENVIOS!$A$4:$A$3003,0)),"—"))</f>
        <v/>
      </c>
      <c r="G108" s="22">
        <f>IF($C108="","",IFERROR(INDEX(ENVIOS!$E$4:$E$3003,MATCH($C108,ENVIOS!$A$4:$A$3003,0)),"—"))</f>
        <v/>
      </c>
      <c r="H108" s="22">
        <f>IF($C108="","",IFERROR(INDEX(ENVIOS!$F$4:$F$3003,MATCH($C108,ENVIOS!$A$4:$A$3003,0)),"—"))</f>
        <v/>
      </c>
      <c r="I108" s="27">
        <f>IF($C108="","",IFERROR(INDEX(ENVIOS!$G$4:$G$3003,MATCH($C108,ENVIOS!$A$4:$A$3003,0)),"—"))</f>
        <v/>
      </c>
      <c r="J108" s="48">
        <f>IF($C108="","",IFERROR(INDEX(ENVIOS!$B$4:$B$3003,MATCH($C108,ENVIOS!$A$4:$A$3003,0)),""))</f>
        <v/>
      </c>
      <c r="K108" s="49" t="n"/>
      <c r="L108" s="27">
        <f>IF($K108="","",IFERROR(INDEX(CONFIG!$B$4:$B$43,MATCH($K108,CONFIG!$A$4:$A$43,0)),"Media"))</f>
        <v/>
      </c>
      <c r="M108" s="27">
        <f>IF($K108="","",IFERROR(INDEX(CONFIG!$D$4:$D$43,MATCH($K108,CONFIG!$A$4:$A$43,0)),"NO"))</f>
        <v/>
      </c>
      <c r="N108" s="49" t="n"/>
      <c r="O108" s="27">
        <f>IF($N108="","",IFERROR(INDEX(CONFIG!$G$4:$G$43,MATCH($N108,CONFIG!$F$4:$F$43,0)),"Por definir"))</f>
        <v/>
      </c>
      <c r="P108" s="27">
        <f>IF($N108="","",IFERROR(INDEX(CONFIG!$H$4:$H$43,MATCH($N108,CONFIG!$F$4:$F$43,0)),"Por definir"))</f>
        <v/>
      </c>
      <c r="Q108" s="50" t="n"/>
      <c r="R108" s="51" t="n"/>
      <c r="S108" s="49" t="n"/>
      <c r="T108" s="49" t="n"/>
      <c r="U108" s="48">
        <f>IF(OR($B108="",$K108=""),"",WORKDAY($B108,IFERROR(INDEX(CONFIG!$C$4:$C$43,MATCH($K108,CONFIG!$A$4:$A$43,0)),3)))</f>
        <v/>
      </c>
      <c r="V108" s="46" t="n"/>
      <c r="W108" s="23">
        <f>IF($B108="","",IF($V108&lt;&gt;"",$V108-$B108,TODAY()-$B108))</f>
        <v/>
      </c>
      <c r="X108" s="27">
        <f>IF($C108="","",IF(IFERROR(INDEX(CONFIG!$K$4:$K$43,MATCH($S108,CONFIG!$J$4:$J$43,0)),"NO")="SÍ",IF(OR($V108="",$U108=""),"Resuelta",IF($V108&gt;$U108,"Resuelta tarde","Resuelta a tiempo")),IF($U108="","Sin clasificar",IF(TODAY()&gt;$U108,"Vencida",IF(TODAY()&gt;=$U108-1,"Por vencer","En plazo")))))</f>
        <v/>
      </c>
      <c r="Y108" s="49" t="n"/>
      <c r="Z108" s="49" t="n"/>
    </row>
    <row r="109" ht="16" customHeight="1">
      <c r="A109" s="27">
        <f>IF($C109="","","N-"&amp;TEXT(ROW()-3,"0000"))</f>
        <v/>
      </c>
      <c r="B109" s="46" t="n"/>
      <c r="C109" s="47" t="n"/>
      <c r="D109" s="27">
        <f>IF($C109="","",IF(COUNTIFS(ENVIOS!$A$4:$A$3003,$C109)=0,"NO EXISTE",IF(COUNTIFS(ENVIOS!$A$4:$A$3003,$C109)&gt;1,"DUPLICADA","OK")))</f>
        <v/>
      </c>
      <c r="E109" s="22">
        <f>IF($C109="","",IFERROR(INDEX(ENVIOS!$C$4:$C$3003,MATCH($C109,ENVIOS!$A$4:$A$3003,0)),"—"))</f>
        <v/>
      </c>
      <c r="F109" s="22">
        <f>IF($C109="","",IFERROR(INDEX(ENVIOS!$D$4:$D$3003,MATCH($C109,ENVIOS!$A$4:$A$3003,0)),"—"))</f>
        <v/>
      </c>
      <c r="G109" s="22">
        <f>IF($C109="","",IFERROR(INDEX(ENVIOS!$E$4:$E$3003,MATCH($C109,ENVIOS!$A$4:$A$3003,0)),"—"))</f>
        <v/>
      </c>
      <c r="H109" s="22">
        <f>IF($C109="","",IFERROR(INDEX(ENVIOS!$F$4:$F$3003,MATCH($C109,ENVIOS!$A$4:$A$3003,0)),"—"))</f>
        <v/>
      </c>
      <c r="I109" s="27">
        <f>IF($C109="","",IFERROR(INDEX(ENVIOS!$G$4:$G$3003,MATCH($C109,ENVIOS!$A$4:$A$3003,0)),"—"))</f>
        <v/>
      </c>
      <c r="J109" s="48">
        <f>IF($C109="","",IFERROR(INDEX(ENVIOS!$B$4:$B$3003,MATCH($C109,ENVIOS!$A$4:$A$3003,0)),""))</f>
        <v/>
      </c>
      <c r="K109" s="49" t="n"/>
      <c r="L109" s="27">
        <f>IF($K109="","",IFERROR(INDEX(CONFIG!$B$4:$B$43,MATCH($K109,CONFIG!$A$4:$A$43,0)),"Media"))</f>
        <v/>
      </c>
      <c r="M109" s="27">
        <f>IF($K109="","",IFERROR(INDEX(CONFIG!$D$4:$D$43,MATCH($K109,CONFIG!$A$4:$A$43,0)),"NO"))</f>
        <v/>
      </c>
      <c r="N109" s="49" t="n"/>
      <c r="O109" s="27">
        <f>IF($N109="","",IFERROR(INDEX(CONFIG!$G$4:$G$43,MATCH($N109,CONFIG!$F$4:$F$43,0)),"Por definir"))</f>
        <v/>
      </c>
      <c r="P109" s="27">
        <f>IF($N109="","",IFERROR(INDEX(CONFIG!$H$4:$H$43,MATCH($N109,CONFIG!$F$4:$F$43,0)),"Por definir"))</f>
        <v/>
      </c>
      <c r="Q109" s="50" t="n"/>
      <c r="R109" s="51" t="n"/>
      <c r="S109" s="49" t="n"/>
      <c r="T109" s="49" t="n"/>
      <c r="U109" s="48">
        <f>IF(OR($B109="",$K109=""),"",WORKDAY($B109,IFERROR(INDEX(CONFIG!$C$4:$C$43,MATCH($K109,CONFIG!$A$4:$A$43,0)),3)))</f>
        <v/>
      </c>
      <c r="V109" s="46" t="n"/>
      <c r="W109" s="23">
        <f>IF($B109="","",IF($V109&lt;&gt;"",$V109-$B109,TODAY()-$B109))</f>
        <v/>
      </c>
      <c r="X109" s="27">
        <f>IF($C109="","",IF(IFERROR(INDEX(CONFIG!$K$4:$K$43,MATCH($S109,CONFIG!$J$4:$J$43,0)),"NO")="SÍ",IF(OR($V109="",$U109=""),"Resuelta",IF($V109&gt;$U109,"Resuelta tarde","Resuelta a tiempo")),IF($U109="","Sin clasificar",IF(TODAY()&gt;$U109,"Vencida",IF(TODAY()&gt;=$U109-1,"Por vencer","En plazo")))))</f>
        <v/>
      </c>
      <c r="Y109" s="49" t="n"/>
      <c r="Z109" s="49" t="n"/>
    </row>
    <row r="110" ht="16" customHeight="1">
      <c r="A110" s="27">
        <f>IF($C110="","","N-"&amp;TEXT(ROW()-3,"0000"))</f>
        <v/>
      </c>
      <c r="B110" s="46" t="n"/>
      <c r="C110" s="47" t="n"/>
      <c r="D110" s="27">
        <f>IF($C110="","",IF(COUNTIFS(ENVIOS!$A$4:$A$3003,$C110)=0,"NO EXISTE",IF(COUNTIFS(ENVIOS!$A$4:$A$3003,$C110)&gt;1,"DUPLICADA","OK")))</f>
        <v/>
      </c>
      <c r="E110" s="22">
        <f>IF($C110="","",IFERROR(INDEX(ENVIOS!$C$4:$C$3003,MATCH($C110,ENVIOS!$A$4:$A$3003,0)),"—"))</f>
        <v/>
      </c>
      <c r="F110" s="22">
        <f>IF($C110="","",IFERROR(INDEX(ENVIOS!$D$4:$D$3003,MATCH($C110,ENVIOS!$A$4:$A$3003,0)),"—"))</f>
        <v/>
      </c>
      <c r="G110" s="22">
        <f>IF($C110="","",IFERROR(INDEX(ENVIOS!$E$4:$E$3003,MATCH($C110,ENVIOS!$A$4:$A$3003,0)),"—"))</f>
        <v/>
      </c>
      <c r="H110" s="22">
        <f>IF($C110="","",IFERROR(INDEX(ENVIOS!$F$4:$F$3003,MATCH($C110,ENVIOS!$A$4:$A$3003,0)),"—"))</f>
        <v/>
      </c>
      <c r="I110" s="27">
        <f>IF($C110="","",IFERROR(INDEX(ENVIOS!$G$4:$G$3003,MATCH($C110,ENVIOS!$A$4:$A$3003,0)),"—"))</f>
        <v/>
      </c>
      <c r="J110" s="48">
        <f>IF($C110="","",IFERROR(INDEX(ENVIOS!$B$4:$B$3003,MATCH($C110,ENVIOS!$A$4:$A$3003,0)),""))</f>
        <v/>
      </c>
      <c r="K110" s="49" t="n"/>
      <c r="L110" s="27">
        <f>IF($K110="","",IFERROR(INDEX(CONFIG!$B$4:$B$43,MATCH($K110,CONFIG!$A$4:$A$43,0)),"Media"))</f>
        <v/>
      </c>
      <c r="M110" s="27">
        <f>IF($K110="","",IFERROR(INDEX(CONFIG!$D$4:$D$43,MATCH($K110,CONFIG!$A$4:$A$43,0)),"NO"))</f>
        <v/>
      </c>
      <c r="N110" s="49" t="n"/>
      <c r="O110" s="27">
        <f>IF($N110="","",IFERROR(INDEX(CONFIG!$G$4:$G$43,MATCH($N110,CONFIG!$F$4:$F$43,0)),"Por definir"))</f>
        <v/>
      </c>
      <c r="P110" s="27">
        <f>IF($N110="","",IFERROR(INDEX(CONFIG!$H$4:$H$43,MATCH($N110,CONFIG!$F$4:$F$43,0)),"Por definir"))</f>
        <v/>
      </c>
      <c r="Q110" s="50" t="n"/>
      <c r="R110" s="51" t="n"/>
      <c r="S110" s="49" t="n"/>
      <c r="T110" s="49" t="n"/>
      <c r="U110" s="48">
        <f>IF(OR($B110="",$K110=""),"",WORKDAY($B110,IFERROR(INDEX(CONFIG!$C$4:$C$43,MATCH($K110,CONFIG!$A$4:$A$43,0)),3)))</f>
        <v/>
      </c>
      <c r="V110" s="46" t="n"/>
      <c r="W110" s="23">
        <f>IF($B110="","",IF($V110&lt;&gt;"",$V110-$B110,TODAY()-$B110))</f>
        <v/>
      </c>
      <c r="X110" s="27">
        <f>IF($C110="","",IF(IFERROR(INDEX(CONFIG!$K$4:$K$43,MATCH($S110,CONFIG!$J$4:$J$43,0)),"NO")="SÍ",IF(OR($V110="",$U110=""),"Resuelta",IF($V110&gt;$U110,"Resuelta tarde","Resuelta a tiempo")),IF($U110="","Sin clasificar",IF(TODAY()&gt;$U110,"Vencida",IF(TODAY()&gt;=$U110-1,"Por vencer","En plazo")))))</f>
        <v/>
      </c>
      <c r="Y110" s="49" t="n"/>
      <c r="Z110" s="49" t="n"/>
    </row>
    <row r="111" ht="16" customHeight="1">
      <c r="A111" s="27">
        <f>IF($C111="","","N-"&amp;TEXT(ROW()-3,"0000"))</f>
        <v/>
      </c>
      <c r="B111" s="46" t="n"/>
      <c r="C111" s="47" t="n"/>
      <c r="D111" s="27">
        <f>IF($C111="","",IF(COUNTIFS(ENVIOS!$A$4:$A$3003,$C111)=0,"NO EXISTE",IF(COUNTIFS(ENVIOS!$A$4:$A$3003,$C111)&gt;1,"DUPLICADA","OK")))</f>
        <v/>
      </c>
      <c r="E111" s="22">
        <f>IF($C111="","",IFERROR(INDEX(ENVIOS!$C$4:$C$3003,MATCH($C111,ENVIOS!$A$4:$A$3003,0)),"—"))</f>
        <v/>
      </c>
      <c r="F111" s="22">
        <f>IF($C111="","",IFERROR(INDEX(ENVIOS!$D$4:$D$3003,MATCH($C111,ENVIOS!$A$4:$A$3003,0)),"—"))</f>
        <v/>
      </c>
      <c r="G111" s="22">
        <f>IF($C111="","",IFERROR(INDEX(ENVIOS!$E$4:$E$3003,MATCH($C111,ENVIOS!$A$4:$A$3003,0)),"—"))</f>
        <v/>
      </c>
      <c r="H111" s="22">
        <f>IF($C111="","",IFERROR(INDEX(ENVIOS!$F$4:$F$3003,MATCH($C111,ENVIOS!$A$4:$A$3003,0)),"—"))</f>
        <v/>
      </c>
      <c r="I111" s="27">
        <f>IF($C111="","",IFERROR(INDEX(ENVIOS!$G$4:$G$3003,MATCH($C111,ENVIOS!$A$4:$A$3003,0)),"—"))</f>
        <v/>
      </c>
      <c r="J111" s="48">
        <f>IF($C111="","",IFERROR(INDEX(ENVIOS!$B$4:$B$3003,MATCH($C111,ENVIOS!$A$4:$A$3003,0)),""))</f>
        <v/>
      </c>
      <c r="K111" s="49" t="n"/>
      <c r="L111" s="27">
        <f>IF($K111="","",IFERROR(INDEX(CONFIG!$B$4:$B$43,MATCH($K111,CONFIG!$A$4:$A$43,0)),"Media"))</f>
        <v/>
      </c>
      <c r="M111" s="27">
        <f>IF($K111="","",IFERROR(INDEX(CONFIG!$D$4:$D$43,MATCH($K111,CONFIG!$A$4:$A$43,0)),"NO"))</f>
        <v/>
      </c>
      <c r="N111" s="49" t="n"/>
      <c r="O111" s="27">
        <f>IF($N111="","",IFERROR(INDEX(CONFIG!$G$4:$G$43,MATCH($N111,CONFIG!$F$4:$F$43,0)),"Por definir"))</f>
        <v/>
      </c>
      <c r="P111" s="27">
        <f>IF($N111="","",IFERROR(INDEX(CONFIG!$H$4:$H$43,MATCH($N111,CONFIG!$F$4:$F$43,0)),"Por definir"))</f>
        <v/>
      </c>
      <c r="Q111" s="50" t="n"/>
      <c r="R111" s="51" t="n"/>
      <c r="S111" s="49" t="n"/>
      <c r="T111" s="49" t="n"/>
      <c r="U111" s="48">
        <f>IF(OR($B111="",$K111=""),"",WORKDAY($B111,IFERROR(INDEX(CONFIG!$C$4:$C$43,MATCH($K111,CONFIG!$A$4:$A$43,0)),3)))</f>
        <v/>
      </c>
      <c r="V111" s="46" t="n"/>
      <c r="W111" s="23">
        <f>IF($B111="","",IF($V111&lt;&gt;"",$V111-$B111,TODAY()-$B111))</f>
        <v/>
      </c>
      <c r="X111" s="27">
        <f>IF($C111="","",IF(IFERROR(INDEX(CONFIG!$K$4:$K$43,MATCH($S111,CONFIG!$J$4:$J$43,0)),"NO")="SÍ",IF(OR($V111="",$U111=""),"Resuelta",IF($V111&gt;$U111,"Resuelta tarde","Resuelta a tiempo")),IF($U111="","Sin clasificar",IF(TODAY()&gt;$U111,"Vencida",IF(TODAY()&gt;=$U111-1,"Por vencer","En plazo")))))</f>
        <v/>
      </c>
      <c r="Y111" s="49" t="n"/>
      <c r="Z111" s="49" t="n"/>
    </row>
    <row r="112" ht="16" customHeight="1">
      <c r="A112" s="27">
        <f>IF($C112="","","N-"&amp;TEXT(ROW()-3,"0000"))</f>
        <v/>
      </c>
      <c r="B112" s="46" t="n"/>
      <c r="C112" s="47" t="n"/>
      <c r="D112" s="27">
        <f>IF($C112="","",IF(COUNTIFS(ENVIOS!$A$4:$A$3003,$C112)=0,"NO EXISTE",IF(COUNTIFS(ENVIOS!$A$4:$A$3003,$C112)&gt;1,"DUPLICADA","OK")))</f>
        <v/>
      </c>
      <c r="E112" s="22">
        <f>IF($C112="","",IFERROR(INDEX(ENVIOS!$C$4:$C$3003,MATCH($C112,ENVIOS!$A$4:$A$3003,0)),"—"))</f>
        <v/>
      </c>
      <c r="F112" s="22">
        <f>IF($C112="","",IFERROR(INDEX(ENVIOS!$D$4:$D$3003,MATCH($C112,ENVIOS!$A$4:$A$3003,0)),"—"))</f>
        <v/>
      </c>
      <c r="G112" s="22">
        <f>IF($C112="","",IFERROR(INDEX(ENVIOS!$E$4:$E$3003,MATCH($C112,ENVIOS!$A$4:$A$3003,0)),"—"))</f>
        <v/>
      </c>
      <c r="H112" s="22">
        <f>IF($C112="","",IFERROR(INDEX(ENVIOS!$F$4:$F$3003,MATCH($C112,ENVIOS!$A$4:$A$3003,0)),"—"))</f>
        <v/>
      </c>
      <c r="I112" s="27">
        <f>IF($C112="","",IFERROR(INDEX(ENVIOS!$G$4:$G$3003,MATCH($C112,ENVIOS!$A$4:$A$3003,0)),"—"))</f>
        <v/>
      </c>
      <c r="J112" s="48">
        <f>IF($C112="","",IFERROR(INDEX(ENVIOS!$B$4:$B$3003,MATCH($C112,ENVIOS!$A$4:$A$3003,0)),""))</f>
        <v/>
      </c>
      <c r="K112" s="49" t="n"/>
      <c r="L112" s="27">
        <f>IF($K112="","",IFERROR(INDEX(CONFIG!$B$4:$B$43,MATCH($K112,CONFIG!$A$4:$A$43,0)),"Media"))</f>
        <v/>
      </c>
      <c r="M112" s="27">
        <f>IF($K112="","",IFERROR(INDEX(CONFIG!$D$4:$D$43,MATCH($K112,CONFIG!$A$4:$A$43,0)),"NO"))</f>
        <v/>
      </c>
      <c r="N112" s="49" t="n"/>
      <c r="O112" s="27">
        <f>IF($N112="","",IFERROR(INDEX(CONFIG!$G$4:$G$43,MATCH($N112,CONFIG!$F$4:$F$43,0)),"Por definir"))</f>
        <v/>
      </c>
      <c r="P112" s="27">
        <f>IF($N112="","",IFERROR(INDEX(CONFIG!$H$4:$H$43,MATCH($N112,CONFIG!$F$4:$F$43,0)),"Por definir"))</f>
        <v/>
      </c>
      <c r="Q112" s="50" t="n"/>
      <c r="R112" s="51" t="n"/>
      <c r="S112" s="49" t="n"/>
      <c r="T112" s="49" t="n"/>
      <c r="U112" s="48">
        <f>IF(OR($B112="",$K112=""),"",WORKDAY($B112,IFERROR(INDEX(CONFIG!$C$4:$C$43,MATCH($K112,CONFIG!$A$4:$A$43,0)),3)))</f>
        <v/>
      </c>
      <c r="V112" s="46" t="n"/>
      <c r="W112" s="23">
        <f>IF($B112="","",IF($V112&lt;&gt;"",$V112-$B112,TODAY()-$B112))</f>
        <v/>
      </c>
      <c r="X112" s="27">
        <f>IF($C112="","",IF(IFERROR(INDEX(CONFIG!$K$4:$K$43,MATCH($S112,CONFIG!$J$4:$J$43,0)),"NO")="SÍ",IF(OR($V112="",$U112=""),"Resuelta",IF($V112&gt;$U112,"Resuelta tarde","Resuelta a tiempo")),IF($U112="","Sin clasificar",IF(TODAY()&gt;$U112,"Vencida",IF(TODAY()&gt;=$U112-1,"Por vencer","En plazo")))))</f>
        <v/>
      </c>
      <c r="Y112" s="49" t="n"/>
      <c r="Z112" s="49" t="n"/>
    </row>
    <row r="113" ht="16" customHeight="1">
      <c r="A113" s="27">
        <f>IF($C113="","","N-"&amp;TEXT(ROW()-3,"0000"))</f>
        <v/>
      </c>
      <c r="B113" s="46" t="n"/>
      <c r="C113" s="47" t="n"/>
      <c r="D113" s="27">
        <f>IF($C113="","",IF(COUNTIFS(ENVIOS!$A$4:$A$3003,$C113)=0,"NO EXISTE",IF(COUNTIFS(ENVIOS!$A$4:$A$3003,$C113)&gt;1,"DUPLICADA","OK")))</f>
        <v/>
      </c>
      <c r="E113" s="22">
        <f>IF($C113="","",IFERROR(INDEX(ENVIOS!$C$4:$C$3003,MATCH($C113,ENVIOS!$A$4:$A$3003,0)),"—"))</f>
        <v/>
      </c>
      <c r="F113" s="22">
        <f>IF($C113="","",IFERROR(INDEX(ENVIOS!$D$4:$D$3003,MATCH($C113,ENVIOS!$A$4:$A$3003,0)),"—"))</f>
        <v/>
      </c>
      <c r="G113" s="22">
        <f>IF($C113="","",IFERROR(INDEX(ENVIOS!$E$4:$E$3003,MATCH($C113,ENVIOS!$A$4:$A$3003,0)),"—"))</f>
        <v/>
      </c>
      <c r="H113" s="22">
        <f>IF($C113="","",IFERROR(INDEX(ENVIOS!$F$4:$F$3003,MATCH($C113,ENVIOS!$A$4:$A$3003,0)),"—"))</f>
        <v/>
      </c>
      <c r="I113" s="27">
        <f>IF($C113="","",IFERROR(INDEX(ENVIOS!$G$4:$G$3003,MATCH($C113,ENVIOS!$A$4:$A$3003,0)),"—"))</f>
        <v/>
      </c>
      <c r="J113" s="48">
        <f>IF($C113="","",IFERROR(INDEX(ENVIOS!$B$4:$B$3003,MATCH($C113,ENVIOS!$A$4:$A$3003,0)),""))</f>
        <v/>
      </c>
      <c r="K113" s="49" t="n"/>
      <c r="L113" s="27">
        <f>IF($K113="","",IFERROR(INDEX(CONFIG!$B$4:$B$43,MATCH($K113,CONFIG!$A$4:$A$43,0)),"Media"))</f>
        <v/>
      </c>
      <c r="M113" s="27">
        <f>IF($K113="","",IFERROR(INDEX(CONFIG!$D$4:$D$43,MATCH($K113,CONFIG!$A$4:$A$43,0)),"NO"))</f>
        <v/>
      </c>
      <c r="N113" s="49" t="n"/>
      <c r="O113" s="27">
        <f>IF($N113="","",IFERROR(INDEX(CONFIG!$G$4:$G$43,MATCH($N113,CONFIG!$F$4:$F$43,0)),"Por definir"))</f>
        <v/>
      </c>
      <c r="P113" s="27">
        <f>IF($N113="","",IFERROR(INDEX(CONFIG!$H$4:$H$43,MATCH($N113,CONFIG!$F$4:$F$43,0)),"Por definir"))</f>
        <v/>
      </c>
      <c r="Q113" s="50" t="n"/>
      <c r="R113" s="51" t="n"/>
      <c r="S113" s="49" t="n"/>
      <c r="T113" s="49" t="n"/>
      <c r="U113" s="48">
        <f>IF(OR($B113="",$K113=""),"",WORKDAY($B113,IFERROR(INDEX(CONFIG!$C$4:$C$43,MATCH($K113,CONFIG!$A$4:$A$43,0)),3)))</f>
        <v/>
      </c>
      <c r="V113" s="46" t="n"/>
      <c r="W113" s="23">
        <f>IF($B113="","",IF($V113&lt;&gt;"",$V113-$B113,TODAY()-$B113))</f>
        <v/>
      </c>
      <c r="X113" s="27">
        <f>IF($C113="","",IF(IFERROR(INDEX(CONFIG!$K$4:$K$43,MATCH($S113,CONFIG!$J$4:$J$43,0)),"NO")="SÍ",IF(OR($V113="",$U113=""),"Resuelta",IF($V113&gt;$U113,"Resuelta tarde","Resuelta a tiempo")),IF($U113="","Sin clasificar",IF(TODAY()&gt;$U113,"Vencida",IF(TODAY()&gt;=$U113-1,"Por vencer","En plazo")))))</f>
        <v/>
      </c>
      <c r="Y113" s="49" t="n"/>
      <c r="Z113" s="49" t="n"/>
    </row>
    <row r="114" ht="16" customHeight="1">
      <c r="A114" s="27">
        <f>IF($C114="","","N-"&amp;TEXT(ROW()-3,"0000"))</f>
        <v/>
      </c>
      <c r="B114" s="46" t="n"/>
      <c r="C114" s="47" t="n"/>
      <c r="D114" s="27">
        <f>IF($C114="","",IF(COUNTIFS(ENVIOS!$A$4:$A$3003,$C114)=0,"NO EXISTE",IF(COUNTIFS(ENVIOS!$A$4:$A$3003,$C114)&gt;1,"DUPLICADA","OK")))</f>
        <v/>
      </c>
      <c r="E114" s="22">
        <f>IF($C114="","",IFERROR(INDEX(ENVIOS!$C$4:$C$3003,MATCH($C114,ENVIOS!$A$4:$A$3003,0)),"—"))</f>
        <v/>
      </c>
      <c r="F114" s="22">
        <f>IF($C114="","",IFERROR(INDEX(ENVIOS!$D$4:$D$3003,MATCH($C114,ENVIOS!$A$4:$A$3003,0)),"—"))</f>
        <v/>
      </c>
      <c r="G114" s="22">
        <f>IF($C114="","",IFERROR(INDEX(ENVIOS!$E$4:$E$3003,MATCH($C114,ENVIOS!$A$4:$A$3003,0)),"—"))</f>
        <v/>
      </c>
      <c r="H114" s="22">
        <f>IF($C114="","",IFERROR(INDEX(ENVIOS!$F$4:$F$3003,MATCH($C114,ENVIOS!$A$4:$A$3003,0)),"—"))</f>
        <v/>
      </c>
      <c r="I114" s="27">
        <f>IF($C114="","",IFERROR(INDEX(ENVIOS!$G$4:$G$3003,MATCH($C114,ENVIOS!$A$4:$A$3003,0)),"—"))</f>
        <v/>
      </c>
      <c r="J114" s="48">
        <f>IF($C114="","",IFERROR(INDEX(ENVIOS!$B$4:$B$3003,MATCH($C114,ENVIOS!$A$4:$A$3003,0)),""))</f>
        <v/>
      </c>
      <c r="K114" s="49" t="n"/>
      <c r="L114" s="27">
        <f>IF($K114="","",IFERROR(INDEX(CONFIG!$B$4:$B$43,MATCH($K114,CONFIG!$A$4:$A$43,0)),"Media"))</f>
        <v/>
      </c>
      <c r="M114" s="27">
        <f>IF($K114="","",IFERROR(INDEX(CONFIG!$D$4:$D$43,MATCH($K114,CONFIG!$A$4:$A$43,0)),"NO"))</f>
        <v/>
      </c>
      <c r="N114" s="49" t="n"/>
      <c r="O114" s="27">
        <f>IF($N114="","",IFERROR(INDEX(CONFIG!$G$4:$G$43,MATCH($N114,CONFIG!$F$4:$F$43,0)),"Por definir"))</f>
        <v/>
      </c>
      <c r="P114" s="27">
        <f>IF($N114="","",IFERROR(INDEX(CONFIG!$H$4:$H$43,MATCH($N114,CONFIG!$F$4:$F$43,0)),"Por definir"))</f>
        <v/>
      </c>
      <c r="Q114" s="50" t="n"/>
      <c r="R114" s="51" t="n"/>
      <c r="S114" s="49" t="n"/>
      <c r="T114" s="49" t="n"/>
      <c r="U114" s="48">
        <f>IF(OR($B114="",$K114=""),"",WORKDAY($B114,IFERROR(INDEX(CONFIG!$C$4:$C$43,MATCH($K114,CONFIG!$A$4:$A$43,0)),3)))</f>
        <v/>
      </c>
      <c r="V114" s="46" t="n"/>
      <c r="W114" s="23">
        <f>IF($B114="","",IF($V114&lt;&gt;"",$V114-$B114,TODAY()-$B114))</f>
        <v/>
      </c>
      <c r="X114" s="27">
        <f>IF($C114="","",IF(IFERROR(INDEX(CONFIG!$K$4:$K$43,MATCH($S114,CONFIG!$J$4:$J$43,0)),"NO")="SÍ",IF(OR($V114="",$U114=""),"Resuelta",IF($V114&gt;$U114,"Resuelta tarde","Resuelta a tiempo")),IF($U114="","Sin clasificar",IF(TODAY()&gt;$U114,"Vencida",IF(TODAY()&gt;=$U114-1,"Por vencer","En plazo")))))</f>
        <v/>
      </c>
      <c r="Y114" s="49" t="n"/>
      <c r="Z114" s="49" t="n"/>
    </row>
    <row r="115" ht="16" customHeight="1">
      <c r="A115" s="27">
        <f>IF($C115="","","N-"&amp;TEXT(ROW()-3,"0000"))</f>
        <v/>
      </c>
      <c r="B115" s="46" t="n"/>
      <c r="C115" s="47" t="n"/>
      <c r="D115" s="27">
        <f>IF($C115="","",IF(COUNTIFS(ENVIOS!$A$4:$A$3003,$C115)=0,"NO EXISTE",IF(COUNTIFS(ENVIOS!$A$4:$A$3003,$C115)&gt;1,"DUPLICADA","OK")))</f>
        <v/>
      </c>
      <c r="E115" s="22">
        <f>IF($C115="","",IFERROR(INDEX(ENVIOS!$C$4:$C$3003,MATCH($C115,ENVIOS!$A$4:$A$3003,0)),"—"))</f>
        <v/>
      </c>
      <c r="F115" s="22">
        <f>IF($C115="","",IFERROR(INDEX(ENVIOS!$D$4:$D$3003,MATCH($C115,ENVIOS!$A$4:$A$3003,0)),"—"))</f>
        <v/>
      </c>
      <c r="G115" s="22">
        <f>IF($C115="","",IFERROR(INDEX(ENVIOS!$E$4:$E$3003,MATCH($C115,ENVIOS!$A$4:$A$3003,0)),"—"))</f>
        <v/>
      </c>
      <c r="H115" s="22">
        <f>IF($C115="","",IFERROR(INDEX(ENVIOS!$F$4:$F$3003,MATCH($C115,ENVIOS!$A$4:$A$3003,0)),"—"))</f>
        <v/>
      </c>
      <c r="I115" s="27">
        <f>IF($C115="","",IFERROR(INDEX(ENVIOS!$G$4:$G$3003,MATCH($C115,ENVIOS!$A$4:$A$3003,0)),"—"))</f>
        <v/>
      </c>
      <c r="J115" s="48">
        <f>IF($C115="","",IFERROR(INDEX(ENVIOS!$B$4:$B$3003,MATCH($C115,ENVIOS!$A$4:$A$3003,0)),""))</f>
        <v/>
      </c>
      <c r="K115" s="49" t="n"/>
      <c r="L115" s="27">
        <f>IF($K115="","",IFERROR(INDEX(CONFIG!$B$4:$B$43,MATCH($K115,CONFIG!$A$4:$A$43,0)),"Media"))</f>
        <v/>
      </c>
      <c r="M115" s="27">
        <f>IF($K115="","",IFERROR(INDEX(CONFIG!$D$4:$D$43,MATCH($K115,CONFIG!$A$4:$A$43,0)),"NO"))</f>
        <v/>
      </c>
      <c r="N115" s="49" t="n"/>
      <c r="O115" s="27">
        <f>IF($N115="","",IFERROR(INDEX(CONFIG!$G$4:$G$43,MATCH($N115,CONFIG!$F$4:$F$43,0)),"Por definir"))</f>
        <v/>
      </c>
      <c r="P115" s="27">
        <f>IF($N115="","",IFERROR(INDEX(CONFIG!$H$4:$H$43,MATCH($N115,CONFIG!$F$4:$F$43,0)),"Por definir"))</f>
        <v/>
      </c>
      <c r="Q115" s="50" t="n"/>
      <c r="R115" s="51" t="n"/>
      <c r="S115" s="49" t="n"/>
      <c r="T115" s="49" t="n"/>
      <c r="U115" s="48">
        <f>IF(OR($B115="",$K115=""),"",WORKDAY($B115,IFERROR(INDEX(CONFIG!$C$4:$C$43,MATCH($K115,CONFIG!$A$4:$A$43,0)),3)))</f>
        <v/>
      </c>
      <c r="V115" s="46" t="n"/>
      <c r="W115" s="23">
        <f>IF($B115="","",IF($V115&lt;&gt;"",$V115-$B115,TODAY()-$B115))</f>
        <v/>
      </c>
      <c r="X115" s="27">
        <f>IF($C115="","",IF(IFERROR(INDEX(CONFIG!$K$4:$K$43,MATCH($S115,CONFIG!$J$4:$J$43,0)),"NO")="SÍ",IF(OR($V115="",$U115=""),"Resuelta",IF($V115&gt;$U115,"Resuelta tarde","Resuelta a tiempo")),IF($U115="","Sin clasificar",IF(TODAY()&gt;$U115,"Vencida",IF(TODAY()&gt;=$U115-1,"Por vencer","En plazo")))))</f>
        <v/>
      </c>
      <c r="Y115" s="49" t="n"/>
      <c r="Z115" s="49" t="n"/>
    </row>
    <row r="116" ht="16" customHeight="1">
      <c r="A116" s="27">
        <f>IF($C116="","","N-"&amp;TEXT(ROW()-3,"0000"))</f>
        <v/>
      </c>
      <c r="B116" s="46" t="n"/>
      <c r="C116" s="47" t="n"/>
      <c r="D116" s="27">
        <f>IF($C116="","",IF(COUNTIFS(ENVIOS!$A$4:$A$3003,$C116)=0,"NO EXISTE",IF(COUNTIFS(ENVIOS!$A$4:$A$3003,$C116)&gt;1,"DUPLICADA","OK")))</f>
        <v/>
      </c>
      <c r="E116" s="22">
        <f>IF($C116="","",IFERROR(INDEX(ENVIOS!$C$4:$C$3003,MATCH($C116,ENVIOS!$A$4:$A$3003,0)),"—"))</f>
        <v/>
      </c>
      <c r="F116" s="22">
        <f>IF($C116="","",IFERROR(INDEX(ENVIOS!$D$4:$D$3003,MATCH($C116,ENVIOS!$A$4:$A$3003,0)),"—"))</f>
        <v/>
      </c>
      <c r="G116" s="22">
        <f>IF($C116="","",IFERROR(INDEX(ENVIOS!$E$4:$E$3003,MATCH($C116,ENVIOS!$A$4:$A$3003,0)),"—"))</f>
        <v/>
      </c>
      <c r="H116" s="22">
        <f>IF($C116="","",IFERROR(INDEX(ENVIOS!$F$4:$F$3003,MATCH($C116,ENVIOS!$A$4:$A$3003,0)),"—"))</f>
        <v/>
      </c>
      <c r="I116" s="27">
        <f>IF($C116="","",IFERROR(INDEX(ENVIOS!$G$4:$G$3003,MATCH($C116,ENVIOS!$A$4:$A$3003,0)),"—"))</f>
        <v/>
      </c>
      <c r="J116" s="48">
        <f>IF($C116="","",IFERROR(INDEX(ENVIOS!$B$4:$B$3003,MATCH($C116,ENVIOS!$A$4:$A$3003,0)),""))</f>
        <v/>
      </c>
      <c r="K116" s="49" t="n"/>
      <c r="L116" s="27">
        <f>IF($K116="","",IFERROR(INDEX(CONFIG!$B$4:$B$43,MATCH($K116,CONFIG!$A$4:$A$43,0)),"Media"))</f>
        <v/>
      </c>
      <c r="M116" s="27">
        <f>IF($K116="","",IFERROR(INDEX(CONFIG!$D$4:$D$43,MATCH($K116,CONFIG!$A$4:$A$43,0)),"NO"))</f>
        <v/>
      </c>
      <c r="N116" s="49" t="n"/>
      <c r="O116" s="27">
        <f>IF($N116="","",IFERROR(INDEX(CONFIG!$G$4:$G$43,MATCH($N116,CONFIG!$F$4:$F$43,0)),"Por definir"))</f>
        <v/>
      </c>
      <c r="P116" s="27">
        <f>IF($N116="","",IFERROR(INDEX(CONFIG!$H$4:$H$43,MATCH($N116,CONFIG!$F$4:$F$43,0)),"Por definir"))</f>
        <v/>
      </c>
      <c r="Q116" s="50" t="n"/>
      <c r="R116" s="51" t="n"/>
      <c r="S116" s="49" t="n"/>
      <c r="T116" s="49" t="n"/>
      <c r="U116" s="48">
        <f>IF(OR($B116="",$K116=""),"",WORKDAY($B116,IFERROR(INDEX(CONFIG!$C$4:$C$43,MATCH($K116,CONFIG!$A$4:$A$43,0)),3)))</f>
        <v/>
      </c>
      <c r="V116" s="46" t="n"/>
      <c r="W116" s="23">
        <f>IF($B116="","",IF($V116&lt;&gt;"",$V116-$B116,TODAY()-$B116))</f>
        <v/>
      </c>
      <c r="X116" s="27">
        <f>IF($C116="","",IF(IFERROR(INDEX(CONFIG!$K$4:$K$43,MATCH($S116,CONFIG!$J$4:$J$43,0)),"NO")="SÍ",IF(OR($V116="",$U116=""),"Resuelta",IF($V116&gt;$U116,"Resuelta tarde","Resuelta a tiempo")),IF($U116="","Sin clasificar",IF(TODAY()&gt;$U116,"Vencida",IF(TODAY()&gt;=$U116-1,"Por vencer","En plazo")))))</f>
        <v/>
      </c>
      <c r="Y116" s="49" t="n"/>
      <c r="Z116" s="49" t="n"/>
    </row>
    <row r="117" ht="16" customHeight="1">
      <c r="A117" s="27">
        <f>IF($C117="","","N-"&amp;TEXT(ROW()-3,"0000"))</f>
        <v/>
      </c>
      <c r="B117" s="46" t="n"/>
      <c r="C117" s="47" t="n"/>
      <c r="D117" s="27">
        <f>IF($C117="","",IF(COUNTIFS(ENVIOS!$A$4:$A$3003,$C117)=0,"NO EXISTE",IF(COUNTIFS(ENVIOS!$A$4:$A$3003,$C117)&gt;1,"DUPLICADA","OK")))</f>
        <v/>
      </c>
      <c r="E117" s="22">
        <f>IF($C117="","",IFERROR(INDEX(ENVIOS!$C$4:$C$3003,MATCH($C117,ENVIOS!$A$4:$A$3003,0)),"—"))</f>
        <v/>
      </c>
      <c r="F117" s="22">
        <f>IF($C117="","",IFERROR(INDEX(ENVIOS!$D$4:$D$3003,MATCH($C117,ENVIOS!$A$4:$A$3003,0)),"—"))</f>
        <v/>
      </c>
      <c r="G117" s="22">
        <f>IF($C117="","",IFERROR(INDEX(ENVIOS!$E$4:$E$3003,MATCH($C117,ENVIOS!$A$4:$A$3003,0)),"—"))</f>
        <v/>
      </c>
      <c r="H117" s="22">
        <f>IF($C117="","",IFERROR(INDEX(ENVIOS!$F$4:$F$3003,MATCH($C117,ENVIOS!$A$4:$A$3003,0)),"—"))</f>
        <v/>
      </c>
      <c r="I117" s="27">
        <f>IF($C117="","",IFERROR(INDEX(ENVIOS!$G$4:$G$3003,MATCH($C117,ENVIOS!$A$4:$A$3003,0)),"—"))</f>
        <v/>
      </c>
      <c r="J117" s="48">
        <f>IF($C117="","",IFERROR(INDEX(ENVIOS!$B$4:$B$3003,MATCH($C117,ENVIOS!$A$4:$A$3003,0)),""))</f>
        <v/>
      </c>
      <c r="K117" s="49" t="n"/>
      <c r="L117" s="27">
        <f>IF($K117="","",IFERROR(INDEX(CONFIG!$B$4:$B$43,MATCH($K117,CONFIG!$A$4:$A$43,0)),"Media"))</f>
        <v/>
      </c>
      <c r="M117" s="27">
        <f>IF($K117="","",IFERROR(INDEX(CONFIG!$D$4:$D$43,MATCH($K117,CONFIG!$A$4:$A$43,0)),"NO"))</f>
        <v/>
      </c>
      <c r="N117" s="49" t="n"/>
      <c r="O117" s="27">
        <f>IF($N117="","",IFERROR(INDEX(CONFIG!$G$4:$G$43,MATCH($N117,CONFIG!$F$4:$F$43,0)),"Por definir"))</f>
        <v/>
      </c>
      <c r="P117" s="27">
        <f>IF($N117="","",IFERROR(INDEX(CONFIG!$H$4:$H$43,MATCH($N117,CONFIG!$F$4:$F$43,0)),"Por definir"))</f>
        <v/>
      </c>
      <c r="Q117" s="50" t="n"/>
      <c r="R117" s="51" t="n"/>
      <c r="S117" s="49" t="n"/>
      <c r="T117" s="49" t="n"/>
      <c r="U117" s="48">
        <f>IF(OR($B117="",$K117=""),"",WORKDAY($B117,IFERROR(INDEX(CONFIG!$C$4:$C$43,MATCH($K117,CONFIG!$A$4:$A$43,0)),3)))</f>
        <v/>
      </c>
      <c r="V117" s="46" t="n"/>
      <c r="W117" s="23">
        <f>IF($B117="","",IF($V117&lt;&gt;"",$V117-$B117,TODAY()-$B117))</f>
        <v/>
      </c>
      <c r="X117" s="27">
        <f>IF($C117="","",IF(IFERROR(INDEX(CONFIG!$K$4:$K$43,MATCH($S117,CONFIG!$J$4:$J$43,0)),"NO")="SÍ",IF(OR($V117="",$U117=""),"Resuelta",IF($V117&gt;$U117,"Resuelta tarde","Resuelta a tiempo")),IF($U117="","Sin clasificar",IF(TODAY()&gt;$U117,"Vencida",IF(TODAY()&gt;=$U117-1,"Por vencer","En plazo")))))</f>
        <v/>
      </c>
      <c r="Y117" s="49" t="n"/>
      <c r="Z117" s="49" t="n"/>
    </row>
    <row r="118" ht="16" customHeight="1">
      <c r="A118" s="27">
        <f>IF($C118="","","N-"&amp;TEXT(ROW()-3,"0000"))</f>
        <v/>
      </c>
      <c r="B118" s="46" t="n"/>
      <c r="C118" s="47" t="n"/>
      <c r="D118" s="27">
        <f>IF($C118="","",IF(COUNTIFS(ENVIOS!$A$4:$A$3003,$C118)=0,"NO EXISTE",IF(COUNTIFS(ENVIOS!$A$4:$A$3003,$C118)&gt;1,"DUPLICADA","OK")))</f>
        <v/>
      </c>
      <c r="E118" s="22">
        <f>IF($C118="","",IFERROR(INDEX(ENVIOS!$C$4:$C$3003,MATCH($C118,ENVIOS!$A$4:$A$3003,0)),"—"))</f>
        <v/>
      </c>
      <c r="F118" s="22">
        <f>IF($C118="","",IFERROR(INDEX(ENVIOS!$D$4:$D$3003,MATCH($C118,ENVIOS!$A$4:$A$3003,0)),"—"))</f>
        <v/>
      </c>
      <c r="G118" s="22">
        <f>IF($C118="","",IFERROR(INDEX(ENVIOS!$E$4:$E$3003,MATCH($C118,ENVIOS!$A$4:$A$3003,0)),"—"))</f>
        <v/>
      </c>
      <c r="H118" s="22">
        <f>IF($C118="","",IFERROR(INDEX(ENVIOS!$F$4:$F$3003,MATCH($C118,ENVIOS!$A$4:$A$3003,0)),"—"))</f>
        <v/>
      </c>
      <c r="I118" s="27">
        <f>IF($C118="","",IFERROR(INDEX(ENVIOS!$G$4:$G$3003,MATCH($C118,ENVIOS!$A$4:$A$3003,0)),"—"))</f>
        <v/>
      </c>
      <c r="J118" s="48">
        <f>IF($C118="","",IFERROR(INDEX(ENVIOS!$B$4:$B$3003,MATCH($C118,ENVIOS!$A$4:$A$3003,0)),""))</f>
        <v/>
      </c>
      <c r="K118" s="49" t="n"/>
      <c r="L118" s="27">
        <f>IF($K118="","",IFERROR(INDEX(CONFIG!$B$4:$B$43,MATCH($K118,CONFIG!$A$4:$A$43,0)),"Media"))</f>
        <v/>
      </c>
      <c r="M118" s="27">
        <f>IF($K118="","",IFERROR(INDEX(CONFIG!$D$4:$D$43,MATCH($K118,CONFIG!$A$4:$A$43,0)),"NO"))</f>
        <v/>
      </c>
      <c r="N118" s="49" t="n"/>
      <c r="O118" s="27">
        <f>IF($N118="","",IFERROR(INDEX(CONFIG!$G$4:$G$43,MATCH($N118,CONFIG!$F$4:$F$43,0)),"Por definir"))</f>
        <v/>
      </c>
      <c r="P118" s="27">
        <f>IF($N118="","",IFERROR(INDEX(CONFIG!$H$4:$H$43,MATCH($N118,CONFIG!$F$4:$F$43,0)),"Por definir"))</f>
        <v/>
      </c>
      <c r="Q118" s="50" t="n"/>
      <c r="R118" s="51" t="n"/>
      <c r="S118" s="49" t="n"/>
      <c r="T118" s="49" t="n"/>
      <c r="U118" s="48">
        <f>IF(OR($B118="",$K118=""),"",WORKDAY($B118,IFERROR(INDEX(CONFIG!$C$4:$C$43,MATCH($K118,CONFIG!$A$4:$A$43,0)),3)))</f>
        <v/>
      </c>
      <c r="V118" s="46" t="n"/>
      <c r="W118" s="23">
        <f>IF($B118="","",IF($V118&lt;&gt;"",$V118-$B118,TODAY()-$B118))</f>
        <v/>
      </c>
      <c r="X118" s="27">
        <f>IF($C118="","",IF(IFERROR(INDEX(CONFIG!$K$4:$K$43,MATCH($S118,CONFIG!$J$4:$J$43,0)),"NO")="SÍ",IF(OR($V118="",$U118=""),"Resuelta",IF($V118&gt;$U118,"Resuelta tarde","Resuelta a tiempo")),IF($U118="","Sin clasificar",IF(TODAY()&gt;$U118,"Vencida",IF(TODAY()&gt;=$U118-1,"Por vencer","En plazo")))))</f>
        <v/>
      </c>
      <c r="Y118" s="49" t="n"/>
      <c r="Z118" s="49" t="n"/>
    </row>
    <row r="119" ht="16" customHeight="1">
      <c r="A119" s="27">
        <f>IF($C119="","","N-"&amp;TEXT(ROW()-3,"0000"))</f>
        <v/>
      </c>
      <c r="B119" s="46" t="n"/>
      <c r="C119" s="47" t="n"/>
      <c r="D119" s="27">
        <f>IF($C119="","",IF(COUNTIFS(ENVIOS!$A$4:$A$3003,$C119)=0,"NO EXISTE",IF(COUNTIFS(ENVIOS!$A$4:$A$3003,$C119)&gt;1,"DUPLICADA","OK")))</f>
        <v/>
      </c>
      <c r="E119" s="22">
        <f>IF($C119="","",IFERROR(INDEX(ENVIOS!$C$4:$C$3003,MATCH($C119,ENVIOS!$A$4:$A$3003,0)),"—"))</f>
        <v/>
      </c>
      <c r="F119" s="22">
        <f>IF($C119="","",IFERROR(INDEX(ENVIOS!$D$4:$D$3003,MATCH($C119,ENVIOS!$A$4:$A$3003,0)),"—"))</f>
        <v/>
      </c>
      <c r="G119" s="22">
        <f>IF($C119="","",IFERROR(INDEX(ENVIOS!$E$4:$E$3003,MATCH($C119,ENVIOS!$A$4:$A$3003,0)),"—"))</f>
        <v/>
      </c>
      <c r="H119" s="22">
        <f>IF($C119="","",IFERROR(INDEX(ENVIOS!$F$4:$F$3003,MATCH($C119,ENVIOS!$A$4:$A$3003,0)),"—"))</f>
        <v/>
      </c>
      <c r="I119" s="27">
        <f>IF($C119="","",IFERROR(INDEX(ENVIOS!$G$4:$G$3003,MATCH($C119,ENVIOS!$A$4:$A$3003,0)),"—"))</f>
        <v/>
      </c>
      <c r="J119" s="48">
        <f>IF($C119="","",IFERROR(INDEX(ENVIOS!$B$4:$B$3003,MATCH($C119,ENVIOS!$A$4:$A$3003,0)),""))</f>
        <v/>
      </c>
      <c r="K119" s="49" t="n"/>
      <c r="L119" s="27">
        <f>IF($K119="","",IFERROR(INDEX(CONFIG!$B$4:$B$43,MATCH($K119,CONFIG!$A$4:$A$43,0)),"Media"))</f>
        <v/>
      </c>
      <c r="M119" s="27">
        <f>IF($K119="","",IFERROR(INDEX(CONFIG!$D$4:$D$43,MATCH($K119,CONFIG!$A$4:$A$43,0)),"NO"))</f>
        <v/>
      </c>
      <c r="N119" s="49" t="n"/>
      <c r="O119" s="27">
        <f>IF($N119="","",IFERROR(INDEX(CONFIG!$G$4:$G$43,MATCH($N119,CONFIG!$F$4:$F$43,0)),"Por definir"))</f>
        <v/>
      </c>
      <c r="P119" s="27">
        <f>IF($N119="","",IFERROR(INDEX(CONFIG!$H$4:$H$43,MATCH($N119,CONFIG!$F$4:$F$43,0)),"Por definir"))</f>
        <v/>
      </c>
      <c r="Q119" s="50" t="n"/>
      <c r="R119" s="51" t="n"/>
      <c r="S119" s="49" t="n"/>
      <c r="T119" s="49" t="n"/>
      <c r="U119" s="48">
        <f>IF(OR($B119="",$K119=""),"",WORKDAY($B119,IFERROR(INDEX(CONFIG!$C$4:$C$43,MATCH($K119,CONFIG!$A$4:$A$43,0)),3)))</f>
        <v/>
      </c>
      <c r="V119" s="46" t="n"/>
      <c r="W119" s="23">
        <f>IF($B119="","",IF($V119&lt;&gt;"",$V119-$B119,TODAY()-$B119))</f>
        <v/>
      </c>
      <c r="X119" s="27">
        <f>IF($C119="","",IF(IFERROR(INDEX(CONFIG!$K$4:$K$43,MATCH($S119,CONFIG!$J$4:$J$43,0)),"NO")="SÍ",IF(OR($V119="",$U119=""),"Resuelta",IF($V119&gt;$U119,"Resuelta tarde","Resuelta a tiempo")),IF($U119="","Sin clasificar",IF(TODAY()&gt;$U119,"Vencida",IF(TODAY()&gt;=$U119-1,"Por vencer","En plazo")))))</f>
        <v/>
      </c>
      <c r="Y119" s="49" t="n"/>
      <c r="Z119" s="49" t="n"/>
    </row>
    <row r="120" ht="16" customHeight="1">
      <c r="A120" s="27">
        <f>IF($C120="","","N-"&amp;TEXT(ROW()-3,"0000"))</f>
        <v/>
      </c>
      <c r="B120" s="46" t="n"/>
      <c r="C120" s="47" t="n"/>
      <c r="D120" s="27">
        <f>IF($C120="","",IF(COUNTIFS(ENVIOS!$A$4:$A$3003,$C120)=0,"NO EXISTE",IF(COUNTIFS(ENVIOS!$A$4:$A$3003,$C120)&gt;1,"DUPLICADA","OK")))</f>
        <v/>
      </c>
      <c r="E120" s="22">
        <f>IF($C120="","",IFERROR(INDEX(ENVIOS!$C$4:$C$3003,MATCH($C120,ENVIOS!$A$4:$A$3003,0)),"—"))</f>
        <v/>
      </c>
      <c r="F120" s="22">
        <f>IF($C120="","",IFERROR(INDEX(ENVIOS!$D$4:$D$3003,MATCH($C120,ENVIOS!$A$4:$A$3003,0)),"—"))</f>
        <v/>
      </c>
      <c r="G120" s="22">
        <f>IF($C120="","",IFERROR(INDEX(ENVIOS!$E$4:$E$3003,MATCH($C120,ENVIOS!$A$4:$A$3003,0)),"—"))</f>
        <v/>
      </c>
      <c r="H120" s="22">
        <f>IF($C120="","",IFERROR(INDEX(ENVIOS!$F$4:$F$3003,MATCH($C120,ENVIOS!$A$4:$A$3003,0)),"—"))</f>
        <v/>
      </c>
      <c r="I120" s="27">
        <f>IF($C120="","",IFERROR(INDEX(ENVIOS!$G$4:$G$3003,MATCH($C120,ENVIOS!$A$4:$A$3003,0)),"—"))</f>
        <v/>
      </c>
      <c r="J120" s="48">
        <f>IF($C120="","",IFERROR(INDEX(ENVIOS!$B$4:$B$3003,MATCH($C120,ENVIOS!$A$4:$A$3003,0)),""))</f>
        <v/>
      </c>
      <c r="K120" s="49" t="n"/>
      <c r="L120" s="27">
        <f>IF($K120="","",IFERROR(INDEX(CONFIG!$B$4:$B$43,MATCH($K120,CONFIG!$A$4:$A$43,0)),"Media"))</f>
        <v/>
      </c>
      <c r="M120" s="27">
        <f>IF($K120="","",IFERROR(INDEX(CONFIG!$D$4:$D$43,MATCH($K120,CONFIG!$A$4:$A$43,0)),"NO"))</f>
        <v/>
      </c>
      <c r="N120" s="49" t="n"/>
      <c r="O120" s="27">
        <f>IF($N120="","",IFERROR(INDEX(CONFIG!$G$4:$G$43,MATCH($N120,CONFIG!$F$4:$F$43,0)),"Por definir"))</f>
        <v/>
      </c>
      <c r="P120" s="27">
        <f>IF($N120="","",IFERROR(INDEX(CONFIG!$H$4:$H$43,MATCH($N120,CONFIG!$F$4:$F$43,0)),"Por definir"))</f>
        <v/>
      </c>
      <c r="Q120" s="50" t="n"/>
      <c r="R120" s="51" t="n"/>
      <c r="S120" s="49" t="n"/>
      <c r="T120" s="49" t="n"/>
      <c r="U120" s="48">
        <f>IF(OR($B120="",$K120=""),"",WORKDAY($B120,IFERROR(INDEX(CONFIG!$C$4:$C$43,MATCH($K120,CONFIG!$A$4:$A$43,0)),3)))</f>
        <v/>
      </c>
      <c r="V120" s="46" t="n"/>
      <c r="W120" s="23">
        <f>IF($B120="","",IF($V120&lt;&gt;"",$V120-$B120,TODAY()-$B120))</f>
        <v/>
      </c>
      <c r="X120" s="27">
        <f>IF($C120="","",IF(IFERROR(INDEX(CONFIG!$K$4:$K$43,MATCH($S120,CONFIG!$J$4:$J$43,0)),"NO")="SÍ",IF(OR($V120="",$U120=""),"Resuelta",IF($V120&gt;$U120,"Resuelta tarde","Resuelta a tiempo")),IF($U120="","Sin clasificar",IF(TODAY()&gt;$U120,"Vencida",IF(TODAY()&gt;=$U120-1,"Por vencer","En plazo")))))</f>
        <v/>
      </c>
      <c r="Y120" s="49" t="n"/>
      <c r="Z120" s="49" t="n"/>
    </row>
    <row r="121" ht="16" customHeight="1">
      <c r="A121" s="27">
        <f>IF($C121="","","N-"&amp;TEXT(ROW()-3,"0000"))</f>
        <v/>
      </c>
      <c r="B121" s="46" t="n"/>
      <c r="C121" s="47" t="n"/>
      <c r="D121" s="27">
        <f>IF($C121="","",IF(COUNTIFS(ENVIOS!$A$4:$A$3003,$C121)=0,"NO EXISTE",IF(COUNTIFS(ENVIOS!$A$4:$A$3003,$C121)&gt;1,"DUPLICADA","OK")))</f>
        <v/>
      </c>
      <c r="E121" s="22">
        <f>IF($C121="","",IFERROR(INDEX(ENVIOS!$C$4:$C$3003,MATCH($C121,ENVIOS!$A$4:$A$3003,0)),"—"))</f>
        <v/>
      </c>
      <c r="F121" s="22">
        <f>IF($C121="","",IFERROR(INDEX(ENVIOS!$D$4:$D$3003,MATCH($C121,ENVIOS!$A$4:$A$3003,0)),"—"))</f>
        <v/>
      </c>
      <c r="G121" s="22">
        <f>IF($C121="","",IFERROR(INDEX(ENVIOS!$E$4:$E$3003,MATCH($C121,ENVIOS!$A$4:$A$3003,0)),"—"))</f>
        <v/>
      </c>
      <c r="H121" s="22">
        <f>IF($C121="","",IFERROR(INDEX(ENVIOS!$F$4:$F$3003,MATCH($C121,ENVIOS!$A$4:$A$3003,0)),"—"))</f>
        <v/>
      </c>
      <c r="I121" s="27">
        <f>IF($C121="","",IFERROR(INDEX(ENVIOS!$G$4:$G$3003,MATCH($C121,ENVIOS!$A$4:$A$3003,0)),"—"))</f>
        <v/>
      </c>
      <c r="J121" s="48">
        <f>IF($C121="","",IFERROR(INDEX(ENVIOS!$B$4:$B$3003,MATCH($C121,ENVIOS!$A$4:$A$3003,0)),""))</f>
        <v/>
      </c>
      <c r="K121" s="49" t="n"/>
      <c r="L121" s="27">
        <f>IF($K121="","",IFERROR(INDEX(CONFIG!$B$4:$B$43,MATCH($K121,CONFIG!$A$4:$A$43,0)),"Media"))</f>
        <v/>
      </c>
      <c r="M121" s="27">
        <f>IF($K121="","",IFERROR(INDEX(CONFIG!$D$4:$D$43,MATCH($K121,CONFIG!$A$4:$A$43,0)),"NO"))</f>
        <v/>
      </c>
      <c r="N121" s="49" t="n"/>
      <c r="O121" s="27">
        <f>IF($N121="","",IFERROR(INDEX(CONFIG!$G$4:$G$43,MATCH($N121,CONFIG!$F$4:$F$43,0)),"Por definir"))</f>
        <v/>
      </c>
      <c r="P121" s="27">
        <f>IF($N121="","",IFERROR(INDEX(CONFIG!$H$4:$H$43,MATCH($N121,CONFIG!$F$4:$F$43,0)),"Por definir"))</f>
        <v/>
      </c>
      <c r="Q121" s="50" t="n"/>
      <c r="R121" s="51" t="n"/>
      <c r="S121" s="49" t="n"/>
      <c r="T121" s="49" t="n"/>
      <c r="U121" s="48">
        <f>IF(OR($B121="",$K121=""),"",WORKDAY($B121,IFERROR(INDEX(CONFIG!$C$4:$C$43,MATCH($K121,CONFIG!$A$4:$A$43,0)),3)))</f>
        <v/>
      </c>
      <c r="V121" s="46" t="n"/>
      <c r="W121" s="23">
        <f>IF($B121="","",IF($V121&lt;&gt;"",$V121-$B121,TODAY()-$B121))</f>
        <v/>
      </c>
      <c r="X121" s="27">
        <f>IF($C121="","",IF(IFERROR(INDEX(CONFIG!$K$4:$K$43,MATCH($S121,CONFIG!$J$4:$J$43,0)),"NO")="SÍ",IF(OR($V121="",$U121=""),"Resuelta",IF($V121&gt;$U121,"Resuelta tarde","Resuelta a tiempo")),IF($U121="","Sin clasificar",IF(TODAY()&gt;$U121,"Vencida",IF(TODAY()&gt;=$U121-1,"Por vencer","En plazo")))))</f>
        <v/>
      </c>
      <c r="Y121" s="49" t="n"/>
      <c r="Z121" s="49" t="n"/>
    </row>
    <row r="122" ht="16" customHeight="1">
      <c r="A122" s="27">
        <f>IF($C122="","","N-"&amp;TEXT(ROW()-3,"0000"))</f>
        <v/>
      </c>
      <c r="B122" s="46" t="n"/>
      <c r="C122" s="47" t="n"/>
      <c r="D122" s="27">
        <f>IF($C122="","",IF(COUNTIFS(ENVIOS!$A$4:$A$3003,$C122)=0,"NO EXISTE",IF(COUNTIFS(ENVIOS!$A$4:$A$3003,$C122)&gt;1,"DUPLICADA","OK")))</f>
        <v/>
      </c>
      <c r="E122" s="22">
        <f>IF($C122="","",IFERROR(INDEX(ENVIOS!$C$4:$C$3003,MATCH($C122,ENVIOS!$A$4:$A$3003,0)),"—"))</f>
        <v/>
      </c>
      <c r="F122" s="22">
        <f>IF($C122="","",IFERROR(INDEX(ENVIOS!$D$4:$D$3003,MATCH($C122,ENVIOS!$A$4:$A$3003,0)),"—"))</f>
        <v/>
      </c>
      <c r="G122" s="22">
        <f>IF($C122="","",IFERROR(INDEX(ENVIOS!$E$4:$E$3003,MATCH($C122,ENVIOS!$A$4:$A$3003,0)),"—"))</f>
        <v/>
      </c>
      <c r="H122" s="22">
        <f>IF($C122="","",IFERROR(INDEX(ENVIOS!$F$4:$F$3003,MATCH($C122,ENVIOS!$A$4:$A$3003,0)),"—"))</f>
        <v/>
      </c>
      <c r="I122" s="27">
        <f>IF($C122="","",IFERROR(INDEX(ENVIOS!$G$4:$G$3003,MATCH($C122,ENVIOS!$A$4:$A$3003,0)),"—"))</f>
        <v/>
      </c>
      <c r="J122" s="48">
        <f>IF($C122="","",IFERROR(INDEX(ENVIOS!$B$4:$B$3003,MATCH($C122,ENVIOS!$A$4:$A$3003,0)),""))</f>
        <v/>
      </c>
      <c r="K122" s="49" t="n"/>
      <c r="L122" s="27">
        <f>IF($K122="","",IFERROR(INDEX(CONFIG!$B$4:$B$43,MATCH($K122,CONFIG!$A$4:$A$43,0)),"Media"))</f>
        <v/>
      </c>
      <c r="M122" s="27">
        <f>IF($K122="","",IFERROR(INDEX(CONFIG!$D$4:$D$43,MATCH($K122,CONFIG!$A$4:$A$43,0)),"NO"))</f>
        <v/>
      </c>
      <c r="N122" s="49" t="n"/>
      <c r="O122" s="27">
        <f>IF($N122="","",IFERROR(INDEX(CONFIG!$G$4:$G$43,MATCH($N122,CONFIG!$F$4:$F$43,0)),"Por definir"))</f>
        <v/>
      </c>
      <c r="P122" s="27">
        <f>IF($N122="","",IFERROR(INDEX(CONFIG!$H$4:$H$43,MATCH($N122,CONFIG!$F$4:$F$43,0)),"Por definir"))</f>
        <v/>
      </c>
      <c r="Q122" s="50" t="n"/>
      <c r="R122" s="51" t="n"/>
      <c r="S122" s="49" t="n"/>
      <c r="T122" s="49" t="n"/>
      <c r="U122" s="48">
        <f>IF(OR($B122="",$K122=""),"",WORKDAY($B122,IFERROR(INDEX(CONFIG!$C$4:$C$43,MATCH($K122,CONFIG!$A$4:$A$43,0)),3)))</f>
        <v/>
      </c>
      <c r="V122" s="46" t="n"/>
      <c r="W122" s="23">
        <f>IF($B122="","",IF($V122&lt;&gt;"",$V122-$B122,TODAY()-$B122))</f>
        <v/>
      </c>
      <c r="X122" s="27">
        <f>IF($C122="","",IF(IFERROR(INDEX(CONFIG!$K$4:$K$43,MATCH($S122,CONFIG!$J$4:$J$43,0)),"NO")="SÍ",IF(OR($V122="",$U122=""),"Resuelta",IF($V122&gt;$U122,"Resuelta tarde","Resuelta a tiempo")),IF($U122="","Sin clasificar",IF(TODAY()&gt;$U122,"Vencida",IF(TODAY()&gt;=$U122-1,"Por vencer","En plazo")))))</f>
        <v/>
      </c>
      <c r="Y122" s="49" t="n"/>
      <c r="Z122" s="49" t="n"/>
    </row>
    <row r="123" ht="16" customHeight="1">
      <c r="A123" s="27">
        <f>IF($C123="","","N-"&amp;TEXT(ROW()-3,"0000"))</f>
        <v/>
      </c>
      <c r="B123" s="46" t="n"/>
      <c r="C123" s="47" t="n"/>
      <c r="D123" s="27">
        <f>IF($C123="","",IF(COUNTIFS(ENVIOS!$A$4:$A$3003,$C123)=0,"NO EXISTE",IF(COUNTIFS(ENVIOS!$A$4:$A$3003,$C123)&gt;1,"DUPLICADA","OK")))</f>
        <v/>
      </c>
      <c r="E123" s="22">
        <f>IF($C123="","",IFERROR(INDEX(ENVIOS!$C$4:$C$3003,MATCH($C123,ENVIOS!$A$4:$A$3003,0)),"—"))</f>
        <v/>
      </c>
      <c r="F123" s="22">
        <f>IF($C123="","",IFERROR(INDEX(ENVIOS!$D$4:$D$3003,MATCH($C123,ENVIOS!$A$4:$A$3003,0)),"—"))</f>
        <v/>
      </c>
      <c r="G123" s="22">
        <f>IF($C123="","",IFERROR(INDEX(ENVIOS!$E$4:$E$3003,MATCH($C123,ENVIOS!$A$4:$A$3003,0)),"—"))</f>
        <v/>
      </c>
      <c r="H123" s="22">
        <f>IF($C123="","",IFERROR(INDEX(ENVIOS!$F$4:$F$3003,MATCH($C123,ENVIOS!$A$4:$A$3003,0)),"—"))</f>
        <v/>
      </c>
      <c r="I123" s="27">
        <f>IF($C123="","",IFERROR(INDEX(ENVIOS!$G$4:$G$3003,MATCH($C123,ENVIOS!$A$4:$A$3003,0)),"—"))</f>
        <v/>
      </c>
      <c r="J123" s="48">
        <f>IF($C123="","",IFERROR(INDEX(ENVIOS!$B$4:$B$3003,MATCH($C123,ENVIOS!$A$4:$A$3003,0)),""))</f>
        <v/>
      </c>
      <c r="K123" s="49" t="n"/>
      <c r="L123" s="27">
        <f>IF($K123="","",IFERROR(INDEX(CONFIG!$B$4:$B$43,MATCH($K123,CONFIG!$A$4:$A$43,0)),"Media"))</f>
        <v/>
      </c>
      <c r="M123" s="27">
        <f>IF($K123="","",IFERROR(INDEX(CONFIG!$D$4:$D$43,MATCH($K123,CONFIG!$A$4:$A$43,0)),"NO"))</f>
        <v/>
      </c>
      <c r="N123" s="49" t="n"/>
      <c r="O123" s="27">
        <f>IF($N123="","",IFERROR(INDEX(CONFIG!$G$4:$G$43,MATCH($N123,CONFIG!$F$4:$F$43,0)),"Por definir"))</f>
        <v/>
      </c>
      <c r="P123" s="27">
        <f>IF($N123="","",IFERROR(INDEX(CONFIG!$H$4:$H$43,MATCH($N123,CONFIG!$F$4:$F$43,0)),"Por definir"))</f>
        <v/>
      </c>
      <c r="Q123" s="50" t="n"/>
      <c r="R123" s="51" t="n"/>
      <c r="S123" s="49" t="n"/>
      <c r="T123" s="49" t="n"/>
      <c r="U123" s="48">
        <f>IF(OR($B123="",$K123=""),"",WORKDAY($B123,IFERROR(INDEX(CONFIG!$C$4:$C$43,MATCH($K123,CONFIG!$A$4:$A$43,0)),3)))</f>
        <v/>
      </c>
      <c r="V123" s="46" t="n"/>
      <c r="W123" s="23">
        <f>IF($B123="","",IF($V123&lt;&gt;"",$V123-$B123,TODAY()-$B123))</f>
        <v/>
      </c>
      <c r="X123" s="27">
        <f>IF($C123="","",IF(IFERROR(INDEX(CONFIG!$K$4:$K$43,MATCH($S123,CONFIG!$J$4:$J$43,0)),"NO")="SÍ",IF(OR($V123="",$U123=""),"Resuelta",IF($V123&gt;$U123,"Resuelta tarde","Resuelta a tiempo")),IF($U123="","Sin clasificar",IF(TODAY()&gt;$U123,"Vencida",IF(TODAY()&gt;=$U123-1,"Por vencer","En plazo")))))</f>
        <v/>
      </c>
      <c r="Y123" s="49" t="n"/>
      <c r="Z123" s="49" t="n"/>
    </row>
    <row r="124" ht="16" customHeight="1">
      <c r="A124" s="27">
        <f>IF($C124="","","N-"&amp;TEXT(ROW()-3,"0000"))</f>
        <v/>
      </c>
      <c r="B124" s="46" t="n"/>
      <c r="C124" s="47" t="n"/>
      <c r="D124" s="27">
        <f>IF($C124="","",IF(COUNTIFS(ENVIOS!$A$4:$A$3003,$C124)=0,"NO EXISTE",IF(COUNTIFS(ENVIOS!$A$4:$A$3003,$C124)&gt;1,"DUPLICADA","OK")))</f>
        <v/>
      </c>
      <c r="E124" s="22">
        <f>IF($C124="","",IFERROR(INDEX(ENVIOS!$C$4:$C$3003,MATCH($C124,ENVIOS!$A$4:$A$3003,0)),"—"))</f>
        <v/>
      </c>
      <c r="F124" s="22">
        <f>IF($C124="","",IFERROR(INDEX(ENVIOS!$D$4:$D$3003,MATCH($C124,ENVIOS!$A$4:$A$3003,0)),"—"))</f>
        <v/>
      </c>
      <c r="G124" s="22">
        <f>IF($C124="","",IFERROR(INDEX(ENVIOS!$E$4:$E$3003,MATCH($C124,ENVIOS!$A$4:$A$3003,0)),"—"))</f>
        <v/>
      </c>
      <c r="H124" s="22">
        <f>IF($C124="","",IFERROR(INDEX(ENVIOS!$F$4:$F$3003,MATCH($C124,ENVIOS!$A$4:$A$3003,0)),"—"))</f>
        <v/>
      </c>
      <c r="I124" s="27">
        <f>IF($C124="","",IFERROR(INDEX(ENVIOS!$G$4:$G$3003,MATCH($C124,ENVIOS!$A$4:$A$3003,0)),"—"))</f>
        <v/>
      </c>
      <c r="J124" s="48">
        <f>IF($C124="","",IFERROR(INDEX(ENVIOS!$B$4:$B$3003,MATCH($C124,ENVIOS!$A$4:$A$3003,0)),""))</f>
        <v/>
      </c>
      <c r="K124" s="49" t="n"/>
      <c r="L124" s="27">
        <f>IF($K124="","",IFERROR(INDEX(CONFIG!$B$4:$B$43,MATCH($K124,CONFIG!$A$4:$A$43,0)),"Media"))</f>
        <v/>
      </c>
      <c r="M124" s="27">
        <f>IF($K124="","",IFERROR(INDEX(CONFIG!$D$4:$D$43,MATCH($K124,CONFIG!$A$4:$A$43,0)),"NO"))</f>
        <v/>
      </c>
      <c r="N124" s="49" t="n"/>
      <c r="O124" s="27">
        <f>IF($N124="","",IFERROR(INDEX(CONFIG!$G$4:$G$43,MATCH($N124,CONFIG!$F$4:$F$43,0)),"Por definir"))</f>
        <v/>
      </c>
      <c r="P124" s="27">
        <f>IF($N124="","",IFERROR(INDEX(CONFIG!$H$4:$H$43,MATCH($N124,CONFIG!$F$4:$F$43,0)),"Por definir"))</f>
        <v/>
      </c>
      <c r="Q124" s="50" t="n"/>
      <c r="R124" s="51" t="n"/>
      <c r="S124" s="49" t="n"/>
      <c r="T124" s="49" t="n"/>
      <c r="U124" s="48">
        <f>IF(OR($B124="",$K124=""),"",WORKDAY($B124,IFERROR(INDEX(CONFIG!$C$4:$C$43,MATCH($K124,CONFIG!$A$4:$A$43,0)),3)))</f>
        <v/>
      </c>
      <c r="V124" s="46" t="n"/>
      <c r="W124" s="23">
        <f>IF($B124="","",IF($V124&lt;&gt;"",$V124-$B124,TODAY()-$B124))</f>
        <v/>
      </c>
      <c r="X124" s="27">
        <f>IF($C124="","",IF(IFERROR(INDEX(CONFIG!$K$4:$K$43,MATCH($S124,CONFIG!$J$4:$J$43,0)),"NO")="SÍ",IF(OR($V124="",$U124=""),"Resuelta",IF($V124&gt;$U124,"Resuelta tarde","Resuelta a tiempo")),IF($U124="","Sin clasificar",IF(TODAY()&gt;$U124,"Vencida",IF(TODAY()&gt;=$U124-1,"Por vencer","En plazo")))))</f>
        <v/>
      </c>
      <c r="Y124" s="49" t="n"/>
      <c r="Z124" s="49" t="n"/>
    </row>
    <row r="125" ht="16" customHeight="1">
      <c r="A125" s="27">
        <f>IF($C125="","","N-"&amp;TEXT(ROW()-3,"0000"))</f>
        <v/>
      </c>
      <c r="B125" s="46" t="n"/>
      <c r="C125" s="47" t="n"/>
      <c r="D125" s="27">
        <f>IF($C125="","",IF(COUNTIFS(ENVIOS!$A$4:$A$3003,$C125)=0,"NO EXISTE",IF(COUNTIFS(ENVIOS!$A$4:$A$3003,$C125)&gt;1,"DUPLICADA","OK")))</f>
        <v/>
      </c>
      <c r="E125" s="22">
        <f>IF($C125="","",IFERROR(INDEX(ENVIOS!$C$4:$C$3003,MATCH($C125,ENVIOS!$A$4:$A$3003,0)),"—"))</f>
        <v/>
      </c>
      <c r="F125" s="22">
        <f>IF($C125="","",IFERROR(INDEX(ENVIOS!$D$4:$D$3003,MATCH($C125,ENVIOS!$A$4:$A$3003,0)),"—"))</f>
        <v/>
      </c>
      <c r="G125" s="22">
        <f>IF($C125="","",IFERROR(INDEX(ENVIOS!$E$4:$E$3003,MATCH($C125,ENVIOS!$A$4:$A$3003,0)),"—"))</f>
        <v/>
      </c>
      <c r="H125" s="22">
        <f>IF($C125="","",IFERROR(INDEX(ENVIOS!$F$4:$F$3003,MATCH($C125,ENVIOS!$A$4:$A$3003,0)),"—"))</f>
        <v/>
      </c>
      <c r="I125" s="27">
        <f>IF($C125="","",IFERROR(INDEX(ENVIOS!$G$4:$G$3003,MATCH($C125,ENVIOS!$A$4:$A$3003,0)),"—"))</f>
        <v/>
      </c>
      <c r="J125" s="48">
        <f>IF($C125="","",IFERROR(INDEX(ENVIOS!$B$4:$B$3003,MATCH($C125,ENVIOS!$A$4:$A$3003,0)),""))</f>
        <v/>
      </c>
      <c r="K125" s="49" t="n"/>
      <c r="L125" s="27">
        <f>IF($K125="","",IFERROR(INDEX(CONFIG!$B$4:$B$43,MATCH($K125,CONFIG!$A$4:$A$43,0)),"Media"))</f>
        <v/>
      </c>
      <c r="M125" s="27">
        <f>IF($K125="","",IFERROR(INDEX(CONFIG!$D$4:$D$43,MATCH($K125,CONFIG!$A$4:$A$43,0)),"NO"))</f>
        <v/>
      </c>
      <c r="N125" s="49" t="n"/>
      <c r="O125" s="27">
        <f>IF($N125="","",IFERROR(INDEX(CONFIG!$G$4:$G$43,MATCH($N125,CONFIG!$F$4:$F$43,0)),"Por definir"))</f>
        <v/>
      </c>
      <c r="P125" s="27">
        <f>IF($N125="","",IFERROR(INDEX(CONFIG!$H$4:$H$43,MATCH($N125,CONFIG!$F$4:$F$43,0)),"Por definir"))</f>
        <v/>
      </c>
      <c r="Q125" s="50" t="n"/>
      <c r="R125" s="51" t="n"/>
      <c r="S125" s="49" t="n"/>
      <c r="T125" s="49" t="n"/>
      <c r="U125" s="48">
        <f>IF(OR($B125="",$K125=""),"",WORKDAY($B125,IFERROR(INDEX(CONFIG!$C$4:$C$43,MATCH($K125,CONFIG!$A$4:$A$43,0)),3)))</f>
        <v/>
      </c>
      <c r="V125" s="46" t="n"/>
      <c r="W125" s="23">
        <f>IF($B125="","",IF($V125&lt;&gt;"",$V125-$B125,TODAY()-$B125))</f>
        <v/>
      </c>
      <c r="X125" s="27">
        <f>IF($C125="","",IF(IFERROR(INDEX(CONFIG!$K$4:$K$43,MATCH($S125,CONFIG!$J$4:$J$43,0)),"NO")="SÍ",IF(OR($V125="",$U125=""),"Resuelta",IF($V125&gt;$U125,"Resuelta tarde","Resuelta a tiempo")),IF($U125="","Sin clasificar",IF(TODAY()&gt;$U125,"Vencida",IF(TODAY()&gt;=$U125-1,"Por vencer","En plazo")))))</f>
        <v/>
      </c>
      <c r="Y125" s="49" t="n"/>
      <c r="Z125" s="49" t="n"/>
    </row>
    <row r="126" ht="16" customHeight="1">
      <c r="A126" s="27">
        <f>IF($C126="","","N-"&amp;TEXT(ROW()-3,"0000"))</f>
        <v/>
      </c>
      <c r="B126" s="46" t="n"/>
      <c r="C126" s="47" t="n"/>
      <c r="D126" s="27">
        <f>IF($C126="","",IF(COUNTIFS(ENVIOS!$A$4:$A$3003,$C126)=0,"NO EXISTE",IF(COUNTIFS(ENVIOS!$A$4:$A$3003,$C126)&gt;1,"DUPLICADA","OK")))</f>
        <v/>
      </c>
      <c r="E126" s="22">
        <f>IF($C126="","",IFERROR(INDEX(ENVIOS!$C$4:$C$3003,MATCH($C126,ENVIOS!$A$4:$A$3003,0)),"—"))</f>
        <v/>
      </c>
      <c r="F126" s="22">
        <f>IF($C126="","",IFERROR(INDEX(ENVIOS!$D$4:$D$3003,MATCH($C126,ENVIOS!$A$4:$A$3003,0)),"—"))</f>
        <v/>
      </c>
      <c r="G126" s="22">
        <f>IF($C126="","",IFERROR(INDEX(ENVIOS!$E$4:$E$3003,MATCH($C126,ENVIOS!$A$4:$A$3003,0)),"—"))</f>
        <v/>
      </c>
      <c r="H126" s="22">
        <f>IF($C126="","",IFERROR(INDEX(ENVIOS!$F$4:$F$3003,MATCH($C126,ENVIOS!$A$4:$A$3003,0)),"—"))</f>
        <v/>
      </c>
      <c r="I126" s="27">
        <f>IF($C126="","",IFERROR(INDEX(ENVIOS!$G$4:$G$3003,MATCH($C126,ENVIOS!$A$4:$A$3003,0)),"—"))</f>
        <v/>
      </c>
      <c r="J126" s="48">
        <f>IF($C126="","",IFERROR(INDEX(ENVIOS!$B$4:$B$3003,MATCH($C126,ENVIOS!$A$4:$A$3003,0)),""))</f>
        <v/>
      </c>
      <c r="K126" s="49" t="n"/>
      <c r="L126" s="27">
        <f>IF($K126="","",IFERROR(INDEX(CONFIG!$B$4:$B$43,MATCH($K126,CONFIG!$A$4:$A$43,0)),"Media"))</f>
        <v/>
      </c>
      <c r="M126" s="27">
        <f>IF($K126="","",IFERROR(INDEX(CONFIG!$D$4:$D$43,MATCH($K126,CONFIG!$A$4:$A$43,0)),"NO"))</f>
        <v/>
      </c>
      <c r="N126" s="49" t="n"/>
      <c r="O126" s="27">
        <f>IF($N126="","",IFERROR(INDEX(CONFIG!$G$4:$G$43,MATCH($N126,CONFIG!$F$4:$F$43,0)),"Por definir"))</f>
        <v/>
      </c>
      <c r="P126" s="27">
        <f>IF($N126="","",IFERROR(INDEX(CONFIG!$H$4:$H$43,MATCH($N126,CONFIG!$F$4:$F$43,0)),"Por definir"))</f>
        <v/>
      </c>
      <c r="Q126" s="50" t="n"/>
      <c r="R126" s="51" t="n"/>
      <c r="S126" s="49" t="n"/>
      <c r="T126" s="49" t="n"/>
      <c r="U126" s="48">
        <f>IF(OR($B126="",$K126=""),"",WORKDAY($B126,IFERROR(INDEX(CONFIG!$C$4:$C$43,MATCH($K126,CONFIG!$A$4:$A$43,0)),3)))</f>
        <v/>
      </c>
      <c r="V126" s="46" t="n"/>
      <c r="W126" s="23">
        <f>IF($B126="","",IF($V126&lt;&gt;"",$V126-$B126,TODAY()-$B126))</f>
        <v/>
      </c>
      <c r="X126" s="27">
        <f>IF($C126="","",IF(IFERROR(INDEX(CONFIG!$K$4:$K$43,MATCH($S126,CONFIG!$J$4:$J$43,0)),"NO")="SÍ",IF(OR($V126="",$U126=""),"Resuelta",IF($V126&gt;$U126,"Resuelta tarde","Resuelta a tiempo")),IF($U126="","Sin clasificar",IF(TODAY()&gt;$U126,"Vencida",IF(TODAY()&gt;=$U126-1,"Por vencer","En plazo")))))</f>
        <v/>
      </c>
      <c r="Y126" s="49" t="n"/>
      <c r="Z126" s="49" t="n"/>
    </row>
    <row r="127" ht="16" customHeight="1">
      <c r="A127" s="27">
        <f>IF($C127="","","N-"&amp;TEXT(ROW()-3,"0000"))</f>
        <v/>
      </c>
      <c r="B127" s="46" t="n"/>
      <c r="C127" s="47" t="n"/>
      <c r="D127" s="27">
        <f>IF($C127="","",IF(COUNTIFS(ENVIOS!$A$4:$A$3003,$C127)=0,"NO EXISTE",IF(COUNTIFS(ENVIOS!$A$4:$A$3003,$C127)&gt;1,"DUPLICADA","OK")))</f>
        <v/>
      </c>
      <c r="E127" s="22">
        <f>IF($C127="","",IFERROR(INDEX(ENVIOS!$C$4:$C$3003,MATCH($C127,ENVIOS!$A$4:$A$3003,0)),"—"))</f>
        <v/>
      </c>
      <c r="F127" s="22">
        <f>IF($C127="","",IFERROR(INDEX(ENVIOS!$D$4:$D$3003,MATCH($C127,ENVIOS!$A$4:$A$3003,0)),"—"))</f>
        <v/>
      </c>
      <c r="G127" s="22">
        <f>IF($C127="","",IFERROR(INDEX(ENVIOS!$E$4:$E$3003,MATCH($C127,ENVIOS!$A$4:$A$3003,0)),"—"))</f>
        <v/>
      </c>
      <c r="H127" s="22">
        <f>IF($C127="","",IFERROR(INDEX(ENVIOS!$F$4:$F$3003,MATCH($C127,ENVIOS!$A$4:$A$3003,0)),"—"))</f>
        <v/>
      </c>
      <c r="I127" s="27">
        <f>IF($C127="","",IFERROR(INDEX(ENVIOS!$G$4:$G$3003,MATCH($C127,ENVIOS!$A$4:$A$3003,0)),"—"))</f>
        <v/>
      </c>
      <c r="J127" s="48">
        <f>IF($C127="","",IFERROR(INDEX(ENVIOS!$B$4:$B$3003,MATCH($C127,ENVIOS!$A$4:$A$3003,0)),""))</f>
        <v/>
      </c>
      <c r="K127" s="49" t="n"/>
      <c r="L127" s="27">
        <f>IF($K127="","",IFERROR(INDEX(CONFIG!$B$4:$B$43,MATCH($K127,CONFIG!$A$4:$A$43,0)),"Media"))</f>
        <v/>
      </c>
      <c r="M127" s="27">
        <f>IF($K127="","",IFERROR(INDEX(CONFIG!$D$4:$D$43,MATCH($K127,CONFIG!$A$4:$A$43,0)),"NO"))</f>
        <v/>
      </c>
      <c r="N127" s="49" t="n"/>
      <c r="O127" s="27">
        <f>IF($N127="","",IFERROR(INDEX(CONFIG!$G$4:$G$43,MATCH($N127,CONFIG!$F$4:$F$43,0)),"Por definir"))</f>
        <v/>
      </c>
      <c r="P127" s="27">
        <f>IF($N127="","",IFERROR(INDEX(CONFIG!$H$4:$H$43,MATCH($N127,CONFIG!$F$4:$F$43,0)),"Por definir"))</f>
        <v/>
      </c>
      <c r="Q127" s="50" t="n"/>
      <c r="R127" s="51" t="n"/>
      <c r="S127" s="49" t="n"/>
      <c r="T127" s="49" t="n"/>
      <c r="U127" s="48">
        <f>IF(OR($B127="",$K127=""),"",WORKDAY($B127,IFERROR(INDEX(CONFIG!$C$4:$C$43,MATCH($K127,CONFIG!$A$4:$A$43,0)),3)))</f>
        <v/>
      </c>
      <c r="V127" s="46" t="n"/>
      <c r="W127" s="23">
        <f>IF($B127="","",IF($V127&lt;&gt;"",$V127-$B127,TODAY()-$B127))</f>
        <v/>
      </c>
      <c r="X127" s="27">
        <f>IF($C127="","",IF(IFERROR(INDEX(CONFIG!$K$4:$K$43,MATCH($S127,CONFIG!$J$4:$J$43,0)),"NO")="SÍ",IF(OR($V127="",$U127=""),"Resuelta",IF($V127&gt;$U127,"Resuelta tarde","Resuelta a tiempo")),IF($U127="","Sin clasificar",IF(TODAY()&gt;$U127,"Vencida",IF(TODAY()&gt;=$U127-1,"Por vencer","En plazo")))))</f>
        <v/>
      </c>
      <c r="Y127" s="49" t="n"/>
      <c r="Z127" s="49" t="n"/>
    </row>
    <row r="128" ht="16" customHeight="1">
      <c r="A128" s="27">
        <f>IF($C128="","","N-"&amp;TEXT(ROW()-3,"0000"))</f>
        <v/>
      </c>
      <c r="B128" s="46" t="n"/>
      <c r="C128" s="47" t="n"/>
      <c r="D128" s="27">
        <f>IF($C128="","",IF(COUNTIFS(ENVIOS!$A$4:$A$3003,$C128)=0,"NO EXISTE",IF(COUNTIFS(ENVIOS!$A$4:$A$3003,$C128)&gt;1,"DUPLICADA","OK")))</f>
        <v/>
      </c>
      <c r="E128" s="22">
        <f>IF($C128="","",IFERROR(INDEX(ENVIOS!$C$4:$C$3003,MATCH($C128,ENVIOS!$A$4:$A$3003,0)),"—"))</f>
        <v/>
      </c>
      <c r="F128" s="22">
        <f>IF($C128="","",IFERROR(INDEX(ENVIOS!$D$4:$D$3003,MATCH($C128,ENVIOS!$A$4:$A$3003,0)),"—"))</f>
        <v/>
      </c>
      <c r="G128" s="22">
        <f>IF($C128="","",IFERROR(INDEX(ENVIOS!$E$4:$E$3003,MATCH($C128,ENVIOS!$A$4:$A$3003,0)),"—"))</f>
        <v/>
      </c>
      <c r="H128" s="22">
        <f>IF($C128="","",IFERROR(INDEX(ENVIOS!$F$4:$F$3003,MATCH($C128,ENVIOS!$A$4:$A$3003,0)),"—"))</f>
        <v/>
      </c>
      <c r="I128" s="27">
        <f>IF($C128="","",IFERROR(INDEX(ENVIOS!$G$4:$G$3003,MATCH($C128,ENVIOS!$A$4:$A$3003,0)),"—"))</f>
        <v/>
      </c>
      <c r="J128" s="48">
        <f>IF($C128="","",IFERROR(INDEX(ENVIOS!$B$4:$B$3003,MATCH($C128,ENVIOS!$A$4:$A$3003,0)),""))</f>
        <v/>
      </c>
      <c r="K128" s="49" t="n"/>
      <c r="L128" s="27">
        <f>IF($K128="","",IFERROR(INDEX(CONFIG!$B$4:$B$43,MATCH($K128,CONFIG!$A$4:$A$43,0)),"Media"))</f>
        <v/>
      </c>
      <c r="M128" s="27">
        <f>IF($K128="","",IFERROR(INDEX(CONFIG!$D$4:$D$43,MATCH($K128,CONFIG!$A$4:$A$43,0)),"NO"))</f>
        <v/>
      </c>
      <c r="N128" s="49" t="n"/>
      <c r="O128" s="27">
        <f>IF($N128="","",IFERROR(INDEX(CONFIG!$G$4:$G$43,MATCH($N128,CONFIG!$F$4:$F$43,0)),"Por definir"))</f>
        <v/>
      </c>
      <c r="P128" s="27">
        <f>IF($N128="","",IFERROR(INDEX(CONFIG!$H$4:$H$43,MATCH($N128,CONFIG!$F$4:$F$43,0)),"Por definir"))</f>
        <v/>
      </c>
      <c r="Q128" s="50" t="n"/>
      <c r="R128" s="51" t="n"/>
      <c r="S128" s="49" t="n"/>
      <c r="T128" s="49" t="n"/>
      <c r="U128" s="48">
        <f>IF(OR($B128="",$K128=""),"",WORKDAY($B128,IFERROR(INDEX(CONFIG!$C$4:$C$43,MATCH($K128,CONFIG!$A$4:$A$43,0)),3)))</f>
        <v/>
      </c>
      <c r="V128" s="46" t="n"/>
      <c r="W128" s="23">
        <f>IF($B128="","",IF($V128&lt;&gt;"",$V128-$B128,TODAY()-$B128))</f>
        <v/>
      </c>
      <c r="X128" s="27">
        <f>IF($C128="","",IF(IFERROR(INDEX(CONFIG!$K$4:$K$43,MATCH($S128,CONFIG!$J$4:$J$43,0)),"NO")="SÍ",IF(OR($V128="",$U128=""),"Resuelta",IF($V128&gt;$U128,"Resuelta tarde","Resuelta a tiempo")),IF($U128="","Sin clasificar",IF(TODAY()&gt;$U128,"Vencida",IF(TODAY()&gt;=$U128-1,"Por vencer","En plazo")))))</f>
        <v/>
      </c>
      <c r="Y128" s="49" t="n"/>
      <c r="Z128" s="49" t="n"/>
    </row>
    <row r="129" ht="16" customHeight="1">
      <c r="A129" s="27">
        <f>IF($C129="","","N-"&amp;TEXT(ROW()-3,"0000"))</f>
        <v/>
      </c>
      <c r="B129" s="46" t="n"/>
      <c r="C129" s="47" t="n"/>
      <c r="D129" s="27">
        <f>IF($C129="","",IF(COUNTIFS(ENVIOS!$A$4:$A$3003,$C129)=0,"NO EXISTE",IF(COUNTIFS(ENVIOS!$A$4:$A$3003,$C129)&gt;1,"DUPLICADA","OK")))</f>
        <v/>
      </c>
      <c r="E129" s="22">
        <f>IF($C129="","",IFERROR(INDEX(ENVIOS!$C$4:$C$3003,MATCH($C129,ENVIOS!$A$4:$A$3003,0)),"—"))</f>
        <v/>
      </c>
      <c r="F129" s="22">
        <f>IF($C129="","",IFERROR(INDEX(ENVIOS!$D$4:$D$3003,MATCH($C129,ENVIOS!$A$4:$A$3003,0)),"—"))</f>
        <v/>
      </c>
      <c r="G129" s="22">
        <f>IF($C129="","",IFERROR(INDEX(ENVIOS!$E$4:$E$3003,MATCH($C129,ENVIOS!$A$4:$A$3003,0)),"—"))</f>
        <v/>
      </c>
      <c r="H129" s="22">
        <f>IF($C129="","",IFERROR(INDEX(ENVIOS!$F$4:$F$3003,MATCH($C129,ENVIOS!$A$4:$A$3003,0)),"—"))</f>
        <v/>
      </c>
      <c r="I129" s="27">
        <f>IF($C129="","",IFERROR(INDEX(ENVIOS!$G$4:$G$3003,MATCH($C129,ENVIOS!$A$4:$A$3003,0)),"—"))</f>
        <v/>
      </c>
      <c r="J129" s="48">
        <f>IF($C129="","",IFERROR(INDEX(ENVIOS!$B$4:$B$3003,MATCH($C129,ENVIOS!$A$4:$A$3003,0)),""))</f>
        <v/>
      </c>
      <c r="K129" s="49" t="n"/>
      <c r="L129" s="27">
        <f>IF($K129="","",IFERROR(INDEX(CONFIG!$B$4:$B$43,MATCH($K129,CONFIG!$A$4:$A$43,0)),"Media"))</f>
        <v/>
      </c>
      <c r="M129" s="27">
        <f>IF($K129="","",IFERROR(INDEX(CONFIG!$D$4:$D$43,MATCH($K129,CONFIG!$A$4:$A$43,0)),"NO"))</f>
        <v/>
      </c>
      <c r="N129" s="49" t="n"/>
      <c r="O129" s="27">
        <f>IF($N129="","",IFERROR(INDEX(CONFIG!$G$4:$G$43,MATCH($N129,CONFIG!$F$4:$F$43,0)),"Por definir"))</f>
        <v/>
      </c>
      <c r="P129" s="27">
        <f>IF($N129="","",IFERROR(INDEX(CONFIG!$H$4:$H$43,MATCH($N129,CONFIG!$F$4:$F$43,0)),"Por definir"))</f>
        <v/>
      </c>
      <c r="Q129" s="50" t="n"/>
      <c r="R129" s="51" t="n"/>
      <c r="S129" s="49" t="n"/>
      <c r="T129" s="49" t="n"/>
      <c r="U129" s="48">
        <f>IF(OR($B129="",$K129=""),"",WORKDAY($B129,IFERROR(INDEX(CONFIG!$C$4:$C$43,MATCH($K129,CONFIG!$A$4:$A$43,0)),3)))</f>
        <v/>
      </c>
      <c r="V129" s="46" t="n"/>
      <c r="W129" s="23">
        <f>IF($B129="","",IF($V129&lt;&gt;"",$V129-$B129,TODAY()-$B129))</f>
        <v/>
      </c>
      <c r="X129" s="27">
        <f>IF($C129="","",IF(IFERROR(INDEX(CONFIG!$K$4:$K$43,MATCH($S129,CONFIG!$J$4:$J$43,0)),"NO")="SÍ",IF(OR($V129="",$U129=""),"Resuelta",IF($V129&gt;$U129,"Resuelta tarde","Resuelta a tiempo")),IF($U129="","Sin clasificar",IF(TODAY()&gt;$U129,"Vencida",IF(TODAY()&gt;=$U129-1,"Por vencer","En plazo")))))</f>
        <v/>
      </c>
      <c r="Y129" s="49" t="n"/>
      <c r="Z129" s="49" t="n"/>
    </row>
    <row r="130" ht="16" customHeight="1">
      <c r="A130" s="27">
        <f>IF($C130="","","N-"&amp;TEXT(ROW()-3,"0000"))</f>
        <v/>
      </c>
      <c r="B130" s="46" t="n"/>
      <c r="C130" s="47" t="n"/>
      <c r="D130" s="27">
        <f>IF($C130="","",IF(COUNTIFS(ENVIOS!$A$4:$A$3003,$C130)=0,"NO EXISTE",IF(COUNTIFS(ENVIOS!$A$4:$A$3003,$C130)&gt;1,"DUPLICADA","OK")))</f>
        <v/>
      </c>
      <c r="E130" s="22">
        <f>IF($C130="","",IFERROR(INDEX(ENVIOS!$C$4:$C$3003,MATCH($C130,ENVIOS!$A$4:$A$3003,0)),"—"))</f>
        <v/>
      </c>
      <c r="F130" s="22">
        <f>IF($C130="","",IFERROR(INDEX(ENVIOS!$D$4:$D$3003,MATCH($C130,ENVIOS!$A$4:$A$3003,0)),"—"))</f>
        <v/>
      </c>
      <c r="G130" s="22">
        <f>IF($C130="","",IFERROR(INDEX(ENVIOS!$E$4:$E$3003,MATCH($C130,ENVIOS!$A$4:$A$3003,0)),"—"))</f>
        <v/>
      </c>
      <c r="H130" s="22">
        <f>IF($C130="","",IFERROR(INDEX(ENVIOS!$F$4:$F$3003,MATCH($C130,ENVIOS!$A$4:$A$3003,0)),"—"))</f>
        <v/>
      </c>
      <c r="I130" s="27">
        <f>IF($C130="","",IFERROR(INDEX(ENVIOS!$G$4:$G$3003,MATCH($C130,ENVIOS!$A$4:$A$3003,0)),"—"))</f>
        <v/>
      </c>
      <c r="J130" s="48">
        <f>IF($C130="","",IFERROR(INDEX(ENVIOS!$B$4:$B$3003,MATCH($C130,ENVIOS!$A$4:$A$3003,0)),""))</f>
        <v/>
      </c>
      <c r="K130" s="49" t="n"/>
      <c r="L130" s="27">
        <f>IF($K130="","",IFERROR(INDEX(CONFIG!$B$4:$B$43,MATCH($K130,CONFIG!$A$4:$A$43,0)),"Media"))</f>
        <v/>
      </c>
      <c r="M130" s="27">
        <f>IF($K130="","",IFERROR(INDEX(CONFIG!$D$4:$D$43,MATCH($K130,CONFIG!$A$4:$A$43,0)),"NO"))</f>
        <v/>
      </c>
      <c r="N130" s="49" t="n"/>
      <c r="O130" s="27">
        <f>IF($N130="","",IFERROR(INDEX(CONFIG!$G$4:$G$43,MATCH($N130,CONFIG!$F$4:$F$43,0)),"Por definir"))</f>
        <v/>
      </c>
      <c r="P130" s="27">
        <f>IF($N130="","",IFERROR(INDEX(CONFIG!$H$4:$H$43,MATCH($N130,CONFIG!$F$4:$F$43,0)),"Por definir"))</f>
        <v/>
      </c>
      <c r="Q130" s="50" t="n"/>
      <c r="R130" s="51" t="n"/>
      <c r="S130" s="49" t="n"/>
      <c r="T130" s="49" t="n"/>
      <c r="U130" s="48">
        <f>IF(OR($B130="",$K130=""),"",WORKDAY($B130,IFERROR(INDEX(CONFIG!$C$4:$C$43,MATCH($K130,CONFIG!$A$4:$A$43,0)),3)))</f>
        <v/>
      </c>
      <c r="V130" s="46" t="n"/>
      <c r="W130" s="23">
        <f>IF($B130="","",IF($V130&lt;&gt;"",$V130-$B130,TODAY()-$B130))</f>
        <v/>
      </c>
      <c r="X130" s="27">
        <f>IF($C130="","",IF(IFERROR(INDEX(CONFIG!$K$4:$K$43,MATCH($S130,CONFIG!$J$4:$J$43,0)),"NO")="SÍ",IF(OR($V130="",$U130=""),"Resuelta",IF($V130&gt;$U130,"Resuelta tarde","Resuelta a tiempo")),IF($U130="","Sin clasificar",IF(TODAY()&gt;$U130,"Vencida",IF(TODAY()&gt;=$U130-1,"Por vencer","En plazo")))))</f>
        <v/>
      </c>
      <c r="Y130" s="49" t="n"/>
      <c r="Z130" s="49" t="n"/>
    </row>
    <row r="131" ht="16" customHeight="1">
      <c r="A131" s="27">
        <f>IF($C131="","","N-"&amp;TEXT(ROW()-3,"0000"))</f>
        <v/>
      </c>
      <c r="B131" s="46" t="n"/>
      <c r="C131" s="47" t="n"/>
      <c r="D131" s="27">
        <f>IF($C131="","",IF(COUNTIFS(ENVIOS!$A$4:$A$3003,$C131)=0,"NO EXISTE",IF(COUNTIFS(ENVIOS!$A$4:$A$3003,$C131)&gt;1,"DUPLICADA","OK")))</f>
        <v/>
      </c>
      <c r="E131" s="22">
        <f>IF($C131="","",IFERROR(INDEX(ENVIOS!$C$4:$C$3003,MATCH($C131,ENVIOS!$A$4:$A$3003,0)),"—"))</f>
        <v/>
      </c>
      <c r="F131" s="22">
        <f>IF($C131="","",IFERROR(INDEX(ENVIOS!$D$4:$D$3003,MATCH($C131,ENVIOS!$A$4:$A$3003,0)),"—"))</f>
        <v/>
      </c>
      <c r="G131" s="22">
        <f>IF($C131="","",IFERROR(INDEX(ENVIOS!$E$4:$E$3003,MATCH($C131,ENVIOS!$A$4:$A$3003,0)),"—"))</f>
        <v/>
      </c>
      <c r="H131" s="22">
        <f>IF($C131="","",IFERROR(INDEX(ENVIOS!$F$4:$F$3003,MATCH($C131,ENVIOS!$A$4:$A$3003,0)),"—"))</f>
        <v/>
      </c>
      <c r="I131" s="27">
        <f>IF($C131="","",IFERROR(INDEX(ENVIOS!$G$4:$G$3003,MATCH($C131,ENVIOS!$A$4:$A$3003,0)),"—"))</f>
        <v/>
      </c>
      <c r="J131" s="48">
        <f>IF($C131="","",IFERROR(INDEX(ENVIOS!$B$4:$B$3003,MATCH($C131,ENVIOS!$A$4:$A$3003,0)),""))</f>
        <v/>
      </c>
      <c r="K131" s="49" t="n"/>
      <c r="L131" s="27">
        <f>IF($K131="","",IFERROR(INDEX(CONFIG!$B$4:$B$43,MATCH($K131,CONFIG!$A$4:$A$43,0)),"Media"))</f>
        <v/>
      </c>
      <c r="M131" s="27">
        <f>IF($K131="","",IFERROR(INDEX(CONFIG!$D$4:$D$43,MATCH($K131,CONFIG!$A$4:$A$43,0)),"NO"))</f>
        <v/>
      </c>
      <c r="N131" s="49" t="n"/>
      <c r="O131" s="27">
        <f>IF($N131="","",IFERROR(INDEX(CONFIG!$G$4:$G$43,MATCH($N131,CONFIG!$F$4:$F$43,0)),"Por definir"))</f>
        <v/>
      </c>
      <c r="P131" s="27">
        <f>IF($N131="","",IFERROR(INDEX(CONFIG!$H$4:$H$43,MATCH($N131,CONFIG!$F$4:$F$43,0)),"Por definir"))</f>
        <v/>
      </c>
      <c r="Q131" s="50" t="n"/>
      <c r="R131" s="51" t="n"/>
      <c r="S131" s="49" t="n"/>
      <c r="T131" s="49" t="n"/>
      <c r="U131" s="48">
        <f>IF(OR($B131="",$K131=""),"",WORKDAY($B131,IFERROR(INDEX(CONFIG!$C$4:$C$43,MATCH($K131,CONFIG!$A$4:$A$43,0)),3)))</f>
        <v/>
      </c>
      <c r="V131" s="46" t="n"/>
      <c r="W131" s="23">
        <f>IF($B131="","",IF($V131&lt;&gt;"",$V131-$B131,TODAY()-$B131))</f>
        <v/>
      </c>
      <c r="X131" s="27">
        <f>IF($C131="","",IF(IFERROR(INDEX(CONFIG!$K$4:$K$43,MATCH($S131,CONFIG!$J$4:$J$43,0)),"NO")="SÍ",IF(OR($V131="",$U131=""),"Resuelta",IF($V131&gt;$U131,"Resuelta tarde","Resuelta a tiempo")),IF($U131="","Sin clasificar",IF(TODAY()&gt;$U131,"Vencida",IF(TODAY()&gt;=$U131-1,"Por vencer","En plazo")))))</f>
        <v/>
      </c>
      <c r="Y131" s="49" t="n"/>
      <c r="Z131" s="49" t="n"/>
    </row>
    <row r="132" ht="16" customHeight="1">
      <c r="A132" s="27">
        <f>IF($C132="","","N-"&amp;TEXT(ROW()-3,"0000"))</f>
        <v/>
      </c>
      <c r="B132" s="46" t="n"/>
      <c r="C132" s="47" t="n"/>
      <c r="D132" s="27">
        <f>IF($C132="","",IF(COUNTIFS(ENVIOS!$A$4:$A$3003,$C132)=0,"NO EXISTE",IF(COUNTIFS(ENVIOS!$A$4:$A$3003,$C132)&gt;1,"DUPLICADA","OK")))</f>
        <v/>
      </c>
      <c r="E132" s="22">
        <f>IF($C132="","",IFERROR(INDEX(ENVIOS!$C$4:$C$3003,MATCH($C132,ENVIOS!$A$4:$A$3003,0)),"—"))</f>
        <v/>
      </c>
      <c r="F132" s="22">
        <f>IF($C132="","",IFERROR(INDEX(ENVIOS!$D$4:$D$3003,MATCH($C132,ENVIOS!$A$4:$A$3003,0)),"—"))</f>
        <v/>
      </c>
      <c r="G132" s="22">
        <f>IF($C132="","",IFERROR(INDEX(ENVIOS!$E$4:$E$3003,MATCH($C132,ENVIOS!$A$4:$A$3003,0)),"—"))</f>
        <v/>
      </c>
      <c r="H132" s="22">
        <f>IF($C132="","",IFERROR(INDEX(ENVIOS!$F$4:$F$3003,MATCH($C132,ENVIOS!$A$4:$A$3003,0)),"—"))</f>
        <v/>
      </c>
      <c r="I132" s="27">
        <f>IF($C132="","",IFERROR(INDEX(ENVIOS!$G$4:$G$3003,MATCH($C132,ENVIOS!$A$4:$A$3003,0)),"—"))</f>
        <v/>
      </c>
      <c r="J132" s="48">
        <f>IF($C132="","",IFERROR(INDEX(ENVIOS!$B$4:$B$3003,MATCH($C132,ENVIOS!$A$4:$A$3003,0)),""))</f>
        <v/>
      </c>
      <c r="K132" s="49" t="n"/>
      <c r="L132" s="27">
        <f>IF($K132="","",IFERROR(INDEX(CONFIG!$B$4:$B$43,MATCH($K132,CONFIG!$A$4:$A$43,0)),"Media"))</f>
        <v/>
      </c>
      <c r="M132" s="27">
        <f>IF($K132="","",IFERROR(INDEX(CONFIG!$D$4:$D$43,MATCH($K132,CONFIG!$A$4:$A$43,0)),"NO"))</f>
        <v/>
      </c>
      <c r="N132" s="49" t="n"/>
      <c r="O132" s="27">
        <f>IF($N132="","",IFERROR(INDEX(CONFIG!$G$4:$G$43,MATCH($N132,CONFIG!$F$4:$F$43,0)),"Por definir"))</f>
        <v/>
      </c>
      <c r="P132" s="27">
        <f>IF($N132="","",IFERROR(INDEX(CONFIG!$H$4:$H$43,MATCH($N132,CONFIG!$F$4:$F$43,0)),"Por definir"))</f>
        <v/>
      </c>
      <c r="Q132" s="50" t="n"/>
      <c r="R132" s="51" t="n"/>
      <c r="S132" s="49" t="n"/>
      <c r="T132" s="49" t="n"/>
      <c r="U132" s="48">
        <f>IF(OR($B132="",$K132=""),"",WORKDAY($B132,IFERROR(INDEX(CONFIG!$C$4:$C$43,MATCH($K132,CONFIG!$A$4:$A$43,0)),3)))</f>
        <v/>
      </c>
      <c r="V132" s="46" t="n"/>
      <c r="W132" s="23">
        <f>IF($B132="","",IF($V132&lt;&gt;"",$V132-$B132,TODAY()-$B132))</f>
        <v/>
      </c>
      <c r="X132" s="27">
        <f>IF($C132="","",IF(IFERROR(INDEX(CONFIG!$K$4:$K$43,MATCH($S132,CONFIG!$J$4:$J$43,0)),"NO")="SÍ",IF(OR($V132="",$U132=""),"Resuelta",IF($V132&gt;$U132,"Resuelta tarde","Resuelta a tiempo")),IF($U132="","Sin clasificar",IF(TODAY()&gt;$U132,"Vencida",IF(TODAY()&gt;=$U132-1,"Por vencer","En plazo")))))</f>
        <v/>
      </c>
      <c r="Y132" s="49" t="n"/>
      <c r="Z132" s="49" t="n"/>
    </row>
    <row r="133" ht="16" customHeight="1">
      <c r="A133" s="27">
        <f>IF($C133="","","N-"&amp;TEXT(ROW()-3,"0000"))</f>
        <v/>
      </c>
      <c r="B133" s="46" t="n"/>
      <c r="C133" s="47" t="n"/>
      <c r="D133" s="27">
        <f>IF($C133="","",IF(COUNTIFS(ENVIOS!$A$4:$A$3003,$C133)=0,"NO EXISTE",IF(COUNTIFS(ENVIOS!$A$4:$A$3003,$C133)&gt;1,"DUPLICADA","OK")))</f>
        <v/>
      </c>
      <c r="E133" s="22">
        <f>IF($C133="","",IFERROR(INDEX(ENVIOS!$C$4:$C$3003,MATCH($C133,ENVIOS!$A$4:$A$3003,0)),"—"))</f>
        <v/>
      </c>
      <c r="F133" s="22">
        <f>IF($C133="","",IFERROR(INDEX(ENVIOS!$D$4:$D$3003,MATCH($C133,ENVIOS!$A$4:$A$3003,0)),"—"))</f>
        <v/>
      </c>
      <c r="G133" s="22">
        <f>IF($C133="","",IFERROR(INDEX(ENVIOS!$E$4:$E$3003,MATCH($C133,ENVIOS!$A$4:$A$3003,0)),"—"))</f>
        <v/>
      </c>
      <c r="H133" s="22">
        <f>IF($C133="","",IFERROR(INDEX(ENVIOS!$F$4:$F$3003,MATCH($C133,ENVIOS!$A$4:$A$3003,0)),"—"))</f>
        <v/>
      </c>
      <c r="I133" s="27">
        <f>IF($C133="","",IFERROR(INDEX(ENVIOS!$G$4:$G$3003,MATCH($C133,ENVIOS!$A$4:$A$3003,0)),"—"))</f>
        <v/>
      </c>
      <c r="J133" s="48">
        <f>IF($C133="","",IFERROR(INDEX(ENVIOS!$B$4:$B$3003,MATCH($C133,ENVIOS!$A$4:$A$3003,0)),""))</f>
        <v/>
      </c>
      <c r="K133" s="49" t="n"/>
      <c r="L133" s="27">
        <f>IF($K133="","",IFERROR(INDEX(CONFIG!$B$4:$B$43,MATCH($K133,CONFIG!$A$4:$A$43,0)),"Media"))</f>
        <v/>
      </c>
      <c r="M133" s="27">
        <f>IF($K133="","",IFERROR(INDEX(CONFIG!$D$4:$D$43,MATCH($K133,CONFIG!$A$4:$A$43,0)),"NO"))</f>
        <v/>
      </c>
      <c r="N133" s="49" t="n"/>
      <c r="O133" s="27">
        <f>IF($N133="","",IFERROR(INDEX(CONFIG!$G$4:$G$43,MATCH($N133,CONFIG!$F$4:$F$43,0)),"Por definir"))</f>
        <v/>
      </c>
      <c r="P133" s="27">
        <f>IF($N133="","",IFERROR(INDEX(CONFIG!$H$4:$H$43,MATCH($N133,CONFIG!$F$4:$F$43,0)),"Por definir"))</f>
        <v/>
      </c>
      <c r="Q133" s="50" t="n"/>
      <c r="R133" s="51" t="n"/>
      <c r="S133" s="49" t="n"/>
      <c r="T133" s="49" t="n"/>
      <c r="U133" s="48">
        <f>IF(OR($B133="",$K133=""),"",WORKDAY($B133,IFERROR(INDEX(CONFIG!$C$4:$C$43,MATCH($K133,CONFIG!$A$4:$A$43,0)),3)))</f>
        <v/>
      </c>
      <c r="V133" s="46" t="n"/>
      <c r="W133" s="23">
        <f>IF($B133="","",IF($V133&lt;&gt;"",$V133-$B133,TODAY()-$B133))</f>
        <v/>
      </c>
      <c r="X133" s="27">
        <f>IF($C133="","",IF(IFERROR(INDEX(CONFIG!$K$4:$K$43,MATCH($S133,CONFIG!$J$4:$J$43,0)),"NO")="SÍ",IF(OR($V133="",$U133=""),"Resuelta",IF($V133&gt;$U133,"Resuelta tarde","Resuelta a tiempo")),IF($U133="","Sin clasificar",IF(TODAY()&gt;$U133,"Vencida",IF(TODAY()&gt;=$U133-1,"Por vencer","En plazo")))))</f>
        <v/>
      </c>
      <c r="Y133" s="49" t="n"/>
      <c r="Z133" s="49" t="n"/>
    </row>
    <row r="134" ht="16" customHeight="1">
      <c r="A134" s="27">
        <f>IF($C134="","","N-"&amp;TEXT(ROW()-3,"0000"))</f>
        <v/>
      </c>
      <c r="B134" s="46" t="n"/>
      <c r="C134" s="47" t="n"/>
      <c r="D134" s="27">
        <f>IF($C134="","",IF(COUNTIFS(ENVIOS!$A$4:$A$3003,$C134)=0,"NO EXISTE",IF(COUNTIFS(ENVIOS!$A$4:$A$3003,$C134)&gt;1,"DUPLICADA","OK")))</f>
        <v/>
      </c>
      <c r="E134" s="22">
        <f>IF($C134="","",IFERROR(INDEX(ENVIOS!$C$4:$C$3003,MATCH($C134,ENVIOS!$A$4:$A$3003,0)),"—"))</f>
        <v/>
      </c>
      <c r="F134" s="22">
        <f>IF($C134="","",IFERROR(INDEX(ENVIOS!$D$4:$D$3003,MATCH($C134,ENVIOS!$A$4:$A$3003,0)),"—"))</f>
        <v/>
      </c>
      <c r="G134" s="22">
        <f>IF($C134="","",IFERROR(INDEX(ENVIOS!$E$4:$E$3003,MATCH($C134,ENVIOS!$A$4:$A$3003,0)),"—"))</f>
        <v/>
      </c>
      <c r="H134" s="22">
        <f>IF($C134="","",IFERROR(INDEX(ENVIOS!$F$4:$F$3003,MATCH($C134,ENVIOS!$A$4:$A$3003,0)),"—"))</f>
        <v/>
      </c>
      <c r="I134" s="27">
        <f>IF($C134="","",IFERROR(INDEX(ENVIOS!$G$4:$G$3003,MATCH($C134,ENVIOS!$A$4:$A$3003,0)),"—"))</f>
        <v/>
      </c>
      <c r="J134" s="48">
        <f>IF($C134="","",IFERROR(INDEX(ENVIOS!$B$4:$B$3003,MATCH($C134,ENVIOS!$A$4:$A$3003,0)),""))</f>
        <v/>
      </c>
      <c r="K134" s="49" t="n"/>
      <c r="L134" s="27">
        <f>IF($K134="","",IFERROR(INDEX(CONFIG!$B$4:$B$43,MATCH($K134,CONFIG!$A$4:$A$43,0)),"Media"))</f>
        <v/>
      </c>
      <c r="M134" s="27">
        <f>IF($K134="","",IFERROR(INDEX(CONFIG!$D$4:$D$43,MATCH($K134,CONFIG!$A$4:$A$43,0)),"NO"))</f>
        <v/>
      </c>
      <c r="N134" s="49" t="n"/>
      <c r="O134" s="27">
        <f>IF($N134="","",IFERROR(INDEX(CONFIG!$G$4:$G$43,MATCH($N134,CONFIG!$F$4:$F$43,0)),"Por definir"))</f>
        <v/>
      </c>
      <c r="P134" s="27">
        <f>IF($N134="","",IFERROR(INDEX(CONFIG!$H$4:$H$43,MATCH($N134,CONFIG!$F$4:$F$43,0)),"Por definir"))</f>
        <v/>
      </c>
      <c r="Q134" s="50" t="n"/>
      <c r="R134" s="51" t="n"/>
      <c r="S134" s="49" t="n"/>
      <c r="T134" s="49" t="n"/>
      <c r="U134" s="48">
        <f>IF(OR($B134="",$K134=""),"",WORKDAY($B134,IFERROR(INDEX(CONFIG!$C$4:$C$43,MATCH($K134,CONFIG!$A$4:$A$43,0)),3)))</f>
        <v/>
      </c>
      <c r="V134" s="46" t="n"/>
      <c r="W134" s="23">
        <f>IF($B134="","",IF($V134&lt;&gt;"",$V134-$B134,TODAY()-$B134))</f>
        <v/>
      </c>
      <c r="X134" s="27">
        <f>IF($C134="","",IF(IFERROR(INDEX(CONFIG!$K$4:$K$43,MATCH($S134,CONFIG!$J$4:$J$43,0)),"NO")="SÍ",IF(OR($V134="",$U134=""),"Resuelta",IF($V134&gt;$U134,"Resuelta tarde","Resuelta a tiempo")),IF($U134="","Sin clasificar",IF(TODAY()&gt;$U134,"Vencida",IF(TODAY()&gt;=$U134-1,"Por vencer","En plazo")))))</f>
        <v/>
      </c>
      <c r="Y134" s="49" t="n"/>
      <c r="Z134" s="49" t="n"/>
    </row>
    <row r="135" ht="16" customHeight="1">
      <c r="A135" s="27">
        <f>IF($C135="","","N-"&amp;TEXT(ROW()-3,"0000"))</f>
        <v/>
      </c>
      <c r="B135" s="46" t="n"/>
      <c r="C135" s="47" t="n"/>
      <c r="D135" s="27">
        <f>IF($C135="","",IF(COUNTIFS(ENVIOS!$A$4:$A$3003,$C135)=0,"NO EXISTE",IF(COUNTIFS(ENVIOS!$A$4:$A$3003,$C135)&gt;1,"DUPLICADA","OK")))</f>
        <v/>
      </c>
      <c r="E135" s="22">
        <f>IF($C135="","",IFERROR(INDEX(ENVIOS!$C$4:$C$3003,MATCH($C135,ENVIOS!$A$4:$A$3003,0)),"—"))</f>
        <v/>
      </c>
      <c r="F135" s="22">
        <f>IF($C135="","",IFERROR(INDEX(ENVIOS!$D$4:$D$3003,MATCH($C135,ENVIOS!$A$4:$A$3003,0)),"—"))</f>
        <v/>
      </c>
      <c r="G135" s="22">
        <f>IF($C135="","",IFERROR(INDEX(ENVIOS!$E$4:$E$3003,MATCH($C135,ENVIOS!$A$4:$A$3003,0)),"—"))</f>
        <v/>
      </c>
      <c r="H135" s="22">
        <f>IF($C135="","",IFERROR(INDEX(ENVIOS!$F$4:$F$3003,MATCH($C135,ENVIOS!$A$4:$A$3003,0)),"—"))</f>
        <v/>
      </c>
      <c r="I135" s="27">
        <f>IF($C135="","",IFERROR(INDEX(ENVIOS!$G$4:$G$3003,MATCH($C135,ENVIOS!$A$4:$A$3003,0)),"—"))</f>
        <v/>
      </c>
      <c r="J135" s="48">
        <f>IF($C135="","",IFERROR(INDEX(ENVIOS!$B$4:$B$3003,MATCH($C135,ENVIOS!$A$4:$A$3003,0)),""))</f>
        <v/>
      </c>
      <c r="K135" s="49" t="n"/>
      <c r="L135" s="27">
        <f>IF($K135="","",IFERROR(INDEX(CONFIG!$B$4:$B$43,MATCH($K135,CONFIG!$A$4:$A$43,0)),"Media"))</f>
        <v/>
      </c>
      <c r="M135" s="27">
        <f>IF($K135="","",IFERROR(INDEX(CONFIG!$D$4:$D$43,MATCH($K135,CONFIG!$A$4:$A$43,0)),"NO"))</f>
        <v/>
      </c>
      <c r="N135" s="49" t="n"/>
      <c r="O135" s="27">
        <f>IF($N135="","",IFERROR(INDEX(CONFIG!$G$4:$G$43,MATCH($N135,CONFIG!$F$4:$F$43,0)),"Por definir"))</f>
        <v/>
      </c>
      <c r="P135" s="27">
        <f>IF($N135="","",IFERROR(INDEX(CONFIG!$H$4:$H$43,MATCH($N135,CONFIG!$F$4:$F$43,0)),"Por definir"))</f>
        <v/>
      </c>
      <c r="Q135" s="50" t="n"/>
      <c r="R135" s="51" t="n"/>
      <c r="S135" s="49" t="n"/>
      <c r="T135" s="49" t="n"/>
      <c r="U135" s="48">
        <f>IF(OR($B135="",$K135=""),"",WORKDAY($B135,IFERROR(INDEX(CONFIG!$C$4:$C$43,MATCH($K135,CONFIG!$A$4:$A$43,0)),3)))</f>
        <v/>
      </c>
      <c r="V135" s="46" t="n"/>
      <c r="W135" s="23">
        <f>IF($B135="","",IF($V135&lt;&gt;"",$V135-$B135,TODAY()-$B135))</f>
        <v/>
      </c>
      <c r="X135" s="27">
        <f>IF($C135="","",IF(IFERROR(INDEX(CONFIG!$K$4:$K$43,MATCH($S135,CONFIG!$J$4:$J$43,0)),"NO")="SÍ",IF(OR($V135="",$U135=""),"Resuelta",IF($V135&gt;$U135,"Resuelta tarde","Resuelta a tiempo")),IF($U135="","Sin clasificar",IF(TODAY()&gt;$U135,"Vencida",IF(TODAY()&gt;=$U135-1,"Por vencer","En plazo")))))</f>
        <v/>
      </c>
      <c r="Y135" s="49" t="n"/>
      <c r="Z135" s="49" t="n"/>
    </row>
    <row r="136" ht="16" customHeight="1">
      <c r="A136" s="27">
        <f>IF($C136="","","N-"&amp;TEXT(ROW()-3,"0000"))</f>
        <v/>
      </c>
      <c r="B136" s="46" t="n"/>
      <c r="C136" s="47" t="n"/>
      <c r="D136" s="27">
        <f>IF($C136="","",IF(COUNTIFS(ENVIOS!$A$4:$A$3003,$C136)=0,"NO EXISTE",IF(COUNTIFS(ENVIOS!$A$4:$A$3003,$C136)&gt;1,"DUPLICADA","OK")))</f>
        <v/>
      </c>
      <c r="E136" s="22">
        <f>IF($C136="","",IFERROR(INDEX(ENVIOS!$C$4:$C$3003,MATCH($C136,ENVIOS!$A$4:$A$3003,0)),"—"))</f>
        <v/>
      </c>
      <c r="F136" s="22">
        <f>IF($C136="","",IFERROR(INDEX(ENVIOS!$D$4:$D$3003,MATCH($C136,ENVIOS!$A$4:$A$3003,0)),"—"))</f>
        <v/>
      </c>
      <c r="G136" s="22">
        <f>IF($C136="","",IFERROR(INDEX(ENVIOS!$E$4:$E$3003,MATCH($C136,ENVIOS!$A$4:$A$3003,0)),"—"))</f>
        <v/>
      </c>
      <c r="H136" s="22">
        <f>IF($C136="","",IFERROR(INDEX(ENVIOS!$F$4:$F$3003,MATCH($C136,ENVIOS!$A$4:$A$3003,0)),"—"))</f>
        <v/>
      </c>
      <c r="I136" s="27">
        <f>IF($C136="","",IFERROR(INDEX(ENVIOS!$G$4:$G$3003,MATCH($C136,ENVIOS!$A$4:$A$3003,0)),"—"))</f>
        <v/>
      </c>
      <c r="J136" s="48">
        <f>IF($C136="","",IFERROR(INDEX(ENVIOS!$B$4:$B$3003,MATCH($C136,ENVIOS!$A$4:$A$3003,0)),""))</f>
        <v/>
      </c>
      <c r="K136" s="49" t="n"/>
      <c r="L136" s="27">
        <f>IF($K136="","",IFERROR(INDEX(CONFIG!$B$4:$B$43,MATCH($K136,CONFIG!$A$4:$A$43,0)),"Media"))</f>
        <v/>
      </c>
      <c r="M136" s="27">
        <f>IF($K136="","",IFERROR(INDEX(CONFIG!$D$4:$D$43,MATCH($K136,CONFIG!$A$4:$A$43,0)),"NO"))</f>
        <v/>
      </c>
      <c r="N136" s="49" t="n"/>
      <c r="O136" s="27">
        <f>IF($N136="","",IFERROR(INDEX(CONFIG!$G$4:$G$43,MATCH($N136,CONFIG!$F$4:$F$43,0)),"Por definir"))</f>
        <v/>
      </c>
      <c r="P136" s="27">
        <f>IF($N136="","",IFERROR(INDEX(CONFIG!$H$4:$H$43,MATCH($N136,CONFIG!$F$4:$F$43,0)),"Por definir"))</f>
        <v/>
      </c>
      <c r="Q136" s="50" t="n"/>
      <c r="R136" s="51" t="n"/>
      <c r="S136" s="49" t="n"/>
      <c r="T136" s="49" t="n"/>
      <c r="U136" s="48">
        <f>IF(OR($B136="",$K136=""),"",WORKDAY($B136,IFERROR(INDEX(CONFIG!$C$4:$C$43,MATCH($K136,CONFIG!$A$4:$A$43,0)),3)))</f>
        <v/>
      </c>
      <c r="V136" s="46" t="n"/>
      <c r="W136" s="23">
        <f>IF($B136="","",IF($V136&lt;&gt;"",$V136-$B136,TODAY()-$B136))</f>
        <v/>
      </c>
      <c r="X136" s="27">
        <f>IF($C136="","",IF(IFERROR(INDEX(CONFIG!$K$4:$K$43,MATCH($S136,CONFIG!$J$4:$J$43,0)),"NO")="SÍ",IF(OR($V136="",$U136=""),"Resuelta",IF($V136&gt;$U136,"Resuelta tarde","Resuelta a tiempo")),IF($U136="","Sin clasificar",IF(TODAY()&gt;$U136,"Vencida",IF(TODAY()&gt;=$U136-1,"Por vencer","En plazo")))))</f>
        <v/>
      </c>
      <c r="Y136" s="49" t="n"/>
      <c r="Z136" s="49" t="n"/>
    </row>
    <row r="137" ht="16" customHeight="1">
      <c r="A137" s="27">
        <f>IF($C137="","","N-"&amp;TEXT(ROW()-3,"0000"))</f>
        <v/>
      </c>
      <c r="B137" s="46" t="n"/>
      <c r="C137" s="47" t="n"/>
      <c r="D137" s="27">
        <f>IF($C137="","",IF(COUNTIFS(ENVIOS!$A$4:$A$3003,$C137)=0,"NO EXISTE",IF(COUNTIFS(ENVIOS!$A$4:$A$3003,$C137)&gt;1,"DUPLICADA","OK")))</f>
        <v/>
      </c>
      <c r="E137" s="22">
        <f>IF($C137="","",IFERROR(INDEX(ENVIOS!$C$4:$C$3003,MATCH($C137,ENVIOS!$A$4:$A$3003,0)),"—"))</f>
        <v/>
      </c>
      <c r="F137" s="22">
        <f>IF($C137="","",IFERROR(INDEX(ENVIOS!$D$4:$D$3003,MATCH($C137,ENVIOS!$A$4:$A$3003,0)),"—"))</f>
        <v/>
      </c>
      <c r="G137" s="22">
        <f>IF($C137="","",IFERROR(INDEX(ENVIOS!$E$4:$E$3003,MATCH($C137,ENVIOS!$A$4:$A$3003,0)),"—"))</f>
        <v/>
      </c>
      <c r="H137" s="22">
        <f>IF($C137="","",IFERROR(INDEX(ENVIOS!$F$4:$F$3003,MATCH($C137,ENVIOS!$A$4:$A$3003,0)),"—"))</f>
        <v/>
      </c>
      <c r="I137" s="27">
        <f>IF($C137="","",IFERROR(INDEX(ENVIOS!$G$4:$G$3003,MATCH($C137,ENVIOS!$A$4:$A$3003,0)),"—"))</f>
        <v/>
      </c>
      <c r="J137" s="48">
        <f>IF($C137="","",IFERROR(INDEX(ENVIOS!$B$4:$B$3003,MATCH($C137,ENVIOS!$A$4:$A$3003,0)),""))</f>
        <v/>
      </c>
      <c r="K137" s="49" t="n"/>
      <c r="L137" s="27">
        <f>IF($K137="","",IFERROR(INDEX(CONFIG!$B$4:$B$43,MATCH($K137,CONFIG!$A$4:$A$43,0)),"Media"))</f>
        <v/>
      </c>
      <c r="M137" s="27">
        <f>IF($K137="","",IFERROR(INDEX(CONFIG!$D$4:$D$43,MATCH($K137,CONFIG!$A$4:$A$43,0)),"NO"))</f>
        <v/>
      </c>
      <c r="N137" s="49" t="n"/>
      <c r="O137" s="27">
        <f>IF($N137="","",IFERROR(INDEX(CONFIG!$G$4:$G$43,MATCH($N137,CONFIG!$F$4:$F$43,0)),"Por definir"))</f>
        <v/>
      </c>
      <c r="P137" s="27">
        <f>IF($N137="","",IFERROR(INDEX(CONFIG!$H$4:$H$43,MATCH($N137,CONFIG!$F$4:$F$43,0)),"Por definir"))</f>
        <v/>
      </c>
      <c r="Q137" s="50" t="n"/>
      <c r="R137" s="51" t="n"/>
      <c r="S137" s="49" t="n"/>
      <c r="T137" s="49" t="n"/>
      <c r="U137" s="48">
        <f>IF(OR($B137="",$K137=""),"",WORKDAY($B137,IFERROR(INDEX(CONFIG!$C$4:$C$43,MATCH($K137,CONFIG!$A$4:$A$43,0)),3)))</f>
        <v/>
      </c>
      <c r="V137" s="46" t="n"/>
      <c r="W137" s="23">
        <f>IF($B137="","",IF($V137&lt;&gt;"",$V137-$B137,TODAY()-$B137))</f>
        <v/>
      </c>
      <c r="X137" s="27">
        <f>IF($C137="","",IF(IFERROR(INDEX(CONFIG!$K$4:$K$43,MATCH($S137,CONFIG!$J$4:$J$43,0)),"NO")="SÍ",IF(OR($V137="",$U137=""),"Resuelta",IF($V137&gt;$U137,"Resuelta tarde","Resuelta a tiempo")),IF($U137="","Sin clasificar",IF(TODAY()&gt;$U137,"Vencida",IF(TODAY()&gt;=$U137-1,"Por vencer","En plazo")))))</f>
        <v/>
      </c>
      <c r="Y137" s="49" t="n"/>
      <c r="Z137" s="49" t="n"/>
    </row>
    <row r="138" ht="16" customHeight="1">
      <c r="A138" s="27">
        <f>IF($C138="","","N-"&amp;TEXT(ROW()-3,"0000"))</f>
        <v/>
      </c>
      <c r="B138" s="46" t="n"/>
      <c r="C138" s="47" t="n"/>
      <c r="D138" s="27">
        <f>IF($C138="","",IF(COUNTIFS(ENVIOS!$A$4:$A$3003,$C138)=0,"NO EXISTE",IF(COUNTIFS(ENVIOS!$A$4:$A$3003,$C138)&gt;1,"DUPLICADA","OK")))</f>
        <v/>
      </c>
      <c r="E138" s="22">
        <f>IF($C138="","",IFERROR(INDEX(ENVIOS!$C$4:$C$3003,MATCH($C138,ENVIOS!$A$4:$A$3003,0)),"—"))</f>
        <v/>
      </c>
      <c r="F138" s="22">
        <f>IF($C138="","",IFERROR(INDEX(ENVIOS!$D$4:$D$3003,MATCH($C138,ENVIOS!$A$4:$A$3003,0)),"—"))</f>
        <v/>
      </c>
      <c r="G138" s="22">
        <f>IF($C138="","",IFERROR(INDEX(ENVIOS!$E$4:$E$3003,MATCH($C138,ENVIOS!$A$4:$A$3003,0)),"—"))</f>
        <v/>
      </c>
      <c r="H138" s="22">
        <f>IF($C138="","",IFERROR(INDEX(ENVIOS!$F$4:$F$3003,MATCH($C138,ENVIOS!$A$4:$A$3003,0)),"—"))</f>
        <v/>
      </c>
      <c r="I138" s="27">
        <f>IF($C138="","",IFERROR(INDEX(ENVIOS!$G$4:$G$3003,MATCH($C138,ENVIOS!$A$4:$A$3003,0)),"—"))</f>
        <v/>
      </c>
      <c r="J138" s="48">
        <f>IF($C138="","",IFERROR(INDEX(ENVIOS!$B$4:$B$3003,MATCH($C138,ENVIOS!$A$4:$A$3003,0)),""))</f>
        <v/>
      </c>
      <c r="K138" s="49" t="n"/>
      <c r="L138" s="27">
        <f>IF($K138="","",IFERROR(INDEX(CONFIG!$B$4:$B$43,MATCH($K138,CONFIG!$A$4:$A$43,0)),"Media"))</f>
        <v/>
      </c>
      <c r="M138" s="27">
        <f>IF($K138="","",IFERROR(INDEX(CONFIG!$D$4:$D$43,MATCH($K138,CONFIG!$A$4:$A$43,0)),"NO"))</f>
        <v/>
      </c>
      <c r="N138" s="49" t="n"/>
      <c r="O138" s="27">
        <f>IF($N138="","",IFERROR(INDEX(CONFIG!$G$4:$G$43,MATCH($N138,CONFIG!$F$4:$F$43,0)),"Por definir"))</f>
        <v/>
      </c>
      <c r="P138" s="27">
        <f>IF($N138="","",IFERROR(INDEX(CONFIG!$H$4:$H$43,MATCH($N138,CONFIG!$F$4:$F$43,0)),"Por definir"))</f>
        <v/>
      </c>
      <c r="Q138" s="50" t="n"/>
      <c r="R138" s="51" t="n"/>
      <c r="S138" s="49" t="n"/>
      <c r="T138" s="49" t="n"/>
      <c r="U138" s="48">
        <f>IF(OR($B138="",$K138=""),"",WORKDAY($B138,IFERROR(INDEX(CONFIG!$C$4:$C$43,MATCH($K138,CONFIG!$A$4:$A$43,0)),3)))</f>
        <v/>
      </c>
      <c r="V138" s="46" t="n"/>
      <c r="W138" s="23">
        <f>IF($B138="","",IF($V138&lt;&gt;"",$V138-$B138,TODAY()-$B138))</f>
        <v/>
      </c>
      <c r="X138" s="27">
        <f>IF($C138="","",IF(IFERROR(INDEX(CONFIG!$K$4:$K$43,MATCH($S138,CONFIG!$J$4:$J$43,0)),"NO")="SÍ",IF(OR($V138="",$U138=""),"Resuelta",IF($V138&gt;$U138,"Resuelta tarde","Resuelta a tiempo")),IF($U138="","Sin clasificar",IF(TODAY()&gt;$U138,"Vencida",IF(TODAY()&gt;=$U138-1,"Por vencer","En plazo")))))</f>
        <v/>
      </c>
      <c r="Y138" s="49" t="n"/>
      <c r="Z138" s="49" t="n"/>
    </row>
    <row r="139" ht="16" customHeight="1">
      <c r="A139" s="27">
        <f>IF($C139="","","N-"&amp;TEXT(ROW()-3,"0000"))</f>
        <v/>
      </c>
      <c r="B139" s="46" t="n"/>
      <c r="C139" s="47" t="n"/>
      <c r="D139" s="27">
        <f>IF($C139="","",IF(COUNTIFS(ENVIOS!$A$4:$A$3003,$C139)=0,"NO EXISTE",IF(COUNTIFS(ENVIOS!$A$4:$A$3003,$C139)&gt;1,"DUPLICADA","OK")))</f>
        <v/>
      </c>
      <c r="E139" s="22">
        <f>IF($C139="","",IFERROR(INDEX(ENVIOS!$C$4:$C$3003,MATCH($C139,ENVIOS!$A$4:$A$3003,0)),"—"))</f>
        <v/>
      </c>
      <c r="F139" s="22">
        <f>IF($C139="","",IFERROR(INDEX(ENVIOS!$D$4:$D$3003,MATCH($C139,ENVIOS!$A$4:$A$3003,0)),"—"))</f>
        <v/>
      </c>
      <c r="G139" s="22">
        <f>IF($C139="","",IFERROR(INDEX(ENVIOS!$E$4:$E$3003,MATCH($C139,ENVIOS!$A$4:$A$3003,0)),"—"))</f>
        <v/>
      </c>
      <c r="H139" s="22">
        <f>IF($C139="","",IFERROR(INDEX(ENVIOS!$F$4:$F$3003,MATCH($C139,ENVIOS!$A$4:$A$3003,0)),"—"))</f>
        <v/>
      </c>
      <c r="I139" s="27">
        <f>IF($C139="","",IFERROR(INDEX(ENVIOS!$G$4:$G$3003,MATCH($C139,ENVIOS!$A$4:$A$3003,0)),"—"))</f>
        <v/>
      </c>
      <c r="J139" s="48">
        <f>IF($C139="","",IFERROR(INDEX(ENVIOS!$B$4:$B$3003,MATCH($C139,ENVIOS!$A$4:$A$3003,0)),""))</f>
        <v/>
      </c>
      <c r="K139" s="49" t="n"/>
      <c r="L139" s="27">
        <f>IF($K139="","",IFERROR(INDEX(CONFIG!$B$4:$B$43,MATCH($K139,CONFIG!$A$4:$A$43,0)),"Media"))</f>
        <v/>
      </c>
      <c r="M139" s="27">
        <f>IF($K139="","",IFERROR(INDEX(CONFIG!$D$4:$D$43,MATCH($K139,CONFIG!$A$4:$A$43,0)),"NO"))</f>
        <v/>
      </c>
      <c r="N139" s="49" t="n"/>
      <c r="O139" s="27">
        <f>IF($N139="","",IFERROR(INDEX(CONFIG!$G$4:$G$43,MATCH($N139,CONFIG!$F$4:$F$43,0)),"Por definir"))</f>
        <v/>
      </c>
      <c r="P139" s="27">
        <f>IF($N139="","",IFERROR(INDEX(CONFIG!$H$4:$H$43,MATCH($N139,CONFIG!$F$4:$F$43,0)),"Por definir"))</f>
        <v/>
      </c>
      <c r="Q139" s="50" t="n"/>
      <c r="R139" s="51" t="n"/>
      <c r="S139" s="49" t="n"/>
      <c r="T139" s="49" t="n"/>
      <c r="U139" s="48">
        <f>IF(OR($B139="",$K139=""),"",WORKDAY($B139,IFERROR(INDEX(CONFIG!$C$4:$C$43,MATCH($K139,CONFIG!$A$4:$A$43,0)),3)))</f>
        <v/>
      </c>
      <c r="V139" s="46" t="n"/>
      <c r="W139" s="23">
        <f>IF($B139="","",IF($V139&lt;&gt;"",$V139-$B139,TODAY()-$B139))</f>
        <v/>
      </c>
      <c r="X139" s="27">
        <f>IF($C139="","",IF(IFERROR(INDEX(CONFIG!$K$4:$K$43,MATCH($S139,CONFIG!$J$4:$J$43,0)),"NO")="SÍ",IF(OR($V139="",$U139=""),"Resuelta",IF($V139&gt;$U139,"Resuelta tarde","Resuelta a tiempo")),IF($U139="","Sin clasificar",IF(TODAY()&gt;$U139,"Vencida",IF(TODAY()&gt;=$U139-1,"Por vencer","En plazo")))))</f>
        <v/>
      </c>
      <c r="Y139" s="49" t="n"/>
      <c r="Z139" s="49" t="n"/>
    </row>
    <row r="140" ht="16" customHeight="1">
      <c r="A140" s="27">
        <f>IF($C140="","","N-"&amp;TEXT(ROW()-3,"0000"))</f>
        <v/>
      </c>
      <c r="B140" s="46" t="n"/>
      <c r="C140" s="47" t="n"/>
      <c r="D140" s="27">
        <f>IF($C140="","",IF(COUNTIFS(ENVIOS!$A$4:$A$3003,$C140)=0,"NO EXISTE",IF(COUNTIFS(ENVIOS!$A$4:$A$3003,$C140)&gt;1,"DUPLICADA","OK")))</f>
        <v/>
      </c>
      <c r="E140" s="22">
        <f>IF($C140="","",IFERROR(INDEX(ENVIOS!$C$4:$C$3003,MATCH($C140,ENVIOS!$A$4:$A$3003,0)),"—"))</f>
        <v/>
      </c>
      <c r="F140" s="22">
        <f>IF($C140="","",IFERROR(INDEX(ENVIOS!$D$4:$D$3003,MATCH($C140,ENVIOS!$A$4:$A$3003,0)),"—"))</f>
        <v/>
      </c>
      <c r="G140" s="22">
        <f>IF($C140="","",IFERROR(INDEX(ENVIOS!$E$4:$E$3003,MATCH($C140,ENVIOS!$A$4:$A$3003,0)),"—"))</f>
        <v/>
      </c>
      <c r="H140" s="22">
        <f>IF($C140="","",IFERROR(INDEX(ENVIOS!$F$4:$F$3003,MATCH($C140,ENVIOS!$A$4:$A$3003,0)),"—"))</f>
        <v/>
      </c>
      <c r="I140" s="27">
        <f>IF($C140="","",IFERROR(INDEX(ENVIOS!$G$4:$G$3003,MATCH($C140,ENVIOS!$A$4:$A$3003,0)),"—"))</f>
        <v/>
      </c>
      <c r="J140" s="48">
        <f>IF($C140="","",IFERROR(INDEX(ENVIOS!$B$4:$B$3003,MATCH($C140,ENVIOS!$A$4:$A$3003,0)),""))</f>
        <v/>
      </c>
      <c r="K140" s="49" t="n"/>
      <c r="L140" s="27">
        <f>IF($K140="","",IFERROR(INDEX(CONFIG!$B$4:$B$43,MATCH($K140,CONFIG!$A$4:$A$43,0)),"Media"))</f>
        <v/>
      </c>
      <c r="M140" s="27">
        <f>IF($K140="","",IFERROR(INDEX(CONFIG!$D$4:$D$43,MATCH($K140,CONFIG!$A$4:$A$43,0)),"NO"))</f>
        <v/>
      </c>
      <c r="N140" s="49" t="n"/>
      <c r="O140" s="27">
        <f>IF($N140="","",IFERROR(INDEX(CONFIG!$G$4:$G$43,MATCH($N140,CONFIG!$F$4:$F$43,0)),"Por definir"))</f>
        <v/>
      </c>
      <c r="P140" s="27">
        <f>IF($N140="","",IFERROR(INDEX(CONFIG!$H$4:$H$43,MATCH($N140,CONFIG!$F$4:$F$43,0)),"Por definir"))</f>
        <v/>
      </c>
      <c r="Q140" s="50" t="n"/>
      <c r="R140" s="51" t="n"/>
      <c r="S140" s="49" t="n"/>
      <c r="T140" s="49" t="n"/>
      <c r="U140" s="48">
        <f>IF(OR($B140="",$K140=""),"",WORKDAY($B140,IFERROR(INDEX(CONFIG!$C$4:$C$43,MATCH($K140,CONFIG!$A$4:$A$43,0)),3)))</f>
        <v/>
      </c>
      <c r="V140" s="46" t="n"/>
      <c r="W140" s="23">
        <f>IF($B140="","",IF($V140&lt;&gt;"",$V140-$B140,TODAY()-$B140))</f>
        <v/>
      </c>
      <c r="X140" s="27">
        <f>IF($C140="","",IF(IFERROR(INDEX(CONFIG!$K$4:$K$43,MATCH($S140,CONFIG!$J$4:$J$43,0)),"NO")="SÍ",IF(OR($V140="",$U140=""),"Resuelta",IF($V140&gt;$U140,"Resuelta tarde","Resuelta a tiempo")),IF($U140="","Sin clasificar",IF(TODAY()&gt;$U140,"Vencida",IF(TODAY()&gt;=$U140-1,"Por vencer","En plazo")))))</f>
        <v/>
      </c>
      <c r="Y140" s="49" t="n"/>
      <c r="Z140" s="49" t="n"/>
    </row>
    <row r="141" ht="16" customHeight="1">
      <c r="A141" s="27">
        <f>IF($C141="","","N-"&amp;TEXT(ROW()-3,"0000"))</f>
        <v/>
      </c>
      <c r="B141" s="46" t="n"/>
      <c r="C141" s="47" t="n"/>
      <c r="D141" s="27">
        <f>IF($C141="","",IF(COUNTIFS(ENVIOS!$A$4:$A$3003,$C141)=0,"NO EXISTE",IF(COUNTIFS(ENVIOS!$A$4:$A$3003,$C141)&gt;1,"DUPLICADA","OK")))</f>
        <v/>
      </c>
      <c r="E141" s="22">
        <f>IF($C141="","",IFERROR(INDEX(ENVIOS!$C$4:$C$3003,MATCH($C141,ENVIOS!$A$4:$A$3003,0)),"—"))</f>
        <v/>
      </c>
      <c r="F141" s="22">
        <f>IF($C141="","",IFERROR(INDEX(ENVIOS!$D$4:$D$3003,MATCH($C141,ENVIOS!$A$4:$A$3003,0)),"—"))</f>
        <v/>
      </c>
      <c r="G141" s="22">
        <f>IF($C141="","",IFERROR(INDEX(ENVIOS!$E$4:$E$3003,MATCH($C141,ENVIOS!$A$4:$A$3003,0)),"—"))</f>
        <v/>
      </c>
      <c r="H141" s="22">
        <f>IF($C141="","",IFERROR(INDEX(ENVIOS!$F$4:$F$3003,MATCH($C141,ENVIOS!$A$4:$A$3003,0)),"—"))</f>
        <v/>
      </c>
      <c r="I141" s="27">
        <f>IF($C141="","",IFERROR(INDEX(ENVIOS!$G$4:$G$3003,MATCH($C141,ENVIOS!$A$4:$A$3003,0)),"—"))</f>
        <v/>
      </c>
      <c r="J141" s="48">
        <f>IF($C141="","",IFERROR(INDEX(ENVIOS!$B$4:$B$3003,MATCH($C141,ENVIOS!$A$4:$A$3003,0)),""))</f>
        <v/>
      </c>
      <c r="K141" s="49" t="n"/>
      <c r="L141" s="27">
        <f>IF($K141="","",IFERROR(INDEX(CONFIG!$B$4:$B$43,MATCH($K141,CONFIG!$A$4:$A$43,0)),"Media"))</f>
        <v/>
      </c>
      <c r="M141" s="27">
        <f>IF($K141="","",IFERROR(INDEX(CONFIG!$D$4:$D$43,MATCH($K141,CONFIG!$A$4:$A$43,0)),"NO"))</f>
        <v/>
      </c>
      <c r="N141" s="49" t="n"/>
      <c r="O141" s="27">
        <f>IF($N141="","",IFERROR(INDEX(CONFIG!$G$4:$G$43,MATCH($N141,CONFIG!$F$4:$F$43,0)),"Por definir"))</f>
        <v/>
      </c>
      <c r="P141" s="27">
        <f>IF($N141="","",IFERROR(INDEX(CONFIG!$H$4:$H$43,MATCH($N141,CONFIG!$F$4:$F$43,0)),"Por definir"))</f>
        <v/>
      </c>
      <c r="Q141" s="50" t="n"/>
      <c r="R141" s="51" t="n"/>
      <c r="S141" s="49" t="n"/>
      <c r="T141" s="49" t="n"/>
      <c r="U141" s="48">
        <f>IF(OR($B141="",$K141=""),"",WORKDAY($B141,IFERROR(INDEX(CONFIG!$C$4:$C$43,MATCH($K141,CONFIG!$A$4:$A$43,0)),3)))</f>
        <v/>
      </c>
      <c r="V141" s="46" t="n"/>
      <c r="W141" s="23">
        <f>IF($B141="","",IF($V141&lt;&gt;"",$V141-$B141,TODAY()-$B141))</f>
        <v/>
      </c>
      <c r="X141" s="27">
        <f>IF($C141="","",IF(IFERROR(INDEX(CONFIG!$K$4:$K$43,MATCH($S141,CONFIG!$J$4:$J$43,0)),"NO")="SÍ",IF(OR($V141="",$U141=""),"Resuelta",IF($V141&gt;$U141,"Resuelta tarde","Resuelta a tiempo")),IF($U141="","Sin clasificar",IF(TODAY()&gt;$U141,"Vencida",IF(TODAY()&gt;=$U141-1,"Por vencer","En plazo")))))</f>
        <v/>
      </c>
      <c r="Y141" s="49" t="n"/>
      <c r="Z141" s="49" t="n"/>
    </row>
    <row r="142" ht="16" customHeight="1">
      <c r="A142" s="27">
        <f>IF($C142="","","N-"&amp;TEXT(ROW()-3,"0000"))</f>
        <v/>
      </c>
      <c r="B142" s="46" t="n"/>
      <c r="C142" s="47" t="n"/>
      <c r="D142" s="27">
        <f>IF($C142="","",IF(COUNTIFS(ENVIOS!$A$4:$A$3003,$C142)=0,"NO EXISTE",IF(COUNTIFS(ENVIOS!$A$4:$A$3003,$C142)&gt;1,"DUPLICADA","OK")))</f>
        <v/>
      </c>
      <c r="E142" s="22">
        <f>IF($C142="","",IFERROR(INDEX(ENVIOS!$C$4:$C$3003,MATCH($C142,ENVIOS!$A$4:$A$3003,0)),"—"))</f>
        <v/>
      </c>
      <c r="F142" s="22">
        <f>IF($C142="","",IFERROR(INDEX(ENVIOS!$D$4:$D$3003,MATCH($C142,ENVIOS!$A$4:$A$3003,0)),"—"))</f>
        <v/>
      </c>
      <c r="G142" s="22">
        <f>IF($C142="","",IFERROR(INDEX(ENVIOS!$E$4:$E$3003,MATCH($C142,ENVIOS!$A$4:$A$3003,0)),"—"))</f>
        <v/>
      </c>
      <c r="H142" s="22">
        <f>IF($C142="","",IFERROR(INDEX(ENVIOS!$F$4:$F$3003,MATCH($C142,ENVIOS!$A$4:$A$3003,0)),"—"))</f>
        <v/>
      </c>
      <c r="I142" s="27">
        <f>IF($C142="","",IFERROR(INDEX(ENVIOS!$G$4:$G$3003,MATCH($C142,ENVIOS!$A$4:$A$3003,0)),"—"))</f>
        <v/>
      </c>
      <c r="J142" s="48">
        <f>IF($C142="","",IFERROR(INDEX(ENVIOS!$B$4:$B$3003,MATCH($C142,ENVIOS!$A$4:$A$3003,0)),""))</f>
        <v/>
      </c>
      <c r="K142" s="49" t="n"/>
      <c r="L142" s="27">
        <f>IF($K142="","",IFERROR(INDEX(CONFIG!$B$4:$B$43,MATCH($K142,CONFIG!$A$4:$A$43,0)),"Media"))</f>
        <v/>
      </c>
      <c r="M142" s="27">
        <f>IF($K142="","",IFERROR(INDEX(CONFIG!$D$4:$D$43,MATCH($K142,CONFIG!$A$4:$A$43,0)),"NO"))</f>
        <v/>
      </c>
      <c r="N142" s="49" t="n"/>
      <c r="O142" s="27">
        <f>IF($N142="","",IFERROR(INDEX(CONFIG!$G$4:$G$43,MATCH($N142,CONFIG!$F$4:$F$43,0)),"Por definir"))</f>
        <v/>
      </c>
      <c r="P142" s="27">
        <f>IF($N142="","",IFERROR(INDEX(CONFIG!$H$4:$H$43,MATCH($N142,CONFIG!$F$4:$F$43,0)),"Por definir"))</f>
        <v/>
      </c>
      <c r="Q142" s="50" t="n"/>
      <c r="R142" s="51" t="n"/>
      <c r="S142" s="49" t="n"/>
      <c r="T142" s="49" t="n"/>
      <c r="U142" s="48">
        <f>IF(OR($B142="",$K142=""),"",WORKDAY($B142,IFERROR(INDEX(CONFIG!$C$4:$C$43,MATCH($K142,CONFIG!$A$4:$A$43,0)),3)))</f>
        <v/>
      </c>
      <c r="V142" s="46" t="n"/>
      <c r="W142" s="23">
        <f>IF($B142="","",IF($V142&lt;&gt;"",$V142-$B142,TODAY()-$B142))</f>
        <v/>
      </c>
      <c r="X142" s="27">
        <f>IF($C142="","",IF(IFERROR(INDEX(CONFIG!$K$4:$K$43,MATCH($S142,CONFIG!$J$4:$J$43,0)),"NO")="SÍ",IF(OR($V142="",$U142=""),"Resuelta",IF($V142&gt;$U142,"Resuelta tarde","Resuelta a tiempo")),IF($U142="","Sin clasificar",IF(TODAY()&gt;$U142,"Vencida",IF(TODAY()&gt;=$U142-1,"Por vencer","En plazo")))))</f>
        <v/>
      </c>
      <c r="Y142" s="49" t="n"/>
      <c r="Z142" s="49" t="n"/>
    </row>
    <row r="143" ht="16" customHeight="1">
      <c r="A143" s="27">
        <f>IF($C143="","","N-"&amp;TEXT(ROW()-3,"0000"))</f>
        <v/>
      </c>
      <c r="B143" s="46" t="n"/>
      <c r="C143" s="47" t="n"/>
      <c r="D143" s="27">
        <f>IF($C143="","",IF(COUNTIFS(ENVIOS!$A$4:$A$3003,$C143)=0,"NO EXISTE",IF(COUNTIFS(ENVIOS!$A$4:$A$3003,$C143)&gt;1,"DUPLICADA","OK")))</f>
        <v/>
      </c>
      <c r="E143" s="22">
        <f>IF($C143="","",IFERROR(INDEX(ENVIOS!$C$4:$C$3003,MATCH($C143,ENVIOS!$A$4:$A$3003,0)),"—"))</f>
        <v/>
      </c>
      <c r="F143" s="22">
        <f>IF($C143="","",IFERROR(INDEX(ENVIOS!$D$4:$D$3003,MATCH($C143,ENVIOS!$A$4:$A$3003,0)),"—"))</f>
        <v/>
      </c>
      <c r="G143" s="22">
        <f>IF($C143="","",IFERROR(INDEX(ENVIOS!$E$4:$E$3003,MATCH($C143,ENVIOS!$A$4:$A$3003,0)),"—"))</f>
        <v/>
      </c>
      <c r="H143" s="22">
        <f>IF($C143="","",IFERROR(INDEX(ENVIOS!$F$4:$F$3003,MATCH($C143,ENVIOS!$A$4:$A$3003,0)),"—"))</f>
        <v/>
      </c>
      <c r="I143" s="27">
        <f>IF($C143="","",IFERROR(INDEX(ENVIOS!$G$4:$G$3003,MATCH($C143,ENVIOS!$A$4:$A$3003,0)),"—"))</f>
        <v/>
      </c>
      <c r="J143" s="48">
        <f>IF($C143="","",IFERROR(INDEX(ENVIOS!$B$4:$B$3003,MATCH($C143,ENVIOS!$A$4:$A$3003,0)),""))</f>
        <v/>
      </c>
      <c r="K143" s="49" t="n"/>
      <c r="L143" s="27">
        <f>IF($K143="","",IFERROR(INDEX(CONFIG!$B$4:$B$43,MATCH($K143,CONFIG!$A$4:$A$43,0)),"Media"))</f>
        <v/>
      </c>
      <c r="M143" s="27">
        <f>IF($K143="","",IFERROR(INDEX(CONFIG!$D$4:$D$43,MATCH($K143,CONFIG!$A$4:$A$43,0)),"NO"))</f>
        <v/>
      </c>
      <c r="N143" s="49" t="n"/>
      <c r="O143" s="27">
        <f>IF($N143="","",IFERROR(INDEX(CONFIG!$G$4:$G$43,MATCH($N143,CONFIG!$F$4:$F$43,0)),"Por definir"))</f>
        <v/>
      </c>
      <c r="P143" s="27">
        <f>IF($N143="","",IFERROR(INDEX(CONFIG!$H$4:$H$43,MATCH($N143,CONFIG!$F$4:$F$43,0)),"Por definir"))</f>
        <v/>
      </c>
      <c r="Q143" s="50" t="n"/>
      <c r="R143" s="51" t="n"/>
      <c r="S143" s="49" t="n"/>
      <c r="T143" s="49" t="n"/>
      <c r="U143" s="48">
        <f>IF(OR($B143="",$K143=""),"",WORKDAY($B143,IFERROR(INDEX(CONFIG!$C$4:$C$43,MATCH($K143,CONFIG!$A$4:$A$43,0)),3)))</f>
        <v/>
      </c>
      <c r="V143" s="46" t="n"/>
      <c r="W143" s="23">
        <f>IF($B143="","",IF($V143&lt;&gt;"",$V143-$B143,TODAY()-$B143))</f>
        <v/>
      </c>
      <c r="X143" s="27">
        <f>IF($C143="","",IF(IFERROR(INDEX(CONFIG!$K$4:$K$43,MATCH($S143,CONFIG!$J$4:$J$43,0)),"NO")="SÍ",IF(OR($V143="",$U143=""),"Resuelta",IF($V143&gt;$U143,"Resuelta tarde","Resuelta a tiempo")),IF($U143="","Sin clasificar",IF(TODAY()&gt;$U143,"Vencida",IF(TODAY()&gt;=$U143-1,"Por vencer","En plazo")))))</f>
        <v/>
      </c>
      <c r="Y143" s="49" t="n"/>
      <c r="Z143" s="49" t="n"/>
    </row>
    <row r="144" ht="16" customHeight="1">
      <c r="A144" s="27">
        <f>IF($C144="","","N-"&amp;TEXT(ROW()-3,"0000"))</f>
        <v/>
      </c>
      <c r="B144" s="46" t="n"/>
      <c r="C144" s="47" t="n"/>
      <c r="D144" s="27">
        <f>IF($C144="","",IF(COUNTIFS(ENVIOS!$A$4:$A$3003,$C144)=0,"NO EXISTE",IF(COUNTIFS(ENVIOS!$A$4:$A$3003,$C144)&gt;1,"DUPLICADA","OK")))</f>
        <v/>
      </c>
      <c r="E144" s="22">
        <f>IF($C144="","",IFERROR(INDEX(ENVIOS!$C$4:$C$3003,MATCH($C144,ENVIOS!$A$4:$A$3003,0)),"—"))</f>
        <v/>
      </c>
      <c r="F144" s="22">
        <f>IF($C144="","",IFERROR(INDEX(ENVIOS!$D$4:$D$3003,MATCH($C144,ENVIOS!$A$4:$A$3003,0)),"—"))</f>
        <v/>
      </c>
      <c r="G144" s="22">
        <f>IF($C144="","",IFERROR(INDEX(ENVIOS!$E$4:$E$3003,MATCH($C144,ENVIOS!$A$4:$A$3003,0)),"—"))</f>
        <v/>
      </c>
      <c r="H144" s="22">
        <f>IF($C144="","",IFERROR(INDEX(ENVIOS!$F$4:$F$3003,MATCH($C144,ENVIOS!$A$4:$A$3003,0)),"—"))</f>
        <v/>
      </c>
      <c r="I144" s="27">
        <f>IF($C144="","",IFERROR(INDEX(ENVIOS!$G$4:$G$3003,MATCH($C144,ENVIOS!$A$4:$A$3003,0)),"—"))</f>
        <v/>
      </c>
      <c r="J144" s="48">
        <f>IF($C144="","",IFERROR(INDEX(ENVIOS!$B$4:$B$3003,MATCH($C144,ENVIOS!$A$4:$A$3003,0)),""))</f>
        <v/>
      </c>
      <c r="K144" s="49" t="n"/>
      <c r="L144" s="27">
        <f>IF($K144="","",IFERROR(INDEX(CONFIG!$B$4:$B$43,MATCH($K144,CONFIG!$A$4:$A$43,0)),"Media"))</f>
        <v/>
      </c>
      <c r="M144" s="27">
        <f>IF($K144="","",IFERROR(INDEX(CONFIG!$D$4:$D$43,MATCH($K144,CONFIG!$A$4:$A$43,0)),"NO"))</f>
        <v/>
      </c>
      <c r="N144" s="49" t="n"/>
      <c r="O144" s="27">
        <f>IF($N144="","",IFERROR(INDEX(CONFIG!$G$4:$G$43,MATCH($N144,CONFIG!$F$4:$F$43,0)),"Por definir"))</f>
        <v/>
      </c>
      <c r="P144" s="27">
        <f>IF($N144="","",IFERROR(INDEX(CONFIG!$H$4:$H$43,MATCH($N144,CONFIG!$F$4:$F$43,0)),"Por definir"))</f>
        <v/>
      </c>
      <c r="Q144" s="50" t="n"/>
      <c r="R144" s="51" t="n"/>
      <c r="S144" s="49" t="n"/>
      <c r="T144" s="49" t="n"/>
      <c r="U144" s="48">
        <f>IF(OR($B144="",$K144=""),"",WORKDAY($B144,IFERROR(INDEX(CONFIG!$C$4:$C$43,MATCH($K144,CONFIG!$A$4:$A$43,0)),3)))</f>
        <v/>
      </c>
      <c r="V144" s="46" t="n"/>
      <c r="W144" s="23">
        <f>IF($B144="","",IF($V144&lt;&gt;"",$V144-$B144,TODAY()-$B144))</f>
        <v/>
      </c>
      <c r="X144" s="27">
        <f>IF($C144="","",IF(IFERROR(INDEX(CONFIG!$K$4:$K$43,MATCH($S144,CONFIG!$J$4:$J$43,0)),"NO")="SÍ",IF(OR($V144="",$U144=""),"Resuelta",IF($V144&gt;$U144,"Resuelta tarde","Resuelta a tiempo")),IF($U144="","Sin clasificar",IF(TODAY()&gt;$U144,"Vencida",IF(TODAY()&gt;=$U144-1,"Por vencer","En plazo")))))</f>
        <v/>
      </c>
      <c r="Y144" s="49" t="n"/>
      <c r="Z144" s="49" t="n"/>
    </row>
    <row r="145" ht="16" customHeight="1">
      <c r="A145" s="27">
        <f>IF($C145="","","N-"&amp;TEXT(ROW()-3,"0000"))</f>
        <v/>
      </c>
      <c r="B145" s="46" t="n"/>
      <c r="C145" s="47" t="n"/>
      <c r="D145" s="27">
        <f>IF($C145="","",IF(COUNTIFS(ENVIOS!$A$4:$A$3003,$C145)=0,"NO EXISTE",IF(COUNTIFS(ENVIOS!$A$4:$A$3003,$C145)&gt;1,"DUPLICADA","OK")))</f>
        <v/>
      </c>
      <c r="E145" s="22">
        <f>IF($C145="","",IFERROR(INDEX(ENVIOS!$C$4:$C$3003,MATCH($C145,ENVIOS!$A$4:$A$3003,0)),"—"))</f>
        <v/>
      </c>
      <c r="F145" s="22">
        <f>IF($C145="","",IFERROR(INDEX(ENVIOS!$D$4:$D$3003,MATCH($C145,ENVIOS!$A$4:$A$3003,0)),"—"))</f>
        <v/>
      </c>
      <c r="G145" s="22">
        <f>IF($C145="","",IFERROR(INDEX(ENVIOS!$E$4:$E$3003,MATCH($C145,ENVIOS!$A$4:$A$3003,0)),"—"))</f>
        <v/>
      </c>
      <c r="H145" s="22">
        <f>IF($C145="","",IFERROR(INDEX(ENVIOS!$F$4:$F$3003,MATCH($C145,ENVIOS!$A$4:$A$3003,0)),"—"))</f>
        <v/>
      </c>
      <c r="I145" s="27">
        <f>IF($C145="","",IFERROR(INDEX(ENVIOS!$G$4:$G$3003,MATCH($C145,ENVIOS!$A$4:$A$3003,0)),"—"))</f>
        <v/>
      </c>
      <c r="J145" s="48">
        <f>IF($C145="","",IFERROR(INDEX(ENVIOS!$B$4:$B$3003,MATCH($C145,ENVIOS!$A$4:$A$3003,0)),""))</f>
        <v/>
      </c>
      <c r="K145" s="49" t="n"/>
      <c r="L145" s="27">
        <f>IF($K145="","",IFERROR(INDEX(CONFIG!$B$4:$B$43,MATCH($K145,CONFIG!$A$4:$A$43,0)),"Media"))</f>
        <v/>
      </c>
      <c r="M145" s="27">
        <f>IF($K145="","",IFERROR(INDEX(CONFIG!$D$4:$D$43,MATCH($K145,CONFIG!$A$4:$A$43,0)),"NO"))</f>
        <v/>
      </c>
      <c r="N145" s="49" t="n"/>
      <c r="O145" s="27">
        <f>IF($N145="","",IFERROR(INDEX(CONFIG!$G$4:$G$43,MATCH($N145,CONFIG!$F$4:$F$43,0)),"Por definir"))</f>
        <v/>
      </c>
      <c r="P145" s="27">
        <f>IF($N145="","",IFERROR(INDEX(CONFIG!$H$4:$H$43,MATCH($N145,CONFIG!$F$4:$F$43,0)),"Por definir"))</f>
        <v/>
      </c>
      <c r="Q145" s="50" t="n"/>
      <c r="R145" s="51" t="n"/>
      <c r="S145" s="49" t="n"/>
      <c r="T145" s="49" t="n"/>
      <c r="U145" s="48">
        <f>IF(OR($B145="",$K145=""),"",WORKDAY($B145,IFERROR(INDEX(CONFIG!$C$4:$C$43,MATCH($K145,CONFIG!$A$4:$A$43,0)),3)))</f>
        <v/>
      </c>
      <c r="V145" s="46" t="n"/>
      <c r="W145" s="23">
        <f>IF($B145="","",IF($V145&lt;&gt;"",$V145-$B145,TODAY()-$B145))</f>
        <v/>
      </c>
      <c r="X145" s="27">
        <f>IF($C145="","",IF(IFERROR(INDEX(CONFIG!$K$4:$K$43,MATCH($S145,CONFIG!$J$4:$J$43,0)),"NO")="SÍ",IF(OR($V145="",$U145=""),"Resuelta",IF($V145&gt;$U145,"Resuelta tarde","Resuelta a tiempo")),IF($U145="","Sin clasificar",IF(TODAY()&gt;$U145,"Vencida",IF(TODAY()&gt;=$U145-1,"Por vencer","En plazo")))))</f>
        <v/>
      </c>
      <c r="Y145" s="49" t="n"/>
      <c r="Z145" s="49" t="n"/>
    </row>
    <row r="146" ht="16" customHeight="1">
      <c r="A146" s="27">
        <f>IF($C146="","","N-"&amp;TEXT(ROW()-3,"0000"))</f>
        <v/>
      </c>
      <c r="B146" s="46" t="n"/>
      <c r="C146" s="47" t="n"/>
      <c r="D146" s="27">
        <f>IF($C146="","",IF(COUNTIFS(ENVIOS!$A$4:$A$3003,$C146)=0,"NO EXISTE",IF(COUNTIFS(ENVIOS!$A$4:$A$3003,$C146)&gt;1,"DUPLICADA","OK")))</f>
        <v/>
      </c>
      <c r="E146" s="22">
        <f>IF($C146="","",IFERROR(INDEX(ENVIOS!$C$4:$C$3003,MATCH($C146,ENVIOS!$A$4:$A$3003,0)),"—"))</f>
        <v/>
      </c>
      <c r="F146" s="22">
        <f>IF($C146="","",IFERROR(INDEX(ENVIOS!$D$4:$D$3003,MATCH($C146,ENVIOS!$A$4:$A$3003,0)),"—"))</f>
        <v/>
      </c>
      <c r="G146" s="22">
        <f>IF($C146="","",IFERROR(INDEX(ENVIOS!$E$4:$E$3003,MATCH($C146,ENVIOS!$A$4:$A$3003,0)),"—"))</f>
        <v/>
      </c>
      <c r="H146" s="22">
        <f>IF($C146="","",IFERROR(INDEX(ENVIOS!$F$4:$F$3003,MATCH($C146,ENVIOS!$A$4:$A$3003,0)),"—"))</f>
        <v/>
      </c>
      <c r="I146" s="27">
        <f>IF($C146="","",IFERROR(INDEX(ENVIOS!$G$4:$G$3003,MATCH($C146,ENVIOS!$A$4:$A$3003,0)),"—"))</f>
        <v/>
      </c>
      <c r="J146" s="48">
        <f>IF($C146="","",IFERROR(INDEX(ENVIOS!$B$4:$B$3003,MATCH($C146,ENVIOS!$A$4:$A$3003,0)),""))</f>
        <v/>
      </c>
      <c r="K146" s="49" t="n"/>
      <c r="L146" s="27">
        <f>IF($K146="","",IFERROR(INDEX(CONFIG!$B$4:$B$43,MATCH($K146,CONFIG!$A$4:$A$43,0)),"Media"))</f>
        <v/>
      </c>
      <c r="M146" s="27">
        <f>IF($K146="","",IFERROR(INDEX(CONFIG!$D$4:$D$43,MATCH($K146,CONFIG!$A$4:$A$43,0)),"NO"))</f>
        <v/>
      </c>
      <c r="N146" s="49" t="n"/>
      <c r="O146" s="27">
        <f>IF($N146="","",IFERROR(INDEX(CONFIG!$G$4:$G$43,MATCH($N146,CONFIG!$F$4:$F$43,0)),"Por definir"))</f>
        <v/>
      </c>
      <c r="P146" s="27">
        <f>IF($N146="","",IFERROR(INDEX(CONFIG!$H$4:$H$43,MATCH($N146,CONFIG!$F$4:$F$43,0)),"Por definir"))</f>
        <v/>
      </c>
      <c r="Q146" s="50" t="n"/>
      <c r="R146" s="51" t="n"/>
      <c r="S146" s="49" t="n"/>
      <c r="T146" s="49" t="n"/>
      <c r="U146" s="48">
        <f>IF(OR($B146="",$K146=""),"",WORKDAY($B146,IFERROR(INDEX(CONFIG!$C$4:$C$43,MATCH($K146,CONFIG!$A$4:$A$43,0)),3)))</f>
        <v/>
      </c>
      <c r="V146" s="46" t="n"/>
      <c r="W146" s="23">
        <f>IF($B146="","",IF($V146&lt;&gt;"",$V146-$B146,TODAY()-$B146))</f>
        <v/>
      </c>
      <c r="X146" s="27">
        <f>IF($C146="","",IF(IFERROR(INDEX(CONFIG!$K$4:$K$43,MATCH($S146,CONFIG!$J$4:$J$43,0)),"NO")="SÍ",IF(OR($V146="",$U146=""),"Resuelta",IF($V146&gt;$U146,"Resuelta tarde","Resuelta a tiempo")),IF($U146="","Sin clasificar",IF(TODAY()&gt;$U146,"Vencida",IF(TODAY()&gt;=$U146-1,"Por vencer","En plazo")))))</f>
        <v/>
      </c>
      <c r="Y146" s="49" t="n"/>
      <c r="Z146" s="49" t="n"/>
    </row>
    <row r="147" ht="16" customHeight="1">
      <c r="A147" s="27">
        <f>IF($C147="","","N-"&amp;TEXT(ROW()-3,"0000"))</f>
        <v/>
      </c>
      <c r="B147" s="46" t="n"/>
      <c r="C147" s="47" t="n"/>
      <c r="D147" s="27">
        <f>IF($C147="","",IF(COUNTIFS(ENVIOS!$A$4:$A$3003,$C147)=0,"NO EXISTE",IF(COUNTIFS(ENVIOS!$A$4:$A$3003,$C147)&gt;1,"DUPLICADA","OK")))</f>
        <v/>
      </c>
      <c r="E147" s="22">
        <f>IF($C147="","",IFERROR(INDEX(ENVIOS!$C$4:$C$3003,MATCH($C147,ENVIOS!$A$4:$A$3003,0)),"—"))</f>
        <v/>
      </c>
      <c r="F147" s="22">
        <f>IF($C147="","",IFERROR(INDEX(ENVIOS!$D$4:$D$3003,MATCH($C147,ENVIOS!$A$4:$A$3003,0)),"—"))</f>
        <v/>
      </c>
      <c r="G147" s="22">
        <f>IF($C147="","",IFERROR(INDEX(ENVIOS!$E$4:$E$3003,MATCH($C147,ENVIOS!$A$4:$A$3003,0)),"—"))</f>
        <v/>
      </c>
      <c r="H147" s="22">
        <f>IF($C147="","",IFERROR(INDEX(ENVIOS!$F$4:$F$3003,MATCH($C147,ENVIOS!$A$4:$A$3003,0)),"—"))</f>
        <v/>
      </c>
      <c r="I147" s="27">
        <f>IF($C147="","",IFERROR(INDEX(ENVIOS!$G$4:$G$3003,MATCH($C147,ENVIOS!$A$4:$A$3003,0)),"—"))</f>
        <v/>
      </c>
      <c r="J147" s="48">
        <f>IF($C147="","",IFERROR(INDEX(ENVIOS!$B$4:$B$3003,MATCH($C147,ENVIOS!$A$4:$A$3003,0)),""))</f>
        <v/>
      </c>
      <c r="K147" s="49" t="n"/>
      <c r="L147" s="27">
        <f>IF($K147="","",IFERROR(INDEX(CONFIG!$B$4:$B$43,MATCH($K147,CONFIG!$A$4:$A$43,0)),"Media"))</f>
        <v/>
      </c>
      <c r="M147" s="27">
        <f>IF($K147="","",IFERROR(INDEX(CONFIG!$D$4:$D$43,MATCH($K147,CONFIG!$A$4:$A$43,0)),"NO"))</f>
        <v/>
      </c>
      <c r="N147" s="49" t="n"/>
      <c r="O147" s="27">
        <f>IF($N147="","",IFERROR(INDEX(CONFIG!$G$4:$G$43,MATCH($N147,CONFIG!$F$4:$F$43,0)),"Por definir"))</f>
        <v/>
      </c>
      <c r="P147" s="27">
        <f>IF($N147="","",IFERROR(INDEX(CONFIG!$H$4:$H$43,MATCH($N147,CONFIG!$F$4:$F$43,0)),"Por definir"))</f>
        <v/>
      </c>
      <c r="Q147" s="50" t="n"/>
      <c r="R147" s="51" t="n"/>
      <c r="S147" s="49" t="n"/>
      <c r="T147" s="49" t="n"/>
      <c r="U147" s="48">
        <f>IF(OR($B147="",$K147=""),"",WORKDAY($B147,IFERROR(INDEX(CONFIG!$C$4:$C$43,MATCH($K147,CONFIG!$A$4:$A$43,0)),3)))</f>
        <v/>
      </c>
      <c r="V147" s="46" t="n"/>
      <c r="W147" s="23">
        <f>IF($B147="","",IF($V147&lt;&gt;"",$V147-$B147,TODAY()-$B147))</f>
        <v/>
      </c>
      <c r="X147" s="27">
        <f>IF($C147="","",IF(IFERROR(INDEX(CONFIG!$K$4:$K$43,MATCH($S147,CONFIG!$J$4:$J$43,0)),"NO")="SÍ",IF(OR($V147="",$U147=""),"Resuelta",IF($V147&gt;$U147,"Resuelta tarde","Resuelta a tiempo")),IF($U147="","Sin clasificar",IF(TODAY()&gt;$U147,"Vencida",IF(TODAY()&gt;=$U147-1,"Por vencer","En plazo")))))</f>
        <v/>
      </c>
      <c r="Y147" s="49" t="n"/>
      <c r="Z147" s="49" t="n"/>
    </row>
    <row r="148" ht="16" customHeight="1">
      <c r="A148" s="27">
        <f>IF($C148="","","N-"&amp;TEXT(ROW()-3,"0000"))</f>
        <v/>
      </c>
      <c r="B148" s="46" t="n"/>
      <c r="C148" s="47" t="n"/>
      <c r="D148" s="27">
        <f>IF($C148="","",IF(COUNTIFS(ENVIOS!$A$4:$A$3003,$C148)=0,"NO EXISTE",IF(COUNTIFS(ENVIOS!$A$4:$A$3003,$C148)&gt;1,"DUPLICADA","OK")))</f>
        <v/>
      </c>
      <c r="E148" s="22">
        <f>IF($C148="","",IFERROR(INDEX(ENVIOS!$C$4:$C$3003,MATCH($C148,ENVIOS!$A$4:$A$3003,0)),"—"))</f>
        <v/>
      </c>
      <c r="F148" s="22">
        <f>IF($C148="","",IFERROR(INDEX(ENVIOS!$D$4:$D$3003,MATCH($C148,ENVIOS!$A$4:$A$3003,0)),"—"))</f>
        <v/>
      </c>
      <c r="G148" s="22">
        <f>IF($C148="","",IFERROR(INDEX(ENVIOS!$E$4:$E$3003,MATCH($C148,ENVIOS!$A$4:$A$3003,0)),"—"))</f>
        <v/>
      </c>
      <c r="H148" s="22">
        <f>IF($C148="","",IFERROR(INDEX(ENVIOS!$F$4:$F$3003,MATCH($C148,ENVIOS!$A$4:$A$3003,0)),"—"))</f>
        <v/>
      </c>
      <c r="I148" s="27">
        <f>IF($C148="","",IFERROR(INDEX(ENVIOS!$G$4:$G$3003,MATCH($C148,ENVIOS!$A$4:$A$3003,0)),"—"))</f>
        <v/>
      </c>
      <c r="J148" s="48">
        <f>IF($C148="","",IFERROR(INDEX(ENVIOS!$B$4:$B$3003,MATCH($C148,ENVIOS!$A$4:$A$3003,0)),""))</f>
        <v/>
      </c>
      <c r="K148" s="49" t="n"/>
      <c r="L148" s="27">
        <f>IF($K148="","",IFERROR(INDEX(CONFIG!$B$4:$B$43,MATCH($K148,CONFIG!$A$4:$A$43,0)),"Media"))</f>
        <v/>
      </c>
      <c r="M148" s="27">
        <f>IF($K148="","",IFERROR(INDEX(CONFIG!$D$4:$D$43,MATCH($K148,CONFIG!$A$4:$A$43,0)),"NO"))</f>
        <v/>
      </c>
      <c r="N148" s="49" t="n"/>
      <c r="O148" s="27">
        <f>IF($N148="","",IFERROR(INDEX(CONFIG!$G$4:$G$43,MATCH($N148,CONFIG!$F$4:$F$43,0)),"Por definir"))</f>
        <v/>
      </c>
      <c r="P148" s="27">
        <f>IF($N148="","",IFERROR(INDEX(CONFIG!$H$4:$H$43,MATCH($N148,CONFIG!$F$4:$F$43,0)),"Por definir"))</f>
        <v/>
      </c>
      <c r="Q148" s="50" t="n"/>
      <c r="R148" s="51" t="n"/>
      <c r="S148" s="49" t="n"/>
      <c r="T148" s="49" t="n"/>
      <c r="U148" s="48">
        <f>IF(OR($B148="",$K148=""),"",WORKDAY($B148,IFERROR(INDEX(CONFIG!$C$4:$C$43,MATCH($K148,CONFIG!$A$4:$A$43,0)),3)))</f>
        <v/>
      </c>
      <c r="V148" s="46" t="n"/>
      <c r="W148" s="23">
        <f>IF($B148="","",IF($V148&lt;&gt;"",$V148-$B148,TODAY()-$B148))</f>
        <v/>
      </c>
      <c r="X148" s="27">
        <f>IF($C148="","",IF(IFERROR(INDEX(CONFIG!$K$4:$K$43,MATCH($S148,CONFIG!$J$4:$J$43,0)),"NO")="SÍ",IF(OR($V148="",$U148=""),"Resuelta",IF($V148&gt;$U148,"Resuelta tarde","Resuelta a tiempo")),IF($U148="","Sin clasificar",IF(TODAY()&gt;$U148,"Vencida",IF(TODAY()&gt;=$U148-1,"Por vencer","En plazo")))))</f>
        <v/>
      </c>
      <c r="Y148" s="49" t="n"/>
      <c r="Z148" s="49" t="n"/>
    </row>
    <row r="149" ht="16" customHeight="1">
      <c r="A149" s="27">
        <f>IF($C149="","","N-"&amp;TEXT(ROW()-3,"0000"))</f>
        <v/>
      </c>
      <c r="B149" s="46" t="n"/>
      <c r="C149" s="47" t="n"/>
      <c r="D149" s="27">
        <f>IF($C149="","",IF(COUNTIFS(ENVIOS!$A$4:$A$3003,$C149)=0,"NO EXISTE",IF(COUNTIFS(ENVIOS!$A$4:$A$3003,$C149)&gt;1,"DUPLICADA","OK")))</f>
        <v/>
      </c>
      <c r="E149" s="22">
        <f>IF($C149="","",IFERROR(INDEX(ENVIOS!$C$4:$C$3003,MATCH($C149,ENVIOS!$A$4:$A$3003,0)),"—"))</f>
        <v/>
      </c>
      <c r="F149" s="22">
        <f>IF($C149="","",IFERROR(INDEX(ENVIOS!$D$4:$D$3003,MATCH($C149,ENVIOS!$A$4:$A$3003,0)),"—"))</f>
        <v/>
      </c>
      <c r="G149" s="22">
        <f>IF($C149="","",IFERROR(INDEX(ENVIOS!$E$4:$E$3003,MATCH($C149,ENVIOS!$A$4:$A$3003,0)),"—"))</f>
        <v/>
      </c>
      <c r="H149" s="22">
        <f>IF($C149="","",IFERROR(INDEX(ENVIOS!$F$4:$F$3003,MATCH($C149,ENVIOS!$A$4:$A$3003,0)),"—"))</f>
        <v/>
      </c>
      <c r="I149" s="27">
        <f>IF($C149="","",IFERROR(INDEX(ENVIOS!$G$4:$G$3003,MATCH($C149,ENVIOS!$A$4:$A$3003,0)),"—"))</f>
        <v/>
      </c>
      <c r="J149" s="48">
        <f>IF($C149="","",IFERROR(INDEX(ENVIOS!$B$4:$B$3003,MATCH($C149,ENVIOS!$A$4:$A$3003,0)),""))</f>
        <v/>
      </c>
      <c r="K149" s="49" t="n"/>
      <c r="L149" s="27">
        <f>IF($K149="","",IFERROR(INDEX(CONFIG!$B$4:$B$43,MATCH($K149,CONFIG!$A$4:$A$43,0)),"Media"))</f>
        <v/>
      </c>
      <c r="M149" s="27">
        <f>IF($K149="","",IFERROR(INDEX(CONFIG!$D$4:$D$43,MATCH($K149,CONFIG!$A$4:$A$43,0)),"NO"))</f>
        <v/>
      </c>
      <c r="N149" s="49" t="n"/>
      <c r="O149" s="27">
        <f>IF($N149="","",IFERROR(INDEX(CONFIG!$G$4:$G$43,MATCH($N149,CONFIG!$F$4:$F$43,0)),"Por definir"))</f>
        <v/>
      </c>
      <c r="P149" s="27">
        <f>IF($N149="","",IFERROR(INDEX(CONFIG!$H$4:$H$43,MATCH($N149,CONFIG!$F$4:$F$43,0)),"Por definir"))</f>
        <v/>
      </c>
      <c r="Q149" s="50" t="n"/>
      <c r="R149" s="51" t="n"/>
      <c r="S149" s="49" t="n"/>
      <c r="T149" s="49" t="n"/>
      <c r="U149" s="48">
        <f>IF(OR($B149="",$K149=""),"",WORKDAY($B149,IFERROR(INDEX(CONFIG!$C$4:$C$43,MATCH($K149,CONFIG!$A$4:$A$43,0)),3)))</f>
        <v/>
      </c>
      <c r="V149" s="46" t="n"/>
      <c r="W149" s="23">
        <f>IF($B149="","",IF($V149&lt;&gt;"",$V149-$B149,TODAY()-$B149))</f>
        <v/>
      </c>
      <c r="X149" s="27">
        <f>IF($C149="","",IF(IFERROR(INDEX(CONFIG!$K$4:$K$43,MATCH($S149,CONFIG!$J$4:$J$43,0)),"NO")="SÍ",IF(OR($V149="",$U149=""),"Resuelta",IF($V149&gt;$U149,"Resuelta tarde","Resuelta a tiempo")),IF($U149="","Sin clasificar",IF(TODAY()&gt;$U149,"Vencida",IF(TODAY()&gt;=$U149-1,"Por vencer","En plazo")))))</f>
        <v/>
      </c>
      <c r="Y149" s="49" t="n"/>
      <c r="Z149" s="49" t="n"/>
    </row>
    <row r="150" ht="16" customHeight="1">
      <c r="A150" s="27">
        <f>IF($C150="","","N-"&amp;TEXT(ROW()-3,"0000"))</f>
        <v/>
      </c>
      <c r="B150" s="46" t="n"/>
      <c r="C150" s="47" t="n"/>
      <c r="D150" s="27">
        <f>IF($C150="","",IF(COUNTIFS(ENVIOS!$A$4:$A$3003,$C150)=0,"NO EXISTE",IF(COUNTIFS(ENVIOS!$A$4:$A$3003,$C150)&gt;1,"DUPLICADA","OK")))</f>
        <v/>
      </c>
      <c r="E150" s="22">
        <f>IF($C150="","",IFERROR(INDEX(ENVIOS!$C$4:$C$3003,MATCH($C150,ENVIOS!$A$4:$A$3003,0)),"—"))</f>
        <v/>
      </c>
      <c r="F150" s="22">
        <f>IF($C150="","",IFERROR(INDEX(ENVIOS!$D$4:$D$3003,MATCH($C150,ENVIOS!$A$4:$A$3003,0)),"—"))</f>
        <v/>
      </c>
      <c r="G150" s="22">
        <f>IF($C150="","",IFERROR(INDEX(ENVIOS!$E$4:$E$3003,MATCH($C150,ENVIOS!$A$4:$A$3003,0)),"—"))</f>
        <v/>
      </c>
      <c r="H150" s="22">
        <f>IF($C150="","",IFERROR(INDEX(ENVIOS!$F$4:$F$3003,MATCH($C150,ENVIOS!$A$4:$A$3003,0)),"—"))</f>
        <v/>
      </c>
      <c r="I150" s="27">
        <f>IF($C150="","",IFERROR(INDEX(ENVIOS!$G$4:$G$3003,MATCH($C150,ENVIOS!$A$4:$A$3003,0)),"—"))</f>
        <v/>
      </c>
      <c r="J150" s="48">
        <f>IF($C150="","",IFERROR(INDEX(ENVIOS!$B$4:$B$3003,MATCH($C150,ENVIOS!$A$4:$A$3003,0)),""))</f>
        <v/>
      </c>
      <c r="K150" s="49" t="n"/>
      <c r="L150" s="27">
        <f>IF($K150="","",IFERROR(INDEX(CONFIG!$B$4:$B$43,MATCH($K150,CONFIG!$A$4:$A$43,0)),"Media"))</f>
        <v/>
      </c>
      <c r="M150" s="27">
        <f>IF($K150="","",IFERROR(INDEX(CONFIG!$D$4:$D$43,MATCH($K150,CONFIG!$A$4:$A$43,0)),"NO"))</f>
        <v/>
      </c>
      <c r="N150" s="49" t="n"/>
      <c r="O150" s="27">
        <f>IF($N150="","",IFERROR(INDEX(CONFIG!$G$4:$G$43,MATCH($N150,CONFIG!$F$4:$F$43,0)),"Por definir"))</f>
        <v/>
      </c>
      <c r="P150" s="27">
        <f>IF($N150="","",IFERROR(INDEX(CONFIG!$H$4:$H$43,MATCH($N150,CONFIG!$F$4:$F$43,0)),"Por definir"))</f>
        <v/>
      </c>
      <c r="Q150" s="50" t="n"/>
      <c r="R150" s="51" t="n"/>
      <c r="S150" s="49" t="n"/>
      <c r="T150" s="49" t="n"/>
      <c r="U150" s="48">
        <f>IF(OR($B150="",$K150=""),"",WORKDAY($B150,IFERROR(INDEX(CONFIG!$C$4:$C$43,MATCH($K150,CONFIG!$A$4:$A$43,0)),3)))</f>
        <v/>
      </c>
      <c r="V150" s="46" t="n"/>
      <c r="W150" s="23">
        <f>IF($B150="","",IF($V150&lt;&gt;"",$V150-$B150,TODAY()-$B150))</f>
        <v/>
      </c>
      <c r="X150" s="27">
        <f>IF($C150="","",IF(IFERROR(INDEX(CONFIG!$K$4:$K$43,MATCH($S150,CONFIG!$J$4:$J$43,0)),"NO")="SÍ",IF(OR($V150="",$U150=""),"Resuelta",IF($V150&gt;$U150,"Resuelta tarde","Resuelta a tiempo")),IF($U150="","Sin clasificar",IF(TODAY()&gt;$U150,"Vencida",IF(TODAY()&gt;=$U150-1,"Por vencer","En plazo")))))</f>
        <v/>
      </c>
      <c r="Y150" s="49" t="n"/>
      <c r="Z150" s="49" t="n"/>
    </row>
    <row r="151" ht="16" customHeight="1">
      <c r="A151" s="27">
        <f>IF($C151="","","N-"&amp;TEXT(ROW()-3,"0000"))</f>
        <v/>
      </c>
      <c r="B151" s="46" t="n"/>
      <c r="C151" s="47" t="n"/>
      <c r="D151" s="27">
        <f>IF($C151="","",IF(COUNTIFS(ENVIOS!$A$4:$A$3003,$C151)=0,"NO EXISTE",IF(COUNTIFS(ENVIOS!$A$4:$A$3003,$C151)&gt;1,"DUPLICADA","OK")))</f>
        <v/>
      </c>
      <c r="E151" s="22">
        <f>IF($C151="","",IFERROR(INDEX(ENVIOS!$C$4:$C$3003,MATCH($C151,ENVIOS!$A$4:$A$3003,0)),"—"))</f>
        <v/>
      </c>
      <c r="F151" s="22">
        <f>IF($C151="","",IFERROR(INDEX(ENVIOS!$D$4:$D$3003,MATCH($C151,ENVIOS!$A$4:$A$3003,0)),"—"))</f>
        <v/>
      </c>
      <c r="G151" s="22">
        <f>IF($C151="","",IFERROR(INDEX(ENVIOS!$E$4:$E$3003,MATCH($C151,ENVIOS!$A$4:$A$3003,0)),"—"))</f>
        <v/>
      </c>
      <c r="H151" s="22">
        <f>IF($C151="","",IFERROR(INDEX(ENVIOS!$F$4:$F$3003,MATCH($C151,ENVIOS!$A$4:$A$3003,0)),"—"))</f>
        <v/>
      </c>
      <c r="I151" s="27">
        <f>IF($C151="","",IFERROR(INDEX(ENVIOS!$G$4:$G$3003,MATCH($C151,ENVIOS!$A$4:$A$3003,0)),"—"))</f>
        <v/>
      </c>
      <c r="J151" s="48">
        <f>IF($C151="","",IFERROR(INDEX(ENVIOS!$B$4:$B$3003,MATCH($C151,ENVIOS!$A$4:$A$3003,0)),""))</f>
        <v/>
      </c>
      <c r="K151" s="49" t="n"/>
      <c r="L151" s="27">
        <f>IF($K151="","",IFERROR(INDEX(CONFIG!$B$4:$B$43,MATCH($K151,CONFIG!$A$4:$A$43,0)),"Media"))</f>
        <v/>
      </c>
      <c r="M151" s="27">
        <f>IF($K151="","",IFERROR(INDEX(CONFIG!$D$4:$D$43,MATCH($K151,CONFIG!$A$4:$A$43,0)),"NO"))</f>
        <v/>
      </c>
      <c r="N151" s="49" t="n"/>
      <c r="O151" s="27">
        <f>IF($N151="","",IFERROR(INDEX(CONFIG!$G$4:$G$43,MATCH($N151,CONFIG!$F$4:$F$43,0)),"Por definir"))</f>
        <v/>
      </c>
      <c r="P151" s="27">
        <f>IF($N151="","",IFERROR(INDEX(CONFIG!$H$4:$H$43,MATCH($N151,CONFIG!$F$4:$F$43,0)),"Por definir"))</f>
        <v/>
      </c>
      <c r="Q151" s="50" t="n"/>
      <c r="R151" s="51" t="n"/>
      <c r="S151" s="49" t="n"/>
      <c r="T151" s="49" t="n"/>
      <c r="U151" s="48">
        <f>IF(OR($B151="",$K151=""),"",WORKDAY($B151,IFERROR(INDEX(CONFIG!$C$4:$C$43,MATCH($K151,CONFIG!$A$4:$A$43,0)),3)))</f>
        <v/>
      </c>
      <c r="V151" s="46" t="n"/>
      <c r="W151" s="23">
        <f>IF($B151="","",IF($V151&lt;&gt;"",$V151-$B151,TODAY()-$B151))</f>
        <v/>
      </c>
      <c r="X151" s="27">
        <f>IF($C151="","",IF(IFERROR(INDEX(CONFIG!$K$4:$K$43,MATCH($S151,CONFIG!$J$4:$J$43,0)),"NO")="SÍ",IF(OR($V151="",$U151=""),"Resuelta",IF($V151&gt;$U151,"Resuelta tarde","Resuelta a tiempo")),IF($U151="","Sin clasificar",IF(TODAY()&gt;$U151,"Vencida",IF(TODAY()&gt;=$U151-1,"Por vencer","En plazo")))))</f>
        <v/>
      </c>
      <c r="Y151" s="49" t="n"/>
      <c r="Z151" s="49" t="n"/>
    </row>
    <row r="152" ht="16" customHeight="1">
      <c r="A152" s="27">
        <f>IF($C152="","","N-"&amp;TEXT(ROW()-3,"0000"))</f>
        <v/>
      </c>
      <c r="B152" s="46" t="n"/>
      <c r="C152" s="47" t="n"/>
      <c r="D152" s="27">
        <f>IF($C152="","",IF(COUNTIFS(ENVIOS!$A$4:$A$3003,$C152)=0,"NO EXISTE",IF(COUNTIFS(ENVIOS!$A$4:$A$3003,$C152)&gt;1,"DUPLICADA","OK")))</f>
        <v/>
      </c>
      <c r="E152" s="22">
        <f>IF($C152="","",IFERROR(INDEX(ENVIOS!$C$4:$C$3003,MATCH($C152,ENVIOS!$A$4:$A$3003,0)),"—"))</f>
        <v/>
      </c>
      <c r="F152" s="22">
        <f>IF($C152="","",IFERROR(INDEX(ENVIOS!$D$4:$D$3003,MATCH($C152,ENVIOS!$A$4:$A$3003,0)),"—"))</f>
        <v/>
      </c>
      <c r="G152" s="22">
        <f>IF($C152="","",IFERROR(INDEX(ENVIOS!$E$4:$E$3003,MATCH($C152,ENVIOS!$A$4:$A$3003,0)),"—"))</f>
        <v/>
      </c>
      <c r="H152" s="22">
        <f>IF($C152="","",IFERROR(INDEX(ENVIOS!$F$4:$F$3003,MATCH($C152,ENVIOS!$A$4:$A$3003,0)),"—"))</f>
        <v/>
      </c>
      <c r="I152" s="27">
        <f>IF($C152="","",IFERROR(INDEX(ENVIOS!$G$4:$G$3003,MATCH($C152,ENVIOS!$A$4:$A$3003,0)),"—"))</f>
        <v/>
      </c>
      <c r="J152" s="48">
        <f>IF($C152="","",IFERROR(INDEX(ENVIOS!$B$4:$B$3003,MATCH($C152,ENVIOS!$A$4:$A$3003,0)),""))</f>
        <v/>
      </c>
      <c r="K152" s="49" t="n"/>
      <c r="L152" s="27">
        <f>IF($K152="","",IFERROR(INDEX(CONFIG!$B$4:$B$43,MATCH($K152,CONFIG!$A$4:$A$43,0)),"Media"))</f>
        <v/>
      </c>
      <c r="M152" s="27">
        <f>IF($K152="","",IFERROR(INDEX(CONFIG!$D$4:$D$43,MATCH($K152,CONFIG!$A$4:$A$43,0)),"NO"))</f>
        <v/>
      </c>
      <c r="N152" s="49" t="n"/>
      <c r="O152" s="27">
        <f>IF($N152="","",IFERROR(INDEX(CONFIG!$G$4:$G$43,MATCH($N152,CONFIG!$F$4:$F$43,0)),"Por definir"))</f>
        <v/>
      </c>
      <c r="P152" s="27">
        <f>IF($N152="","",IFERROR(INDEX(CONFIG!$H$4:$H$43,MATCH($N152,CONFIG!$F$4:$F$43,0)),"Por definir"))</f>
        <v/>
      </c>
      <c r="Q152" s="50" t="n"/>
      <c r="R152" s="51" t="n"/>
      <c r="S152" s="49" t="n"/>
      <c r="T152" s="49" t="n"/>
      <c r="U152" s="48">
        <f>IF(OR($B152="",$K152=""),"",WORKDAY($B152,IFERROR(INDEX(CONFIG!$C$4:$C$43,MATCH($K152,CONFIG!$A$4:$A$43,0)),3)))</f>
        <v/>
      </c>
      <c r="V152" s="46" t="n"/>
      <c r="W152" s="23">
        <f>IF($B152="","",IF($V152&lt;&gt;"",$V152-$B152,TODAY()-$B152))</f>
        <v/>
      </c>
      <c r="X152" s="27">
        <f>IF($C152="","",IF(IFERROR(INDEX(CONFIG!$K$4:$K$43,MATCH($S152,CONFIG!$J$4:$J$43,0)),"NO")="SÍ",IF(OR($V152="",$U152=""),"Resuelta",IF($V152&gt;$U152,"Resuelta tarde","Resuelta a tiempo")),IF($U152="","Sin clasificar",IF(TODAY()&gt;$U152,"Vencida",IF(TODAY()&gt;=$U152-1,"Por vencer","En plazo")))))</f>
        <v/>
      </c>
      <c r="Y152" s="49" t="n"/>
      <c r="Z152" s="49" t="n"/>
    </row>
    <row r="153" ht="16" customHeight="1">
      <c r="A153" s="27">
        <f>IF($C153="","","N-"&amp;TEXT(ROW()-3,"0000"))</f>
        <v/>
      </c>
      <c r="B153" s="46" t="n"/>
      <c r="C153" s="47" t="n"/>
      <c r="D153" s="27">
        <f>IF($C153="","",IF(COUNTIFS(ENVIOS!$A$4:$A$3003,$C153)=0,"NO EXISTE",IF(COUNTIFS(ENVIOS!$A$4:$A$3003,$C153)&gt;1,"DUPLICADA","OK")))</f>
        <v/>
      </c>
      <c r="E153" s="22">
        <f>IF($C153="","",IFERROR(INDEX(ENVIOS!$C$4:$C$3003,MATCH($C153,ENVIOS!$A$4:$A$3003,0)),"—"))</f>
        <v/>
      </c>
      <c r="F153" s="22">
        <f>IF($C153="","",IFERROR(INDEX(ENVIOS!$D$4:$D$3003,MATCH($C153,ENVIOS!$A$4:$A$3003,0)),"—"))</f>
        <v/>
      </c>
      <c r="G153" s="22">
        <f>IF($C153="","",IFERROR(INDEX(ENVIOS!$E$4:$E$3003,MATCH($C153,ENVIOS!$A$4:$A$3003,0)),"—"))</f>
        <v/>
      </c>
      <c r="H153" s="22">
        <f>IF($C153="","",IFERROR(INDEX(ENVIOS!$F$4:$F$3003,MATCH($C153,ENVIOS!$A$4:$A$3003,0)),"—"))</f>
        <v/>
      </c>
      <c r="I153" s="27">
        <f>IF($C153="","",IFERROR(INDEX(ENVIOS!$G$4:$G$3003,MATCH($C153,ENVIOS!$A$4:$A$3003,0)),"—"))</f>
        <v/>
      </c>
      <c r="J153" s="48">
        <f>IF($C153="","",IFERROR(INDEX(ENVIOS!$B$4:$B$3003,MATCH($C153,ENVIOS!$A$4:$A$3003,0)),""))</f>
        <v/>
      </c>
      <c r="K153" s="49" t="n"/>
      <c r="L153" s="27">
        <f>IF($K153="","",IFERROR(INDEX(CONFIG!$B$4:$B$43,MATCH($K153,CONFIG!$A$4:$A$43,0)),"Media"))</f>
        <v/>
      </c>
      <c r="M153" s="27">
        <f>IF($K153="","",IFERROR(INDEX(CONFIG!$D$4:$D$43,MATCH($K153,CONFIG!$A$4:$A$43,0)),"NO"))</f>
        <v/>
      </c>
      <c r="N153" s="49" t="n"/>
      <c r="O153" s="27">
        <f>IF($N153="","",IFERROR(INDEX(CONFIG!$G$4:$G$43,MATCH($N153,CONFIG!$F$4:$F$43,0)),"Por definir"))</f>
        <v/>
      </c>
      <c r="P153" s="27">
        <f>IF($N153="","",IFERROR(INDEX(CONFIG!$H$4:$H$43,MATCH($N153,CONFIG!$F$4:$F$43,0)),"Por definir"))</f>
        <v/>
      </c>
      <c r="Q153" s="50" t="n"/>
      <c r="R153" s="51" t="n"/>
      <c r="S153" s="49" t="n"/>
      <c r="T153" s="49" t="n"/>
      <c r="U153" s="48">
        <f>IF(OR($B153="",$K153=""),"",WORKDAY($B153,IFERROR(INDEX(CONFIG!$C$4:$C$43,MATCH($K153,CONFIG!$A$4:$A$43,0)),3)))</f>
        <v/>
      </c>
      <c r="V153" s="46" t="n"/>
      <c r="W153" s="23">
        <f>IF($B153="","",IF($V153&lt;&gt;"",$V153-$B153,TODAY()-$B153))</f>
        <v/>
      </c>
      <c r="X153" s="27">
        <f>IF($C153="","",IF(IFERROR(INDEX(CONFIG!$K$4:$K$43,MATCH($S153,CONFIG!$J$4:$J$43,0)),"NO")="SÍ",IF(OR($V153="",$U153=""),"Resuelta",IF($V153&gt;$U153,"Resuelta tarde","Resuelta a tiempo")),IF($U153="","Sin clasificar",IF(TODAY()&gt;$U153,"Vencida",IF(TODAY()&gt;=$U153-1,"Por vencer","En plazo")))))</f>
        <v/>
      </c>
      <c r="Y153" s="49" t="n"/>
      <c r="Z153" s="49" t="n"/>
    </row>
    <row r="154" ht="16" customHeight="1">
      <c r="A154" s="27">
        <f>IF($C154="","","N-"&amp;TEXT(ROW()-3,"0000"))</f>
        <v/>
      </c>
      <c r="B154" s="46" t="n"/>
      <c r="C154" s="47" t="n"/>
      <c r="D154" s="27">
        <f>IF($C154="","",IF(COUNTIFS(ENVIOS!$A$4:$A$3003,$C154)=0,"NO EXISTE",IF(COUNTIFS(ENVIOS!$A$4:$A$3003,$C154)&gt;1,"DUPLICADA","OK")))</f>
        <v/>
      </c>
      <c r="E154" s="22">
        <f>IF($C154="","",IFERROR(INDEX(ENVIOS!$C$4:$C$3003,MATCH($C154,ENVIOS!$A$4:$A$3003,0)),"—"))</f>
        <v/>
      </c>
      <c r="F154" s="22">
        <f>IF($C154="","",IFERROR(INDEX(ENVIOS!$D$4:$D$3003,MATCH($C154,ENVIOS!$A$4:$A$3003,0)),"—"))</f>
        <v/>
      </c>
      <c r="G154" s="22">
        <f>IF($C154="","",IFERROR(INDEX(ENVIOS!$E$4:$E$3003,MATCH($C154,ENVIOS!$A$4:$A$3003,0)),"—"))</f>
        <v/>
      </c>
      <c r="H154" s="22">
        <f>IF($C154="","",IFERROR(INDEX(ENVIOS!$F$4:$F$3003,MATCH($C154,ENVIOS!$A$4:$A$3003,0)),"—"))</f>
        <v/>
      </c>
      <c r="I154" s="27">
        <f>IF($C154="","",IFERROR(INDEX(ENVIOS!$G$4:$G$3003,MATCH($C154,ENVIOS!$A$4:$A$3003,0)),"—"))</f>
        <v/>
      </c>
      <c r="J154" s="48">
        <f>IF($C154="","",IFERROR(INDEX(ENVIOS!$B$4:$B$3003,MATCH($C154,ENVIOS!$A$4:$A$3003,0)),""))</f>
        <v/>
      </c>
      <c r="K154" s="49" t="n"/>
      <c r="L154" s="27">
        <f>IF($K154="","",IFERROR(INDEX(CONFIG!$B$4:$B$43,MATCH($K154,CONFIG!$A$4:$A$43,0)),"Media"))</f>
        <v/>
      </c>
      <c r="M154" s="27">
        <f>IF($K154="","",IFERROR(INDEX(CONFIG!$D$4:$D$43,MATCH($K154,CONFIG!$A$4:$A$43,0)),"NO"))</f>
        <v/>
      </c>
      <c r="N154" s="49" t="n"/>
      <c r="O154" s="27">
        <f>IF($N154="","",IFERROR(INDEX(CONFIG!$G$4:$G$43,MATCH($N154,CONFIG!$F$4:$F$43,0)),"Por definir"))</f>
        <v/>
      </c>
      <c r="P154" s="27">
        <f>IF($N154="","",IFERROR(INDEX(CONFIG!$H$4:$H$43,MATCH($N154,CONFIG!$F$4:$F$43,0)),"Por definir"))</f>
        <v/>
      </c>
      <c r="Q154" s="50" t="n"/>
      <c r="R154" s="51" t="n"/>
      <c r="S154" s="49" t="n"/>
      <c r="T154" s="49" t="n"/>
      <c r="U154" s="48">
        <f>IF(OR($B154="",$K154=""),"",WORKDAY($B154,IFERROR(INDEX(CONFIG!$C$4:$C$43,MATCH($K154,CONFIG!$A$4:$A$43,0)),3)))</f>
        <v/>
      </c>
      <c r="V154" s="46" t="n"/>
      <c r="W154" s="23">
        <f>IF($B154="","",IF($V154&lt;&gt;"",$V154-$B154,TODAY()-$B154))</f>
        <v/>
      </c>
      <c r="X154" s="27">
        <f>IF($C154="","",IF(IFERROR(INDEX(CONFIG!$K$4:$K$43,MATCH($S154,CONFIG!$J$4:$J$43,0)),"NO")="SÍ",IF(OR($V154="",$U154=""),"Resuelta",IF($V154&gt;$U154,"Resuelta tarde","Resuelta a tiempo")),IF($U154="","Sin clasificar",IF(TODAY()&gt;$U154,"Vencida",IF(TODAY()&gt;=$U154-1,"Por vencer","En plazo")))))</f>
        <v/>
      </c>
      <c r="Y154" s="49" t="n"/>
      <c r="Z154" s="49" t="n"/>
    </row>
    <row r="155" ht="16" customHeight="1">
      <c r="A155" s="27">
        <f>IF($C155="","","N-"&amp;TEXT(ROW()-3,"0000"))</f>
        <v/>
      </c>
      <c r="B155" s="46" t="n"/>
      <c r="C155" s="47" t="n"/>
      <c r="D155" s="27">
        <f>IF($C155="","",IF(COUNTIFS(ENVIOS!$A$4:$A$3003,$C155)=0,"NO EXISTE",IF(COUNTIFS(ENVIOS!$A$4:$A$3003,$C155)&gt;1,"DUPLICADA","OK")))</f>
        <v/>
      </c>
      <c r="E155" s="22">
        <f>IF($C155="","",IFERROR(INDEX(ENVIOS!$C$4:$C$3003,MATCH($C155,ENVIOS!$A$4:$A$3003,0)),"—"))</f>
        <v/>
      </c>
      <c r="F155" s="22">
        <f>IF($C155="","",IFERROR(INDEX(ENVIOS!$D$4:$D$3003,MATCH($C155,ENVIOS!$A$4:$A$3003,0)),"—"))</f>
        <v/>
      </c>
      <c r="G155" s="22">
        <f>IF($C155="","",IFERROR(INDEX(ENVIOS!$E$4:$E$3003,MATCH($C155,ENVIOS!$A$4:$A$3003,0)),"—"))</f>
        <v/>
      </c>
      <c r="H155" s="22">
        <f>IF($C155="","",IFERROR(INDEX(ENVIOS!$F$4:$F$3003,MATCH($C155,ENVIOS!$A$4:$A$3003,0)),"—"))</f>
        <v/>
      </c>
      <c r="I155" s="27">
        <f>IF($C155="","",IFERROR(INDEX(ENVIOS!$G$4:$G$3003,MATCH($C155,ENVIOS!$A$4:$A$3003,0)),"—"))</f>
        <v/>
      </c>
      <c r="J155" s="48">
        <f>IF($C155="","",IFERROR(INDEX(ENVIOS!$B$4:$B$3003,MATCH($C155,ENVIOS!$A$4:$A$3003,0)),""))</f>
        <v/>
      </c>
      <c r="K155" s="49" t="n"/>
      <c r="L155" s="27">
        <f>IF($K155="","",IFERROR(INDEX(CONFIG!$B$4:$B$43,MATCH($K155,CONFIG!$A$4:$A$43,0)),"Media"))</f>
        <v/>
      </c>
      <c r="M155" s="27">
        <f>IF($K155="","",IFERROR(INDEX(CONFIG!$D$4:$D$43,MATCH($K155,CONFIG!$A$4:$A$43,0)),"NO"))</f>
        <v/>
      </c>
      <c r="N155" s="49" t="n"/>
      <c r="O155" s="27">
        <f>IF($N155="","",IFERROR(INDEX(CONFIG!$G$4:$G$43,MATCH($N155,CONFIG!$F$4:$F$43,0)),"Por definir"))</f>
        <v/>
      </c>
      <c r="P155" s="27">
        <f>IF($N155="","",IFERROR(INDEX(CONFIG!$H$4:$H$43,MATCH($N155,CONFIG!$F$4:$F$43,0)),"Por definir"))</f>
        <v/>
      </c>
      <c r="Q155" s="50" t="n"/>
      <c r="R155" s="51" t="n"/>
      <c r="S155" s="49" t="n"/>
      <c r="T155" s="49" t="n"/>
      <c r="U155" s="48">
        <f>IF(OR($B155="",$K155=""),"",WORKDAY($B155,IFERROR(INDEX(CONFIG!$C$4:$C$43,MATCH($K155,CONFIG!$A$4:$A$43,0)),3)))</f>
        <v/>
      </c>
      <c r="V155" s="46" t="n"/>
      <c r="W155" s="23">
        <f>IF($B155="","",IF($V155&lt;&gt;"",$V155-$B155,TODAY()-$B155))</f>
        <v/>
      </c>
      <c r="X155" s="27">
        <f>IF($C155="","",IF(IFERROR(INDEX(CONFIG!$K$4:$K$43,MATCH($S155,CONFIG!$J$4:$J$43,0)),"NO")="SÍ",IF(OR($V155="",$U155=""),"Resuelta",IF($V155&gt;$U155,"Resuelta tarde","Resuelta a tiempo")),IF($U155="","Sin clasificar",IF(TODAY()&gt;$U155,"Vencida",IF(TODAY()&gt;=$U155-1,"Por vencer","En plazo")))))</f>
        <v/>
      </c>
      <c r="Y155" s="49" t="n"/>
      <c r="Z155" s="49" t="n"/>
    </row>
    <row r="156" ht="16" customHeight="1">
      <c r="A156" s="27">
        <f>IF($C156="","","N-"&amp;TEXT(ROW()-3,"0000"))</f>
        <v/>
      </c>
      <c r="B156" s="46" t="n"/>
      <c r="C156" s="47" t="n"/>
      <c r="D156" s="27">
        <f>IF($C156="","",IF(COUNTIFS(ENVIOS!$A$4:$A$3003,$C156)=0,"NO EXISTE",IF(COUNTIFS(ENVIOS!$A$4:$A$3003,$C156)&gt;1,"DUPLICADA","OK")))</f>
        <v/>
      </c>
      <c r="E156" s="22">
        <f>IF($C156="","",IFERROR(INDEX(ENVIOS!$C$4:$C$3003,MATCH($C156,ENVIOS!$A$4:$A$3003,0)),"—"))</f>
        <v/>
      </c>
      <c r="F156" s="22">
        <f>IF($C156="","",IFERROR(INDEX(ENVIOS!$D$4:$D$3003,MATCH($C156,ENVIOS!$A$4:$A$3003,0)),"—"))</f>
        <v/>
      </c>
      <c r="G156" s="22">
        <f>IF($C156="","",IFERROR(INDEX(ENVIOS!$E$4:$E$3003,MATCH($C156,ENVIOS!$A$4:$A$3003,0)),"—"))</f>
        <v/>
      </c>
      <c r="H156" s="22">
        <f>IF($C156="","",IFERROR(INDEX(ENVIOS!$F$4:$F$3003,MATCH($C156,ENVIOS!$A$4:$A$3003,0)),"—"))</f>
        <v/>
      </c>
      <c r="I156" s="27">
        <f>IF($C156="","",IFERROR(INDEX(ENVIOS!$G$4:$G$3003,MATCH($C156,ENVIOS!$A$4:$A$3003,0)),"—"))</f>
        <v/>
      </c>
      <c r="J156" s="48">
        <f>IF($C156="","",IFERROR(INDEX(ENVIOS!$B$4:$B$3003,MATCH($C156,ENVIOS!$A$4:$A$3003,0)),""))</f>
        <v/>
      </c>
      <c r="K156" s="49" t="n"/>
      <c r="L156" s="27">
        <f>IF($K156="","",IFERROR(INDEX(CONFIG!$B$4:$B$43,MATCH($K156,CONFIG!$A$4:$A$43,0)),"Media"))</f>
        <v/>
      </c>
      <c r="M156" s="27">
        <f>IF($K156="","",IFERROR(INDEX(CONFIG!$D$4:$D$43,MATCH($K156,CONFIG!$A$4:$A$43,0)),"NO"))</f>
        <v/>
      </c>
      <c r="N156" s="49" t="n"/>
      <c r="O156" s="27">
        <f>IF($N156="","",IFERROR(INDEX(CONFIG!$G$4:$G$43,MATCH($N156,CONFIG!$F$4:$F$43,0)),"Por definir"))</f>
        <v/>
      </c>
      <c r="P156" s="27">
        <f>IF($N156="","",IFERROR(INDEX(CONFIG!$H$4:$H$43,MATCH($N156,CONFIG!$F$4:$F$43,0)),"Por definir"))</f>
        <v/>
      </c>
      <c r="Q156" s="50" t="n"/>
      <c r="R156" s="51" t="n"/>
      <c r="S156" s="49" t="n"/>
      <c r="T156" s="49" t="n"/>
      <c r="U156" s="48">
        <f>IF(OR($B156="",$K156=""),"",WORKDAY($B156,IFERROR(INDEX(CONFIG!$C$4:$C$43,MATCH($K156,CONFIG!$A$4:$A$43,0)),3)))</f>
        <v/>
      </c>
      <c r="V156" s="46" t="n"/>
      <c r="W156" s="23">
        <f>IF($B156="","",IF($V156&lt;&gt;"",$V156-$B156,TODAY()-$B156))</f>
        <v/>
      </c>
      <c r="X156" s="27">
        <f>IF($C156="","",IF(IFERROR(INDEX(CONFIG!$K$4:$K$43,MATCH($S156,CONFIG!$J$4:$J$43,0)),"NO")="SÍ",IF(OR($V156="",$U156=""),"Resuelta",IF($V156&gt;$U156,"Resuelta tarde","Resuelta a tiempo")),IF($U156="","Sin clasificar",IF(TODAY()&gt;$U156,"Vencida",IF(TODAY()&gt;=$U156-1,"Por vencer","En plazo")))))</f>
        <v/>
      </c>
      <c r="Y156" s="49" t="n"/>
      <c r="Z156" s="49" t="n"/>
    </row>
    <row r="157" ht="16" customHeight="1">
      <c r="A157" s="27">
        <f>IF($C157="","","N-"&amp;TEXT(ROW()-3,"0000"))</f>
        <v/>
      </c>
      <c r="B157" s="46" t="n"/>
      <c r="C157" s="47" t="n"/>
      <c r="D157" s="27">
        <f>IF($C157="","",IF(COUNTIFS(ENVIOS!$A$4:$A$3003,$C157)=0,"NO EXISTE",IF(COUNTIFS(ENVIOS!$A$4:$A$3003,$C157)&gt;1,"DUPLICADA","OK")))</f>
        <v/>
      </c>
      <c r="E157" s="22">
        <f>IF($C157="","",IFERROR(INDEX(ENVIOS!$C$4:$C$3003,MATCH($C157,ENVIOS!$A$4:$A$3003,0)),"—"))</f>
        <v/>
      </c>
      <c r="F157" s="22">
        <f>IF($C157="","",IFERROR(INDEX(ENVIOS!$D$4:$D$3003,MATCH($C157,ENVIOS!$A$4:$A$3003,0)),"—"))</f>
        <v/>
      </c>
      <c r="G157" s="22">
        <f>IF($C157="","",IFERROR(INDEX(ENVIOS!$E$4:$E$3003,MATCH($C157,ENVIOS!$A$4:$A$3003,0)),"—"))</f>
        <v/>
      </c>
      <c r="H157" s="22">
        <f>IF($C157="","",IFERROR(INDEX(ENVIOS!$F$4:$F$3003,MATCH($C157,ENVIOS!$A$4:$A$3003,0)),"—"))</f>
        <v/>
      </c>
      <c r="I157" s="27">
        <f>IF($C157="","",IFERROR(INDEX(ENVIOS!$G$4:$G$3003,MATCH($C157,ENVIOS!$A$4:$A$3003,0)),"—"))</f>
        <v/>
      </c>
      <c r="J157" s="48">
        <f>IF($C157="","",IFERROR(INDEX(ENVIOS!$B$4:$B$3003,MATCH($C157,ENVIOS!$A$4:$A$3003,0)),""))</f>
        <v/>
      </c>
      <c r="K157" s="49" t="n"/>
      <c r="L157" s="27">
        <f>IF($K157="","",IFERROR(INDEX(CONFIG!$B$4:$B$43,MATCH($K157,CONFIG!$A$4:$A$43,0)),"Media"))</f>
        <v/>
      </c>
      <c r="M157" s="27">
        <f>IF($K157="","",IFERROR(INDEX(CONFIG!$D$4:$D$43,MATCH($K157,CONFIG!$A$4:$A$43,0)),"NO"))</f>
        <v/>
      </c>
      <c r="N157" s="49" t="n"/>
      <c r="O157" s="27">
        <f>IF($N157="","",IFERROR(INDEX(CONFIG!$G$4:$G$43,MATCH($N157,CONFIG!$F$4:$F$43,0)),"Por definir"))</f>
        <v/>
      </c>
      <c r="P157" s="27">
        <f>IF($N157="","",IFERROR(INDEX(CONFIG!$H$4:$H$43,MATCH($N157,CONFIG!$F$4:$F$43,0)),"Por definir"))</f>
        <v/>
      </c>
      <c r="Q157" s="50" t="n"/>
      <c r="R157" s="51" t="n"/>
      <c r="S157" s="49" t="n"/>
      <c r="T157" s="49" t="n"/>
      <c r="U157" s="48">
        <f>IF(OR($B157="",$K157=""),"",WORKDAY($B157,IFERROR(INDEX(CONFIG!$C$4:$C$43,MATCH($K157,CONFIG!$A$4:$A$43,0)),3)))</f>
        <v/>
      </c>
      <c r="V157" s="46" t="n"/>
      <c r="W157" s="23">
        <f>IF($B157="","",IF($V157&lt;&gt;"",$V157-$B157,TODAY()-$B157))</f>
        <v/>
      </c>
      <c r="X157" s="27">
        <f>IF($C157="","",IF(IFERROR(INDEX(CONFIG!$K$4:$K$43,MATCH($S157,CONFIG!$J$4:$J$43,0)),"NO")="SÍ",IF(OR($V157="",$U157=""),"Resuelta",IF($V157&gt;$U157,"Resuelta tarde","Resuelta a tiempo")),IF($U157="","Sin clasificar",IF(TODAY()&gt;$U157,"Vencida",IF(TODAY()&gt;=$U157-1,"Por vencer","En plazo")))))</f>
        <v/>
      </c>
      <c r="Y157" s="49" t="n"/>
      <c r="Z157" s="49" t="n"/>
    </row>
    <row r="158" ht="16" customHeight="1">
      <c r="A158" s="27">
        <f>IF($C158="","","N-"&amp;TEXT(ROW()-3,"0000"))</f>
        <v/>
      </c>
      <c r="B158" s="46" t="n"/>
      <c r="C158" s="47" t="n"/>
      <c r="D158" s="27">
        <f>IF($C158="","",IF(COUNTIFS(ENVIOS!$A$4:$A$3003,$C158)=0,"NO EXISTE",IF(COUNTIFS(ENVIOS!$A$4:$A$3003,$C158)&gt;1,"DUPLICADA","OK")))</f>
        <v/>
      </c>
      <c r="E158" s="22">
        <f>IF($C158="","",IFERROR(INDEX(ENVIOS!$C$4:$C$3003,MATCH($C158,ENVIOS!$A$4:$A$3003,0)),"—"))</f>
        <v/>
      </c>
      <c r="F158" s="22">
        <f>IF($C158="","",IFERROR(INDEX(ENVIOS!$D$4:$D$3003,MATCH($C158,ENVIOS!$A$4:$A$3003,0)),"—"))</f>
        <v/>
      </c>
      <c r="G158" s="22">
        <f>IF($C158="","",IFERROR(INDEX(ENVIOS!$E$4:$E$3003,MATCH($C158,ENVIOS!$A$4:$A$3003,0)),"—"))</f>
        <v/>
      </c>
      <c r="H158" s="22">
        <f>IF($C158="","",IFERROR(INDEX(ENVIOS!$F$4:$F$3003,MATCH($C158,ENVIOS!$A$4:$A$3003,0)),"—"))</f>
        <v/>
      </c>
      <c r="I158" s="27">
        <f>IF($C158="","",IFERROR(INDEX(ENVIOS!$G$4:$G$3003,MATCH($C158,ENVIOS!$A$4:$A$3003,0)),"—"))</f>
        <v/>
      </c>
      <c r="J158" s="48">
        <f>IF($C158="","",IFERROR(INDEX(ENVIOS!$B$4:$B$3003,MATCH($C158,ENVIOS!$A$4:$A$3003,0)),""))</f>
        <v/>
      </c>
      <c r="K158" s="49" t="n"/>
      <c r="L158" s="27">
        <f>IF($K158="","",IFERROR(INDEX(CONFIG!$B$4:$B$43,MATCH($K158,CONFIG!$A$4:$A$43,0)),"Media"))</f>
        <v/>
      </c>
      <c r="M158" s="27">
        <f>IF($K158="","",IFERROR(INDEX(CONFIG!$D$4:$D$43,MATCH($K158,CONFIG!$A$4:$A$43,0)),"NO"))</f>
        <v/>
      </c>
      <c r="N158" s="49" t="n"/>
      <c r="O158" s="27">
        <f>IF($N158="","",IFERROR(INDEX(CONFIG!$G$4:$G$43,MATCH($N158,CONFIG!$F$4:$F$43,0)),"Por definir"))</f>
        <v/>
      </c>
      <c r="P158" s="27">
        <f>IF($N158="","",IFERROR(INDEX(CONFIG!$H$4:$H$43,MATCH($N158,CONFIG!$F$4:$F$43,0)),"Por definir"))</f>
        <v/>
      </c>
      <c r="Q158" s="50" t="n"/>
      <c r="R158" s="51" t="n"/>
      <c r="S158" s="49" t="n"/>
      <c r="T158" s="49" t="n"/>
      <c r="U158" s="48">
        <f>IF(OR($B158="",$K158=""),"",WORKDAY($B158,IFERROR(INDEX(CONFIG!$C$4:$C$43,MATCH($K158,CONFIG!$A$4:$A$43,0)),3)))</f>
        <v/>
      </c>
      <c r="V158" s="46" t="n"/>
      <c r="W158" s="23">
        <f>IF($B158="","",IF($V158&lt;&gt;"",$V158-$B158,TODAY()-$B158))</f>
        <v/>
      </c>
      <c r="X158" s="27">
        <f>IF($C158="","",IF(IFERROR(INDEX(CONFIG!$K$4:$K$43,MATCH($S158,CONFIG!$J$4:$J$43,0)),"NO")="SÍ",IF(OR($V158="",$U158=""),"Resuelta",IF($V158&gt;$U158,"Resuelta tarde","Resuelta a tiempo")),IF($U158="","Sin clasificar",IF(TODAY()&gt;$U158,"Vencida",IF(TODAY()&gt;=$U158-1,"Por vencer","En plazo")))))</f>
        <v/>
      </c>
      <c r="Y158" s="49" t="n"/>
      <c r="Z158" s="49" t="n"/>
    </row>
    <row r="159" ht="16" customHeight="1">
      <c r="A159" s="27">
        <f>IF($C159="","","N-"&amp;TEXT(ROW()-3,"0000"))</f>
        <v/>
      </c>
      <c r="B159" s="46" t="n"/>
      <c r="C159" s="47" t="n"/>
      <c r="D159" s="27">
        <f>IF($C159="","",IF(COUNTIFS(ENVIOS!$A$4:$A$3003,$C159)=0,"NO EXISTE",IF(COUNTIFS(ENVIOS!$A$4:$A$3003,$C159)&gt;1,"DUPLICADA","OK")))</f>
        <v/>
      </c>
      <c r="E159" s="22">
        <f>IF($C159="","",IFERROR(INDEX(ENVIOS!$C$4:$C$3003,MATCH($C159,ENVIOS!$A$4:$A$3003,0)),"—"))</f>
        <v/>
      </c>
      <c r="F159" s="22">
        <f>IF($C159="","",IFERROR(INDEX(ENVIOS!$D$4:$D$3003,MATCH($C159,ENVIOS!$A$4:$A$3003,0)),"—"))</f>
        <v/>
      </c>
      <c r="G159" s="22">
        <f>IF($C159="","",IFERROR(INDEX(ENVIOS!$E$4:$E$3003,MATCH($C159,ENVIOS!$A$4:$A$3003,0)),"—"))</f>
        <v/>
      </c>
      <c r="H159" s="22">
        <f>IF($C159="","",IFERROR(INDEX(ENVIOS!$F$4:$F$3003,MATCH($C159,ENVIOS!$A$4:$A$3003,0)),"—"))</f>
        <v/>
      </c>
      <c r="I159" s="27">
        <f>IF($C159="","",IFERROR(INDEX(ENVIOS!$G$4:$G$3003,MATCH($C159,ENVIOS!$A$4:$A$3003,0)),"—"))</f>
        <v/>
      </c>
      <c r="J159" s="48">
        <f>IF($C159="","",IFERROR(INDEX(ENVIOS!$B$4:$B$3003,MATCH($C159,ENVIOS!$A$4:$A$3003,0)),""))</f>
        <v/>
      </c>
      <c r="K159" s="49" t="n"/>
      <c r="L159" s="27">
        <f>IF($K159="","",IFERROR(INDEX(CONFIG!$B$4:$B$43,MATCH($K159,CONFIG!$A$4:$A$43,0)),"Media"))</f>
        <v/>
      </c>
      <c r="M159" s="27">
        <f>IF($K159="","",IFERROR(INDEX(CONFIG!$D$4:$D$43,MATCH($K159,CONFIG!$A$4:$A$43,0)),"NO"))</f>
        <v/>
      </c>
      <c r="N159" s="49" t="n"/>
      <c r="O159" s="27">
        <f>IF($N159="","",IFERROR(INDEX(CONFIG!$G$4:$G$43,MATCH($N159,CONFIG!$F$4:$F$43,0)),"Por definir"))</f>
        <v/>
      </c>
      <c r="P159" s="27">
        <f>IF($N159="","",IFERROR(INDEX(CONFIG!$H$4:$H$43,MATCH($N159,CONFIG!$F$4:$F$43,0)),"Por definir"))</f>
        <v/>
      </c>
      <c r="Q159" s="50" t="n"/>
      <c r="R159" s="51" t="n"/>
      <c r="S159" s="49" t="n"/>
      <c r="T159" s="49" t="n"/>
      <c r="U159" s="48">
        <f>IF(OR($B159="",$K159=""),"",WORKDAY($B159,IFERROR(INDEX(CONFIG!$C$4:$C$43,MATCH($K159,CONFIG!$A$4:$A$43,0)),3)))</f>
        <v/>
      </c>
      <c r="V159" s="46" t="n"/>
      <c r="W159" s="23">
        <f>IF($B159="","",IF($V159&lt;&gt;"",$V159-$B159,TODAY()-$B159))</f>
        <v/>
      </c>
      <c r="X159" s="27">
        <f>IF($C159="","",IF(IFERROR(INDEX(CONFIG!$K$4:$K$43,MATCH($S159,CONFIG!$J$4:$J$43,0)),"NO")="SÍ",IF(OR($V159="",$U159=""),"Resuelta",IF($V159&gt;$U159,"Resuelta tarde","Resuelta a tiempo")),IF($U159="","Sin clasificar",IF(TODAY()&gt;$U159,"Vencida",IF(TODAY()&gt;=$U159-1,"Por vencer","En plazo")))))</f>
        <v/>
      </c>
      <c r="Y159" s="49" t="n"/>
      <c r="Z159" s="49" t="n"/>
    </row>
    <row r="160" ht="16" customHeight="1">
      <c r="A160" s="27">
        <f>IF($C160="","","N-"&amp;TEXT(ROW()-3,"0000"))</f>
        <v/>
      </c>
      <c r="B160" s="46" t="n"/>
      <c r="C160" s="47" t="n"/>
      <c r="D160" s="27">
        <f>IF($C160="","",IF(COUNTIFS(ENVIOS!$A$4:$A$3003,$C160)=0,"NO EXISTE",IF(COUNTIFS(ENVIOS!$A$4:$A$3003,$C160)&gt;1,"DUPLICADA","OK")))</f>
        <v/>
      </c>
      <c r="E160" s="22">
        <f>IF($C160="","",IFERROR(INDEX(ENVIOS!$C$4:$C$3003,MATCH($C160,ENVIOS!$A$4:$A$3003,0)),"—"))</f>
        <v/>
      </c>
      <c r="F160" s="22">
        <f>IF($C160="","",IFERROR(INDEX(ENVIOS!$D$4:$D$3003,MATCH($C160,ENVIOS!$A$4:$A$3003,0)),"—"))</f>
        <v/>
      </c>
      <c r="G160" s="22">
        <f>IF($C160="","",IFERROR(INDEX(ENVIOS!$E$4:$E$3003,MATCH($C160,ENVIOS!$A$4:$A$3003,0)),"—"))</f>
        <v/>
      </c>
      <c r="H160" s="22">
        <f>IF($C160="","",IFERROR(INDEX(ENVIOS!$F$4:$F$3003,MATCH($C160,ENVIOS!$A$4:$A$3003,0)),"—"))</f>
        <v/>
      </c>
      <c r="I160" s="27">
        <f>IF($C160="","",IFERROR(INDEX(ENVIOS!$G$4:$G$3003,MATCH($C160,ENVIOS!$A$4:$A$3003,0)),"—"))</f>
        <v/>
      </c>
      <c r="J160" s="48">
        <f>IF($C160="","",IFERROR(INDEX(ENVIOS!$B$4:$B$3003,MATCH($C160,ENVIOS!$A$4:$A$3003,0)),""))</f>
        <v/>
      </c>
      <c r="K160" s="49" t="n"/>
      <c r="L160" s="27">
        <f>IF($K160="","",IFERROR(INDEX(CONFIG!$B$4:$B$43,MATCH($K160,CONFIG!$A$4:$A$43,0)),"Media"))</f>
        <v/>
      </c>
      <c r="M160" s="27">
        <f>IF($K160="","",IFERROR(INDEX(CONFIG!$D$4:$D$43,MATCH($K160,CONFIG!$A$4:$A$43,0)),"NO"))</f>
        <v/>
      </c>
      <c r="N160" s="49" t="n"/>
      <c r="O160" s="27">
        <f>IF($N160="","",IFERROR(INDEX(CONFIG!$G$4:$G$43,MATCH($N160,CONFIG!$F$4:$F$43,0)),"Por definir"))</f>
        <v/>
      </c>
      <c r="P160" s="27">
        <f>IF($N160="","",IFERROR(INDEX(CONFIG!$H$4:$H$43,MATCH($N160,CONFIG!$F$4:$F$43,0)),"Por definir"))</f>
        <v/>
      </c>
      <c r="Q160" s="50" t="n"/>
      <c r="R160" s="51" t="n"/>
      <c r="S160" s="49" t="n"/>
      <c r="T160" s="49" t="n"/>
      <c r="U160" s="48">
        <f>IF(OR($B160="",$K160=""),"",WORKDAY($B160,IFERROR(INDEX(CONFIG!$C$4:$C$43,MATCH($K160,CONFIG!$A$4:$A$43,0)),3)))</f>
        <v/>
      </c>
      <c r="V160" s="46" t="n"/>
      <c r="W160" s="23">
        <f>IF($B160="","",IF($V160&lt;&gt;"",$V160-$B160,TODAY()-$B160))</f>
        <v/>
      </c>
      <c r="X160" s="27">
        <f>IF($C160="","",IF(IFERROR(INDEX(CONFIG!$K$4:$K$43,MATCH($S160,CONFIG!$J$4:$J$43,0)),"NO")="SÍ",IF(OR($V160="",$U160=""),"Resuelta",IF($V160&gt;$U160,"Resuelta tarde","Resuelta a tiempo")),IF($U160="","Sin clasificar",IF(TODAY()&gt;$U160,"Vencida",IF(TODAY()&gt;=$U160-1,"Por vencer","En plazo")))))</f>
        <v/>
      </c>
      <c r="Y160" s="49" t="n"/>
      <c r="Z160" s="49" t="n"/>
    </row>
    <row r="161" ht="16" customHeight="1">
      <c r="A161" s="27">
        <f>IF($C161="","","N-"&amp;TEXT(ROW()-3,"0000"))</f>
        <v/>
      </c>
      <c r="B161" s="46" t="n"/>
      <c r="C161" s="47" t="n"/>
      <c r="D161" s="27">
        <f>IF($C161="","",IF(COUNTIFS(ENVIOS!$A$4:$A$3003,$C161)=0,"NO EXISTE",IF(COUNTIFS(ENVIOS!$A$4:$A$3003,$C161)&gt;1,"DUPLICADA","OK")))</f>
        <v/>
      </c>
      <c r="E161" s="22">
        <f>IF($C161="","",IFERROR(INDEX(ENVIOS!$C$4:$C$3003,MATCH($C161,ENVIOS!$A$4:$A$3003,0)),"—"))</f>
        <v/>
      </c>
      <c r="F161" s="22">
        <f>IF($C161="","",IFERROR(INDEX(ENVIOS!$D$4:$D$3003,MATCH($C161,ENVIOS!$A$4:$A$3003,0)),"—"))</f>
        <v/>
      </c>
      <c r="G161" s="22">
        <f>IF($C161="","",IFERROR(INDEX(ENVIOS!$E$4:$E$3003,MATCH($C161,ENVIOS!$A$4:$A$3003,0)),"—"))</f>
        <v/>
      </c>
      <c r="H161" s="22">
        <f>IF($C161="","",IFERROR(INDEX(ENVIOS!$F$4:$F$3003,MATCH($C161,ENVIOS!$A$4:$A$3003,0)),"—"))</f>
        <v/>
      </c>
      <c r="I161" s="27">
        <f>IF($C161="","",IFERROR(INDEX(ENVIOS!$G$4:$G$3003,MATCH($C161,ENVIOS!$A$4:$A$3003,0)),"—"))</f>
        <v/>
      </c>
      <c r="J161" s="48">
        <f>IF($C161="","",IFERROR(INDEX(ENVIOS!$B$4:$B$3003,MATCH($C161,ENVIOS!$A$4:$A$3003,0)),""))</f>
        <v/>
      </c>
      <c r="K161" s="49" t="n"/>
      <c r="L161" s="27">
        <f>IF($K161="","",IFERROR(INDEX(CONFIG!$B$4:$B$43,MATCH($K161,CONFIG!$A$4:$A$43,0)),"Media"))</f>
        <v/>
      </c>
      <c r="M161" s="27">
        <f>IF($K161="","",IFERROR(INDEX(CONFIG!$D$4:$D$43,MATCH($K161,CONFIG!$A$4:$A$43,0)),"NO"))</f>
        <v/>
      </c>
      <c r="N161" s="49" t="n"/>
      <c r="O161" s="27">
        <f>IF($N161="","",IFERROR(INDEX(CONFIG!$G$4:$G$43,MATCH($N161,CONFIG!$F$4:$F$43,0)),"Por definir"))</f>
        <v/>
      </c>
      <c r="P161" s="27">
        <f>IF($N161="","",IFERROR(INDEX(CONFIG!$H$4:$H$43,MATCH($N161,CONFIG!$F$4:$F$43,0)),"Por definir"))</f>
        <v/>
      </c>
      <c r="Q161" s="50" t="n"/>
      <c r="R161" s="51" t="n"/>
      <c r="S161" s="49" t="n"/>
      <c r="T161" s="49" t="n"/>
      <c r="U161" s="48">
        <f>IF(OR($B161="",$K161=""),"",WORKDAY($B161,IFERROR(INDEX(CONFIG!$C$4:$C$43,MATCH($K161,CONFIG!$A$4:$A$43,0)),3)))</f>
        <v/>
      </c>
      <c r="V161" s="46" t="n"/>
      <c r="W161" s="23">
        <f>IF($B161="","",IF($V161&lt;&gt;"",$V161-$B161,TODAY()-$B161))</f>
        <v/>
      </c>
      <c r="X161" s="27">
        <f>IF($C161="","",IF(IFERROR(INDEX(CONFIG!$K$4:$K$43,MATCH($S161,CONFIG!$J$4:$J$43,0)),"NO")="SÍ",IF(OR($V161="",$U161=""),"Resuelta",IF($V161&gt;$U161,"Resuelta tarde","Resuelta a tiempo")),IF($U161="","Sin clasificar",IF(TODAY()&gt;$U161,"Vencida",IF(TODAY()&gt;=$U161-1,"Por vencer","En plazo")))))</f>
        <v/>
      </c>
      <c r="Y161" s="49" t="n"/>
      <c r="Z161" s="49" t="n"/>
    </row>
    <row r="162" ht="16" customHeight="1">
      <c r="A162" s="27">
        <f>IF($C162="","","N-"&amp;TEXT(ROW()-3,"0000"))</f>
        <v/>
      </c>
      <c r="B162" s="46" t="n"/>
      <c r="C162" s="47" t="n"/>
      <c r="D162" s="27">
        <f>IF($C162="","",IF(COUNTIFS(ENVIOS!$A$4:$A$3003,$C162)=0,"NO EXISTE",IF(COUNTIFS(ENVIOS!$A$4:$A$3003,$C162)&gt;1,"DUPLICADA","OK")))</f>
        <v/>
      </c>
      <c r="E162" s="22">
        <f>IF($C162="","",IFERROR(INDEX(ENVIOS!$C$4:$C$3003,MATCH($C162,ENVIOS!$A$4:$A$3003,0)),"—"))</f>
        <v/>
      </c>
      <c r="F162" s="22">
        <f>IF($C162="","",IFERROR(INDEX(ENVIOS!$D$4:$D$3003,MATCH($C162,ENVIOS!$A$4:$A$3003,0)),"—"))</f>
        <v/>
      </c>
      <c r="G162" s="22">
        <f>IF($C162="","",IFERROR(INDEX(ENVIOS!$E$4:$E$3003,MATCH($C162,ENVIOS!$A$4:$A$3003,0)),"—"))</f>
        <v/>
      </c>
      <c r="H162" s="22">
        <f>IF($C162="","",IFERROR(INDEX(ENVIOS!$F$4:$F$3003,MATCH($C162,ENVIOS!$A$4:$A$3003,0)),"—"))</f>
        <v/>
      </c>
      <c r="I162" s="27">
        <f>IF($C162="","",IFERROR(INDEX(ENVIOS!$G$4:$G$3003,MATCH($C162,ENVIOS!$A$4:$A$3003,0)),"—"))</f>
        <v/>
      </c>
      <c r="J162" s="48">
        <f>IF($C162="","",IFERROR(INDEX(ENVIOS!$B$4:$B$3003,MATCH($C162,ENVIOS!$A$4:$A$3003,0)),""))</f>
        <v/>
      </c>
      <c r="K162" s="49" t="n"/>
      <c r="L162" s="27">
        <f>IF($K162="","",IFERROR(INDEX(CONFIG!$B$4:$B$43,MATCH($K162,CONFIG!$A$4:$A$43,0)),"Media"))</f>
        <v/>
      </c>
      <c r="M162" s="27">
        <f>IF($K162="","",IFERROR(INDEX(CONFIG!$D$4:$D$43,MATCH($K162,CONFIG!$A$4:$A$43,0)),"NO"))</f>
        <v/>
      </c>
      <c r="N162" s="49" t="n"/>
      <c r="O162" s="27">
        <f>IF($N162="","",IFERROR(INDEX(CONFIG!$G$4:$G$43,MATCH($N162,CONFIG!$F$4:$F$43,0)),"Por definir"))</f>
        <v/>
      </c>
      <c r="P162" s="27">
        <f>IF($N162="","",IFERROR(INDEX(CONFIG!$H$4:$H$43,MATCH($N162,CONFIG!$F$4:$F$43,0)),"Por definir"))</f>
        <v/>
      </c>
      <c r="Q162" s="50" t="n"/>
      <c r="R162" s="51" t="n"/>
      <c r="S162" s="49" t="n"/>
      <c r="T162" s="49" t="n"/>
      <c r="U162" s="48">
        <f>IF(OR($B162="",$K162=""),"",WORKDAY($B162,IFERROR(INDEX(CONFIG!$C$4:$C$43,MATCH($K162,CONFIG!$A$4:$A$43,0)),3)))</f>
        <v/>
      </c>
      <c r="V162" s="46" t="n"/>
      <c r="W162" s="23">
        <f>IF($B162="","",IF($V162&lt;&gt;"",$V162-$B162,TODAY()-$B162))</f>
        <v/>
      </c>
      <c r="X162" s="27">
        <f>IF($C162="","",IF(IFERROR(INDEX(CONFIG!$K$4:$K$43,MATCH($S162,CONFIG!$J$4:$J$43,0)),"NO")="SÍ",IF(OR($V162="",$U162=""),"Resuelta",IF($V162&gt;$U162,"Resuelta tarde","Resuelta a tiempo")),IF($U162="","Sin clasificar",IF(TODAY()&gt;$U162,"Vencida",IF(TODAY()&gt;=$U162-1,"Por vencer","En plazo")))))</f>
        <v/>
      </c>
      <c r="Y162" s="49" t="n"/>
      <c r="Z162" s="49" t="n"/>
    </row>
    <row r="163" ht="16" customHeight="1">
      <c r="A163" s="27">
        <f>IF($C163="","","N-"&amp;TEXT(ROW()-3,"0000"))</f>
        <v/>
      </c>
      <c r="B163" s="46" t="n"/>
      <c r="C163" s="47" t="n"/>
      <c r="D163" s="27">
        <f>IF($C163="","",IF(COUNTIFS(ENVIOS!$A$4:$A$3003,$C163)=0,"NO EXISTE",IF(COUNTIFS(ENVIOS!$A$4:$A$3003,$C163)&gt;1,"DUPLICADA","OK")))</f>
        <v/>
      </c>
      <c r="E163" s="22">
        <f>IF($C163="","",IFERROR(INDEX(ENVIOS!$C$4:$C$3003,MATCH($C163,ENVIOS!$A$4:$A$3003,0)),"—"))</f>
        <v/>
      </c>
      <c r="F163" s="22">
        <f>IF($C163="","",IFERROR(INDEX(ENVIOS!$D$4:$D$3003,MATCH($C163,ENVIOS!$A$4:$A$3003,0)),"—"))</f>
        <v/>
      </c>
      <c r="G163" s="22">
        <f>IF($C163="","",IFERROR(INDEX(ENVIOS!$E$4:$E$3003,MATCH($C163,ENVIOS!$A$4:$A$3003,0)),"—"))</f>
        <v/>
      </c>
      <c r="H163" s="22">
        <f>IF($C163="","",IFERROR(INDEX(ENVIOS!$F$4:$F$3003,MATCH($C163,ENVIOS!$A$4:$A$3003,0)),"—"))</f>
        <v/>
      </c>
      <c r="I163" s="27">
        <f>IF($C163="","",IFERROR(INDEX(ENVIOS!$G$4:$G$3003,MATCH($C163,ENVIOS!$A$4:$A$3003,0)),"—"))</f>
        <v/>
      </c>
      <c r="J163" s="48">
        <f>IF($C163="","",IFERROR(INDEX(ENVIOS!$B$4:$B$3003,MATCH($C163,ENVIOS!$A$4:$A$3003,0)),""))</f>
        <v/>
      </c>
      <c r="K163" s="49" t="n"/>
      <c r="L163" s="27">
        <f>IF($K163="","",IFERROR(INDEX(CONFIG!$B$4:$B$43,MATCH($K163,CONFIG!$A$4:$A$43,0)),"Media"))</f>
        <v/>
      </c>
      <c r="M163" s="27">
        <f>IF($K163="","",IFERROR(INDEX(CONFIG!$D$4:$D$43,MATCH($K163,CONFIG!$A$4:$A$43,0)),"NO"))</f>
        <v/>
      </c>
      <c r="N163" s="49" t="n"/>
      <c r="O163" s="27">
        <f>IF($N163="","",IFERROR(INDEX(CONFIG!$G$4:$G$43,MATCH($N163,CONFIG!$F$4:$F$43,0)),"Por definir"))</f>
        <v/>
      </c>
      <c r="P163" s="27">
        <f>IF($N163="","",IFERROR(INDEX(CONFIG!$H$4:$H$43,MATCH($N163,CONFIG!$F$4:$F$43,0)),"Por definir"))</f>
        <v/>
      </c>
      <c r="Q163" s="50" t="n"/>
      <c r="R163" s="51" t="n"/>
      <c r="S163" s="49" t="n"/>
      <c r="T163" s="49" t="n"/>
      <c r="U163" s="48">
        <f>IF(OR($B163="",$K163=""),"",WORKDAY($B163,IFERROR(INDEX(CONFIG!$C$4:$C$43,MATCH($K163,CONFIG!$A$4:$A$43,0)),3)))</f>
        <v/>
      </c>
      <c r="V163" s="46" t="n"/>
      <c r="W163" s="23">
        <f>IF($B163="","",IF($V163&lt;&gt;"",$V163-$B163,TODAY()-$B163))</f>
        <v/>
      </c>
      <c r="X163" s="27">
        <f>IF($C163="","",IF(IFERROR(INDEX(CONFIG!$K$4:$K$43,MATCH($S163,CONFIG!$J$4:$J$43,0)),"NO")="SÍ",IF(OR($V163="",$U163=""),"Resuelta",IF($V163&gt;$U163,"Resuelta tarde","Resuelta a tiempo")),IF($U163="","Sin clasificar",IF(TODAY()&gt;$U163,"Vencida",IF(TODAY()&gt;=$U163-1,"Por vencer","En plazo")))))</f>
        <v/>
      </c>
      <c r="Y163" s="49" t="n"/>
      <c r="Z163" s="49" t="n"/>
    </row>
    <row r="164" ht="16" customHeight="1">
      <c r="A164" s="27">
        <f>IF($C164="","","N-"&amp;TEXT(ROW()-3,"0000"))</f>
        <v/>
      </c>
      <c r="B164" s="46" t="n"/>
      <c r="C164" s="47" t="n"/>
      <c r="D164" s="27">
        <f>IF($C164="","",IF(COUNTIFS(ENVIOS!$A$4:$A$3003,$C164)=0,"NO EXISTE",IF(COUNTIFS(ENVIOS!$A$4:$A$3003,$C164)&gt;1,"DUPLICADA","OK")))</f>
        <v/>
      </c>
      <c r="E164" s="22">
        <f>IF($C164="","",IFERROR(INDEX(ENVIOS!$C$4:$C$3003,MATCH($C164,ENVIOS!$A$4:$A$3003,0)),"—"))</f>
        <v/>
      </c>
      <c r="F164" s="22">
        <f>IF($C164="","",IFERROR(INDEX(ENVIOS!$D$4:$D$3003,MATCH($C164,ENVIOS!$A$4:$A$3003,0)),"—"))</f>
        <v/>
      </c>
      <c r="G164" s="22">
        <f>IF($C164="","",IFERROR(INDEX(ENVIOS!$E$4:$E$3003,MATCH($C164,ENVIOS!$A$4:$A$3003,0)),"—"))</f>
        <v/>
      </c>
      <c r="H164" s="22">
        <f>IF($C164="","",IFERROR(INDEX(ENVIOS!$F$4:$F$3003,MATCH($C164,ENVIOS!$A$4:$A$3003,0)),"—"))</f>
        <v/>
      </c>
      <c r="I164" s="27">
        <f>IF($C164="","",IFERROR(INDEX(ENVIOS!$G$4:$G$3003,MATCH($C164,ENVIOS!$A$4:$A$3003,0)),"—"))</f>
        <v/>
      </c>
      <c r="J164" s="48">
        <f>IF($C164="","",IFERROR(INDEX(ENVIOS!$B$4:$B$3003,MATCH($C164,ENVIOS!$A$4:$A$3003,0)),""))</f>
        <v/>
      </c>
      <c r="K164" s="49" t="n"/>
      <c r="L164" s="27">
        <f>IF($K164="","",IFERROR(INDEX(CONFIG!$B$4:$B$43,MATCH($K164,CONFIG!$A$4:$A$43,0)),"Media"))</f>
        <v/>
      </c>
      <c r="M164" s="27">
        <f>IF($K164="","",IFERROR(INDEX(CONFIG!$D$4:$D$43,MATCH($K164,CONFIG!$A$4:$A$43,0)),"NO"))</f>
        <v/>
      </c>
      <c r="N164" s="49" t="n"/>
      <c r="O164" s="27">
        <f>IF($N164="","",IFERROR(INDEX(CONFIG!$G$4:$G$43,MATCH($N164,CONFIG!$F$4:$F$43,0)),"Por definir"))</f>
        <v/>
      </c>
      <c r="P164" s="27">
        <f>IF($N164="","",IFERROR(INDEX(CONFIG!$H$4:$H$43,MATCH($N164,CONFIG!$F$4:$F$43,0)),"Por definir"))</f>
        <v/>
      </c>
      <c r="Q164" s="50" t="n"/>
      <c r="R164" s="51" t="n"/>
      <c r="S164" s="49" t="n"/>
      <c r="T164" s="49" t="n"/>
      <c r="U164" s="48">
        <f>IF(OR($B164="",$K164=""),"",WORKDAY($B164,IFERROR(INDEX(CONFIG!$C$4:$C$43,MATCH($K164,CONFIG!$A$4:$A$43,0)),3)))</f>
        <v/>
      </c>
      <c r="V164" s="46" t="n"/>
      <c r="W164" s="23">
        <f>IF($B164="","",IF($V164&lt;&gt;"",$V164-$B164,TODAY()-$B164))</f>
        <v/>
      </c>
      <c r="X164" s="27">
        <f>IF($C164="","",IF(IFERROR(INDEX(CONFIG!$K$4:$K$43,MATCH($S164,CONFIG!$J$4:$J$43,0)),"NO")="SÍ",IF(OR($V164="",$U164=""),"Resuelta",IF($V164&gt;$U164,"Resuelta tarde","Resuelta a tiempo")),IF($U164="","Sin clasificar",IF(TODAY()&gt;$U164,"Vencida",IF(TODAY()&gt;=$U164-1,"Por vencer","En plazo")))))</f>
        <v/>
      </c>
      <c r="Y164" s="49" t="n"/>
      <c r="Z164" s="49" t="n"/>
    </row>
    <row r="165" ht="16" customHeight="1">
      <c r="A165" s="27">
        <f>IF($C165="","","N-"&amp;TEXT(ROW()-3,"0000"))</f>
        <v/>
      </c>
      <c r="B165" s="46" t="n"/>
      <c r="C165" s="47" t="n"/>
      <c r="D165" s="27">
        <f>IF($C165="","",IF(COUNTIFS(ENVIOS!$A$4:$A$3003,$C165)=0,"NO EXISTE",IF(COUNTIFS(ENVIOS!$A$4:$A$3003,$C165)&gt;1,"DUPLICADA","OK")))</f>
        <v/>
      </c>
      <c r="E165" s="22">
        <f>IF($C165="","",IFERROR(INDEX(ENVIOS!$C$4:$C$3003,MATCH($C165,ENVIOS!$A$4:$A$3003,0)),"—"))</f>
        <v/>
      </c>
      <c r="F165" s="22">
        <f>IF($C165="","",IFERROR(INDEX(ENVIOS!$D$4:$D$3003,MATCH($C165,ENVIOS!$A$4:$A$3003,0)),"—"))</f>
        <v/>
      </c>
      <c r="G165" s="22">
        <f>IF($C165="","",IFERROR(INDEX(ENVIOS!$E$4:$E$3003,MATCH($C165,ENVIOS!$A$4:$A$3003,0)),"—"))</f>
        <v/>
      </c>
      <c r="H165" s="22">
        <f>IF($C165="","",IFERROR(INDEX(ENVIOS!$F$4:$F$3003,MATCH($C165,ENVIOS!$A$4:$A$3003,0)),"—"))</f>
        <v/>
      </c>
      <c r="I165" s="27">
        <f>IF($C165="","",IFERROR(INDEX(ENVIOS!$G$4:$G$3003,MATCH($C165,ENVIOS!$A$4:$A$3003,0)),"—"))</f>
        <v/>
      </c>
      <c r="J165" s="48">
        <f>IF($C165="","",IFERROR(INDEX(ENVIOS!$B$4:$B$3003,MATCH($C165,ENVIOS!$A$4:$A$3003,0)),""))</f>
        <v/>
      </c>
      <c r="K165" s="49" t="n"/>
      <c r="L165" s="27">
        <f>IF($K165="","",IFERROR(INDEX(CONFIG!$B$4:$B$43,MATCH($K165,CONFIG!$A$4:$A$43,0)),"Media"))</f>
        <v/>
      </c>
      <c r="M165" s="27">
        <f>IF($K165="","",IFERROR(INDEX(CONFIG!$D$4:$D$43,MATCH($K165,CONFIG!$A$4:$A$43,0)),"NO"))</f>
        <v/>
      </c>
      <c r="N165" s="49" t="n"/>
      <c r="O165" s="27">
        <f>IF($N165="","",IFERROR(INDEX(CONFIG!$G$4:$G$43,MATCH($N165,CONFIG!$F$4:$F$43,0)),"Por definir"))</f>
        <v/>
      </c>
      <c r="P165" s="27">
        <f>IF($N165="","",IFERROR(INDEX(CONFIG!$H$4:$H$43,MATCH($N165,CONFIG!$F$4:$F$43,0)),"Por definir"))</f>
        <v/>
      </c>
      <c r="Q165" s="50" t="n"/>
      <c r="R165" s="51" t="n"/>
      <c r="S165" s="49" t="n"/>
      <c r="T165" s="49" t="n"/>
      <c r="U165" s="48">
        <f>IF(OR($B165="",$K165=""),"",WORKDAY($B165,IFERROR(INDEX(CONFIG!$C$4:$C$43,MATCH($K165,CONFIG!$A$4:$A$43,0)),3)))</f>
        <v/>
      </c>
      <c r="V165" s="46" t="n"/>
      <c r="W165" s="23">
        <f>IF($B165="","",IF($V165&lt;&gt;"",$V165-$B165,TODAY()-$B165))</f>
        <v/>
      </c>
      <c r="X165" s="27">
        <f>IF($C165="","",IF(IFERROR(INDEX(CONFIG!$K$4:$K$43,MATCH($S165,CONFIG!$J$4:$J$43,0)),"NO")="SÍ",IF(OR($V165="",$U165=""),"Resuelta",IF($V165&gt;$U165,"Resuelta tarde","Resuelta a tiempo")),IF($U165="","Sin clasificar",IF(TODAY()&gt;$U165,"Vencida",IF(TODAY()&gt;=$U165-1,"Por vencer","En plazo")))))</f>
        <v/>
      </c>
      <c r="Y165" s="49" t="n"/>
      <c r="Z165" s="49" t="n"/>
    </row>
    <row r="166" ht="16" customHeight="1">
      <c r="A166" s="27">
        <f>IF($C166="","","N-"&amp;TEXT(ROW()-3,"0000"))</f>
        <v/>
      </c>
      <c r="B166" s="46" t="n"/>
      <c r="C166" s="47" t="n"/>
      <c r="D166" s="27">
        <f>IF($C166="","",IF(COUNTIFS(ENVIOS!$A$4:$A$3003,$C166)=0,"NO EXISTE",IF(COUNTIFS(ENVIOS!$A$4:$A$3003,$C166)&gt;1,"DUPLICADA","OK")))</f>
        <v/>
      </c>
      <c r="E166" s="22">
        <f>IF($C166="","",IFERROR(INDEX(ENVIOS!$C$4:$C$3003,MATCH($C166,ENVIOS!$A$4:$A$3003,0)),"—"))</f>
        <v/>
      </c>
      <c r="F166" s="22">
        <f>IF($C166="","",IFERROR(INDEX(ENVIOS!$D$4:$D$3003,MATCH($C166,ENVIOS!$A$4:$A$3003,0)),"—"))</f>
        <v/>
      </c>
      <c r="G166" s="22">
        <f>IF($C166="","",IFERROR(INDEX(ENVIOS!$E$4:$E$3003,MATCH($C166,ENVIOS!$A$4:$A$3003,0)),"—"))</f>
        <v/>
      </c>
      <c r="H166" s="22">
        <f>IF($C166="","",IFERROR(INDEX(ENVIOS!$F$4:$F$3003,MATCH($C166,ENVIOS!$A$4:$A$3003,0)),"—"))</f>
        <v/>
      </c>
      <c r="I166" s="27">
        <f>IF($C166="","",IFERROR(INDEX(ENVIOS!$G$4:$G$3003,MATCH($C166,ENVIOS!$A$4:$A$3003,0)),"—"))</f>
        <v/>
      </c>
      <c r="J166" s="48">
        <f>IF($C166="","",IFERROR(INDEX(ENVIOS!$B$4:$B$3003,MATCH($C166,ENVIOS!$A$4:$A$3003,0)),""))</f>
        <v/>
      </c>
      <c r="K166" s="49" t="n"/>
      <c r="L166" s="27">
        <f>IF($K166="","",IFERROR(INDEX(CONFIG!$B$4:$B$43,MATCH($K166,CONFIG!$A$4:$A$43,0)),"Media"))</f>
        <v/>
      </c>
      <c r="M166" s="27">
        <f>IF($K166="","",IFERROR(INDEX(CONFIG!$D$4:$D$43,MATCH($K166,CONFIG!$A$4:$A$43,0)),"NO"))</f>
        <v/>
      </c>
      <c r="N166" s="49" t="n"/>
      <c r="O166" s="27">
        <f>IF($N166="","",IFERROR(INDEX(CONFIG!$G$4:$G$43,MATCH($N166,CONFIG!$F$4:$F$43,0)),"Por definir"))</f>
        <v/>
      </c>
      <c r="P166" s="27">
        <f>IF($N166="","",IFERROR(INDEX(CONFIG!$H$4:$H$43,MATCH($N166,CONFIG!$F$4:$F$43,0)),"Por definir"))</f>
        <v/>
      </c>
      <c r="Q166" s="50" t="n"/>
      <c r="R166" s="51" t="n"/>
      <c r="S166" s="49" t="n"/>
      <c r="T166" s="49" t="n"/>
      <c r="U166" s="48">
        <f>IF(OR($B166="",$K166=""),"",WORKDAY($B166,IFERROR(INDEX(CONFIG!$C$4:$C$43,MATCH($K166,CONFIG!$A$4:$A$43,0)),3)))</f>
        <v/>
      </c>
      <c r="V166" s="46" t="n"/>
      <c r="W166" s="23">
        <f>IF($B166="","",IF($V166&lt;&gt;"",$V166-$B166,TODAY()-$B166))</f>
        <v/>
      </c>
      <c r="X166" s="27">
        <f>IF($C166="","",IF(IFERROR(INDEX(CONFIG!$K$4:$K$43,MATCH($S166,CONFIG!$J$4:$J$43,0)),"NO")="SÍ",IF(OR($V166="",$U166=""),"Resuelta",IF($V166&gt;$U166,"Resuelta tarde","Resuelta a tiempo")),IF($U166="","Sin clasificar",IF(TODAY()&gt;$U166,"Vencida",IF(TODAY()&gt;=$U166-1,"Por vencer","En plazo")))))</f>
        <v/>
      </c>
      <c r="Y166" s="49" t="n"/>
      <c r="Z166" s="49" t="n"/>
    </row>
    <row r="167" ht="16" customHeight="1">
      <c r="A167" s="27">
        <f>IF($C167="","","N-"&amp;TEXT(ROW()-3,"0000"))</f>
        <v/>
      </c>
      <c r="B167" s="46" t="n"/>
      <c r="C167" s="47" t="n"/>
      <c r="D167" s="27">
        <f>IF($C167="","",IF(COUNTIFS(ENVIOS!$A$4:$A$3003,$C167)=0,"NO EXISTE",IF(COUNTIFS(ENVIOS!$A$4:$A$3003,$C167)&gt;1,"DUPLICADA","OK")))</f>
        <v/>
      </c>
      <c r="E167" s="22">
        <f>IF($C167="","",IFERROR(INDEX(ENVIOS!$C$4:$C$3003,MATCH($C167,ENVIOS!$A$4:$A$3003,0)),"—"))</f>
        <v/>
      </c>
      <c r="F167" s="22">
        <f>IF($C167="","",IFERROR(INDEX(ENVIOS!$D$4:$D$3003,MATCH($C167,ENVIOS!$A$4:$A$3003,0)),"—"))</f>
        <v/>
      </c>
      <c r="G167" s="22">
        <f>IF($C167="","",IFERROR(INDEX(ENVIOS!$E$4:$E$3003,MATCH($C167,ENVIOS!$A$4:$A$3003,0)),"—"))</f>
        <v/>
      </c>
      <c r="H167" s="22">
        <f>IF($C167="","",IFERROR(INDEX(ENVIOS!$F$4:$F$3003,MATCH($C167,ENVIOS!$A$4:$A$3003,0)),"—"))</f>
        <v/>
      </c>
      <c r="I167" s="27">
        <f>IF($C167="","",IFERROR(INDEX(ENVIOS!$G$4:$G$3003,MATCH($C167,ENVIOS!$A$4:$A$3003,0)),"—"))</f>
        <v/>
      </c>
      <c r="J167" s="48">
        <f>IF($C167="","",IFERROR(INDEX(ENVIOS!$B$4:$B$3003,MATCH($C167,ENVIOS!$A$4:$A$3003,0)),""))</f>
        <v/>
      </c>
      <c r="K167" s="49" t="n"/>
      <c r="L167" s="27">
        <f>IF($K167="","",IFERROR(INDEX(CONFIG!$B$4:$B$43,MATCH($K167,CONFIG!$A$4:$A$43,0)),"Media"))</f>
        <v/>
      </c>
      <c r="M167" s="27">
        <f>IF($K167="","",IFERROR(INDEX(CONFIG!$D$4:$D$43,MATCH($K167,CONFIG!$A$4:$A$43,0)),"NO"))</f>
        <v/>
      </c>
      <c r="N167" s="49" t="n"/>
      <c r="O167" s="27">
        <f>IF($N167="","",IFERROR(INDEX(CONFIG!$G$4:$G$43,MATCH($N167,CONFIG!$F$4:$F$43,0)),"Por definir"))</f>
        <v/>
      </c>
      <c r="P167" s="27">
        <f>IF($N167="","",IFERROR(INDEX(CONFIG!$H$4:$H$43,MATCH($N167,CONFIG!$F$4:$F$43,0)),"Por definir"))</f>
        <v/>
      </c>
      <c r="Q167" s="50" t="n"/>
      <c r="R167" s="51" t="n"/>
      <c r="S167" s="49" t="n"/>
      <c r="T167" s="49" t="n"/>
      <c r="U167" s="48">
        <f>IF(OR($B167="",$K167=""),"",WORKDAY($B167,IFERROR(INDEX(CONFIG!$C$4:$C$43,MATCH($K167,CONFIG!$A$4:$A$43,0)),3)))</f>
        <v/>
      </c>
      <c r="V167" s="46" t="n"/>
      <c r="W167" s="23">
        <f>IF($B167="","",IF($V167&lt;&gt;"",$V167-$B167,TODAY()-$B167))</f>
        <v/>
      </c>
      <c r="X167" s="27">
        <f>IF($C167="","",IF(IFERROR(INDEX(CONFIG!$K$4:$K$43,MATCH($S167,CONFIG!$J$4:$J$43,0)),"NO")="SÍ",IF(OR($V167="",$U167=""),"Resuelta",IF($V167&gt;$U167,"Resuelta tarde","Resuelta a tiempo")),IF($U167="","Sin clasificar",IF(TODAY()&gt;$U167,"Vencida",IF(TODAY()&gt;=$U167-1,"Por vencer","En plazo")))))</f>
        <v/>
      </c>
      <c r="Y167" s="49" t="n"/>
      <c r="Z167" s="49" t="n"/>
    </row>
    <row r="168" ht="16" customHeight="1">
      <c r="A168" s="27">
        <f>IF($C168="","","N-"&amp;TEXT(ROW()-3,"0000"))</f>
        <v/>
      </c>
      <c r="B168" s="46" t="n"/>
      <c r="C168" s="47" t="n"/>
      <c r="D168" s="27">
        <f>IF($C168="","",IF(COUNTIFS(ENVIOS!$A$4:$A$3003,$C168)=0,"NO EXISTE",IF(COUNTIFS(ENVIOS!$A$4:$A$3003,$C168)&gt;1,"DUPLICADA","OK")))</f>
        <v/>
      </c>
      <c r="E168" s="22">
        <f>IF($C168="","",IFERROR(INDEX(ENVIOS!$C$4:$C$3003,MATCH($C168,ENVIOS!$A$4:$A$3003,0)),"—"))</f>
        <v/>
      </c>
      <c r="F168" s="22">
        <f>IF($C168="","",IFERROR(INDEX(ENVIOS!$D$4:$D$3003,MATCH($C168,ENVIOS!$A$4:$A$3003,0)),"—"))</f>
        <v/>
      </c>
      <c r="G168" s="22">
        <f>IF($C168="","",IFERROR(INDEX(ENVIOS!$E$4:$E$3003,MATCH($C168,ENVIOS!$A$4:$A$3003,0)),"—"))</f>
        <v/>
      </c>
      <c r="H168" s="22">
        <f>IF($C168="","",IFERROR(INDEX(ENVIOS!$F$4:$F$3003,MATCH($C168,ENVIOS!$A$4:$A$3003,0)),"—"))</f>
        <v/>
      </c>
      <c r="I168" s="27">
        <f>IF($C168="","",IFERROR(INDEX(ENVIOS!$G$4:$G$3003,MATCH($C168,ENVIOS!$A$4:$A$3003,0)),"—"))</f>
        <v/>
      </c>
      <c r="J168" s="48">
        <f>IF($C168="","",IFERROR(INDEX(ENVIOS!$B$4:$B$3003,MATCH($C168,ENVIOS!$A$4:$A$3003,0)),""))</f>
        <v/>
      </c>
      <c r="K168" s="49" t="n"/>
      <c r="L168" s="27">
        <f>IF($K168="","",IFERROR(INDEX(CONFIG!$B$4:$B$43,MATCH($K168,CONFIG!$A$4:$A$43,0)),"Media"))</f>
        <v/>
      </c>
      <c r="M168" s="27">
        <f>IF($K168="","",IFERROR(INDEX(CONFIG!$D$4:$D$43,MATCH($K168,CONFIG!$A$4:$A$43,0)),"NO"))</f>
        <v/>
      </c>
      <c r="N168" s="49" t="n"/>
      <c r="O168" s="27">
        <f>IF($N168="","",IFERROR(INDEX(CONFIG!$G$4:$G$43,MATCH($N168,CONFIG!$F$4:$F$43,0)),"Por definir"))</f>
        <v/>
      </c>
      <c r="P168" s="27">
        <f>IF($N168="","",IFERROR(INDEX(CONFIG!$H$4:$H$43,MATCH($N168,CONFIG!$F$4:$F$43,0)),"Por definir"))</f>
        <v/>
      </c>
      <c r="Q168" s="50" t="n"/>
      <c r="R168" s="51" t="n"/>
      <c r="S168" s="49" t="n"/>
      <c r="T168" s="49" t="n"/>
      <c r="U168" s="48">
        <f>IF(OR($B168="",$K168=""),"",WORKDAY($B168,IFERROR(INDEX(CONFIG!$C$4:$C$43,MATCH($K168,CONFIG!$A$4:$A$43,0)),3)))</f>
        <v/>
      </c>
      <c r="V168" s="46" t="n"/>
      <c r="W168" s="23">
        <f>IF($B168="","",IF($V168&lt;&gt;"",$V168-$B168,TODAY()-$B168))</f>
        <v/>
      </c>
      <c r="X168" s="27">
        <f>IF($C168="","",IF(IFERROR(INDEX(CONFIG!$K$4:$K$43,MATCH($S168,CONFIG!$J$4:$J$43,0)),"NO")="SÍ",IF(OR($V168="",$U168=""),"Resuelta",IF($V168&gt;$U168,"Resuelta tarde","Resuelta a tiempo")),IF($U168="","Sin clasificar",IF(TODAY()&gt;$U168,"Vencida",IF(TODAY()&gt;=$U168-1,"Por vencer","En plazo")))))</f>
        <v/>
      </c>
      <c r="Y168" s="49" t="n"/>
      <c r="Z168" s="49" t="n"/>
    </row>
    <row r="169" ht="16" customHeight="1">
      <c r="A169" s="27">
        <f>IF($C169="","","N-"&amp;TEXT(ROW()-3,"0000"))</f>
        <v/>
      </c>
      <c r="B169" s="46" t="n"/>
      <c r="C169" s="47" t="n"/>
      <c r="D169" s="27">
        <f>IF($C169="","",IF(COUNTIFS(ENVIOS!$A$4:$A$3003,$C169)=0,"NO EXISTE",IF(COUNTIFS(ENVIOS!$A$4:$A$3003,$C169)&gt;1,"DUPLICADA","OK")))</f>
        <v/>
      </c>
      <c r="E169" s="22">
        <f>IF($C169="","",IFERROR(INDEX(ENVIOS!$C$4:$C$3003,MATCH($C169,ENVIOS!$A$4:$A$3003,0)),"—"))</f>
        <v/>
      </c>
      <c r="F169" s="22">
        <f>IF($C169="","",IFERROR(INDEX(ENVIOS!$D$4:$D$3003,MATCH($C169,ENVIOS!$A$4:$A$3003,0)),"—"))</f>
        <v/>
      </c>
      <c r="G169" s="22">
        <f>IF($C169="","",IFERROR(INDEX(ENVIOS!$E$4:$E$3003,MATCH($C169,ENVIOS!$A$4:$A$3003,0)),"—"))</f>
        <v/>
      </c>
      <c r="H169" s="22">
        <f>IF($C169="","",IFERROR(INDEX(ENVIOS!$F$4:$F$3003,MATCH($C169,ENVIOS!$A$4:$A$3003,0)),"—"))</f>
        <v/>
      </c>
      <c r="I169" s="27">
        <f>IF($C169="","",IFERROR(INDEX(ENVIOS!$G$4:$G$3003,MATCH($C169,ENVIOS!$A$4:$A$3003,0)),"—"))</f>
        <v/>
      </c>
      <c r="J169" s="48">
        <f>IF($C169="","",IFERROR(INDEX(ENVIOS!$B$4:$B$3003,MATCH($C169,ENVIOS!$A$4:$A$3003,0)),""))</f>
        <v/>
      </c>
      <c r="K169" s="49" t="n"/>
      <c r="L169" s="27">
        <f>IF($K169="","",IFERROR(INDEX(CONFIG!$B$4:$B$43,MATCH($K169,CONFIG!$A$4:$A$43,0)),"Media"))</f>
        <v/>
      </c>
      <c r="M169" s="27">
        <f>IF($K169="","",IFERROR(INDEX(CONFIG!$D$4:$D$43,MATCH($K169,CONFIG!$A$4:$A$43,0)),"NO"))</f>
        <v/>
      </c>
      <c r="N169" s="49" t="n"/>
      <c r="O169" s="27">
        <f>IF($N169="","",IFERROR(INDEX(CONFIG!$G$4:$G$43,MATCH($N169,CONFIG!$F$4:$F$43,0)),"Por definir"))</f>
        <v/>
      </c>
      <c r="P169" s="27">
        <f>IF($N169="","",IFERROR(INDEX(CONFIG!$H$4:$H$43,MATCH($N169,CONFIG!$F$4:$F$43,0)),"Por definir"))</f>
        <v/>
      </c>
      <c r="Q169" s="50" t="n"/>
      <c r="R169" s="51" t="n"/>
      <c r="S169" s="49" t="n"/>
      <c r="T169" s="49" t="n"/>
      <c r="U169" s="48">
        <f>IF(OR($B169="",$K169=""),"",WORKDAY($B169,IFERROR(INDEX(CONFIG!$C$4:$C$43,MATCH($K169,CONFIG!$A$4:$A$43,0)),3)))</f>
        <v/>
      </c>
      <c r="V169" s="46" t="n"/>
      <c r="W169" s="23">
        <f>IF($B169="","",IF($V169&lt;&gt;"",$V169-$B169,TODAY()-$B169))</f>
        <v/>
      </c>
      <c r="X169" s="27">
        <f>IF($C169="","",IF(IFERROR(INDEX(CONFIG!$K$4:$K$43,MATCH($S169,CONFIG!$J$4:$J$43,0)),"NO")="SÍ",IF(OR($V169="",$U169=""),"Resuelta",IF($V169&gt;$U169,"Resuelta tarde","Resuelta a tiempo")),IF($U169="","Sin clasificar",IF(TODAY()&gt;$U169,"Vencida",IF(TODAY()&gt;=$U169-1,"Por vencer","En plazo")))))</f>
        <v/>
      </c>
      <c r="Y169" s="49" t="n"/>
      <c r="Z169" s="49" t="n"/>
    </row>
    <row r="170" ht="16" customHeight="1">
      <c r="A170" s="27">
        <f>IF($C170="","","N-"&amp;TEXT(ROW()-3,"0000"))</f>
        <v/>
      </c>
      <c r="B170" s="46" t="n"/>
      <c r="C170" s="47" t="n"/>
      <c r="D170" s="27">
        <f>IF($C170="","",IF(COUNTIFS(ENVIOS!$A$4:$A$3003,$C170)=0,"NO EXISTE",IF(COUNTIFS(ENVIOS!$A$4:$A$3003,$C170)&gt;1,"DUPLICADA","OK")))</f>
        <v/>
      </c>
      <c r="E170" s="22">
        <f>IF($C170="","",IFERROR(INDEX(ENVIOS!$C$4:$C$3003,MATCH($C170,ENVIOS!$A$4:$A$3003,0)),"—"))</f>
        <v/>
      </c>
      <c r="F170" s="22">
        <f>IF($C170="","",IFERROR(INDEX(ENVIOS!$D$4:$D$3003,MATCH($C170,ENVIOS!$A$4:$A$3003,0)),"—"))</f>
        <v/>
      </c>
      <c r="G170" s="22">
        <f>IF($C170="","",IFERROR(INDEX(ENVIOS!$E$4:$E$3003,MATCH($C170,ENVIOS!$A$4:$A$3003,0)),"—"))</f>
        <v/>
      </c>
      <c r="H170" s="22">
        <f>IF($C170="","",IFERROR(INDEX(ENVIOS!$F$4:$F$3003,MATCH($C170,ENVIOS!$A$4:$A$3003,0)),"—"))</f>
        <v/>
      </c>
      <c r="I170" s="27">
        <f>IF($C170="","",IFERROR(INDEX(ENVIOS!$G$4:$G$3003,MATCH($C170,ENVIOS!$A$4:$A$3003,0)),"—"))</f>
        <v/>
      </c>
      <c r="J170" s="48">
        <f>IF($C170="","",IFERROR(INDEX(ENVIOS!$B$4:$B$3003,MATCH($C170,ENVIOS!$A$4:$A$3003,0)),""))</f>
        <v/>
      </c>
      <c r="K170" s="49" t="n"/>
      <c r="L170" s="27">
        <f>IF($K170="","",IFERROR(INDEX(CONFIG!$B$4:$B$43,MATCH($K170,CONFIG!$A$4:$A$43,0)),"Media"))</f>
        <v/>
      </c>
      <c r="M170" s="27">
        <f>IF($K170="","",IFERROR(INDEX(CONFIG!$D$4:$D$43,MATCH($K170,CONFIG!$A$4:$A$43,0)),"NO"))</f>
        <v/>
      </c>
      <c r="N170" s="49" t="n"/>
      <c r="O170" s="27">
        <f>IF($N170="","",IFERROR(INDEX(CONFIG!$G$4:$G$43,MATCH($N170,CONFIG!$F$4:$F$43,0)),"Por definir"))</f>
        <v/>
      </c>
      <c r="P170" s="27">
        <f>IF($N170="","",IFERROR(INDEX(CONFIG!$H$4:$H$43,MATCH($N170,CONFIG!$F$4:$F$43,0)),"Por definir"))</f>
        <v/>
      </c>
      <c r="Q170" s="50" t="n"/>
      <c r="R170" s="51" t="n"/>
      <c r="S170" s="49" t="n"/>
      <c r="T170" s="49" t="n"/>
      <c r="U170" s="48">
        <f>IF(OR($B170="",$K170=""),"",WORKDAY($B170,IFERROR(INDEX(CONFIG!$C$4:$C$43,MATCH($K170,CONFIG!$A$4:$A$43,0)),3)))</f>
        <v/>
      </c>
      <c r="V170" s="46" t="n"/>
      <c r="W170" s="23">
        <f>IF($B170="","",IF($V170&lt;&gt;"",$V170-$B170,TODAY()-$B170))</f>
        <v/>
      </c>
      <c r="X170" s="27">
        <f>IF($C170="","",IF(IFERROR(INDEX(CONFIG!$K$4:$K$43,MATCH($S170,CONFIG!$J$4:$J$43,0)),"NO")="SÍ",IF(OR($V170="",$U170=""),"Resuelta",IF($V170&gt;$U170,"Resuelta tarde","Resuelta a tiempo")),IF($U170="","Sin clasificar",IF(TODAY()&gt;$U170,"Vencida",IF(TODAY()&gt;=$U170-1,"Por vencer","En plazo")))))</f>
        <v/>
      </c>
      <c r="Y170" s="49" t="n"/>
      <c r="Z170" s="49" t="n"/>
    </row>
    <row r="171" ht="16" customHeight="1">
      <c r="A171" s="27">
        <f>IF($C171="","","N-"&amp;TEXT(ROW()-3,"0000"))</f>
        <v/>
      </c>
      <c r="B171" s="46" t="n"/>
      <c r="C171" s="47" t="n"/>
      <c r="D171" s="27">
        <f>IF($C171="","",IF(COUNTIFS(ENVIOS!$A$4:$A$3003,$C171)=0,"NO EXISTE",IF(COUNTIFS(ENVIOS!$A$4:$A$3003,$C171)&gt;1,"DUPLICADA","OK")))</f>
        <v/>
      </c>
      <c r="E171" s="22">
        <f>IF($C171="","",IFERROR(INDEX(ENVIOS!$C$4:$C$3003,MATCH($C171,ENVIOS!$A$4:$A$3003,0)),"—"))</f>
        <v/>
      </c>
      <c r="F171" s="22">
        <f>IF($C171="","",IFERROR(INDEX(ENVIOS!$D$4:$D$3003,MATCH($C171,ENVIOS!$A$4:$A$3003,0)),"—"))</f>
        <v/>
      </c>
      <c r="G171" s="22">
        <f>IF($C171="","",IFERROR(INDEX(ENVIOS!$E$4:$E$3003,MATCH($C171,ENVIOS!$A$4:$A$3003,0)),"—"))</f>
        <v/>
      </c>
      <c r="H171" s="22">
        <f>IF($C171="","",IFERROR(INDEX(ENVIOS!$F$4:$F$3003,MATCH($C171,ENVIOS!$A$4:$A$3003,0)),"—"))</f>
        <v/>
      </c>
      <c r="I171" s="27">
        <f>IF($C171="","",IFERROR(INDEX(ENVIOS!$G$4:$G$3003,MATCH($C171,ENVIOS!$A$4:$A$3003,0)),"—"))</f>
        <v/>
      </c>
      <c r="J171" s="48">
        <f>IF($C171="","",IFERROR(INDEX(ENVIOS!$B$4:$B$3003,MATCH($C171,ENVIOS!$A$4:$A$3003,0)),""))</f>
        <v/>
      </c>
      <c r="K171" s="49" t="n"/>
      <c r="L171" s="27">
        <f>IF($K171="","",IFERROR(INDEX(CONFIG!$B$4:$B$43,MATCH($K171,CONFIG!$A$4:$A$43,0)),"Media"))</f>
        <v/>
      </c>
      <c r="M171" s="27">
        <f>IF($K171="","",IFERROR(INDEX(CONFIG!$D$4:$D$43,MATCH($K171,CONFIG!$A$4:$A$43,0)),"NO"))</f>
        <v/>
      </c>
      <c r="N171" s="49" t="n"/>
      <c r="O171" s="27">
        <f>IF($N171="","",IFERROR(INDEX(CONFIG!$G$4:$G$43,MATCH($N171,CONFIG!$F$4:$F$43,0)),"Por definir"))</f>
        <v/>
      </c>
      <c r="P171" s="27">
        <f>IF($N171="","",IFERROR(INDEX(CONFIG!$H$4:$H$43,MATCH($N171,CONFIG!$F$4:$F$43,0)),"Por definir"))</f>
        <v/>
      </c>
      <c r="Q171" s="50" t="n"/>
      <c r="R171" s="51" t="n"/>
      <c r="S171" s="49" t="n"/>
      <c r="T171" s="49" t="n"/>
      <c r="U171" s="48">
        <f>IF(OR($B171="",$K171=""),"",WORKDAY($B171,IFERROR(INDEX(CONFIG!$C$4:$C$43,MATCH($K171,CONFIG!$A$4:$A$43,0)),3)))</f>
        <v/>
      </c>
      <c r="V171" s="46" t="n"/>
      <c r="W171" s="23">
        <f>IF($B171="","",IF($V171&lt;&gt;"",$V171-$B171,TODAY()-$B171))</f>
        <v/>
      </c>
      <c r="X171" s="27">
        <f>IF($C171="","",IF(IFERROR(INDEX(CONFIG!$K$4:$K$43,MATCH($S171,CONFIG!$J$4:$J$43,0)),"NO")="SÍ",IF(OR($V171="",$U171=""),"Resuelta",IF($V171&gt;$U171,"Resuelta tarde","Resuelta a tiempo")),IF($U171="","Sin clasificar",IF(TODAY()&gt;$U171,"Vencida",IF(TODAY()&gt;=$U171-1,"Por vencer","En plazo")))))</f>
        <v/>
      </c>
      <c r="Y171" s="49" t="n"/>
      <c r="Z171" s="49" t="n"/>
    </row>
    <row r="172" ht="16" customHeight="1">
      <c r="A172" s="27">
        <f>IF($C172="","","N-"&amp;TEXT(ROW()-3,"0000"))</f>
        <v/>
      </c>
      <c r="B172" s="46" t="n"/>
      <c r="C172" s="47" t="n"/>
      <c r="D172" s="27">
        <f>IF($C172="","",IF(COUNTIFS(ENVIOS!$A$4:$A$3003,$C172)=0,"NO EXISTE",IF(COUNTIFS(ENVIOS!$A$4:$A$3003,$C172)&gt;1,"DUPLICADA","OK")))</f>
        <v/>
      </c>
      <c r="E172" s="22">
        <f>IF($C172="","",IFERROR(INDEX(ENVIOS!$C$4:$C$3003,MATCH($C172,ENVIOS!$A$4:$A$3003,0)),"—"))</f>
        <v/>
      </c>
      <c r="F172" s="22">
        <f>IF($C172="","",IFERROR(INDEX(ENVIOS!$D$4:$D$3003,MATCH($C172,ENVIOS!$A$4:$A$3003,0)),"—"))</f>
        <v/>
      </c>
      <c r="G172" s="22">
        <f>IF($C172="","",IFERROR(INDEX(ENVIOS!$E$4:$E$3003,MATCH($C172,ENVIOS!$A$4:$A$3003,0)),"—"))</f>
        <v/>
      </c>
      <c r="H172" s="22">
        <f>IF($C172="","",IFERROR(INDEX(ENVIOS!$F$4:$F$3003,MATCH($C172,ENVIOS!$A$4:$A$3003,0)),"—"))</f>
        <v/>
      </c>
      <c r="I172" s="27">
        <f>IF($C172="","",IFERROR(INDEX(ENVIOS!$G$4:$G$3003,MATCH($C172,ENVIOS!$A$4:$A$3003,0)),"—"))</f>
        <v/>
      </c>
      <c r="J172" s="48">
        <f>IF($C172="","",IFERROR(INDEX(ENVIOS!$B$4:$B$3003,MATCH($C172,ENVIOS!$A$4:$A$3003,0)),""))</f>
        <v/>
      </c>
      <c r="K172" s="49" t="n"/>
      <c r="L172" s="27">
        <f>IF($K172="","",IFERROR(INDEX(CONFIG!$B$4:$B$43,MATCH($K172,CONFIG!$A$4:$A$43,0)),"Media"))</f>
        <v/>
      </c>
      <c r="M172" s="27">
        <f>IF($K172="","",IFERROR(INDEX(CONFIG!$D$4:$D$43,MATCH($K172,CONFIG!$A$4:$A$43,0)),"NO"))</f>
        <v/>
      </c>
      <c r="N172" s="49" t="n"/>
      <c r="O172" s="27">
        <f>IF($N172="","",IFERROR(INDEX(CONFIG!$G$4:$G$43,MATCH($N172,CONFIG!$F$4:$F$43,0)),"Por definir"))</f>
        <v/>
      </c>
      <c r="P172" s="27">
        <f>IF($N172="","",IFERROR(INDEX(CONFIG!$H$4:$H$43,MATCH($N172,CONFIG!$F$4:$F$43,0)),"Por definir"))</f>
        <v/>
      </c>
      <c r="Q172" s="50" t="n"/>
      <c r="R172" s="51" t="n"/>
      <c r="S172" s="49" t="n"/>
      <c r="T172" s="49" t="n"/>
      <c r="U172" s="48">
        <f>IF(OR($B172="",$K172=""),"",WORKDAY($B172,IFERROR(INDEX(CONFIG!$C$4:$C$43,MATCH($K172,CONFIG!$A$4:$A$43,0)),3)))</f>
        <v/>
      </c>
      <c r="V172" s="46" t="n"/>
      <c r="W172" s="23">
        <f>IF($B172="","",IF($V172&lt;&gt;"",$V172-$B172,TODAY()-$B172))</f>
        <v/>
      </c>
      <c r="X172" s="27">
        <f>IF($C172="","",IF(IFERROR(INDEX(CONFIG!$K$4:$K$43,MATCH($S172,CONFIG!$J$4:$J$43,0)),"NO")="SÍ",IF(OR($V172="",$U172=""),"Resuelta",IF($V172&gt;$U172,"Resuelta tarde","Resuelta a tiempo")),IF($U172="","Sin clasificar",IF(TODAY()&gt;$U172,"Vencida",IF(TODAY()&gt;=$U172-1,"Por vencer","En plazo")))))</f>
        <v/>
      </c>
      <c r="Y172" s="49" t="n"/>
      <c r="Z172" s="49" t="n"/>
    </row>
    <row r="173" ht="16" customHeight="1">
      <c r="A173" s="27">
        <f>IF($C173="","","N-"&amp;TEXT(ROW()-3,"0000"))</f>
        <v/>
      </c>
      <c r="B173" s="46" t="n"/>
      <c r="C173" s="47" t="n"/>
      <c r="D173" s="27">
        <f>IF($C173="","",IF(COUNTIFS(ENVIOS!$A$4:$A$3003,$C173)=0,"NO EXISTE",IF(COUNTIFS(ENVIOS!$A$4:$A$3003,$C173)&gt;1,"DUPLICADA","OK")))</f>
        <v/>
      </c>
      <c r="E173" s="22">
        <f>IF($C173="","",IFERROR(INDEX(ENVIOS!$C$4:$C$3003,MATCH($C173,ENVIOS!$A$4:$A$3003,0)),"—"))</f>
        <v/>
      </c>
      <c r="F173" s="22">
        <f>IF($C173="","",IFERROR(INDEX(ENVIOS!$D$4:$D$3003,MATCH($C173,ENVIOS!$A$4:$A$3003,0)),"—"))</f>
        <v/>
      </c>
      <c r="G173" s="22">
        <f>IF($C173="","",IFERROR(INDEX(ENVIOS!$E$4:$E$3003,MATCH($C173,ENVIOS!$A$4:$A$3003,0)),"—"))</f>
        <v/>
      </c>
      <c r="H173" s="22">
        <f>IF($C173="","",IFERROR(INDEX(ENVIOS!$F$4:$F$3003,MATCH($C173,ENVIOS!$A$4:$A$3003,0)),"—"))</f>
        <v/>
      </c>
      <c r="I173" s="27">
        <f>IF($C173="","",IFERROR(INDEX(ENVIOS!$G$4:$G$3003,MATCH($C173,ENVIOS!$A$4:$A$3003,0)),"—"))</f>
        <v/>
      </c>
      <c r="J173" s="48">
        <f>IF($C173="","",IFERROR(INDEX(ENVIOS!$B$4:$B$3003,MATCH($C173,ENVIOS!$A$4:$A$3003,0)),""))</f>
        <v/>
      </c>
      <c r="K173" s="49" t="n"/>
      <c r="L173" s="27">
        <f>IF($K173="","",IFERROR(INDEX(CONFIG!$B$4:$B$43,MATCH($K173,CONFIG!$A$4:$A$43,0)),"Media"))</f>
        <v/>
      </c>
      <c r="M173" s="27">
        <f>IF($K173="","",IFERROR(INDEX(CONFIG!$D$4:$D$43,MATCH($K173,CONFIG!$A$4:$A$43,0)),"NO"))</f>
        <v/>
      </c>
      <c r="N173" s="49" t="n"/>
      <c r="O173" s="27">
        <f>IF($N173="","",IFERROR(INDEX(CONFIG!$G$4:$G$43,MATCH($N173,CONFIG!$F$4:$F$43,0)),"Por definir"))</f>
        <v/>
      </c>
      <c r="P173" s="27">
        <f>IF($N173="","",IFERROR(INDEX(CONFIG!$H$4:$H$43,MATCH($N173,CONFIG!$F$4:$F$43,0)),"Por definir"))</f>
        <v/>
      </c>
      <c r="Q173" s="50" t="n"/>
      <c r="R173" s="51" t="n"/>
      <c r="S173" s="49" t="n"/>
      <c r="T173" s="49" t="n"/>
      <c r="U173" s="48">
        <f>IF(OR($B173="",$K173=""),"",WORKDAY($B173,IFERROR(INDEX(CONFIG!$C$4:$C$43,MATCH($K173,CONFIG!$A$4:$A$43,0)),3)))</f>
        <v/>
      </c>
      <c r="V173" s="46" t="n"/>
      <c r="W173" s="23">
        <f>IF($B173="","",IF($V173&lt;&gt;"",$V173-$B173,TODAY()-$B173))</f>
        <v/>
      </c>
      <c r="X173" s="27">
        <f>IF($C173="","",IF(IFERROR(INDEX(CONFIG!$K$4:$K$43,MATCH($S173,CONFIG!$J$4:$J$43,0)),"NO")="SÍ",IF(OR($V173="",$U173=""),"Resuelta",IF($V173&gt;$U173,"Resuelta tarde","Resuelta a tiempo")),IF($U173="","Sin clasificar",IF(TODAY()&gt;$U173,"Vencida",IF(TODAY()&gt;=$U173-1,"Por vencer","En plazo")))))</f>
        <v/>
      </c>
      <c r="Y173" s="49" t="n"/>
      <c r="Z173" s="49" t="n"/>
    </row>
    <row r="174" ht="16" customHeight="1">
      <c r="A174" s="27">
        <f>IF($C174="","","N-"&amp;TEXT(ROW()-3,"0000"))</f>
        <v/>
      </c>
      <c r="B174" s="46" t="n"/>
      <c r="C174" s="47" t="n"/>
      <c r="D174" s="27">
        <f>IF($C174="","",IF(COUNTIFS(ENVIOS!$A$4:$A$3003,$C174)=0,"NO EXISTE",IF(COUNTIFS(ENVIOS!$A$4:$A$3003,$C174)&gt;1,"DUPLICADA","OK")))</f>
        <v/>
      </c>
      <c r="E174" s="22">
        <f>IF($C174="","",IFERROR(INDEX(ENVIOS!$C$4:$C$3003,MATCH($C174,ENVIOS!$A$4:$A$3003,0)),"—"))</f>
        <v/>
      </c>
      <c r="F174" s="22">
        <f>IF($C174="","",IFERROR(INDEX(ENVIOS!$D$4:$D$3003,MATCH($C174,ENVIOS!$A$4:$A$3003,0)),"—"))</f>
        <v/>
      </c>
      <c r="G174" s="22">
        <f>IF($C174="","",IFERROR(INDEX(ENVIOS!$E$4:$E$3003,MATCH($C174,ENVIOS!$A$4:$A$3003,0)),"—"))</f>
        <v/>
      </c>
      <c r="H174" s="22">
        <f>IF($C174="","",IFERROR(INDEX(ENVIOS!$F$4:$F$3003,MATCH($C174,ENVIOS!$A$4:$A$3003,0)),"—"))</f>
        <v/>
      </c>
      <c r="I174" s="27">
        <f>IF($C174="","",IFERROR(INDEX(ENVIOS!$G$4:$G$3003,MATCH($C174,ENVIOS!$A$4:$A$3003,0)),"—"))</f>
        <v/>
      </c>
      <c r="J174" s="48">
        <f>IF($C174="","",IFERROR(INDEX(ENVIOS!$B$4:$B$3003,MATCH($C174,ENVIOS!$A$4:$A$3003,0)),""))</f>
        <v/>
      </c>
      <c r="K174" s="49" t="n"/>
      <c r="L174" s="27">
        <f>IF($K174="","",IFERROR(INDEX(CONFIG!$B$4:$B$43,MATCH($K174,CONFIG!$A$4:$A$43,0)),"Media"))</f>
        <v/>
      </c>
      <c r="M174" s="27">
        <f>IF($K174="","",IFERROR(INDEX(CONFIG!$D$4:$D$43,MATCH($K174,CONFIG!$A$4:$A$43,0)),"NO"))</f>
        <v/>
      </c>
      <c r="N174" s="49" t="n"/>
      <c r="O174" s="27">
        <f>IF($N174="","",IFERROR(INDEX(CONFIG!$G$4:$G$43,MATCH($N174,CONFIG!$F$4:$F$43,0)),"Por definir"))</f>
        <v/>
      </c>
      <c r="P174" s="27">
        <f>IF($N174="","",IFERROR(INDEX(CONFIG!$H$4:$H$43,MATCH($N174,CONFIG!$F$4:$F$43,0)),"Por definir"))</f>
        <v/>
      </c>
      <c r="Q174" s="50" t="n"/>
      <c r="R174" s="51" t="n"/>
      <c r="S174" s="49" t="n"/>
      <c r="T174" s="49" t="n"/>
      <c r="U174" s="48">
        <f>IF(OR($B174="",$K174=""),"",WORKDAY($B174,IFERROR(INDEX(CONFIG!$C$4:$C$43,MATCH($K174,CONFIG!$A$4:$A$43,0)),3)))</f>
        <v/>
      </c>
      <c r="V174" s="46" t="n"/>
      <c r="W174" s="23">
        <f>IF($B174="","",IF($V174&lt;&gt;"",$V174-$B174,TODAY()-$B174))</f>
        <v/>
      </c>
      <c r="X174" s="27">
        <f>IF($C174="","",IF(IFERROR(INDEX(CONFIG!$K$4:$K$43,MATCH($S174,CONFIG!$J$4:$J$43,0)),"NO")="SÍ",IF(OR($V174="",$U174=""),"Resuelta",IF($V174&gt;$U174,"Resuelta tarde","Resuelta a tiempo")),IF($U174="","Sin clasificar",IF(TODAY()&gt;$U174,"Vencida",IF(TODAY()&gt;=$U174-1,"Por vencer","En plazo")))))</f>
        <v/>
      </c>
      <c r="Y174" s="49" t="n"/>
      <c r="Z174" s="49" t="n"/>
    </row>
    <row r="175" ht="16" customHeight="1">
      <c r="A175" s="27">
        <f>IF($C175="","","N-"&amp;TEXT(ROW()-3,"0000"))</f>
        <v/>
      </c>
      <c r="B175" s="46" t="n"/>
      <c r="C175" s="47" t="n"/>
      <c r="D175" s="27">
        <f>IF($C175="","",IF(COUNTIFS(ENVIOS!$A$4:$A$3003,$C175)=0,"NO EXISTE",IF(COUNTIFS(ENVIOS!$A$4:$A$3003,$C175)&gt;1,"DUPLICADA","OK")))</f>
        <v/>
      </c>
      <c r="E175" s="22">
        <f>IF($C175="","",IFERROR(INDEX(ENVIOS!$C$4:$C$3003,MATCH($C175,ENVIOS!$A$4:$A$3003,0)),"—"))</f>
        <v/>
      </c>
      <c r="F175" s="22">
        <f>IF($C175="","",IFERROR(INDEX(ENVIOS!$D$4:$D$3003,MATCH($C175,ENVIOS!$A$4:$A$3003,0)),"—"))</f>
        <v/>
      </c>
      <c r="G175" s="22">
        <f>IF($C175="","",IFERROR(INDEX(ENVIOS!$E$4:$E$3003,MATCH($C175,ENVIOS!$A$4:$A$3003,0)),"—"))</f>
        <v/>
      </c>
      <c r="H175" s="22">
        <f>IF($C175="","",IFERROR(INDEX(ENVIOS!$F$4:$F$3003,MATCH($C175,ENVIOS!$A$4:$A$3003,0)),"—"))</f>
        <v/>
      </c>
      <c r="I175" s="27">
        <f>IF($C175="","",IFERROR(INDEX(ENVIOS!$G$4:$G$3003,MATCH($C175,ENVIOS!$A$4:$A$3003,0)),"—"))</f>
        <v/>
      </c>
      <c r="J175" s="48">
        <f>IF($C175="","",IFERROR(INDEX(ENVIOS!$B$4:$B$3003,MATCH($C175,ENVIOS!$A$4:$A$3003,0)),""))</f>
        <v/>
      </c>
      <c r="K175" s="49" t="n"/>
      <c r="L175" s="27">
        <f>IF($K175="","",IFERROR(INDEX(CONFIG!$B$4:$B$43,MATCH($K175,CONFIG!$A$4:$A$43,0)),"Media"))</f>
        <v/>
      </c>
      <c r="M175" s="27">
        <f>IF($K175="","",IFERROR(INDEX(CONFIG!$D$4:$D$43,MATCH($K175,CONFIG!$A$4:$A$43,0)),"NO"))</f>
        <v/>
      </c>
      <c r="N175" s="49" t="n"/>
      <c r="O175" s="27">
        <f>IF($N175="","",IFERROR(INDEX(CONFIG!$G$4:$G$43,MATCH($N175,CONFIG!$F$4:$F$43,0)),"Por definir"))</f>
        <v/>
      </c>
      <c r="P175" s="27">
        <f>IF($N175="","",IFERROR(INDEX(CONFIG!$H$4:$H$43,MATCH($N175,CONFIG!$F$4:$F$43,0)),"Por definir"))</f>
        <v/>
      </c>
      <c r="Q175" s="50" t="n"/>
      <c r="R175" s="51" t="n"/>
      <c r="S175" s="49" t="n"/>
      <c r="T175" s="49" t="n"/>
      <c r="U175" s="48">
        <f>IF(OR($B175="",$K175=""),"",WORKDAY($B175,IFERROR(INDEX(CONFIG!$C$4:$C$43,MATCH($K175,CONFIG!$A$4:$A$43,0)),3)))</f>
        <v/>
      </c>
      <c r="V175" s="46" t="n"/>
      <c r="W175" s="23">
        <f>IF($B175="","",IF($V175&lt;&gt;"",$V175-$B175,TODAY()-$B175))</f>
        <v/>
      </c>
      <c r="X175" s="27">
        <f>IF($C175="","",IF(IFERROR(INDEX(CONFIG!$K$4:$K$43,MATCH($S175,CONFIG!$J$4:$J$43,0)),"NO")="SÍ",IF(OR($V175="",$U175=""),"Resuelta",IF($V175&gt;$U175,"Resuelta tarde","Resuelta a tiempo")),IF($U175="","Sin clasificar",IF(TODAY()&gt;$U175,"Vencida",IF(TODAY()&gt;=$U175-1,"Por vencer","En plazo")))))</f>
        <v/>
      </c>
      <c r="Y175" s="49" t="n"/>
      <c r="Z175" s="49" t="n"/>
    </row>
    <row r="176" ht="16" customHeight="1">
      <c r="A176" s="27">
        <f>IF($C176="","","N-"&amp;TEXT(ROW()-3,"0000"))</f>
        <v/>
      </c>
      <c r="B176" s="46" t="n"/>
      <c r="C176" s="47" t="n"/>
      <c r="D176" s="27">
        <f>IF($C176="","",IF(COUNTIFS(ENVIOS!$A$4:$A$3003,$C176)=0,"NO EXISTE",IF(COUNTIFS(ENVIOS!$A$4:$A$3003,$C176)&gt;1,"DUPLICADA","OK")))</f>
        <v/>
      </c>
      <c r="E176" s="22">
        <f>IF($C176="","",IFERROR(INDEX(ENVIOS!$C$4:$C$3003,MATCH($C176,ENVIOS!$A$4:$A$3003,0)),"—"))</f>
        <v/>
      </c>
      <c r="F176" s="22">
        <f>IF($C176="","",IFERROR(INDEX(ENVIOS!$D$4:$D$3003,MATCH($C176,ENVIOS!$A$4:$A$3003,0)),"—"))</f>
        <v/>
      </c>
      <c r="G176" s="22">
        <f>IF($C176="","",IFERROR(INDEX(ENVIOS!$E$4:$E$3003,MATCH($C176,ENVIOS!$A$4:$A$3003,0)),"—"))</f>
        <v/>
      </c>
      <c r="H176" s="22">
        <f>IF($C176="","",IFERROR(INDEX(ENVIOS!$F$4:$F$3003,MATCH($C176,ENVIOS!$A$4:$A$3003,0)),"—"))</f>
        <v/>
      </c>
      <c r="I176" s="27">
        <f>IF($C176="","",IFERROR(INDEX(ENVIOS!$G$4:$G$3003,MATCH($C176,ENVIOS!$A$4:$A$3003,0)),"—"))</f>
        <v/>
      </c>
      <c r="J176" s="48">
        <f>IF($C176="","",IFERROR(INDEX(ENVIOS!$B$4:$B$3003,MATCH($C176,ENVIOS!$A$4:$A$3003,0)),""))</f>
        <v/>
      </c>
      <c r="K176" s="49" t="n"/>
      <c r="L176" s="27">
        <f>IF($K176="","",IFERROR(INDEX(CONFIG!$B$4:$B$43,MATCH($K176,CONFIG!$A$4:$A$43,0)),"Media"))</f>
        <v/>
      </c>
      <c r="M176" s="27">
        <f>IF($K176="","",IFERROR(INDEX(CONFIG!$D$4:$D$43,MATCH($K176,CONFIG!$A$4:$A$43,0)),"NO"))</f>
        <v/>
      </c>
      <c r="N176" s="49" t="n"/>
      <c r="O176" s="27">
        <f>IF($N176="","",IFERROR(INDEX(CONFIG!$G$4:$G$43,MATCH($N176,CONFIG!$F$4:$F$43,0)),"Por definir"))</f>
        <v/>
      </c>
      <c r="P176" s="27">
        <f>IF($N176="","",IFERROR(INDEX(CONFIG!$H$4:$H$43,MATCH($N176,CONFIG!$F$4:$F$43,0)),"Por definir"))</f>
        <v/>
      </c>
      <c r="Q176" s="50" t="n"/>
      <c r="R176" s="51" t="n"/>
      <c r="S176" s="49" t="n"/>
      <c r="T176" s="49" t="n"/>
      <c r="U176" s="48">
        <f>IF(OR($B176="",$K176=""),"",WORKDAY($B176,IFERROR(INDEX(CONFIG!$C$4:$C$43,MATCH($K176,CONFIG!$A$4:$A$43,0)),3)))</f>
        <v/>
      </c>
      <c r="V176" s="46" t="n"/>
      <c r="W176" s="23">
        <f>IF($B176="","",IF($V176&lt;&gt;"",$V176-$B176,TODAY()-$B176))</f>
        <v/>
      </c>
      <c r="X176" s="27">
        <f>IF($C176="","",IF(IFERROR(INDEX(CONFIG!$K$4:$K$43,MATCH($S176,CONFIG!$J$4:$J$43,0)),"NO")="SÍ",IF(OR($V176="",$U176=""),"Resuelta",IF($V176&gt;$U176,"Resuelta tarde","Resuelta a tiempo")),IF($U176="","Sin clasificar",IF(TODAY()&gt;$U176,"Vencida",IF(TODAY()&gt;=$U176-1,"Por vencer","En plazo")))))</f>
        <v/>
      </c>
      <c r="Y176" s="49" t="n"/>
      <c r="Z176" s="49" t="n"/>
    </row>
    <row r="177" ht="16" customHeight="1">
      <c r="A177" s="27">
        <f>IF($C177="","","N-"&amp;TEXT(ROW()-3,"0000"))</f>
        <v/>
      </c>
      <c r="B177" s="46" t="n"/>
      <c r="C177" s="47" t="n"/>
      <c r="D177" s="27">
        <f>IF($C177="","",IF(COUNTIFS(ENVIOS!$A$4:$A$3003,$C177)=0,"NO EXISTE",IF(COUNTIFS(ENVIOS!$A$4:$A$3003,$C177)&gt;1,"DUPLICADA","OK")))</f>
        <v/>
      </c>
      <c r="E177" s="22">
        <f>IF($C177="","",IFERROR(INDEX(ENVIOS!$C$4:$C$3003,MATCH($C177,ENVIOS!$A$4:$A$3003,0)),"—"))</f>
        <v/>
      </c>
      <c r="F177" s="22">
        <f>IF($C177="","",IFERROR(INDEX(ENVIOS!$D$4:$D$3003,MATCH($C177,ENVIOS!$A$4:$A$3003,0)),"—"))</f>
        <v/>
      </c>
      <c r="G177" s="22">
        <f>IF($C177="","",IFERROR(INDEX(ENVIOS!$E$4:$E$3003,MATCH($C177,ENVIOS!$A$4:$A$3003,0)),"—"))</f>
        <v/>
      </c>
      <c r="H177" s="22">
        <f>IF($C177="","",IFERROR(INDEX(ENVIOS!$F$4:$F$3003,MATCH($C177,ENVIOS!$A$4:$A$3003,0)),"—"))</f>
        <v/>
      </c>
      <c r="I177" s="27">
        <f>IF($C177="","",IFERROR(INDEX(ENVIOS!$G$4:$G$3003,MATCH($C177,ENVIOS!$A$4:$A$3003,0)),"—"))</f>
        <v/>
      </c>
      <c r="J177" s="48">
        <f>IF($C177="","",IFERROR(INDEX(ENVIOS!$B$4:$B$3003,MATCH($C177,ENVIOS!$A$4:$A$3003,0)),""))</f>
        <v/>
      </c>
      <c r="K177" s="49" t="n"/>
      <c r="L177" s="27">
        <f>IF($K177="","",IFERROR(INDEX(CONFIG!$B$4:$B$43,MATCH($K177,CONFIG!$A$4:$A$43,0)),"Media"))</f>
        <v/>
      </c>
      <c r="M177" s="27">
        <f>IF($K177="","",IFERROR(INDEX(CONFIG!$D$4:$D$43,MATCH($K177,CONFIG!$A$4:$A$43,0)),"NO"))</f>
        <v/>
      </c>
      <c r="N177" s="49" t="n"/>
      <c r="O177" s="27">
        <f>IF($N177="","",IFERROR(INDEX(CONFIG!$G$4:$G$43,MATCH($N177,CONFIG!$F$4:$F$43,0)),"Por definir"))</f>
        <v/>
      </c>
      <c r="P177" s="27">
        <f>IF($N177="","",IFERROR(INDEX(CONFIG!$H$4:$H$43,MATCH($N177,CONFIG!$F$4:$F$43,0)),"Por definir"))</f>
        <v/>
      </c>
      <c r="Q177" s="50" t="n"/>
      <c r="R177" s="51" t="n"/>
      <c r="S177" s="49" t="n"/>
      <c r="T177" s="49" t="n"/>
      <c r="U177" s="48">
        <f>IF(OR($B177="",$K177=""),"",WORKDAY($B177,IFERROR(INDEX(CONFIG!$C$4:$C$43,MATCH($K177,CONFIG!$A$4:$A$43,0)),3)))</f>
        <v/>
      </c>
      <c r="V177" s="46" t="n"/>
      <c r="W177" s="23">
        <f>IF($B177="","",IF($V177&lt;&gt;"",$V177-$B177,TODAY()-$B177))</f>
        <v/>
      </c>
      <c r="X177" s="27">
        <f>IF($C177="","",IF(IFERROR(INDEX(CONFIG!$K$4:$K$43,MATCH($S177,CONFIG!$J$4:$J$43,0)),"NO")="SÍ",IF(OR($V177="",$U177=""),"Resuelta",IF($V177&gt;$U177,"Resuelta tarde","Resuelta a tiempo")),IF($U177="","Sin clasificar",IF(TODAY()&gt;$U177,"Vencida",IF(TODAY()&gt;=$U177-1,"Por vencer","En plazo")))))</f>
        <v/>
      </c>
      <c r="Y177" s="49" t="n"/>
      <c r="Z177" s="49" t="n"/>
    </row>
    <row r="178" ht="16" customHeight="1">
      <c r="A178" s="27">
        <f>IF($C178="","","N-"&amp;TEXT(ROW()-3,"0000"))</f>
        <v/>
      </c>
      <c r="B178" s="46" t="n"/>
      <c r="C178" s="47" t="n"/>
      <c r="D178" s="27">
        <f>IF($C178="","",IF(COUNTIFS(ENVIOS!$A$4:$A$3003,$C178)=0,"NO EXISTE",IF(COUNTIFS(ENVIOS!$A$4:$A$3003,$C178)&gt;1,"DUPLICADA","OK")))</f>
        <v/>
      </c>
      <c r="E178" s="22">
        <f>IF($C178="","",IFERROR(INDEX(ENVIOS!$C$4:$C$3003,MATCH($C178,ENVIOS!$A$4:$A$3003,0)),"—"))</f>
        <v/>
      </c>
      <c r="F178" s="22">
        <f>IF($C178="","",IFERROR(INDEX(ENVIOS!$D$4:$D$3003,MATCH($C178,ENVIOS!$A$4:$A$3003,0)),"—"))</f>
        <v/>
      </c>
      <c r="G178" s="22">
        <f>IF($C178="","",IFERROR(INDEX(ENVIOS!$E$4:$E$3003,MATCH($C178,ENVIOS!$A$4:$A$3003,0)),"—"))</f>
        <v/>
      </c>
      <c r="H178" s="22">
        <f>IF($C178="","",IFERROR(INDEX(ENVIOS!$F$4:$F$3003,MATCH($C178,ENVIOS!$A$4:$A$3003,0)),"—"))</f>
        <v/>
      </c>
      <c r="I178" s="27">
        <f>IF($C178="","",IFERROR(INDEX(ENVIOS!$G$4:$G$3003,MATCH($C178,ENVIOS!$A$4:$A$3003,0)),"—"))</f>
        <v/>
      </c>
      <c r="J178" s="48">
        <f>IF($C178="","",IFERROR(INDEX(ENVIOS!$B$4:$B$3003,MATCH($C178,ENVIOS!$A$4:$A$3003,0)),""))</f>
        <v/>
      </c>
      <c r="K178" s="49" t="n"/>
      <c r="L178" s="27">
        <f>IF($K178="","",IFERROR(INDEX(CONFIG!$B$4:$B$43,MATCH($K178,CONFIG!$A$4:$A$43,0)),"Media"))</f>
        <v/>
      </c>
      <c r="M178" s="27">
        <f>IF($K178="","",IFERROR(INDEX(CONFIG!$D$4:$D$43,MATCH($K178,CONFIG!$A$4:$A$43,0)),"NO"))</f>
        <v/>
      </c>
      <c r="N178" s="49" t="n"/>
      <c r="O178" s="27">
        <f>IF($N178="","",IFERROR(INDEX(CONFIG!$G$4:$G$43,MATCH($N178,CONFIG!$F$4:$F$43,0)),"Por definir"))</f>
        <v/>
      </c>
      <c r="P178" s="27">
        <f>IF($N178="","",IFERROR(INDEX(CONFIG!$H$4:$H$43,MATCH($N178,CONFIG!$F$4:$F$43,0)),"Por definir"))</f>
        <v/>
      </c>
      <c r="Q178" s="50" t="n"/>
      <c r="R178" s="51" t="n"/>
      <c r="S178" s="49" t="n"/>
      <c r="T178" s="49" t="n"/>
      <c r="U178" s="48">
        <f>IF(OR($B178="",$K178=""),"",WORKDAY($B178,IFERROR(INDEX(CONFIG!$C$4:$C$43,MATCH($K178,CONFIG!$A$4:$A$43,0)),3)))</f>
        <v/>
      </c>
      <c r="V178" s="46" t="n"/>
      <c r="W178" s="23">
        <f>IF($B178="","",IF($V178&lt;&gt;"",$V178-$B178,TODAY()-$B178))</f>
        <v/>
      </c>
      <c r="X178" s="27">
        <f>IF($C178="","",IF(IFERROR(INDEX(CONFIG!$K$4:$K$43,MATCH($S178,CONFIG!$J$4:$J$43,0)),"NO")="SÍ",IF(OR($V178="",$U178=""),"Resuelta",IF($V178&gt;$U178,"Resuelta tarde","Resuelta a tiempo")),IF($U178="","Sin clasificar",IF(TODAY()&gt;$U178,"Vencida",IF(TODAY()&gt;=$U178-1,"Por vencer","En plazo")))))</f>
        <v/>
      </c>
      <c r="Y178" s="49" t="n"/>
      <c r="Z178" s="49" t="n"/>
    </row>
    <row r="179" ht="16" customHeight="1">
      <c r="A179" s="27">
        <f>IF($C179="","","N-"&amp;TEXT(ROW()-3,"0000"))</f>
        <v/>
      </c>
      <c r="B179" s="46" t="n"/>
      <c r="C179" s="47" t="n"/>
      <c r="D179" s="27">
        <f>IF($C179="","",IF(COUNTIFS(ENVIOS!$A$4:$A$3003,$C179)=0,"NO EXISTE",IF(COUNTIFS(ENVIOS!$A$4:$A$3003,$C179)&gt;1,"DUPLICADA","OK")))</f>
        <v/>
      </c>
      <c r="E179" s="22">
        <f>IF($C179="","",IFERROR(INDEX(ENVIOS!$C$4:$C$3003,MATCH($C179,ENVIOS!$A$4:$A$3003,0)),"—"))</f>
        <v/>
      </c>
      <c r="F179" s="22">
        <f>IF($C179="","",IFERROR(INDEX(ENVIOS!$D$4:$D$3003,MATCH($C179,ENVIOS!$A$4:$A$3003,0)),"—"))</f>
        <v/>
      </c>
      <c r="G179" s="22">
        <f>IF($C179="","",IFERROR(INDEX(ENVIOS!$E$4:$E$3003,MATCH($C179,ENVIOS!$A$4:$A$3003,0)),"—"))</f>
        <v/>
      </c>
      <c r="H179" s="22">
        <f>IF($C179="","",IFERROR(INDEX(ENVIOS!$F$4:$F$3003,MATCH($C179,ENVIOS!$A$4:$A$3003,0)),"—"))</f>
        <v/>
      </c>
      <c r="I179" s="27">
        <f>IF($C179="","",IFERROR(INDEX(ENVIOS!$G$4:$G$3003,MATCH($C179,ENVIOS!$A$4:$A$3003,0)),"—"))</f>
        <v/>
      </c>
      <c r="J179" s="48">
        <f>IF($C179="","",IFERROR(INDEX(ENVIOS!$B$4:$B$3003,MATCH($C179,ENVIOS!$A$4:$A$3003,0)),""))</f>
        <v/>
      </c>
      <c r="K179" s="49" t="n"/>
      <c r="L179" s="27">
        <f>IF($K179="","",IFERROR(INDEX(CONFIG!$B$4:$B$43,MATCH($K179,CONFIG!$A$4:$A$43,0)),"Media"))</f>
        <v/>
      </c>
      <c r="M179" s="27">
        <f>IF($K179="","",IFERROR(INDEX(CONFIG!$D$4:$D$43,MATCH($K179,CONFIG!$A$4:$A$43,0)),"NO"))</f>
        <v/>
      </c>
      <c r="N179" s="49" t="n"/>
      <c r="O179" s="27">
        <f>IF($N179="","",IFERROR(INDEX(CONFIG!$G$4:$G$43,MATCH($N179,CONFIG!$F$4:$F$43,0)),"Por definir"))</f>
        <v/>
      </c>
      <c r="P179" s="27">
        <f>IF($N179="","",IFERROR(INDEX(CONFIG!$H$4:$H$43,MATCH($N179,CONFIG!$F$4:$F$43,0)),"Por definir"))</f>
        <v/>
      </c>
      <c r="Q179" s="50" t="n"/>
      <c r="R179" s="51" t="n"/>
      <c r="S179" s="49" t="n"/>
      <c r="T179" s="49" t="n"/>
      <c r="U179" s="48">
        <f>IF(OR($B179="",$K179=""),"",WORKDAY($B179,IFERROR(INDEX(CONFIG!$C$4:$C$43,MATCH($K179,CONFIG!$A$4:$A$43,0)),3)))</f>
        <v/>
      </c>
      <c r="V179" s="46" t="n"/>
      <c r="W179" s="23">
        <f>IF($B179="","",IF($V179&lt;&gt;"",$V179-$B179,TODAY()-$B179))</f>
        <v/>
      </c>
      <c r="X179" s="27">
        <f>IF($C179="","",IF(IFERROR(INDEX(CONFIG!$K$4:$K$43,MATCH($S179,CONFIG!$J$4:$J$43,0)),"NO")="SÍ",IF(OR($V179="",$U179=""),"Resuelta",IF($V179&gt;$U179,"Resuelta tarde","Resuelta a tiempo")),IF($U179="","Sin clasificar",IF(TODAY()&gt;$U179,"Vencida",IF(TODAY()&gt;=$U179-1,"Por vencer","En plazo")))))</f>
        <v/>
      </c>
      <c r="Y179" s="49" t="n"/>
      <c r="Z179" s="49" t="n"/>
    </row>
    <row r="180" ht="16" customHeight="1">
      <c r="A180" s="27">
        <f>IF($C180="","","N-"&amp;TEXT(ROW()-3,"0000"))</f>
        <v/>
      </c>
      <c r="B180" s="46" t="n"/>
      <c r="C180" s="47" t="n"/>
      <c r="D180" s="27">
        <f>IF($C180="","",IF(COUNTIFS(ENVIOS!$A$4:$A$3003,$C180)=0,"NO EXISTE",IF(COUNTIFS(ENVIOS!$A$4:$A$3003,$C180)&gt;1,"DUPLICADA","OK")))</f>
        <v/>
      </c>
      <c r="E180" s="22">
        <f>IF($C180="","",IFERROR(INDEX(ENVIOS!$C$4:$C$3003,MATCH($C180,ENVIOS!$A$4:$A$3003,0)),"—"))</f>
        <v/>
      </c>
      <c r="F180" s="22">
        <f>IF($C180="","",IFERROR(INDEX(ENVIOS!$D$4:$D$3003,MATCH($C180,ENVIOS!$A$4:$A$3003,0)),"—"))</f>
        <v/>
      </c>
      <c r="G180" s="22">
        <f>IF($C180="","",IFERROR(INDEX(ENVIOS!$E$4:$E$3003,MATCH($C180,ENVIOS!$A$4:$A$3003,0)),"—"))</f>
        <v/>
      </c>
      <c r="H180" s="22">
        <f>IF($C180="","",IFERROR(INDEX(ENVIOS!$F$4:$F$3003,MATCH($C180,ENVIOS!$A$4:$A$3003,0)),"—"))</f>
        <v/>
      </c>
      <c r="I180" s="27">
        <f>IF($C180="","",IFERROR(INDEX(ENVIOS!$G$4:$G$3003,MATCH($C180,ENVIOS!$A$4:$A$3003,0)),"—"))</f>
        <v/>
      </c>
      <c r="J180" s="48">
        <f>IF($C180="","",IFERROR(INDEX(ENVIOS!$B$4:$B$3003,MATCH($C180,ENVIOS!$A$4:$A$3003,0)),""))</f>
        <v/>
      </c>
      <c r="K180" s="49" t="n"/>
      <c r="L180" s="27">
        <f>IF($K180="","",IFERROR(INDEX(CONFIG!$B$4:$B$43,MATCH($K180,CONFIG!$A$4:$A$43,0)),"Media"))</f>
        <v/>
      </c>
      <c r="M180" s="27">
        <f>IF($K180="","",IFERROR(INDEX(CONFIG!$D$4:$D$43,MATCH($K180,CONFIG!$A$4:$A$43,0)),"NO"))</f>
        <v/>
      </c>
      <c r="N180" s="49" t="n"/>
      <c r="O180" s="27">
        <f>IF($N180="","",IFERROR(INDEX(CONFIG!$G$4:$G$43,MATCH($N180,CONFIG!$F$4:$F$43,0)),"Por definir"))</f>
        <v/>
      </c>
      <c r="P180" s="27">
        <f>IF($N180="","",IFERROR(INDEX(CONFIG!$H$4:$H$43,MATCH($N180,CONFIG!$F$4:$F$43,0)),"Por definir"))</f>
        <v/>
      </c>
      <c r="Q180" s="50" t="n"/>
      <c r="R180" s="51" t="n"/>
      <c r="S180" s="49" t="n"/>
      <c r="T180" s="49" t="n"/>
      <c r="U180" s="48">
        <f>IF(OR($B180="",$K180=""),"",WORKDAY($B180,IFERROR(INDEX(CONFIG!$C$4:$C$43,MATCH($K180,CONFIG!$A$4:$A$43,0)),3)))</f>
        <v/>
      </c>
      <c r="V180" s="46" t="n"/>
      <c r="W180" s="23">
        <f>IF($B180="","",IF($V180&lt;&gt;"",$V180-$B180,TODAY()-$B180))</f>
        <v/>
      </c>
      <c r="X180" s="27">
        <f>IF($C180="","",IF(IFERROR(INDEX(CONFIG!$K$4:$K$43,MATCH($S180,CONFIG!$J$4:$J$43,0)),"NO")="SÍ",IF(OR($V180="",$U180=""),"Resuelta",IF($V180&gt;$U180,"Resuelta tarde","Resuelta a tiempo")),IF($U180="","Sin clasificar",IF(TODAY()&gt;$U180,"Vencida",IF(TODAY()&gt;=$U180-1,"Por vencer","En plazo")))))</f>
        <v/>
      </c>
      <c r="Y180" s="49" t="n"/>
      <c r="Z180" s="49" t="n"/>
    </row>
    <row r="181" ht="16" customHeight="1">
      <c r="A181" s="27">
        <f>IF($C181="","","N-"&amp;TEXT(ROW()-3,"0000"))</f>
        <v/>
      </c>
      <c r="B181" s="46" t="n"/>
      <c r="C181" s="47" t="n"/>
      <c r="D181" s="27">
        <f>IF($C181="","",IF(COUNTIFS(ENVIOS!$A$4:$A$3003,$C181)=0,"NO EXISTE",IF(COUNTIFS(ENVIOS!$A$4:$A$3003,$C181)&gt;1,"DUPLICADA","OK")))</f>
        <v/>
      </c>
      <c r="E181" s="22">
        <f>IF($C181="","",IFERROR(INDEX(ENVIOS!$C$4:$C$3003,MATCH($C181,ENVIOS!$A$4:$A$3003,0)),"—"))</f>
        <v/>
      </c>
      <c r="F181" s="22">
        <f>IF($C181="","",IFERROR(INDEX(ENVIOS!$D$4:$D$3003,MATCH($C181,ENVIOS!$A$4:$A$3003,0)),"—"))</f>
        <v/>
      </c>
      <c r="G181" s="22">
        <f>IF($C181="","",IFERROR(INDEX(ENVIOS!$E$4:$E$3003,MATCH($C181,ENVIOS!$A$4:$A$3003,0)),"—"))</f>
        <v/>
      </c>
      <c r="H181" s="22">
        <f>IF($C181="","",IFERROR(INDEX(ENVIOS!$F$4:$F$3003,MATCH($C181,ENVIOS!$A$4:$A$3003,0)),"—"))</f>
        <v/>
      </c>
      <c r="I181" s="27">
        <f>IF($C181="","",IFERROR(INDEX(ENVIOS!$G$4:$G$3003,MATCH($C181,ENVIOS!$A$4:$A$3003,0)),"—"))</f>
        <v/>
      </c>
      <c r="J181" s="48">
        <f>IF($C181="","",IFERROR(INDEX(ENVIOS!$B$4:$B$3003,MATCH($C181,ENVIOS!$A$4:$A$3003,0)),""))</f>
        <v/>
      </c>
      <c r="K181" s="49" t="n"/>
      <c r="L181" s="27">
        <f>IF($K181="","",IFERROR(INDEX(CONFIG!$B$4:$B$43,MATCH($K181,CONFIG!$A$4:$A$43,0)),"Media"))</f>
        <v/>
      </c>
      <c r="M181" s="27">
        <f>IF($K181="","",IFERROR(INDEX(CONFIG!$D$4:$D$43,MATCH($K181,CONFIG!$A$4:$A$43,0)),"NO"))</f>
        <v/>
      </c>
      <c r="N181" s="49" t="n"/>
      <c r="O181" s="27">
        <f>IF($N181="","",IFERROR(INDEX(CONFIG!$G$4:$G$43,MATCH($N181,CONFIG!$F$4:$F$43,0)),"Por definir"))</f>
        <v/>
      </c>
      <c r="P181" s="27">
        <f>IF($N181="","",IFERROR(INDEX(CONFIG!$H$4:$H$43,MATCH($N181,CONFIG!$F$4:$F$43,0)),"Por definir"))</f>
        <v/>
      </c>
      <c r="Q181" s="50" t="n"/>
      <c r="R181" s="51" t="n"/>
      <c r="S181" s="49" t="n"/>
      <c r="T181" s="49" t="n"/>
      <c r="U181" s="48">
        <f>IF(OR($B181="",$K181=""),"",WORKDAY($B181,IFERROR(INDEX(CONFIG!$C$4:$C$43,MATCH($K181,CONFIG!$A$4:$A$43,0)),3)))</f>
        <v/>
      </c>
      <c r="V181" s="46" t="n"/>
      <c r="W181" s="23">
        <f>IF($B181="","",IF($V181&lt;&gt;"",$V181-$B181,TODAY()-$B181))</f>
        <v/>
      </c>
      <c r="X181" s="27">
        <f>IF($C181="","",IF(IFERROR(INDEX(CONFIG!$K$4:$K$43,MATCH($S181,CONFIG!$J$4:$J$43,0)),"NO")="SÍ",IF(OR($V181="",$U181=""),"Resuelta",IF($V181&gt;$U181,"Resuelta tarde","Resuelta a tiempo")),IF($U181="","Sin clasificar",IF(TODAY()&gt;$U181,"Vencida",IF(TODAY()&gt;=$U181-1,"Por vencer","En plazo")))))</f>
        <v/>
      </c>
      <c r="Y181" s="49" t="n"/>
      <c r="Z181" s="49" t="n"/>
    </row>
    <row r="182" ht="16" customHeight="1">
      <c r="A182" s="27">
        <f>IF($C182="","","N-"&amp;TEXT(ROW()-3,"0000"))</f>
        <v/>
      </c>
      <c r="B182" s="46" t="n"/>
      <c r="C182" s="47" t="n"/>
      <c r="D182" s="27">
        <f>IF($C182="","",IF(COUNTIFS(ENVIOS!$A$4:$A$3003,$C182)=0,"NO EXISTE",IF(COUNTIFS(ENVIOS!$A$4:$A$3003,$C182)&gt;1,"DUPLICADA","OK")))</f>
        <v/>
      </c>
      <c r="E182" s="22">
        <f>IF($C182="","",IFERROR(INDEX(ENVIOS!$C$4:$C$3003,MATCH($C182,ENVIOS!$A$4:$A$3003,0)),"—"))</f>
        <v/>
      </c>
      <c r="F182" s="22">
        <f>IF($C182="","",IFERROR(INDEX(ENVIOS!$D$4:$D$3003,MATCH($C182,ENVIOS!$A$4:$A$3003,0)),"—"))</f>
        <v/>
      </c>
      <c r="G182" s="22">
        <f>IF($C182="","",IFERROR(INDEX(ENVIOS!$E$4:$E$3003,MATCH($C182,ENVIOS!$A$4:$A$3003,0)),"—"))</f>
        <v/>
      </c>
      <c r="H182" s="22">
        <f>IF($C182="","",IFERROR(INDEX(ENVIOS!$F$4:$F$3003,MATCH($C182,ENVIOS!$A$4:$A$3003,0)),"—"))</f>
        <v/>
      </c>
      <c r="I182" s="27">
        <f>IF($C182="","",IFERROR(INDEX(ENVIOS!$G$4:$G$3003,MATCH($C182,ENVIOS!$A$4:$A$3003,0)),"—"))</f>
        <v/>
      </c>
      <c r="J182" s="48">
        <f>IF($C182="","",IFERROR(INDEX(ENVIOS!$B$4:$B$3003,MATCH($C182,ENVIOS!$A$4:$A$3003,0)),""))</f>
        <v/>
      </c>
      <c r="K182" s="49" t="n"/>
      <c r="L182" s="27">
        <f>IF($K182="","",IFERROR(INDEX(CONFIG!$B$4:$B$43,MATCH($K182,CONFIG!$A$4:$A$43,0)),"Media"))</f>
        <v/>
      </c>
      <c r="M182" s="27">
        <f>IF($K182="","",IFERROR(INDEX(CONFIG!$D$4:$D$43,MATCH($K182,CONFIG!$A$4:$A$43,0)),"NO"))</f>
        <v/>
      </c>
      <c r="N182" s="49" t="n"/>
      <c r="O182" s="27">
        <f>IF($N182="","",IFERROR(INDEX(CONFIG!$G$4:$G$43,MATCH($N182,CONFIG!$F$4:$F$43,0)),"Por definir"))</f>
        <v/>
      </c>
      <c r="P182" s="27">
        <f>IF($N182="","",IFERROR(INDEX(CONFIG!$H$4:$H$43,MATCH($N182,CONFIG!$F$4:$F$43,0)),"Por definir"))</f>
        <v/>
      </c>
      <c r="Q182" s="50" t="n"/>
      <c r="R182" s="51" t="n"/>
      <c r="S182" s="49" t="n"/>
      <c r="T182" s="49" t="n"/>
      <c r="U182" s="48">
        <f>IF(OR($B182="",$K182=""),"",WORKDAY($B182,IFERROR(INDEX(CONFIG!$C$4:$C$43,MATCH($K182,CONFIG!$A$4:$A$43,0)),3)))</f>
        <v/>
      </c>
      <c r="V182" s="46" t="n"/>
      <c r="W182" s="23">
        <f>IF($B182="","",IF($V182&lt;&gt;"",$V182-$B182,TODAY()-$B182))</f>
        <v/>
      </c>
      <c r="X182" s="27">
        <f>IF($C182="","",IF(IFERROR(INDEX(CONFIG!$K$4:$K$43,MATCH($S182,CONFIG!$J$4:$J$43,0)),"NO")="SÍ",IF(OR($V182="",$U182=""),"Resuelta",IF($V182&gt;$U182,"Resuelta tarde","Resuelta a tiempo")),IF($U182="","Sin clasificar",IF(TODAY()&gt;$U182,"Vencida",IF(TODAY()&gt;=$U182-1,"Por vencer","En plazo")))))</f>
        <v/>
      </c>
      <c r="Y182" s="49" t="n"/>
      <c r="Z182" s="49" t="n"/>
    </row>
    <row r="183" ht="16" customHeight="1">
      <c r="A183" s="27">
        <f>IF($C183="","","N-"&amp;TEXT(ROW()-3,"0000"))</f>
        <v/>
      </c>
      <c r="B183" s="46" t="n"/>
      <c r="C183" s="47" t="n"/>
      <c r="D183" s="27">
        <f>IF($C183="","",IF(COUNTIFS(ENVIOS!$A$4:$A$3003,$C183)=0,"NO EXISTE",IF(COUNTIFS(ENVIOS!$A$4:$A$3003,$C183)&gt;1,"DUPLICADA","OK")))</f>
        <v/>
      </c>
      <c r="E183" s="22">
        <f>IF($C183="","",IFERROR(INDEX(ENVIOS!$C$4:$C$3003,MATCH($C183,ENVIOS!$A$4:$A$3003,0)),"—"))</f>
        <v/>
      </c>
      <c r="F183" s="22">
        <f>IF($C183="","",IFERROR(INDEX(ENVIOS!$D$4:$D$3003,MATCH($C183,ENVIOS!$A$4:$A$3003,0)),"—"))</f>
        <v/>
      </c>
      <c r="G183" s="22">
        <f>IF($C183="","",IFERROR(INDEX(ENVIOS!$E$4:$E$3003,MATCH($C183,ENVIOS!$A$4:$A$3003,0)),"—"))</f>
        <v/>
      </c>
      <c r="H183" s="22">
        <f>IF($C183="","",IFERROR(INDEX(ENVIOS!$F$4:$F$3003,MATCH($C183,ENVIOS!$A$4:$A$3003,0)),"—"))</f>
        <v/>
      </c>
      <c r="I183" s="27">
        <f>IF($C183="","",IFERROR(INDEX(ENVIOS!$G$4:$G$3003,MATCH($C183,ENVIOS!$A$4:$A$3003,0)),"—"))</f>
        <v/>
      </c>
      <c r="J183" s="48">
        <f>IF($C183="","",IFERROR(INDEX(ENVIOS!$B$4:$B$3003,MATCH($C183,ENVIOS!$A$4:$A$3003,0)),""))</f>
        <v/>
      </c>
      <c r="K183" s="49" t="n"/>
      <c r="L183" s="27">
        <f>IF($K183="","",IFERROR(INDEX(CONFIG!$B$4:$B$43,MATCH($K183,CONFIG!$A$4:$A$43,0)),"Media"))</f>
        <v/>
      </c>
      <c r="M183" s="27">
        <f>IF($K183="","",IFERROR(INDEX(CONFIG!$D$4:$D$43,MATCH($K183,CONFIG!$A$4:$A$43,0)),"NO"))</f>
        <v/>
      </c>
      <c r="N183" s="49" t="n"/>
      <c r="O183" s="27">
        <f>IF($N183="","",IFERROR(INDEX(CONFIG!$G$4:$G$43,MATCH($N183,CONFIG!$F$4:$F$43,0)),"Por definir"))</f>
        <v/>
      </c>
      <c r="P183" s="27">
        <f>IF($N183="","",IFERROR(INDEX(CONFIG!$H$4:$H$43,MATCH($N183,CONFIG!$F$4:$F$43,0)),"Por definir"))</f>
        <v/>
      </c>
      <c r="Q183" s="50" t="n"/>
      <c r="R183" s="51" t="n"/>
      <c r="S183" s="49" t="n"/>
      <c r="T183" s="49" t="n"/>
      <c r="U183" s="48">
        <f>IF(OR($B183="",$K183=""),"",WORKDAY($B183,IFERROR(INDEX(CONFIG!$C$4:$C$43,MATCH($K183,CONFIG!$A$4:$A$43,0)),3)))</f>
        <v/>
      </c>
      <c r="V183" s="46" t="n"/>
      <c r="W183" s="23">
        <f>IF($B183="","",IF($V183&lt;&gt;"",$V183-$B183,TODAY()-$B183))</f>
        <v/>
      </c>
      <c r="X183" s="27">
        <f>IF($C183="","",IF(IFERROR(INDEX(CONFIG!$K$4:$K$43,MATCH($S183,CONFIG!$J$4:$J$43,0)),"NO")="SÍ",IF(OR($V183="",$U183=""),"Resuelta",IF($V183&gt;$U183,"Resuelta tarde","Resuelta a tiempo")),IF($U183="","Sin clasificar",IF(TODAY()&gt;$U183,"Vencida",IF(TODAY()&gt;=$U183-1,"Por vencer","En plazo")))))</f>
        <v/>
      </c>
      <c r="Y183" s="49" t="n"/>
      <c r="Z183" s="49" t="n"/>
    </row>
    <row r="184" ht="16" customHeight="1">
      <c r="A184" s="27">
        <f>IF($C184="","","N-"&amp;TEXT(ROW()-3,"0000"))</f>
        <v/>
      </c>
      <c r="B184" s="46" t="n"/>
      <c r="C184" s="47" t="n"/>
      <c r="D184" s="27">
        <f>IF($C184="","",IF(COUNTIFS(ENVIOS!$A$4:$A$3003,$C184)=0,"NO EXISTE",IF(COUNTIFS(ENVIOS!$A$4:$A$3003,$C184)&gt;1,"DUPLICADA","OK")))</f>
        <v/>
      </c>
      <c r="E184" s="22">
        <f>IF($C184="","",IFERROR(INDEX(ENVIOS!$C$4:$C$3003,MATCH($C184,ENVIOS!$A$4:$A$3003,0)),"—"))</f>
        <v/>
      </c>
      <c r="F184" s="22">
        <f>IF($C184="","",IFERROR(INDEX(ENVIOS!$D$4:$D$3003,MATCH($C184,ENVIOS!$A$4:$A$3003,0)),"—"))</f>
        <v/>
      </c>
      <c r="G184" s="22">
        <f>IF($C184="","",IFERROR(INDEX(ENVIOS!$E$4:$E$3003,MATCH($C184,ENVIOS!$A$4:$A$3003,0)),"—"))</f>
        <v/>
      </c>
      <c r="H184" s="22">
        <f>IF($C184="","",IFERROR(INDEX(ENVIOS!$F$4:$F$3003,MATCH($C184,ENVIOS!$A$4:$A$3003,0)),"—"))</f>
        <v/>
      </c>
      <c r="I184" s="27">
        <f>IF($C184="","",IFERROR(INDEX(ENVIOS!$G$4:$G$3003,MATCH($C184,ENVIOS!$A$4:$A$3003,0)),"—"))</f>
        <v/>
      </c>
      <c r="J184" s="48">
        <f>IF($C184="","",IFERROR(INDEX(ENVIOS!$B$4:$B$3003,MATCH($C184,ENVIOS!$A$4:$A$3003,0)),""))</f>
        <v/>
      </c>
      <c r="K184" s="49" t="n"/>
      <c r="L184" s="27">
        <f>IF($K184="","",IFERROR(INDEX(CONFIG!$B$4:$B$43,MATCH($K184,CONFIG!$A$4:$A$43,0)),"Media"))</f>
        <v/>
      </c>
      <c r="M184" s="27">
        <f>IF($K184="","",IFERROR(INDEX(CONFIG!$D$4:$D$43,MATCH($K184,CONFIG!$A$4:$A$43,0)),"NO"))</f>
        <v/>
      </c>
      <c r="N184" s="49" t="n"/>
      <c r="O184" s="27">
        <f>IF($N184="","",IFERROR(INDEX(CONFIG!$G$4:$G$43,MATCH($N184,CONFIG!$F$4:$F$43,0)),"Por definir"))</f>
        <v/>
      </c>
      <c r="P184" s="27">
        <f>IF($N184="","",IFERROR(INDEX(CONFIG!$H$4:$H$43,MATCH($N184,CONFIG!$F$4:$F$43,0)),"Por definir"))</f>
        <v/>
      </c>
      <c r="Q184" s="50" t="n"/>
      <c r="R184" s="51" t="n"/>
      <c r="S184" s="49" t="n"/>
      <c r="T184" s="49" t="n"/>
      <c r="U184" s="48">
        <f>IF(OR($B184="",$K184=""),"",WORKDAY($B184,IFERROR(INDEX(CONFIG!$C$4:$C$43,MATCH($K184,CONFIG!$A$4:$A$43,0)),3)))</f>
        <v/>
      </c>
      <c r="V184" s="46" t="n"/>
      <c r="W184" s="23">
        <f>IF($B184="","",IF($V184&lt;&gt;"",$V184-$B184,TODAY()-$B184))</f>
        <v/>
      </c>
      <c r="X184" s="27">
        <f>IF($C184="","",IF(IFERROR(INDEX(CONFIG!$K$4:$K$43,MATCH($S184,CONFIG!$J$4:$J$43,0)),"NO")="SÍ",IF(OR($V184="",$U184=""),"Resuelta",IF($V184&gt;$U184,"Resuelta tarde","Resuelta a tiempo")),IF($U184="","Sin clasificar",IF(TODAY()&gt;$U184,"Vencida",IF(TODAY()&gt;=$U184-1,"Por vencer","En plazo")))))</f>
        <v/>
      </c>
      <c r="Y184" s="49" t="n"/>
      <c r="Z184" s="49" t="n"/>
    </row>
    <row r="185" ht="16" customHeight="1">
      <c r="A185" s="27">
        <f>IF($C185="","","N-"&amp;TEXT(ROW()-3,"0000"))</f>
        <v/>
      </c>
      <c r="B185" s="46" t="n"/>
      <c r="C185" s="47" t="n"/>
      <c r="D185" s="27">
        <f>IF($C185="","",IF(COUNTIFS(ENVIOS!$A$4:$A$3003,$C185)=0,"NO EXISTE",IF(COUNTIFS(ENVIOS!$A$4:$A$3003,$C185)&gt;1,"DUPLICADA","OK")))</f>
        <v/>
      </c>
      <c r="E185" s="22">
        <f>IF($C185="","",IFERROR(INDEX(ENVIOS!$C$4:$C$3003,MATCH($C185,ENVIOS!$A$4:$A$3003,0)),"—"))</f>
        <v/>
      </c>
      <c r="F185" s="22">
        <f>IF($C185="","",IFERROR(INDEX(ENVIOS!$D$4:$D$3003,MATCH($C185,ENVIOS!$A$4:$A$3003,0)),"—"))</f>
        <v/>
      </c>
      <c r="G185" s="22">
        <f>IF($C185="","",IFERROR(INDEX(ENVIOS!$E$4:$E$3003,MATCH($C185,ENVIOS!$A$4:$A$3003,0)),"—"))</f>
        <v/>
      </c>
      <c r="H185" s="22">
        <f>IF($C185="","",IFERROR(INDEX(ENVIOS!$F$4:$F$3003,MATCH($C185,ENVIOS!$A$4:$A$3003,0)),"—"))</f>
        <v/>
      </c>
      <c r="I185" s="27">
        <f>IF($C185="","",IFERROR(INDEX(ENVIOS!$G$4:$G$3003,MATCH($C185,ENVIOS!$A$4:$A$3003,0)),"—"))</f>
        <v/>
      </c>
      <c r="J185" s="48">
        <f>IF($C185="","",IFERROR(INDEX(ENVIOS!$B$4:$B$3003,MATCH($C185,ENVIOS!$A$4:$A$3003,0)),""))</f>
        <v/>
      </c>
      <c r="K185" s="49" t="n"/>
      <c r="L185" s="27">
        <f>IF($K185="","",IFERROR(INDEX(CONFIG!$B$4:$B$43,MATCH($K185,CONFIG!$A$4:$A$43,0)),"Media"))</f>
        <v/>
      </c>
      <c r="M185" s="27">
        <f>IF($K185="","",IFERROR(INDEX(CONFIG!$D$4:$D$43,MATCH($K185,CONFIG!$A$4:$A$43,0)),"NO"))</f>
        <v/>
      </c>
      <c r="N185" s="49" t="n"/>
      <c r="O185" s="27">
        <f>IF($N185="","",IFERROR(INDEX(CONFIG!$G$4:$G$43,MATCH($N185,CONFIG!$F$4:$F$43,0)),"Por definir"))</f>
        <v/>
      </c>
      <c r="P185" s="27">
        <f>IF($N185="","",IFERROR(INDEX(CONFIG!$H$4:$H$43,MATCH($N185,CONFIG!$F$4:$F$43,0)),"Por definir"))</f>
        <v/>
      </c>
      <c r="Q185" s="50" t="n"/>
      <c r="R185" s="51" t="n"/>
      <c r="S185" s="49" t="n"/>
      <c r="T185" s="49" t="n"/>
      <c r="U185" s="48">
        <f>IF(OR($B185="",$K185=""),"",WORKDAY($B185,IFERROR(INDEX(CONFIG!$C$4:$C$43,MATCH($K185,CONFIG!$A$4:$A$43,0)),3)))</f>
        <v/>
      </c>
      <c r="V185" s="46" t="n"/>
      <c r="W185" s="23">
        <f>IF($B185="","",IF($V185&lt;&gt;"",$V185-$B185,TODAY()-$B185))</f>
        <v/>
      </c>
      <c r="X185" s="27">
        <f>IF($C185="","",IF(IFERROR(INDEX(CONFIG!$K$4:$K$43,MATCH($S185,CONFIG!$J$4:$J$43,0)),"NO")="SÍ",IF(OR($V185="",$U185=""),"Resuelta",IF($V185&gt;$U185,"Resuelta tarde","Resuelta a tiempo")),IF($U185="","Sin clasificar",IF(TODAY()&gt;$U185,"Vencida",IF(TODAY()&gt;=$U185-1,"Por vencer","En plazo")))))</f>
        <v/>
      </c>
      <c r="Y185" s="49" t="n"/>
      <c r="Z185" s="49" t="n"/>
    </row>
    <row r="186" ht="16" customHeight="1">
      <c r="A186" s="27">
        <f>IF($C186="","","N-"&amp;TEXT(ROW()-3,"0000"))</f>
        <v/>
      </c>
      <c r="B186" s="46" t="n"/>
      <c r="C186" s="47" t="n"/>
      <c r="D186" s="27">
        <f>IF($C186="","",IF(COUNTIFS(ENVIOS!$A$4:$A$3003,$C186)=0,"NO EXISTE",IF(COUNTIFS(ENVIOS!$A$4:$A$3003,$C186)&gt;1,"DUPLICADA","OK")))</f>
        <v/>
      </c>
      <c r="E186" s="22">
        <f>IF($C186="","",IFERROR(INDEX(ENVIOS!$C$4:$C$3003,MATCH($C186,ENVIOS!$A$4:$A$3003,0)),"—"))</f>
        <v/>
      </c>
      <c r="F186" s="22">
        <f>IF($C186="","",IFERROR(INDEX(ENVIOS!$D$4:$D$3003,MATCH($C186,ENVIOS!$A$4:$A$3003,0)),"—"))</f>
        <v/>
      </c>
      <c r="G186" s="22">
        <f>IF($C186="","",IFERROR(INDEX(ENVIOS!$E$4:$E$3003,MATCH($C186,ENVIOS!$A$4:$A$3003,0)),"—"))</f>
        <v/>
      </c>
      <c r="H186" s="22">
        <f>IF($C186="","",IFERROR(INDEX(ENVIOS!$F$4:$F$3003,MATCH($C186,ENVIOS!$A$4:$A$3003,0)),"—"))</f>
        <v/>
      </c>
      <c r="I186" s="27">
        <f>IF($C186="","",IFERROR(INDEX(ENVIOS!$G$4:$G$3003,MATCH($C186,ENVIOS!$A$4:$A$3003,0)),"—"))</f>
        <v/>
      </c>
      <c r="J186" s="48">
        <f>IF($C186="","",IFERROR(INDEX(ENVIOS!$B$4:$B$3003,MATCH($C186,ENVIOS!$A$4:$A$3003,0)),""))</f>
        <v/>
      </c>
      <c r="K186" s="49" t="n"/>
      <c r="L186" s="27">
        <f>IF($K186="","",IFERROR(INDEX(CONFIG!$B$4:$B$43,MATCH($K186,CONFIG!$A$4:$A$43,0)),"Media"))</f>
        <v/>
      </c>
      <c r="M186" s="27">
        <f>IF($K186="","",IFERROR(INDEX(CONFIG!$D$4:$D$43,MATCH($K186,CONFIG!$A$4:$A$43,0)),"NO"))</f>
        <v/>
      </c>
      <c r="N186" s="49" t="n"/>
      <c r="O186" s="27">
        <f>IF($N186="","",IFERROR(INDEX(CONFIG!$G$4:$G$43,MATCH($N186,CONFIG!$F$4:$F$43,0)),"Por definir"))</f>
        <v/>
      </c>
      <c r="P186" s="27">
        <f>IF($N186="","",IFERROR(INDEX(CONFIG!$H$4:$H$43,MATCH($N186,CONFIG!$F$4:$F$43,0)),"Por definir"))</f>
        <v/>
      </c>
      <c r="Q186" s="50" t="n"/>
      <c r="R186" s="51" t="n"/>
      <c r="S186" s="49" t="n"/>
      <c r="T186" s="49" t="n"/>
      <c r="U186" s="48">
        <f>IF(OR($B186="",$K186=""),"",WORKDAY($B186,IFERROR(INDEX(CONFIG!$C$4:$C$43,MATCH($K186,CONFIG!$A$4:$A$43,0)),3)))</f>
        <v/>
      </c>
      <c r="V186" s="46" t="n"/>
      <c r="W186" s="23">
        <f>IF($B186="","",IF($V186&lt;&gt;"",$V186-$B186,TODAY()-$B186))</f>
        <v/>
      </c>
      <c r="X186" s="27">
        <f>IF($C186="","",IF(IFERROR(INDEX(CONFIG!$K$4:$K$43,MATCH($S186,CONFIG!$J$4:$J$43,0)),"NO")="SÍ",IF(OR($V186="",$U186=""),"Resuelta",IF($V186&gt;$U186,"Resuelta tarde","Resuelta a tiempo")),IF($U186="","Sin clasificar",IF(TODAY()&gt;$U186,"Vencida",IF(TODAY()&gt;=$U186-1,"Por vencer","En plazo")))))</f>
        <v/>
      </c>
      <c r="Y186" s="49" t="n"/>
      <c r="Z186" s="49" t="n"/>
    </row>
    <row r="187" ht="16" customHeight="1">
      <c r="A187" s="27">
        <f>IF($C187="","","N-"&amp;TEXT(ROW()-3,"0000"))</f>
        <v/>
      </c>
      <c r="B187" s="46" t="n"/>
      <c r="C187" s="47" t="n"/>
      <c r="D187" s="27">
        <f>IF($C187="","",IF(COUNTIFS(ENVIOS!$A$4:$A$3003,$C187)=0,"NO EXISTE",IF(COUNTIFS(ENVIOS!$A$4:$A$3003,$C187)&gt;1,"DUPLICADA","OK")))</f>
        <v/>
      </c>
      <c r="E187" s="22">
        <f>IF($C187="","",IFERROR(INDEX(ENVIOS!$C$4:$C$3003,MATCH($C187,ENVIOS!$A$4:$A$3003,0)),"—"))</f>
        <v/>
      </c>
      <c r="F187" s="22">
        <f>IF($C187="","",IFERROR(INDEX(ENVIOS!$D$4:$D$3003,MATCH($C187,ENVIOS!$A$4:$A$3003,0)),"—"))</f>
        <v/>
      </c>
      <c r="G187" s="22">
        <f>IF($C187="","",IFERROR(INDEX(ENVIOS!$E$4:$E$3003,MATCH($C187,ENVIOS!$A$4:$A$3003,0)),"—"))</f>
        <v/>
      </c>
      <c r="H187" s="22">
        <f>IF($C187="","",IFERROR(INDEX(ENVIOS!$F$4:$F$3003,MATCH($C187,ENVIOS!$A$4:$A$3003,0)),"—"))</f>
        <v/>
      </c>
      <c r="I187" s="27">
        <f>IF($C187="","",IFERROR(INDEX(ENVIOS!$G$4:$G$3003,MATCH($C187,ENVIOS!$A$4:$A$3003,0)),"—"))</f>
        <v/>
      </c>
      <c r="J187" s="48">
        <f>IF($C187="","",IFERROR(INDEX(ENVIOS!$B$4:$B$3003,MATCH($C187,ENVIOS!$A$4:$A$3003,0)),""))</f>
        <v/>
      </c>
      <c r="K187" s="49" t="n"/>
      <c r="L187" s="27">
        <f>IF($K187="","",IFERROR(INDEX(CONFIG!$B$4:$B$43,MATCH($K187,CONFIG!$A$4:$A$43,0)),"Media"))</f>
        <v/>
      </c>
      <c r="M187" s="27">
        <f>IF($K187="","",IFERROR(INDEX(CONFIG!$D$4:$D$43,MATCH($K187,CONFIG!$A$4:$A$43,0)),"NO"))</f>
        <v/>
      </c>
      <c r="N187" s="49" t="n"/>
      <c r="O187" s="27">
        <f>IF($N187="","",IFERROR(INDEX(CONFIG!$G$4:$G$43,MATCH($N187,CONFIG!$F$4:$F$43,0)),"Por definir"))</f>
        <v/>
      </c>
      <c r="P187" s="27">
        <f>IF($N187="","",IFERROR(INDEX(CONFIG!$H$4:$H$43,MATCH($N187,CONFIG!$F$4:$F$43,0)),"Por definir"))</f>
        <v/>
      </c>
      <c r="Q187" s="50" t="n"/>
      <c r="R187" s="51" t="n"/>
      <c r="S187" s="49" t="n"/>
      <c r="T187" s="49" t="n"/>
      <c r="U187" s="48">
        <f>IF(OR($B187="",$K187=""),"",WORKDAY($B187,IFERROR(INDEX(CONFIG!$C$4:$C$43,MATCH($K187,CONFIG!$A$4:$A$43,0)),3)))</f>
        <v/>
      </c>
      <c r="V187" s="46" t="n"/>
      <c r="W187" s="23">
        <f>IF($B187="","",IF($V187&lt;&gt;"",$V187-$B187,TODAY()-$B187))</f>
        <v/>
      </c>
      <c r="X187" s="27">
        <f>IF($C187="","",IF(IFERROR(INDEX(CONFIG!$K$4:$K$43,MATCH($S187,CONFIG!$J$4:$J$43,0)),"NO")="SÍ",IF(OR($V187="",$U187=""),"Resuelta",IF($V187&gt;$U187,"Resuelta tarde","Resuelta a tiempo")),IF($U187="","Sin clasificar",IF(TODAY()&gt;$U187,"Vencida",IF(TODAY()&gt;=$U187-1,"Por vencer","En plazo")))))</f>
        <v/>
      </c>
      <c r="Y187" s="49" t="n"/>
      <c r="Z187" s="49" t="n"/>
    </row>
    <row r="188" ht="16" customHeight="1">
      <c r="A188" s="27">
        <f>IF($C188="","","N-"&amp;TEXT(ROW()-3,"0000"))</f>
        <v/>
      </c>
      <c r="B188" s="46" t="n"/>
      <c r="C188" s="47" t="n"/>
      <c r="D188" s="27">
        <f>IF($C188="","",IF(COUNTIFS(ENVIOS!$A$4:$A$3003,$C188)=0,"NO EXISTE",IF(COUNTIFS(ENVIOS!$A$4:$A$3003,$C188)&gt;1,"DUPLICADA","OK")))</f>
        <v/>
      </c>
      <c r="E188" s="22">
        <f>IF($C188="","",IFERROR(INDEX(ENVIOS!$C$4:$C$3003,MATCH($C188,ENVIOS!$A$4:$A$3003,0)),"—"))</f>
        <v/>
      </c>
      <c r="F188" s="22">
        <f>IF($C188="","",IFERROR(INDEX(ENVIOS!$D$4:$D$3003,MATCH($C188,ENVIOS!$A$4:$A$3003,0)),"—"))</f>
        <v/>
      </c>
      <c r="G188" s="22">
        <f>IF($C188="","",IFERROR(INDEX(ENVIOS!$E$4:$E$3003,MATCH($C188,ENVIOS!$A$4:$A$3003,0)),"—"))</f>
        <v/>
      </c>
      <c r="H188" s="22">
        <f>IF($C188="","",IFERROR(INDEX(ENVIOS!$F$4:$F$3003,MATCH($C188,ENVIOS!$A$4:$A$3003,0)),"—"))</f>
        <v/>
      </c>
      <c r="I188" s="27">
        <f>IF($C188="","",IFERROR(INDEX(ENVIOS!$G$4:$G$3003,MATCH($C188,ENVIOS!$A$4:$A$3003,0)),"—"))</f>
        <v/>
      </c>
      <c r="J188" s="48">
        <f>IF($C188="","",IFERROR(INDEX(ENVIOS!$B$4:$B$3003,MATCH($C188,ENVIOS!$A$4:$A$3003,0)),""))</f>
        <v/>
      </c>
      <c r="K188" s="49" t="n"/>
      <c r="L188" s="27">
        <f>IF($K188="","",IFERROR(INDEX(CONFIG!$B$4:$B$43,MATCH($K188,CONFIG!$A$4:$A$43,0)),"Media"))</f>
        <v/>
      </c>
      <c r="M188" s="27">
        <f>IF($K188="","",IFERROR(INDEX(CONFIG!$D$4:$D$43,MATCH($K188,CONFIG!$A$4:$A$43,0)),"NO"))</f>
        <v/>
      </c>
      <c r="N188" s="49" t="n"/>
      <c r="O188" s="27">
        <f>IF($N188="","",IFERROR(INDEX(CONFIG!$G$4:$G$43,MATCH($N188,CONFIG!$F$4:$F$43,0)),"Por definir"))</f>
        <v/>
      </c>
      <c r="P188" s="27">
        <f>IF($N188="","",IFERROR(INDEX(CONFIG!$H$4:$H$43,MATCH($N188,CONFIG!$F$4:$F$43,0)),"Por definir"))</f>
        <v/>
      </c>
      <c r="Q188" s="50" t="n"/>
      <c r="R188" s="51" t="n"/>
      <c r="S188" s="49" t="n"/>
      <c r="T188" s="49" t="n"/>
      <c r="U188" s="48">
        <f>IF(OR($B188="",$K188=""),"",WORKDAY($B188,IFERROR(INDEX(CONFIG!$C$4:$C$43,MATCH($K188,CONFIG!$A$4:$A$43,0)),3)))</f>
        <v/>
      </c>
      <c r="V188" s="46" t="n"/>
      <c r="W188" s="23">
        <f>IF($B188="","",IF($V188&lt;&gt;"",$V188-$B188,TODAY()-$B188))</f>
        <v/>
      </c>
      <c r="X188" s="27">
        <f>IF($C188="","",IF(IFERROR(INDEX(CONFIG!$K$4:$K$43,MATCH($S188,CONFIG!$J$4:$J$43,0)),"NO")="SÍ",IF(OR($V188="",$U188=""),"Resuelta",IF($V188&gt;$U188,"Resuelta tarde","Resuelta a tiempo")),IF($U188="","Sin clasificar",IF(TODAY()&gt;$U188,"Vencida",IF(TODAY()&gt;=$U188-1,"Por vencer","En plazo")))))</f>
        <v/>
      </c>
      <c r="Y188" s="49" t="n"/>
      <c r="Z188" s="49" t="n"/>
    </row>
    <row r="189" ht="16" customHeight="1">
      <c r="A189" s="27">
        <f>IF($C189="","","N-"&amp;TEXT(ROW()-3,"0000"))</f>
        <v/>
      </c>
      <c r="B189" s="46" t="n"/>
      <c r="C189" s="47" t="n"/>
      <c r="D189" s="27">
        <f>IF($C189="","",IF(COUNTIFS(ENVIOS!$A$4:$A$3003,$C189)=0,"NO EXISTE",IF(COUNTIFS(ENVIOS!$A$4:$A$3003,$C189)&gt;1,"DUPLICADA","OK")))</f>
        <v/>
      </c>
      <c r="E189" s="22">
        <f>IF($C189="","",IFERROR(INDEX(ENVIOS!$C$4:$C$3003,MATCH($C189,ENVIOS!$A$4:$A$3003,0)),"—"))</f>
        <v/>
      </c>
      <c r="F189" s="22">
        <f>IF($C189="","",IFERROR(INDEX(ENVIOS!$D$4:$D$3003,MATCH($C189,ENVIOS!$A$4:$A$3003,0)),"—"))</f>
        <v/>
      </c>
      <c r="G189" s="22">
        <f>IF($C189="","",IFERROR(INDEX(ENVIOS!$E$4:$E$3003,MATCH($C189,ENVIOS!$A$4:$A$3003,0)),"—"))</f>
        <v/>
      </c>
      <c r="H189" s="22">
        <f>IF($C189="","",IFERROR(INDEX(ENVIOS!$F$4:$F$3003,MATCH($C189,ENVIOS!$A$4:$A$3003,0)),"—"))</f>
        <v/>
      </c>
      <c r="I189" s="27">
        <f>IF($C189="","",IFERROR(INDEX(ENVIOS!$G$4:$G$3003,MATCH($C189,ENVIOS!$A$4:$A$3003,0)),"—"))</f>
        <v/>
      </c>
      <c r="J189" s="48">
        <f>IF($C189="","",IFERROR(INDEX(ENVIOS!$B$4:$B$3003,MATCH($C189,ENVIOS!$A$4:$A$3003,0)),""))</f>
        <v/>
      </c>
      <c r="K189" s="49" t="n"/>
      <c r="L189" s="27">
        <f>IF($K189="","",IFERROR(INDEX(CONFIG!$B$4:$B$43,MATCH($K189,CONFIG!$A$4:$A$43,0)),"Media"))</f>
        <v/>
      </c>
      <c r="M189" s="27">
        <f>IF($K189="","",IFERROR(INDEX(CONFIG!$D$4:$D$43,MATCH($K189,CONFIG!$A$4:$A$43,0)),"NO"))</f>
        <v/>
      </c>
      <c r="N189" s="49" t="n"/>
      <c r="O189" s="27">
        <f>IF($N189="","",IFERROR(INDEX(CONFIG!$G$4:$G$43,MATCH($N189,CONFIG!$F$4:$F$43,0)),"Por definir"))</f>
        <v/>
      </c>
      <c r="P189" s="27">
        <f>IF($N189="","",IFERROR(INDEX(CONFIG!$H$4:$H$43,MATCH($N189,CONFIG!$F$4:$F$43,0)),"Por definir"))</f>
        <v/>
      </c>
      <c r="Q189" s="50" t="n"/>
      <c r="R189" s="51" t="n"/>
      <c r="S189" s="49" t="n"/>
      <c r="T189" s="49" t="n"/>
      <c r="U189" s="48">
        <f>IF(OR($B189="",$K189=""),"",WORKDAY($B189,IFERROR(INDEX(CONFIG!$C$4:$C$43,MATCH($K189,CONFIG!$A$4:$A$43,0)),3)))</f>
        <v/>
      </c>
      <c r="V189" s="46" t="n"/>
      <c r="W189" s="23">
        <f>IF($B189="","",IF($V189&lt;&gt;"",$V189-$B189,TODAY()-$B189))</f>
        <v/>
      </c>
      <c r="X189" s="27">
        <f>IF($C189="","",IF(IFERROR(INDEX(CONFIG!$K$4:$K$43,MATCH($S189,CONFIG!$J$4:$J$43,0)),"NO")="SÍ",IF(OR($V189="",$U189=""),"Resuelta",IF($V189&gt;$U189,"Resuelta tarde","Resuelta a tiempo")),IF($U189="","Sin clasificar",IF(TODAY()&gt;$U189,"Vencida",IF(TODAY()&gt;=$U189-1,"Por vencer","En plazo")))))</f>
        <v/>
      </c>
      <c r="Y189" s="49" t="n"/>
      <c r="Z189" s="49" t="n"/>
    </row>
    <row r="190" ht="16" customHeight="1">
      <c r="A190" s="27">
        <f>IF($C190="","","N-"&amp;TEXT(ROW()-3,"0000"))</f>
        <v/>
      </c>
      <c r="B190" s="46" t="n"/>
      <c r="C190" s="47" t="n"/>
      <c r="D190" s="27">
        <f>IF($C190="","",IF(COUNTIFS(ENVIOS!$A$4:$A$3003,$C190)=0,"NO EXISTE",IF(COUNTIFS(ENVIOS!$A$4:$A$3003,$C190)&gt;1,"DUPLICADA","OK")))</f>
        <v/>
      </c>
      <c r="E190" s="22">
        <f>IF($C190="","",IFERROR(INDEX(ENVIOS!$C$4:$C$3003,MATCH($C190,ENVIOS!$A$4:$A$3003,0)),"—"))</f>
        <v/>
      </c>
      <c r="F190" s="22">
        <f>IF($C190="","",IFERROR(INDEX(ENVIOS!$D$4:$D$3003,MATCH($C190,ENVIOS!$A$4:$A$3003,0)),"—"))</f>
        <v/>
      </c>
      <c r="G190" s="22">
        <f>IF($C190="","",IFERROR(INDEX(ENVIOS!$E$4:$E$3003,MATCH($C190,ENVIOS!$A$4:$A$3003,0)),"—"))</f>
        <v/>
      </c>
      <c r="H190" s="22">
        <f>IF($C190="","",IFERROR(INDEX(ENVIOS!$F$4:$F$3003,MATCH($C190,ENVIOS!$A$4:$A$3003,0)),"—"))</f>
        <v/>
      </c>
      <c r="I190" s="27">
        <f>IF($C190="","",IFERROR(INDEX(ENVIOS!$G$4:$G$3003,MATCH($C190,ENVIOS!$A$4:$A$3003,0)),"—"))</f>
        <v/>
      </c>
      <c r="J190" s="48">
        <f>IF($C190="","",IFERROR(INDEX(ENVIOS!$B$4:$B$3003,MATCH($C190,ENVIOS!$A$4:$A$3003,0)),""))</f>
        <v/>
      </c>
      <c r="K190" s="49" t="n"/>
      <c r="L190" s="27">
        <f>IF($K190="","",IFERROR(INDEX(CONFIG!$B$4:$B$43,MATCH($K190,CONFIG!$A$4:$A$43,0)),"Media"))</f>
        <v/>
      </c>
      <c r="M190" s="27">
        <f>IF($K190="","",IFERROR(INDEX(CONFIG!$D$4:$D$43,MATCH($K190,CONFIG!$A$4:$A$43,0)),"NO"))</f>
        <v/>
      </c>
      <c r="N190" s="49" t="n"/>
      <c r="O190" s="27">
        <f>IF($N190="","",IFERROR(INDEX(CONFIG!$G$4:$G$43,MATCH($N190,CONFIG!$F$4:$F$43,0)),"Por definir"))</f>
        <v/>
      </c>
      <c r="P190" s="27">
        <f>IF($N190="","",IFERROR(INDEX(CONFIG!$H$4:$H$43,MATCH($N190,CONFIG!$F$4:$F$43,0)),"Por definir"))</f>
        <v/>
      </c>
      <c r="Q190" s="50" t="n"/>
      <c r="R190" s="51" t="n"/>
      <c r="S190" s="49" t="n"/>
      <c r="T190" s="49" t="n"/>
      <c r="U190" s="48">
        <f>IF(OR($B190="",$K190=""),"",WORKDAY($B190,IFERROR(INDEX(CONFIG!$C$4:$C$43,MATCH($K190,CONFIG!$A$4:$A$43,0)),3)))</f>
        <v/>
      </c>
      <c r="V190" s="46" t="n"/>
      <c r="W190" s="23">
        <f>IF($B190="","",IF($V190&lt;&gt;"",$V190-$B190,TODAY()-$B190))</f>
        <v/>
      </c>
      <c r="X190" s="27">
        <f>IF($C190="","",IF(IFERROR(INDEX(CONFIG!$K$4:$K$43,MATCH($S190,CONFIG!$J$4:$J$43,0)),"NO")="SÍ",IF(OR($V190="",$U190=""),"Resuelta",IF($V190&gt;$U190,"Resuelta tarde","Resuelta a tiempo")),IF($U190="","Sin clasificar",IF(TODAY()&gt;$U190,"Vencida",IF(TODAY()&gt;=$U190-1,"Por vencer","En plazo")))))</f>
        <v/>
      </c>
      <c r="Y190" s="49" t="n"/>
      <c r="Z190" s="49" t="n"/>
    </row>
    <row r="191" ht="16" customHeight="1">
      <c r="A191" s="27">
        <f>IF($C191="","","N-"&amp;TEXT(ROW()-3,"0000"))</f>
        <v/>
      </c>
      <c r="B191" s="46" t="n"/>
      <c r="C191" s="47" t="n"/>
      <c r="D191" s="27">
        <f>IF($C191="","",IF(COUNTIFS(ENVIOS!$A$4:$A$3003,$C191)=0,"NO EXISTE",IF(COUNTIFS(ENVIOS!$A$4:$A$3003,$C191)&gt;1,"DUPLICADA","OK")))</f>
        <v/>
      </c>
      <c r="E191" s="22">
        <f>IF($C191="","",IFERROR(INDEX(ENVIOS!$C$4:$C$3003,MATCH($C191,ENVIOS!$A$4:$A$3003,0)),"—"))</f>
        <v/>
      </c>
      <c r="F191" s="22">
        <f>IF($C191="","",IFERROR(INDEX(ENVIOS!$D$4:$D$3003,MATCH($C191,ENVIOS!$A$4:$A$3003,0)),"—"))</f>
        <v/>
      </c>
      <c r="G191" s="22">
        <f>IF($C191="","",IFERROR(INDEX(ENVIOS!$E$4:$E$3003,MATCH($C191,ENVIOS!$A$4:$A$3003,0)),"—"))</f>
        <v/>
      </c>
      <c r="H191" s="22">
        <f>IF($C191="","",IFERROR(INDEX(ENVIOS!$F$4:$F$3003,MATCH($C191,ENVIOS!$A$4:$A$3003,0)),"—"))</f>
        <v/>
      </c>
      <c r="I191" s="27">
        <f>IF($C191="","",IFERROR(INDEX(ENVIOS!$G$4:$G$3003,MATCH($C191,ENVIOS!$A$4:$A$3003,0)),"—"))</f>
        <v/>
      </c>
      <c r="J191" s="48">
        <f>IF($C191="","",IFERROR(INDEX(ENVIOS!$B$4:$B$3003,MATCH($C191,ENVIOS!$A$4:$A$3003,0)),""))</f>
        <v/>
      </c>
      <c r="K191" s="49" t="n"/>
      <c r="L191" s="27">
        <f>IF($K191="","",IFERROR(INDEX(CONFIG!$B$4:$B$43,MATCH($K191,CONFIG!$A$4:$A$43,0)),"Media"))</f>
        <v/>
      </c>
      <c r="M191" s="27">
        <f>IF($K191="","",IFERROR(INDEX(CONFIG!$D$4:$D$43,MATCH($K191,CONFIG!$A$4:$A$43,0)),"NO"))</f>
        <v/>
      </c>
      <c r="N191" s="49" t="n"/>
      <c r="O191" s="27">
        <f>IF($N191="","",IFERROR(INDEX(CONFIG!$G$4:$G$43,MATCH($N191,CONFIG!$F$4:$F$43,0)),"Por definir"))</f>
        <v/>
      </c>
      <c r="P191" s="27">
        <f>IF($N191="","",IFERROR(INDEX(CONFIG!$H$4:$H$43,MATCH($N191,CONFIG!$F$4:$F$43,0)),"Por definir"))</f>
        <v/>
      </c>
      <c r="Q191" s="50" t="n"/>
      <c r="R191" s="51" t="n"/>
      <c r="S191" s="49" t="n"/>
      <c r="T191" s="49" t="n"/>
      <c r="U191" s="48">
        <f>IF(OR($B191="",$K191=""),"",WORKDAY($B191,IFERROR(INDEX(CONFIG!$C$4:$C$43,MATCH($K191,CONFIG!$A$4:$A$43,0)),3)))</f>
        <v/>
      </c>
      <c r="V191" s="46" t="n"/>
      <c r="W191" s="23">
        <f>IF($B191="","",IF($V191&lt;&gt;"",$V191-$B191,TODAY()-$B191))</f>
        <v/>
      </c>
      <c r="X191" s="27">
        <f>IF($C191="","",IF(IFERROR(INDEX(CONFIG!$K$4:$K$43,MATCH($S191,CONFIG!$J$4:$J$43,0)),"NO")="SÍ",IF(OR($V191="",$U191=""),"Resuelta",IF($V191&gt;$U191,"Resuelta tarde","Resuelta a tiempo")),IF($U191="","Sin clasificar",IF(TODAY()&gt;$U191,"Vencida",IF(TODAY()&gt;=$U191-1,"Por vencer","En plazo")))))</f>
        <v/>
      </c>
      <c r="Y191" s="49" t="n"/>
      <c r="Z191" s="49" t="n"/>
    </row>
    <row r="192" ht="16" customHeight="1">
      <c r="A192" s="27">
        <f>IF($C192="","","N-"&amp;TEXT(ROW()-3,"0000"))</f>
        <v/>
      </c>
      <c r="B192" s="46" t="n"/>
      <c r="C192" s="47" t="n"/>
      <c r="D192" s="27">
        <f>IF($C192="","",IF(COUNTIFS(ENVIOS!$A$4:$A$3003,$C192)=0,"NO EXISTE",IF(COUNTIFS(ENVIOS!$A$4:$A$3003,$C192)&gt;1,"DUPLICADA","OK")))</f>
        <v/>
      </c>
      <c r="E192" s="22">
        <f>IF($C192="","",IFERROR(INDEX(ENVIOS!$C$4:$C$3003,MATCH($C192,ENVIOS!$A$4:$A$3003,0)),"—"))</f>
        <v/>
      </c>
      <c r="F192" s="22">
        <f>IF($C192="","",IFERROR(INDEX(ENVIOS!$D$4:$D$3003,MATCH($C192,ENVIOS!$A$4:$A$3003,0)),"—"))</f>
        <v/>
      </c>
      <c r="G192" s="22">
        <f>IF($C192="","",IFERROR(INDEX(ENVIOS!$E$4:$E$3003,MATCH($C192,ENVIOS!$A$4:$A$3003,0)),"—"))</f>
        <v/>
      </c>
      <c r="H192" s="22">
        <f>IF($C192="","",IFERROR(INDEX(ENVIOS!$F$4:$F$3003,MATCH($C192,ENVIOS!$A$4:$A$3003,0)),"—"))</f>
        <v/>
      </c>
      <c r="I192" s="27">
        <f>IF($C192="","",IFERROR(INDEX(ENVIOS!$G$4:$G$3003,MATCH($C192,ENVIOS!$A$4:$A$3003,0)),"—"))</f>
        <v/>
      </c>
      <c r="J192" s="48">
        <f>IF($C192="","",IFERROR(INDEX(ENVIOS!$B$4:$B$3003,MATCH($C192,ENVIOS!$A$4:$A$3003,0)),""))</f>
        <v/>
      </c>
      <c r="K192" s="49" t="n"/>
      <c r="L192" s="27">
        <f>IF($K192="","",IFERROR(INDEX(CONFIG!$B$4:$B$43,MATCH($K192,CONFIG!$A$4:$A$43,0)),"Media"))</f>
        <v/>
      </c>
      <c r="M192" s="27">
        <f>IF($K192="","",IFERROR(INDEX(CONFIG!$D$4:$D$43,MATCH($K192,CONFIG!$A$4:$A$43,0)),"NO"))</f>
        <v/>
      </c>
      <c r="N192" s="49" t="n"/>
      <c r="O192" s="27">
        <f>IF($N192="","",IFERROR(INDEX(CONFIG!$G$4:$G$43,MATCH($N192,CONFIG!$F$4:$F$43,0)),"Por definir"))</f>
        <v/>
      </c>
      <c r="P192" s="27">
        <f>IF($N192="","",IFERROR(INDEX(CONFIG!$H$4:$H$43,MATCH($N192,CONFIG!$F$4:$F$43,0)),"Por definir"))</f>
        <v/>
      </c>
      <c r="Q192" s="50" t="n"/>
      <c r="R192" s="51" t="n"/>
      <c r="S192" s="49" t="n"/>
      <c r="T192" s="49" t="n"/>
      <c r="U192" s="48">
        <f>IF(OR($B192="",$K192=""),"",WORKDAY($B192,IFERROR(INDEX(CONFIG!$C$4:$C$43,MATCH($K192,CONFIG!$A$4:$A$43,0)),3)))</f>
        <v/>
      </c>
      <c r="V192" s="46" t="n"/>
      <c r="W192" s="23">
        <f>IF($B192="","",IF($V192&lt;&gt;"",$V192-$B192,TODAY()-$B192))</f>
        <v/>
      </c>
      <c r="X192" s="27">
        <f>IF($C192="","",IF(IFERROR(INDEX(CONFIG!$K$4:$K$43,MATCH($S192,CONFIG!$J$4:$J$43,0)),"NO")="SÍ",IF(OR($V192="",$U192=""),"Resuelta",IF($V192&gt;$U192,"Resuelta tarde","Resuelta a tiempo")),IF($U192="","Sin clasificar",IF(TODAY()&gt;$U192,"Vencida",IF(TODAY()&gt;=$U192-1,"Por vencer","En plazo")))))</f>
        <v/>
      </c>
      <c r="Y192" s="49" t="n"/>
      <c r="Z192" s="49" t="n"/>
    </row>
    <row r="193" ht="16" customHeight="1">
      <c r="A193" s="27">
        <f>IF($C193="","","N-"&amp;TEXT(ROW()-3,"0000"))</f>
        <v/>
      </c>
      <c r="B193" s="46" t="n"/>
      <c r="C193" s="47" t="n"/>
      <c r="D193" s="27">
        <f>IF($C193="","",IF(COUNTIFS(ENVIOS!$A$4:$A$3003,$C193)=0,"NO EXISTE",IF(COUNTIFS(ENVIOS!$A$4:$A$3003,$C193)&gt;1,"DUPLICADA","OK")))</f>
        <v/>
      </c>
      <c r="E193" s="22">
        <f>IF($C193="","",IFERROR(INDEX(ENVIOS!$C$4:$C$3003,MATCH($C193,ENVIOS!$A$4:$A$3003,0)),"—"))</f>
        <v/>
      </c>
      <c r="F193" s="22">
        <f>IF($C193="","",IFERROR(INDEX(ENVIOS!$D$4:$D$3003,MATCH($C193,ENVIOS!$A$4:$A$3003,0)),"—"))</f>
        <v/>
      </c>
      <c r="G193" s="22">
        <f>IF($C193="","",IFERROR(INDEX(ENVIOS!$E$4:$E$3003,MATCH($C193,ENVIOS!$A$4:$A$3003,0)),"—"))</f>
        <v/>
      </c>
      <c r="H193" s="22">
        <f>IF($C193="","",IFERROR(INDEX(ENVIOS!$F$4:$F$3003,MATCH($C193,ENVIOS!$A$4:$A$3003,0)),"—"))</f>
        <v/>
      </c>
      <c r="I193" s="27">
        <f>IF($C193="","",IFERROR(INDEX(ENVIOS!$G$4:$G$3003,MATCH($C193,ENVIOS!$A$4:$A$3003,0)),"—"))</f>
        <v/>
      </c>
      <c r="J193" s="48">
        <f>IF($C193="","",IFERROR(INDEX(ENVIOS!$B$4:$B$3003,MATCH($C193,ENVIOS!$A$4:$A$3003,0)),""))</f>
        <v/>
      </c>
      <c r="K193" s="49" t="n"/>
      <c r="L193" s="27">
        <f>IF($K193="","",IFERROR(INDEX(CONFIG!$B$4:$B$43,MATCH($K193,CONFIG!$A$4:$A$43,0)),"Media"))</f>
        <v/>
      </c>
      <c r="M193" s="27">
        <f>IF($K193="","",IFERROR(INDEX(CONFIG!$D$4:$D$43,MATCH($K193,CONFIG!$A$4:$A$43,0)),"NO"))</f>
        <v/>
      </c>
      <c r="N193" s="49" t="n"/>
      <c r="O193" s="27">
        <f>IF($N193="","",IFERROR(INDEX(CONFIG!$G$4:$G$43,MATCH($N193,CONFIG!$F$4:$F$43,0)),"Por definir"))</f>
        <v/>
      </c>
      <c r="P193" s="27">
        <f>IF($N193="","",IFERROR(INDEX(CONFIG!$H$4:$H$43,MATCH($N193,CONFIG!$F$4:$F$43,0)),"Por definir"))</f>
        <v/>
      </c>
      <c r="Q193" s="50" t="n"/>
      <c r="R193" s="51" t="n"/>
      <c r="S193" s="49" t="n"/>
      <c r="T193" s="49" t="n"/>
      <c r="U193" s="48">
        <f>IF(OR($B193="",$K193=""),"",WORKDAY($B193,IFERROR(INDEX(CONFIG!$C$4:$C$43,MATCH($K193,CONFIG!$A$4:$A$43,0)),3)))</f>
        <v/>
      </c>
      <c r="V193" s="46" t="n"/>
      <c r="W193" s="23">
        <f>IF($B193="","",IF($V193&lt;&gt;"",$V193-$B193,TODAY()-$B193))</f>
        <v/>
      </c>
      <c r="X193" s="27">
        <f>IF($C193="","",IF(IFERROR(INDEX(CONFIG!$K$4:$K$43,MATCH($S193,CONFIG!$J$4:$J$43,0)),"NO")="SÍ",IF(OR($V193="",$U193=""),"Resuelta",IF($V193&gt;$U193,"Resuelta tarde","Resuelta a tiempo")),IF($U193="","Sin clasificar",IF(TODAY()&gt;$U193,"Vencida",IF(TODAY()&gt;=$U193-1,"Por vencer","En plazo")))))</f>
        <v/>
      </c>
      <c r="Y193" s="49" t="n"/>
      <c r="Z193" s="49" t="n"/>
    </row>
    <row r="194" ht="16" customHeight="1">
      <c r="A194" s="27">
        <f>IF($C194="","","N-"&amp;TEXT(ROW()-3,"0000"))</f>
        <v/>
      </c>
      <c r="B194" s="46" t="n"/>
      <c r="C194" s="47" t="n"/>
      <c r="D194" s="27">
        <f>IF($C194="","",IF(COUNTIFS(ENVIOS!$A$4:$A$3003,$C194)=0,"NO EXISTE",IF(COUNTIFS(ENVIOS!$A$4:$A$3003,$C194)&gt;1,"DUPLICADA","OK")))</f>
        <v/>
      </c>
      <c r="E194" s="22">
        <f>IF($C194="","",IFERROR(INDEX(ENVIOS!$C$4:$C$3003,MATCH($C194,ENVIOS!$A$4:$A$3003,0)),"—"))</f>
        <v/>
      </c>
      <c r="F194" s="22">
        <f>IF($C194="","",IFERROR(INDEX(ENVIOS!$D$4:$D$3003,MATCH($C194,ENVIOS!$A$4:$A$3003,0)),"—"))</f>
        <v/>
      </c>
      <c r="G194" s="22">
        <f>IF($C194="","",IFERROR(INDEX(ENVIOS!$E$4:$E$3003,MATCH($C194,ENVIOS!$A$4:$A$3003,0)),"—"))</f>
        <v/>
      </c>
      <c r="H194" s="22">
        <f>IF($C194="","",IFERROR(INDEX(ENVIOS!$F$4:$F$3003,MATCH($C194,ENVIOS!$A$4:$A$3003,0)),"—"))</f>
        <v/>
      </c>
      <c r="I194" s="27">
        <f>IF($C194="","",IFERROR(INDEX(ENVIOS!$G$4:$G$3003,MATCH($C194,ENVIOS!$A$4:$A$3003,0)),"—"))</f>
        <v/>
      </c>
      <c r="J194" s="48">
        <f>IF($C194="","",IFERROR(INDEX(ENVIOS!$B$4:$B$3003,MATCH($C194,ENVIOS!$A$4:$A$3003,0)),""))</f>
        <v/>
      </c>
      <c r="K194" s="49" t="n"/>
      <c r="L194" s="27">
        <f>IF($K194="","",IFERROR(INDEX(CONFIG!$B$4:$B$43,MATCH($K194,CONFIG!$A$4:$A$43,0)),"Media"))</f>
        <v/>
      </c>
      <c r="M194" s="27">
        <f>IF($K194="","",IFERROR(INDEX(CONFIG!$D$4:$D$43,MATCH($K194,CONFIG!$A$4:$A$43,0)),"NO"))</f>
        <v/>
      </c>
      <c r="N194" s="49" t="n"/>
      <c r="O194" s="27">
        <f>IF($N194="","",IFERROR(INDEX(CONFIG!$G$4:$G$43,MATCH($N194,CONFIG!$F$4:$F$43,0)),"Por definir"))</f>
        <v/>
      </c>
      <c r="P194" s="27">
        <f>IF($N194="","",IFERROR(INDEX(CONFIG!$H$4:$H$43,MATCH($N194,CONFIG!$F$4:$F$43,0)),"Por definir"))</f>
        <v/>
      </c>
      <c r="Q194" s="50" t="n"/>
      <c r="R194" s="51" t="n"/>
      <c r="S194" s="49" t="n"/>
      <c r="T194" s="49" t="n"/>
      <c r="U194" s="48">
        <f>IF(OR($B194="",$K194=""),"",WORKDAY($B194,IFERROR(INDEX(CONFIG!$C$4:$C$43,MATCH($K194,CONFIG!$A$4:$A$43,0)),3)))</f>
        <v/>
      </c>
      <c r="V194" s="46" t="n"/>
      <c r="W194" s="23">
        <f>IF($B194="","",IF($V194&lt;&gt;"",$V194-$B194,TODAY()-$B194))</f>
        <v/>
      </c>
      <c r="X194" s="27">
        <f>IF($C194="","",IF(IFERROR(INDEX(CONFIG!$K$4:$K$43,MATCH($S194,CONFIG!$J$4:$J$43,0)),"NO")="SÍ",IF(OR($V194="",$U194=""),"Resuelta",IF($V194&gt;$U194,"Resuelta tarde","Resuelta a tiempo")),IF($U194="","Sin clasificar",IF(TODAY()&gt;$U194,"Vencida",IF(TODAY()&gt;=$U194-1,"Por vencer","En plazo")))))</f>
        <v/>
      </c>
      <c r="Y194" s="49" t="n"/>
      <c r="Z194" s="49" t="n"/>
    </row>
    <row r="195" ht="16" customHeight="1">
      <c r="A195" s="27">
        <f>IF($C195="","","N-"&amp;TEXT(ROW()-3,"0000"))</f>
        <v/>
      </c>
      <c r="B195" s="46" t="n"/>
      <c r="C195" s="47" t="n"/>
      <c r="D195" s="27">
        <f>IF($C195="","",IF(COUNTIFS(ENVIOS!$A$4:$A$3003,$C195)=0,"NO EXISTE",IF(COUNTIFS(ENVIOS!$A$4:$A$3003,$C195)&gt;1,"DUPLICADA","OK")))</f>
        <v/>
      </c>
      <c r="E195" s="22">
        <f>IF($C195="","",IFERROR(INDEX(ENVIOS!$C$4:$C$3003,MATCH($C195,ENVIOS!$A$4:$A$3003,0)),"—"))</f>
        <v/>
      </c>
      <c r="F195" s="22">
        <f>IF($C195="","",IFERROR(INDEX(ENVIOS!$D$4:$D$3003,MATCH($C195,ENVIOS!$A$4:$A$3003,0)),"—"))</f>
        <v/>
      </c>
      <c r="G195" s="22">
        <f>IF($C195="","",IFERROR(INDEX(ENVIOS!$E$4:$E$3003,MATCH($C195,ENVIOS!$A$4:$A$3003,0)),"—"))</f>
        <v/>
      </c>
      <c r="H195" s="22">
        <f>IF($C195="","",IFERROR(INDEX(ENVIOS!$F$4:$F$3003,MATCH($C195,ENVIOS!$A$4:$A$3003,0)),"—"))</f>
        <v/>
      </c>
      <c r="I195" s="27">
        <f>IF($C195="","",IFERROR(INDEX(ENVIOS!$G$4:$G$3003,MATCH($C195,ENVIOS!$A$4:$A$3003,0)),"—"))</f>
        <v/>
      </c>
      <c r="J195" s="48">
        <f>IF($C195="","",IFERROR(INDEX(ENVIOS!$B$4:$B$3003,MATCH($C195,ENVIOS!$A$4:$A$3003,0)),""))</f>
        <v/>
      </c>
      <c r="K195" s="49" t="n"/>
      <c r="L195" s="27">
        <f>IF($K195="","",IFERROR(INDEX(CONFIG!$B$4:$B$43,MATCH($K195,CONFIG!$A$4:$A$43,0)),"Media"))</f>
        <v/>
      </c>
      <c r="M195" s="27">
        <f>IF($K195="","",IFERROR(INDEX(CONFIG!$D$4:$D$43,MATCH($K195,CONFIG!$A$4:$A$43,0)),"NO"))</f>
        <v/>
      </c>
      <c r="N195" s="49" t="n"/>
      <c r="O195" s="27">
        <f>IF($N195="","",IFERROR(INDEX(CONFIG!$G$4:$G$43,MATCH($N195,CONFIG!$F$4:$F$43,0)),"Por definir"))</f>
        <v/>
      </c>
      <c r="P195" s="27">
        <f>IF($N195="","",IFERROR(INDEX(CONFIG!$H$4:$H$43,MATCH($N195,CONFIG!$F$4:$F$43,0)),"Por definir"))</f>
        <v/>
      </c>
      <c r="Q195" s="50" t="n"/>
      <c r="R195" s="51" t="n"/>
      <c r="S195" s="49" t="n"/>
      <c r="T195" s="49" t="n"/>
      <c r="U195" s="48">
        <f>IF(OR($B195="",$K195=""),"",WORKDAY($B195,IFERROR(INDEX(CONFIG!$C$4:$C$43,MATCH($K195,CONFIG!$A$4:$A$43,0)),3)))</f>
        <v/>
      </c>
      <c r="V195" s="46" t="n"/>
      <c r="W195" s="23">
        <f>IF($B195="","",IF($V195&lt;&gt;"",$V195-$B195,TODAY()-$B195))</f>
        <v/>
      </c>
      <c r="X195" s="27">
        <f>IF($C195="","",IF(IFERROR(INDEX(CONFIG!$K$4:$K$43,MATCH($S195,CONFIG!$J$4:$J$43,0)),"NO")="SÍ",IF(OR($V195="",$U195=""),"Resuelta",IF($V195&gt;$U195,"Resuelta tarde","Resuelta a tiempo")),IF($U195="","Sin clasificar",IF(TODAY()&gt;$U195,"Vencida",IF(TODAY()&gt;=$U195-1,"Por vencer","En plazo")))))</f>
        <v/>
      </c>
      <c r="Y195" s="49" t="n"/>
      <c r="Z195" s="49" t="n"/>
    </row>
    <row r="196" ht="16" customHeight="1">
      <c r="A196" s="27">
        <f>IF($C196="","","N-"&amp;TEXT(ROW()-3,"0000"))</f>
        <v/>
      </c>
      <c r="B196" s="46" t="n"/>
      <c r="C196" s="47" t="n"/>
      <c r="D196" s="27">
        <f>IF($C196="","",IF(COUNTIFS(ENVIOS!$A$4:$A$3003,$C196)=0,"NO EXISTE",IF(COUNTIFS(ENVIOS!$A$4:$A$3003,$C196)&gt;1,"DUPLICADA","OK")))</f>
        <v/>
      </c>
      <c r="E196" s="22">
        <f>IF($C196="","",IFERROR(INDEX(ENVIOS!$C$4:$C$3003,MATCH($C196,ENVIOS!$A$4:$A$3003,0)),"—"))</f>
        <v/>
      </c>
      <c r="F196" s="22">
        <f>IF($C196="","",IFERROR(INDEX(ENVIOS!$D$4:$D$3003,MATCH($C196,ENVIOS!$A$4:$A$3003,0)),"—"))</f>
        <v/>
      </c>
      <c r="G196" s="22">
        <f>IF($C196="","",IFERROR(INDEX(ENVIOS!$E$4:$E$3003,MATCH($C196,ENVIOS!$A$4:$A$3003,0)),"—"))</f>
        <v/>
      </c>
      <c r="H196" s="22">
        <f>IF($C196="","",IFERROR(INDEX(ENVIOS!$F$4:$F$3003,MATCH($C196,ENVIOS!$A$4:$A$3003,0)),"—"))</f>
        <v/>
      </c>
      <c r="I196" s="27">
        <f>IF($C196="","",IFERROR(INDEX(ENVIOS!$G$4:$G$3003,MATCH($C196,ENVIOS!$A$4:$A$3003,0)),"—"))</f>
        <v/>
      </c>
      <c r="J196" s="48">
        <f>IF($C196="","",IFERROR(INDEX(ENVIOS!$B$4:$B$3003,MATCH($C196,ENVIOS!$A$4:$A$3003,0)),""))</f>
        <v/>
      </c>
      <c r="K196" s="49" t="n"/>
      <c r="L196" s="27">
        <f>IF($K196="","",IFERROR(INDEX(CONFIG!$B$4:$B$43,MATCH($K196,CONFIG!$A$4:$A$43,0)),"Media"))</f>
        <v/>
      </c>
      <c r="M196" s="27">
        <f>IF($K196="","",IFERROR(INDEX(CONFIG!$D$4:$D$43,MATCH($K196,CONFIG!$A$4:$A$43,0)),"NO"))</f>
        <v/>
      </c>
      <c r="N196" s="49" t="n"/>
      <c r="O196" s="27">
        <f>IF($N196="","",IFERROR(INDEX(CONFIG!$G$4:$G$43,MATCH($N196,CONFIG!$F$4:$F$43,0)),"Por definir"))</f>
        <v/>
      </c>
      <c r="P196" s="27">
        <f>IF($N196="","",IFERROR(INDEX(CONFIG!$H$4:$H$43,MATCH($N196,CONFIG!$F$4:$F$43,0)),"Por definir"))</f>
        <v/>
      </c>
      <c r="Q196" s="50" t="n"/>
      <c r="R196" s="51" t="n"/>
      <c r="S196" s="49" t="n"/>
      <c r="T196" s="49" t="n"/>
      <c r="U196" s="48">
        <f>IF(OR($B196="",$K196=""),"",WORKDAY($B196,IFERROR(INDEX(CONFIG!$C$4:$C$43,MATCH($K196,CONFIG!$A$4:$A$43,0)),3)))</f>
        <v/>
      </c>
      <c r="V196" s="46" t="n"/>
      <c r="W196" s="23">
        <f>IF($B196="","",IF($V196&lt;&gt;"",$V196-$B196,TODAY()-$B196))</f>
        <v/>
      </c>
      <c r="X196" s="27">
        <f>IF($C196="","",IF(IFERROR(INDEX(CONFIG!$K$4:$K$43,MATCH($S196,CONFIG!$J$4:$J$43,0)),"NO")="SÍ",IF(OR($V196="",$U196=""),"Resuelta",IF($V196&gt;$U196,"Resuelta tarde","Resuelta a tiempo")),IF($U196="","Sin clasificar",IF(TODAY()&gt;$U196,"Vencida",IF(TODAY()&gt;=$U196-1,"Por vencer","En plazo")))))</f>
        <v/>
      </c>
      <c r="Y196" s="49" t="n"/>
      <c r="Z196" s="49" t="n"/>
    </row>
    <row r="197" ht="16" customHeight="1">
      <c r="A197" s="27">
        <f>IF($C197="","","N-"&amp;TEXT(ROW()-3,"0000"))</f>
        <v/>
      </c>
      <c r="B197" s="46" t="n"/>
      <c r="C197" s="47" t="n"/>
      <c r="D197" s="27">
        <f>IF($C197="","",IF(COUNTIFS(ENVIOS!$A$4:$A$3003,$C197)=0,"NO EXISTE",IF(COUNTIFS(ENVIOS!$A$4:$A$3003,$C197)&gt;1,"DUPLICADA","OK")))</f>
        <v/>
      </c>
      <c r="E197" s="22">
        <f>IF($C197="","",IFERROR(INDEX(ENVIOS!$C$4:$C$3003,MATCH($C197,ENVIOS!$A$4:$A$3003,0)),"—"))</f>
        <v/>
      </c>
      <c r="F197" s="22">
        <f>IF($C197="","",IFERROR(INDEX(ENVIOS!$D$4:$D$3003,MATCH($C197,ENVIOS!$A$4:$A$3003,0)),"—"))</f>
        <v/>
      </c>
      <c r="G197" s="22">
        <f>IF($C197="","",IFERROR(INDEX(ENVIOS!$E$4:$E$3003,MATCH($C197,ENVIOS!$A$4:$A$3003,0)),"—"))</f>
        <v/>
      </c>
      <c r="H197" s="22">
        <f>IF($C197="","",IFERROR(INDEX(ENVIOS!$F$4:$F$3003,MATCH($C197,ENVIOS!$A$4:$A$3003,0)),"—"))</f>
        <v/>
      </c>
      <c r="I197" s="27">
        <f>IF($C197="","",IFERROR(INDEX(ENVIOS!$G$4:$G$3003,MATCH($C197,ENVIOS!$A$4:$A$3003,0)),"—"))</f>
        <v/>
      </c>
      <c r="J197" s="48">
        <f>IF($C197="","",IFERROR(INDEX(ENVIOS!$B$4:$B$3003,MATCH($C197,ENVIOS!$A$4:$A$3003,0)),""))</f>
        <v/>
      </c>
      <c r="K197" s="49" t="n"/>
      <c r="L197" s="27">
        <f>IF($K197="","",IFERROR(INDEX(CONFIG!$B$4:$B$43,MATCH($K197,CONFIG!$A$4:$A$43,0)),"Media"))</f>
        <v/>
      </c>
      <c r="M197" s="27">
        <f>IF($K197="","",IFERROR(INDEX(CONFIG!$D$4:$D$43,MATCH($K197,CONFIG!$A$4:$A$43,0)),"NO"))</f>
        <v/>
      </c>
      <c r="N197" s="49" t="n"/>
      <c r="O197" s="27">
        <f>IF($N197="","",IFERROR(INDEX(CONFIG!$G$4:$G$43,MATCH($N197,CONFIG!$F$4:$F$43,0)),"Por definir"))</f>
        <v/>
      </c>
      <c r="P197" s="27">
        <f>IF($N197="","",IFERROR(INDEX(CONFIG!$H$4:$H$43,MATCH($N197,CONFIG!$F$4:$F$43,0)),"Por definir"))</f>
        <v/>
      </c>
      <c r="Q197" s="50" t="n"/>
      <c r="R197" s="51" t="n"/>
      <c r="S197" s="49" t="n"/>
      <c r="T197" s="49" t="n"/>
      <c r="U197" s="48">
        <f>IF(OR($B197="",$K197=""),"",WORKDAY($B197,IFERROR(INDEX(CONFIG!$C$4:$C$43,MATCH($K197,CONFIG!$A$4:$A$43,0)),3)))</f>
        <v/>
      </c>
      <c r="V197" s="46" t="n"/>
      <c r="W197" s="23">
        <f>IF($B197="","",IF($V197&lt;&gt;"",$V197-$B197,TODAY()-$B197))</f>
        <v/>
      </c>
      <c r="X197" s="27">
        <f>IF($C197="","",IF(IFERROR(INDEX(CONFIG!$K$4:$K$43,MATCH($S197,CONFIG!$J$4:$J$43,0)),"NO")="SÍ",IF(OR($V197="",$U197=""),"Resuelta",IF($V197&gt;$U197,"Resuelta tarde","Resuelta a tiempo")),IF($U197="","Sin clasificar",IF(TODAY()&gt;$U197,"Vencida",IF(TODAY()&gt;=$U197-1,"Por vencer","En plazo")))))</f>
        <v/>
      </c>
      <c r="Y197" s="49" t="n"/>
      <c r="Z197" s="49" t="n"/>
    </row>
    <row r="198" ht="16" customHeight="1">
      <c r="A198" s="27">
        <f>IF($C198="","","N-"&amp;TEXT(ROW()-3,"0000"))</f>
        <v/>
      </c>
      <c r="B198" s="46" t="n"/>
      <c r="C198" s="47" t="n"/>
      <c r="D198" s="27">
        <f>IF($C198="","",IF(COUNTIFS(ENVIOS!$A$4:$A$3003,$C198)=0,"NO EXISTE",IF(COUNTIFS(ENVIOS!$A$4:$A$3003,$C198)&gt;1,"DUPLICADA","OK")))</f>
        <v/>
      </c>
      <c r="E198" s="22">
        <f>IF($C198="","",IFERROR(INDEX(ENVIOS!$C$4:$C$3003,MATCH($C198,ENVIOS!$A$4:$A$3003,0)),"—"))</f>
        <v/>
      </c>
      <c r="F198" s="22">
        <f>IF($C198="","",IFERROR(INDEX(ENVIOS!$D$4:$D$3003,MATCH($C198,ENVIOS!$A$4:$A$3003,0)),"—"))</f>
        <v/>
      </c>
      <c r="G198" s="22">
        <f>IF($C198="","",IFERROR(INDEX(ENVIOS!$E$4:$E$3003,MATCH($C198,ENVIOS!$A$4:$A$3003,0)),"—"))</f>
        <v/>
      </c>
      <c r="H198" s="22">
        <f>IF($C198="","",IFERROR(INDEX(ENVIOS!$F$4:$F$3003,MATCH($C198,ENVIOS!$A$4:$A$3003,0)),"—"))</f>
        <v/>
      </c>
      <c r="I198" s="27">
        <f>IF($C198="","",IFERROR(INDEX(ENVIOS!$G$4:$G$3003,MATCH($C198,ENVIOS!$A$4:$A$3003,0)),"—"))</f>
        <v/>
      </c>
      <c r="J198" s="48">
        <f>IF($C198="","",IFERROR(INDEX(ENVIOS!$B$4:$B$3003,MATCH($C198,ENVIOS!$A$4:$A$3003,0)),""))</f>
        <v/>
      </c>
      <c r="K198" s="49" t="n"/>
      <c r="L198" s="27">
        <f>IF($K198="","",IFERROR(INDEX(CONFIG!$B$4:$B$43,MATCH($K198,CONFIG!$A$4:$A$43,0)),"Media"))</f>
        <v/>
      </c>
      <c r="M198" s="27">
        <f>IF($K198="","",IFERROR(INDEX(CONFIG!$D$4:$D$43,MATCH($K198,CONFIG!$A$4:$A$43,0)),"NO"))</f>
        <v/>
      </c>
      <c r="N198" s="49" t="n"/>
      <c r="O198" s="27">
        <f>IF($N198="","",IFERROR(INDEX(CONFIG!$G$4:$G$43,MATCH($N198,CONFIG!$F$4:$F$43,0)),"Por definir"))</f>
        <v/>
      </c>
      <c r="P198" s="27">
        <f>IF($N198="","",IFERROR(INDEX(CONFIG!$H$4:$H$43,MATCH($N198,CONFIG!$F$4:$F$43,0)),"Por definir"))</f>
        <v/>
      </c>
      <c r="Q198" s="50" t="n"/>
      <c r="R198" s="51" t="n"/>
      <c r="S198" s="49" t="n"/>
      <c r="T198" s="49" t="n"/>
      <c r="U198" s="48">
        <f>IF(OR($B198="",$K198=""),"",WORKDAY($B198,IFERROR(INDEX(CONFIG!$C$4:$C$43,MATCH($K198,CONFIG!$A$4:$A$43,0)),3)))</f>
        <v/>
      </c>
      <c r="V198" s="46" t="n"/>
      <c r="W198" s="23">
        <f>IF($B198="","",IF($V198&lt;&gt;"",$V198-$B198,TODAY()-$B198))</f>
        <v/>
      </c>
      <c r="X198" s="27">
        <f>IF($C198="","",IF(IFERROR(INDEX(CONFIG!$K$4:$K$43,MATCH($S198,CONFIG!$J$4:$J$43,0)),"NO")="SÍ",IF(OR($V198="",$U198=""),"Resuelta",IF($V198&gt;$U198,"Resuelta tarde","Resuelta a tiempo")),IF($U198="","Sin clasificar",IF(TODAY()&gt;$U198,"Vencida",IF(TODAY()&gt;=$U198-1,"Por vencer","En plazo")))))</f>
        <v/>
      </c>
      <c r="Y198" s="49" t="n"/>
      <c r="Z198" s="49" t="n"/>
    </row>
    <row r="199" ht="16" customHeight="1">
      <c r="A199" s="27">
        <f>IF($C199="","","N-"&amp;TEXT(ROW()-3,"0000"))</f>
        <v/>
      </c>
      <c r="B199" s="46" t="n"/>
      <c r="C199" s="47" t="n"/>
      <c r="D199" s="27">
        <f>IF($C199="","",IF(COUNTIFS(ENVIOS!$A$4:$A$3003,$C199)=0,"NO EXISTE",IF(COUNTIFS(ENVIOS!$A$4:$A$3003,$C199)&gt;1,"DUPLICADA","OK")))</f>
        <v/>
      </c>
      <c r="E199" s="22">
        <f>IF($C199="","",IFERROR(INDEX(ENVIOS!$C$4:$C$3003,MATCH($C199,ENVIOS!$A$4:$A$3003,0)),"—"))</f>
        <v/>
      </c>
      <c r="F199" s="22">
        <f>IF($C199="","",IFERROR(INDEX(ENVIOS!$D$4:$D$3003,MATCH($C199,ENVIOS!$A$4:$A$3003,0)),"—"))</f>
        <v/>
      </c>
      <c r="G199" s="22">
        <f>IF($C199="","",IFERROR(INDEX(ENVIOS!$E$4:$E$3003,MATCH($C199,ENVIOS!$A$4:$A$3003,0)),"—"))</f>
        <v/>
      </c>
      <c r="H199" s="22">
        <f>IF($C199="","",IFERROR(INDEX(ENVIOS!$F$4:$F$3003,MATCH($C199,ENVIOS!$A$4:$A$3003,0)),"—"))</f>
        <v/>
      </c>
      <c r="I199" s="27">
        <f>IF($C199="","",IFERROR(INDEX(ENVIOS!$G$4:$G$3003,MATCH($C199,ENVIOS!$A$4:$A$3003,0)),"—"))</f>
        <v/>
      </c>
      <c r="J199" s="48">
        <f>IF($C199="","",IFERROR(INDEX(ENVIOS!$B$4:$B$3003,MATCH($C199,ENVIOS!$A$4:$A$3003,0)),""))</f>
        <v/>
      </c>
      <c r="K199" s="49" t="n"/>
      <c r="L199" s="27">
        <f>IF($K199="","",IFERROR(INDEX(CONFIG!$B$4:$B$43,MATCH($K199,CONFIG!$A$4:$A$43,0)),"Media"))</f>
        <v/>
      </c>
      <c r="M199" s="27">
        <f>IF($K199="","",IFERROR(INDEX(CONFIG!$D$4:$D$43,MATCH($K199,CONFIG!$A$4:$A$43,0)),"NO"))</f>
        <v/>
      </c>
      <c r="N199" s="49" t="n"/>
      <c r="O199" s="27">
        <f>IF($N199="","",IFERROR(INDEX(CONFIG!$G$4:$G$43,MATCH($N199,CONFIG!$F$4:$F$43,0)),"Por definir"))</f>
        <v/>
      </c>
      <c r="P199" s="27">
        <f>IF($N199="","",IFERROR(INDEX(CONFIG!$H$4:$H$43,MATCH($N199,CONFIG!$F$4:$F$43,0)),"Por definir"))</f>
        <v/>
      </c>
      <c r="Q199" s="50" t="n"/>
      <c r="R199" s="51" t="n"/>
      <c r="S199" s="49" t="n"/>
      <c r="T199" s="49" t="n"/>
      <c r="U199" s="48">
        <f>IF(OR($B199="",$K199=""),"",WORKDAY($B199,IFERROR(INDEX(CONFIG!$C$4:$C$43,MATCH($K199,CONFIG!$A$4:$A$43,0)),3)))</f>
        <v/>
      </c>
      <c r="V199" s="46" t="n"/>
      <c r="W199" s="23">
        <f>IF($B199="","",IF($V199&lt;&gt;"",$V199-$B199,TODAY()-$B199))</f>
        <v/>
      </c>
      <c r="X199" s="27">
        <f>IF($C199="","",IF(IFERROR(INDEX(CONFIG!$K$4:$K$43,MATCH($S199,CONFIG!$J$4:$J$43,0)),"NO")="SÍ",IF(OR($V199="",$U199=""),"Resuelta",IF($V199&gt;$U199,"Resuelta tarde","Resuelta a tiempo")),IF($U199="","Sin clasificar",IF(TODAY()&gt;$U199,"Vencida",IF(TODAY()&gt;=$U199-1,"Por vencer","En plazo")))))</f>
        <v/>
      </c>
      <c r="Y199" s="49" t="n"/>
      <c r="Z199" s="49" t="n"/>
    </row>
    <row r="200" ht="16" customHeight="1">
      <c r="A200" s="27">
        <f>IF($C200="","","N-"&amp;TEXT(ROW()-3,"0000"))</f>
        <v/>
      </c>
      <c r="B200" s="46" t="n"/>
      <c r="C200" s="47" t="n"/>
      <c r="D200" s="27">
        <f>IF($C200="","",IF(COUNTIFS(ENVIOS!$A$4:$A$3003,$C200)=0,"NO EXISTE",IF(COUNTIFS(ENVIOS!$A$4:$A$3003,$C200)&gt;1,"DUPLICADA","OK")))</f>
        <v/>
      </c>
      <c r="E200" s="22">
        <f>IF($C200="","",IFERROR(INDEX(ENVIOS!$C$4:$C$3003,MATCH($C200,ENVIOS!$A$4:$A$3003,0)),"—"))</f>
        <v/>
      </c>
      <c r="F200" s="22">
        <f>IF($C200="","",IFERROR(INDEX(ENVIOS!$D$4:$D$3003,MATCH($C200,ENVIOS!$A$4:$A$3003,0)),"—"))</f>
        <v/>
      </c>
      <c r="G200" s="22">
        <f>IF($C200="","",IFERROR(INDEX(ENVIOS!$E$4:$E$3003,MATCH($C200,ENVIOS!$A$4:$A$3003,0)),"—"))</f>
        <v/>
      </c>
      <c r="H200" s="22">
        <f>IF($C200="","",IFERROR(INDEX(ENVIOS!$F$4:$F$3003,MATCH($C200,ENVIOS!$A$4:$A$3003,0)),"—"))</f>
        <v/>
      </c>
      <c r="I200" s="27">
        <f>IF($C200="","",IFERROR(INDEX(ENVIOS!$G$4:$G$3003,MATCH($C200,ENVIOS!$A$4:$A$3003,0)),"—"))</f>
        <v/>
      </c>
      <c r="J200" s="48">
        <f>IF($C200="","",IFERROR(INDEX(ENVIOS!$B$4:$B$3003,MATCH($C200,ENVIOS!$A$4:$A$3003,0)),""))</f>
        <v/>
      </c>
      <c r="K200" s="49" t="n"/>
      <c r="L200" s="27">
        <f>IF($K200="","",IFERROR(INDEX(CONFIG!$B$4:$B$43,MATCH($K200,CONFIG!$A$4:$A$43,0)),"Media"))</f>
        <v/>
      </c>
      <c r="M200" s="27">
        <f>IF($K200="","",IFERROR(INDEX(CONFIG!$D$4:$D$43,MATCH($K200,CONFIG!$A$4:$A$43,0)),"NO"))</f>
        <v/>
      </c>
      <c r="N200" s="49" t="n"/>
      <c r="O200" s="27">
        <f>IF($N200="","",IFERROR(INDEX(CONFIG!$G$4:$G$43,MATCH($N200,CONFIG!$F$4:$F$43,0)),"Por definir"))</f>
        <v/>
      </c>
      <c r="P200" s="27">
        <f>IF($N200="","",IFERROR(INDEX(CONFIG!$H$4:$H$43,MATCH($N200,CONFIG!$F$4:$F$43,0)),"Por definir"))</f>
        <v/>
      </c>
      <c r="Q200" s="50" t="n"/>
      <c r="R200" s="51" t="n"/>
      <c r="S200" s="49" t="n"/>
      <c r="T200" s="49" t="n"/>
      <c r="U200" s="48">
        <f>IF(OR($B200="",$K200=""),"",WORKDAY($B200,IFERROR(INDEX(CONFIG!$C$4:$C$43,MATCH($K200,CONFIG!$A$4:$A$43,0)),3)))</f>
        <v/>
      </c>
      <c r="V200" s="46" t="n"/>
      <c r="W200" s="23">
        <f>IF($B200="","",IF($V200&lt;&gt;"",$V200-$B200,TODAY()-$B200))</f>
        <v/>
      </c>
      <c r="X200" s="27">
        <f>IF($C200="","",IF(IFERROR(INDEX(CONFIG!$K$4:$K$43,MATCH($S200,CONFIG!$J$4:$J$43,0)),"NO")="SÍ",IF(OR($V200="",$U200=""),"Resuelta",IF($V200&gt;$U200,"Resuelta tarde","Resuelta a tiempo")),IF($U200="","Sin clasificar",IF(TODAY()&gt;$U200,"Vencida",IF(TODAY()&gt;=$U200-1,"Por vencer","En plazo")))))</f>
        <v/>
      </c>
      <c r="Y200" s="49" t="n"/>
      <c r="Z200" s="49" t="n"/>
    </row>
    <row r="201" ht="16" customHeight="1">
      <c r="A201" s="27">
        <f>IF($C201="","","N-"&amp;TEXT(ROW()-3,"0000"))</f>
        <v/>
      </c>
      <c r="B201" s="46" t="n"/>
      <c r="C201" s="47" t="n"/>
      <c r="D201" s="27">
        <f>IF($C201="","",IF(COUNTIFS(ENVIOS!$A$4:$A$3003,$C201)=0,"NO EXISTE",IF(COUNTIFS(ENVIOS!$A$4:$A$3003,$C201)&gt;1,"DUPLICADA","OK")))</f>
        <v/>
      </c>
      <c r="E201" s="22">
        <f>IF($C201="","",IFERROR(INDEX(ENVIOS!$C$4:$C$3003,MATCH($C201,ENVIOS!$A$4:$A$3003,0)),"—"))</f>
        <v/>
      </c>
      <c r="F201" s="22">
        <f>IF($C201="","",IFERROR(INDEX(ENVIOS!$D$4:$D$3003,MATCH($C201,ENVIOS!$A$4:$A$3003,0)),"—"))</f>
        <v/>
      </c>
      <c r="G201" s="22">
        <f>IF($C201="","",IFERROR(INDEX(ENVIOS!$E$4:$E$3003,MATCH($C201,ENVIOS!$A$4:$A$3003,0)),"—"))</f>
        <v/>
      </c>
      <c r="H201" s="22">
        <f>IF($C201="","",IFERROR(INDEX(ENVIOS!$F$4:$F$3003,MATCH($C201,ENVIOS!$A$4:$A$3003,0)),"—"))</f>
        <v/>
      </c>
      <c r="I201" s="27">
        <f>IF($C201="","",IFERROR(INDEX(ENVIOS!$G$4:$G$3003,MATCH($C201,ENVIOS!$A$4:$A$3003,0)),"—"))</f>
        <v/>
      </c>
      <c r="J201" s="48">
        <f>IF($C201="","",IFERROR(INDEX(ENVIOS!$B$4:$B$3003,MATCH($C201,ENVIOS!$A$4:$A$3003,0)),""))</f>
        <v/>
      </c>
      <c r="K201" s="49" t="n"/>
      <c r="L201" s="27">
        <f>IF($K201="","",IFERROR(INDEX(CONFIG!$B$4:$B$43,MATCH($K201,CONFIG!$A$4:$A$43,0)),"Media"))</f>
        <v/>
      </c>
      <c r="M201" s="27">
        <f>IF($K201="","",IFERROR(INDEX(CONFIG!$D$4:$D$43,MATCH($K201,CONFIG!$A$4:$A$43,0)),"NO"))</f>
        <v/>
      </c>
      <c r="N201" s="49" t="n"/>
      <c r="O201" s="27">
        <f>IF($N201="","",IFERROR(INDEX(CONFIG!$G$4:$G$43,MATCH($N201,CONFIG!$F$4:$F$43,0)),"Por definir"))</f>
        <v/>
      </c>
      <c r="P201" s="27">
        <f>IF($N201="","",IFERROR(INDEX(CONFIG!$H$4:$H$43,MATCH($N201,CONFIG!$F$4:$F$43,0)),"Por definir"))</f>
        <v/>
      </c>
      <c r="Q201" s="50" t="n"/>
      <c r="R201" s="51" t="n"/>
      <c r="S201" s="49" t="n"/>
      <c r="T201" s="49" t="n"/>
      <c r="U201" s="48">
        <f>IF(OR($B201="",$K201=""),"",WORKDAY($B201,IFERROR(INDEX(CONFIG!$C$4:$C$43,MATCH($K201,CONFIG!$A$4:$A$43,0)),3)))</f>
        <v/>
      </c>
      <c r="V201" s="46" t="n"/>
      <c r="W201" s="23">
        <f>IF($B201="","",IF($V201&lt;&gt;"",$V201-$B201,TODAY()-$B201))</f>
        <v/>
      </c>
      <c r="X201" s="27">
        <f>IF($C201="","",IF(IFERROR(INDEX(CONFIG!$K$4:$K$43,MATCH($S201,CONFIG!$J$4:$J$43,0)),"NO")="SÍ",IF(OR($V201="",$U201=""),"Resuelta",IF($V201&gt;$U201,"Resuelta tarde","Resuelta a tiempo")),IF($U201="","Sin clasificar",IF(TODAY()&gt;$U201,"Vencida",IF(TODAY()&gt;=$U201-1,"Por vencer","En plazo")))))</f>
        <v/>
      </c>
      <c r="Y201" s="49" t="n"/>
      <c r="Z201" s="49" t="n"/>
    </row>
    <row r="202" ht="16" customHeight="1">
      <c r="A202" s="27">
        <f>IF($C202="","","N-"&amp;TEXT(ROW()-3,"0000"))</f>
        <v/>
      </c>
      <c r="B202" s="46" t="n"/>
      <c r="C202" s="47" t="n"/>
      <c r="D202" s="27">
        <f>IF($C202="","",IF(COUNTIFS(ENVIOS!$A$4:$A$3003,$C202)=0,"NO EXISTE",IF(COUNTIFS(ENVIOS!$A$4:$A$3003,$C202)&gt;1,"DUPLICADA","OK")))</f>
        <v/>
      </c>
      <c r="E202" s="22">
        <f>IF($C202="","",IFERROR(INDEX(ENVIOS!$C$4:$C$3003,MATCH($C202,ENVIOS!$A$4:$A$3003,0)),"—"))</f>
        <v/>
      </c>
      <c r="F202" s="22">
        <f>IF($C202="","",IFERROR(INDEX(ENVIOS!$D$4:$D$3003,MATCH($C202,ENVIOS!$A$4:$A$3003,0)),"—"))</f>
        <v/>
      </c>
      <c r="G202" s="22">
        <f>IF($C202="","",IFERROR(INDEX(ENVIOS!$E$4:$E$3003,MATCH($C202,ENVIOS!$A$4:$A$3003,0)),"—"))</f>
        <v/>
      </c>
      <c r="H202" s="22">
        <f>IF($C202="","",IFERROR(INDEX(ENVIOS!$F$4:$F$3003,MATCH($C202,ENVIOS!$A$4:$A$3003,0)),"—"))</f>
        <v/>
      </c>
      <c r="I202" s="27">
        <f>IF($C202="","",IFERROR(INDEX(ENVIOS!$G$4:$G$3003,MATCH($C202,ENVIOS!$A$4:$A$3003,0)),"—"))</f>
        <v/>
      </c>
      <c r="J202" s="48">
        <f>IF($C202="","",IFERROR(INDEX(ENVIOS!$B$4:$B$3003,MATCH($C202,ENVIOS!$A$4:$A$3003,0)),""))</f>
        <v/>
      </c>
      <c r="K202" s="49" t="n"/>
      <c r="L202" s="27">
        <f>IF($K202="","",IFERROR(INDEX(CONFIG!$B$4:$B$43,MATCH($K202,CONFIG!$A$4:$A$43,0)),"Media"))</f>
        <v/>
      </c>
      <c r="M202" s="27">
        <f>IF($K202="","",IFERROR(INDEX(CONFIG!$D$4:$D$43,MATCH($K202,CONFIG!$A$4:$A$43,0)),"NO"))</f>
        <v/>
      </c>
      <c r="N202" s="49" t="n"/>
      <c r="O202" s="27">
        <f>IF($N202="","",IFERROR(INDEX(CONFIG!$G$4:$G$43,MATCH($N202,CONFIG!$F$4:$F$43,0)),"Por definir"))</f>
        <v/>
      </c>
      <c r="P202" s="27">
        <f>IF($N202="","",IFERROR(INDEX(CONFIG!$H$4:$H$43,MATCH($N202,CONFIG!$F$4:$F$43,0)),"Por definir"))</f>
        <v/>
      </c>
      <c r="Q202" s="50" t="n"/>
      <c r="R202" s="51" t="n"/>
      <c r="S202" s="49" t="n"/>
      <c r="T202" s="49" t="n"/>
      <c r="U202" s="48">
        <f>IF(OR($B202="",$K202=""),"",WORKDAY($B202,IFERROR(INDEX(CONFIG!$C$4:$C$43,MATCH($K202,CONFIG!$A$4:$A$43,0)),3)))</f>
        <v/>
      </c>
      <c r="V202" s="46" t="n"/>
      <c r="W202" s="23">
        <f>IF($B202="","",IF($V202&lt;&gt;"",$V202-$B202,TODAY()-$B202))</f>
        <v/>
      </c>
      <c r="X202" s="27">
        <f>IF($C202="","",IF(IFERROR(INDEX(CONFIG!$K$4:$K$43,MATCH($S202,CONFIG!$J$4:$J$43,0)),"NO")="SÍ",IF(OR($V202="",$U202=""),"Resuelta",IF($V202&gt;$U202,"Resuelta tarde","Resuelta a tiempo")),IF($U202="","Sin clasificar",IF(TODAY()&gt;$U202,"Vencida",IF(TODAY()&gt;=$U202-1,"Por vencer","En plazo")))))</f>
        <v/>
      </c>
      <c r="Y202" s="49" t="n"/>
      <c r="Z202" s="49" t="n"/>
    </row>
    <row r="203" ht="16" customHeight="1">
      <c r="A203" s="27">
        <f>IF($C203="","","N-"&amp;TEXT(ROW()-3,"0000"))</f>
        <v/>
      </c>
      <c r="B203" s="46" t="n"/>
      <c r="C203" s="47" t="n"/>
      <c r="D203" s="27">
        <f>IF($C203="","",IF(COUNTIFS(ENVIOS!$A$4:$A$3003,$C203)=0,"NO EXISTE",IF(COUNTIFS(ENVIOS!$A$4:$A$3003,$C203)&gt;1,"DUPLICADA","OK")))</f>
        <v/>
      </c>
      <c r="E203" s="22">
        <f>IF($C203="","",IFERROR(INDEX(ENVIOS!$C$4:$C$3003,MATCH($C203,ENVIOS!$A$4:$A$3003,0)),"—"))</f>
        <v/>
      </c>
      <c r="F203" s="22">
        <f>IF($C203="","",IFERROR(INDEX(ENVIOS!$D$4:$D$3003,MATCH($C203,ENVIOS!$A$4:$A$3003,0)),"—"))</f>
        <v/>
      </c>
      <c r="G203" s="22">
        <f>IF($C203="","",IFERROR(INDEX(ENVIOS!$E$4:$E$3003,MATCH($C203,ENVIOS!$A$4:$A$3003,0)),"—"))</f>
        <v/>
      </c>
      <c r="H203" s="22">
        <f>IF($C203="","",IFERROR(INDEX(ENVIOS!$F$4:$F$3003,MATCH($C203,ENVIOS!$A$4:$A$3003,0)),"—"))</f>
        <v/>
      </c>
      <c r="I203" s="27">
        <f>IF($C203="","",IFERROR(INDEX(ENVIOS!$G$4:$G$3003,MATCH($C203,ENVIOS!$A$4:$A$3003,0)),"—"))</f>
        <v/>
      </c>
      <c r="J203" s="48">
        <f>IF($C203="","",IFERROR(INDEX(ENVIOS!$B$4:$B$3003,MATCH($C203,ENVIOS!$A$4:$A$3003,0)),""))</f>
        <v/>
      </c>
      <c r="K203" s="49" t="n"/>
      <c r="L203" s="27">
        <f>IF($K203="","",IFERROR(INDEX(CONFIG!$B$4:$B$43,MATCH($K203,CONFIG!$A$4:$A$43,0)),"Media"))</f>
        <v/>
      </c>
      <c r="M203" s="27">
        <f>IF($K203="","",IFERROR(INDEX(CONFIG!$D$4:$D$43,MATCH($K203,CONFIG!$A$4:$A$43,0)),"NO"))</f>
        <v/>
      </c>
      <c r="N203" s="49" t="n"/>
      <c r="O203" s="27">
        <f>IF($N203="","",IFERROR(INDEX(CONFIG!$G$4:$G$43,MATCH($N203,CONFIG!$F$4:$F$43,0)),"Por definir"))</f>
        <v/>
      </c>
      <c r="P203" s="27">
        <f>IF($N203="","",IFERROR(INDEX(CONFIG!$H$4:$H$43,MATCH($N203,CONFIG!$F$4:$F$43,0)),"Por definir"))</f>
        <v/>
      </c>
      <c r="Q203" s="50" t="n"/>
      <c r="R203" s="51" t="n"/>
      <c r="S203" s="49" t="n"/>
      <c r="T203" s="49" t="n"/>
      <c r="U203" s="48">
        <f>IF(OR($B203="",$K203=""),"",WORKDAY($B203,IFERROR(INDEX(CONFIG!$C$4:$C$43,MATCH($K203,CONFIG!$A$4:$A$43,0)),3)))</f>
        <v/>
      </c>
      <c r="V203" s="46" t="n"/>
      <c r="W203" s="23">
        <f>IF($B203="","",IF($V203&lt;&gt;"",$V203-$B203,TODAY()-$B203))</f>
        <v/>
      </c>
      <c r="X203" s="27">
        <f>IF($C203="","",IF(IFERROR(INDEX(CONFIG!$K$4:$K$43,MATCH($S203,CONFIG!$J$4:$J$43,0)),"NO")="SÍ",IF(OR($V203="",$U203=""),"Resuelta",IF($V203&gt;$U203,"Resuelta tarde","Resuelta a tiempo")),IF($U203="","Sin clasificar",IF(TODAY()&gt;$U203,"Vencida",IF(TODAY()&gt;=$U203-1,"Por vencer","En plazo")))))</f>
        <v/>
      </c>
      <c r="Y203" s="49" t="n"/>
      <c r="Z203" s="49" t="n"/>
    </row>
    <row r="204" ht="16" customHeight="1">
      <c r="A204" s="27">
        <f>IF($C204="","","N-"&amp;TEXT(ROW()-3,"0000"))</f>
        <v/>
      </c>
      <c r="B204" s="46" t="n"/>
      <c r="C204" s="47" t="n"/>
      <c r="D204" s="27">
        <f>IF($C204="","",IF(COUNTIFS(ENVIOS!$A$4:$A$3003,$C204)=0,"NO EXISTE",IF(COUNTIFS(ENVIOS!$A$4:$A$3003,$C204)&gt;1,"DUPLICADA","OK")))</f>
        <v/>
      </c>
      <c r="E204" s="22">
        <f>IF($C204="","",IFERROR(INDEX(ENVIOS!$C$4:$C$3003,MATCH($C204,ENVIOS!$A$4:$A$3003,0)),"—"))</f>
        <v/>
      </c>
      <c r="F204" s="22">
        <f>IF($C204="","",IFERROR(INDEX(ENVIOS!$D$4:$D$3003,MATCH($C204,ENVIOS!$A$4:$A$3003,0)),"—"))</f>
        <v/>
      </c>
      <c r="G204" s="22">
        <f>IF($C204="","",IFERROR(INDEX(ENVIOS!$E$4:$E$3003,MATCH($C204,ENVIOS!$A$4:$A$3003,0)),"—"))</f>
        <v/>
      </c>
      <c r="H204" s="22">
        <f>IF($C204="","",IFERROR(INDEX(ENVIOS!$F$4:$F$3003,MATCH($C204,ENVIOS!$A$4:$A$3003,0)),"—"))</f>
        <v/>
      </c>
      <c r="I204" s="27">
        <f>IF($C204="","",IFERROR(INDEX(ENVIOS!$G$4:$G$3003,MATCH($C204,ENVIOS!$A$4:$A$3003,0)),"—"))</f>
        <v/>
      </c>
      <c r="J204" s="48">
        <f>IF($C204="","",IFERROR(INDEX(ENVIOS!$B$4:$B$3003,MATCH($C204,ENVIOS!$A$4:$A$3003,0)),""))</f>
        <v/>
      </c>
      <c r="K204" s="49" t="n"/>
      <c r="L204" s="27">
        <f>IF($K204="","",IFERROR(INDEX(CONFIG!$B$4:$B$43,MATCH($K204,CONFIG!$A$4:$A$43,0)),"Media"))</f>
        <v/>
      </c>
      <c r="M204" s="27">
        <f>IF($K204="","",IFERROR(INDEX(CONFIG!$D$4:$D$43,MATCH($K204,CONFIG!$A$4:$A$43,0)),"NO"))</f>
        <v/>
      </c>
      <c r="N204" s="49" t="n"/>
      <c r="O204" s="27">
        <f>IF($N204="","",IFERROR(INDEX(CONFIG!$G$4:$G$43,MATCH($N204,CONFIG!$F$4:$F$43,0)),"Por definir"))</f>
        <v/>
      </c>
      <c r="P204" s="27">
        <f>IF($N204="","",IFERROR(INDEX(CONFIG!$H$4:$H$43,MATCH($N204,CONFIG!$F$4:$F$43,0)),"Por definir"))</f>
        <v/>
      </c>
      <c r="Q204" s="50" t="n"/>
      <c r="R204" s="51" t="n"/>
      <c r="S204" s="49" t="n"/>
      <c r="T204" s="49" t="n"/>
      <c r="U204" s="48">
        <f>IF(OR($B204="",$K204=""),"",WORKDAY($B204,IFERROR(INDEX(CONFIG!$C$4:$C$43,MATCH($K204,CONFIG!$A$4:$A$43,0)),3)))</f>
        <v/>
      </c>
      <c r="V204" s="46" t="n"/>
      <c r="W204" s="23">
        <f>IF($B204="","",IF($V204&lt;&gt;"",$V204-$B204,TODAY()-$B204))</f>
        <v/>
      </c>
      <c r="X204" s="27">
        <f>IF($C204="","",IF(IFERROR(INDEX(CONFIG!$K$4:$K$43,MATCH($S204,CONFIG!$J$4:$J$43,0)),"NO")="SÍ",IF(OR($V204="",$U204=""),"Resuelta",IF($V204&gt;$U204,"Resuelta tarde","Resuelta a tiempo")),IF($U204="","Sin clasificar",IF(TODAY()&gt;$U204,"Vencida",IF(TODAY()&gt;=$U204-1,"Por vencer","En plazo")))))</f>
        <v/>
      </c>
      <c r="Y204" s="49" t="n"/>
      <c r="Z204" s="49" t="n"/>
    </row>
    <row r="205" ht="16" customHeight="1">
      <c r="A205" s="27">
        <f>IF($C205="","","N-"&amp;TEXT(ROW()-3,"0000"))</f>
        <v/>
      </c>
      <c r="B205" s="46" t="n"/>
      <c r="C205" s="47" t="n"/>
      <c r="D205" s="27">
        <f>IF($C205="","",IF(COUNTIFS(ENVIOS!$A$4:$A$3003,$C205)=0,"NO EXISTE",IF(COUNTIFS(ENVIOS!$A$4:$A$3003,$C205)&gt;1,"DUPLICADA","OK")))</f>
        <v/>
      </c>
      <c r="E205" s="22">
        <f>IF($C205="","",IFERROR(INDEX(ENVIOS!$C$4:$C$3003,MATCH($C205,ENVIOS!$A$4:$A$3003,0)),"—"))</f>
        <v/>
      </c>
      <c r="F205" s="22">
        <f>IF($C205="","",IFERROR(INDEX(ENVIOS!$D$4:$D$3003,MATCH($C205,ENVIOS!$A$4:$A$3003,0)),"—"))</f>
        <v/>
      </c>
      <c r="G205" s="22">
        <f>IF($C205="","",IFERROR(INDEX(ENVIOS!$E$4:$E$3003,MATCH($C205,ENVIOS!$A$4:$A$3003,0)),"—"))</f>
        <v/>
      </c>
      <c r="H205" s="22">
        <f>IF($C205="","",IFERROR(INDEX(ENVIOS!$F$4:$F$3003,MATCH($C205,ENVIOS!$A$4:$A$3003,0)),"—"))</f>
        <v/>
      </c>
      <c r="I205" s="27">
        <f>IF($C205="","",IFERROR(INDEX(ENVIOS!$G$4:$G$3003,MATCH($C205,ENVIOS!$A$4:$A$3003,0)),"—"))</f>
        <v/>
      </c>
      <c r="J205" s="48">
        <f>IF($C205="","",IFERROR(INDEX(ENVIOS!$B$4:$B$3003,MATCH($C205,ENVIOS!$A$4:$A$3003,0)),""))</f>
        <v/>
      </c>
      <c r="K205" s="49" t="n"/>
      <c r="L205" s="27">
        <f>IF($K205="","",IFERROR(INDEX(CONFIG!$B$4:$B$43,MATCH($K205,CONFIG!$A$4:$A$43,0)),"Media"))</f>
        <v/>
      </c>
      <c r="M205" s="27">
        <f>IF($K205="","",IFERROR(INDEX(CONFIG!$D$4:$D$43,MATCH($K205,CONFIG!$A$4:$A$43,0)),"NO"))</f>
        <v/>
      </c>
      <c r="N205" s="49" t="n"/>
      <c r="O205" s="27">
        <f>IF($N205="","",IFERROR(INDEX(CONFIG!$G$4:$G$43,MATCH($N205,CONFIG!$F$4:$F$43,0)),"Por definir"))</f>
        <v/>
      </c>
      <c r="P205" s="27">
        <f>IF($N205="","",IFERROR(INDEX(CONFIG!$H$4:$H$43,MATCH($N205,CONFIG!$F$4:$F$43,0)),"Por definir"))</f>
        <v/>
      </c>
      <c r="Q205" s="50" t="n"/>
      <c r="R205" s="51" t="n"/>
      <c r="S205" s="49" t="n"/>
      <c r="T205" s="49" t="n"/>
      <c r="U205" s="48">
        <f>IF(OR($B205="",$K205=""),"",WORKDAY($B205,IFERROR(INDEX(CONFIG!$C$4:$C$43,MATCH($K205,CONFIG!$A$4:$A$43,0)),3)))</f>
        <v/>
      </c>
      <c r="V205" s="46" t="n"/>
      <c r="W205" s="23">
        <f>IF($B205="","",IF($V205&lt;&gt;"",$V205-$B205,TODAY()-$B205))</f>
        <v/>
      </c>
      <c r="X205" s="27">
        <f>IF($C205="","",IF(IFERROR(INDEX(CONFIG!$K$4:$K$43,MATCH($S205,CONFIG!$J$4:$J$43,0)),"NO")="SÍ",IF(OR($V205="",$U205=""),"Resuelta",IF($V205&gt;$U205,"Resuelta tarde","Resuelta a tiempo")),IF($U205="","Sin clasificar",IF(TODAY()&gt;$U205,"Vencida",IF(TODAY()&gt;=$U205-1,"Por vencer","En plazo")))))</f>
        <v/>
      </c>
      <c r="Y205" s="49" t="n"/>
      <c r="Z205" s="49" t="n"/>
    </row>
    <row r="206" ht="16" customHeight="1">
      <c r="A206" s="27">
        <f>IF($C206="","","N-"&amp;TEXT(ROW()-3,"0000"))</f>
        <v/>
      </c>
      <c r="B206" s="46" t="n"/>
      <c r="C206" s="47" t="n"/>
      <c r="D206" s="27">
        <f>IF($C206="","",IF(COUNTIFS(ENVIOS!$A$4:$A$3003,$C206)=0,"NO EXISTE",IF(COUNTIFS(ENVIOS!$A$4:$A$3003,$C206)&gt;1,"DUPLICADA","OK")))</f>
        <v/>
      </c>
      <c r="E206" s="22">
        <f>IF($C206="","",IFERROR(INDEX(ENVIOS!$C$4:$C$3003,MATCH($C206,ENVIOS!$A$4:$A$3003,0)),"—"))</f>
        <v/>
      </c>
      <c r="F206" s="22">
        <f>IF($C206="","",IFERROR(INDEX(ENVIOS!$D$4:$D$3003,MATCH($C206,ENVIOS!$A$4:$A$3003,0)),"—"))</f>
        <v/>
      </c>
      <c r="G206" s="22">
        <f>IF($C206="","",IFERROR(INDEX(ENVIOS!$E$4:$E$3003,MATCH($C206,ENVIOS!$A$4:$A$3003,0)),"—"))</f>
        <v/>
      </c>
      <c r="H206" s="22">
        <f>IF($C206="","",IFERROR(INDEX(ENVIOS!$F$4:$F$3003,MATCH($C206,ENVIOS!$A$4:$A$3003,0)),"—"))</f>
        <v/>
      </c>
      <c r="I206" s="27">
        <f>IF($C206="","",IFERROR(INDEX(ENVIOS!$G$4:$G$3003,MATCH($C206,ENVIOS!$A$4:$A$3003,0)),"—"))</f>
        <v/>
      </c>
      <c r="J206" s="48">
        <f>IF($C206="","",IFERROR(INDEX(ENVIOS!$B$4:$B$3003,MATCH($C206,ENVIOS!$A$4:$A$3003,0)),""))</f>
        <v/>
      </c>
      <c r="K206" s="49" t="n"/>
      <c r="L206" s="27">
        <f>IF($K206="","",IFERROR(INDEX(CONFIG!$B$4:$B$43,MATCH($K206,CONFIG!$A$4:$A$43,0)),"Media"))</f>
        <v/>
      </c>
      <c r="M206" s="27">
        <f>IF($K206="","",IFERROR(INDEX(CONFIG!$D$4:$D$43,MATCH($K206,CONFIG!$A$4:$A$43,0)),"NO"))</f>
        <v/>
      </c>
      <c r="N206" s="49" t="n"/>
      <c r="O206" s="27">
        <f>IF($N206="","",IFERROR(INDEX(CONFIG!$G$4:$G$43,MATCH($N206,CONFIG!$F$4:$F$43,0)),"Por definir"))</f>
        <v/>
      </c>
      <c r="P206" s="27">
        <f>IF($N206="","",IFERROR(INDEX(CONFIG!$H$4:$H$43,MATCH($N206,CONFIG!$F$4:$F$43,0)),"Por definir"))</f>
        <v/>
      </c>
      <c r="Q206" s="50" t="n"/>
      <c r="R206" s="51" t="n"/>
      <c r="S206" s="49" t="n"/>
      <c r="T206" s="49" t="n"/>
      <c r="U206" s="48">
        <f>IF(OR($B206="",$K206=""),"",WORKDAY($B206,IFERROR(INDEX(CONFIG!$C$4:$C$43,MATCH($K206,CONFIG!$A$4:$A$43,0)),3)))</f>
        <v/>
      </c>
      <c r="V206" s="46" t="n"/>
      <c r="W206" s="23">
        <f>IF($B206="","",IF($V206&lt;&gt;"",$V206-$B206,TODAY()-$B206))</f>
        <v/>
      </c>
      <c r="X206" s="27">
        <f>IF($C206="","",IF(IFERROR(INDEX(CONFIG!$K$4:$K$43,MATCH($S206,CONFIG!$J$4:$J$43,0)),"NO")="SÍ",IF(OR($V206="",$U206=""),"Resuelta",IF($V206&gt;$U206,"Resuelta tarde","Resuelta a tiempo")),IF($U206="","Sin clasificar",IF(TODAY()&gt;$U206,"Vencida",IF(TODAY()&gt;=$U206-1,"Por vencer","En plazo")))))</f>
        <v/>
      </c>
      <c r="Y206" s="49" t="n"/>
      <c r="Z206" s="49" t="n"/>
    </row>
    <row r="207" ht="16" customHeight="1">
      <c r="A207" s="27">
        <f>IF($C207="","","N-"&amp;TEXT(ROW()-3,"0000"))</f>
        <v/>
      </c>
      <c r="B207" s="46" t="n"/>
      <c r="C207" s="47" t="n"/>
      <c r="D207" s="27">
        <f>IF($C207="","",IF(COUNTIFS(ENVIOS!$A$4:$A$3003,$C207)=0,"NO EXISTE",IF(COUNTIFS(ENVIOS!$A$4:$A$3003,$C207)&gt;1,"DUPLICADA","OK")))</f>
        <v/>
      </c>
      <c r="E207" s="22">
        <f>IF($C207="","",IFERROR(INDEX(ENVIOS!$C$4:$C$3003,MATCH($C207,ENVIOS!$A$4:$A$3003,0)),"—"))</f>
        <v/>
      </c>
      <c r="F207" s="22">
        <f>IF($C207="","",IFERROR(INDEX(ENVIOS!$D$4:$D$3003,MATCH($C207,ENVIOS!$A$4:$A$3003,0)),"—"))</f>
        <v/>
      </c>
      <c r="G207" s="22">
        <f>IF($C207="","",IFERROR(INDEX(ENVIOS!$E$4:$E$3003,MATCH($C207,ENVIOS!$A$4:$A$3003,0)),"—"))</f>
        <v/>
      </c>
      <c r="H207" s="22">
        <f>IF($C207="","",IFERROR(INDEX(ENVIOS!$F$4:$F$3003,MATCH($C207,ENVIOS!$A$4:$A$3003,0)),"—"))</f>
        <v/>
      </c>
      <c r="I207" s="27">
        <f>IF($C207="","",IFERROR(INDEX(ENVIOS!$G$4:$G$3003,MATCH($C207,ENVIOS!$A$4:$A$3003,0)),"—"))</f>
        <v/>
      </c>
      <c r="J207" s="48">
        <f>IF($C207="","",IFERROR(INDEX(ENVIOS!$B$4:$B$3003,MATCH($C207,ENVIOS!$A$4:$A$3003,0)),""))</f>
        <v/>
      </c>
      <c r="K207" s="49" t="n"/>
      <c r="L207" s="27">
        <f>IF($K207="","",IFERROR(INDEX(CONFIG!$B$4:$B$43,MATCH($K207,CONFIG!$A$4:$A$43,0)),"Media"))</f>
        <v/>
      </c>
      <c r="M207" s="27">
        <f>IF($K207="","",IFERROR(INDEX(CONFIG!$D$4:$D$43,MATCH($K207,CONFIG!$A$4:$A$43,0)),"NO"))</f>
        <v/>
      </c>
      <c r="N207" s="49" t="n"/>
      <c r="O207" s="27">
        <f>IF($N207="","",IFERROR(INDEX(CONFIG!$G$4:$G$43,MATCH($N207,CONFIG!$F$4:$F$43,0)),"Por definir"))</f>
        <v/>
      </c>
      <c r="P207" s="27">
        <f>IF($N207="","",IFERROR(INDEX(CONFIG!$H$4:$H$43,MATCH($N207,CONFIG!$F$4:$F$43,0)),"Por definir"))</f>
        <v/>
      </c>
      <c r="Q207" s="50" t="n"/>
      <c r="R207" s="51" t="n"/>
      <c r="S207" s="49" t="n"/>
      <c r="T207" s="49" t="n"/>
      <c r="U207" s="48">
        <f>IF(OR($B207="",$K207=""),"",WORKDAY($B207,IFERROR(INDEX(CONFIG!$C$4:$C$43,MATCH($K207,CONFIG!$A$4:$A$43,0)),3)))</f>
        <v/>
      </c>
      <c r="V207" s="46" t="n"/>
      <c r="W207" s="23">
        <f>IF($B207="","",IF($V207&lt;&gt;"",$V207-$B207,TODAY()-$B207))</f>
        <v/>
      </c>
      <c r="X207" s="27">
        <f>IF($C207="","",IF(IFERROR(INDEX(CONFIG!$K$4:$K$43,MATCH($S207,CONFIG!$J$4:$J$43,0)),"NO")="SÍ",IF(OR($V207="",$U207=""),"Resuelta",IF($V207&gt;$U207,"Resuelta tarde","Resuelta a tiempo")),IF($U207="","Sin clasificar",IF(TODAY()&gt;$U207,"Vencida",IF(TODAY()&gt;=$U207-1,"Por vencer","En plazo")))))</f>
        <v/>
      </c>
      <c r="Y207" s="49" t="n"/>
      <c r="Z207" s="49" t="n"/>
    </row>
    <row r="208" ht="16" customHeight="1">
      <c r="A208" s="27">
        <f>IF($C208="","","N-"&amp;TEXT(ROW()-3,"0000"))</f>
        <v/>
      </c>
      <c r="B208" s="46" t="n"/>
      <c r="C208" s="47" t="n"/>
      <c r="D208" s="27">
        <f>IF($C208="","",IF(COUNTIFS(ENVIOS!$A$4:$A$3003,$C208)=0,"NO EXISTE",IF(COUNTIFS(ENVIOS!$A$4:$A$3003,$C208)&gt;1,"DUPLICADA","OK")))</f>
        <v/>
      </c>
      <c r="E208" s="22">
        <f>IF($C208="","",IFERROR(INDEX(ENVIOS!$C$4:$C$3003,MATCH($C208,ENVIOS!$A$4:$A$3003,0)),"—"))</f>
        <v/>
      </c>
      <c r="F208" s="22">
        <f>IF($C208="","",IFERROR(INDEX(ENVIOS!$D$4:$D$3003,MATCH($C208,ENVIOS!$A$4:$A$3003,0)),"—"))</f>
        <v/>
      </c>
      <c r="G208" s="22">
        <f>IF($C208="","",IFERROR(INDEX(ENVIOS!$E$4:$E$3003,MATCH($C208,ENVIOS!$A$4:$A$3003,0)),"—"))</f>
        <v/>
      </c>
      <c r="H208" s="22">
        <f>IF($C208="","",IFERROR(INDEX(ENVIOS!$F$4:$F$3003,MATCH($C208,ENVIOS!$A$4:$A$3003,0)),"—"))</f>
        <v/>
      </c>
      <c r="I208" s="27">
        <f>IF($C208="","",IFERROR(INDEX(ENVIOS!$G$4:$G$3003,MATCH($C208,ENVIOS!$A$4:$A$3003,0)),"—"))</f>
        <v/>
      </c>
      <c r="J208" s="48">
        <f>IF($C208="","",IFERROR(INDEX(ENVIOS!$B$4:$B$3003,MATCH($C208,ENVIOS!$A$4:$A$3003,0)),""))</f>
        <v/>
      </c>
      <c r="K208" s="49" t="n"/>
      <c r="L208" s="27">
        <f>IF($K208="","",IFERROR(INDEX(CONFIG!$B$4:$B$43,MATCH($K208,CONFIG!$A$4:$A$43,0)),"Media"))</f>
        <v/>
      </c>
      <c r="M208" s="27">
        <f>IF($K208="","",IFERROR(INDEX(CONFIG!$D$4:$D$43,MATCH($K208,CONFIG!$A$4:$A$43,0)),"NO"))</f>
        <v/>
      </c>
      <c r="N208" s="49" t="n"/>
      <c r="O208" s="27">
        <f>IF($N208="","",IFERROR(INDEX(CONFIG!$G$4:$G$43,MATCH($N208,CONFIG!$F$4:$F$43,0)),"Por definir"))</f>
        <v/>
      </c>
      <c r="P208" s="27">
        <f>IF($N208="","",IFERROR(INDEX(CONFIG!$H$4:$H$43,MATCH($N208,CONFIG!$F$4:$F$43,0)),"Por definir"))</f>
        <v/>
      </c>
      <c r="Q208" s="50" t="n"/>
      <c r="R208" s="51" t="n"/>
      <c r="S208" s="49" t="n"/>
      <c r="T208" s="49" t="n"/>
      <c r="U208" s="48">
        <f>IF(OR($B208="",$K208=""),"",WORKDAY($B208,IFERROR(INDEX(CONFIG!$C$4:$C$43,MATCH($K208,CONFIG!$A$4:$A$43,0)),3)))</f>
        <v/>
      </c>
      <c r="V208" s="46" t="n"/>
      <c r="W208" s="23">
        <f>IF($B208="","",IF($V208&lt;&gt;"",$V208-$B208,TODAY()-$B208))</f>
        <v/>
      </c>
      <c r="X208" s="27">
        <f>IF($C208="","",IF(IFERROR(INDEX(CONFIG!$K$4:$K$43,MATCH($S208,CONFIG!$J$4:$J$43,0)),"NO")="SÍ",IF(OR($V208="",$U208=""),"Resuelta",IF($V208&gt;$U208,"Resuelta tarde","Resuelta a tiempo")),IF($U208="","Sin clasificar",IF(TODAY()&gt;$U208,"Vencida",IF(TODAY()&gt;=$U208-1,"Por vencer","En plazo")))))</f>
        <v/>
      </c>
      <c r="Y208" s="49" t="n"/>
      <c r="Z208" s="49" t="n"/>
    </row>
    <row r="209" ht="16" customHeight="1">
      <c r="A209" s="27">
        <f>IF($C209="","","N-"&amp;TEXT(ROW()-3,"0000"))</f>
        <v/>
      </c>
      <c r="B209" s="46" t="n"/>
      <c r="C209" s="47" t="n"/>
      <c r="D209" s="27">
        <f>IF($C209="","",IF(COUNTIFS(ENVIOS!$A$4:$A$3003,$C209)=0,"NO EXISTE",IF(COUNTIFS(ENVIOS!$A$4:$A$3003,$C209)&gt;1,"DUPLICADA","OK")))</f>
        <v/>
      </c>
      <c r="E209" s="22">
        <f>IF($C209="","",IFERROR(INDEX(ENVIOS!$C$4:$C$3003,MATCH($C209,ENVIOS!$A$4:$A$3003,0)),"—"))</f>
        <v/>
      </c>
      <c r="F209" s="22">
        <f>IF($C209="","",IFERROR(INDEX(ENVIOS!$D$4:$D$3003,MATCH($C209,ENVIOS!$A$4:$A$3003,0)),"—"))</f>
        <v/>
      </c>
      <c r="G209" s="22">
        <f>IF($C209="","",IFERROR(INDEX(ENVIOS!$E$4:$E$3003,MATCH($C209,ENVIOS!$A$4:$A$3003,0)),"—"))</f>
        <v/>
      </c>
      <c r="H209" s="22">
        <f>IF($C209="","",IFERROR(INDEX(ENVIOS!$F$4:$F$3003,MATCH($C209,ENVIOS!$A$4:$A$3003,0)),"—"))</f>
        <v/>
      </c>
      <c r="I209" s="27">
        <f>IF($C209="","",IFERROR(INDEX(ENVIOS!$G$4:$G$3003,MATCH($C209,ENVIOS!$A$4:$A$3003,0)),"—"))</f>
        <v/>
      </c>
      <c r="J209" s="48">
        <f>IF($C209="","",IFERROR(INDEX(ENVIOS!$B$4:$B$3003,MATCH($C209,ENVIOS!$A$4:$A$3003,0)),""))</f>
        <v/>
      </c>
      <c r="K209" s="49" t="n"/>
      <c r="L209" s="27">
        <f>IF($K209="","",IFERROR(INDEX(CONFIG!$B$4:$B$43,MATCH($K209,CONFIG!$A$4:$A$43,0)),"Media"))</f>
        <v/>
      </c>
      <c r="M209" s="27">
        <f>IF($K209="","",IFERROR(INDEX(CONFIG!$D$4:$D$43,MATCH($K209,CONFIG!$A$4:$A$43,0)),"NO"))</f>
        <v/>
      </c>
      <c r="N209" s="49" t="n"/>
      <c r="O209" s="27">
        <f>IF($N209="","",IFERROR(INDEX(CONFIG!$G$4:$G$43,MATCH($N209,CONFIG!$F$4:$F$43,0)),"Por definir"))</f>
        <v/>
      </c>
      <c r="P209" s="27">
        <f>IF($N209="","",IFERROR(INDEX(CONFIG!$H$4:$H$43,MATCH($N209,CONFIG!$F$4:$F$43,0)),"Por definir"))</f>
        <v/>
      </c>
      <c r="Q209" s="50" t="n"/>
      <c r="R209" s="51" t="n"/>
      <c r="S209" s="49" t="n"/>
      <c r="T209" s="49" t="n"/>
      <c r="U209" s="48">
        <f>IF(OR($B209="",$K209=""),"",WORKDAY($B209,IFERROR(INDEX(CONFIG!$C$4:$C$43,MATCH($K209,CONFIG!$A$4:$A$43,0)),3)))</f>
        <v/>
      </c>
      <c r="V209" s="46" t="n"/>
      <c r="W209" s="23">
        <f>IF($B209="","",IF($V209&lt;&gt;"",$V209-$B209,TODAY()-$B209))</f>
        <v/>
      </c>
      <c r="X209" s="27">
        <f>IF($C209="","",IF(IFERROR(INDEX(CONFIG!$K$4:$K$43,MATCH($S209,CONFIG!$J$4:$J$43,0)),"NO")="SÍ",IF(OR($V209="",$U209=""),"Resuelta",IF($V209&gt;$U209,"Resuelta tarde","Resuelta a tiempo")),IF($U209="","Sin clasificar",IF(TODAY()&gt;$U209,"Vencida",IF(TODAY()&gt;=$U209-1,"Por vencer","En plazo")))))</f>
        <v/>
      </c>
      <c r="Y209" s="49" t="n"/>
      <c r="Z209" s="49" t="n"/>
    </row>
    <row r="210" ht="16" customHeight="1">
      <c r="A210" s="27">
        <f>IF($C210="","","N-"&amp;TEXT(ROW()-3,"0000"))</f>
        <v/>
      </c>
      <c r="B210" s="46" t="n"/>
      <c r="C210" s="47" t="n"/>
      <c r="D210" s="27">
        <f>IF($C210="","",IF(COUNTIFS(ENVIOS!$A$4:$A$3003,$C210)=0,"NO EXISTE",IF(COUNTIFS(ENVIOS!$A$4:$A$3003,$C210)&gt;1,"DUPLICADA","OK")))</f>
        <v/>
      </c>
      <c r="E210" s="22">
        <f>IF($C210="","",IFERROR(INDEX(ENVIOS!$C$4:$C$3003,MATCH($C210,ENVIOS!$A$4:$A$3003,0)),"—"))</f>
        <v/>
      </c>
      <c r="F210" s="22">
        <f>IF($C210="","",IFERROR(INDEX(ENVIOS!$D$4:$D$3003,MATCH($C210,ENVIOS!$A$4:$A$3003,0)),"—"))</f>
        <v/>
      </c>
      <c r="G210" s="22">
        <f>IF($C210="","",IFERROR(INDEX(ENVIOS!$E$4:$E$3003,MATCH($C210,ENVIOS!$A$4:$A$3003,0)),"—"))</f>
        <v/>
      </c>
      <c r="H210" s="22">
        <f>IF($C210="","",IFERROR(INDEX(ENVIOS!$F$4:$F$3003,MATCH($C210,ENVIOS!$A$4:$A$3003,0)),"—"))</f>
        <v/>
      </c>
      <c r="I210" s="27">
        <f>IF($C210="","",IFERROR(INDEX(ENVIOS!$G$4:$G$3003,MATCH($C210,ENVIOS!$A$4:$A$3003,0)),"—"))</f>
        <v/>
      </c>
      <c r="J210" s="48">
        <f>IF($C210="","",IFERROR(INDEX(ENVIOS!$B$4:$B$3003,MATCH($C210,ENVIOS!$A$4:$A$3003,0)),""))</f>
        <v/>
      </c>
      <c r="K210" s="49" t="n"/>
      <c r="L210" s="27">
        <f>IF($K210="","",IFERROR(INDEX(CONFIG!$B$4:$B$43,MATCH($K210,CONFIG!$A$4:$A$43,0)),"Media"))</f>
        <v/>
      </c>
      <c r="M210" s="27">
        <f>IF($K210="","",IFERROR(INDEX(CONFIG!$D$4:$D$43,MATCH($K210,CONFIG!$A$4:$A$43,0)),"NO"))</f>
        <v/>
      </c>
      <c r="N210" s="49" t="n"/>
      <c r="O210" s="27">
        <f>IF($N210="","",IFERROR(INDEX(CONFIG!$G$4:$G$43,MATCH($N210,CONFIG!$F$4:$F$43,0)),"Por definir"))</f>
        <v/>
      </c>
      <c r="P210" s="27">
        <f>IF($N210="","",IFERROR(INDEX(CONFIG!$H$4:$H$43,MATCH($N210,CONFIG!$F$4:$F$43,0)),"Por definir"))</f>
        <v/>
      </c>
      <c r="Q210" s="50" t="n"/>
      <c r="R210" s="51" t="n"/>
      <c r="S210" s="49" t="n"/>
      <c r="T210" s="49" t="n"/>
      <c r="U210" s="48">
        <f>IF(OR($B210="",$K210=""),"",WORKDAY($B210,IFERROR(INDEX(CONFIG!$C$4:$C$43,MATCH($K210,CONFIG!$A$4:$A$43,0)),3)))</f>
        <v/>
      </c>
      <c r="V210" s="46" t="n"/>
      <c r="W210" s="23">
        <f>IF($B210="","",IF($V210&lt;&gt;"",$V210-$B210,TODAY()-$B210))</f>
        <v/>
      </c>
      <c r="X210" s="27">
        <f>IF($C210="","",IF(IFERROR(INDEX(CONFIG!$K$4:$K$43,MATCH($S210,CONFIG!$J$4:$J$43,0)),"NO")="SÍ",IF(OR($V210="",$U210=""),"Resuelta",IF($V210&gt;$U210,"Resuelta tarde","Resuelta a tiempo")),IF($U210="","Sin clasificar",IF(TODAY()&gt;$U210,"Vencida",IF(TODAY()&gt;=$U210-1,"Por vencer","En plazo")))))</f>
        <v/>
      </c>
      <c r="Y210" s="49" t="n"/>
      <c r="Z210" s="49" t="n"/>
    </row>
    <row r="211" ht="16" customHeight="1">
      <c r="A211" s="27">
        <f>IF($C211="","","N-"&amp;TEXT(ROW()-3,"0000"))</f>
        <v/>
      </c>
      <c r="B211" s="46" t="n"/>
      <c r="C211" s="47" t="n"/>
      <c r="D211" s="27">
        <f>IF($C211="","",IF(COUNTIFS(ENVIOS!$A$4:$A$3003,$C211)=0,"NO EXISTE",IF(COUNTIFS(ENVIOS!$A$4:$A$3003,$C211)&gt;1,"DUPLICADA","OK")))</f>
        <v/>
      </c>
      <c r="E211" s="22">
        <f>IF($C211="","",IFERROR(INDEX(ENVIOS!$C$4:$C$3003,MATCH($C211,ENVIOS!$A$4:$A$3003,0)),"—"))</f>
        <v/>
      </c>
      <c r="F211" s="22">
        <f>IF($C211="","",IFERROR(INDEX(ENVIOS!$D$4:$D$3003,MATCH($C211,ENVIOS!$A$4:$A$3003,0)),"—"))</f>
        <v/>
      </c>
      <c r="G211" s="22">
        <f>IF($C211="","",IFERROR(INDEX(ENVIOS!$E$4:$E$3003,MATCH($C211,ENVIOS!$A$4:$A$3003,0)),"—"))</f>
        <v/>
      </c>
      <c r="H211" s="22">
        <f>IF($C211="","",IFERROR(INDEX(ENVIOS!$F$4:$F$3003,MATCH($C211,ENVIOS!$A$4:$A$3003,0)),"—"))</f>
        <v/>
      </c>
      <c r="I211" s="27">
        <f>IF($C211="","",IFERROR(INDEX(ENVIOS!$G$4:$G$3003,MATCH($C211,ENVIOS!$A$4:$A$3003,0)),"—"))</f>
        <v/>
      </c>
      <c r="J211" s="48">
        <f>IF($C211="","",IFERROR(INDEX(ENVIOS!$B$4:$B$3003,MATCH($C211,ENVIOS!$A$4:$A$3003,0)),""))</f>
        <v/>
      </c>
      <c r="K211" s="49" t="n"/>
      <c r="L211" s="27">
        <f>IF($K211="","",IFERROR(INDEX(CONFIG!$B$4:$B$43,MATCH($K211,CONFIG!$A$4:$A$43,0)),"Media"))</f>
        <v/>
      </c>
      <c r="M211" s="27">
        <f>IF($K211="","",IFERROR(INDEX(CONFIG!$D$4:$D$43,MATCH($K211,CONFIG!$A$4:$A$43,0)),"NO"))</f>
        <v/>
      </c>
      <c r="N211" s="49" t="n"/>
      <c r="O211" s="27">
        <f>IF($N211="","",IFERROR(INDEX(CONFIG!$G$4:$G$43,MATCH($N211,CONFIG!$F$4:$F$43,0)),"Por definir"))</f>
        <v/>
      </c>
      <c r="P211" s="27">
        <f>IF($N211="","",IFERROR(INDEX(CONFIG!$H$4:$H$43,MATCH($N211,CONFIG!$F$4:$F$43,0)),"Por definir"))</f>
        <v/>
      </c>
      <c r="Q211" s="50" t="n"/>
      <c r="R211" s="51" t="n"/>
      <c r="S211" s="49" t="n"/>
      <c r="T211" s="49" t="n"/>
      <c r="U211" s="48">
        <f>IF(OR($B211="",$K211=""),"",WORKDAY($B211,IFERROR(INDEX(CONFIG!$C$4:$C$43,MATCH($K211,CONFIG!$A$4:$A$43,0)),3)))</f>
        <v/>
      </c>
      <c r="V211" s="46" t="n"/>
      <c r="W211" s="23">
        <f>IF($B211="","",IF($V211&lt;&gt;"",$V211-$B211,TODAY()-$B211))</f>
        <v/>
      </c>
      <c r="X211" s="27">
        <f>IF($C211="","",IF(IFERROR(INDEX(CONFIG!$K$4:$K$43,MATCH($S211,CONFIG!$J$4:$J$43,0)),"NO")="SÍ",IF(OR($V211="",$U211=""),"Resuelta",IF($V211&gt;$U211,"Resuelta tarde","Resuelta a tiempo")),IF($U211="","Sin clasificar",IF(TODAY()&gt;$U211,"Vencida",IF(TODAY()&gt;=$U211-1,"Por vencer","En plazo")))))</f>
        <v/>
      </c>
      <c r="Y211" s="49" t="n"/>
      <c r="Z211" s="49" t="n"/>
    </row>
    <row r="212" ht="16" customHeight="1">
      <c r="A212" s="27">
        <f>IF($C212="","","N-"&amp;TEXT(ROW()-3,"0000"))</f>
        <v/>
      </c>
      <c r="B212" s="46" t="n"/>
      <c r="C212" s="47" t="n"/>
      <c r="D212" s="27">
        <f>IF($C212="","",IF(COUNTIFS(ENVIOS!$A$4:$A$3003,$C212)=0,"NO EXISTE",IF(COUNTIFS(ENVIOS!$A$4:$A$3003,$C212)&gt;1,"DUPLICADA","OK")))</f>
        <v/>
      </c>
      <c r="E212" s="22">
        <f>IF($C212="","",IFERROR(INDEX(ENVIOS!$C$4:$C$3003,MATCH($C212,ENVIOS!$A$4:$A$3003,0)),"—"))</f>
        <v/>
      </c>
      <c r="F212" s="22">
        <f>IF($C212="","",IFERROR(INDEX(ENVIOS!$D$4:$D$3003,MATCH($C212,ENVIOS!$A$4:$A$3003,0)),"—"))</f>
        <v/>
      </c>
      <c r="G212" s="22">
        <f>IF($C212="","",IFERROR(INDEX(ENVIOS!$E$4:$E$3003,MATCH($C212,ENVIOS!$A$4:$A$3003,0)),"—"))</f>
        <v/>
      </c>
      <c r="H212" s="22">
        <f>IF($C212="","",IFERROR(INDEX(ENVIOS!$F$4:$F$3003,MATCH($C212,ENVIOS!$A$4:$A$3003,0)),"—"))</f>
        <v/>
      </c>
      <c r="I212" s="27">
        <f>IF($C212="","",IFERROR(INDEX(ENVIOS!$G$4:$G$3003,MATCH($C212,ENVIOS!$A$4:$A$3003,0)),"—"))</f>
        <v/>
      </c>
      <c r="J212" s="48">
        <f>IF($C212="","",IFERROR(INDEX(ENVIOS!$B$4:$B$3003,MATCH($C212,ENVIOS!$A$4:$A$3003,0)),""))</f>
        <v/>
      </c>
      <c r="K212" s="49" t="n"/>
      <c r="L212" s="27">
        <f>IF($K212="","",IFERROR(INDEX(CONFIG!$B$4:$B$43,MATCH($K212,CONFIG!$A$4:$A$43,0)),"Media"))</f>
        <v/>
      </c>
      <c r="M212" s="27">
        <f>IF($K212="","",IFERROR(INDEX(CONFIG!$D$4:$D$43,MATCH($K212,CONFIG!$A$4:$A$43,0)),"NO"))</f>
        <v/>
      </c>
      <c r="N212" s="49" t="n"/>
      <c r="O212" s="27">
        <f>IF($N212="","",IFERROR(INDEX(CONFIG!$G$4:$G$43,MATCH($N212,CONFIG!$F$4:$F$43,0)),"Por definir"))</f>
        <v/>
      </c>
      <c r="P212" s="27">
        <f>IF($N212="","",IFERROR(INDEX(CONFIG!$H$4:$H$43,MATCH($N212,CONFIG!$F$4:$F$43,0)),"Por definir"))</f>
        <v/>
      </c>
      <c r="Q212" s="50" t="n"/>
      <c r="R212" s="51" t="n"/>
      <c r="S212" s="49" t="n"/>
      <c r="T212" s="49" t="n"/>
      <c r="U212" s="48">
        <f>IF(OR($B212="",$K212=""),"",WORKDAY($B212,IFERROR(INDEX(CONFIG!$C$4:$C$43,MATCH($K212,CONFIG!$A$4:$A$43,0)),3)))</f>
        <v/>
      </c>
      <c r="V212" s="46" t="n"/>
      <c r="W212" s="23">
        <f>IF($B212="","",IF($V212&lt;&gt;"",$V212-$B212,TODAY()-$B212))</f>
        <v/>
      </c>
      <c r="X212" s="27">
        <f>IF($C212="","",IF(IFERROR(INDEX(CONFIG!$K$4:$K$43,MATCH($S212,CONFIG!$J$4:$J$43,0)),"NO")="SÍ",IF(OR($V212="",$U212=""),"Resuelta",IF($V212&gt;$U212,"Resuelta tarde","Resuelta a tiempo")),IF($U212="","Sin clasificar",IF(TODAY()&gt;$U212,"Vencida",IF(TODAY()&gt;=$U212-1,"Por vencer","En plazo")))))</f>
        <v/>
      </c>
      <c r="Y212" s="49" t="n"/>
      <c r="Z212" s="49" t="n"/>
    </row>
    <row r="213" ht="16" customHeight="1">
      <c r="A213" s="27">
        <f>IF($C213="","","N-"&amp;TEXT(ROW()-3,"0000"))</f>
        <v/>
      </c>
      <c r="B213" s="46" t="n"/>
      <c r="C213" s="47" t="n"/>
      <c r="D213" s="27">
        <f>IF($C213="","",IF(COUNTIFS(ENVIOS!$A$4:$A$3003,$C213)=0,"NO EXISTE",IF(COUNTIFS(ENVIOS!$A$4:$A$3003,$C213)&gt;1,"DUPLICADA","OK")))</f>
        <v/>
      </c>
      <c r="E213" s="22">
        <f>IF($C213="","",IFERROR(INDEX(ENVIOS!$C$4:$C$3003,MATCH($C213,ENVIOS!$A$4:$A$3003,0)),"—"))</f>
        <v/>
      </c>
      <c r="F213" s="22">
        <f>IF($C213="","",IFERROR(INDEX(ENVIOS!$D$4:$D$3003,MATCH($C213,ENVIOS!$A$4:$A$3003,0)),"—"))</f>
        <v/>
      </c>
      <c r="G213" s="22">
        <f>IF($C213="","",IFERROR(INDEX(ENVIOS!$E$4:$E$3003,MATCH($C213,ENVIOS!$A$4:$A$3003,0)),"—"))</f>
        <v/>
      </c>
      <c r="H213" s="22">
        <f>IF($C213="","",IFERROR(INDEX(ENVIOS!$F$4:$F$3003,MATCH($C213,ENVIOS!$A$4:$A$3003,0)),"—"))</f>
        <v/>
      </c>
      <c r="I213" s="27">
        <f>IF($C213="","",IFERROR(INDEX(ENVIOS!$G$4:$G$3003,MATCH($C213,ENVIOS!$A$4:$A$3003,0)),"—"))</f>
        <v/>
      </c>
      <c r="J213" s="48">
        <f>IF($C213="","",IFERROR(INDEX(ENVIOS!$B$4:$B$3003,MATCH($C213,ENVIOS!$A$4:$A$3003,0)),""))</f>
        <v/>
      </c>
      <c r="K213" s="49" t="n"/>
      <c r="L213" s="27">
        <f>IF($K213="","",IFERROR(INDEX(CONFIG!$B$4:$B$43,MATCH($K213,CONFIG!$A$4:$A$43,0)),"Media"))</f>
        <v/>
      </c>
      <c r="M213" s="27">
        <f>IF($K213="","",IFERROR(INDEX(CONFIG!$D$4:$D$43,MATCH($K213,CONFIG!$A$4:$A$43,0)),"NO"))</f>
        <v/>
      </c>
      <c r="N213" s="49" t="n"/>
      <c r="O213" s="27">
        <f>IF($N213="","",IFERROR(INDEX(CONFIG!$G$4:$G$43,MATCH($N213,CONFIG!$F$4:$F$43,0)),"Por definir"))</f>
        <v/>
      </c>
      <c r="P213" s="27">
        <f>IF($N213="","",IFERROR(INDEX(CONFIG!$H$4:$H$43,MATCH($N213,CONFIG!$F$4:$F$43,0)),"Por definir"))</f>
        <v/>
      </c>
      <c r="Q213" s="50" t="n"/>
      <c r="R213" s="51" t="n"/>
      <c r="S213" s="49" t="n"/>
      <c r="T213" s="49" t="n"/>
      <c r="U213" s="48">
        <f>IF(OR($B213="",$K213=""),"",WORKDAY($B213,IFERROR(INDEX(CONFIG!$C$4:$C$43,MATCH($K213,CONFIG!$A$4:$A$43,0)),3)))</f>
        <v/>
      </c>
      <c r="V213" s="46" t="n"/>
      <c r="W213" s="23">
        <f>IF($B213="","",IF($V213&lt;&gt;"",$V213-$B213,TODAY()-$B213))</f>
        <v/>
      </c>
      <c r="X213" s="27">
        <f>IF($C213="","",IF(IFERROR(INDEX(CONFIG!$K$4:$K$43,MATCH($S213,CONFIG!$J$4:$J$43,0)),"NO")="SÍ",IF(OR($V213="",$U213=""),"Resuelta",IF($V213&gt;$U213,"Resuelta tarde","Resuelta a tiempo")),IF($U213="","Sin clasificar",IF(TODAY()&gt;$U213,"Vencida",IF(TODAY()&gt;=$U213-1,"Por vencer","En plazo")))))</f>
        <v/>
      </c>
      <c r="Y213" s="49" t="n"/>
      <c r="Z213" s="49" t="n"/>
    </row>
    <row r="214" ht="16" customHeight="1">
      <c r="A214" s="27">
        <f>IF($C214="","","N-"&amp;TEXT(ROW()-3,"0000"))</f>
        <v/>
      </c>
      <c r="B214" s="46" t="n"/>
      <c r="C214" s="47" t="n"/>
      <c r="D214" s="27">
        <f>IF($C214="","",IF(COUNTIFS(ENVIOS!$A$4:$A$3003,$C214)=0,"NO EXISTE",IF(COUNTIFS(ENVIOS!$A$4:$A$3003,$C214)&gt;1,"DUPLICADA","OK")))</f>
        <v/>
      </c>
      <c r="E214" s="22">
        <f>IF($C214="","",IFERROR(INDEX(ENVIOS!$C$4:$C$3003,MATCH($C214,ENVIOS!$A$4:$A$3003,0)),"—"))</f>
        <v/>
      </c>
      <c r="F214" s="22">
        <f>IF($C214="","",IFERROR(INDEX(ENVIOS!$D$4:$D$3003,MATCH($C214,ENVIOS!$A$4:$A$3003,0)),"—"))</f>
        <v/>
      </c>
      <c r="G214" s="22">
        <f>IF($C214="","",IFERROR(INDEX(ENVIOS!$E$4:$E$3003,MATCH($C214,ENVIOS!$A$4:$A$3003,0)),"—"))</f>
        <v/>
      </c>
      <c r="H214" s="22">
        <f>IF($C214="","",IFERROR(INDEX(ENVIOS!$F$4:$F$3003,MATCH($C214,ENVIOS!$A$4:$A$3003,0)),"—"))</f>
        <v/>
      </c>
      <c r="I214" s="27">
        <f>IF($C214="","",IFERROR(INDEX(ENVIOS!$G$4:$G$3003,MATCH($C214,ENVIOS!$A$4:$A$3003,0)),"—"))</f>
        <v/>
      </c>
      <c r="J214" s="48">
        <f>IF($C214="","",IFERROR(INDEX(ENVIOS!$B$4:$B$3003,MATCH($C214,ENVIOS!$A$4:$A$3003,0)),""))</f>
        <v/>
      </c>
      <c r="K214" s="49" t="n"/>
      <c r="L214" s="27">
        <f>IF($K214="","",IFERROR(INDEX(CONFIG!$B$4:$B$43,MATCH($K214,CONFIG!$A$4:$A$43,0)),"Media"))</f>
        <v/>
      </c>
      <c r="M214" s="27">
        <f>IF($K214="","",IFERROR(INDEX(CONFIG!$D$4:$D$43,MATCH($K214,CONFIG!$A$4:$A$43,0)),"NO"))</f>
        <v/>
      </c>
      <c r="N214" s="49" t="n"/>
      <c r="O214" s="27">
        <f>IF($N214="","",IFERROR(INDEX(CONFIG!$G$4:$G$43,MATCH($N214,CONFIG!$F$4:$F$43,0)),"Por definir"))</f>
        <v/>
      </c>
      <c r="P214" s="27">
        <f>IF($N214="","",IFERROR(INDEX(CONFIG!$H$4:$H$43,MATCH($N214,CONFIG!$F$4:$F$43,0)),"Por definir"))</f>
        <v/>
      </c>
      <c r="Q214" s="50" t="n"/>
      <c r="R214" s="51" t="n"/>
      <c r="S214" s="49" t="n"/>
      <c r="T214" s="49" t="n"/>
      <c r="U214" s="48">
        <f>IF(OR($B214="",$K214=""),"",WORKDAY($B214,IFERROR(INDEX(CONFIG!$C$4:$C$43,MATCH($K214,CONFIG!$A$4:$A$43,0)),3)))</f>
        <v/>
      </c>
      <c r="V214" s="46" t="n"/>
      <c r="W214" s="23">
        <f>IF($B214="","",IF($V214&lt;&gt;"",$V214-$B214,TODAY()-$B214))</f>
        <v/>
      </c>
      <c r="X214" s="27">
        <f>IF($C214="","",IF(IFERROR(INDEX(CONFIG!$K$4:$K$43,MATCH($S214,CONFIG!$J$4:$J$43,0)),"NO")="SÍ",IF(OR($V214="",$U214=""),"Resuelta",IF($V214&gt;$U214,"Resuelta tarde","Resuelta a tiempo")),IF($U214="","Sin clasificar",IF(TODAY()&gt;$U214,"Vencida",IF(TODAY()&gt;=$U214-1,"Por vencer","En plazo")))))</f>
        <v/>
      </c>
      <c r="Y214" s="49" t="n"/>
      <c r="Z214" s="49" t="n"/>
    </row>
    <row r="215" ht="16" customHeight="1">
      <c r="A215" s="27">
        <f>IF($C215="","","N-"&amp;TEXT(ROW()-3,"0000"))</f>
        <v/>
      </c>
      <c r="B215" s="46" t="n"/>
      <c r="C215" s="47" t="n"/>
      <c r="D215" s="27">
        <f>IF($C215="","",IF(COUNTIFS(ENVIOS!$A$4:$A$3003,$C215)=0,"NO EXISTE",IF(COUNTIFS(ENVIOS!$A$4:$A$3003,$C215)&gt;1,"DUPLICADA","OK")))</f>
        <v/>
      </c>
      <c r="E215" s="22">
        <f>IF($C215="","",IFERROR(INDEX(ENVIOS!$C$4:$C$3003,MATCH($C215,ENVIOS!$A$4:$A$3003,0)),"—"))</f>
        <v/>
      </c>
      <c r="F215" s="22">
        <f>IF($C215="","",IFERROR(INDEX(ENVIOS!$D$4:$D$3003,MATCH($C215,ENVIOS!$A$4:$A$3003,0)),"—"))</f>
        <v/>
      </c>
      <c r="G215" s="22">
        <f>IF($C215="","",IFERROR(INDEX(ENVIOS!$E$4:$E$3003,MATCH($C215,ENVIOS!$A$4:$A$3003,0)),"—"))</f>
        <v/>
      </c>
      <c r="H215" s="22">
        <f>IF($C215="","",IFERROR(INDEX(ENVIOS!$F$4:$F$3003,MATCH($C215,ENVIOS!$A$4:$A$3003,0)),"—"))</f>
        <v/>
      </c>
      <c r="I215" s="27">
        <f>IF($C215="","",IFERROR(INDEX(ENVIOS!$G$4:$G$3003,MATCH($C215,ENVIOS!$A$4:$A$3003,0)),"—"))</f>
        <v/>
      </c>
      <c r="J215" s="48">
        <f>IF($C215="","",IFERROR(INDEX(ENVIOS!$B$4:$B$3003,MATCH($C215,ENVIOS!$A$4:$A$3003,0)),""))</f>
        <v/>
      </c>
      <c r="K215" s="49" t="n"/>
      <c r="L215" s="27">
        <f>IF($K215="","",IFERROR(INDEX(CONFIG!$B$4:$B$43,MATCH($K215,CONFIG!$A$4:$A$43,0)),"Media"))</f>
        <v/>
      </c>
      <c r="M215" s="27">
        <f>IF($K215="","",IFERROR(INDEX(CONFIG!$D$4:$D$43,MATCH($K215,CONFIG!$A$4:$A$43,0)),"NO"))</f>
        <v/>
      </c>
      <c r="N215" s="49" t="n"/>
      <c r="O215" s="27">
        <f>IF($N215="","",IFERROR(INDEX(CONFIG!$G$4:$G$43,MATCH($N215,CONFIG!$F$4:$F$43,0)),"Por definir"))</f>
        <v/>
      </c>
      <c r="P215" s="27">
        <f>IF($N215="","",IFERROR(INDEX(CONFIG!$H$4:$H$43,MATCH($N215,CONFIG!$F$4:$F$43,0)),"Por definir"))</f>
        <v/>
      </c>
      <c r="Q215" s="50" t="n"/>
      <c r="R215" s="51" t="n"/>
      <c r="S215" s="49" t="n"/>
      <c r="T215" s="49" t="n"/>
      <c r="U215" s="48">
        <f>IF(OR($B215="",$K215=""),"",WORKDAY($B215,IFERROR(INDEX(CONFIG!$C$4:$C$43,MATCH($K215,CONFIG!$A$4:$A$43,0)),3)))</f>
        <v/>
      </c>
      <c r="V215" s="46" t="n"/>
      <c r="W215" s="23">
        <f>IF($B215="","",IF($V215&lt;&gt;"",$V215-$B215,TODAY()-$B215))</f>
        <v/>
      </c>
      <c r="X215" s="27">
        <f>IF($C215="","",IF(IFERROR(INDEX(CONFIG!$K$4:$K$43,MATCH($S215,CONFIG!$J$4:$J$43,0)),"NO")="SÍ",IF(OR($V215="",$U215=""),"Resuelta",IF($V215&gt;$U215,"Resuelta tarde","Resuelta a tiempo")),IF($U215="","Sin clasificar",IF(TODAY()&gt;$U215,"Vencida",IF(TODAY()&gt;=$U215-1,"Por vencer","En plazo")))))</f>
        <v/>
      </c>
      <c r="Y215" s="49" t="n"/>
      <c r="Z215" s="49" t="n"/>
    </row>
    <row r="216" ht="16" customHeight="1">
      <c r="A216" s="27">
        <f>IF($C216="","","N-"&amp;TEXT(ROW()-3,"0000"))</f>
        <v/>
      </c>
      <c r="B216" s="46" t="n"/>
      <c r="C216" s="47" t="n"/>
      <c r="D216" s="27">
        <f>IF($C216="","",IF(COUNTIFS(ENVIOS!$A$4:$A$3003,$C216)=0,"NO EXISTE",IF(COUNTIFS(ENVIOS!$A$4:$A$3003,$C216)&gt;1,"DUPLICADA","OK")))</f>
        <v/>
      </c>
      <c r="E216" s="22">
        <f>IF($C216="","",IFERROR(INDEX(ENVIOS!$C$4:$C$3003,MATCH($C216,ENVIOS!$A$4:$A$3003,0)),"—"))</f>
        <v/>
      </c>
      <c r="F216" s="22">
        <f>IF($C216="","",IFERROR(INDEX(ENVIOS!$D$4:$D$3003,MATCH($C216,ENVIOS!$A$4:$A$3003,0)),"—"))</f>
        <v/>
      </c>
      <c r="G216" s="22">
        <f>IF($C216="","",IFERROR(INDEX(ENVIOS!$E$4:$E$3003,MATCH($C216,ENVIOS!$A$4:$A$3003,0)),"—"))</f>
        <v/>
      </c>
      <c r="H216" s="22">
        <f>IF($C216="","",IFERROR(INDEX(ENVIOS!$F$4:$F$3003,MATCH($C216,ENVIOS!$A$4:$A$3003,0)),"—"))</f>
        <v/>
      </c>
      <c r="I216" s="27">
        <f>IF($C216="","",IFERROR(INDEX(ENVIOS!$G$4:$G$3003,MATCH($C216,ENVIOS!$A$4:$A$3003,0)),"—"))</f>
        <v/>
      </c>
      <c r="J216" s="48">
        <f>IF($C216="","",IFERROR(INDEX(ENVIOS!$B$4:$B$3003,MATCH($C216,ENVIOS!$A$4:$A$3003,0)),""))</f>
        <v/>
      </c>
      <c r="K216" s="49" t="n"/>
      <c r="L216" s="27">
        <f>IF($K216="","",IFERROR(INDEX(CONFIG!$B$4:$B$43,MATCH($K216,CONFIG!$A$4:$A$43,0)),"Media"))</f>
        <v/>
      </c>
      <c r="M216" s="27">
        <f>IF($K216="","",IFERROR(INDEX(CONFIG!$D$4:$D$43,MATCH($K216,CONFIG!$A$4:$A$43,0)),"NO"))</f>
        <v/>
      </c>
      <c r="N216" s="49" t="n"/>
      <c r="O216" s="27">
        <f>IF($N216="","",IFERROR(INDEX(CONFIG!$G$4:$G$43,MATCH($N216,CONFIG!$F$4:$F$43,0)),"Por definir"))</f>
        <v/>
      </c>
      <c r="P216" s="27">
        <f>IF($N216="","",IFERROR(INDEX(CONFIG!$H$4:$H$43,MATCH($N216,CONFIG!$F$4:$F$43,0)),"Por definir"))</f>
        <v/>
      </c>
      <c r="Q216" s="50" t="n"/>
      <c r="R216" s="51" t="n"/>
      <c r="S216" s="49" t="n"/>
      <c r="T216" s="49" t="n"/>
      <c r="U216" s="48">
        <f>IF(OR($B216="",$K216=""),"",WORKDAY($B216,IFERROR(INDEX(CONFIG!$C$4:$C$43,MATCH($K216,CONFIG!$A$4:$A$43,0)),3)))</f>
        <v/>
      </c>
      <c r="V216" s="46" t="n"/>
      <c r="W216" s="23">
        <f>IF($B216="","",IF($V216&lt;&gt;"",$V216-$B216,TODAY()-$B216))</f>
        <v/>
      </c>
      <c r="X216" s="27">
        <f>IF($C216="","",IF(IFERROR(INDEX(CONFIG!$K$4:$K$43,MATCH($S216,CONFIG!$J$4:$J$43,0)),"NO")="SÍ",IF(OR($V216="",$U216=""),"Resuelta",IF($V216&gt;$U216,"Resuelta tarde","Resuelta a tiempo")),IF($U216="","Sin clasificar",IF(TODAY()&gt;$U216,"Vencida",IF(TODAY()&gt;=$U216-1,"Por vencer","En plazo")))))</f>
        <v/>
      </c>
      <c r="Y216" s="49" t="n"/>
      <c r="Z216" s="49" t="n"/>
    </row>
    <row r="217" ht="16" customHeight="1">
      <c r="A217" s="27">
        <f>IF($C217="","","N-"&amp;TEXT(ROW()-3,"0000"))</f>
        <v/>
      </c>
      <c r="B217" s="46" t="n"/>
      <c r="C217" s="47" t="n"/>
      <c r="D217" s="27">
        <f>IF($C217="","",IF(COUNTIFS(ENVIOS!$A$4:$A$3003,$C217)=0,"NO EXISTE",IF(COUNTIFS(ENVIOS!$A$4:$A$3003,$C217)&gt;1,"DUPLICADA","OK")))</f>
        <v/>
      </c>
      <c r="E217" s="22">
        <f>IF($C217="","",IFERROR(INDEX(ENVIOS!$C$4:$C$3003,MATCH($C217,ENVIOS!$A$4:$A$3003,0)),"—"))</f>
        <v/>
      </c>
      <c r="F217" s="22">
        <f>IF($C217="","",IFERROR(INDEX(ENVIOS!$D$4:$D$3003,MATCH($C217,ENVIOS!$A$4:$A$3003,0)),"—"))</f>
        <v/>
      </c>
      <c r="G217" s="22">
        <f>IF($C217="","",IFERROR(INDEX(ENVIOS!$E$4:$E$3003,MATCH($C217,ENVIOS!$A$4:$A$3003,0)),"—"))</f>
        <v/>
      </c>
      <c r="H217" s="22">
        <f>IF($C217="","",IFERROR(INDEX(ENVIOS!$F$4:$F$3003,MATCH($C217,ENVIOS!$A$4:$A$3003,0)),"—"))</f>
        <v/>
      </c>
      <c r="I217" s="27">
        <f>IF($C217="","",IFERROR(INDEX(ENVIOS!$G$4:$G$3003,MATCH($C217,ENVIOS!$A$4:$A$3003,0)),"—"))</f>
        <v/>
      </c>
      <c r="J217" s="48">
        <f>IF($C217="","",IFERROR(INDEX(ENVIOS!$B$4:$B$3003,MATCH($C217,ENVIOS!$A$4:$A$3003,0)),""))</f>
        <v/>
      </c>
      <c r="K217" s="49" t="n"/>
      <c r="L217" s="27">
        <f>IF($K217="","",IFERROR(INDEX(CONFIG!$B$4:$B$43,MATCH($K217,CONFIG!$A$4:$A$43,0)),"Media"))</f>
        <v/>
      </c>
      <c r="M217" s="27">
        <f>IF($K217="","",IFERROR(INDEX(CONFIG!$D$4:$D$43,MATCH($K217,CONFIG!$A$4:$A$43,0)),"NO"))</f>
        <v/>
      </c>
      <c r="N217" s="49" t="n"/>
      <c r="O217" s="27">
        <f>IF($N217="","",IFERROR(INDEX(CONFIG!$G$4:$G$43,MATCH($N217,CONFIG!$F$4:$F$43,0)),"Por definir"))</f>
        <v/>
      </c>
      <c r="P217" s="27">
        <f>IF($N217="","",IFERROR(INDEX(CONFIG!$H$4:$H$43,MATCH($N217,CONFIG!$F$4:$F$43,0)),"Por definir"))</f>
        <v/>
      </c>
      <c r="Q217" s="50" t="n"/>
      <c r="R217" s="51" t="n"/>
      <c r="S217" s="49" t="n"/>
      <c r="T217" s="49" t="n"/>
      <c r="U217" s="48">
        <f>IF(OR($B217="",$K217=""),"",WORKDAY($B217,IFERROR(INDEX(CONFIG!$C$4:$C$43,MATCH($K217,CONFIG!$A$4:$A$43,0)),3)))</f>
        <v/>
      </c>
      <c r="V217" s="46" t="n"/>
      <c r="W217" s="23">
        <f>IF($B217="","",IF($V217&lt;&gt;"",$V217-$B217,TODAY()-$B217))</f>
        <v/>
      </c>
      <c r="X217" s="27">
        <f>IF($C217="","",IF(IFERROR(INDEX(CONFIG!$K$4:$K$43,MATCH($S217,CONFIG!$J$4:$J$43,0)),"NO")="SÍ",IF(OR($V217="",$U217=""),"Resuelta",IF($V217&gt;$U217,"Resuelta tarde","Resuelta a tiempo")),IF($U217="","Sin clasificar",IF(TODAY()&gt;$U217,"Vencida",IF(TODAY()&gt;=$U217-1,"Por vencer","En plazo")))))</f>
        <v/>
      </c>
      <c r="Y217" s="49" t="n"/>
      <c r="Z217" s="49" t="n"/>
    </row>
    <row r="218" ht="16" customHeight="1">
      <c r="A218" s="27">
        <f>IF($C218="","","N-"&amp;TEXT(ROW()-3,"0000"))</f>
        <v/>
      </c>
      <c r="B218" s="46" t="n"/>
      <c r="C218" s="47" t="n"/>
      <c r="D218" s="27">
        <f>IF($C218="","",IF(COUNTIFS(ENVIOS!$A$4:$A$3003,$C218)=0,"NO EXISTE",IF(COUNTIFS(ENVIOS!$A$4:$A$3003,$C218)&gt;1,"DUPLICADA","OK")))</f>
        <v/>
      </c>
      <c r="E218" s="22">
        <f>IF($C218="","",IFERROR(INDEX(ENVIOS!$C$4:$C$3003,MATCH($C218,ENVIOS!$A$4:$A$3003,0)),"—"))</f>
        <v/>
      </c>
      <c r="F218" s="22">
        <f>IF($C218="","",IFERROR(INDEX(ENVIOS!$D$4:$D$3003,MATCH($C218,ENVIOS!$A$4:$A$3003,0)),"—"))</f>
        <v/>
      </c>
      <c r="G218" s="22">
        <f>IF($C218="","",IFERROR(INDEX(ENVIOS!$E$4:$E$3003,MATCH($C218,ENVIOS!$A$4:$A$3003,0)),"—"))</f>
        <v/>
      </c>
      <c r="H218" s="22">
        <f>IF($C218="","",IFERROR(INDEX(ENVIOS!$F$4:$F$3003,MATCH($C218,ENVIOS!$A$4:$A$3003,0)),"—"))</f>
        <v/>
      </c>
      <c r="I218" s="27">
        <f>IF($C218="","",IFERROR(INDEX(ENVIOS!$G$4:$G$3003,MATCH($C218,ENVIOS!$A$4:$A$3003,0)),"—"))</f>
        <v/>
      </c>
      <c r="J218" s="48">
        <f>IF($C218="","",IFERROR(INDEX(ENVIOS!$B$4:$B$3003,MATCH($C218,ENVIOS!$A$4:$A$3003,0)),""))</f>
        <v/>
      </c>
      <c r="K218" s="49" t="n"/>
      <c r="L218" s="27">
        <f>IF($K218="","",IFERROR(INDEX(CONFIG!$B$4:$B$43,MATCH($K218,CONFIG!$A$4:$A$43,0)),"Media"))</f>
        <v/>
      </c>
      <c r="M218" s="27">
        <f>IF($K218="","",IFERROR(INDEX(CONFIG!$D$4:$D$43,MATCH($K218,CONFIG!$A$4:$A$43,0)),"NO"))</f>
        <v/>
      </c>
      <c r="N218" s="49" t="n"/>
      <c r="O218" s="27">
        <f>IF($N218="","",IFERROR(INDEX(CONFIG!$G$4:$G$43,MATCH($N218,CONFIG!$F$4:$F$43,0)),"Por definir"))</f>
        <v/>
      </c>
      <c r="P218" s="27">
        <f>IF($N218="","",IFERROR(INDEX(CONFIG!$H$4:$H$43,MATCH($N218,CONFIG!$F$4:$F$43,0)),"Por definir"))</f>
        <v/>
      </c>
      <c r="Q218" s="50" t="n"/>
      <c r="R218" s="51" t="n"/>
      <c r="S218" s="49" t="n"/>
      <c r="T218" s="49" t="n"/>
      <c r="U218" s="48">
        <f>IF(OR($B218="",$K218=""),"",WORKDAY($B218,IFERROR(INDEX(CONFIG!$C$4:$C$43,MATCH($K218,CONFIG!$A$4:$A$43,0)),3)))</f>
        <v/>
      </c>
      <c r="V218" s="46" t="n"/>
      <c r="W218" s="23">
        <f>IF($B218="","",IF($V218&lt;&gt;"",$V218-$B218,TODAY()-$B218))</f>
        <v/>
      </c>
      <c r="X218" s="27">
        <f>IF($C218="","",IF(IFERROR(INDEX(CONFIG!$K$4:$K$43,MATCH($S218,CONFIG!$J$4:$J$43,0)),"NO")="SÍ",IF(OR($V218="",$U218=""),"Resuelta",IF($V218&gt;$U218,"Resuelta tarde","Resuelta a tiempo")),IF($U218="","Sin clasificar",IF(TODAY()&gt;$U218,"Vencida",IF(TODAY()&gt;=$U218-1,"Por vencer","En plazo")))))</f>
        <v/>
      </c>
      <c r="Y218" s="49" t="n"/>
      <c r="Z218" s="49" t="n"/>
    </row>
    <row r="219" ht="16" customHeight="1">
      <c r="A219" s="27">
        <f>IF($C219="","","N-"&amp;TEXT(ROW()-3,"0000"))</f>
        <v/>
      </c>
      <c r="B219" s="46" t="n"/>
      <c r="C219" s="47" t="n"/>
      <c r="D219" s="27">
        <f>IF($C219="","",IF(COUNTIFS(ENVIOS!$A$4:$A$3003,$C219)=0,"NO EXISTE",IF(COUNTIFS(ENVIOS!$A$4:$A$3003,$C219)&gt;1,"DUPLICADA","OK")))</f>
        <v/>
      </c>
      <c r="E219" s="22">
        <f>IF($C219="","",IFERROR(INDEX(ENVIOS!$C$4:$C$3003,MATCH($C219,ENVIOS!$A$4:$A$3003,0)),"—"))</f>
        <v/>
      </c>
      <c r="F219" s="22">
        <f>IF($C219="","",IFERROR(INDEX(ENVIOS!$D$4:$D$3003,MATCH($C219,ENVIOS!$A$4:$A$3003,0)),"—"))</f>
        <v/>
      </c>
      <c r="G219" s="22">
        <f>IF($C219="","",IFERROR(INDEX(ENVIOS!$E$4:$E$3003,MATCH($C219,ENVIOS!$A$4:$A$3003,0)),"—"))</f>
        <v/>
      </c>
      <c r="H219" s="22">
        <f>IF($C219="","",IFERROR(INDEX(ENVIOS!$F$4:$F$3003,MATCH($C219,ENVIOS!$A$4:$A$3003,0)),"—"))</f>
        <v/>
      </c>
      <c r="I219" s="27">
        <f>IF($C219="","",IFERROR(INDEX(ENVIOS!$G$4:$G$3003,MATCH($C219,ENVIOS!$A$4:$A$3003,0)),"—"))</f>
        <v/>
      </c>
      <c r="J219" s="48">
        <f>IF($C219="","",IFERROR(INDEX(ENVIOS!$B$4:$B$3003,MATCH($C219,ENVIOS!$A$4:$A$3003,0)),""))</f>
        <v/>
      </c>
      <c r="K219" s="49" t="n"/>
      <c r="L219" s="27">
        <f>IF($K219="","",IFERROR(INDEX(CONFIG!$B$4:$B$43,MATCH($K219,CONFIG!$A$4:$A$43,0)),"Media"))</f>
        <v/>
      </c>
      <c r="M219" s="27">
        <f>IF($K219="","",IFERROR(INDEX(CONFIG!$D$4:$D$43,MATCH($K219,CONFIG!$A$4:$A$43,0)),"NO"))</f>
        <v/>
      </c>
      <c r="N219" s="49" t="n"/>
      <c r="O219" s="27">
        <f>IF($N219="","",IFERROR(INDEX(CONFIG!$G$4:$G$43,MATCH($N219,CONFIG!$F$4:$F$43,0)),"Por definir"))</f>
        <v/>
      </c>
      <c r="P219" s="27">
        <f>IF($N219="","",IFERROR(INDEX(CONFIG!$H$4:$H$43,MATCH($N219,CONFIG!$F$4:$F$43,0)),"Por definir"))</f>
        <v/>
      </c>
      <c r="Q219" s="50" t="n"/>
      <c r="R219" s="51" t="n"/>
      <c r="S219" s="49" t="n"/>
      <c r="T219" s="49" t="n"/>
      <c r="U219" s="48">
        <f>IF(OR($B219="",$K219=""),"",WORKDAY($B219,IFERROR(INDEX(CONFIG!$C$4:$C$43,MATCH($K219,CONFIG!$A$4:$A$43,0)),3)))</f>
        <v/>
      </c>
      <c r="V219" s="46" t="n"/>
      <c r="W219" s="23">
        <f>IF($B219="","",IF($V219&lt;&gt;"",$V219-$B219,TODAY()-$B219))</f>
        <v/>
      </c>
      <c r="X219" s="27">
        <f>IF($C219="","",IF(IFERROR(INDEX(CONFIG!$K$4:$K$43,MATCH($S219,CONFIG!$J$4:$J$43,0)),"NO")="SÍ",IF(OR($V219="",$U219=""),"Resuelta",IF($V219&gt;$U219,"Resuelta tarde","Resuelta a tiempo")),IF($U219="","Sin clasificar",IF(TODAY()&gt;$U219,"Vencida",IF(TODAY()&gt;=$U219-1,"Por vencer","En plazo")))))</f>
        <v/>
      </c>
      <c r="Y219" s="49" t="n"/>
      <c r="Z219" s="49" t="n"/>
    </row>
    <row r="220" ht="16" customHeight="1">
      <c r="A220" s="27">
        <f>IF($C220="","","N-"&amp;TEXT(ROW()-3,"0000"))</f>
        <v/>
      </c>
      <c r="B220" s="46" t="n"/>
      <c r="C220" s="47" t="n"/>
      <c r="D220" s="27">
        <f>IF($C220="","",IF(COUNTIFS(ENVIOS!$A$4:$A$3003,$C220)=0,"NO EXISTE",IF(COUNTIFS(ENVIOS!$A$4:$A$3003,$C220)&gt;1,"DUPLICADA","OK")))</f>
        <v/>
      </c>
      <c r="E220" s="22">
        <f>IF($C220="","",IFERROR(INDEX(ENVIOS!$C$4:$C$3003,MATCH($C220,ENVIOS!$A$4:$A$3003,0)),"—"))</f>
        <v/>
      </c>
      <c r="F220" s="22">
        <f>IF($C220="","",IFERROR(INDEX(ENVIOS!$D$4:$D$3003,MATCH($C220,ENVIOS!$A$4:$A$3003,0)),"—"))</f>
        <v/>
      </c>
      <c r="G220" s="22">
        <f>IF($C220="","",IFERROR(INDEX(ENVIOS!$E$4:$E$3003,MATCH($C220,ENVIOS!$A$4:$A$3003,0)),"—"))</f>
        <v/>
      </c>
      <c r="H220" s="22">
        <f>IF($C220="","",IFERROR(INDEX(ENVIOS!$F$4:$F$3003,MATCH($C220,ENVIOS!$A$4:$A$3003,0)),"—"))</f>
        <v/>
      </c>
      <c r="I220" s="27">
        <f>IF($C220="","",IFERROR(INDEX(ENVIOS!$G$4:$G$3003,MATCH($C220,ENVIOS!$A$4:$A$3003,0)),"—"))</f>
        <v/>
      </c>
      <c r="J220" s="48">
        <f>IF($C220="","",IFERROR(INDEX(ENVIOS!$B$4:$B$3003,MATCH($C220,ENVIOS!$A$4:$A$3003,0)),""))</f>
        <v/>
      </c>
      <c r="K220" s="49" t="n"/>
      <c r="L220" s="27">
        <f>IF($K220="","",IFERROR(INDEX(CONFIG!$B$4:$B$43,MATCH($K220,CONFIG!$A$4:$A$43,0)),"Media"))</f>
        <v/>
      </c>
      <c r="M220" s="27">
        <f>IF($K220="","",IFERROR(INDEX(CONFIG!$D$4:$D$43,MATCH($K220,CONFIG!$A$4:$A$43,0)),"NO"))</f>
        <v/>
      </c>
      <c r="N220" s="49" t="n"/>
      <c r="O220" s="27">
        <f>IF($N220="","",IFERROR(INDEX(CONFIG!$G$4:$G$43,MATCH($N220,CONFIG!$F$4:$F$43,0)),"Por definir"))</f>
        <v/>
      </c>
      <c r="P220" s="27">
        <f>IF($N220="","",IFERROR(INDEX(CONFIG!$H$4:$H$43,MATCH($N220,CONFIG!$F$4:$F$43,0)),"Por definir"))</f>
        <v/>
      </c>
      <c r="Q220" s="50" t="n"/>
      <c r="R220" s="51" t="n"/>
      <c r="S220" s="49" t="n"/>
      <c r="T220" s="49" t="n"/>
      <c r="U220" s="48">
        <f>IF(OR($B220="",$K220=""),"",WORKDAY($B220,IFERROR(INDEX(CONFIG!$C$4:$C$43,MATCH($K220,CONFIG!$A$4:$A$43,0)),3)))</f>
        <v/>
      </c>
      <c r="V220" s="46" t="n"/>
      <c r="W220" s="23">
        <f>IF($B220="","",IF($V220&lt;&gt;"",$V220-$B220,TODAY()-$B220))</f>
        <v/>
      </c>
      <c r="X220" s="27">
        <f>IF($C220="","",IF(IFERROR(INDEX(CONFIG!$K$4:$K$43,MATCH($S220,CONFIG!$J$4:$J$43,0)),"NO")="SÍ",IF(OR($V220="",$U220=""),"Resuelta",IF($V220&gt;$U220,"Resuelta tarde","Resuelta a tiempo")),IF($U220="","Sin clasificar",IF(TODAY()&gt;$U220,"Vencida",IF(TODAY()&gt;=$U220-1,"Por vencer","En plazo")))))</f>
        <v/>
      </c>
      <c r="Y220" s="49" t="n"/>
      <c r="Z220" s="49" t="n"/>
    </row>
    <row r="221" ht="16" customHeight="1">
      <c r="A221" s="27">
        <f>IF($C221="","","N-"&amp;TEXT(ROW()-3,"0000"))</f>
        <v/>
      </c>
      <c r="B221" s="46" t="n"/>
      <c r="C221" s="47" t="n"/>
      <c r="D221" s="27">
        <f>IF($C221="","",IF(COUNTIFS(ENVIOS!$A$4:$A$3003,$C221)=0,"NO EXISTE",IF(COUNTIFS(ENVIOS!$A$4:$A$3003,$C221)&gt;1,"DUPLICADA","OK")))</f>
        <v/>
      </c>
      <c r="E221" s="22">
        <f>IF($C221="","",IFERROR(INDEX(ENVIOS!$C$4:$C$3003,MATCH($C221,ENVIOS!$A$4:$A$3003,0)),"—"))</f>
        <v/>
      </c>
      <c r="F221" s="22">
        <f>IF($C221="","",IFERROR(INDEX(ENVIOS!$D$4:$D$3003,MATCH($C221,ENVIOS!$A$4:$A$3003,0)),"—"))</f>
        <v/>
      </c>
      <c r="G221" s="22">
        <f>IF($C221="","",IFERROR(INDEX(ENVIOS!$E$4:$E$3003,MATCH($C221,ENVIOS!$A$4:$A$3003,0)),"—"))</f>
        <v/>
      </c>
      <c r="H221" s="22">
        <f>IF($C221="","",IFERROR(INDEX(ENVIOS!$F$4:$F$3003,MATCH($C221,ENVIOS!$A$4:$A$3003,0)),"—"))</f>
        <v/>
      </c>
      <c r="I221" s="27">
        <f>IF($C221="","",IFERROR(INDEX(ENVIOS!$G$4:$G$3003,MATCH($C221,ENVIOS!$A$4:$A$3003,0)),"—"))</f>
        <v/>
      </c>
      <c r="J221" s="48">
        <f>IF($C221="","",IFERROR(INDEX(ENVIOS!$B$4:$B$3003,MATCH($C221,ENVIOS!$A$4:$A$3003,0)),""))</f>
        <v/>
      </c>
      <c r="K221" s="49" t="n"/>
      <c r="L221" s="27">
        <f>IF($K221="","",IFERROR(INDEX(CONFIG!$B$4:$B$43,MATCH($K221,CONFIG!$A$4:$A$43,0)),"Media"))</f>
        <v/>
      </c>
      <c r="M221" s="27">
        <f>IF($K221="","",IFERROR(INDEX(CONFIG!$D$4:$D$43,MATCH($K221,CONFIG!$A$4:$A$43,0)),"NO"))</f>
        <v/>
      </c>
      <c r="N221" s="49" t="n"/>
      <c r="O221" s="27">
        <f>IF($N221="","",IFERROR(INDEX(CONFIG!$G$4:$G$43,MATCH($N221,CONFIG!$F$4:$F$43,0)),"Por definir"))</f>
        <v/>
      </c>
      <c r="P221" s="27">
        <f>IF($N221="","",IFERROR(INDEX(CONFIG!$H$4:$H$43,MATCH($N221,CONFIG!$F$4:$F$43,0)),"Por definir"))</f>
        <v/>
      </c>
      <c r="Q221" s="50" t="n"/>
      <c r="R221" s="51" t="n"/>
      <c r="S221" s="49" t="n"/>
      <c r="T221" s="49" t="n"/>
      <c r="U221" s="48">
        <f>IF(OR($B221="",$K221=""),"",WORKDAY($B221,IFERROR(INDEX(CONFIG!$C$4:$C$43,MATCH($K221,CONFIG!$A$4:$A$43,0)),3)))</f>
        <v/>
      </c>
      <c r="V221" s="46" t="n"/>
      <c r="W221" s="23">
        <f>IF($B221="","",IF($V221&lt;&gt;"",$V221-$B221,TODAY()-$B221))</f>
        <v/>
      </c>
      <c r="X221" s="27">
        <f>IF($C221="","",IF(IFERROR(INDEX(CONFIG!$K$4:$K$43,MATCH($S221,CONFIG!$J$4:$J$43,0)),"NO")="SÍ",IF(OR($V221="",$U221=""),"Resuelta",IF($V221&gt;$U221,"Resuelta tarde","Resuelta a tiempo")),IF($U221="","Sin clasificar",IF(TODAY()&gt;$U221,"Vencida",IF(TODAY()&gt;=$U221-1,"Por vencer","En plazo")))))</f>
        <v/>
      </c>
      <c r="Y221" s="49" t="n"/>
      <c r="Z221" s="49" t="n"/>
    </row>
    <row r="222" ht="16" customHeight="1">
      <c r="A222" s="27">
        <f>IF($C222="","","N-"&amp;TEXT(ROW()-3,"0000"))</f>
        <v/>
      </c>
      <c r="B222" s="46" t="n"/>
      <c r="C222" s="47" t="n"/>
      <c r="D222" s="27">
        <f>IF($C222="","",IF(COUNTIFS(ENVIOS!$A$4:$A$3003,$C222)=0,"NO EXISTE",IF(COUNTIFS(ENVIOS!$A$4:$A$3003,$C222)&gt;1,"DUPLICADA","OK")))</f>
        <v/>
      </c>
      <c r="E222" s="22">
        <f>IF($C222="","",IFERROR(INDEX(ENVIOS!$C$4:$C$3003,MATCH($C222,ENVIOS!$A$4:$A$3003,0)),"—"))</f>
        <v/>
      </c>
      <c r="F222" s="22">
        <f>IF($C222="","",IFERROR(INDEX(ENVIOS!$D$4:$D$3003,MATCH($C222,ENVIOS!$A$4:$A$3003,0)),"—"))</f>
        <v/>
      </c>
      <c r="G222" s="22">
        <f>IF($C222="","",IFERROR(INDEX(ENVIOS!$E$4:$E$3003,MATCH($C222,ENVIOS!$A$4:$A$3003,0)),"—"))</f>
        <v/>
      </c>
      <c r="H222" s="22">
        <f>IF($C222="","",IFERROR(INDEX(ENVIOS!$F$4:$F$3003,MATCH($C222,ENVIOS!$A$4:$A$3003,0)),"—"))</f>
        <v/>
      </c>
      <c r="I222" s="27">
        <f>IF($C222="","",IFERROR(INDEX(ENVIOS!$G$4:$G$3003,MATCH($C222,ENVIOS!$A$4:$A$3003,0)),"—"))</f>
        <v/>
      </c>
      <c r="J222" s="48">
        <f>IF($C222="","",IFERROR(INDEX(ENVIOS!$B$4:$B$3003,MATCH($C222,ENVIOS!$A$4:$A$3003,0)),""))</f>
        <v/>
      </c>
      <c r="K222" s="49" t="n"/>
      <c r="L222" s="27">
        <f>IF($K222="","",IFERROR(INDEX(CONFIG!$B$4:$B$43,MATCH($K222,CONFIG!$A$4:$A$43,0)),"Media"))</f>
        <v/>
      </c>
      <c r="M222" s="27">
        <f>IF($K222="","",IFERROR(INDEX(CONFIG!$D$4:$D$43,MATCH($K222,CONFIG!$A$4:$A$43,0)),"NO"))</f>
        <v/>
      </c>
      <c r="N222" s="49" t="n"/>
      <c r="O222" s="27">
        <f>IF($N222="","",IFERROR(INDEX(CONFIG!$G$4:$G$43,MATCH($N222,CONFIG!$F$4:$F$43,0)),"Por definir"))</f>
        <v/>
      </c>
      <c r="P222" s="27">
        <f>IF($N222="","",IFERROR(INDEX(CONFIG!$H$4:$H$43,MATCH($N222,CONFIG!$F$4:$F$43,0)),"Por definir"))</f>
        <v/>
      </c>
      <c r="Q222" s="50" t="n"/>
      <c r="R222" s="51" t="n"/>
      <c r="S222" s="49" t="n"/>
      <c r="T222" s="49" t="n"/>
      <c r="U222" s="48">
        <f>IF(OR($B222="",$K222=""),"",WORKDAY($B222,IFERROR(INDEX(CONFIG!$C$4:$C$43,MATCH($K222,CONFIG!$A$4:$A$43,0)),3)))</f>
        <v/>
      </c>
      <c r="V222" s="46" t="n"/>
      <c r="W222" s="23">
        <f>IF($B222="","",IF($V222&lt;&gt;"",$V222-$B222,TODAY()-$B222))</f>
        <v/>
      </c>
      <c r="X222" s="27">
        <f>IF($C222="","",IF(IFERROR(INDEX(CONFIG!$K$4:$K$43,MATCH($S222,CONFIG!$J$4:$J$43,0)),"NO")="SÍ",IF(OR($V222="",$U222=""),"Resuelta",IF($V222&gt;$U222,"Resuelta tarde","Resuelta a tiempo")),IF($U222="","Sin clasificar",IF(TODAY()&gt;$U222,"Vencida",IF(TODAY()&gt;=$U222-1,"Por vencer","En plazo")))))</f>
        <v/>
      </c>
      <c r="Y222" s="49" t="n"/>
      <c r="Z222" s="49" t="n"/>
    </row>
    <row r="223" ht="16" customHeight="1">
      <c r="A223" s="27">
        <f>IF($C223="","","N-"&amp;TEXT(ROW()-3,"0000"))</f>
        <v/>
      </c>
      <c r="B223" s="46" t="n"/>
      <c r="C223" s="47" t="n"/>
      <c r="D223" s="27">
        <f>IF($C223="","",IF(COUNTIFS(ENVIOS!$A$4:$A$3003,$C223)=0,"NO EXISTE",IF(COUNTIFS(ENVIOS!$A$4:$A$3003,$C223)&gt;1,"DUPLICADA","OK")))</f>
        <v/>
      </c>
      <c r="E223" s="22">
        <f>IF($C223="","",IFERROR(INDEX(ENVIOS!$C$4:$C$3003,MATCH($C223,ENVIOS!$A$4:$A$3003,0)),"—"))</f>
        <v/>
      </c>
      <c r="F223" s="22">
        <f>IF($C223="","",IFERROR(INDEX(ENVIOS!$D$4:$D$3003,MATCH($C223,ENVIOS!$A$4:$A$3003,0)),"—"))</f>
        <v/>
      </c>
      <c r="G223" s="22">
        <f>IF($C223="","",IFERROR(INDEX(ENVIOS!$E$4:$E$3003,MATCH($C223,ENVIOS!$A$4:$A$3003,0)),"—"))</f>
        <v/>
      </c>
      <c r="H223" s="22">
        <f>IF($C223="","",IFERROR(INDEX(ENVIOS!$F$4:$F$3003,MATCH($C223,ENVIOS!$A$4:$A$3003,0)),"—"))</f>
        <v/>
      </c>
      <c r="I223" s="27">
        <f>IF($C223="","",IFERROR(INDEX(ENVIOS!$G$4:$G$3003,MATCH($C223,ENVIOS!$A$4:$A$3003,0)),"—"))</f>
        <v/>
      </c>
      <c r="J223" s="48">
        <f>IF($C223="","",IFERROR(INDEX(ENVIOS!$B$4:$B$3003,MATCH($C223,ENVIOS!$A$4:$A$3003,0)),""))</f>
        <v/>
      </c>
      <c r="K223" s="49" t="n"/>
      <c r="L223" s="27">
        <f>IF($K223="","",IFERROR(INDEX(CONFIG!$B$4:$B$43,MATCH($K223,CONFIG!$A$4:$A$43,0)),"Media"))</f>
        <v/>
      </c>
      <c r="M223" s="27">
        <f>IF($K223="","",IFERROR(INDEX(CONFIG!$D$4:$D$43,MATCH($K223,CONFIG!$A$4:$A$43,0)),"NO"))</f>
        <v/>
      </c>
      <c r="N223" s="49" t="n"/>
      <c r="O223" s="27">
        <f>IF($N223="","",IFERROR(INDEX(CONFIG!$G$4:$G$43,MATCH($N223,CONFIG!$F$4:$F$43,0)),"Por definir"))</f>
        <v/>
      </c>
      <c r="P223" s="27">
        <f>IF($N223="","",IFERROR(INDEX(CONFIG!$H$4:$H$43,MATCH($N223,CONFIG!$F$4:$F$43,0)),"Por definir"))</f>
        <v/>
      </c>
      <c r="Q223" s="50" t="n"/>
      <c r="R223" s="51" t="n"/>
      <c r="S223" s="49" t="n"/>
      <c r="T223" s="49" t="n"/>
      <c r="U223" s="48">
        <f>IF(OR($B223="",$K223=""),"",WORKDAY($B223,IFERROR(INDEX(CONFIG!$C$4:$C$43,MATCH($K223,CONFIG!$A$4:$A$43,0)),3)))</f>
        <v/>
      </c>
      <c r="V223" s="46" t="n"/>
      <c r="W223" s="23">
        <f>IF($B223="","",IF($V223&lt;&gt;"",$V223-$B223,TODAY()-$B223))</f>
        <v/>
      </c>
      <c r="X223" s="27">
        <f>IF($C223="","",IF(IFERROR(INDEX(CONFIG!$K$4:$K$43,MATCH($S223,CONFIG!$J$4:$J$43,0)),"NO")="SÍ",IF(OR($V223="",$U223=""),"Resuelta",IF($V223&gt;$U223,"Resuelta tarde","Resuelta a tiempo")),IF($U223="","Sin clasificar",IF(TODAY()&gt;$U223,"Vencida",IF(TODAY()&gt;=$U223-1,"Por vencer","En plazo")))))</f>
        <v/>
      </c>
      <c r="Y223" s="49" t="n"/>
      <c r="Z223" s="49" t="n"/>
    </row>
    <row r="224" ht="16" customHeight="1">
      <c r="A224" s="27">
        <f>IF($C224="","","N-"&amp;TEXT(ROW()-3,"0000"))</f>
        <v/>
      </c>
      <c r="B224" s="46" t="n"/>
      <c r="C224" s="47" t="n"/>
      <c r="D224" s="27">
        <f>IF($C224="","",IF(COUNTIFS(ENVIOS!$A$4:$A$3003,$C224)=0,"NO EXISTE",IF(COUNTIFS(ENVIOS!$A$4:$A$3003,$C224)&gt;1,"DUPLICADA","OK")))</f>
        <v/>
      </c>
      <c r="E224" s="22">
        <f>IF($C224="","",IFERROR(INDEX(ENVIOS!$C$4:$C$3003,MATCH($C224,ENVIOS!$A$4:$A$3003,0)),"—"))</f>
        <v/>
      </c>
      <c r="F224" s="22">
        <f>IF($C224="","",IFERROR(INDEX(ENVIOS!$D$4:$D$3003,MATCH($C224,ENVIOS!$A$4:$A$3003,0)),"—"))</f>
        <v/>
      </c>
      <c r="G224" s="22">
        <f>IF($C224="","",IFERROR(INDEX(ENVIOS!$E$4:$E$3003,MATCH($C224,ENVIOS!$A$4:$A$3003,0)),"—"))</f>
        <v/>
      </c>
      <c r="H224" s="22">
        <f>IF($C224="","",IFERROR(INDEX(ENVIOS!$F$4:$F$3003,MATCH($C224,ENVIOS!$A$4:$A$3003,0)),"—"))</f>
        <v/>
      </c>
      <c r="I224" s="27">
        <f>IF($C224="","",IFERROR(INDEX(ENVIOS!$G$4:$G$3003,MATCH($C224,ENVIOS!$A$4:$A$3003,0)),"—"))</f>
        <v/>
      </c>
      <c r="J224" s="48">
        <f>IF($C224="","",IFERROR(INDEX(ENVIOS!$B$4:$B$3003,MATCH($C224,ENVIOS!$A$4:$A$3003,0)),""))</f>
        <v/>
      </c>
      <c r="K224" s="49" t="n"/>
      <c r="L224" s="27">
        <f>IF($K224="","",IFERROR(INDEX(CONFIG!$B$4:$B$43,MATCH($K224,CONFIG!$A$4:$A$43,0)),"Media"))</f>
        <v/>
      </c>
      <c r="M224" s="27">
        <f>IF($K224="","",IFERROR(INDEX(CONFIG!$D$4:$D$43,MATCH($K224,CONFIG!$A$4:$A$43,0)),"NO"))</f>
        <v/>
      </c>
      <c r="N224" s="49" t="n"/>
      <c r="O224" s="27">
        <f>IF($N224="","",IFERROR(INDEX(CONFIG!$G$4:$G$43,MATCH($N224,CONFIG!$F$4:$F$43,0)),"Por definir"))</f>
        <v/>
      </c>
      <c r="P224" s="27">
        <f>IF($N224="","",IFERROR(INDEX(CONFIG!$H$4:$H$43,MATCH($N224,CONFIG!$F$4:$F$43,0)),"Por definir"))</f>
        <v/>
      </c>
      <c r="Q224" s="50" t="n"/>
      <c r="R224" s="51" t="n"/>
      <c r="S224" s="49" t="n"/>
      <c r="T224" s="49" t="n"/>
      <c r="U224" s="48">
        <f>IF(OR($B224="",$K224=""),"",WORKDAY($B224,IFERROR(INDEX(CONFIG!$C$4:$C$43,MATCH($K224,CONFIG!$A$4:$A$43,0)),3)))</f>
        <v/>
      </c>
      <c r="V224" s="46" t="n"/>
      <c r="W224" s="23">
        <f>IF($B224="","",IF($V224&lt;&gt;"",$V224-$B224,TODAY()-$B224))</f>
        <v/>
      </c>
      <c r="X224" s="27">
        <f>IF($C224="","",IF(IFERROR(INDEX(CONFIG!$K$4:$K$43,MATCH($S224,CONFIG!$J$4:$J$43,0)),"NO")="SÍ",IF(OR($V224="",$U224=""),"Resuelta",IF($V224&gt;$U224,"Resuelta tarde","Resuelta a tiempo")),IF($U224="","Sin clasificar",IF(TODAY()&gt;$U224,"Vencida",IF(TODAY()&gt;=$U224-1,"Por vencer","En plazo")))))</f>
        <v/>
      </c>
      <c r="Y224" s="49" t="n"/>
      <c r="Z224" s="49" t="n"/>
    </row>
    <row r="225" ht="16" customHeight="1">
      <c r="A225" s="27">
        <f>IF($C225="","","N-"&amp;TEXT(ROW()-3,"0000"))</f>
        <v/>
      </c>
      <c r="B225" s="46" t="n"/>
      <c r="C225" s="47" t="n"/>
      <c r="D225" s="27">
        <f>IF($C225="","",IF(COUNTIFS(ENVIOS!$A$4:$A$3003,$C225)=0,"NO EXISTE",IF(COUNTIFS(ENVIOS!$A$4:$A$3003,$C225)&gt;1,"DUPLICADA","OK")))</f>
        <v/>
      </c>
      <c r="E225" s="22">
        <f>IF($C225="","",IFERROR(INDEX(ENVIOS!$C$4:$C$3003,MATCH($C225,ENVIOS!$A$4:$A$3003,0)),"—"))</f>
        <v/>
      </c>
      <c r="F225" s="22">
        <f>IF($C225="","",IFERROR(INDEX(ENVIOS!$D$4:$D$3003,MATCH($C225,ENVIOS!$A$4:$A$3003,0)),"—"))</f>
        <v/>
      </c>
      <c r="G225" s="22">
        <f>IF($C225="","",IFERROR(INDEX(ENVIOS!$E$4:$E$3003,MATCH($C225,ENVIOS!$A$4:$A$3003,0)),"—"))</f>
        <v/>
      </c>
      <c r="H225" s="22">
        <f>IF($C225="","",IFERROR(INDEX(ENVIOS!$F$4:$F$3003,MATCH($C225,ENVIOS!$A$4:$A$3003,0)),"—"))</f>
        <v/>
      </c>
      <c r="I225" s="27">
        <f>IF($C225="","",IFERROR(INDEX(ENVIOS!$G$4:$G$3003,MATCH($C225,ENVIOS!$A$4:$A$3003,0)),"—"))</f>
        <v/>
      </c>
      <c r="J225" s="48">
        <f>IF($C225="","",IFERROR(INDEX(ENVIOS!$B$4:$B$3003,MATCH($C225,ENVIOS!$A$4:$A$3003,0)),""))</f>
        <v/>
      </c>
      <c r="K225" s="49" t="n"/>
      <c r="L225" s="27">
        <f>IF($K225="","",IFERROR(INDEX(CONFIG!$B$4:$B$43,MATCH($K225,CONFIG!$A$4:$A$43,0)),"Media"))</f>
        <v/>
      </c>
      <c r="M225" s="27">
        <f>IF($K225="","",IFERROR(INDEX(CONFIG!$D$4:$D$43,MATCH($K225,CONFIG!$A$4:$A$43,0)),"NO"))</f>
        <v/>
      </c>
      <c r="N225" s="49" t="n"/>
      <c r="O225" s="27">
        <f>IF($N225="","",IFERROR(INDEX(CONFIG!$G$4:$G$43,MATCH($N225,CONFIG!$F$4:$F$43,0)),"Por definir"))</f>
        <v/>
      </c>
      <c r="P225" s="27">
        <f>IF($N225="","",IFERROR(INDEX(CONFIG!$H$4:$H$43,MATCH($N225,CONFIG!$F$4:$F$43,0)),"Por definir"))</f>
        <v/>
      </c>
      <c r="Q225" s="50" t="n"/>
      <c r="R225" s="51" t="n"/>
      <c r="S225" s="49" t="n"/>
      <c r="T225" s="49" t="n"/>
      <c r="U225" s="48">
        <f>IF(OR($B225="",$K225=""),"",WORKDAY($B225,IFERROR(INDEX(CONFIG!$C$4:$C$43,MATCH($K225,CONFIG!$A$4:$A$43,0)),3)))</f>
        <v/>
      </c>
      <c r="V225" s="46" t="n"/>
      <c r="W225" s="23">
        <f>IF($B225="","",IF($V225&lt;&gt;"",$V225-$B225,TODAY()-$B225))</f>
        <v/>
      </c>
      <c r="X225" s="27">
        <f>IF($C225="","",IF(IFERROR(INDEX(CONFIG!$K$4:$K$43,MATCH($S225,CONFIG!$J$4:$J$43,0)),"NO")="SÍ",IF(OR($V225="",$U225=""),"Resuelta",IF($V225&gt;$U225,"Resuelta tarde","Resuelta a tiempo")),IF($U225="","Sin clasificar",IF(TODAY()&gt;$U225,"Vencida",IF(TODAY()&gt;=$U225-1,"Por vencer","En plazo")))))</f>
        <v/>
      </c>
      <c r="Y225" s="49" t="n"/>
      <c r="Z225" s="49" t="n"/>
    </row>
    <row r="226" ht="16" customHeight="1">
      <c r="A226" s="27">
        <f>IF($C226="","","N-"&amp;TEXT(ROW()-3,"0000"))</f>
        <v/>
      </c>
      <c r="B226" s="46" t="n"/>
      <c r="C226" s="47" t="n"/>
      <c r="D226" s="27">
        <f>IF($C226="","",IF(COUNTIFS(ENVIOS!$A$4:$A$3003,$C226)=0,"NO EXISTE",IF(COUNTIFS(ENVIOS!$A$4:$A$3003,$C226)&gt;1,"DUPLICADA","OK")))</f>
        <v/>
      </c>
      <c r="E226" s="22">
        <f>IF($C226="","",IFERROR(INDEX(ENVIOS!$C$4:$C$3003,MATCH($C226,ENVIOS!$A$4:$A$3003,0)),"—"))</f>
        <v/>
      </c>
      <c r="F226" s="22">
        <f>IF($C226="","",IFERROR(INDEX(ENVIOS!$D$4:$D$3003,MATCH($C226,ENVIOS!$A$4:$A$3003,0)),"—"))</f>
        <v/>
      </c>
      <c r="G226" s="22">
        <f>IF($C226="","",IFERROR(INDEX(ENVIOS!$E$4:$E$3003,MATCH($C226,ENVIOS!$A$4:$A$3003,0)),"—"))</f>
        <v/>
      </c>
      <c r="H226" s="22">
        <f>IF($C226="","",IFERROR(INDEX(ENVIOS!$F$4:$F$3003,MATCH($C226,ENVIOS!$A$4:$A$3003,0)),"—"))</f>
        <v/>
      </c>
      <c r="I226" s="27">
        <f>IF($C226="","",IFERROR(INDEX(ENVIOS!$G$4:$G$3003,MATCH($C226,ENVIOS!$A$4:$A$3003,0)),"—"))</f>
        <v/>
      </c>
      <c r="J226" s="48">
        <f>IF($C226="","",IFERROR(INDEX(ENVIOS!$B$4:$B$3003,MATCH($C226,ENVIOS!$A$4:$A$3003,0)),""))</f>
        <v/>
      </c>
      <c r="K226" s="49" t="n"/>
      <c r="L226" s="27">
        <f>IF($K226="","",IFERROR(INDEX(CONFIG!$B$4:$B$43,MATCH($K226,CONFIG!$A$4:$A$43,0)),"Media"))</f>
        <v/>
      </c>
      <c r="M226" s="27">
        <f>IF($K226="","",IFERROR(INDEX(CONFIG!$D$4:$D$43,MATCH($K226,CONFIG!$A$4:$A$43,0)),"NO"))</f>
        <v/>
      </c>
      <c r="N226" s="49" t="n"/>
      <c r="O226" s="27">
        <f>IF($N226="","",IFERROR(INDEX(CONFIG!$G$4:$G$43,MATCH($N226,CONFIG!$F$4:$F$43,0)),"Por definir"))</f>
        <v/>
      </c>
      <c r="P226" s="27">
        <f>IF($N226="","",IFERROR(INDEX(CONFIG!$H$4:$H$43,MATCH($N226,CONFIG!$F$4:$F$43,0)),"Por definir"))</f>
        <v/>
      </c>
      <c r="Q226" s="50" t="n"/>
      <c r="R226" s="51" t="n"/>
      <c r="S226" s="49" t="n"/>
      <c r="T226" s="49" t="n"/>
      <c r="U226" s="48">
        <f>IF(OR($B226="",$K226=""),"",WORKDAY($B226,IFERROR(INDEX(CONFIG!$C$4:$C$43,MATCH($K226,CONFIG!$A$4:$A$43,0)),3)))</f>
        <v/>
      </c>
      <c r="V226" s="46" t="n"/>
      <c r="W226" s="23">
        <f>IF($B226="","",IF($V226&lt;&gt;"",$V226-$B226,TODAY()-$B226))</f>
        <v/>
      </c>
      <c r="X226" s="27">
        <f>IF($C226="","",IF(IFERROR(INDEX(CONFIG!$K$4:$K$43,MATCH($S226,CONFIG!$J$4:$J$43,0)),"NO")="SÍ",IF(OR($V226="",$U226=""),"Resuelta",IF($V226&gt;$U226,"Resuelta tarde","Resuelta a tiempo")),IF($U226="","Sin clasificar",IF(TODAY()&gt;$U226,"Vencida",IF(TODAY()&gt;=$U226-1,"Por vencer","En plazo")))))</f>
        <v/>
      </c>
      <c r="Y226" s="49" t="n"/>
      <c r="Z226" s="49" t="n"/>
    </row>
    <row r="227" ht="16" customHeight="1">
      <c r="A227" s="27">
        <f>IF($C227="","","N-"&amp;TEXT(ROW()-3,"0000"))</f>
        <v/>
      </c>
      <c r="B227" s="46" t="n"/>
      <c r="C227" s="47" t="n"/>
      <c r="D227" s="27">
        <f>IF($C227="","",IF(COUNTIFS(ENVIOS!$A$4:$A$3003,$C227)=0,"NO EXISTE",IF(COUNTIFS(ENVIOS!$A$4:$A$3003,$C227)&gt;1,"DUPLICADA","OK")))</f>
        <v/>
      </c>
      <c r="E227" s="22">
        <f>IF($C227="","",IFERROR(INDEX(ENVIOS!$C$4:$C$3003,MATCH($C227,ENVIOS!$A$4:$A$3003,0)),"—"))</f>
        <v/>
      </c>
      <c r="F227" s="22">
        <f>IF($C227="","",IFERROR(INDEX(ENVIOS!$D$4:$D$3003,MATCH($C227,ENVIOS!$A$4:$A$3003,0)),"—"))</f>
        <v/>
      </c>
      <c r="G227" s="22">
        <f>IF($C227="","",IFERROR(INDEX(ENVIOS!$E$4:$E$3003,MATCH($C227,ENVIOS!$A$4:$A$3003,0)),"—"))</f>
        <v/>
      </c>
      <c r="H227" s="22">
        <f>IF($C227="","",IFERROR(INDEX(ENVIOS!$F$4:$F$3003,MATCH($C227,ENVIOS!$A$4:$A$3003,0)),"—"))</f>
        <v/>
      </c>
      <c r="I227" s="27">
        <f>IF($C227="","",IFERROR(INDEX(ENVIOS!$G$4:$G$3003,MATCH($C227,ENVIOS!$A$4:$A$3003,0)),"—"))</f>
        <v/>
      </c>
      <c r="J227" s="48">
        <f>IF($C227="","",IFERROR(INDEX(ENVIOS!$B$4:$B$3003,MATCH($C227,ENVIOS!$A$4:$A$3003,0)),""))</f>
        <v/>
      </c>
      <c r="K227" s="49" t="n"/>
      <c r="L227" s="27">
        <f>IF($K227="","",IFERROR(INDEX(CONFIG!$B$4:$B$43,MATCH($K227,CONFIG!$A$4:$A$43,0)),"Media"))</f>
        <v/>
      </c>
      <c r="M227" s="27">
        <f>IF($K227="","",IFERROR(INDEX(CONFIG!$D$4:$D$43,MATCH($K227,CONFIG!$A$4:$A$43,0)),"NO"))</f>
        <v/>
      </c>
      <c r="N227" s="49" t="n"/>
      <c r="O227" s="27">
        <f>IF($N227="","",IFERROR(INDEX(CONFIG!$G$4:$G$43,MATCH($N227,CONFIG!$F$4:$F$43,0)),"Por definir"))</f>
        <v/>
      </c>
      <c r="P227" s="27">
        <f>IF($N227="","",IFERROR(INDEX(CONFIG!$H$4:$H$43,MATCH($N227,CONFIG!$F$4:$F$43,0)),"Por definir"))</f>
        <v/>
      </c>
      <c r="Q227" s="50" t="n"/>
      <c r="R227" s="51" t="n"/>
      <c r="S227" s="49" t="n"/>
      <c r="T227" s="49" t="n"/>
      <c r="U227" s="48">
        <f>IF(OR($B227="",$K227=""),"",WORKDAY($B227,IFERROR(INDEX(CONFIG!$C$4:$C$43,MATCH($K227,CONFIG!$A$4:$A$43,0)),3)))</f>
        <v/>
      </c>
      <c r="V227" s="46" t="n"/>
      <c r="W227" s="23">
        <f>IF($B227="","",IF($V227&lt;&gt;"",$V227-$B227,TODAY()-$B227))</f>
        <v/>
      </c>
      <c r="X227" s="27">
        <f>IF($C227="","",IF(IFERROR(INDEX(CONFIG!$K$4:$K$43,MATCH($S227,CONFIG!$J$4:$J$43,0)),"NO")="SÍ",IF(OR($V227="",$U227=""),"Resuelta",IF($V227&gt;$U227,"Resuelta tarde","Resuelta a tiempo")),IF($U227="","Sin clasificar",IF(TODAY()&gt;$U227,"Vencida",IF(TODAY()&gt;=$U227-1,"Por vencer","En plazo")))))</f>
        <v/>
      </c>
      <c r="Y227" s="49" t="n"/>
      <c r="Z227" s="49" t="n"/>
    </row>
    <row r="228" ht="16" customHeight="1">
      <c r="A228" s="27">
        <f>IF($C228="","","N-"&amp;TEXT(ROW()-3,"0000"))</f>
        <v/>
      </c>
      <c r="B228" s="46" t="n"/>
      <c r="C228" s="47" t="n"/>
      <c r="D228" s="27">
        <f>IF($C228="","",IF(COUNTIFS(ENVIOS!$A$4:$A$3003,$C228)=0,"NO EXISTE",IF(COUNTIFS(ENVIOS!$A$4:$A$3003,$C228)&gt;1,"DUPLICADA","OK")))</f>
        <v/>
      </c>
      <c r="E228" s="22">
        <f>IF($C228="","",IFERROR(INDEX(ENVIOS!$C$4:$C$3003,MATCH($C228,ENVIOS!$A$4:$A$3003,0)),"—"))</f>
        <v/>
      </c>
      <c r="F228" s="22">
        <f>IF($C228="","",IFERROR(INDEX(ENVIOS!$D$4:$D$3003,MATCH($C228,ENVIOS!$A$4:$A$3003,0)),"—"))</f>
        <v/>
      </c>
      <c r="G228" s="22">
        <f>IF($C228="","",IFERROR(INDEX(ENVIOS!$E$4:$E$3003,MATCH($C228,ENVIOS!$A$4:$A$3003,0)),"—"))</f>
        <v/>
      </c>
      <c r="H228" s="22">
        <f>IF($C228="","",IFERROR(INDEX(ENVIOS!$F$4:$F$3003,MATCH($C228,ENVIOS!$A$4:$A$3003,0)),"—"))</f>
        <v/>
      </c>
      <c r="I228" s="27">
        <f>IF($C228="","",IFERROR(INDEX(ENVIOS!$G$4:$G$3003,MATCH($C228,ENVIOS!$A$4:$A$3003,0)),"—"))</f>
        <v/>
      </c>
      <c r="J228" s="48">
        <f>IF($C228="","",IFERROR(INDEX(ENVIOS!$B$4:$B$3003,MATCH($C228,ENVIOS!$A$4:$A$3003,0)),""))</f>
        <v/>
      </c>
      <c r="K228" s="49" t="n"/>
      <c r="L228" s="27">
        <f>IF($K228="","",IFERROR(INDEX(CONFIG!$B$4:$B$43,MATCH($K228,CONFIG!$A$4:$A$43,0)),"Media"))</f>
        <v/>
      </c>
      <c r="M228" s="27">
        <f>IF($K228="","",IFERROR(INDEX(CONFIG!$D$4:$D$43,MATCH($K228,CONFIG!$A$4:$A$43,0)),"NO"))</f>
        <v/>
      </c>
      <c r="N228" s="49" t="n"/>
      <c r="O228" s="27">
        <f>IF($N228="","",IFERROR(INDEX(CONFIG!$G$4:$G$43,MATCH($N228,CONFIG!$F$4:$F$43,0)),"Por definir"))</f>
        <v/>
      </c>
      <c r="P228" s="27">
        <f>IF($N228="","",IFERROR(INDEX(CONFIG!$H$4:$H$43,MATCH($N228,CONFIG!$F$4:$F$43,0)),"Por definir"))</f>
        <v/>
      </c>
      <c r="Q228" s="50" t="n"/>
      <c r="R228" s="51" t="n"/>
      <c r="S228" s="49" t="n"/>
      <c r="T228" s="49" t="n"/>
      <c r="U228" s="48">
        <f>IF(OR($B228="",$K228=""),"",WORKDAY($B228,IFERROR(INDEX(CONFIG!$C$4:$C$43,MATCH($K228,CONFIG!$A$4:$A$43,0)),3)))</f>
        <v/>
      </c>
      <c r="V228" s="46" t="n"/>
      <c r="W228" s="23">
        <f>IF($B228="","",IF($V228&lt;&gt;"",$V228-$B228,TODAY()-$B228))</f>
        <v/>
      </c>
      <c r="X228" s="27">
        <f>IF($C228="","",IF(IFERROR(INDEX(CONFIG!$K$4:$K$43,MATCH($S228,CONFIG!$J$4:$J$43,0)),"NO")="SÍ",IF(OR($V228="",$U228=""),"Resuelta",IF($V228&gt;$U228,"Resuelta tarde","Resuelta a tiempo")),IF($U228="","Sin clasificar",IF(TODAY()&gt;$U228,"Vencida",IF(TODAY()&gt;=$U228-1,"Por vencer","En plazo")))))</f>
        <v/>
      </c>
      <c r="Y228" s="49" t="n"/>
      <c r="Z228" s="49" t="n"/>
    </row>
    <row r="229" ht="16" customHeight="1">
      <c r="A229" s="27">
        <f>IF($C229="","","N-"&amp;TEXT(ROW()-3,"0000"))</f>
        <v/>
      </c>
      <c r="B229" s="46" t="n"/>
      <c r="C229" s="47" t="n"/>
      <c r="D229" s="27">
        <f>IF($C229="","",IF(COUNTIFS(ENVIOS!$A$4:$A$3003,$C229)=0,"NO EXISTE",IF(COUNTIFS(ENVIOS!$A$4:$A$3003,$C229)&gt;1,"DUPLICADA","OK")))</f>
        <v/>
      </c>
      <c r="E229" s="22">
        <f>IF($C229="","",IFERROR(INDEX(ENVIOS!$C$4:$C$3003,MATCH($C229,ENVIOS!$A$4:$A$3003,0)),"—"))</f>
        <v/>
      </c>
      <c r="F229" s="22">
        <f>IF($C229="","",IFERROR(INDEX(ENVIOS!$D$4:$D$3003,MATCH($C229,ENVIOS!$A$4:$A$3003,0)),"—"))</f>
        <v/>
      </c>
      <c r="G229" s="22">
        <f>IF($C229="","",IFERROR(INDEX(ENVIOS!$E$4:$E$3003,MATCH($C229,ENVIOS!$A$4:$A$3003,0)),"—"))</f>
        <v/>
      </c>
      <c r="H229" s="22">
        <f>IF($C229="","",IFERROR(INDEX(ENVIOS!$F$4:$F$3003,MATCH($C229,ENVIOS!$A$4:$A$3003,0)),"—"))</f>
        <v/>
      </c>
      <c r="I229" s="27">
        <f>IF($C229="","",IFERROR(INDEX(ENVIOS!$G$4:$G$3003,MATCH($C229,ENVIOS!$A$4:$A$3003,0)),"—"))</f>
        <v/>
      </c>
      <c r="J229" s="48">
        <f>IF($C229="","",IFERROR(INDEX(ENVIOS!$B$4:$B$3003,MATCH($C229,ENVIOS!$A$4:$A$3003,0)),""))</f>
        <v/>
      </c>
      <c r="K229" s="49" t="n"/>
      <c r="L229" s="27">
        <f>IF($K229="","",IFERROR(INDEX(CONFIG!$B$4:$B$43,MATCH($K229,CONFIG!$A$4:$A$43,0)),"Media"))</f>
        <v/>
      </c>
      <c r="M229" s="27">
        <f>IF($K229="","",IFERROR(INDEX(CONFIG!$D$4:$D$43,MATCH($K229,CONFIG!$A$4:$A$43,0)),"NO"))</f>
        <v/>
      </c>
      <c r="N229" s="49" t="n"/>
      <c r="O229" s="27">
        <f>IF($N229="","",IFERROR(INDEX(CONFIG!$G$4:$G$43,MATCH($N229,CONFIG!$F$4:$F$43,0)),"Por definir"))</f>
        <v/>
      </c>
      <c r="P229" s="27">
        <f>IF($N229="","",IFERROR(INDEX(CONFIG!$H$4:$H$43,MATCH($N229,CONFIG!$F$4:$F$43,0)),"Por definir"))</f>
        <v/>
      </c>
      <c r="Q229" s="50" t="n"/>
      <c r="R229" s="51" t="n"/>
      <c r="S229" s="49" t="n"/>
      <c r="T229" s="49" t="n"/>
      <c r="U229" s="48">
        <f>IF(OR($B229="",$K229=""),"",WORKDAY($B229,IFERROR(INDEX(CONFIG!$C$4:$C$43,MATCH($K229,CONFIG!$A$4:$A$43,0)),3)))</f>
        <v/>
      </c>
      <c r="V229" s="46" t="n"/>
      <c r="W229" s="23">
        <f>IF($B229="","",IF($V229&lt;&gt;"",$V229-$B229,TODAY()-$B229))</f>
        <v/>
      </c>
      <c r="X229" s="27">
        <f>IF($C229="","",IF(IFERROR(INDEX(CONFIG!$K$4:$K$43,MATCH($S229,CONFIG!$J$4:$J$43,0)),"NO")="SÍ",IF(OR($V229="",$U229=""),"Resuelta",IF($V229&gt;$U229,"Resuelta tarde","Resuelta a tiempo")),IF($U229="","Sin clasificar",IF(TODAY()&gt;$U229,"Vencida",IF(TODAY()&gt;=$U229-1,"Por vencer","En plazo")))))</f>
        <v/>
      </c>
      <c r="Y229" s="49" t="n"/>
      <c r="Z229" s="49" t="n"/>
    </row>
    <row r="230" ht="16" customHeight="1">
      <c r="A230" s="27">
        <f>IF($C230="","","N-"&amp;TEXT(ROW()-3,"0000"))</f>
        <v/>
      </c>
      <c r="B230" s="46" t="n"/>
      <c r="C230" s="47" t="n"/>
      <c r="D230" s="27">
        <f>IF($C230="","",IF(COUNTIFS(ENVIOS!$A$4:$A$3003,$C230)=0,"NO EXISTE",IF(COUNTIFS(ENVIOS!$A$4:$A$3003,$C230)&gt;1,"DUPLICADA","OK")))</f>
        <v/>
      </c>
      <c r="E230" s="22">
        <f>IF($C230="","",IFERROR(INDEX(ENVIOS!$C$4:$C$3003,MATCH($C230,ENVIOS!$A$4:$A$3003,0)),"—"))</f>
        <v/>
      </c>
      <c r="F230" s="22">
        <f>IF($C230="","",IFERROR(INDEX(ENVIOS!$D$4:$D$3003,MATCH($C230,ENVIOS!$A$4:$A$3003,0)),"—"))</f>
        <v/>
      </c>
      <c r="G230" s="22">
        <f>IF($C230="","",IFERROR(INDEX(ENVIOS!$E$4:$E$3003,MATCH($C230,ENVIOS!$A$4:$A$3003,0)),"—"))</f>
        <v/>
      </c>
      <c r="H230" s="22">
        <f>IF($C230="","",IFERROR(INDEX(ENVIOS!$F$4:$F$3003,MATCH($C230,ENVIOS!$A$4:$A$3003,0)),"—"))</f>
        <v/>
      </c>
      <c r="I230" s="27">
        <f>IF($C230="","",IFERROR(INDEX(ENVIOS!$G$4:$G$3003,MATCH($C230,ENVIOS!$A$4:$A$3003,0)),"—"))</f>
        <v/>
      </c>
      <c r="J230" s="48">
        <f>IF($C230="","",IFERROR(INDEX(ENVIOS!$B$4:$B$3003,MATCH($C230,ENVIOS!$A$4:$A$3003,0)),""))</f>
        <v/>
      </c>
      <c r="K230" s="49" t="n"/>
      <c r="L230" s="27">
        <f>IF($K230="","",IFERROR(INDEX(CONFIG!$B$4:$B$43,MATCH($K230,CONFIG!$A$4:$A$43,0)),"Media"))</f>
        <v/>
      </c>
      <c r="M230" s="27">
        <f>IF($K230="","",IFERROR(INDEX(CONFIG!$D$4:$D$43,MATCH($K230,CONFIG!$A$4:$A$43,0)),"NO"))</f>
        <v/>
      </c>
      <c r="N230" s="49" t="n"/>
      <c r="O230" s="27">
        <f>IF($N230="","",IFERROR(INDEX(CONFIG!$G$4:$G$43,MATCH($N230,CONFIG!$F$4:$F$43,0)),"Por definir"))</f>
        <v/>
      </c>
      <c r="P230" s="27">
        <f>IF($N230="","",IFERROR(INDEX(CONFIG!$H$4:$H$43,MATCH($N230,CONFIG!$F$4:$F$43,0)),"Por definir"))</f>
        <v/>
      </c>
      <c r="Q230" s="50" t="n"/>
      <c r="R230" s="51" t="n"/>
      <c r="S230" s="49" t="n"/>
      <c r="T230" s="49" t="n"/>
      <c r="U230" s="48">
        <f>IF(OR($B230="",$K230=""),"",WORKDAY($B230,IFERROR(INDEX(CONFIG!$C$4:$C$43,MATCH($K230,CONFIG!$A$4:$A$43,0)),3)))</f>
        <v/>
      </c>
      <c r="V230" s="46" t="n"/>
      <c r="W230" s="23">
        <f>IF($B230="","",IF($V230&lt;&gt;"",$V230-$B230,TODAY()-$B230))</f>
        <v/>
      </c>
      <c r="X230" s="27">
        <f>IF($C230="","",IF(IFERROR(INDEX(CONFIG!$K$4:$K$43,MATCH($S230,CONFIG!$J$4:$J$43,0)),"NO")="SÍ",IF(OR($V230="",$U230=""),"Resuelta",IF($V230&gt;$U230,"Resuelta tarde","Resuelta a tiempo")),IF($U230="","Sin clasificar",IF(TODAY()&gt;$U230,"Vencida",IF(TODAY()&gt;=$U230-1,"Por vencer","En plazo")))))</f>
        <v/>
      </c>
      <c r="Y230" s="49" t="n"/>
      <c r="Z230" s="49" t="n"/>
    </row>
    <row r="231" ht="16" customHeight="1">
      <c r="A231" s="27">
        <f>IF($C231="","","N-"&amp;TEXT(ROW()-3,"0000"))</f>
        <v/>
      </c>
      <c r="B231" s="46" t="n"/>
      <c r="C231" s="47" t="n"/>
      <c r="D231" s="27">
        <f>IF($C231="","",IF(COUNTIFS(ENVIOS!$A$4:$A$3003,$C231)=0,"NO EXISTE",IF(COUNTIFS(ENVIOS!$A$4:$A$3003,$C231)&gt;1,"DUPLICADA","OK")))</f>
        <v/>
      </c>
      <c r="E231" s="22">
        <f>IF($C231="","",IFERROR(INDEX(ENVIOS!$C$4:$C$3003,MATCH($C231,ENVIOS!$A$4:$A$3003,0)),"—"))</f>
        <v/>
      </c>
      <c r="F231" s="22">
        <f>IF($C231="","",IFERROR(INDEX(ENVIOS!$D$4:$D$3003,MATCH($C231,ENVIOS!$A$4:$A$3003,0)),"—"))</f>
        <v/>
      </c>
      <c r="G231" s="22">
        <f>IF($C231="","",IFERROR(INDEX(ENVIOS!$E$4:$E$3003,MATCH($C231,ENVIOS!$A$4:$A$3003,0)),"—"))</f>
        <v/>
      </c>
      <c r="H231" s="22">
        <f>IF($C231="","",IFERROR(INDEX(ENVIOS!$F$4:$F$3003,MATCH($C231,ENVIOS!$A$4:$A$3003,0)),"—"))</f>
        <v/>
      </c>
      <c r="I231" s="27">
        <f>IF($C231="","",IFERROR(INDEX(ENVIOS!$G$4:$G$3003,MATCH($C231,ENVIOS!$A$4:$A$3003,0)),"—"))</f>
        <v/>
      </c>
      <c r="J231" s="48">
        <f>IF($C231="","",IFERROR(INDEX(ENVIOS!$B$4:$B$3003,MATCH($C231,ENVIOS!$A$4:$A$3003,0)),""))</f>
        <v/>
      </c>
      <c r="K231" s="49" t="n"/>
      <c r="L231" s="27">
        <f>IF($K231="","",IFERROR(INDEX(CONFIG!$B$4:$B$43,MATCH($K231,CONFIG!$A$4:$A$43,0)),"Media"))</f>
        <v/>
      </c>
      <c r="M231" s="27">
        <f>IF($K231="","",IFERROR(INDEX(CONFIG!$D$4:$D$43,MATCH($K231,CONFIG!$A$4:$A$43,0)),"NO"))</f>
        <v/>
      </c>
      <c r="N231" s="49" t="n"/>
      <c r="O231" s="27">
        <f>IF($N231="","",IFERROR(INDEX(CONFIG!$G$4:$G$43,MATCH($N231,CONFIG!$F$4:$F$43,0)),"Por definir"))</f>
        <v/>
      </c>
      <c r="P231" s="27">
        <f>IF($N231="","",IFERROR(INDEX(CONFIG!$H$4:$H$43,MATCH($N231,CONFIG!$F$4:$F$43,0)),"Por definir"))</f>
        <v/>
      </c>
      <c r="Q231" s="50" t="n"/>
      <c r="R231" s="51" t="n"/>
      <c r="S231" s="49" t="n"/>
      <c r="T231" s="49" t="n"/>
      <c r="U231" s="48">
        <f>IF(OR($B231="",$K231=""),"",WORKDAY($B231,IFERROR(INDEX(CONFIG!$C$4:$C$43,MATCH($K231,CONFIG!$A$4:$A$43,0)),3)))</f>
        <v/>
      </c>
      <c r="V231" s="46" t="n"/>
      <c r="W231" s="23">
        <f>IF($B231="","",IF($V231&lt;&gt;"",$V231-$B231,TODAY()-$B231))</f>
        <v/>
      </c>
      <c r="X231" s="27">
        <f>IF($C231="","",IF(IFERROR(INDEX(CONFIG!$K$4:$K$43,MATCH($S231,CONFIG!$J$4:$J$43,0)),"NO")="SÍ",IF(OR($V231="",$U231=""),"Resuelta",IF($V231&gt;$U231,"Resuelta tarde","Resuelta a tiempo")),IF($U231="","Sin clasificar",IF(TODAY()&gt;$U231,"Vencida",IF(TODAY()&gt;=$U231-1,"Por vencer","En plazo")))))</f>
        <v/>
      </c>
      <c r="Y231" s="49" t="n"/>
      <c r="Z231" s="49" t="n"/>
    </row>
    <row r="232" ht="16" customHeight="1">
      <c r="A232" s="27">
        <f>IF($C232="","","N-"&amp;TEXT(ROW()-3,"0000"))</f>
        <v/>
      </c>
      <c r="B232" s="46" t="n"/>
      <c r="C232" s="47" t="n"/>
      <c r="D232" s="27">
        <f>IF($C232="","",IF(COUNTIFS(ENVIOS!$A$4:$A$3003,$C232)=0,"NO EXISTE",IF(COUNTIFS(ENVIOS!$A$4:$A$3003,$C232)&gt;1,"DUPLICADA","OK")))</f>
        <v/>
      </c>
      <c r="E232" s="22">
        <f>IF($C232="","",IFERROR(INDEX(ENVIOS!$C$4:$C$3003,MATCH($C232,ENVIOS!$A$4:$A$3003,0)),"—"))</f>
        <v/>
      </c>
      <c r="F232" s="22">
        <f>IF($C232="","",IFERROR(INDEX(ENVIOS!$D$4:$D$3003,MATCH($C232,ENVIOS!$A$4:$A$3003,0)),"—"))</f>
        <v/>
      </c>
      <c r="G232" s="22">
        <f>IF($C232="","",IFERROR(INDEX(ENVIOS!$E$4:$E$3003,MATCH($C232,ENVIOS!$A$4:$A$3003,0)),"—"))</f>
        <v/>
      </c>
      <c r="H232" s="22">
        <f>IF($C232="","",IFERROR(INDEX(ENVIOS!$F$4:$F$3003,MATCH($C232,ENVIOS!$A$4:$A$3003,0)),"—"))</f>
        <v/>
      </c>
      <c r="I232" s="27">
        <f>IF($C232="","",IFERROR(INDEX(ENVIOS!$G$4:$G$3003,MATCH($C232,ENVIOS!$A$4:$A$3003,0)),"—"))</f>
        <v/>
      </c>
      <c r="J232" s="48">
        <f>IF($C232="","",IFERROR(INDEX(ENVIOS!$B$4:$B$3003,MATCH($C232,ENVIOS!$A$4:$A$3003,0)),""))</f>
        <v/>
      </c>
      <c r="K232" s="49" t="n"/>
      <c r="L232" s="27">
        <f>IF($K232="","",IFERROR(INDEX(CONFIG!$B$4:$B$43,MATCH($K232,CONFIG!$A$4:$A$43,0)),"Media"))</f>
        <v/>
      </c>
      <c r="M232" s="27">
        <f>IF($K232="","",IFERROR(INDEX(CONFIG!$D$4:$D$43,MATCH($K232,CONFIG!$A$4:$A$43,0)),"NO"))</f>
        <v/>
      </c>
      <c r="N232" s="49" t="n"/>
      <c r="O232" s="27">
        <f>IF($N232="","",IFERROR(INDEX(CONFIG!$G$4:$G$43,MATCH($N232,CONFIG!$F$4:$F$43,0)),"Por definir"))</f>
        <v/>
      </c>
      <c r="P232" s="27">
        <f>IF($N232="","",IFERROR(INDEX(CONFIG!$H$4:$H$43,MATCH($N232,CONFIG!$F$4:$F$43,0)),"Por definir"))</f>
        <v/>
      </c>
      <c r="Q232" s="50" t="n"/>
      <c r="R232" s="51" t="n"/>
      <c r="S232" s="49" t="n"/>
      <c r="T232" s="49" t="n"/>
      <c r="U232" s="48">
        <f>IF(OR($B232="",$K232=""),"",WORKDAY($B232,IFERROR(INDEX(CONFIG!$C$4:$C$43,MATCH($K232,CONFIG!$A$4:$A$43,0)),3)))</f>
        <v/>
      </c>
      <c r="V232" s="46" t="n"/>
      <c r="W232" s="23">
        <f>IF($B232="","",IF($V232&lt;&gt;"",$V232-$B232,TODAY()-$B232))</f>
        <v/>
      </c>
      <c r="X232" s="27">
        <f>IF($C232="","",IF(IFERROR(INDEX(CONFIG!$K$4:$K$43,MATCH($S232,CONFIG!$J$4:$J$43,0)),"NO")="SÍ",IF(OR($V232="",$U232=""),"Resuelta",IF($V232&gt;$U232,"Resuelta tarde","Resuelta a tiempo")),IF($U232="","Sin clasificar",IF(TODAY()&gt;$U232,"Vencida",IF(TODAY()&gt;=$U232-1,"Por vencer","En plazo")))))</f>
        <v/>
      </c>
      <c r="Y232" s="49" t="n"/>
      <c r="Z232" s="49" t="n"/>
    </row>
    <row r="233" ht="16" customHeight="1">
      <c r="A233" s="27">
        <f>IF($C233="","","N-"&amp;TEXT(ROW()-3,"0000"))</f>
        <v/>
      </c>
      <c r="B233" s="46" t="n"/>
      <c r="C233" s="47" t="n"/>
      <c r="D233" s="27">
        <f>IF($C233="","",IF(COUNTIFS(ENVIOS!$A$4:$A$3003,$C233)=0,"NO EXISTE",IF(COUNTIFS(ENVIOS!$A$4:$A$3003,$C233)&gt;1,"DUPLICADA","OK")))</f>
        <v/>
      </c>
      <c r="E233" s="22">
        <f>IF($C233="","",IFERROR(INDEX(ENVIOS!$C$4:$C$3003,MATCH($C233,ENVIOS!$A$4:$A$3003,0)),"—"))</f>
        <v/>
      </c>
      <c r="F233" s="22">
        <f>IF($C233="","",IFERROR(INDEX(ENVIOS!$D$4:$D$3003,MATCH($C233,ENVIOS!$A$4:$A$3003,0)),"—"))</f>
        <v/>
      </c>
      <c r="G233" s="22">
        <f>IF($C233="","",IFERROR(INDEX(ENVIOS!$E$4:$E$3003,MATCH($C233,ENVIOS!$A$4:$A$3003,0)),"—"))</f>
        <v/>
      </c>
      <c r="H233" s="22">
        <f>IF($C233="","",IFERROR(INDEX(ENVIOS!$F$4:$F$3003,MATCH($C233,ENVIOS!$A$4:$A$3003,0)),"—"))</f>
        <v/>
      </c>
      <c r="I233" s="27">
        <f>IF($C233="","",IFERROR(INDEX(ENVIOS!$G$4:$G$3003,MATCH($C233,ENVIOS!$A$4:$A$3003,0)),"—"))</f>
        <v/>
      </c>
      <c r="J233" s="48">
        <f>IF($C233="","",IFERROR(INDEX(ENVIOS!$B$4:$B$3003,MATCH($C233,ENVIOS!$A$4:$A$3003,0)),""))</f>
        <v/>
      </c>
      <c r="K233" s="49" t="n"/>
      <c r="L233" s="27">
        <f>IF($K233="","",IFERROR(INDEX(CONFIG!$B$4:$B$43,MATCH($K233,CONFIG!$A$4:$A$43,0)),"Media"))</f>
        <v/>
      </c>
      <c r="M233" s="27">
        <f>IF($K233="","",IFERROR(INDEX(CONFIG!$D$4:$D$43,MATCH($K233,CONFIG!$A$4:$A$43,0)),"NO"))</f>
        <v/>
      </c>
      <c r="N233" s="49" t="n"/>
      <c r="O233" s="27">
        <f>IF($N233="","",IFERROR(INDEX(CONFIG!$G$4:$G$43,MATCH($N233,CONFIG!$F$4:$F$43,0)),"Por definir"))</f>
        <v/>
      </c>
      <c r="P233" s="27">
        <f>IF($N233="","",IFERROR(INDEX(CONFIG!$H$4:$H$43,MATCH($N233,CONFIG!$F$4:$F$43,0)),"Por definir"))</f>
        <v/>
      </c>
      <c r="Q233" s="50" t="n"/>
      <c r="R233" s="51" t="n"/>
      <c r="S233" s="49" t="n"/>
      <c r="T233" s="49" t="n"/>
      <c r="U233" s="48">
        <f>IF(OR($B233="",$K233=""),"",WORKDAY($B233,IFERROR(INDEX(CONFIG!$C$4:$C$43,MATCH($K233,CONFIG!$A$4:$A$43,0)),3)))</f>
        <v/>
      </c>
      <c r="V233" s="46" t="n"/>
      <c r="W233" s="23">
        <f>IF($B233="","",IF($V233&lt;&gt;"",$V233-$B233,TODAY()-$B233))</f>
        <v/>
      </c>
      <c r="X233" s="27">
        <f>IF($C233="","",IF(IFERROR(INDEX(CONFIG!$K$4:$K$43,MATCH($S233,CONFIG!$J$4:$J$43,0)),"NO")="SÍ",IF(OR($V233="",$U233=""),"Resuelta",IF($V233&gt;$U233,"Resuelta tarde","Resuelta a tiempo")),IF($U233="","Sin clasificar",IF(TODAY()&gt;$U233,"Vencida",IF(TODAY()&gt;=$U233-1,"Por vencer","En plazo")))))</f>
        <v/>
      </c>
      <c r="Y233" s="49" t="n"/>
      <c r="Z233" s="49" t="n"/>
    </row>
    <row r="234" ht="16" customHeight="1">
      <c r="A234" s="27">
        <f>IF($C234="","","N-"&amp;TEXT(ROW()-3,"0000"))</f>
        <v/>
      </c>
      <c r="B234" s="46" t="n"/>
      <c r="C234" s="47" t="n"/>
      <c r="D234" s="27">
        <f>IF($C234="","",IF(COUNTIFS(ENVIOS!$A$4:$A$3003,$C234)=0,"NO EXISTE",IF(COUNTIFS(ENVIOS!$A$4:$A$3003,$C234)&gt;1,"DUPLICADA","OK")))</f>
        <v/>
      </c>
      <c r="E234" s="22">
        <f>IF($C234="","",IFERROR(INDEX(ENVIOS!$C$4:$C$3003,MATCH($C234,ENVIOS!$A$4:$A$3003,0)),"—"))</f>
        <v/>
      </c>
      <c r="F234" s="22">
        <f>IF($C234="","",IFERROR(INDEX(ENVIOS!$D$4:$D$3003,MATCH($C234,ENVIOS!$A$4:$A$3003,0)),"—"))</f>
        <v/>
      </c>
      <c r="G234" s="22">
        <f>IF($C234="","",IFERROR(INDEX(ENVIOS!$E$4:$E$3003,MATCH($C234,ENVIOS!$A$4:$A$3003,0)),"—"))</f>
        <v/>
      </c>
      <c r="H234" s="22">
        <f>IF($C234="","",IFERROR(INDEX(ENVIOS!$F$4:$F$3003,MATCH($C234,ENVIOS!$A$4:$A$3003,0)),"—"))</f>
        <v/>
      </c>
      <c r="I234" s="27">
        <f>IF($C234="","",IFERROR(INDEX(ENVIOS!$G$4:$G$3003,MATCH($C234,ENVIOS!$A$4:$A$3003,0)),"—"))</f>
        <v/>
      </c>
      <c r="J234" s="48">
        <f>IF($C234="","",IFERROR(INDEX(ENVIOS!$B$4:$B$3003,MATCH($C234,ENVIOS!$A$4:$A$3003,0)),""))</f>
        <v/>
      </c>
      <c r="K234" s="49" t="n"/>
      <c r="L234" s="27">
        <f>IF($K234="","",IFERROR(INDEX(CONFIG!$B$4:$B$43,MATCH($K234,CONFIG!$A$4:$A$43,0)),"Media"))</f>
        <v/>
      </c>
      <c r="M234" s="27">
        <f>IF($K234="","",IFERROR(INDEX(CONFIG!$D$4:$D$43,MATCH($K234,CONFIG!$A$4:$A$43,0)),"NO"))</f>
        <v/>
      </c>
      <c r="N234" s="49" t="n"/>
      <c r="O234" s="27">
        <f>IF($N234="","",IFERROR(INDEX(CONFIG!$G$4:$G$43,MATCH($N234,CONFIG!$F$4:$F$43,0)),"Por definir"))</f>
        <v/>
      </c>
      <c r="P234" s="27">
        <f>IF($N234="","",IFERROR(INDEX(CONFIG!$H$4:$H$43,MATCH($N234,CONFIG!$F$4:$F$43,0)),"Por definir"))</f>
        <v/>
      </c>
      <c r="Q234" s="50" t="n"/>
      <c r="R234" s="51" t="n"/>
      <c r="S234" s="49" t="n"/>
      <c r="T234" s="49" t="n"/>
      <c r="U234" s="48">
        <f>IF(OR($B234="",$K234=""),"",WORKDAY($B234,IFERROR(INDEX(CONFIG!$C$4:$C$43,MATCH($K234,CONFIG!$A$4:$A$43,0)),3)))</f>
        <v/>
      </c>
      <c r="V234" s="46" t="n"/>
      <c r="W234" s="23">
        <f>IF($B234="","",IF($V234&lt;&gt;"",$V234-$B234,TODAY()-$B234))</f>
        <v/>
      </c>
      <c r="X234" s="27">
        <f>IF($C234="","",IF(IFERROR(INDEX(CONFIG!$K$4:$K$43,MATCH($S234,CONFIG!$J$4:$J$43,0)),"NO")="SÍ",IF(OR($V234="",$U234=""),"Resuelta",IF($V234&gt;$U234,"Resuelta tarde","Resuelta a tiempo")),IF($U234="","Sin clasificar",IF(TODAY()&gt;$U234,"Vencida",IF(TODAY()&gt;=$U234-1,"Por vencer","En plazo")))))</f>
        <v/>
      </c>
      <c r="Y234" s="49" t="n"/>
      <c r="Z234" s="49" t="n"/>
    </row>
    <row r="235" ht="16" customHeight="1">
      <c r="A235" s="27">
        <f>IF($C235="","","N-"&amp;TEXT(ROW()-3,"0000"))</f>
        <v/>
      </c>
      <c r="B235" s="46" t="n"/>
      <c r="C235" s="47" t="n"/>
      <c r="D235" s="27">
        <f>IF($C235="","",IF(COUNTIFS(ENVIOS!$A$4:$A$3003,$C235)=0,"NO EXISTE",IF(COUNTIFS(ENVIOS!$A$4:$A$3003,$C235)&gt;1,"DUPLICADA","OK")))</f>
        <v/>
      </c>
      <c r="E235" s="22">
        <f>IF($C235="","",IFERROR(INDEX(ENVIOS!$C$4:$C$3003,MATCH($C235,ENVIOS!$A$4:$A$3003,0)),"—"))</f>
        <v/>
      </c>
      <c r="F235" s="22">
        <f>IF($C235="","",IFERROR(INDEX(ENVIOS!$D$4:$D$3003,MATCH($C235,ENVIOS!$A$4:$A$3003,0)),"—"))</f>
        <v/>
      </c>
      <c r="G235" s="22">
        <f>IF($C235="","",IFERROR(INDEX(ENVIOS!$E$4:$E$3003,MATCH($C235,ENVIOS!$A$4:$A$3003,0)),"—"))</f>
        <v/>
      </c>
      <c r="H235" s="22">
        <f>IF($C235="","",IFERROR(INDEX(ENVIOS!$F$4:$F$3003,MATCH($C235,ENVIOS!$A$4:$A$3003,0)),"—"))</f>
        <v/>
      </c>
      <c r="I235" s="27">
        <f>IF($C235="","",IFERROR(INDEX(ENVIOS!$G$4:$G$3003,MATCH($C235,ENVIOS!$A$4:$A$3003,0)),"—"))</f>
        <v/>
      </c>
      <c r="J235" s="48">
        <f>IF($C235="","",IFERROR(INDEX(ENVIOS!$B$4:$B$3003,MATCH($C235,ENVIOS!$A$4:$A$3003,0)),""))</f>
        <v/>
      </c>
      <c r="K235" s="49" t="n"/>
      <c r="L235" s="27">
        <f>IF($K235="","",IFERROR(INDEX(CONFIG!$B$4:$B$43,MATCH($K235,CONFIG!$A$4:$A$43,0)),"Media"))</f>
        <v/>
      </c>
      <c r="M235" s="27">
        <f>IF($K235="","",IFERROR(INDEX(CONFIG!$D$4:$D$43,MATCH($K235,CONFIG!$A$4:$A$43,0)),"NO"))</f>
        <v/>
      </c>
      <c r="N235" s="49" t="n"/>
      <c r="O235" s="27">
        <f>IF($N235="","",IFERROR(INDEX(CONFIG!$G$4:$G$43,MATCH($N235,CONFIG!$F$4:$F$43,0)),"Por definir"))</f>
        <v/>
      </c>
      <c r="P235" s="27">
        <f>IF($N235="","",IFERROR(INDEX(CONFIG!$H$4:$H$43,MATCH($N235,CONFIG!$F$4:$F$43,0)),"Por definir"))</f>
        <v/>
      </c>
      <c r="Q235" s="50" t="n"/>
      <c r="R235" s="51" t="n"/>
      <c r="S235" s="49" t="n"/>
      <c r="T235" s="49" t="n"/>
      <c r="U235" s="48">
        <f>IF(OR($B235="",$K235=""),"",WORKDAY($B235,IFERROR(INDEX(CONFIG!$C$4:$C$43,MATCH($K235,CONFIG!$A$4:$A$43,0)),3)))</f>
        <v/>
      </c>
      <c r="V235" s="46" t="n"/>
      <c r="W235" s="23">
        <f>IF($B235="","",IF($V235&lt;&gt;"",$V235-$B235,TODAY()-$B235))</f>
        <v/>
      </c>
      <c r="X235" s="27">
        <f>IF($C235="","",IF(IFERROR(INDEX(CONFIG!$K$4:$K$43,MATCH($S235,CONFIG!$J$4:$J$43,0)),"NO")="SÍ",IF(OR($V235="",$U235=""),"Resuelta",IF($V235&gt;$U235,"Resuelta tarde","Resuelta a tiempo")),IF($U235="","Sin clasificar",IF(TODAY()&gt;$U235,"Vencida",IF(TODAY()&gt;=$U235-1,"Por vencer","En plazo")))))</f>
        <v/>
      </c>
      <c r="Y235" s="49" t="n"/>
      <c r="Z235" s="49" t="n"/>
    </row>
    <row r="236" ht="16" customHeight="1">
      <c r="A236" s="27">
        <f>IF($C236="","","N-"&amp;TEXT(ROW()-3,"0000"))</f>
        <v/>
      </c>
      <c r="B236" s="46" t="n"/>
      <c r="C236" s="47" t="n"/>
      <c r="D236" s="27">
        <f>IF($C236="","",IF(COUNTIFS(ENVIOS!$A$4:$A$3003,$C236)=0,"NO EXISTE",IF(COUNTIFS(ENVIOS!$A$4:$A$3003,$C236)&gt;1,"DUPLICADA","OK")))</f>
        <v/>
      </c>
      <c r="E236" s="22">
        <f>IF($C236="","",IFERROR(INDEX(ENVIOS!$C$4:$C$3003,MATCH($C236,ENVIOS!$A$4:$A$3003,0)),"—"))</f>
        <v/>
      </c>
      <c r="F236" s="22">
        <f>IF($C236="","",IFERROR(INDEX(ENVIOS!$D$4:$D$3003,MATCH($C236,ENVIOS!$A$4:$A$3003,0)),"—"))</f>
        <v/>
      </c>
      <c r="G236" s="22">
        <f>IF($C236="","",IFERROR(INDEX(ENVIOS!$E$4:$E$3003,MATCH($C236,ENVIOS!$A$4:$A$3003,0)),"—"))</f>
        <v/>
      </c>
      <c r="H236" s="22">
        <f>IF($C236="","",IFERROR(INDEX(ENVIOS!$F$4:$F$3003,MATCH($C236,ENVIOS!$A$4:$A$3003,0)),"—"))</f>
        <v/>
      </c>
      <c r="I236" s="27">
        <f>IF($C236="","",IFERROR(INDEX(ENVIOS!$G$4:$G$3003,MATCH($C236,ENVIOS!$A$4:$A$3003,0)),"—"))</f>
        <v/>
      </c>
      <c r="J236" s="48">
        <f>IF($C236="","",IFERROR(INDEX(ENVIOS!$B$4:$B$3003,MATCH($C236,ENVIOS!$A$4:$A$3003,0)),""))</f>
        <v/>
      </c>
      <c r="K236" s="49" t="n"/>
      <c r="L236" s="27">
        <f>IF($K236="","",IFERROR(INDEX(CONFIG!$B$4:$B$43,MATCH($K236,CONFIG!$A$4:$A$43,0)),"Media"))</f>
        <v/>
      </c>
      <c r="M236" s="27">
        <f>IF($K236="","",IFERROR(INDEX(CONFIG!$D$4:$D$43,MATCH($K236,CONFIG!$A$4:$A$43,0)),"NO"))</f>
        <v/>
      </c>
      <c r="N236" s="49" t="n"/>
      <c r="O236" s="27">
        <f>IF($N236="","",IFERROR(INDEX(CONFIG!$G$4:$G$43,MATCH($N236,CONFIG!$F$4:$F$43,0)),"Por definir"))</f>
        <v/>
      </c>
      <c r="P236" s="27">
        <f>IF($N236="","",IFERROR(INDEX(CONFIG!$H$4:$H$43,MATCH($N236,CONFIG!$F$4:$F$43,0)),"Por definir"))</f>
        <v/>
      </c>
      <c r="Q236" s="50" t="n"/>
      <c r="R236" s="51" t="n"/>
      <c r="S236" s="49" t="n"/>
      <c r="T236" s="49" t="n"/>
      <c r="U236" s="48">
        <f>IF(OR($B236="",$K236=""),"",WORKDAY($B236,IFERROR(INDEX(CONFIG!$C$4:$C$43,MATCH($K236,CONFIG!$A$4:$A$43,0)),3)))</f>
        <v/>
      </c>
      <c r="V236" s="46" t="n"/>
      <c r="W236" s="23">
        <f>IF($B236="","",IF($V236&lt;&gt;"",$V236-$B236,TODAY()-$B236))</f>
        <v/>
      </c>
      <c r="X236" s="27">
        <f>IF($C236="","",IF(IFERROR(INDEX(CONFIG!$K$4:$K$43,MATCH($S236,CONFIG!$J$4:$J$43,0)),"NO")="SÍ",IF(OR($V236="",$U236=""),"Resuelta",IF($V236&gt;$U236,"Resuelta tarde","Resuelta a tiempo")),IF($U236="","Sin clasificar",IF(TODAY()&gt;$U236,"Vencida",IF(TODAY()&gt;=$U236-1,"Por vencer","En plazo")))))</f>
        <v/>
      </c>
      <c r="Y236" s="49" t="n"/>
      <c r="Z236" s="49" t="n"/>
    </row>
    <row r="237" ht="16" customHeight="1">
      <c r="A237" s="27">
        <f>IF($C237="","","N-"&amp;TEXT(ROW()-3,"0000"))</f>
        <v/>
      </c>
      <c r="B237" s="46" t="n"/>
      <c r="C237" s="47" t="n"/>
      <c r="D237" s="27">
        <f>IF($C237="","",IF(COUNTIFS(ENVIOS!$A$4:$A$3003,$C237)=0,"NO EXISTE",IF(COUNTIFS(ENVIOS!$A$4:$A$3003,$C237)&gt;1,"DUPLICADA","OK")))</f>
        <v/>
      </c>
      <c r="E237" s="22">
        <f>IF($C237="","",IFERROR(INDEX(ENVIOS!$C$4:$C$3003,MATCH($C237,ENVIOS!$A$4:$A$3003,0)),"—"))</f>
        <v/>
      </c>
      <c r="F237" s="22">
        <f>IF($C237="","",IFERROR(INDEX(ENVIOS!$D$4:$D$3003,MATCH($C237,ENVIOS!$A$4:$A$3003,0)),"—"))</f>
        <v/>
      </c>
      <c r="G237" s="22">
        <f>IF($C237="","",IFERROR(INDEX(ENVIOS!$E$4:$E$3003,MATCH($C237,ENVIOS!$A$4:$A$3003,0)),"—"))</f>
        <v/>
      </c>
      <c r="H237" s="22">
        <f>IF($C237="","",IFERROR(INDEX(ENVIOS!$F$4:$F$3003,MATCH($C237,ENVIOS!$A$4:$A$3003,0)),"—"))</f>
        <v/>
      </c>
      <c r="I237" s="27">
        <f>IF($C237="","",IFERROR(INDEX(ENVIOS!$G$4:$G$3003,MATCH($C237,ENVIOS!$A$4:$A$3003,0)),"—"))</f>
        <v/>
      </c>
      <c r="J237" s="48">
        <f>IF($C237="","",IFERROR(INDEX(ENVIOS!$B$4:$B$3003,MATCH($C237,ENVIOS!$A$4:$A$3003,0)),""))</f>
        <v/>
      </c>
      <c r="K237" s="49" t="n"/>
      <c r="L237" s="27">
        <f>IF($K237="","",IFERROR(INDEX(CONFIG!$B$4:$B$43,MATCH($K237,CONFIG!$A$4:$A$43,0)),"Media"))</f>
        <v/>
      </c>
      <c r="M237" s="27">
        <f>IF($K237="","",IFERROR(INDEX(CONFIG!$D$4:$D$43,MATCH($K237,CONFIG!$A$4:$A$43,0)),"NO"))</f>
        <v/>
      </c>
      <c r="N237" s="49" t="n"/>
      <c r="O237" s="27">
        <f>IF($N237="","",IFERROR(INDEX(CONFIG!$G$4:$G$43,MATCH($N237,CONFIG!$F$4:$F$43,0)),"Por definir"))</f>
        <v/>
      </c>
      <c r="P237" s="27">
        <f>IF($N237="","",IFERROR(INDEX(CONFIG!$H$4:$H$43,MATCH($N237,CONFIG!$F$4:$F$43,0)),"Por definir"))</f>
        <v/>
      </c>
      <c r="Q237" s="50" t="n"/>
      <c r="R237" s="51" t="n"/>
      <c r="S237" s="49" t="n"/>
      <c r="T237" s="49" t="n"/>
      <c r="U237" s="48">
        <f>IF(OR($B237="",$K237=""),"",WORKDAY($B237,IFERROR(INDEX(CONFIG!$C$4:$C$43,MATCH($K237,CONFIG!$A$4:$A$43,0)),3)))</f>
        <v/>
      </c>
      <c r="V237" s="46" t="n"/>
      <c r="W237" s="23">
        <f>IF($B237="","",IF($V237&lt;&gt;"",$V237-$B237,TODAY()-$B237))</f>
        <v/>
      </c>
      <c r="X237" s="27">
        <f>IF($C237="","",IF(IFERROR(INDEX(CONFIG!$K$4:$K$43,MATCH($S237,CONFIG!$J$4:$J$43,0)),"NO")="SÍ",IF(OR($V237="",$U237=""),"Resuelta",IF($V237&gt;$U237,"Resuelta tarde","Resuelta a tiempo")),IF($U237="","Sin clasificar",IF(TODAY()&gt;$U237,"Vencida",IF(TODAY()&gt;=$U237-1,"Por vencer","En plazo")))))</f>
        <v/>
      </c>
      <c r="Y237" s="49" t="n"/>
      <c r="Z237" s="49" t="n"/>
    </row>
    <row r="238" ht="16" customHeight="1">
      <c r="A238" s="27">
        <f>IF($C238="","","N-"&amp;TEXT(ROW()-3,"0000"))</f>
        <v/>
      </c>
      <c r="B238" s="46" t="n"/>
      <c r="C238" s="47" t="n"/>
      <c r="D238" s="27">
        <f>IF($C238="","",IF(COUNTIFS(ENVIOS!$A$4:$A$3003,$C238)=0,"NO EXISTE",IF(COUNTIFS(ENVIOS!$A$4:$A$3003,$C238)&gt;1,"DUPLICADA","OK")))</f>
        <v/>
      </c>
      <c r="E238" s="22">
        <f>IF($C238="","",IFERROR(INDEX(ENVIOS!$C$4:$C$3003,MATCH($C238,ENVIOS!$A$4:$A$3003,0)),"—"))</f>
        <v/>
      </c>
      <c r="F238" s="22">
        <f>IF($C238="","",IFERROR(INDEX(ENVIOS!$D$4:$D$3003,MATCH($C238,ENVIOS!$A$4:$A$3003,0)),"—"))</f>
        <v/>
      </c>
      <c r="G238" s="22">
        <f>IF($C238="","",IFERROR(INDEX(ENVIOS!$E$4:$E$3003,MATCH($C238,ENVIOS!$A$4:$A$3003,0)),"—"))</f>
        <v/>
      </c>
      <c r="H238" s="22">
        <f>IF($C238="","",IFERROR(INDEX(ENVIOS!$F$4:$F$3003,MATCH($C238,ENVIOS!$A$4:$A$3003,0)),"—"))</f>
        <v/>
      </c>
      <c r="I238" s="27">
        <f>IF($C238="","",IFERROR(INDEX(ENVIOS!$G$4:$G$3003,MATCH($C238,ENVIOS!$A$4:$A$3003,0)),"—"))</f>
        <v/>
      </c>
      <c r="J238" s="48">
        <f>IF($C238="","",IFERROR(INDEX(ENVIOS!$B$4:$B$3003,MATCH($C238,ENVIOS!$A$4:$A$3003,0)),""))</f>
        <v/>
      </c>
      <c r="K238" s="49" t="n"/>
      <c r="L238" s="27">
        <f>IF($K238="","",IFERROR(INDEX(CONFIG!$B$4:$B$43,MATCH($K238,CONFIG!$A$4:$A$43,0)),"Media"))</f>
        <v/>
      </c>
      <c r="M238" s="27">
        <f>IF($K238="","",IFERROR(INDEX(CONFIG!$D$4:$D$43,MATCH($K238,CONFIG!$A$4:$A$43,0)),"NO"))</f>
        <v/>
      </c>
      <c r="N238" s="49" t="n"/>
      <c r="O238" s="27">
        <f>IF($N238="","",IFERROR(INDEX(CONFIG!$G$4:$G$43,MATCH($N238,CONFIG!$F$4:$F$43,0)),"Por definir"))</f>
        <v/>
      </c>
      <c r="P238" s="27">
        <f>IF($N238="","",IFERROR(INDEX(CONFIG!$H$4:$H$43,MATCH($N238,CONFIG!$F$4:$F$43,0)),"Por definir"))</f>
        <v/>
      </c>
      <c r="Q238" s="50" t="n"/>
      <c r="R238" s="51" t="n"/>
      <c r="S238" s="49" t="n"/>
      <c r="T238" s="49" t="n"/>
      <c r="U238" s="48">
        <f>IF(OR($B238="",$K238=""),"",WORKDAY($B238,IFERROR(INDEX(CONFIG!$C$4:$C$43,MATCH($K238,CONFIG!$A$4:$A$43,0)),3)))</f>
        <v/>
      </c>
      <c r="V238" s="46" t="n"/>
      <c r="W238" s="23">
        <f>IF($B238="","",IF($V238&lt;&gt;"",$V238-$B238,TODAY()-$B238))</f>
        <v/>
      </c>
      <c r="X238" s="27">
        <f>IF($C238="","",IF(IFERROR(INDEX(CONFIG!$K$4:$K$43,MATCH($S238,CONFIG!$J$4:$J$43,0)),"NO")="SÍ",IF(OR($V238="",$U238=""),"Resuelta",IF($V238&gt;$U238,"Resuelta tarde","Resuelta a tiempo")),IF($U238="","Sin clasificar",IF(TODAY()&gt;$U238,"Vencida",IF(TODAY()&gt;=$U238-1,"Por vencer","En plazo")))))</f>
        <v/>
      </c>
      <c r="Y238" s="49" t="n"/>
      <c r="Z238" s="49" t="n"/>
    </row>
    <row r="239" ht="16" customHeight="1">
      <c r="A239" s="27">
        <f>IF($C239="","","N-"&amp;TEXT(ROW()-3,"0000"))</f>
        <v/>
      </c>
      <c r="B239" s="46" t="n"/>
      <c r="C239" s="47" t="n"/>
      <c r="D239" s="27">
        <f>IF($C239="","",IF(COUNTIFS(ENVIOS!$A$4:$A$3003,$C239)=0,"NO EXISTE",IF(COUNTIFS(ENVIOS!$A$4:$A$3003,$C239)&gt;1,"DUPLICADA","OK")))</f>
        <v/>
      </c>
      <c r="E239" s="22">
        <f>IF($C239="","",IFERROR(INDEX(ENVIOS!$C$4:$C$3003,MATCH($C239,ENVIOS!$A$4:$A$3003,0)),"—"))</f>
        <v/>
      </c>
      <c r="F239" s="22">
        <f>IF($C239="","",IFERROR(INDEX(ENVIOS!$D$4:$D$3003,MATCH($C239,ENVIOS!$A$4:$A$3003,0)),"—"))</f>
        <v/>
      </c>
      <c r="G239" s="22">
        <f>IF($C239="","",IFERROR(INDEX(ENVIOS!$E$4:$E$3003,MATCH($C239,ENVIOS!$A$4:$A$3003,0)),"—"))</f>
        <v/>
      </c>
      <c r="H239" s="22">
        <f>IF($C239="","",IFERROR(INDEX(ENVIOS!$F$4:$F$3003,MATCH($C239,ENVIOS!$A$4:$A$3003,0)),"—"))</f>
        <v/>
      </c>
      <c r="I239" s="27">
        <f>IF($C239="","",IFERROR(INDEX(ENVIOS!$G$4:$G$3003,MATCH($C239,ENVIOS!$A$4:$A$3003,0)),"—"))</f>
        <v/>
      </c>
      <c r="J239" s="48">
        <f>IF($C239="","",IFERROR(INDEX(ENVIOS!$B$4:$B$3003,MATCH($C239,ENVIOS!$A$4:$A$3003,0)),""))</f>
        <v/>
      </c>
      <c r="K239" s="49" t="n"/>
      <c r="L239" s="27">
        <f>IF($K239="","",IFERROR(INDEX(CONFIG!$B$4:$B$43,MATCH($K239,CONFIG!$A$4:$A$43,0)),"Media"))</f>
        <v/>
      </c>
      <c r="M239" s="27">
        <f>IF($K239="","",IFERROR(INDEX(CONFIG!$D$4:$D$43,MATCH($K239,CONFIG!$A$4:$A$43,0)),"NO"))</f>
        <v/>
      </c>
      <c r="N239" s="49" t="n"/>
      <c r="O239" s="27">
        <f>IF($N239="","",IFERROR(INDEX(CONFIG!$G$4:$G$43,MATCH($N239,CONFIG!$F$4:$F$43,0)),"Por definir"))</f>
        <v/>
      </c>
      <c r="P239" s="27">
        <f>IF($N239="","",IFERROR(INDEX(CONFIG!$H$4:$H$43,MATCH($N239,CONFIG!$F$4:$F$43,0)),"Por definir"))</f>
        <v/>
      </c>
      <c r="Q239" s="50" t="n"/>
      <c r="R239" s="51" t="n"/>
      <c r="S239" s="49" t="n"/>
      <c r="T239" s="49" t="n"/>
      <c r="U239" s="48">
        <f>IF(OR($B239="",$K239=""),"",WORKDAY($B239,IFERROR(INDEX(CONFIG!$C$4:$C$43,MATCH($K239,CONFIG!$A$4:$A$43,0)),3)))</f>
        <v/>
      </c>
      <c r="V239" s="46" t="n"/>
      <c r="W239" s="23">
        <f>IF($B239="","",IF($V239&lt;&gt;"",$V239-$B239,TODAY()-$B239))</f>
        <v/>
      </c>
      <c r="X239" s="27">
        <f>IF($C239="","",IF(IFERROR(INDEX(CONFIG!$K$4:$K$43,MATCH($S239,CONFIG!$J$4:$J$43,0)),"NO")="SÍ",IF(OR($V239="",$U239=""),"Resuelta",IF($V239&gt;$U239,"Resuelta tarde","Resuelta a tiempo")),IF($U239="","Sin clasificar",IF(TODAY()&gt;$U239,"Vencida",IF(TODAY()&gt;=$U239-1,"Por vencer","En plazo")))))</f>
        <v/>
      </c>
      <c r="Y239" s="49" t="n"/>
      <c r="Z239" s="49" t="n"/>
    </row>
    <row r="240" ht="16" customHeight="1">
      <c r="A240" s="27">
        <f>IF($C240="","","N-"&amp;TEXT(ROW()-3,"0000"))</f>
        <v/>
      </c>
      <c r="B240" s="46" t="n"/>
      <c r="C240" s="47" t="n"/>
      <c r="D240" s="27">
        <f>IF($C240="","",IF(COUNTIFS(ENVIOS!$A$4:$A$3003,$C240)=0,"NO EXISTE",IF(COUNTIFS(ENVIOS!$A$4:$A$3003,$C240)&gt;1,"DUPLICADA","OK")))</f>
        <v/>
      </c>
      <c r="E240" s="22">
        <f>IF($C240="","",IFERROR(INDEX(ENVIOS!$C$4:$C$3003,MATCH($C240,ENVIOS!$A$4:$A$3003,0)),"—"))</f>
        <v/>
      </c>
      <c r="F240" s="22">
        <f>IF($C240="","",IFERROR(INDEX(ENVIOS!$D$4:$D$3003,MATCH($C240,ENVIOS!$A$4:$A$3003,0)),"—"))</f>
        <v/>
      </c>
      <c r="G240" s="22">
        <f>IF($C240="","",IFERROR(INDEX(ENVIOS!$E$4:$E$3003,MATCH($C240,ENVIOS!$A$4:$A$3003,0)),"—"))</f>
        <v/>
      </c>
      <c r="H240" s="22">
        <f>IF($C240="","",IFERROR(INDEX(ENVIOS!$F$4:$F$3003,MATCH($C240,ENVIOS!$A$4:$A$3003,0)),"—"))</f>
        <v/>
      </c>
      <c r="I240" s="27">
        <f>IF($C240="","",IFERROR(INDEX(ENVIOS!$G$4:$G$3003,MATCH($C240,ENVIOS!$A$4:$A$3003,0)),"—"))</f>
        <v/>
      </c>
      <c r="J240" s="48">
        <f>IF($C240="","",IFERROR(INDEX(ENVIOS!$B$4:$B$3003,MATCH($C240,ENVIOS!$A$4:$A$3003,0)),""))</f>
        <v/>
      </c>
      <c r="K240" s="49" t="n"/>
      <c r="L240" s="27">
        <f>IF($K240="","",IFERROR(INDEX(CONFIG!$B$4:$B$43,MATCH($K240,CONFIG!$A$4:$A$43,0)),"Media"))</f>
        <v/>
      </c>
      <c r="M240" s="27">
        <f>IF($K240="","",IFERROR(INDEX(CONFIG!$D$4:$D$43,MATCH($K240,CONFIG!$A$4:$A$43,0)),"NO"))</f>
        <v/>
      </c>
      <c r="N240" s="49" t="n"/>
      <c r="O240" s="27">
        <f>IF($N240="","",IFERROR(INDEX(CONFIG!$G$4:$G$43,MATCH($N240,CONFIG!$F$4:$F$43,0)),"Por definir"))</f>
        <v/>
      </c>
      <c r="P240" s="27">
        <f>IF($N240="","",IFERROR(INDEX(CONFIG!$H$4:$H$43,MATCH($N240,CONFIG!$F$4:$F$43,0)),"Por definir"))</f>
        <v/>
      </c>
      <c r="Q240" s="50" t="n"/>
      <c r="R240" s="51" t="n"/>
      <c r="S240" s="49" t="n"/>
      <c r="T240" s="49" t="n"/>
      <c r="U240" s="48">
        <f>IF(OR($B240="",$K240=""),"",WORKDAY($B240,IFERROR(INDEX(CONFIG!$C$4:$C$43,MATCH($K240,CONFIG!$A$4:$A$43,0)),3)))</f>
        <v/>
      </c>
      <c r="V240" s="46" t="n"/>
      <c r="W240" s="23">
        <f>IF($B240="","",IF($V240&lt;&gt;"",$V240-$B240,TODAY()-$B240))</f>
        <v/>
      </c>
      <c r="X240" s="27">
        <f>IF($C240="","",IF(IFERROR(INDEX(CONFIG!$K$4:$K$43,MATCH($S240,CONFIG!$J$4:$J$43,0)),"NO")="SÍ",IF(OR($V240="",$U240=""),"Resuelta",IF($V240&gt;$U240,"Resuelta tarde","Resuelta a tiempo")),IF($U240="","Sin clasificar",IF(TODAY()&gt;$U240,"Vencida",IF(TODAY()&gt;=$U240-1,"Por vencer","En plazo")))))</f>
        <v/>
      </c>
      <c r="Y240" s="49" t="n"/>
      <c r="Z240" s="49" t="n"/>
    </row>
    <row r="241" ht="16" customHeight="1">
      <c r="A241" s="27">
        <f>IF($C241="","","N-"&amp;TEXT(ROW()-3,"0000"))</f>
        <v/>
      </c>
      <c r="B241" s="46" t="n"/>
      <c r="C241" s="47" t="n"/>
      <c r="D241" s="27">
        <f>IF($C241="","",IF(COUNTIFS(ENVIOS!$A$4:$A$3003,$C241)=0,"NO EXISTE",IF(COUNTIFS(ENVIOS!$A$4:$A$3003,$C241)&gt;1,"DUPLICADA","OK")))</f>
        <v/>
      </c>
      <c r="E241" s="22">
        <f>IF($C241="","",IFERROR(INDEX(ENVIOS!$C$4:$C$3003,MATCH($C241,ENVIOS!$A$4:$A$3003,0)),"—"))</f>
        <v/>
      </c>
      <c r="F241" s="22">
        <f>IF($C241="","",IFERROR(INDEX(ENVIOS!$D$4:$D$3003,MATCH($C241,ENVIOS!$A$4:$A$3003,0)),"—"))</f>
        <v/>
      </c>
      <c r="G241" s="22">
        <f>IF($C241="","",IFERROR(INDEX(ENVIOS!$E$4:$E$3003,MATCH($C241,ENVIOS!$A$4:$A$3003,0)),"—"))</f>
        <v/>
      </c>
      <c r="H241" s="22">
        <f>IF($C241="","",IFERROR(INDEX(ENVIOS!$F$4:$F$3003,MATCH($C241,ENVIOS!$A$4:$A$3003,0)),"—"))</f>
        <v/>
      </c>
      <c r="I241" s="27">
        <f>IF($C241="","",IFERROR(INDEX(ENVIOS!$G$4:$G$3003,MATCH($C241,ENVIOS!$A$4:$A$3003,0)),"—"))</f>
        <v/>
      </c>
      <c r="J241" s="48">
        <f>IF($C241="","",IFERROR(INDEX(ENVIOS!$B$4:$B$3003,MATCH($C241,ENVIOS!$A$4:$A$3003,0)),""))</f>
        <v/>
      </c>
      <c r="K241" s="49" t="n"/>
      <c r="L241" s="27">
        <f>IF($K241="","",IFERROR(INDEX(CONFIG!$B$4:$B$43,MATCH($K241,CONFIG!$A$4:$A$43,0)),"Media"))</f>
        <v/>
      </c>
      <c r="M241" s="27">
        <f>IF($K241="","",IFERROR(INDEX(CONFIG!$D$4:$D$43,MATCH($K241,CONFIG!$A$4:$A$43,0)),"NO"))</f>
        <v/>
      </c>
      <c r="N241" s="49" t="n"/>
      <c r="O241" s="27">
        <f>IF($N241="","",IFERROR(INDEX(CONFIG!$G$4:$G$43,MATCH($N241,CONFIG!$F$4:$F$43,0)),"Por definir"))</f>
        <v/>
      </c>
      <c r="P241" s="27">
        <f>IF($N241="","",IFERROR(INDEX(CONFIG!$H$4:$H$43,MATCH($N241,CONFIG!$F$4:$F$43,0)),"Por definir"))</f>
        <v/>
      </c>
      <c r="Q241" s="50" t="n"/>
      <c r="R241" s="51" t="n"/>
      <c r="S241" s="49" t="n"/>
      <c r="T241" s="49" t="n"/>
      <c r="U241" s="48">
        <f>IF(OR($B241="",$K241=""),"",WORKDAY($B241,IFERROR(INDEX(CONFIG!$C$4:$C$43,MATCH($K241,CONFIG!$A$4:$A$43,0)),3)))</f>
        <v/>
      </c>
      <c r="V241" s="46" t="n"/>
      <c r="W241" s="23">
        <f>IF($B241="","",IF($V241&lt;&gt;"",$V241-$B241,TODAY()-$B241))</f>
        <v/>
      </c>
      <c r="X241" s="27">
        <f>IF($C241="","",IF(IFERROR(INDEX(CONFIG!$K$4:$K$43,MATCH($S241,CONFIG!$J$4:$J$43,0)),"NO")="SÍ",IF(OR($V241="",$U241=""),"Resuelta",IF($V241&gt;$U241,"Resuelta tarde","Resuelta a tiempo")),IF($U241="","Sin clasificar",IF(TODAY()&gt;$U241,"Vencida",IF(TODAY()&gt;=$U241-1,"Por vencer","En plazo")))))</f>
        <v/>
      </c>
      <c r="Y241" s="49" t="n"/>
      <c r="Z241" s="49" t="n"/>
    </row>
    <row r="242" ht="16" customHeight="1">
      <c r="A242" s="27">
        <f>IF($C242="","","N-"&amp;TEXT(ROW()-3,"0000"))</f>
        <v/>
      </c>
      <c r="B242" s="46" t="n"/>
      <c r="C242" s="47" t="n"/>
      <c r="D242" s="27">
        <f>IF($C242="","",IF(COUNTIFS(ENVIOS!$A$4:$A$3003,$C242)=0,"NO EXISTE",IF(COUNTIFS(ENVIOS!$A$4:$A$3003,$C242)&gt;1,"DUPLICADA","OK")))</f>
        <v/>
      </c>
      <c r="E242" s="22">
        <f>IF($C242="","",IFERROR(INDEX(ENVIOS!$C$4:$C$3003,MATCH($C242,ENVIOS!$A$4:$A$3003,0)),"—"))</f>
        <v/>
      </c>
      <c r="F242" s="22">
        <f>IF($C242="","",IFERROR(INDEX(ENVIOS!$D$4:$D$3003,MATCH($C242,ENVIOS!$A$4:$A$3003,0)),"—"))</f>
        <v/>
      </c>
      <c r="G242" s="22">
        <f>IF($C242="","",IFERROR(INDEX(ENVIOS!$E$4:$E$3003,MATCH($C242,ENVIOS!$A$4:$A$3003,0)),"—"))</f>
        <v/>
      </c>
      <c r="H242" s="22">
        <f>IF($C242="","",IFERROR(INDEX(ENVIOS!$F$4:$F$3003,MATCH($C242,ENVIOS!$A$4:$A$3003,0)),"—"))</f>
        <v/>
      </c>
      <c r="I242" s="27">
        <f>IF($C242="","",IFERROR(INDEX(ENVIOS!$G$4:$G$3003,MATCH($C242,ENVIOS!$A$4:$A$3003,0)),"—"))</f>
        <v/>
      </c>
      <c r="J242" s="48">
        <f>IF($C242="","",IFERROR(INDEX(ENVIOS!$B$4:$B$3003,MATCH($C242,ENVIOS!$A$4:$A$3003,0)),""))</f>
        <v/>
      </c>
      <c r="K242" s="49" t="n"/>
      <c r="L242" s="27">
        <f>IF($K242="","",IFERROR(INDEX(CONFIG!$B$4:$B$43,MATCH($K242,CONFIG!$A$4:$A$43,0)),"Media"))</f>
        <v/>
      </c>
      <c r="M242" s="27">
        <f>IF($K242="","",IFERROR(INDEX(CONFIG!$D$4:$D$43,MATCH($K242,CONFIG!$A$4:$A$43,0)),"NO"))</f>
        <v/>
      </c>
      <c r="N242" s="49" t="n"/>
      <c r="O242" s="27">
        <f>IF($N242="","",IFERROR(INDEX(CONFIG!$G$4:$G$43,MATCH($N242,CONFIG!$F$4:$F$43,0)),"Por definir"))</f>
        <v/>
      </c>
      <c r="P242" s="27">
        <f>IF($N242="","",IFERROR(INDEX(CONFIG!$H$4:$H$43,MATCH($N242,CONFIG!$F$4:$F$43,0)),"Por definir"))</f>
        <v/>
      </c>
      <c r="Q242" s="50" t="n"/>
      <c r="R242" s="51" t="n"/>
      <c r="S242" s="49" t="n"/>
      <c r="T242" s="49" t="n"/>
      <c r="U242" s="48">
        <f>IF(OR($B242="",$K242=""),"",WORKDAY($B242,IFERROR(INDEX(CONFIG!$C$4:$C$43,MATCH($K242,CONFIG!$A$4:$A$43,0)),3)))</f>
        <v/>
      </c>
      <c r="V242" s="46" t="n"/>
      <c r="W242" s="23">
        <f>IF($B242="","",IF($V242&lt;&gt;"",$V242-$B242,TODAY()-$B242))</f>
        <v/>
      </c>
      <c r="X242" s="27">
        <f>IF($C242="","",IF(IFERROR(INDEX(CONFIG!$K$4:$K$43,MATCH($S242,CONFIG!$J$4:$J$43,0)),"NO")="SÍ",IF(OR($V242="",$U242=""),"Resuelta",IF($V242&gt;$U242,"Resuelta tarde","Resuelta a tiempo")),IF($U242="","Sin clasificar",IF(TODAY()&gt;$U242,"Vencida",IF(TODAY()&gt;=$U242-1,"Por vencer","En plazo")))))</f>
        <v/>
      </c>
      <c r="Y242" s="49" t="n"/>
      <c r="Z242" s="49" t="n"/>
    </row>
    <row r="243" ht="16" customHeight="1">
      <c r="A243" s="27">
        <f>IF($C243="","","N-"&amp;TEXT(ROW()-3,"0000"))</f>
        <v/>
      </c>
      <c r="B243" s="46" t="n"/>
      <c r="C243" s="47" t="n"/>
      <c r="D243" s="27">
        <f>IF($C243="","",IF(COUNTIFS(ENVIOS!$A$4:$A$3003,$C243)=0,"NO EXISTE",IF(COUNTIFS(ENVIOS!$A$4:$A$3003,$C243)&gt;1,"DUPLICADA","OK")))</f>
        <v/>
      </c>
      <c r="E243" s="22">
        <f>IF($C243="","",IFERROR(INDEX(ENVIOS!$C$4:$C$3003,MATCH($C243,ENVIOS!$A$4:$A$3003,0)),"—"))</f>
        <v/>
      </c>
      <c r="F243" s="22">
        <f>IF($C243="","",IFERROR(INDEX(ENVIOS!$D$4:$D$3003,MATCH($C243,ENVIOS!$A$4:$A$3003,0)),"—"))</f>
        <v/>
      </c>
      <c r="G243" s="22">
        <f>IF($C243="","",IFERROR(INDEX(ENVIOS!$E$4:$E$3003,MATCH($C243,ENVIOS!$A$4:$A$3003,0)),"—"))</f>
        <v/>
      </c>
      <c r="H243" s="22">
        <f>IF($C243="","",IFERROR(INDEX(ENVIOS!$F$4:$F$3003,MATCH($C243,ENVIOS!$A$4:$A$3003,0)),"—"))</f>
        <v/>
      </c>
      <c r="I243" s="27">
        <f>IF($C243="","",IFERROR(INDEX(ENVIOS!$G$4:$G$3003,MATCH($C243,ENVIOS!$A$4:$A$3003,0)),"—"))</f>
        <v/>
      </c>
      <c r="J243" s="48">
        <f>IF($C243="","",IFERROR(INDEX(ENVIOS!$B$4:$B$3003,MATCH($C243,ENVIOS!$A$4:$A$3003,0)),""))</f>
        <v/>
      </c>
      <c r="K243" s="49" t="n"/>
      <c r="L243" s="27">
        <f>IF($K243="","",IFERROR(INDEX(CONFIG!$B$4:$B$43,MATCH($K243,CONFIG!$A$4:$A$43,0)),"Media"))</f>
        <v/>
      </c>
      <c r="M243" s="27">
        <f>IF($K243="","",IFERROR(INDEX(CONFIG!$D$4:$D$43,MATCH($K243,CONFIG!$A$4:$A$43,0)),"NO"))</f>
        <v/>
      </c>
      <c r="N243" s="49" t="n"/>
      <c r="O243" s="27">
        <f>IF($N243="","",IFERROR(INDEX(CONFIG!$G$4:$G$43,MATCH($N243,CONFIG!$F$4:$F$43,0)),"Por definir"))</f>
        <v/>
      </c>
      <c r="P243" s="27">
        <f>IF($N243="","",IFERROR(INDEX(CONFIG!$H$4:$H$43,MATCH($N243,CONFIG!$F$4:$F$43,0)),"Por definir"))</f>
        <v/>
      </c>
      <c r="Q243" s="50" t="n"/>
      <c r="R243" s="51" t="n"/>
      <c r="S243" s="49" t="n"/>
      <c r="T243" s="49" t="n"/>
      <c r="U243" s="48">
        <f>IF(OR($B243="",$K243=""),"",WORKDAY($B243,IFERROR(INDEX(CONFIG!$C$4:$C$43,MATCH($K243,CONFIG!$A$4:$A$43,0)),3)))</f>
        <v/>
      </c>
      <c r="V243" s="46" t="n"/>
      <c r="W243" s="23">
        <f>IF($B243="","",IF($V243&lt;&gt;"",$V243-$B243,TODAY()-$B243))</f>
        <v/>
      </c>
      <c r="X243" s="27">
        <f>IF($C243="","",IF(IFERROR(INDEX(CONFIG!$K$4:$K$43,MATCH($S243,CONFIG!$J$4:$J$43,0)),"NO")="SÍ",IF(OR($V243="",$U243=""),"Resuelta",IF($V243&gt;$U243,"Resuelta tarde","Resuelta a tiempo")),IF($U243="","Sin clasificar",IF(TODAY()&gt;$U243,"Vencida",IF(TODAY()&gt;=$U243-1,"Por vencer","En plazo")))))</f>
        <v/>
      </c>
      <c r="Y243" s="49" t="n"/>
      <c r="Z243" s="49" t="n"/>
    </row>
    <row r="244" ht="16" customHeight="1">
      <c r="A244" s="27">
        <f>IF($C244="","","N-"&amp;TEXT(ROW()-3,"0000"))</f>
        <v/>
      </c>
      <c r="B244" s="46" t="n"/>
      <c r="C244" s="47" t="n"/>
      <c r="D244" s="27">
        <f>IF($C244="","",IF(COUNTIFS(ENVIOS!$A$4:$A$3003,$C244)=0,"NO EXISTE",IF(COUNTIFS(ENVIOS!$A$4:$A$3003,$C244)&gt;1,"DUPLICADA","OK")))</f>
        <v/>
      </c>
      <c r="E244" s="22">
        <f>IF($C244="","",IFERROR(INDEX(ENVIOS!$C$4:$C$3003,MATCH($C244,ENVIOS!$A$4:$A$3003,0)),"—"))</f>
        <v/>
      </c>
      <c r="F244" s="22">
        <f>IF($C244="","",IFERROR(INDEX(ENVIOS!$D$4:$D$3003,MATCH($C244,ENVIOS!$A$4:$A$3003,0)),"—"))</f>
        <v/>
      </c>
      <c r="G244" s="22">
        <f>IF($C244="","",IFERROR(INDEX(ENVIOS!$E$4:$E$3003,MATCH($C244,ENVIOS!$A$4:$A$3003,0)),"—"))</f>
        <v/>
      </c>
      <c r="H244" s="22">
        <f>IF($C244="","",IFERROR(INDEX(ENVIOS!$F$4:$F$3003,MATCH($C244,ENVIOS!$A$4:$A$3003,0)),"—"))</f>
        <v/>
      </c>
      <c r="I244" s="27">
        <f>IF($C244="","",IFERROR(INDEX(ENVIOS!$G$4:$G$3003,MATCH($C244,ENVIOS!$A$4:$A$3003,0)),"—"))</f>
        <v/>
      </c>
      <c r="J244" s="48">
        <f>IF($C244="","",IFERROR(INDEX(ENVIOS!$B$4:$B$3003,MATCH($C244,ENVIOS!$A$4:$A$3003,0)),""))</f>
        <v/>
      </c>
      <c r="K244" s="49" t="n"/>
      <c r="L244" s="27">
        <f>IF($K244="","",IFERROR(INDEX(CONFIG!$B$4:$B$43,MATCH($K244,CONFIG!$A$4:$A$43,0)),"Media"))</f>
        <v/>
      </c>
      <c r="M244" s="27">
        <f>IF($K244="","",IFERROR(INDEX(CONFIG!$D$4:$D$43,MATCH($K244,CONFIG!$A$4:$A$43,0)),"NO"))</f>
        <v/>
      </c>
      <c r="N244" s="49" t="n"/>
      <c r="O244" s="27">
        <f>IF($N244="","",IFERROR(INDEX(CONFIG!$G$4:$G$43,MATCH($N244,CONFIG!$F$4:$F$43,0)),"Por definir"))</f>
        <v/>
      </c>
      <c r="P244" s="27">
        <f>IF($N244="","",IFERROR(INDEX(CONFIG!$H$4:$H$43,MATCH($N244,CONFIG!$F$4:$F$43,0)),"Por definir"))</f>
        <v/>
      </c>
      <c r="Q244" s="50" t="n"/>
      <c r="R244" s="51" t="n"/>
      <c r="S244" s="49" t="n"/>
      <c r="T244" s="49" t="n"/>
      <c r="U244" s="48">
        <f>IF(OR($B244="",$K244=""),"",WORKDAY($B244,IFERROR(INDEX(CONFIG!$C$4:$C$43,MATCH($K244,CONFIG!$A$4:$A$43,0)),3)))</f>
        <v/>
      </c>
      <c r="V244" s="46" t="n"/>
      <c r="W244" s="23">
        <f>IF($B244="","",IF($V244&lt;&gt;"",$V244-$B244,TODAY()-$B244))</f>
        <v/>
      </c>
      <c r="X244" s="27">
        <f>IF($C244="","",IF(IFERROR(INDEX(CONFIG!$K$4:$K$43,MATCH($S244,CONFIG!$J$4:$J$43,0)),"NO")="SÍ",IF(OR($V244="",$U244=""),"Resuelta",IF($V244&gt;$U244,"Resuelta tarde","Resuelta a tiempo")),IF($U244="","Sin clasificar",IF(TODAY()&gt;$U244,"Vencida",IF(TODAY()&gt;=$U244-1,"Por vencer","En plazo")))))</f>
        <v/>
      </c>
      <c r="Y244" s="49" t="n"/>
      <c r="Z244" s="49" t="n"/>
    </row>
    <row r="245" ht="16" customHeight="1">
      <c r="A245" s="27">
        <f>IF($C245="","","N-"&amp;TEXT(ROW()-3,"0000"))</f>
        <v/>
      </c>
      <c r="B245" s="46" t="n"/>
      <c r="C245" s="47" t="n"/>
      <c r="D245" s="27">
        <f>IF($C245="","",IF(COUNTIFS(ENVIOS!$A$4:$A$3003,$C245)=0,"NO EXISTE",IF(COUNTIFS(ENVIOS!$A$4:$A$3003,$C245)&gt;1,"DUPLICADA","OK")))</f>
        <v/>
      </c>
      <c r="E245" s="22">
        <f>IF($C245="","",IFERROR(INDEX(ENVIOS!$C$4:$C$3003,MATCH($C245,ENVIOS!$A$4:$A$3003,0)),"—"))</f>
        <v/>
      </c>
      <c r="F245" s="22">
        <f>IF($C245="","",IFERROR(INDEX(ENVIOS!$D$4:$D$3003,MATCH($C245,ENVIOS!$A$4:$A$3003,0)),"—"))</f>
        <v/>
      </c>
      <c r="G245" s="22">
        <f>IF($C245="","",IFERROR(INDEX(ENVIOS!$E$4:$E$3003,MATCH($C245,ENVIOS!$A$4:$A$3003,0)),"—"))</f>
        <v/>
      </c>
      <c r="H245" s="22">
        <f>IF($C245="","",IFERROR(INDEX(ENVIOS!$F$4:$F$3003,MATCH($C245,ENVIOS!$A$4:$A$3003,0)),"—"))</f>
        <v/>
      </c>
      <c r="I245" s="27">
        <f>IF($C245="","",IFERROR(INDEX(ENVIOS!$G$4:$G$3003,MATCH($C245,ENVIOS!$A$4:$A$3003,0)),"—"))</f>
        <v/>
      </c>
      <c r="J245" s="48">
        <f>IF($C245="","",IFERROR(INDEX(ENVIOS!$B$4:$B$3003,MATCH($C245,ENVIOS!$A$4:$A$3003,0)),""))</f>
        <v/>
      </c>
      <c r="K245" s="49" t="n"/>
      <c r="L245" s="27">
        <f>IF($K245="","",IFERROR(INDEX(CONFIG!$B$4:$B$43,MATCH($K245,CONFIG!$A$4:$A$43,0)),"Media"))</f>
        <v/>
      </c>
      <c r="M245" s="27">
        <f>IF($K245="","",IFERROR(INDEX(CONFIG!$D$4:$D$43,MATCH($K245,CONFIG!$A$4:$A$43,0)),"NO"))</f>
        <v/>
      </c>
      <c r="N245" s="49" t="n"/>
      <c r="O245" s="27">
        <f>IF($N245="","",IFERROR(INDEX(CONFIG!$G$4:$G$43,MATCH($N245,CONFIG!$F$4:$F$43,0)),"Por definir"))</f>
        <v/>
      </c>
      <c r="P245" s="27">
        <f>IF($N245="","",IFERROR(INDEX(CONFIG!$H$4:$H$43,MATCH($N245,CONFIG!$F$4:$F$43,0)),"Por definir"))</f>
        <v/>
      </c>
      <c r="Q245" s="50" t="n"/>
      <c r="R245" s="51" t="n"/>
      <c r="S245" s="49" t="n"/>
      <c r="T245" s="49" t="n"/>
      <c r="U245" s="48">
        <f>IF(OR($B245="",$K245=""),"",WORKDAY($B245,IFERROR(INDEX(CONFIG!$C$4:$C$43,MATCH($K245,CONFIG!$A$4:$A$43,0)),3)))</f>
        <v/>
      </c>
      <c r="V245" s="46" t="n"/>
      <c r="W245" s="23">
        <f>IF($B245="","",IF($V245&lt;&gt;"",$V245-$B245,TODAY()-$B245))</f>
        <v/>
      </c>
      <c r="X245" s="27">
        <f>IF($C245="","",IF(IFERROR(INDEX(CONFIG!$K$4:$K$43,MATCH($S245,CONFIG!$J$4:$J$43,0)),"NO")="SÍ",IF(OR($V245="",$U245=""),"Resuelta",IF($V245&gt;$U245,"Resuelta tarde","Resuelta a tiempo")),IF($U245="","Sin clasificar",IF(TODAY()&gt;$U245,"Vencida",IF(TODAY()&gt;=$U245-1,"Por vencer","En plazo")))))</f>
        <v/>
      </c>
      <c r="Y245" s="49" t="n"/>
      <c r="Z245" s="49" t="n"/>
    </row>
    <row r="246" ht="16" customHeight="1">
      <c r="A246" s="27">
        <f>IF($C246="","","N-"&amp;TEXT(ROW()-3,"0000"))</f>
        <v/>
      </c>
      <c r="B246" s="46" t="n"/>
      <c r="C246" s="47" t="n"/>
      <c r="D246" s="27">
        <f>IF($C246="","",IF(COUNTIFS(ENVIOS!$A$4:$A$3003,$C246)=0,"NO EXISTE",IF(COUNTIFS(ENVIOS!$A$4:$A$3003,$C246)&gt;1,"DUPLICADA","OK")))</f>
        <v/>
      </c>
      <c r="E246" s="22">
        <f>IF($C246="","",IFERROR(INDEX(ENVIOS!$C$4:$C$3003,MATCH($C246,ENVIOS!$A$4:$A$3003,0)),"—"))</f>
        <v/>
      </c>
      <c r="F246" s="22">
        <f>IF($C246="","",IFERROR(INDEX(ENVIOS!$D$4:$D$3003,MATCH($C246,ENVIOS!$A$4:$A$3003,0)),"—"))</f>
        <v/>
      </c>
      <c r="G246" s="22">
        <f>IF($C246="","",IFERROR(INDEX(ENVIOS!$E$4:$E$3003,MATCH($C246,ENVIOS!$A$4:$A$3003,0)),"—"))</f>
        <v/>
      </c>
      <c r="H246" s="22">
        <f>IF($C246="","",IFERROR(INDEX(ENVIOS!$F$4:$F$3003,MATCH($C246,ENVIOS!$A$4:$A$3003,0)),"—"))</f>
        <v/>
      </c>
      <c r="I246" s="27">
        <f>IF($C246="","",IFERROR(INDEX(ENVIOS!$G$4:$G$3003,MATCH($C246,ENVIOS!$A$4:$A$3003,0)),"—"))</f>
        <v/>
      </c>
      <c r="J246" s="48">
        <f>IF($C246="","",IFERROR(INDEX(ENVIOS!$B$4:$B$3003,MATCH($C246,ENVIOS!$A$4:$A$3003,0)),""))</f>
        <v/>
      </c>
      <c r="K246" s="49" t="n"/>
      <c r="L246" s="27">
        <f>IF($K246="","",IFERROR(INDEX(CONFIG!$B$4:$B$43,MATCH($K246,CONFIG!$A$4:$A$43,0)),"Media"))</f>
        <v/>
      </c>
      <c r="M246" s="27">
        <f>IF($K246="","",IFERROR(INDEX(CONFIG!$D$4:$D$43,MATCH($K246,CONFIG!$A$4:$A$43,0)),"NO"))</f>
        <v/>
      </c>
      <c r="N246" s="49" t="n"/>
      <c r="O246" s="27">
        <f>IF($N246="","",IFERROR(INDEX(CONFIG!$G$4:$G$43,MATCH($N246,CONFIG!$F$4:$F$43,0)),"Por definir"))</f>
        <v/>
      </c>
      <c r="P246" s="27">
        <f>IF($N246="","",IFERROR(INDEX(CONFIG!$H$4:$H$43,MATCH($N246,CONFIG!$F$4:$F$43,0)),"Por definir"))</f>
        <v/>
      </c>
      <c r="Q246" s="50" t="n"/>
      <c r="R246" s="51" t="n"/>
      <c r="S246" s="49" t="n"/>
      <c r="T246" s="49" t="n"/>
      <c r="U246" s="48">
        <f>IF(OR($B246="",$K246=""),"",WORKDAY($B246,IFERROR(INDEX(CONFIG!$C$4:$C$43,MATCH($K246,CONFIG!$A$4:$A$43,0)),3)))</f>
        <v/>
      </c>
      <c r="V246" s="46" t="n"/>
      <c r="W246" s="23">
        <f>IF($B246="","",IF($V246&lt;&gt;"",$V246-$B246,TODAY()-$B246))</f>
        <v/>
      </c>
      <c r="X246" s="27">
        <f>IF($C246="","",IF(IFERROR(INDEX(CONFIG!$K$4:$K$43,MATCH($S246,CONFIG!$J$4:$J$43,0)),"NO")="SÍ",IF(OR($V246="",$U246=""),"Resuelta",IF($V246&gt;$U246,"Resuelta tarde","Resuelta a tiempo")),IF($U246="","Sin clasificar",IF(TODAY()&gt;$U246,"Vencida",IF(TODAY()&gt;=$U246-1,"Por vencer","En plazo")))))</f>
        <v/>
      </c>
      <c r="Y246" s="49" t="n"/>
      <c r="Z246" s="49" t="n"/>
    </row>
    <row r="247" ht="16" customHeight="1">
      <c r="A247" s="27">
        <f>IF($C247="","","N-"&amp;TEXT(ROW()-3,"0000"))</f>
        <v/>
      </c>
      <c r="B247" s="46" t="n"/>
      <c r="C247" s="47" t="n"/>
      <c r="D247" s="27">
        <f>IF($C247="","",IF(COUNTIFS(ENVIOS!$A$4:$A$3003,$C247)=0,"NO EXISTE",IF(COUNTIFS(ENVIOS!$A$4:$A$3003,$C247)&gt;1,"DUPLICADA","OK")))</f>
        <v/>
      </c>
      <c r="E247" s="22">
        <f>IF($C247="","",IFERROR(INDEX(ENVIOS!$C$4:$C$3003,MATCH($C247,ENVIOS!$A$4:$A$3003,0)),"—"))</f>
        <v/>
      </c>
      <c r="F247" s="22">
        <f>IF($C247="","",IFERROR(INDEX(ENVIOS!$D$4:$D$3003,MATCH($C247,ENVIOS!$A$4:$A$3003,0)),"—"))</f>
        <v/>
      </c>
      <c r="G247" s="22">
        <f>IF($C247="","",IFERROR(INDEX(ENVIOS!$E$4:$E$3003,MATCH($C247,ENVIOS!$A$4:$A$3003,0)),"—"))</f>
        <v/>
      </c>
      <c r="H247" s="22">
        <f>IF($C247="","",IFERROR(INDEX(ENVIOS!$F$4:$F$3003,MATCH($C247,ENVIOS!$A$4:$A$3003,0)),"—"))</f>
        <v/>
      </c>
      <c r="I247" s="27">
        <f>IF($C247="","",IFERROR(INDEX(ENVIOS!$G$4:$G$3003,MATCH($C247,ENVIOS!$A$4:$A$3003,0)),"—"))</f>
        <v/>
      </c>
      <c r="J247" s="48">
        <f>IF($C247="","",IFERROR(INDEX(ENVIOS!$B$4:$B$3003,MATCH($C247,ENVIOS!$A$4:$A$3003,0)),""))</f>
        <v/>
      </c>
      <c r="K247" s="49" t="n"/>
      <c r="L247" s="27">
        <f>IF($K247="","",IFERROR(INDEX(CONFIG!$B$4:$B$43,MATCH($K247,CONFIG!$A$4:$A$43,0)),"Media"))</f>
        <v/>
      </c>
      <c r="M247" s="27">
        <f>IF($K247="","",IFERROR(INDEX(CONFIG!$D$4:$D$43,MATCH($K247,CONFIG!$A$4:$A$43,0)),"NO"))</f>
        <v/>
      </c>
      <c r="N247" s="49" t="n"/>
      <c r="O247" s="27">
        <f>IF($N247="","",IFERROR(INDEX(CONFIG!$G$4:$G$43,MATCH($N247,CONFIG!$F$4:$F$43,0)),"Por definir"))</f>
        <v/>
      </c>
      <c r="P247" s="27">
        <f>IF($N247="","",IFERROR(INDEX(CONFIG!$H$4:$H$43,MATCH($N247,CONFIG!$F$4:$F$43,0)),"Por definir"))</f>
        <v/>
      </c>
      <c r="Q247" s="50" t="n"/>
      <c r="R247" s="51" t="n"/>
      <c r="S247" s="49" t="n"/>
      <c r="T247" s="49" t="n"/>
      <c r="U247" s="48">
        <f>IF(OR($B247="",$K247=""),"",WORKDAY($B247,IFERROR(INDEX(CONFIG!$C$4:$C$43,MATCH($K247,CONFIG!$A$4:$A$43,0)),3)))</f>
        <v/>
      </c>
      <c r="V247" s="46" t="n"/>
      <c r="W247" s="23">
        <f>IF($B247="","",IF($V247&lt;&gt;"",$V247-$B247,TODAY()-$B247))</f>
        <v/>
      </c>
      <c r="X247" s="27">
        <f>IF($C247="","",IF(IFERROR(INDEX(CONFIG!$K$4:$K$43,MATCH($S247,CONFIG!$J$4:$J$43,0)),"NO")="SÍ",IF(OR($V247="",$U247=""),"Resuelta",IF($V247&gt;$U247,"Resuelta tarde","Resuelta a tiempo")),IF($U247="","Sin clasificar",IF(TODAY()&gt;$U247,"Vencida",IF(TODAY()&gt;=$U247-1,"Por vencer","En plazo")))))</f>
        <v/>
      </c>
      <c r="Y247" s="49" t="n"/>
      <c r="Z247" s="49" t="n"/>
    </row>
    <row r="248" ht="16" customHeight="1">
      <c r="A248" s="27">
        <f>IF($C248="","","N-"&amp;TEXT(ROW()-3,"0000"))</f>
        <v/>
      </c>
      <c r="B248" s="46" t="n"/>
      <c r="C248" s="47" t="n"/>
      <c r="D248" s="27">
        <f>IF($C248="","",IF(COUNTIFS(ENVIOS!$A$4:$A$3003,$C248)=0,"NO EXISTE",IF(COUNTIFS(ENVIOS!$A$4:$A$3003,$C248)&gt;1,"DUPLICADA","OK")))</f>
        <v/>
      </c>
      <c r="E248" s="22">
        <f>IF($C248="","",IFERROR(INDEX(ENVIOS!$C$4:$C$3003,MATCH($C248,ENVIOS!$A$4:$A$3003,0)),"—"))</f>
        <v/>
      </c>
      <c r="F248" s="22">
        <f>IF($C248="","",IFERROR(INDEX(ENVIOS!$D$4:$D$3003,MATCH($C248,ENVIOS!$A$4:$A$3003,0)),"—"))</f>
        <v/>
      </c>
      <c r="G248" s="22">
        <f>IF($C248="","",IFERROR(INDEX(ENVIOS!$E$4:$E$3003,MATCH($C248,ENVIOS!$A$4:$A$3003,0)),"—"))</f>
        <v/>
      </c>
      <c r="H248" s="22">
        <f>IF($C248="","",IFERROR(INDEX(ENVIOS!$F$4:$F$3003,MATCH($C248,ENVIOS!$A$4:$A$3003,0)),"—"))</f>
        <v/>
      </c>
      <c r="I248" s="27">
        <f>IF($C248="","",IFERROR(INDEX(ENVIOS!$G$4:$G$3003,MATCH($C248,ENVIOS!$A$4:$A$3003,0)),"—"))</f>
        <v/>
      </c>
      <c r="J248" s="48">
        <f>IF($C248="","",IFERROR(INDEX(ENVIOS!$B$4:$B$3003,MATCH($C248,ENVIOS!$A$4:$A$3003,0)),""))</f>
        <v/>
      </c>
      <c r="K248" s="49" t="n"/>
      <c r="L248" s="27">
        <f>IF($K248="","",IFERROR(INDEX(CONFIG!$B$4:$B$43,MATCH($K248,CONFIG!$A$4:$A$43,0)),"Media"))</f>
        <v/>
      </c>
      <c r="M248" s="27">
        <f>IF($K248="","",IFERROR(INDEX(CONFIG!$D$4:$D$43,MATCH($K248,CONFIG!$A$4:$A$43,0)),"NO"))</f>
        <v/>
      </c>
      <c r="N248" s="49" t="n"/>
      <c r="O248" s="27">
        <f>IF($N248="","",IFERROR(INDEX(CONFIG!$G$4:$G$43,MATCH($N248,CONFIG!$F$4:$F$43,0)),"Por definir"))</f>
        <v/>
      </c>
      <c r="P248" s="27">
        <f>IF($N248="","",IFERROR(INDEX(CONFIG!$H$4:$H$43,MATCH($N248,CONFIG!$F$4:$F$43,0)),"Por definir"))</f>
        <v/>
      </c>
      <c r="Q248" s="50" t="n"/>
      <c r="R248" s="51" t="n"/>
      <c r="S248" s="49" t="n"/>
      <c r="T248" s="49" t="n"/>
      <c r="U248" s="48">
        <f>IF(OR($B248="",$K248=""),"",WORKDAY($B248,IFERROR(INDEX(CONFIG!$C$4:$C$43,MATCH($K248,CONFIG!$A$4:$A$43,0)),3)))</f>
        <v/>
      </c>
      <c r="V248" s="46" t="n"/>
      <c r="W248" s="23">
        <f>IF($B248="","",IF($V248&lt;&gt;"",$V248-$B248,TODAY()-$B248))</f>
        <v/>
      </c>
      <c r="X248" s="27">
        <f>IF($C248="","",IF(IFERROR(INDEX(CONFIG!$K$4:$K$43,MATCH($S248,CONFIG!$J$4:$J$43,0)),"NO")="SÍ",IF(OR($V248="",$U248=""),"Resuelta",IF($V248&gt;$U248,"Resuelta tarde","Resuelta a tiempo")),IF($U248="","Sin clasificar",IF(TODAY()&gt;$U248,"Vencida",IF(TODAY()&gt;=$U248-1,"Por vencer","En plazo")))))</f>
        <v/>
      </c>
      <c r="Y248" s="49" t="n"/>
      <c r="Z248" s="49" t="n"/>
    </row>
    <row r="249" ht="16" customHeight="1">
      <c r="A249" s="27">
        <f>IF($C249="","","N-"&amp;TEXT(ROW()-3,"0000"))</f>
        <v/>
      </c>
      <c r="B249" s="46" t="n"/>
      <c r="C249" s="47" t="n"/>
      <c r="D249" s="27">
        <f>IF($C249="","",IF(COUNTIFS(ENVIOS!$A$4:$A$3003,$C249)=0,"NO EXISTE",IF(COUNTIFS(ENVIOS!$A$4:$A$3003,$C249)&gt;1,"DUPLICADA","OK")))</f>
        <v/>
      </c>
      <c r="E249" s="22">
        <f>IF($C249="","",IFERROR(INDEX(ENVIOS!$C$4:$C$3003,MATCH($C249,ENVIOS!$A$4:$A$3003,0)),"—"))</f>
        <v/>
      </c>
      <c r="F249" s="22">
        <f>IF($C249="","",IFERROR(INDEX(ENVIOS!$D$4:$D$3003,MATCH($C249,ENVIOS!$A$4:$A$3003,0)),"—"))</f>
        <v/>
      </c>
      <c r="G249" s="22">
        <f>IF($C249="","",IFERROR(INDEX(ENVIOS!$E$4:$E$3003,MATCH($C249,ENVIOS!$A$4:$A$3003,0)),"—"))</f>
        <v/>
      </c>
      <c r="H249" s="22">
        <f>IF($C249="","",IFERROR(INDEX(ENVIOS!$F$4:$F$3003,MATCH($C249,ENVIOS!$A$4:$A$3003,0)),"—"))</f>
        <v/>
      </c>
      <c r="I249" s="27">
        <f>IF($C249="","",IFERROR(INDEX(ENVIOS!$G$4:$G$3003,MATCH($C249,ENVIOS!$A$4:$A$3003,0)),"—"))</f>
        <v/>
      </c>
      <c r="J249" s="48">
        <f>IF($C249="","",IFERROR(INDEX(ENVIOS!$B$4:$B$3003,MATCH($C249,ENVIOS!$A$4:$A$3003,0)),""))</f>
        <v/>
      </c>
      <c r="K249" s="49" t="n"/>
      <c r="L249" s="27">
        <f>IF($K249="","",IFERROR(INDEX(CONFIG!$B$4:$B$43,MATCH($K249,CONFIG!$A$4:$A$43,0)),"Media"))</f>
        <v/>
      </c>
      <c r="M249" s="27">
        <f>IF($K249="","",IFERROR(INDEX(CONFIG!$D$4:$D$43,MATCH($K249,CONFIG!$A$4:$A$43,0)),"NO"))</f>
        <v/>
      </c>
      <c r="N249" s="49" t="n"/>
      <c r="O249" s="27">
        <f>IF($N249="","",IFERROR(INDEX(CONFIG!$G$4:$G$43,MATCH($N249,CONFIG!$F$4:$F$43,0)),"Por definir"))</f>
        <v/>
      </c>
      <c r="P249" s="27">
        <f>IF($N249="","",IFERROR(INDEX(CONFIG!$H$4:$H$43,MATCH($N249,CONFIG!$F$4:$F$43,0)),"Por definir"))</f>
        <v/>
      </c>
      <c r="Q249" s="50" t="n"/>
      <c r="R249" s="51" t="n"/>
      <c r="S249" s="49" t="n"/>
      <c r="T249" s="49" t="n"/>
      <c r="U249" s="48">
        <f>IF(OR($B249="",$K249=""),"",WORKDAY($B249,IFERROR(INDEX(CONFIG!$C$4:$C$43,MATCH($K249,CONFIG!$A$4:$A$43,0)),3)))</f>
        <v/>
      </c>
      <c r="V249" s="46" t="n"/>
      <c r="W249" s="23">
        <f>IF($B249="","",IF($V249&lt;&gt;"",$V249-$B249,TODAY()-$B249))</f>
        <v/>
      </c>
      <c r="X249" s="27">
        <f>IF($C249="","",IF(IFERROR(INDEX(CONFIG!$K$4:$K$43,MATCH($S249,CONFIG!$J$4:$J$43,0)),"NO")="SÍ",IF(OR($V249="",$U249=""),"Resuelta",IF($V249&gt;$U249,"Resuelta tarde","Resuelta a tiempo")),IF($U249="","Sin clasificar",IF(TODAY()&gt;$U249,"Vencida",IF(TODAY()&gt;=$U249-1,"Por vencer","En plazo")))))</f>
        <v/>
      </c>
      <c r="Y249" s="49" t="n"/>
      <c r="Z249" s="49" t="n"/>
    </row>
    <row r="250" ht="16" customHeight="1">
      <c r="A250" s="27">
        <f>IF($C250="","","N-"&amp;TEXT(ROW()-3,"0000"))</f>
        <v/>
      </c>
      <c r="B250" s="46" t="n"/>
      <c r="C250" s="47" t="n"/>
      <c r="D250" s="27">
        <f>IF($C250="","",IF(COUNTIFS(ENVIOS!$A$4:$A$3003,$C250)=0,"NO EXISTE",IF(COUNTIFS(ENVIOS!$A$4:$A$3003,$C250)&gt;1,"DUPLICADA","OK")))</f>
        <v/>
      </c>
      <c r="E250" s="22">
        <f>IF($C250="","",IFERROR(INDEX(ENVIOS!$C$4:$C$3003,MATCH($C250,ENVIOS!$A$4:$A$3003,0)),"—"))</f>
        <v/>
      </c>
      <c r="F250" s="22">
        <f>IF($C250="","",IFERROR(INDEX(ENVIOS!$D$4:$D$3003,MATCH($C250,ENVIOS!$A$4:$A$3003,0)),"—"))</f>
        <v/>
      </c>
      <c r="G250" s="22">
        <f>IF($C250="","",IFERROR(INDEX(ENVIOS!$E$4:$E$3003,MATCH($C250,ENVIOS!$A$4:$A$3003,0)),"—"))</f>
        <v/>
      </c>
      <c r="H250" s="22">
        <f>IF($C250="","",IFERROR(INDEX(ENVIOS!$F$4:$F$3003,MATCH($C250,ENVIOS!$A$4:$A$3003,0)),"—"))</f>
        <v/>
      </c>
      <c r="I250" s="27">
        <f>IF($C250="","",IFERROR(INDEX(ENVIOS!$G$4:$G$3003,MATCH($C250,ENVIOS!$A$4:$A$3003,0)),"—"))</f>
        <v/>
      </c>
      <c r="J250" s="48">
        <f>IF($C250="","",IFERROR(INDEX(ENVIOS!$B$4:$B$3003,MATCH($C250,ENVIOS!$A$4:$A$3003,0)),""))</f>
        <v/>
      </c>
      <c r="K250" s="49" t="n"/>
      <c r="L250" s="27">
        <f>IF($K250="","",IFERROR(INDEX(CONFIG!$B$4:$B$43,MATCH($K250,CONFIG!$A$4:$A$43,0)),"Media"))</f>
        <v/>
      </c>
      <c r="M250" s="27">
        <f>IF($K250="","",IFERROR(INDEX(CONFIG!$D$4:$D$43,MATCH($K250,CONFIG!$A$4:$A$43,0)),"NO"))</f>
        <v/>
      </c>
      <c r="N250" s="49" t="n"/>
      <c r="O250" s="27">
        <f>IF($N250="","",IFERROR(INDEX(CONFIG!$G$4:$G$43,MATCH($N250,CONFIG!$F$4:$F$43,0)),"Por definir"))</f>
        <v/>
      </c>
      <c r="P250" s="27">
        <f>IF($N250="","",IFERROR(INDEX(CONFIG!$H$4:$H$43,MATCH($N250,CONFIG!$F$4:$F$43,0)),"Por definir"))</f>
        <v/>
      </c>
      <c r="Q250" s="50" t="n"/>
      <c r="R250" s="51" t="n"/>
      <c r="S250" s="49" t="n"/>
      <c r="T250" s="49" t="n"/>
      <c r="U250" s="48">
        <f>IF(OR($B250="",$K250=""),"",WORKDAY($B250,IFERROR(INDEX(CONFIG!$C$4:$C$43,MATCH($K250,CONFIG!$A$4:$A$43,0)),3)))</f>
        <v/>
      </c>
      <c r="V250" s="46" t="n"/>
      <c r="W250" s="23">
        <f>IF($B250="","",IF($V250&lt;&gt;"",$V250-$B250,TODAY()-$B250))</f>
        <v/>
      </c>
      <c r="X250" s="27">
        <f>IF($C250="","",IF(IFERROR(INDEX(CONFIG!$K$4:$K$43,MATCH($S250,CONFIG!$J$4:$J$43,0)),"NO")="SÍ",IF(OR($V250="",$U250=""),"Resuelta",IF($V250&gt;$U250,"Resuelta tarde","Resuelta a tiempo")),IF($U250="","Sin clasificar",IF(TODAY()&gt;$U250,"Vencida",IF(TODAY()&gt;=$U250-1,"Por vencer","En plazo")))))</f>
        <v/>
      </c>
      <c r="Y250" s="49" t="n"/>
      <c r="Z250" s="49" t="n"/>
    </row>
    <row r="251" ht="16" customHeight="1">
      <c r="A251" s="27">
        <f>IF($C251="","","N-"&amp;TEXT(ROW()-3,"0000"))</f>
        <v/>
      </c>
      <c r="B251" s="46" t="n"/>
      <c r="C251" s="47" t="n"/>
      <c r="D251" s="27">
        <f>IF($C251="","",IF(COUNTIFS(ENVIOS!$A$4:$A$3003,$C251)=0,"NO EXISTE",IF(COUNTIFS(ENVIOS!$A$4:$A$3003,$C251)&gt;1,"DUPLICADA","OK")))</f>
        <v/>
      </c>
      <c r="E251" s="22">
        <f>IF($C251="","",IFERROR(INDEX(ENVIOS!$C$4:$C$3003,MATCH($C251,ENVIOS!$A$4:$A$3003,0)),"—"))</f>
        <v/>
      </c>
      <c r="F251" s="22">
        <f>IF($C251="","",IFERROR(INDEX(ENVIOS!$D$4:$D$3003,MATCH($C251,ENVIOS!$A$4:$A$3003,0)),"—"))</f>
        <v/>
      </c>
      <c r="G251" s="22">
        <f>IF($C251="","",IFERROR(INDEX(ENVIOS!$E$4:$E$3003,MATCH($C251,ENVIOS!$A$4:$A$3003,0)),"—"))</f>
        <v/>
      </c>
      <c r="H251" s="22">
        <f>IF($C251="","",IFERROR(INDEX(ENVIOS!$F$4:$F$3003,MATCH($C251,ENVIOS!$A$4:$A$3003,0)),"—"))</f>
        <v/>
      </c>
      <c r="I251" s="27">
        <f>IF($C251="","",IFERROR(INDEX(ENVIOS!$G$4:$G$3003,MATCH($C251,ENVIOS!$A$4:$A$3003,0)),"—"))</f>
        <v/>
      </c>
      <c r="J251" s="48">
        <f>IF($C251="","",IFERROR(INDEX(ENVIOS!$B$4:$B$3003,MATCH($C251,ENVIOS!$A$4:$A$3003,0)),""))</f>
        <v/>
      </c>
      <c r="K251" s="49" t="n"/>
      <c r="L251" s="27">
        <f>IF($K251="","",IFERROR(INDEX(CONFIG!$B$4:$B$43,MATCH($K251,CONFIG!$A$4:$A$43,0)),"Media"))</f>
        <v/>
      </c>
      <c r="M251" s="27">
        <f>IF($K251="","",IFERROR(INDEX(CONFIG!$D$4:$D$43,MATCH($K251,CONFIG!$A$4:$A$43,0)),"NO"))</f>
        <v/>
      </c>
      <c r="N251" s="49" t="n"/>
      <c r="O251" s="27">
        <f>IF($N251="","",IFERROR(INDEX(CONFIG!$G$4:$G$43,MATCH($N251,CONFIG!$F$4:$F$43,0)),"Por definir"))</f>
        <v/>
      </c>
      <c r="P251" s="27">
        <f>IF($N251="","",IFERROR(INDEX(CONFIG!$H$4:$H$43,MATCH($N251,CONFIG!$F$4:$F$43,0)),"Por definir"))</f>
        <v/>
      </c>
      <c r="Q251" s="50" t="n"/>
      <c r="R251" s="51" t="n"/>
      <c r="S251" s="49" t="n"/>
      <c r="T251" s="49" t="n"/>
      <c r="U251" s="48">
        <f>IF(OR($B251="",$K251=""),"",WORKDAY($B251,IFERROR(INDEX(CONFIG!$C$4:$C$43,MATCH($K251,CONFIG!$A$4:$A$43,0)),3)))</f>
        <v/>
      </c>
      <c r="V251" s="46" t="n"/>
      <c r="W251" s="23">
        <f>IF($B251="","",IF($V251&lt;&gt;"",$V251-$B251,TODAY()-$B251))</f>
        <v/>
      </c>
      <c r="X251" s="27">
        <f>IF($C251="","",IF(IFERROR(INDEX(CONFIG!$K$4:$K$43,MATCH($S251,CONFIG!$J$4:$J$43,0)),"NO")="SÍ",IF(OR($V251="",$U251=""),"Resuelta",IF($V251&gt;$U251,"Resuelta tarde","Resuelta a tiempo")),IF($U251="","Sin clasificar",IF(TODAY()&gt;$U251,"Vencida",IF(TODAY()&gt;=$U251-1,"Por vencer","En plazo")))))</f>
        <v/>
      </c>
      <c r="Y251" s="49" t="n"/>
      <c r="Z251" s="49" t="n"/>
    </row>
    <row r="252" ht="16" customHeight="1">
      <c r="A252" s="27">
        <f>IF($C252="","","N-"&amp;TEXT(ROW()-3,"0000"))</f>
        <v/>
      </c>
      <c r="B252" s="46" t="n"/>
      <c r="C252" s="47" t="n"/>
      <c r="D252" s="27">
        <f>IF($C252="","",IF(COUNTIFS(ENVIOS!$A$4:$A$3003,$C252)=0,"NO EXISTE",IF(COUNTIFS(ENVIOS!$A$4:$A$3003,$C252)&gt;1,"DUPLICADA","OK")))</f>
        <v/>
      </c>
      <c r="E252" s="22">
        <f>IF($C252="","",IFERROR(INDEX(ENVIOS!$C$4:$C$3003,MATCH($C252,ENVIOS!$A$4:$A$3003,0)),"—"))</f>
        <v/>
      </c>
      <c r="F252" s="22">
        <f>IF($C252="","",IFERROR(INDEX(ENVIOS!$D$4:$D$3003,MATCH($C252,ENVIOS!$A$4:$A$3003,0)),"—"))</f>
        <v/>
      </c>
      <c r="G252" s="22">
        <f>IF($C252="","",IFERROR(INDEX(ENVIOS!$E$4:$E$3003,MATCH($C252,ENVIOS!$A$4:$A$3003,0)),"—"))</f>
        <v/>
      </c>
      <c r="H252" s="22">
        <f>IF($C252="","",IFERROR(INDEX(ENVIOS!$F$4:$F$3003,MATCH($C252,ENVIOS!$A$4:$A$3003,0)),"—"))</f>
        <v/>
      </c>
      <c r="I252" s="27">
        <f>IF($C252="","",IFERROR(INDEX(ENVIOS!$G$4:$G$3003,MATCH($C252,ENVIOS!$A$4:$A$3003,0)),"—"))</f>
        <v/>
      </c>
      <c r="J252" s="48">
        <f>IF($C252="","",IFERROR(INDEX(ENVIOS!$B$4:$B$3003,MATCH($C252,ENVIOS!$A$4:$A$3003,0)),""))</f>
        <v/>
      </c>
      <c r="K252" s="49" t="n"/>
      <c r="L252" s="27">
        <f>IF($K252="","",IFERROR(INDEX(CONFIG!$B$4:$B$43,MATCH($K252,CONFIG!$A$4:$A$43,0)),"Media"))</f>
        <v/>
      </c>
      <c r="M252" s="27">
        <f>IF($K252="","",IFERROR(INDEX(CONFIG!$D$4:$D$43,MATCH($K252,CONFIG!$A$4:$A$43,0)),"NO"))</f>
        <v/>
      </c>
      <c r="N252" s="49" t="n"/>
      <c r="O252" s="27">
        <f>IF($N252="","",IFERROR(INDEX(CONFIG!$G$4:$G$43,MATCH($N252,CONFIG!$F$4:$F$43,0)),"Por definir"))</f>
        <v/>
      </c>
      <c r="P252" s="27">
        <f>IF($N252="","",IFERROR(INDEX(CONFIG!$H$4:$H$43,MATCH($N252,CONFIG!$F$4:$F$43,0)),"Por definir"))</f>
        <v/>
      </c>
      <c r="Q252" s="50" t="n"/>
      <c r="R252" s="51" t="n"/>
      <c r="S252" s="49" t="n"/>
      <c r="T252" s="49" t="n"/>
      <c r="U252" s="48">
        <f>IF(OR($B252="",$K252=""),"",WORKDAY($B252,IFERROR(INDEX(CONFIG!$C$4:$C$43,MATCH($K252,CONFIG!$A$4:$A$43,0)),3)))</f>
        <v/>
      </c>
      <c r="V252" s="46" t="n"/>
      <c r="W252" s="23">
        <f>IF($B252="","",IF($V252&lt;&gt;"",$V252-$B252,TODAY()-$B252))</f>
        <v/>
      </c>
      <c r="X252" s="27">
        <f>IF($C252="","",IF(IFERROR(INDEX(CONFIG!$K$4:$K$43,MATCH($S252,CONFIG!$J$4:$J$43,0)),"NO")="SÍ",IF(OR($V252="",$U252=""),"Resuelta",IF($V252&gt;$U252,"Resuelta tarde","Resuelta a tiempo")),IF($U252="","Sin clasificar",IF(TODAY()&gt;$U252,"Vencida",IF(TODAY()&gt;=$U252-1,"Por vencer","En plazo")))))</f>
        <v/>
      </c>
      <c r="Y252" s="49" t="n"/>
      <c r="Z252" s="49" t="n"/>
    </row>
    <row r="253" ht="16" customHeight="1">
      <c r="A253" s="27">
        <f>IF($C253="","","N-"&amp;TEXT(ROW()-3,"0000"))</f>
        <v/>
      </c>
      <c r="B253" s="46" t="n"/>
      <c r="C253" s="47" t="n"/>
      <c r="D253" s="27">
        <f>IF($C253="","",IF(COUNTIFS(ENVIOS!$A$4:$A$3003,$C253)=0,"NO EXISTE",IF(COUNTIFS(ENVIOS!$A$4:$A$3003,$C253)&gt;1,"DUPLICADA","OK")))</f>
        <v/>
      </c>
      <c r="E253" s="22">
        <f>IF($C253="","",IFERROR(INDEX(ENVIOS!$C$4:$C$3003,MATCH($C253,ENVIOS!$A$4:$A$3003,0)),"—"))</f>
        <v/>
      </c>
      <c r="F253" s="22">
        <f>IF($C253="","",IFERROR(INDEX(ENVIOS!$D$4:$D$3003,MATCH($C253,ENVIOS!$A$4:$A$3003,0)),"—"))</f>
        <v/>
      </c>
      <c r="G253" s="22">
        <f>IF($C253="","",IFERROR(INDEX(ENVIOS!$E$4:$E$3003,MATCH($C253,ENVIOS!$A$4:$A$3003,0)),"—"))</f>
        <v/>
      </c>
      <c r="H253" s="22">
        <f>IF($C253="","",IFERROR(INDEX(ENVIOS!$F$4:$F$3003,MATCH($C253,ENVIOS!$A$4:$A$3003,0)),"—"))</f>
        <v/>
      </c>
      <c r="I253" s="27">
        <f>IF($C253="","",IFERROR(INDEX(ENVIOS!$G$4:$G$3003,MATCH($C253,ENVIOS!$A$4:$A$3003,0)),"—"))</f>
        <v/>
      </c>
      <c r="J253" s="48">
        <f>IF($C253="","",IFERROR(INDEX(ENVIOS!$B$4:$B$3003,MATCH($C253,ENVIOS!$A$4:$A$3003,0)),""))</f>
        <v/>
      </c>
      <c r="K253" s="49" t="n"/>
      <c r="L253" s="27">
        <f>IF($K253="","",IFERROR(INDEX(CONFIG!$B$4:$B$43,MATCH($K253,CONFIG!$A$4:$A$43,0)),"Media"))</f>
        <v/>
      </c>
      <c r="M253" s="27">
        <f>IF($K253="","",IFERROR(INDEX(CONFIG!$D$4:$D$43,MATCH($K253,CONFIG!$A$4:$A$43,0)),"NO"))</f>
        <v/>
      </c>
      <c r="N253" s="49" t="n"/>
      <c r="O253" s="27">
        <f>IF($N253="","",IFERROR(INDEX(CONFIG!$G$4:$G$43,MATCH($N253,CONFIG!$F$4:$F$43,0)),"Por definir"))</f>
        <v/>
      </c>
      <c r="P253" s="27">
        <f>IF($N253="","",IFERROR(INDEX(CONFIG!$H$4:$H$43,MATCH($N253,CONFIG!$F$4:$F$43,0)),"Por definir"))</f>
        <v/>
      </c>
      <c r="Q253" s="50" t="n"/>
      <c r="R253" s="51" t="n"/>
      <c r="S253" s="49" t="n"/>
      <c r="T253" s="49" t="n"/>
      <c r="U253" s="48">
        <f>IF(OR($B253="",$K253=""),"",WORKDAY($B253,IFERROR(INDEX(CONFIG!$C$4:$C$43,MATCH($K253,CONFIG!$A$4:$A$43,0)),3)))</f>
        <v/>
      </c>
      <c r="V253" s="46" t="n"/>
      <c r="W253" s="23">
        <f>IF($B253="","",IF($V253&lt;&gt;"",$V253-$B253,TODAY()-$B253))</f>
        <v/>
      </c>
      <c r="X253" s="27">
        <f>IF($C253="","",IF(IFERROR(INDEX(CONFIG!$K$4:$K$43,MATCH($S253,CONFIG!$J$4:$J$43,0)),"NO")="SÍ",IF(OR($V253="",$U253=""),"Resuelta",IF($V253&gt;$U253,"Resuelta tarde","Resuelta a tiempo")),IF($U253="","Sin clasificar",IF(TODAY()&gt;$U253,"Vencida",IF(TODAY()&gt;=$U253-1,"Por vencer","En plazo")))))</f>
        <v/>
      </c>
      <c r="Y253" s="49" t="n"/>
      <c r="Z253" s="49" t="n"/>
    </row>
    <row r="254" ht="16" customHeight="1">
      <c r="A254" s="27">
        <f>IF($C254="","","N-"&amp;TEXT(ROW()-3,"0000"))</f>
        <v/>
      </c>
      <c r="B254" s="46" t="n"/>
      <c r="C254" s="47" t="n"/>
      <c r="D254" s="27">
        <f>IF($C254="","",IF(COUNTIFS(ENVIOS!$A$4:$A$3003,$C254)=0,"NO EXISTE",IF(COUNTIFS(ENVIOS!$A$4:$A$3003,$C254)&gt;1,"DUPLICADA","OK")))</f>
        <v/>
      </c>
      <c r="E254" s="22">
        <f>IF($C254="","",IFERROR(INDEX(ENVIOS!$C$4:$C$3003,MATCH($C254,ENVIOS!$A$4:$A$3003,0)),"—"))</f>
        <v/>
      </c>
      <c r="F254" s="22">
        <f>IF($C254="","",IFERROR(INDEX(ENVIOS!$D$4:$D$3003,MATCH($C254,ENVIOS!$A$4:$A$3003,0)),"—"))</f>
        <v/>
      </c>
      <c r="G254" s="22">
        <f>IF($C254="","",IFERROR(INDEX(ENVIOS!$E$4:$E$3003,MATCH($C254,ENVIOS!$A$4:$A$3003,0)),"—"))</f>
        <v/>
      </c>
      <c r="H254" s="22">
        <f>IF($C254="","",IFERROR(INDEX(ENVIOS!$F$4:$F$3003,MATCH($C254,ENVIOS!$A$4:$A$3003,0)),"—"))</f>
        <v/>
      </c>
      <c r="I254" s="27">
        <f>IF($C254="","",IFERROR(INDEX(ENVIOS!$G$4:$G$3003,MATCH($C254,ENVIOS!$A$4:$A$3003,0)),"—"))</f>
        <v/>
      </c>
      <c r="J254" s="48">
        <f>IF($C254="","",IFERROR(INDEX(ENVIOS!$B$4:$B$3003,MATCH($C254,ENVIOS!$A$4:$A$3003,0)),""))</f>
        <v/>
      </c>
      <c r="K254" s="49" t="n"/>
      <c r="L254" s="27">
        <f>IF($K254="","",IFERROR(INDEX(CONFIG!$B$4:$B$43,MATCH($K254,CONFIG!$A$4:$A$43,0)),"Media"))</f>
        <v/>
      </c>
      <c r="M254" s="27">
        <f>IF($K254="","",IFERROR(INDEX(CONFIG!$D$4:$D$43,MATCH($K254,CONFIG!$A$4:$A$43,0)),"NO"))</f>
        <v/>
      </c>
      <c r="N254" s="49" t="n"/>
      <c r="O254" s="27">
        <f>IF($N254="","",IFERROR(INDEX(CONFIG!$G$4:$G$43,MATCH($N254,CONFIG!$F$4:$F$43,0)),"Por definir"))</f>
        <v/>
      </c>
      <c r="P254" s="27">
        <f>IF($N254="","",IFERROR(INDEX(CONFIG!$H$4:$H$43,MATCH($N254,CONFIG!$F$4:$F$43,0)),"Por definir"))</f>
        <v/>
      </c>
      <c r="Q254" s="50" t="n"/>
      <c r="R254" s="51" t="n"/>
      <c r="S254" s="49" t="n"/>
      <c r="T254" s="49" t="n"/>
      <c r="U254" s="48">
        <f>IF(OR($B254="",$K254=""),"",WORKDAY($B254,IFERROR(INDEX(CONFIG!$C$4:$C$43,MATCH($K254,CONFIG!$A$4:$A$43,0)),3)))</f>
        <v/>
      </c>
      <c r="V254" s="46" t="n"/>
      <c r="W254" s="23">
        <f>IF($B254="","",IF($V254&lt;&gt;"",$V254-$B254,TODAY()-$B254))</f>
        <v/>
      </c>
      <c r="X254" s="27">
        <f>IF($C254="","",IF(IFERROR(INDEX(CONFIG!$K$4:$K$43,MATCH($S254,CONFIG!$J$4:$J$43,0)),"NO")="SÍ",IF(OR($V254="",$U254=""),"Resuelta",IF($V254&gt;$U254,"Resuelta tarde","Resuelta a tiempo")),IF($U254="","Sin clasificar",IF(TODAY()&gt;$U254,"Vencida",IF(TODAY()&gt;=$U254-1,"Por vencer","En plazo")))))</f>
        <v/>
      </c>
      <c r="Y254" s="49" t="n"/>
      <c r="Z254" s="49" t="n"/>
    </row>
    <row r="255" ht="16" customHeight="1">
      <c r="A255" s="27">
        <f>IF($C255="","","N-"&amp;TEXT(ROW()-3,"0000"))</f>
        <v/>
      </c>
      <c r="B255" s="46" t="n"/>
      <c r="C255" s="47" t="n"/>
      <c r="D255" s="27">
        <f>IF($C255="","",IF(COUNTIFS(ENVIOS!$A$4:$A$3003,$C255)=0,"NO EXISTE",IF(COUNTIFS(ENVIOS!$A$4:$A$3003,$C255)&gt;1,"DUPLICADA","OK")))</f>
        <v/>
      </c>
      <c r="E255" s="22">
        <f>IF($C255="","",IFERROR(INDEX(ENVIOS!$C$4:$C$3003,MATCH($C255,ENVIOS!$A$4:$A$3003,0)),"—"))</f>
        <v/>
      </c>
      <c r="F255" s="22">
        <f>IF($C255="","",IFERROR(INDEX(ENVIOS!$D$4:$D$3003,MATCH($C255,ENVIOS!$A$4:$A$3003,0)),"—"))</f>
        <v/>
      </c>
      <c r="G255" s="22">
        <f>IF($C255="","",IFERROR(INDEX(ENVIOS!$E$4:$E$3003,MATCH($C255,ENVIOS!$A$4:$A$3003,0)),"—"))</f>
        <v/>
      </c>
      <c r="H255" s="22">
        <f>IF($C255="","",IFERROR(INDEX(ENVIOS!$F$4:$F$3003,MATCH($C255,ENVIOS!$A$4:$A$3003,0)),"—"))</f>
        <v/>
      </c>
      <c r="I255" s="27">
        <f>IF($C255="","",IFERROR(INDEX(ENVIOS!$G$4:$G$3003,MATCH($C255,ENVIOS!$A$4:$A$3003,0)),"—"))</f>
        <v/>
      </c>
      <c r="J255" s="48">
        <f>IF($C255="","",IFERROR(INDEX(ENVIOS!$B$4:$B$3003,MATCH($C255,ENVIOS!$A$4:$A$3003,0)),""))</f>
        <v/>
      </c>
      <c r="K255" s="49" t="n"/>
      <c r="L255" s="27">
        <f>IF($K255="","",IFERROR(INDEX(CONFIG!$B$4:$B$43,MATCH($K255,CONFIG!$A$4:$A$43,0)),"Media"))</f>
        <v/>
      </c>
      <c r="M255" s="27">
        <f>IF($K255="","",IFERROR(INDEX(CONFIG!$D$4:$D$43,MATCH($K255,CONFIG!$A$4:$A$43,0)),"NO"))</f>
        <v/>
      </c>
      <c r="N255" s="49" t="n"/>
      <c r="O255" s="27">
        <f>IF($N255="","",IFERROR(INDEX(CONFIG!$G$4:$G$43,MATCH($N255,CONFIG!$F$4:$F$43,0)),"Por definir"))</f>
        <v/>
      </c>
      <c r="P255" s="27">
        <f>IF($N255="","",IFERROR(INDEX(CONFIG!$H$4:$H$43,MATCH($N255,CONFIG!$F$4:$F$43,0)),"Por definir"))</f>
        <v/>
      </c>
      <c r="Q255" s="50" t="n"/>
      <c r="R255" s="51" t="n"/>
      <c r="S255" s="49" t="n"/>
      <c r="T255" s="49" t="n"/>
      <c r="U255" s="48">
        <f>IF(OR($B255="",$K255=""),"",WORKDAY($B255,IFERROR(INDEX(CONFIG!$C$4:$C$43,MATCH($K255,CONFIG!$A$4:$A$43,0)),3)))</f>
        <v/>
      </c>
      <c r="V255" s="46" t="n"/>
      <c r="W255" s="23">
        <f>IF($B255="","",IF($V255&lt;&gt;"",$V255-$B255,TODAY()-$B255))</f>
        <v/>
      </c>
      <c r="X255" s="27">
        <f>IF($C255="","",IF(IFERROR(INDEX(CONFIG!$K$4:$K$43,MATCH($S255,CONFIG!$J$4:$J$43,0)),"NO")="SÍ",IF(OR($V255="",$U255=""),"Resuelta",IF($V255&gt;$U255,"Resuelta tarde","Resuelta a tiempo")),IF($U255="","Sin clasificar",IF(TODAY()&gt;$U255,"Vencida",IF(TODAY()&gt;=$U255-1,"Por vencer","En plazo")))))</f>
        <v/>
      </c>
      <c r="Y255" s="49" t="n"/>
      <c r="Z255" s="49" t="n"/>
    </row>
    <row r="256" ht="16" customHeight="1">
      <c r="A256" s="27">
        <f>IF($C256="","","N-"&amp;TEXT(ROW()-3,"0000"))</f>
        <v/>
      </c>
      <c r="B256" s="46" t="n"/>
      <c r="C256" s="47" t="n"/>
      <c r="D256" s="27">
        <f>IF($C256="","",IF(COUNTIFS(ENVIOS!$A$4:$A$3003,$C256)=0,"NO EXISTE",IF(COUNTIFS(ENVIOS!$A$4:$A$3003,$C256)&gt;1,"DUPLICADA","OK")))</f>
        <v/>
      </c>
      <c r="E256" s="22">
        <f>IF($C256="","",IFERROR(INDEX(ENVIOS!$C$4:$C$3003,MATCH($C256,ENVIOS!$A$4:$A$3003,0)),"—"))</f>
        <v/>
      </c>
      <c r="F256" s="22">
        <f>IF($C256="","",IFERROR(INDEX(ENVIOS!$D$4:$D$3003,MATCH($C256,ENVIOS!$A$4:$A$3003,0)),"—"))</f>
        <v/>
      </c>
      <c r="G256" s="22">
        <f>IF($C256="","",IFERROR(INDEX(ENVIOS!$E$4:$E$3003,MATCH($C256,ENVIOS!$A$4:$A$3003,0)),"—"))</f>
        <v/>
      </c>
      <c r="H256" s="22">
        <f>IF($C256="","",IFERROR(INDEX(ENVIOS!$F$4:$F$3003,MATCH($C256,ENVIOS!$A$4:$A$3003,0)),"—"))</f>
        <v/>
      </c>
      <c r="I256" s="27">
        <f>IF($C256="","",IFERROR(INDEX(ENVIOS!$G$4:$G$3003,MATCH($C256,ENVIOS!$A$4:$A$3003,0)),"—"))</f>
        <v/>
      </c>
      <c r="J256" s="48">
        <f>IF($C256="","",IFERROR(INDEX(ENVIOS!$B$4:$B$3003,MATCH($C256,ENVIOS!$A$4:$A$3003,0)),""))</f>
        <v/>
      </c>
      <c r="K256" s="49" t="n"/>
      <c r="L256" s="27">
        <f>IF($K256="","",IFERROR(INDEX(CONFIG!$B$4:$B$43,MATCH($K256,CONFIG!$A$4:$A$43,0)),"Media"))</f>
        <v/>
      </c>
      <c r="M256" s="27">
        <f>IF($K256="","",IFERROR(INDEX(CONFIG!$D$4:$D$43,MATCH($K256,CONFIG!$A$4:$A$43,0)),"NO"))</f>
        <v/>
      </c>
      <c r="N256" s="49" t="n"/>
      <c r="O256" s="27">
        <f>IF($N256="","",IFERROR(INDEX(CONFIG!$G$4:$G$43,MATCH($N256,CONFIG!$F$4:$F$43,0)),"Por definir"))</f>
        <v/>
      </c>
      <c r="P256" s="27">
        <f>IF($N256="","",IFERROR(INDEX(CONFIG!$H$4:$H$43,MATCH($N256,CONFIG!$F$4:$F$43,0)),"Por definir"))</f>
        <v/>
      </c>
      <c r="Q256" s="50" t="n"/>
      <c r="R256" s="51" t="n"/>
      <c r="S256" s="49" t="n"/>
      <c r="T256" s="49" t="n"/>
      <c r="U256" s="48">
        <f>IF(OR($B256="",$K256=""),"",WORKDAY($B256,IFERROR(INDEX(CONFIG!$C$4:$C$43,MATCH($K256,CONFIG!$A$4:$A$43,0)),3)))</f>
        <v/>
      </c>
      <c r="V256" s="46" t="n"/>
      <c r="W256" s="23">
        <f>IF($B256="","",IF($V256&lt;&gt;"",$V256-$B256,TODAY()-$B256))</f>
        <v/>
      </c>
      <c r="X256" s="27">
        <f>IF($C256="","",IF(IFERROR(INDEX(CONFIG!$K$4:$K$43,MATCH($S256,CONFIG!$J$4:$J$43,0)),"NO")="SÍ",IF(OR($V256="",$U256=""),"Resuelta",IF($V256&gt;$U256,"Resuelta tarde","Resuelta a tiempo")),IF($U256="","Sin clasificar",IF(TODAY()&gt;$U256,"Vencida",IF(TODAY()&gt;=$U256-1,"Por vencer","En plazo")))))</f>
        <v/>
      </c>
      <c r="Y256" s="49" t="n"/>
      <c r="Z256" s="49" t="n"/>
    </row>
    <row r="257" ht="16" customHeight="1">
      <c r="A257" s="27">
        <f>IF($C257="","","N-"&amp;TEXT(ROW()-3,"0000"))</f>
        <v/>
      </c>
      <c r="B257" s="46" t="n"/>
      <c r="C257" s="47" t="n"/>
      <c r="D257" s="27">
        <f>IF($C257="","",IF(COUNTIFS(ENVIOS!$A$4:$A$3003,$C257)=0,"NO EXISTE",IF(COUNTIFS(ENVIOS!$A$4:$A$3003,$C257)&gt;1,"DUPLICADA","OK")))</f>
        <v/>
      </c>
      <c r="E257" s="22">
        <f>IF($C257="","",IFERROR(INDEX(ENVIOS!$C$4:$C$3003,MATCH($C257,ENVIOS!$A$4:$A$3003,0)),"—"))</f>
        <v/>
      </c>
      <c r="F257" s="22">
        <f>IF($C257="","",IFERROR(INDEX(ENVIOS!$D$4:$D$3003,MATCH($C257,ENVIOS!$A$4:$A$3003,0)),"—"))</f>
        <v/>
      </c>
      <c r="G257" s="22">
        <f>IF($C257="","",IFERROR(INDEX(ENVIOS!$E$4:$E$3003,MATCH($C257,ENVIOS!$A$4:$A$3003,0)),"—"))</f>
        <v/>
      </c>
      <c r="H257" s="22">
        <f>IF($C257="","",IFERROR(INDEX(ENVIOS!$F$4:$F$3003,MATCH($C257,ENVIOS!$A$4:$A$3003,0)),"—"))</f>
        <v/>
      </c>
      <c r="I257" s="27">
        <f>IF($C257="","",IFERROR(INDEX(ENVIOS!$G$4:$G$3003,MATCH($C257,ENVIOS!$A$4:$A$3003,0)),"—"))</f>
        <v/>
      </c>
      <c r="J257" s="48">
        <f>IF($C257="","",IFERROR(INDEX(ENVIOS!$B$4:$B$3003,MATCH($C257,ENVIOS!$A$4:$A$3003,0)),""))</f>
        <v/>
      </c>
      <c r="K257" s="49" t="n"/>
      <c r="L257" s="27">
        <f>IF($K257="","",IFERROR(INDEX(CONFIG!$B$4:$B$43,MATCH($K257,CONFIG!$A$4:$A$43,0)),"Media"))</f>
        <v/>
      </c>
      <c r="M257" s="27">
        <f>IF($K257="","",IFERROR(INDEX(CONFIG!$D$4:$D$43,MATCH($K257,CONFIG!$A$4:$A$43,0)),"NO"))</f>
        <v/>
      </c>
      <c r="N257" s="49" t="n"/>
      <c r="O257" s="27">
        <f>IF($N257="","",IFERROR(INDEX(CONFIG!$G$4:$G$43,MATCH($N257,CONFIG!$F$4:$F$43,0)),"Por definir"))</f>
        <v/>
      </c>
      <c r="P257" s="27">
        <f>IF($N257="","",IFERROR(INDEX(CONFIG!$H$4:$H$43,MATCH($N257,CONFIG!$F$4:$F$43,0)),"Por definir"))</f>
        <v/>
      </c>
      <c r="Q257" s="50" t="n"/>
      <c r="R257" s="51" t="n"/>
      <c r="S257" s="49" t="n"/>
      <c r="T257" s="49" t="n"/>
      <c r="U257" s="48">
        <f>IF(OR($B257="",$K257=""),"",WORKDAY($B257,IFERROR(INDEX(CONFIG!$C$4:$C$43,MATCH($K257,CONFIG!$A$4:$A$43,0)),3)))</f>
        <v/>
      </c>
      <c r="V257" s="46" t="n"/>
      <c r="W257" s="23">
        <f>IF($B257="","",IF($V257&lt;&gt;"",$V257-$B257,TODAY()-$B257))</f>
        <v/>
      </c>
      <c r="X257" s="27">
        <f>IF($C257="","",IF(IFERROR(INDEX(CONFIG!$K$4:$K$43,MATCH($S257,CONFIG!$J$4:$J$43,0)),"NO")="SÍ",IF(OR($V257="",$U257=""),"Resuelta",IF($V257&gt;$U257,"Resuelta tarde","Resuelta a tiempo")),IF($U257="","Sin clasificar",IF(TODAY()&gt;$U257,"Vencida",IF(TODAY()&gt;=$U257-1,"Por vencer","En plazo")))))</f>
        <v/>
      </c>
      <c r="Y257" s="49" t="n"/>
      <c r="Z257" s="49" t="n"/>
    </row>
    <row r="258" ht="16" customHeight="1">
      <c r="A258" s="27">
        <f>IF($C258="","","N-"&amp;TEXT(ROW()-3,"0000"))</f>
        <v/>
      </c>
      <c r="B258" s="46" t="n"/>
      <c r="C258" s="47" t="n"/>
      <c r="D258" s="27">
        <f>IF($C258="","",IF(COUNTIFS(ENVIOS!$A$4:$A$3003,$C258)=0,"NO EXISTE",IF(COUNTIFS(ENVIOS!$A$4:$A$3003,$C258)&gt;1,"DUPLICADA","OK")))</f>
        <v/>
      </c>
      <c r="E258" s="22">
        <f>IF($C258="","",IFERROR(INDEX(ENVIOS!$C$4:$C$3003,MATCH($C258,ENVIOS!$A$4:$A$3003,0)),"—"))</f>
        <v/>
      </c>
      <c r="F258" s="22">
        <f>IF($C258="","",IFERROR(INDEX(ENVIOS!$D$4:$D$3003,MATCH($C258,ENVIOS!$A$4:$A$3003,0)),"—"))</f>
        <v/>
      </c>
      <c r="G258" s="22">
        <f>IF($C258="","",IFERROR(INDEX(ENVIOS!$E$4:$E$3003,MATCH($C258,ENVIOS!$A$4:$A$3003,0)),"—"))</f>
        <v/>
      </c>
      <c r="H258" s="22">
        <f>IF($C258="","",IFERROR(INDEX(ENVIOS!$F$4:$F$3003,MATCH($C258,ENVIOS!$A$4:$A$3003,0)),"—"))</f>
        <v/>
      </c>
      <c r="I258" s="27">
        <f>IF($C258="","",IFERROR(INDEX(ENVIOS!$G$4:$G$3003,MATCH($C258,ENVIOS!$A$4:$A$3003,0)),"—"))</f>
        <v/>
      </c>
      <c r="J258" s="48">
        <f>IF($C258="","",IFERROR(INDEX(ENVIOS!$B$4:$B$3003,MATCH($C258,ENVIOS!$A$4:$A$3003,0)),""))</f>
        <v/>
      </c>
      <c r="K258" s="49" t="n"/>
      <c r="L258" s="27">
        <f>IF($K258="","",IFERROR(INDEX(CONFIG!$B$4:$B$43,MATCH($K258,CONFIG!$A$4:$A$43,0)),"Media"))</f>
        <v/>
      </c>
      <c r="M258" s="27">
        <f>IF($K258="","",IFERROR(INDEX(CONFIG!$D$4:$D$43,MATCH($K258,CONFIG!$A$4:$A$43,0)),"NO"))</f>
        <v/>
      </c>
      <c r="N258" s="49" t="n"/>
      <c r="O258" s="27">
        <f>IF($N258="","",IFERROR(INDEX(CONFIG!$G$4:$G$43,MATCH($N258,CONFIG!$F$4:$F$43,0)),"Por definir"))</f>
        <v/>
      </c>
      <c r="P258" s="27">
        <f>IF($N258="","",IFERROR(INDEX(CONFIG!$H$4:$H$43,MATCH($N258,CONFIG!$F$4:$F$43,0)),"Por definir"))</f>
        <v/>
      </c>
      <c r="Q258" s="50" t="n"/>
      <c r="R258" s="51" t="n"/>
      <c r="S258" s="49" t="n"/>
      <c r="T258" s="49" t="n"/>
      <c r="U258" s="48">
        <f>IF(OR($B258="",$K258=""),"",WORKDAY($B258,IFERROR(INDEX(CONFIG!$C$4:$C$43,MATCH($K258,CONFIG!$A$4:$A$43,0)),3)))</f>
        <v/>
      </c>
      <c r="V258" s="46" t="n"/>
      <c r="W258" s="23">
        <f>IF($B258="","",IF($V258&lt;&gt;"",$V258-$B258,TODAY()-$B258))</f>
        <v/>
      </c>
      <c r="X258" s="27">
        <f>IF($C258="","",IF(IFERROR(INDEX(CONFIG!$K$4:$K$43,MATCH($S258,CONFIG!$J$4:$J$43,0)),"NO")="SÍ",IF(OR($V258="",$U258=""),"Resuelta",IF($V258&gt;$U258,"Resuelta tarde","Resuelta a tiempo")),IF($U258="","Sin clasificar",IF(TODAY()&gt;$U258,"Vencida",IF(TODAY()&gt;=$U258-1,"Por vencer","En plazo")))))</f>
        <v/>
      </c>
      <c r="Y258" s="49" t="n"/>
      <c r="Z258" s="49" t="n"/>
    </row>
    <row r="259" ht="16" customHeight="1">
      <c r="A259" s="27">
        <f>IF($C259="","","N-"&amp;TEXT(ROW()-3,"0000"))</f>
        <v/>
      </c>
      <c r="B259" s="46" t="n"/>
      <c r="C259" s="47" t="n"/>
      <c r="D259" s="27">
        <f>IF($C259="","",IF(COUNTIFS(ENVIOS!$A$4:$A$3003,$C259)=0,"NO EXISTE",IF(COUNTIFS(ENVIOS!$A$4:$A$3003,$C259)&gt;1,"DUPLICADA","OK")))</f>
        <v/>
      </c>
      <c r="E259" s="22">
        <f>IF($C259="","",IFERROR(INDEX(ENVIOS!$C$4:$C$3003,MATCH($C259,ENVIOS!$A$4:$A$3003,0)),"—"))</f>
        <v/>
      </c>
      <c r="F259" s="22">
        <f>IF($C259="","",IFERROR(INDEX(ENVIOS!$D$4:$D$3003,MATCH($C259,ENVIOS!$A$4:$A$3003,0)),"—"))</f>
        <v/>
      </c>
      <c r="G259" s="22">
        <f>IF($C259="","",IFERROR(INDEX(ENVIOS!$E$4:$E$3003,MATCH($C259,ENVIOS!$A$4:$A$3003,0)),"—"))</f>
        <v/>
      </c>
      <c r="H259" s="22">
        <f>IF($C259="","",IFERROR(INDEX(ENVIOS!$F$4:$F$3003,MATCH($C259,ENVIOS!$A$4:$A$3003,0)),"—"))</f>
        <v/>
      </c>
      <c r="I259" s="27">
        <f>IF($C259="","",IFERROR(INDEX(ENVIOS!$G$4:$G$3003,MATCH($C259,ENVIOS!$A$4:$A$3003,0)),"—"))</f>
        <v/>
      </c>
      <c r="J259" s="48">
        <f>IF($C259="","",IFERROR(INDEX(ENVIOS!$B$4:$B$3003,MATCH($C259,ENVIOS!$A$4:$A$3003,0)),""))</f>
        <v/>
      </c>
      <c r="K259" s="49" t="n"/>
      <c r="L259" s="27">
        <f>IF($K259="","",IFERROR(INDEX(CONFIG!$B$4:$B$43,MATCH($K259,CONFIG!$A$4:$A$43,0)),"Media"))</f>
        <v/>
      </c>
      <c r="M259" s="27">
        <f>IF($K259="","",IFERROR(INDEX(CONFIG!$D$4:$D$43,MATCH($K259,CONFIG!$A$4:$A$43,0)),"NO"))</f>
        <v/>
      </c>
      <c r="N259" s="49" t="n"/>
      <c r="O259" s="27">
        <f>IF($N259="","",IFERROR(INDEX(CONFIG!$G$4:$G$43,MATCH($N259,CONFIG!$F$4:$F$43,0)),"Por definir"))</f>
        <v/>
      </c>
      <c r="P259" s="27">
        <f>IF($N259="","",IFERROR(INDEX(CONFIG!$H$4:$H$43,MATCH($N259,CONFIG!$F$4:$F$43,0)),"Por definir"))</f>
        <v/>
      </c>
      <c r="Q259" s="50" t="n"/>
      <c r="R259" s="51" t="n"/>
      <c r="S259" s="49" t="n"/>
      <c r="T259" s="49" t="n"/>
      <c r="U259" s="48">
        <f>IF(OR($B259="",$K259=""),"",WORKDAY($B259,IFERROR(INDEX(CONFIG!$C$4:$C$43,MATCH($K259,CONFIG!$A$4:$A$43,0)),3)))</f>
        <v/>
      </c>
      <c r="V259" s="46" t="n"/>
      <c r="W259" s="23">
        <f>IF($B259="","",IF($V259&lt;&gt;"",$V259-$B259,TODAY()-$B259))</f>
        <v/>
      </c>
      <c r="X259" s="27">
        <f>IF($C259="","",IF(IFERROR(INDEX(CONFIG!$K$4:$K$43,MATCH($S259,CONFIG!$J$4:$J$43,0)),"NO")="SÍ",IF(OR($V259="",$U259=""),"Resuelta",IF($V259&gt;$U259,"Resuelta tarde","Resuelta a tiempo")),IF($U259="","Sin clasificar",IF(TODAY()&gt;$U259,"Vencida",IF(TODAY()&gt;=$U259-1,"Por vencer","En plazo")))))</f>
        <v/>
      </c>
      <c r="Y259" s="49" t="n"/>
      <c r="Z259" s="49" t="n"/>
    </row>
    <row r="260" ht="16" customHeight="1">
      <c r="A260" s="27">
        <f>IF($C260="","","N-"&amp;TEXT(ROW()-3,"0000"))</f>
        <v/>
      </c>
      <c r="B260" s="46" t="n"/>
      <c r="C260" s="47" t="n"/>
      <c r="D260" s="27">
        <f>IF($C260="","",IF(COUNTIFS(ENVIOS!$A$4:$A$3003,$C260)=0,"NO EXISTE",IF(COUNTIFS(ENVIOS!$A$4:$A$3003,$C260)&gt;1,"DUPLICADA","OK")))</f>
        <v/>
      </c>
      <c r="E260" s="22">
        <f>IF($C260="","",IFERROR(INDEX(ENVIOS!$C$4:$C$3003,MATCH($C260,ENVIOS!$A$4:$A$3003,0)),"—"))</f>
        <v/>
      </c>
      <c r="F260" s="22">
        <f>IF($C260="","",IFERROR(INDEX(ENVIOS!$D$4:$D$3003,MATCH($C260,ENVIOS!$A$4:$A$3003,0)),"—"))</f>
        <v/>
      </c>
      <c r="G260" s="22">
        <f>IF($C260="","",IFERROR(INDEX(ENVIOS!$E$4:$E$3003,MATCH($C260,ENVIOS!$A$4:$A$3003,0)),"—"))</f>
        <v/>
      </c>
      <c r="H260" s="22">
        <f>IF($C260="","",IFERROR(INDEX(ENVIOS!$F$4:$F$3003,MATCH($C260,ENVIOS!$A$4:$A$3003,0)),"—"))</f>
        <v/>
      </c>
      <c r="I260" s="27">
        <f>IF($C260="","",IFERROR(INDEX(ENVIOS!$G$4:$G$3003,MATCH($C260,ENVIOS!$A$4:$A$3003,0)),"—"))</f>
        <v/>
      </c>
      <c r="J260" s="48">
        <f>IF($C260="","",IFERROR(INDEX(ENVIOS!$B$4:$B$3003,MATCH($C260,ENVIOS!$A$4:$A$3003,0)),""))</f>
        <v/>
      </c>
      <c r="K260" s="49" t="n"/>
      <c r="L260" s="27">
        <f>IF($K260="","",IFERROR(INDEX(CONFIG!$B$4:$B$43,MATCH($K260,CONFIG!$A$4:$A$43,0)),"Media"))</f>
        <v/>
      </c>
      <c r="M260" s="27">
        <f>IF($K260="","",IFERROR(INDEX(CONFIG!$D$4:$D$43,MATCH($K260,CONFIG!$A$4:$A$43,0)),"NO"))</f>
        <v/>
      </c>
      <c r="N260" s="49" t="n"/>
      <c r="O260" s="27">
        <f>IF($N260="","",IFERROR(INDEX(CONFIG!$G$4:$G$43,MATCH($N260,CONFIG!$F$4:$F$43,0)),"Por definir"))</f>
        <v/>
      </c>
      <c r="P260" s="27">
        <f>IF($N260="","",IFERROR(INDEX(CONFIG!$H$4:$H$43,MATCH($N260,CONFIG!$F$4:$F$43,0)),"Por definir"))</f>
        <v/>
      </c>
      <c r="Q260" s="50" t="n"/>
      <c r="R260" s="51" t="n"/>
      <c r="S260" s="49" t="n"/>
      <c r="T260" s="49" t="n"/>
      <c r="U260" s="48">
        <f>IF(OR($B260="",$K260=""),"",WORKDAY($B260,IFERROR(INDEX(CONFIG!$C$4:$C$43,MATCH($K260,CONFIG!$A$4:$A$43,0)),3)))</f>
        <v/>
      </c>
      <c r="V260" s="46" t="n"/>
      <c r="W260" s="23">
        <f>IF($B260="","",IF($V260&lt;&gt;"",$V260-$B260,TODAY()-$B260))</f>
        <v/>
      </c>
      <c r="X260" s="27">
        <f>IF($C260="","",IF(IFERROR(INDEX(CONFIG!$K$4:$K$43,MATCH($S260,CONFIG!$J$4:$J$43,0)),"NO")="SÍ",IF(OR($V260="",$U260=""),"Resuelta",IF($V260&gt;$U260,"Resuelta tarde","Resuelta a tiempo")),IF($U260="","Sin clasificar",IF(TODAY()&gt;$U260,"Vencida",IF(TODAY()&gt;=$U260-1,"Por vencer","En plazo")))))</f>
        <v/>
      </c>
      <c r="Y260" s="49" t="n"/>
      <c r="Z260" s="49" t="n"/>
    </row>
    <row r="261" ht="16" customHeight="1">
      <c r="A261" s="27">
        <f>IF($C261="","","N-"&amp;TEXT(ROW()-3,"0000"))</f>
        <v/>
      </c>
      <c r="B261" s="46" t="n"/>
      <c r="C261" s="47" t="n"/>
      <c r="D261" s="27">
        <f>IF($C261="","",IF(COUNTIFS(ENVIOS!$A$4:$A$3003,$C261)=0,"NO EXISTE",IF(COUNTIFS(ENVIOS!$A$4:$A$3003,$C261)&gt;1,"DUPLICADA","OK")))</f>
        <v/>
      </c>
      <c r="E261" s="22">
        <f>IF($C261="","",IFERROR(INDEX(ENVIOS!$C$4:$C$3003,MATCH($C261,ENVIOS!$A$4:$A$3003,0)),"—"))</f>
        <v/>
      </c>
      <c r="F261" s="22">
        <f>IF($C261="","",IFERROR(INDEX(ENVIOS!$D$4:$D$3003,MATCH($C261,ENVIOS!$A$4:$A$3003,0)),"—"))</f>
        <v/>
      </c>
      <c r="G261" s="22">
        <f>IF($C261="","",IFERROR(INDEX(ENVIOS!$E$4:$E$3003,MATCH($C261,ENVIOS!$A$4:$A$3003,0)),"—"))</f>
        <v/>
      </c>
      <c r="H261" s="22">
        <f>IF($C261="","",IFERROR(INDEX(ENVIOS!$F$4:$F$3003,MATCH($C261,ENVIOS!$A$4:$A$3003,0)),"—"))</f>
        <v/>
      </c>
      <c r="I261" s="27">
        <f>IF($C261="","",IFERROR(INDEX(ENVIOS!$G$4:$G$3003,MATCH($C261,ENVIOS!$A$4:$A$3003,0)),"—"))</f>
        <v/>
      </c>
      <c r="J261" s="48">
        <f>IF($C261="","",IFERROR(INDEX(ENVIOS!$B$4:$B$3003,MATCH($C261,ENVIOS!$A$4:$A$3003,0)),""))</f>
        <v/>
      </c>
      <c r="K261" s="49" t="n"/>
      <c r="L261" s="27">
        <f>IF($K261="","",IFERROR(INDEX(CONFIG!$B$4:$B$43,MATCH($K261,CONFIG!$A$4:$A$43,0)),"Media"))</f>
        <v/>
      </c>
      <c r="M261" s="27">
        <f>IF($K261="","",IFERROR(INDEX(CONFIG!$D$4:$D$43,MATCH($K261,CONFIG!$A$4:$A$43,0)),"NO"))</f>
        <v/>
      </c>
      <c r="N261" s="49" t="n"/>
      <c r="O261" s="27">
        <f>IF($N261="","",IFERROR(INDEX(CONFIG!$G$4:$G$43,MATCH($N261,CONFIG!$F$4:$F$43,0)),"Por definir"))</f>
        <v/>
      </c>
      <c r="P261" s="27">
        <f>IF($N261="","",IFERROR(INDEX(CONFIG!$H$4:$H$43,MATCH($N261,CONFIG!$F$4:$F$43,0)),"Por definir"))</f>
        <v/>
      </c>
      <c r="Q261" s="50" t="n"/>
      <c r="R261" s="51" t="n"/>
      <c r="S261" s="49" t="n"/>
      <c r="T261" s="49" t="n"/>
      <c r="U261" s="48">
        <f>IF(OR($B261="",$K261=""),"",WORKDAY($B261,IFERROR(INDEX(CONFIG!$C$4:$C$43,MATCH($K261,CONFIG!$A$4:$A$43,0)),3)))</f>
        <v/>
      </c>
      <c r="V261" s="46" t="n"/>
      <c r="W261" s="23">
        <f>IF($B261="","",IF($V261&lt;&gt;"",$V261-$B261,TODAY()-$B261))</f>
        <v/>
      </c>
      <c r="X261" s="27">
        <f>IF($C261="","",IF(IFERROR(INDEX(CONFIG!$K$4:$K$43,MATCH($S261,CONFIG!$J$4:$J$43,0)),"NO")="SÍ",IF(OR($V261="",$U261=""),"Resuelta",IF($V261&gt;$U261,"Resuelta tarde","Resuelta a tiempo")),IF($U261="","Sin clasificar",IF(TODAY()&gt;$U261,"Vencida",IF(TODAY()&gt;=$U261-1,"Por vencer","En plazo")))))</f>
        <v/>
      </c>
      <c r="Y261" s="49" t="n"/>
      <c r="Z261" s="49" t="n"/>
    </row>
    <row r="262" ht="16" customHeight="1">
      <c r="A262" s="27">
        <f>IF($C262="","","N-"&amp;TEXT(ROW()-3,"0000"))</f>
        <v/>
      </c>
      <c r="B262" s="46" t="n"/>
      <c r="C262" s="47" t="n"/>
      <c r="D262" s="27">
        <f>IF($C262="","",IF(COUNTIFS(ENVIOS!$A$4:$A$3003,$C262)=0,"NO EXISTE",IF(COUNTIFS(ENVIOS!$A$4:$A$3003,$C262)&gt;1,"DUPLICADA","OK")))</f>
        <v/>
      </c>
      <c r="E262" s="22">
        <f>IF($C262="","",IFERROR(INDEX(ENVIOS!$C$4:$C$3003,MATCH($C262,ENVIOS!$A$4:$A$3003,0)),"—"))</f>
        <v/>
      </c>
      <c r="F262" s="22">
        <f>IF($C262="","",IFERROR(INDEX(ENVIOS!$D$4:$D$3003,MATCH($C262,ENVIOS!$A$4:$A$3003,0)),"—"))</f>
        <v/>
      </c>
      <c r="G262" s="22">
        <f>IF($C262="","",IFERROR(INDEX(ENVIOS!$E$4:$E$3003,MATCH($C262,ENVIOS!$A$4:$A$3003,0)),"—"))</f>
        <v/>
      </c>
      <c r="H262" s="22">
        <f>IF($C262="","",IFERROR(INDEX(ENVIOS!$F$4:$F$3003,MATCH($C262,ENVIOS!$A$4:$A$3003,0)),"—"))</f>
        <v/>
      </c>
      <c r="I262" s="27">
        <f>IF($C262="","",IFERROR(INDEX(ENVIOS!$G$4:$G$3003,MATCH($C262,ENVIOS!$A$4:$A$3003,0)),"—"))</f>
        <v/>
      </c>
      <c r="J262" s="48">
        <f>IF($C262="","",IFERROR(INDEX(ENVIOS!$B$4:$B$3003,MATCH($C262,ENVIOS!$A$4:$A$3003,0)),""))</f>
        <v/>
      </c>
      <c r="K262" s="49" t="n"/>
      <c r="L262" s="27">
        <f>IF($K262="","",IFERROR(INDEX(CONFIG!$B$4:$B$43,MATCH($K262,CONFIG!$A$4:$A$43,0)),"Media"))</f>
        <v/>
      </c>
      <c r="M262" s="27">
        <f>IF($K262="","",IFERROR(INDEX(CONFIG!$D$4:$D$43,MATCH($K262,CONFIG!$A$4:$A$43,0)),"NO"))</f>
        <v/>
      </c>
      <c r="N262" s="49" t="n"/>
      <c r="O262" s="27">
        <f>IF($N262="","",IFERROR(INDEX(CONFIG!$G$4:$G$43,MATCH($N262,CONFIG!$F$4:$F$43,0)),"Por definir"))</f>
        <v/>
      </c>
      <c r="P262" s="27">
        <f>IF($N262="","",IFERROR(INDEX(CONFIG!$H$4:$H$43,MATCH($N262,CONFIG!$F$4:$F$43,0)),"Por definir"))</f>
        <v/>
      </c>
      <c r="Q262" s="50" t="n"/>
      <c r="R262" s="51" t="n"/>
      <c r="S262" s="49" t="n"/>
      <c r="T262" s="49" t="n"/>
      <c r="U262" s="48">
        <f>IF(OR($B262="",$K262=""),"",WORKDAY($B262,IFERROR(INDEX(CONFIG!$C$4:$C$43,MATCH($K262,CONFIG!$A$4:$A$43,0)),3)))</f>
        <v/>
      </c>
      <c r="V262" s="46" t="n"/>
      <c r="W262" s="23">
        <f>IF($B262="","",IF($V262&lt;&gt;"",$V262-$B262,TODAY()-$B262))</f>
        <v/>
      </c>
      <c r="X262" s="27">
        <f>IF($C262="","",IF(IFERROR(INDEX(CONFIG!$K$4:$K$43,MATCH($S262,CONFIG!$J$4:$J$43,0)),"NO")="SÍ",IF(OR($V262="",$U262=""),"Resuelta",IF($V262&gt;$U262,"Resuelta tarde","Resuelta a tiempo")),IF($U262="","Sin clasificar",IF(TODAY()&gt;$U262,"Vencida",IF(TODAY()&gt;=$U262-1,"Por vencer","En plazo")))))</f>
        <v/>
      </c>
      <c r="Y262" s="49" t="n"/>
      <c r="Z262" s="49" t="n"/>
    </row>
    <row r="263" ht="16" customHeight="1">
      <c r="A263" s="27">
        <f>IF($C263="","","N-"&amp;TEXT(ROW()-3,"0000"))</f>
        <v/>
      </c>
      <c r="B263" s="46" t="n"/>
      <c r="C263" s="47" t="n"/>
      <c r="D263" s="27">
        <f>IF($C263="","",IF(COUNTIFS(ENVIOS!$A$4:$A$3003,$C263)=0,"NO EXISTE",IF(COUNTIFS(ENVIOS!$A$4:$A$3003,$C263)&gt;1,"DUPLICADA","OK")))</f>
        <v/>
      </c>
      <c r="E263" s="22">
        <f>IF($C263="","",IFERROR(INDEX(ENVIOS!$C$4:$C$3003,MATCH($C263,ENVIOS!$A$4:$A$3003,0)),"—"))</f>
        <v/>
      </c>
      <c r="F263" s="22">
        <f>IF($C263="","",IFERROR(INDEX(ENVIOS!$D$4:$D$3003,MATCH($C263,ENVIOS!$A$4:$A$3003,0)),"—"))</f>
        <v/>
      </c>
      <c r="G263" s="22">
        <f>IF($C263="","",IFERROR(INDEX(ENVIOS!$E$4:$E$3003,MATCH($C263,ENVIOS!$A$4:$A$3003,0)),"—"))</f>
        <v/>
      </c>
      <c r="H263" s="22">
        <f>IF($C263="","",IFERROR(INDEX(ENVIOS!$F$4:$F$3003,MATCH($C263,ENVIOS!$A$4:$A$3003,0)),"—"))</f>
        <v/>
      </c>
      <c r="I263" s="27">
        <f>IF($C263="","",IFERROR(INDEX(ENVIOS!$G$4:$G$3003,MATCH($C263,ENVIOS!$A$4:$A$3003,0)),"—"))</f>
        <v/>
      </c>
      <c r="J263" s="48">
        <f>IF($C263="","",IFERROR(INDEX(ENVIOS!$B$4:$B$3003,MATCH($C263,ENVIOS!$A$4:$A$3003,0)),""))</f>
        <v/>
      </c>
      <c r="K263" s="49" t="n"/>
      <c r="L263" s="27">
        <f>IF($K263="","",IFERROR(INDEX(CONFIG!$B$4:$B$43,MATCH($K263,CONFIG!$A$4:$A$43,0)),"Media"))</f>
        <v/>
      </c>
      <c r="M263" s="27">
        <f>IF($K263="","",IFERROR(INDEX(CONFIG!$D$4:$D$43,MATCH($K263,CONFIG!$A$4:$A$43,0)),"NO"))</f>
        <v/>
      </c>
      <c r="N263" s="49" t="n"/>
      <c r="O263" s="27">
        <f>IF($N263="","",IFERROR(INDEX(CONFIG!$G$4:$G$43,MATCH($N263,CONFIG!$F$4:$F$43,0)),"Por definir"))</f>
        <v/>
      </c>
      <c r="P263" s="27">
        <f>IF($N263="","",IFERROR(INDEX(CONFIG!$H$4:$H$43,MATCH($N263,CONFIG!$F$4:$F$43,0)),"Por definir"))</f>
        <v/>
      </c>
      <c r="Q263" s="50" t="n"/>
      <c r="R263" s="51" t="n"/>
      <c r="S263" s="49" t="n"/>
      <c r="T263" s="49" t="n"/>
      <c r="U263" s="48">
        <f>IF(OR($B263="",$K263=""),"",WORKDAY($B263,IFERROR(INDEX(CONFIG!$C$4:$C$43,MATCH($K263,CONFIG!$A$4:$A$43,0)),3)))</f>
        <v/>
      </c>
      <c r="V263" s="46" t="n"/>
      <c r="W263" s="23">
        <f>IF($B263="","",IF($V263&lt;&gt;"",$V263-$B263,TODAY()-$B263))</f>
        <v/>
      </c>
      <c r="X263" s="27">
        <f>IF($C263="","",IF(IFERROR(INDEX(CONFIG!$K$4:$K$43,MATCH($S263,CONFIG!$J$4:$J$43,0)),"NO")="SÍ",IF(OR($V263="",$U263=""),"Resuelta",IF($V263&gt;$U263,"Resuelta tarde","Resuelta a tiempo")),IF($U263="","Sin clasificar",IF(TODAY()&gt;$U263,"Vencida",IF(TODAY()&gt;=$U263-1,"Por vencer","En plazo")))))</f>
        <v/>
      </c>
      <c r="Y263" s="49" t="n"/>
      <c r="Z263" s="49" t="n"/>
    </row>
    <row r="264" ht="16" customHeight="1">
      <c r="A264" s="27">
        <f>IF($C264="","","N-"&amp;TEXT(ROW()-3,"0000"))</f>
        <v/>
      </c>
      <c r="B264" s="46" t="n"/>
      <c r="C264" s="47" t="n"/>
      <c r="D264" s="27">
        <f>IF($C264="","",IF(COUNTIFS(ENVIOS!$A$4:$A$3003,$C264)=0,"NO EXISTE",IF(COUNTIFS(ENVIOS!$A$4:$A$3003,$C264)&gt;1,"DUPLICADA","OK")))</f>
        <v/>
      </c>
      <c r="E264" s="22">
        <f>IF($C264="","",IFERROR(INDEX(ENVIOS!$C$4:$C$3003,MATCH($C264,ENVIOS!$A$4:$A$3003,0)),"—"))</f>
        <v/>
      </c>
      <c r="F264" s="22">
        <f>IF($C264="","",IFERROR(INDEX(ENVIOS!$D$4:$D$3003,MATCH($C264,ENVIOS!$A$4:$A$3003,0)),"—"))</f>
        <v/>
      </c>
      <c r="G264" s="22">
        <f>IF($C264="","",IFERROR(INDEX(ENVIOS!$E$4:$E$3003,MATCH($C264,ENVIOS!$A$4:$A$3003,0)),"—"))</f>
        <v/>
      </c>
      <c r="H264" s="22">
        <f>IF($C264="","",IFERROR(INDEX(ENVIOS!$F$4:$F$3003,MATCH($C264,ENVIOS!$A$4:$A$3003,0)),"—"))</f>
        <v/>
      </c>
      <c r="I264" s="27">
        <f>IF($C264="","",IFERROR(INDEX(ENVIOS!$G$4:$G$3003,MATCH($C264,ENVIOS!$A$4:$A$3003,0)),"—"))</f>
        <v/>
      </c>
      <c r="J264" s="48">
        <f>IF($C264="","",IFERROR(INDEX(ENVIOS!$B$4:$B$3003,MATCH($C264,ENVIOS!$A$4:$A$3003,0)),""))</f>
        <v/>
      </c>
      <c r="K264" s="49" t="n"/>
      <c r="L264" s="27">
        <f>IF($K264="","",IFERROR(INDEX(CONFIG!$B$4:$B$43,MATCH($K264,CONFIG!$A$4:$A$43,0)),"Media"))</f>
        <v/>
      </c>
      <c r="M264" s="27">
        <f>IF($K264="","",IFERROR(INDEX(CONFIG!$D$4:$D$43,MATCH($K264,CONFIG!$A$4:$A$43,0)),"NO"))</f>
        <v/>
      </c>
      <c r="N264" s="49" t="n"/>
      <c r="O264" s="27">
        <f>IF($N264="","",IFERROR(INDEX(CONFIG!$G$4:$G$43,MATCH($N264,CONFIG!$F$4:$F$43,0)),"Por definir"))</f>
        <v/>
      </c>
      <c r="P264" s="27">
        <f>IF($N264="","",IFERROR(INDEX(CONFIG!$H$4:$H$43,MATCH($N264,CONFIG!$F$4:$F$43,0)),"Por definir"))</f>
        <v/>
      </c>
      <c r="Q264" s="50" t="n"/>
      <c r="R264" s="51" t="n"/>
      <c r="S264" s="49" t="n"/>
      <c r="T264" s="49" t="n"/>
      <c r="U264" s="48">
        <f>IF(OR($B264="",$K264=""),"",WORKDAY($B264,IFERROR(INDEX(CONFIG!$C$4:$C$43,MATCH($K264,CONFIG!$A$4:$A$43,0)),3)))</f>
        <v/>
      </c>
      <c r="V264" s="46" t="n"/>
      <c r="W264" s="23">
        <f>IF($B264="","",IF($V264&lt;&gt;"",$V264-$B264,TODAY()-$B264))</f>
        <v/>
      </c>
      <c r="X264" s="27">
        <f>IF($C264="","",IF(IFERROR(INDEX(CONFIG!$K$4:$K$43,MATCH($S264,CONFIG!$J$4:$J$43,0)),"NO")="SÍ",IF(OR($V264="",$U264=""),"Resuelta",IF($V264&gt;$U264,"Resuelta tarde","Resuelta a tiempo")),IF($U264="","Sin clasificar",IF(TODAY()&gt;$U264,"Vencida",IF(TODAY()&gt;=$U264-1,"Por vencer","En plazo")))))</f>
        <v/>
      </c>
      <c r="Y264" s="49" t="n"/>
      <c r="Z264" s="49" t="n"/>
    </row>
    <row r="265" ht="16" customHeight="1">
      <c r="A265" s="27">
        <f>IF($C265="","","N-"&amp;TEXT(ROW()-3,"0000"))</f>
        <v/>
      </c>
      <c r="B265" s="46" t="n"/>
      <c r="C265" s="47" t="n"/>
      <c r="D265" s="27">
        <f>IF($C265="","",IF(COUNTIFS(ENVIOS!$A$4:$A$3003,$C265)=0,"NO EXISTE",IF(COUNTIFS(ENVIOS!$A$4:$A$3003,$C265)&gt;1,"DUPLICADA","OK")))</f>
        <v/>
      </c>
      <c r="E265" s="22">
        <f>IF($C265="","",IFERROR(INDEX(ENVIOS!$C$4:$C$3003,MATCH($C265,ENVIOS!$A$4:$A$3003,0)),"—"))</f>
        <v/>
      </c>
      <c r="F265" s="22">
        <f>IF($C265="","",IFERROR(INDEX(ENVIOS!$D$4:$D$3003,MATCH($C265,ENVIOS!$A$4:$A$3003,0)),"—"))</f>
        <v/>
      </c>
      <c r="G265" s="22">
        <f>IF($C265="","",IFERROR(INDEX(ENVIOS!$E$4:$E$3003,MATCH($C265,ENVIOS!$A$4:$A$3003,0)),"—"))</f>
        <v/>
      </c>
      <c r="H265" s="22">
        <f>IF($C265="","",IFERROR(INDEX(ENVIOS!$F$4:$F$3003,MATCH($C265,ENVIOS!$A$4:$A$3003,0)),"—"))</f>
        <v/>
      </c>
      <c r="I265" s="27">
        <f>IF($C265="","",IFERROR(INDEX(ENVIOS!$G$4:$G$3003,MATCH($C265,ENVIOS!$A$4:$A$3003,0)),"—"))</f>
        <v/>
      </c>
      <c r="J265" s="48">
        <f>IF($C265="","",IFERROR(INDEX(ENVIOS!$B$4:$B$3003,MATCH($C265,ENVIOS!$A$4:$A$3003,0)),""))</f>
        <v/>
      </c>
      <c r="K265" s="49" t="n"/>
      <c r="L265" s="27">
        <f>IF($K265="","",IFERROR(INDEX(CONFIG!$B$4:$B$43,MATCH($K265,CONFIG!$A$4:$A$43,0)),"Media"))</f>
        <v/>
      </c>
      <c r="M265" s="27">
        <f>IF($K265="","",IFERROR(INDEX(CONFIG!$D$4:$D$43,MATCH($K265,CONFIG!$A$4:$A$43,0)),"NO"))</f>
        <v/>
      </c>
      <c r="N265" s="49" t="n"/>
      <c r="O265" s="27">
        <f>IF($N265="","",IFERROR(INDEX(CONFIG!$G$4:$G$43,MATCH($N265,CONFIG!$F$4:$F$43,0)),"Por definir"))</f>
        <v/>
      </c>
      <c r="P265" s="27">
        <f>IF($N265="","",IFERROR(INDEX(CONFIG!$H$4:$H$43,MATCH($N265,CONFIG!$F$4:$F$43,0)),"Por definir"))</f>
        <v/>
      </c>
      <c r="Q265" s="50" t="n"/>
      <c r="R265" s="51" t="n"/>
      <c r="S265" s="49" t="n"/>
      <c r="T265" s="49" t="n"/>
      <c r="U265" s="48">
        <f>IF(OR($B265="",$K265=""),"",WORKDAY($B265,IFERROR(INDEX(CONFIG!$C$4:$C$43,MATCH($K265,CONFIG!$A$4:$A$43,0)),3)))</f>
        <v/>
      </c>
      <c r="V265" s="46" t="n"/>
      <c r="W265" s="23">
        <f>IF($B265="","",IF($V265&lt;&gt;"",$V265-$B265,TODAY()-$B265))</f>
        <v/>
      </c>
      <c r="X265" s="27">
        <f>IF($C265="","",IF(IFERROR(INDEX(CONFIG!$K$4:$K$43,MATCH($S265,CONFIG!$J$4:$J$43,0)),"NO")="SÍ",IF(OR($V265="",$U265=""),"Resuelta",IF($V265&gt;$U265,"Resuelta tarde","Resuelta a tiempo")),IF($U265="","Sin clasificar",IF(TODAY()&gt;$U265,"Vencida",IF(TODAY()&gt;=$U265-1,"Por vencer","En plazo")))))</f>
        <v/>
      </c>
      <c r="Y265" s="49" t="n"/>
      <c r="Z265" s="49" t="n"/>
    </row>
    <row r="266" ht="16" customHeight="1">
      <c r="A266" s="27">
        <f>IF($C266="","","N-"&amp;TEXT(ROW()-3,"0000"))</f>
        <v/>
      </c>
      <c r="B266" s="46" t="n"/>
      <c r="C266" s="47" t="n"/>
      <c r="D266" s="27">
        <f>IF($C266="","",IF(COUNTIFS(ENVIOS!$A$4:$A$3003,$C266)=0,"NO EXISTE",IF(COUNTIFS(ENVIOS!$A$4:$A$3003,$C266)&gt;1,"DUPLICADA","OK")))</f>
        <v/>
      </c>
      <c r="E266" s="22">
        <f>IF($C266="","",IFERROR(INDEX(ENVIOS!$C$4:$C$3003,MATCH($C266,ENVIOS!$A$4:$A$3003,0)),"—"))</f>
        <v/>
      </c>
      <c r="F266" s="22">
        <f>IF($C266="","",IFERROR(INDEX(ENVIOS!$D$4:$D$3003,MATCH($C266,ENVIOS!$A$4:$A$3003,0)),"—"))</f>
        <v/>
      </c>
      <c r="G266" s="22">
        <f>IF($C266="","",IFERROR(INDEX(ENVIOS!$E$4:$E$3003,MATCH($C266,ENVIOS!$A$4:$A$3003,0)),"—"))</f>
        <v/>
      </c>
      <c r="H266" s="22">
        <f>IF($C266="","",IFERROR(INDEX(ENVIOS!$F$4:$F$3003,MATCH($C266,ENVIOS!$A$4:$A$3003,0)),"—"))</f>
        <v/>
      </c>
      <c r="I266" s="27">
        <f>IF($C266="","",IFERROR(INDEX(ENVIOS!$G$4:$G$3003,MATCH($C266,ENVIOS!$A$4:$A$3003,0)),"—"))</f>
        <v/>
      </c>
      <c r="J266" s="48">
        <f>IF($C266="","",IFERROR(INDEX(ENVIOS!$B$4:$B$3003,MATCH($C266,ENVIOS!$A$4:$A$3003,0)),""))</f>
        <v/>
      </c>
      <c r="K266" s="49" t="n"/>
      <c r="L266" s="27">
        <f>IF($K266="","",IFERROR(INDEX(CONFIG!$B$4:$B$43,MATCH($K266,CONFIG!$A$4:$A$43,0)),"Media"))</f>
        <v/>
      </c>
      <c r="M266" s="27">
        <f>IF($K266="","",IFERROR(INDEX(CONFIG!$D$4:$D$43,MATCH($K266,CONFIG!$A$4:$A$43,0)),"NO"))</f>
        <v/>
      </c>
      <c r="N266" s="49" t="n"/>
      <c r="O266" s="27">
        <f>IF($N266="","",IFERROR(INDEX(CONFIG!$G$4:$G$43,MATCH($N266,CONFIG!$F$4:$F$43,0)),"Por definir"))</f>
        <v/>
      </c>
      <c r="P266" s="27">
        <f>IF($N266="","",IFERROR(INDEX(CONFIG!$H$4:$H$43,MATCH($N266,CONFIG!$F$4:$F$43,0)),"Por definir"))</f>
        <v/>
      </c>
      <c r="Q266" s="50" t="n"/>
      <c r="R266" s="51" t="n"/>
      <c r="S266" s="49" t="n"/>
      <c r="T266" s="49" t="n"/>
      <c r="U266" s="48">
        <f>IF(OR($B266="",$K266=""),"",WORKDAY($B266,IFERROR(INDEX(CONFIG!$C$4:$C$43,MATCH($K266,CONFIG!$A$4:$A$43,0)),3)))</f>
        <v/>
      </c>
      <c r="V266" s="46" t="n"/>
      <c r="W266" s="23">
        <f>IF($B266="","",IF($V266&lt;&gt;"",$V266-$B266,TODAY()-$B266))</f>
        <v/>
      </c>
      <c r="X266" s="27">
        <f>IF($C266="","",IF(IFERROR(INDEX(CONFIG!$K$4:$K$43,MATCH($S266,CONFIG!$J$4:$J$43,0)),"NO")="SÍ",IF(OR($V266="",$U266=""),"Resuelta",IF($V266&gt;$U266,"Resuelta tarde","Resuelta a tiempo")),IF($U266="","Sin clasificar",IF(TODAY()&gt;$U266,"Vencida",IF(TODAY()&gt;=$U266-1,"Por vencer","En plazo")))))</f>
        <v/>
      </c>
      <c r="Y266" s="49" t="n"/>
      <c r="Z266" s="49" t="n"/>
    </row>
    <row r="267" ht="16" customHeight="1">
      <c r="A267" s="27">
        <f>IF($C267="","","N-"&amp;TEXT(ROW()-3,"0000"))</f>
        <v/>
      </c>
      <c r="B267" s="46" t="n"/>
      <c r="C267" s="47" t="n"/>
      <c r="D267" s="27">
        <f>IF($C267="","",IF(COUNTIFS(ENVIOS!$A$4:$A$3003,$C267)=0,"NO EXISTE",IF(COUNTIFS(ENVIOS!$A$4:$A$3003,$C267)&gt;1,"DUPLICADA","OK")))</f>
        <v/>
      </c>
      <c r="E267" s="22">
        <f>IF($C267="","",IFERROR(INDEX(ENVIOS!$C$4:$C$3003,MATCH($C267,ENVIOS!$A$4:$A$3003,0)),"—"))</f>
        <v/>
      </c>
      <c r="F267" s="22">
        <f>IF($C267="","",IFERROR(INDEX(ENVIOS!$D$4:$D$3003,MATCH($C267,ENVIOS!$A$4:$A$3003,0)),"—"))</f>
        <v/>
      </c>
      <c r="G267" s="22">
        <f>IF($C267="","",IFERROR(INDEX(ENVIOS!$E$4:$E$3003,MATCH($C267,ENVIOS!$A$4:$A$3003,0)),"—"))</f>
        <v/>
      </c>
      <c r="H267" s="22">
        <f>IF($C267="","",IFERROR(INDEX(ENVIOS!$F$4:$F$3003,MATCH($C267,ENVIOS!$A$4:$A$3003,0)),"—"))</f>
        <v/>
      </c>
      <c r="I267" s="27">
        <f>IF($C267="","",IFERROR(INDEX(ENVIOS!$G$4:$G$3003,MATCH($C267,ENVIOS!$A$4:$A$3003,0)),"—"))</f>
        <v/>
      </c>
      <c r="J267" s="48">
        <f>IF($C267="","",IFERROR(INDEX(ENVIOS!$B$4:$B$3003,MATCH($C267,ENVIOS!$A$4:$A$3003,0)),""))</f>
        <v/>
      </c>
      <c r="K267" s="49" t="n"/>
      <c r="L267" s="27">
        <f>IF($K267="","",IFERROR(INDEX(CONFIG!$B$4:$B$43,MATCH($K267,CONFIG!$A$4:$A$43,0)),"Media"))</f>
        <v/>
      </c>
      <c r="M267" s="27">
        <f>IF($K267="","",IFERROR(INDEX(CONFIG!$D$4:$D$43,MATCH($K267,CONFIG!$A$4:$A$43,0)),"NO"))</f>
        <v/>
      </c>
      <c r="N267" s="49" t="n"/>
      <c r="O267" s="27">
        <f>IF($N267="","",IFERROR(INDEX(CONFIG!$G$4:$G$43,MATCH($N267,CONFIG!$F$4:$F$43,0)),"Por definir"))</f>
        <v/>
      </c>
      <c r="P267" s="27">
        <f>IF($N267="","",IFERROR(INDEX(CONFIG!$H$4:$H$43,MATCH($N267,CONFIG!$F$4:$F$43,0)),"Por definir"))</f>
        <v/>
      </c>
      <c r="Q267" s="50" t="n"/>
      <c r="R267" s="51" t="n"/>
      <c r="S267" s="49" t="n"/>
      <c r="T267" s="49" t="n"/>
      <c r="U267" s="48">
        <f>IF(OR($B267="",$K267=""),"",WORKDAY($B267,IFERROR(INDEX(CONFIG!$C$4:$C$43,MATCH($K267,CONFIG!$A$4:$A$43,0)),3)))</f>
        <v/>
      </c>
      <c r="V267" s="46" t="n"/>
      <c r="W267" s="23">
        <f>IF($B267="","",IF($V267&lt;&gt;"",$V267-$B267,TODAY()-$B267))</f>
        <v/>
      </c>
      <c r="X267" s="27">
        <f>IF($C267="","",IF(IFERROR(INDEX(CONFIG!$K$4:$K$43,MATCH($S267,CONFIG!$J$4:$J$43,0)),"NO")="SÍ",IF(OR($V267="",$U267=""),"Resuelta",IF($V267&gt;$U267,"Resuelta tarde","Resuelta a tiempo")),IF($U267="","Sin clasificar",IF(TODAY()&gt;$U267,"Vencida",IF(TODAY()&gt;=$U267-1,"Por vencer","En plazo")))))</f>
        <v/>
      </c>
      <c r="Y267" s="49" t="n"/>
      <c r="Z267" s="49" t="n"/>
    </row>
    <row r="268" ht="16" customHeight="1">
      <c r="A268" s="27">
        <f>IF($C268="","","N-"&amp;TEXT(ROW()-3,"0000"))</f>
        <v/>
      </c>
      <c r="B268" s="46" t="n"/>
      <c r="C268" s="47" t="n"/>
      <c r="D268" s="27">
        <f>IF($C268="","",IF(COUNTIFS(ENVIOS!$A$4:$A$3003,$C268)=0,"NO EXISTE",IF(COUNTIFS(ENVIOS!$A$4:$A$3003,$C268)&gt;1,"DUPLICADA","OK")))</f>
        <v/>
      </c>
      <c r="E268" s="22">
        <f>IF($C268="","",IFERROR(INDEX(ENVIOS!$C$4:$C$3003,MATCH($C268,ENVIOS!$A$4:$A$3003,0)),"—"))</f>
        <v/>
      </c>
      <c r="F268" s="22">
        <f>IF($C268="","",IFERROR(INDEX(ENVIOS!$D$4:$D$3003,MATCH($C268,ENVIOS!$A$4:$A$3003,0)),"—"))</f>
        <v/>
      </c>
      <c r="G268" s="22">
        <f>IF($C268="","",IFERROR(INDEX(ENVIOS!$E$4:$E$3003,MATCH($C268,ENVIOS!$A$4:$A$3003,0)),"—"))</f>
        <v/>
      </c>
      <c r="H268" s="22">
        <f>IF($C268="","",IFERROR(INDEX(ENVIOS!$F$4:$F$3003,MATCH($C268,ENVIOS!$A$4:$A$3003,0)),"—"))</f>
        <v/>
      </c>
      <c r="I268" s="27">
        <f>IF($C268="","",IFERROR(INDEX(ENVIOS!$G$4:$G$3003,MATCH($C268,ENVIOS!$A$4:$A$3003,0)),"—"))</f>
        <v/>
      </c>
      <c r="J268" s="48">
        <f>IF($C268="","",IFERROR(INDEX(ENVIOS!$B$4:$B$3003,MATCH($C268,ENVIOS!$A$4:$A$3003,0)),""))</f>
        <v/>
      </c>
      <c r="K268" s="49" t="n"/>
      <c r="L268" s="27">
        <f>IF($K268="","",IFERROR(INDEX(CONFIG!$B$4:$B$43,MATCH($K268,CONFIG!$A$4:$A$43,0)),"Media"))</f>
        <v/>
      </c>
      <c r="M268" s="27">
        <f>IF($K268="","",IFERROR(INDEX(CONFIG!$D$4:$D$43,MATCH($K268,CONFIG!$A$4:$A$43,0)),"NO"))</f>
        <v/>
      </c>
      <c r="N268" s="49" t="n"/>
      <c r="O268" s="27">
        <f>IF($N268="","",IFERROR(INDEX(CONFIG!$G$4:$G$43,MATCH($N268,CONFIG!$F$4:$F$43,0)),"Por definir"))</f>
        <v/>
      </c>
      <c r="P268" s="27">
        <f>IF($N268="","",IFERROR(INDEX(CONFIG!$H$4:$H$43,MATCH($N268,CONFIG!$F$4:$F$43,0)),"Por definir"))</f>
        <v/>
      </c>
      <c r="Q268" s="50" t="n"/>
      <c r="R268" s="51" t="n"/>
      <c r="S268" s="49" t="n"/>
      <c r="T268" s="49" t="n"/>
      <c r="U268" s="48">
        <f>IF(OR($B268="",$K268=""),"",WORKDAY($B268,IFERROR(INDEX(CONFIG!$C$4:$C$43,MATCH($K268,CONFIG!$A$4:$A$43,0)),3)))</f>
        <v/>
      </c>
      <c r="V268" s="46" t="n"/>
      <c r="W268" s="23">
        <f>IF($B268="","",IF($V268&lt;&gt;"",$V268-$B268,TODAY()-$B268))</f>
        <v/>
      </c>
      <c r="X268" s="27">
        <f>IF($C268="","",IF(IFERROR(INDEX(CONFIG!$K$4:$K$43,MATCH($S268,CONFIG!$J$4:$J$43,0)),"NO")="SÍ",IF(OR($V268="",$U268=""),"Resuelta",IF($V268&gt;$U268,"Resuelta tarde","Resuelta a tiempo")),IF($U268="","Sin clasificar",IF(TODAY()&gt;$U268,"Vencida",IF(TODAY()&gt;=$U268-1,"Por vencer","En plazo")))))</f>
        <v/>
      </c>
      <c r="Y268" s="49" t="n"/>
      <c r="Z268" s="49" t="n"/>
    </row>
    <row r="269" ht="16" customHeight="1">
      <c r="A269" s="27">
        <f>IF($C269="","","N-"&amp;TEXT(ROW()-3,"0000"))</f>
        <v/>
      </c>
      <c r="B269" s="46" t="n"/>
      <c r="C269" s="47" t="n"/>
      <c r="D269" s="27">
        <f>IF($C269="","",IF(COUNTIFS(ENVIOS!$A$4:$A$3003,$C269)=0,"NO EXISTE",IF(COUNTIFS(ENVIOS!$A$4:$A$3003,$C269)&gt;1,"DUPLICADA","OK")))</f>
        <v/>
      </c>
      <c r="E269" s="22">
        <f>IF($C269="","",IFERROR(INDEX(ENVIOS!$C$4:$C$3003,MATCH($C269,ENVIOS!$A$4:$A$3003,0)),"—"))</f>
        <v/>
      </c>
      <c r="F269" s="22">
        <f>IF($C269="","",IFERROR(INDEX(ENVIOS!$D$4:$D$3003,MATCH($C269,ENVIOS!$A$4:$A$3003,0)),"—"))</f>
        <v/>
      </c>
      <c r="G269" s="22">
        <f>IF($C269="","",IFERROR(INDEX(ENVIOS!$E$4:$E$3003,MATCH($C269,ENVIOS!$A$4:$A$3003,0)),"—"))</f>
        <v/>
      </c>
      <c r="H269" s="22">
        <f>IF($C269="","",IFERROR(INDEX(ENVIOS!$F$4:$F$3003,MATCH($C269,ENVIOS!$A$4:$A$3003,0)),"—"))</f>
        <v/>
      </c>
      <c r="I269" s="27">
        <f>IF($C269="","",IFERROR(INDEX(ENVIOS!$G$4:$G$3003,MATCH($C269,ENVIOS!$A$4:$A$3003,0)),"—"))</f>
        <v/>
      </c>
      <c r="J269" s="48">
        <f>IF($C269="","",IFERROR(INDEX(ENVIOS!$B$4:$B$3003,MATCH($C269,ENVIOS!$A$4:$A$3003,0)),""))</f>
        <v/>
      </c>
      <c r="K269" s="49" t="n"/>
      <c r="L269" s="27">
        <f>IF($K269="","",IFERROR(INDEX(CONFIG!$B$4:$B$43,MATCH($K269,CONFIG!$A$4:$A$43,0)),"Media"))</f>
        <v/>
      </c>
      <c r="M269" s="27">
        <f>IF($K269="","",IFERROR(INDEX(CONFIG!$D$4:$D$43,MATCH($K269,CONFIG!$A$4:$A$43,0)),"NO"))</f>
        <v/>
      </c>
      <c r="N269" s="49" t="n"/>
      <c r="O269" s="27">
        <f>IF($N269="","",IFERROR(INDEX(CONFIG!$G$4:$G$43,MATCH($N269,CONFIG!$F$4:$F$43,0)),"Por definir"))</f>
        <v/>
      </c>
      <c r="P269" s="27">
        <f>IF($N269="","",IFERROR(INDEX(CONFIG!$H$4:$H$43,MATCH($N269,CONFIG!$F$4:$F$43,0)),"Por definir"))</f>
        <v/>
      </c>
      <c r="Q269" s="50" t="n"/>
      <c r="R269" s="51" t="n"/>
      <c r="S269" s="49" t="n"/>
      <c r="T269" s="49" t="n"/>
      <c r="U269" s="48">
        <f>IF(OR($B269="",$K269=""),"",WORKDAY($B269,IFERROR(INDEX(CONFIG!$C$4:$C$43,MATCH($K269,CONFIG!$A$4:$A$43,0)),3)))</f>
        <v/>
      </c>
      <c r="V269" s="46" t="n"/>
      <c r="W269" s="23">
        <f>IF($B269="","",IF($V269&lt;&gt;"",$V269-$B269,TODAY()-$B269))</f>
        <v/>
      </c>
      <c r="X269" s="27">
        <f>IF($C269="","",IF(IFERROR(INDEX(CONFIG!$K$4:$K$43,MATCH($S269,CONFIG!$J$4:$J$43,0)),"NO")="SÍ",IF(OR($V269="",$U269=""),"Resuelta",IF($V269&gt;$U269,"Resuelta tarde","Resuelta a tiempo")),IF($U269="","Sin clasificar",IF(TODAY()&gt;$U269,"Vencida",IF(TODAY()&gt;=$U269-1,"Por vencer","En plazo")))))</f>
        <v/>
      </c>
      <c r="Y269" s="49" t="n"/>
      <c r="Z269" s="49" t="n"/>
    </row>
    <row r="270" ht="16" customHeight="1">
      <c r="A270" s="27">
        <f>IF($C270="","","N-"&amp;TEXT(ROW()-3,"0000"))</f>
        <v/>
      </c>
      <c r="B270" s="46" t="n"/>
      <c r="C270" s="47" t="n"/>
      <c r="D270" s="27">
        <f>IF($C270="","",IF(COUNTIFS(ENVIOS!$A$4:$A$3003,$C270)=0,"NO EXISTE",IF(COUNTIFS(ENVIOS!$A$4:$A$3003,$C270)&gt;1,"DUPLICADA","OK")))</f>
        <v/>
      </c>
      <c r="E270" s="22">
        <f>IF($C270="","",IFERROR(INDEX(ENVIOS!$C$4:$C$3003,MATCH($C270,ENVIOS!$A$4:$A$3003,0)),"—"))</f>
        <v/>
      </c>
      <c r="F270" s="22">
        <f>IF($C270="","",IFERROR(INDEX(ENVIOS!$D$4:$D$3003,MATCH($C270,ENVIOS!$A$4:$A$3003,0)),"—"))</f>
        <v/>
      </c>
      <c r="G270" s="22">
        <f>IF($C270="","",IFERROR(INDEX(ENVIOS!$E$4:$E$3003,MATCH($C270,ENVIOS!$A$4:$A$3003,0)),"—"))</f>
        <v/>
      </c>
      <c r="H270" s="22">
        <f>IF($C270="","",IFERROR(INDEX(ENVIOS!$F$4:$F$3003,MATCH($C270,ENVIOS!$A$4:$A$3003,0)),"—"))</f>
        <v/>
      </c>
      <c r="I270" s="27">
        <f>IF($C270="","",IFERROR(INDEX(ENVIOS!$G$4:$G$3003,MATCH($C270,ENVIOS!$A$4:$A$3003,0)),"—"))</f>
        <v/>
      </c>
      <c r="J270" s="48">
        <f>IF($C270="","",IFERROR(INDEX(ENVIOS!$B$4:$B$3003,MATCH($C270,ENVIOS!$A$4:$A$3003,0)),""))</f>
        <v/>
      </c>
      <c r="K270" s="49" t="n"/>
      <c r="L270" s="27">
        <f>IF($K270="","",IFERROR(INDEX(CONFIG!$B$4:$B$43,MATCH($K270,CONFIG!$A$4:$A$43,0)),"Media"))</f>
        <v/>
      </c>
      <c r="M270" s="27">
        <f>IF($K270="","",IFERROR(INDEX(CONFIG!$D$4:$D$43,MATCH($K270,CONFIG!$A$4:$A$43,0)),"NO"))</f>
        <v/>
      </c>
      <c r="N270" s="49" t="n"/>
      <c r="O270" s="27">
        <f>IF($N270="","",IFERROR(INDEX(CONFIG!$G$4:$G$43,MATCH($N270,CONFIG!$F$4:$F$43,0)),"Por definir"))</f>
        <v/>
      </c>
      <c r="P270" s="27">
        <f>IF($N270="","",IFERROR(INDEX(CONFIG!$H$4:$H$43,MATCH($N270,CONFIG!$F$4:$F$43,0)),"Por definir"))</f>
        <v/>
      </c>
      <c r="Q270" s="50" t="n"/>
      <c r="R270" s="51" t="n"/>
      <c r="S270" s="49" t="n"/>
      <c r="T270" s="49" t="n"/>
      <c r="U270" s="48">
        <f>IF(OR($B270="",$K270=""),"",WORKDAY($B270,IFERROR(INDEX(CONFIG!$C$4:$C$43,MATCH($K270,CONFIG!$A$4:$A$43,0)),3)))</f>
        <v/>
      </c>
      <c r="V270" s="46" t="n"/>
      <c r="W270" s="23">
        <f>IF($B270="","",IF($V270&lt;&gt;"",$V270-$B270,TODAY()-$B270))</f>
        <v/>
      </c>
      <c r="X270" s="27">
        <f>IF($C270="","",IF(IFERROR(INDEX(CONFIG!$K$4:$K$43,MATCH($S270,CONFIG!$J$4:$J$43,0)),"NO")="SÍ",IF(OR($V270="",$U270=""),"Resuelta",IF($V270&gt;$U270,"Resuelta tarde","Resuelta a tiempo")),IF($U270="","Sin clasificar",IF(TODAY()&gt;$U270,"Vencida",IF(TODAY()&gt;=$U270-1,"Por vencer","En plazo")))))</f>
        <v/>
      </c>
      <c r="Y270" s="49" t="n"/>
      <c r="Z270" s="49" t="n"/>
    </row>
    <row r="271" ht="16" customHeight="1">
      <c r="A271" s="27">
        <f>IF($C271="","","N-"&amp;TEXT(ROW()-3,"0000"))</f>
        <v/>
      </c>
      <c r="B271" s="46" t="n"/>
      <c r="C271" s="47" t="n"/>
      <c r="D271" s="27">
        <f>IF($C271="","",IF(COUNTIFS(ENVIOS!$A$4:$A$3003,$C271)=0,"NO EXISTE",IF(COUNTIFS(ENVIOS!$A$4:$A$3003,$C271)&gt;1,"DUPLICADA","OK")))</f>
        <v/>
      </c>
      <c r="E271" s="22">
        <f>IF($C271="","",IFERROR(INDEX(ENVIOS!$C$4:$C$3003,MATCH($C271,ENVIOS!$A$4:$A$3003,0)),"—"))</f>
        <v/>
      </c>
      <c r="F271" s="22">
        <f>IF($C271="","",IFERROR(INDEX(ENVIOS!$D$4:$D$3003,MATCH($C271,ENVIOS!$A$4:$A$3003,0)),"—"))</f>
        <v/>
      </c>
      <c r="G271" s="22">
        <f>IF($C271="","",IFERROR(INDEX(ENVIOS!$E$4:$E$3003,MATCH($C271,ENVIOS!$A$4:$A$3003,0)),"—"))</f>
        <v/>
      </c>
      <c r="H271" s="22">
        <f>IF($C271="","",IFERROR(INDEX(ENVIOS!$F$4:$F$3003,MATCH($C271,ENVIOS!$A$4:$A$3003,0)),"—"))</f>
        <v/>
      </c>
      <c r="I271" s="27">
        <f>IF($C271="","",IFERROR(INDEX(ENVIOS!$G$4:$G$3003,MATCH($C271,ENVIOS!$A$4:$A$3003,0)),"—"))</f>
        <v/>
      </c>
      <c r="J271" s="48">
        <f>IF($C271="","",IFERROR(INDEX(ENVIOS!$B$4:$B$3003,MATCH($C271,ENVIOS!$A$4:$A$3003,0)),""))</f>
        <v/>
      </c>
      <c r="K271" s="49" t="n"/>
      <c r="L271" s="27">
        <f>IF($K271="","",IFERROR(INDEX(CONFIG!$B$4:$B$43,MATCH($K271,CONFIG!$A$4:$A$43,0)),"Media"))</f>
        <v/>
      </c>
      <c r="M271" s="27">
        <f>IF($K271="","",IFERROR(INDEX(CONFIG!$D$4:$D$43,MATCH($K271,CONFIG!$A$4:$A$43,0)),"NO"))</f>
        <v/>
      </c>
      <c r="N271" s="49" t="n"/>
      <c r="O271" s="27">
        <f>IF($N271="","",IFERROR(INDEX(CONFIG!$G$4:$G$43,MATCH($N271,CONFIG!$F$4:$F$43,0)),"Por definir"))</f>
        <v/>
      </c>
      <c r="P271" s="27">
        <f>IF($N271="","",IFERROR(INDEX(CONFIG!$H$4:$H$43,MATCH($N271,CONFIG!$F$4:$F$43,0)),"Por definir"))</f>
        <v/>
      </c>
      <c r="Q271" s="50" t="n"/>
      <c r="R271" s="51" t="n"/>
      <c r="S271" s="49" t="n"/>
      <c r="T271" s="49" t="n"/>
      <c r="U271" s="48">
        <f>IF(OR($B271="",$K271=""),"",WORKDAY($B271,IFERROR(INDEX(CONFIG!$C$4:$C$43,MATCH($K271,CONFIG!$A$4:$A$43,0)),3)))</f>
        <v/>
      </c>
      <c r="V271" s="46" t="n"/>
      <c r="W271" s="23">
        <f>IF($B271="","",IF($V271&lt;&gt;"",$V271-$B271,TODAY()-$B271))</f>
        <v/>
      </c>
      <c r="X271" s="27">
        <f>IF($C271="","",IF(IFERROR(INDEX(CONFIG!$K$4:$K$43,MATCH($S271,CONFIG!$J$4:$J$43,0)),"NO")="SÍ",IF(OR($V271="",$U271=""),"Resuelta",IF($V271&gt;$U271,"Resuelta tarde","Resuelta a tiempo")),IF($U271="","Sin clasificar",IF(TODAY()&gt;$U271,"Vencida",IF(TODAY()&gt;=$U271-1,"Por vencer","En plazo")))))</f>
        <v/>
      </c>
      <c r="Y271" s="49" t="n"/>
      <c r="Z271" s="49" t="n"/>
    </row>
    <row r="272" ht="16" customHeight="1">
      <c r="A272" s="27">
        <f>IF($C272="","","N-"&amp;TEXT(ROW()-3,"0000"))</f>
        <v/>
      </c>
      <c r="B272" s="46" t="n"/>
      <c r="C272" s="47" t="n"/>
      <c r="D272" s="27">
        <f>IF($C272="","",IF(COUNTIFS(ENVIOS!$A$4:$A$3003,$C272)=0,"NO EXISTE",IF(COUNTIFS(ENVIOS!$A$4:$A$3003,$C272)&gt;1,"DUPLICADA","OK")))</f>
        <v/>
      </c>
      <c r="E272" s="22">
        <f>IF($C272="","",IFERROR(INDEX(ENVIOS!$C$4:$C$3003,MATCH($C272,ENVIOS!$A$4:$A$3003,0)),"—"))</f>
        <v/>
      </c>
      <c r="F272" s="22">
        <f>IF($C272="","",IFERROR(INDEX(ENVIOS!$D$4:$D$3003,MATCH($C272,ENVIOS!$A$4:$A$3003,0)),"—"))</f>
        <v/>
      </c>
      <c r="G272" s="22">
        <f>IF($C272="","",IFERROR(INDEX(ENVIOS!$E$4:$E$3003,MATCH($C272,ENVIOS!$A$4:$A$3003,0)),"—"))</f>
        <v/>
      </c>
      <c r="H272" s="22">
        <f>IF($C272="","",IFERROR(INDEX(ENVIOS!$F$4:$F$3003,MATCH($C272,ENVIOS!$A$4:$A$3003,0)),"—"))</f>
        <v/>
      </c>
      <c r="I272" s="27">
        <f>IF($C272="","",IFERROR(INDEX(ENVIOS!$G$4:$G$3003,MATCH($C272,ENVIOS!$A$4:$A$3003,0)),"—"))</f>
        <v/>
      </c>
      <c r="J272" s="48">
        <f>IF($C272="","",IFERROR(INDEX(ENVIOS!$B$4:$B$3003,MATCH($C272,ENVIOS!$A$4:$A$3003,0)),""))</f>
        <v/>
      </c>
      <c r="K272" s="49" t="n"/>
      <c r="L272" s="27">
        <f>IF($K272="","",IFERROR(INDEX(CONFIG!$B$4:$B$43,MATCH($K272,CONFIG!$A$4:$A$43,0)),"Media"))</f>
        <v/>
      </c>
      <c r="M272" s="27">
        <f>IF($K272="","",IFERROR(INDEX(CONFIG!$D$4:$D$43,MATCH($K272,CONFIG!$A$4:$A$43,0)),"NO"))</f>
        <v/>
      </c>
      <c r="N272" s="49" t="n"/>
      <c r="O272" s="27">
        <f>IF($N272="","",IFERROR(INDEX(CONFIG!$G$4:$G$43,MATCH($N272,CONFIG!$F$4:$F$43,0)),"Por definir"))</f>
        <v/>
      </c>
      <c r="P272" s="27">
        <f>IF($N272="","",IFERROR(INDEX(CONFIG!$H$4:$H$43,MATCH($N272,CONFIG!$F$4:$F$43,0)),"Por definir"))</f>
        <v/>
      </c>
      <c r="Q272" s="50" t="n"/>
      <c r="R272" s="51" t="n"/>
      <c r="S272" s="49" t="n"/>
      <c r="T272" s="49" t="n"/>
      <c r="U272" s="48">
        <f>IF(OR($B272="",$K272=""),"",WORKDAY($B272,IFERROR(INDEX(CONFIG!$C$4:$C$43,MATCH($K272,CONFIG!$A$4:$A$43,0)),3)))</f>
        <v/>
      </c>
      <c r="V272" s="46" t="n"/>
      <c r="W272" s="23">
        <f>IF($B272="","",IF($V272&lt;&gt;"",$V272-$B272,TODAY()-$B272))</f>
        <v/>
      </c>
      <c r="X272" s="27">
        <f>IF($C272="","",IF(IFERROR(INDEX(CONFIG!$K$4:$K$43,MATCH($S272,CONFIG!$J$4:$J$43,0)),"NO")="SÍ",IF(OR($V272="",$U272=""),"Resuelta",IF($V272&gt;$U272,"Resuelta tarde","Resuelta a tiempo")),IF($U272="","Sin clasificar",IF(TODAY()&gt;$U272,"Vencida",IF(TODAY()&gt;=$U272-1,"Por vencer","En plazo")))))</f>
        <v/>
      </c>
      <c r="Y272" s="49" t="n"/>
      <c r="Z272" s="49" t="n"/>
    </row>
    <row r="273" ht="16" customHeight="1">
      <c r="A273" s="27">
        <f>IF($C273="","","N-"&amp;TEXT(ROW()-3,"0000"))</f>
        <v/>
      </c>
      <c r="B273" s="46" t="n"/>
      <c r="C273" s="47" t="n"/>
      <c r="D273" s="27">
        <f>IF($C273="","",IF(COUNTIFS(ENVIOS!$A$4:$A$3003,$C273)=0,"NO EXISTE",IF(COUNTIFS(ENVIOS!$A$4:$A$3003,$C273)&gt;1,"DUPLICADA","OK")))</f>
        <v/>
      </c>
      <c r="E273" s="22">
        <f>IF($C273="","",IFERROR(INDEX(ENVIOS!$C$4:$C$3003,MATCH($C273,ENVIOS!$A$4:$A$3003,0)),"—"))</f>
        <v/>
      </c>
      <c r="F273" s="22">
        <f>IF($C273="","",IFERROR(INDEX(ENVIOS!$D$4:$D$3003,MATCH($C273,ENVIOS!$A$4:$A$3003,0)),"—"))</f>
        <v/>
      </c>
      <c r="G273" s="22">
        <f>IF($C273="","",IFERROR(INDEX(ENVIOS!$E$4:$E$3003,MATCH($C273,ENVIOS!$A$4:$A$3003,0)),"—"))</f>
        <v/>
      </c>
      <c r="H273" s="22">
        <f>IF($C273="","",IFERROR(INDEX(ENVIOS!$F$4:$F$3003,MATCH($C273,ENVIOS!$A$4:$A$3003,0)),"—"))</f>
        <v/>
      </c>
      <c r="I273" s="27">
        <f>IF($C273="","",IFERROR(INDEX(ENVIOS!$G$4:$G$3003,MATCH($C273,ENVIOS!$A$4:$A$3003,0)),"—"))</f>
        <v/>
      </c>
      <c r="J273" s="48">
        <f>IF($C273="","",IFERROR(INDEX(ENVIOS!$B$4:$B$3003,MATCH($C273,ENVIOS!$A$4:$A$3003,0)),""))</f>
        <v/>
      </c>
      <c r="K273" s="49" t="n"/>
      <c r="L273" s="27">
        <f>IF($K273="","",IFERROR(INDEX(CONFIG!$B$4:$B$43,MATCH($K273,CONFIG!$A$4:$A$43,0)),"Media"))</f>
        <v/>
      </c>
      <c r="M273" s="27">
        <f>IF($K273="","",IFERROR(INDEX(CONFIG!$D$4:$D$43,MATCH($K273,CONFIG!$A$4:$A$43,0)),"NO"))</f>
        <v/>
      </c>
      <c r="N273" s="49" t="n"/>
      <c r="O273" s="27">
        <f>IF($N273="","",IFERROR(INDEX(CONFIG!$G$4:$G$43,MATCH($N273,CONFIG!$F$4:$F$43,0)),"Por definir"))</f>
        <v/>
      </c>
      <c r="P273" s="27">
        <f>IF($N273="","",IFERROR(INDEX(CONFIG!$H$4:$H$43,MATCH($N273,CONFIG!$F$4:$F$43,0)),"Por definir"))</f>
        <v/>
      </c>
      <c r="Q273" s="50" t="n"/>
      <c r="R273" s="51" t="n"/>
      <c r="S273" s="49" t="n"/>
      <c r="T273" s="49" t="n"/>
      <c r="U273" s="48">
        <f>IF(OR($B273="",$K273=""),"",WORKDAY($B273,IFERROR(INDEX(CONFIG!$C$4:$C$43,MATCH($K273,CONFIG!$A$4:$A$43,0)),3)))</f>
        <v/>
      </c>
      <c r="V273" s="46" t="n"/>
      <c r="W273" s="23">
        <f>IF($B273="","",IF($V273&lt;&gt;"",$V273-$B273,TODAY()-$B273))</f>
        <v/>
      </c>
      <c r="X273" s="27">
        <f>IF($C273="","",IF(IFERROR(INDEX(CONFIG!$K$4:$K$43,MATCH($S273,CONFIG!$J$4:$J$43,0)),"NO")="SÍ",IF(OR($V273="",$U273=""),"Resuelta",IF($V273&gt;$U273,"Resuelta tarde","Resuelta a tiempo")),IF($U273="","Sin clasificar",IF(TODAY()&gt;$U273,"Vencida",IF(TODAY()&gt;=$U273-1,"Por vencer","En plazo")))))</f>
        <v/>
      </c>
      <c r="Y273" s="49" t="n"/>
      <c r="Z273" s="49" t="n"/>
    </row>
    <row r="274" ht="16" customHeight="1">
      <c r="A274" s="27">
        <f>IF($C274="","","N-"&amp;TEXT(ROW()-3,"0000"))</f>
        <v/>
      </c>
      <c r="B274" s="46" t="n"/>
      <c r="C274" s="47" t="n"/>
      <c r="D274" s="27">
        <f>IF($C274="","",IF(COUNTIFS(ENVIOS!$A$4:$A$3003,$C274)=0,"NO EXISTE",IF(COUNTIFS(ENVIOS!$A$4:$A$3003,$C274)&gt;1,"DUPLICADA","OK")))</f>
        <v/>
      </c>
      <c r="E274" s="22">
        <f>IF($C274="","",IFERROR(INDEX(ENVIOS!$C$4:$C$3003,MATCH($C274,ENVIOS!$A$4:$A$3003,0)),"—"))</f>
        <v/>
      </c>
      <c r="F274" s="22">
        <f>IF($C274="","",IFERROR(INDEX(ENVIOS!$D$4:$D$3003,MATCH($C274,ENVIOS!$A$4:$A$3003,0)),"—"))</f>
        <v/>
      </c>
      <c r="G274" s="22">
        <f>IF($C274="","",IFERROR(INDEX(ENVIOS!$E$4:$E$3003,MATCH($C274,ENVIOS!$A$4:$A$3003,0)),"—"))</f>
        <v/>
      </c>
      <c r="H274" s="22">
        <f>IF($C274="","",IFERROR(INDEX(ENVIOS!$F$4:$F$3003,MATCH($C274,ENVIOS!$A$4:$A$3003,0)),"—"))</f>
        <v/>
      </c>
      <c r="I274" s="27">
        <f>IF($C274="","",IFERROR(INDEX(ENVIOS!$G$4:$G$3003,MATCH($C274,ENVIOS!$A$4:$A$3003,0)),"—"))</f>
        <v/>
      </c>
      <c r="J274" s="48">
        <f>IF($C274="","",IFERROR(INDEX(ENVIOS!$B$4:$B$3003,MATCH($C274,ENVIOS!$A$4:$A$3003,0)),""))</f>
        <v/>
      </c>
      <c r="K274" s="49" t="n"/>
      <c r="L274" s="27">
        <f>IF($K274="","",IFERROR(INDEX(CONFIG!$B$4:$B$43,MATCH($K274,CONFIG!$A$4:$A$43,0)),"Media"))</f>
        <v/>
      </c>
      <c r="M274" s="27">
        <f>IF($K274="","",IFERROR(INDEX(CONFIG!$D$4:$D$43,MATCH($K274,CONFIG!$A$4:$A$43,0)),"NO"))</f>
        <v/>
      </c>
      <c r="N274" s="49" t="n"/>
      <c r="O274" s="27">
        <f>IF($N274="","",IFERROR(INDEX(CONFIG!$G$4:$G$43,MATCH($N274,CONFIG!$F$4:$F$43,0)),"Por definir"))</f>
        <v/>
      </c>
      <c r="P274" s="27">
        <f>IF($N274="","",IFERROR(INDEX(CONFIG!$H$4:$H$43,MATCH($N274,CONFIG!$F$4:$F$43,0)),"Por definir"))</f>
        <v/>
      </c>
      <c r="Q274" s="50" t="n"/>
      <c r="R274" s="51" t="n"/>
      <c r="S274" s="49" t="n"/>
      <c r="T274" s="49" t="n"/>
      <c r="U274" s="48">
        <f>IF(OR($B274="",$K274=""),"",WORKDAY($B274,IFERROR(INDEX(CONFIG!$C$4:$C$43,MATCH($K274,CONFIG!$A$4:$A$43,0)),3)))</f>
        <v/>
      </c>
      <c r="V274" s="46" t="n"/>
      <c r="W274" s="23">
        <f>IF($B274="","",IF($V274&lt;&gt;"",$V274-$B274,TODAY()-$B274))</f>
        <v/>
      </c>
      <c r="X274" s="27">
        <f>IF($C274="","",IF(IFERROR(INDEX(CONFIG!$K$4:$K$43,MATCH($S274,CONFIG!$J$4:$J$43,0)),"NO")="SÍ",IF(OR($V274="",$U274=""),"Resuelta",IF($V274&gt;$U274,"Resuelta tarde","Resuelta a tiempo")),IF($U274="","Sin clasificar",IF(TODAY()&gt;$U274,"Vencida",IF(TODAY()&gt;=$U274-1,"Por vencer","En plazo")))))</f>
        <v/>
      </c>
      <c r="Y274" s="49" t="n"/>
      <c r="Z274" s="49" t="n"/>
    </row>
    <row r="275" ht="16" customHeight="1">
      <c r="A275" s="27">
        <f>IF($C275="","","N-"&amp;TEXT(ROW()-3,"0000"))</f>
        <v/>
      </c>
      <c r="B275" s="46" t="n"/>
      <c r="C275" s="47" t="n"/>
      <c r="D275" s="27">
        <f>IF($C275="","",IF(COUNTIFS(ENVIOS!$A$4:$A$3003,$C275)=0,"NO EXISTE",IF(COUNTIFS(ENVIOS!$A$4:$A$3003,$C275)&gt;1,"DUPLICADA","OK")))</f>
        <v/>
      </c>
      <c r="E275" s="22">
        <f>IF($C275="","",IFERROR(INDEX(ENVIOS!$C$4:$C$3003,MATCH($C275,ENVIOS!$A$4:$A$3003,0)),"—"))</f>
        <v/>
      </c>
      <c r="F275" s="22">
        <f>IF($C275="","",IFERROR(INDEX(ENVIOS!$D$4:$D$3003,MATCH($C275,ENVIOS!$A$4:$A$3003,0)),"—"))</f>
        <v/>
      </c>
      <c r="G275" s="22">
        <f>IF($C275="","",IFERROR(INDEX(ENVIOS!$E$4:$E$3003,MATCH($C275,ENVIOS!$A$4:$A$3003,0)),"—"))</f>
        <v/>
      </c>
      <c r="H275" s="22">
        <f>IF($C275="","",IFERROR(INDEX(ENVIOS!$F$4:$F$3003,MATCH($C275,ENVIOS!$A$4:$A$3003,0)),"—"))</f>
        <v/>
      </c>
      <c r="I275" s="27">
        <f>IF($C275="","",IFERROR(INDEX(ENVIOS!$G$4:$G$3003,MATCH($C275,ENVIOS!$A$4:$A$3003,0)),"—"))</f>
        <v/>
      </c>
      <c r="J275" s="48">
        <f>IF($C275="","",IFERROR(INDEX(ENVIOS!$B$4:$B$3003,MATCH($C275,ENVIOS!$A$4:$A$3003,0)),""))</f>
        <v/>
      </c>
      <c r="K275" s="49" t="n"/>
      <c r="L275" s="27">
        <f>IF($K275="","",IFERROR(INDEX(CONFIG!$B$4:$B$43,MATCH($K275,CONFIG!$A$4:$A$43,0)),"Media"))</f>
        <v/>
      </c>
      <c r="M275" s="27">
        <f>IF($K275="","",IFERROR(INDEX(CONFIG!$D$4:$D$43,MATCH($K275,CONFIG!$A$4:$A$43,0)),"NO"))</f>
        <v/>
      </c>
      <c r="N275" s="49" t="n"/>
      <c r="O275" s="27">
        <f>IF($N275="","",IFERROR(INDEX(CONFIG!$G$4:$G$43,MATCH($N275,CONFIG!$F$4:$F$43,0)),"Por definir"))</f>
        <v/>
      </c>
      <c r="P275" s="27">
        <f>IF($N275="","",IFERROR(INDEX(CONFIG!$H$4:$H$43,MATCH($N275,CONFIG!$F$4:$F$43,0)),"Por definir"))</f>
        <v/>
      </c>
      <c r="Q275" s="50" t="n"/>
      <c r="R275" s="51" t="n"/>
      <c r="S275" s="49" t="n"/>
      <c r="T275" s="49" t="n"/>
      <c r="U275" s="48">
        <f>IF(OR($B275="",$K275=""),"",WORKDAY($B275,IFERROR(INDEX(CONFIG!$C$4:$C$43,MATCH($K275,CONFIG!$A$4:$A$43,0)),3)))</f>
        <v/>
      </c>
      <c r="V275" s="46" t="n"/>
      <c r="W275" s="23">
        <f>IF($B275="","",IF($V275&lt;&gt;"",$V275-$B275,TODAY()-$B275))</f>
        <v/>
      </c>
      <c r="X275" s="27">
        <f>IF($C275="","",IF(IFERROR(INDEX(CONFIG!$K$4:$K$43,MATCH($S275,CONFIG!$J$4:$J$43,0)),"NO")="SÍ",IF(OR($V275="",$U275=""),"Resuelta",IF($V275&gt;$U275,"Resuelta tarde","Resuelta a tiempo")),IF($U275="","Sin clasificar",IF(TODAY()&gt;$U275,"Vencida",IF(TODAY()&gt;=$U275-1,"Por vencer","En plazo")))))</f>
        <v/>
      </c>
      <c r="Y275" s="49" t="n"/>
      <c r="Z275" s="49" t="n"/>
    </row>
    <row r="276" ht="16" customHeight="1">
      <c r="A276" s="27">
        <f>IF($C276="","","N-"&amp;TEXT(ROW()-3,"0000"))</f>
        <v/>
      </c>
      <c r="B276" s="46" t="n"/>
      <c r="C276" s="47" t="n"/>
      <c r="D276" s="27">
        <f>IF($C276="","",IF(COUNTIFS(ENVIOS!$A$4:$A$3003,$C276)=0,"NO EXISTE",IF(COUNTIFS(ENVIOS!$A$4:$A$3003,$C276)&gt;1,"DUPLICADA","OK")))</f>
        <v/>
      </c>
      <c r="E276" s="22">
        <f>IF($C276="","",IFERROR(INDEX(ENVIOS!$C$4:$C$3003,MATCH($C276,ENVIOS!$A$4:$A$3003,0)),"—"))</f>
        <v/>
      </c>
      <c r="F276" s="22">
        <f>IF($C276="","",IFERROR(INDEX(ENVIOS!$D$4:$D$3003,MATCH($C276,ENVIOS!$A$4:$A$3003,0)),"—"))</f>
        <v/>
      </c>
      <c r="G276" s="22">
        <f>IF($C276="","",IFERROR(INDEX(ENVIOS!$E$4:$E$3003,MATCH($C276,ENVIOS!$A$4:$A$3003,0)),"—"))</f>
        <v/>
      </c>
      <c r="H276" s="22">
        <f>IF($C276="","",IFERROR(INDEX(ENVIOS!$F$4:$F$3003,MATCH($C276,ENVIOS!$A$4:$A$3003,0)),"—"))</f>
        <v/>
      </c>
      <c r="I276" s="27">
        <f>IF($C276="","",IFERROR(INDEX(ENVIOS!$G$4:$G$3003,MATCH($C276,ENVIOS!$A$4:$A$3003,0)),"—"))</f>
        <v/>
      </c>
      <c r="J276" s="48">
        <f>IF($C276="","",IFERROR(INDEX(ENVIOS!$B$4:$B$3003,MATCH($C276,ENVIOS!$A$4:$A$3003,0)),""))</f>
        <v/>
      </c>
      <c r="K276" s="49" t="n"/>
      <c r="L276" s="27">
        <f>IF($K276="","",IFERROR(INDEX(CONFIG!$B$4:$B$43,MATCH($K276,CONFIG!$A$4:$A$43,0)),"Media"))</f>
        <v/>
      </c>
      <c r="M276" s="27">
        <f>IF($K276="","",IFERROR(INDEX(CONFIG!$D$4:$D$43,MATCH($K276,CONFIG!$A$4:$A$43,0)),"NO"))</f>
        <v/>
      </c>
      <c r="N276" s="49" t="n"/>
      <c r="O276" s="27">
        <f>IF($N276="","",IFERROR(INDEX(CONFIG!$G$4:$G$43,MATCH($N276,CONFIG!$F$4:$F$43,0)),"Por definir"))</f>
        <v/>
      </c>
      <c r="P276" s="27">
        <f>IF($N276="","",IFERROR(INDEX(CONFIG!$H$4:$H$43,MATCH($N276,CONFIG!$F$4:$F$43,0)),"Por definir"))</f>
        <v/>
      </c>
      <c r="Q276" s="50" t="n"/>
      <c r="R276" s="51" t="n"/>
      <c r="S276" s="49" t="n"/>
      <c r="T276" s="49" t="n"/>
      <c r="U276" s="48">
        <f>IF(OR($B276="",$K276=""),"",WORKDAY($B276,IFERROR(INDEX(CONFIG!$C$4:$C$43,MATCH($K276,CONFIG!$A$4:$A$43,0)),3)))</f>
        <v/>
      </c>
      <c r="V276" s="46" t="n"/>
      <c r="W276" s="23">
        <f>IF($B276="","",IF($V276&lt;&gt;"",$V276-$B276,TODAY()-$B276))</f>
        <v/>
      </c>
      <c r="X276" s="27">
        <f>IF($C276="","",IF(IFERROR(INDEX(CONFIG!$K$4:$K$43,MATCH($S276,CONFIG!$J$4:$J$43,0)),"NO")="SÍ",IF(OR($V276="",$U276=""),"Resuelta",IF($V276&gt;$U276,"Resuelta tarde","Resuelta a tiempo")),IF($U276="","Sin clasificar",IF(TODAY()&gt;$U276,"Vencida",IF(TODAY()&gt;=$U276-1,"Por vencer","En plazo")))))</f>
        <v/>
      </c>
      <c r="Y276" s="49" t="n"/>
      <c r="Z276" s="49" t="n"/>
    </row>
    <row r="277" ht="16" customHeight="1">
      <c r="A277" s="27">
        <f>IF($C277="","","N-"&amp;TEXT(ROW()-3,"0000"))</f>
        <v/>
      </c>
      <c r="B277" s="46" t="n"/>
      <c r="C277" s="47" t="n"/>
      <c r="D277" s="27">
        <f>IF($C277="","",IF(COUNTIFS(ENVIOS!$A$4:$A$3003,$C277)=0,"NO EXISTE",IF(COUNTIFS(ENVIOS!$A$4:$A$3003,$C277)&gt;1,"DUPLICADA","OK")))</f>
        <v/>
      </c>
      <c r="E277" s="22">
        <f>IF($C277="","",IFERROR(INDEX(ENVIOS!$C$4:$C$3003,MATCH($C277,ENVIOS!$A$4:$A$3003,0)),"—"))</f>
        <v/>
      </c>
      <c r="F277" s="22">
        <f>IF($C277="","",IFERROR(INDEX(ENVIOS!$D$4:$D$3003,MATCH($C277,ENVIOS!$A$4:$A$3003,0)),"—"))</f>
        <v/>
      </c>
      <c r="G277" s="22">
        <f>IF($C277="","",IFERROR(INDEX(ENVIOS!$E$4:$E$3003,MATCH($C277,ENVIOS!$A$4:$A$3003,0)),"—"))</f>
        <v/>
      </c>
      <c r="H277" s="22">
        <f>IF($C277="","",IFERROR(INDEX(ENVIOS!$F$4:$F$3003,MATCH($C277,ENVIOS!$A$4:$A$3003,0)),"—"))</f>
        <v/>
      </c>
      <c r="I277" s="27">
        <f>IF($C277="","",IFERROR(INDEX(ENVIOS!$G$4:$G$3003,MATCH($C277,ENVIOS!$A$4:$A$3003,0)),"—"))</f>
        <v/>
      </c>
      <c r="J277" s="48">
        <f>IF($C277="","",IFERROR(INDEX(ENVIOS!$B$4:$B$3003,MATCH($C277,ENVIOS!$A$4:$A$3003,0)),""))</f>
        <v/>
      </c>
      <c r="K277" s="49" t="n"/>
      <c r="L277" s="27">
        <f>IF($K277="","",IFERROR(INDEX(CONFIG!$B$4:$B$43,MATCH($K277,CONFIG!$A$4:$A$43,0)),"Media"))</f>
        <v/>
      </c>
      <c r="M277" s="27">
        <f>IF($K277="","",IFERROR(INDEX(CONFIG!$D$4:$D$43,MATCH($K277,CONFIG!$A$4:$A$43,0)),"NO"))</f>
        <v/>
      </c>
      <c r="N277" s="49" t="n"/>
      <c r="O277" s="27">
        <f>IF($N277="","",IFERROR(INDEX(CONFIG!$G$4:$G$43,MATCH($N277,CONFIG!$F$4:$F$43,0)),"Por definir"))</f>
        <v/>
      </c>
      <c r="P277" s="27">
        <f>IF($N277="","",IFERROR(INDEX(CONFIG!$H$4:$H$43,MATCH($N277,CONFIG!$F$4:$F$43,0)),"Por definir"))</f>
        <v/>
      </c>
      <c r="Q277" s="50" t="n"/>
      <c r="R277" s="51" t="n"/>
      <c r="S277" s="49" t="n"/>
      <c r="T277" s="49" t="n"/>
      <c r="U277" s="48">
        <f>IF(OR($B277="",$K277=""),"",WORKDAY($B277,IFERROR(INDEX(CONFIG!$C$4:$C$43,MATCH($K277,CONFIG!$A$4:$A$43,0)),3)))</f>
        <v/>
      </c>
      <c r="V277" s="46" t="n"/>
      <c r="W277" s="23">
        <f>IF($B277="","",IF($V277&lt;&gt;"",$V277-$B277,TODAY()-$B277))</f>
        <v/>
      </c>
      <c r="X277" s="27">
        <f>IF($C277="","",IF(IFERROR(INDEX(CONFIG!$K$4:$K$43,MATCH($S277,CONFIG!$J$4:$J$43,0)),"NO")="SÍ",IF(OR($V277="",$U277=""),"Resuelta",IF($V277&gt;$U277,"Resuelta tarde","Resuelta a tiempo")),IF($U277="","Sin clasificar",IF(TODAY()&gt;$U277,"Vencida",IF(TODAY()&gt;=$U277-1,"Por vencer","En plazo")))))</f>
        <v/>
      </c>
      <c r="Y277" s="49" t="n"/>
      <c r="Z277" s="49" t="n"/>
    </row>
    <row r="278" ht="16" customHeight="1">
      <c r="A278" s="27">
        <f>IF($C278="","","N-"&amp;TEXT(ROW()-3,"0000"))</f>
        <v/>
      </c>
      <c r="B278" s="46" t="n"/>
      <c r="C278" s="47" t="n"/>
      <c r="D278" s="27">
        <f>IF($C278="","",IF(COUNTIFS(ENVIOS!$A$4:$A$3003,$C278)=0,"NO EXISTE",IF(COUNTIFS(ENVIOS!$A$4:$A$3003,$C278)&gt;1,"DUPLICADA","OK")))</f>
        <v/>
      </c>
      <c r="E278" s="22">
        <f>IF($C278="","",IFERROR(INDEX(ENVIOS!$C$4:$C$3003,MATCH($C278,ENVIOS!$A$4:$A$3003,0)),"—"))</f>
        <v/>
      </c>
      <c r="F278" s="22">
        <f>IF($C278="","",IFERROR(INDEX(ENVIOS!$D$4:$D$3003,MATCH($C278,ENVIOS!$A$4:$A$3003,0)),"—"))</f>
        <v/>
      </c>
      <c r="G278" s="22">
        <f>IF($C278="","",IFERROR(INDEX(ENVIOS!$E$4:$E$3003,MATCH($C278,ENVIOS!$A$4:$A$3003,0)),"—"))</f>
        <v/>
      </c>
      <c r="H278" s="22">
        <f>IF($C278="","",IFERROR(INDEX(ENVIOS!$F$4:$F$3003,MATCH($C278,ENVIOS!$A$4:$A$3003,0)),"—"))</f>
        <v/>
      </c>
      <c r="I278" s="27">
        <f>IF($C278="","",IFERROR(INDEX(ENVIOS!$G$4:$G$3003,MATCH($C278,ENVIOS!$A$4:$A$3003,0)),"—"))</f>
        <v/>
      </c>
      <c r="J278" s="48">
        <f>IF($C278="","",IFERROR(INDEX(ENVIOS!$B$4:$B$3003,MATCH($C278,ENVIOS!$A$4:$A$3003,0)),""))</f>
        <v/>
      </c>
      <c r="K278" s="49" t="n"/>
      <c r="L278" s="27">
        <f>IF($K278="","",IFERROR(INDEX(CONFIG!$B$4:$B$43,MATCH($K278,CONFIG!$A$4:$A$43,0)),"Media"))</f>
        <v/>
      </c>
      <c r="M278" s="27">
        <f>IF($K278="","",IFERROR(INDEX(CONFIG!$D$4:$D$43,MATCH($K278,CONFIG!$A$4:$A$43,0)),"NO"))</f>
        <v/>
      </c>
      <c r="N278" s="49" t="n"/>
      <c r="O278" s="27">
        <f>IF($N278="","",IFERROR(INDEX(CONFIG!$G$4:$G$43,MATCH($N278,CONFIG!$F$4:$F$43,0)),"Por definir"))</f>
        <v/>
      </c>
      <c r="P278" s="27">
        <f>IF($N278="","",IFERROR(INDEX(CONFIG!$H$4:$H$43,MATCH($N278,CONFIG!$F$4:$F$43,0)),"Por definir"))</f>
        <v/>
      </c>
      <c r="Q278" s="50" t="n"/>
      <c r="R278" s="51" t="n"/>
      <c r="S278" s="49" t="n"/>
      <c r="T278" s="49" t="n"/>
      <c r="U278" s="48">
        <f>IF(OR($B278="",$K278=""),"",WORKDAY($B278,IFERROR(INDEX(CONFIG!$C$4:$C$43,MATCH($K278,CONFIG!$A$4:$A$43,0)),3)))</f>
        <v/>
      </c>
      <c r="V278" s="46" t="n"/>
      <c r="W278" s="23">
        <f>IF($B278="","",IF($V278&lt;&gt;"",$V278-$B278,TODAY()-$B278))</f>
        <v/>
      </c>
      <c r="X278" s="27">
        <f>IF($C278="","",IF(IFERROR(INDEX(CONFIG!$K$4:$K$43,MATCH($S278,CONFIG!$J$4:$J$43,0)),"NO")="SÍ",IF(OR($V278="",$U278=""),"Resuelta",IF($V278&gt;$U278,"Resuelta tarde","Resuelta a tiempo")),IF($U278="","Sin clasificar",IF(TODAY()&gt;$U278,"Vencida",IF(TODAY()&gt;=$U278-1,"Por vencer","En plazo")))))</f>
        <v/>
      </c>
      <c r="Y278" s="49" t="n"/>
      <c r="Z278" s="49" t="n"/>
    </row>
    <row r="279" ht="16" customHeight="1">
      <c r="A279" s="27">
        <f>IF($C279="","","N-"&amp;TEXT(ROW()-3,"0000"))</f>
        <v/>
      </c>
      <c r="B279" s="46" t="n"/>
      <c r="C279" s="47" t="n"/>
      <c r="D279" s="27">
        <f>IF($C279="","",IF(COUNTIFS(ENVIOS!$A$4:$A$3003,$C279)=0,"NO EXISTE",IF(COUNTIFS(ENVIOS!$A$4:$A$3003,$C279)&gt;1,"DUPLICADA","OK")))</f>
        <v/>
      </c>
      <c r="E279" s="22">
        <f>IF($C279="","",IFERROR(INDEX(ENVIOS!$C$4:$C$3003,MATCH($C279,ENVIOS!$A$4:$A$3003,0)),"—"))</f>
        <v/>
      </c>
      <c r="F279" s="22">
        <f>IF($C279="","",IFERROR(INDEX(ENVIOS!$D$4:$D$3003,MATCH($C279,ENVIOS!$A$4:$A$3003,0)),"—"))</f>
        <v/>
      </c>
      <c r="G279" s="22">
        <f>IF($C279="","",IFERROR(INDEX(ENVIOS!$E$4:$E$3003,MATCH($C279,ENVIOS!$A$4:$A$3003,0)),"—"))</f>
        <v/>
      </c>
      <c r="H279" s="22">
        <f>IF($C279="","",IFERROR(INDEX(ENVIOS!$F$4:$F$3003,MATCH($C279,ENVIOS!$A$4:$A$3003,0)),"—"))</f>
        <v/>
      </c>
      <c r="I279" s="27">
        <f>IF($C279="","",IFERROR(INDEX(ENVIOS!$G$4:$G$3003,MATCH($C279,ENVIOS!$A$4:$A$3003,0)),"—"))</f>
        <v/>
      </c>
      <c r="J279" s="48">
        <f>IF($C279="","",IFERROR(INDEX(ENVIOS!$B$4:$B$3003,MATCH($C279,ENVIOS!$A$4:$A$3003,0)),""))</f>
        <v/>
      </c>
      <c r="K279" s="49" t="n"/>
      <c r="L279" s="27">
        <f>IF($K279="","",IFERROR(INDEX(CONFIG!$B$4:$B$43,MATCH($K279,CONFIG!$A$4:$A$43,0)),"Media"))</f>
        <v/>
      </c>
      <c r="M279" s="27">
        <f>IF($K279="","",IFERROR(INDEX(CONFIG!$D$4:$D$43,MATCH($K279,CONFIG!$A$4:$A$43,0)),"NO"))</f>
        <v/>
      </c>
      <c r="N279" s="49" t="n"/>
      <c r="O279" s="27">
        <f>IF($N279="","",IFERROR(INDEX(CONFIG!$G$4:$G$43,MATCH($N279,CONFIG!$F$4:$F$43,0)),"Por definir"))</f>
        <v/>
      </c>
      <c r="P279" s="27">
        <f>IF($N279="","",IFERROR(INDEX(CONFIG!$H$4:$H$43,MATCH($N279,CONFIG!$F$4:$F$43,0)),"Por definir"))</f>
        <v/>
      </c>
      <c r="Q279" s="50" t="n"/>
      <c r="R279" s="51" t="n"/>
      <c r="S279" s="49" t="n"/>
      <c r="T279" s="49" t="n"/>
      <c r="U279" s="48">
        <f>IF(OR($B279="",$K279=""),"",WORKDAY($B279,IFERROR(INDEX(CONFIG!$C$4:$C$43,MATCH($K279,CONFIG!$A$4:$A$43,0)),3)))</f>
        <v/>
      </c>
      <c r="V279" s="46" t="n"/>
      <c r="W279" s="23">
        <f>IF($B279="","",IF($V279&lt;&gt;"",$V279-$B279,TODAY()-$B279))</f>
        <v/>
      </c>
      <c r="X279" s="27">
        <f>IF($C279="","",IF(IFERROR(INDEX(CONFIG!$K$4:$K$43,MATCH($S279,CONFIG!$J$4:$J$43,0)),"NO")="SÍ",IF(OR($V279="",$U279=""),"Resuelta",IF($V279&gt;$U279,"Resuelta tarde","Resuelta a tiempo")),IF($U279="","Sin clasificar",IF(TODAY()&gt;$U279,"Vencida",IF(TODAY()&gt;=$U279-1,"Por vencer","En plazo")))))</f>
        <v/>
      </c>
      <c r="Y279" s="49" t="n"/>
      <c r="Z279" s="49" t="n"/>
    </row>
    <row r="280" ht="16" customHeight="1">
      <c r="A280" s="27">
        <f>IF($C280="","","N-"&amp;TEXT(ROW()-3,"0000"))</f>
        <v/>
      </c>
      <c r="B280" s="46" t="n"/>
      <c r="C280" s="47" t="n"/>
      <c r="D280" s="27">
        <f>IF($C280="","",IF(COUNTIFS(ENVIOS!$A$4:$A$3003,$C280)=0,"NO EXISTE",IF(COUNTIFS(ENVIOS!$A$4:$A$3003,$C280)&gt;1,"DUPLICADA","OK")))</f>
        <v/>
      </c>
      <c r="E280" s="22">
        <f>IF($C280="","",IFERROR(INDEX(ENVIOS!$C$4:$C$3003,MATCH($C280,ENVIOS!$A$4:$A$3003,0)),"—"))</f>
        <v/>
      </c>
      <c r="F280" s="22">
        <f>IF($C280="","",IFERROR(INDEX(ENVIOS!$D$4:$D$3003,MATCH($C280,ENVIOS!$A$4:$A$3003,0)),"—"))</f>
        <v/>
      </c>
      <c r="G280" s="22">
        <f>IF($C280="","",IFERROR(INDEX(ENVIOS!$E$4:$E$3003,MATCH($C280,ENVIOS!$A$4:$A$3003,0)),"—"))</f>
        <v/>
      </c>
      <c r="H280" s="22">
        <f>IF($C280="","",IFERROR(INDEX(ENVIOS!$F$4:$F$3003,MATCH($C280,ENVIOS!$A$4:$A$3003,0)),"—"))</f>
        <v/>
      </c>
      <c r="I280" s="27">
        <f>IF($C280="","",IFERROR(INDEX(ENVIOS!$G$4:$G$3003,MATCH($C280,ENVIOS!$A$4:$A$3003,0)),"—"))</f>
        <v/>
      </c>
      <c r="J280" s="48">
        <f>IF($C280="","",IFERROR(INDEX(ENVIOS!$B$4:$B$3003,MATCH($C280,ENVIOS!$A$4:$A$3003,0)),""))</f>
        <v/>
      </c>
      <c r="K280" s="49" t="n"/>
      <c r="L280" s="27">
        <f>IF($K280="","",IFERROR(INDEX(CONFIG!$B$4:$B$43,MATCH($K280,CONFIG!$A$4:$A$43,0)),"Media"))</f>
        <v/>
      </c>
      <c r="M280" s="27">
        <f>IF($K280="","",IFERROR(INDEX(CONFIG!$D$4:$D$43,MATCH($K280,CONFIG!$A$4:$A$43,0)),"NO"))</f>
        <v/>
      </c>
      <c r="N280" s="49" t="n"/>
      <c r="O280" s="27">
        <f>IF($N280="","",IFERROR(INDEX(CONFIG!$G$4:$G$43,MATCH($N280,CONFIG!$F$4:$F$43,0)),"Por definir"))</f>
        <v/>
      </c>
      <c r="P280" s="27">
        <f>IF($N280="","",IFERROR(INDEX(CONFIG!$H$4:$H$43,MATCH($N280,CONFIG!$F$4:$F$43,0)),"Por definir"))</f>
        <v/>
      </c>
      <c r="Q280" s="50" t="n"/>
      <c r="R280" s="51" t="n"/>
      <c r="S280" s="49" t="n"/>
      <c r="T280" s="49" t="n"/>
      <c r="U280" s="48">
        <f>IF(OR($B280="",$K280=""),"",WORKDAY($B280,IFERROR(INDEX(CONFIG!$C$4:$C$43,MATCH($K280,CONFIG!$A$4:$A$43,0)),3)))</f>
        <v/>
      </c>
      <c r="V280" s="46" t="n"/>
      <c r="W280" s="23">
        <f>IF($B280="","",IF($V280&lt;&gt;"",$V280-$B280,TODAY()-$B280))</f>
        <v/>
      </c>
      <c r="X280" s="27">
        <f>IF($C280="","",IF(IFERROR(INDEX(CONFIG!$K$4:$K$43,MATCH($S280,CONFIG!$J$4:$J$43,0)),"NO")="SÍ",IF(OR($V280="",$U280=""),"Resuelta",IF($V280&gt;$U280,"Resuelta tarde","Resuelta a tiempo")),IF($U280="","Sin clasificar",IF(TODAY()&gt;$U280,"Vencida",IF(TODAY()&gt;=$U280-1,"Por vencer","En plazo")))))</f>
        <v/>
      </c>
      <c r="Y280" s="49" t="n"/>
      <c r="Z280" s="49" t="n"/>
    </row>
    <row r="281" ht="16" customHeight="1">
      <c r="A281" s="27">
        <f>IF($C281="","","N-"&amp;TEXT(ROW()-3,"0000"))</f>
        <v/>
      </c>
      <c r="B281" s="46" t="n"/>
      <c r="C281" s="47" t="n"/>
      <c r="D281" s="27">
        <f>IF($C281="","",IF(COUNTIFS(ENVIOS!$A$4:$A$3003,$C281)=0,"NO EXISTE",IF(COUNTIFS(ENVIOS!$A$4:$A$3003,$C281)&gt;1,"DUPLICADA","OK")))</f>
        <v/>
      </c>
      <c r="E281" s="22">
        <f>IF($C281="","",IFERROR(INDEX(ENVIOS!$C$4:$C$3003,MATCH($C281,ENVIOS!$A$4:$A$3003,0)),"—"))</f>
        <v/>
      </c>
      <c r="F281" s="22">
        <f>IF($C281="","",IFERROR(INDEX(ENVIOS!$D$4:$D$3003,MATCH($C281,ENVIOS!$A$4:$A$3003,0)),"—"))</f>
        <v/>
      </c>
      <c r="G281" s="22">
        <f>IF($C281="","",IFERROR(INDEX(ENVIOS!$E$4:$E$3003,MATCH($C281,ENVIOS!$A$4:$A$3003,0)),"—"))</f>
        <v/>
      </c>
      <c r="H281" s="22">
        <f>IF($C281="","",IFERROR(INDEX(ENVIOS!$F$4:$F$3003,MATCH($C281,ENVIOS!$A$4:$A$3003,0)),"—"))</f>
        <v/>
      </c>
      <c r="I281" s="27">
        <f>IF($C281="","",IFERROR(INDEX(ENVIOS!$G$4:$G$3003,MATCH($C281,ENVIOS!$A$4:$A$3003,0)),"—"))</f>
        <v/>
      </c>
      <c r="J281" s="48">
        <f>IF($C281="","",IFERROR(INDEX(ENVIOS!$B$4:$B$3003,MATCH($C281,ENVIOS!$A$4:$A$3003,0)),""))</f>
        <v/>
      </c>
      <c r="K281" s="49" t="n"/>
      <c r="L281" s="27">
        <f>IF($K281="","",IFERROR(INDEX(CONFIG!$B$4:$B$43,MATCH($K281,CONFIG!$A$4:$A$43,0)),"Media"))</f>
        <v/>
      </c>
      <c r="M281" s="27">
        <f>IF($K281="","",IFERROR(INDEX(CONFIG!$D$4:$D$43,MATCH($K281,CONFIG!$A$4:$A$43,0)),"NO"))</f>
        <v/>
      </c>
      <c r="N281" s="49" t="n"/>
      <c r="O281" s="27">
        <f>IF($N281="","",IFERROR(INDEX(CONFIG!$G$4:$G$43,MATCH($N281,CONFIG!$F$4:$F$43,0)),"Por definir"))</f>
        <v/>
      </c>
      <c r="P281" s="27">
        <f>IF($N281="","",IFERROR(INDEX(CONFIG!$H$4:$H$43,MATCH($N281,CONFIG!$F$4:$F$43,0)),"Por definir"))</f>
        <v/>
      </c>
      <c r="Q281" s="50" t="n"/>
      <c r="R281" s="51" t="n"/>
      <c r="S281" s="49" t="n"/>
      <c r="T281" s="49" t="n"/>
      <c r="U281" s="48">
        <f>IF(OR($B281="",$K281=""),"",WORKDAY($B281,IFERROR(INDEX(CONFIG!$C$4:$C$43,MATCH($K281,CONFIG!$A$4:$A$43,0)),3)))</f>
        <v/>
      </c>
      <c r="V281" s="46" t="n"/>
      <c r="W281" s="23">
        <f>IF($B281="","",IF($V281&lt;&gt;"",$V281-$B281,TODAY()-$B281))</f>
        <v/>
      </c>
      <c r="X281" s="27">
        <f>IF($C281="","",IF(IFERROR(INDEX(CONFIG!$K$4:$K$43,MATCH($S281,CONFIG!$J$4:$J$43,0)),"NO")="SÍ",IF(OR($V281="",$U281=""),"Resuelta",IF($V281&gt;$U281,"Resuelta tarde","Resuelta a tiempo")),IF($U281="","Sin clasificar",IF(TODAY()&gt;$U281,"Vencida",IF(TODAY()&gt;=$U281-1,"Por vencer","En plazo")))))</f>
        <v/>
      </c>
      <c r="Y281" s="49" t="n"/>
      <c r="Z281" s="49" t="n"/>
    </row>
    <row r="282" ht="16" customHeight="1">
      <c r="A282" s="27">
        <f>IF($C282="","","N-"&amp;TEXT(ROW()-3,"0000"))</f>
        <v/>
      </c>
      <c r="B282" s="46" t="n"/>
      <c r="C282" s="47" t="n"/>
      <c r="D282" s="27">
        <f>IF($C282="","",IF(COUNTIFS(ENVIOS!$A$4:$A$3003,$C282)=0,"NO EXISTE",IF(COUNTIFS(ENVIOS!$A$4:$A$3003,$C282)&gt;1,"DUPLICADA","OK")))</f>
        <v/>
      </c>
      <c r="E282" s="22">
        <f>IF($C282="","",IFERROR(INDEX(ENVIOS!$C$4:$C$3003,MATCH($C282,ENVIOS!$A$4:$A$3003,0)),"—"))</f>
        <v/>
      </c>
      <c r="F282" s="22">
        <f>IF($C282="","",IFERROR(INDEX(ENVIOS!$D$4:$D$3003,MATCH($C282,ENVIOS!$A$4:$A$3003,0)),"—"))</f>
        <v/>
      </c>
      <c r="G282" s="22">
        <f>IF($C282="","",IFERROR(INDEX(ENVIOS!$E$4:$E$3003,MATCH($C282,ENVIOS!$A$4:$A$3003,0)),"—"))</f>
        <v/>
      </c>
      <c r="H282" s="22">
        <f>IF($C282="","",IFERROR(INDEX(ENVIOS!$F$4:$F$3003,MATCH($C282,ENVIOS!$A$4:$A$3003,0)),"—"))</f>
        <v/>
      </c>
      <c r="I282" s="27">
        <f>IF($C282="","",IFERROR(INDEX(ENVIOS!$G$4:$G$3003,MATCH($C282,ENVIOS!$A$4:$A$3003,0)),"—"))</f>
        <v/>
      </c>
      <c r="J282" s="48">
        <f>IF($C282="","",IFERROR(INDEX(ENVIOS!$B$4:$B$3003,MATCH($C282,ENVIOS!$A$4:$A$3003,0)),""))</f>
        <v/>
      </c>
      <c r="K282" s="49" t="n"/>
      <c r="L282" s="27">
        <f>IF($K282="","",IFERROR(INDEX(CONFIG!$B$4:$B$43,MATCH($K282,CONFIG!$A$4:$A$43,0)),"Media"))</f>
        <v/>
      </c>
      <c r="M282" s="27">
        <f>IF($K282="","",IFERROR(INDEX(CONFIG!$D$4:$D$43,MATCH($K282,CONFIG!$A$4:$A$43,0)),"NO"))</f>
        <v/>
      </c>
      <c r="N282" s="49" t="n"/>
      <c r="O282" s="27">
        <f>IF($N282="","",IFERROR(INDEX(CONFIG!$G$4:$G$43,MATCH($N282,CONFIG!$F$4:$F$43,0)),"Por definir"))</f>
        <v/>
      </c>
      <c r="P282" s="27">
        <f>IF($N282="","",IFERROR(INDEX(CONFIG!$H$4:$H$43,MATCH($N282,CONFIG!$F$4:$F$43,0)),"Por definir"))</f>
        <v/>
      </c>
      <c r="Q282" s="50" t="n"/>
      <c r="R282" s="51" t="n"/>
      <c r="S282" s="49" t="n"/>
      <c r="T282" s="49" t="n"/>
      <c r="U282" s="48">
        <f>IF(OR($B282="",$K282=""),"",WORKDAY($B282,IFERROR(INDEX(CONFIG!$C$4:$C$43,MATCH($K282,CONFIG!$A$4:$A$43,0)),3)))</f>
        <v/>
      </c>
      <c r="V282" s="46" t="n"/>
      <c r="W282" s="23">
        <f>IF($B282="","",IF($V282&lt;&gt;"",$V282-$B282,TODAY()-$B282))</f>
        <v/>
      </c>
      <c r="X282" s="27">
        <f>IF($C282="","",IF(IFERROR(INDEX(CONFIG!$K$4:$K$43,MATCH($S282,CONFIG!$J$4:$J$43,0)),"NO")="SÍ",IF(OR($V282="",$U282=""),"Resuelta",IF($V282&gt;$U282,"Resuelta tarde","Resuelta a tiempo")),IF($U282="","Sin clasificar",IF(TODAY()&gt;$U282,"Vencida",IF(TODAY()&gt;=$U282-1,"Por vencer","En plazo")))))</f>
        <v/>
      </c>
      <c r="Y282" s="49" t="n"/>
      <c r="Z282" s="49" t="n"/>
    </row>
    <row r="283" ht="16" customHeight="1">
      <c r="A283" s="27">
        <f>IF($C283="","","N-"&amp;TEXT(ROW()-3,"0000"))</f>
        <v/>
      </c>
      <c r="B283" s="46" t="n"/>
      <c r="C283" s="47" t="n"/>
      <c r="D283" s="27">
        <f>IF($C283="","",IF(COUNTIFS(ENVIOS!$A$4:$A$3003,$C283)=0,"NO EXISTE",IF(COUNTIFS(ENVIOS!$A$4:$A$3003,$C283)&gt;1,"DUPLICADA","OK")))</f>
        <v/>
      </c>
      <c r="E283" s="22">
        <f>IF($C283="","",IFERROR(INDEX(ENVIOS!$C$4:$C$3003,MATCH($C283,ENVIOS!$A$4:$A$3003,0)),"—"))</f>
        <v/>
      </c>
      <c r="F283" s="22">
        <f>IF($C283="","",IFERROR(INDEX(ENVIOS!$D$4:$D$3003,MATCH($C283,ENVIOS!$A$4:$A$3003,0)),"—"))</f>
        <v/>
      </c>
      <c r="G283" s="22">
        <f>IF($C283="","",IFERROR(INDEX(ENVIOS!$E$4:$E$3003,MATCH($C283,ENVIOS!$A$4:$A$3003,0)),"—"))</f>
        <v/>
      </c>
      <c r="H283" s="22">
        <f>IF($C283="","",IFERROR(INDEX(ENVIOS!$F$4:$F$3003,MATCH($C283,ENVIOS!$A$4:$A$3003,0)),"—"))</f>
        <v/>
      </c>
      <c r="I283" s="27">
        <f>IF($C283="","",IFERROR(INDEX(ENVIOS!$G$4:$G$3003,MATCH($C283,ENVIOS!$A$4:$A$3003,0)),"—"))</f>
        <v/>
      </c>
      <c r="J283" s="48">
        <f>IF($C283="","",IFERROR(INDEX(ENVIOS!$B$4:$B$3003,MATCH($C283,ENVIOS!$A$4:$A$3003,0)),""))</f>
        <v/>
      </c>
      <c r="K283" s="49" t="n"/>
      <c r="L283" s="27">
        <f>IF($K283="","",IFERROR(INDEX(CONFIG!$B$4:$B$43,MATCH($K283,CONFIG!$A$4:$A$43,0)),"Media"))</f>
        <v/>
      </c>
      <c r="M283" s="27">
        <f>IF($K283="","",IFERROR(INDEX(CONFIG!$D$4:$D$43,MATCH($K283,CONFIG!$A$4:$A$43,0)),"NO"))</f>
        <v/>
      </c>
      <c r="N283" s="49" t="n"/>
      <c r="O283" s="27">
        <f>IF($N283="","",IFERROR(INDEX(CONFIG!$G$4:$G$43,MATCH($N283,CONFIG!$F$4:$F$43,0)),"Por definir"))</f>
        <v/>
      </c>
      <c r="P283" s="27">
        <f>IF($N283="","",IFERROR(INDEX(CONFIG!$H$4:$H$43,MATCH($N283,CONFIG!$F$4:$F$43,0)),"Por definir"))</f>
        <v/>
      </c>
      <c r="Q283" s="50" t="n"/>
      <c r="R283" s="51" t="n"/>
      <c r="S283" s="49" t="n"/>
      <c r="T283" s="49" t="n"/>
      <c r="U283" s="48">
        <f>IF(OR($B283="",$K283=""),"",WORKDAY($B283,IFERROR(INDEX(CONFIG!$C$4:$C$43,MATCH($K283,CONFIG!$A$4:$A$43,0)),3)))</f>
        <v/>
      </c>
      <c r="V283" s="46" t="n"/>
      <c r="W283" s="23">
        <f>IF($B283="","",IF($V283&lt;&gt;"",$V283-$B283,TODAY()-$B283))</f>
        <v/>
      </c>
      <c r="X283" s="27">
        <f>IF($C283="","",IF(IFERROR(INDEX(CONFIG!$K$4:$K$43,MATCH($S283,CONFIG!$J$4:$J$43,0)),"NO")="SÍ",IF(OR($V283="",$U283=""),"Resuelta",IF($V283&gt;$U283,"Resuelta tarde","Resuelta a tiempo")),IF($U283="","Sin clasificar",IF(TODAY()&gt;$U283,"Vencida",IF(TODAY()&gt;=$U283-1,"Por vencer","En plazo")))))</f>
        <v/>
      </c>
      <c r="Y283" s="49" t="n"/>
      <c r="Z283" s="49" t="n"/>
    </row>
    <row r="284" ht="16" customHeight="1">
      <c r="A284" s="27">
        <f>IF($C284="","","N-"&amp;TEXT(ROW()-3,"0000"))</f>
        <v/>
      </c>
      <c r="B284" s="46" t="n"/>
      <c r="C284" s="47" t="n"/>
      <c r="D284" s="27">
        <f>IF($C284="","",IF(COUNTIFS(ENVIOS!$A$4:$A$3003,$C284)=0,"NO EXISTE",IF(COUNTIFS(ENVIOS!$A$4:$A$3003,$C284)&gt;1,"DUPLICADA","OK")))</f>
        <v/>
      </c>
      <c r="E284" s="22">
        <f>IF($C284="","",IFERROR(INDEX(ENVIOS!$C$4:$C$3003,MATCH($C284,ENVIOS!$A$4:$A$3003,0)),"—"))</f>
        <v/>
      </c>
      <c r="F284" s="22">
        <f>IF($C284="","",IFERROR(INDEX(ENVIOS!$D$4:$D$3003,MATCH($C284,ENVIOS!$A$4:$A$3003,0)),"—"))</f>
        <v/>
      </c>
      <c r="G284" s="22">
        <f>IF($C284="","",IFERROR(INDEX(ENVIOS!$E$4:$E$3003,MATCH($C284,ENVIOS!$A$4:$A$3003,0)),"—"))</f>
        <v/>
      </c>
      <c r="H284" s="22">
        <f>IF($C284="","",IFERROR(INDEX(ENVIOS!$F$4:$F$3003,MATCH($C284,ENVIOS!$A$4:$A$3003,0)),"—"))</f>
        <v/>
      </c>
      <c r="I284" s="27">
        <f>IF($C284="","",IFERROR(INDEX(ENVIOS!$G$4:$G$3003,MATCH($C284,ENVIOS!$A$4:$A$3003,0)),"—"))</f>
        <v/>
      </c>
      <c r="J284" s="48">
        <f>IF($C284="","",IFERROR(INDEX(ENVIOS!$B$4:$B$3003,MATCH($C284,ENVIOS!$A$4:$A$3003,0)),""))</f>
        <v/>
      </c>
      <c r="K284" s="49" t="n"/>
      <c r="L284" s="27">
        <f>IF($K284="","",IFERROR(INDEX(CONFIG!$B$4:$B$43,MATCH($K284,CONFIG!$A$4:$A$43,0)),"Media"))</f>
        <v/>
      </c>
      <c r="M284" s="27">
        <f>IF($K284="","",IFERROR(INDEX(CONFIG!$D$4:$D$43,MATCH($K284,CONFIG!$A$4:$A$43,0)),"NO"))</f>
        <v/>
      </c>
      <c r="N284" s="49" t="n"/>
      <c r="O284" s="27">
        <f>IF($N284="","",IFERROR(INDEX(CONFIG!$G$4:$G$43,MATCH($N284,CONFIG!$F$4:$F$43,0)),"Por definir"))</f>
        <v/>
      </c>
      <c r="P284" s="27">
        <f>IF($N284="","",IFERROR(INDEX(CONFIG!$H$4:$H$43,MATCH($N284,CONFIG!$F$4:$F$43,0)),"Por definir"))</f>
        <v/>
      </c>
      <c r="Q284" s="50" t="n"/>
      <c r="R284" s="51" t="n"/>
      <c r="S284" s="49" t="n"/>
      <c r="T284" s="49" t="n"/>
      <c r="U284" s="48">
        <f>IF(OR($B284="",$K284=""),"",WORKDAY($B284,IFERROR(INDEX(CONFIG!$C$4:$C$43,MATCH($K284,CONFIG!$A$4:$A$43,0)),3)))</f>
        <v/>
      </c>
      <c r="V284" s="46" t="n"/>
      <c r="W284" s="23">
        <f>IF($B284="","",IF($V284&lt;&gt;"",$V284-$B284,TODAY()-$B284))</f>
        <v/>
      </c>
      <c r="X284" s="27">
        <f>IF($C284="","",IF(IFERROR(INDEX(CONFIG!$K$4:$K$43,MATCH($S284,CONFIG!$J$4:$J$43,0)),"NO")="SÍ",IF(OR($V284="",$U284=""),"Resuelta",IF($V284&gt;$U284,"Resuelta tarde","Resuelta a tiempo")),IF($U284="","Sin clasificar",IF(TODAY()&gt;$U284,"Vencida",IF(TODAY()&gt;=$U284-1,"Por vencer","En plazo")))))</f>
        <v/>
      </c>
      <c r="Y284" s="49" t="n"/>
      <c r="Z284" s="49" t="n"/>
    </row>
    <row r="285" ht="16" customHeight="1">
      <c r="A285" s="27">
        <f>IF($C285="","","N-"&amp;TEXT(ROW()-3,"0000"))</f>
        <v/>
      </c>
      <c r="B285" s="46" t="n"/>
      <c r="C285" s="47" t="n"/>
      <c r="D285" s="27">
        <f>IF($C285="","",IF(COUNTIFS(ENVIOS!$A$4:$A$3003,$C285)=0,"NO EXISTE",IF(COUNTIFS(ENVIOS!$A$4:$A$3003,$C285)&gt;1,"DUPLICADA","OK")))</f>
        <v/>
      </c>
      <c r="E285" s="22">
        <f>IF($C285="","",IFERROR(INDEX(ENVIOS!$C$4:$C$3003,MATCH($C285,ENVIOS!$A$4:$A$3003,0)),"—"))</f>
        <v/>
      </c>
      <c r="F285" s="22">
        <f>IF($C285="","",IFERROR(INDEX(ENVIOS!$D$4:$D$3003,MATCH($C285,ENVIOS!$A$4:$A$3003,0)),"—"))</f>
        <v/>
      </c>
      <c r="G285" s="22">
        <f>IF($C285="","",IFERROR(INDEX(ENVIOS!$E$4:$E$3003,MATCH($C285,ENVIOS!$A$4:$A$3003,0)),"—"))</f>
        <v/>
      </c>
      <c r="H285" s="22">
        <f>IF($C285="","",IFERROR(INDEX(ENVIOS!$F$4:$F$3003,MATCH($C285,ENVIOS!$A$4:$A$3003,0)),"—"))</f>
        <v/>
      </c>
      <c r="I285" s="27">
        <f>IF($C285="","",IFERROR(INDEX(ENVIOS!$G$4:$G$3003,MATCH($C285,ENVIOS!$A$4:$A$3003,0)),"—"))</f>
        <v/>
      </c>
      <c r="J285" s="48">
        <f>IF($C285="","",IFERROR(INDEX(ENVIOS!$B$4:$B$3003,MATCH($C285,ENVIOS!$A$4:$A$3003,0)),""))</f>
        <v/>
      </c>
      <c r="K285" s="49" t="n"/>
      <c r="L285" s="27">
        <f>IF($K285="","",IFERROR(INDEX(CONFIG!$B$4:$B$43,MATCH($K285,CONFIG!$A$4:$A$43,0)),"Media"))</f>
        <v/>
      </c>
      <c r="M285" s="27">
        <f>IF($K285="","",IFERROR(INDEX(CONFIG!$D$4:$D$43,MATCH($K285,CONFIG!$A$4:$A$43,0)),"NO"))</f>
        <v/>
      </c>
      <c r="N285" s="49" t="n"/>
      <c r="O285" s="27">
        <f>IF($N285="","",IFERROR(INDEX(CONFIG!$G$4:$G$43,MATCH($N285,CONFIG!$F$4:$F$43,0)),"Por definir"))</f>
        <v/>
      </c>
      <c r="P285" s="27">
        <f>IF($N285="","",IFERROR(INDEX(CONFIG!$H$4:$H$43,MATCH($N285,CONFIG!$F$4:$F$43,0)),"Por definir"))</f>
        <v/>
      </c>
      <c r="Q285" s="50" t="n"/>
      <c r="R285" s="51" t="n"/>
      <c r="S285" s="49" t="n"/>
      <c r="T285" s="49" t="n"/>
      <c r="U285" s="48">
        <f>IF(OR($B285="",$K285=""),"",WORKDAY($B285,IFERROR(INDEX(CONFIG!$C$4:$C$43,MATCH($K285,CONFIG!$A$4:$A$43,0)),3)))</f>
        <v/>
      </c>
      <c r="V285" s="46" t="n"/>
      <c r="W285" s="23">
        <f>IF($B285="","",IF($V285&lt;&gt;"",$V285-$B285,TODAY()-$B285))</f>
        <v/>
      </c>
      <c r="X285" s="27">
        <f>IF($C285="","",IF(IFERROR(INDEX(CONFIG!$K$4:$K$43,MATCH($S285,CONFIG!$J$4:$J$43,0)),"NO")="SÍ",IF(OR($V285="",$U285=""),"Resuelta",IF($V285&gt;$U285,"Resuelta tarde","Resuelta a tiempo")),IF($U285="","Sin clasificar",IF(TODAY()&gt;$U285,"Vencida",IF(TODAY()&gt;=$U285-1,"Por vencer","En plazo")))))</f>
        <v/>
      </c>
      <c r="Y285" s="49" t="n"/>
      <c r="Z285" s="49" t="n"/>
    </row>
    <row r="286" ht="16" customHeight="1">
      <c r="A286" s="27">
        <f>IF($C286="","","N-"&amp;TEXT(ROW()-3,"0000"))</f>
        <v/>
      </c>
      <c r="B286" s="46" t="n"/>
      <c r="C286" s="47" t="n"/>
      <c r="D286" s="27">
        <f>IF($C286="","",IF(COUNTIFS(ENVIOS!$A$4:$A$3003,$C286)=0,"NO EXISTE",IF(COUNTIFS(ENVIOS!$A$4:$A$3003,$C286)&gt;1,"DUPLICADA","OK")))</f>
        <v/>
      </c>
      <c r="E286" s="22">
        <f>IF($C286="","",IFERROR(INDEX(ENVIOS!$C$4:$C$3003,MATCH($C286,ENVIOS!$A$4:$A$3003,0)),"—"))</f>
        <v/>
      </c>
      <c r="F286" s="22">
        <f>IF($C286="","",IFERROR(INDEX(ENVIOS!$D$4:$D$3003,MATCH($C286,ENVIOS!$A$4:$A$3003,0)),"—"))</f>
        <v/>
      </c>
      <c r="G286" s="22">
        <f>IF($C286="","",IFERROR(INDEX(ENVIOS!$E$4:$E$3003,MATCH($C286,ENVIOS!$A$4:$A$3003,0)),"—"))</f>
        <v/>
      </c>
      <c r="H286" s="22">
        <f>IF($C286="","",IFERROR(INDEX(ENVIOS!$F$4:$F$3003,MATCH($C286,ENVIOS!$A$4:$A$3003,0)),"—"))</f>
        <v/>
      </c>
      <c r="I286" s="27">
        <f>IF($C286="","",IFERROR(INDEX(ENVIOS!$G$4:$G$3003,MATCH($C286,ENVIOS!$A$4:$A$3003,0)),"—"))</f>
        <v/>
      </c>
      <c r="J286" s="48">
        <f>IF($C286="","",IFERROR(INDEX(ENVIOS!$B$4:$B$3003,MATCH($C286,ENVIOS!$A$4:$A$3003,0)),""))</f>
        <v/>
      </c>
      <c r="K286" s="49" t="n"/>
      <c r="L286" s="27">
        <f>IF($K286="","",IFERROR(INDEX(CONFIG!$B$4:$B$43,MATCH($K286,CONFIG!$A$4:$A$43,0)),"Media"))</f>
        <v/>
      </c>
      <c r="M286" s="27">
        <f>IF($K286="","",IFERROR(INDEX(CONFIG!$D$4:$D$43,MATCH($K286,CONFIG!$A$4:$A$43,0)),"NO"))</f>
        <v/>
      </c>
      <c r="N286" s="49" t="n"/>
      <c r="O286" s="27">
        <f>IF($N286="","",IFERROR(INDEX(CONFIG!$G$4:$G$43,MATCH($N286,CONFIG!$F$4:$F$43,0)),"Por definir"))</f>
        <v/>
      </c>
      <c r="P286" s="27">
        <f>IF($N286="","",IFERROR(INDEX(CONFIG!$H$4:$H$43,MATCH($N286,CONFIG!$F$4:$F$43,0)),"Por definir"))</f>
        <v/>
      </c>
      <c r="Q286" s="50" t="n"/>
      <c r="R286" s="51" t="n"/>
      <c r="S286" s="49" t="n"/>
      <c r="T286" s="49" t="n"/>
      <c r="U286" s="48">
        <f>IF(OR($B286="",$K286=""),"",WORKDAY($B286,IFERROR(INDEX(CONFIG!$C$4:$C$43,MATCH($K286,CONFIG!$A$4:$A$43,0)),3)))</f>
        <v/>
      </c>
      <c r="V286" s="46" t="n"/>
      <c r="W286" s="23">
        <f>IF($B286="","",IF($V286&lt;&gt;"",$V286-$B286,TODAY()-$B286))</f>
        <v/>
      </c>
      <c r="X286" s="27">
        <f>IF($C286="","",IF(IFERROR(INDEX(CONFIG!$K$4:$K$43,MATCH($S286,CONFIG!$J$4:$J$43,0)),"NO")="SÍ",IF(OR($V286="",$U286=""),"Resuelta",IF($V286&gt;$U286,"Resuelta tarde","Resuelta a tiempo")),IF($U286="","Sin clasificar",IF(TODAY()&gt;$U286,"Vencida",IF(TODAY()&gt;=$U286-1,"Por vencer","En plazo")))))</f>
        <v/>
      </c>
      <c r="Y286" s="49" t="n"/>
      <c r="Z286" s="49" t="n"/>
    </row>
    <row r="287" ht="16" customHeight="1">
      <c r="A287" s="27">
        <f>IF($C287="","","N-"&amp;TEXT(ROW()-3,"0000"))</f>
        <v/>
      </c>
      <c r="B287" s="46" t="n"/>
      <c r="C287" s="47" t="n"/>
      <c r="D287" s="27">
        <f>IF($C287="","",IF(COUNTIFS(ENVIOS!$A$4:$A$3003,$C287)=0,"NO EXISTE",IF(COUNTIFS(ENVIOS!$A$4:$A$3003,$C287)&gt;1,"DUPLICADA","OK")))</f>
        <v/>
      </c>
      <c r="E287" s="22">
        <f>IF($C287="","",IFERROR(INDEX(ENVIOS!$C$4:$C$3003,MATCH($C287,ENVIOS!$A$4:$A$3003,0)),"—"))</f>
        <v/>
      </c>
      <c r="F287" s="22">
        <f>IF($C287="","",IFERROR(INDEX(ENVIOS!$D$4:$D$3003,MATCH($C287,ENVIOS!$A$4:$A$3003,0)),"—"))</f>
        <v/>
      </c>
      <c r="G287" s="22">
        <f>IF($C287="","",IFERROR(INDEX(ENVIOS!$E$4:$E$3003,MATCH($C287,ENVIOS!$A$4:$A$3003,0)),"—"))</f>
        <v/>
      </c>
      <c r="H287" s="22">
        <f>IF($C287="","",IFERROR(INDEX(ENVIOS!$F$4:$F$3003,MATCH($C287,ENVIOS!$A$4:$A$3003,0)),"—"))</f>
        <v/>
      </c>
      <c r="I287" s="27">
        <f>IF($C287="","",IFERROR(INDEX(ENVIOS!$G$4:$G$3003,MATCH($C287,ENVIOS!$A$4:$A$3003,0)),"—"))</f>
        <v/>
      </c>
      <c r="J287" s="48">
        <f>IF($C287="","",IFERROR(INDEX(ENVIOS!$B$4:$B$3003,MATCH($C287,ENVIOS!$A$4:$A$3003,0)),""))</f>
        <v/>
      </c>
      <c r="K287" s="49" t="n"/>
      <c r="L287" s="27">
        <f>IF($K287="","",IFERROR(INDEX(CONFIG!$B$4:$B$43,MATCH($K287,CONFIG!$A$4:$A$43,0)),"Media"))</f>
        <v/>
      </c>
      <c r="M287" s="27">
        <f>IF($K287="","",IFERROR(INDEX(CONFIG!$D$4:$D$43,MATCH($K287,CONFIG!$A$4:$A$43,0)),"NO"))</f>
        <v/>
      </c>
      <c r="N287" s="49" t="n"/>
      <c r="O287" s="27">
        <f>IF($N287="","",IFERROR(INDEX(CONFIG!$G$4:$G$43,MATCH($N287,CONFIG!$F$4:$F$43,0)),"Por definir"))</f>
        <v/>
      </c>
      <c r="P287" s="27">
        <f>IF($N287="","",IFERROR(INDEX(CONFIG!$H$4:$H$43,MATCH($N287,CONFIG!$F$4:$F$43,0)),"Por definir"))</f>
        <v/>
      </c>
      <c r="Q287" s="50" t="n"/>
      <c r="R287" s="51" t="n"/>
      <c r="S287" s="49" t="n"/>
      <c r="T287" s="49" t="n"/>
      <c r="U287" s="48">
        <f>IF(OR($B287="",$K287=""),"",WORKDAY($B287,IFERROR(INDEX(CONFIG!$C$4:$C$43,MATCH($K287,CONFIG!$A$4:$A$43,0)),3)))</f>
        <v/>
      </c>
      <c r="V287" s="46" t="n"/>
      <c r="W287" s="23">
        <f>IF($B287="","",IF($V287&lt;&gt;"",$V287-$B287,TODAY()-$B287))</f>
        <v/>
      </c>
      <c r="X287" s="27">
        <f>IF($C287="","",IF(IFERROR(INDEX(CONFIG!$K$4:$K$43,MATCH($S287,CONFIG!$J$4:$J$43,0)),"NO")="SÍ",IF(OR($V287="",$U287=""),"Resuelta",IF($V287&gt;$U287,"Resuelta tarde","Resuelta a tiempo")),IF($U287="","Sin clasificar",IF(TODAY()&gt;$U287,"Vencida",IF(TODAY()&gt;=$U287-1,"Por vencer","En plazo")))))</f>
        <v/>
      </c>
      <c r="Y287" s="49" t="n"/>
      <c r="Z287" s="49" t="n"/>
    </row>
    <row r="288" ht="16" customHeight="1">
      <c r="A288" s="27">
        <f>IF($C288="","","N-"&amp;TEXT(ROW()-3,"0000"))</f>
        <v/>
      </c>
      <c r="B288" s="46" t="n"/>
      <c r="C288" s="47" t="n"/>
      <c r="D288" s="27">
        <f>IF($C288="","",IF(COUNTIFS(ENVIOS!$A$4:$A$3003,$C288)=0,"NO EXISTE",IF(COUNTIFS(ENVIOS!$A$4:$A$3003,$C288)&gt;1,"DUPLICADA","OK")))</f>
        <v/>
      </c>
      <c r="E288" s="22">
        <f>IF($C288="","",IFERROR(INDEX(ENVIOS!$C$4:$C$3003,MATCH($C288,ENVIOS!$A$4:$A$3003,0)),"—"))</f>
        <v/>
      </c>
      <c r="F288" s="22">
        <f>IF($C288="","",IFERROR(INDEX(ENVIOS!$D$4:$D$3003,MATCH($C288,ENVIOS!$A$4:$A$3003,0)),"—"))</f>
        <v/>
      </c>
      <c r="G288" s="22">
        <f>IF($C288="","",IFERROR(INDEX(ENVIOS!$E$4:$E$3003,MATCH($C288,ENVIOS!$A$4:$A$3003,0)),"—"))</f>
        <v/>
      </c>
      <c r="H288" s="22">
        <f>IF($C288="","",IFERROR(INDEX(ENVIOS!$F$4:$F$3003,MATCH($C288,ENVIOS!$A$4:$A$3003,0)),"—"))</f>
        <v/>
      </c>
      <c r="I288" s="27">
        <f>IF($C288="","",IFERROR(INDEX(ENVIOS!$G$4:$G$3003,MATCH($C288,ENVIOS!$A$4:$A$3003,0)),"—"))</f>
        <v/>
      </c>
      <c r="J288" s="48">
        <f>IF($C288="","",IFERROR(INDEX(ENVIOS!$B$4:$B$3003,MATCH($C288,ENVIOS!$A$4:$A$3003,0)),""))</f>
        <v/>
      </c>
      <c r="K288" s="49" t="n"/>
      <c r="L288" s="27">
        <f>IF($K288="","",IFERROR(INDEX(CONFIG!$B$4:$B$43,MATCH($K288,CONFIG!$A$4:$A$43,0)),"Media"))</f>
        <v/>
      </c>
      <c r="M288" s="27">
        <f>IF($K288="","",IFERROR(INDEX(CONFIG!$D$4:$D$43,MATCH($K288,CONFIG!$A$4:$A$43,0)),"NO"))</f>
        <v/>
      </c>
      <c r="N288" s="49" t="n"/>
      <c r="O288" s="27">
        <f>IF($N288="","",IFERROR(INDEX(CONFIG!$G$4:$G$43,MATCH($N288,CONFIG!$F$4:$F$43,0)),"Por definir"))</f>
        <v/>
      </c>
      <c r="P288" s="27">
        <f>IF($N288="","",IFERROR(INDEX(CONFIG!$H$4:$H$43,MATCH($N288,CONFIG!$F$4:$F$43,0)),"Por definir"))</f>
        <v/>
      </c>
      <c r="Q288" s="50" t="n"/>
      <c r="R288" s="51" t="n"/>
      <c r="S288" s="49" t="n"/>
      <c r="T288" s="49" t="n"/>
      <c r="U288" s="48">
        <f>IF(OR($B288="",$K288=""),"",WORKDAY($B288,IFERROR(INDEX(CONFIG!$C$4:$C$43,MATCH($K288,CONFIG!$A$4:$A$43,0)),3)))</f>
        <v/>
      </c>
      <c r="V288" s="46" t="n"/>
      <c r="W288" s="23">
        <f>IF($B288="","",IF($V288&lt;&gt;"",$V288-$B288,TODAY()-$B288))</f>
        <v/>
      </c>
      <c r="X288" s="27">
        <f>IF($C288="","",IF(IFERROR(INDEX(CONFIG!$K$4:$K$43,MATCH($S288,CONFIG!$J$4:$J$43,0)),"NO")="SÍ",IF(OR($V288="",$U288=""),"Resuelta",IF($V288&gt;$U288,"Resuelta tarde","Resuelta a tiempo")),IF($U288="","Sin clasificar",IF(TODAY()&gt;$U288,"Vencida",IF(TODAY()&gt;=$U288-1,"Por vencer","En plazo")))))</f>
        <v/>
      </c>
      <c r="Y288" s="49" t="n"/>
      <c r="Z288" s="49" t="n"/>
    </row>
    <row r="289" ht="16" customHeight="1">
      <c r="A289" s="27">
        <f>IF($C289="","","N-"&amp;TEXT(ROW()-3,"0000"))</f>
        <v/>
      </c>
      <c r="B289" s="46" t="n"/>
      <c r="C289" s="47" t="n"/>
      <c r="D289" s="27">
        <f>IF($C289="","",IF(COUNTIFS(ENVIOS!$A$4:$A$3003,$C289)=0,"NO EXISTE",IF(COUNTIFS(ENVIOS!$A$4:$A$3003,$C289)&gt;1,"DUPLICADA","OK")))</f>
        <v/>
      </c>
      <c r="E289" s="22">
        <f>IF($C289="","",IFERROR(INDEX(ENVIOS!$C$4:$C$3003,MATCH($C289,ENVIOS!$A$4:$A$3003,0)),"—"))</f>
        <v/>
      </c>
      <c r="F289" s="22">
        <f>IF($C289="","",IFERROR(INDEX(ENVIOS!$D$4:$D$3003,MATCH($C289,ENVIOS!$A$4:$A$3003,0)),"—"))</f>
        <v/>
      </c>
      <c r="G289" s="22">
        <f>IF($C289="","",IFERROR(INDEX(ENVIOS!$E$4:$E$3003,MATCH($C289,ENVIOS!$A$4:$A$3003,0)),"—"))</f>
        <v/>
      </c>
      <c r="H289" s="22">
        <f>IF($C289="","",IFERROR(INDEX(ENVIOS!$F$4:$F$3003,MATCH($C289,ENVIOS!$A$4:$A$3003,0)),"—"))</f>
        <v/>
      </c>
      <c r="I289" s="27">
        <f>IF($C289="","",IFERROR(INDEX(ENVIOS!$G$4:$G$3003,MATCH($C289,ENVIOS!$A$4:$A$3003,0)),"—"))</f>
        <v/>
      </c>
      <c r="J289" s="48">
        <f>IF($C289="","",IFERROR(INDEX(ENVIOS!$B$4:$B$3003,MATCH($C289,ENVIOS!$A$4:$A$3003,0)),""))</f>
        <v/>
      </c>
      <c r="K289" s="49" t="n"/>
      <c r="L289" s="27">
        <f>IF($K289="","",IFERROR(INDEX(CONFIG!$B$4:$B$43,MATCH($K289,CONFIG!$A$4:$A$43,0)),"Media"))</f>
        <v/>
      </c>
      <c r="M289" s="27">
        <f>IF($K289="","",IFERROR(INDEX(CONFIG!$D$4:$D$43,MATCH($K289,CONFIG!$A$4:$A$43,0)),"NO"))</f>
        <v/>
      </c>
      <c r="N289" s="49" t="n"/>
      <c r="O289" s="27">
        <f>IF($N289="","",IFERROR(INDEX(CONFIG!$G$4:$G$43,MATCH($N289,CONFIG!$F$4:$F$43,0)),"Por definir"))</f>
        <v/>
      </c>
      <c r="P289" s="27">
        <f>IF($N289="","",IFERROR(INDEX(CONFIG!$H$4:$H$43,MATCH($N289,CONFIG!$F$4:$F$43,0)),"Por definir"))</f>
        <v/>
      </c>
      <c r="Q289" s="50" t="n"/>
      <c r="R289" s="51" t="n"/>
      <c r="S289" s="49" t="n"/>
      <c r="T289" s="49" t="n"/>
      <c r="U289" s="48">
        <f>IF(OR($B289="",$K289=""),"",WORKDAY($B289,IFERROR(INDEX(CONFIG!$C$4:$C$43,MATCH($K289,CONFIG!$A$4:$A$43,0)),3)))</f>
        <v/>
      </c>
      <c r="V289" s="46" t="n"/>
      <c r="W289" s="23">
        <f>IF($B289="","",IF($V289&lt;&gt;"",$V289-$B289,TODAY()-$B289))</f>
        <v/>
      </c>
      <c r="X289" s="27">
        <f>IF($C289="","",IF(IFERROR(INDEX(CONFIG!$K$4:$K$43,MATCH($S289,CONFIG!$J$4:$J$43,0)),"NO")="SÍ",IF(OR($V289="",$U289=""),"Resuelta",IF($V289&gt;$U289,"Resuelta tarde","Resuelta a tiempo")),IF($U289="","Sin clasificar",IF(TODAY()&gt;$U289,"Vencida",IF(TODAY()&gt;=$U289-1,"Por vencer","En plazo")))))</f>
        <v/>
      </c>
      <c r="Y289" s="49" t="n"/>
      <c r="Z289" s="49" t="n"/>
    </row>
    <row r="290" ht="16" customHeight="1">
      <c r="A290" s="27">
        <f>IF($C290="","","N-"&amp;TEXT(ROW()-3,"0000"))</f>
        <v/>
      </c>
      <c r="B290" s="46" t="n"/>
      <c r="C290" s="47" t="n"/>
      <c r="D290" s="27">
        <f>IF($C290="","",IF(COUNTIFS(ENVIOS!$A$4:$A$3003,$C290)=0,"NO EXISTE",IF(COUNTIFS(ENVIOS!$A$4:$A$3003,$C290)&gt;1,"DUPLICADA","OK")))</f>
        <v/>
      </c>
      <c r="E290" s="22">
        <f>IF($C290="","",IFERROR(INDEX(ENVIOS!$C$4:$C$3003,MATCH($C290,ENVIOS!$A$4:$A$3003,0)),"—"))</f>
        <v/>
      </c>
      <c r="F290" s="22">
        <f>IF($C290="","",IFERROR(INDEX(ENVIOS!$D$4:$D$3003,MATCH($C290,ENVIOS!$A$4:$A$3003,0)),"—"))</f>
        <v/>
      </c>
      <c r="G290" s="22">
        <f>IF($C290="","",IFERROR(INDEX(ENVIOS!$E$4:$E$3003,MATCH($C290,ENVIOS!$A$4:$A$3003,0)),"—"))</f>
        <v/>
      </c>
      <c r="H290" s="22">
        <f>IF($C290="","",IFERROR(INDEX(ENVIOS!$F$4:$F$3003,MATCH($C290,ENVIOS!$A$4:$A$3003,0)),"—"))</f>
        <v/>
      </c>
      <c r="I290" s="27">
        <f>IF($C290="","",IFERROR(INDEX(ENVIOS!$G$4:$G$3003,MATCH($C290,ENVIOS!$A$4:$A$3003,0)),"—"))</f>
        <v/>
      </c>
      <c r="J290" s="48">
        <f>IF($C290="","",IFERROR(INDEX(ENVIOS!$B$4:$B$3003,MATCH($C290,ENVIOS!$A$4:$A$3003,0)),""))</f>
        <v/>
      </c>
      <c r="K290" s="49" t="n"/>
      <c r="L290" s="27">
        <f>IF($K290="","",IFERROR(INDEX(CONFIG!$B$4:$B$43,MATCH($K290,CONFIG!$A$4:$A$43,0)),"Media"))</f>
        <v/>
      </c>
      <c r="M290" s="27">
        <f>IF($K290="","",IFERROR(INDEX(CONFIG!$D$4:$D$43,MATCH($K290,CONFIG!$A$4:$A$43,0)),"NO"))</f>
        <v/>
      </c>
      <c r="N290" s="49" t="n"/>
      <c r="O290" s="27">
        <f>IF($N290="","",IFERROR(INDEX(CONFIG!$G$4:$G$43,MATCH($N290,CONFIG!$F$4:$F$43,0)),"Por definir"))</f>
        <v/>
      </c>
      <c r="P290" s="27">
        <f>IF($N290="","",IFERROR(INDEX(CONFIG!$H$4:$H$43,MATCH($N290,CONFIG!$F$4:$F$43,0)),"Por definir"))</f>
        <v/>
      </c>
      <c r="Q290" s="50" t="n"/>
      <c r="R290" s="51" t="n"/>
      <c r="S290" s="49" t="n"/>
      <c r="T290" s="49" t="n"/>
      <c r="U290" s="48">
        <f>IF(OR($B290="",$K290=""),"",WORKDAY($B290,IFERROR(INDEX(CONFIG!$C$4:$C$43,MATCH($K290,CONFIG!$A$4:$A$43,0)),3)))</f>
        <v/>
      </c>
      <c r="V290" s="46" t="n"/>
      <c r="W290" s="23">
        <f>IF($B290="","",IF($V290&lt;&gt;"",$V290-$B290,TODAY()-$B290))</f>
        <v/>
      </c>
      <c r="X290" s="27">
        <f>IF($C290="","",IF(IFERROR(INDEX(CONFIG!$K$4:$K$43,MATCH($S290,CONFIG!$J$4:$J$43,0)),"NO")="SÍ",IF(OR($V290="",$U290=""),"Resuelta",IF($V290&gt;$U290,"Resuelta tarde","Resuelta a tiempo")),IF($U290="","Sin clasificar",IF(TODAY()&gt;$U290,"Vencida",IF(TODAY()&gt;=$U290-1,"Por vencer","En plazo")))))</f>
        <v/>
      </c>
      <c r="Y290" s="49" t="n"/>
      <c r="Z290" s="49" t="n"/>
    </row>
    <row r="291" ht="16" customHeight="1">
      <c r="A291" s="27">
        <f>IF($C291="","","N-"&amp;TEXT(ROW()-3,"0000"))</f>
        <v/>
      </c>
      <c r="B291" s="46" t="n"/>
      <c r="C291" s="47" t="n"/>
      <c r="D291" s="27">
        <f>IF($C291="","",IF(COUNTIFS(ENVIOS!$A$4:$A$3003,$C291)=0,"NO EXISTE",IF(COUNTIFS(ENVIOS!$A$4:$A$3003,$C291)&gt;1,"DUPLICADA","OK")))</f>
        <v/>
      </c>
      <c r="E291" s="22">
        <f>IF($C291="","",IFERROR(INDEX(ENVIOS!$C$4:$C$3003,MATCH($C291,ENVIOS!$A$4:$A$3003,0)),"—"))</f>
        <v/>
      </c>
      <c r="F291" s="22">
        <f>IF($C291="","",IFERROR(INDEX(ENVIOS!$D$4:$D$3003,MATCH($C291,ENVIOS!$A$4:$A$3003,0)),"—"))</f>
        <v/>
      </c>
      <c r="G291" s="22">
        <f>IF($C291="","",IFERROR(INDEX(ENVIOS!$E$4:$E$3003,MATCH($C291,ENVIOS!$A$4:$A$3003,0)),"—"))</f>
        <v/>
      </c>
      <c r="H291" s="22">
        <f>IF($C291="","",IFERROR(INDEX(ENVIOS!$F$4:$F$3003,MATCH($C291,ENVIOS!$A$4:$A$3003,0)),"—"))</f>
        <v/>
      </c>
      <c r="I291" s="27">
        <f>IF($C291="","",IFERROR(INDEX(ENVIOS!$G$4:$G$3003,MATCH($C291,ENVIOS!$A$4:$A$3003,0)),"—"))</f>
        <v/>
      </c>
      <c r="J291" s="48">
        <f>IF($C291="","",IFERROR(INDEX(ENVIOS!$B$4:$B$3003,MATCH($C291,ENVIOS!$A$4:$A$3003,0)),""))</f>
        <v/>
      </c>
      <c r="K291" s="49" t="n"/>
      <c r="L291" s="27">
        <f>IF($K291="","",IFERROR(INDEX(CONFIG!$B$4:$B$43,MATCH($K291,CONFIG!$A$4:$A$43,0)),"Media"))</f>
        <v/>
      </c>
      <c r="M291" s="27">
        <f>IF($K291="","",IFERROR(INDEX(CONFIG!$D$4:$D$43,MATCH($K291,CONFIG!$A$4:$A$43,0)),"NO"))</f>
        <v/>
      </c>
      <c r="N291" s="49" t="n"/>
      <c r="O291" s="27">
        <f>IF($N291="","",IFERROR(INDEX(CONFIG!$G$4:$G$43,MATCH($N291,CONFIG!$F$4:$F$43,0)),"Por definir"))</f>
        <v/>
      </c>
      <c r="P291" s="27">
        <f>IF($N291="","",IFERROR(INDEX(CONFIG!$H$4:$H$43,MATCH($N291,CONFIG!$F$4:$F$43,0)),"Por definir"))</f>
        <v/>
      </c>
      <c r="Q291" s="50" t="n"/>
      <c r="R291" s="51" t="n"/>
      <c r="S291" s="49" t="n"/>
      <c r="T291" s="49" t="n"/>
      <c r="U291" s="48">
        <f>IF(OR($B291="",$K291=""),"",WORKDAY($B291,IFERROR(INDEX(CONFIG!$C$4:$C$43,MATCH($K291,CONFIG!$A$4:$A$43,0)),3)))</f>
        <v/>
      </c>
      <c r="V291" s="46" t="n"/>
      <c r="W291" s="23">
        <f>IF($B291="","",IF($V291&lt;&gt;"",$V291-$B291,TODAY()-$B291))</f>
        <v/>
      </c>
      <c r="X291" s="27">
        <f>IF($C291="","",IF(IFERROR(INDEX(CONFIG!$K$4:$K$43,MATCH($S291,CONFIG!$J$4:$J$43,0)),"NO")="SÍ",IF(OR($V291="",$U291=""),"Resuelta",IF($V291&gt;$U291,"Resuelta tarde","Resuelta a tiempo")),IF($U291="","Sin clasificar",IF(TODAY()&gt;$U291,"Vencida",IF(TODAY()&gt;=$U291-1,"Por vencer","En plazo")))))</f>
        <v/>
      </c>
      <c r="Y291" s="49" t="n"/>
      <c r="Z291" s="49" t="n"/>
    </row>
    <row r="292" ht="16" customHeight="1">
      <c r="A292" s="27">
        <f>IF($C292="","","N-"&amp;TEXT(ROW()-3,"0000"))</f>
        <v/>
      </c>
      <c r="B292" s="46" t="n"/>
      <c r="C292" s="47" t="n"/>
      <c r="D292" s="27">
        <f>IF($C292="","",IF(COUNTIFS(ENVIOS!$A$4:$A$3003,$C292)=0,"NO EXISTE",IF(COUNTIFS(ENVIOS!$A$4:$A$3003,$C292)&gt;1,"DUPLICADA","OK")))</f>
        <v/>
      </c>
      <c r="E292" s="22">
        <f>IF($C292="","",IFERROR(INDEX(ENVIOS!$C$4:$C$3003,MATCH($C292,ENVIOS!$A$4:$A$3003,0)),"—"))</f>
        <v/>
      </c>
      <c r="F292" s="22">
        <f>IF($C292="","",IFERROR(INDEX(ENVIOS!$D$4:$D$3003,MATCH($C292,ENVIOS!$A$4:$A$3003,0)),"—"))</f>
        <v/>
      </c>
      <c r="G292" s="22">
        <f>IF($C292="","",IFERROR(INDEX(ENVIOS!$E$4:$E$3003,MATCH($C292,ENVIOS!$A$4:$A$3003,0)),"—"))</f>
        <v/>
      </c>
      <c r="H292" s="22">
        <f>IF($C292="","",IFERROR(INDEX(ENVIOS!$F$4:$F$3003,MATCH($C292,ENVIOS!$A$4:$A$3003,0)),"—"))</f>
        <v/>
      </c>
      <c r="I292" s="27">
        <f>IF($C292="","",IFERROR(INDEX(ENVIOS!$G$4:$G$3003,MATCH($C292,ENVIOS!$A$4:$A$3003,0)),"—"))</f>
        <v/>
      </c>
      <c r="J292" s="48">
        <f>IF($C292="","",IFERROR(INDEX(ENVIOS!$B$4:$B$3003,MATCH($C292,ENVIOS!$A$4:$A$3003,0)),""))</f>
        <v/>
      </c>
      <c r="K292" s="49" t="n"/>
      <c r="L292" s="27">
        <f>IF($K292="","",IFERROR(INDEX(CONFIG!$B$4:$B$43,MATCH($K292,CONFIG!$A$4:$A$43,0)),"Media"))</f>
        <v/>
      </c>
      <c r="M292" s="27">
        <f>IF($K292="","",IFERROR(INDEX(CONFIG!$D$4:$D$43,MATCH($K292,CONFIG!$A$4:$A$43,0)),"NO"))</f>
        <v/>
      </c>
      <c r="N292" s="49" t="n"/>
      <c r="O292" s="27">
        <f>IF($N292="","",IFERROR(INDEX(CONFIG!$G$4:$G$43,MATCH($N292,CONFIG!$F$4:$F$43,0)),"Por definir"))</f>
        <v/>
      </c>
      <c r="P292" s="27">
        <f>IF($N292="","",IFERROR(INDEX(CONFIG!$H$4:$H$43,MATCH($N292,CONFIG!$F$4:$F$43,0)),"Por definir"))</f>
        <v/>
      </c>
      <c r="Q292" s="50" t="n"/>
      <c r="R292" s="51" t="n"/>
      <c r="S292" s="49" t="n"/>
      <c r="T292" s="49" t="n"/>
      <c r="U292" s="48">
        <f>IF(OR($B292="",$K292=""),"",WORKDAY($B292,IFERROR(INDEX(CONFIG!$C$4:$C$43,MATCH($K292,CONFIG!$A$4:$A$43,0)),3)))</f>
        <v/>
      </c>
      <c r="V292" s="46" t="n"/>
      <c r="W292" s="23">
        <f>IF($B292="","",IF($V292&lt;&gt;"",$V292-$B292,TODAY()-$B292))</f>
        <v/>
      </c>
      <c r="X292" s="27">
        <f>IF($C292="","",IF(IFERROR(INDEX(CONFIG!$K$4:$K$43,MATCH($S292,CONFIG!$J$4:$J$43,0)),"NO")="SÍ",IF(OR($V292="",$U292=""),"Resuelta",IF($V292&gt;$U292,"Resuelta tarde","Resuelta a tiempo")),IF($U292="","Sin clasificar",IF(TODAY()&gt;$U292,"Vencida",IF(TODAY()&gt;=$U292-1,"Por vencer","En plazo")))))</f>
        <v/>
      </c>
      <c r="Y292" s="49" t="n"/>
      <c r="Z292" s="49" t="n"/>
    </row>
    <row r="293" ht="16" customHeight="1">
      <c r="A293" s="27">
        <f>IF($C293="","","N-"&amp;TEXT(ROW()-3,"0000"))</f>
        <v/>
      </c>
      <c r="B293" s="46" t="n"/>
      <c r="C293" s="47" t="n"/>
      <c r="D293" s="27">
        <f>IF($C293="","",IF(COUNTIFS(ENVIOS!$A$4:$A$3003,$C293)=0,"NO EXISTE",IF(COUNTIFS(ENVIOS!$A$4:$A$3003,$C293)&gt;1,"DUPLICADA","OK")))</f>
        <v/>
      </c>
      <c r="E293" s="22">
        <f>IF($C293="","",IFERROR(INDEX(ENVIOS!$C$4:$C$3003,MATCH($C293,ENVIOS!$A$4:$A$3003,0)),"—"))</f>
        <v/>
      </c>
      <c r="F293" s="22">
        <f>IF($C293="","",IFERROR(INDEX(ENVIOS!$D$4:$D$3003,MATCH($C293,ENVIOS!$A$4:$A$3003,0)),"—"))</f>
        <v/>
      </c>
      <c r="G293" s="22">
        <f>IF($C293="","",IFERROR(INDEX(ENVIOS!$E$4:$E$3003,MATCH($C293,ENVIOS!$A$4:$A$3003,0)),"—"))</f>
        <v/>
      </c>
      <c r="H293" s="22">
        <f>IF($C293="","",IFERROR(INDEX(ENVIOS!$F$4:$F$3003,MATCH($C293,ENVIOS!$A$4:$A$3003,0)),"—"))</f>
        <v/>
      </c>
      <c r="I293" s="27">
        <f>IF($C293="","",IFERROR(INDEX(ENVIOS!$G$4:$G$3003,MATCH($C293,ENVIOS!$A$4:$A$3003,0)),"—"))</f>
        <v/>
      </c>
      <c r="J293" s="48">
        <f>IF($C293="","",IFERROR(INDEX(ENVIOS!$B$4:$B$3003,MATCH($C293,ENVIOS!$A$4:$A$3003,0)),""))</f>
        <v/>
      </c>
      <c r="K293" s="49" t="n"/>
      <c r="L293" s="27">
        <f>IF($K293="","",IFERROR(INDEX(CONFIG!$B$4:$B$43,MATCH($K293,CONFIG!$A$4:$A$43,0)),"Media"))</f>
        <v/>
      </c>
      <c r="M293" s="27">
        <f>IF($K293="","",IFERROR(INDEX(CONFIG!$D$4:$D$43,MATCH($K293,CONFIG!$A$4:$A$43,0)),"NO"))</f>
        <v/>
      </c>
      <c r="N293" s="49" t="n"/>
      <c r="O293" s="27">
        <f>IF($N293="","",IFERROR(INDEX(CONFIG!$G$4:$G$43,MATCH($N293,CONFIG!$F$4:$F$43,0)),"Por definir"))</f>
        <v/>
      </c>
      <c r="P293" s="27">
        <f>IF($N293="","",IFERROR(INDEX(CONFIG!$H$4:$H$43,MATCH($N293,CONFIG!$F$4:$F$43,0)),"Por definir"))</f>
        <v/>
      </c>
      <c r="Q293" s="50" t="n"/>
      <c r="R293" s="51" t="n"/>
      <c r="S293" s="49" t="n"/>
      <c r="T293" s="49" t="n"/>
      <c r="U293" s="48">
        <f>IF(OR($B293="",$K293=""),"",WORKDAY($B293,IFERROR(INDEX(CONFIG!$C$4:$C$43,MATCH($K293,CONFIG!$A$4:$A$43,0)),3)))</f>
        <v/>
      </c>
      <c r="V293" s="46" t="n"/>
      <c r="W293" s="23">
        <f>IF($B293="","",IF($V293&lt;&gt;"",$V293-$B293,TODAY()-$B293))</f>
        <v/>
      </c>
      <c r="X293" s="27">
        <f>IF($C293="","",IF(IFERROR(INDEX(CONFIG!$K$4:$K$43,MATCH($S293,CONFIG!$J$4:$J$43,0)),"NO")="SÍ",IF(OR($V293="",$U293=""),"Resuelta",IF($V293&gt;$U293,"Resuelta tarde","Resuelta a tiempo")),IF($U293="","Sin clasificar",IF(TODAY()&gt;$U293,"Vencida",IF(TODAY()&gt;=$U293-1,"Por vencer","En plazo")))))</f>
        <v/>
      </c>
      <c r="Y293" s="49" t="n"/>
      <c r="Z293" s="49" t="n"/>
    </row>
    <row r="294" ht="16" customHeight="1">
      <c r="A294" s="27">
        <f>IF($C294="","","N-"&amp;TEXT(ROW()-3,"0000"))</f>
        <v/>
      </c>
      <c r="B294" s="46" t="n"/>
      <c r="C294" s="47" t="n"/>
      <c r="D294" s="27">
        <f>IF($C294="","",IF(COUNTIFS(ENVIOS!$A$4:$A$3003,$C294)=0,"NO EXISTE",IF(COUNTIFS(ENVIOS!$A$4:$A$3003,$C294)&gt;1,"DUPLICADA","OK")))</f>
        <v/>
      </c>
      <c r="E294" s="22">
        <f>IF($C294="","",IFERROR(INDEX(ENVIOS!$C$4:$C$3003,MATCH($C294,ENVIOS!$A$4:$A$3003,0)),"—"))</f>
        <v/>
      </c>
      <c r="F294" s="22">
        <f>IF($C294="","",IFERROR(INDEX(ENVIOS!$D$4:$D$3003,MATCH($C294,ENVIOS!$A$4:$A$3003,0)),"—"))</f>
        <v/>
      </c>
      <c r="G294" s="22">
        <f>IF($C294="","",IFERROR(INDEX(ENVIOS!$E$4:$E$3003,MATCH($C294,ENVIOS!$A$4:$A$3003,0)),"—"))</f>
        <v/>
      </c>
      <c r="H294" s="22">
        <f>IF($C294="","",IFERROR(INDEX(ENVIOS!$F$4:$F$3003,MATCH($C294,ENVIOS!$A$4:$A$3003,0)),"—"))</f>
        <v/>
      </c>
      <c r="I294" s="27">
        <f>IF($C294="","",IFERROR(INDEX(ENVIOS!$G$4:$G$3003,MATCH($C294,ENVIOS!$A$4:$A$3003,0)),"—"))</f>
        <v/>
      </c>
      <c r="J294" s="48">
        <f>IF($C294="","",IFERROR(INDEX(ENVIOS!$B$4:$B$3003,MATCH($C294,ENVIOS!$A$4:$A$3003,0)),""))</f>
        <v/>
      </c>
      <c r="K294" s="49" t="n"/>
      <c r="L294" s="27">
        <f>IF($K294="","",IFERROR(INDEX(CONFIG!$B$4:$B$43,MATCH($K294,CONFIG!$A$4:$A$43,0)),"Media"))</f>
        <v/>
      </c>
      <c r="M294" s="27">
        <f>IF($K294="","",IFERROR(INDEX(CONFIG!$D$4:$D$43,MATCH($K294,CONFIG!$A$4:$A$43,0)),"NO"))</f>
        <v/>
      </c>
      <c r="N294" s="49" t="n"/>
      <c r="O294" s="27">
        <f>IF($N294="","",IFERROR(INDEX(CONFIG!$G$4:$G$43,MATCH($N294,CONFIG!$F$4:$F$43,0)),"Por definir"))</f>
        <v/>
      </c>
      <c r="P294" s="27">
        <f>IF($N294="","",IFERROR(INDEX(CONFIG!$H$4:$H$43,MATCH($N294,CONFIG!$F$4:$F$43,0)),"Por definir"))</f>
        <v/>
      </c>
      <c r="Q294" s="50" t="n"/>
      <c r="R294" s="51" t="n"/>
      <c r="S294" s="49" t="n"/>
      <c r="T294" s="49" t="n"/>
      <c r="U294" s="48">
        <f>IF(OR($B294="",$K294=""),"",WORKDAY($B294,IFERROR(INDEX(CONFIG!$C$4:$C$43,MATCH($K294,CONFIG!$A$4:$A$43,0)),3)))</f>
        <v/>
      </c>
      <c r="V294" s="46" t="n"/>
      <c r="W294" s="23">
        <f>IF($B294="","",IF($V294&lt;&gt;"",$V294-$B294,TODAY()-$B294))</f>
        <v/>
      </c>
      <c r="X294" s="27">
        <f>IF($C294="","",IF(IFERROR(INDEX(CONFIG!$K$4:$K$43,MATCH($S294,CONFIG!$J$4:$J$43,0)),"NO")="SÍ",IF(OR($V294="",$U294=""),"Resuelta",IF($V294&gt;$U294,"Resuelta tarde","Resuelta a tiempo")),IF($U294="","Sin clasificar",IF(TODAY()&gt;$U294,"Vencida",IF(TODAY()&gt;=$U294-1,"Por vencer","En plazo")))))</f>
        <v/>
      </c>
      <c r="Y294" s="49" t="n"/>
      <c r="Z294" s="49" t="n"/>
    </row>
    <row r="295" ht="16" customHeight="1">
      <c r="A295" s="27">
        <f>IF($C295="","","N-"&amp;TEXT(ROW()-3,"0000"))</f>
        <v/>
      </c>
      <c r="B295" s="46" t="n"/>
      <c r="C295" s="47" t="n"/>
      <c r="D295" s="27">
        <f>IF($C295="","",IF(COUNTIFS(ENVIOS!$A$4:$A$3003,$C295)=0,"NO EXISTE",IF(COUNTIFS(ENVIOS!$A$4:$A$3003,$C295)&gt;1,"DUPLICADA","OK")))</f>
        <v/>
      </c>
      <c r="E295" s="22">
        <f>IF($C295="","",IFERROR(INDEX(ENVIOS!$C$4:$C$3003,MATCH($C295,ENVIOS!$A$4:$A$3003,0)),"—"))</f>
        <v/>
      </c>
      <c r="F295" s="22">
        <f>IF($C295="","",IFERROR(INDEX(ENVIOS!$D$4:$D$3003,MATCH($C295,ENVIOS!$A$4:$A$3003,0)),"—"))</f>
        <v/>
      </c>
      <c r="G295" s="22">
        <f>IF($C295="","",IFERROR(INDEX(ENVIOS!$E$4:$E$3003,MATCH($C295,ENVIOS!$A$4:$A$3003,0)),"—"))</f>
        <v/>
      </c>
      <c r="H295" s="22">
        <f>IF($C295="","",IFERROR(INDEX(ENVIOS!$F$4:$F$3003,MATCH($C295,ENVIOS!$A$4:$A$3003,0)),"—"))</f>
        <v/>
      </c>
      <c r="I295" s="27">
        <f>IF($C295="","",IFERROR(INDEX(ENVIOS!$G$4:$G$3003,MATCH($C295,ENVIOS!$A$4:$A$3003,0)),"—"))</f>
        <v/>
      </c>
      <c r="J295" s="48">
        <f>IF($C295="","",IFERROR(INDEX(ENVIOS!$B$4:$B$3003,MATCH($C295,ENVIOS!$A$4:$A$3003,0)),""))</f>
        <v/>
      </c>
      <c r="K295" s="49" t="n"/>
      <c r="L295" s="27">
        <f>IF($K295="","",IFERROR(INDEX(CONFIG!$B$4:$B$43,MATCH($K295,CONFIG!$A$4:$A$43,0)),"Media"))</f>
        <v/>
      </c>
      <c r="M295" s="27">
        <f>IF($K295="","",IFERROR(INDEX(CONFIG!$D$4:$D$43,MATCH($K295,CONFIG!$A$4:$A$43,0)),"NO"))</f>
        <v/>
      </c>
      <c r="N295" s="49" t="n"/>
      <c r="O295" s="27">
        <f>IF($N295="","",IFERROR(INDEX(CONFIG!$G$4:$G$43,MATCH($N295,CONFIG!$F$4:$F$43,0)),"Por definir"))</f>
        <v/>
      </c>
      <c r="P295" s="27">
        <f>IF($N295="","",IFERROR(INDEX(CONFIG!$H$4:$H$43,MATCH($N295,CONFIG!$F$4:$F$43,0)),"Por definir"))</f>
        <v/>
      </c>
      <c r="Q295" s="50" t="n"/>
      <c r="R295" s="51" t="n"/>
      <c r="S295" s="49" t="n"/>
      <c r="T295" s="49" t="n"/>
      <c r="U295" s="48">
        <f>IF(OR($B295="",$K295=""),"",WORKDAY($B295,IFERROR(INDEX(CONFIG!$C$4:$C$43,MATCH($K295,CONFIG!$A$4:$A$43,0)),3)))</f>
        <v/>
      </c>
      <c r="V295" s="46" t="n"/>
      <c r="W295" s="23">
        <f>IF($B295="","",IF($V295&lt;&gt;"",$V295-$B295,TODAY()-$B295))</f>
        <v/>
      </c>
      <c r="X295" s="27">
        <f>IF($C295="","",IF(IFERROR(INDEX(CONFIG!$K$4:$K$43,MATCH($S295,CONFIG!$J$4:$J$43,0)),"NO")="SÍ",IF(OR($V295="",$U295=""),"Resuelta",IF($V295&gt;$U295,"Resuelta tarde","Resuelta a tiempo")),IF($U295="","Sin clasificar",IF(TODAY()&gt;$U295,"Vencida",IF(TODAY()&gt;=$U295-1,"Por vencer","En plazo")))))</f>
        <v/>
      </c>
      <c r="Y295" s="49" t="n"/>
      <c r="Z295" s="49" t="n"/>
    </row>
    <row r="296" ht="16" customHeight="1">
      <c r="A296" s="27">
        <f>IF($C296="","","N-"&amp;TEXT(ROW()-3,"0000"))</f>
        <v/>
      </c>
      <c r="B296" s="46" t="n"/>
      <c r="C296" s="47" t="n"/>
      <c r="D296" s="27">
        <f>IF($C296="","",IF(COUNTIFS(ENVIOS!$A$4:$A$3003,$C296)=0,"NO EXISTE",IF(COUNTIFS(ENVIOS!$A$4:$A$3003,$C296)&gt;1,"DUPLICADA","OK")))</f>
        <v/>
      </c>
      <c r="E296" s="22">
        <f>IF($C296="","",IFERROR(INDEX(ENVIOS!$C$4:$C$3003,MATCH($C296,ENVIOS!$A$4:$A$3003,0)),"—"))</f>
        <v/>
      </c>
      <c r="F296" s="22">
        <f>IF($C296="","",IFERROR(INDEX(ENVIOS!$D$4:$D$3003,MATCH($C296,ENVIOS!$A$4:$A$3003,0)),"—"))</f>
        <v/>
      </c>
      <c r="G296" s="22">
        <f>IF($C296="","",IFERROR(INDEX(ENVIOS!$E$4:$E$3003,MATCH($C296,ENVIOS!$A$4:$A$3003,0)),"—"))</f>
        <v/>
      </c>
      <c r="H296" s="22">
        <f>IF($C296="","",IFERROR(INDEX(ENVIOS!$F$4:$F$3003,MATCH($C296,ENVIOS!$A$4:$A$3003,0)),"—"))</f>
        <v/>
      </c>
      <c r="I296" s="27">
        <f>IF($C296="","",IFERROR(INDEX(ENVIOS!$G$4:$G$3003,MATCH($C296,ENVIOS!$A$4:$A$3003,0)),"—"))</f>
        <v/>
      </c>
      <c r="J296" s="48">
        <f>IF($C296="","",IFERROR(INDEX(ENVIOS!$B$4:$B$3003,MATCH($C296,ENVIOS!$A$4:$A$3003,0)),""))</f>
        <v/>
      </c>
      <c r="K296" s="49" t="n"/>
      <c r="L296" s="27">
        <f>IF($K296="","",IFERROR(INDEX(CONFIG!$B$4:$B$43,MATCH($K296,CONFIG!$A$4:$A$43,0)),"Media"))</f>
        <v/>
      </c>
      <c r="M296" s="27">
        <f>IF($K296="","",IFERROR(INDEX(CONFIG!$D$4:$D$43,MATCH($K296,CONFIG!$A$4:$A$43,0)),"NO"))</f>
        <v/>
      </c>
      <c r="N296" s="49" t="n"/>
      <c r="O296" s="27">
        <f>IF($N296="","",IFERROR(INDEX(CONFIG!$G$4:$G$43,MATCH($N296,CONFIG!$F$4:$F$43,0)),"Por definir"))</f>
        <v/>
      </c>
      <c r="P296" s="27">
        <f>IF($N296="","",IFERROR(INDEX(CONFIG!$H$4:$H$43,MATCH($N296,CONFIG!$F$4:$F$43,0)),"Por definir"))</f>
        <v/>
      </c>
      <c r="Q296" s="50" t="n"/>
      <c r="R296" s="51" t="n"/>
      <c r="S296" s="49" t="n"/>
      <c r="T296" s="49" t="n"/>
      <c r="U296" s="48">
        <f>IF(OR($B296="",$K296=""),"",WORKDAY($B296,IFERROR(INDEX(CONFIG!$C$4:$C$43,MATCH($K296,CONFIG!$A$4:$A$43,0)),3)))</f>
        <v/>
      </c>
      <c r="V296" s="46" t="n"/>
      <c r="W296" s="23">
        <f>IF($B296="","",IF($V296&lt;&gt;"",$V296-$B296,TODAY()-$B296))</f>
        <v/>
      </c>
      <c r="X296" s="27">
        <f>IF($C296="","",IF(IFERROR(INDEX(CONFIG!$K$4:$K$43,MATCH($S296,CONFIG!$J$4:$J$43,0)),"NO")="SÍ",IF(OR($V296="",$U296=""),"Resuelta",IF($V296&gt;$U296,"Resuelta tarde","Resuelta a tiempo")),IF($U296="","Sin clasificar",IF(TODAY()&gt;$U296,"Vencida",IF(TODAY()&gt;=$U296-1,"Por vencer","En plazo")))))</f>
        <v/>
      </c>
      <c r="Y296" s="49" t="n"/>
      <c r="Z296" s="49" t="n"/>
    </row>
    <row r="297" ht="16" customHeight="1">
      <c r="A297" s="27">
        <f>IF($C297="","","N-"&amp;TEXT(ROW()-3,"0000"))</f>
        <v/>
      </c>
      <c r="B297" s="46" t="n"/>
      <c r="C297" s="47" t="n"/>
      <c r="D297" s="27">
        <f>IF($C297="","",IF(COUNTIFS(ENVIOS!$A$4:$A$3003,$C297)=0,"NO EXISTE",IF(COUNTIFS(ENVIOS!$A$4:$A$3003,$C297)&gt;1,"DUPLICADA","OK")))</f>
        <v/>
      </c>
      <c r="E297" s="22">
        <f>IF($C297="","",IFERROR(INDEX(ENVIOS!$C$4:$C$3003,MATCH($C297,ENVIOS!$A$4:$A$3003,0)),"—"))</f>
        <v/>
      </c>
      <c r="F297" s="22">
        <f>IF($C297="","",IFERROR(INDEX(ENVIOS!$D$4:$D$3003,MATCH($C297,ENVIOS!$A$4:$A$3003,0)),"—"))</f>
        <v/>
      </c>
      <c r="G297" s="22">
        <f>IF($C297="","",IFERROR(INDEX(ENVIOS!$E$4:$E$3003,MATCH($C297,ENVIOS!$A$4:$A$3003,0)),"—"))</f>
        <v/>
      </c>
      <c r="H297" s="22">
        <f>IF($C297="","",IFERROR(INDEX(ENVIOS!$F$4:$F$3003,MATCH($C297,ENVIOS!$A$4:$A$3003,0)),"—"))</f>
        <v/>
      </c>
      <c r="I297" s="27">
        <f>IF($C297="","",IFERROR(INDEX(ENVIOS!$G$4:$G$3003,MATCH($C297,ENVIOS!$A$4:$A$3003,0)),"—"))</f>
        <v/>
      </c>
      <c r="J297" s="48">
        <f>IF($C297="","",IFERROR(INDEX(ENVIOS!$B$4:$B$3003,MATCH($C297,ENVIOS!$A$4:$A$3003,0)),""))</f>
        <v/>
      </c>
      <c r="K297" s="49" t="n"/>
      <c r="L297" s="27">
        <f>IF($K297="","",IFERROR(INDEX(CONFIG!$B$4:$B$43,MATCH($K297,CONFIG!$A$4:$A$43,0)),"Media"))</f>
        <v/>
      </c>
      <c r="M297" s="27">
        <f>IF($K297="","",IFERROR(INDEX(CONFIG!$D$4:$D$43,MATCH($K297,CONFIG!$A$4:$A$43,0)),"NO"))</f>
        <v/>
      </c>
      <c r="N297" s="49" t="n"/>
      <c r="O297" s="27">
        <f>IF($N297="","",IFERROR(INDEX(CONFIG!$G$4:$G$43,MATCH($N297,CONFIG!$F$4:$F$43,0)),"Por definir"))</f>
        <v/>
      </c>
      <c r="P297" s="27">
        <f>IF($N297="","",IFERROR(INDEX(CONFIG!$H$4:$H$43,MATCH($N297,CONFIG!$F$4:$F$43,0)),"Por definir"))</f>
        <v/>
      </c>
      <c r="Q297" s="50" t="n"/>
      <c r="R297" s="51" t="n"/>
      <c r="S297" s="49" t="n"/>
      <c r="T297" s="49" t="n"/>
      <c r="U297" s="48">
        <f>IF(OR($B297="",$K297=""),"",WORKDAY($B297,IFERROR(INDEX(CONFIG!$C$4:$C$43,MATCH($K297,CONFIG!$A$4:$A$43,0)),3)))</f>
        <v/>
      </c>
      <c r="V297" s="46" t="n"/>
      <c r="W297" s="23">
        <f>IF($B297="","",IF($V297&lt;&gt;"",$V297-$B297,TODAY()-$B297))</f>
        <v/>
      </c>
      <c r="X297" s="27">
        <f>IF($C297="","",IF(IFERROR(INDEX(CONFIG!$K$4:$K$43,MATCH($S297,CONFIG!$J$4:$J$43,0)),"NO")="SÍ",IF(OR($V297="",$U297=""),"Resuelta",IF($V297&gt;$U297,"Resuelta tarde","Resuelta a tiempo")),IF($U297="","Sin clasificar",IF(TODAY()&gt;$U297,"Vencida",IF(TODAY()&gt;=$U297-1,"Por vencer","En plazo")))))</f>
        <v/>
      </c>
      <c r="Y297" s="49" t="n"/>
      <c r="Z297" s="49" t="n"/>
    </row>
    <row r="298" ht="16" customHeight="1">
      <c r="A298" s="27">
        <f>IF($C298="","","N-"&amp;TEXT(ROW()-3,"0000"))</f>
        <v/>
      </c>
      <c r="B298" s="46" t="n"/>
      <c r="C298" s="47" t="n"/>
      <c r="D298" s="27">
        <f>IF($C298="","",IF(COUNTIFS(ENVIOS!$A$4:$A$3003,$C298)=0,"NO EXISTE",IF(COUNTIFS(ENVIOS!$A$4:$A$3003,$C298)&gt;1,"DUPLICADA","OK")))</f>
        <v/>
      </c>
      <c r="E298" s="22">
        <f>IF($C298="","",IFERROR(INDEX(ENVIOS!$C$4:$C$3003,MATCH($C298,ENVIOS!$A$4:$A$3003,0)),"—"))</f>
        <v/>
      </c>
      <c r="F298" s="22">
        <f>IF($C298="","",IFERROR(INDEX(ENVIOS!$D$4:$D$3003,MATCH($C298,ENVIOS!$A$4:$A$3003,0)),"—"))</f>
        <v/>
      </c>
      <c r="G298" s="22">
        <f>IF($C298="","",IFERROR(INDEX(ENVIOS!$E$4:$E$3003,MATCH($C298,ENVIOS!$A$4:$A$3003,0)),"—"))</f>
        <v/>
      </c>
      <c r="H298" s="22">
        <f>IF($C298="","",IFERROR(INDEX(ENVIOS!$F$4:$F$3003,MATCH($C298,ENVIOS!$A$4:$A$3003,0)),"—"))</f>
        <v/>
      </c>
      <c r="I298" s="27">
        <f>IF($C298="","",IFERROR(INDEX(ENVIOS!$G$4:$G$3003,MATCH($C298,ENVIOS!$A$4:$A$3003,0)),"—"))</f>
        <v/>
      </c>
      <c r="J298" s="48">
        <f>IF($C298="","",IFERROR(INDEX(ENVIOS!$B$4:$B$3003,MATCH($C298,ENVIOS!$A$4:$A$3003,0)),""))</f>
        <v/>
      </c>
      <c r="K298" s="49" t="n"/>
      <c r="L298" s="27">
        <f>IF($K298="","",IFERROR(INDEX(CONFIG!$B$4:$B$43,MATCH($K298,CONFIG!$A$4:$A$43,0)),"Media"))</f>
        <v/>
      </c>
      <c r="M298" s="27">
        <f>IF($K298="","",IFERROR(INDEX(CONFIG!$D$4:$D$43,MATCH($K298,CONFIG!$A$4:$A$43,0)),"NO"))</f>
        <v/>
      </c>
      <c r="N298" s="49" t="n"/>
      <c r="O298" s="27">
        <f>IF($N298="","",IFERROR(INDEX(CONFIG!$G$4:$G$43,MATCH($N298,CONFIG!$F$4:$F$43,0)),"Por definir"))</f>
        <v/>
      </c>
      <c r="P298" s="27">
        <f>IF($N298="","",IFERROR(INDEX(CONFIG!$H$4:$H$43,MATCH($N298,CONFIG!$F$4:$F$43,0)),"Por definir"))</f>
        <v/>
      </c>
      <c r="Q298" s="50" t="n"/>
      <c r="R298" s="51" t="n"/>
      <c r="S298" s="49" t="n"/>
      <c r="T298" s="49" t="n"/>
      <c r="U298" s="48">
        <f>IF(OR($B298="",$K298=""),"",WORKDAY($B298,IFERROR(INDEX(CONFIG!$C$4:$C$43,MATCH($K298,CONFIG!$A$4:$A$43,0)),3)))</f>
        <v/>
      </c>
      <c r="V298" s="46" t="n"/>
      <c r="W298" s="23">
        <f>IF($B298="","",IF($V298&lt;&gt;"",$V298-$B298,TODAY()-$B298))</f>
        <v/>
      </c>
      <c r="X298" s="27">
        <f>IF($C298="","",IF(IFERROR(INDEX(CONFIG!$K$4:$K$43,MATCH($S298,CONFIG!$J$4:$J$43,0)),"NO")="SÍ",IF(OR($V298="",$U298=""),"Resuelta",IF($V298&gt;$U298,"Resuelta tarde","Resuelta a tiempo")),IF($U298="","Sin clasificar",IF(TODAY()&gt;$U298,"Vencida",IF(TODAY()&gt;=$U298-1,"Por vencer","En plazo")))))</f>
        <v/>
      </c>
      <c r="Y298" s="49" t="n"/>
      <c r="Z298" s="49" t="n"/>
    </row>
    <row r="299" ht="16" customHeight="1">
      <c r="A299" s="27">
        <f>IF($C299="","","N-"&amp;TEXT(ROW()-3,"0000"))</f>
        <v/>
      </c>
      <c r="B299" s="46" t="n"/>
      <c r="C299" s="47" t="n"/>
      <c r="D299" s="27">
        <f>IF($C299="","",IF(COUNTIFS(ENVIOS!$A$4:$A$3003,$C299)=0,"NO EXISTE",IF(COUNTIFS(ENVIOS!$A$4:$A$3003,$C299)&gt;1,"DUPLICADA","OK")))</f>
        <v/>
      </c>
      <c r="E299" s="22">
        <f>IF($C299="","",IFERROR(INDEX(ENVIOS!$C$4:$C$3003,MATCH($C299,ENVIOS!$A$4:$A$3003,0)),"—"))</f>
        <v/>
      </c>
      <c r="F299" s="22">
        <f>IF($C299="","",IFERROR(INDEX(ENVIOS!$D$4:$D$3003,MATCH($C299,ENVIOS!$A$4:$A$3003,0)),"—"))</f>
        <v/>
      </c>
      <c r="G299" s="22">
        <f>IF($C299="","",IFERROR(INDEX(ENVIOS!$E$4:$E$3003,MATCH($C299,ENVIOS!$A$4:$A$3003,0)),"—"))</f>
        <v/>
      </c>
      <c r="H299" s="22">
        <f>IF($C299="","",IFERROR(INDEX(ENVIOS!$F$4:$F$3003,MATCH($C299,ENVIOS!$A$4:$A$3003,0)),"—"))</f>
        <v/>
      </c>
      <c r="I299" s="27">
        <f>IF($C299="","",IFERROR(INDEX(ENVIOS!$G$4:$G$3003,MATCH($C299,ENVIOS!$A$4:$A$3003,0)),"—"))</f>
        <v/>
      </c>
      <c r="J299" s="48">
        <f>IF($C299="","",IFERROR(INDEX(ENVIOS!$B$4:$B$3003,MATCH($C299,ENVIOS!$A$4:$A$3003,0)),""))</f>
        <v/>
      </c>
      <c r="K299" s="49" t="n"/>
      <c r="L299" s="27">
        <f>IF($K299="","",IFERROR(INDEX(CONFIG!$B$4:$B$43,MATCH($K299,CONFIG!$A$4:$A$43,0)),"Media"))</f>
        <v/>
      </c>
      <c r="M299" s="27">
        <f>IF($K299="","",IFERROR(INDEX(CONFIG!$D$4:$D$43,MATCH($K299,CONFIG!$A$4:$A$43,0)),"NO"))</f>
        <v/>
      </c>
      <c r="N299" s="49" t="n"/>
      <c r="O299" s="27">
        <f>IF($N299="","",IFERROR(INDEX(CONFIG!$G$4:$G$43,MATCH($N299,CONFIG!$F$4:$F$43,0)),"Por definir"))</f>
        <v/>
      </c>
      <c r="P299" s="27">
        <f>IF($N299="","",IFERROR(INDEX(CONFIG!$H$4:$H$43,MATCH($N299,CONFIG!$F$4:$F$43,0)),"Por definir"))</f>
        <v/>
      </c>
      <c r="Q299" s="50" t="n"/>
      <c r="R299" s="51" t="n"/>
      <c r="S299" s="49" t="n"/>
      <c r="T299" s="49" t="n"/>
      <c r="U299" s="48">
        <f>IF(OR($B299="",$K299=""),"",WORKDAY($B299,IFERROR(INDEX(CONFIG!$C$4:$C$43,MATCH($K299,CONFIG!$A$4:$A$43,0)),3)))</f>
        <v/>
      </c>
      <c r="V299" s="46" t="n"/>
      <c r="W299" s="23">
        <f>IF($B299="","",IF($V299&lt;&gt;"",$V299-$B299,TODAY()-$B299))</f>
        <v/>
      </c>
      <c r="X299" s="27">
        <f>IF($C299="","",IF(IFERROR(INDEX(CONFIG!$K$4:$K$43,MATCH($S299,CONFIG!$J$4:$J$43,0)),"NO")="SÍ",IF(OR($V299="",$U299=""),"Resuelta",IF($V299&gt;$U299,"Resuelta tarde","Resuelta a tiempo")),IF($U299="","Sin clasificar",IF(TODAY()&gt;$U299,"Vencida",IF(TODAY()&gt;=$U299-1,"Por vencer","En plazo")))))</f>
        <v/>
      </c>
      <c r="Y299" s="49" t="n"/>
      <c r="Z299" s="49" t="n"/>
    </row>
    <row r="300" ht="16" customHeight="1">
      <c r="A300" s="27">
        <f>IF($C300="","","N-"&amp;TEXT(ROW()-3,"0000"))</f>
        <v/>
      </c>
      <c r="B300" s="46" t="n"/>
      <c r="C300" s="47" t="n"/>
      <c r="D300" s="27">
        <f>IF($C300="","",IF(COUNTIFS(ENVIOS!$A$4:$A$3003,$C300)=0,"NO EXISTE",IF(COUNTIFS(ENVIOS!$A$4:$A$3003,$C300)&gt;1,"DUPLICADA","OK")))</f>
        <v/>
      </c>
      <c r="E300" s="22">
        <f>IF($C300="","",IFERROR(INDEX(ENVIOS!$C$4:$C$3003,MATCH($C300,ENVIOS!$A$4:$A$3003,0)),"—"))</f>
        <v/>
      </c>
      <c r="F300" s="22">
        <f>IF($C300="","",IFERROR(INDEX(ENVIOS!$D$4:$D$3003,MATCH($C300,ENVIOS!$A$4:$A$3003,0)),"—"))</f>
        <v/>
      </c>
      <c r="G300" s="22">
        <f>IF($C300="","",IFERROR(INDEX(ENVIOS!$E$4:$E$3003,MATCH($C300,ENVIOS!$A$4:$A$3003,0)),"—"))</f>
        <v/>
      </c>
      <c r="H300" s="22">
        <f>IF($C300="","",IFERROR(INDEX(ENVIOS!$F$4:$F$3003,MATCH($C300,ENVIOS!$A$4:$A$3003,0)),"—"))</f>
        <v/>
      </c>
      <c r="I300" s="27">
        <f>IF($C300="","",IFERROR(INDEX(ENVIOS!$G$4:$G$3003,MATCH($C300,ENVIOS!$A$4:$A$3003,0)),"—"))</f>
        <v/>
      </c>
      <c r="J300" s="48">
        <f>IF($C300="","",IFERROR(INDEX(ENVIOS!$B$4:$B$3003,MATCH($C300,ENVIOS!$A$4:$A$3003,0)),""))</f>
        <v/>
      </c>
      <c r="K300" s="49" t="n"/>
      <c r="L300" s="27">
        <f>IF($K300="","",IFERROR(INDEX(CONFIG!$B$4:$B$43,MATCH($K300,CONFIG!$A$4:$A$43,0)),"Media"))</f>
        <v/>
      </c>
      <c r="M300" s="27">
        <f>IF($K300="","",IFERROR(INDEX(CONFIG!$D$4:$D$43,MATCH($K300,CONFIG!$A$4:$A$43,0)),"NO"))</f>
        <v/>
      </c>
      <c r="N300" s="49" t="n"/>
      <c r="O300" s="27">
        <f>IF($N300="","",IFERROR(INDEX(CONFIG!$G$4:$G$43,MATCH($N300,CONFIG!$F$4:$F$43,0)),"Por definir"))</f>
        <v/>
      </c>
      <c r="P300" s="27">
        <f>IF($N300="","",IFERROR(INDEX(CONFIG!$H$4:$H$43,MATCH($N300,CONFIG!$F$4:$F$43,0)),"Por definir"))</f>
        <v/>
      </c>
      <c r="Q300" s="50" t="n"/>
      <c r="R300" s="51" t="n"/>
      <c r="S300" s="49" t="n"/>
      <c r="T300" s="49" t="n"/>
      <c r="U300" s="48">
        <f>IF(OR($B300="",$K300=""),"",WORKDAY($B300,IFERROR(INDEX(CONFIG!$C$4:$C$43,MATCH($K300,CONFIG!$A$4:$A$43,0)),3)))</f>
        <v/>
      </c>
      <c r="V300" s="46" t="n"/>
      <c r="W300" s="23">
        <f>IF($B300="","",IF($V300&lt;&gt;"",$V300-$B300,TODAY()-$B300))</f>
        <v/>
      </c>
      <c r="X300" s="27">
        <f>IF($C300="","",IF(IFERROR(INDEX(CONFIG!$K$4:$K$43,MATCH($S300,CONFIG!$J$4:$J$43,0)),"NO")="SÍ",IF(OR($V300="",$U300=""),"Resuelta",IF($V300&gt;$U300,"Resuelta tarde","Resuelta a tiempo")),IF($U300="","Sin clasificar",IF(TODAY()&gt;$U300,"Vencida",IF(TODAY()&gt;=$U300-1,"Por vencer","En plazo")))))</f>
        <v/>
      </c>
      <c r="Y300" s="49" t="n"/>
      <c r="Z300" s="49" t="n"/>
    </row>
    <row r="301" ht="16" customHeight="1">
      <c r="A301" s="27">
        <f>IF($C301="","","N-"&amp;TEXT(ROW()-3,"0000"))</f>
        <v/>
      </c>
      <c r="B301" s="46" t="n"/>
      <c r="C301" s="47" t="n"/>
      <c r="D301" s="27">
        <f>IF($C301="","",IF(COUNTIFS(ENVIOS!$A$4:$A$3003,$C301)=0,"NO EXISTE",IF(COUNTIFS(ENVIOS!$A$4:$A$3003,$C301)&gt;1,"DUPLICADA","OK")))</f>
        <v/>
      </c>
      <c r="E301" s="22">
        <f>IF($C301="","",IFERROR(INDEX(ENVIOS!$C$4:$C$3003,MATCH($C301,ENVIOS!$A$4:$A$3003,0)),"—"))</f>
        <v/>
      </c>
      <c r="F301" s="22">
        <f>IF($C301="","",IFERROR(INDEX(ENVIOS!$D$4:$D$3003,MATCH($C301,ENVIOS!$A$4:$A$3003,0)),"—"))</f>
        <v/>
      </c>
      <c r="G301" s="22">
        <f>IF($C301="","",IFERROR(INDEX(ENVIOS!$E$4:$E$3003,MATCH($C301,ENVIOS!$A$4:$A$3003,0)),"—"))</f>
        <v/>
      </c>
      <c r="H301" s="22">
        <f>IF($C301="","",IFERROR(INDEX(ENVIOS!$F$4:$F$3003,MATCH($C301,ENVIOS!$A$4:$A$3003,0)),"—"))</f>
        <v/>
      </c>
      <c r="I301" s="27">
        <f>IF($C301="","",IFERROR(INDEX(ENVIOS!$G$4:$G$3003,MATCH($C301,ENVIOS!$A$4:$A$3003,0)),"—"))</f>
        <v/>
      </c>
      <c r="J301" s="48">
        <f>IF($C301="","",IFERROR(INDEX(ENVIOS!$B$4:$B$3003,MATCH($C301,ENVIOS!$A$4:$A$3003,0)),""))</f>
        <v/>
      </c>
      <c r="K301" s="49" t="n"/>
      <c r="L301" s="27">
        <f>IF($K301="","",IFERROR(INDEX(CONFIG!$B$4:$B$43,MATCH($K301,CONFIG!$A$4:$A$43,0)),"Media"))</f>
        <v/>
      </c>
      <c r="M301" s="27">
        <f>IF($K301="","",IFERROR(INDEX(CONFIG!$D$4:$D$43,MATCH($K301,CONFIG!$A$4:$A$43,0)),"NO"))</f>
        <v/>
      </c>
      <c r="N301" s="49" t="n"/>
      <c r="O301" s="27">
        <f>IF($N301="","",IFERROR(INDEX(CONFIG!$G$4:$G$43,MATCH($N301,CONFIG!$F$4:$F$43,0)),"Por definir"))</f>
        <v/>
      </c>
      <c r="P301" s="27">
        <f>IF($N301="","",IFERROR(INDEX(CONFIG!$H$4:$H$43,MATCH($N301,CONFIG!$F$4:$F$43,0)),"Por definir"))</f>
        <v/>
      </c>
      <c r="Q301" s="50" t="n"/>
      <c r="R301" s="51" t="n"/>
      <c r="S301" s="49" t="n"/>
      <c r="T301" s="49" t="n"/>
      <c r="U301" s="48">
        <f>IF(OR($B301="",$K301=""),"",WORKDAY($B301,IFERROR(INDEX(CONFIG!$C$4:$C$43,MATCH($K301,CONFIG!$A$4:$A$43,0)),3)))</f>
        <v/>
      </c>
      <c r="V301" s="46" t="n"/>
      <c r="W301" s="23">
        <f>IF($B301="","",IF($V301&lt;&gt;"",$V301-$B301,TODAY()-$B301))</f>
        <v/>
      </c>
      <c r="X301" s="27">
        <f>IF($C301="","",IF(IFERROR(INDEX(CONFIG!$K$4:$K$43,MATCH($S301,CONFIG!$J$4:$J$43,0)),"NO")="SÍ",IF(OR($V301="",$U301=""),"Resuelta",IF($V301&gt;$U301,"Resuelta tarde","Resuelta a tiempo")),IF($U301="","Sin clasificar",IF(TODAY()&gt;$U301,"Vencida",IF(TODAY()&gt;=$U301-1,"Por vencer","En plazo")))))</f>
        <v/>
      </c>
      <c r="Y301" s="49" t="n"/>
      <c r="Z301" s="49" t="n"/>
    </row>
    <row r="302" ht="16" customHeight="1">
      <c r="A302" s="27">
        <f>IF($C302="","","N-"&amp;TEXT(ROW()-3,"0000"))</f>
        <v/>
      </c>
      <c r="B302" s="46" t="n"/>
      <c r="C302" s="47" t="n"/>
      <c r="D302" s="27">
        <f>IF($C302="","",IF(COUNTIFS(ENVIOS!$A$4:$A$3003,$C302)=0,"NO EXISTE",IF(COUNTIFS(ENVIOS!$A$4:$A$3003,$C302)&gt;1,"DUPLICADA","OK")))</f>
        <v/>
      </c>
      <c r="E302" s="22">
        <f>IF($C302="","",IFERROR(INDEX(ENVIOS!$C$4:$C$3003,MATCH($C302,ENVIOS!$A$4:$A$3003,0)),"—"))</f>
        <v/>
      </c>
      <c r="F302" s="22">
        <f>IF($C302="","",IFERROR(INDEX(ENVIOS!$D$4:$D$3003,MATCH($C302,ENVIOS!$A$4:$A$3003,0)),"—"))</f>
        <v/>
      </c>
      <c r="G302" s="22">
        <f>IF($C302="","",IFERROR(INDEX(ENVIOS!$E$4:$E$3003,MATCH($C302,ENVIOS!$A$4:$A$3003,0)),"—"))</f>
        <v/>
      </c>
      <c r="H302" s="22">
        <f>IF($C302="","",IFERROR(INDEX(ENVIOS!$F$4:$F$3003,MATCH($C302,ENVIOS!$A$4:$A$3003,0)),"—"))</f>
        <v/>
      </c>
      <c r="I302" s="27">
        <f>IF($C302="","",IFERROR(INDEX(ENVIOS!$G$4:$G$3003,MATCH($C302,ENVIOS!$A$4:$A$3003,0)),"—"))</f>
        <v/>
      </c>
      <c r="J302" s="48">
        <f>IF($C302="","",IFERROR(INDEX(ENVIOS!$B$4:$B$3003,MATCH($C302,ENVIOS!$A$4:$A$3003,0)),""))</f>
        <v/>
      </c>
      <c r="K302" s="49" t="n"/>
      <c r="L302" s="27">
        <f>IF($K302="","",IFERROR(INDEX(CONFIG!$B$4:$B$43,MATCH($K302,CONFIG!$A$4:$A$43,0)),"Media"))</f>
        <v/>
      </c>
      <c r="M302" s="27">
        <f>IF($K302="","",IFERROR(INDEX(CONFIG!$D$4:$D$43,MATCH($K302,CONFIG!$A$4:$A$43,0)),"NO"))</f>
        <v/>
      </c>
      <c r="N302" s="49" t="n"/>
      <c r="O302" s="27">
        <f>IF($N302="","",IFERROR(INDEX(CONFIG!$G$4:$G$43,MATCH($N302,CONFIG!$F$4:$F$43,0)),"Por definir"))</f>
        <v/>
      </c>
      <c r="P302" s="27">
        <f>IF($N302="","",IFERROR(INDEX(CONFIG!$H$4:$H$43,MATCH($N302,CONFIG!$F$4:$F$43,0)),"Por definir"))</f>
        <v/>
      </c>
      <c r="Q302" s="50" t="n"/>
      <c r="R302" s="51" t="n"/>
      <c r="S302" s="49" t="n"/>
      <c r="T302" s="49" t="n"/>
      <c r="U302" s="48">
        <f>IF(OR($B302="",$K302=""),"",WORKDAY($B302,IFERROR(INDEX(CONFIG!$C$4:$C$43,MATCH($K302,CONFIG!$A$4:$A$43,0)),3)))</f>
        <v/>
      </c>
      <c r="V302" s="46" t="n"/>
      <c r="W302" s="23">
        <f>IF($B302="","",IF($V302&lt;&gt;"",$V302-$B302,TODAY()-$B302))</f>
        <v/>
      </c>
      <c r="X302" s="27">
        <f>IF($C302="","",IF(IFERROR(INDEX(CONFIG!$K$4:$K$43,MATCH($S302,CONFIG!$J$4:$J$43,0)),"NO")="SÍ",IF(OR($V302="",$U302=""),"Resuelta",IF($V302&gt;$U302,"Resuelta tarde","Resuelta a tiempo")),IF($U302="","Sin clasificar",IF(TODAY()&gt;$U302,"Vencida",IF(TODAY()&gt;=$U302-1,"Por vencer","En plazo")))))</f>
        <v/>
      </c>
      <c r="Y302" s="49" t="n"/>
      <c r="Z302" s="49" t="n"/>
    </row>
    <row r="303" ht="16" customHeight="1">
      <c r="A303" s="27">
        <f>IF($C303="","","N-"&amp;TEXT(ROW()-3,"0000"))</f>
        <v/>
      </c>
      <c r="B303" s="46" t="n"/>
      <c r="C303" s="47" t="n"/>
      <c r="D303" s="27">
        <f>IF($C303="","",IF(COUNTIFS(ENVIOS!$A$4:$A$3003,$C303)=0,"NO EXISTE",IF(COUNTIFS(ENVIOS!$A$4:$A$3003,$C303)&gt;1,"DUPLICADA","OK")))</f>
        <v/>
      </c>
      <c r="E303" s="22">
        <f>IF($C303="","",IFERROR(INDEX(ENVIOS!$C$4:$C$3003,MATCH($C303,ENVIOS!$A$4:$A$3003,0)),"—"))</f>
        <v/>
      </c>
      <c r="F303" s="22">
        <f>IF($C303="","",IFERROR(INDEX(ENVIOS!$D$4:$D$3003,MATCH($C303,ENVIOS!$A$4:$A$3003,0)),"—"))</f>
        <v/>
      </c>
      <c r="G303" s="22">
        <f>IF($C303="","",IFERROR(INDEX(ENVIOS!$E$4:$E$3003,MATCH($C303,ENVIOS!$A$4:$A$3003,0)),"—"))</f>
        <v/>
      </c>
      <c r="H303" s="22">
        <f>IF($C303="","",IFERROR(INDEX(ENVIOS!$F$4:$F$3003,MATCH($C303,ENVIOS!$A$4:$A$3003,0)),"—"))</f>
        <v/>
      </c>
      <c r="I303" s="27">
        <f>IF($C303="","",IFERROR(INDEX(ENVIOS!$G$4:$G$3003,MATCH($C303,ENVIOS!$A$4:$A$3003,0)),"—"))</f>
        <v/>
      </c>
      <c r="J303" s="48">
        <f>IF($C303="","",IFERROR(INDEX(ENVIOS!$B$4:$B$3003,MATCH($C303,ENVIOS!$A$4:$A$3003,0)),""))</f>
        <v/>
      </c>
      <c r="K303" s="49" t="n"/>
      <c r="L303" s="27">
        <f>IF($K303="","",IFERROR(INDEX(CONFIG!$B$4:$B$43,MATCH($K303,CONFIG!$A$4:$A$43,0)),"Media"))</f>
        <v/>
      </c>
      <c r="M303" s="27">
        <f>IF($K303="","",IFERROR(INDEX(CONFIG!$D$4:$D$43,MATCH($K303,CONFIG!$A$4:$A$43,0)),"NO"))</f>
        <v/>
      </c>
      <c r="N303" s="49" t="n"/>
      <c r="O303" s="27">
        <f>IF($N303="","",IFERROR(INDEX(CONFIG!$G$4:$G$43,MATCH($N303,CONFIG!$F$4:$F$43,0)),"Por definir"))</f>
        <v/>
      </c>
      <c r="P303" s="27">
        <f>IF($N303="","",IFERROR(INDEX(CONFIG!$H$4:$H$43,MATCH($N303,CONFIG!$F$4:$F$43,0)),"Por definir"))</f>
        <v/>
      </c>
      <c r="Q303" s="50" t="n"/>
      <c r="R303" s="51" t="n"/>
      <c r="S303" s="49" t="n"/>
      <c r="T303" s="49" t="n"/>
      <c r="U303" s="48">
        <f>IF(OR($B303="",$K303=""),"",WORKDAY($B303,IFERROR(INDEX(CONFIG!$C$4:$C$43,MATCH($K303,CONFIG!$A$4:$A$43,0)),3)))</f>
        <v/>
      </c>
      <c r="V303" s="46" t="n"/>
      <c r="W303" s="23">
        <f>IF($B303="","",IF($V303&lt;&gt;"",$V303-$B303,TODAY()-$B303))</f>
        <v/>
      </c>
      <c r="X303" s="27">
        <f>IF($C303="","",IF(IFERROR(INDEX(CONFIG!$K$4:$K$43,MATCH($S303,CONFIG!$J$4:$J$43,0)),"NO")="SÍ",IF(OR($V303="",$U303=""),"Resuelta",IF($V303&gt;$U303,"Resuelta tarde","Resuelta a tiempo")),IF($U303="","Sin clasificar",IF(TODAY()&gt;$U303,"Vencida",IF(TODAY()&gt;=$U303-1,"Por vencer","En plazo")))))</f>
        <v/>
      </c>
      <c r="Y303" s="49" t="n"/>
      <c r="Z303" s="49" t="n"/>
    </row>
    <row r="304" ht="16" customHeight="1">
      <c r="A304" s="27">
        <f>IF($C304="","","N-"&amp;TEXT(ROW()-3,"0000"))</f>
        <v/>
      </c>
      <c r="B304" s="46" t="n"/>
      <c r="C304" s="47" t="n"/>
      <c r="D304" s="27">
        <f>IF($C304="","",IF(COUNTIFS(ENVIOS!$A$4:$A$3003,$C304)=0,"NO EXISTE",IF(COUNTIFS(ENVIOS!$A$4:$A$3003,$C304)&gt;1,"DUPLICADA","OK")))</f>
        <v/>
      </c>
      <c r="E304" s="22">
        <f>IF($C304="","",IFERROR(INDEX(ENVIOS!$C$4:$C$3003,MATCH($C304,ENVIOS!$A$4:$A$3003,0)),"—"))</f>
        <v/>
      </c>
      <c r="F304" s="22">
        <f>IF($C304="","",IFERROR(INDEX(ENVIOS!$D$4:$D$3003,MATCH($C304,ENVIOS!$A$4:$A$3003,0)),"—"))</f>
        <v/>
      </c>
      <c r="G304" s="22">
        <f>IF($C304="","",IFERROR(INDEX(ENVIOS!$E$4:$E$3003,MATCH($C304,ENVIOS!$A$4:$A$3003,0)),"—"))</f>
        <v/>
      </c>
      <c r="H304" s="22">
        <f>IF($C304="","",IFERROR(INDEX(ENVIOS!$F$4:$F$3003,MATCH($C304,ENVIOS!$A$4:$A$3003,0)),"—"))</f>
        <v/>
      </c>
      <c r="I304" s="27">
        <f>IF($C304="","",IFERROR(INDEX(ENVIOS!$G$4:$G$3003,MATCH($C304,ENVIOS!$A$4:$A$3003,0)),"—"))</f>
        <v/>
      </c>
      <c r="J304" s="48">
        <f>IF($C304="","",IFERROR(INDEX(ENVIOS!$B$4:$B$3003,MATCH($C304,ENVIOS!$A$4:$A$3003,0)),""))</f>
        <v/>
      </c>
      <c r="K304" s="49" t="n"/>
      <c r="L304" s="27">
        <f>IF($K304="","",IFERROR(INDEX(CONFIG!$B$4:$B$43,MATCH($K304,CONFIG!$A$4:$A$43,0)),"Media"))</f>
        <v/>
      </c>
      <c r="M304" s="27">
        <f>IF($K304="","",IFERROR(INDEX(CONFIG!$D$4:$D$43,MATCH($K304,CONFIG!$A$4:$A$43,0)),"NO"))</f>
        <v/>
      </c>
      <c r="N304" s="49" t="n"/>
      <c r="O304" s="27">
        <f>IF($N304="","",IFERROR(INDEX(CONFIG!$G$4:$G$43,MATCH($N304,CONFIG!$F$4:$F$43,0)),"Por definir"))</f>
        <v/>
      </c>
      <c r="P304" s="27">
        <f>IF($N304="","",IFERROR(INDEX(CONFIG!$H$4:$H$43,MATCH($N304,CONFIG!$F$4:$F$43,0)),"Por definir"))</f>
        <v/>
      </c>
      <c r="Q304" s="50" t="n"/>
      <c r="R304" s="51" t="n"/>
      <c r="S304" s="49" t="n"/>
      <c r="T304" s="49" t="n"/>
      <c r="U304" s="48">
        <f>IF(OR($B304="",$K304=""),"",WORKDAY($B304,IFERROR(INDEX(CONFIG!$C$4:$C$43,MATCH($K304,CONFIG!$A$4:$A$43,0)),3)))</f>
        <v/>
      </c>
      <c r="V304" s="46" t="n"/>
      <c r="W304" s="23">
        <f>IF($B304="","",IF($V304&lt;&gt;"",$V304-$B304,TODAY()-$B304))</f>
        <v/>
      </c>
      <c r="X304" s="27">
        <f>IF($C304="","",IF(IFERROR(INDEX(CONFIG!$K$4:$K$43,MATCH($S304,CONFIG!$J$4:$J$43,0)),"NO")="SÍ",IF(OR($V304="",$U304=""),"Resuelta",IF($V304&gt;$U304,"Resuelta tarde","Resuelta a tiempo")),IF($U304="","Sin clasificar",IF(TODAY()&gt;$U304,"Vencida",IF(TODAY()&gt;=$U304-1,"Por vencer","En plazo")))))</f>
        <v/>
      </c>
      <c r="Y304" s="49" t="n"/>
      <c r="Z304" s="49" t="n"/>
    </row>
    <row r="305" ht="16" customHeight="1">
      <c r="A305" s="27">
        <f>IF($C305="","","N-"&amp;TEXT(ROW()-3,"0000"))</f>
        <v/>
      </c>
      <c r="B305" s="46" t="n"/>
      <c r="C305" s="47" t="n"/>
      <c r="D305" s="27">
        <f>IF($C305="","",IF(COUNTIFS(ENVIOS!$A$4:$A$3003,$C305)=0,"NO EXISTE",IF(COUNTIFS(ENVIOS!$A$4:$A$3003,$C305)&gt;1,"DUPLICADA","OK")))</f>
        <v/>
      </c>
      <c r="E305" s="22">
        <f>IF($C305="","",IFERROR(INDEX(ENVIOS!$C$4:$C$3003,MATCH($C305,ENVIOS!$A$4:$A$3003,0)),"—"))</f>
        <v/>
      </c>
      <c r="F305" s="22">
        <f>IF($C305="","",IFERROR(INDEX(ENVIOS!$D$4:$D$3003,MATCH($C305,ENVIOS!$A$4:$A$3003,0)),"—"))</f>
        <v/>
      </c>
      <c r="G305" s="22">
        <f>IF($C305="","",IFERROR(INDEX(ENVIOS!$E$4:$E$3003,MATCH($C305,ENVIOS!$A$4:$A$3003,0)),"—"))</f>
        <v/>
      </c>
      <c r="H305" s="22">
        <f>IF($C305="","",IFERROR(INDEX(ENVIOS!$F$4:$F$3003,MATCH($C305,ENVIOS!$A$4:$A$3003,0)),"—"))</f>
        <v/>
      </c>
      <c r="I305" s="27">
        <f>IF($C305="","",IFERROR(INDEX(ENVIOS!$G$4:$G$3003,MATCH($C305,ENVIOS!$A$4:$A$3003,0)),"—"))</f>
        <v/>
      </c>
      <c r="J305" s="48">
        <f>IF($C305="","",IFERROR(INDEX(ENVIOS!$B$4:$B$3003,MATCH($C305,ENVIOS!$A$4:$A$3003,0)),""))</f>
        <v/>
      </c>
      <c r="K305" s="49" t="n"/>
      <c r="L305" s="27">
        <f>IF($K305="","",IFERROR(INDEX(CONFIG!$B$4:$B$43,MATCH($K305,CONFIG!$A$4:$A$43,0)),"Media"))</f>
        <v/>
      </c>
      <c r="M305" s="27">
        <f>IF($K305="","",IFERROR(INDEX(CONFIG!$D$4:$D$43,MATCH($K305,CONFIG!$A$4:$A$43,0)),"NO"))</f>
        <v/>
      </c>
      <c r="N305" s="49" t="n"/>
      <c r="O305" s="27">
        <f>IF($N305="","",IFERROR(INDEX(CONFIG!$G$4:$G$43,MATCH($N305,CONFIG!$F$4:$F$43,0)),"Por definir"))</f>
        <v/>
      </c>
      <c r="P305" s="27">
        <f>IF($N305="","",IFERROR(INDEX(CONFIG!$H$4:$H$43,MATCH($N305,CONFIG!$F$4:$F$43,0)),"Por definir"))</f>
        <v/>
      </c>
      <c r="Q305" s="50" t="n"/>
      <c r="R305" s="51" t="n"/>
      <c r="S305" s="49" t="n"/>
      <c r="T305" s="49" t="n"/>
      <c r="U305" s="48">
        <f>IF(OR($B305="",$K305=""),"",WORKDAY($B305,IFERROR(INDEX(CONFIG!$C$4:$C$43,MATCH($K305,CONFIG!$A$4:$A$43,0)),3)))</f>
        <v/>
      </c>
      <c r="V305" s="46" t="n"/>
      <c r="W305" s="23">
        <f>IF($B305="","",IF($V305&lt;&gt;"",$V305-$B305,TODAY()-$B305))</f>
        <v/>
      </c>
      <c r="X305" s="27">
        <f>IF($C305="","",IF(IFERROR(INDEX(CONFIG!$K$4:$K$43,MATCH($S305,CONFIG!$J$4:$J$43,0)),"NO")="SÍ",IF(OR($V305="",$U305=""),"Resuelta",IF($V305&gt;$U305,"Resuelta tarde","Resuelta a tiempo")),IF($U305="","Sin clasificar",IF(TODAY()&gt;$U305,"Vencida",IF(TODAY()&gt;=$U305-1,"Por vencer","En plazo")))))</f>
        <v/>
      </c>
      <c r="Y305" s="49" t="n"/>
      <c r="Z305" s="49" t="n"/>
    </row>
    <row r="306" ht="16" customHeight="1">
      <c r="A306" s="27">
        <f>IF($C306="","","N-"&amp;TEXT(ROW()-3,"0000"))</f>
        <v/>
      </c>
      <c r="B306" s="46" t="n"/>
      <c r="C306" s="47" t="n"/>
      <c r="D306" s="27">
        <f>IF($C306="","",IF(COUNTIFS(ENVIOS!$A$4:$A$3003,$C306)=0,"NO EXISTE",IF(COUNTIFS(ENVIOS!$A$4:$A$3003,$C306)&gt;1,"DUPLICADA","OK")))</f>
        <v/>
      </c>
      <c r="E306" s="22">
        <f>IF($C306="","",IFERROR(INDEX(ENVIOS!$C$4:$C$3003,MATCH($C306,ENVIOS!$A$4:$A$3003,0)),"—"))</f>
        <v/>
      </c>
      <c r="F306" s="22">
        <f>IF($C306="","",IFERROR(INDEX(ENVIOS!$D$4:$D$3003,MATCH($C306,ENVIOS!$A$4:$A$3003,0)),"—"))</f>
        <v/>
      </c>
      <c r="G306" s="22">
        <f>IF($C306="","",IFERROR(INDEX(ENVIOS!$E$4:$E$3003,MATCH($C306,ENVIOS!$A$4:$A$3003,0)),"—"))</f>
        <v/>
      </c>
      <c r="H306" s="22">
        <f>IF($C306="","",IFERROR(INDEX(ENVIOS!$F$4:$F$3003,MATCH($C306,ENVIOS!$A$4:$A$3003,0)),"—"))</f>
        <v/>
      </c>
      <c r="I306" s="27">
        <f>IF($C306="","",IFERROR(INDEX(ENVIOS!$G$4:$G$3003,MATCH($C306,ENVIOS!$A$4:$A$3003,0)),"—"))</f>
        <v/>
      </c>
      <c r="J306" s="48">
        <f>IF($C306="","",IFERROR(INDEX(ENVIOS!$B$4:$B$3003,MATCH($C306,ENVIOS!$A$4:$A$3003,0)),""))</f>
        <v/>
      </c>
      <c r="K306" s="49" t="n"/>
      <c r="L306" s="27">
        <f>IF($K306="","",IFERROR(INDEX(CONFIG!$B$4:$B$43,MATCH($K306,CONFIG!$A$4:$A$43,0)),"Media"))</f>
        <v/>
      </c>
      <c r="M306" s="27">
        <f>IF($K306="","",IFERROR(INDEX(CONFIG!$D$4:$D$43,MATCH($K306,CONFIG!$A$4:$A$43,0)),"NO"))</f>
        <v/>
      </c>
      <c r="N306" s="49" t="n"/>
      <c r="O306" s="27">
        <f>IF($N306="","",IFERROR(INDEX(CONFIG!$G$4:$G$43,MATCH($N306,CONFIG!$F$4:$F$43,0)),"Por definir"))</f>
        <v/>
      </c>
      <c r="P306" s="27">
        <f>IF($N306="","",IFERROR(INDEX(CONFIG!$H$4:$H$43,MATCH($N306,CONFIG!$F$4:$F$43,0)),"Por definir"))</f>
        <v/>
      </c>
      <c r="Q306" s="50" t="n"/>
      <c r="R306" s="51" t="n"/>
      <c r="S306" s="49" t="n"/>
      <c r="T306" s="49" t="n"/>
      <c r="U306" s="48">
        <f>IF(OR($B306="",$K306=""),"",WORKDAY($B306,IFERROR(INDEX(CONFIG!$C$4:$C$43,MATCH($K306,CONFIG!$A$4:$A$43,0)),3)))</f>
        <v/>
      </c>
      <c r="V306" s="46" t="n"/>
      <c r="W306" s="23">
        <f>IF($B306="","",IF($V306&lt;&gt;"",$V306-$B306,TODAY()-$B306))</f>
        <v/>
      </c>
      <c r="X306" s="27">
        <f>IF($C306="","",IF(IFERROR(INDEX(CONFIG!$K$4:$K$43,MATCH($S306,CONFIG!$J$4:$J$43,0)),"NO")="SÍ",IF(OR($V306="",$U306=""),"Resuelta",IF($V306&gt;$U306,"Resuelta tarde","Resuelta a tiempo")),IF($U306="","Sin clasificar",IF(TODAY()&gt;$U306,"Vencida",IF(TODAY()&gt;=$U306-1,"Por vencer","En plazo")))))</f>
        <v/>
      </c>
      <c r="Y306" s="49" t="n"/>
      <c r="Z306" s="49" t="n"/>
    </row>
    <row r="307" ht="16" customHeight="1">
      <c r="A307" s="27">
        <f>IF($C307="","","N-"&amp;TEXT(ROW()-3,"0000"))</f>
        <v/>
      </c>
      <c r="B307" s="46" t="n"/>
      <c r="C307" s="47" t="n"/>
      <c r="D307" s="27">
        <f>IF($C307="","",IF(COUNTIFS(ENVIOS!$A$4:$A$3003,$C307)=0,"NO EXISTE",IF(COUNTIFS(ENVIOS!$A$4:$A$3003,$C307)&gt;1,"DUPLICADA","OK")))</f>
        <v/>
      </c>
      <c r="E307" s="22">
        <f>IF($C307="","",IFERROR(INDEX(ENVIOS!$C$4:$C$3003,MATCH($C307,ENVIOS!$A$4:$A$3003,0)),"—"))</f>
        <v/>
      </c>
      <c r="F307" s="22">
        <f>IF($C307="","",IFERROR(INDEX(ENVIOS!$D$4:$D$3003,MATCH($C307,ENVIOS!$A$4:$A$3003,0)),"—"))</f>
        <v/>
      </c>
      <c r="G307" s="22">
        <f>IF($C307="","",IFERROR(INDEX(ENVIOS!$E$4:$E$3003,MATCH($C307,ENVIOS!$A$4:$A$3003,0)),"—"))</f>
        <v/>
      </c>
      <c r="H307" s="22">
        <f>IF($C307="","",IFERROR(INDEX(ENVIOS!$F$4:$F$3003,MATCH($C307,ENVIOS!$A$4:$A$3003,0)),"—"))</f>
        <v/>
      </c>
      <c r="I307" s="27">
        <f>IF($C307="","",IFERROR(INDEX(ENVIOS!$G$4:$G$3003,MATCH($C307,ENVIOS!$A$4:$A$3003,0)),"—"))</f>
        <v/>
      </c>
      <c r="J307" s="48">
        <f>IF($C307="","",IFERROR(INDEX(ENVIOS!$B$4:$B$3003,MATCH($C307,ENVIOS!$A$4:$A$3003,0)),""))</f>
        <v/>
      </c>
      <c r="K307" s="49" t="n"/>
      <c r="L307" s="27">
        <f>IF($K307="","",IFERROR(INDEX(CONFIG!$B$4:$B$43,MATCH($K307,CONFIG!$A$4:$A$43,0)),"Media"))</f>
        <v/>
      </c>
      <c r="M307" s="27">
        <f>IF($K307="","",IFERROR(INDEX(CONFIG!$D$4:$D$43,MATCH($K307,CONFIG!$A$4:$A$43,0)),"NO"))</f>
        <v/>
      </c>
      <c r="N307" s="49" t="n"/>
      <c r="O307" s="27">
        <f>IF($N307="","",IFERROR(INDEX(CONFIG!$G$4:$G$43,MATCH($N307,CONFIG!$F$4:$F$43,0)),"Por definir"))</f>
        <v/>
      </c>
      <c r="P307" s="27">
        <f>IF($N307="","",IFERROR(INDEX(CONFIG!$H$4:$H$43,MATCH($N307,CONFIG!$F$4:$F$43,0)),"Por definir"))</f>
        <v/>
      </c>
      <c r="Q307" s="50" t="n"/>
      <c r="R307" s="51" t="n"/>
      <c r="S307" s="49" t="n"/>
      <c r="T307" s="49" t="n"/>
      <c r="U307" s="48">
        <f>IF(OR($B307="",$K307=""),"",WORKDAY($B307,IFERROR(INDEX(CONFIG!$C$4:$C$43,MATCH($K307,CONFIG!$A$4:$A$43,0)),3)))</f>
        <v/>
      </c>
      <c r="V307" s="46" t="n"/>
      <c r="W307" s="23">
        <f>IF($B307="","",IF($V307&lt;&gt;"",$V307-$B307,TODAY()-$B307))</f>
        <v/>
      </c>
      <c r="X307" s="27">
        <f>IF($C307="","",IF(IFERROR(INDEX(CONFIG!$K$4:$K$43,MATCH($S307,CONFIG!$J$4:$J$43,0)),"NO")="SÍ",IF(OR($V307="",$U307=""),"Resuelta",IF($V307&gt;$U307,"Resuelta tarde","Resuelta a tiempo")),IF($U307="","Sin clasificar",IF(TODAY()&gt;$U307,"Vencida",IF(TODAY()&gt;=$U307-1,"Por vencer","En plazo")))))</f>
        <v/>
      </c>
      <c r="Y307" s="49" t="n"/>
      <c r="Z307" s="49" t="n"/>
    </row>
    <row r="308" ht="16" customHeight="1">
      <c r="A308" s="27">
        <f>IF($C308="","","N-"&amp;TEXT(ROW()-3,"0000"))</f>
        <v/>
      </c>
      <c r="B308" s="46" t="n"/>
      <c r="C308" s="47" t="n"/>
      <c r="D308" s="27">
        <f>IF($C308="","",IF(COUNTIFS(ENVIOS!$A$4:$A$3003,$C308)=0,"NO EXISTE",IF(COUNTIFS(ENVIOS!$A$4:$A$3003,$C308)&gt;1,"DUPLICADA","OK")))</f>
        <v/>
      </c>
      <c r="E308" s="22">
        <f>IF($C308="","",IFERROR(INDEX(ENVIOS!$C$4:$C$3003,MATCH($C308,ENVIOS!$A$4:$A$3003,0)),"—"))</f>
        <v/>
      </c>
      <c r="F308" s="22">
        <f>IF($C308="","",IFERROR(INDEX(ENVIOS!$D$4:$D$3003,MATCH($C308,ENVIOS!$A$4:$A$3003,0)),"—"))</f>
        <v/>
      </c>
      <c r="G308" s="22">
        <f>IF($C308="","",IFERROR(INDEX(ENVIOS!$E$4:$E$3003,MATCH($C308,ENVIOS!$A$4:$A$3003,0)),"—"))</f>
        <v/>
      </c>
      <c r="H308" s="22">
        <f>IF($C308="","",IFERROR(INDEX(ENVIOS!$F$4:$F$3003,MATCH($C308,ENVIOS!$A$4:$A$3003,0)),"—"))</f>
        <v/>
      </c>
      <c r="I308" s="27">
        <f>IF($C308="","",IFERROR(INDEX(ENVIOS!$G$4:$G$3003,MATCH($C308,ENVIOS!$A$4:$A$3003,0)),"—"))</f>
        <v/>
      </c>
      <c r="J308" s="48">
        <f>IF($C308="","",IFERROR(INDEX(ENVIOS!$B$4:$B$3003,MATCH($C308,ENVIOS!$A$4:$A$3003,0)),""))</f>
        <v/>
      </c>
      <c r="K308" s="49" t="n"/>
      <c r="L308" s="27">
        <f>IF($K308="","",IFERROR(INDEX(CONFIG!$B$4:$B$43,MATCH($K308,CONFIG!$A$4:$A$43,0)),"Media"))</f>
        <v/>
      </c>
      <c r="M308" s="27">
        <f>IF($K308="","",IFERROR(INDEX(CONFIG!$D$4:$D$43,MATCH($K308,CONFIG!$A$4:$A$43,0)),"NO"))</f>
        <v/>
      </c>
      <c r="N308" s="49" t="n"/>
      <c r="O308" s="27">
        <f>IF($N308="","",IFERROR(INDEX(CONFIG!$G$4:$G$43,MATCH($N308,CONFIG!$F$4:$F$43,0)),"Por definir"))</f>
        <v/>
      </c>
      <c r="P308" s="27">
        <f>IF($N308="","",IFERROR(INDEX(CONFIG!$H$4:$H$43,MATCH($N308,CONFIG!$F$4:$F$43,0)),"Por definir"))</f>
        <v/>
      </c>
      <c r="Q308" s="50" t="n"/>
      <c r="R308" s="51" t="n"/>
      <c r="S308" s="49" t="n"/>
      <c r="T308" s="49" t="n"/>
      <c r="U308" s="48">
        <f>IF(OR($B308="",$K308=""),"",WORKDAY($B308,IFERROR(INDEX(CONFIG!$C$4:$C$43,MATCH($K308,CONFIG!$A$4:$A$43,0)),3)))</f>
        <v/>
      </c>
      <c r="V308" s="46" t="n"/>
      <c r="W308" s="23">
        <f>IF($B308="","",IF($V308&lt;&gt;"",$V308-$B308,TODAY()-$B308))</f>
        <v/>
      </c>
      <c r="X308" s="27">
        <f>IF($C308="","",IF(IFERROR(INDEX(CONFIG!$K$4:$K$43,MATCH($S308,CONFIG!$J$4:$J$43,0)),"NO")="SÍ",IF(OR($V308="",$U308=""),"Resuelta",IF($V308&gt;$U308,"Resuelta tarde","Resuelta a tiempo")),IF($U308="","Sin clasificar",IF(TODAY()&gt;$U308,"Vencida",IF(TODAY()&gt;=$U308-1,"Por vencer","En plazo")))))</f>
        <v/>
      </c>
      <c r="Y308" s="49" t="n"/>
      <c r="Z308" s="49" t="n"/>
    </row>
    <row r="309" ht="16" customHeight="1">
      <c r="A309" s="27">
        <f>IF($C309="","","N-"&amp;TEXT(ROW()-3,"0000"))</f>
        <v/>
      </c>
      <c r="B309" s="46" t="n"/>
      <c r="C309" s="47" t="n"/>
      <c r="D309" s="27">
        <f>IF($C309="","",IF(COUNTIFS(ENVIOS!$A$4:$A$3003,$C309)=0,"NO EXISTE",IF(COUNTIFS(ENVIOS!$A$4:$A$3003,$C309)&gt;1,"DUPLICADA","OK")))</f>
        <v/>
      </c>
      <c r="E309" s="22">
        <f>IF($C309="","",IFERROR(INDEX(ENVIOS!$C$4:$C$3003,MATCH($C309,ENVIOS!$A$4:$A$3003,0)),"—"))</f>
        <v/>
      </c>
      <c r="F309" s="22">
        <f>IF($C309="","",IFERROR(INDEX(ENVIOS!$D$4:$D$3003,MATCH($C309,ENVIOS!$A$4:$A$3003,0)),"—"))</f>
        <v/>
      </c>
      <c r="G309" s="22">
        <f>IF($C309="","",IFERROR(INDEX(ENVIOS!$E$4:$E$3003,MATCH($C309,ENVIOS!$A$4:$A$3003,0)),"—"))</f>
        <v/>
      </c>
      <c r="H309" s="22">
        <f>IF($C309="","",IFERROR(INDEX(ENVIOS!$F$4:$F$3003,MATCH($C309,ENVIOS!$A$4:$A$3003,0)),"—"))</f>
        <v/>
      </c>
      <c r="I309" s="27">
        <f>IF($C309="","",IFERROR(INDEX(ENVIOS!$G$4:$G$3003,MATCH($C309,ENVIOS!$A$4:$A$3003,0)),"—"))</f>
        <v/>
      </c>
      <c r="J309" s="48">
        <f>IF($C309="","",IFERROR(INDEX(ENVIOS!$B$4:$B$3003,MATCH($C309,ENVIOS!$A$4:$A$3003,0)),""))</f>
        <v/>
      </c>
      <c r="K309" s="49" t="n"/>
      <c r="L309" s="27">
        <f>IF($K309="","",IFERROR(INDEX(CONFIG!$B$4:$B$43,MATCH($K309,CONFIG!$A$4:$A$43,0)),"Media"))</f>
        <v/>
      </c>
      <c r="M309" s="27">
        <f>IF($K309="","",IFERROR(INDEX(CONFIG!$D$4:$D$43,MATCH($K309,CONFIG!$A$4:$A$43,0)),"NO"))</f>
        <v/>
      </c>
      <c r="N309" s="49" t="n"/>
      <c r="O309" s="27">
        <f>IF($N309="","",IFERROR(INDEX(CONFIG!$G$4:$G$43,MATCH($N309,CONFIG!$F$4:$F$43,0)),"Por definir"))</f>
        <v/>
      </c>
      <c r="P309" s="27">
        <f>IF($N309="","",IFERROR(INDEX(CONFIG!$H$4:$H$43,MATCH($N309,CONFIG!$F$4:$F$43,0)),"Por definir"))</f>
        <v/>
      </c>
      <c r="Q309" s="50" t="n"/>
      <c r="R309" s="51" t="n"/>
      <c r="S309" s="49" t="n"/>
      <c r="T309" s="49" t="n"/>
      <c r="U309" s="48">
        <f>IF(OR($B309="",$K309=""),"",WORKDAY($B309,IFERROR(INDEX(CONFIG!$C$4:$C$43,MATCH($K309,CONFIG!$A$4:$A$43,0)),3)))</f>
        <v/>
      </c>
      <c r="V309" s="46" t="n"/>
      <c r="W309" s="23">
        <f>IF($B309="","",IF($V309&lt;&gt;"",$V309-$B309,TODAY()-$B309))</f>
        <v/>
      </c>
      <c r="X309" s="27">
        <f>IF($C309="","",IF(IFERROR(INDEX(CONFIG!$K$4:$K$43,MATCH($S309,CONFIG!$J$4:$J$43,0)),"NO")="SÍ",IF(OR($V309="",$U309=""),"Resuelta",IF($V309&gt;$U309,"Resuelta tarde","Resuelta a tiempo")),IF($U309="","Sin clasificar",IF(TODAY()&gt;$U309,"Vencida",IF(TODAY()&gt;=$U309-1,"Por vencer","En plazo")))))</f>
        <v/>
      </c>
      <c r="Y309" s="49" t="n"/>
      <c r="Z309" s="49" t="n"/>
    </row>
    <row r="310" ht="16" customHeight="1">
      <c r="A310" s="27">
        <f>IF($C310="","","N-"&amp;TEXT(ROW()-3,"0000"))</f>
        <v/>
      </c>
      <c r="B310" s="46" t="n"/>
      <c r="C310" s="47" t="n"/>
      <c r="D310" s="27">
        <f>IF($C310="","",IF(COUNTIFS(ENVIOS!$A$4:$A$3003,$C310)=0,"NO EXISTE",IF(COUNTIFS(ENVIOS!$A$4:$A$3003,$C310)&gt;1,"DUPLICADA","OK")))</f>
        <v/>
      </c>
      <c r="E310" s="22">
        <f>IF($C310="","",IFERROR(INDEX(ENVIOS!$C$4:$C$3003,MATCH($C310,ENVIOS!$A$4:$A$3003,0)),"—"))</f>
        <v/>
      </c>
      <c r="F310" s="22">
        <f>IF($C310="","",IFERROR(INDEX(ENVIOS!$D$4:$D$3003,MATCH($C310,ENVIOS!$A$4:$A$3003,0)),"—"))</f>
        <v/>
      </c>
      <c r="G310" s="22">
        <f>IF($C310="","",IFERROR(INDEX(ENVIOS!$E$4:$E$3003,MATCH($C310,ENVIOS!$A$4:$A$3003,0)),"—"))</f>
        <v/>
      </c>
      <c r="H310" s="22">
        <f>IF($C310="","",IFERROR(INDEX(ENVIOS!$F$4:$F$3003,MATCH($C310,ENVIOS!$A$4:$A$3003,0)),"—"))</f>
        <v/>
      </c>
      <c r="I310" s="27">
        <f>IF($C310="","",IFERROR(INDEX(ENVIOS!$G$4:$G$3003,MATCH($C310,ENVIOS!$A$4:$A$3003,0)),"—"))</f>
        <v/>
      </c>
      <c r="J310" s="48">
        <f>IF($C310="","",IFERROR(INDEX(ENVIOS!$B$4:$B$3003,MATCH($C310,ENVIOS!$A$4:$A$3003,0)),""))</f>
        <v/>
      </c>
      <c r="K310" s="49" t="n"/>
      <c r="L310" s="27">
        <f>IF($K310="","",IFERROR(INDEX(CONFIG!$B$4:$B$43,MATCH($K310,CONFIG!$A$4:$A$43,0)),"Media"))</f>
        <v/>
      </c>
      <c r="M310" s="27">
        <f>IF($K310="","",IFERROR(INDEX(CONFIG!$D$4:$D$43,MATCH($K310,CONFIG!$A$4:$A$43,0)),"NO"))</f>
        <v/>
      </c>
      <c r="N310" s="49" t="n"/>
      <c r="O310" s="27">
        <f>IF($N310="","",IFERROR(INDEX(CONFIG!$G$4:$G$43,MATCH($N310,CONFIG!$F$4:$F$43,0)),"Por definir"))</f>
        <v/>
      </c>
      <c r="P310" s="27">
        <f>IF($N310="","",IFERROR(INDEX(CONFIG!$H$4:$H$43,MATCH($N310,CONFIG!$F$4:$F$43,0)),"Por definir"))</f>
        <v/>
      </c>
      <c r="Q310" s="50" t="n"/>
      <c r="R310" s="51" t="n"/>
      <c r="S310" s="49" t="n"/>
      <c r="T310" s="49" t="n"/>
      <c r="U310" s="48">
        <f>IF(OR($B310="",$K310=""),"",WORKDAY($B310,IFERROR(INDEX(CONFIG!$C$4:$C$43,MATCH($K310,CONFIG!$A$4:$A$43,0)),3)))</f>
        <v/>
      </c>
      <c r="V310" s="46" t="n"/>
      <c r="W310" s="23">
        <f>IF($B310="","",IF($V310&lt;&gt;"",$V310-$B310,TODAY()-$B310))</f>
        <v/>
      </c>
      <c r="X310" s="27">
        <f>IF($C310="","",IF(IFERROR(INDEX(CONFIG!$K$4:$K$43,MATCH($S310,CONFIG!$J$4:$J$43,0)),"NO")="SÍ",IF(OR($V310="",$U310=""),"Resuelta",IF($V310&gt;$U310,"Resuelta tarde","Resuelta a tiempo")),IF($U310="","Sin clasificar",IF(TODAY()&gt;$U310,"Vencida",IF(TODAY()&gt;=$U310-1,"Por vencer","En plazo")))))</f>
        <v/>
      </c>
      <c r="Y310" s="49" t="n"/>
      <c r="Z310" s="49" t="n"/>
    </row>
    <row r="311" ht="16" customHeight="1">
      <c r="A311" s="27">
        <f>IF($C311="","","N-"&amp;TEXT(ROW()-3,"0000"))</f>
        <v/>
      </c>
      <c r="B311" s="46" t="n"/>
      <c r="C311" s="47" t="n"/>
      <c r="D311" s="27">
        <f>IF($C311="","",IF(COUNTIFS(ENVIOS!$A$4:$A$3003,$C311)=0,"NO EXISTE",IF(COUNTIFS(ENVIOS!$A$4:$A$3003,$C311)&gt;1,"DUPLICADA","OK")))</f>
        <v/>
      </c>
      <c r="E311" s="22">
        <f>IF($C311="","",IFERROR(INDEX(ENVIOS!$C$4:$C$3003,MATCH($C311,ENVIOS!$A$4:$A$3003,0)),"—"))</f>
        <v/>
      </c>
      <c r="F311" s="22">
        <f>IF($C311="","",IFERROR(INDEX(ENVIOS!$D$4:$D$3003,MATCH($C311,ENVIOS!$A$4:$A$3003,0)),"—"))</f>
        <v/>
      </c>
      <c r="G311" s="22">
        <f>IF($C311="","",IFERROR(INDEX(ENVIOS!$E$4:$E$3003,MATCH($C311,ENVIOS!$A$4:$A$3003,0)),"—"))</f>
        <v/>
      </c>
      <c r="H311" s="22">
        <f>IF($C311="","",IFERROR(INDEX(ENVIOS!$F$4:$F$3003,MATCH($C311,ENVIOS!$A$4:$A$3003,0)),"—"))</f>
        <v/>
      </c>
      <c r="I311" s="27">
        <f>IF($C311="","",IFERROR(INDEX(ENVIOS!$G$4:$G$3003,MATCH($C311,ENVIOS!$A$4:$A$3003,0)),"—"))</f>
        <v/>
      </c>
      <c r="J311" s="48">
        <f>IF($C311="","",IFERROR(INDEX(ENVIOS!$B$4:$B$3003,MATCH($C311,ENVIOS!$A$4:$A$3003,0)),""))</f>
        <v/>
      </c>
      <c r="K311" s="49" t="n"/>
      <c r="L311" s="27">
        <f>IF($K311="","",IFERROR(INDEX(CONFIG!$B$4:$B$43,MATCH($K311,CONFIG!$A$4:$A$43,0)),"Media"))</f>
        <v/>
      </c>
      <c r="M311" s="27">
        <f>IF($K311="","",IFERROR(INDEX(CONFIG!$D$4:$D$43,MATCH($K311,CONFIG!$A$4:$A$43,0)),"NO"))</f>
        <v/>
      </c>
      <c r="N311" s="49" t="n"/>
      <c r="O311" s="27">
        <f>IF($N311="","",IFERROR(INDEX(CONFIG!$G$4:$G$43,MATCH($N311,CONFIG!$F$4:$F$43,0)),"Por definir"))</f>
        <v/>
      </c>
      <c r="P311" s="27">
        <f>IF($N311="","",IFERROR(INDEX(CONFIG!$H$4:$H$43,MATCH($N311,CONFIG!$F$4:$F$43,0)),"Por definir"))</f>
        <v/>
      </c>
      <c r="Q311" s="50" t="n"/>
      <c r="R311" s="51" t="n"/>
      <c r="S311" s="49" t="n"/>
      <c r="T311" s="49" t="n"/>
      <c r="U311" s="48">
        <f>IF(OR($B311="",$K311=""),"",WORKDAY($B311,IFERROR(INDEX(CONFIG!$C$4:$C$43,MATCH($K311,CONFIG!$A$4:$A$43,0)),3)))</f>
        <v/>
      </c>
      <c r="V311" s="46" t="n"/>
      <c r="W311" s="23">
        <f>IF($B311="","",IF($V311&lt;&gt;"",$V311-$B311,TODAY()-$B311))</f>
        <v/>
      </c>
      <c r="X311" s="27">
        <f>IF($C311="","",IF(IFERROR(INDEX(CONFIG!$K$4:$K$43,MATCH($S311,CONFIG!$J$4:$J$43,0)),"NO")="SÍ",IF(OR($V311="",$U311=""),"Resuelta",IF($V311&gt;$U311,"Resuelta tarde","Resuelta a tiempo")),IF($U311="","Sin clasificar",IF(TODAY()&gt;$U311,"Vencida",IF(TODAY()&gt;=$U311-1,"Por vencer","En plazo")))))</f>
        <v/>
      </c>
      <c r="Y311" s="49" t="n"/>
      <c r="Z311" s="49" t="n"/>
    </row>
    <row r="312" ht="16" customHeight="1">
      <c r="A312" s="27">
        <f>IF($C312="","","N-"&amp;TEXT(ROW()-3,"0000"))</f>
        <v/>
      </c>
      <c r="B312" s="46" t="n"/>
      <c r="C312" s="47" t="n"/>
      <c r="D312" s="27">
        <f>IF($C312="","",IF(COUNTIFS(ENVIOS!$A$4:$A$3003,$C312)=0,"NO EXISTE",IF(COUNTIFS(ENVIOS!$A$4:$A$3003,$C312)&gt;1,"DUPLICADA","OK")))</f>
        <v/>
      </c>
      <c r="E312" s="22">
        <f>IF($C312="","",IFERROR(INDEX(ENVIOS!$C$4:$C$3003,MATCH($C312,ENVIOS!$A$4:$A$3003,0)),"—"))</f>
        <v/>
      </c>
      <c r="F312" s="22">
        <f>IF($C312="","",IFERROR(INDEX(ENVIOS!$D$4:$D$3003,MATCH($C312,ENVIOS!$A$4:$A$3003,0)),"—"))</f>
        <v/>
      </c>
      <c r="G312" s="22">
        <f>IF($C312="","",IFERROR(INDEX(ENVIOS!$E$4:$E$3003,MATCH($C312,ENVIOS!$A$4:$A$3003,0)),"—"))</f>
        <v/>
      </c>
      <c r="H312" s="22">
        <f>IF($C312="","",IFERROR(INDEX(ENVIOS!$F$4:$F$3003,MATCH($C312,ENVIOS!$A$4:$A$3003,0)),"—"))</f>
        <v/>
      </c>
      <c r="I312" s="27">
        <f>IF($C312="","",IFERROR(INDEX(ENVIOS!$G$4:$G$3003,MATCH($C312,ENVIOS!$A$4:$A$3003,0)),"—"))</f>
        <v/>
      </c>
      <c r="J312" s="48">
        <f>IF($C312="","",IFERROR(INDEX(ENVIOS!$B$4:$B$3003,MATCH($C312,ENVIOS!$A$4:$A$3003,0)),""))</f>
        <v/>
      </c>
      <c r="K312" s="49" t="n"/>
      <c r="L312" s="27">
        <f>IF($K312="","",IFERROR(INDEX(CONFIG!$B$4:$B$43,MATCH($K312,CONFIG!$A$4:$A$43,0)),"Media"))</f>
        <v/>
      </c>
      <c r="M312" s="27">
        <f>IF($K312="","",IFERROR(INDEX(CONFIG!$D$4:$D$43,MATCH($K312,CONFIG!$A$4:$A$43,0)),"NO"))</f>
        <v/>
      </c>
      <c r="N312" s="49" t="n"/>
      <c r="O312" s="27">
        <f>IF($N312="","",IFERROR(INDEX(CONFIG!$G$4:$G$43,MATCH($N312,CONFIG!$F$4:$F$43,0)),"Por definir"))</f>
        <v/>
      </c>
      <c r="P312" s="27">
        <f>IF($N312="","",IFERROR(INDEX(CONFIG!$H$4:$H$43,MATCH($N312,CONFIG!$F$4:$F$43,0)),"Por definir"))</f>
        <v/>
      </c>
      <c r="Q312" s="50" t="n"/>
      <c r="R312" s="51" t="n"/>
      <c r="S312" s="49" t="n"/>
      <c r="T312" s="49" t="n"/>
      <c r="U312" s="48">
        <f>IF(OR($B312="",$K312=""),"",WORKDAY($B312,IFERROR(INDEX(CONFIG!$C$4:$C$43,MATCH($K312,CONFIG!$A$4:$A$43,0)),3)))</f>
        <v/>
      </c>
      <c r="V312" s="46" t="n"/>
      <c r="W312" s="23">
        <f>IF($B312="","",IF($V312&lt;&gt;"",$V312-$B312,TODAY()-$B312))</f>
        <v/>
      </c>
      <c r="X312" s="27">
        <f>IF($C312="","",IF(IFERROR(INDEX(CONFIG!$K$4:$K$43,MATCH($S312,CONFIG!$J$4:$J$43,0)),"NO")="SÍ",IF(OR($V312="",$U312=""),"Resuelta",IF($V312&gt;$U312,"Resuelta tarde","Resuelta a tiempo")),IF($U312="","Sin clasificar",IF(TODAY()&gt;$U312,"Vencida",IF(TODAY()&gt;=$U312-1,"Por vencer","En plazo")))))</f>
        <v/>
      </c>
      <c r="Y312" s="49" t="n"/>
      <c r="Z312" s="49" t="n"/>
    </row>
    <row r="313" ht="16" customHeight="1">
      <c r="A313" s="27">
        <f>IF($C313="","","N-"&amp;TEXT(ROW()-3,"0000"))</f>
        <v/>
      </c>
      <c r="B313" s="46" t="n"/>
      <c r="C313" s="47" t="n"/>
      <c r="D313" s="27">
        <f>IF($C313="","",IF(COUNTIFS(ENVIOS!$A$4:$A$3003,$C313)=0,"NO EXISTE",IF(COUNTIFS(ENVIOS!$A$4:$A$3003,$C313)&gt;1,"DUPLICADA","OK")))</f>
        <v/>
      </c>
      <c r="E313" s="22">
        <f>IF($C313="","",IFERROR(INDEX(ENVIOS!$C$4:$C$3003,MATCH($C313,ENVIOS!$A$4:$A$3003,0)),"—"))</f>
        <v/>
      </c>
      <c r="F313" s="22">
        <f>IF($C313="","",IFERROR(INDEX(ENVIOS!$D$4:$D$3003,MATCH($C313,ENVIOS!$A$4:$A$3003,0)),"—"))</f>
        <v/>
      </c>
      <c r="G313" s="22">
        <f>IF($C313="","",IFERROR(INDEX(ENVIOS!$E$4:$E$3003,MATCH($C313,ENVIOS!$A$4:$A$3003,0)),"—"))</f>
        <v/>
      </c>
      <c r="H313" s="22">
        <f>IF($C313="","",IFERROR(INDEX(ENVIOS!$F$4:$F$3003,MATCH($C313,ENVIOS!$A$4:$A$3003,0)),"—"))</f>
        <v/>
      </c>
      <c r="I313" s="27">
        <f>IF($C313="","",IFERROR(INDEX(ENVIOS!$G$4:$G$3003,MATCH($C313,ENVIOS!$A$4:$A$3003,0)),"—"))</f>
        <v/>
      </c>
      <c r="J313" s="48">
        <f>IF($C313="","",IFERROR(INDEX(ENVIOS!$B$4:$B$3003,MATCH($C313,ENVIOS!$A$4:$A$3003,0)),""))</f>
        <v/>
      </c>
      <c r="K313" s="49" t="n"/>
      <c r="L313" s="27">
        <f>IF($K313="","",IFERROR(INDEX(CONFIG!$B$4:$B$43,MATCH($K313,CONFIG!$A$4:$A$43,0)),"Media"))</f>
        <v/>
      </c>
      <c r="M313" s="27">
        <f>IF($K313="","",IFERROR(INDEX(CONFIG!$D$4:$D$43,MATCH($K313,CONFIG!$A$4:$A$43,0)),"NO"))</f>
        <v/>
      </c>
      <c r="N313" s="49" t="n"/>
      <c r="O313" s="27">
        <f>IF($N313="","",IFERROR(INDEX(CONFIG!$G$4:$G$43,MATCH($N313,CONFIG!$F$4:$F$43,0)),"Por definir"))</f>
        <v/>
      </c>
      <c r="P313" s="27">
        <f>IF($N313="","",IFERROR(INDEX(CONFIG!$H$4:$H$43,MATCH($N313,CONFIG!$F$4:$F$43,0)),"Por definir"))</f>
        <v/>
      </c>
      <c r="Q313" s="50" t="n"/>
      <c r="R313" s="51" t="n"/>
      <c r="S313" s="49" t="n"/>
      <c r="T313" s="49" t="n"/>
      <c r="U313" s="48">
        <f>IF(OR($B313="",$K313=""),"",WORKDAY($B313,IFERROR(INDEX(CONFIG!$C$4:$C$43,MATCH($K313,CONFIG!$A$4:$A$43,0)),3)))</f>
        <v/>
      </c>
      <c r="V313" s="46" t="n"/>
      <c r="W313" s="23">
        <f>IF($B313="","",IF($V313&lt;&gt;"",$V313-$B313,TODAY()-$B313))</f>
        <v/>
      </c>
      <c r="X313" s="27">
        <f>IF($C313="","",IF(IFERROR(INDEX(CONFIG!$K$4:$K$43,MATCH($S313,CONFIG!$J$4:$J$43,0)),"NO")="SÍ",IF(OR($V313="",$U313=""),"Resuelta",IF($V313&gt;$U313,"Resuelta tarde","Resuelta a tiempo")),IF($U313="","Sin clasificar",IF(TODAY()&gt;$U313,"Vencida",IF(TODAY()&gt;=$U313-1,"Por vencer","En plazo")))))</f>
        <v/>
      </c>
      <c r="Y313" s="49" t="n"/>
      <c r="Z313" s="49" t="n"/>
    </row>
    <row r="314" ht="16" customHeight="1">
      <c r="A314" s="27">
        <f>IF($C314="","","N-"&amp;TEXT(ROW()-3,"0000"))</f>
        <v/>
      </c>
      <c r="B314" s="46" t="n"/>
      <c r="C314" s="47" t="n"/>
      <c r="D314" s="27">
        <f>IF($C314="","",IF(COUNTIFS(ENVIOS!$A$4:$A$3003,$C314)=0,"NO EXISTE",IF(COUNTIFS(ENVIOS!$A$4:$A$3003,$C314)&gt;1,"DUPLICADA","OK")))</f>
        <v/>
      </c>
      <c r="E314" s="22">
        <f>IF($C314="","",IFERROR(INDEX(ENVIOS!$C$4:$C$3003,MATCH($C314,ENVIOS!$A$4:$A$3003,0)),"—"))</f>
        <v/>
      </c>
      <c r="F314" s="22">
        <f>IF($C314="","",IFERROR(INDEX(ENVIOS!$D$4:$D$3003,MATCH($C314,ENVIOS!$A$4:$A$3003,0)),"—"))</f>
        <v/>
      </c>
      <c r="G314" s="22">
        <f>IF($C314="","",IFERROR(INDEX(ENVIOS!$E$4:$E$3003,MATCH($C314,ENVIOS!$A$4:$A$3003,0)),"—"))</f>
        <v/>
      </c>
      <c r="H314" s="22">
        <f>IF($C314="","",IFERROR(INDEX(ENVIOS!$F$4:$F$3003,MATCH($C314,ENVIOS!$A$4:$A$3003,0)),"—"))</f>
        <v/>
      </c>
      <c r="I314" s="27">
        <f>IF($C314="","",IFERROR(INDEX(ENVIOS!$G$4:$G$3003,MATCH($C314,ENVIOS!$A$4:$A$3003,0)),"—"))</f>
        <v/>
      </c>
      <c r="J314" s="48">
        <f>IF($C314="","",IFERROR(INDEX(ENVIOS!$B$4:$B$3003,MATCH($C314,ENVIOS!$A$4:$A$3003,0)),""))</f>
        <v/>
      </c>
      <c r="K314" s="49" t="n"/>
      <c r="L314" s="27">
        <f>IF($K314="","",IFERROR(INDEX(CONFIG!$B$4:$B$43,MATCH($K314,CONFIG!$A$4:$A$43,0)),"Media"))</f>
        <v/>
      </c>
      <c r="M314" s="27">
        <f>IF($K314="","",IFERROR(INDEX(CONFIG!$D$4:$D$43,MATCH($K314,CONFIG!$A$4:$A$43,0)),"NO"))</f>
        <v/>
      </c>
      <c r="N314" s="49" t="n"/>
      <c r="O314" s="27">
        <f>IF($N314="","",IFERROR(INDEX(CONFIG!$G$4:$G$43,MATCH($N314,CONFIG!$F$4:$F$43,0)),"Por definir"))</f>
        <v/>
      </c>
      <c r="P314" s="27">
        <f>IF($N314="","",IFERROR(INDEX(CONFIG!$H$4:$H$43,MATCH($N314,CONFIG!$F$4:$F$43,0)),"Por definir"))</f>
        <v/>
      </c>
      <c r="Q314" s="50" t="n"/>
      <c r="R314" s="51" t="n"/>
      <c r="S314" s="49" t="n"/>
      <c r="T314" s="49" t="n"/>
      <c r="U314" s="48">
        <f>IF(OR($B314="",$K314=""),"",WORKDAY($B314,IFERROR(INDEX(CONFIG!$C$4:$C$43,MATCH($K314,CONFIG!$A$4:$A$43,0)),3)))</f>
        <v/>
      </c>
      <c r="V314" s="46" t="n"/>
      <c r="W314" s="23">
        <f>IF($B314="","",IF($V314&lt;&gt;"",$V314-$B314,TODAY()-$B314))</f>
        <v/>
      </c>
      <c r="X314" s="27">
        <f>IF($C314="","",IF(IFERROR(INDEX(CONFIG!$K$4:$K$43,MATCH($S314,CONFIG!$J$4:$J$43,0)),"NO")="SÍ",IF(OR($V314="",$U314=""),"Resuelta",IF($V314&gt;$U314,"Resuelta tarde","Resuelta a tiempo")),IF($U314="","Sin clasificar",IF(TODAY()&gt;$U314,"Vencida",IF(TODAY()&gt;=$U314-1,"Por vencer","En plazo")))))</f>
        <v/>
      </c>
      <c r="Y314" s="49" t="n"/>
      <c r="Z314" s="49" t="n"/>
    </row>
    <row r="315" ht="16" customHeight="1">
      <c r="A315" s="27">
        <f>IF($C315="","","N-"&amp;TEXT(ROW()-3,"0000"))</f>
        <v/>
      </c>
      <c r="B315" s="46" t="n"/>
      <c r="C315" s="47" t="n"/>
      <c r="D315" s="27">
        <f>IF($C315="","",IF(COUNTIFS(ENVIOS!$A$4:$A$3003,$C315)=0,"NO EXISTE",IF(COUNTIFS(ENVIOS!$A$4:$A$3003,$C315)&gt;1,"DUPLICADA","OK")))</f>
        <v/>
      </c>
      <c r="E315" s="22">
        <f>IF($C315="","",IFERROR(INDEX(ENVIOS!$C$4:$C$3003,MATCH($C315,ENVIOS!$A$4:$A$3003,0)),"—"))</f>
        <v/>
      </c>
      <c r="F315" s="22">
        <f>IF($C315="","",IFERROR(INDEX(ENVIOS!$D$4:$D$3003,MATCH($C315,ENVIOS!$A$4:$A$3003,0)),"—"))</f>
        <v/>
      </c>
      <c r="G315" s="22">
        <f>IF($C315="","",IFERROR(INDEX(ENVIOS!$E$4:$E$3003,MATCH($C315,ENVIOS!$A$4:$A$3003,0)),"—"))</f>
        <v/>
      </c>
      <c r="H315" s="22">
        <f>IF($C315="","",IFERROR(INDEX(ENVIOS!$F$4:$F$3003,MATCH($C315,ENVIOS!$A$4:$A$3003,0)),"—"))</f>
        <v/>
      </c>
      <c r="I315" s="27">
        <f>IF($C315="","",IFERROR(INDEX(ENVIOS!$G$4:$G$3003,MATCH($C315,ENVIOS!$A$4:$A$3003,0)),"—"))</f>
        <v/>
      </c>
      <c r="J315" s="48">
        <f>IF($C315="","",IFERROR(INDEX(ENVIOS!$B$4:$B$3003,MATCH($C315,ENVIOS!$A$4:$A$3003,0)),""))</f>
        <v/>
      </c>
      <c r="K315" s="49" t="n"/>
      <c r="L315" s="27">
        <f>IF($K315="","",IFERROR(INDEX(CONFIG!$B$4:$B$43,MATCH($K315,CONFIG!$A$4:$A$43,0)),"Media"))</f>
        <v/>
      </c>
      <c r="M315" s="27">
        <f>IF($K315="","",IFERROR(INDEX(CONFIG!$D$4:$D$43,MATCH($K315,CONFIG!$A$4:$A$43,0)),"NO"))</f>
        <v/>
      </c>
      <c r="N315" s="49" t="n"/>
      <c r="O315" s="27">
        <f>IF($N315="","",IFERROR(INDEX(CONFIG!$G$4:$G$43,MATCH($N315,CONFIG!$F$4:$F$43,0)),"Por definir"))</f>
        <v/>
      </c>
      <c r="P315" s="27">
        <f>IF($N315="","",IFERROR(INDEX(CONFIG!$H$4:$H$43,MATCH($N315,CONFIG!$F$4:$F$43,0)),"Por definir"))</f>
        <v/>
      </c>
      <c r="Q315" s="50" t="n"/>
      <c r="R315" s="51" t="n"/>
      <c r="S315" s="49" t="n"/>
      <c r="T315" s="49" t="n"/>
      <c r="U315" s="48">
        <f>IF(OR($B315="",$K315=""),"",WORKDAY($B315,IFERROR(INDEX(CONFIG!$C$4:$C$43,MATCH($K315,CONFIG!$A$4:$A$43,0)),3)))</f>
        <v/>
      </c>
      <c r="V315" s="46" t="n"/>
      <c r="W315" s="23">
        <f>IF($B315="","",IF($V315&lt;&gt;"",$V315-$B315,TODAY()-$B315))</f>
        <v/>
      </c>
      <c r="X315" s="27">
        <f>IF($C315="","",IF(IFERROR(INDEX(CONFIG!$K$4:$K$43,MATCH($S315,CONFIG!$J$4:$J$43,0)),"NO")="SÍ",IF(OR($V315="",$U315=""),"Resuelta",IF($V315&gt;$U315,"Resuelta tarde","Resuelta a tiempo")),IF($U315="","Sin clasificar",IF(TODAY()&gt;$U315,"Vencida",IF(TODAY()&gt;=$U315-1,"Por vencer","En plazo")))))</f>
        <v/>
      </c>
      <c r="Y315" s="49" t="n"/>
      <c r="Z315" s="49" t="n"/>
    </row>
    <row r="316" ht="16" customHeight="1">
      <c r="A316" s="27">
        <f>IF($C316="","","N-"&amp;TEXT(ROW()-3,"0000"))</f>
        <v/>
      </c>
      <c r="B316" s="46" t="n"/>
      <c r="C316" s="47" t="n"/>
      <c r="D316" s="27">
        <f>IF($C316="","",IF(COUNTIFS(ENVIOS!$A$4:$A$3003,$C316)=0,"NO EXISTE",IF(COUNTIFS(ENVIOS!$A$4:$A$3003,$C316)&gt;1,"DUPLICADA","OK")))</f>
        <v/>
      </c>
      <c r="E316" s="22">
        <f>IF($C316="","",IFERROR(INDEX(ENVIOS!$C$4:$C$3003,MATCH($C316,ENVIOS!$A$4:$A$3003,0)),"—"))</f>
        <v/>
      </c>
      <c r="F316" s="22">
        <f>IF($C316="","",IFERROR(INDEX(ENVIOS!$D$4:$D$3003,MATCH($C316,ENVIOS!$A$4:$A$3003,0)),"—"))</f>
        <v/>
      </c>
      <c r="G316" s="22">
        <f>IF($C316="","",IFERROR(INDEX(ENVIOS!$E$4:$E$3003,MATCH($C316,ENVIOS!$A$4:$A$3003,0)),"—"))</f>
        <v/>
      </c>
      <c r="H316" s="22">
        <f>IF($C316="","",IFERROR(INDEX(ENVIOS!$F$4:$F$3003,MATCH($C316,ENVIOS!$A$4:$A$3003,0)),"—"))</f>
        <v/>
      </c>
      <c r="I316" s="27">
        <f>IF($C316="","",IFERROR(INDEX(ENVIOS!$G$4:$G$3003,MATCH($C316,ENVIOS!$A$4:$A$3003,0)),"—"))</f>
        <v/>
      </c>
      <c r="J316" s="48">
        <f>IF($C316="","",IFERROR(INDEX(ENVIOS!$B$4:$B$3003,MATCH($C316,ENVIOS!$A$4:$A$3003,0)),""))</f>
        <v/>
      </c>
      <c r="K316" s="49" t="n"/>
      <c r="L316" s="27">
        <f>IF($K316="","",IFERROR(INDEX(CONFIG!$B$4:$B$43,MATCH($K316,CONFIG!$A$4:$A$43,0)),"Media"))</f>
        <v/>
      </c>
      <c r="M316" s="27">
        <f>IF($K316="","",IFERROR(INDEX(CONFIG!$D$4:$D$43,MATCH($K316,CONFIG!$A$4:$A$43,0)),"NO"))</f>
        <v/>
      </c>
      <c r="N316" s="49" t="n"/>
      <c r="O316" s="27">
        <f>IF($N316="","",IFERROR(INDEX(CONFIG!$G$4:$G$43,MATCH($N316,CONFIG!$F$4:$F$43,0)),"Por definir"))</f>
        <v/>
      </c>
      <c r="P316" s="27">
        <f>IF($N316="","",IFERROR(INDEX(CONFIG!$H$4:$H$43,MATCH($N316,CONFIG!$F$4:$F$43,0)),"Por definir"))</f>
        <v/>
      </c>
      <c r="Q316" s="50" t="n"/>
      <c r="R316" s="51" t="n"/>
      <c r="S316" s="49" t="n"/>
      <c r="T316" s="49" t="n"/>
      <c r="U316" s="48">
        <f>IF(OR($B316="",$K316=""),"",WORKDAY($B316,IFERROR(INDEX(CONFIG!$C$4:$C$43,MATCH($K316,CONFIG!$A$4:$A$43,0)),3)))</f>
        <v/>
      </c>
      <c r="V316" s="46" t="n"/>
      <c r="W316" s="23">
        <f>IF($B316="","",IF($V316&lt;&gt;"",$V316-$B316,TODAY()-$B316))</f>
        <v/>
      </c>
      <c r="X316" s="27">
        <f>IF($C316="","",IF(IFERROR(INDEX(CONFIG!$K$4:$K$43,MATCH($S316,CONFIG!$J$4:$J$43,0)),"NO")="SÍ",IF(OR($V316="",$U316=""),"Resuelta",IF($V316&gt;$U316,"Resuelta tarde","Resuelta a tiempo")),IF($U316="","Sin clasificar",IF(TODAY()&gt;$U316,"Vencida",IF(TODAY()&gt;=$U316-1,"Por vencer","En plazo")))))</f>
        <v/>
      </c>
      <c r="Y316" s="49" t="n"/>
      <c r="Z316" s="49" t="n"/>
    </row>
    <row r="317" ht="16" customHeight="1">
      <c r="A317" s="27">
        <f>IF($C317="","","N-"&amp;TEXT(ROW()-3,"0000"))</f>
        <v/>
      </c>
      <c r="B317" s="46" t="n"/>
      <c r="C317" s="47" t="n"/>
      <c r="D317" s="27">
        <f>IF($C317="","",IF(COUNTIFS(ENVIOS!$A$4:$A$3003,$C317)=0,"NO EXISTE",IF(COUNTIFS(ENVIOS!$A$4:$A$3003,$C317)&gt;1,"DUPLICADA","OK")))</f>
        <v/>
      </c>
      <c r="E317" s="22">
        <f>IF($C317="","",IFERROR(INDEX(ENVIOS!$C$4:$C$3003,MATCH($C317,ENVIOS!$A$4:$A$3003,0)),"—"))</f>
        <v/>
      </c>
      <c r="F317" s="22">
        <f>IF($C317="","",IFERROR(INDEX(ENVIOS!$D$4:$D$3003,MATCH($C317,ENVIOS!$A$4:$A$3003,0)),"—"))</f>
        <v/>
      </c>
      <c r="G317" s="22">
        <f>IF($C317="","",IFERROR(INDEX(ENVIOS!$E$4:$E$3003,MATCH($C317,ENVIOS!$A$4:$A$3003,0)),"—"))</f>
        <v/>
      </c>
      <c r="H317" s="22">
        <f>IF($C317="","",IFERROR(INDEX(ENVIOS!$F$4:$F$3003,MATCH($C317,ENVIOS!$A$4:$A$3003,0)),"—"))</f>
        <v/>
      </c>
      <c r="I317" s="27">
        <f>IF($C317="","",IFERROR(INDEX(ENVIOS!$G$4:$G$3003,MATCH($C317,ENVIOS!$A$4:$A$3003,0)),"—"))</f>
        <v/>
      </c>
      <c r="J317" s="48">
        <f>IF($C317="","",IFERROR(INDEX(ENVIOS!$B$4:$B$3003,MATCH($C317,ENVIOS!$A$4:$A$3003,0)),""))</f>
        <v/>
      </c>
      <c r="K317" s="49" t="n"/>
      <c r="L317" s="27">
        <f>IF($K317="","",IFERROR(INDEX(CONFIG!$B$4:$B$43,MATCH($K317,CONFIG!$A$4:$A$43,0)),"Media"))</f>
        <v/>
      </c>
      <c r="M317" s="27">
        <f>IF($K317="","",IFERROR(INDEX(CONFIG!$D$4:$D$43,MATCH($K317,CONFIG!$A$4:$A$43,0)),"NO"))</f>
        <v/>
      </c>
      <c r="N317" s="49" t="n"/>
      <c r="O317" s="27">
        <f>IF($N317="","",IFERROR(INDEX(CONFIG!$G$4:$G$43,MATCH($N317,CONFIG!$F$4:$F$43,0)),"Por definir"))</f>
        <v/>
      </c>
      <c r="P317" s="27">
        <f>IF($N317="","",IFERROR(INDEX(CONFIG!$H$4:$H$43,MATCH($N317,CONFIG!$F$4:$F$43,0)),"Por definir"))</f>
        <v/>
      </c>
      <c r="Q317" s="50" t="n"/>
      <c r="R317" s="51" t="n"/>
      <c r="S317" s="49" t="n"/>
      <c r="T317" s="49" t="n"/>
      <c r="U317" s="48">
        <f>IF(OR($B317="",$K317=""),"",WORKDAY($B317,IFERROR(INDEX(CONFIG!$C$4:$C$43,MATCH($K317,CONFIG!$A$4:$A$43,0)),3)))</f>
        <v/>
      </c>
      <c r="V317" s="46" t="n"/>
      <c r="W317" s="23">
        <f>IF($B317="","",IF($V317&lt;&gt;"",$V317-$B317,TODAY()-$B317))</f>
        <v/>
      </c>
      <c r="X317" s="27">
        <f>IF($C317="","",IF(IFERROR(INDEX(CONFIG!$K$4:$K$43,MATCH($S317,CONFIG!$J$4:$J$43,0)),"NO")="SÍ",IF(OR($V317="",$U317=""),"Resuelta",IF($V317&gt;$U317,"Resuelta tarde","Resuelta a tiempo")),IF($U317="","Sin clasificar",IF(TODAY()&gt;$U317,"Vencida",IF(TODAY()&gt;=$U317-1,"Por vencer","En plazo")))))</f>
        <v/>
      </c>
      <c r="Y317" s="49" t="n"/>
      <c r="Z317" s="49" t="n"/>
    </row>
    <row r="318" ht="16" customHeight="1">
      <c r="A318" s="27">
        <f>IF($C318="","","N-"&amp;TEXT(ROW()-3,"0000"))</f>
        <v/>
      </c>
      <c r="B318" s="46" t="n"/>
      <c r="C318" s="47" t="n"/>
      <c r="D318" s="27">
        <f>IF($C318="","",IF(COUNTIFS(ENVIOS!$A$4:$A$3003,$C318)=0,"NO EXISTE",IF(COUNTIFS(ENVIOS!$A$4:$A$3003,$C318)&gt;1,"DUPLICADA","OK")))</f>
        <v/>
      </c>
      <c r="E318" s="22">
        <f>IF($C318="","",IFERROR(INDEX(ENVIOS!$C$4:$C$3003,MATCH($C318,ENVIOS!$A$4:$A$3003,0)),"—"))</f>
        <v/>
      </c>
      <c r="F318" s="22">
        <f>IF($C318="","",IFERROR(INDEX(ENVIOS!$D$4:$D$3003,MATCH($C318,ENVIOS!$A$4:$A$3003,0)),"—"))</f>
        <v/>
      </c>
      <c r="G318" s="22">
        <f>IF($C318="","",IFERROR(INDEX(ENVIOS!$E$4:$E$3003,MATCH($C318,ENVIOS!$A$4:$A$3003,0)),"—"))</f>
        <v/>
      </c>
      <c r="H318" s="22">
        <f>IF($C318="","",IFERROR(INDEX(ENVIOS!$F$4:$F$3003,MATCH($C318,ENVIOS!$A$4:$A$3003,0)),"—"))</f>
        <v/>
      </c>
      <c r="I318" s="27">
        <f>IF($C318="","",IFERROR(INDEX(ENVIOS!$G$4:$G$3003,MATCH($C318,ENVIOS!$A$4:$A$3003,0)),"—"))</f>
        <v/>
      </c>
      <c r="J318" s="48">
        <f>IF($C318="","",IFERROR(INDEX(ENVIOS!$B$4:$B$3003,MATCH($C318,ENVIOS!$A$4:$A$3003,0)),""))</f>
        <v/>
      </c>
      <c r="K318" s="49" t="n"/>
      <c r="L318" s="27">
        <f>IF($K318="","",IFERROR(INDEX(CONFIG!$B$4:$B$43,MATCH($K318,CONFIG!$A$4:$A$43,0)),"Media"))</f>
        <v/>
      </c>
      <c r="M318" s="27">
        <f>IF($K318="","",IFERROR(INDEX(CONFIG!$D$4:$D$43,MATCH($K318,CONFIG!$A$4:$A$43,0)),"NO"))</f>
        <v/>
      </c>
      <c r="N318" s="49" t="n"/>
      <c r="O318" s="27">
        <f>IF($N318="","",IFERROR(INDEX(CONFIG!$G$4:$G$43,MATCH($N318,CONFIG!$F$4:$F$43,0)),"Por definir"))</f>
        <v/>
      </c>
      <c r="P318" s="27">
        <f>IF($N318="","",IFERROR(INDEX(CONFIG!$H$4:$H$43,MATCH($N318,CONFIG!$F$4:$F$43,0)),"Por definir"))</f>
        <v/>
      </c>
      <c r="Q318" s="50" t="n"/>
      <c r="R318" s="51" t="n"/>
      <c r="S318" s="49" t="n"/>
      <c r="T318" s="49" t="n"/>
      <c r="U318" s="48">
        <f>IF(OR($B318="",$K318=""),"",WORKDAY($B318,IFERROR(INDEX(CONFIG!$C$4:$C$43,MATCH($K318,CONFIG!$A$4:$A$43,0)),3)))</f>
        <v/>
      </c>
      <c r="V318" s="46" t="n"/>
      <c r="W318" s="23">
        <f>IF($B318="","",IF($V318&lt;&gt;"",$V318-$B318,TODAY()-$B318))</f>
        <v/>
      </c>
      <c r="X318" s="27">
        <f>IF($C318="","",IF(IFERROR(INDEX(CONFIG!$K$4:$K$43,MATCH($S318,CONFIG!$J$4:$J$43,0)),"NO")="SÍ",IF(OR($V318="",$U318=""),"Resuelta",IF($V318&gt;$U318,"Resuelta tarde","Resuelta a tiempo")),IF($U318="","Sin clasificar",IF(TODAY()&gt;$U318,"Vencida",IF(TODAY()&gt;=$U318-1,"Por vencer","En plazo")))))</f>
        <v/>
      </c>
      <c r="Y318" s="49" t="n"/>
      <c r="Z318" s="49" t="n"/>
    </row>
    <row r="319" ht="16" customHeight="1">
      <c r="A319" s="27">
        <f>IF($C319="","","N-"&amp;TEXT(ROW()-3,"0000"))</f>
        <v/>
      </c>
      <c r="B319" s="46" t="n"/>
      <c r="C319" s="47" t="n"/>
      <c r="D319" s="27">
        <f>IF($C319="","",IF(COUNTIFS(ENVIOS!$A$4:$A$3003,$C319)=0,"NO EXISTE",IF(COUNTIFS(ENVIOS!$A$4:$A$3003,$C319)&gt;1,"DUPLICADA","OK")))</f>
        <v/>
      </c>
      <c r="E319" s="22">
        <f>IF($C319="","",IFERROR(INDEX(ENVIOS!$C$4:$C$3003,MATCH($C319,ENVIOS!$A$4:$A$3003,0)),"—"))</f>
        <v/>
      </c>
      <c r="F319" s="22">
        <f>IF($C319="","",IFERROR(INDEX(ENVIOS!$D$4:$D$3003,MATCH($C319,ENVIOS!$A$4:$A$3003,0)),"—"))</f>
        <v/>
      </c>
      <c r="G319" s="22">
        <f>IF($C319="","",IFERROR(INDEX(ENVIOS!$E$4:$E$3003,MATCH($C319,ENVIOS!$A$4:$A$3003,0)),"—"))</f>
        <v/>
      </c>
      <c r="H319" s="22">
        <f>IF($C319="","",IFERROR(INDEX(ENVIOS!$F$4:$F$3003,MATCH($C319,ENVIOS!$A$4:$A$3003,0)),"—"))</f>
        <v/>
      </c>
      <c r="I319" s="27">
        <f>IF($C319="","",IFERROR(INDEX(ENVIOS!$G$4:$G$3003,MATCH($C319,ENVIOS!$A$4:$A$3003,0)),"—"))</f>
        <v/>
      </c>
      <c r="J319" s="48">
        <f>IF($C319="","",IFERROR(INDEX(ENVIOS!$B$4:$B$3003,MATCH($C319,ENVIOS!$A$4:$A$3003,0)),""))</f>
        <v/>
      </c>
      <c r="K319" s="49" t="n"/>
      <c r="L319" s="27">
        <f>IF($K319="","",IFERROR(INDEX(CONFIG!$B$4:$B$43,MATCH($K319,CONFIG!$A$4:$A$43,0)),"Media"))</f>
        <v/>
      </c>
      <c r="M319" s="27">
        <f>IF($K319="","",IFERROR(INDEX(CONFIG!$D$4:$D$43,MATCH($K319,CONFIG!$A$4:$A$43,0)),"NO"))</f>
        <v/>
      </c>
      <c r="N319" s="49" t="n"/>
      <c r="O319" s="27">
        <f>IF($N319="","",IFERROR(INDEX(CONFIG!$G$4:$G$43,MATCH($N319,CONFIG!$F$4:$F$43,0)),"Por definir"))</f>
        <v/>
      </c>
      <c r="P319" s="27">
        <f>IF($N319="","",IFERROR(INDEX(CONFIG!$H$4:$H$43,MATCH($N319,CONFIG!$F$4:$F$43,0)),"Por definir"))</f>
        <v/>
      </c>
      <c r="Q319" s="50" t="n"/>
      <c r="R319" s="51" t="n"/>
      <c r="S319" s="49" t="n"/>
      <c r="T319" s="49" t="n"/>
      <c r="U319" s="48">
        <f>IF(OR($B319="",$K319=""),"",WORKDAY($B319,IFERROR(INDEX(CONFIG!$C$4:$C$43,MATCH($K319,CONFIG!$A$4:$A$43,0)),3)))</f>
        <v/>
      </c>
      <c r="V319" s="46" t="n"/>
      <c r="W319" s="23">
        <f>IF($B319="","",IF($V319&lt;&gt;"",$V319-$B319,TODAY()-$B319))</f>
        <v/>
      </c>
      <c r="X319" s="27">
        <f>IF($C319="","",IF(IFERROR(INDEX(CONFIG!$K$4:$K$43,MATCH($S319,CONFIG!$J$4:$J$43,0)),"NO")="SÍ",IF(OR($V319="",$U319=""),"Resuelta",IF($V319&gt;$U319,"Resuelta tarde","Resuelta a tiempo")),IF($U319="","Sin clasificar",IF(TODAY()&gt;$U319,"Vencida",IF(TODAY()&gt;=$U319-1,"Por vencer","En plazo")))))</f>
        <v/>
      </c>
      <c r="Y319" s="49" t="n"/>
      <c r="Z319" s="49" t="n"/>
    </row>
    <row r="320" ht="16" customHeight="1">
      <c r="A320" s="27">
        <f>IF($C320="","","N-"&amp;TEXT(ROW()-3,"0000"))</f>
        <v/>
      </c>
      <c r="B320" s="46" t="n"/>
      <c r="C320" s="47" t="n"/>
      <c r="D320" s="27">
        <f>IF($C320="","",IF(COUNTIFS(ENVIOS!$A$4:$A$3003,$C320)=0,"NO EXISTE",IF(COUNTIFS(ENVIOS!$A$4:$A$3003,$C320)&gt;1,"DUPLICADA","OK")))</f>
        <v/>
      </c>
      <c r="E320" s="22">
        <f>IF($C320="","",IFERROR(INDEX(ENVIOS!$C$4:$C$3003,MATCH($C320,ENVIOS!$A$4:$A$3003,0)),"—"))</f>
        <v/>
      </c>
      <c r="F320" s="22">
        <f>IF($C320="","",IFERROR(INDEX(ENVIOS!$D$4:$D$3003,MATCH($C320,ENVIOS!$A$4:$A$3003,0)),"—"))</f>
        <v/>
      </c>
      <c r="G320" s="22">
        <f>IF($C320="","",IFERROR(INDEX(ENVIOS!$E$4:$E$3003,MATCH($C320,ENVIOS!$A$4:$A$3003,0)),"—"))</f>
        <v/>
      </c>
      <c r="H320" s="22">
        <f>IF($C320="","",IFERROR(INDEX(ENVIOS!$F$4:$F$3003,MATCH($C320,ENVIOS!$A$4:$A$3003,0)),"—"))</f>
        <v/>
      </c>
      <c r="I320" s="27">
        <f>IF($C320="","",IFERROR(INDEX(ENVIOS!$G$4:$G$3003,MATCH($C320,ENVIOS!$A$4:$A$3003,0)),"—"))</f>
        <v/>
      </c>
      <c r="J320" s="48">
        <f>IF($C320="","",IFERROR(INDEX(ENVIOS!$B$4:$B$3003,MATCH($C320,ENVIOS!$A$4:$A$3003,0)),""))</f>
        <v/>
      </c>
      <c r="K320" s="49" t="n"/>
      <c r="L320" s="27">
        <f>IF($K320="","",IFERROR(INDEX(CONFIG!$B$4:$B$43,MATCH($K320,CONFIG!$A$4:$A$43,0)),"Media"))</f>
        <v/>
      </c>
      <c r="M320" s="27">
        <f>IF($K320="","",IFERROR(INDEX(CONFIG!$D$4:$D$43,MATCH($K320,CONFIG!$A$4:$A$43,0)),"NO"))</f>
        <v/>
      </c>
      <c r="N320" s="49" t="n"/>
      <c r="O320" s="27">
        <f>IF($N320="","",IFERROR(INDEX(CONFIG!$G$4:$G$43,MATCH($N320,CONFIG!$F$4:$F$43,0)),"Por definir"))</f>
        <v/>
      </c>
      <c r="P320" s="27">
        <f>IF($N320="","",IFERROR(INDEX(CONFIG!$H$4:$H$43,MATCH($N320,CONFIG!$F$4:$F$43,0)),"Por definir"))</f>
        <v/>
      </c>
      <c r="Q320" s="50" t="n"/>
      <c r="R320" s="51" t="n"/>
      <c r="S320" s="49" t="n"/>
      <c r="T320" s="49" t="n"/>
      <c r="U320" s="48">
        <f>IF(OR($B320="",$K320=""),"",WORKDAY($B320,IFERROR(INDEX(CONFIG!$C$4:$C$43,MATCH($K320,CONFIG!$A$4:$A$43,0)),3)))</f>
        <v/>
      </c>
      <c r="V320" s="46" t="n"/>
      <c r="W320" s="23">
        <f>IF($B320="","",IF($V320&lt;&gt;"",$V320-$B320,TODAY()-$B320))</f>
        <v/>
      </c>
      <c r="X320" s="27">
        <f>IF($C320="","",IF(IFERROR(INDEX(CONFIG!$K$4:$K$43,MATCH($S320,CONFIG!$J$4:$J$43,0)),"NO")="SÍ",IF(OR($V320="",$U320=""),"Resuelta",IF($V320&gt;$U320,"Resuelta tarde","Resuelta a tiempo")),IF($U320="","Sin clasificar",IF(TODAY()&gt;$U320,"Vencida",IF(TODAY()&gt;=$U320-1,"Por vencer","En plazo")))))</f>
        <v/>
      </c>
      <c r="Y320" s="49" t="n"/>
      <c r="Z320" s="49" t="n"/>
    </row>
    <row r="321" ht="16" customHeight="1">
      <c r="A321" s="27">
        <f>IF($C321="","","N-"&amp;TEXT(ROW()-3,"0000"))</f>
        <v/>
      </c>
      <c r="B321" s="46" t="n"/>
      <c r="C321" s="47" t="n"/>
      <c r="D321" s="27">
        <f>IF($C321="","",IF(COUNTIFS(ENVIOS!$A$4:$A$3003,$C321)=0,"NO EXISTE",IF(COUNTIFS(ENVIOS!$A$4:$A$3003,$C321)&gt;1,"DUPLICADA","OK")))</f>
        <v/>
      </c>
      <c r="E321" s="22">
        <f>IF($C321="","",IFERROR(INDEX(ENVIOS!$C$4:$C$3003,MATCH($C321,ENVIOS!$A$4:$A$3003,0)),"—"))</f>
        <v/>
      </c>
      <c r="F321" s="22">
        <f>IF($C321="","",IFERROR(INDEX(ENVIOS!$D$4:$D$3003,MATCH($C321,ENVIOS!$A$4:$A$3003,0)),"—"))</f>
        <v/>
      </c>
      <c r="G321" s="22">
        <f>IF($C321="","",IFERROR(INDEX(ENVIOS!$E$4:$E$3003,MATCH($C321,ENVIOS!$A$4:$A$3003,0)),"—"))</f>
        <v/>
      </c>
      <c r="H321" s="22">
        <f>IF($C321="","",IFERROR(INDEX(ENVIOS!$F$4:$F$3003,MATCH($C321,ENVIOS!$A$4:$A$3003,0)),"—"))</f>
        <v/>
      </c>
      <c r="I321" s="27">
        <f>IF($C321="","",IFERROR(INDEX(ENVIOS!$G$4:$G$3003,MATCH($C321,ENVIOS!$A$4:$A$3003,0)),"—"))</f>
        <v/>
      </c>
      <c r="J321" s="48">
        <f>IF($C321="","",IFERROR(INDEX(ENVIOS!$B$4:$B$3003,MATCH($C321,ENVIOS!$A$4:$A$3003,0)),""))</f>
        <v/>
      </c>
      <c r="K321" s="49" t="n"/>
      <c r="L321" s="27">
        <f>IF($K321="","",IFERROR(INDEX(CONFIG!$B$4:$B$43,MATCH($K321,CONFIG!$A$4:$A$43,0)),"Media"))</f>
        <v/>
      </c>
      <c r="M321" s="27">
        <f>IF($K321="","",IFERROR(INDEX(CONFIG!$D$4:$D$43,MATCH($K321,CONFIG!$A$4:$A$43,0)),"NO"))</f>
        <v/>
      </c>
      <c r="N321" s="49" t="n"/>
      <c r="O321" s="27">
        <f>IF($N321="","",IFERROR(INDEX(CONFIG!$G$4:$G$43,MATCH($N321,CONFIG!$F$4:$F$43,0)),"Por definir"))</f>
        <v/>
      </c>
      <c r="P321" s="27">
        <f>IF($N321="","",IFERROR(INDEX(CONFIG!$H$4:$H$43,MATCH($N321,CONFIG!$F$4:$F$43,0)),"Por definir"))</f>
        <v/>
      </c>
      <c r="Q321" s="50" t="n"/>
      <c r="R321" s="51" t="n"/>
      <c r="S321" s="49" t="n"/>
      <c r="T321" s="49" t="n"/>
      <c r="U321" s="48">
        <f>IF(OR($B321="",$K321=""),"",WORKDAY($B321,IFERROR(INDEX(CONFIG!$C$4:$C$43,MATCH($K321,CONFIG!$A$4:$A$43,0)),3)))</f>
        <v/>
      </c>
      <c r="V321" s="46" t="n"/>
      <c r="W321" s="23">
        <f>IF($B321="","",IF($V321&lt;&gt;"",$V321-$B321,TODAY()-$B321))</f>
        <v/>
      </c>
      <c r="X321" s="27">
        <f>IF($C321="","",IF(IFERROR(INDEX(CONFIG!$K$4:$K$43,MATCH($S321,CONFIG!$J$4:$J$43,0)),"NO")="SÍ",IF(OR($V321="",$U321=""),"Resuelta",IF($V321&gt;$U321,"Resuelta tarde","Resuelta a tiempo")),IF($U321="","Sin clasificar",IF(TODAY()&gt;$U321,"Vencida",IF(TODAY()&gt;=$U321-1,"Por vencer","En plazo")))))</f>
        <v/>
      </c>
      <c r="Y321" s="49" t="n"/>
      <c r="Z321" s="49" t="n"/>
    </row>
    <row r="322" ht="16" customHeight="1">
      <c r="A322" s="27">
        <f>IF($C322="","","N-"&amp;TEXT(ROW()-3,"0000"))</f>
        <v/>
      </c>
      <c r="B322" s="46" t="n"/>
      <c r="C322" s="47" t="n"/>
      <c r="D322" s="27">
        <f>IF($C322="","",IF(COUNTIFS(ENVIOS!$A$4:$A$3003,$C322)=0,"NO EXISTE",IF(COUNTIFS(ENVIOS!$A$4:$A$3003,$C322)&gt;1,"DUPLICADA","OK")))</f>
        <v/>
      </c>
      <c r="E322" s="22">
        <f>IF($C322="","",IFERROR(INDEX(ENVIOS!$C$4:$C$3003,MATCH($C322,ENVIOS!$A$4:$A$3003,0)),"—"))</f>
        <v/>
      </c>
      <c r="F322" s="22">
        <f>IF($C322="","",IFERROR(INDEX(ENVIOS!$D$4:$D$3003,MATCH($C322,ENVIOS!$A$4:$A$3003,0)),"—"))</f>
        <v/>
      </c>
      <c r="G322" s="22">
        <f>IF($C322="","",IFERROR(INDEX(ENVIOS!$E$4:$E$3003,MATCH($C322,ENVIOS!$A$4:$A$3003,0)),"—"))</f>
        <v/>
      </c>
      <c r="H322" s="22">
        <f>IF($C322="","",IFERROR(INDEX(ENVIOS!$F$4:$F$3003,MATCH($C322,ENVIOS!$A$4:$A$3003,0)),"—"))</f>
        <v/>
      </c>
      <c r="I322" s="27">
        <f>IF($C322="","",IFERROR(INDEX(ENVIOS!$G$4:$G$3003,MATCH($C322,ENVIOS!$A$4:$A$3003,0)),"—"))</f>
        <v/>
      </c>
      <c r="J322" s="48">
        <f>IF($C322="","",IFERROR(INDEX(ENVIOS!$B$4:$B$3003,MATCH($C322,ENVIOS!$A$4:$A$3003,0)),""))</f>
        <v/>
      </c>
      <c r="K322" s="49" t="n"/>
      <c r="L322" s="27">
        <f>IF($K322="","",IFERROR(INDEX(CONFIG!$B$4:$B$43,MATCH($K322,CONFIG!$A$4:$A$43,0)),"Media"))</f>
        <v/>
      </c>
      <c r="M322" s="27">
        <f>IF($K322="","",IFERROR(INDEX(CONFIG!$D$4:$D$43,MATCH($K322,CONFIG!$A$4:$A$43,0)),"NO"))</f>
        <v/>
      </c>
      <c r="N322" s="49" t="n"/>
      <c r="O322" s="27">
        <f>IF($N322="","",IFERROR(INDEX(CONFIG!$G$4:$G$43,MATCH($N322,CONFIG!$F$4:$F$43,0)),"Por definir"))</f>
        <v/>
      </c>
      <c r="P322" s="27">
        <f>IF($N322="","",IFERROR(INDEX(CONFIG!$H$4:$H$43,MATCH($N322,CONFIG!$F$4:$F$43,0)),"Por definir"))</f>
        <v/>
      </c>
      <c r="Q322" s="50" t="n"/>
      <c r="R322" s="51" t="n"/>
      <c r="S322" s="49" t="n"/>
      <c r="T322" s="49" t="n"/>
      <c r="U322" s="48">
        <f>IF(OR($B322="",$K322=""),"",WORKDAY($B322,IFERROR(INDEX(CONFIG!$C$4:$C$43,MATCH($K322,CONFIG!$A$4:$A$43,0)),3)))</f>
        <v/>
      </c>
      <c r="V322" s="46" t="n"/>
      <c r="W322" s="23">
        <f>IF($B322="","",IF($V322&lt;&gt;"",$V322-$B322,TODAY()-$B322))</f>
        <v/>
      </c>
      <c r="X322" s="27">
        <f>IF($C322="","",IF(IFERROR(INDEX(CONFIG!$K$4:$K$43,MATCH($S322,CONFIG!$J$4:$J$43,0)),"NO")="SÍ",IF(OR($V322="",$U322=""),"Resuelta",IF($V322&gt;$U322,"Resuelta tarde","Resuelta a tiempo")),IF($U322="","Sin clasificar",IF(TODAY()&gt;$U322,"Vencida",IF(TODAY()&gt;=$U322-1,"Por vencer","En plazo")))))</f>
        <v/>
      </c>
      <c r="Y322" s="49" t="n"/>
      <c r="Z322" s="49" t="n"/>
    </row>
    <row r="323" ht="16" customHeight="1">
      <c r="A323" s="27">
        <f>IF($C323="","","N-"&amp;TEXT(ROW()-3,"0000"))</f>
        <v/>
      </c>
      <c r="B323" s="46" t="n"/>
      <c r="C323" s="47" t="n"/>
      <c r="D323" s="27">
        <f>IF($C323="","",IF(COUNTIFS(ENVIOS!$A$4:$A$3003,$C323)=0,"NO EXISTE",IF(COUNTIFS(ENVIOS!$A$4:$A$3003,$C323)&gt;1,"DUPLICADA","OK")))</f>
        <v/>
      </c>
      <c r="E323" s="22">
        <f>IF($C323="","",IFERROR(INDEX(ENVIOS!$C$4:$C$3003,MATCH($C323,ENVIOS!$A$4:$A$3003,0)),"—"))</f>
        <v/>
      </c>
      <c r="F323" s="22">
        <f>IF($C323="","",IFERROR(INDEX(ENVIOS!$D$4:$D$3003,MATCH($C323,ENVIOS!$A$4:$A$3003,0)),"—"))</f>
        <v/>
      </c>
      <c r="G323" s="22">
        <f>IF($C323="","",IFERROR(INDEX(ENVIOS!$E$4:$E$3003,MATCH($C323,ENVIOS!$A$4:$A$3003,0)),"—"))</f>
        <v/>
      </c>
      <c r="H323" s="22">
        <f>IF($C323="","",IFERROR(INDEX(ENVIOS!$F$4:$F$3003,MATCH($C323,ENVIOS!$A$4:$A$3003,0)),"—"))</f>
        <v/>
      </c>
      <c r="I323" s="27">
        <f>IF($C323="","",IFERROR(INDEX(ENVIOS!$G$4:$G$3003,MATCH($C323,ENVIOS!$A$4:$A$3003,0)),"—"))</f>
        <v/>
      </c>
      <c r="J323" s="48">
        <f>IF($C323="","",IFERROR(INDEX(ENVIOS!$B$4:$B$3003,MATCH($C323,ENVIOS!$A$4:$A$3003,0)),""))</f>
        <v/>
      </c>
      <c r="K323" s="49" t="n"/>
      <c r="L323" s="27">
        <f>IF($K323="","",IFERROR(INDEX(CONFIG!$B$4:$B$43,MATCH($K323,CONFIG!$A$4:$A$43,0)),"Media"))</f>
        <v/>
      </c>
      <c r="M323" s="27">
        <f>IF($K323="","",IFERROR(INDEX(CONFIG!$D$4:$D$43,MATCH($K323,CONFIG!$A$4:$A$43,0)),"NO"))</f>
        <v/>
      </c>
      <c r="N323" s="49" t="n"/>
      <c r="O323" s="27">
        <f>IF($N323="","",IFERROR(INDEX(CONFIG!$G$4:$G$43,MATCH($N323,CONFIG!$F$4:$F$43,0)),"Por definir"))</f>
        <v/>
      </c>
      <c r="P323" s="27">
        <f>IF($N323="","",IFERROR(INDEX(CONFIG!$H$4:$H$43,MATCH($N323,CONFIG!$F$4:$F$43,0)),"Por definir"))</f>
        <v/>
      </c>
      <c r="Q323" s="50" t="n"/>
      <c r="R323" s="51" t="n"/>
      <c r="S323" s="49" t="n"/>
      <c r="T323" s="49" t="n"/>
      <c r="U323" s="48">
        <f>IF(OR($B323="",$K323=""),"",WORKDAY($B323,IFERROR(INDEX(CONFIG!$C$4:$C$43,MATCH($K323,CONFIG!$A$4:$A$43,0)),3)))</f>
        <v/>
      </c>
      <c r="V323" s="46" t="n"/>
      <c r="W323" s="23">
        <f>IF($B323="","",IF($V323&lt;&gt;"",$V323-$B323,TODAY()-$B323))</f>
        <v/>
      </c>
      <c r="X323" s="27">
        <f>IF($C323="","",IF(IFERROR(INDEX(CONFIG!$K$4:$K$43,MATCH($S323,CONFIG!$J$4:$J$43,0)),"NO")="SÍ",IF(OR($V323="",$U323=""),"Resuelta",IF($V323&gt;$U323,"Resuelta tarde","Resuelta a tiempo")),IF($U323="","Sin clasificar",IF(TODAY()&gt;$U323,"Vencida",IF(TODAY()&gt;=$U323-1,"Por vencer","En plazo")))))</f>
        <v/>
      </c>
      <c r="Y323" s="49" t="n"/>
      <c r="Z323" s="49" t="n"/>
    </row>
    <row r="324" ht="16" customHeight="1">
      <c r="A324" s="27">
        <f>IF($C324="","","N-"&amp;TEXT(ROW()-3,"0000"))</f>
        <v/>
      </c>
      <c r="B324" s="46" t="n"/>
      <c r="C324" s="47" t="n"/>
      <c r="D324" s="27">
        <f>IF($C324="","",IF(COUNTIFS(ENVIOS!$A$4:$A$3003,$C324)=0,"NO EXISTE",IF(COUNTIFS(ENVIOS!$A$4:$A$3003,$C324)&gt;1,"DUPLICADA","OK")))</f>
        <v/>
      </c>
      <c r="E324" s="22">
        <f>IF($C324="","",IFERROR(INDEX(ENVIOS!$C$4:$C$3003,MATCH($C324,ENVIOS!$A$4:$A$3003,0)),"—"))</f>
        <v/>
      </c>
      <c r="F324" s="22">
        <f>IF($C324="","",IFERROR(INDEX(ENVIOS!$D$4:$D$3003,MATCH($C324,ENVIOS!$A$4:$A$3003,0)),"—"))</f>
        <v/>
      </c>
      <c r="G324" s="22">
        <f>IF($C324="","",IFERROR(INDEX(ENVIOS!$E$4:$E$3003,MATCH($C324,ENVIOS!$A$4:$A$3003,0)),"—"))</f>
        <v/>
      </c>
      <c r="H324" s="22">
        <f>IF($C324="","",IFERROR(INDEX(ENVIOS!$F$4:$F$3003,MATCH($C324,ENVIOS!$A$4:$A$3003,0)),"—"))</f>
        <v/>
      </c>
      <c r="I324" s="27">
        <f>IF($C324="","",IFERROR(INDEX(ENVIOS!$G$4:$G$3003,MATCH($C324,ENVIOS!$A$4:$A$3003,0)),"—"))</f>
        <v/>
      </c>
      <c r="J324" s="48">
        <f>IF($C324="","",IFERROR(INDEX(ENVIOS!$B$4:$B$3003,MATCH($C324,ENVIOS!$A$4:$A$3003,0)),""))</f>
        <v/>
      </c>
      <c r="K324" s="49" t="n"/>
      <c r="L324" s="27">
        <f>IF($K324="","",IFERROR(INDEX(CONFIG!$B$4:$B$43,MATCH($K324,CONFIG!$A$4:$A$43,0)),"Media"))</f>
        <v/>
      </c>
      <c r="M324" s="27">
        <f>IF($K324="","",IFERROR(INDEX(CONFIG!$D$4:$D$43,MATCH($K324,CONFIG!$A$4:$A$43,0)),"NO"))</f>
        <v/>
      </c>
      <c r="N324" s="49" t="n"/>
      <c r="O324" s="27">
        <f>IF($N324="","",IFERROR(INDEX(CONFIG!$G$4:$G$43,MATCH($N324,CONFIG!$F$4:$F$43,0)),"Por definir"))</f>
        <v/>
      </c>
      <c r="P324" s="27">
        <f>IF($N324="","",IFERROR(INDEX(CONFIG!$H$4:$H$43,MATCH($N324,CONFIG!$F$4:$F$43,0)),"Por definir"))</f>
        <v/>
      </c>
      <c r="Q324" s="50" t="n"/>
      <c r="R324" s="51" t="n"/>
      <c r="S324" s="49" t="n"/>
      <c r="T324" s="49" t="n"/>
      <c r="U324" s="48">
        <f>IF(OR($B324="",$K324=""),"",WORKDAY($B324,IFERROR(INDEX(CONFIG!$C$4:$C$43,MATCH($K324,CONFIG!$A$4:$A$43,0)),3)))</f>
        <v/>
      </c>
      <c r="V324" s="46" t="n"/>
      <c r="W324" s="23">
        <f>IF($B324="","",IF($V324&lt;&gt;"",$V324-$B324,TODAY()-$B324))</f>
        <v/>
      </c>
      <c r="X324" s="27">
        <f>IF($C324="","",IF(IFERROR(INDEX(CONFIG!$K$4:$K$43,MATCH($S324,CONFIG!$J$4:$J$43,0)),"NO")="SÍ",IF(OR($V324="",$U324=""),"Resuelta",IF($V324&gt;$U324,"Resuelta tarde","Resuelta a tiempo")),IF($U324="","Sin clasificar",IF(TODAY()&gt;$U324,"Vencida",IF(TODAY()&gt;=$U324-1,"Por vencer","En plazo")))))</f>
        <v/>
      </c>
      <c r="Y324" s="49" t="n"/>
      <c r="Z324" s="49" t="n"/>
    </row>
    <row r="325" ht="16" customHeight="1">
      <c r="A325" s="27">
        <f>IF($C325="","","N-"&amp;TEXT(ROW()-3,"0000"))</f>
        <v/>
      </c>
      <c r="B325" s="46" t="n"/>
      <c r="C325" s="47" t="n"/>
      <c r="D325" s="27">
        <f>IF($C325="","",IF(COUNTIFS(ENVIOS!$A$4:$A$3003,$C325)=0,"NO EXISTE",IF(COUNTIFS(ENVIOS!$A$4:$A$3003,$C325)&gt;1,"DUPLICADA","OK")))</f>
        <v/>
      </c>
      <c r="E325" s="22">
        <f>IF($C325="","",IFERROR(INDEX(ENVIOS!$C$4:$C$3003,MATCH($C325,ENVIOS!$A$4:$A$3003,0)),"—"))</f>
        <v/>
      </c>
      <c r="F325" s="22">
        <f>IF($C325="","",IFERROR(INDEX(ENVIOS!$D$4:$D$3003,MATCH($C325,ENVIOS!$A$4:$A$3003,0)),"—"))</f>
        <v/>
      </c>
      <c r="G325" s="22">
        <f>IF($C325="","",IFERROR(INDEX(ENVIOS!$E$4:$E$3003,MATCH($C325,ENVIOS!$A$4:$A$3003,0)),"—"))</f>
        <v/>
      </c>
      <c r="H325" s="22">
        <f>IF($C325="","",IFERROR(INDEX(ENVIOS!$F$4:$F$3003,MATCH($C325,ENVIOS!$A$4:$A$3003,0)),"—"))</f>
        <v/>
      </c>
      <c r="I325" s="27">
        <f>IF($C325="","",IFERROR(INDEX(ENVIOS!$G$4:$G$3003,MATCH($C325,ENVIOS!$A$4:$A$3003,0)),"—"))</f>
        <v/>
      </c>
      <c r="J325" s="48">
        <f>IF($C325="","",IFERROR(INDEX(ENVIOS!$B$4:$B$3003,MATCH($C325,ENVIOS!$A$4:$A$3003,0)),""))</f>
        <v/>
      </c>
      <c r="K325" s="49" t="n"/>
      <c r="L325" s="27">
        <f>IF($K325="","",IFERROR(INDEX(CONFIG!$B$4:$B$43,MATCH($K325,CONFIG!$A$4:$A$43,0)),"Media"))</f>
        <v/>
      </c>
      <c r="M325" s="27">
        <f>IF($K325="","",IFERROR(INDEX(CONFIG!$D$4:$D$43,MATCH($K325,CONFIG!$A$4:$A$43,0)),"NO"))</f>
        <v/>
      </c>
      <c r="N325" s="49" t="n"/>
      <c r="O325" s="27">
        <f>IF($N325="","",IFERROR(INDEX(CONFIG!$G$4:$G$43,MATCH($N325,CONFIG!$F$4:$F$43,0)),"Por definir"))</f>
        <v/>
      </c>
      <c r="P325" s="27">
        <f>IF($N325="","",IFERROR(INDEX(CONFIG!$H$4:$H$43,MATCH($N325,CONFIG!$F$4:$F$43,0)),"Por definir"))</f>
        <v/>
      </c>
      <c r="Q325" s="50" t="n"/>
      <c r="R325" s="51" t="n"/>
      <c r="S325" s="49" t="n"/>
      <c r="T325" s="49" t="n"/>
      <c r="U325" s="48">
        <f>IF(OR($B325="",$K325=""),"",WORKDAY($B325,IFERROR(INDEX(CONFIG!$C$4:$C$43,MATCH($K325,CONFIG!$A$4:$A$43,0)),3)))</f>
        <v/>
      </c>
      <c r="V325" s="46" t="n"/>
      <c r="W325" s="23">
        <f>IF($B325="","",IF($V325&lt;&gt;"",$V325-$B325,TODAY()-$B325))</f>
        <v/>
      </c>
      <c r="X325" s="27">
        <f>IF($C325="","",IF(IFERROR(INDEX(CONFIG!$K$4:$K$43,MATCH($S325,CONFIG!$J$4:$J$43,0)),"NO")="SÍ",IF(OR($V325="",$U325=""),"Resuelta",IF($V325&gt;$U325,"Resuelta tarde","Resuelta a tiempo")),IF($U325="","Sin clasificar",IF(TODAY()&gt;$U325,"Vencida",IF(TODAY()&gt;=$U325-1,"Por vencer","En plazo")))))</f>
        <v/>
      </c>
      <c r="Y325" s="49" t="n"/>
      <c r="Z325" s="49" t="n"/>
    </row>
    <row r="326" ht="16" customHeight="1">
      <c r="A326" s="27">
        <f>IF($C326="","","N-"&amp;TEXT(ROW()-3,"0000"))</f>
        <v/>
      </c>
      <c r="B326" s="46" t="n"/>
      <c r="C326" s="47" t="n"/>
      <c r="D326" s="27">
        <f>IF($C326="","",IF(COUNTIFS(ENVIOS!$A$4:$A$3003,$C326)=0,"NO EXISTE",IF(COUNTIFS(ENVIOS!$A$4:$A$3003,$C326)&gt;1,"DUPLICADA","OK")))</f>
        <v/>
      </c>
      <c r="E326" s="22">
        <f>IF($C326="","",IFERROR(INDEX(ENVIOS!$C$4:$C$3003,MATCH($C326,ENVIOS!$A$4:$A$3003,0)),"—"))</f>
        <v/>
      </c>
      <c r="F326" s="22">
        <f>IF($C326="","",IFERROR(INDEX(ENVIOS!$D$4:$D$3003,MATCH($C326,ENVIOS!$A$4:$A$3003,0)),"—"))</f>
        <v/>
      </c>
      <c r="G326" s="22">
        <f>IF($C326="","",IFERROR(INDEX(ENVIOS!$E$4:$E$3003,MATCH($C326,ENVIOS!$A$4:$A$3003,0)),"—"))</f>
        <v/>
      </c>
      <c r="H326" s="22">
        <f>IF($C326="","",IFERROR(INDEX(ENVIOS!$F$4:$F$3003,MATCH($C326,ENVIOS!$A$4:$A$3003,0)),"—"))</f>
        <v/>
      </c>
      <c r="I326" s="27">
        <f>IF($C326="","",IFERROR(INDEX(ENVIOS!$G$4:$G$3003,MATCH($C326,ENVIOS!$A$4:$A$3003,0)),"—"))</f>
        <v/>
      </c>
      <c r="J326" s="48">
        <f>IF($C326="","",IFERROR(INDEX(ENVIOS!$B$4:$B$3003,MATCH($C326,ENVIOS!$A$4:$A$3003,0)),""))</f>
        <v/>
      </c>
      <c r="K326" s="49" t="n"/>
      <c r="L326" s="27">
        <f>IF($K326="","",IFERROR(INDEX(CONFIG!$B$4:$B$43,MATCH($K326,CONFIG!$A$4:$A$43,0)),"Media"))</f>
        <v/>
      </c>
      <c r="M326" s="27">
        <f>IF($K326="","",IFERROR(INDEX(CONFIG!$D$4:$D$43,MATCH($K326,CONFIG!$A$4:$A$43,0)),"NO"))</f>
        <v/>
      </c>
      <c r="N326" s="49" t="n"/>
      <c r="O326" s="27">
        <f>IF($N326="","",IFERROR(INDEX(CONFIG!$G$4:$G$43,MATCH($N326,CONFIG!$F$4:$F$43,0)),"Por definir"))</f>
        <v/>
      </c>
      <c r="P326" s="27">
        <f>IF($N326="","",IFERROR(INDEX(CONFIG!$H$4:$H$43,MATCH($N326,CONFIG!$F$4:$F$43,0)),"Por definir"))</f>
        <v/>
      </c>
      <c r="Q326" s="50" t="n"/>
      <c r="R326" s="51" t="n"/>
      <c r="S326" s="49" t="n"/>
      <c r="T326" s="49" t="n"/>
      <c r="U326" s="48">
        <f>IF(OR($B326="",$K326=""),"",WORKDAY($B326,IFERROR(INDEX(CONFIG!$C$4:$C$43,MATCH($K326,CONFIG!$A$4:$A$43,0)),3)))</f>
        <v/>
      </c>
      <c r="V326" s="46" t="n"/>
      <c r="W326" s="23">
        <f>IF($B326="","",IF($V326&lt;&gt;"",$V326-$B326,TODAY()-$B326))</f>
        <v/>
      </c>
      <c r="X326" s="27">
        <f>IF($C326="","",IF(IFERROR(INDEX(CONFIG!$K$4:$K$43,MATCH($S326,CONFIG!$J$4:$J$43,0)),"NO")="SÍ",IF(OR($V326="",$U326=""),"Resuelta",IF($V326&gt;$U326,"Resuelta tarde","Resuelta a tiempo")),IF($U326="","Sin clasificar",IF(TODAY()&gt;$U326,"Vencida",IF(TODAY()&gt;=$U326-1,"Por vencer","En plazo")))))</f>
        <v/>
      </c>
      <c r="Y326" s="49" t="n"/>
      <c r="Z326" s="49" t="n"/>
    </row>
    <row r="327" ht="16" customHeight="1">
      <c r="A327" s="27">
        <f>IF($C327="","","N-"&amp;TEXT(ROW()-3,"0000"))</f>
        <v/>
      </c>
      <c r="B327" s="46" t="n"/>
      <c r="C327" s="47" t="n"/>
      <c r="D327" s="27">
        <f>IF($C327="","",IF(COUNTIFS(ENVIOS!$A$4:$A$3003,$C327)=0,"NO EXISTE",IF(COUNTIFS(ENVIOS!$A$4:$A$3003,$C327)&gt;1,"DUPLICADA","OK")))</f>
        <v/>
      </c>
      <c r="E327" s="22">
        <f>IF($C327="","",IFERROR(INDEX(ENVIOS!$C$4:$C$3003,MATCH($C327,ENVIOS!$A$4:$A$3003,0)),"—"))</f>
        <v/>
      </c>
      <c r="F327" s="22">
        <f>IF($C327="","",IFERROR(INDEX(ENVIOS!$D$4:$D$3003,MATCH($C327,ENVIOS!$A$4:$A$3003,0)),"—"))</f>
        <v/>
      </c>
      <c r="G327" s="22">
        <f>IF($C327="","",IFERROR(INDEX(ENVIOS!$E$4:$E$3003,MATCH($C327,ENVIOS!$A$4:$A$3003,0)),"—"))</f>
        <v/>
      </c>
      <c r="H327" s="22">
        <f>IF($C327="","",IFERROR(INDEX(ENVIOS!$F$4:$F$3003,MATCH($C327,ENVIOS!$A$4:$A$3003,0)),"—"))</f>
        <v/>
      </c>
      <c r="I327" s="27">
        <f>IF($C327="","",IFERROR(INDEX(ENVIOS!$G$4:$G$3003,MATCH($C327,ENVIOS!$A$4:$A$3003,0)),"—"))</f>
        <v/>
      </c>
      <c r="J327" s="48">
        <f>IF($C327="","",IFERROR(INDEX(ENVIOS!$B$4:$B$3003,MATCH($C327,ENVIOS!$A$4:$A$3003,0)),""))</f>
        <v/>
      </c>
      <c r="K327" s="49" t="n"/>
      <c r="L327" s="27">
        <f>IF($K327="","",IFERROR(INDEX(CONFIG!$B$4:$B$43,MATCH($K327,CONFIG!$A$4:$A$43,0)),"Media"))</f>
        <v/>
      </c>
      <c r="M327" s="27">
        <f>IF($K327="","",IFERROR(INDEX(CONFIG!$D$4:$D$43,MATCH($K327,CONFIG!$A$4:$A$43,0)),"NO"))</f>
        <v/>
      </c>
      <c r="N327" s="49" t="n"/>
      <c r="O327" s="27">
        <f>IF($N327="","",IFERROR(INDEX(CONFIG!$G$4:$G$43,MATCH($N327,CONFIG!$F$4:$F$43,0)),"Por definir"))</f>
        <v/>
      </c>
      <c r="P327" s="27">
        <f>IF($N327="","",IFERROR(INDEX(CONFIG!$H$4:$H$43,MATCH($N327,CONFIG!$F$4:$F$43,0)),"Por definir"))</f>
        <v/>
      </c>
      <c r="Q327" s="50" t="n"/>
      <c r="R327" s="51" t="n"/>
      <c r="S327" s="49" t="n"/>
      <c r="T327" s="49" t="n"/>
      <c r="U327" s="48">
        <f>IF(OR($B327="",$K327=""),"",WORKDAY($B327,IFERROR(INDEX(CONFIG!$C$4:$C$43,MATCH($K327,CONFIG!$A$4:$A$43,0)),3)))</f>
        <v/>
      </c>
      <c r="V327" s="46" t="n"/>
      <c r="W327" s="23">
        <f>IF($B327="","",IF($V327&lt;&gt;"",$V327-$B327,TODAY()-$B327))</f>
        <v/>
      </c>
      <c r="X327" s="27">
        <f>IF($C327="","",IF(IFERROR(INDEX(CONFIG!$K$4:$K$43,MATCH($S327,CONFIG!$J$4:$J$43,0)),"NO")="SÍ",IF(OR($V327="",$U327=""),"Resuelta",IF($V327&gt;$U327,"Resuelta tarde","Resuelta a tiempo")),IF($U327="","Sin clasificar",IF(TODAY()&gt;$U327,"Vencida",IF(TODAY()&gt;=$U327-1,"Por vencer","En plazo")))))</f>
        <v/>
      </c>
      <c r="Y327" s="49" t="n"/>
      <c r="Z327" s="49" t="n"/>
    </row>
    <row r="328" ht="16" customHeight="1">
      <c r="A328" s="27">
        <f>IF($C328="","","N-"&amp;TEXT(ROW()-3,"0000"))</f>
        <v/>
      </c>
      <c r="B328" s="46" t="n"/>
      <c r="C328" s="47" t="n"/>
      <c r="D328" s="27">
        <f>IF($C328="","",IF(COUNTIFS(ENVIOS!$A$4:$A$3003,$C328)=0,"NO EXISTE",IF(COUNTIFS(ENVIOS!$A$4:$A$3003,$C328)&gt;1,"DUPLICADA","OK")))</f>
        <v/>
      </c>
      <c r="E328" s="22">
        <f>IF($C328="","",IFERROR(INDEX(ENVIOS!$C$4:$C$3003,MATCH($C328,ENVIOS!$A$4:$A$3003,0)),"—"))</f>
        <v/>
      </c>
      <c r="F328" s="22">
        <f>IF($C328="","",IFERROR(INDEX(ENVIOS!$D$4:$D$3003,MATCH($C328,ENVIOS!$A$4:$A$3003,0)),"—"))</f>
        <v/>
      </c>
      <c r="G328" s="22">
        <f>IF($C328="","",IFERROR(INDEX(ENVIOS!$E$4:$E$3003,MATCH($C328,ENVIOS!$A$4:$A$3003,0)),"—"))</f>
        <v/>
      </c>
      <c r="H328" s="22">
        <f>IF($C328="","",IFERROR(INDEX(ENVIOS!$F$4:$F$3003,MATCH($C328,ENVIOS!$A$4:$A$3003,0)),"—"))</f>
        <v/>
      </c>
      <c r="I328" s="27">
        <f>IF($C328="","",IFERROR(INDEX(ENVIOS!$G$4:$G$3003,MATCH($C328,ENVIOS!$A$4:$A$3003,0)),"—"))</f>
        <v/>
      </c>
      <c r="J328" s="48">
        <f>IF($C328="","",IFERROR(INDEX(ENVIOS!$B$4:$B$3003,MATCH($C328,ENVIOS!$A$4:$A$3003,0)),""))</f>
        <v/>
      </c>
      <c r="K328" s="49" t="n"/>
      <c r="L328" s="27">
        <f>IF($K328="","",IFERROR(INDEX(CONFIG!$B$4:$B$43,MATCH($K328,CONFIG!$A$4:$A$43,0)),"Media"))</f>
        <v/>
      </c>
      <c r="M328" s="27">
        <f>IF($K328="","",IFERROR(INDEX(CONFIG!$D$4:$D$43,MATCH($K328,CONFIG!$A$4:$A$43,0)),"NO"))</f>
        <v/>
      </c>
      <c r="N328" s="49" t="n"/>
      <c r="O328" s="27">
        <f>IF($N328="","",IFERROR(INDEX(CONFIG!$G$4:$G$43,MATCH($N328,CONFIG!$F$4:$F$43,0)),"Por definir"))</f>
        <v/>
      </c>
      <c r="P328" s="27">
        <f>IF($N328="","",IFERROR(INDEX(CONFIG!$H$4:$H$43,MATCH($N328,CONFIG!$F$4:$F$43,0)),"Por definir"))</f>
        <v/>
      </c>
      <c r="Q328" s="50" t="n"/>
      <c r="R328" s="51" t="n"/>
      <c r="S328" s="49" t="n"/>
      <c r="T328" s="49" t="n"/>
      <c r="U328" s="48">
        <f>IF(OR($B328="",$K328=""),"",WORKDAY($B328,IFERROR(INDEX(CONFIG!$C$4:$C$43,MATCH($K328,CONFIG!$A$4:$A$43,0)),3)))</f>
        <v/>
      </c>
      <c r="V328" s="46" t="n"/>
      <c r="W328" s="23">
        <f>IF($B328="","",IF($V328&lt;&gt;"",$V328-$B328,TODAY()-$B328))</f>
        <v/>
      </c>
      <c r="X328" s="27">
        <f>IF($C328="","",IF(IFERROR(INDEX(CONFIG!$K$4:$K$43,MATCH($S328,CONFIG!$J$4:$J$43,0)),"NO")="SÍ",IF(OR($V328="",$U328=""),"Resuelta",IF($V328&gt;$U328,"Resuelta tarde","Resuelta a tiempo")),IF($U328="","Sin clasificar",IF(TODAY()&gt;$U328,"Vencida",IF(TODAY()&gt;=$U328-1,"Por vencer","En plazo")))))</f>
        <v/>
      </c>
      <c r="Y328" s="49" t="n"/>
      <c r="Z328" s="49" t="n"/>
    </row>
    <row r="329" ht="16" customHeight="1">
      <c r="A329" s="27">
        <f>IF($C329="","","N-"&amp;TEXT(ROW()-3,"0000"))</f>
        <v/>
      </c>
      <c r="B329" s="46" t="n"/>
      <c r="C329" s="47" t="n"/>
      <c r="D329" s="27">
        <f>IF($C329="","",IF(COUNTIFS(ENVIOS!$A$4:$A$3003,$C329)=0,"NO EXISTE",IF(COUNTIFS(ENVIOS!$A$4:$A$3003,$C329)&gt;1,"DUPLICADA","OK")))</f>
        <v/>
      </c>
      <c r="E329" s="22">
        <f>IF($C329="","",IFERROR(INDEX(ENVIOS!$C$4:$C$3003,MATCH($C329,ENVIOS!$A$4:$A$3003,0)),"—"))</f>
        <v/>
      </c>
      <c r="F329" s="22">
        <f>IF($C329="","",IFERROR(INDEX(ENVIOS!$D$4:$D$3003,MATCH($C329,ENVIOS!$A$4:$A$3003,0)),"—"))</f>
        <v/>
      </c>
      <c r="G329" s="22">
        <f>IF($C329="","",IFERROR(INDEX(ENVIOS!$E$4:$E$3003,MATCH($C329,ENVIOS!$A$4:$A$3003,0)),"—"))</f>
        <v/>
      </c>
      <c r="H329" s="22">
        <f>IF($C329="","",IFERROR(INDEX(ENVIOS!$F$4:$F$3003,MATCH($C329,ENVIOS!$A$4:$A$3003,0)),"—"))</f>
        <v/>
      </c>
      <c r="I329" s="27">
        <f>IF($C329="","",IFERROR(INDEX(ENVIOS!$G$4:$G$3003,MATCH($C329,ENVIOS!$A$4:$A$3003,0)),"—"))</f>
        <v/>
      </c>
      <c r="J329" s="48">
        <f>IF($C329="","",IFERROR(INDEX(ENVIOS!$B$4:$B$3003,MATCH($C329,ENVIOS!$A$4:$A$3003,0)),""))</f>
        <v/>
      </c>
      <c r="K329" s="49" t="n"/>
      <c r="L329" s="27">
        <f>IF($K329="","",IFERROR(INDEX(CONFIG!$B$4:$B$43,MATCH($K329,CONFIG!$A$4:$A$43,0)),"Media"))</f>
        <v/>
      </c>
      <c r="M329" s="27">
        <f>IF($K329="","",IFERROR(INDEX(CONFIG!$D$4:$D$43,MATCH($K329,CONFIG!$A$4:$A$43,0)),"NO"))</f>
        <v/>
      </c>
      <c r="N329" s="49" t="n"/>
      <c r="O329" s="27">
        <f>IF($N329="","",IFERROR(INDEX(CONFIG!$G$4:$G$43,MATCH($N329,CONFIG!$F$4:$F$43,0)),"Por definir"))</f>
        <v/>
      </c>
      <c r="P329" s="27">
        <f>IF($N329="","",IFERROR(INDEX(CONFIG!$H$4:$H$43,MATCH($N329,CONFIG!$F$4:$F$43,0)),"Por definir"))</f>
        <v/>
      </c>
      <c r="Q329" s="50" t="n"/>
      <c r="R329" s="51" t="n"/>
      <c r="S329" s="49" t="n"/>
      <c r="T329" s="49" t="n"/>
      <c r="U329" s="48">
        <f>IF(OR($B329="",$K329=""),"",WORKDAY($B329,IFERROR(INDEX(CONFIG!$C$4:$C$43,MATCH($K329,CONFIG!$A$4:$A$43,0)),3)))</f>
        <v/>
      </c>
      <c r="V329" s="46" t="n"/>
      <c r="W329" s="23">
        <f>IF($B329="","",IF($V329&lt;&gt;"",$V329-$B329,TODAY()-$B329))</f>
        <v/>
      </c>
      <c r="X329" s="27">
        <f>IF($C329="","",IF(IFERROR(INDEX(CONFIG!$K$4:$K$43,MATCH($S329,CONFIG!$J$4:$J$43,0)),"NO")="SÍ",IF(OR($V329="",$U329=""),"Resuelta",IF($V329&gt;$U329,"Resuelta tarde","Resuelta a tiempo")),IF($U329="","Sin clasificar",IF(TODAY()&gt;$U329,"Vencida",IF(TODAY()&gt;=$U329-1,"Por vencer","En plazo")))))</f>
        <v/>
      </c>
      <c r="Y329" s="49" t="n"/>
      <c r="Z329" s="49" t="n"/>
    </row>
    <row r="330" ht="16" customHeight="1">
      <c r="A330" s="27">
        <f>IF($C330="","","N-"&amp;TEXT(ROW()-3,"0000"))</f>
        <v/>
      </c>
      <c r="B330" s="46" t="n"/>
      <c r="C330" s="47" t="n"/>
      <c r="D330" s="27">
        <f>IF($C330="","",IF(COUNTIFS(ENVIOS!$A$4:$A$3003,$C330)=0,"NO EXISTE",IF(COUNTIFS(ENVIOS!$A$4:$A$3003,$C330)&gt;1,"DUPLICADA","OK")))</f>
        <v/>
      </c>
      <c r="E330" s="22">
        <f>IF($C330="","",IFERROR(INDEX(ENVIOS!$C$4:$C$3003,MATCH($C330,ENVIOS!$A$4:$A$3003,0)),"—"))</f>
        <v/>
      </c>
      <c r="F330" s="22">
        <f>IF($C330="","",IFERROR(INDEX(ENVIOS!$D$4:$D$3003,MATCH($C330,ENVIOS!$A$4:$A$3003,0)),"—"))</f>
        <v/>
      </c>
      <c r="G330" s="22">
        <f>IF($C330="","",IFERROR(INDEX(ENVIOS!$E$4:$E$3003,MATCH($C330,ENVIOS!$A$4:$A$3003,0)),"—"))</f>
        <v/>
      </c>
      <c r="H330" s="22">
        <f>IF($C330="","",IFERROR(INDEX(ENVIOS!$F$4:$F$3003,MATCH($C330,ENVIOS!$A$4:$A$3003,0)),"—"))</f>
        <v/>
      </c>
      <c r="I330" s="27">
        <f>IF($C330="","",IFERROR(INDEX(ENVIOS!$G$4:$G$3003,MATCH($C330,ENVIOS!$A$4:$A$3003,0)),"—"))</f>
        <v/>
      </c>
      <c r="J330" s="48">
        <f>IF($C330="","",IFERROR(INDEX(ENVIOS!$B$4:$B$3003,MATCH($C330,ENVIOS!$A$4:$A$3003,0)),""))</f>
        <v/>
      </c>
      <c r="K330" s="49" t="n"/>
      <c r="L330" s="27">
        <f>IF($K330="","",IFERROR(INDEX(CONFIG!$B$4:$B$43,MATCH($K330,CONFIG!$A$4:$A$43,0)),"Media"))</f>
        <v/>
      </c>
      <c r="M330" s="27">
        <f>IF($K330="","",IFERROR(INDEX(CONFIG!$D$4:$D$43,MATCH($K330,CONFIG!$A$4:$A$43,0)),"NO"))</f>
        <v/>
      </c>
      <c r="N330" s="49" t="n"/>
      <c r="O330" s="27">
        <f>IF($N330="","",IFERROR(INDEX(CONFIG!$G$4:$G$43,MATCH($N330,CONFIG!$F$4:$F$43,0)),"Por definir"))</f>
        <v/>
      </c>
      <c r="P330" s="27">
        <f>IF($N330="","",IFERROR(INDEX(CONFIG!$H$4:$H$43,MATCH($N330,CONFIG!$F$4:$F$43,0)),"Por definir"))</f>
        <v/>
      </c>
      <c r="Q330" s="50" t="n"/>
      <c r="R330" s="51" t="n"/>
      <c r="S330" s="49" t="n"/>
      <c r="T330" s="49" t="n"/>
      <c r="U330" s="48">
        <f>IF(OR($B330="",$K330=""),"",WORKDAY($B330,IFERROR(INDEX(CONFIG!$C$4:$C$43,MATCH($K330,CONFIG!$A$4:$A$43,0)),3)))</f>
        <v/>
      </c>
      <c r="V330" s="46" t="n"/>
      <c r="W330" s="23">
        <f>IF($B330="","",IF($V330&lt;&gt;"",$V330-$B330,TODAY()-$B330))</f>
        <v/>
      </c>
      <c r="X330" s="27">
        <f>IF($C330="","",IF(IFERROR(INDEX(CONFIG!$K$4:$K$43,MATCH($S330,CONFIG!$J$4:$J$43,0)),"NO")="SÍ",IF(OR($V330="",$U330=""),"Resuelta",IF($V330&gt;$U330,"Resuelta tarde","Resuelta a tiempo")),IF($U330="","Sin clasificar",IF(TODAY()&gt;$U330,"Vencida",IF(TODAY()&gt;=$U330-1,"Por vencer","En plazo")))))</f>
        <v/>
      </c>
      <c r="Y330" s="49" t="n"/>
      <c r="Z330" s="49" t="n"/>
    </row>
    <row r="331" ht="16" customHeight="1">
      <c r="A331" s="27">
        <f>IF($C331="","","N-"&amp;TEXT(ROW()-3,"0000"))</f>
        <v/>
      </c>
      <c r="B331" s="46" t="n"/>
      <c r="C331" s="47" t="n"/>
      <c r="D331" s="27">
        <f>IF($C331="","",IF(COUNTIFS(ENVIOS!$A$4:$A$3003,$C331)=0,"NO EXISTE",IF(COUNTIFS(ENVIOS!$A$4:$A$3003,$C331)&gt;1,"DUPLICADA","OK")))</f>
        <v/>
      </c>
      <c r="E331" s="22">
        <f>IF($C331="","",IFERROR(INDEX(ENVIOS!$C$4:$C$3003,MATCH($C331,ENVIOS!$A$4:$A$3003,0)),"—"))</f>
        <v/>
      </c>
      <c r="F331" s="22">
        <f>IF($C331="","",IFERROR(INDEX(ENVIOS!$D$4:$D$3003,MATCH($C331,ENVIOS!$A$4:$A$3003,0)),"—"))</f>
        <v/>
      </c>
      <c r="G331" s="22">
        <f>IF($C331="","",IFERROR(INDEX(ENVIOS!$E$4:$E$3003,MATCH($C331,ENVIOS!$A$4:$A$3003,0)),"—"))</f>
        <v/>
      </c>
      <c r="H331" s="22">
        <f>IF($C331="","",IFERROR(INDEX(ENVIOS!$F$4:$F$3003,MATCH($C331,ENVIOS!$A$4:$A$3003,0)),"—"))</f>
        <v/>
      </c>
      <c r="I331" s="27">
        <f>IF($C331="","",IFERROR(INDEX(ENVIOS!$G$4:$G$3003,MATCH($C331,ENVIOS!$A$4:$A$3003,0)),"—"))</f>
        <v/>
      </c>
      <c r="J331" s="48">
        <f>IF($C331="","",IFERROR(INDEX(ENVIOS!$B$4:$B$3003,MATCH($C331,ENVIOS!$A$4:$A$3003,0)),""))</f>
        <v/>
      </c>
      <c r="K331" s="49" t="n"/>
      <c r="L331" s="27">
        <f>IF($K331="","",IFERROR(INDEX(CONFIG!$B$4:$B$43,MATCH($K331,CONFIG!$A$4:$A$43,0)),"Media"))</f>
        <v/>
      </c>
      <c r="M331" s="27">
        <f>IF($K331="","",IFERROR(INDEX(CONFIG!$D$4:$D$43,MATCH($K331,CONFIG!$A$4:$A$43,0)),"NO"))</f>
        <v/>
      </c>
      <c r="N331" s="49" t="n"/>
      <c r="O331" s="27">
        <f>IF($N331="","",IFERROR(INDEX(CONFIG!$G$4:$G$43,MATCH($N331,CONFIG!$F$4:$F$43,0)),"Por definir"))</f>
        <v/>
      </c>
      <c r="P331" s="27">
        <f>IF($N331="","",IFERROR(INDEX(CONFIG!$H$4:$H$43,MATCH($N331,CONFIG!$F$4:$F$43,0)),"Por definir"))</f>
        <v/>
      </c>
      <c r="Q331" s="50" t="n"/>
      <c r="R331" s="51" t="n"/>
      <c r="S331" s="49" t="n"/>
      <c r="T331" s="49" t="n"/>
      <c r="U331" s="48">
        <f>IF(OR($B331="",$K331=""),"",WORKDAY($B331,IFERROR(INDEX(CONFIG!$C$4:$C$43,MATCH($K331,CONFIG!$A$4:$A$43,0)),3)))</f>
        <v/>
      </c>
      <c r="V331" s="46" t="n"/>
      <c r="W331" s="23">
        <f>IF($B331="","",IF($V331&lt;&gt;"",$V331-$B331,TODAY()-$B331))</f>
        <v/>
      </c>
      <c r="X331" s="27">
        <f>IF($C331="","",IF(IFERROR(INDEX(CONFIG!$K$4:$K$43,MATCH($S331,CONFIG!$J$4:$J$43,0)),"NO")="SÍ",IF(OR($V331="",$U331=""),"Resuelta",IF($V331&gt;$U331,"Resuelta tarde","Resuelta a tiempo")),IF($U331="","Sin clasificar",IF(TODAY()&gt;$U331,"Vencida",IF(TODAY()&gt;=$U331-1,"Por vencer","En plazo")))))</f>
        <v/>
      </c>
      <c r="Y331" s="49" t="n"/>
      <c r="Z331" s="49" t="n"/>
    </row>
    <row r="332" ht="16" customHeight="1">
      <c r="A332" s="27">
        <f>IF($C332="","","N-"&amp;TEXT(ROW()-3,"0000"))</f>
        <v/>
      </c>
      <c r="B332" s="46" t="n"/>
      <c r="C332" s="47" t="n"/>
      <c r="D332" s="27">
        <f>IF($C332="","",IF(COUNTIFS(ENVIOS!$A$4:$A$3003,$C332)=0,"NO EXISTE",IF(COUNTIFS(ENVIOS!$A$4:$A$3003,$C332)&gt;1,"DUPLICADA","OK")))</f>
        <v/>
      </c>
      <c r="E332" s="22">
        <f>IF($C332="","",IFERROR(INDEX(ENVIOS!$C$4:$C$3003,MATCH($C332,ENVIOS!$A$4:$A$3003,0)),"—"))</f>
        <v/>
      </c>
      <c r="F332" s="22">
        <f>IF($C332="","",IFERROR(INDEX(ENVIOS!$D$4:$D$3003,MATCH($C332,ENVIOS!$A$4:$A$3003,0)),"—"))</f>
        <v/>
      </c>
      <c r="G332" s="22">
        <f>IF($C332="","",IFERROR(INDEX(ENVIOS!$E$4:$E$3003,MATCH($C332,ENVIOS!$A$4:$A$3003,0)),"—"))</f>
        <v/>
      </c>
      <c r="H332" s="22">
        <f>IF($C332="","",IFERROR(INDEX(ENVIOS!$F$4:$F$3003,MATCH($C332,ENVIOS!$A$4:$A$3003,0)),"—"))</f>
        <v/>
      </c>
      <c r="I332" s="27">
        <f>IF($C332="","",IFERROR(INDEX(ENVIOS!$G$4:$G$3003,MATCH($C332,ENVIOS!$A$4:$A$3003,0)),"—"))</f>
        <v/>
      </c>
      <c r="J332" s="48">
        <f>IF($C332="","",IFERROR(INDEX(ENVIOS!$B$4:$B$3003,MATCH($C332,ENVIOS!$A$4:$A$3003,0)),""))</f>
        <v/>
      </c>
      <c r="K332" s="49" t="n"/>
      <c r="L332" s="27">
        <f>IF($K332="","",IFERROR(INDEX(CONFIG!$B$4:$B$43,MATCH($K332,CONFIG!$A$4:$A$43,0)),"Media"))</f>
        <v/>
      </c>
      <c r="M332" s="27">
        <f>IF($K332="","",IFERROR(INDEX(CONFIG!$D$4:$D$43,MATCH($K332,CONFIG!$A$4:$A$43,0)),"NO"))</f>
        <v/>
      </c>
      <c r="N332" s="49" t="n"/>
      <c r="O332" s="27">
        <f>IF($N332="","",IFERROR(INDEX(CONFIG!$G$4:$G$43,MATCH($N332,CONFIG!$F$4:$F$43,0)),"Por definir"))</f>
        <v/>
      </c>
      <c r="P332" s="27">
        <f>IF($N332="","",IFERROR(INDEX(CONFIG!$H$4:$H$43,MATCH($N332,CONFIG!$F$4:$F$43,0)),"Por definir"))</f>
        <v/>
      </c>
      <c r="Q332" s="50" t="n"/>
      <c r="R332" s="51" t="n"/>
      <c r="S332" s="49" t="n"/>
      <c r="T332" s="49" t="n"/>
      <c r="U332" s="48">
        <f>IF(OR($B332="",$K332=""),"",WORKDAY($B332,IFERROR(INDEX(CONFIG!$C$4:$C$43,MATCH($K332,CONFIG!$A$4:$A$43,0)),3)))</f>
        <v/>
      </c>
      <c r="V332" s="46" t="n"/>
      <c r="W332" s="23">
        <f>IF($B332="","",IF($V332&lt;&gt;"",$V332-$B332,TODAY()-$B332))</f>
        <v/>
      </c>
      <c r="X332" s="27">
        <f>IF($C332="","",IF(IFERROR(INDEX(CONFIG!$K$4:$K$43,MATCH($S332,CONFIG!$J$4:$J$43,0)),"NO")="SÍ",IF(OR($V332="",$U332=""),"Resuelta",IF($V332&gt;$U332,"Resuelta tarde","Resuelta a tiempo")),IF($U332="","Sin clasificar",IF(TODAY()&gt;$U332,"Vencida",IF(TODAY()&gt;=$U332-1,"Por vencer","En plazo")))))</f>
        <v/>
      </c>
      <c r="Y332" s="49" t="n"/>
      <c r="Z332" s="49" t="n"/>
    </row>
    <row r="333" ht="16" customHeight="1">
      <c r="A333" s="27">
        <f>IF($C333="","","N-"&amp;TEXT(ROW()-3,"0000"))</f>
        <v/>
      </c>
      <c r="B333" s="46" t="n"/>
      <c r="C333" s="47" t="n"/>
      <c r="D333" s="27">
        <f>IF($C333="","",IF(COUNTIFS(ENVIOS!$A$4:$A$3003,$C333)=0,"NO EXISTE",IF(COUNTIFS(ENVIOS!$A$4:$A$3003,$C333)&gt;1,"DUPLICADA","OK")))</f>
        <v/>
      </c>
      <c r="E333" s="22">
        <f>IF($C333="","",IFERROR(INDEX(ENVIOS!$C$4:$C$3003,MATCH($C333,ENVIOS!$A$4:$A$3003,0)),"—"))</f>
        <v/>
      </c>
      <c r="F333" s="22">
        <f>IF($C333="","",IFERROR(INDEX(ENVIOS!$D$4:$D$3003,MATCH($C333,ENVIOS!$A$4:$A$3003,0)),"—"))</f>
        <v/>
      </c>
      <c r="G333" s="22">
        <f>IF($C333="","",IFERROR(INDEX(ENVIOS!$E$4:$E$3003,MATCH($C333,ENVIOS!$A$4:$A$3003,0)),"—"))</f>
        <v/>
      </c>
      <c r="H333" s="22">
        <f>IF($C333="","",IFERROR(INDEX(ENVIOS!$F$4:$F$3003,MATCH($C333,ENVIOS!$A$4:$A$3003,0)),"—"))</f>
        <v/>
      </c>
      <c r="I333" s="27">
        <f>IF($C333="","",IFERROR(INDEX(ENVIOS!$G$4:$G$3003,MATCH($C333,ENVIOS!$A$4:$A$3003,0)),"—"))</f>
        <v/>
      </c>
      <c r="J333" s="48">
        <f>IF($C333="","",IFERROR(INDEX(ENVIOS!$B$4:$B$3003,MATCH($C333,ENVIOS!$A$4:$A$3003,0)),""))</f>
        <v/>
      </c>
      <c r="K333" s="49" t="n"/>
      <c r="L333" s="27">
        <f>IF($K333="","",IFERROR(INDEX(CONFIG!$B$4:$B$43,MATCH($K333,CONFIG!$A$4:$A$43,0)),"Media"))</f>
        <v/>
      </c>
      <c r="M333" s="27">
        <f>IF($K333="","",IFERROR(INDEX(CONFIG!$D$4:$D$43,MATCH($K333,CONFIG!$A$4:$A$43,0)),"NO"))</f>
        <v/>
      </c>
      <c r="N333" s="49" t="n"/>
      <c r="O333" s="27">
        <f>IF($N333="","",IFERROR(INDEX(CONFIG!$G$4:$G$43,MATCH($N333,CONFIG!$F$4:$F$43,0)),"Por definir"))</f>
        <v/>
      </c>
      <c r="P333" s="27">
        <f>IF($N333="","",IFERROR(INDEX(CONFIG!$H$4:$H$43,MATCH($N333,CONFIG!$F$4:$F$43,0)),"Por definir"))</f>
        <v/>
      </c>
      <c r="Q333" s="50" t="n"/>
      <c r="R333" s="51" t="n"/>
      <c r="S333" s="49" t="n"/>
      <c r="T333" s="49" t="n"/>
      <c r="U333" s="48">
        <f>IF(OR($B333="",$K333=""),"",WORKDAY($B333,IFERROR(INDEX(CONFIG!$C$4:$C$43,MATCH($K333,CONFIG!$A$4:$A$43,0)),3)))</f>
        <v/>
      </c>
      <c r="V333" s="46" t="n"/>
      <c r="W333" s="23">
        <f>IF($B333="","",IF($V333&lt;&gt;"",$V333-$B333,TODAY()-$B333))</f>
        <v/>
      </c>
      <c r="X333" s="27">
        <f>IF($C333="","",IF(IFERROR(INDEX(CONFIG!$K$4:$K$43,MATCH($S333,CONFIG!$J$4:$J$43,0)),"NO")="SÍ",IF(OR($V333="",$U333=""),"Resuelta",IF($V333&gt;$U333,"Resuelta tarde","Resuelta a tiempo")),IF($U333="","Sin clasificar",IF(TODAY()&gt;$U333,"Vencida",IF(TODAY()&gt;=$U333-1,"Por vencer","En plazo")))))</f>
        <v/>
      </c>
      <c r="Y333" s="49" t="n"/>
      <c r="Z333" s="49" t="n"/>
    </row>
    <row r="334" ht="16" customHeight="1">
      <c r="A334" s="27">
        <f>IF($C334="","","N-"&amp;TEXT(ROW()-3,"0000"))</f>
        <v/>
      </c>
      <c r="B334" s="46" t="n"/>
      <c r="C334" s="47" t="n"/>
      <c r="D334" s="27">
        <f>IF($C334="","",IF(COUNTIFS(ENVIOS!$A$4:$A$3003,$C334)=0,"NO EXISTE",IF(COUNTIFS(ENVIOS!$A$4:$A$3003,$C334)&gt;1,"DUPLICADA","OK")))</f>
        <v/>
      </c>
      <c r="E334" s="22">
        <f>IF($C334="","",IFERROR(INDEX(ENVIOS!$C$4:$C$3003,MATCH($C334,ENVIOS!$A$4:$A$3003,0)),"—"))</f>
        <v/>
      </c>
      <c r="F334" s="22">
        <f>IF($C334="","",IFERROR(INDEX(ENVIOS!$D$4:$D$3003,MATCH($C334,ENVIOS!$A$4:$A$3003,0)),"—"))</f>
        <v/>
      </c>
      <c r="G334" s="22">
        <f>IF($C334="","",IFERROR(INDEX(ENVIOS!$E$4:$E$3003,MATCH($C334,ENVIOS!$A$4:$A$3003,0)),"—"))</f>
        <v/>
      </c>
      <c r="H334" s="22">
        <f>IF($C334="","",IFERROR(INDEX(ENVIOS!$F$4:$F$3003,MATCH($C334,ENVIOS!$A$4:$A$3003,0)),"—"))</f>
        <v/>
      </c>
      <c r="I334" s="27">
        <f>IF($C334="","",IFERROR(INDEX(ENVIOS!$G$4:$G$3003,MATCH($C334,ENVIOS!$A$4:$A$3003,0)),"—"))</f>
        <v/>
      </c>
      <c r="J334" s="48">
        <f>IF($C334="","",IFERROR(INDEX(ENVIOS!$B$4:$B$3003,MATCH($C334,ENVIOS!$A$4:$A$3003,0)),""))</f>
        <v/>
      </c>
      <c r="K334" s="49" t="n"/>
      <c r="L334" s="27">
        <f>IF($K334="","",IFERROR(INDEX(CONFIG!$B$4:$B$43,MATCH($K334,CONFIG!$A$4:$A$43,0)),"Media"))</f>
        <v/>
      </c>
      <c r="M334" s="27">
        <f>IF($K334="","",IFERROR(INDEX(CONFIG!$D$4:$D$43,MATCH($K334,CONFIG!$A$4:$A$43,0)),"NO"))</f>
        <v/>
      </c>
      <c r="N334" s="49" t="n"/>
      <c r="O334" s="27">
        <f>IF($N334="","",IFERROR(INDEX(CONFIG!$G$4:$G$43,MATCH($N334,CONFIG!$F$4:$F$43,0)),"Por definir"))</f>
        <v/>
      </c>
      <c r="P334" s="27">
        <f>IF($N334="","",IFERROR(INDEX(CONFIG!$H$4:$H$43,MATCH($N334,CONFIG!$F$4:$F$43,0)),"Por definir"))</f>
        <v/>
      </c>
      <c r="Q334" s="50" t="n"/>
      <c r="R334" s="51" t="n"/>
      <c r="S334" s="49" t="n"/>
      <c r="T334" s="49" t="n"/>
      <c r="U334" s="48">
        <f>IF(OR($B334="",$K334=""),"",WORKDAY($B334,IFERROR(INDEX(CONFIG!$C$4:$C$43,MATCH($K334,CONFIG!$A$4:$A$43,0)),3)))</f>
        <v/>
      </c>
      <c r="V334" s="46" t="n"/>
      <c r="W334" s="23">
        <f>IF($B334="","",IF($V334&lt;&gt;"",$V334-$B334,TODAY()-$B334))</f>
        <v/>
      </c>
      <c r="X334" s="27">
        <f>IF($C334="","",IF(IFERROR(INDEX(CONFIG!$K$4:$K$43,MATCH($S334,CONFIG!$J$4:$J$43,0)),"NO")="SÍ",IF(OR($V334="",$U334=""),"Resuelta",IF($V334&gt;$U334,"Resuelta tarde","Resuelta a tiempo")),IF($U334="","Sin clasificar",IF(TODAY()&gt;$U334,"Vencida",IF(TODAY()&gt;=$U334-1,"Por vencer","En plazo")))))</f>
        <v/>
      </c>
      <c r="Y334" s="49" t="n"/>
      <c r="Z334" s="49" t="n"/>
    </row>
    <row r="335" ht="16" customHeight="1">
      <c r="A335" s="27">
        <f>IF($C335="","","N-"&amp;TEXT(ROW()-3,"0000"))</f>
        <v/>
      </c>
      <c r="B335" s="46" t="n"/>
      <c r="C335" s="47" t="n"/>
      <c r="D335" s="27">
        <f>IF($C335="","",IF(COUNTIFS(ENVIOS!$A$4:$A$3003,$C335)=0,"NO EXISTE",IF(COUNTIFS(ENVIOS!$A$4:$A$3003,$C335)&gt;1,"DUPLICADA","OK")))</f>
        <v/>
      </c>
      <c r="E335" s="22">
        <f>IF($C335="","",IFERROR(INDEX(ENVIOS!$C$4:$C$3003,MATCH($C335,ENVIOS!$A$4:$A$3003,0)),"—"))</f>
        <v/>
      </c>
      <c r="F335" s="22">
        <f>IF($C335="","",IFERROR(INDEX(ENVIOS!$D$4:$D$3003,MATCH($C335,ENVIOS!$A$4:$A$3003,0)),"—"))</f>
        <v/>
      </c>
      <c r="G335" s="22">
        <f>IF($C335="","",IFERROR(INDEX(ENVIOS!$E$4:$E$3003,MATCH($C335,ENVIOS!$A$4:$A$3003,0)),"—"))</f>
        <v/>
      </c>
      <c r="H335" s="22">
        <f>IF($C335="","",IFERROR(INDEX(ENVIOS!$F$4:$F$3003,MATCH($C335,ENVIOS!$A$4:$A$3003,0)),"—"))</f>
        <v/>
      </c>
      <c r="I335" s="27">
        <f>IF($C335="","",IFERROR(INDEX(ENVIOS!$G$4:$G$3003,MATCH($C335,ENVIOS!$A$4:$A$3003,0)),"—"))</f>
        <v/>
      </c>
      <c r="J335" s="48">
        <f>IF($C335="","",IFERROR(INDEX(ENVIOS!$B$4:$B$3003,MATCH($C335,ENVIOS!$A$4:$A$3003,0)),""))</f>
        <v/>
      </c>
      <c r="K335" s="49" t="n"/>
      <c r="L335" s="27">
        <f>IF($K335="","",IFERROR(INDEX(CONFIG!$B$4:$B$43,MATCH($K335,CONFIG!$A$4:$A$43,0)),"Media"))</f>
        <v/>
      </c>
      <c r="M335" s="27">
        <f>IF($K335="","",IFERROR(INDEX(CONFIG!$D$4:$D$43,MATCH($K335,CONFIG!$A$4:$A$43,0)),"NO"))</f>
        <v/>
      </c>
      <c r="N335" s="49" t="n"/>
      <c r="O335" s="27">
        <f>IF($N335="","",IFERROR(INDEX(CONFIG!$G$4:$G$43,MATCH($N335,CONFIG!$F$4:$F$43,0)),"Por definir"))</f>
        <v/>
      </c>
      <c r="P335" s="27">
        <f>IF($N335="","",IFERROR(INDEX(CONFIG!$H$4:$H$43,MATCH($N335,CONFIG!$F$4:$F$43,0)),"Por definir"))</f>
        <v/>
      </c>
      <c r="Q335" s="50" t="n"/>
      <c r="R335" s="51" t="n"/>
      <c r="S335" s="49" t="n"/>
      <c r="T335" s="49" t="n"/>
      <c r="U335" s="48">
        <f>IF(OR($B335="",$K335=""),"",WORKDAY($B335,IFERROR(INDEX(CONFIG!$C$4:$C$43,MATCH($K335,CONFIG!$A$4:$A$43,0)),3)))</f>
        <v/>
      </c>
      <c r="V335" s="46" t="n"/>
      <c r="W335" s="23">
        <f>IF($B335="","",IF($V335&lt;&gt;"",$V335-$B335,TODAY()-$B335))</f>
        <v/>
      </c>
      <c r="X335" s="27">
        <f>IF($C335="","",IF(IFERROR(INDEX(CONFIG!$K$4:$K$43,MATCH($S335,CONFIG!$J$4:$J$43,0)),"NO")="SÍ",IF(OR($V335="",$U335=""),"Resuelta",IF($V335&gt;$U335,"Resuelta tarde","Resuelta a tiempo")),IF($U335="","Sin clasificar",IF(TODAY()&gt;$U335,"Vencida",IF(TODAY()&gt;=$U335-1,"Por vencer","En plazo")))))</f>
        <v/>
      </c>
      <c r="Y335" s="49" t="n"/>
      <c r="Z335" s="49" t="n"/>
    </row>
    <row r="336" ht="16" customHeight="1">
      <c r="A336" s="27">
        <f>IF($C336="","","N-"&amp;TEXT(ROW()-3,"0000"))</f>
        <v/>
      </c>
      <c r="B336" s="46" t="n"/>
      <c r="C336" s="47" t="n"/>
      <c r="D336" s="27">
        <f>IF($C336="","",IF(COUNTIFS(ENVIOS!$A$4:$A$3003,$C336)=0,"NO EXISTE",IF(COUNTIFS(ENVIOS!$A$4:$A$3003,$C336)&gt;1,"DUPLICADA","OK")))</f>
        <v/>
      </c>
      <c r="E336" s="22">
        <f>IF($C336="","",IFERROR(INDEX(ENVIOS!$C$4:$C$3003,MATCH($C336,ENVIOS!$A$4:$A$3003,0)),"—"))</f>
        <v/>
      </c>
      <c r="F336" s="22">
        <f>IF($C336="","",IFERROR(INDEX(ENVIOS!$D$4:$D$3003,MATCH($C336,ENVIOS!$A$4:$A$3003,0)),"—"))</f>
        <v/>
      </c>
      <c r="G336" s="22">
        <f>IF($C336="","",IFERROR(INDEX(ENVIOS!$E$4:$E$3003,MATCH($C336,ENVIOS!$A$4:$A$3003,0)),"—"))</f>
        <v/>
      </c>
      <c r="H336" s="22">
        <f>IF($C336="","",IFERROR(INDEX(ENVIOS!$F$4:$F$3003,MATCH($C336,ENVIOS!$A$4:$A$3003,0)),"—"))</f>
        <v/>
      </c>
      <c r="I336" s="27">
        <f>IF($C336="","",IFERROR(INDEX(ENVIOS!$G$4:$G$3003,MATCH($C336,ENVIOS!$A$4:$A$3003,0)),"—"))</f>
        <v/>
      </c>
      <c r="J336" s="48">
        <f>IF($C336="","",IFERROR(INDEX(ENVIOS!$B$4:$B$3003,MATCH($C336,ENVIOS!$A$4:$A$3003,0)),""))</f>
        <v/>
      </c>
      <c r="K336" s="49" t="n"/>
      <c r="L336" s="27">
        <f>IF($K336="","",IFERROR(INDEX(CONFIG!$B$4:$B$43,MATCH($K336,CONFIG!$A$4:$A$43,0)),"Media"))</f>
        <v/>
      </c>
      <c r="M336" s="27">
        <f>IF($K336="","",IFERROR(INDEX(CONFIG!$D$4:$D$43,MATCH($K336,CONFIG!$A$4:$A$43,0)),"NO"))</f>
        <v/>
      </c>
      <c r="N336" s="49" t="n"/>
      <c r="O336" s="27">
        <f>IF($N336="","",IFERROR(INDEX(CONFIG!$G$4:$G$43,MATCH($N336,CONFIG!$F$4:$F$43,0)),"Por definir"))</f>
        <v/>
      </c>
      <c r="P336" s="27">
        <f>IF($N336="","",IFERROR(INDEX(CONFIG!$H$4:$H$43,MATCH($N336,CONFIG!$F$4:$F$43,0)),"Por definir"))</f>
        <v/>
      </c>
      <c r="Q336" s="50" t="n"/>
      <c r="R336" s="51" t="n"/>
      <c r="S336" s="49" t="n"/>
      <c r="T336" s="49" t="n"/>
      <c r="U336" s="48">
        <f>IF(OR($B336="",$K336=""),"",WORKDAY($B336,IFERROR(INDEX(CONFIG!$C$4:$C$43,MATCH($K336,CONFIG!$A$4:$A$43,0)),3)))</f>
        <v/>
      </c>
      <c r="V336" s="46" t="n"/>
      <c r="W336" s="23">
        <f>IF($B336="","",IF($V336&lt;&gt;"",$V336-$B336,TODAY()-$B336))</f>
        <v/>
      </c>
      <c r="X336" s="27">
        <f>IF($C336="","",IF(IFERROR(INDEX(CONFIG!$K$4:$K$43,MATCH($S336,CONFIG!$J$4:$J$43,0)),"NO")="SÍ",IF(OR($V336="",$U336=""),"Resuelta",IF($V336&gt;$U336,"Resuelta tarde","Resuelta a tiempo")),IF($U336="","Sin clasificar",IF(TODAY()&gt;$U336,"Vencida",IF(TODAY()&gt;=$U336-1,"Por vencer","En plazo")))))</f>
        <v/>
      </c>
      <c r="Y336" s="49" t="n"/>
      <c r="Z336" s="49" t="n"/>
    </row>
    <row r="337" ht="16" customHeight="1">
      <c r="A337" s="27">
        <f>IF($C337="","","N-"&amp;TEXT(ROW()-3,"0000"))</f>
        <v/>
      </c>
      <c r="B337" s="46" t="n"/>
      <c r="C337" s="47" t="n"/>
      <c r="D337" s="27">
        <f>IF($C337="","",IF(COUNTIFS(ENVIOS!$A$4:$A$3003,$C337)=0,"NO EXISTE",IF(COUNTIFS(ENVIOS!$A$4:$A$3003,$C337)&gt;1,"DUPLICADA","OK")))</f>
        <v/>
      </c>
      <c r="E337" s="22">
        <f>IF($C337="","",IFERROR(INDEX(ENVIOS!$C$4:$C$3003,MATCH($C337,ENVIOS!$A$4:$A$3003,0)),"—"))</f>
        <v/>
      </c>
      <c r="F337" s="22">
        <f>IF($C337="","",IFERROR(INDEX(ENVIOS!$D$4:$D$3003,MATCH($C337,ENVIOS!$A$4:$A$3003,0)),"—"))</f>
        <v/>
      </c>
      <c r="G337" s="22">
        <f>IF($C337="","",IFERROR(INDEX(ENVIOS!$E$4:$E$3003,MATCH($C337,ENVIOS!$A$4:$A$3003,0)),"—"))</f>
        <v/>
      </c>
      <c r="H337" s="22">
        <f>IF($C337="","",IFERROR(INDEX(ENVIOS!$F$4:$F$3003,MATCH($C337,ENVIOS!$A$4:$A$3003,0)),"—"))</f>
        <v/>
      </c>
      <c r="I337" s="27">
        <f>IF($C337="","",IFERROR(INDEX(ENVIOS!$G$4:$G$3003,MATCH($C337,ENVIOS!$A$4:$A$3003,0)),"—"))</f>
        <v/>
      </c>
      <c r="J337" s="48">
        <f>IF($C337="","",IFERROR(INDEX(ENVIOS!$B$4:$B$3003,MATCH($C337,ENVIOS!$A$4:$A$3003,0)),""))</f>
        <v/>
      </c>
      <c r="K337" s="49" t="n"/>
      <c r="L337" s="27">
        <f>IF($K337="","",IFERROR(INDEX(CONFIG!$B$4:$B$43,MATCH($K337,CONFIG!$A$4:$A$43,0)),"Media"))</f>
        <v/>
      </c>
      <c r="M337" s="27">
        <f>IF($K337="","",IFERROR(INDEX(CONFIG!$D$4:$D$43,MATCH($K337,CONFIG!$A$4:$A$43,0)),"NO"))</f>
        <v/>
      </c>
      <c r="N337" s="49" t="n"/>
      <c r="O337" s="27">
        <f>IF($N337="","",IFERROR(INDEX(CONFIG!$G$4:$G$43,MATCH($N337,CONFIG!$F$4:$F$43,0)),"Por definir"))</f>
        <v/>
      </c>
      <c r="P337" s="27">
        <f>IF($N337="","",IFERROR(INDEX(CONFIG!$H$4:$H$43,MATCH($N337,CONFIG!$F$4:$F$43,0)),"Por definir"))</f>
        <v/>
      </c>
      <c r="Q337" s="50" t="n"/>
      <c r="R337" s="51" t="n"/>
      <c r="S337" s="49" t="n"/>
      <c r="T337" s="49" t="n"/>
      <c r="U337" s="48">
        <f>IF(OR($B337="",$K337=""),"",WORKDAY($B337,IFERROR(INDEX(CONFIG!$C$4:$C$43,MATCH($K337,CONFIG!$A$4:$A$43,0)),3)))</f>
        <v/>
      </c>
      <c r="V337" s="46" t="n"/>
      <c r="W337" s="23">
        <f>IF($B337="","",IF($V337&lt;&gt;"",$V337-$B337,TODAY()-$B337))</f>
        <v/>
      </c>
      <c r="X337" s="27">
        <f>IF($C337="","",IF(IFERROR(INDEX(CONFIG!$K$4:$K$43,MATCH($S337,CONFIG!$J$4:$J$43,0)),"NO")="SÍ",IF(OR($V337="",$U337=""),"Resuelta",IF($V337&gt;$U337,"Resuelta tarde","Resuelta a tiempo")),IF($U337="","Sin clasificar",IF(TODAY()&gt;$U337,"Vencida",IF(TODAY()&gt;=$U337-1,"Por vencer","En plazo")))))</f>
        <v/>
      </c>
      <c r="Y337" s="49" t="n"/>
      <c r="Z337" s="49" t="n"/>
    </row>
    <row r="338" ht="16" customHeight="1">
      <c r="A338" s="27">
        <f>IF($C338="","","N-"&amp;TEXT(ROW()-3,"0000"))</f>
        <v/>
      </c>
      <c r="B338" s="46" t="n"/>
      <c r="C338" s="47" t="n"/>
      <c r="D338" s="27">
        <f>IF($C338="","",IF(COUNTIFS(ENVIOS!$A$4:$A$3003,$C338)=0,"NO EXISTE",IF(COUNTIFS(ENVIOS!$A$4:$A$3003,$C338)&gt;1,"DUPLICADA","OK")))</f>
        <v/>
      </c>
      <c r="E338" s="22">
        <f>IF($C338="","",IFERROR(INDEX(ENVIOS!$C$4:$C$3003,MATCH($C338,ENVIOS!$A$4:$A$3003,0)),"—"))</f>
        <v/>
      </c>
      <c r="F338" s="22">
        <f>IF($C338="","",IFERROR(INDEX(ENVIOS!$D$4:$D$3003,MATCH($C338,ENVIOS!$A$4:$A$3003,0)),"—"))</f>
        <v/>
      </c>
      <c r="G338" s="22">
        <f>IF($C338="","",IFERROR(INDEX(ENVIOS!$E$4:$E$3003,MATCH($C338,ENVIOS!$A$4:$A$3003,0)),"—"))</f>
        <v/>
      </c>
      <c r="H338" s="22">
        <f>IF($C338="","",IFERROR(INDEX(ENVIOS!$F$4:$F$3003,MATCH($C338,ENVIOS!$A$4:$A$3003,0)),"—"))</f>
        <v/>
      </c>
      <c r="I338" s="27">
        <f>IF($C338="","",IFERROR(INDEX(ENVIOS!$G$4:$G$3003,MATCH($C338,ENVIOS!$A$4:$A$3003,0)),"—"))</f>
        <v/>
      </c>
      <c r="J338" s="48">
        <f>IF($C338="","",IFERROR(INDEX(ENVIOS!$B$4:$B$3003,MATCH($C338,ENVIOS!$A$4:$A$3003,0)),""))</f>
        <v/>
      </c>
      <c r="K338" s="49" t="n"/>
      <c r="L338" s="27">
        <f>IF($K338="","",IFERROR(INDEX(CONFIG!$B$4:$B$43,MATCH($K338,CONFIG!$A$4:$A$43,0)),"Media"))</f>
        <v/>
      </c>
      <c r="M338" s="27">
        <f>IF($K338="","",IFERROR(INDEX(CONFIG!$D$4:$D$43,MATCH($K338,CONFIG!$A$4:$A$43,0)),"NO"))</f>
        <v/>
      </c>
      <c r="N338" s="49" t="n"/>
      <c r="O338" s="27">
        <f>IF($N338="","",IFERROR(INDEX(CONFIG!$G$4:$G$43,MATCH($N338,CONFIG!$F$4:$F$43,0)),"Por definir"))</f>
        <v/>
      </c>
      <c r="P338" s="27">
        <f>IF($N338="","",IFERROR(INDEX(CONFIG!$H$4:$H$43,MATCH($N338,CONFIG!$F$4:$F$43,0)),"Por definir"))</f>
        <v/>
      </c>
      <c r="Q338" s="50" t="n"/>
      <c r="R338" s="51" t="n"/>
      <c r="S338" s="49" t="n"/>
      <c r="T338" s="49" t="n"/>
      <c r="U338" s="48">
        <f>IF(OR($B338="",$K338=""),"",WORKDAY($B338,IFERROR(INDEX(CONFIG!$C$4:$C$43,MATCH($K338,CONFIG!$A$4:$A$43,0)),3)))</f>
        <v/>
      </c>
      <c r="V338" s="46" t="n"/>
      <c r="W338" s="23">
        <f>IF($B338="","",IF($V338&lt;&gt;"",$V338-$B338,TODAY()-$B338))</f>
        <v/>
      </c>
      <c r="X338" s="27">
        <f>IF($C338="","",IF(IFERROR(INDEX(CONFIG!$K$4:$K$43,MATCH($S338,CONFIG!$J$4:$J$43,0)),"NO")="SÍ",IF(OR($V338="",$U338=""),"Resuelta",IF($V338&gt;$U338,"Resuelta tarde","Resuelta a tiempo")),IF($U338="","Sin clasificar",IF(TODAY()&gt;$U338,"Vencida",IF(TODAY()&gt;=$U338-1,"Por vencer","En plazo")))))</f>
        <v/>
      </c>
      <c r="Y338" s="49" t="n"/>
      <c r="Z338" s="49" t="n"/>
    </row>
    <row r="339" ht="16" customHeight="1">
      <c r="A339" s="27">
        <f>IF($C339="","","N-"&amp;TEXT(ROW()-3,"0000"))</f>
        <v/>
      </c>
      <c r="B339" s="46" t="n"/>
      <c r="C339" s="47" t="n"/>
      <c r="D339" s="27">
        <f>IF($C339="","",IF(COUNTIFS(ENVIOS!$A$4:$A$3003,$C339)=0,"NO EXISTE",IF(COUNTIFS(ENVIOS!$A$4:$A$3003,$C339)&gt;1,"DUPLICADA","OK")))</f>
        <v/>
      </c>
      <c r="E339" s="22">
        <f>IF($C339="","",IFERROR(INDEX(ENVIOS!$C$4:$C$3003,MATCH($C339,ENVIOS!$A$4:$A$3003,0)),"—"))</f>
        <v/>
      </c>
      <c r="F339" s="22">
        <f>IF($C339="","",IFERROR(INDEX(ENVIOS!$D$4:$D$3003,MATCH($C339,ENVIOS!$A$4:$A$3003,0)),"—"))</f>
        <v/>
      </c>
      <c r="G339" s="22">
        <f>IF($C339="","",IFERROR(INDEX(ENVIOS!$E$4:$E$3003,MATCH($C339,ENVIOS!$A$4:$A$3003,0)),"—"))</f>
        <v/>
      </c>
      <c r="H339" s="22">
        <f>IF($C339="","",IFERROR(INDEX(ENVIOS!$F$4:$F$3003,MATCH($C339,ENVIOS!$A$4:$A$3003,0)),"—"))</f>
        <v/>
      </c>
      <c r="I339" s="27">
        <f>IF($C339="","",IFERROR(INDEX(ENVIOS!$G$4:$G$3003,MATCH($C339,ENVIOS!$A$4:$A$3003,0)),"—"))</f>
        <v/>
      </c>
      <c r="J339" s="48">
        <f>IF($C339="","",IFERROR(INDEX(ENVIOS!$B$4:$B$3003,MATCH($C339,ENVIOS!$A$4:$A$3003,0)),""))</f>
        <v/>
      </c>
      <c r="K339" s="49" t="n"/>
      <c r="L339" s="27">
        <f>IF($K339="","",IFERROR(INDEX(CONFIG!$B$4:$B$43,MATCH($K339,CONFIG!$A$4:$A$43,0)),"Media"))</f>
        <v/>
      </c>
      <c r="M339" s="27">
        <f>IF($K339="","",IFERROR(INDEX(CONFIG!$D$4:$D$43,MATCH($K339,CONFIG!$A$4:$A$43,0)),"NO"))</f>
        <v/>
      </c>
      <c r="N339" s="49" t="n"/>
      <c r="O339" s="27">
        <f>IF($N339="","",IFERROR(INDEX(CONFIG!$G$4:$G$43,MATCH($N339,CONFIG!$F$4:$F$43,0)),"Por definir"))</f>
        <v/>
      </c>
      <c r="P339" s="27">
        <f>IF($N339="","",IFERROR(INDEX(CONFIG!$H$4:$H$43,MATCH($N339,CONFIG!$F$4:$F$43,0)),"Por definir"))</f>
        <v/>
      </c>
      <c r="Q339" s="50" t="n"/>
      <c r="R339" s="51" t="n"/>
      <c r="S339" s="49" t="n"/>
      <c r="T339" s="49" t="n"/>
      <c r="U339" s="48">
        <f>IF(OR($B339="",$K339=""),"",WORKDAY($B339,IFERROR(INDEX(CONFIG!$C$4:$C$43,MATCH($K339,CONFIG!$A$4:$A$43,0)),3)))</f>
        <v/>
      </c>
      <c r="V339" s="46" t="n"/>
      <c r="W339" s="23">
        <f>IF($B339="","",IF($V339&lt;&gt;"",$V339-$B339,TODAY()-$B339))</f>
        <v/>
      </c>
      <c r="X339" s="27">
        <f>IF($C339="","",IF(IFERROR(INDEX(CONFIG!$K$4:$K$43,MATCH($S339,CONFIG!$J$4:$J$43,0)),"NO")="SÍ",IF(OR($V339="",$U339=""),"Resuelta",IF($V339&gt;$U339,"Resuelta tarde","Resuelta a tiempo")),IF($U339="","Sin clasificar",IF(TODAY()&gt;$U339,"Vencida",IF(TODAY()&gt;=$U339-1,"Por vencer","En plazo")))))</f>
        <v/>
      </c>
      <c r="Y339" s="49" t="n"/>
      <c r="Z339" s="49" t="n"/>
    </row>
    <row r="340" ht="16" customHeight="1">
      <c r="A340" s="27">
        <f>IF($C340="","","N-"&amp;TEXT(ROW()-3,"0000"))</f>
        <v/>
      </c>
      <c r="B340" s="46" t="n"/>
      <c r="C340" s="47" t="n"/>
      <c r="D340" s="27">
        <f>IF($C340="","",IF(COUNTIFS(ENVIOS!$A$4:$A$3003,$C340)=0,"NO EXISTE",IF(COUNTIFS(ENVIOS!$A$4:$A$3003,$C340)&gt;1,"DUPLICADA","OK")))</f>
        <v/>
      </c>
      <c r="E340" s="22">
        <f>IF($C340="","",IFERROR(INDEX(ENVIOS!$C$4:$C$3003,MATCH($C340,ENVIOS!$A$4:$A$3003,0)),"—"))</f>
        <v/>
      </c>
      <c r="F340" s="22">
        <f>IF($C340="","",IFERROR(INDEX(ENVIOS!$D$4:$D$3003,MATCH($C340,ENVIOS!$A$4:$A$3003,0)),"—"))</f>
        <v/>
      </c>
      <c r="G340" s="22">
        <f>IF($C340="","",IFERROR(INDEX(ENVIOS!$E$4:$E$3003,MATCH($C340,ENVIOS!$A$4:$A$3003,0)),"—"))</f>
        <v/>
      </c>
      <c r="H340" s="22">
        <f>IF($C340="","",IFERROR(INDEX(ENVIOS!$F$4:$F$3003,MATCH($C340,ENVIOS!$A$4:$A$3003,0)),"—"))</f>
        <v/>
      </c>
      <c r="I340" s="27">
        <f>IF($C340="","",IFERROR(INDEX(ENVIOS!$G$4:$G$3003,MATCH($C340,ENVIOS!$A$4:$A$3003,0)),"—"))</f>
        <v/>
      </c>
      <c r="J340" s="48">
        <f>IF($C340="","",IFERROR(INDEX(ENVIOS!$B$4:$B$3003,MATCH($C340,ENVIOS!$A$4:$A$3003,0)),""))</f>
        <v/>
      </c>
      <c r="K340" s="49" t="n"/>
      <c r="L340" s="27">
        <f>IF($K340="","",IFERROR(INDEX(CONFIG!$B$4:$B$43,MATCH($K340,CONFIG!$A$4:$A$43,0)),"Media"))</f>
        <v/>
      </c>
      <c r="M340" s="27">
        <f>IF($K340="","",IFERROR(INDEX(CONFIG!$D$4:$D$43,MATCH($K340,CONFIG!$A$4:$A$43,0)),"NO"))</f>
        <v/>
      </c>
      <c r="N340" s="49" t="n"/>
      <c r="O340" s="27">
        <f>IF($N340="","",IFERROR(INDEX(CONFIG!$G$4:$G$43,MATCH($N340,CONFIG!$F$4:$F$43,0)),"Por definir"))</f>
        <v/>
      </c>
      <c r="P340" s="27">
        <f>IF($N340="","",IFERROR(INDEX(CONFIG!$H$4:$H$43,MATCH($N340,CONFIG!$F$4:$F$43,0)),"Por definir"))</f>
        <v/>
      </c>
      <c r="Q340" s="50" t="n"/>
      <c r="R340" s="51" t="n"/>
      <c r="S340" s="49" t="n"/>
      <c r="T340" s="49" t="n"/>
      <c r="U340" s="48">
        <f>IF(OR($B340="",$K340=""),"",WORKDAY($B340,IFERROR(INDEX(CONFIG!$C$4:$C$43,MATCH($K340,CONFIG!$A$4:$A$43,0)),3)))</f>
        <v/>
      </c>
      <c r="V340" s="46" t="n"/>
      <c r="W340" s="23">
        <f>IF($B340="","",IF($V340&lt;&gt;"",$V340-$B340,TODAY()-$B340))</f>
        <v/>
      </c>
      <c r="X340" s="27">
        <f>IF($C340="","",IF(IFERROR(INDEX(CONFIG!$K$4:$K$43,MATCH($S340,CONFIG!$J$4:$J$43,0)),"NO")="SÍ",IF(OR($V340="",$U340=""),"Resuelta",IF($V340&gt;$U340,"Resuelta tarde","Resuelta a tiempo")),IF($U340="","Sin clasificar",IF(TODAY()&gt;$U340,"Vencida",IF(TODAY()&gt;=$U340-1,"Por vencer","En plazo")))))</f>
        <v/>
      </c>
      <c r="Y340" s="49" t="n"/>
      <c r="Z340" s="49" t="n"/>
    </row>
    <row r="341" ht="16" customHeight="1">
      <c r="A341" s="27">
        <f>IF($C341="","","N-"&amp;TEXT(ROW()-3,"0000"))</f>
        <v/>
      </c>
      <c r="B341" s="46" t="n"/>
      <c r="C341" s="47" t="n"/>
      <c r="D341" s="27">
        <f>IF($C341="","",IF(COUNTIFS(ENVIOS!$A$4:$A$3003,$C341)=0,"NO EXISTE",IF(COUNTIFS(ENVIOS!$A$4:$A$3003,$C341)&gt;1,"DUPLICADA","OK")))</f>
        <v/>
      </c>
      <c r="E341" s="22">
        <f>IF($C341="","",IFERROR(INDEX(ENVIOS!$C$4:$C$3003,MATCH($C341,ENVIOS!$A$4:$A$3003,0)),"—"))</f>
        <v/>
      </c>
      <c r="F341" s="22">
        <f>IF($C341="","",IFERROR(INDEX(ENVIOS!$D$4:$D$3003,MATCH($C341,ENVIOS!$A$4:$A$3003,0)),"—"))</f>
        <v/>
      </c>
      <c r="G341" s="22">
        <f>IF($C341="","",IFERROR(INDEX(ENVIOS!$E$4:$E$3003,MATCH($C341,ENVIOS!$A$4:$A$3003,0)),"—"))</f>
        <v/>
      </c>
      <c r="H341" s="22">
        <f>IF($C341="","",IFERROR(INDEX(ENVIOS!$F$4:$F$3003,MATCH($C341,ENVIOS!$A$4:$A$3003,0)),"—"))</f>
        <v/>
      </c>
      <c r="I341" s="27">
        <f>IF($C341="","",IFERROR(INDEX(ENVIOS!$G$4:$G$3003,MATCH($C341,ENVIOS!$A$4:$A$3003,0)),"—"))</f>
        <v/>
      </c>
      <c r="J341" s="48">
        <f>IF($C341="","",IFERROR(INDEX(ENVIOS!$B$4:$B$3003,MATCH($C341,ENVIOS!$A$4:$A$3003,0)),""))</f>
        <v/>
      </c>
      <c r="K341" s="49" t="n"/>
      <c r="L341" s="27">
        <f>IF($K341="","",IFERROR(INDEX(CONFIG!$B$4:$B$43,MATCH($K341,CONFIG!$A$4:$A$43,0)),"Media"))</f>
        <v/>
      </c>
      <c r="M341" s="27">
        <f>IF($K341="","",IFERROR(INDEX(CONFIG!$D$4:$D$43,MATCH($K341,CONFIG!$A$4:$A$43,0)),"NO"))</f>
        <v/>
      </c>
      <c r="N341" s="49" t="n"/>
      <c r="O341" s="27">
        <f>IF($N341="","",IFERROR(INDEX(CONFIG!$G$4:$G$43,MATCH($N341,CONFIG!$F$4:$F$43,0)),"Por definir"))</f>
        <v/>
      </c>
      <c r="P341" s="27">
        <f>IF($N341="","",IFERROR(INDEX(CONFIG!$H$4:$H$43,MATCH($N341,CONFIG!$F$4:$F$43,0)),"Por definir"))</f>
        <v/>
      </c>
      <c r="Q341" s="50" t="n"/>
      <c r="R341" s="51" t="n"/>
      <c r="S341" s="49" t="n"/>
      <c r="T341" s="49" t="n"/>
      <c r="U341" s="48">
        <f>IF(OR($B341="",$K341=""),"",WORKDAY($B341,IFERROR(INDEX(CONFIG!$C$4:$C$43,MATCH($K341,CONFIG!$A$4:$A$43,0)),3)))</f>
        <v/>
      </c>
      <c r="V341" s="46" t="n"/>
      <c r="W341" s="23">
        <f>IF($B341="","",IF($V341&lt;&gt;"",$V341-$B341,TODAY()-$B341))</f>
        <v/>
      </c>
      <c r="X341" s="27">
        <f>IF($C341="","",IF(IFERROR(INDEX(CONFIG!$K$4:$K$43,MATCH($S341,CONFIG!$J$4:$J$43,0)),"NO")="SÍ",IF(OR($V341="",$U341=""),"Resuelta",IF($V341&gt;$U341,"Resuelta tarde","Resuelta a tiempo")),IF($U341="","Sin clasificar",IF(TODAY()&gt;$U341,"Vencida",IF(TODAY()&gt;=$U341-1,"Por vencer","En plazo")))))</f>
        <v/>
      </c>
      <c r="Y341" s="49" t="n"/>
      <c r="Z341" s="49" t="n"/>
    </row>
    <row r="342" ht="16" customHeight="1">
      <c r="A342" s="27">
        <f>IF($C342="","","N-"&amp;TEXT(ROW()-3,"0000"))</f>
        <v/>
      </c>
      <c r="B342" s="46" t="n"/>
      <c r="C342" s="47" t="n"/>
      <c r="D342" s="27">
        <f>IF($C342="","",IF(COUNTIFS(ENVIOS!$A$4:$A$3003,$C342)=0,"NO EXISTE",IF(COUNTIFS(ENVIOS!$A$4:$A$3003,$C342)&gt;1,"DUPLICADA","OK")))</f>
        <v/>
      </c>
      <c r="E342" s="22">
        <f>IF($C342="","",IFERROR(INDEX(ENVIOS!$C$4:$C$3003,MATCH($C342,ENVIOS!$A$4:$A$3003,0)),"—"))</f>
        <v/>
      </c>
      <c r="F342" s="22">
        <f>IF($C342="","",IFERROR(INDEX(ENVIOS!$D$4:$D$3003,MATCH($C342,ENVIOS!$A$4:$A$3003,0)),"—"))</f>
        <v/>
      </c>
      <c r="G342" s="22">
        <f>IF($C342="","",IFERROR(INDEX(ENVIOS!$E$4:$E$3003,MATCH($C342,ENVIOS!$A$4:$A$3003,0)),"—"))</f>
        <v/>
      </c>
      <c r="H342" s="22">
        <f>IF($C342="","",IFERROR(INDEX(ENVIOS!$F$4:$F$3003,MATCH($C342,ENVIOS!$A$4:$A$3003,0)),"—"))</f>
        <v/>
      </c>
      <c r="I342" s="27">
        <f>IF($C342="","",IFERROR(INDEX(ENVIOS!$G$4:$G$3003,MATCH($C342,ENVIOS!$A$4:$A$3003,0)),"—"))</f>
        <v/>
      </c>
      <c r="J342" s="48">
        <f>IF($C342="","",IFERROR(INDEX(ENVIOS!$B$4:$B$3003,MATCH($C342,ENVIOS!$A$4:$A$3003,0)),""))</f>
        <v/>
      </c>
      <c r="K342" s="49" t="n"/>
      <c r="L342" s="27">
        <f>IF($K342="","",IFERROR(INDEX(CONFIG!$B$4:$B$43,MATCH($K342,CONFIG!$A$4:$A$43,0)),"Media"))</f>
        <v/>
      </c>
      <c r="M342" s="27">
        <f>IF($K342="","",IFERROR(INDEX(CONFIG!$D$4:$D$43,MATCH($K342,CONFIG!$A$4:$A$43,0)),"NO"))</f>
        <v/>
      </c>
      <c r="N342" s="49" t="n"/>
      <c r="O342" s="27">
        <f>IF($N342="","",IFERROR(INDEX(CONFIG!$G$4:$G$43,MATCH($N342,CONFIG!$F$4:$F$43,0)),"Por definir"))</f>
        <v/>
      </c>
      <c r="P342" s="27">
        <f>IF($N342="","",IFERROR(INDEX(CONFIG!$H$4:$H$43,MATCH($N342,CONFIG!$F$4:$F$43,0)),"Por definir"))</f>
        <v/>
      </c>
      <c r="Q342" s="50" t="n"/>
      <c r="R342" s="51" t="n"/>
      <c r="S342" s="49" t="n"/>
      <c r="T342" s="49" t="n"/>
      <c r="U342" s="48">
        <f>IF(OR($B342="",$K342=""),"",WORKDAY($B342,IFERROR(INDEX(CONFIG!$C$4:$C$43,MATCH($K342,CONFIG!$A$4:$A$43,0)),3)))</f>
        <v/>
      </c>
      <c r="V342" s="46" t="n"/>
      <c r="W342" s="23">
        <f>IF($B342="","",IF($V342&lt;&gt;"",$V342-$B342,TODAY()-$B342))</f>
        <v/>
      </c>
      <c r="X342" s="27">
        <f>IF($C342="","",IF(IFERROR(INDEX(CONFIG!$K$4:$K$43,MATCH($S342,CONFIG!$J$4:$J$43,0)),"NO")="SÍ",IF(OR($V342="",$U342=""),"Resuelta",IF($V342&gt;$U342,"Resuelta tarde","Resuelta a tiempo")),IF($U342="","Sin clasificar",IF(TODAY()&gt;$U342,"Vencida",IF(TODAY()&gt;=$U342-1,"Por vencer","En plazo")))))</f>
        <v/>
      </c>
      <c r="Y342" s="49" t="n"/>
      <c r="Z342" s="49" t="n"/>
    </row>
    <row r="343" ht="16" customHeight="1">
      <c r="A343" s="27">
        <f>IF($C343="","","N-"&amp;TEXT(ROW()-3,"0000"))</f>
        <v/>
      </c>
      <c r="B343" s="46" t="n"/>
      <c r="C343" s="47" t="n"/>
      <c r="D343" s="27">
        <f>IF($C343="","",IF(COUNTIFS(ENVIOS!$A$4:$A$3003,$C343)=0,"NO EXISTE",IF(COUNTIFS(ENVIOS!$A$4:$A$3003,$C343)&gt;1,"DUPLICADA","OK")))</f>
        <v/>
      </c>
      <c r="E343" s="22">
        <f>IF($C343="","",IFERROR(INDEX(ENVIOS!$C$4:$C$3003,MATCH($C343,ENVIOS!$A$4:$A$3003,0)),"—"))</f>
        <v/>
      </c>
      <c r="F343" s="22">
        <f>IF($C343="","",IFERROR(INDEX(ENVIOS!$D$4:$D$3003,MATCH($C343,ENVIOS!$A$4:$A$3003,0)),"—"))</f>
        <v/>
      </c>
      <c r="G343" s="22">
        <f>IF($C343="","",IFERROR(INDEX(ENVIOS!$E$4:$E$3003,MATCH($C343,ENVIOS!$A$4:$A$3003,0)),"—"))</f>
        <v/>
      </c>
      <c r="H343" s="22">
        <f>IF($C343="","",IFERROR(INDEX(ENVIOS!$F$4:$F$3003,MATCH($C343,ENVIOS!$A$4:$A$3003,0)),"—"))</f>
        <v/>
      </c>
      <c r="I343" s="27">
        <f>IF($C343="","",IFERROR(INDEX(ENVIOS!$G$4:$G$3003,MATCH($C343,ENVIOS!$A$4:$A$3003,0)),"—"))</f>
        <v/>
      </c>
      <c r="J343" s="48">
        <f>IF($C343="","",IFERROR(INDEX(ENVIOS!$B$4:$B$3003,MATCH($C343,ENVIOS!$A$4:$A$3003,0)),""))</f>
        <v/>
      </c>
      <c r="K343" s="49" t="n"/>
      <c r="L343" s="27">
        <f>IF($K343="","",IFERROR(INDEX(CONFIG!$B$4:$B$43,MATCH($K343,CONFIG!$A$4:$A$43,0)),"Media"))</f>
        <v/>
      </c>
      <c r="M343" s="27">
        <f>IF($K343="","",IFERROR(INDEX(CONFIG!$D$4:$D$43,MATCH($K343,CONFIG!$A$4:$A$43,0)),"NO"))</f>
        <v/>
      </c>
      <c r="N343" s="49" t="n"/>
      <c r="O343" s="27">
        <f>IF($N343="","",IFERROR(INDEX(CONFIG!$G$4:$G$43,MATCH($N343,CONFIG!$F$4:$F$43,0)),"Por definir"))</f>
        <v/>
      </c>
      <c r="P343" s="27">
        <f>IF($N343="","",IFERROR(INDEX(CONFIG!$H$4:$H$43,MATCH($N343,CONFIG!$F$4:$F$43,0)),"Por definir"))</f>
        <v/>
      </c>
      <c r="Q343" s="50" t="n"/>
      <c r="R343" s="51" t="n"/>
      <c r="S343" s="49" t="n"/>
      <c r="T343" s="49" t="n"/>
      <c r="U343" s="48">
        <f>IF(OR($B343="",$K343=""),"",WORKDAY($B343,IFERROR(INDEX(CONFIG!$C$4:$C$43,MATCH($K343,CONFIG!$A$4:$A$43,0)),3)))</f>
        <v/>
      </c>
      <c r="V343" s="46" t="n"/>
      <c r="W343" s="23">
        <f>IF($B343="","",IF($V343&lt;&gt;"",$V343-$B343,TODAY()-$B343))</f>
        <v/>
      </c>
      <c r="X343" s="27">
        <f>IF($C343="","",IF(IFERROR(INDEX(CONFIG!$K$4:$K$43,MATCH($S343,CONFIG!$J$4:$J$43,0)),"NO")="SÍ",IF(OR($V343="",$U343=""),"Resuelta",IF($V343&gt;$U343,"Resuelta tarde","Resuelta a tiempo")),IF($U343="","Sin clasificar",IF(TODAY()&gt;$U343,"Vencida",IF(TODAY()&gt;=$U343-1,"Por vencer","En plazo")))))</f>
        <v/>
      </c>
      <c r="Y343" s="49" t="n"/>
      <c r="Z343" s="49" t="n"/>
    </row>
    <row r="344" ht="16" customHeight="1">
      <c r="A344" s="27">
        <f>IF($C344="","","N-"&amp;TEXT(ROW()-3,"0000"))</f>
        <v/>
      </c>
      <c r="B344" s="46" t="n"/>
      <c r="C344" s="47" t="n"/>
      <c r="D344" s="27">
        <f>IF($C344="","",IF(COUNTIFS(ENVIOS!$A$4:$A$3003,$C344)=0,"NO EXISTE",IF(COUNTIFS(ENVIOS!$A$4:$A$3003,$C344)&gt;1,"DUPLICADA","OK")))</f>
        <v/>
      </c>
      <c r="E344" s="22">
        <f>IF($C344="","",IFERROR(INDEX(ENVIOS!$C$4:$C$3003,MATCH($C344,ENVIOS!$A$4:$A$3003,0)),"—"))</f>
        <v/>
      </c>
      <c r="F344" s="22">
        <f>IF($C344="","",IFERROR(INDEX(ENVIOS!$D$4:$D$3003,MATCH($C344,ENVIOS!$A$4:$A$3003,0)),"—"))</f>
        <v/>
      </c>
      <c r="G344" s="22">
        <f>IF($C344="","",IFERROR(INDEX(ENVIOS!$E$4:$E$3003,MATCH($C344,ENVIOS!$A$4:$A$3003,0)),"—"))</f>
        <v/>
      </c>
      <c r="H344" s="22">
        <f>IF($C344="","",IFERROR(INDEX(ENVIOS!$F$4:$F$3003,MATCH($C344,ENVIOS!$A$4:$A$3003,0)),"—"))</f>
        <v/>
      </c>
      <c r="I344" s="27">
        <f>IF($C344="","",IFERROR(INDEX(ENVIOS!$G$4:$G$3003,MATCH($C344,ENVIOS!$A$4:$A$3003,0)),"—"))</f>
        <v/>
      </c>
      <c r="J344" s="48">
        <f>IF($C344="","",IFERROR(INDEX(ENVIOS!$B$4:$B$3003,MATCH($C344,ENVIOS!$A$4:$A$3003,0)),""))</f>
        <v/>
      </c>
      <c r="K344" s="49" t="n"/>
      <c r="L344" s="27">
        <f>IF($K344="","",IFERROR(INDEX(CONFIG!$B$4:$B$43,MATCH($K344,CONFIG!$A$4:$A$43,0)),"Media"))</f>
        <v/>
      </c>
      <c r="M344" s="27">
        <f>IF($K344="","",IFERROR(INDEX(CONFIG!$D$4:$D$43,MATCH($K344,CONFIG!$A$4:$A$43,0)),"NO"))</f>
        <v/>
      </c>
      <c r="N344" s="49" t="n"/>
      <c r="O344" s="27">
        <f>IF($N344="","",IFERROR(INDEX(CONFIG!$G$4:$G$43,MATCH($N344,CONFIG!$F$4:$F$43,0)),"Por definir"))</f>
        <v/>
      </c>
      <c r="P344" s="27">
        <f>IF($N344="","",IFERROR(INDEX(CONFIG!$H$4:$H$43,MATCH($N344,CONFIG!$F$4:$F$43,0)),"Por definir"))</f>
        <v/>
      </c>
      <c r="Q344" s="50" t="n"/>
      <c r="R344" s="51" t="n"/>
      <c r="S344" s="49" t="n"/>
      <c r="T344" s="49" t="n"/>
      <c r="U344" s="48">
        <f>IF(OR($B344="",$K344=""),"",WORKDAY($B344,IFERROR(INDEX(CONFIG!$C$4:$C$43,MATCH($K344,CONFIG!$A$4:$A$43,0)),3)))</f>
        <v/>
      </c>
      <c r="V344" s="46" t="n"/>
      <c r="W344" s="23">
        <f>IF($B344="","",IF($V344&lt;&gt;"",$V344-$B344,TODAY()-$B344))</f>
        <v/>
      </c>
      <c r="X344" s="27">
        <f>IF($C344="","",IF(IFERROR(INDEX(CONFIG!$K$4:$K$43,MATCH($S344,CONFIG!$J$4:$J$43,0)),"NO")="SÍ",IF(OR($V344="",$U344=""),"Resuelta",IF($V344&gt;$U344,"Resuelta tarde","Resuelta a tiempo")),IF($U344="","Sin clasificar",IF(TODAY()&gt;$U344,"Vencida",IF(TODAY()&gt;=$U344-1,"Por vencer","En plazo")))))</f>
        <v/>
      </c>
      <c r="Y344" s="49" t="n"/>
      <c r="Z344" s="49" t="n"/>
    </row>
    <row r="345" ht="16" customHeight="1">
      <c r="A345" s="27">
        <f>IF($C345="","","N-"&amp;TEXT(ROW()-3,"0000"))</f>
        <v/>
      </c>
      <c r="B345" s="46" t="n"/>
      <c r="C345" s="47" t="n"/>
      <c r="D345" s="27">
        <f>IF($C345="","",IF(COUNTIFS(ENVIOS!$A$4:$A$3003,$C345)=0,"NO EXISTE",IF(COUNTIFS(ENVIOS!$A$4:$A$3003,$C345)&gt;1,"DUPLICADA","OK")))</f>
        <v/>
      </c>
      <c r="E345" s="22">
        <f>IF($C345="","",IFERROR(INDEX(ENVIOS!$C$4:$C$3003,MATCH($C345,ENVIOS!$A$4:$A$3003,0)),"—"))</f>
        <v/>
      </c>
      <c r="F345" s="22">
        <f>IF($C345="","",IFERROR(INDEX(ENVIOS!$D$4:$D$3003,MATCH($C345,ENVIOS!$A$4:$A$3003,0)),"—"))</f>
        <v/>
      </c>
      <c r="G345" s="22">
        <f>IF($C345="","",IFERROR(INDEX(ENVIOS!$E$4:$E$3003,MATCH($C345,ENVIOS!$A$4:$A$3003,0)),"—"))</f>
        <v/>
      </c>
      <c r="H345" s="22">
        <f>IF($C345="","",IFERROR(INDEX(ENVIOS!$F$4:$F$3003,MATCH($C345,ENVIOS!$A$4:$A$3003,0)),"—"))</f>
        <v/>
      </c>
      <c r="I345" s="27">
        <f>IF($C345="","",IFERROR(INDEX(ENVIOS!$G$4:$G$3003,MATCH($C345,ENVIOS!$A$4:$A$3003,0)),"—"))</f>
        <v/>
      </c>
      <c r="J345" s="48">
        <f>IF($C345="","",IFERROR(INDEX(ENVIOS!$B$4:$B$3003,MATCH($C345,ENVIOS!$A$4:$A$3003,0)),""))</f>
        <v/>
      </c>
      <c r="K345" s="49" t="n"/>
      <c r="L345" s="27">
        <f>IF($K345="","",IFERROR(INDEX(CONFIG!$B$4:$B$43,MATCH($K345,CONFIG!$A$4:$A$43,0)),"Media"))</f>
        <v/>
      </c>
      <c r="M345" s="27">
        <f>IF($K345="","",IFERROR(INDEX(CONFIG!$D$4:$D$43,MATCH($K345,CONFIG!$A$4:$A$43,0)),"NO"))</f>
        <v/>
      </c>
      <c r="N345" s="49" t="n"/>
      <c r="O345" s="27">
        <f>IF($N345="","",IFERROR(INDEX(CONFIG!$G$4:$G$43,MATCH($N345,CONFIG!$F$4:$F$43,0)),"Por definir"))</f>
        <v/>
      </c>
      <c r="P345" s="27">
        <f>IF($N345="","",IFERROR(INDEX(CONFIG!$H$4:$H$43,MATCH($N345,CONFIG!$F$4:$F$43,0)),"Por definir"))</f>
        <v/>
      </c>
      <c r="Q345" s="50" t="n"/>
      <c r="R345" s="51" t="n"/>
      <c r="S345" s="49" t="n"/>
      <c r="T345" s="49" t="n"/>
      <c r="U345" s="48">
        <f>IF(OR($B345="",$K345=""),"",WORKDAY($B345,IFERROR(INDEX(CONFIG!$C$4:$C$43,MATCH($K345,CONFIG!$A$4:$A$43,0)),3)))</f>
        <v/>
      </c>
      <c r="V345" s="46" t="n"/>
      <c r="W345" s="23">
        <f>IF($B345="","",IF($V345&lt;&gt;"",$V345-$B345,TODAY()-$B345))</f>
        <v/>
      </c>
      <c r="X345" s="27">
        <f>IF($C345="","",IF(IFERROR(INDEX(CONFIG!$K$4:$K$43,MATCH($S345,CONFIG!$J$4:$J$43,0)),"NO")="SÍ",IF(OR($V345="",$U345=""),"Resuelta",IF($V345&gt;$U345,"Resuelta tarde","Resuelta a tiempo")),IF($U345="","Sin clasificar",IF(TODAY()&gt;$U345,"Vencida",IF(TODAY()&gt;=$U345-1,"Por vencer","En plazo")))))</f>
        <v/>
      </c>
      <c r="Y345" s="49" t="n"/>
      <c r="Z345" s="49" t="n"/>
    </row>
    <row r="346" ht="16" customHeight="1">
      <c r="A346" s="27">
        <f>IF($C346="","","N-"&amp;TEXT(ROW()-3,"0000"))</f>
        <v/>
      </c>
      <c r="B346" s="46" t="n"/>
      <c r="C346" s="47" t="n"/>
      <c r="D346" s="27">
        <f>IF($C346="","",IF(COUNTIFS(ENVIOS!$A$4:$A$3003,$C346)=0,"NO EXISTE",IF(COUNTIFS(ENVIOS!$A$4:$A$3003,$C346)&gt;1,"DUPLICADA","OK")))</f>
        <v/>
      </c>
      <c r="E346" s="22">
        <f>IF($C346="","",IFERROR(INDEX(ENVIOS!$C$4:$C$3003,MATCH($C346,ENVIOS!$A$4:$A$3003,0)),"—"))</f>
        <v/>
      </c>
      <c r="F346" s="22">
        <f>IF($C346="","",IFERROR(INDEX(ENVIOS!$D$4:$D$3003,MATCH($C346,ENVIOS!$A$4:$A$3003,0)),"—"))</f>
        <v/>
      </c>
      <c r="G346" s="22">
        <f>IF($C346="","",IFERROR(INDEX(ENVIOS!$E$4:$E$3003,MATCH($C346,ENVIOS!$A$4:$A$3003,0)),"—"))</f>
        <v/>
      </c>
      <c r="H346" s="22">
        <f>IF($C346="","",IFERROR(INDEX(ENVIOS!$F$4:$F$3003,MATCH($C346,ENVIOS!$A$4:$A$3003,0)),"—"))</f>
        <v/>
      </c>
      <c r="I346" s="27">
        <f>IF($C346="","",IFERROR(INDEX(ENVIOS!$G$4:$G$3003,MATCH($C346,ENVIOS!$A$4:$A$3003,0)),"—"))</f>
        <v/>
      </c>
      <c r="J346" s="48">
        <f>IF($C346="","",IFERROR(INDEX(ENVIOS!$B$4:$B$3003,MATCH($C346,ENVIOS!$A$4:$A$3003,0)),""))</f>
        <v/>
      </c>
      <c r="K346" s="49" t="n"/>
      <c r="L346" s="27">
        <f>IF($K346="","",IFERROR(INDEX(CONFIG!$B$4:$B$43,MATCH($K346,CONFIG!$A$4:$A$43,0)),"Media"))</f>
        <v/>
      </c>
      <c r="M346" s="27">
        <f>IF($K346="","",IFERROR(INDEX(CONFIG!$D$4:$D$43,MATCH($K346,CONFIG!$A$4:$A$43,0)),"NO"))</f>
        <v/>
      </c>
      <c r="N346" s="49" t="n"/>
      <c r="O346" s="27">
        <f>IF($N346="","",IFERROR(INDEX(CONFIG!$G$4:$G$43,MATCH($N346,CONFIG!$F$4:$F$43,0)),"Por definir"))</f>
        <v/>
      </c>
      <c r="P346" s="27">
        <f>IF($N346="","",IFERROR(INDEX(CONFIG!$H$4:$H$43,MATCH($N346,CONFIG!$F$4:$F$43,0)),"Por definir"))</f>
        <v/>
      </c>
      <c r="Q346" s="50" t="n"/>
      <c r="R346" s="51" t="n"/>
      <c r="S346" s="49" t="n"/>
      <c r="T346" s="49" t="n"/>
      <c r="U346" s="48">
        <f>IF(OR($B346="",$K346=""),"",WORKDAY($B346,IFERROR(INDEX(CONFIG!$C$4:$C$43,MATCH($K346,CONFIG!$A$4:$A$43,0)),3)))</f>
        <v/>
      </c>
      <c r="V346" s="46" t="n"/>
      <c r="W346" s="23">
        <f>IF($B346="","",IF($V346&lt;&gt;"",$V346-$B346,TODAY()-$B346))</f>
        <v/>
      </c>
      <c r="X346" s="27">
        <f>IF($C346="","",IF(IFERROR(INDEX(CONFIG!$K$4:$K$43,MATCH($S346,CONFIG!$J$4:$J$43,0)),"NO")="SÍ",IF(OR($V346="",$U346=""),"Resuelta",IF($V346&gt;$U346,"Resuelta tarde","Resuelta a tiempo")),IF($U346="","Sin clasificar",IF(TODAY()&gt;$U346,"Vencida",IF(TODAY()&gt;=$U346-1,"Por vencer","En plazo")))))</f>
        <v/>
      </c>
      <c r="Y346" s="49" t="n"/>
      <c r="Z346" s="49" t="n"/>
    </row>
    <row r="347" ht="16" customHeight="1">
      <c r="A347" s="27">
        <f>IF($C347="","","N-"&amp;TEXT(ROW()-3,"0000"))</f>
        <v/>
      </c>
      <c r="B347" s="46" t="n"/>
      <c r="C347" s="47" t="n"/>
      <c r="D347" s="27">
        <f>IF($C347="","",IF(COUNTIFS(ENVIOS!$A$4:$A$3003,$C347)=0,"NO EXISTE",IF(COUNTIFS(ENVIOS!$A$4:$A$3003,$C347)&gt;1,"DUPLICADA","OK")))</f>
        <v/>
      </c>
      <c r="E347" s="22">
        <f>IF($C347="","",IFERROR(INDEX(ENVIOS!$C$4:$C$3003,MATCH($C347,ENVIOS!$A$4:$A$3003,0)),"—"))</f>
        <v/>
      </c>
      <c r="F347" s="22">
        <f>IF($C347="","",IFERROR(INDEX(ENVIOS!$D$4:$D$3003,MATCH($C347,ENVIOS!$A$4:$A$3003,0)),"—"))</f>
        <v/>
      </c>
      <c r="G347" s="22">
        <f>IF($C347="","",IFERROR(INDEX(ENVIOS!$E$4:$E$3003,MATCH($C347,ENVIOS!$A$4:$A$3003,0)),"—"))</f>
        <v/>
      </c>
      <c r="H347" s="22">
        <f>IF($C347="","",IFERROR(INDEX(ENVIOS!$F$4:$F$3003,MATCH($C347,ENVIOS!$A$4:$A$3003,0)),"—"))</f>
        <v/>
      </c>
      <c r="I347" s="27">
        <f>IF($C347="","",IFERROR(INDEX(ENVIOS!$G$4:$G$3003,MATCH($C347,ENVIOS!$A$4:$A$3003,0)),"—"))</f>
        <v/>
      </c>
      <c r="J347" s="48">
        <f>IF($C347="","",IFERROR(INDEX(ENVIOS!$B$4:$B$3003,MATCH($C347,ENVIOS!$A$4:$A$3003,0)),""))</f>
        <v/>
      </c>
      <c r="K347" s="49" t="n"/>
      <c r="L347" s="27">
        <f>IF($K347="","",IFERROR(INDEX(CONFIG!$B$4:$B$43,MATCH($K347,CONFIG!$A$4:$A$43,0)),"Media"))</f>
        <v/>
      </c>
      <c r="M347" s="27">
        <f>IF($K347="","",IFERROR(INDEX(CONFIG!$D$4:$D$43,MATCH($K347,CONFIG!$A$4:$A$43,0)),"NO"))</f>
        <v/>
      </c>
      <c r="N347" s="49" t="n"/>
      <c r="O347" s="27">
        <f>IF($N347="","",IFERROR(INDEX(CONFIG!$G$4:$G$43,MATCH($N347,CONFIG!$F$4:$F$43,0)),"Por definir"))</f>
        <v/>
      </c>
      <c r="P347" s="27">
        <f>IF($N347="","",IFERROR(INDEX(CONFIG!$H$4:$H$43,MATCH($N347,CONFIG!$F$4:$F$43,0)),"Por definir"))</f>
        <v/>
      </c>
      <c r="Q347" s="50" t="n"/>
      <c r="R347" s="51" t="n"/>
      <c r="S347" s="49" t="n"/>
      <c r="T347" s="49" t="n"/>
      <c r="U347" s="48">
        <f>IF(OR($B347="",$K347=""),"",WORKDAY($B347,IFERROR(INDEX(CONFIG!$C$4:$C$43,MATCH($K347,CONFIG!$A$4:$A$43,0)),3)))</f>
        <v/>
      </c>
      <c r="V347" s="46" t="n"/>
      <c r="W347" s="23">
        <f>IF($B347="","",IF($V347&lt;&gt;"",$V347-$B347,TODAY()-$B347))</f>
        <v/>
      </c>
      <c r="X347" s="27">
        <f>IF($C347="","",IF(IFERROR(INDEX(CONFIG!$K$4:$K$43,MATCH($S347,CONFIG!$J$4:$J$43,0)),"NO")="SÍ",IF(OR($V347="",$U347=""),"Resuelta",IF($V347&gt;$U347,"Resuelta tarde","Resuelta a tiempo")),IF($U347="","Sin clasificar",IF(TODAY()&gt;$U347,"Vencida",IF(TODAY()&gt;=$U347-1,"Por vencer","En plazo")))))</f>
        <v/>
      </c>
      <c r="Y347" s="49" t="n"/>
      <c r="Z347" s="49" t="n"/>
    </row>
    <row r="348" ht="16" customHeight="1">
      <c r="A348" s="27">
        <f>IF($C348="","","N-"&amp;TEXT(ROW()-3,"0000"))</f>
        <v/>
      </c>
      <c r="B348" s="46" t="n"/>
      <c r="C348" s="47" t="n"/>
      <c r="D348" s="27">
        <f>IF($C348="","",IF(COUNTIFS(ENVIOS!$A$4:$A$3003,$C348)=0,"NO EXISTE",IF(COUNTIFS(ENVIOS!$A$4:$A$3003,$C348)&gt;1,"DUPLICADA","OK")))</f>
        <v/>
      </c>
      <c r="E348" s="22">
        <f>IF($C348="","",IFERROR(INDEX(ENVIOS!$C$4:$C$3003,MATCH($C348,ENVIOS!$A$4:$A$3003,0)),"—"))</f>
        <v/>
      </c>
      <c r="F348" s="22">
        <f>IF($C348="","",IFERROR(INDEX(ENVIOS!$D$4:$D$3003,MATCH($C348,ENVIOS!$A$4:$A$3003,0)),"—"))</f>
        <v/>
      </c>
      <c r="G348" s="22">
        <f>IF($C348="","",IFERROR(INDEX(ENVIOS!$E$4:$E$3003,MATCH($C348,ENVIOS!$A$4:$A$3003,0)),"—"))</f>
        <v/>
      </c>
      <c r="H348" s="22">
        <f>IF($C348="","",IFERROR(INDEX(ENVIOS!$F$4:$F$3003,MATCH($C348,ENVIOS!$A$4:$A$3003,0)),"—"))</f>
        <v/>
      </c>
      <c r="I348" s="27">
        <f>IF($C348="","",IFERROR(INDEX(ENVIOS!$G$4:$G$3003,MATCH($C348,ENVIOS!$A$4:$A$3003,0)),"—"))</f>
        <v/>
      </c>
      <c r="J348" s="48">
        <f>IF($C348="","",IFERROR(INDEX(ENVIOS!$B$4:$B$3003,MATCH($C348,ENVIOS!$A$4:$A$3003,0)),""))</f>
        <v/>
      </c>
      <c r="K348" s="49" t="n"/>
      <c r="L348" s="27">
        <f>IF($K348="","",IFERROR(INDEX(CONFIG!$B$4:$B$43,MATCH($K348,CONFIG!$A$4:$A$43,0)),"Media"))</f>
        <v/>
      </c>
      <c r="M348" s="27">
        <f>IF($K348="","",IFERROR(INDEX(CONFIG!$D$4:$D$43,MATCH($K348,CONFIG!$A$4:$A$43,0)),"NO"))</f>
        <v/>
      </c>
      <c r="N348" s="49" t="n"/>
      <c r="O348" s="27">
        <f>IF($N348="","",IFERROR(INDEX(CONFIG!$G$4:$G$43,MATCH($N348,CONFIG!$F$4:$F$43,0)),"Por definir"))</f>
        <v/>
      </c>
      <c r="P348" s="27">
        <f>IF($N348="","",IFERROR(INDEX(CONFIG!$H$4:$H$43,MATCH($N348,CONFIG!$F$4:$F$43,0)),"Por definir"))</f>
        <v/>
      </c>
      <c r="Q348" s="50" t="n"/>
      <c r="R348" s="51" t="n"/>
      <c r="S348" s="49" t="n"/>
      <c r="T348" s="49" t="n"/>
      <c r="U348" s="48">
        <f>IF(OR($B348="",$K348=""),"",WORKDAY($B348,IFERROR(INDEX(CONFIG!$C$4:$C$43,MATCH($K348,CONFIG!$A$4:$A$43,0)),3)))</f>
        <v/>
      </c>
      <c r="V348" s="46" t="n"/>
      <c r="W348" s="23">
        <f>IF($B348="","",IF($V348&lt;&gt;"",$V348-$B348,TODAY()-$B348))</f>
        <v/>
      </c>
      <c r="X348" s="27">
        <f>IF($C348="","",IF(IFERROR(INDEX(CONFIG!$K$4:$K$43,MATCH($S348,CONFIG!$J$4:$J$43,0)),"NO")="SÍ",IF(OR($V348="",$U348=""),"Resuelta",IF($V348&gt;$U348,"Resuelta tarde","Resuelta a tiempo")),IF($U348="","Sin clasificar",IF(TODAY()&gt;$U348,"Vencida",IF(TODAY()&gt;=$U348-1,"Por vencer","En plazo")))))</f>
        <v/>
      </c>
      <c r="Y348" s="49" t="n"/>
      <c r="Z348" s="49" t="n"/>
    </row>
    <row r="349" ht="16" customHeight="1">
      <c r="A349" s="27">
        <f>IF($C349="","","N-"&amp;TEXT(ROW()-3,"0000"))</f>
        <v/>
      </c>
      <c r="B349" s="46" t="n"/>
      <c r="C349" s="47" t="n"/>
      <c r="D349" s="27">
        <f>IF($C349="","",IF(COUNTIFS(ENVIOS!$A$4:$A$3003,$C349)=0,"NO EXISTE",IF(COUNTIFS(ENVIOS!$A$4:$A$3003,$C349)&gt;1,"DUPLICADA","OK")))</f>
        <v/>
      </c>
      <c r="E349" s="22">
        <f>IF($C349="","",IFERROR(INDEX(ENVIOS!$C$4:$C$3003,MATCH($C349,ENVIOS!$A$4:$A$3003,0)),"—"))</f>
        <v/>
      </c>
      <c r="F349" s="22">
        <f>IF($C349="","",IFERROR(INDEX(ENVIOS!$D$4:$D$3003,MATCH($C349,ENVIOS!$A$4:$A$3003,0)),"—"))</f>
        <v/>
      </c>
      <c r="G349" s="22">
        <f>IF($C349="","",IFERROR(INDEX(ENVIOS!$E$4:$E$3003,MATCH($C349,ENVIOS!$A$4:$A$3003,0)),"—"))</f>
        <v/>
      </c>
      <c r="H349" s="22">
        <f>IF($C349="","",IFERROR(INDEX(ENVIOS!$F$4:$F$3003,MATCH($C349,ENVIOS!$A$4:$A$3003,0)),"—"))</f>
        <v/>
      </c>
      <c r="I349" s="27">
        <f>IF($C349="","",IFERROR(INDEX(ENVIOS!$G$4:$G$3003,MATCH($C349,ENVIOS!$A$4:$A$3003,0)),"—"))</f>
        <v/>
      </c>
      <c r="J349" s="48">
        <f>IF($C349="","",IFERROR(INDEX(ENVIOS!$B$4:$B$3003,MATCH($C349,ENVIOS!$A$4:$A$3003,0)),""))</f>
        <v/>
      </c>
      <c r="K349" s="49" t="n"/>
      <c r="L349" s="27">
        <f>IF($K349="","",IFERROR(INDEX(CONFIG!$B$4:$B$43,MATCH($K349,CONFIG!$A$4:$A$43,0)),"Media"))</f>
        <v/>
      </c>
      <c r="M349" s="27">
        <f>IF($K349="","",IFERROR(INDEX(CONFIG!$D$4:$D$43,MATCH($K349,CONFIG!$A$4:$A$43,0)),"NO"))</f>
        <v/>
      </c>
      <c r="N349" s="49" t="n"/>
      <c r="O349" s="27">
        <f>IF($N349="","",IFERROR(INDEX(CONFIG!$G$4:$G$43,MATCH($N349,CONFIG!$F$4:$F$43,0)),"Por definir"))</f>
        <v/>
      </c>
      <c r="P349" s="27">
        <f>IF($N349="","",IFERROR(INDEX(CONFIG!$H$4:$H$43,MATCH($N349,CONFIG!$F$4:$F$43,0)),"Por definir"))</f>
        <v/>
      </c>
      <c r="Q349" s="50" t="n"/>
      <c r="R349" s="51" t="n"/>
      <c r="S349" s="49" t="n"/>
      <c r="T349" s="49" t="n"/>
      <c r="U349" s="48">
        <f>IF(OR($B349="",$K349=""),"",WORKDAY($B349,IFERROR(INDEX(CONFIG!$C$4:$C$43,MATCH($K349,CONFIG!$A$4:$A$43,0)),3)))</f>
        <v/>
      </c>
      <c r="V349" s="46" t="n"/>
      <c r="W349" s="23">
        <f>IF($B349="","",IF($V349&lt;&gt;"",$V349-$B349,TODAY()-$B349))</f>
        <v/>
      </c>
      <c r="X349" s="27">
        <f>IF($C349="","",IF(IFERROR(INDEX(CONFIG!$K$4:$K$43,MATCH($S349,CONFIG!$J$4:$J$43,0)),"NO")="SÍ",IF(OR($V349="",$U349=""),"Resuelta",IF($V349&gt;$U349,"Resuelta tarde","Resuelta a tiempo")),IF($U349="","Sin clasificar",IF(TODAY()&gt;$U349,"Vencida",IF(TODAY()&gt;=$U349-1,"Por vencer","En plazo")))))</f>
        <v/>
      </c>
      <c r="Y349" s="49" t="n"/>
      <c r="Z349" s="49" t="n"/>
    </row>
    <row r="350" ht="16" customHeight="1">
      <c r="A350" s="27">
        <f>IF($C350="","","N-"&amp;TEXT(ROW()-3,"0000"))</f>
        <v/>
      </c>
      <c r="B350" s="46" t="n"/>
      <c r="C350" s="47" t="n"/>
      <c r="D350" s="27">
        <f>IF($C350="","",IF(COUNTIFS(ENVIOS!$A$4:$A$3003,$C350)=0,"NO EXISTE",IF(COUNTIFS(ENVIOS!$A$4:$A$3003,$C350)&gt;1,"DUPLICADA","OK")))</f>
        <v/>
      </c>
      <c r="E350" s="22">
        <f>IF($C350="","",IFERROR(INDEX(ENVIOS!$C$4:$C$3003,MATCH($C350,ENVIOS!$A$4:$A$3003,0)),"—"))</f>
        <v/>
      </c>
      <c r="F350" s="22">
        <f>IF($C350="","",IFERROR(INDEX(ENVIOS!$D$4:$D$3003,MATCH($C350,ENVIOS!$A$4:$A$3003,0)),"—"))</f>
        <v/>
      </c>
      <c r="G350" s="22">
        <f>IF($C350="","",IFERROR(INDEX(ENVIOS!$E$4:$E$3003,MATCH($C350,ENVIOS!$A$4:$A$3003,0)),"—"))</f>
        <v/>
      </c>
      <c r="H350" s="22">
        <f>IF($C350="","",IFERROR(INDEX(ENVIOS!$F$4:$F$3003,MATCH($C350,ENVIOS!$A$4:$A$3003,0)),"—"))</f>
        <v/>
      </c>
      <c r="I350" s="27">
        <f>IF($C350="","",IFERROR(INDEX(ENVIOS!$G$4:$G$3003,MATCH($C350,ENVIOS!$A$4:$A$3003,0)),"—"))</f>
        <v/>
      </c>
      <c r="J350" s="48">
        <f>IF($C350="","",IFERROR(INDEX(ENVIOS!$B$4:$B$3003,MATCH($C350,ENVIOS!$A$4:$A$3003,0)),""))</f>
        <v/>
      </c>
      <c r="K350" s="49" t="n"/>
      <c r="L350" s="27">
        <f>IF($K350="","",IFERROR(INDEX(CONFIG!$B$4:$B$43,MATCH($K350,CONFIG!$A$4:$A$43,0)),"Media"))</f>
        <v/>
      </c>
      <c r="M350" s="27">
        <f>IF($K350="","",IFERROR(INDEX(CONFIG!$D$4:$D$43,MATCH($K350,CONFIG!$A$4:$A$43,0)),"NO"))</f>
        <v/>
      </c>
      <c r="N350" s="49" t="n"/>
      <c r="O350" s="27">
        <f>IF($N350="","",IFERROR(INDEX(CONFIG!$G$4:$G$43,MATCH($N350,CONFIG!$F$4:$F$43,0)),"Por definir"))</f>
        <v/>
      </c>
      <c r="P350" s="27">
        <f>IF($N350="","",IFERROR(INDEX(CONFIG!$H$4:$H$43,MATCH($N350,CONFIG!$F$4:$F$43,0)),"Por definir"))</f>
        <v/>
      </c>
      <c r="Q350" s="50" t="n"/>
      <c r="R350" s="51" t="n"/>
      <c r="S350" s="49" t="n"/>
      <c r="T350" s="49" t="n"/>
      <c r="U350" s="48">
        <f>IF(OR($B350="",$K350=""),"",WORKDAY($B350,IFERROR(INDEX(CONFIG!$C$4:$C$43,MATCH($K350,CONFIG!$A$4:$A$43,0)),3)))</f>
        <v/>
      </c>
      <c r="V350" s="46" t="n"/>
      <c r="W350" s="23">
        <f>IF($B350="","",IF($V350&lt;&gt;"",$V350-$B350,TODAY()-$B350))</f>
        <v/>
      </c>
      <c r="X350" s="27">
        <f>IF($C350="","",IF(IFERROR(INDEX(CONFIG!$K$4:$K$43,MATCH($S350,CONFIG!$J$4:$J$43,0)),"NO")="SÍ",IF(OR($V350="",$U350=""),"Resuelta",IF($V350&gt;$U350,"Resuelta tarde","Resuelta a tiempo")),IF($U350="","Sin clasificar",IF(TODAY()&gt;$U350,"Vencida",IF(TODAY()&gt;=$U350-1,"Por vencer","En plazo")))))</f>
        <v/>
      </c>
      <c r="Y350" s="49" t="n"/>
      <c r="Z350" s="49" t="n"/>
    </row>
    <row r="351" ht="16" customHeight="1">
      <c r="A351" s="27">
        <f>IF($C351="","","N-"&amp;TEXT(ROW()-3,"0000"))</f>
        <v/>
      </c>
      <c r="B351" s="46" t="n"/>
      <c r="C351" s="47" t="n"/>
      <c r="D351" s="27">
        <f>IF($C351="","",IF(COUNTIFS(ENVIOS!$A$4:$A$3003,$C351)=0,"NO EXISTE",IF(COUNTIFS(ENVIOS!$A$4:$A$3003,$C351)&gt;1,"DUPLICADA","OK")))</f>
        <v/>
      </c>
      <c r="E351" s="22">
        <f>IF($C351="","",IFERROR(INDEX(ENVIOS!$C$4:$C$3003,MATCH($C351,ENVIOS!$A$4:$A$3003,0)),"—"))</f>
        <v/>
      </c>
      <c r="F351" s="22">
        <f>IF($C351="","",IFERROR(INDEX(ENVIOS!$D$4:$D$3003,MATCH($C351,ENVIOS!$A$4:$A$3003,0)),"—"))</f>
        <v/>
      </c>
      <c r="G351" s="22">
        <f>IF($C351="","",IFERROR(INDEX(ENVIOS!$E$4:$E$3003,MATCH($C351,ENVIOS!$A$4:$A$3003,0)),"—"))</f>
        <v/>
      </c>
      <c r="H351" s="22">
        <f>IF($C351="","",IFERROR(INDEX(ENVIOS!$F$4:$F$3003,MATCH($C351,ENVIOS!$A$4:$A$3003,0)),"—"))</f>
        <v/>
      </c>
      <c r="I351" s="27">
        <f>IF($C351="","",IFERROR(INDEX(ENVIOS!$G$4:$G$3003,MATCH($C351,ENVIOS!$A$4:$A$3003,0)),"—"))</f>
        <v/>
      </c>
      <c r="J351" s="48">
        <f>IF($C351="","",IFERROR(INDEX(ENVIOS!$B$4:$B$3003,MATCH($C351,ENVIOS!$A$4:$A$3003,0)),""))</f>
        <v/>
      </c>
      <c r="K351" s="49" t="n"/>
      <c r="L351" s="27">
        <f>IF($K351="","",IFERROR(INDEX(CONFIG!$B$4:$B$43,MATCH($K351,CONFIG!$A$4:$A$43,0)),"Media"))</f>
        <v/>
      </c>
      <c r="M351" s="27">
        <f>IF($K351="","",IFERROR(INDEX(CONFIG!$D$4:$D$43,MATCH($K351,CONFIG!$A$4:$A$43,0)),"NO"))</f>
        <v/>
      </c>
      <c r="N351" s="49" t="n"/>
      <c r="O351" s="27">
        <f>IF($N351="","",IFERROR(INDEX(CONFIG!$G$4:$G$43,MATCH($N351,CONFIG!$F$4:$F$43,0)),"Por definir"))</f>
        <v/>
      </c>
      <c r="P351" s="27">
        <f>IF($N351="","",IFERROR(INDEX(CONFIG!$H$4:$H$43,MATCH($N351,CONFIG!$F$4:$F$43,0)),"Por definir"))</f>
        <v/>
      </c>
      <c r="Q351" s="50" t="n"/>
      <c r="R351" s="51" t="n"/>
      <c r="S351" s="49" t="n"/>
      <c r="T351" s="49" t="n"/>
      <c r="U351" s="48">
        <f>IF(OR($B351="",$K351=""),"",WORKDAY($B351,IFERROR(INDEX(CONFIG!$C$4:$C$43,MATCH($K351,CONFIG!$A$4:$A$43,0)),3)))</f>
        <v/>
      </c>
      <c r="V351" s="46" t="n"/>
      <c r="W351" s="23">
        <f>IF($B351="","",IF($V351&lt;&gt;"",$V351-$B351,TODAY()-$B351))</f>
        <v/>
      </c>
      <c r="X351" s="27">
        <f>IF($C351="","",IF(IFERROR(INDEX(CONFIG!$K$4:$K$43,MATCH($S351,CONFIG!$J$4:$J$43,0)),"NO")="SÍ",IF(OR($V351="",$U351=""),"Resuelta",IF($V351&gt;$U351,"Resuelta tarde","Resuelta a tiempo")),IF($U351="","Sin clasificar",IF(TODAY()&gt;$U351,"Vencida",IF(TODAY()&gt;=$U351-1,"Por vencer","En plazo")))))</f>
        <v/>
      </c>
      <c r="Y351" s="49" t="n"/>
      <c r="Z351" s="49" t="n"/>
    </row>
    <row r="352" ht="16" customHeight="1">
      <c r="A352" s="27">
        <f>IF($C352="","","N-"&amp;TEXT(ROW()-3,"0000"))</f>
        <v/>
      </c>
      <c r="B352" s="46" t="n"/>
      <c r="C352" s="47" t="n"/>
      <c r="D352" s="27">
        <f>IF($C352="","",IF(COUNTIFS(ENVIOS!$A$4:$A$3003,$C352)=0,"NO EXISTE",IF(COUNTIFS(ENVIOS!$A$4:$A$3003,$C352)&gt;1,"DUPLICADA","OK")))</f>
        <v/>
      </c>
      <c r="E352" s="22">
        <f>IF($C352="","",IFERROR(INDEX(ENVIOS!$C$4:$C$3003,MATCH($C352,ENVIOS!$A$4:$A$3003,0)),"—"))</f>
        <v/>
      </c>
      <c r="F352" s="22">
        <f>IF($C352="","",IFERROR(INDEX(ENVIOS!$D$4:$D$3003,MATCH($C352,ENVIOS!$A$4:$A$3003,0)),"—"))</f>
        <v/>
      </c>
      <c r="G352" s="22">
        <f>IF($C352="","",IFERROR(INDEX(ENVIOS!$E$4:$E$3003,MATCH($C352,ENVIOS!$A$4:$A$3003,0)),"—"))</f>
        <v/>
      </c>
      <c r="H352" s="22">
        <f>IF($C352="","",IFERROR(INDEX(ENVIOS!$F$4:$F$3003,MATCH($C352,ENVIOS!$A$4:$A$3003,0)),"—"))</f>
        <v/>
      </c>
      <c r="I352" s="27">
        <f>IF($C352="","",IFERROR(INDEX(ENVIOS!$G$4:$G$3003,MATCH($C352,ENVIOS!$A$4:$A$3003,0)),"—"))</f>
        <v/>
      </c>
      <c r="J352" s="48">
        <f>IF($C352="","",IFERROR(INDEX(ENVIOS!$B$4:$B$3003,MATCH($C352,ENVIOS!$A$4:$A$3003,0)),""))</f>
        <v/>
      </c>
      <c r="K352" s="49" t="n"/>
      <c r="L352" s="27">
        <f>IF($K352="","",IFERROR(INDEX(CONFIG!$B$4:$B$43,MATCH($K352,CONFIG!$A$4:$A$43,0)),"Media"))</f>
        <v/>
      </c>
      <c r="M352" s="27">
        <f>IF($K352="","",IFERROR(INDEX(CONFIG!$D$4:$D$43,MATCH($K352,CONFIG!$A$4:$A$43,0)),"NO"))</f>
        <v/>
      </c>
      <c r="N352" s="49" t="n"/>
      <c r="O352" s="27">
        <f>IF($N352="","",IFERROR(INDEX(CONFIG!$G$4:$G$43,MATCH($N352,CONFIG!$F$4:$F$43,0)),"Por definir"))</f>
        <v/>
      </c>
      <c r="P352" s="27">
        <f>IF($N352="","",IFERROR(INDEX(CONFIG!$H$4:$H$43,MATCH($N352,CONFIG!$F$4:$F$43,0)),"Por definir"))</f>
        <v/>
      </c>
      <c r="Q352" s="50" t="n"/>
      <c r="R352" s="51" t="n"/>
      <c r="S352" s="49" t="n"/>
      <c r="T352" s="49" t="n"/>
      <c r="U352" s="48">
        <f>IF(OR($B352="",$K352=""),"",WORKDAY($B352,IFERROR(INDEX(CONFIG!$C$4:$C$43,MATCH($K352,CONFIG!$A$4:$A$43,0)),3)))</f>
        <v/>
      </c>
      <c r="V352" s="46" t="n"/>
      <c r="W352" s="23">
        <f>IF($B352="","",IF($V352&lt;&gt;"",$V352-$B352,TODAY()-$B352))</f>
        <v/>
      </c>
      <c r="X352" s="27">
        <f>IF($C352="","",IF(IFERROR(INDEX(CONFIG!$K$4:$K$43,MATCH($S352,CONFIG!$J$4:$J$43,0)),"NO")="SÍ",IF(OR($V352="",$U352=""),"Resuelta",IF($V352&gt;$U352,"Resuelta tarde","Resuelta a tiempo")),IF($U352="","Sin clasificar",IF(TODAY()&gt;$U352,"Vencida",IF(TODAY()&gt;=$U352-1,"Por vencer","En plazo")))))</f>
        <v/>
      </c>
      <c r="Y352" s="49" t="n"/>
      <c r="Z352" s="49" t="n"/>
    </row>
    <row r="353" ht="16" customHeight="1">
      <c r="A353" s="27">
        <f>IF($C353="","","N-"&amp;TEXT(ROW()-3,"0000"))</f>
        <v/>
      </c>
      <c r="B353" s="46" t="n"/>
      <c r="C353" s="47" t="n"/>
      <c r="D353" s="27">
        <f>IF($C353="","",IF(COUNTIFS(ENVIOS!$A$4:$A$3003,$C353)=0,"NO EXISTE",IF(COUNTIFS(ENVIOS!$A$4:$A$3003,$C353)&gt;1,"DUPLICADA","OK")))</f>
        <v/>
      </c>
      <c r="E353" s="22">
        <f>IF($C353="","",IFERROR(INDEX(ENVIOS!$C$4:$C$3003,MATCH($C353,ENVIOS!$A$4:$A$3003,0)),"—"))</f>
        <v/>
      </c>
      <c r="F353" s="22">
        <f>IF($C353="","",IFERROR(INDEX(ENVIOS!$D$4:$D$3003,MATCH($C353,ENVIOS!$A$4:$A$3003,0)),"—"))</f>
        <v/>
      </c>
      <c r="G353" s="22">
        <f>IF($C353="","",IFERROR(INDEX(ENVIOS!$E$4:$E$3003,MATCH($C353,ENVIOS!$A$4:$A$3003,0)),"—"))</f>
        <v/>
      </c>
      <c r="H353" s="22">
        <f>IF($C353="","",IFERROR(INDEX(ENVIOS!$F$4:$F$3003,MATCH($C353,ENVIOS!$A$4:$A$3003,0)),"—"))</f>
        <v/>
      </c>
      <c r="I353" s="27">
        <f>IF($C353="","",IFERROR(INDEX(ENVIOS!$G$4:$G$3003,MATCH($C353,ENVIOS!$A$4:$A$3003,0)),"—"))</f>
        <v/>
      </c>
      <c r="J353" s="48">
        <f>IF($C353="","",IFERROR(INDEX(ENVIOS!$B$4:$B$3003,MATCH($C353,ENVIOS!$A$4:$A$3003,0)),""))</f>
        <v/>
      </c>
      <c r="K353" s="49" t="n"/>
      <c r="L353" s="27">
        <f>IF($K353="","",IFERROR(INDEX(CONFIG!$B$4:$B$43,MATCH($K353,CONFIG!$A$4:$A$43,0)),"Media"))</f>
        <v/>
      </c>
      <c r="M353" s="27">
        <f>IF($K353="","",IFERROR(INDEX(CONFIG!$D$4:$D$43,MATCH($K353,CONFIG!$A$4:$A$43,0)),"NO"))</f>
        <v/>
      </c>
      <c r="N353" s="49" t="n"/>
      <c r="O353" s="27">
        <f>IF($N353="","",IFERROR(INDEX(CONFIG!$G$4:$G$43,MATCH($N353,CONFIG!$F$4:$F$43,0)),"Por definir"))</f>
        <v/>
      </c>
      <c r="P353" s="27">
        <f>IF($N353="","",IFERROR(INDEX(CONFIG!$H$4:$H$43,MATCH($N353,CONFIG!$F$4:$F$43,0)),"Por definir"))</f>
        <v/>
      </c>
      <c r="Q353" s="50" t="n"/>
      <c r="R353" s="51" t="n"/>
      <c r="S353" s="49" t="n"/>
      <c r="T353" s="49" t="n"/>
      <c r="U353" s="48">
        <f>IF(OR($B353="",$K353=""),"",WORKDAY($B353,IFERROR(INDEX(CONFIG!$C$4:$C$43,MATCH($K353,CONFIG!$A$4:$A$43,0)),3)))</f>
        <v/>
      </c>
      <c r="V353" s="46" t="n"/>
      <c r="W353" s="23">
        <f>IF($B353="","",IF($V353&lt;&gt;"",$V353-$B353,TODAY()-$B353))</f>
        <v/>
      </c>
      <c r="X353" s="27">
        <f>IF($C353="","",IF(IFERROR(INDEX(CONFIG!$K$4:$K$43,MATCH($S353,CONFIG!$J$4:$J$43,0)),"NO")="SÍ",IF(OR($V353="",$U353=""),"Resuelta",IF($V353&gt;$U353,"Resuelta tarde","Resuelta a tiempo")),IF($U353="","Sin clasificar",IF(TODAY()&gt;$U353,"Vencida",IF(TODAY()&gt;=$U353-1,"Por vencer","En plazo")))))</f>
        <v/>
      </c>
      <c r="Y353" s="49" t="n"/>
      <c r="Z353" s="49" t="n"/>
    </row>
    <row r="354" ht="16" customHeight="1">
      <c r="A354" s="27">
        <f>IF($C354="","","N-"&amp;TEXT(ROW()-3,"0000"))</f>
        <v/>
      </c>
      <c r="B354" s="46" t="n"/>
      <c r="C354" s="47" t="n"/>
      <c r="D354" s="27">
        <f>IF($C354="","",IF(COUNTIFS(ENVIOS!$A$4:$A$3003,$C354)=0,"NO EXISTE",IF(COUNTIFS(ENVIOS!$A$4:$A$3003,$C354)&gt;1,"DUPLICADA","OK")))</f>
        <v/>
      </c>
      <c r="E354" s="22">
        <f>IF($C354="","",IFERROR(INDEX(ENVIOS!$C$4:$C$3003,MATCH($C354,ENVIOS!$A$4:$A$3003,0)),"—"))</f>
        <v/>
      </c>
      <c r="F354" s="22">
        <f>IF($C354="","",IFERROR(INDEX(ENVIOS!$D$4:$D$3003,MATCH($C354,ENVIOS!$A$4:$A$3003,0)),"—"))</f>
        <v/>
      </c>
      <c r="G354" s="22">
        <f>IF($C354="","",IFERROR(INDEX(ENVIOS!$E$4:$E$3003,MATCH($C354,ENVIOS!$A$4:$A$3003,0)),"—"))</f>
        <v/>
      </c>
      <c r="H354" s="22">
        <f>IF($C354="","",IFERROR(INDEX(ENVIOS!$F$4:$F$3003,MATCH($C354,ENVIOS!$A$4:$A$3003,0)),"—"))</f>
        <v/>
      </c>
      <c r="I354" s="27">
        <f>IF($C354="","",IFERROR(INDEX(ENVIOS!$G$4:$G$3003,MATCH($C354,ENVIOS!$A$4:$A$3003,0)),"—"))</f>
        <v/>
      </c>
      <c r="J354" s="48">
        <f>IF($C354="","",IFERROR(INDEX(ENVIOS!$B$4:$B$3003,MATCH($C354,ENVIOS!$A$4:$A$3003,0)),""))</f>
        <v/>
      </c>
      <c r="K354" s="49" t="n"/>
      <c r="L354" s="27">
        <f>IF($K354="","",IFERROR(INDEX(CONFIG!$B$4:$B$43,MATCH($K354,CONFIG!$A$4:$A$43,0)),"Media"))</f>
        <v/>
      </c>
      <c r="M354" s="27">
        <f>IF($K354="","",IFERROR(INDEX(CONFIG!$D$4:$D$43,MATCH($K354,CONFIG!$A$4:$A$43,0)),"NO"))</f>
        <v/>
      </c>
      <c r="N354" s="49" t="n"/>
      <c r="O354" s="27">
        <f>IF($N354="","",IFERROR(INDEX(CONFIG!$G$4:$G$43,MATCH($N354,CONFIG!$F$4:$F$43,0)),"Por definir"))</f>
        <v/>
      </c>
      <c r="P354" s="27">
        <f>IF($N354="","",IFERROR(INDEX(CONFIG!$H$4:$H$43,MATCH($N354,CONFIG!$F$4:$F$43,0)),"Por definir"))</f>
        <v/>
      </c>
      <c r="Q354" s="50" t="n"/>
      <c r="R354" s="51" t="n"/>
      <c r="S354" s="49" t="n"/>
      <c r="T354" s="49" t="n"/>
      <c r="U354" s="48">
        <f>IF(OR($B354="",$K354=""),"",WORKDAY($B354,IFERROR(INDEX(CONFIG!$C$4:$C$43,MATCH($K354,CONFIG!$A$4:$A$43,0)),3)))</f>
        <v/>
      </c>
      <c r="V354" s="46" t="n"/>
      <c r="W354" s="23">
        <f>IF($B354="","",IF($V354&lt;&gt;"",$V354-$B354,TODAY()-$B354))</f>
        <v/>
      </c>
      <c r="X354" s="27">
        <f>IF($C354="","",IF(IFERROR(INDEX(CONFIG!$K$4:$K$43,MATCH($S354,CONFIG!$J$4:$J$43,0)),"NO")="SÍ",IF(OR($V354="",$U354=""),"Resuelta",IF($V354&gt;$U354,"Resuelta tarde","Resuelta a tiempo")),IF($U354="","Sin clasificar",IF(TODAY()&gt;$U354,"Vencida",IF(TODAY()&gt;=$U354-1,"Por vencer","En plazo")))))</f>
        <v/>
      </c>
      <c r="Y354" s="49" t="n"/>
      <c r="Z354" s="49" t="n"/>
    </row>
    <row r="355" ht="16" customHeight="1">
      <c r="A355" s="27">
        <f>IF($C355="","","N-"&amp;TEXT(ROW()-3,"0000"))</f>
        <v/>
      </c>
      <c r="B355" s="46" t="n"/>
      <c r="C355" s="47" t="n"/>
      <c r="D355" s="27">
        <f>IF($C355="","",IF(COUNTIFS(ENVIOS!$A$4:$A$3003,$C355)=0,"NO EXISTE",IF(COUNTIFS(ENVIOS!$A$4:$A$3003,$C355)&gt;1,"DUPLICADA","OK")))</f>
        <v/>
      </c>
      <c r="E355" s="22">
        <f>IF($C355="","",IFERROR(INDEX(ENVIOS!$C$4:$C$3003,MATCH($C355,ENVIOS!$A$4:$A$3003,0)),"—"))</f>
        <v/>
      </c>
      <c r="F355" s="22">
        <f>IF($C355="","",IFERROR(INDEX(ENVIOS!$D$4:$D$3003,MATCH($C355,ENVIOS!$A$4:$A$3003,0)),"—"))</f>
        <v/>
      </c>
      <c r="G355" s="22">
        <f>IF($C355="","",IFERROR(INDEX(ENVIOS!$E$4:$E$3003,MATCH($C355,ENVIOS!$A$4:$A$3003,0)),"—"))</f>
        <v/>
      </c>
      <c r="H355" s="22">
        <f>IF($C355="","",IFERROR(INDEX(ENVIOS!$F$4:$F$3003,MATCH($C355,ENVIOS!$A$4:$A$3003,0)),"—"))</f>
        <v/>
      </c>
      <c r="I355" s="27">
        <f>IF($C355="","",IFERROR(INDEX(ENVIOS!$G$4:$G$3003,MATCH($C355,ENVIOS!$A$4:$A$3003,0)),"—"))</f>
        <v/>
      </c>
      <c r="J355" s="48">
        <f>IF($C355="","",IFERROR(INDEX(ENVIOS!$B$4:$B$3003,MATCH($C355,ENVIOS!$A$4:$A$3003,0)),""))</f>
        <v/>
      </c>
      <c r="K355" s="49" t="n"/>
      <c r="L355" s="27">
        <f>IF($K355="","",IFERROR(INDEX(CONFIG!$B$4:$B$43,MATCH($K355,CONFIG!$A$4:$A$43,0)),"Media"))</f>
        <v/>
      </c>
      <c r="M355" s="27">
        <f>IF($K355="","",IFERROR(INDEX(CONFIG!$D$4:$D$43,MATCH($K355,CONFIG!$A$4:$A$43,0)),"NO"))</f>
        <v/>
      </c>
      <c r="N355" s="49" t="n"/>
      <c r="O355" s="27">
        <f>IF($N355="","",IFERROR(INDEX(CONFIG!$G$4:$G$43,MATCH($N355,CONFIG!$F$4:$F$43,0)),"Por definir"))</f>
        <v/>
      </c>
      <c r="P355" s="27">
        <f>IF($N355="","",IFERROR(INDEX(CONFIG!$H$4:$H$43,MATCH($N355,CONFIG!$F$4:$F$43,0)),"Por definir"))</f>
        <v/>
      </c>
      <c r="Q355" s="50" t="n"/>
      <c r="R355" s="51" t="n"/>
      <c r="S355" s="49" t="n"/>
      <c r="T355" s="49" t="n"/>
      <c r="U355" s="48">
        <f>IF(OR($B355="",$K355=""),"",WORKDAY($B355,IFERROR(INDEX(CONFIG!$C$4:$C$43,MATCH($K355,CONFIG!$A$4:$A$43,0)),3)))</f>
        <v/>
      </c>
      <c r="V355" s="46" t="n"/>
      <c r="W355" s="23">
        <f>IF($B355="","",IF($V355&lt;&gt;"",$V355-$B355,TODAY()-$B355))</f>
        <v/>
      </c>
      <c r="X355" s="27">
        <f>IF($C355="","",IF(IFERROR(INDEX(CONFIG!$K$4:$K$43,MATCH($S355,CONFIG!$J$4:$J$43,0)),"NO")="SÍ",IF(OR($V355="",$U355=""),"Resuelta",IF($V355&gt;$U355,"Resuelta tarde","Resuelta a tiempo")),IF($U355="","Sin clasificar",IF(TODAY()&gt;$U355,"Vencida",IF(TODAY()&gt;=$U355-1,"Por vencer","En plazo")))))</f>
        <v/>
      </c>
      <c r="Y355" s="49" t="n"/>
      <c r="Z355" s="49" t="n"/>
    </row>
    <row r="356" ht="16" customHeight="1">
      <c r="A356" s="27">
        <f>IF($C356="","","N-"&amp;TEXT(ROW()-3,"0000"))</f>
        <v/>
      </c>
      <c r="B356" s="46" t="n"/>
      <c r="C356" s="47" t="n"/>
      <c r="D356" s="27">
        <f>IF($C356="","",IF(COUNTIFS(ENVIOS!$A$4:$A$3003,$C356)=0,"NO EXISTE",IF(COUNTIFS(ENVIOS!$A$4:$A$3003,$C356)&gt;1,"DUPLICADA","OK")))</f>
        <v/>
      </c>
      <c r="E356" s="22">
        <f>IF($C356="","",IFERROR(INDEX(ENVIOS!$C$4:$C$3003,MATCH($C356,ENVIOS!$A$4:$A$3003,0)),"—"))</f>
        <v/>
      </c>
      <c r="F356" s="22">
        <f>IF($C356="","",IFERROR(INDEX(ENVIOS!$D$4:$D$3003,MATCH($C356,ENVIOS!$A$4:$A$3003,0)),"—"))</f>
        <v/>
      </c>
      <c r="G356" s="22">
        <f>IF($C356="","",IFERROR(INDEX(ENVIOS!$E$4:$E$3003,MATCH($C356,ENVIOS!$A$4:$A$3003,0)),"—"))</f>
        <v/>
      </c>
      <c r="H356" s="22">
        <f>IF($C356="","",IFERROR(INDEX(ENVIOS!$F$4:$F$3003,MATCH($C356,ENVIOS!$A$4:$A$3003,0)),"—"))</f>
        <v/>
      </c>
      <c r="I356" s="27">
        <f>IF($C356="","",IFERROR(INDEX(ENVIOS!$G$4:$G$3003,MATCH($C356,ENVIOS!$A$4:$A$3003,0)),"—"))</f>
        <v/>
      </c>
      <c r="J356" s="48">
        <f>IF($C356="","",IFERROR(INDEX(ENVIOS!$B$4:$B$3003,MATCH($C356,ENVIOS!$A$4:$A$3003,0)),""))</f>
        <v/>
      </c>
      <c r="K356" s="49" t="n"/>
      <c r="L356" s="27">
        <f>IF($K356="","",IFERROR(INDEX(CONFIG!$B$4:$B$43,MATCH($K356,CONFIG!$A$4:$A$43,0)),"Media"))</f>
        <v/>
      </c>
      <c r="M356" s="27">
        <f>IF($K356="","",IFERROR(INDEX(CONFIG!$D$4:$D$43,MATCH($K356,CONFIG!$A$4:$A$43,0)),"NO"))</f>
        <v/>
      </c>
      <c r="N356" s="49" t="n"/>
      <c r="O356" s="27">
        <f>IF($N356="","",IFERROR(INDEX(CONFIG!$G$4:$G$43,MATCH($N356,CONFIG!$F$4:$F$43,0)),"Por definir"))</f>
        <v/>
      </c>
      <c r="P356" s="27">
        <f>IF($N356="","",IFERROR(INDEX(CONFIG!$H$4:$H$43,MATCH($N356,CONFIG!$F$4:$F$43,0)),"Por definir"))</f>
        <v/>
      </c>
      <c r="Q356" s="50" t="n"/>
      <c r="R356" s="51" t="n"/>
      <c r="S356" s="49" t="n"/>
      <c r="T356" s="49" t="n"/>
      <c r="U356" s="48">
        <f>IF(OR($B356="",$K356=""),"",WORKDAY($B356,IFERROR(INDEX(CONFIG!$C$4:$C$43,MATCH($K356,CONFIG!$A$4:$A$43,0)),3)))</f>
        <v/>
      </c>
      <c r="V356" s="46" t="n"/>
      <c r="W356" s="23">
        <f>IF($B356="","",IF($V356&lt;&gt;"",$V356-$B356,TODAY()-$B356))</f>
        <v/>
      </c>
      <c r="X356" s="27">
        <f>IF($C356="","",IF(IFERROR(INDEX(CONFIG!$K$4:$K$43,MATCH($S356,CONFIG!$J$4:$J$43,0)),"NO")="SÍ",IF(OR($V356="",$U356=""),"Resuelta",IF($V356&gt;$U356,"Resuelta tarde","Resuelta a tiempo")),IF($U356="","Sin clasificar",IF(TODAY()&gt;$U356,"Vencida",IF(TODAY()&gt;=$U356-1,"Por vencer","En plazo")))))</f>
        <v/>
      </c>
      <c r="Y356" s="49" t="n"/>
      <c r="Z356" s="49" t="n"/>
    </row>
    <row r="357" ht="16" customHeight="1">
      <c r="A357" s="27">
        <f>IF($C357="","","N-"&amp;TEXT(ROW()-3,"0000"))</f>
        <v/>
      </c>
      <c r="B357" s="46" t="n"/>
      <c r="C357" s="47" t="n"/>
      <c r="D357" s="27">
        <f>IF($C357="","",IF(COUNTIFS(ENVIOS!$A$4:$A$3003,$C357)=0,"NO EXISTE",IF(COUNTIFS(ENVIOS!$A$4:$A$3003,$C357)&gt;1,"DUPLICADA","OK")))</f>
        <v/>
      </c>
      <c r="E357" s="22">
        <f>IF($C357="","",IFERROR(INDEX(ENVIOS!$C$4:$C$3003,MATCH($C357,ENVIOS!$A$4:$A$3003,0)),"—"))</f>
        <v/>
      </c>
      <c r="F357" s="22">
        <f>IF($C357="","",IFERROR(INDEX(ENVIOS!$D$4:$D$3003,MATCH($C357,ENVIOS!$A$4:$A$3003,0)),"—"))</f>
        <v/>
      </c>
      <c r="G357" s="22">
        <f>IF($C357="","",IFERROR(INDEX(ENVIOS!$E$4:$E$3003,MATCH($C357,ENVIOS!$A$4:$A$3003,0)),"—"))</f>
        <v/>
      </c>
      <c r="H357" s="22">
        <f>IF($C357="","",IFERROR(INDEX(ENVIOS!$F$4:$F$3003,MATCH($C357,ENVIOS!$A$4:$A$3003,0)),"—"))</f>
        <v/>
      </c>
      <c r="I357" s="27">
        <f>IF($C357="","",IFERROR(INDEX(ENVIOS!$G$4:$G$3003,MATCH($C357,ENVIOS!$A$4:$A$3003,0)),"—"))</f>
        <v/>
      </c>
      <c r="J357" s="48">
        <f>IF($C357="","",IFERROR(INDEX(ENVIOS!$B$4:$B$3003,MATCH($C357,ENVIOS!$A$4:$A$3003,0)),""))</f>
        <v/>
      </c>
      <c r="K357" s="49" t="n"/>
      <c r="L357" s="27">
        <f>IF($K357="","",IFERROR(INDEX(CONFIG!$B$4:$B$43,MATCH($K357,CONFIG!$A$4:$A$43,0)),"Media"))</f>
        <v/>
      </c>
      <c r="M357" s="27">
        <f>IF($K357="","",IFERROR(INDEX(CONFIG!$D$4:$D$43,MATCH($K357,CONFIG!$A$4:$A$43,0)),"NO"))</f>
        <v/>
      </c>
      <c r="N357" s="49" t="n"/>
      <c r="O357" s="27">
        <f>IF($N357="","",IFERROR(INDEX(CONFIG!$G$4:$G$43,MATCH($N357,CONFIG!$F$4:$F$43,0)),"Por definir"))</f>
        <v/>
      </c>
      <c r="P357" s="27">
        <f>IF($N357="","",IFERROR(INDEX(CONFIG!$H$4:$H$43,MATCH($N357,CONFIG!$F$4:$F$43,0)),"Por definir"))</f>
        <v/>
      </c>
      <c r="Q357" s="50" t="n"/>
      <c r="R357" s="51" t="n"/>
      <c r="S357" s="49" t="n"/>
      <c r="T357" s="49" t="n"/>
      <c r="U357" s="48">
        <f>IF(OR($B357="",$K357=""),"",WORKDAY($B357,IFERROR(INDEX(CONFIG!$C$4:$C$43,MATCH($K357,CONFIG!$A$4:$A$43,0)),3)))</f>
        <v/>
      </c>
      <c r="V357" s="46" t="n"/>
      <c r="W357" s="23">
        <f>IF($B357="","",IF($V357&lt;&gt;"",$V357-$B357,TODAY()-$B357))</f>
        <v/>
      </c>
      <c r="X357" s="27">
        <f>IF($C357="","",IF(IFERROR(INDEX(CONFIG!$K$4:$K$43,MATCH($S357,CONFIG!$J$4:$J$43,0)),"NO")="SÍ",IF(OR($V357="",$U357=""),"Resuelta",IF($V357&gt;$U357,"Resuelta tarde","Resuelta a tiempo")),IF($U357="","Sin clasificar",IF(TODAY()&gt;$U357,"Vencida",IF(TODAY()&gt;=$U357-1,"Por vencer","En plazo")))))</f>
        <v/>
      </c>
      <c r="Y357" s="49" t="n"/>
      <c r="Z357" s="49" t="n"/>
    </row>
    <row r="358" ht="16" customHeight="1">
      <c r="A358" s="27">
        <f>IF($C358="","","N-"&amp;TEXT(ROW()-3,"0000"))</f>
        <v/>
      </c>
      <c r="B358" s="46" t="n"/>
      <c r="C358" s="47" t="n"/>
      <c r="D358" s="27">
        <f>IF($C358="","",IF(COUNTIFS(ENVIOS!$A$4:$A$3003,$C358)=0,"NO EXISTE",IF(COUNTIFS(ENVIOS!$A$4:$A$3003,$C358)&gt;1,"DUPLICADA","OK")))</f>
        <v/>
      </c>
      <c r="E358" s="22">
        <f>IF($C358="","",IFERROR(INDEX(ENVIOS!$C$4:$C$3003,MATCH($C358,ENVIOS!$A$4:$A$3003,0)),"—"))</f>
        <v/>
      </c>
      <c r="F358" s="22">
        <f>IF($C358="","",IFERROR(INDEX(ENVIOS!$D$4:$D$3003,MATCH($C358,ENVIOS!$A$4:$A$3003,0)),"—"))</f>
        <v/>
      </c>
      <c r="G358" s="22">
        <f>IF($C358="","",IFERROR(INDEX(ENVIOS!$E$4:$E$3003,MATCH($C358,ENVIOS!$A$4:$A$3003,0)),"—"))</f>
        <v/>
      </c>
      <c r="H358" s="22">
        <f>IF($C358="","",IFERROR(INDEX(ENVIOS!$F$4:$F$3003,MATCH($C358,ENVIOS!$A$4:$A$3003,0)),"—"))</f>
        <v/>
      </c>
      <c r="I358" s="27">
        <f>IF($C358="","",IFERROR(INDEX(ENVIOS!$G$4:$G$3003,MATCH($C358,ENVIOS!$A$4:$A$3003,0)),"—"))</f>
        <v/>
      </c>
      <c r="J358" s="48">
        <f>IF($C358="","",IFERROR(INDEX(ENVIOS!$B$4:$B$3003,MATCH($C358,ENVIOS!$A$4:$A$3003,0)),""))</f>
        <v/>
      </c>
      <c r="K358" s="49" t="n"/>
      <c r="L358" s="27">
        <f>IF($K358="","",IFERROR(INDEX(CONFIG!$B$4:$B$43,MATCH($K358,CONFIG!$A$4:$A$43,0)),"Media"))</f>
        <v/>
      </c>
      <c r="M358" s="27">
        <f>IF($K358="","",IFERROR(INDEX(CONFIG!$D$4:$D$43,MATCH($K358,CONFIG!$A$4:$A$43,0)),"NO"))</f>
        <v/>
      </c>
      <c r="N358" s="49" t="n"/>
      <c r="O358" s="27">
        <f>IF($N358="","",IFERROR(INDEX(CONFIG!$G$4:$G$43,MATCH($N358,CONFIG!$F$4:$F$43,0)),"Por definir"))</f>
        <v/>
      </c>
      <c r="P358" s="27">
        <f>IF($N358="","",IFERROR(INDEX(CONFIG!$H$4:$H$43,MATCH($N358,CONFIG!$F$4:$F$43,0)),"Por definir"))</f>
        <v/>
      </c>
      <c r="Q358" s="50" t="n"/>
      <c r="R358" s="51" t="n"/>
      <c r="S358" s="49" t="n"/>
      <c r="T358" s="49" t="n"/>
      <c r="U358" s="48">
        <f>IF(OR($B358="",$K358=""),"",WORKDAY($B358,IFERROR(INDEX(CONFIG!$C$4:$C$43,MATCH($K358,CONFIG!$A$4:$A$43,0)),3)))</f>
        <v/>
      </c>
      <c r="V358" s="46" t="n"/>
      <c r="W358" s="23">
        <f>IF($B358="","",IF($V358&lt;&gt;"",$V358-$B358,TODAY()-$B358))</f>
        <v/>
      </c>
      <c r="X358" s="27">
        <f>IF($C358="","",IF(IFERROR(INDEX(CONFIG!$K$4:$K$43,MATCH($S358,CONFIG!$J$4:$J$43,0)),"NO")="SÍ",IF(OR($V358="",$U358=""),"Resuelta",IF($V358&gt;$U358,"Resuelta tarde","Resuelta a tiempo")),IF($U358="","Sin clasificar",IF(TODAY()&gt;$U358,"Vencida",IF(TODAY()&gt;=$U358-1,"Por vencer","En plazo")))))</f>
        <v/>
      </c>
      <c r="Y358" s="49" t="n"/>
      <c r="Z358" s="49" t="n"/>
    </row>
    <row r="359" ht="16" customHeight="1">
      <c r="A359" s="27">
        <f>IF($C359="","","N-"&amp;TEXT(ROW()-3,"0000"))</f>
        <v/>
      </c>
      <c r="B359" s="46" t="n"/>
      <c r="C359" s="47" t="n"/>
      <c r="D359" s="27">
        <f>IF($C359="","",IF(COUNTIFS(ENVIOS!$A$4:$A$3003,$C359)=0,"NO EXISTE",IF(COUNTIFS(ENVIOS!$A$4:$A$3003,$C359)&gt;1,"DUPLICADA","OK")))</f>
        <v/>
      </c>
      <c r="E359" s="22">
        <f>IF($C359="","",IFERROR(INDEX(ENVIOS!$C$4:$C$3003,MATCH($C359,ENVIOS!$A$4:$A$3003,0)),"—"))</f>
        <v/>
      </c>
      <c r="F359" s="22">
        <f>IF($C359="","",IFERROR(INDEX(ENVIOS!$D$4:$D$3003,MATCH($C359,ENVIOS!$A$4:$A$3003,0)),"—"))</f>
        <v/>
      </c>
      <c r="G359" s="22">
        <f>IF($C359="","",IFERROR(INDEX(ENVIOS!$E$4:$E$3003,MATCH($C359,ENVIOS!$A$4:$A$3003,0)),"—"))</f>
        <v/>
      </c>
      <c r="H359" s="22">
        <f>IF($C359="","",IFERROR(INDEX(ENVIOS!$F$4:$F$3003,MATCH($C359,ENVIOS!$A$4:$A$3003,0)),"—"))</f>
        <v/>
      </c>
      <c r="I359" s="27">
        <f>IF($C359="","",IFERROR(INDEX(ENVIOS!$G$4:$G$3003,MATCH($C359,ENVIOS!$A$4:$A$3003,0)),"—"))</f>
        <v/>
      </c>
      <c r="J359" s="48">
        <f>IF($C359="","",IFERROR(INDEX(ENVIOS!$B$4:$B$3003,MATCH($C359,ENVIOS!$A$4:$A$3003,0)),""))</f>
        <v/>
      </c>
      <c r="K359" s="49" t="n"/>
      <c r="L359" s="27">
        <f>IF($K359="","",IFERROR(INDEX(CONFIG!$B$4:$B$43,MATCH($K359,CONFIG!$A$4:$A$43,0)),"Media"))</f>
        <v/>
      </c>
      <c r="M359" s="27">
        <f>IF($K359="","",IFERROR(INDEX(CONFIG!$D$4:$D$43,MATCH($K359,CONFIG!$A$4:$A$43,0)),"NO"))</f>
        <v/>
      </c>
      <c r="N359" s="49" t="n"/>
      <c r="O359" s="27">
        <f>IF($N359="","",IFERROR(INDEX(CONFIG!$G$4:$G$43,MATCH($N359,CONFIG!$F$4:$F$43,0)),"Por definir"))</f>
        <v/>
      </c>
      <c r="P359" s="27">
        <f>IF($N359="","",IFERROR(INDEX(CONFIG!$H$4:$H$43,MATCH($N359,CONFIG!$F$4:$F$43,0)),"Por definir"))</f>
        <v/>
      </c>
      <c r="Q359" s="50" t="n"/>
      <c r="R359" s="51" t="n"/>
      <c r="S359" s="49" t="n"/>
      <c r="T359" s="49" t="n"/>
      <c r="U359" s="48">
        <f>IF(OR($B359="",$K359=""),"",WORKDAY($B359,IFERROR(INDEX(CONFIG!$C$4:$C$43,MATCH($K359,CONFIG!$A$4:$A$43,0)),3)))</f>
        <v/>
      </c>
      <c r="V359" s="46" t="n"/>
      <c r="W359" s="23">
        <f>IF($B359="","",IF($V359&lt;&gt;"",$V359-$B359,TODAY()-$B359))</f>
        <v/>
      </c>
      <c r="X359" s="27">
        <f>IF($C359="","",IF(IFERROR(INDEX(CONFIG!$K$4:$K$43,MATCH($S359,CONFIG!$J$4:$J$43,0)),"NO")="SÍ",IF(OR($V359="",$U359=""),"Resuelta",IF($V359&gt;$U359,"Resuelta tarde","Resuelta a tiempo")),IF($U359="","Sin clasificar",IF(TODAY()&gt;$U359,"Vencida",IF(TODAY()&gt;=$U359-1,"Por vencer","En plazo")))))</f>
        <v/>
      </c>
      <c r="Y359" s="49" t="n"/>
      <c r="Z359" s="49" t="n"/>
    </row>
    <row r="360" ht="16" customHeight="1">
      <c r="A360" s="27">
        <f>IF($C360="","","N-"&amp;TEXT(ROW()-3,"0000"))</f>
        <v/>
      </c>
      <c r="B360" s="46" t="n"/>
      <c r="C360" s="47" t="n"/>
      <c r="D360" s="27">
        <f>IF($C360="","",IF(COUNTIFS(ENVIOS!$A$4:$A$3003,$C360)=0,"NO EXISTE",IF(COUNTIFS(ENVIOS!$A$4:$A$3003,$C360)&gt;1,"DUPLICADA","OK")))</f>
        <v/>
      </c>
      <c r="E360" s="22">
        <f>IF($C360="","",IFERROR(INDEX(ENVIOS!$C$4:$C$3003,MATCH($C360,ENVIOS!$A$4:$A$3003,0)),"—"))</f>
        <v/>
      </c>
      <c r="F360" s="22">
        <f>IF($C360="","",IFERROR(INDEX(ENVIOS!$D$4:$D$3003,MATCH($C360,ENVIOS!$A$4:$A$3003,0)),"—"))</f>
        <v/>
      </c>
      <c r="G360" s="22">
        <f>IF($C360="","",IFERROR(INDEX(ENVIOS!$E$4:$E$3003,MATCH($C360,ENVIOS!$A$4:$A$3003,0)),"—"))</f>
        <v/>
      </c>
      <c r="H360" s="22">
        <f>IF($C360="","",IFERROR(INDEX(ENVIOS!$F$4:$F$3003,MATCH($C360,ENVIOS!$A$4:$A$3003,0)),"—"))</f>
        <v/>
      </c>
      <c r="I360" s="27">
        <f>IF($C360="","",IFERROR(INDEX(ENVIOS!$G$4:$G$3003,MATCH($C360,ENVIOS!$A$4:$A$3003,0)),"—"))</f>
        <v/>
      </c>
      <c r="J360" s="48">
        <f>IF($C360="","",IFERROR(INDEX(ENVIOS!$B$4:$B$3003,MATCH($C360,ENVIOS!$A$4:$A$3003,0)),""))</f>
        <v/>
      </c>
      <c r="K360" s="49" t="n"/>
      <c r="L360" s="27">
        <f>IF($K360="","",IFERROR(INDEX(CONFIG!$B$4:$B$43,MATCH($K360,CONFIG!$A$4:$A$43,0)),"Media"))</f>
        <v/>
      </c>
      <c r="M360" s="27">
        <f>IF($K360="","",IFERROR(INDEX(CONFIG!$D$4:$D$43,MATCH($K360,CONFIG!$A$4:$A$43,0)),"NO"))</f>
        <v/>
      </c>
      <c r="N360" s="49" t="n"/>
      <c r="O360" s="27">
        <f>IF($N360="","",IFERROR(INDEX(CONFIG!$G$4:$G$43,MATCH($N360,CONFIG!$F$4:$F$43,0)),"Por definir"))</f>
        <v/>
      </c>
      <c r="P360" s="27">
        <f>IF($N360="","",IFERROR(INDEX(CONFIG!$H$4:$H$43,MATCH($N360,CONFIG!$F$4:$F$43,0)),"Por definir"))</f>
        <v/>
      </c>
      <c r="Q360" s="50" t="n"/>
      <c r="R360" s="51" t="n"/>
      <c r="S360" s="49" t="n"/>
      <c r="T360" s="49" t="n"/>
      <c r="U360" s="48">
        <f>IF(OR($B360="",$K360=""),"",WORKDAY($B360,IFERROR(INDEX(CONFIG!$C$4:$C$43,MATCH($K360,CONFIG!$A$4:$A$43,0)),3)))</f>
        <v/>
      </c>
      <c r="V360" s="46" t="n"/>
      <c r="W360" s="23">
        <f>IF($B360="","",IF($V360&lt;&gt;"",$V360-$B360,TODAY()-$B360))</f>
        <v/>
      </c>
      <c r="X360" s="27">
        <f>IF($C360="","",IF(IFERROR(INDEX(CONFIG!$K$4:$K$43,MATCH($S360,CONFIG!$J$4:$J$43,0)),"NO")="SÍ",IF(OR($V360="",$U360=""),"Resuelta",IF($V360&gt;$U360,"Resuelta tarde","Resuelta a tiempo")),IF($U360="","Sin clasificar",IF(TODAY()&gt;$U360,"Vencida",IF(TODAY()&gt;=$U360-1,"Por vencer","En plazo")))))</f>
        <v/>
      </c>
      <c r="Y360" s="49" t="n"/>
      <c r="Z360" s="49" t="n"/>
    </row>
    <row r="361" ht="16" customHeight="1">
      <c r="A361" s="27">
        <f>IF($C361="","","N-"&amp;TEXT(ROW()-3,"0000"))</f>
        <v/>
      </c>
      <c r="B361" s="46" t="n"/>
      <c r="C361" s="47" t="n"/>
      <c r="D361" s="27">
        <f>IF($C361="","",IF(COUNTIFS(ENVIOS!$A$4:$A$3003,$C361)=0,"NO EXISTE",IF(COUNTIFS(ENVIOS!$A$4:$A$3003,$C361)&gt;1,"DUPLICADA","OK")))</f>
        <v/>
      </c>
      <c r="E361" s="22">
        <f>IF($C361="","",IFERROR(INDEX(ENVIOS!$C$4:$C$3003,MATCH($C361,ENVIOS!$A$4:$A$3003,0)),"—"))</f>
        <v/>
      </c>
      <c r="F361" s="22">
        <f>IF($C361="","",IFERROR(INDEX(ENVIOS!$D$4:$D$3003,MATCH($C361,ENVIOS!$A$4:$A$3003,0)),"—"))</f>
        <v/>
      </c>
      <c r="G361" s="22">
        <f>IF($C361="","",IFERROR(INDEX(ENVIOS!$E$4:$E$3003,MATCH($C361,ENVIOS!$A$4:$A$3003,0)),"—"))</f>
        <v/>
      </c>
      <c r="H361" s="22">
        <f>IF($C361="","",IFERROR(INDEX(ENVIOS!$F$4:$F$3003,MATCH($C361,ENVIOS!$A$4:$A$3003,0)),"—"))</f>
        <v/>
      </c>
      <c r="I361" s="27">
        <f>IF($C361="","",IFERROR(INDEX(ENVIOS!$G$4:$G$3003,MATCH($C361,ENVIOS!$A$4:$A$3003,0)),"—"))</f>
        <v/>
      </c>
      <c r="J361" s="48">
        <f>IF($C361="","",IFERROR(INDEX(ENVIOS!$B$4:$B$3003,MATCH($C361,ENVIOS!$A$4:$A$3003,0)),""))</f>
        <v/>
      </c>
      <c r="K361" s="49" t="n"/>
      <c r="L361" s="27">
        <f>IF($K361="","",IFERROR(INDEX(CONFIG!$B$4:$B$43,MATCH($K361,CONFIG!$A$4:$A$43,0)),"Media"))</f>
        <v/>
      </c>
      <c r="M361" s="27">
        <f>IF($K361="","",IFERROR(INDEX(CONFIG!$D$4:$D$43,MATCH($K361,CONFIG!$A$4:$A$43,0)),"NO"))</f>
        <v/>
      </c>
      <c r="N361" s="49" t="n"/>
      <c r="O361" s="27">
        <f>IF($N361="","",IFERROR(INDEX(CONFIG!$G$4:$G$43,MATCH($N361,CONFIG!$F$4:$F$43,0)),"Por definir"))</f>
        <v/>
      </c>
      <c r="P361" s="27">
        <f>IF($N361="","",IFERROR(INDEX(CONFIG!$H$4:$H$43,MATCH($N361,CONFIG!$F$4:$F$43,0)),"Por definir"))</f>
        <v/>
      </c>
      <c r="Q361" s="50" t="n"/>
      <c r="R361" s="51" t="n"/>
      <c r="S361" s="49" t="n"/>
      <c r="T361" s="49" t="n"/>
      <c r="U361" s="48">
        <f>IF(OR($B361="",$K361=""),"",WORKDAY($B361,IFERROR(INDEX(CONFIG!$C$4:$C$43,MATCH($K361,CONFIG!$A$4:$A$43,0)),3)))</f>
        <v/>
      </c>
      <c r="V361" s="46" t="n"/>
      <c r="W361" s="23">
        <f>IF($B361="","",IF($V361&lt;&gt;"",$V361-$B361,TODAY()-$B361))</f>
        <v/>
      </c>
      <c r="X361" s="27">
        <f>IF($C361="","",IF(IFERROR(INDEX(CONFIG!$K$4:$K$43,MATCH($S361,CONFIG!$J$4:$J$43,0)),"NO")="SÍ",IF(OR($V361="",$U361=""),"Resuelta",IF($V361&gt;$U361,"Resuelta tarde","Resuelta a tiempo")),IF($U361="","Sin clasificar",IF(TODAY()&gt;$U361,"Vencida",IF(TODAY()&gt;=$U361-1,"Por vencer","En plazo")))))</f>
        <v/>
      </c>
      <c r="Y361" s="49" t="n"/>
      <c r="Z361" s="49" t="n"/>
    </row>
    <row r="362" ht="16" customHeight="1">
      <c r="A362" s="27">
        <f>IF($C362="","","N-"&amp;TEXT(ROW()-3,"0000"))</f>
        <v/>
      </c>
      <c r="B362" s="46" t="n"/>
      <c r="C362" s="47" t="n"/>
      <c r="D362" s="27">
        <f>IF($C362="","",IF(COUNTIFS(ENVIOS!$A$4:$A$3003,$C362)=0,"NO EXISTE",IF(COUNTIFS(ENVIOS!$A$4:$A$3003,$C362)&gt;1,"DUPLICADA","OK")))</f>
        <v/>
      </c>
      <c r="E362" s="22">
        <f>IF($C362="","",IFERROR(INDEX(ENVIOS!$C$4:$C$3003,MATCH($C362,ENVIOS!$A$4:$A$3003,0)),"—"))</f>
        <v/>
      </c>
      <c r="F362" s="22">
        <f>IF($C362="","",IFERROR(INDEX(ENVIOS!$D$4:$D$3003,MATCH($C362,ENVIOS!$A$4:$A$3003,0)),"—"))</f>
        <v/>
      </c>
      <c r="G362" s="22">
        <f>IF($C362="","",IFERROR(INDEX(ENVIOS!$E$4:$E$3003,MATCH($C362,ENVIOS!$A$4:$A$3003,0)),"—"))</f>
        <v/>
      </c>
      <c r="H362" s="22">
        <f>IF($C362="","",IFERROR(INDEX(ENVIOS!$F$4:$F$3003,MATCH($C362,ENVIOS!$A$4:$A$3003,0)),"—"))</f>
        <v/>
      </c>
      <c r="I362" s="27">
        <f>IF($C362="","",IFERROR(INDEX(ENVIOS!$G$4:$G$3003,MATCH($C362,ENVIOS!$A$4:$A$3003,0)),"—"))</f>
        <v/>
      </c>
      <c r="J362" s="48">
        <f>IF($C362="","",IFERROR(INDEX(ENVIOS!$B$4:$B$3003,MATCH($C362,ENVIOS!$A$4:$A$3003,0)),""))</f>
        <v/>
      </c>
      <c r="K362" s="49" t="n"/>
      <c r="L362" s="27">
        <f>IF($K362="","",IFERROR(INDEX(CONFIG!$B$4:$B$43,MATCH($K362,CONFIG!$A$4:$A$43,0)),"Media"))</f>
        <v/>
      </c>
      <c r="M362" s="27">
        <f>IF($K362="","",IFERROR(INDEX(CONFIG!$D$4:$D$43,MATCH($K362,CONFIG!$A$4:$A$43,0)),"NO"))</f>
        <v/>
      </c>
      <c r="N362" s="49" t="n"/>
      <c r="O362" s="27">
        <f>IF($N362="","",IFERROR(INDEX(CONFIG!$G$4:$G$43,MATCH($N362,CONFIG!$F$4:$F$43,0)),"Por definir"))</f>
        <v/>
      </c>
      <c r="P362" s="27">
        <f>IF($N362="","",IFERROR(INDEX(CONFIG!$H$4:$H$43,MATCH($N362,CONFIG!$F$4:$F$43,0)),"Por definir"))</f>
        <v/>
      </c>
      <c r="Q362" s="50" t="n"/>
      <c r="R362" s="51" t="n"/>
      <c r="S362" s="49" t="n"/>
      <c r="T362" s="49" t="n"/>
      <c r="U362" s="48">
        <f>IF(OR($B362="",$K362=""),"",WORKDAY($B362,IFERROR(INDEX(CONFIG!$C$4:$C$43,MATCH($K362,CONFIG!$A$4:$A$43,0)),3)))</f>
        <v/>
      </c>
      <c r="V362" s="46" t="n"/>
      <c r="W362" s="23">
        <f>IF($B362="","",IF($V362&lt;&gt;"",$V362-$B362,TODAY()-$B362))</f>
        <v/>
      </c>
      <c r="X362" s="27">
        <f>IF($C362="","",IF(IFERROR(INDEX(CONFIG!$K$4:$K$43,MATCH($S362,CONFIG!$J$4:$J$43,0)),"NO")="SÍ",IF(OR($V362="",$U362=""),"Resuelta",IF($V362&gt;$U362,"Resuelta tarde","Resuelta a tiempo")),IF($U362="","Sin clasificar",IF(TODAY()&gt;$U362,"Vencida",IF(TODAY()&gt;=$U362-1,"Por vencer","En plazo")))))</f>
        <v/>
      </c>
      <c r="Y362" s="49" t="n"/>
      <c r="Z362" s="49" t="n"/>
    </row>
    <row r="363" ht="16" customHeight="1">
      <c r="A363" s="27">
        <f>IF($C363="","","N-"&amp;TEXT(ROW()-3,"0000"))</f>
        <v/>
      </c>
      <c r="B363" s="46" t="n"/>
      <c r="C363" s="47" t="n"/>
      <c r="D363" s="27">
        <f>IF($C363="","",IF(COUNTIFS(ENVIOS!$A$4:$A$3003,$C363)=0,"NO EXISTE",IF(COUNTIFS(ENVIOS!$A$4:$A$3003,$C363)&gt;1,"DUPLICADA","OK")))</f>
        <v/>
      </c>
      <c r="E363" s="22">
        <f>IF($C363="","",IFERROR(INDEX(ENVIOS!$C$4:$C$3003,MATCH($C363,ENVIOS!$A$4:$A$3003,0)),"—"))</f>
        <v/>
      </c>
      <c r="F363" s="22">
        <f>IF($C363="","",IFERROR(INDEX(ENVIOS!$D$4:$D$3003,MATCH($C363,ENVIOS!$A$4:$A$3003,0)),"—"))</f>
        <v/>
      </c>
      <c r="G363" s="22">
        <f>IF($C363="","",IFERROR(INDEX(ENVIOS!$E$4:$E$3003,MATCH($C363,ENVIOS!$A$4:$A$3003,0)),"—"))</f>
        <v/>
      </c>
      <c r="H363" s="22">
        <f>IF($C363="","",IFERROR(INDEX(ENVIOS!$F$4:$F$3003,MATCH($C363,ENVIOS!$A$4:$A$3003,0)),"—"))</f>
        <v/>
      </c>
      <c r="I363" s="27">
        <f>IF($C363="","",IFERROR(INDEX(ENVIOS!$G$4:$G$3003,MATCH($C363,ENVIOS!$A$4:$A$3003,0)),"—"))</f>
        <v/>
      </c>
      <c r="J363" s="48">
        <f>IF($C363="","",IFERROR(INDEX(ENVIOS!$B$4:$B$3003,MATCH($C363,ENVIOS!$A$4:$A$3003,0)),""))</f>
        <v/>
      </c>
      <c r="K363" s="49" t="n"/>
      <c r="L363" s="27">
        <f>IF($K363="","",IFERROR(INDEX(CONFIG!$B$4:$B$43,MATCH($K363,CONFIG!$A$4:$A$43,0)),"Media"))</f>
        <v/>
      </c>
      <c r="M363" s="27">
        <f>IF($K363="","",IFERROR(INDEX(CONFIG!$D$4:$D$43,MATCH($K363,CONFIG!$A$4:$A$43,0)),"NO"))</f>
        <v/>
      </c>
      <c r="N363" s="49" t="n"/>
      <c r="O363" s="27">
        <f>IF($N363="","",IFERROR(INDEX(CONFIG!$G$4:$G$43,MATCH($N363,CONFIG!$F$4:$F$43,0)),"Por definir"))</f>
        <v/>
      </c>
      <c r="P363" s="27">
        <f>IF($N363="","",IFERROR(INDEX(CONFIG!$H$4:$H$43,MATCH($N363,CONFIG!$F$4:$F$43,0)),"Por definir"))</f>
        <v/>
      </c>
      <c r="Q363" s="50" t="n"/>
      <c r="R363" s="51" t="n"/>
      <c r="S363" s="49" t="n"/>
      <c r="T363" s="49" t="n"/>
      <c r="U363" s="48">
        <f>IF(OR($B363="",$K363=""),"",WORKDAY($B363,IFERROR(INDEX(CONFIG!$C$4:$C$43,MATCH($K363,CONFIG!$A$4:$A$43,0)),3)))</f>
        <v/>
      </c>
      <c r="V363" s="46" t="n"/>
      <c r="W363" s="23">
        <f>IF($B363="","",IF($V363&lt;&gt;"",$V363-$B363,TODAY()-$B363))</f>
        <v/>
      </c>
      <c r="X363" s="27">
        <f>IF($C363="","",IF(IFERROR(INDEX(CONFIG!$K$4:$K$43,MATCH($S363,CONFIG!$J$4:$J$43,0)),"NO")="SÍ",IF(OR($V363="",$U363=""),"Resuelta",IF($V363&gt;$U363,"Resuelta tarde","Resuelta a tiempo")),IF($U363="","Sin clasificar",IF(TODAY()&gt;$U363,"Vencida",IF(TODAY()&gt;=$U363-1,"Por vencer","En plazo")))))</f>
        <v/>
      </c>
      <c r="Y363" s="49" t="n"/>
      <c r="Z363" s="49" t="n"/>
    </row>
    <row r="364" ht="16" customHeight="1">
      <c r="A364" s="27">
        <f>IF($C364="","","N-"&amp;TEXT(ROW()-3,"0000"))</f>
        <v/>
      </c>
      <c r="B364" s="46" t="n"/>
      <c r="C364" s="47" t="n"/>
      <c r="D364" s="27">
        <f>IF($C364="","",IF(COUNTIFS(ENVIOS!$A$4:$A$3003,$C364)=0,"NO EXISTE",IF(COUNTIFS(ENVIOS!$A$4:$A$3003,$C364)&gt;1,"DUPLICADA","OK")))</f>
        <v/>
      </c>
      <c r="E364" s="22">
        <f>IF($C364="","",IFERROR(INDEX(ENVIOS!$C$4:$C$3003,MATCH($C364,ENVIOS!$A$4:$A$3003,0)),"—"))</f>
        <v/>
      </c>
      <c r="F364" s="22">
        <f>IF($C364="","",IFERROR(INDEX(ENVIOS!$D$4:$D$3003,MATCH($C364,ENVIOS!$A$4:$A$3003,0)),"—"))</f>
        <v/>
      </c>
      <c r="G364" s="22">
        <f>IF($C364="","",IFERROR(INDEX(ENVIOS!$E$4:$E$3003,MATCH($C364,ENVIOS!$A$4:$A$3003,0)),"—"))</f>
        <v/>
      </c>
      <c r="H364" s="22">
        <f>IF($C364="","",IFERROR(INDEX(ENVIOS!$F$4:$F$3003,MATCH($C364,ENVIOS!$A$4:$A$3003,0)),"—"))</f>
        <v/>
      </c>
      <c r="I364" s="27">
        <f>IF($C364="","",IFERROR(INDEX(ENVIOS!$G$4:$G$3003,MATCH($C364,ENVIOS!$A$4:$A$3003,0)),"—"))</f>
        <v/>
      </c>
      <c r="J364" s="48">
        <f>IF($C364="","",IFERROR(INDEX(ENVIOS!$B$4:$B$3003,MATCH($C364,ENVIOS!$A$4:$A$3003,0)),""))</f>
        <v/>
      </c>
      <c r="K364" s="49" t="n"/>
      <c r="L364" s="27">
        <f>IF($K364="","",IFERROR(INDEX(CONFIG!$B$4:$B$43,MATCH($K364,CONFIG!$A$4:$A$43,0)),"Media"))</f>
        <v/>
      </c>
      <c r="M364" s="27">
        <f>IF($K364="","",IFERROR(INDEX(CONFIG!$D$4:$D$43,MATCH($K364,CONFIG!$A$4:$A$43,0)),"NO"))</f>
        <v/>
      </c>
      <c r="N364" s="49" t="n"/>
      <c r="O364" s="27">
        <f>IF($N364="","",IFERROR(INDEX(CONFIG!$G$4:$G$43,MATCH($N364,CONFIG!$F$4:$F$43,0)),"Por definir"))</f>
        <v/>
      </c>
      <c r="P364" s="27">
        <f>IF($N364="","",IFERROR(INDEX(CONFIG!$H$4:$H$43,MATCH($N364,CONFIG!$F$4:$F$43,0)),"Por definir"))</f>
        <v/>
      </c>
      <c r="Q364" s="50" t="n"/>
      <c r="R364" s="51" t="n"/>
      <c r="S364" s="49" t="n"/>
      <c r="T364" s="49" t="n"/>
      <c r="U364" s="48">
        <f>IF(OR($B364="",$K364=""),"",WORKDAY($B364,IFERROR(INDEX(CONFIG!$C$4:$C$43,MATCH($K364,CONFIG!$A$4:$A$43,0)),3)))</f>
        <v/>
      </c>
      <c r="V364" s="46" t="n"/>
      <c r="W364" s="23">
        <f>IF($B364="","",IF($V364&lt;&gt;"",$V364-$B364,TODAY()-$B364))</f>
        <v/>
      </c>
      <c r="X364" s="27">
        <f>IF($C364="","",IF(IFERROR(INDEX(CONFIG!$K$4:$K$43,MATCH($S364,CONFIG!$J$4:$J$43,0)),"NO")="SÍ",IF(OR($V364="",$U364=""),"Resuelta",IF($V364&gt;$U364,"Resuelta tarde","Resuelta a tiempo")),IF($U364="","Sin clasificar",IF(TODAY()&gt;$U364,"Vencida",IF(TODAY()&gt;=$U364-1,"Por vencer","En plazo")))))</f>
        <v/>
      </c>
      <c r="Y364" s="49" t="n"/>
      <c r="Z364" s="49" t="n"/>
    </row>
    <row r="365" ht="16" customHeight="1">
      <c r="A365" s="27">
        <f>IF($C365="","","N-"&amp;TEXT(ROW()-3,"0000"))</f>
        <v/>
      </c>
      <c r="B365" s="46" t="n"/>
      <c r="C365" s="47" t="n"/>
      <c r="D365" s="27">
        <f>IF($C365="","",IF(COUNTIFS(ENVIOS!$A$4:$A$3003,$C365)=0,"NO EXISTE",IF(COUNTIFS(ENVIOS!$A$4:$A$3003,$C365)&gt;1,"DUPLICADA","OK")))</f>
        <v/>
      </c>
      <c r="E365" s="22">
        <f>IF($C365="","",IFERROR(INDEX(ENVIOS!$C$4:$C$3003,MATCH($C365,ENVIOS!$A$4:$A$3003,0)),"—"))</f>
        <v/>
      </c>
      <c r="F365" s="22">
        <f>IF($C365="","",IFERROR(INDEX(ENVIOS!$D$4:$D$3003,MATCH($C365,ENVIOS!$A$4:$A$3003,0)),"—"))</f>
        <v/>
      </c>
      <c r="G365" s="22">
        <f>IF($C365="","",IFERROR(INDEX(ENVIOS!$E$4:$E$3003,MATCH($C365,ENVIOS!$A$4:$A$3003,0)),"—"))</f>
        <v/>
      </c>
      <c r="H365" s="22">
        <f>IF($C365="","",IFERROR(INDEX(ENVIOS!$F$4:$F$3003,MATCH($C365,ENVIOS!$A$4:$A$3003,0)),"—"))</f>
        <v/>
      </c>
      <c r="I365" s="27">
        <f>IF($C365="","",IFERROR(INDEX(ENVIOS!$G$4:$G$3003,MATCH($C365,ENVIOS!$A$4:$A$3003,0)),"—"))</f>
        <v/>
      </c>
      <c r="J365" s="48">
        <f>IF($C365="","",IFERROR(INDEX(ENVIOS!$B$4:$B$3003,MATCH($C365,ENVIOS!$A$4:$A$3003,0)),""))</f>
        <v/>
      </c>
      <c r="K365" s="49" t="n"/>
      <c r="L365" s="27">
        <f>IF($K365="","",IFERROR(INDEX(CONFIG!$B$4:$B$43,MATCH($K365,CONFIG!$A$4:$A$43,0)),"Media"))</f>
        <v/>
      </c>
      <c r="M365" s="27">
        <f>IF($K365="","",IFERROR(INDEX(CONFIG!$D$4:$D$43,MATCH($K365,CONFIG!$A$4:$A$43,0)),"NO"))</f>
        <v/>
      </c>
      <c r="N365" s="49" t="n"/>
      <c r="O365" s="27">
        <f>IF($N365="","",IFERROR(INDEX(CONFIG!$G$4:$G$43,MATCH($N365,CONFIG!$F$4:$F$43,0)),"Por definir"))</f>
        <v/>
      </c>
      <c r="P365" s="27">
        <f>IF($N365="","",IFERROR(INDEX(CONFIG!$H$4:$H$43,MATCH($N365,CONFIG!$F$4:$F$43,0)),"Por definir"))</f>
        <v/>
      </c>
      <c r="Q365" s="50" t="n"/>
      <c r="R365" s="51" t="n"/>
      <c r="S365" s="49" t="n"/>
      <c r="T365" s="49" t="n"/>
      <c r="U365" s="48">
        <f>IF(OR($B365="",$K365=""),"",WORKDAY($B365,IFERROR(INDEX(CONFIG!$C$4:$C$43,MATCH($K365,CONFIG!$A$4:$A$43,0)),3)))</f>
        <v/>
      </c>
      <c r="V365" s="46" t="n"/>
      <c r="W365" s="23">
        <f>IF($B365="","",IF($V365&lt;&gt;"",$V365-$B365,TODAY()-$B365))</f>
        <v/>
      </c>
      <c r="X365" s="27">
        <f>IF($C365="","",IF(IFERROR(INDEX(CONFIG!$K$4:$K$43,MATCH($S365,CONFIG!$J$4:$J$43,0)),"NO")="SÍ",IF(OR($V365="",$U365=""),"Resuelta",IF($V365&gt;$U365,"Resuelta tarde","Resuelta a tiempo")),IF($U365="","Sin clasificar",IF(TODAY()&gt;$U365,"Vencida",IF(TODAY()&gt;=$U365-1,"Por vencer","En plazo")))))</f>
        <v/>
      </c>
      <c r="Y365" s="49" t="n"/>
      <c r="Z365" s="49" t="n"/>
    </row>
    <row r="366" ht="16" customHeight="1">
      <c r="A366" s="27">
        <f>IF($C366="","","N-"&amp;TEXT(ROW()-3,"0000"))</f>
        <v/>
      </c>
      <c r="B366" s="46" t="n"/>
      <c r="C366" s="47" t="n"/>
      <c r="D366" s="27">
        <f>IF($C366="","",IF(COUNTIFS(ENVIOS!$A$4:$A$3003,$C366)=0,"NO EXISTE",IF(COUNTIFS(ENVIOS!$A$4:$A$3003,$C366)&gt;1,"DUPLICADA","OK")))</f>
        <v/>
      </c>
      <c r="E366" s="22">
        <f>IF($C366="","",IFERROR(INDEX(ENVIOS!$C$4:$C$3003,MATCH($C366,ENVIOS!$A$4:$A$3003,0)),"—"))</f>
        <v/>
      </c>
      <c r="F366" s="22">
        <f>IF($C366="","",IFERROR(INDEX(ENVIOS!$D$4:$D$3003,MATCH($C366,ENVIOS!$A$4:$A$3003,0)),"—"))</f>
        <v/>
      </c>
      <c r="G366" s="22">
        <f>IF($C366="","",IFERROR(INDEX(ENVIOS!$E$4:$E$3003,MATCH($C366,ENVIOS!$A$4:$A$3003,0)),"—"))</f>
        <v/>
      </c>
      <c r="H366" s="22">
        <f>IF($C366="","",IFERROR(INDEX(ENVIOS!$F$4:$F$3003,MATCH($C366,ENVIOS!$A$4:$A$3003,0)),"—"))</f>
        <v/>
      </c>
      <c r="I366" s="27">
        <f>IF($C366="","",IFERROR(INDEX(ENVIOS!$G$4:$G$3003,MATCH($C366,ENVIOS!$A$4:$A$3003,0)),"—"))</f>
        <v/>
      </c>
      <c r="J366" s="48">
        <f>IF($C366="","",IFERROR(INDEX(ENVIOS!$B$4:$B$3003,MATCH($C366,ENVIOS!$A$4:$A$3003,0)),""))</f>
        <v/>
      </c>
      <c r="K366" s="49" t="n"/>
      <c r="L366" s="27">
        <f>IF($K366="","",IFERROR(INDEX(CONFIG!$B$4:$B$43,MATCH($K366,CONFIG!$A$4:$A$43,0)),"Media"))</f>
        <v/>
      </c>
      <c r="M366" s="27">
        <f>IF($K366="","",IFERROR(INDEX(CONFIG!$D$4:$D$43,MATCH($K366,CONFIG!$A$4:$A$43,0)),"NO"))</f>
        <v/>
      </c>
      <c r="N366" s="49" t="n"/>
      <c r="O366" s="27">
        <f>IF($N366="","",IFERROR(INDEX(CONFIG!$G$4:$G$43,MATCH($N366,CONFIG!$F$4:$F$43,0)),"Por definir"))</f>
        <v/>
      </c>
      <c r="P366" s="27">
        <f>IF($N366="","",IFERROR(INDEX(CONFIG!$H$4:$H$43,MATCH($N366,CONFIG!$F$4:$F$43,0)),"Por definir"))</f>
        <v/>
      </c>
      <c r="Q366" s="50" t="n"/>
      <c r="R366" s="51" t="n"/>
      <c r="S366" s="49" t="n"/>
      <c r="T366" s="49" t="n"/>
      <c r="U366" s="48">
        <f>IF(OR($B366="",$K366=""),"",WORKDAY($B366,IFERROR(INDEX(CONFIG!$C$4:$C$43,MATCH($K366,CONFIG!$A$4:$A$43,0)),3)))</f>
        <v/>
      </c>
      <c r="V366" s="46" t="n"/>
      <c r="W366" s="23">
        <f>IF($B366="","",IF($V366&lt;&gt;"",$V366-$B366,TODAY()-$B366))</f>
        <v/>
      </c>
      <c r="X366" s="27">
        <f>IF($C366="","",IF(IFERROR(INDEX(CONFIG!$K$4:$K$43,MATCH($S366,CONFIG!$J$4:$J$43,0)),"NO")="SÍ",IF(OR($V366="",$U366=""),"Resuelta",IF($V366&gt;$U366,"Resuelta tarde","Resuelta a tiempo")),IF($U366="","Sin clasificar",IF(TODAY()&gt;$U366,"Vencida",IF(TODAY()&gt;=$U366-1,"Por vencer","En plazo")))))</f>
        <v/>
      </c>
      <c r="Y366" s="49" t="n"/>
      <c r="Z366" s="49" t="n"/>
    </row>
    <row r="367" ht="16" customHeight="1">
      <c r="A367" s="27">
        <f>IF($C367="","","N-"&amp;TEXT(ROW()-3,"0000"))</f>
        <v/>
      </c>
      <c r="B367" s="46" t="n"/>
      <c r="C367" s="47" t="n"/>
      <c r="D367" s="27">
        <f>IF($C367="","",IF(COUNTIFS(ENVIOS!$A$4:$A$3003,$C367)=0,"NO EXISTE",IF(COUNTIFS(ENVIOS!$A$4:$A$3003,$C367)&gt;1,"DUPLICADA","OK")))</f>
        <v/>
      </c>
      <c r="E367" s="22">
        <f>IF($C367="","",IFERROR(INDEX(ENVIOS!$C$4:$C$3003,MATCH($C367,ENVIOS!$A$4:$A$3003,0)),"—"))</f>
        <v/>
      </c>
      <c r="F367" s="22">
        <f>IF($C367="","",IFERROR(INDEX(ENVIOS!$D$4:$D$3003,MATCH($C367,ENVIOS!$A$4:$A$3003,0)),"—"))</f>
        <v/>
      </c>
      <c r="G367" s="22">
        <f>IF($C367="","",IFERROR(INDEX(ENVIOS!$E$4:$E$3003,MATCH($C367,ENVIOS!$A$4:$A$3003,0)),"—"))</f>
        <v/>
      </c>
      <c r="H367" s="22">
        <f>IF($C367="","",IFERROR(INDEX(ENVIOS!$F$4:$F$3003,MATCH($C367,ENVIOS!$A$4:$A$3003,0)),"—"))</f>
        <v/>
      </c>
      <c r="I367" s="27">
        <f>IF($C367="","",IFERROR(INDEX(ENVIOS!$G$4:$G$3003,MATCH($C367,ENVIOS!$A$4:$A$3003,0)),"—"))</f>
        <v/>
      </c>
      <c r="J367" s="48">
        <f>IF($C367="","",IFERROR(INDEX(ENVIOS!$B$4:$B$3003,MATCH($C367,ENVIOS!$A$4:$A$3003,0)),""))</f>
        <v/>
      </c>
      <c r="K367" s="49" t="n"/>
      <c r="L367" s="27">
        <f>IF($K367="","",IFERROR(INDEX(CONFIG!$B$4:$B$43,MATCH($K367,CONFIG!$A$4:$A$43,0)),"Media"))</f>
        <v/>
      </c>
      <c r="M367" s="27">
        <f>IF($K367="","",IFERROR(INDEX(CONFIG!$D$4:$D$43,MATCH($K367,CONFIG!$A$4:$A$43,0)),"NO"))</f>
        <v/>
      </c>
      <c r="N367" s="49" t="n"/>
      <c r="O367" s="27">
        <f>IF($N367="","",IFERROR(INDEX(CONFIG!$G$4:$G$43,MATCH($N367,CONFIG!$F$4:$F$43,0)),"Por definir"))</f>
        <v/>
      </c>
      <c r="P367" s="27">
        <f>IF($N367="","",IFERROR(INDEX(CONFIG!$H$4:$H$43,MATCH($N367,CONFIG!$F$4:$F$43,0)),"Por definir"))</f>
        <v/>
      </c>
      <c r="Q367" s="50" t="n"/>
      <c r="R367" s="51" t="n"/>
      <c r="S367" s="49" t="n"/>
      <c r="T367" s="49" t="n"/>
      <c r="U367" s="48">
        <f>IF(OR($B367="",$K367=""),"",WORKDAY($B367,IFERROR(INDEX(CONFIG!$C$4:$C$43,MATCH($K367,CONFIG!$A$4:$A$43,0)),3)))</f>
        <v/>
      </c>
      <c r="V367" s="46" t="n"/>
      <c r="W367" s="23">
        <f>IF($B367="","",IF($V367&lt;&gt;"",$V367-$B367,TODAY()-$B367))</f>
        <v/>
      </c>
      <c r="X367" s="27">
        <f>IF($C367="","",IF(IFERROR(INDEX(CONFIG!$K$4:$K$43,MATCH($S367,CONFIG!$J$4:$J$43,0)),"NO")="SÍ",IF(OR($V367="",$U367=""),"Resuelta",IF($V367&gt;$U367,"Resuelta tarde","Resuelta a tiempo")),IF($U367="","Sin clasificar",IF(TODAY()&gt;$U367,"Vencida",IF(TODAY()&gt;=$U367-1,"Por vencer","En plazo")))))</f>
        <v/>
      </c>
      <c r="Y367" s="49" t="n"/>
      <c r="Z367" s="49" t="n"/>
    </row>
    <row r="368" ht="16" customHeight="1">
      <c r="A368" s="27">
        <f>IF($C368="","","N-"&amp;TEXT(ROW()-3,"0000"))</f>
        <v/>
      </c>
      <c r="B368" s="46" t="n"/>
      <c r="C368" s="47" t="n"/>
      <c r="D368" s="27">
        <f>IF($C368="","",IF(COUNTIFS(ENVIOS!$A$4:$A$3003,$C368)=0,"NO EXISTE",IF(COUNTIFS(ENVIOS!$A$4:$A$3003,$C368)&gt;1,"DUPLICADA","OK")))</f>
        <v/>
      </c>
      <c r="E368" s="22">
        <f>IF($C368="","",IFERROR(INDEX(ENVIOS!$C$4:$C$3003,MATCH($C368,ENVIOS!$A$4:$A$3003,0)),"—"))</f>
        <v/>
      </c>
      <c r="F368" s="22">
        <f>IF($C368="","",IFERROR(INDEX(ENVIOS!$D$4:$D$3003,MATCH($C368,ENVIOS!$A$4:$A$3003,0)),"—"))</f>
        <v/>
      </c>
      <c r="G368" s="22">
        <f>IF($C368="","",IFERROR(INDEX(ENVIOS!$E$4:$E$3003,MATCH($C368,ENVIOS!$A$4:$A$3003,0)),"—"))</f>
        <v/>
      </c>
      <c r="H368" s="22">
        <f>IF($C368="","",IFERROR(INDEX(ENVIOS!$F$4:$F$3003,MATCH($C368,ENVIOS!$A$4:$A$3003,0)),"—"))</f>
        <v/>
      </c>
      <c r="I368" s="27">
        <f>IF($C368="","",IFERROR(INDEX(ENVIOS!$G$4:$G$3003,MATCH($C368,ENVIOS!$A$4:$A$3003,0)),"—"))</f>
        <v/>
      </c>
      <c r="J368" s="48">
        <f>IF($C368="","",IFERROR(INDEX(ENVIOS!$B$4:$B$3003,MATCH($C368,ENVIOS!$A$4:$A$3003,0)),""))</f>
        <v/>
      </c>
      <c r="K368" s="49" t="n"/>
      <c r="L368" s="27">
        <f>IF($K368="","",IFERROR(INDEX(CONFIG!$B$4:$B$43,MATCH($K368,CONFIG!$A$4:$A$43,0)),"Media"))</f>
        <v/>
      </c>
      <c r="M368" s="27">
        <f>IF($K368="","",IFERROR(INDEX(CONFIG!$D$4:$D$43,MATCH($K368,CONFIG!$A$4:$A$43,0)),"NO"))</f>
        <v/>
      </c>
      <c r="N368" s="49" t="n"/>
      <c r="O368" s="27">
        <f>IF($N368="","",IFERROR(INDEX(CONFIG!$G$4:$G$43,MATCH($N368,CONFIG!$F$4:$F$43,0)),"Por definir"))</f>
        <v/>
      </c>
      <c r="P368" s="27">
        <f>IF($N368="","",IFERROR(INDEX(CONFIG!$H$4:$H$43,MATCH($N368,CONFIG!$F$4:$F$43,0)),"Por definir"))</f>
        <v/>
      </c>
      <c r="Q368" s="50" t="n"/>
      <c r="R368" s="51" t="n"/>
      <c r="S368" s="49" t="n"/>
      <c r="T368" s="49" t="n"/>
      <c r="U368" s="48">
        <f>IF(OR($B368="",$K368=""),"",WORKDAY($B368,IFERROR(INDEX(CONFIG!$C$4:$C$43,MATCH($K368,CONFIG!$A$4:$A$43,0)),3)))</f>
        <v/>
      </c>
      <c r="V368" s="46" t="n"/>
      <c r="W368" s="23">
        <f>IF($B368="","",IF($V368&lt;&gt;"",$V368-$B368,TODAY()-$B368))</f>
        <v/>
      </c>
      <c r="X368" s="27">
        <f>IF($C368="","",IF(IFERROR(INDEX(CONFIG!$K$4:$K$43,MATCH($S368,CONFIG!$J$4:$J$43,0)),"NO")="SÍ",IF(OR($V368="",$U368=""),"Resuelta",IF($V368&gt;$U368,"Resuelta tarde","Resuelta a tiempo")),IF($U368="","Sin clasificar",IF(TODAY()&gt;$U368,"Vencida",IF(TODAY()&gt;=$U368-1,"Por vencer","En plazo")))))</f>
        <v/>
      </c>
      <c r="Y368" s="49" t="n"/>
      <c r="Z368" s="49" t="n"/>
    </row>
    <row r="369" ht="16" customHeight="1">
      <c r="A369" s="27">
        <f>IF($C369="","","N-"&amp;TEXT(ROW()-3,"0000"))</f>
        <v/>
      </c>
      <c r="B369" s="46" t="n"/>
      <c r="C369" s="47" t="n"/>
      <c r="D369" s="27">
        <f>IF($C369="","",IF(COUNTIFS(ENVIOS!$A$4:$A$3003,$C369)=0,"NO EXISTE",IF(COUNTIFS(ENVIOS!$A$4:$A$3003,$C369)&gt;1,"DUPLICADA","OK")))</f>
        <v/>
      </c>
      <c r="E369" s="22">
        <f>IF($C369="","",IFERROR(INDEX(ENVIOS!$C$4:$C$3003,MATCH($C369,ENVIOS!$A$4:$A$3003,0)),"—"))</f>
        <v/>
      </c>
      <c r="F369" s="22">
        <f>IF($C369="","",IFERROR(INDEX(ENVIOS!$D$4:$D$3003,MATCH($C369,ENVIOS!$A$4:$A$3003,0)),"—"))</f>
        <v/>
      </c>
      <c r="G369" s="22">
        <f>IF($C369="","",IFERROR(INDEX(ENVIOS!$E$4:$E$3003,MATCH($C369,ENVIOS!$A$4:$A$3003,0)),"—"))</f>
        <v/>
      </c>
      <c r="H369" s="22">
        <f>IF($C369="","",IFERROR(INDEX(ENVIOS!$F$4:$F$3003,MATCH($C369,ENVIOS!$A$4:$A$3003,0)),"—"))</f>
        <v/>
      </c>
      <c r="I369" s="27">
        <f>IF($C369="","",IFERROR(INDEX(ENVIOS!$G$4:$G$3003,MATCH($C369,ENVIOS!$A$4:$A$3003,0)),"—"))</f>
        <v/>
      </c>
      <c r="J369" s="48">
        <f>IF($C369="","",IFERROR(INDEX(ENVIOS!$B$4:$B$3003,MATCH($C369,ENVIOS!$A$4:$A$3003,0)),""))</f>
        <v/>
      </c>
      <c r="K369" s="49" t="n"/>
      <c r="L369" s="27">
        <f>IF($K369="","",IFERROR(INDEX(CONFIG!$B$4:$B$43,MATCH($K369,CONFIG!$A$4:$A$43,0)),"Media"))</f>
        <v/>
      </c>
      <c r="M369" s="27">
        <f>IF($K369="","",IFERROR(INDEX(CONFIG!$D$4:$D$43,MATCH($K369,CONFIG!$A$4:$A$43,0)),"NO"))</f>
        <v/>
      </c>
      <c r="N369" s="49" t="n"/>
      <c r="O369" s="27">
        <f>IF($N369="","",IFERROR(INDEX(CONFIG!$G$4:$G$43,MATCH($N369,CONFIG!$F$4:$F$43,0)),"Por definir"))</f>
        <v/>
      </c>
      <c r="P369" s="27">
        <f>IF($N369="","",IFERROR(INDEX(CONFIG!$H$4:$H$43,MATCH($N369,CONFIG!$F$4:$F$43,0)),"Por definir"))</f>
        <v/>
      </c>
      <c r="Q369" s="50" t="n"/>
      <c r="R369" s="51" t="n"/>
      <c r="S369" s="49" t="n"/>
      <c r="T369" s="49" t="n"/>
      <c r="U369" s="48">
        <f>IF(OR($B369="",$K369=""),"",WORKDAY($B369,IFERROR(INDEX(CONFIG!$C$4:$C$43,MATCH($K369,CONFIG!$A$4:$A$43,0)),3)))</f>
        <v/>
      </c>
      <c r="V369" s="46" t="n"/>
      <c r="W369" s="23">
        <f>IF($B369="","",IF($V369&lt;&gt;"",$V369-$B369,TODAY()-$B369))</f>
        <v/>
      </c>
      <c r="X369" s="27">
        <f>IF($C369="","",IF(IFERROR(INDEX(CONFIG!$K$4:$K$43,MATCH($S369,CONFIG!$J$4:$J$43,0)),"NO")="SÍ",IF(OR($V369="",$U369=""),"Resuelta",IF($V369&gt;$U369,"Resuelta tarde","Resuelta a tiempo")),IF($U369="","Sin clasificar",IF(TODAY()&gt;$U369,"Vencida",IF(TODAY()&gt;=$U369-1,"Por vencer","En plazo")))))</f>
        <v/>
      </c>
      <c r="Y369" s="49" t="n"/>
      <c r="Z369" s="49" t="n"/>
    </row>
    <row r="370" ht="16" customHeight="1">
      <c r="A370" s="27">
        <f>IF($C370="","","N-"&amp;TEXT(ROW()-3,"0000"))</f>
        <v/>
      </c>
      <c r="B370" s="46" t="n"/>
      <c r="C370" s="47" t="n"/>
      <c r="D370" s="27">
        <f>IF($C370="","",IF(COUNTIFS(ENVIOS!$A$4:$A$3003,$C370)=0,"NO EXISTE",IF(COUNTIFS(ENVIOS!$A$4:$A$3003,$C370)&gt;1,"DUPLICADA","OK")))</f>
        <v/>
      </c>
      <c r="E370" s="22">
        <f>IF($C370="","",IFERROR(INDEX(ENVIOS!$C$4:$C$3003,MATCH($C370,ENVIOS!$A$4:$A$3003,0)),"—"))</f>
        <v/>
      </c>
      <c r="F370" s="22">
        <f>IF($C370="","",IFERROR(INDEX(ENVIOS!$D$4:$D$3003,MATCH($C370,ENVIOS!$A$4:$A$3003,0)),"—"))</f>
        <v/>
      </c>
      <c r="G370" s="22">
        <f>IF($C370="","",IFERROR(INDEX(ENVIOS!$E$4:$E$3003,MATCH($C370,ENVIOS!$A$4:$A$3003,0)),"—"))</f>
        <v/>
      </c>
      <c r="H370" s="22">
        <f>IF($C370="","",IFERROR(INDEX(ENVIOS!$F$4:$F$3003,MATCH($C370,ENVIOS!$A$4:$A$3003,0)),"—"))</f>
        <v/>
      </c>
      <c r="I370" s="27">
        <f>IF($C370="","",IFERROR(INDEX(ENVIOS!$G$4:$G$3003,MATCH($C370,ENVIOS!$A$4:$A$3003,0)),"—"))</f>
        <v/>
      </c>
      <c r="J370" s="48">
        <f>IF($C370="","",IFERROR(INDEX(ENVIOS!$B$4:$B$3003,MATCH($C370,ENVIOS!$A$4:$A$3003,0)),""))</f>
        <v/>
      </c>
      <c r="K370" s="49" t="n"/>
      <c r="L370" s="27">
        <f>IF($K370="","",IFERROR(INDEX(CONFIG!$B$4:$B$43,MATCH($K370,CONFIG!$A$4:$A$43,0)),"Media"))</f>
        <v/>
      </c>
      <c r="M370" s="27">
        <f>IF($K370="","",IFERROR(INDEX(CONFIG!$D$4:$D$43,MATCH($K370,CONFIG!$A$4:$A$43,0)),"NO"))</f>
        <v/>
      </c>
      <c r="N370" s="49" t="n"/>
      <c r="O370" s="27">
        <f>IF($N370="","",IFERROR(INDEX(CONFIG!$G$4:$G$43,MATCH($N370,CONFIG!$F$4:$F$43,0)),"Por definir"))</f>
        <v/>
      </c>
      <c r="P370" s="27">
        <f>IF($N370="","",IFERROR(INDEX(CONFIG!$H$4:$H$43,MATCH($N370,CONFIG!$F$4:$F$43,0)),"Por definir"))</f>
        <v/>
      </c>
      <c r="Q370" s="50" t="n"/>
      <c r="R370" s="51" t="n"/>
      <c r="S370" s="49" t="n"/>
      <c r="T370" s="49" t="n"/>
      <c r="U370" s="48">
        <f>IF(OR($B370="",$K370=""),"",WORKDAY($B370,IFERROR(INDEX(CONFIG!$C$4:$C$43,MATCH($K370,CONFIG!$A$4:$A$43,0)),3)))</f>
        <v/>
      </c>
      <c r="V370" s="46" t="n"/>
      <c r="W370" s="23">
        <f>IF($B370="","",IF($V370&lt;&gt;"",$V370-$B370,TODAY()-$B370))</f>
        <v/>
      </c>
      <c r="X370" s="27">
        <f>IF($C370="","",IF(IFERROR(INDEX(CONFIG!$K$4:$K$43,MATCH($S370,CONFIG!$J$4:$J$43,0)),"NO")="SÍ",IF(OR($V370="",$U370=""),"Resuelta",IF($V370&gt;$U370,"Resuelta tarde","Resuelta a tiempo")),IF($U370="","Sin clasificar",IF(TODAY()&gt;$U370,"Vencida",IF(TODAY()&gt;=$U370-1,"Por vencer","En plazo")))))</f>
        <v/>
      </c>
      <c r="Y370" s="49" t="n"/>
      <c r="Z370" s="49" t="n"/>
    </row>
    <row r="371" ht="16" customHeight="1">
      <c r="A371" s="27">
        <f>IF($C371="","","N-"&amp;TEXT(ROW()-3,"0000"))</f>
        <v/>
      </c>
      <c r="B371" s="46" t="n"/>
      <c r="C371" s="47" t="n"/>
      <c r="D371" s="27">
        <f>IF($C371="","",IF(COUNTIFS(ENVIOS!$A$4:$A$3003,$C371)=0,"NO EXISTE",IF(COUNTIFS(ENVIOS!$A$4:$A$3003,$C371)&gt;1,"DUPLICADA","OK")))</f>
        <v/>
      </c>
      <c r="E371" s="22">
        <f>IF($C371="","",IFERROR(INDEX(ENVIOS!$C$4:$C$3003,MATCH($C371,ENVIOS!$A$4:$A$3003,0)),"—"))</f>
        <v/>
      </c>
      <c r="F371" s="22">
        <f>IF($C371="","",IFERROR(INDEX(ENVIOS!$D$4:$D$3003,MATCH($C371,ENVIOS!$A$4:$A$3003,0)),"—"))</f>
        <v/>
      </c>
      <c r="G371" s="22">
        <f>IF($C371="","",IFERROR(INDEX(ENVIOS!$E$4:$E$3003,MATCH($C371,ENVIOS!$A$4:$A$3003,0)),"—"))</f>
        <v/>
      </c>
      <c r="H371" s="22">
        <f>IF($C371="","",IFERROR(INDEX(ENVIOS!$F$4:$F$3003,MATCH($C371,ENVIOS!$A$4:$A$3003,0)),"—"))</f>
        <v/>
      </c>
      <c r="I371" s="27">
        <f>IF($C371="","",IFERROR(INDEX(ENVIOS!$G$4:$G$3003,MATCH($C371,ENVIOS!$A$4:$A$3003,0)),"—"))</f>
        <v/>
      </c>
      <c r="J371" s="48">
        <f>IF($C371="","",IFERROR(INDEX(ENVIOS!$B$4:$B$3003,MATCH($C371,ENVIOS!$A$4:$A$3003,0)),""))</f>
        <v/>
      </c>
      <c r="K371" s="49" t="n"/>
      <c r="L371" s="27">
        <f>IF($K371="","",IFERROR(INDEX(CONFIG!$B$4:$B$43,MATCH($K371,CONFIG!$A$4:$A$43,0)),"Media"))</f>
        <v/>
      </c>
      <c r="M371" s="27">
        <f>IF($K371="","",IFERROR(INDEX(CONFIG!$D$4:$D$43,MATCH($K371,CONFIG!$A$4:$A$43,0)),"NO"))</f>
        <v/>
      </c>
      <c r="N371" s="49" t="n"/>
      <c r="O371" s="27">
        <f>IF($N371="","",IFERROR(INDEX(CONFIG!$G$4:$G$43,MATCH($N371,CONFIG!$F$4:$F$43,0)),"Por definir"))</f>
        <v/>
      </c>
      <c r="P371" s="27">
        <f>IF($N371="","",IFERROR(INDEX(CONFIG!$H$4:$H$43,MATCH($N371,CONFIG!$F$4:$F$43,0)),"Por definir"))</f>
        <v/>
      </c>
      <c r="Q371" s="50" t="n"/>
      <c r="R371" s="51" t="n"/>
      <c r="S371" s="49" t="n"/>
      <c r="T371" s="49" t="n"/>
      <c r="U371" s="48">
        <f>IF(OR($B371="",$K371=""),"",WORKDAY($B371,IFERROR(INDEX(CONFIG!$C$4:$C$43,MATCH($K371,CONFIG!$A$4:$A$43,0)),3)))</f>
        <v/>
      </c>
      <c r="V371" s="46" t="n"/>
      <c r="W371" s="23">
        <f>IF($B371="","",IF($V371&lt;&gt;"",$V371-$B371,TODAY()-$B371))</f>
        <v/>
      </c>
      <c r="X371" s="27">
        <f>IF($C371="","",IF(IFERROR(INDEX(CONFIG!$K$4:$K$43,MATCH($S371,CONFIG!$J$4:$J$43,0)),"NO")="SÍ",IF(OR($V371="",$U371=""),"Resuelta",IF($V371&gt;$U371,"Resuelta tarde","Resuelta a tiempo")),IF($U371="","Sin clasificar",IF(TODAY()&gt;$U371,"Vencida",IF(TODAY()&gt;=$U371-1,"Por vencer","En plazo")))))</f>
        <v/>
      </c>
      <c r="Y371" s="49" t="n"/>
      <c r="Z371" s="49" t="n"/>
    </row>
    <row r="372" ht="16" customHeight="1">
      <c r="A372" s="27">
        <f>IF($C372="","","N-"&amp;TEXT(ROW()-3,"0000"))</f>
        <v/>
      </c>
      <c r="B372" s="46" t="n"/>
      <c r="C372" s="47" t="n"/>
      <c r="D372" s="27">
        <f>IF($C372="","",IF(COUNTIFS(ENVIOS!$A$4:$A$3003,$C372)=0,"NO EXISTE",IF(COUNTIFS(ENVIOS!$A$4:$A$3003,$C372)&gt;1,"DUPLICADA","OK")))</f>
        <v/>
      </c>
      <c r="E372" s="22">
        <f>IF($C372="","",IFERROR(INDEX(ENVIOS!$C$4:$C$3003,MATCH($C372,ENVIOS!$A$4:$A$3003,0)),"—"))</f>
        <v/>
      </c>
      <c r="F372" s="22">
        <f>IF($C372="","",IFERROR(INDEX(ENVIOS!$D$4:$D$3003,MATCH($C372,ENVIOS!$A$4:$A$3003,0)),"—"))</f>
        <v/>
      </c>
      <c r="G372" s="22">
        <f>IF($C372="","",IFERROR(INDEX(ENVIOS!$E$4:$E$3003,MATCH($C372,ENVIOS!$A$4:$A$3003,0)),"—"))</f>
        <v/>
      </c>
      <c r="H372" s="22">
        <f>IF($C372="","",IFERROR(INDEX(ENVIOS!$F$4:$F$3003,MATCH($C372,ENVIOS!$A$4:$A$3003,0)),"—"))</f>
        <v/>
      </c>
      <c r="I372" s="27">
        <f>IF($C372="","",IFERROR(INDEX(ENVIOS!$G$4:$G$3003,MATCH($C372,ENVIOS!$A$4:$A$3003,0)),"—"))</f>
        <v/>
      </c>
      <c r="J372" s="48">
        <f>IF($C372="","",IFERROR(INDEX(ENVIOS!$B$4:$B$3003,MATCH($C372,ENVIOS!$A$4:$A$3003,0)),""))</f>
        <v/>
      </c>
      <c r="K372" s="49" t="n"/>
      <c r="L372" s="27">
        <f>IF($K372="","",IFERROR(INDEX(CONFIG!$B$4:$B$43,MATCH($K372,CONFIG!$A$4:$A$43,0)),"Media"))</f>
        <v/>
      </c>
      <c r="M372" s="27">
        <f>IF($K372="","",IFERROR(INDEX(CONFIG!$D$4:$D$43,MATCH($K372,CONFIG!$A$4:$A$43,0)),"NO"))</f>
        <v/>
      </c>
      <c r="N372" s="49" t="n"/>
      <c r="O372" s="27">
        <f>IF($N372="","",IFERROR(INDEX(CONFIG!$G$4:$G$43,MATCH($N372,CONFIG!$F$4:$F$43,0)),"Por definir"))</f>
        <v/>
      </c>
      <c r="P372" s="27">
        <f>IF($N372="","",IFERROR(INDEX(CONFIG!$H$4:$H$43,MATCH($N372,CONFIG!$F$4:$F$43,0)),"Por definir"))</f>
        <v/>
      </c>
      <c r="Q372" s="50" t="n"/>
      <c r="R372" s="51" t="n"/>
      <c r="S372" s="49" t="n"/>
      <c r="T372" s="49" t="n"/>
      <c r="U372" s="48">
        <f>IF(OR($B372="",$K372=""),"",WORKDAY($B372,IFERROR(INDEX(CONFIG!$C$4:$C$43,MATCH($K372,CONFIG!$A$4:$A$43,0)),3)))</f>
        <v/>
      </c>
      <c r="V372" s="46" t="n"/>
      <c r="W372" s="23">
        <f>IF($B372="","",IF($V372&lt;&gt;"",$V372-$B372,TODAY()-$B372))</f>
        <v/>
      </c>
      <c r="X372" s="27">
        <f>IF($C372="","",IF(IFERROR(INDEX(CONFIG!$K$4:$K$43,MATCH($S372,CONFIG!$J$4:$J$43,0)),"NO")="SÍ",IF(OR($V372="",$U372=""),"Resuelta",IF($V372&gt;$U372,"Resuelta tarde","Resuelta a tiempo")),IF($U372="","Sin clasificar",IF(TODAY()&gt;$U372,"Vencida",IF(TODAY()&gt;=$U372-1,"Por vencer","En plazo")))))</f>
        <v/>
      </c>
      <c r="Y372" s="49" t="n"/>
      <c r="Z372" s="49" t="n"/>
    </row>
    <row r="373" ht="16" customHeight="1">
      <c r="A373" s="27">
        <f>IF($C373="","","N-"&amp;TEXT(ROW()-3,"0000"))</f>
        <v/>
      </c>
      <c r="B373" s="46" t="n"/>
      <c r="C373" s="47" t="n"/>
      <c r="D373" s="27">
        <f>IF($C373="","",IF(COUNTIFS(ENVIOS!$A$4:$A$3003,$C373)=0,"NO EXISTE",IF(COUNTIFS(ENVIOS!$A$4:$A$3003,$C373)&gt;1,"DUPLICADA","OK")))</f>
        <v/>
      </c>
      <c r="E373" s="22">
        <f>IF($C373="","",IFERROR(INDEX(ENVIOS!$C$4:$C$3003,MATCH($C373,ENVIOS!$A$4:$A$3003,0)),"—"))</f>
        <v/>
      </c>
      <c r="F373" s="22">
        <f>IF($C373="","",IFERROR(INDEX(ENVIOS!$D$4:$D$3003,MATCH($C373,ENVIOS!$A$4:$A$3003,0)),"—"))</f>
        <v/>
      </c>
      <c r="G373" s="22">
        <f>IF($C373="","",IFERROR(INDEX(ENVIOS!$E$4:$E$3003,MATCH($C373,ENVIOS!$A$4:$A$3003,0)),"—"))</f>
        <v/>
      </c>
      <c r="H373" s="22">
        <f>IF($C373="","",IFERROR(INDEX(ENVIOS!$F$4:$F$3003,MATCH($C373,ENVIOS!$A$4:$A$3003,0)),"—"))</f>
        <v/>
      </c>
      <c r="I373" s="27">
        <f>IF($C373="","",IFERROR(INDEX(ENVIOS!$G$4:$G$3003,MATCH($C373,ENVIOS!$A$4:$A$3003,0)),"—"))</f>
        <v/>
      </c>
      <c r="J373" s="48">
        <f>IF($C373="","",IFERROR(INDEX(ENVIOS!$B$4:$B$3003,MATCH($C373,ENVIOS!$A$4:$A$3003,0)),""))</f>
        <v/>
      </c>
      <c r="K373" s="49" t="n"/>
      <c r="L373" s="27">
        <f>IF($K373="","",IFERROR(INDEX(CONFIG!$B$4:$B$43,MATCH($K373,CONFIG!$A$4:$A$43,0)),"Media"))</f>
        <v/>
      </c>
      <c r="M373" s="27">
        <f>IF($K373="","",IFERROR(INDEX(CONFIG!$D$4:$D$43,MATCH($K373,CONFIG!$A$4:$A$43,0)),"NO"))</f>
        <v/>
      </c>
      <c r="N373" s="49" t="n"/>
      <c r="O373" s="27">
        <f>IF($N373="","",IFERROR(INDEX(CONFIG!$G$4:$G$43,MATCH($N373,CONFIG!$F$4:$F$43,0)),"Por definir"))</f>
        <v/>
      </c>
      <c r="P373" s="27">
        <f>IF($N373="","",IFERROR(INDEX(CONFIG!$H$4:$H$43,MATCH($N373,CONFIG!$F$4:$F$43,0)),"Por definir"))</f>
        <v/>
      </c>
      <c r="Q373" s="50" t="n"/>
      <c r="R373" s="51" t="n"/>
      <c r="S373" s="49" t="n"/>
      <c r="T373" s="49" t="n"/>
      <c r="U373" s="48">
        <f>IF(OR($B373="",$K373=""),"",WORKDAY($B373,IFERROR(INDEX(CONFIG!$C$4:$C$43,MATCH($K373,CONFIG!$A$4:$A$43,0)),3)))</f>
        <v/>
      </c>
      <c r="V373" s="46" t="n"/>
      <c r="W373" s="23">
        <f>IF($B373="","",IF($V373&lt;&gt;"",$V373-$B373,TODAY()-$B373))</f>
        <v/>
      </c>
      <c r="X373" s="27">
        <f>IF($C373="","",IF(IFERROR(INDEX(CONFIG!$K$4:$K$43,MATCH($S373,CONFIG!$J$4:$J$43,0)),"NO")="SÍ",IF(OR($V373="",$U373=""),"Resuelta",IF($V373&gt;$U373,"Resuelta tarde","Resuelta a tiempo")),IF($U373="","Sin clasificar",IF(TODAY()&gt;$U373,"Vencida",IF(TODAY()&gt;=$U373-1,"Por vencer","En plazo")))))</f>
        <v/>
      </c>
      <c r="Y373" s="49" t="n"/>
      <c r="Z373" s="49" t="n"/>
    </row>
    <row r="374" ht="16" customHeight="1">
      <c r="A374" s="27">
        <f>IF($C374="","","N-"&amp;TEXT(ROW()-3,"0000"))</f>
        <v/>
      </c>
      <c r="B374" s="46" t="n"/>
      <c r="C374" s="47" t="n"/>
      <c r="D374" s="27">
        <f>IF($C374="","",IF(COUNTIFS(ENVIOS!$A$4:$A$3003,$C374)=0,"NO EXISTE",IF(COUNTIFS(ENVIOS!$A$4:$A$3003,$C374)&gt;1,"DUPLICADA","OK")))</f>
        <v/>
      </c>
      <c r="E374" s="22">
        <f>IF($C374="","",IFERROR(INDEX(ENVIOS!$C$4:$C$3003,MATCH($C374,ENVIOS!$A$4:$A$3003,0)),"—"))</f>
        <v/>
      </c>
      <c r="F374" s="22">
        <f>IF($C374="","",IFERROR(INDEX(ENVIOS!$D$4:$D$3003,MATCH($C374,ENVIOS!$A$4:$A$3003,0)),"—"))</f>
        <v/>
      </c>
      <c r="G374" s="22">
        <f>IF($C374="","",IFERROR(INDEX(ENVIOS!$E$4:$E$3003,MATCH($C374,ENVIOS!$A$4:$A$3003,0)),"—"))</f>
        <v/>
      </c>
      <c r="H374" s="22">
        <f>IF($C374="","",IFERROR(INDEX(ENVIOS!$F$4:$F$3003,MATCH($C374,ENVIOS!$A$4:$A$3003,0)),"—"))</f>
        <v/>
      </c>
      <c r="I374" s="27">
        <f>IF($C374="","",IFERROR(INDEX(ENVIOS!$G$4:$G$3003,MATCH($C374,ENVIOS!$A$4:$A$3003,0)),"—"))</f>
        <v/>
      </c>
      <c r="J374" s="48">
        <f>IF($C374="","",IFERROR(INDEX(ENVIOS!$B$4:$B$3003,MATCH($C374,ENVIOS!$A$4:$A$3003,0)),""))</f>
        <v/>
      </c>
      <c r="K374" s="49" t="n"/>
      <c r="L374" s="27">
        <f>IF($K374="","",IFERROR(INDEX(CONFIG!$B$4:$B$43,MATCH($K374,CONFIG!$A$4:$A$43,0)),"Media"))</f>
        <v/>
      </c>
      <c r="M374" s="27">
        <f>IF($K374="","",IFERROR(INDEX(CONFIG!$D$4:$D$43,MATCH($K374,CONFIG!$A$4:$A$43,0)),"NO"))</f>
        <v/>
      </c>
      <c r="N374" s="49" t="n"/>
      <c r="O374" s="27">
        <f>IF($N374="","",IFERROR(INDEX(CONFIG!$G$4:$G$43,MATCH($N374,CONFIG!$F$4:$F$43,0)),"Por definir"))</f>
        <v/>
      </c>
      <c r="P374" s="27">
        <f>IF($N374="","",IFERROR(INDEX(CONFIG!$H$4:$H$43,MATCH($N374,CONFIG!$F$4:$F$43,0)),"Por definir"))</f>
        <v/>
      </c>
      <c r="Q374" s="50" t="n"/>
      <c r="R374" s="51" t="n"/>
      <c r="S374" s="49" t="n"/>
      <c r="T374" s="49" t="n"/>
      <c r="U374" s="48">
        <f>IF(OR($B374="",$K374=""),"",WORKDAY($B374,IFERROR(INDEX(CONFIG!$C$4:$C$43,MATCH($K374,CONFIG!$A$4:$A$43,0)),3)))</f>
        <v/>
      </c>
      <c r="V374" s="46" t="n"/>
      <c r="W374" s="23">
        <f>IF($B374="","",IF($V374&lt;&gt;"",$V374-$B374,TODAY()-$B374))</f>
        <v/>
      </c>
      <c r="X374" s="27">
        <f>IF($C374="","",IF(IFERROR(INDEX(CONFIG!$K$4:$K$43,MATCH($S374,CONFIG!$J$4:$J$43,0)),"NO")="SÍ",IF(OR($V374="",$U374=""),"Resuelta",IF($V374&gt;$U374,"Resuelta tarde","Resuelta a tiempo")),IF($U374="","Sin clasificar",IF(TODAY()&gt;$U374,"Vencida",IF(TODAY()&gt;=$U374-1,"Por vencer","En plazo")))))</f>
        <v/>
      </c>
      <c r="Y374" s="49" t="n"/>
      <c r="Z374" s="49" t="n"/>
    </row>
    <row r="375" ht="16" customHeight="1">
      <c r="A375" s="27">
        <f>IF($C375="","","N-"&amp;TEXT(ROW()-3,"0000"))</f>
        <v/>
      </c>
      <c r="B375" s="46" t="n"/>
      <c r="C375" s="47" t="n"/>
      <c r="D375" s="27">
        <f>IF($C375="","",IF(COUNTIFS(ENVIOS!$A$4:$A$3003,$C375)=0,"NO EXISTE",IF(COUNTIFS(ENVIOS!$A$4:$A$3003,$C375)&gt;1,"DUPLICADA","OK")))</f>
        <v/>
      </c>
      <c r="E375" s="22">
        <f>IF($C375="","",IFERROR(INDEX(ENVIOS!$C$4:$C$3003,MATCH($C375,ENVIOS!$A$4:$A$3003,0)),"—"))</f>
        <v/>
      </c>
      <c r="F375" s="22">
        <f>IF($C375="","",IFERROR(INDEX(ENVIOS!$D$4:$D$3003,MATCH($C375,ENVIOS!$A$4:$A$3003,0)),"—"))</f>
        <v/>
      </c>
      <c r="G375" s="22">
        <f>IF($C375="","",IFERROR(INDEX(ENVIOS!$E$4:$E$3003,MATCH($C375,ENVIOS!$A$4:$A$3003,0)),"—"))</f>
        <v/>
      </c>
      <c r="H375" s="22">
        <f>IF($C375="","",IFERROR(INDEX(ENVIOS!$F$4:$F$3003,MATCH($C375,ENVIOS!$A$4:$A$3003,0)),"—"))</f>
        <v/>
      </c>
      <c r="I375" s="27">
        <f>IF($C375="","",IFERROR(INDEX(ENVIOS!$G$4:$G$3003,MATCH($C375,ENVIOS!$A$4:$A$3003,0)),"—"))</f>
        <v/>
      </c>
      <c r="J375" s="48">
        <f>IF($C375="","",IFERROR(INDEX(ENVIOS!$B$4:$B$3003,MATCH($C375,ENVIOS!$A$4:$A$3003,0)),""))</f>
        <v/>
      </c>
      <c r="K375" s="49" t="n"/>
      <c r="L375" s="27">
        <f>IF($K375="","",IFERROR(INDEX(CONFIG!$B$4:$B$43,MATCH($K375,CONFIG!$A$4:$A$43,0)),"Media"))</f>
        <v/>
      </c>
      <c r="M375" s="27">
        <f>IF($K375="","",IFERROR(INDEX(CONFIG!$D$4:$D$43,MATCH($K375,CONFIG!$A$4:$A$43,0)),"NO"))</f>
        <v/>
      </c>
      <c r="N375" s="49" t="n"/>
      <c r="O375" s="27">
        <f>IF($N375="","",IFERROR(INDEX(CONFIG!$G$4:$G$43,MATCH($N375,CONFIG!$F$4:$F$43,0)),"Por definir"))</f>
        <v/>
      </c>
      <c r="P375" s="27">
        <f>IF($N375="","",IFERROR(INDEX(CONFIG!$H$4:$H$43,MATCH($N375,CONFIG!$F$4:$F$43,0)),"Por definir"))</f>
        <v/>
      </c>
      <c r="Q375" s="50" t="n"/>
      <c r="R375" s="51" t="n"/>
      <c r="S375" s="49" t="n"/>
      <c r="T375" s="49" t="n"/>
      <c r="U375" s="48">
        <f>IF(OR($B375="",$K375=""),"",WORKDAY($B375,IFERROR(INDEX(CONFIG!$C$4:$C$43,MATCH($K375,CONFIG!$A$4:$A$43,0)),3)))</f>
        <v/>
      </c>
      <c r="V375" s="46" t="n"/>
      <c r="W375" s="23">
        <f>IF($B375="","",IF($V375&lt;&gt;"",$V375-$B375,TODAY()-$B375))</f>
        <v/>
      </c>
      <c r="X375" s="27">
        <f>IF($C375="","",IF(IFERROR(INDEX(CONFIG!$K$4:$K$43,MATCH($S375,CONFIG!$J$4:$J$43,0)),"NO")="SÍ",IF(OR($V375="",$U375=""),"Resuelta",IF($V375&gt;$U375,"Resuelta tarde","Resuelta a tiempo")),IF($U375="","Sin clasificar",IF(TODAY()&gt;$U375,"Vencida",IF(TODAY()&gt;=$U375-1,"Por vencer","En plazo")))))</f>
        <v/>
      </c>
      <c r="Y375" s="49" t="n"/>
      <c r="Z375" s="49" t="n"/>
    </row>
    <row r="376" ht="16" customHeight="1">
      <c r="A376" s="27">
        <f>IF($C376="","","N-"&amp;TEXT(ROW()-3,"0000"))</f>
        <v/>
      </c>
      <c r="B376" s="46" t="n"/>
      <c r="C376" s="47" t="n"/>
      <c r="D376" s="27">
        <f>IF($C376="","",IF(COUNTIFS(ENVIOS!$A$4:$A$3003,$C376)=0,"NO EXISTE",IF(COUNTIFS(ENVIOS!$A$4:$A$3003,$C376)&gt;1,"DUPLICADA","OK")))</f>
        <v/>
      </c>
      <c r="E376" s="22">
        <f>IF($C376="","",IFERROR(INDEX(ENVIOS!$C$4:$C$3003,MATCH($C376,ENVIOS!$A$4:$A$3003,0)),"—"))</f>
        <v/>
      </c>
      <c r="F376" s="22">
        <f>IF($C376="","",IFERROR(INDEX(ENVIOS!$D$4:$D$3003,MATCH($C376,ENVIOS!$A$4:$A$3003,0)),"—"))</f>
        <v/>
      </c>
      <c r="G376" s="22">
        <f>IF($C376="","",IFERROR(INDEX(ENVIOS!$E$4:$E$3003,MATCH($C376,ENVIOS!$A$4:$A$3003,0)),"—"))</f>
        <v/>
      </c>
      <c r="H376" s="22">
        <f>IF($C376="","",IFERROR(INDEX(ENVIOS!$F$4:$F$3003,MATCH($C376,ENVIOS!$A$4:$A$3003,0)),"—"))</f>
        <v/>
      </c>
      <c r="I376" s="27">
        <f>IF($C376="","",IFERROR(INDEX(ENVIOS!$G$4:$G$3003,MATCH($C376,ENVIOS!$A$4:$A$3003,0)),"—"))</f>
        <v/>
      </c>
      <c r="J376" s="48">
        <f>IF($C376="","",IFERROR(INDEX(ENVIOS!$B$4:$B$3003,MATCH($C376,ENVIOS!$A$4:$A$3003,0)),""))</f>
        <v/>
      </c>
      <c r="K376" s="49" t="n"/>
      <c r="L376" s="27">
        <f>IF($K376="","",IFERROR(INDEX(CONFIG!$B$4:$B$43,MATCH($K376,CONFIG!$A$4:$A$43,0)),"Media"))</f>
        <v/>
      </c>
      <c r="M376" s="27">
        <f>IF($K376="","",IFERROR(INDEX(CONFIG!$D$4:$D$43,MATCH($K376,CONFIG!$A$4:$A$43,0)),"NO"))</f>
        <v/>
      </c>
      <c r="N376" s="49" t="n"/>
      <c r="O376" s="27">
        <f>IF($N376="","",IFERROR(INDEX(CONFIG!$G$4:$G$43,MATCH($N376,CONFIG!$F$4:$F$43,0)),"Por definir"))</f>
        <v/>
      </c>
      <c r="P376" s="27">
        <f>IF($N376="","",IFERROR(INDEX(CONFIG!$H$4:$H$43,MATCH($N376,CONFIG!$F$4:$F$43,0)),"Por definir"))</f>
        <v/>
      </c>
      <c r="Q376" s="50" t="n"/>
      <c r="R376" s="51" t="n"/>
      <c r="S376" s="49" t="n"/>
      <c r="T376" s="49" t="n"/>
      <c r="U376" s="48">
        <f>IF(OR($B376="",$K376=""),"",WORKDAY($B376,IFERROR(INDEX(CONFIG!$C$4:$C$43,MATCH($K376,CONFIG!$A$4:$A$43,0)),3)))</f>
        <v/>
      </c>
      <c r="V376" s="46" t="n"/>
      <c r="W376" s="23">
        <f>IF($B376="","",IF($V376&lt;&gt;"",$V376-$B376,TODAY()-$B376))</f>
        <v/>
      </c>
      <c r="X376" s="27">
        <f>IF($C376="","",IF(IFERROR(INDEX(CONFIG!$K$4:$K$43,MATCH($S376,CONFIG!$J$4:$J$43,0)),"NO")="SÍ",IF(OR($V376="",$U376=""),"Resuelta",IF($V376&gt;$U376,"Resuelta tarde","Resuelta a tiempo")),IF($U376="","Sin clasificar",IF(TODAY()&gt;$U376,"Vencida",IF(TODAY()&gt;=$U376-1,"Por vencer","En plazo")))))</f>
        <v/>
      </c>
      <c r="Y376" s="49" t="n"/>
      <c r="Z376" s="49" t="n"/>
    </row>
    <row r="377" ht="16" customHeight="1">
      <c r="A377" s="27">
        <f>IF($C377="","","N-"&amp;TEXT(ROW()-3,"0000"))</f>
        <v/>
      </c>
      <c r="B377" s="46" t="n"/>
      <c r="C377" s="47" t="n"/>
      <c r="D377" s="27">
        <f>IF($C377="","",IF(COUNTIFS(ENVIOS!$A$4:$A$3003,$C377)=0,"NO EXISTE",IF(COUNTIFS(ENVIOS!$A$4:$A$3003,$C377)&gt;1,"DUPLICADA","OK")))</f>
        <v/>
      </c>
      <c r="E377" s="22">
        <f>IF($C377="","",IFERROR(INDEX(ENVIOS!$C$4:$C$3003,MATCH($C377,ENVIOS!$A$4:$A$3003,0)),"—"))</f>
        <v/>
      </c>
      <c r="F377" s="22">
        <f>IF($C377="","",IFERROR(INDEX(ENVIOS!$D$4:$D$3003,MATCH($C377,ENVIOS!$A$4:$A$3003,0)),"—"))</f>
        <v/>
      </c>
      <c r="G377" s="22">
        <f>IF($C377="","",IFERROR(INDEX(ENVIOS!$E$4:$E$3003,MATCH($C377,ENVIOS!$A$4:$A$3003,0)),"—"))</f>
        <v/>
      </c>
      <c r="H377" s="22">
        <f>IF($C377="","",IFERROR(INDEX(ENVIOS!$F$4:$F$3003,MATCH($C377,ENVIOS!$A$4:$A$3003,0)),"—"))</f>
        <v/>
      </c>
      <c r="I377" s="27">
        <f>IF($C377="","",IFERROR(INDEX(ENVIOS!$G$4:$G$3003,MATCH($C377,ENVIOS!$A$4:$A$3003,0)),"—"))</f>
        <v/>
      </c>
      <c r="J377" s="48">
        <f>IF($C377="","",IFERROR(INDEX(ENVIOS!$B$4:$B$3003,MATCH($C377,ENVIOS!$A$4:$A$3003,0)),""))</f>
        <v/>
      </c>
      <c r="K377" s="49" t="n"/>
      <c r="L377" s="27">
        <f>IF($K377="","",IFERROR(INDEX(CONFIG!$B$4:$B$43,MATCH($K377,CONFIG!$A$4:$A$43,0)),"Media"))</f>
        <v/>
      </c>
      <c r="M377" s="27">
        <f>IF($K377="","",IFERROR(INDEX(CONFIG!$D$4:$D$43,MATCH($K377,CONFIG!$A$4:$A$43,0)),"NO"))</f>
        <v/>
      </c>
      <c r="N377" s="49" t="n"/>
      <c r="O377" s="27">
        <f>IF($N377="","",IFERROR(INDEX(CONFIG!$G$4:$G$43,MATCH($N377,CONFIG!$F$4:$F$43,0)),"Por definir"))</f>
        <v/>
      </c>
      <c r="P377" s="27">
        <f>IF($N377="","",IFERROR(INDEX(CONFIG!$H$4:$H$43,MATCH($N377,CONFIG!$F$4:$F$43,0)),"Por definir"))</f>
        <v/>
      </c>
      <c r="Q377" s="50" t="n"/>
      <c r="R377" s="51" t="n"/>
      <c r="S377" s="49" t="n"/>
      <c r="T377" s="49" t="n"/>
      <c r="U377" s="48">
        <f>IF(OR($B377="",$K377=""),"",WORKDAY($B377,IFERROR(INDEX(CONFIG!$C$4:$C$43,MATCH($K377,CONFIG!$A$4:$A$43,0)),3)))</f>
        <v/>
      </c>
      <c r="V377" s="46" t="n"/>
      <c r="W377" s="23">
        <f>IF($B377="","",IF($V377&lt;&gt;"",$V377-$B377,TODAY()-$B377))</f>
        <v/>
      </c>
      <c r="X377" s="27">
        <f>IF($C377="","",IF(IFERROR(INDEX(CONFIG!$K$4:$K$43,MATCH($S377,CONFIG!$J$4:$J$43,0)),"NO")="SÍ",IF(OR($V377="",$U377=""),"Resuelta",IF($V377&gt;$U377,"Resuelta tarde","Resuelta a tiempo")),IF($U377="","Sin clasificar",IF(TODAY()&gt;$U377,"Vencida",IF(TODAY()&gt;=$U377-1,"Por vencer","En plazo")))))</f>
        <v/>
      </c>
      <c r="Y377" s="49" t="n"/>
      <c r="Z377" s="49" t="n"/>
    </row>
    <row r="378" ht="16" customHeight="1">
      <c r="A378" s="27">
        <f>IF($C378="","","N-"&amp;TEXT(ROW()-3,"0000"))</f>
        <v/>
      </c>
      <c r="B378" s="46" t="n"/>
      <c r="C378" s="47" t="n"/>
      <c r="D378" s="27">
        <f>IF($C378="","",IF(COUNTIFS(ENVIOS!$A$4:$A$3003,$C378)=0,"NO EXISTE",IF(COUNTIFS(ENVIOS!$A$4:$A$3003,$C378)&gt;1,"DUPLICADA","OK")))</f>
        <v/>
      </c>
      <c r="E378" s="22">
        <f>IF($C378="","",IFERROR(INDEX(ENVIOS!$C$4:$C$3003,MATCH($C378,ENVIOS!$A$4:$A$3003,0)),"—"))</f>
        <v/>
      </c>
      <c r="F378" s="22">
        <f>IF($C378="","",IFERROR(INDEX(ENVIOS!$D$4:$D$3003,MATCH($C378,ENVIOS!$A$4:$A$3003,0)),"—"))</f>
        <v/>
      </c>
      <c r="G378" s="22">
        <f>IF($C378="","",IFERROR(INDEX(ENVIOS!$E$4:$E$3003,MATCH($C378,ENVIOS!$A$4:$A$3003,0)),"—"))</f>
        <v/>
      </c>
      <c r="H378" s="22">
        <f>IF($C378="","",IFERROR(INDEX(ENVIOS!$F$4:$F$3003,MATCH($C378,ENVIOS!$A$4:$A$3003,0)),"—"))</f>
        <v/>
      </c>
      <c r="I378" s="27">
        <f>IF($C378="","",IFERROR(INDEX(ENVIOS!$G$4:$G$3003,MATCH($C378,ENVIOS!$A$4:$A$3003,0)),"—"))</f>
        <v/>
      </c>
      <c r="J378" s="48">
        <f>IF($C378="","",IFERROR(INDEX(ENVIOS!$B$4:$B$3003,MATCH($C378,ENVIOS!$A$4:$A$3003,0)),""))</f>
        <v/>
      </c>
      <c r="K378" s="49" t="n"/>
      <c r="L378" s="27">
        <f>IF($K378="","",IFERROR(INDEX(CONFIG!$B$4:$B$43,MATCH($K378,CONFIG!$A$4:$A$43,0)),"Media"))</f>
        <v/>
      </c>
      <c r="M378" s="27">
        <f>IF($K378="","",IFERROR(INDEX(CONFIG!$D$4:$D$43,MATCH($K378,CONFIG!$A$4:$A$43,0)),"NO"))</f>
        <v/>
      </c>
      <c r="N378" s="49" t="n"/>
      <c r="O378" s="27">
        <f>IF($N378="","",IFERROR(INDEX(CONFIG!$G$4:$G$43,MATCH($N378,CONFIG!$F$4:$F$43,0)),"Por definir"))</f>
        <v/>
      </c>
      <c r="P378" s="27">
        <f>IF($N378="","",IFERROR(INDEX(CONFIG!$H$4:$H$43,MATCH($N378,CONFIG!$F$4:$F$43,0)),"Por definir"))</f>
        <v/>
      </c>
      <c r="Q378" s="50" t="n"/>
      <c r="R378" s="51" t="n"/>
      <c r="S378" s="49" t="n"/>
      <c r="T378" s="49" t="n"/>
      <c r="U378" s="48">
        <f>IF(OR($B378="",$K378=""),"",WORKDAY($B378,IFERROR(INDEX(CONFIG!$C$4:$C$43,MATCH($K378,CONFIG!$A$4:$A$43,0)),3)))</f>
        <v/>
      </c>
      <c r="V378" s="46" t="n"/>
      <c r="W378" s="23">
        <f>IF($B378="","",IF($V378&lt;&gt;"",$V378-$B378,TODAY()-$B378))</f>
        <v/>
      </c>
      <c r="X378" s="27">
        <f>IF($C378="","",IF(IFERROR(INDEX(CONFIG!$K$4:$K$43,MATCH($S378,CONFIG!$J$4:$J$43,0)),"NO")="SÍ",IF(OR($V378="",$U378=""),"Resuelta",IF($V378&gt;$U378,"Resuelta tarde","Resuelta a tiempo")),IF($U378="","Sin clasificar",IF(TODAY()&gt;$U378,"Vencida",IF(TODAY()&gt;=$U378-1,"Por vencer","En plazo")))))</f>
        <v/>
      </c>
      <c r="Y378" s="49" t="n"/>
      <c r="Z378" s="49" t="n"/>
    </row>
    <row r="379" ht="16" customHeight="1">
      <c r="A379" s="27">
        <f>IF($C379="","","N-"&amp;TEXT(ROW()-3,"0000"))</f>
        <v/>
      </c>
      <c r="B379" s="46" t="n"/>
      <c r="C379" s="47" t="n"/>
      <c r="D379" s="27">
        <f>IF($C379="","",IF(COUNTIFS(ENVIOS!$A$4:$A$3003,$C379)=0,"NO EXISTE",IF(COUNTIFS(ENVIOS!$A$4:$A$3003,$C379)&gt;1,"DUPLICADA","OK")))</f>
        <v/>
      </c>
      <c r="E379" s="22">
        <f>IF($C379="","",IFERROR(INDEX(ENVIOS!$C$4:$C$3003,MATCH($C379,ENVIOS!$A$4:$A$3003,0)),"—"))</f>
        <v/>
      </c>
      <c r="F379" s="22">
        <f>IF($C379="","",IFERROR(INDEX(ENVIOS!$D$4:$D$3003,MATCH($C379,ENVIOS!$A$4:$A$3003,0)),"—"))</f>
        <v/>
      </c>
      <c r="G379" s="22">
        <f>IF($C379="","",IFERROR(INDEX(ENVIOS!$E$4:$E$3003,MATCH($C379,ENVIOS!$A$4:$A$3003,0)),"—"))</f>
        <v/>
      </c>
      <c r="H379" s="22">
        <f>IF($C379="","",IFERROR(INDEX(ENVIOS!$F$4:$F$3003,MATCH($C379,ENVIOS!$A$4:$A$3003,0)),"—"))</f>
        <v/>
      </c>
      <c r="I379" s="27">
        <f>IF($C379="","",IFERROR(INDEX(ENVIOS!$G$4:$G$3003,MATCH($C379,ENVIOS!$A$4:$A$3003,0)),"—"))</f>
        <v/>
      </c>
      <c r="J379" s="48">
        <f>IF($C379="","",IFERROR(INDEX(ENVIOS!$B$4:$B$3003,MATCH($C379,ENVIOS!$A$4:$A$3003,0)),""))</f>
        <v/>
      </c>
      <c r="K379" s="49" t="n"/>
      <c r="L379" s="27">
        <f>IF($K379="","",IFERROR(INDEX(CONFIG!$B$4:$B$43,MATCH($K379,CONFIG!$A$4:$A$43,0)),"Media"))</f>
        <v/>
      </c>
      <c r="M379" s="27">
        <f>IF($K379="","",IFERROR(INDEX(CONFIG!$D$4:$D$43,MATCH($K379,CONFIG!$A$4:$A$43,0)),"NO"))</f>
        <v/>
      </c>
      <c r="N379" s="49" t="n"/>
      <c r="O379" s="27">
        <f>IF($N379="","",IFERROR(INDEX(CONFIG!$G$4:$G$43,MATCH($N379,CONFIG!$F$4:$F$43,0)),"Por definir"))</f>
        <v/>
      </c>
      <c r="P379" s="27">
        <f>IF($N379="","",IFERROR(INDEX(CONFIG!$H$4:$H$43,MATCH($N379,CONFIG!$F$4:$F$43,0)),"Por definir"))</f>
        <v/>
      </c>
      <c r="Q379" s="50" t="n"/>
      <c r="R379" s="51" t="n"/>
      <c r="S379" s="49" t="n"/>
      <c r="T379" s="49" t="n"/>
      <c r="U379" s="48">
        <f>IF(OR($B379="",$K379=""),"",WORKDAY($B379,IFERROR(INDEX(CONFIG!$C$4:$C$43,MATCH($K379,CONFIG!$A$4:$A$43,0)),3)))</f>
        <v/>
      </c>
      <c r="V379" s="46" t="n"/>
      <c r="W379" s="23">
        <f>IF($B379="","",IF($V379&lt;&gt;"",$V379-$B379,TODAY()-$B379))</f>
        <v/>
      </c>
      <c r="X379" s="27">
        <f>IF($C379="","",IF(IFERROR(INDEX(CONFIG!$K$4:$K$43,MATCH($S379,CONFIG!$J$4:$J$43,0)),"NO")="SÍ",IF(OR($V379="",$U379=""),"Resuelta",IF($V379&gt;$U379,"Resuelta tarde","Resuelta a tiempo")),IF($U379="","Sin clasificar",IF(TODAY()&gt;$U379,"Vencida",IF(TODAY()&gt;=$U379-1,"Por vencer","En plazo")))))</f>
        <v/>
      </c>
      <c r="Y379" s="49" t="n"/>
      <c r="Z379" s="49" t="n"/>
    </row>
    <row r="380" ht="16" customHeight="1">
      <c r="A380" s="27">
        <f>IF($C380="","","N-"&amp;TEXT(ROW()-3,"0000"))</f>
        <v/>
      </c>
      <c r="B380" s="46" t="n"/>
      <c r="C380" s="47" t="n"/>
      <c r="D380" s="27">
        <f>IF($C380="","",IF(COUNTIFS(ENVIOS!$A$4:$A$3003,$C380)=0,"NO EXISTE",IF(COUNTIFS(ENVIOS!$A$4:$A$3003,$C380)&gt;1,"DUPLICADA","OK")))</f>
        <v/>
      </c>
      <c r="E380" s="22">
        <f>IF($C380="","",IFERROR(INDEX(ENVIOS!$C$4:$C$3003,MATCH($C380,ENVIOS!$A$4:$A$3003,0)),"—"))</f>
        <v/>
      </c>
      <c r="F380" s="22">
        <f>IF($C380="","",IFERROR(INDEX(ENVIOS!$D$4:$D$3003,MATCH($C380,ENVIOS!$A$4:$A$3003,0)),"—"))</f>
        <v/>
      </c>
      <c r="G380" s="22">
        <f>IF($C380="","",IFERROR(INDEX(ENVIOS!$E$4:$E$3003,MATCH($C380,ENVIOS!$A$4:$A$3003,0)),"—"))</f>
        <v/>
      </c>
      <c r="H380" s="22">
        <f>IF($C380="","",IFERROR(INDEX(ENVIOS!$F$4:$F$3003,MATCH($C380,ENVIOS!$A$4:$A$3003,0)),"—"))</f>
        <v/>
      </c>
      <c r="I380" s="27">
        <f>IF($C380="","",IFERROR(INDEX(ENVIOS!$G$4:$G$3003,MATCH($C380,ENVIOS!$A$4:$A$3003,0)),"—"))</f>
        <v/>
      </c>
      <c r="J380" s="48">
        <f>IF($C380="","",IFERROR(INDEX(ENVIOS!$B$4:$B$3003,MATCH($C380,ENVIOS!$A$4:$A$3003,0)),""))</f>
        <v/>
      </c>
      <c r="K380" s="49" t="n"/>
      <c r="L380" s="27">
        <f>IF($K380="","",IFERROR(INDEX(CONFIG!$B$4:$B$43,MATCH($K380,CONFIG!$A$4:$A$43,0)),"Media"))</f>
        <v/>
      </c>
      <c r="M380" s="27">
        <f>IF($K380="","",IFERROR(INDEX(CONFIG!$D$4:$D$43,MATCH($K380,CONFIG!$A$4:$A$43,0)),"NO"))</f>
        <v/>
      </c>
      <c r="N380" s="49" t="n"/>
      <c r="O380" s="27">
        <f>IF($N380="","",IFERROR(INDEX(CONFIG!$G$4:$G$43,MATCH($N380,CONFIG!$F$4:$F$43,0)),"Por definir"))</f>
        <v/>
      </c>
      <c r="P380" s="27">
        <f>IF($N380="","",IFERROR(INDEX(CONFIG!$H$4:$H$43,MATCH($N380,CONFIG!$F$4:$F$43,0)),"Por definir"))</f>
        <v/>
      </c>
      <c r="Q380" s="50" t="n"/>
      <c r="R380" s="51" t="n"/>
      <c r="S380" s="49" t="n"/>
      <c r="T380" s="49" t="n"/>
      <c r="U380" s="48">
        <f>IF(OR($B380="",$K380=""),"",WORKDAY($B380,IFERROR(INDEX(CONFIG!$C$4:$C$43,MATCH($K380,CONFIG!$A$4:$A$43,0)),3)))</f>
        <v/>
      </c>
      <c r="V380" s="46" t="n"/>
      <c r="W380" s="23">
        <f>IF($B380="","",IF($V380&lt;&gt;"",$V380-$B380,TODAY()-$B380))</f>
        <v/>
      </c>
      <c r="X380" s="27">
        <f>IF($C380="","",IF(IFERROR(INDEX(CONFIG!$K$4:$K$43,MATCH($S380,CONFIG!$J$4:$J$43,0)),"NO")="SÍ",IF(OR($V380="",$U380=""),"Resuelta",IF($V380&gt;$U380,"Resuelta tarde","Resuelta a tiempo")),IF($U380="","Sin clasificar",IF(TODAY()&gt;$U380,"Vencida",IF(TODAY()&gt;=$U380-1,"Por vencer","En plazo")))))</f>
        <v/>
      </c>
      <c r="Y380" s="49" t="n"/>
      <c r="Z380" s="49" t="n"/>
    </row>
    <row r="381" ht="16" customHeight="1">
      <c r="A381" s="27">
        <f>IF($C381="","","N-"&amp;TEXT(ROW()-3,"0000"))</f>
        <v/>
      </c>
      <c r="B381" s="46" t="n"/>
      <c r="C381" s="47" t="n"/>
      <c r="D381" s="27">
        <f>IF($C381="","",IF(COUNTIFS(ENVIOS!$A$4:$A$3003,$C381)=0,"NO EXISTE",IF(COUNTIFS(ENVIOS!$A$4:$A$3003,$C381)&gt;1,"DUPLICADA","OK")))</f>
        <v/>
      </c>
      <c r="E381" s="22">
        <f>IF($C381="","",IFERROR(INDEX(ENVIOS!$C$4:$C$3003,MATCH($C381,ENVIOS!$A$4:$A$3003,0)),"—"))</f>
        <v/>
      </c>
      <c r="F381" s="22">
        <f>IF($C381="","",IFERROR(INDEX(ENVIOS!$D$4:$D$3003,MATCH($C381,ENVIOS!$A$4:$A$3003,0)),"—"))</f>
        <v/>
      </c>
      <c r="G381" s="22">
        <f>IF($C381="","",IFERROR(INDEX(ENVIOS!$E$4:$E$3003,MATCH($C381,ENVIOS!$A$4:$A$3003,0)),"—"))</f>
        <v/>
      </c>
      <c r="H381" s="22">
        <f>IF($C381="","",IFERROR(INDEX(ENVIOS!$F$4:$F$3003,MATCH($C381,ENVIOS!$A$4:$A$3003,0)),"—"))</f>
        <v/>
      </c>
      <c r="I381" s="27">
        <f>IF($C381="","",IFERROR(INDEX(ENVIOS!$G$4:$G$3003,MATCH($C381,ENVIOS!$A$4:$A$3003,0)),"—"))</f>
        <v/>
      </c>
      <c r="J381" s="48">
        <f>IF($C381="","",IFERROR(INDEX(ENVIOS!$B$4:$B$3003,MATCH($C381,ENVIOS!$A$4:$A$3003,0)),""))</f>
        <v/>
      </c>
      <c r="K381" s="49" t="n"/>
      <c r="L381" s="27">
        <f>IF($K381="","",IFERROR(INDEX(CONFIG!$B$4:$B$43,MATCH($K381,CONFIG!$A$4:$A$43,0)),"Media"))</f>
        <v/>
      </c>
      <c r="M381" s="27">
        <f>IF($K381="","",IFERROR(INDEX(CONFIG!$D$4:$D$43,MATCH($K381,CONFIG!$A$4:$A$43,0)),"NO"))</f>
        <v/>
      </c>
      <c r="N381" s="49" t="n"/>
      <c r="O381" s="27">
        <f>IF($N381="","",IFERROR(INDEX(CONFIG!$G$4:$G$43,MATCH($N381,CONFIG!$F$4:$F$43,0)),"Por definir"))</f>
        <v/>
      </c>
      <c r="P381" s="27">
        <f>IF($N381="","",IFERROR(INDEX(CONFIG!$H$4:$H$43,MATCH($N381,CONFIG!$F$4:$F$43,0)),"Por definir"))</f>
        <v/>
      </c>
      <c r="Q381" s="50" t="n"/>
      <c r="R381" s="51" t="n"/>
      <c r="S381" s="49" t="n"/>
      <c r="T381" s="49" t="n"/>
      <c r="U381" s="48">
        <f>IF(OR($B381="",$K381=""),"",WORKDAY($B381,IFERROR(INDEX(CONFIG!$C$4:$C$43,MATCH($K381,CONFIG!$A$4:$A$43,0)),3)))</f>
        <v/>
      </c>
      <c r="V381" s="46" t="n"/>
      <c r="W381" s="23">
        <f>IF($B381="","",IF($V381&lt;&gt;"",$V381-$B381,TODAY()-$B381))</f>
        <v/>
      </c>
      <c r="X381" s="27">
        <f>IF($C381="","",IF(IFERROR(INDEX(CONFIG!$K$4:$K$43,MATCH($S381,CONFIG!$J$4:$J$43,0)),"NO")="SÍ",IF(OR($V381="",$U381=""),"Resuelta",IF($V381&gt;$U381,"Resuelta tarde","Resuelta a tiempo")),IF($U381="","Sin clasificar",IF(TODAY()&gt;$U381,"Vencida",IF(TODAY()&gt;=$U381-1,"Por vencer","En plazo")))))</f>
        <v/>
      </c>
      <c r="Y381" s="49" t="n"/>
      <c r="Z381" s="49" t="n"/>
    </row>
    <row r="382" ht="16" customHeight="1">
      <c r="A382" s="27">
        <f>IF($C382="","","N-"&amp;TEXT(ROW()-3,"0000"))</f>
        <v/>
      </c>
      <c r="B382" s="46" t="n"/>
      <c r="C382" s="47" t="n"/>
      <c r="D382" s="27">
        <f>IF($C382="","",IF(COUNTIFS(ENVIOS!$A$4:$A$3003,$C382)=0,"NO EXISTE",IF(COUNTIFS(ENVIOS!$A$4:$A$3003,$C382)&gt;1,"DUPLICADA","OK")))</f>
        <v/>
      </c>
      <c r="E382" s="22">
        <f>IF($C382="","",IFERROR(INDEX(ENVIOS!$C$4:$C$3003,MATCH($C382,ENVIOS!$A$4:$A$3003,0)),"—"))</f>
        <v/>
      </c>
      <c r="F382" s="22">
        <f>IF($C382="","",IFERROR(INDEX(ENVIOS!$D$4:$D$3003,MATCH($C382,ENVIOS!$A$4:$A$3003,0)),"—"))</f>
        <v/>
      </c>
      <c r="G382" s="22">
        <f>IF($C382="","",IFERROR(INDEX(ENVIOS!$E$4:$E$3003,MATCH($C382,ENVIOS!$A$4:$A$3003,0)),"—"))</f>
        <v/>
      </c>
      <c r="H382" s="22">
        <f>IF($C382="","",IFERROR(INDEX(ENVIOS!$F$4:$F$3003,MATCH($C382,ENVIOS!$A$4:$A$3003,0)),"—"))</f>
        <v/>
      </c>
      <c r="I382" s="27">
        <f>IF($C382="","",IFERROR(INDEX(ENVIOS!$G$4:$G$3003,MATCH($C382,ENVIOS!$A$4:$A$3003,0)),"—"))</f>
        <v/>
      </c>
      <c r="J382" s="48">
        <f>IF($C382="","",IFERROR(INDEX(ENVIOS!$B$4:$B$3003,MATCH($C382,ENVIOS!$A$4:$A$3003,0)),""))</f>
        <v/>
      </c>
      <c r="K382" s="49" t="n"/>
      <c r="L382" s="27">
        <f>IF($K382="","",IFERROR(INDEX(CONFIG!$B$4:$B$43,MATCH($K382,CONFIG!$A$4:$A$43,0)),"Media"))</f>
        <v/>
      </c>
      <c r="M382" s="27">
        <f>IF($K382="","",IFERROR(INDEX(CONFIG!$D$4:$D$43,MATCH($K382,CONFIG!$A$4:$A$43,0)),"NO"))</f>
        <v/>
      </c>
      <c r="N382" s="49" t="n"/>
      <c r="O382" s="27">
        <f>IF($N382="","",IFERROR(INDEX(CONFIG!$G$4:$G$43,MATCH($N382,CONFIG!$F$4:$F$43,0)),"Por definir"))</f>
        <v/>
      </c>
      <c r="P382" s="27">
        <f>IF($N382="","",IFERROR(INDEX(CONFIG!$H$4:$H$43,MATCH($N382,CONFIG!$F$4:$F$43,0)),"Por definir"))</f>
        <v/>
      </c>
      <c r="Q382" s="50" t="n"/>
      <c r="R382" s="51" t="n"/>
      <c r="S382" s="49" t="n"/>
      <c r="T382" s="49" t="n"/>
      <c r="U382" s="48">
        <f>IF(OR($B382="",$K382=""),"",WORKDAY($B382,IFERROR(INDEX(CONFIG!$C$4:$C$43,MATCH($K382,CONFIG!$A$4:$A$43,0)),3)))</f>
        <v/>
      </c>
      <c r="V382" s="46" t="n"/>
      <c r="W382" s="23">
        <f>IF($B382="","",IF($V382&lt;&gt;"",$V382-$B382,TODAY()-$B382))</f>
        <v/>
      </c>
      <c r="X382" s="27">
        <f>IF($C382="","",IF(IFERROR(INDEX(CONFIG!$K$4:$K$43,MATCH($S382,CONFIG!$J$4:$J$43,0)),"NO")="SÍ",IF(OR($V382="",$U382=""),"Resuelta",IF($V382&gt;$U382,"Resuelta tarde","Resuelta a tiempo")),IF($U382="","Sin clasificar",IF(TODAY()&gt;$U382,"Vencida",IF(TODAY()&gt;=$U382-1,"Por vencer","En plazo")))))</f>
        <v/>
      </c>
      <c r="Y382" s="49" t="n"/>
      <c r="Z382" s="49" t="n"/>
    </row>
    <row r="383" ht="16" customHeight="1">
      <c r="A383" s="27">
        <f>IF($C383="","","N-"&amp;TEXT(ROW()-3,"0000"))</f>
        <v/>
      </c>
      <c r="B383" s="46" t="n"/>
      <c r="C383" s="47" t="n"/>
      <c r="D383" s="27">
        <f>IF($C383="","",IF(COUNTIFS(ENVIOS!$A$4:$A$3003,$C383)=0,"NO EXISTE",IF(COUNTIFS(ENVIOS!$A$4:$A$3003,$C383)&gt;1,"DUPLICADA","OK")))</f>
        <v/>
      </c>
      <c r="E383" s="22">
        <f>IF($C383="","",IFERROR(INDEX(ENVIOS!$C$4:$C$3003,MATCH($C383,ENVIOS!$A$4:$A$3003,0)),"—"))</f>
        <v/>
      </c>
      <c r="F383" s="22">
        <f>IF($C383="","",IFERROR(INDEX(ENVIOS!$D$4:$D$3003,MATCH($C383,ENVIOS!$A$4:$A$3003,0)),"—"))</f>
        <v/>
      </c>
      <c r="G383" s="22">
        <f>IF($C383="","",IFERROR(INDEX(ENVIOS!$E$4:$E$3003,MATCH($C383,ENVIOS!$A$4:$A$3003,0)),"—"))</f>
        <v/>
      </c>
      <c r="H383" s="22">
        <f>IF($C383="","",IFERROR(INDEX(ENVIOS!$F$4:$F$3003,MATCH($C383,ENVIOS!$A$4:$A$3003,0)),"—"))</f>
        <v/>
      </c>
      <c r="I383" s="27">
        <f>IF($C383="","",IFERROR(INDEX(ENVIOS!$G$4:$G$3003,MATCH($C383,ENVIOS!$A$4:$A$3003,0)),"—"))</f>
        <v/>
      </c>
      <c r="J383" s="48">
        <f>IF($C383="","",IFERROR(INDEX(ENVIOS!$B$4:$B$3003,MATCH($C383,ENVIOS!$A$4:$A$3003,0)),""))</f>
        <v/>
      </c>
      <c r="K383" s="49" t="n"/>
      <c r="L383" s="27">
        <f>IF($K383="","",IFERROR(INDEX(CONFIG!$B$4:$B$43,MATCH($K383,CONFIG!$A$4:$A$43,0)),"Media"))</f>
        <v/>
      </c>
      <c r="M383" s="27">
        <f>IF($K383="","",IFERROR(INDEX(CONFIG!$D$4:$D$43,MATCH($K383,CONFIG!$A$4:$A$43,0)),"NO"))</f>
        <v/>
      </c>
      <c r="N383" s="49" t="n"/>
      <c r="O383" s="27">
        <f>IF($N383="","",IFERROR(INDEX(CONFIG!$G$4:$G$43,MATCH($N383,CONFIG!$F$4:$F$43,0)),"Por definir"))</f>
        <v/>
      </c>
      <c r="P383" s="27">
        <f>IF($N383="","",IFERROR(INDEX(CONFIG!$H$4:$H$43,MATCH($N383,CONFIG!$F$4:$F$43,0)),"Por definir"))</f>
        <v/>
      </c>
      <c r="Q383" s="50" t="n"/>
      <c r="R383" s="51" t="n"/>
      <c r="S383" s="49" t="n"/>
      <c r="T383" s="49" t="n"/>
      <c r="U383" s="48">
        <f>IF(OR($B383="",$K383=""),"",WORKDAY($B383,IFERROR(INDEX(CONFIG!$C$4:$C$43,MATCH($K383,CONFIG!$A$4:$A$43,0)),3)))</f>
        <v/>
      </c>
      <c r="V383" s="46" t="n"/>
      <c r="W383" s="23">
        <f>IF($B383="","",IF($V383&lt;&gt;"",$V383-$B383,TODAY()-$B383))</f>
        <v/>
      </c>
      <c r="X383" s="27">
        <f>IF($C383="","",IF(IFERROR(INDEX(CONFIG!$K$4:$K$43,MATCH($S383,CONFIG!$J$4:$J$43,0)),"NO")="SÍ",IF(OR($V383="",$U383=""),"Resuelta",IF($V383&gt;$U383,"Resuelta tarde","Resuelta a tiempo")),IF($U383="","Sin clasificar",IF(TODAY()&gt;$U383,"Vencida",IF(TODAY()&gt;=$U383-1,"Por vencer","En plazo")))))</f>
        <v/>
      </c>
      <c r="Y383" s="49" t="n"/>
      <c r="Z383" s="49" t="n"/>
    </row>
    <row r="384" ht="16" customHeight="1">
      <c r="A384" s="27">
        <f>IF($C384="","","N-"&amp;TEXT(ROW()-3,"0000"))</f>
        <v/>
      </c>
      <c r="B384" s="46" t="n"/>
      <c r="C384" s="47" t="n"/>
      <c r="D384" s="27">
        <f>IF($C384="","",IF(COUNTIFS(ENVIOS!$A$4:$A$3003,$C384)=0,"NO EXISTE",IF(COUNTIFS(ENVIOS!$A$4:$A$3003,$C384)&gt;1,"DUPLICADA","OK")))</f>
        <v/>
      </c>
      <c r="E384" s="22">
        <f>IF($C384="","",IFERROR(INDEX(ENVIOS!$C$4:$C$3003,MATCH($C384,ENVIOS!$A$4:$A$3003,0)),"—"))</f>
        <v/>
      </c>
      <c r="F384" s="22">
        <f>IF($C384="","",IFERROR(INDEX(ENVIOS!$D$4:$D$3003,MATCH($C384,ENVIOS!$A$4:$A$3003,0)),"—"))</f>
        <v/>
      </c>
      <c r="G384" s="22">
        <f>IF($C384="","",IFERROR(INDEX(ENVIOS!$E$4:$E$3003,MATCH($C384,ENVIOS!$A$4:$A$3003,0)),"—"))</f>
        <v/>
      </c>
      <c r="H384" s="22">
        <f>IF($C384="","",IFERROR(INDEX(ENVIOS!$F$4:$F$3003,MATCH($C384,ENVIOS!$A$4:$A$3003,0)),"—"))</f>
        <v/>
      </c>
      <c r="I384" s="27">
        <f>IF($C384="","",IFERROR(INDEX(ENVIOS!$G$4:$G$3003,MATCH($C384,ENVIOS!$A$4:$A$3003,0)),"—"))</f>
        <v/>
      </c>
      <c r="J384" s="48">
        <f>IF($C384="","",IFERROR(INDEX(ENVIOS!$B$4:$B$3003,MATCH($C384,ENVIOS!$A$4:$A$3003,0)),""))</f>
        <v/>
      </c>
      <c r="K384" s="49" t="n"/>
      <c r="L384" s="27">
        <f>IF($K384="","",IFERROR(INDEX(CONFIG!$B$4:$B$43,MATCH($K384,CONFIG!$A$4:$A$43,0)),"Media"))</f>
        <v/>
      </c>
      <c r="M384" s="27">
        <f>IF($K384="","",IFERROR(INDEX(CONFIG!$D$4:$D$43,MATCH($K384,CONFIG!$A$4:$A$43,0)),"NO"))</f>
        <v/>
      </c>
      <c r="N384" s="49" t="n"/>
      <c r="O384" s="27">
        <f>IF($N384="","",IFERROR(INDEX(CONFIG!$G$4:$G$43,MATCH($N384,CONFIG!$F$4:$F$43,0)),"Por definir"))</f>
        <v/>
      </c>
      <c r="P384" s="27">
        <f>IF($N384="","",IFERROR(INDEX(CONFIG!$H$4:$H$43,MATCH($N384,CONFIG!$F$4:$F$43,0)),"Por definir"))</f>
        <v/>
      </c>
      <c r="Q384" s="50" t="n"/>
      <c r="R384" s="51" t="n"/>
      <c r="S384" s="49" t="n"/>
      <c r="T384" s="49" t="n"/>
      <c r="U384" s="48">
        <f>IF(OR($B384="",$K384=""),"",WORKDAY($B384,IFERROR(INDEX(CONFIG!$C$4:$C$43,MATCH($K384,CONFIG!$A$4:$A$43,0)),3)))</f>
        <v/>
      </c>
      <c r="V384" s="46" t="n"/>
      <c r="W384" s="23">
        <f>IF($B384="","",IF($V384&lt;&gt;"",$V384-$B384,TODAY()-$B384))</f>
        <v/>
      </c>
      <c r="X384" s="27">
        <f>IF($C384="","",IF(IFERROR(INDEX(CONFIG!$K$4:$K$43,MATCH($S384,CONFIG!$J$4:$J$43,0)),"NO")="SÍ",IF(OR($V384="",$U384=""),"Resuelta",IF($V384&gt;$U384,"Resuelta tarde","Resuelta a tiempo")),IF($U384="","Sin clasificar",IF(TODAY()&gt;$U384,"Vencida",IF(TODAY()&gt;=$U384-1,"Por vencer","En plazo")))))</f>
        <v/>
      </c>
      <c r="Y384" s="49" t="n"/>
      <c r="Z384" s="49" t="n"/>
    </row>
    <row r="385" ht="16" customHeight="1">
      <c r="A385" s="27">
        <f>IF($C385="","","N-"&amp;TEXT(ROW()-3,"0000"))</f>
        <v/>
      </c>
      <c r="B385" s="46" t="n"/>
      <c r="C385" s="47" t="n"/>
      <c r="D385" s="27">
        <f>IF($C385="","",IF(COUNTIFS(ENVIOS!$A$4:$A$3003,$C385)=0,"NO EXISTE",IF(COUNTIFS(ENVIOS!$A$4:$A$3003,$C385)&gt;1,"DUPLICADA","OK")))</f>
        <v/>
      </c>
      <c r="E385" s="22">
        <f>IF($C385="","",IFERROR(INDEX(ENVIOS!$C$4:$C$3003,MATCH($C385,ENVIOS!$A$4:$A$3003,0)),"—"))</f>
        <v/>
      </c>
      <c r="F385" s="22">
        <f>IF($C385="","",IFERROR(INDEX(ENVIOS!$D$4:$D$3003,MATCH($C385,ENVIOS!$A$4:$A$3003,0)),"—"))</f>
        <v/>
      </c>
      <c r="G385" s="22">
        <f>IF($C385="","",IFERROR(INDEX(ENVIOS!$E$4:$E$3003,MATCH($C385,ENVIOS!$A$4:$A$3003,0)),"—"))</f>
        <v/>
      </c>
      <c r="H385" s="22">
        <f>IF($C385="","",IFERROR(INDEX(ENVIOS!$F$4:$F$3003,MATCH($C385,ENVIOS!$A$4:$A$3003,0)),"—"))</f>
        <v/>
      </c>
      <c r="I385" s="27">
        <f>IF($C385="","",IFERROR(INDEX(ENVIOS!$G$4:$G$3003,MATCH($C385,ENVIOS!$A$4:$A$3003,0)),"—"))</f>
        <v/>
      </c>
      <c r="J385" s="48">
        <f>IF($C385="","",IFERROR(INDEX(ENVIOS!$B$4:$B$3003,MATCH($C385,ENVIOS!$A$4:$A$3003,0)),""))</f>
        <v/>
      </c>
      <c r="K385" s="49" t="n"/>
      <c r="L385" s="27">
        <f>IF($K385="","",IFERROR(INDEX(CONFIG!$B$4:$B$43,MATCH($K385,CONFIG!$A$4:$A$43,0)),"Media"))</f>
        <v/>
      </c>
      <c r="M385" s="27">
        <f>IF($K385="","",IFERROR(INDEX(CONFIG!$D$4:$D$43,MATCH($K385,CONFIG!$A$4:$A$43,0)),"NO"))</f>
        <v/>
      </c>
      <c r="N385" s="49" t="n"/>
      <c r="O385" s="27">
        <f>IF($N385="","",IFERROR(INDEX(CONFIG!$G$4:$G$43,MATCH($N385,CONFIG!$F$4:$F$43,0)),"Por definir"))</f>
        <v/>
      </c>
      <c r="P385" s="27">
        <f>IF($N385="","",IFERROR(INDEX(CONFIG!$H$4:$H$43,MATCH($N385,CONFIG!$F$4:$F$43,0)),"Por definir"))</f>
        <v/>
      </c>
      <c r="Q385" s="50" t="n"/>
      <c r="R385" s="51" t="n"/>
      <c r="S385" s="49" t="n"/>
      <c r="T385" s="49" t="n"/>
      <c r="U385" s="48">
        <f>IF(OR($B385="",$K385=""),"",WORKDAY($B385,IFERROR(INDEX(CONFIG!$C$4:$C$43,MATCH($K385,CONFIG!$A$4:$A$43,0)),3)))</f>
        <v/>
      </c>
      <c r="V385" s="46" t="n"/>
      <c r="W385" s="23">
        <f>IF($B385="","",IF($V385&lt;&gt;"",$V385-$B385,TODAY()-$B385))</f>
        <v/>
      </c>
      <c r="X385" s="27">
        <f>IF($C385="","",IF(IFERROR(INDEX(CONFIG!$K$4:$K$43,MATCH($S385,CONFIG!$J$4:$J$43,0)),"NO")="SÍ",IF(OR($V385="",$U385=""),"Resuelta",IF($V385&gt;$U385,"Resuelta tarde","Resuelta a tiempo")),IF($U385="","Sin clasificar",IF(TODAY()&gt;$U385,"Vencida",IF(TODAY()&gt;=$U385-1,"Por vencer","En plazo")))))</f>
        <v/>
      </c>
      <c r="Y385" s="49" t="n"/>
      <c r="Z385" s="49" t="n"/>
    </row>
    <row r="386" ht="16" customHeight="1">
      <c r="A386" s="27">
        <f>IF($C386="","","N-"&amp;TEXT(ROW()-3,"0000"))</f>
        <v/>
      </c>
      <c r="B386" s="46" t="n"/>
      <c r="C386" s="47" t="n"/>
      <c r="D386" s="27">
        <f>IF($C386="","",IF(COUNTIFS(ENVIOS!$A$4:$A$3003,$C386)=0,"NO EXISTE",IF(COUNTIFS(ENVIOS!$A$4:$A$3003,$C386)&gt;1,"DUPLICADA","OK")))</f>
        <v/>
      </c>
      <c r="E386" s="22">
        <f>IF($C386="","",IFERROR(INDEX(ENVIOS!$C$4:$C$3003,MATCH($C386,ENVIOS!$A$4:$A$3003,0)),"—"))</f>
        <v/>
      </c>
      <c r="F386" s="22">
        <f>IF($C386="","",IFERROR(INDEX(ENVIOS!$D$4:$D$3003,MATCH($C386,ENVIOS!$A$4:$A$3003,0)),"—"))</f>
        <v/>
      </c>
      <c r="G386" s="22">
        <f>IF($C386="","",IFERROR(INDEX(ENVIOS!$E$4:$E$3003,MATCH($C386,ENVIOS!$A$4:$A$3003,0)),"—"))</f>
        <v/>
      </c>
      <c r="H386" s="22">
        <f>IF($C386="","",IFERROR(INDEX(ENVIOS!$F$4:$F$3003,MATCH($C386,ENVIOS!$A$4:$A$3003,0)),"—"))</f>
        <v/>
      </c>
      <c r="I386" s="27">
        <f>IF($C386="","",IFERROR(INDEX(ENVIOS!$G$4:$G$3003,MATCH($C386,ENVIOS!$A$4:$A$3003,0)),"—"))</f>
        <v/>
      </c>
      <c r="J386" s="48">
        <f>IF($C386="","",IFERROR(INDEX(ENVIOS!$B$4:$B$3003,MATCH($C386,ENVIOS!$A$4:$A$3003,0)),""))</f>
        <v/>
      </c>
      <c r="K386" s="49" t="n"/>
      <c r="L386" s="27">
        <f>IF($K386="","",IFERROR(INDEX(CONFIG!$B$4:$B$43,MATCH($K386,CONFIG!$A$4:$A$43,0)),"Media"))</f>
        <v/>
      </c>
      <c r="M386" s="27">
        <f>IF($K386="","",IFERROR(INDEX(CONFIG!$D$4:$D$43,MATCH($K386,CONFIG!$A$4:$A$43,0)),"NO"))</f>
        <v/>
      </c>
      <c r="N386" s="49" t="n"/>
      <c r="O386" s="27">
        <f>IF($N386="","",IFERROR(INDEX(CONFIG!$G$4:$G$43,MATCH($N386,CONFIG!$F$4:$F$43,0)),"Por definir"))</f>
        <v/>
      </c>
      <c r="P386" s="27">
        <f>IF($N386="","",IFERROR(INDEX(CONFIG!$H$4:$H$43,MATCH($N386,CONFIG!$F$4:$F$43,0)),"Por definir"))</f>
        <v/>
      </c>
      <c r="Q386" s="50" t="n"/>
      <c r="R386" s="51" t="n"/>
      <c r="S386" s="49" t="n"/>
      <c r="T386" s="49" t="n"/>
      <c r="U386" s="48">
        <f>IF(OR($B386="",$K386=""),"",WORKDAY($B386,IFERROR(INDEX(CONFIG!$C$4:$C$43,MATCH($K386,CONFIG!$A$4:$A$43,0)),3)))</f>
        <v/>
      </c>
      <c r="V386" s="46" t="n"/>
      <c r="W386" s="23">
        <f>IF($B386="","",IF($V386&lt;&gt;"",$V386-$B386,TODAY()-$B386))</f>
        <v/>
      </c>
      <c r="X386" s="27">
        <f>IF($C386="","",IF(IFERROR(INDEX(CONFIG!$K$4:$K$43,MATCH($S386,CONFIG!$J$4:$J$43,0)),"NO")="SÍ",IF(OR($V386="",$U386=""),"Resuelta",IF($V386&gt;$U386,"Resuelta tarde","Resuelta a tiempo")),IF($U386="","Sin clasificar",IF(TODAY()&gt;$U386,"Vencida",IF(TODAY()&gt;=$U386-1,"Por vencer","En plazo")))))</f>
        <v/>
      </c>
      <c r="Y386" s="49" t="n"/>
      <c r="Z386" s="49" t="n"/>
    </row>
    <row r="387" ht="16" customHeight="1">
      <c r="A387" s="27">
        <f>IF($C387="","","N-"&amp;TEXT(ROW()-3,"0000"))</f>
        <v/>
      </c>
      <c r="B387" s="46" t="n"/>
      <c r="C387" s="47" t="n"/>
      <c r="D387" s="27">
        <f>IF($C387="","",IF(COUNTIFS(ENVIOS!$A$4:$A$3003,$C387)=0,"NO EXISTE",IF(COUNTIFS(ENVIOS!$A$4:$A$3003,$C387)&gt;1,"DUPLICADA","OK")))</f>
        <v/>
      </c>
      <c r="E387" s="22">
        <f>IF($C387="","",IFERROR(INDEX(ENVIOS!$C$4:$C$3003,MATCH($C387,ENVIOS!$A$4:$A$3003,0)),"—"))</f>
        <v/>
      </c>
      <c r="F387" s="22">
        <f>IF($C387="","",IFERROR(INDEX(ENVIOS!$D$4:$D$3003,MATCH($C387,ENVIOS!$A$4:$A$3003,0)),"—"))</f>
        <v/>
      </c>
      <c r="G387" s="22">
        <f>IF($C387="","",IFERROR(INDEX(ENVIOS!$E$4:$E$3003,MATCH($C387,ENVIOS!$A$4:$A$3003,0)),"—"))</f>
        <v/>
      </c>
      <c r="H387" s="22">
        <f>IF($C387="","",IFERROR(INDEX(ENVIOS!$F$4:$F$3003,MATCH($C387,ENVIOS!$A$4:$A$3003,0)),"—"))</f>
        <v/>
      </c>
      <c r="I387" s="27">
        <f>IF($C387="","",IFERROR(INDEX(ENVIOS!$G$4:$G$3003,MATCH($C387,ENVIOS!$A$4:$A$3003,0)),"—"))</f>
        <v/>
      </c>
      <c r="J387" s="48">
        <f>IF($C387="","",IFERROR(INDEX(ENVIOS!$B$4:$B$3003,MATCH($C387,ENVIOS!$A$4:$A$3003,0)),""))</f>
        <v/>
      </c>
      <c r="K387" s="49" t="n"/>
      <c r="L387" s="27">
        <f>IF($K387="","",IFERROR(INDEX(CONFIG!$B$4:$B$43,MATCH($K387,CONFIG!$A$4:$A$43,0)),"Media"))</f>
        <v/>
      </c>
      <c r="M387" s="27">
        <f>IF($K387="","",IFERROR(INDEX(CONFIG!$D$4:$D$43,MATCH($K387,CONFIG!$A$4:$A$43,0)),"NO"))</f>
        <v/>
      </c>
      <c r="N387" s="49" t="n"/>
      <c r="O387" s="27">
        <f>IF($N387="","",IFERROR(INDEX(CONFIG!$G$4:$G$43,MATCH($N387,CONFIG!$F$4:$F$43,0)),"Por definir"))</f>
        <v/>
      </c>
      <c r="P387" s="27">
        <f>IF($N387="","",IFERROR(INDEX(CONFIG!$H$4:$H$43,MATCH($N387,CONFIG!$F$4:$F$43,0)),"Por definir"))</f>
        <v/>
      </c>
      <c r="Q387" s="50" t="n"/>
      <c r="R387" s="51" t="n"/>
      <c r="S387" s="49" t="n"/>
      <c r="T387" s="49" t="n"/>
      <c r="U387" s="48">
        <f>IF(OR($B387="",$K387=""),"",WORKDAY($B387,IFERROR(INDEX(CONFIG!$C$4:$C$43,MATCH($K387,CONFIG!$A$4:$A$43,0)),3)))</f>
        <v/>
      </c>
      <c r="V387" s="46" t="n"/>
      <c r="W387" s="23">
        <f>IF($B387="","",IF($V387&lt;&gt;"",$V387-$B387,TODAY()-$B387))</f>
        <v/>
      </c>
      <c r="X387" s="27">
        <f>IF($C387="","",IF(IFERROR(INDEX(CONFIG!$K$4:$K$43,MATCH($S387,CONFIG!$J$4:$J$43,0)),"NO")="SÍ",IF(OR($V387="",$U387=""),"Resuelta",IF($V387&gt;$U387,"Resuelta tarde","Resuelta a tiempo")),IF($U387="","Sin clasificar",IF(TODAY()&gt;$U387,"Vencida",IF(TODAY()&gt;=$U387-1,"Por vencer","En plazo")))))</f>
        <v/>
      </c>
      <c r="Y387" s="49" t="n"/>
      <c r="Z387" s="49" t="n"/>
    </row>
    <row r="388" ht="16" customHeight="1">
      <c r="A388" s="27">
        <f>IF($C388="","","N-"&amp;TEXT(ROW()-3,"0000"))</f>
        <v/>
      </c>
      <c r="B388" s="46" t="n"/>
      <c r="C388" s="47" t="n"/>
      <c r="D388" s="27">
        <f>IF($C388="","",IF(COUNTIFS(ENVIOS!$A$4:$A$3003,$C388)=0,"NO EXISTE",IF(COUNTIFS(ENVIOS!$A$4:$A$3003,$C388)&gt;1,"DUPLICADA","OK")))</f>
        <v/>
      </c>
      <c r="E388" s="22">
        <f>IF($C388="","",IFERROR(INDEX(ENVIOS!$C$4:$C$3003,MATCH($C388,ENVIOS!$A$4:$A$3003,0)),"—"))</f>
        <v/>
      </c>
      <c r="F388" s="22">
        <f>IF($C388="","",IFERROR(INDEX(ENVIOS!$D$4:$D$3003,MATCH($C388,ENVIOS!$A$4:$A$3003,0)),"—"))</f>
        <v/>
      </c>
      <c r="G388" s="22">
        <f>IF($C388="","",IFERROR(INDEX(ENVIOS!$E$4:$E$3003,MATCH($C388,ENVIOS!$A$4:$A$3003,0)),"—"))</f>
        <v/>
      </c>
      <c r="H388" s="22">
        <f>IF($C388="","",IFERROR(INDEX(ENVIOS!$F$4:$F$3003,MATCH($C388,ENVIOS!$A$4:$A$3003,0)),"—"))</f>
        <v/>
      </c>
      <c r="I388" s="27">
        <f>IF($C388="","",IFERROR(INDEX(ENVIOS!$G$4:$G$3003,MATCH($C388,ENVIOS!$A$4:$A$3003,0)),"—"))</f>
        <v/>
      </c>
      <c r="J388" s="48">
        <f>IF($C388="","",IFERROR(INDEX(ENVIOS!$B$4:$B$3003,MATCH($C388,ENVIOS!$A$4:$A$3003,0)),""))</f>
        <v/>
      </c>
      <c r="K388" s="49" t="n"/>
      <c r="L388" s="27">
        <f>IF($K388="","",IFERROR(INDEX(CONFIG!$B$4:$B$43,MATCH($K388,CONFIG!$A$4:$A$43,0)),"Media"))</f>
        <v/>
      </c>
      <c r="M388" s="27">
        <f>IF($K388="","",IFERROR(INDEX(CONFIG!$D$4:$D$43,MATCH($K388,CONFIG!$A$4:$A$43,0)),"NO"))</f>
        <v/>
      </c>
      <c r="N388" s="49" t="n"/>
      <c r="O388" s="27">
        <f>IF($N388="","",IFERROR(INDEX(CONFIG!$G$4:$G$43,MATCH($N388,CONFIG!$F$4:$F$43,0)),"Por definir"))</f>
        <v/>
      </c>
      <c r="P388" s="27">
        <f>IF($N388="","",IFERROR(INDEX(CONFIG!$H$4:$H$43,MATCH($N388,CONFIG!$F$4:$F$43,0)),"Por definir"))</f>
        <v/>
      </c>
      <c r="Q388" s="50" t="n"/>
      <c r="R388" s="51" t="n"/>
      <c r="S388" s="49" t="n"/>
      <c r="T388" s="49" t="n"/>
      <c r="U388" s="48">
        <f>IF(OR($B388="",$K388=""),"",WORKDAY($B388,IFERROR(INDEX(CONFIG!$C$4:$C$43,MATCH($K388,CONFIG!$A$4:$A$43,0)),3)))</f>
        <v/>
      </c>
      <c r="V388" s="46" t="n"/>
      <c r="W388" s="23">
        <f>IF($B388="","",IF($V388&lt;&gt;"",$V388-$B388,TODAY()-$B388))</f>
        <v/>
      </c>
      <c r="X388" s="27">
        <f>IF($C388="","",IF(IFERROR(INDEX(CONFIG!$K$4:$K$43,MATCH($S388,CONFIG!$J$4:$J$43,0)),"NO")="SÍ",IF(OR($V388="",$U388=""),"Resuelta",IF($V388&gt;$U388,"Resuelta tarde","Resuelta a tiempo")),IF($U388="","Sin clasificar",IF(TODAY()&gt;$U388,"Vencida",IF(TODAY()&gt;=$U388-1,"Por vencer","En plazo")))))</f>
        <v/>
      </c>
      <c r="Y388" s="49" t="n"/>
      <c r="Z388" s="49" t="n"/>
    </row>
    <row r="389" ht="16" customHeight="1">
      <c r="A389" s="27">
        <f>IF($C389="","","N-"&amp;TEXT(ROW()-3,"0000"))</f>
        <v/>
      </c>
      <c r="B389" s="46" t="n"/>
      <c r="C389" s="47" t="n"/>
      <c r="D389" s="27">
        <f>IF($C389="","",IF(COUNTIFS(ENVIOS!$A$4:$A$3003,$C389)=0,"NO EXISTE",IF(COUNTIFS(ENVIOS!$A$4:$A$3003,$C389)&gt;1,"DUPLICADA","OK")))</f>
        <v/>
      </c>
      <c r="E389" s="22">
        <f>IF($C389="","",IFERROR(INDEX(ENVIOS!$C$4:$C$3003,MATCH($C389,ENVIOS!$A$4:$A$3003,0)),"—"))</f>
        <v/>
      </c>
      <c r="F389" s="22">
        <f>IF($C389="","",IFERROR(INDEX(ENVIOS!$D$4:$D$3003,MATCH($C389,ENVIOS!$A$4:$A$3003,0)),"—"))</f>
        <v/>
      </c>
      <c r="G389" s="22">
        <f>IF($C389="","",IFERROR(INDEX(ENVIOS!$E$4:$E$3003,MATCH($C389,ENVIOS!$A$4:$A$3003,0)),"—"))</f>
        <v/>
      </c>
      <c r="H389" s="22">
        <f>IF($C389="","",IFERROR(INDEX(ENVIOS!$F$4:$F$3003,MATCH($C389,ENVIOS!$A$4:$A$3003,0)),"—"))</f>
        <v/>
      </c>
      <c r="I389" s="27">
        <f>IF($C389="","",IFERROR(INDEX(ENVIOS!$G$4:$G$3003,MATCH($C389,ENVIOS!$A$4:$A$3003,0)),"—"))</f>
        <v/>
      </c>
      <c r="J389" s="48">
        <f>IF($C389="","",IFERROR(INDEX(ENVIOS!$B$4:$B$3003,MATCH($C389,ENVIOS!$A$4:$A$3003,0)),""))</f>
        <v/>
      </c>
      <c r="K389" s="49" t="n"/>
      <c r="L389" s="27">
        <f>IF($K389="","",IFERROR(INDEX(CONFIG!$B$4:$B$43,MATCH($K389,CONFIG!$A$4:$A$43,0)),"Media"))</f>
        <v/>
      </c>
      <c r="M389" s="27">
        <f>IF($K389="","",IFERROR(INDEX(CONFIG!$D$4:$D$43,MATCH($K389,CONFIG!$A$4:$A$43,0)),"NO"))</f>
        <v/>
      </c>
      <c r="N389" s="49" t="n"/>
      <c r="O389" s="27">
        <f>IF($N389="","",IFERROR(INDEX(CONFIG!$G$4:$G$43,MATCH($N389,CONFIG!$F$4:$F$43,0)),"Por definir"))</f>
        <v/>
      </c>
      <c r="P389" s="27">
        <f>IF($N389="","",IFERROR(INDEX(CONFIG!$H$4:$H$43,MATCH($N389,CONFIG!$F$4:$F$43,0)),"Por definir"))</f>
        <v/>
      </c>
      <c r="Q389" s="50" t="n"/>
      <c r="R389" s="51" t="n"/>
      <c r="S389" s="49" t="n"/>
      <c r="T389" s="49" t="n"/>
      <c r="U389" s="48">
        <f>IF(OR($B389="",$K389=""),"",WORKDAY($B389,IFERROR(INDEX(CONFIG!$C$4:$C$43,MATCH($K389,CONFIG!$A$4:$A$43,0)),3)))</f>
        <v/>
      </c>
      <c r="V389" s="46" t="n"/>
      <c r="W389" s="23">
        <f>IF($B389="","",IF($V389&lt;&gt;"",$V389-$B389,TODAY()-$B389))</f>
        <v/>
      </c>
      <c r="X389" s="27">
        <f>IF($C389="","",IF(IFERROR(INDEX(CONFIG!$K$4:$K$43,MATCH($S389,CONFIG!$J$4:$J$43,0)),"NO")="SÍ",IF(OR($V389="",$U389=""),"Resuelta",IF($V389&gt;$U389,"Resuelta tarde","Resuelta a tiempo")),IF($U389="","Sin clasificar",IF(TODAY()&gt;$U389,"Vencida",IF(TODAY()&gt;=$U389-1,"Por vencer","En plazo")))))</f>
        <v/>
      </c>
      <c r="Y389" s="49" t="n"/>
      <c r="Z389" s="49" t="n"/>
    </row>
    <row r="390" ht="16" customHeight="1">
      <c r="A390" s="27">
        <f>IF($C390="","","N-"&amp;TEXT(ROW()-3,"0000"))</f>
        <v/>
      </c>
      <c r="B390" s="46" t="n"/>
      <c r="C390" s="47" t="n"/>
      <c r="D390" s="27">
        <f>IF($C390="","",IF(COUNTIFS(ENVIOS!$A$4:$A$3003,$C390)=0,"NO EXISTE",IF(COUNTIFS(ENVIOS!$A$4:$A$3003,$C390)&gt;1,"DUPLICADA","OK")))</f>
        <v/>
      </c>
      <c r="E390" s="22">
        <f>IF($C390="","",IFERROR(INDEX(ENVIOS!$C$4:$C$3003,MATCH($C390,ENVIOS!$A$4:$A$3003,0)),"—"))</f>
        <v/>
      </c>
      <c r="F390" s="22">
        <f>IF($C390="","",IFERROR(INDEX(ENVIOS!$D$4:$D$3003,MATCH($C390,ENVIOS!$A$4:$A$3003,0)),"—"))</f>
        <v/>
      </c>
      <c r="G390" s="22">
        <f>IF($C390="","",IFERROR(INDEX(ENVIOS!$E$4:$E$3003,MATCH($C390,ENVIOS!$A$4:$A$3003,0)),"—"))</f>
        <v/>
      </c>
      <c r="H390" s="22">
        <f>IF($C390="","",IFERROR(INDEX(ENVIOS!$F$4:$F$3003,MATCH($C390,ENVIOS!$A$4:$A$3003,0)),"—"))</f>
        <v/>
      </c>
      <c r="I390" s="27">
        <f>IF($C390="","",IFERROR(INDEX(ENVIOS!$G$4:$G$3003,MATCH($C390,ENVIOS!$A$4:$A$3003,0)),"—"))</f>
        <v/>
      </c>
      <c r="J390" s="48">
        <f>IF($C390="","",IFERROR(INDEX(ENVIOS!$B$4:$B$3003,MATCH($C390,ENVIOS!$A$4:$A$3003,0)),""))</f>
        <v/>
      </c>
      <c r="K390" s="49" t="n"/>
      <c r="L390" s="27">
        <f>IF($K390="","",IFERROR(INDEX(CONFIG!$B$4:$B$43,MATCH($K390,CONFIG!$A$4:$A$43,0)),"Media"))</f>
        <v/>
      </c>
      <c r="M390" s="27">
        <f>IF($K390="","",IFERROR(INDEX(CONFIG!$D$4:$D$43,MATCH($K390,CONFIG!$A$4:$A$43,0)),"NO"))</f>
        <v/>
      </c>
      <c r="N390" s="49" t="n"/>
      <c r="O390" s="27">
        <f>IF($N390="","",IFERROR(INDEX(CONFIG!$G$4:$G$43,MATCH($N390,CONFIG!$F$4:$F$43,0)),"Por definir"))</f>
        <v/>
      </c>
      <c r="P390" s="27">
        <f>IF($N390="","",IFERROR(INDEX(CONFIG!$H$4:$H$43,MATCH($N390,CONFIG!$F$4:$F$43,0)),"Por definir"))</f>
        <v/>
      </c>
      <c r="Q390" s="50" t="n"/>
      <c r="R390" s="51" t="n"/>
      <c r="S390" s="49" t="n"/>
      <c r="T390" s="49" t="n"/>
      <c r="U390" s="48">
        <f>IF(OR($B390="",$K390=""),"",WORKDAY($B390,IFERROR(INDEX(CONFIG!$C$4:$C$43,MATCH($K390,CONFIG!$A$4:$A$43,0)),3)))</f>
        <v/>
      </c>
      <c r="V390" s="46" t="n"/>
      <c r="W390" s="23">
        <f>IF($B390="","",IF($V390&lt;&gt;"",$V390-$B390,TODAY()-$B390))</f>
        <v/>
      </c>
      <c r="X390" s="27">
        <f>IF($C390="","",IF(IFERROR(INDEX(CONFIG!$K$4:$K$43,MATCH($S390,CONFIG!$J$4:$J$43,0)),"NO")="SÍ",IF(OR($V390="",$U390=""),"Resuelta",IF($V390&gt;$U390,"Resuelta tarde","Resuelta a tiempo")),IF($U390="","Sin clasificar",IF(TODAY()&gt;$U390,"Vencida",IF(TODAY()&gt;=$U390-1,"Por vencer","En plazo")))))</f>
        <v/>
      </c>
      <c r="Y390" s="49" t="n"/>
      <c r="Z390" s="49" t="n"/>
    </row>
    <row r="391" ht="16" customHeight="1">
      <c r="A391" s="27">
        <f>IF($C391="","","N-"&amp;TEXT(ROW()-3,"0000"))</f>
        <v/>
      </c>
      <c r="B391" s="46" t="n"/>
      <c r="C391" s="47" t="n"/>
      <c r="D391" s="27">
        <f>IF($C391="","",IF(COUNTIFS(ENVIOS!$A$4:$A$3003,$C391)=0,"NO EXISTE",IF(COUNTIFS(ENVIOS!$A$4:$A$3003,$C391)&gt;1,"DUPLICADA","OK")))</f>
        <v/>
      </c>
      <c r="E391" s="22">
        <f>IF($C391="","",IFERROR(INDEX(ENVIOS!$C$4:$C$3003,MATCH($C391,ENVIOS!$A$4:$A$3003,0)),"—"))</f>
        <v/>
      </c>
      <c r="F391" s="22">
        <f>IF($C391="","",IFERROR(INDEX(ENVIOS!$D$4:$D$3003,MATCH($C391,ENVIOS!$A$4:$A$3003,0)),"—"))</f>
        <v/>
      </c>
      <c r="G391" s="22">
        <f>IF($C391="","",IFERROR(INDEX(ENVIOS!$E$4:$E$3003,MATCH($C391,ENVIOS!$A$4:$A$3003,0)),"—"))</f>
        <v/>
      </c>
      <c r="H391" s="22">
        <f>IF($C391="","",IFERROR(INDEX(ENVIOS!$F$4:$F$3003,MATCH($C391,ENVIOS!$A$4:$A$3003,0)),"—"))</f>
        <v/>
      </c>
      <c r="I391" s="27">
        <f>IF($C391="","",IFERROR(INDEX(ENVIOS!$G$4:$G$3003,MATCH($C391,ENVIOS!$A$4:$A$3003,0)),"—"))</f>
        <v/>
      </c>
      <c r="J391" s="48">
        <f>IF($C391="","",IFERROR(INDEX(ENVIOS!$B$4:$B$3003,MATCH($C391,ENVIOS!$A$4:$A$3003,0)),""))</f>
        <v/>
      </c>
      <c r="K391" s="49" t="n"/>
      <c r="L391" s="27">
        <f>IF($K391="","",IFERROR(INDEX(CONFIG!$B$4:$B$43,MATCH($K391,CONFIG!$A$4:$A$43,0)),"Media"))</f>
        <v/>
      </c>
      <c r="M391" s="27">
        <f>IF($K391="","",IFERROR(INDEX(CONFIG!$D$4:$D$43,MATCH($K391,CONFIG!$A$4:$A$43,0)),"NO"))</f>
        <v/>
      </c>
      <c r="N391" s="49" t="n"/>
      <c r="O391" s="27">
        <f>IF($N391="","",IFERROR(INDEX(CONFIG!$G$4:$G$43,MATCH($N391,CONFIG!$F$4:$F$43,0)),"Por definir"))</f>
        <v/>
      </c>
      <c r="P391" s="27">
        <f>IF($N391="","",IFERROR(INDEX(CONFIG!$H$4:$H$43,MATCH($N391,CONFIG!$F$4:$F$43,0)),"Por definir"))</f>
        <v/>
      </c>
      <c r="Q391" s="50" t="n"/>
      <c r="R391" s="51" t="n"/>
      <c r="S391" s="49" t="n"/>
      <c r="T391" s="49" t="n"/>
      <c r="U391" s="48">
        <f>IF(OR($B391="",$K391=""),"",WORKDAY($B391,IFERROR(INDEX(CONFIG!$C$4:$C$43,MATCH($K391,CONFIG!$A$4:$A$43,0)),3)))</f>
        <v/>
      </c>
      <c r="V391" s="46" t="n"/>
      <c r="W391" s="23">
        <f>IF($B391="","",IF($V391&lt;&gt;"",$V391-$B391,TODAY()-$B391))</f>
        <v/>
      </c>
      <c r="X391" s="27">
        <f>IF($C391="","",IF(IFERROR(INDEX(CONFIG!$K$4:$K$43,MATCH($S391,CONFIG!$J$4:$J$43,0)),"NO")="SÍ",IF(OR($V391="",$U391=""),"Resuelta",IF($V391&gt;$U391,"Resuelta tarde","Resuelta a tiempo")),IF($U391="","Sin clasificar",IF(TODAY()&gt;$U391,"Vencida",IF(TODAY()&gt;=$U391-1,"Por vencer","En plazo")))))</f>
        <v/>
      </c>
      <c r="Y391" s="49" t="n"/>
      <c r="Z391" s="49" t="n"/>
    </row>
    <row r="392" ht="16" customHeight="1">
      <c r="A392" s="27">
        <f>IF($C392="","","N-"&amp;TEXT(ROW()-3,"0000"))</f>
        <v/>
      </c>
      <c r="B392" s="46" t="n"/>
      <c r="C392" s="47" t="n"/>
      <c r="D392" s="27">
        <f>IF($C392="","",IF(COUNTIFS(ENVIOS!$A$4:$A$3003,$C392)=0,"NO EXISTE",IF(COUNTIFS(ENVIOS!$A$4:$A$3003,$C392)&gt;1,"DUPLICADA","OK")))</f>
        <v/>
      </c>
      <c r="E392" s="22">
        <f>IF($C392="","",IFERROR(INDEX(ENVIOS!$C$4:$C$3003,MATCH($C392,ENVIOS!$A$4:$A$3003,0)),"—"))</f>
        <v/>
      </c>
      <c r="F392" s="22">
        <f>IF($C392="","",IFERROR(INDEX(ENVIOS!$D$4:$D$3003,MATCH($C392,ENVIOS!$A$4:$A$3003,0)),"—"))</f>
        <v/>
      </c>
      <c r="G392" s="22">
        <f>IF($C392="","",IFERROR(INDEX(ENVIOS!$E$4:$E$3003,MATCH($C392,ENVIOS!$A$4:$A$3003,0)),"—"))</f>
        <v/>
      </c>
      <c r="H392" s="22">
        <f>IF($C392="","",IFERROR(INDEX(ENVIOS!$F$4:$F$3003,MATCH($C392,ENVIOS!$A$4:$A$3003,0)),"—"))</f>
        <v/>
      </c>
      <c r="I392" s="27">
        <f>IF($C392="","",IFERROR(INDEX(ENVIOS!$G$4:$G$3003,MATCH($C392,ENVIOS!$A$4:$A$3003,0)),"—"))</f>
        <v/>
      </c>
      <c r="J392" s="48">
        <f>IF($C392="","",IFERROR(INDEX(ENVIOS!$B$4:$B$3003,MATCH($C392,ENVIOS!$A$4:$A$3003,0)),""))</f>
        <v/>
      </c>
      <c r="K392" s="49" t="n"/>
      <c r="L392" s="27">
        <f>IF($K392="","",IFERROR(INDEX(CONFIG!$B$4:$B$43,MATCH($K392,CONFIG!$A$4:$A$43,0)),"Media"))</f>
        <v/>
      </c>
      <c r="M392" s="27">
        <f>IF($K392="","",IFERROR(INDEX(CONFIG!$D$4:$D$43,MATCH($K392,CONFIG!$A$4:$A$43,0)),"NO"))</f>
        <v/>
      </c>
      <c r="N392" s="49" t="n"/>
      <c r="O392" s="27">
        <f>IF($N392="","",IFERROR(INDEX(CONFIG!$G$4:$G$43,MATCH($N392,CONFIG!$F$4:$F$43,0)),"Por definir"))</f>
        <v/>
      </c>
      <c r="P392" s="27">
        <f>IF($N392="","",IFERROR(INDEX(CONFIG!$H$4:$H$43,MATCH($N392,CONFIG!$F$4:$F$43,0)),"Por definir"))</f>
        <v/>
      </c>
      <c r="Q392" s="50" t="n"/>
      <c r="R392" s="51" t="n"/>
      <c r="S392" s="49" t="n"/>
      <c r="T392" s="49" t="n"/>
      <c r="U392" s="48">
        <f>IF(OR($B392="",$K392=""),"",WORKDAY($B392,IFERROR(INDEX(CONFIG!$C$4:$C$43,MATCH($K392,CONFIG!$A$4:$A$43,0)),3)))</f>
        <v/>
      </c>
      <c r="V392" s="46" t="n"/>
      <c r="W392" s="23">
        <f>IF($B392="","",IF($V392&lt;&gt;"",$V392-$B392,TODAY()-$B392))</f>
        <v/>
      </c>
      <c r="X392" s="27">
        <f>IF($C392="","",IF(IFERROR(INDEX(CONFIG!$K$4:$K$43,MATCH($S392,CONFIG!$J$4:$J$43,0)),"NO")="SÍ",IF(OR($V392="",$U392=""),"Resuelta",IF($V392&gt;$U392,"Resuelta tarde","Resuelta a tiempo")),IF($U392="","Sin clasificar",IF(TODAY()&gt;$U392,"Vencida",IF(TODAY()&gt;=$U392-1,"Por vencer","En plazo")))))</f>
        <v/>
      </c>
      <c r="Y392" s="49" t="n"/>
      <c r="Z392" s="49" t="n"/>
    </row>
    <row r="393" ht="16" customHeight="1">
      <c r="A393" s="27">
        <f>IF($C393="","","N-"&amp;TEXT(ROW()-3,"0000"))</f>
        <v/>
      </c>
      <c r="B393" s="46" t="n"/>
      <c r="C393" s="47" t="n"/>
      <c r="D393" s="27">
        <f>IF($C393="","",IF(COUNTIFS(ENVIOS!$A$4:$A$3003,$C393)=0,"NO EXISTE",IF(COUNTIFS(ENVIOS!$A$4:$A$3003,$C393)&gt;1,"DUPLICADA","OK")))</f>
        <v/>
      </c>
      <c r="E393" s="22">
        <f>IF($C393="","",IFERROR(INDEX(ENVIOS!$C$4:$C$3003,MATCH($C393,ENVIOS!$A$4:$A$3003,0)),"—"))</f>
        <v/>
      </c>
      <c r="F393" s="22">
        <f>IF($C393="","",IFERROR(INDEX(ENVIOS!$D$4:$D$3003,MATCH($C393,ENVIOS!$A$4:$A$3003,0)),"—"))</f>
        <v/>
      </c>
      <c r="G393" s="22">
        <f>IF($C393="","",IFERROR(INDEX(ENVIOS!$E$4:$E$3003,MATCH($C393,ENVIOS!$A$4:$A$3003,0)),"—"))</f>
        <v/>
      </c>
      <c r="H393" s="22">
        <f>IF($C393="","",IFERROR(INDEX(ENVIOS!$F$4:$F$3003,MATCH($C393,ENVIOS!$A$4:$A$3003,0)),"—"))</f>
        <v/>
      </c>
      <c r="I393" s="27">
        <f>IF($C393="","",IFERROR(INDEX(ENVIOS!$G$4:$G$3003,MATCH($C393,ENVIOS!$A$4:$A$3003,0)),"—"))</f>
        <v/>
      </c>
      <c r="J393" s="48">
        <f>IF($C393="","",IFERROR(INDEX(ENVIOS!$B$4:$B$3003,MATCH($C393,ENVIOS!$A$4:$A$3003,0)),""))</f>
        <v/>
      </c>
      <c r="K393" s="49" t="n"/>
      <c r="L393" s="27">
        <f>IF($K393="","",IFERROR(INDEX(CONFIG!$B$4:$B$43,MATCH($K393,CONFIG!$A$4:$A$43,0)),"Media"))</f>
        <v/>
      </c>
      <c r="M393" s="27">
        <f>IF($K393="","",IFERROR(INDEX(CONFIG!$D$4:$D$43,MATCH($K393,CONFIG!$A$4:$A$43,0)),"NO"))</f>
        <v/>
      </c>
      <c r="N393" s="49" t="n"/>
      <c r="O393" s="27">
        <f>IF($N393="","",IFERROR(INDEX(CONFIG!$G$4:$G$43,MATCH($N393,CONFIG!$F$4:$F$43,0)),"Por definir"))</f>
        <v/>
      </c>
      <c r="P393" s="27">
        <f>IF($N393="","",IFERROR(INDEX(CONFIG!$H$4:$H$43,MATCH($N393,CONFIG!$F$4:$F$43,0)),"Por definir"))</f>
        <v/>
      </c>
      <c r="Q393" s="50" t="n"/>
      <c r="R393" s="51" t="n"/>
      <c r="S393" s="49" t="n"/>
      <c r="T393" s="49" t="n"/>
      <c r="U393" s="48">
        <f>IF(OR($B393="",$K393=""),"",WORKDAY($B393,IFERROR(INDEX(CONFIG!$C$4:$C$43,MATCH($K393,CONFIG!$A$4:$A$43,0)),3)))</f>
        <v/>
      </c>
      <c r="V393" s="46" t="n"/>
      <c r="W393" s="23">
        <f>IF($B393="","",IF($V393&lt;&gt;"",$V393-$B393,TODAY()-$B393))</f>
        <v/>
      </c>
      <c r="X393" s="27">
        <f>IF($C393="","",IF(IFERROR(INDEX(CONFIG!$K$4:$K$43,MATCH($S393,CONFIG!$J$4:$J$43,0)),"NO")="SÍ",IF(OR($V393="",$U393=""),"Resuelta",IF($V393&gt;$U393,"Resuelta tarde","Resuelta a tiempo")),IF($U393="","Sin clasificar",IF(TODAY()&gt;$U393,"Vencida",IF(TODAY()&gt;=$U393-1,"Por vencer","En plazo")))))</f>
        <v/>
      </c>
      <c r="Y393" s="49" t="n"/>
      <c r="Z393" s="49" t="n"/>
    </row>
    <row r="394" ht="16" customHeight="1">
      <c r="A394" s="27">
        <f>IF($C394="","","N-"&amp;TEXT(ROW()-3,"0000"))</f>
        <v/>
      </c>
      <c r="B394" s="46" t="n"/>
      <c r="C394" s="47" t="n"/>
      <c r="D394" s="27">
        <f>IF($C394="","",IF(COUNTIFS(ENVIOS!$A$4:$A$3003,$C394)=0,"NO EXISTE",IF(COUNTIFS(ENVIOS!$A$4:$A$3003,$C394)&gt;1,"DUPLICADA","OK")))</f>
        <v/>
      </c>
      <c r="E394" s="22">
        <f>IF($C394="","",IFERROR(INDEX(ENVIOS!$C$4:$C$3003,MATCH($C394,ENVIOS!$A$4:$A$3003,0)),"—"))</f>
        <v/>
      </c>
      <c r="F394" s="22">
        <f>IF($C394="","",IFERROR(INDEX(ENVIOS!$D$4:$D$3003,MATCH($C394,ENVIOS!$A$4:$A$3003,0)),"—"))</f>
        <v/>
      </c>
      <c r="G394" s="22">
        <f>IF($C394="","",IFERROR(INDEX(ENVIOS!$E$4:$E$3003,MATCH($C394,ENVIOS!$A$4:$A$3003,0)),"—"))</f>
        <v/>
      </c>
      <c r="H394" s="22">
        <f>IF($C394="","",IFERROR(INDEX(ENVIOS!$F$4:$F$3003,MATCH($C394,ENVIOS!$A$4:$A$3003,0)),"—"))</f>
        <v/>
      </c>
      <c r="I394" s="27">
        <f>IF($C394="","",IFERROR(INDEX(ENVIOS!$G$4:$G$3003,MATCH($C394,ENVIOS!$A$4:$A$3003,0)),"—"))</f>
        <v/>
      </c>
      <c r="J394" s="48">
        <f>IF($C394="","",IFERROR(INDEX(ENVIOS!$B$4:$B$3003,MATCH($C394,ENVIOS!$A$4:$A$3003,0)),""))</f>
        <v/>
      </c>
      <c r="K394" s="49" t="n"/>
      <c r="L394" s="27">
        <f>IF($K394="","",IFERROR(INDEX(CONFIG!$B$4:$B$43,MATCH($K394,CONFIG!$A$4:$A$43,0)),"Media"))</f>
        <v/>
      </c>
      <c r="M394" s="27">
        <f>IF($K394="","",IFERROR(INDEX(CONFIG!$D$4:$D$43,MATCH($K394,CONFIG!$A$4:$A$43,0)),"NO"))</f>
        <v/>
      </c>
      <c r="N394" s="49" t="n"/>
      <c r="O394" s="27">
        <f>IF($N394="","",IFERROR(INDEX(CONFIG!$G$4:$G$43,MATCH($N394,CONFIG!$F$4:$F$43,0)),"Por definir"))</f>
        <v/>
      </c>
      <c r="P394" s="27">
        <f>IF($N394="","",IFERROR(INDEX(CONFIG!$H$4:$H$43,MATCH($N394,CONFIG!$F$4:$F$43,0)),"Por definir"))</f>
        <v/>
      </c>
      <c r="Q394" s="50" t="n"/>
      <c r="R394" s="51" t="n"/>
      <c r="S394" s="49" t="n"/>
      <c r="T394" s="49" t="n"/>
      <c r="U394" s="48">
        <f>IF(OR($B394="",$K394=""),"",WORKDAY($B394,IFERROR(INDEX(CONFIG!$C$4:$C$43,MATCH($K394,CONFIG!$A$4:$A$43,0)),3)))</f>
        <v/>
      </c>
      <c r="V394" s="46" t="n"/>
      <c r="W394" s="23">
        <f>IF($B394="","",IF($V394&lt;&gt;"",$V394-$B394,TODAY()-$B394))</f>
        <v/>
      </c>
      <c r="X394" s="27">
        <f>IF($C394="","",IF(IFERROR(INDEX(CONFIG!$K$4:$K$43,MATCH($S394,CONFIG!$J$4:$J$43,0)),"NO")="SÍ",IF(OR($V394="",$U394=""),"Resuelta",IF($V394&gt;$U394,"Resuelta tarde","Resuelta a tiempo")),IF($U394="","Sin clasificar",IF(TODAY()&gt;$U394,"Vencida",IF(TODAY()&gt;=$U394-1,"Por vencer","En plazo")))))</f>
        <v/>
      </c>
      <c r="Y394" s="49" t="n"/>
      <c r="Z394" s="49" t="n"/>
    </row>
    <row r="395" ht="16" customHeight="1">
      <c r="A395" s="27">
        <f>IF($C395="","","N-"&amp;TEXT(ROW()-3,"0000"))</f>
        <v/>
      </c>
      <c r="B395" s="46" t="n"/>
      <c r="C395" s="47" t="n"/>
      <c r="D395" s="27">
        <f>IF($C395="","",IF(COUNTIFS(ENVIOS!$A$4:$A$3003,$C395)=0,"NO EXISTE",IF(COUNTIFS(ENVIOS!$A$4:$A$3003,$C395)&gt;1,"DUPLICADA","OK")))</f>
        <v/>
      </c>
      <c r="E395" s="22">
        <f>IF($C395="","",IFERROR(INDEX(ENVIOS!$C$4:$C$3003,MATCH($C395,ENVIOS!$A$4:$A$3003,0)),"—"))</f>
        <v/>
      </c>
      <c r="F395" s="22">
        <f>IF($C395="","",IFERROR(INDEX(ENVIOS!$D$4:$D$3003,MATCH($C395,ENVIOS!$A$4:$A$3003,0)),"—"))</f>
        <v/>
      </c>
      <c r="G395" s="22">
        <f>IF($C395="","",IFERROR(INDEX(ENVIOS!$E$4:$E$3003,MATCH($C395,ENVIOS!$A$4:$A$3003,0)),"—"))</f>
        <v/>
      </c>
      <c r="H395" s="22">
        <f>IF($C395="","",IFERROR(INDEX(ENVIOS!$F$4:$F$3003,MATCH($C395,ENVIOS!$A$4:$A$3003,0)),"—"))</f>
        <v/>
      </c>
      <c r="I395" s="27">
        <f>IF($C395="","",IFERROR(INDEX(ENVIOS!$G$4:$G$3003,MATCH($C395,ENVIOS!$A$4:$A$3003,0)),"—"))</f>
        <v/>
      </c>
      <c r="J395" s="48">
        <f>IF($C395="","",IFERROR(INDEX(ENVIOS!$B$4:$B$3003,MATCH($C395,ENVIOS!$A$4:$A$3003,0)),""))</f>
        <v/>
      </c>
      <c r="K395" s="49" t="n"/>
      <c r="L395" s="27">
        <f>IF($K395="","",IFERROR(INDEX(CONFIG!$B$4:$B$43,MATCH($K395,CONFIG!$A$4:$A$43,0)),"Media"))</f>
        <v/>
      </c>
      <c r="M395" s="27">
        <f>IF($K395="","",IFERROR(INDEX(CONFIG!$D$4:$D$43,MATCH($K395,CONFIG!$A$4:$A$43,0)),"NO"))</f>
        <v/>
      </c>
      <c r="N395" s="49" t="n"/>
      <c r="O395" s="27">
        <f>IF($N395="","",IFERROR(INDEX(CONFIG!$G$4:$G$43,MATCH($N395,CONFIG!$F$4:$F$43,0)),"Por definir"))</f>
        <v/>
      </c>
      <c r="P395" s="27">
        <f>IF($N395="","",IFERROR(INDEX(CONFIG!$H$4:$H$43,MATCH($N395,CONFIG!$F$4:$F$43,0)),"Por definir"))</f>
        <v/>
      </c>
      <c r="Q395" s="50" t="n"/>
      <c r="R395" s="51" t="n"/>
      <c r="S395" s="49" t="n"/>
      <c r="T395" s="49" t="n"/>
      <c r="U395" s="48">
        <f>IF(OR($B395="",$K395=""),"",WORKDAY($B395,IFERROR(INDEX(CONFIG!$C$4:$C$43,MATCH($K395,CONFIG!$A$4:$A$43,0)),3)))</f>
        <v/>
      </c>
      <c r="V395" s="46" t="n"/>
      <c r="W395" s="23">
        <f>IF($B395="","",IF($V395&lt;&gt;"",$V395-$B395,TODAY()-$B395))</f>
        <v/>
      </c>
      <c r="X395" s="27">
        <f>IF($C395="","",IF(IFERROR(INDEX(CONFIG!$K$4:$K$43,MATCH($S395,CONFIG!$J$4:$J$43,0)),"NO")="SÍ",IF(OR($V395="",$U395=""),"Resuelta",IF($V395&gt;$U395,"Resuelta tarde","Resuelta a tiempo")),IF($U395="","Sin clasificar",IF(TODAY()&gt;$U395,"Vencida",IF(TODAY()&gt;=$U395-1,"Por vencer","En plazo")))))</f>
        <v/>
      </c>
      <c r="Y395" s="49" t="n"/>
      <c r="Z395" s="49" t="n"/>
    </row>
    <row r="396" ht="16" customHeight="1">
      <c r="A396" s="27">
        <f>IF($C396="","","N-"&amp;TEXT(ROW()-3,"0000"))</f>
        <v/>
      </c>
      <c r="B396" s="46" t="n"/>
      <c r="C396" s="47" t="n"/>
      <c r="D396" s="27">
        <f>IF($C396="","",IF(COUNTIFS(ENVIOS!$A$4:$A$3003,$C396)=0,"NO EXISTE",IF(COUNTIFS(ENVIOS!$A$4:$A$3003,$C396)&gt;1,"DUPLICADA","OK")))</f>
        <v/>
      </c>
      <c r="E396" s="22">
        <f>IF($C396="","",IFERROR(INDEX(ENVIOS!$C$4:$C$3003,MATCH($C396,ENVIOS!$A$4:$A$3003,0)),"—"))</f>
        <v/>
      </c>
      <c r="F396" s="22">
        <f>IF($C396="","",IFERROR(INDEX(ENVIOS!$D$4:$D$3003,MATCH($C396,ENVIOS!$A$4:$A$3003,0)),"—"))</f>
        <v/>
      </c>
      <c r="G396" s="22">
        <f>IF($C396="","",IFERROR(INDEX(ENVIOS!$E$4:$E$3003,MATCH($C396,ENVIOS!$A$4:$A$3003,0)),"—"))</f>
        <v/>
      </c>
      <c r="H396" s="22">
        <f>IF($C396="","",IFERROR(INDEX(ENVIOS!$F$4:$F$3003,MATCH($C396,ENVIOS!$A$4:$A$3003,0)),"—"))</f>
        <v/>
      </c>
      <c r="I396" s="27">
        <f>IF($C396="","",IFERROR(INDEX(ENVIOS!$G$4:$G$3003,MATCH($C396,ENVIOS!$A$4:$A$3003,0)),"—"))</f>
        <v/>
      </c>
      <c r="J396" s="48">
        <f>IF($C396="","",IFERROR(INDEX(ENVIOS!$B$4:$B$3003,MATCH($C396,ENVIOS!$A$4:$A$3003,0)),""))</f>
        <v/>
      </c>
      <c r="K396" s="49" t="n"/>
      <c r="L396" s="27">
        <f>IF($K396="","",IFERROR(INDEX(CONFIG!$B$4:$B$43,MATCH($K396,CONFIG!$A$4:$A$43,0)),"Media"))</f>
        <v/>
      </c>
      <c r="M396" s="27">
        <f>IF($K396="","",IFERROR(INDEX(CONFIG!$D$4:$D$43,MATCH($K396,CONFIG!$A$4:$A$43,0)),"NO"))</f>
        <v/>
      </c>
      <c r="N396" s="49" t="n"/>
      <c r="O396" s="27">
        <f>IF($N396="","",IFERROR(INDEX(CONFIG!$G$4:$G$43,MATCH($N396,CONFIG!$F$4:$F$43,0)),"Por definir"))</f>
        <v/>
      </c>
      <c r="P396" s="27">
        <f>IF($N396="","",IFERROR(INDEX(CONFIG!$H$4:$H$43,MATCH($N396,CONFIG!$F$4:$F$43,0)),"Por definir"))</f>
        <v/>
      </c>
      <c r="Q396" s="50" t="n"/>
      <c r="R396" s="51" t="n"/>
      <c r="S396" s="49" t="n"/>
      <c r="T396" s="49" t="n"/>
      <c r="U396" s="48">
        <f>IF(OR($B396="",$K396=""),"",WORKDAY($B396,IFERROR(INDEX(CONFIG!$C$4:$C$43,MATCH($K396,CONFIG!$A$4:$A$43,0)),3)))</f>
        <v/>
      </c>
      <c r="V396" s="46" t="n"/>
      <c r="W396" s="23">
        <f>IF($B396="","",IF($V396&lt;&gt;"",$V396-$B396,TODAY()-$B396))</f>
        <v/>
      </c>
      <c r="X396" s="27">
        <f>IF($C396="","",IF(IFERROR(INDEX(CONFIG!$K$4:$K$43,MATCH($S396,CONFIG!$J$4:$J$43,0)),"NO")="SÍ",IF(OR($V396="",$U396=""),"Resuelta",IF($V396&gt;$U396,"Resuelta tarde","Resuelta a tiempo")),IF($U396="","Sin clasificar",IF(TODAY()&gt;$U396,"Vencida",IF(TODAY()&gt;=$U396-1,"Por vencer","En plazo")))))</f>
        <v/>
      </c>
      <c r="Y396" s="49" t="n"/>
      <c r="Z396" s="49" t="n"/>
    </row>
    <row r="397" ht="16" customHeight="1">
      <c r="A397" s="27">
        <f>IF($C397="","","N-"&amp;TEXT(ROW()-3,"0000"))</f>
        <v/>
      </c>
      <c r="B397" s="46" t="n"/>
      <c r="C397" s="47" t="n"/>
      <c r="D397" s="27">
        <f>IF($C397="","",IF(COUNTIFS(ENVIOS!$A$4:$A$3003,$C397)=0,"NO EXISTE",IF(COUNTIFS(ENVIOS!$A$4:$A$3003,$C397)&gt;1,"DUPLICADA","OK")))</f>
        <v/>
      </c>
      <c r="E397" s="22">
        <f>IF($C397="","",IFERROR(INDEX(ENVIOS!$C$4:$C$3003,MATCH($C397,ENVIOS!$A$4:$A$3003,0)),"—"))</f>
        <v/>
      </c>
      <c r="F397" s="22">
        <f>IF($C397="","",IFERROR(INDEX(ENVIOS!$D$4:$D$3003,MATCH($C397,ENVIOS!$A$4:$A$3003,0)),"—"))</f>
        <v/>
      </c>
      <c r="G397" s="22">
        <f>IF($C397="","",IFERROR(INDEX(ENVIOS!$E$4:$E$3003,MATCH($C397,ENVIOS!$A$4:$A$3003,0)),"—"))</f>
        <v/>
      </c>
      <c r="H397" s="22">
        <f>IF($C397="","",IFERROR(INDEX(ENVIOS!$F$4:$F$3003,MATCH($C397,ENVIOS!$A$4:$A$3003,0)),"—"))</f>
        <v/>
      </c>
      <c r="I397" s="27">
        <f>IF($C397="","",IFERROR(INDEX(ENVIOS!$G$4:$G$3003,MATCH($C397,ENVIOS!$A$4:$A$3003,0)),"—"))</f>
        <v/>
      </c>
      <c r="J397" s="48">
        <f>IF($C397="","",IFERROR(INDEX(ENVIOS!$B$4:$B$3003,MATCH($C397,ENVIOS!$A$4:$A$3003,0)),""))</f>
        <v/>
      </c>
      <c r="K397" s="49" t="n"/>
      <c r="L397" s="27">
        <f>IF($K397="","",IFERROR(INDEX(CONFIG!$B$4:$B$43,MATCH($K397,CONFIG!$A$4:$A$43,0)),"Media"))</f>
        <v/>
      </c>
      <c r="M397" s="27">
        <f>IF($K397="","",IFERROR(INDEX(CONFIG!$D$4:$D$43,MATCH($K397,CONFIG!$A$4:$A$43,0)),"NO"))</f>
        <v/>
      </c>
      <c r="N397" s="49" t="n"/>
      <c r="O397" s="27">
        <f>IF($N397="","",IFERROR(INDEX(CONFIG!$G$4:$G$43,MATCH($N397,CONFIG!$F$4:$F$43,0)),"Por definir"))</f>
        <v/>
      </c>
      <c r="P397" s="27">
        <f>IF($N397="","",IFERROR(INDEX(CONFIG!$H$4:$H$43,MATCH($N397,CONFIG!$F$4:$F$43,0)),"Por definir"))</f>
        <v/>
      </c>
      <c r="Q397" s="50" t="n"/>
      <c r="R397" s="51" t="n"/>
      <c r="S397" s="49" t="n"/>
      <c r="T397" s="49" t="n"/>
      <c r="U397" s="48">
        <f>IF(OR($B397="",$K397=""),"",WORKDAY($B397,IFERROR(INDEX(CONFIG!$C$4:$C$43,MATCH($K397,CONFIG!$A$4:$A$43,0)),3)))</f>
        <v/>
      </c>
      <c r="V397" s="46" t="n"/>
      <c r="W397" s="23">
        <f>IF($B397="","",IF($V397&lt;&gt;"",$V397-$B397,TODAY()-$B397))</f>
        <v/>
      </c>
      <c r="X397" s="27">
        <f>IF($C397="","",IF(IFERROR(INDEX(CONFIG!$K$4:$K$43,MATCH($S397,CONFIG!$J$4:$J$43,0)),"NO")="SÍ",IF(OR($V397="",$U397=""),"Resuelta",IF($V397&gt;$U397,"Resuelta tarde","Resuelta a tiempo")),IF($U397="","Sin clasificar",IF(TODAY()&gt;$U397,"Vencida",IF(TODAY()&gt;=$U397-1,"Por vencer","En plazo")))))</f>
        <v/>
      </c>
      <c r="Y397" s="49" t="n"/>
      <c r="Z397" s="49" t="n"/>
    </row>
    <row r="398" ht="16" customHeight="1">
      <c r="A398" s="27">
        <f>IF($C398="","","N-"&amp;TEXT(ROW()-3,"0000"))</f>
        <v/>
      </c>
      <c r="B398" s="46" t="n"/>
      <c r="C398" s="47" t="n"/>
      <c r="D398" s="27">
        <f>IF($C398="","",IF(COUNTIFS(ENVIOS!$A$4:$A$3003,$C398)=0,"NO EXISTE",IF(COUNTIFS(ENVIOS!$A$4:$A$3003,$C398)&gt;1,"DUPLICADA","OK")))</f>
        <v/>
      </c>
      <c r="E398" s="22">
        <f>IF($C398="","",IFERROR(INDEX(ENVIOS!$C$4:$C$3003,MATCH($C398,ENVIOS!$A$4:$A$3003,0)),"—"))</f>
        <v/>
      </c>
      <c r="F398" s="22">
        <f>IF($C398="","",IFERROR(INDEX(ENVIOS!$D$4:$D$3003,MATCH($C398,ENVIOS!$A$4:$A$3003,0)),"—"))</f>
        <v/>
      </c>
      <c r="G398" s="22">
        <f>IF($C398="","",IFERROR(INDEX(ENVIOS!$E$4:$E$3003,MATCH($C398,ENVIOS!$A$4:$A$3003,0)),"—"))</f>
        <v/>
      </c>
      <c r="H398" s="22">
        <f>IF($C398="","",IFERROR(INDEX(ENVIOS!$F$4:$F$3003,MATCH($C398,ENVIOS!$A$4:$A$3003,0)),"—"))</f>
        <v/>
      </c>
      <c r="I398" s="27">
        <f>IF($C398="","",IFERROR(INDEX(ENVIOS!$G$4:$G$3003,MATCH($C398,ENVIOS!$A$4:$A$3003,0)),"—"))</f>
        <v/>
      </c>
      <c r="J398" s="48">
        <f>IF($C398="","",IFERROR(INDEX(ENVIOS!$B$4:$B$3003,MATCH($C398,ENVIOS!$A$4:$A$3003,0)),""))</f>
        <v/>
      </c>
      <c r="K398" s="49" t="n"/>
      <c r="L398" s="27">
        <f>IF($K398="","",IFERROR(INDEX(CONFIG!$B$4:$B$43,MATCH($K398,CONFIG!$A$4:$A$43,0)),"Media"))</f>
        <v/>
      </c>
      <c r="M398" s="27">
        <f>IF($K398="","",IFERROR(INDEX(CONFIG!$D$4:$D$43,MATCH($K398,CONFIG!$A$4:$A$43,0)),"NO"))</f>
        <v/>
      </c>
      <c r="N398" s="49" t="n"/>
      <c r="O398" s="27">
        <f>IF($N398="","",IFERROR(INDEX(CONFIG!$G$4:$G$43,MATCH($N398,CONFIG!$F$4:$F$43,0)),"Por definir"))</f>
        <v/>
      </c>
      <c r="P398" s="27">
        <f>IF($N398="","",IFERROR(INDEX(CONFIG!$H$4:$H$43,MATCH($N398,CONFIG!$F$4:$F$43,0)),"Por definir"))</f>
        <v/>
      </c>
      <c r="Q398" s="50" t="n"/>
      <c r="R398" s="51" t="n"/>
      <c r="S398" s="49" t="n"/>
      <c r="T398" s="49" t="n"/>
      <c r="U398" s="48">
        <f>IF(OR($B398="",$K398=""),"",WORKDAY($B398,IFERROR(INDEX(CONFIG!$C$4:$C$43,MATCH($K398,CONFIG!$A$4:$A$43,0)),3)))</f>
        <v/>
      </c>
      <c r="V398" s="46" t="n"/>
      <c r="W398" s="23">
        <f>IF($B398="","",IF($V398&lt;&gt;"",$V398-$B398,TODAY()-$B398))</f>
        <v/>
      </c>
      <c r="X398" s="27">
        <f>IF($C398="","",IF(IFERROR(INDEX(CONFIG!$K$4:$K$43,MATCH($S398,CONFIG!$J$4:$J$43,0)),"NO")="SÍ",IF(OR($V398="",$U398=""),"Resuelta",IF($V398&gt;$U398,"Resuelta tarde","Resuelta a tiempo")),IF($U398="","Sin clasificar",IF(TODAY()&gt;$U398,"Vencida",IF(TODAY()&gt;=$U398-1,"Por vencer","En plazo")))))</f>
        <v/>
      </c>
      <c r="Y398" s="49" t="n"/>
      <c r="Z398" s="49" t="n"/>
    </row>
    <row r="399" ht="16" customHeight="1">
      <c r="A399" s="27">
        <f>IF($C399="","","N-"&amp;TEXT(ROW()-3,"0000"))</f>
        <v/>
      </c>
      <c r="B399" s="46" t="n"/>
      <c r="C399" s="47" t="n"/>
      <c r="D399" s="27">
        <f>IF($C399="","",IF(COUNTIFS(ENVIOS!$A$4:$A$3003,$C399)=0,"NO EXISTE",IF(COUNTIFS(ENVIOS!$A$4:$A$3003,$C399)&gt;1,"DUPLICADA","OK")))</f>
        <v/>
      </c>
      <c r="E399" s="22">
        <f>IF($C399="","",IFERROR(INDEX(ENVIOS!$C$4:$C$3003,MATCH($C399,ENVIOS!$A$4:$A$3003,0)),"—"))</f>
        <v/>
      </c>
      <c r="F399" s="22">
        <f>IF($C399="","",IFERROR(INDEX(ENVIOS!$D$4:$D$3003,MATCH($C399,ENVIOS!$A$4:$A$3003,0)),"—"))</f>
        <v/>
      </c>
      <c r="G399" s="22">
        <f>IF($C399="","",IFERROR(INDEX(ENVIOS!$E$4:$E$3003,MATCH($C399,ENVIOS!$A$4:$A$3003,0)),"—"))</f>
        <v/>
      </c>
      <c r="H399" s="22">
        <f>IF($C399="","",IFERROR(INDEX(ENVIOS!$F$4:$F$3003,MATCH($C399,ENVIOS!$A$4:$A$3003,0)),"—"))</f>
        <v/>
      </c>
      <c r="I399" s="27">
        <f>IF($C399="","",IFERROR(INDEX(ENVIOS!$G$4:$G$3003,MATCH($C399,ENVIOS!$A$4:$A$3003,0)),"—"))</f>
        <v/>
      </c>
      <c r="J399" s="48">
        <f>IF($C399="","",IFERROR(INDEX(ENVIOS!$B$4:$B$3003,MATCH($C399,ENVIOS!$A$4:$A$3003,0)),""))</f>
        <v/>
      </c>
      <c r="K399" s="49" t="n"/>
      <c r="L399" s="27">
        <f>IF($K399="","",IFERROR(INDEX(CONFIG!$B$4:$B$43,MATCH($K399,CONFIG!$A$4:$A$43,0)),"Media"))</f>
        <v/>
      </c>
      <c r="M399" s="27">
        <f>IF($K399="","",IFERROR(INDEX(CONFIG!$D$4:$D$43,MATCH($K399,CONFIG!$A$4:$A$43,0)),"NO"))</f>
        <v/>
      </c>
      <c r="N399" s="49" t="n"/>
      <c r="O399" s="27">
        <f>IF($N399="","",IFERROR(INDEX(CONFIG!$G$4:$G$43,MATCH($N399,CONFIG!$F$4:$F$43,0)),"Por definir"))</f>
        <v/>
      </c>
      <c r="P399" s="27">
        <f>IF($N399="","",IFERROR(INDEX(CONFIG!$H$4:$H$43,MATCH($N399,CONFIG!$F$4:$F$43,0)),"Por definir"))</f>
        <v/>
      </c>
      <c r="Q399" s="50" t="n"/>
      <c r="R399" s="51" t="n"/>
      <c r="S399" s="49" t="n"/>
      <c r="T399" s="49" t="n"/>
      <c r="U399" s="48">
        <f>IF(OR($B399="",$K399=""),"",WORKDAY($B399,IFERROR(INDEX(CONFIG!$C$4:$C$43,MATCH($K399,CONFIG!$A$4:$A$43,0)),3)))</f>
        <v/>
      </c>
      <c r="V399" s="46" t="n"/>
      <c r="W399" s="23">
        <f>IF($B399="","",IF($V399&lt;&gt;"",$V399-$B399,TODAY()-$B399))</f>
        <v/>
      </c>
      <c r="X399" s="27">
        <f>IF($C399="","",IF(IFERROR(INDEX(CONFIG!$K$4:$K$43,MATCH($S399,CONFIG!$J$4:$J$43,0)),"NO")="SÍ",IF(OR($V399="",$U399=""),"Resuelta",IF($V399&gt;$U399,"Resuelta tarde","Resuelta a tiempo")),IF($U399="","Sin clasificar",IF(TODAY()&gt;$U399,"Vencida",IF(TODAY()&gt;=$U399-1,"Por vencer","En plazo")))))</f>
        <v/>
      </c>
      <c r="Y399" s="49" t="n"/>
      <c r="Z399" s="49" t="n"/>
    </row>
    <row r="400" ht="16" customHeight="1">
      <c r="A400" s="27">
        <f>IF($C400="","","N-"&amp;TEXT(ROW()-3,"0000"))</f>
        <v/>
      </c>
      <c r="B400" s="46" t="n"/>
      <c r="C400" s="47" t="n"/>
      <c r="D400" s="27">
        <f>IF($C400="","",IF(COUNTIFS(ENVIOS!$A$4:$A$3003,$C400)=0,"NO EXISTE",IF(COUNTIFS(ENVIOS!$A$4:$A$3003,$C400)&gt;1,"DUPLICADA","OK")))</f>
        <v/>
      </c>
      <c r="E400" s="22">
        <f>IF($C400="","",IFERROR(INDEX(ENVIOS!$C$4:$C$3003,MATCH($C400,ENVIOS!$A$4:$A$3003,0)),"—"))</f>
        <v/>
      </c>
      <c r="F400" s="22">
        <f>IF($C400="","",IFERROR(INDEX(ENVIOS!$D$4:$D$3003,MATCH($C400,ENVIOS!$A$4:$A$3003,0)),"—"))</f>
        <v/>
      </c>
      <c r="G400" s="22">
        <f>IF($C400="","",IFERROR(INDEX(ENVIOS!$E$4:$E$3003,MATCH($C400,ENVIOS!$A$4:$A$3003,0)),"—"))</f>
        <v/>
      </c>
      <c r="H400" s="22">
        <f>IF($C400="","",IFERROR(INDEX(ENVIOS!$F$4:$F$3003,MATCH($C400,ENVIOS!$A$4:$A$3003,0)),"—"))</f>
        <v/>
      </c>
      <c r="I400" s="27">
        <f>IF($C400="","",IFERROR(INDEX(ENVIOS!$G$4:$G$3003,MATCH($C400,ENVIOS!$A$4:$A$3003,0)),"—"))</f>
        <v/>
      </c>
      <c r="J400" s="48">
        <f>IF($C400="","",IFERROR(INDEX(ENVIOS!$B$4:$B$3003,MATCH($C400,ENVIOS!$A$4:$A$3003,0)),""))</f>
        <v/>
      </c>
      <c r="K400" s="49" t="n"/>
      <c r="L400" s="27">
        <f>IF($K400="","",IFERROR(INDEX(CONFIG!$B$4:$B$43,MATCH($K400,CONFIG!$A$4:$A$43,0)),"Media"))</f>
        <v/>
      </c>
      <c r="M400" s="27">
        <f>IF($K400="","",IFERROR(INDEX(CONFIG!$D$4:$D$43,MATCH($K400,CONFIG!$A$4:$A$43,0)),"NO"))</f>
        <v/>
      </c>
      <c r="N400" s="49" t="n"/>
      <c r="O400" s="27">
        <f>IF($N400="","",IFERROR(INDEX(CONFIG!$G$4:$G$43,MATCH($N400,CONFIG!$F$4:$F$43,0)),"Por definir"))</f>
        <v/>
      </c>
      <c r="P400" s="27">
        <f>IF($N400="","",IFERROR(INDEX(CONFIG!$H$4:$H$43,MATCH($N400,CONFIG!$F$4:$F$43,0)),"Por definir"))</f>
        <v/>
      </c>
      <c r="Q400" s="50" t="n"/>
      <c r="R400" s="51" t="n"/>
      <c r="S400" s="49" t="n"/>
      <c r="T400" s="49" t="n"/>
      <c r="U400" s="48">
        <f>IF(OR($B400="",$K400=""),"",WORKDAY($B400,IFERROR(INDEX(CONFIG!$C$4:$C$43,MATCH($K400,CONFIG!$A$4:$A$43,0)),3)))</f>
        <v/>
      </c>
      <c r="V400" s="46" t="n"/>
      <c r="W400" s="23">
        <f>IF($B400="","",IF($V400&lt;&gt;"",$V400-$B400,TODAY()-$B400))</f>
        <v/>
      </c>
      <c r="X400" s="27">
        <f>IF($C400="","",IF(IFERROR(INDEX(CONFIG!$K$4:$K$43,MATCH($S400,CONFIG!$J$4:$J$43,0)),"NO")="SÍ",IF(OR($V400="",$U400=""),"Resuelta",IF($V400&gt;$U400,"Resuelta tarde","Resuelta a tiempo")),IF($U400="","Sin clasificar",IF(TODAY()&gt;$U400,"Vencida",IF(TODAY()&gt;=$U400-1,"Por vencer","En plazo")))))</f>
        <v/>
      </c>
      <c r="Y400" s="49" t="n"/>
      <c r="Z400" s="49" t="n"/>
    </row>
    <row r="401" ht="16" customHeight="1">
      <c r="A401" s="27">
        <f>IF($C401="","","N-"&amp;TEXT(ROW()-3,"0000"))</f>
        <v/>
      </c>
      <c r="B401" s="46" t="n"/>
      <c r="C401" s="47" t="n"/>
      <c r="D401" s="27">
        <f>IF($C401="","",IF(COUNTIFS(ENVIOS!$A$4:$A$3003,$C401)=0,"NO EXISTE",IF(COUNTIFS(ENVIOS!$A$4:$A$3003,$C401)&gt;1,"DUPLICADA","OK")))</f>
        <v/>
      </c>
      <c r="E401" s="22">
        <f>IF($C401="","",IFERROR(INDEX(ENVIOS!$C$4:$C$3003,MATCH($C401,ENVIOS!$A$4:$A$3003,0)),"—"))</f>
        <v/>
      </c>
      <c r="F401" s="22">
        <f>IF($C401="","",IFERROR(INDEX(ENVIOS!$D$4:$D$3003,MATCH($C401,ENVIOS!$A$4:$A$3003,0)),"—"))</f>
        <v/>
      </c>
      <c r="G401" s="22">
        <f>IF($C401="","",IFERROR(INDEX(ENVIOS!$E$4:$E$3003,MATCH($C401,ENVIOS!$A$4:$A$3003,0)),"—"))</f>
        <v/>
      </c>
      <c r="H401" s="22">
        <f>IF($C401="","",IFERROR(INDEX(ENVIOS!$F$4:$F$3003,MATCH($C401,ENVIOS!$A$4:$A$3003,0)),"—"))</f>
        <v/>
      </c>
      <c r="I401" s="27">
        <f>IF($C401="","",IFERROR(INDEX(ENVIOS!$G$4:$G$3003,MATCH($C401,ENVIOS!$A$4:$A$3003,0)),"—"))</f>
        <v/>
      </c>
      <c r="J401" s="48">
        <f>IF($C401="","",IFERROR(INDEX(ENVIOS!$B$4:$B$3003,MATCH($C401,ENVIOS!$A$4:$A$3003,0)),""))</f>
        <v/>
      </c>
      <c r="K401" s="49" t="n"/>
      <c r="L401" s="27">
        <f>IF($K401="","",IFERROR(INDEX(CONFIG!$B$4:$B$43,MATCH($K401,CONFIG!$A$4:$A$43,0)),"Media"))</f>
        <v/>
      </c>
      <c r="M401" s="27">
        <f>IF($K401="","",IFERROR(INDEX(CONFIG!$D$4:$D$43,MATCH($K401,CONFIG!$A$4:$A$43,0)),"NO"))</f>
        <v/>
      </c>
      <c r="N401" s="49" t="n"/>
      <c r="O401" s="27">
        <f>IF($N401="","",IFERROR(INDEX(CONFIG!$G$4:$G$43,MATCH($N401,CONFIG!$F$4:$F$43,0)),"Por definir"))</f>
        <v/>
      </c>
      <c r="P401" s="27">
        <f>IF($N401="","",IFERROR(INDEX(CONFIG!$H$4:$H$43,MATCH($N401,CONFIG!$F$4:$F$43,0)),"Por definir"))</f>
        <v/>
      </c>
      <c r="Q401" s="50" t="n"/>
      <c r="R401" s="51" t="n"/>
      <c r="S401" s="49" t="n"/>
      <c r="T401" s="49" t="n"/>
      <c r="U401" s="48">
        <f>IF(OR($B401="",$K401=""),"",WORKDAY($B401,IFERROR(INDEX(CONFIG!$C$4:$C$43,MATCH($K401,CONFIG!$A$4:$A$43,0)),3)))</f>
        <v/>
      </c>
      <c r="V401" s="46" t="n"/>
      <c r="W401" s="23">
        <f>IF($B401="","",IF($V401&lt;&gt;"",$V401-$B401,TODAY()-$B401))</f>
        <v/>
      </c>
      <c r="X401" s="27">
        <f>IF($C401="","",IF(IFERROR(INDEX(CONFIG!$K$4:$K$43,MATCH($S401,CONFIG!$J$4:$J$43,0)),"NO")="SÍ",IF(OR($V401="",$U401=""),"Resuelta",IF($V401&gt;$U401,"Resuelta tarde","Resuelta a tiempo")),IF($U401="","Sin clasificar",IF(TODAY()&gt;$U401,"Vencida",IF(TODAY()&gt;=$U401-1,"Por vencer","En plazo")))))</f>
        <v/>
      </c>
      <c r="Y401" s="49" t="n"/>
      <c r="Z401" s="49" t="n"/>
    </row>
    <row r="402" ht="16" customHeight="1">
      <c r="A402" s="27">
        <f>IF($C402="","","N-"&amp;TEXT(ROW()-3,"0000"))</f>
        <v/>
      </c>
      <c r="B402" s="46" t="n"/>
      <c r="C402" s="47" t="n"/>
      <c r="D402" s="27">
        <f>IF($C402="","",IF(COUNTIFS(ENVIOS!$A$4:$A$3003,$C402)=0,"NO EXISTE",IF(COUNTIFS(ENVIOS!$A$4:$A$3003,$C402)&gt;1,"DUPLICADA","OK")))</f>
        <v/>
      </c>
      <c r="E402" s="22">
        <f>IF($C402="","",IFERROR(INDEX(ENVIOS!$C$4:$C$3003,MATCH($C402,ENVIOS!$A$4:$A$3003,0)),"—"))</f>
        <v/>
      </c>
      <c r="F402" s="22">
        <f>IF($C402="","",IFERROR(INDEX(ENVIOS!$D$4:$D$3003,MATCH($C402,ENVIOS!$A$4:$A$3003,0)),"—"))</f>
        <v/>
      </c>
      <c r="G402" s="22">
        <f>IF($C402="","",IFERROR(INDEX(ENVIOS!$E$4:$E$3003,MATCH($C402,ENVIOS!$A$4:$A$3003,0)),"—"))</f>
        <v/>
      </c>
      <c r="H402" s="22">
        <f>IF($C402="","",IFERROR(INDEX(ENVIOS!$F$4:$F$3003,MATCH($C402,ENVIOS!$A$4:$A$3003,0)),"—"))</f>
        <v/>
      </c>
      <c r="I402" s="27">
        <f>IF($C402="","",IFERROR(INDEX(ENVIOS!$G$4:$G$3003,MATCH($C402,ENVIOS!$A$4:$A$3003,0)),"—"))</f>
        <v/>
      </c>
      <c r="J402" s="48">
        <f>IF($C402="","",IFERROR(INDEX(ENVIOS!$B$4:$B$3003,MATCH($C402,ENVIOS!$A$4:$A$3003,0)),""))</f>
        <v/>
      </c>
      <c r="K402" s="49" t="n"/>
      <c r="L402" s="27">
        <f>IF($K402="","",IFERROR(INDEX(CONFIG!$B$4:$B$43,MATCH($K402,CONFIG!$A$4:$A$43,0)),"Media"))</f>
        <v/>
      </c>
      <c r="M402" s="27">
        <f>IF($K402="","",IFERROR(INDEX(CONFIG!$D$4:$D$43,MATCH($K402,CONFIG!$A$4:$A$43,0)),"NO"))</f>
        <v/>
      </c>
      <c r="N402" s="49" t="n"/>
      <c r="O402" s="27">
        <f>IF($N402="","",IFERROR(INDEX(CONFIG!$G$4:$G$43,MATCH($N402,CONFIG!$F$4:$F$43,0)),"Por definir"))</f>
        <v/>
      </c>
      <c r="P402" s="27">
        <f>IF($N402="","",IFERROR(INDEX(CONFIG!$H$4:$H$43,MATCH($N402,CONFIG!$F$4:$F$43,0)),"Por definir"))</f>
        <v/>
      </c>
      <c r="Q402" s="50" t="n"/>
      <c r="R402" s="51" t="n"/>
      <c r="S402" s="49" t="n"/>
      <c r="T402" s="49" t="n"/>
      <c r="U402" s="48">
        <f>IF(OR($B402="",$K402=""),"",WORKDAY($B402,IFERROR(INDEX(CONFIG!$C$4:$C$43,MATCH($K402,CONFIG!$A$4:$A$43,0)),3)))</f>
        <v/>
      </c>
      <c r="V402" s="46" t="n"/>
      <c r="W402" s="23">
        <f>IF($B402="","",IF($V402&lt;&gt;"",$V402-$B402,TODAY()-$B402))</f>
        <v/>
      </c>
      <c r="X402" s="27">
        <f>IF($C402="","",IF(IFERROR(INDEX(CONFIG!$K$4:$K$43,MATCH($S402,CONFIG!$J$4:$J$43,0)),"NO")="SÍ",IF(OR($V402="",$U402=""),"Resuelta",IF($V402&gt;$U402,"Resuelta tarde","Resuelta a tiempo")),IF($U402="","Sin clasificar",IF(TODAY()&gt;$U402,"Vencida",IF(TODAY()&gt;=$U402-1,"Por vencer","En plazo")))))</f>
        <v/>
      </c>
      <c r="Y402" s="49" t="n"/>
      <c r="Z402" s="49" t="n"/>
    </row>
    <row r="403" ht="16" customHeight="1">
      <c r="A403" s="27">
        <f>IF($C403="","","N-"&amp;TEXT(ROW()-3,"0000"))</f>
        <v/>
      </c>
      <c r="B403" s="46" t="n"/>
      <c r="C403" s="47" t="n"/>
      <c r="D403" s="27">
        <f>IF($C403="","",IF(COUNTIFS(ENVIOS!$A$4:$A$3003,$C403)=0,"NO EXISTE",IF(COUNTIFS(ENVIOS!$A$4:$A$3003,$C403)&gt;1,"DUPLICADA","OK")))</f>
        <v/>
      </c>
      <c r="E403" s="22">
        <f>IF($C403="","",IFERROR(INDEX(ENVIOS!$C$4:$C$3003,MATCH($C403,ENVIOS!$A$4:$A$3003,0)),"—"))</f>
        <v/>
      </c>
      <c r="F403" s="22">
        <f>IF($C403="","",IFERROR(INDEX(ENVIOS!$D$4:$D$3003,MATCH($C403,ENVIOS!$A$4:$A$3003,0)),"—"))</f>
        <v/>
      </c>
      <c r="G403" s="22">
        <f>IF($C403="","",IFERROR(INDEX(ENVIOS!$E$4:$E$3003,MATCH($C403,ENVIOS!$A$4:$A$3003,0)),"—"))</f>
        <v/>
      </c>
      <c r="H403" s="22">
        <f>IF($C403="","",IFERROR(INDEX(ENVIOS!$F$4:$F$3003,MATCH($C403,ENVIOS!$A$4:$A$3003,0)),"—"))</f>
        <v/>
      </c>
      <c r="I403" s="27">
        <f>IF($C403="","",IFERROR(INDEX(ENVIOS!$G$4:$G$3003,MATCH($C403,ENVIOS!$A$4:$A$3003,0)),"—"))</f>
        <v/>
      </c>
      <c r="J403" s="48">
        <f>IF($C403="","",IFERROR(INDEX(ENVIOS!$B$4:$B$3003,MATCH($C403,ENVIOS!$A$4:$A$3003,0)),""))</f>
        <v/>
      </c>
      <c r="K403" s="49" t="n"/>
      <c r="L403" s="27">
        <f>IF($K403="","",IFERROR(INDEX(CONFIG!$B$4:$B$43,MATCH($K403,CONFIG!$A$4:$A$43,0)),"Media"))</f>
        <v/>
      </c>
      <c r="M403" s="27">
        <f>IF($K403="","",IFERROR(INDEX(CONFIG!$D$4:$D$43,MATCH($K403,CONFIG!$A$4:$A$43,0)),"NO"))</f>
        <v/>
      </c>
      <c r="N403" s="49" t="n"/>
      <c r="O403" s="27">
        <f>IF($N403="","",IFERROR(INDEX(CONFIG!$G$4:$G$43,MATCH($N403,CONFIG!$F$4:$F$43,0)),"Por definir"))</f>
        <v/>
      </c>
      <c r="P403" s="27">
        <f>IF($N403="","",IFERROR(INDEX(CONFIG!$H$4:$H$43,MATCH($N403,CONFIG!$F$4:$F$43,0)),"Por definir"))</f>
        <v/>
      </c>
      <c r="Q403" s="50" t="n"/>
      <c r="R403" s="51" t="n"/>
      <c r="S403" s="49" t="n"/>
      <c r="T403" s="49" t="n"/>
      <c r="U403" s="48">
        <f>IF(OR($B403="",$K403=""),"",WORKDAY($B403,IFERROR(INDEX(CONFIG!$C$4:$C$43,MATCH($K403,CONFIG!$A$4:$A$43,0)),3)))</f>
        <v/>
      </c>
      <c r="V403" s="46" t="n"/>
      <c r="W403" s="23">
        <f>IF($B403="","",IF($V403&lt;&gt;"",$V403-$B403,TODAY()-$B403))</f>
        <v/>
      </c>
      <c r="X403" s="27">
        <f>IF($C403="","",IF(IFERROR(INDEX(CONFIG!$K$4:$K$43,MATCH($S403,CONFIG!$J$4:$J$43,0)),"NO")="SÍ",IF(OR($V403="",$U403=""),"Resuelta",IF($V403&gt;$U403,"Resuelta tarde","Resuelta a tiempo")),IF($U403="","Sin clasificar",IF(TODAY()&gt;$U403,"Vencida",IF(TODAY()&gt;=$U403-1,"Por vencer","En plazo")))))</f>
        <v/>
      </c>
      <c r="Y403" s="49" t="n"/>
      <c r="Z403" s="49" t="n"/>
    </row>
    <row r="404" ht="16" customHeight="1">
      <c r="A404" s="27">
        <f>IF($C404="","","N-"&amp;TEXT(ROW()-3,"0000"))</f>
        <v/>
      </c>
      <c r="B404" s="46" t="n"/>
      <c r="C404" s="47" t="n"/>
      <c r="D404" s="27">
        <f>IF($C404="","",IF(COUNTIFS(ENVIOS!$A$4:$A$3003,$C404)=0,"NO EXISTE",IF(COUNTIFS(ENVIOS!$A$4:$A$3003,$C404)&gt;1,"DUPLICADA","OK")))</f>
        <v/>
      </c>
      <c r="E404" s="22">
        <f>IF($C404="","",IFERROR(INDEX(ENVIOS!$C$4:$C$3003,MATCH($C404,ENVIOS!$A$4:$A$3003,0)),"—"))</f>
        <v/>
      </c>
      <c r="F404" s="22">
        <f>IF($C404="","",IFERROR(INDEX(ENVIOS!$D$4:$D$3003,MATCH($C404,ENVIOS!$A$4:$A$3003,0)),"—"))</f>
        <v/>
      </c>
      <c r="G404" s="22">
        <f>IF($C404="","",IFERROR(INDEX(ENVIOS!$E$4:$E$3003,MATCH($C404,ENVIOS!$A$4:$A$3003,0)),"—"))</f>
        <v/>
      </c>
      <c r="H404" s="22">
        <f>IF($C404="","",IFERROR(INDEX(ENVIOS!$F$4:$F$3003,MATCH($C404,ENVIOS!$A$4:$A$3003,0)),"—"))</f>
        <v/>
      </c>
      <c r="I404" s="27">
        <f>IF($C404="","",IFERROR(INDEX(ENVIOS!$G$4:$G$3003,MATCH($C404,ENVIOS!$A$4:$A$3003,0)),"—"))</f>
        <v/>
      </c>
      <c r="J404" s="48">
        <f>IF($C404="","",IFERROR(INDEX(ENVIOS!$B$4:$B$3003,MATCH($C404,ENVIOS!$A$4:$A$3003,0)),""))</f>
        <v/>
      </c>
      <c r="K404" s="49" t="n"/>
      <c r="L404" s="27">
        <f>IF($K404="","",IFERROR(INDEX(CONFIG!$B$4:$B$43,MATCH($K404,CONFIG!$A$4:$A$43,0)),"Media"))</f>
        <v/>
      </c>
      <c r="M404" s="27">
        <f>IF($K404="","",IFERROR(INDEX(CONFIG!$D$4:$D$43,MATCH($K404,CONFIG!$A$4:$A$43,0)),"NO"))</f>
        <v/>
      </c>
      <c r="N404" s="49" t="n"/>
      <c r="O404" s="27">
        <f>IF($N404="","",IFERROR(INDEX(CONFIG!$G$4:$G$43,MATCH($N404,CONFIG!$F$4:$F$43,0)),"Por definir"))</f>
        <v/>
      </c>
      <c r="P404" s="27">
        <f>IF($N404="","",IFERROR(INDEX(CONFIG!$H$4:$H$43,MATCH($N404,CONFIG!$F$4:$F$43,0)),"Por definir"))</f>
        <v/>
      </c>
      <c r="Q404" s="50" t="n"/>
      <c r="R404" s="51" t="n"/>
      <c r="S404" s="49" t="n"/>
      <c r="T404" s="49" t="n"/>
      <c r="U404" s="48">
        <f>IF(OR($B404="",$K404=""),"",WORKDAY($B404,IFERROR(INDEX(CONFIG!$C$4:$C$43,MATCH($K404,CONFIG!$A$4:$A$43,0)),3)))</f>
        <v/>
      </c>
      <c r="V404" s="46" t="n"/>
      <c r="W404" s="23">
        <f>IF($B404="","",IF($V404&lt;&gt;"",$V404-$B404,TODAY()-$B404))</f>
        <v/>
      </c>
      <c r="X404" s="27">
        <f>IF($C404="","",IF(IFERROR(INDEX(CONFIG!$K$4:$K$43,MATCH($S404,CONFIG!$J$4:$J$43,0)),"NO")="SÍ",IF(OR($V404="",$U404=""),"Resuelta",IF($V404&gt;$U404,"Resuelta tarde","Resuelta a tiempo")),IF($U404="","Sin clasificar",IF(TODAY()&gt;$U404,"Vencida",IF(TODAY()&gt;=$U404-1,"Por vencer","En plazo")))))</f>
        <v/>
      </c>
      <c r="Y404" s="49" t="n"/>
      <c r="Z404" s="49" t="n"/>
    </row>
    <row r="405" ht="16" customHeight="1">
      <c r="A405" s="27">
        <f>IF($C405="","","N-"&amp;TEXT(ROW()-3,"0000"))</f>
        <v/>
      </c>
      <c r="B405" s="46" t="n"/>
      <c r="C405" s="47" t="n"/>
      <c r="D405" s="27">
        <f>IF($C405="","",IF(COUNTIFS(ENVIOS!$A$4:$A$3003,$C405)=0,"NO EXISTE",IF(COUNTIFS(ENVIOS!$A$4:$A$3003,$C405)&gt;1,"DUPLICADA","OK")))</f>
        <v/>
      </c>
      <c r="E405" s="22">
        <f>IF($C405="","",IFERROR(INDEX(ENVIOS!$C$4:$C$3003,MATCH($C405,ENVIOS!$A$4:$A$3003,0)),"—"))</f>
        <v/>
      </c>
      <c r="F405" s="22">
        <f>IF($C405="","",IFERROR(INDEX(ENVIOS!$D$4:$D$3003,MATCH($C405,ENVIOS!$A$4:$A$3003,0)),"—"))</f>
        <v/>
      </c>
      <c r="G405" s="22">
        <f>IF($C405="","",IFERROR(INDEX(ENVIOS!$E$4:$E$3003,MATCH($C405,ENVIOS!$A$4:$A$3003,0)),"—"))</f>
        <v/>
      </c>
      <c r="H405" s="22">
        <f>IF($C405="","",IFERROR(INDEX(ENVIOS!$F$4:$F$3003,MATCH($C405,ENVIOS!$A$4:$A$3003,0)),"—"))</f>
        <v/>
      </c>
      <c r="I405" s="27">
        <f>IF($C405="","",IFERROR(INDEX(ENVIOS!$G$4:$G$3003,MATCH($C405,ENVIOS!$A$4:$A$3003,0)),"—"))</f>
        <v/>
      </c>
      <c r="J405" s="48">
        <f>IF($C405="","",IFERROR(INDEX(ENVIOS!$B$4:$B$3003,MATCH($C405,ENVIOS!$A$4:$A$3003,0)),""))</f>
        <v/>
      </c>
      <c r="K405" s="49" t="n"/>
      <c r="L405" s="27">
        <f>IF($K405="","",IFERROR(INDEX(CONFIG!$B$4:$B$43,MATCH($K405,CONFIG!$A$4:$A$43,0)),"Media"))</f>
        <v/>
      </c>
      <c r="M405" s="27">
        <f>IF($K405="","",IFERROR(INDEX(CONFIG!$D$4:$D$43,MATCH($K405,CONFIG!$A$4:$A$43,0)),"NO"))</f>
        <v/>
      </c>
      <c r="N405" s="49" t="n"/>
      <c r="O405" s="27">
        <f>IF($N405="","",IFERROR(INDEX(CONFIG!$G$4:$G$43,MATCH($N405,CONFIG!$F$4:$F$43,0)),"Por definir"))</f>
        <v/>
      </c>
      <c r="P405" s="27">
        <f>IF($N405="","",IFERROR(INDEX(CONFIG!$H$4:$H$43,MATCH($N405,CONFIG!$F$4:$F$43,0)),"Por definir"))</f>
        <v/>
      </c>
      <c r="Q405" s="50" t="n"/>
      <c r="R405" s="51" t="n"/>
      <c r="S405" s="49" t="n"/>
      <c r="T405" s="49" t="n"/>
      <c r="U405" s="48">
        <f>IF(OR($B405="",$K405=""),"",WORKDAY($B405,IFERROR(INDEX(CONFIG!$C$4:$C$43,MATCH($K405,CONFIG!$A$4:$A$43,0)),3)))</f>
        <v/>
      </c>
      <c r="V405" s="46" t="n"/>
      <c r="W405" s="23">
        <f>IF($B405="","",IF($V405&lt;&gt;"",$V405-$B405,TODAY()-$B405))</f>
        <v/>
      </c>
      <c r="X405" s="27">
        <f>IF($C405="","",IF(IFERROR(INDEX(CONFIG!$K$4:$K$43,MATCH($S405,CONFIG!$J$4:$J$43,0)),"NO")="SÍ",IF(OR($V405="",$U405=""),"Resuelta",IF($V405&gt;$U405,"Resuelta tarde","Resuelta a tiempo")),IF($U405="","Sin clasificar",IF(TODAY()&gt;$U405,"Vencida",IF(TODAY()&gt;=$U405-1,"Por vencer","En plazo")))))</f>
        <v/>
      </c>
      <c r="Y405" s="49" t="n"/>
      <c r="Z405" s="49" t="n"/>
    </row>
    <row r="406" ht="16" customHeight="1">
      <c r="A406" s="27">
        <f>IF($C406="","","N-"&amp;TEXT(ROW()-3,"0000"))</f>
        <v/>
      </c>
      <c r="B406" s="46" t="n"/>
      <c r="C406" s="47" t="n"/>
      <c r="D406" s="27">
        <f>IF($C406="","",IF(COUNTIFS(ENVIOS!$A$4:$A$3003,$C406)=0,"NO EXISTE",IF(COUNTIFS(ENVIOS!$A$4:$A$3003,$C406)&gt;1,"DUPLICADA","OK")))</f>
        <v/>
      </c>
      <c r="E406" s="22">
        <f>IF($C406="","",IFERROR(INDEX(ENVIOS!$C$4:$C$3003,MATCH($C406,ENVIOS!$A$4:$A$3003,0)),"—"))</f>
        <v/>
      </c>
      <c r="F406" s="22">
        <f>IF($C406="","",IFERROR(INDEX(ENVIOS!$D$4:$D$3003,MATCH($C406,ENVIOS!$A$4:$A$3003,0)),"—"))</f>
        <v/>
      </c>
      <c r="G406" s="22">
        <f>IF($C406="","",IFERROR(INDEX(ENVIOS!$E$4:$E$3003,MATCH($C406,ENVIOS!$A$4:$A$3003,0)),"—"))</f>
        <v/>
      </c>
      <c r="H406" s="22">
        <f>IF($C406="","",IFERROR(INDEX(ENVIOS!$F$4:$F$3003,MATCH($C406,ENVIOS!$A$4:$A$3003,0)),"—"))</f>
        <v/>
      </c>
      <c r="I406" s="27">
        <f>IF($C406="","",IFERROR(INDEX(ENVIOS!$G$4:$G$3003,MATCH($C406,ENVIOS!$A$4:$A$3003,0)),"—"))</f>
        <v/>
      </c>
      <c r="J406" s="48">
        <f>IF($C406="","",IFERROR(INDEX(ENVIOS!$B$4:$B$3003,MATCH($C406,ENVIOS!$A$4:$A$3003,0)),""))</f>
        <v/>
      </c>
      <c r="K406" s="49" t="n"/>
      <c r="L406" s="27">
        <f>IF($K406="","",IFERROR(INDEX(CONFIG!$B$4:$B$43,MATCH($K406,CONFIG!$A$4:$A$43,0)),"Media"))</f>
        <v/>
      </c>
      <c r="M406" s="27">
        <f>IF($K406="","",IFERROR(INDEX(CONFIG!$D$4:$D$43,MATCH($K406,CONFIG!$A$4:$A$43,0)),"NO"))</f>
        <v/>
      </c>
      <c r="N406" s="49" t="n"/>
      <c r="O406" s="27">
        <f>IF($N406="","",IFERROR(INDEX(CONFIG!$G$4:$G$43,MATCH($N406,CONFIG!$F$4:$F$43,0)),"Por definir"))</f>
        <v/>
      </c>
      <c r="P406" s="27">
        <f>IF($N406="","",IFERROR(INDEX(CONFIG!$H$4:$H$43,MATCH($N406,CONFIG!$F$4:$F$43,0)),"Por definir"))</f>
        <v/>
      </c>
      <c r="Q406" s="50" t="n"/>
      <c r="R406" s="51" t="n"/>
      <c r="S406" s="49" t="n"/>
      <c r="T406" s="49" t="n"/>
      <c r="U406" s="48">
        <f>IF(OR($B406="",$K406=""),"",WORKDAY($B406,IFERROR(INDEX(CONFIG!$C$4:$C$43,MATCH($K406,CONFIG!$A$4:$A$43,0)),3)))</f>
        <v/>
      </c>
      <c r="V406" s="46" t="n"/>
      <c r="W406" s="23">
        <f>IF($B406="","",IF($V406&lt;&gt;"",$V406-$B406,TODAY()-$B406))</f>
        <v/>
      </c>
      <c r="X406" s="27">
        <f>IF($C406="","",IF(IFERROR(INDEX(CONFIG!$K$4:$K$43,MATCH($S406,CONFIG!$J$4:$J$43,0)),"NO")="SÍ",IF(OR($V406="",$U406=""),"Resuelta",IF($V406&gt;$U406,"Resuelta tarde","Resuelta a tiempo")),IF($U406="","Sin clasificar",IF(TODAY()&gt;$U406,"Vencida",IF(TODAY()&gt;=$U406-1,"Por vencer","En plazo")))))</f>
        <v/>
      </c>
      <c r="Y406" s="49" t="n"/>
      <c r="Z406" s="49" t="n"/>
    </row>
    <row r="407" ht="16" customHeight="1">
      <c r="A407" s="27">
        <f>IF($C407="","","N-"&amp;TEXT(ROW()-3,"0000"))</f>
        <v/>
      </c>
      <c r="B407" s="46" t="n"/>
      <c r="C407" s="47" t="n"/>
      <c r="D407" s="27">
        <f>IF($C407="","",IF(COUNTIFS(ENVIOS!$A$4:$A$3003,$C407)=0,"NO EXISTE",IF(COUNTIFS(ENVIOS!$A$4:$A$3003,$C407)&gt;1,"DUPLICADA","OK")))</f>
        <v/>
      </c>
      <c r="E407" s="22">
        <f>IF($C407="","",IFERROR(INDEX(ENVIOS!$C$4:$C$3003,MATCH($C407,ENVIOS!$A$4:$A$3003,0)),"—"))</f>
        <v/>
      </c>
      <c r="F407" s="22">
        <f>IF($C407="","",IFERROR(INDEX(ENVIOS!$D$4:$D$3003,MATCH($C407,ENVIOS!$A$4:$A$3003,0)),"—"))</f>
        <v/>
      </c>
      <c r="G407" s="22">
        <f>IF($C407="","",IFERROR(INDEX(ENVIOS!$E$4:$E$3003,MATCH($C407,ENVIOS!$A$4:$A$3003,0)),"—"))</f>
        <v/>
      </c>
      <c r="H407" s="22">
        <f>IF($C407="","",IFERROR(INDEX(ENVIOS!$F$4:$F$3003,MATCH($C407,ENVIOS!$A$4:$A$3003,0)),"—"))</f>
        <v/>
      </c>
      <c r="I407" s="27">
        <f>IF($C407="","",IFERROR(INDEX(ENVIOS!$G$4:$G$3003,MATCH($C407,ENVIOS!$A$4:$A$3003,0)),"—"))</f>
        <v/>
      </c>
      <c r="J407" s="48">
        <f>IF($C407="","",IFERROR(INDEX(ENVIOS!$B$4:$B$3003,MATCH($C407,ENVIOS!$A$4:$A$3003,0)),""))</f>
        <v/>
      </c>
      <c r="K407" s="49" t="n"/>
      <c r="L407" s="27">
        <f>IF($K407="","",IFERROR(INDEX(CONFIG!$B$4:$B$43,MATCH($K407,CONFIG!$A$4:$A$43,0)),"Media"))</f>
        <v/>
      </c>
      <c r="M407" s="27">
        <f>IF($K407="","",IFERROR(INDEX(CONFIG!$D$4:$D$43,MATCH($K407,CONFIG!$A$4:$A$43,0)),"NO"))</f>
        <v/>
      </c>
      <c r="N407" s="49" t="n"/>
      <c r="O407" s="27">
        <f>IF($N407="","",IFERROR(INDEX(CONFIG!$G$4:$G$43,MATCH($N407,CONFIG!$F$4:$F$43,0)),"Por definir"))</f>
        <v/>
      </c>
      <c r="P407" s="27">
        <f>IF($N407="","",IFERROR(INDEX(CONFIG!$H$4:$H$43,MATCH($N407,CONFIG!$F$4:$F$43,0)),"Por definir"))</f>
        <v/>
      </c>
      <c r="Q407" s="50" t="n"/>
      <c r="R407" s="51" t="n"/>
      <c r="S407" s="49" t="n"/>
      <c r="T407" s="49" t="n"/>
      <c r="U407" s="48">
        <f>IF(OR($B407="",$K407=""),"",WORKDAY($B407,IFERROR(INDEX(CONFIG!$C$4:$C$43,MATCH($K407,CONFIG!$A$4:$A$43,0)),3)))</f>
        <v/>
      </c>
      <c r="V407" s="46" t="n"/>
      <c r="W407" s="23">
        <f>IF($B407="","",IF($V407&lt;&gt;"",$V407-$B407,TODAY()-$B407))</f>
        <v/>
      </c>
      <c r="X407" s="27">
        <f>IF($C407="","",IF(IFERROR(INDEX(CONFIG!$K$4:$K$43,MATCH($S407,CONFIG!$J$4:$J$43,0)),"NO")="SÍ",IF(OR($V407="",$U407=""),"Resuelta",IF($V407&gt;$U407,"Resuelta tarde","Resuelta a tiempo")),IF($U407="","Sin clasificar",IF(TODAY()&gt;$U407,"Vencida",IF(TODAY()&gt;=$U407-1,"Por vencer","En plazo")))))</f>
        <v/>
      </c>
      <c r="Y407" s="49" t="n"/>
      <c r="Z407" s="49" t="n"/>
    </row>
    <row r="408" ht="16" customHeight="1">
      <c r="A408" s="27">
        <f>IF($C408="","","N-"&amp;TEXT(ROW()-3,"0000"))</f>
        <v/>
      </c>
      <c r="B408" s="46" t="n"/>
      <c r="C408" s="47" t="n"/>
      <c r="D408" s="27">
        <f>IF($C408="","",IF(COUNTIFS(ENVIOS!$A$4:$A$3003,$C408)=0,"NO EXISTE",IF(COUNTIFS(ENVIOS!$A$4:$A$3003,$C408)&gt;1,"DUPLICADA","OK")))</f>
        <v/>
      </c>
      <c r="E408" s="22">
        <f>IF($C408="","",IFERROR(INDEX(ENVIOS!$C$4:$C$3003,MATCH($C408,ENVIOS!$A$4:$A$3003,0)),"—"))</f>
        <v/>
      </c>
      <c r="F408" s="22">
        <f>IF($C408="","",IFERROR(INDEX(ENVIOS!$D$4:$D$3003,MATCH($C408,ENVIOS!$A$4:$A$3003,0)),"—"))</f>
        <v/>
      </c>
      <c r="G408" s="22">
        <f>IF($C408="","",IFERROR(INDEX(ENVIOS!$E$4:$E$3003,MATCH($C408,ENVIOS!$A$4:$A$3003,0)),"—"))</f>
        <v/>
      </c>
      <c r="H408" s="22">
        <f>IF($C408="","",IFERROR(INDEX(ENVIOS!$F$4:$F$3003,MATCH($C408,ENVIOS!$A$4:$A$3003,0)),"—"))</f>
        <v/>
      </c>
      <c r="I408" s="27">
        <f>IF($C408="","",IFERROR(INDEX(ENVIOS!$G$4:$G$3003,MATCH($C408,ENVIOS!$A$4:$A$3003,0)),"—"))</f>
        <v/>
      </c>
      <c r="J408" s="48">
        <f>IF($C408="","",IFERROR(INDEX(ENVIOS!$B$4:$B$3003,MATCH($C408,ENVIOS!$A$4:$A$3003,0)),""))</f>
        <v/>
      </c>
      <c r="K408" s="49" t="n"/>
      <c r="L408" s="27">
        <f>IF($K408="","",IFERROR(INDEX(CONFIG!$B$4:$B$43,MATCH($K408,CONFIG!$A$4:$A$43,0)),"Media"))</f>
        <v/>
      </c>
      <c r="M408" s="27">
        <f>IF($K408="","",IFERROR(INDEX(CONFIG!$D$4:$D$43,MATCH($K408,CONFIG!$A$4:$A$43,0)),"NO"))</f>
        <v/>
      </c>
      <c r="N408" s="49" t="n"/>
      <c r="O408" s="27">
        <f>IF($N408="","",IFERROR(INDEX(CONFIG!$G$4:$G$43,MATCH($N408,CONFIG!$F$4:$F$43,0)),"Por definir"))</f>
        <v/>
      </c>
      <c r="P408" s="27">
        <f>IF($N408="","",IFERROR(INDEX(CONFIG!$H$4:$H$43,MATCH($N408,CONFIG!$F$4:$F$43,0)),"Por definir"))</f>
        <v/>
      </c>
      <c r="Q408" s="50" t="n"/>
      <c r="R408" s="51" t="n"/>
      <c r="S408" s="49" t="n"/>
      <c r="T408" s="49" t="n"/>
      <c r="U408" s="48">
        <f>IF(OR($B408="",$K408=""),"",WORKDAY($B408,IFERROR(INDEX(CONFIG!$C$4:$C$43,MATCH($K408,CONFIG!$A$4:$A$43,0)),3)))</f>
        <v/>
      </c>
      <c r="V408" s="46" t="n"/>
      <c r="W408" s="23">
        <f>IF($B408="","",IF($V408&lt;&gt;"",$V408-$B408,TODAY()-$B408))</f>
        <v/>
      </c>
      <c r="X408" s="27">
        <f>IF($C408="","",IF(IFERROR(INDEX(CONFIG!$K$4:$K$43,MATCH($S408,CONFIG!$J$4:$J$43,0)),"NO")="SÍ",IF(OR($V408="",$U408=""),"Resuelta",IF($V408&gt;$U408,"Resuelta tarde","Resuelta a tiempo")),IF($U408="","Sin clasificar",IF(TODAY()&gt;$U408,"Vencida",IF(TODAY()&gt;=$U408-1,"Por vencer","En plazo")))))</f>
        <v/>
      </c>
      <c r="Y408" s="49" t="n"/>
      <c r="Z408" s="49" t="n"/>
    </row>
    <row r="409" ht="16" customHeight="1">
      <c r="A409" s="27">
        <f>IF($C409="","","N-"&amp;TEXT(ROW()-3,"0000"))</f>
        <v/>
      </c>
      <c r="B409" s="46" t="n"/>
      <c r="C409" s="47" t="n"/>
      <c r="D409" s="27">
        <f>IF($C409="","",IF(COUNTIFS(ENVIOS!$A$4:$A$3003,$C409)=0,"NO EXISTE",IF(COUNTIFS(ENVIOS!$A$4:$A$3003,$C409)&gt;1,"DUPLICADA","OK")))</f>
        <v/>
      </c>
      <c r="E409" s="22">
        <f>IF($C409="","",IFERROR(INDEX(ENVIOS!$C$4:$C$3003,MATCH($C409,ENVIOS!$A$4:$A$3003,0)),"—"))</f>
        <v/>
      </c>
      <c r="F409" s="22">
        <f>IF($C409="","",IFERROR(INDEX(ENVIOS!$D$4:$D$3003,MATCH($C409,ENVIOS!$A$4:$A$3003,0)),"—"))</f>
        <v/>
      </c>
      <c r="G409" s="22">
        <f>IF($C409="","",IFERROR(INDEX(ENVIOS!$E$4:$E$3003,MATCH($C409,ENVIOS!$A$4:$A$3003,0)),"—"))</f>
        <v/>
      </c>
      <c r="H409" s="22">
        <f>IF($C409="","",IFERROR(INDEX(ENVIOS!$F$4:$F$3003,MATCH($C409,ENVIOS!$A$4:$A$3003,0)),"—"))</f>
        <v/>
      </c>
      <c r="I409" s="27">
        <f>IF($C409="","",IFERROR(INDEX(ENVIOS!$G$4:$G$3003,MATCH($C409,ENVIOS!$A$4:$A$3003,0)),"—"))</f>
        <v/>
      </c>
      <c r="J409" s="48">
        <f>IF($C409="","",IFERROR(INDEX(ENVIOS!$B$4:$B$3003,MATCH($C409,ENVIOS!$A$4:$A$3003,0)),""))</f>
        <v/>
      </c>
      <c r="K409" s="49" t="n"/>
      <c r="L409" s="27">
        <f>IF($K409="","",IFERROR(INDEX(CONFIG!$B$4:$B$43,MATCH($K409,CONFIG!$A$4:$A$43,0)),"Media"))</f>
        <v/>
      </c>
      <c r="M409" s="27">
        <f>IF($K409="","",IFERROR(INDEX(CONFIG!$D$4:$D$43,MATCH($K409,CONFIG!$A$4:$A$43,0)),"NO"))</f>
        <v/>
      </c>
      <c r="N409" s="49" t="n"/>
      <c r="O409" s="27">
        <f>IF($N409="","",IFERROR(INDEX(CONFIG!$G$4:$G$43,MATCH($N409,CONFIG!$F$4:$F$43,0)),"Por definir"))</f>
        <v/>
      </c>
      <c r="P409" s="27">
        <f>IF($N409="","",IFERROR(INDEX(CONFIG!$H$4:$H$43,MATCH($N409,CONFIG!$F$4:$F$43,0)),"Por definir"))</f>
        <v/>
      </c>
      <c r="Q409" s="50" t="n"/>
      <c r="R409" s="51" t="n"/>
      <c r="S409" s="49" t="n"/>
      <c r="T409" s="49" t="n"/>
      <c r="U409" s="48">
        <f>IF(OR($B409="",$K409=""),"",WORKDAY($B409,IFERROR(INDEX(CONFIG!$C$4:$C$43,MATCH($K409,CONFIG!$A$4:$A$43,0)),3)))</f>
        <v/>
      </c>
      <c r="V409" s="46" t="n"/>
      <c r="W409" s="23">
        <f>IF($B409="","",IF($V409&lt;&gt;"",$V409-$B409,TODAY()-$B409))</f>
        <v/>
      </c>
      <c r="X409" s="27">
        <f>IF($C409="","",IF(IFERROR(INDEX(CONFIG!$K$4:$K$43,MATCH($S409,CONFIG!$J$4:$J$43,0)),"NO")="SÍ",IF(OR($V409="",$U409=""),"Resuelta",IF($V409&gt;$U409,"Resuelta tarde","Resuelta a tiempo")),IF($U409="","Sin clasificar",IF(TODAY()&gt;$U409,"Vencida",IF(TODAY()&gt;=$U409-1,"Por vencer","En plazo")))))</f>
        <v/>
      </c>
      <c r="Y409" s="49" t="n"/>
      <c r="Z409" s="49" t="n"/>
    </row>
    <row r="410" ht="16" customHeight="1">
      <c r="A410" s="27">
        <f>IF($C410="","","N-"&amp;TEXT(ROW()-3,"0000"))</f>
        <v/>
      </c>
      <c r="B410" s="46" t="n"/>
      <c r="C410" s="47" t="n"/>
      <c r="D410" s="27">
        <f>IF($C410="","",IF(COUNTIFS(ENVIOS!$A$4:$A$3003,$C410)=0,"NO EXISTE",IF(COUNTIFS(ENVIOS!$A$4:$A$3003,$C410)&gt;1,"DUPLICADA","OK")))</f>
        <v/>
      </c>
      <c r="E410" s="22">
        <f>IF($C410="","",IFERROR(INDEX(ENVIOS!$C$4:$C$3003,MATCH($C410,ENVIOS!$A$4:$A$3003,0)),"—"))</f>
        <v/>
      </c>
      <c r="F410" s="22">
        <f>IF($C410="","",IFERROR(INDEX(ENVIOS!$D$4:$D$3003,MATCH($C410,ENVIOS!$A$4:$A$3003,0)),"—"))</f>
        <v/>
      </c>
      <c r="G410" s="22">
        <f>IF($C410="","",IFERROR(INDEX(ENVIOS!$E$4:$E$3003,MATCH($C410,ENVIOS!$A$4:$A$3003,0)),"—"))</f>
        <v/>
      </c>
      <c r="H410" s="22">
        <f>IF($C410="","",IFERROR(INDEX(ENVIOS!$F$4:$F$3003,MATCH($C410,ENVIOS!$A$4:$A$3003,0)),"—"))</f>
        <v/>
      </c>
      <c r="I410" s="27">
        <f>IF($C410="","",IFERROR(INDEX(ENVIOS!$G$4:$G$3003,MATCH($C410,ENVIOS!$A$4:$A$3003,0)),"—"))</f>
        <v/>
      </c>
      <c r="J410" s="48">
        <f>IF($C410="","",IFERROR(INDEX(ENVIOS!$B$4:$B$3003,MATCH($C410,ENVIOS!$A$4:$A$3003,0)),""))</f>
        <v/>
      </c>
      <c r="K410" s="49" t="n"/>
      <c r="L410" s="27">
        <f>IF($K410="","",IFERROR(INDEX(CONFIG!$B$4:$B$43,MATCH($K410,CONFIG!$A$4:$A$43,0)),"Media"))</f>
        <v/>
      </c>
      <c r="M410" s="27">
        <f>IF($K410="","",IFERROR(INDEX(CONFIG!$D$4:$D$43,MATCH($K410,CONFIG!$A$4:$A$43,0)),"NO"))</f>
        <v/>
      </c>
      <c r="N410" s="49" t="n"/>
      <c r="O410" s="27">
        <f>IF($N410="","",IFERROR(INDEX(CONFIG!$G$4:$G$43,MATCH($N410,CONFIG!$F$4:$F$43,0)),"Por definir"))</f>
        <v/>
      </c>
      <c r="P410" s="27">
        <f>IF($N410="","",IFERROR(INDEX(CONFIG!$H$4:$H$43,MATCH($N410,CONFIG!$F$4:$F$43,0)),"Por definir"))</f>
        <v/>
      </c>
      <c r="Q410" s="50" t="n"/>
      <c r="R410" s="51" t="n"/>
      <c r="S410" s="49" t="n"/>
      <c r="T410" s="49" t="n"/>
      <c r="U410" s="48">
        <f>IF(OR($B410="",$K410=""),"",WORKDAY($B410,IFERROR(INDEX(CONFIG!$C$4:$C$43,MATCH($K410,CONFIG!$A$4:$A$43,0)),3)))</f>
        <v/>
      </c>
      <c r="V410" s="46" t="n"/>
      <c r="W410" s="23">
        <f>IF($B410="","",IF($V410&lt;&gt;"",$V410-$B410,TODAY()-$B410))</f>
        <v/>
      </c>
      <c r="X410" s="27">
        <f>IF($C410="","",IF(IFERROR(INDEX(CONFIG!$K$4:$K$43,MATCH($S410,CONFIG!$J$4:$J$43,0)),"NO")="SÍ",IF(OR($V410="",$U410=""),"Resuelta",IF($V410&gt;$U410,"Resuelta tarde","Resuelta a tiempo")),IF($U410="","Sin clasificar",IF(TODAY()&gt;$U410,"Vencida",IF(TODAY()&gt;=$U410-1,"Por vencer","En plazo")))))</f>
        <v/>
      </c>
      <c r="Y410" s="49" t="n"/>
      <c r="Z410" s="49" t="n"/>
    </row>
    <row r="411" ht="16" customHeight="1">
      <c r="A411" s="27">
        <f>IF($C411="","","N-"&amp;TEXT(ROW()-3,"0000"))</f>
        <v/>
      </c>
      <c r="B411" s="46" t="n"/>
      <c r="C411" s="47" t="n"/>
      <c r="D411" s="27">
        <f>IF($C411="","",IF(COUNTIFS(ENVIOS!$A$4:$A$3003,$C411)=0,"NO EXISTE",IF(COUNTIFS(ENVIOS!$A$4:$A$3003,$C411)&gt;1,"DUPLICADA","OK")))</f>
        <v/>
      </c>
      <c r="E411" s="22">
        <f>IF($C411="","",IFERROR(INDEX(ENVIOS!$C$4:$C$3003,MATCH($C411,ENVIOS!$A$4:$A$3003,0)),"—"))</f>
        <v/>
      </c>
      <c r="F411" s="22">
        <f>IF($C411="","",IFERROR(INDEX(ENVIOS!$D$4:$D$3003,MATCH($C411,ENVIOS!$A$4:$A$3003,0)),"—"))</f>
        <v/>
      </c>
      <c r="G411" s="22">
        <f>IF($C411="","",IFERROR(INDEX(ENVIOS!$E$4:$E$3003,MATCH($C411,ENVIOS!$A$4:$A$3003,0)),"—"))</f>
        <v/>
      </c>
      <c r="H411" s="22">
        <f>IF($C411="","",IFERROR(INDEX(ENVIOS!$F$4:$F$3003,MATCH($C411,ENVIOS!$A$4:$A$3003,0)),"—"))</f>
        <v/>
      </c>
      <c r="I411" s="27">
        <f>IF($C411="","",IFERROR(INDEX(ENVIOS!$G$4:$G$3003,MATCH($C411,ENVIOS!$A$4:$A$3003,0)),"—"))</f>
        <v/>
      </c>
      <c r="J411" s="48">
        <f>IF($C411="","",IFERROR(INDEX(ENVIOS!$B$4:$B$3003,MATCH($C411,ENVIOS!$A$4:$A$3003,0)),""))</f>
        <v/>
      </c>
      <c r="K411" s="49" t="n"/>
      <c r="L411" s="27">
        <f>IF($K411="","",IFERROR(INDEX(CONFIG!$B$4:$B$43,MATCH($K411,CONFIG!$A$4:$A$43,0)),"Media"))</f>
        <v/>
      </c>
      <c r="M411" s="27">
        <f>IF($K411="","",IFERROR(INDEX(CONFIG!$D$4:$D$43,MATCH($K411,CONFIG!$A$4:$A$43,0)),"NO"))</f>
        <v/>
      </c>
      <c r="N411" s="49" t="n"/>
      <c r="O411" s="27">
        <f>IF($N411="","",IFERROR(INDEX(CONFIG!$G$4:$G$43,MATCH($N411,CONFIG!$F$4:$F$43,0)),"Por definir"))</f>
        <v/>
      </c>
      <c r="P411" s="27">
        <f>IF($N411="","",IFERROR(INDEX(CONFIG!$H$4:$H$43,MATCH($N411,CONFIG!$F$4:$F$43,0)),"Por definir"))</f>
        <v/>
      </c>
      <c r="Q411" s="50" t="n"/>
      <c r="R411" s="51" t="n"/>
      <c r="S411" s="49" t="n"/>
      <c r="T411" s="49" t="n"/>
      <c r="U411" s="48">
        <f>IF(OR($B411="",$K411=""),"",WORKDAY($B411,IFERROR(INDEX(CONFIG!$C$4:$C$43,MATCH($K411,CONFIG!$A$4:$A$43,0)),3)))</f>
        <v/>
      </c>
      <c r="V411" s="46" t="n"/>
      <c r="W411" s="23">
        <f>IF($B411="","",IF($V411&lt;&gt;"",$V411-$B411,TODAY()-$B411))</f>
        <v/>
      </c>
      <c r="X411" s="27">
        <f>IF($C411="","",IF(IFERROR(INDEX(CONFIG!$K$4:$K$43,MATCH($S411,CONFIG!$J$4:$J$43,0)),"NO")="SÍ",IF(OR($V411="",$U411=""),"Resuelta",IF($V411&gt;$U411,"Resuelta tarde","Resuelta a tiempo")),IF($U411="","Sin clasificar",IF(TODAY()&gt;$U411,"Vencida",IF(TODAY()&gt;=$U411-1,"Por vencer","En plazo")))))</f>
        <v/>
      </c>
      <c r="Y411" s="49" t="n"/>
      <c r="Z411" s="49" t="n"/>
    </row>
    <row r="412" ht="16" customHeight="1">
      <c r="A412" s="27">
        <f>IF($C412="","","N-"&amp;TEXT(ROW()-3,"0000"))</f>
        <v/>
      </c>
      <c r="B412" s="46" t="n"/>
      <c r="C412" s="47" t="n"/>
      <c r="D412" s="27">
        <f>IF($C412="","",IF(COUNTIFS(ENVIOS!$A$4:$A$3003,$C412)=0,"NO EXISTE",IF(COUNTIFS(ENVIOS!$A$4:$A$3003,$C412)&gt;1,"DUPLICADA","OK")))</f>
        <v/>
      </c>
      <c r="E412" s="22">
        <f>IF($C412="","",IFERROR(INDEX(ENVIOS!$C$4:$C$3003,MATCH($C412,ENVIOS!$A$4:$A$3003,0)),"—"))</f>
        <v/>
      </c>
      <c r="F412" s="22">
        <f>IF($C412="","",IFERROR(INDEX(ENVIOS!$D$4:$D$3003,MATCH($C412,ENVIOS!$A$4:$A$3003,0)),"—"))</f>
        <v/>
      </c>
      <c r="G412" s="22">
        <f>IF($C412="","",IFERROR(INDEX(ENVIOS!$E$4:$E$3003,MATCH($C412,ENVIOS!$A$4:$A$3003,0)),"—"))</f>
        <v/>
      </c>
      <c r="H412" s="22">
        <f>IF($C412="","",IFERROR(INDEX(ENVIOS!$F$4:$F$3003,MATCH($C412,ENVIOS!$A$4:$A$3003,0)),"—"))</f>
        <v/>
      </c>
      <c r="I412" s="27">
        <f>IF($C412="","",IFERROR(INDEX(ENVIOS!$G$4:$G$3003,MATCH($C412,ENVIOS!$A$4:$A$3003,0)),"—"))</f>
        <v/>
      </c>
      <c r="J412" s="48">
        <f>IF($C412="","",IFERROR(INDEX(ENVIOS!$B$4:$B$3003,MATCH($C412,ENVIOS!$A$4:$A$3003,0)),""))</f>
        <v/>
      </c>
      <c r="K412" s="49" t="n"/>
      <c r="L412" s="27">
        <f>IF($K412="","",IFERROR(INDEX(CONFIG!$B$4:$B$43,MATCH($K412,CONFIG!$A$4:$A$43,0)),"Media"))</f>
        <v/>
      </c>
      <c r="M412" s="27">
        <f>IF($K412="","",IFERROR(INDEX(CONFIG!$D$4:$D$43,MATCH($K412,CONFIG!$A$4:$A$43,0)),"NO"))</f>
        <v/>
      </c>
      <c r="N412" s="49" t="n"/>
      <c r="O412" s="27">
        <f>IF($N412="","",IFERROR(INDEX(CONFIG!$G$4:$G$43,MATCH($N412,CONFIG!$F$4:$F$43,0)),"Por definir"))</f>
        <v/>
      </c>
      <c r="P412" s="27">
        <f>IF($N412="","",IFERROR(INDEX(CONFIG!$H$4:$H$43,MATCH($N412,CONFIG!$F$4:$F$43,0)),"Por definir"))</f>
        <v/>
      </c>
      <c r="Q412" s="50" t="n"/>
      <c r="R412" s="51" t="n"/>
      <c r="S412" s="49" t="n"/>
      <c r="T412" s="49" t="n"/>
      <c r="U412" s="48">
        <f>IF(OR($B412="",$K412=""),"",WORKDAY($B412,IFERROR(INDEX(CONFIG!$C$4:$C$43,MATCH($K412,CONFIG!$A$4:$A$43,0)),3)))</f>
        <v/>
      </c>
      <c r="V412" s="46" t="n"/>
      <c r="W412" s="23">
        <f>IF($B412="","",IF($V412&lt;&gt;"",$V412-$B412,TODAY()-$B412))</f>
        <v/>
      </c>
      <c r="X412" s="27">
        <f>IF($C412="","",IF(IFERROR(INDEX(CONFIG!$K$4:$K$43,MATCH($S412,CONFIG!$J$4:$J$43,0)),"NO")="SÍ",IF(OR($V412="",$U412=""),"Resuelta",IF($V412&gt;$U412,"Resuelta tarde","Resuelta a tiempo")),IF($U412="","Sin clasificar",IF(TODAY()&gt;$U412,"Vencida",IF(TODAY()&gt;=$U412-1,"Por vencer","En plazo")))))</f>
        <v/>
      </c>
      <c r="Y412" s="49" t="n"/>
      <c r="Z412" s="49" t="n"/>
    </row>
    <row r="413" ht="16" customHeight="1">
      <c r="A413" s="27">
        <f>IF($C413="","","N-"&amp;TEXT(ROW()-3,"0000"))</f>
        <v/>
      </c>
      <c r="B413" s="46" t="n"/>
      <c r="C413" s="47" t="n"/>
      <c r="D413" s="27">
        <f>IF($C413="","",IF(COUNTIFS(ENVIOS!$A$4:$A$3003,$C413)=0,"NO EXISTE",IF(COUNTIFS(ENVIOS!$A$4:$A$3003,$C413)&gt;1,"DUPLICADA","OK")))</f>
        <v/>
      </c>
      <c r="E413" s="22">
        <f>IF($C413="","",IFERROR(INDEX(ENVIOS!$C$4:$C$3003,MATCH($C413,ENVIOS!$A$4:$A$3003,0)),"—"))</f>
        <v/>
      </c>
      <c r="F413" s="22">
        <f>IF($C413="","",IFERROR(INDEX(ENVIOS!$D$4:$D$3003,MATCH($C413,ENVIOS!$A$4:$A$3003,0)),"—"))</f>
        <v/>
      </c>
      <c r="G413" s="22">
        <f>IF($C413="","",IFERROR(INDEX(ENVIOS!$E$4:$E$3003,MATCH($C413,ENVIOS!$A$4:$A$3003,0)),"—"))</f>
        <v/>
      </c>
      <c r="H413" s="22">
        <f>IF($C413="","",IFERROR(INDEX(ENVIOS!$F$4:$F$3003,MATCH($C413,ENVIOS!$A$4:$A$3003,0)),"—"))</f>
        <v/>
      </c>
      <c r="I413" s="27">
        <f>IF($C413="","",IFERROR(INDEX(ENVIOS!$G$4:$G$3003,MATCH($C413,ENVIOS!$A$4:$A$3003,0)),"—"))</f>
        <v/>
      </c>
      <c r="J413" s="48">
        <f>IF($C413="","",IFERROR(INDEX(ENVIOS!$B$4:$B$3003,MATCH($C413,ENVIOS!$A$4:$A$3003,0)),""))</f>
        <v/>
      </c>
      <c r="K413" s="49" t="n"/>
      <c r="L413" s="27">
        <f>IF($K413="","",IFERROR(INDEX(CONFIG!$B$4:$B$43,MATCH($K413,CONFIG!$A$4:$A$43,0)),"Media"))</f>
        <v/>
      </c>
      <c r="M413" s="27">
        <f>IF($K413="","",IFERROR(INDEX(CONFIG!$D$4:$D$43,MATCH($K413,CONFIG!$A$4:$A$43,0)),"NO"))</f>
        <v/>
      </c>
      <c r="N413" s="49" t="n"/>
      <c r="O413" s="27">
        <f>IF($N413="","",IFERROR(INDEX(CONFIG!$G$4:$G$43,MATCH($N413,CONFIG!$F$4:$F$43,0)),"Por definir"))</f>
        <v/>
      </c>
      <c r="P413" s="27">
        <f>IF($N413="","",IFERROR(INDEX(CONFIG!$H$4:$H$43,MATCH($N413,CONFIG!$F$4:$F$43,0)),"Por definir"))</f>
        <v/>
      </c>
      <c r="Q413" s="50" t="n"/>
      <c r="R413" s="51" t="n"/>
      <c r="S413" s="49" t="n"/>
      <c r="T413" s="49" t="n"/>
      <c r="U413" s="48">
        <f>IF(OR($B413="",$K413=""),"",WORKDAY($B413,IFERROR(INDEX(CONFIG!$C$4:$C$43,MATCH($K413,CONFIG!$A$4:$A$43,0)),3)))</f>
        <v/>
      </c>
      <c r="V413" s="46" t="n"/>
      <c r="W413" s="23">
        <f>IF($B413="","",IF($V413&lt;&gt;"",$V413-$B413,TODAY()-$B413))</f>
        <v/>
      </c>
      <c r="X413" s="27">
        <f>IF($C413="","",IF(IFERROR(INDEX(CONFIG!$K$4:$K$43,MATCH($S413,CONFIG!$J$4:$J$43,0)),"NO")="SÍ",IF(OR($V413="",$U413=""),"Resuelta",IF($V413&gt;$U413,"Resuelta tarde","Resuelta a tiempo")),IF($U413="","Sin clasificar",IF(TODAY()&gt;$U413,"Vencida",IF(TODAY()&gt;=$U413-1,"Por vencer","En plazo")))))</f>
        <v/>
      </c>
      <c r="Y413" s="49" t="n"/>
      <c r="Z413" s="49" t="n"/>
    </row>
    <row r="414" ht="16" customHeight="1">
      <c r="A414" s="27">
        <f>IF($C414="","","N-"&amp;TEXT(ROW()-3,"0000"))</f>
        <v/>
      </c>
      <c r="B414" s="46" t="n"/>
      <c r="C414" s="47" t="n"/>
      <c r="D414" s="27">
        <f>IF($C414="","",IF(COUNTIFS(ENVIOS!$A$4:$A$3003,$C414)=0,"NO EXISTE",IF(COUNTIFS(ENVIOS!$A$4:$A$3003,$C414)&gt;1,"DUPLICADA","OK")))</f>
        <v/>
      </c>
      <c r="E414" s="22">
        <f>IF($C414="","",IFERROR(INDEX(ENVIOS!$C$4:$C$3003,MATCH($C414,ENVIOS!$A$4:$A$3003,0)),"—"))</f>
        <v/>
      </c>
      <c r="F414" s="22">
        <f>IF($C414="","",IFERROR(INDEX(ENVIOS!$D$4:$D$3003,MATCH($C414,ENVIOS!$A$4:$A$3003,0)),"—"))</f>
        <v/>
      </c>
      <c r="G414" s="22">
        <f>IF($C414="","",IFERROR(INDEX(ENVIOS!$E$4:$E$3003,MATCH($C414,ENVIOS!$A$4:$A$3003,0)),"—"))</f>
        <v/>
      </c>
      <c r="H414" s="22">
        <f>IF($C414="","",IFERROR(INDEX(ENVIOS!$F$4:$F$3003,MATCH($C414,ENVIOS!$A$4:$A$3003,0)),"—"))</f>
        <v/>
      </c>
      <c r="I414" s="27">
        <f>IF($C414="","",IFERROR(INDEX(ENVIOS!$G$4:$G$3003,MATCH($C414,ENVIOS!$A$4:$A$3003,0)),"—"))</f>
        <v/>
      </c>
      <c r="J414" s="48">
        <f>IF($C414="","",IFERROR(INDEX(ENVIOS!$B$4:$B$3003,MATCH($C414,ENVIOS!$A$4:$A$3003,0)),""))</f>
        <v/>
      </c>
      <c r="K414" s="49" t="n"/>
      <c r="L414" s="27">
        <f>IF($K414="","",IFERROR(INDEX(CONFIG!$B$4:$B$43,MATCH($K414,CONFIG!$A$4:$A$43,0)),"Media"))</f>
        <v/>
      </c>
      <c r="M414" s="27">
        <f>IF($K414="","",IFERROR(INDEX(CONFIG!$D$4:$D$43,MATCH($K414,CONFIG!$A$4:$A$43,0)),"NO"))</f>
        <v/>
      </c>
      <c r="N414" s="49" t="n"/>
      <c r="O414" s="27">
        <f>IF($N414="","",IFERROR(INDEX(CONFIG!$G$4:$G$43,MATCH($N414,CONFIG!$F$4:$F$43,0)),"Por definir"))</f>
        <v/>
      </c>
      <c r="P414" s="27">
        <f>IF($N414="","",IFERROR(INDEX(CONFIG!$H$4:$H$43,MATCH($N414,CONFIG!$F$4:$F$43,0)),"Por definir"))</f>
        <v/>
      </c>
      <c r="Q414" s="50" t="n"/>
      <c r="R414" s="51" t="n"/>
      <c r="S414" s="49" t="n"/>
      <c r="T414" s="49" t="n"/>
      <c r="U414" s="48">
        <f>IF(OR($B414="",$K414=""),"",WORKDAY($B414,IFERROR(INDEX(CONFIG!$C$4:$C$43,MATCH($K414,CONFIG!$A$4:$A$43,0)),3)))</f>
        <v/>
      </c>
      <c r="V414" s="46" t="n"/>
      <c r="W414" s="23">
        <f>IF($B414="","",IF($V414&lt;&gt;"",$V414-$B414,TODAY()-$B414))</f>
        <v/>
      </c>
      <c r="X414" s="27">
        <f>IF($C414="","",IF(IFERROR(INDEX(CONFIG!$K$4:$K$43,MATCH($S414,CONFIG!$J$4:$J$43,0)),"NO")="SÍ",IF(OR($V414="",$U414=""),"Resuelta",IF($V414&gt;$U414,"Resuelta tarde","Resuelta a tiempo")),IF($U414="","Sin clasificar",IF(TODAY()&gt;$U414,"Vencida",IF(TODAY()&gt;=$U414-1,"Por vencer","En plazo")))))</f>
        <v/>
      </c>
      <c r="Y414" s="49" t="n"/>
      <c r="Z414" s="49" t="n"/>
    </row>
    <row r="415" ht="16" customHeight="1">
      <c r="A415" s="27">
        <f>IF($C415="","","N-"&amp;TEXT(ROW()-3,"0000"))</f>
        <v/>
      </c>
      <c r="B415" s="46" t="n"/>
      <c r="C415" s="47" t="n"/>
      <c r="D415" s="27">
        <f>IF($C415="","",IF(COUNTIFS(ENVIOS!$A$4:$A$3003,$C415)=0,"NO EXISTE",IF(COUNTIFS(ENVIOS!$A$4:$A$3003,$C415)&gt;1,"DUPLICADA","OK")))</f>
        <v/>
      </c>
      <c r="E415" s="22">
        <f>IF($C415="","",IFERROR(INDEX(ENVIOS!$C$4:$C$3003,MATCH($C415,ENVIOS!$A$4:$A$3003,0)),"—"))</f>
        <v/>
      </c>
      <c r="F415" s="22">
        <f>IF($C415="","",IFERROR(INDEX(ENVIOS!$D$4:$D$3003,MATCH($C415,ENVIOS!$A$4:$A$3003,0)),"—"))</f>
        <v/>
      </c>
      <c r="G415" s="22">
        <f>IF($C415="","",IFERROR(INDEX(ENVIOS!$E$4:$E$3003,MATCH($C415,ENVIOS!$A$4:$A$3003,0)),"—"))</f>
        <v/>
      </c>
      <c r="H415" s="22">
        <f>IF($C415="","",IFERROR(INDEX(ENVIOS!$F$4:$F$3003,MATCH($C415,ENVIOS!$A$4:$A$3003,0)),"—"))</f>
        <v/>
      </c>
      <c r="I415" s="27">
        <f>IF($C415="","",IFERROR(INDEX(ENVIOS!$G$4:$G$3003,MATCH($C415,ENVIOS!$A$4:$A$3003,0)),"—"))</f>
        <v/>
      </c>
      <c r="J415" s="48">
        <f>IF($C415="","",IFERROR(INDEX(ENVIOS!$B$4:$B$3003,MATCH($C415,ENVIOS!$A$4:$A$3003,0)),""))</f>
        <v/>
      </c>
      <c r="K415" s="49" t="n"/>
      <c r="L415" s="27">
        <f>IF($K415="","",IFERROR(INDEX(CONFIG!$B$4:$B$43,MATCH($K415,CONFIG!$A$4:$A$43,0)),"Media"))</f>
        <v/>
      </c>
      <c r="M415" s="27">
        <f>IF($K415="","",IFERROR(INDEX(CONFIG!$D$4:$D$43,MATCH($K415,CONFIG!$A$4:$A$43,0)),"NO"))</f>
        <v/>
      </c>
      <c r="N415" s="49" t="n"/>
      <c r="O415" s="27">
        <f>IF($N415="","",IFERROR(INDEX(CONFIG!$G$4:$G$43,MATCH($N415,CONFIG!$F$4:$F$43,0)),"Por definir"))</f>
        <v/>
      </c>
      <c r="P415" s="27">
        <f>IF($N415="","",IFERROR(INDEX(CONFIG!$H$4:$H$43,MATCH($N415,CONFIG!$F$4:$F$43,0)),"Por definir"))</f>
        <v/>
      </c>
      <c r="Q415" s="50" t="n"/>
      <c r="R415" s="51" t="n"/>
      <c r="S415" s="49" t="n"/>
      <c r="T415" s="49" t="n"/>
      <c r="U415" s="48">
        <f>IF(OR($B415="",$K415=""),"",WORKDAY($B415,IFERROR(INDEX(CONFIG!$C$4:$C$43,MATCH($K415,CONFIG!$A$4:$A$43,0)),3)))</f>
        <v/>
      </c>
      <c r="V415" s="46" t="n"/>
      <c r="W415" s="23">
        <f>IF($B415="","",IF($V415&lt;&gt;"",$V415-$B415,TODAY()-$B415))</f>
        <v/>
      </c>
      <c r="X415" s="27">
        <f>IF($C415="","",IF(IFERROR(INDEX(CONFIG!$K$4:$K$43,MATCH($S415,CONFIG!$J$4:$J$43,0)),"NO")="SÍ",IF(OR($V415="",$U415=""),"Resuelta",IF($V415&gt;$U415,"Resuelta tarde","Resuelta a tiempo")),IF($U415="","Sin clasificar",IF(TODAY()&gt;$U415,"Vencida",IF(TODAY()&gt;=$U415-1,"Por vencer","En plazo")))))</f>
        <v/>
      </c>
      <c r="Y415" s="49" t="n"/>
      <c r="Z415" s="49" t="n"/>
    </row>
    <row r="416" ht="16" customHeight="1">
      <c r="A416" s="27">
        <f>IF($C416="","","N-"&amp;TEXT(ROW()-3,"0000"))</f>
        <v/>
      </c>
      <c r="B416" s="46" t="n"/>
      <c r="C416" s="47" t="n"/>
      <c r="D416" s="27">
        <f>IF($C416="","",IF(COUNTIFS(ENVIOS!$A$4:$A$3003,$C416)=0,"NO EXISTE",IF(COUNTIFS(ENVIOS!$A$4:$A$3003,$C416)&gt;1,"DUPLICADA","OK")))</f>
        <v/>
      </c>
      <c r="E416" s="22">
        <f>IF($C416="","",IFERROR(INDEX(ENVIOS!$C$4:$C$3003,MATCH($C416,ENVIOS!$A$4:$A$3003,0)),"—"))</f>
        <v/>
      </c>
      <c r="F416" s="22">
        <f>IF($C416="","",IFERROR(INDEX(ENVIOS!$D$4:$D$3003,MATCH($C416,ENVIOS!$A$4:$A$3003,0)),"—"))</f>
        <v/>
      </c>
      <c r="G416" s="22">
        <f>IF($C416="","",IFERROR(INDEX(ENVIOS!$E$4:$E$3003,MATCH($C416,ENVIOS!$A$4:$A$3003,0)),"—"))</f>
        <v/>
      </c>
      <c r="H416" s="22">
        <f>IF($C416="","",IFERROR(INDEX(ENVIOS!$F$4:$F$3003,MATCH($C416,ENVIOS!$A$4:$A$3003,0)),"—"))</f>
        <v/>
      </c>
      <c r="I416" s="27">
        <f>IF($C416="","",IFERROR(INDEX(ENVIOS!$G$4:$G$3003,MATCH($C416,ENVIOS!$A$4:$A$3003,0)),"—"))</f>
        <v/>
      </c>
      <c r="J416" s="48">
        <f>IF($C416="","",IFERROR(INDEX(ENVIOS!$B$4:$B$3003,MATCH($C416,ENVIOS!$A$4:$A$3003,0)),""))</f>
        <v/>
      </c>
      <c r="K416" s="49" t="n"/>
      <c r="L416" s="27">
        <f>IF($K416="","",IFERROR(INDEX(CONFIG!$B$4:$B$43,MATCH($K416,CONFIG!$A$4:$A$43,0)),"Media"))</f>
        <v/>
      </c>
      <c r="M416" s="27">
        <f>IF($K416="","",IFERROR(INDEX(CONFIG!$D$4:$D$43,MATCH($K416,CONFIG!$A$4:$A$43,0)),"NO"))</f>
        <v/>
      </c>
      <c r="N416" s="49" t="n"/>
      <c r="O416" s="27">
        <f>IF($N416="","",IFERROR(INDEX(CONFIG!$G$4:$G$43,MATCH($N416,CONFIG!$F$4:$F$43,0)),"Por definir"))</f>
        <v/>
      </c>
      <c r="P416" s="27">
        <f>IF($N416="","",IFERROR(INDEX(CONFIG!$H$4:$H$43,MATCH($N416,CONFIG!$F$4:$F$43,0)),"Por definir"))</f>
        <v/>
      </c>
      <c r="Q416" s="50" t="n"/>
      <c r="R416" s="51" t="n"/>
      <c r="S416" s="49" t="n"/>
      <c r="T416" s="49" t="n"/>
      <c r="U416" s="48">
        <f>IF(OR($B416="",$K416=""),"",WORKDAY($B416,IFERROR(INDEX(CONFIG!$C$4:$C$43,MATCH($K416,CONFIG!$A$4:$A$43,0)),3)))</f>
        <v/>
      </c>
      <c r="V416" s="46" t="n"/>
      <c r="W416" s="23">
        <f>IF($B416="","",IF($V416&lt;&gt;"",$V416-$B416,TODAY()-$B416))</f>
        <v/>
      </c>
      <c r="X416" s="27">
        <f>IF($C416="","",IF(IFERROR(INDEX(CONFIG!$K$4:$K$43,MATCH($S416,CONFIG!$J$4:$J$43,0)),"NO")="SÍ",IF(OR($V416="",$U416=""),"Resuelta",IF($V416&gt;$U416,"Resuelta tarde","Resuelta a tiempo")),IF($U416="","Sin clasificar",IF(TODAY()&gt;$U416,"Vencida",IF(TODAY()&gt;=$U416-1,"Por vencer","En plazo")))))</f>
        <v/>
      </c>
      <c r="Y416" s="49" t="n"/>
      <c r="Z416" s="49" t="n"/>
    </row>
    <row r="417" ht="16" customHeight="1">
      <c r="A417" s="27">
        <f>IF($C417="","","N-"&amp;TEXT(ROW()-3,"0000"))</f>
        <v/>
      </c>
      <c r="B417" s="46" t="n"/>
      <c r="C417" s="47" t="n"/>
      <c r="D417" s="27">
        <f>IF($C417="","",IF(COUNTIFS(ENVIOS!$A$4:$A$3003,$C417)=0,"NO EXISTE",IF(COUNTIFS(ENVIOS!$A$4:$A$3003,$C417)&gt;1,"DUPLICADA","OK")))</f>
        <v/>
      </c>
      <c r="E417" s="22">
        <f>IF($C417="","",IFERROR(INDEX(ENVIOS!$C$4:$C$3003,MATCH($C417,ENVIOS!$A$4:$A$3003,0)),"—"))</f>
        <v/>
      </c>
      <c r="F417" s="22">
        <f>IF($C417="","",IFERROR(INDEX(ENVIOS!$D$4:$D$3003,MATCH($C417,ENVIOS!$A$4:$A$3003,0)),"—"))</f>
        <v/>
      </c>
      <c r="G417" s="22">
        <f>IF($C417="","",IFERROR(INDEX(ENVIOS!$E$4:$E$3003,MATCH($C417,ENVIOS!$A$4:$A$3003,0)),"—"))</f>
        <v/>
      </c>
      <c r="H417" s="22">
        <f>IF($C417="","",IFERROR(INDEX(ENVIOS!$F$4:$F$3003,MATCH($C417,ENVIOS!$A$4:$A$3003,0)),"—"))</f>
        <v/>
      </c>
      <c r="I417" s="27">
        <f>IF($C417="","",IFERROR(INDEX(ENVIOS!$G$4:$G$3003,MATCH($C417,ENVIOS!$A$4:$A$3003,0)),"—"))</f>
        <v/>
      </c>
      <c r="J417" s="48">
        <f>IF($C417="","",IFERROR(INDEX(ENVIOS!$B$4:$B$3003,MATCH($C417,ENVIOS!$A$4:$A$3003,0)),""))</f>
        <v/>
      </c>
      <c r="K417" s="49" t="n"/>
      <c r="L417" s="27">
        <f>IF($K417="","",IFERROR(INDEX(CONFIG!$B$4:$B$43,MATCH($K417,CONFIG!$A$4:$A$43,0)),"Media"))</f>
        <v/>
      </c>
      <c r="M417" s="27">
        <f>IF($K417="","",IFERROR(INDEX(CONFIG!$D$4:$D$43,MATCH($K417,CONFIG!$A$4:$A$43,0)),"NO"))</f>
        <v/>
      </c>
      <c r="N417" s="49" t="n"/>
      <c r="O417" s="27">
        <f>IF($N417="","",IFERROR(INDEX(CONFIG!$G$4:$G$43,MATCH($N417,CONFIG!$F$4:$F$43,0)),"Por definir"))</f>
        <v/>
      </c>
      <c r="P417" s="27">
        <f>IF($N417="","",IFERROR(INDEX(CONFIG!$H$4:$H$43,MATCH($N417,CONFIG!$F$4:$F$43,0)),"Por definir"))</f>
        <v/>
      </c>
      <c r="Q417" s="50" t="n"/>
      <c r="R417" s="51" t="n"/>
      <c r="S417" s="49" t="n"/>
      <c r="T417" s="49" t="n"/>
      <c r="U417" s="48">
        <f>IF(OR($B417="",$K417=""),"",WORKDAY($B417,IFERROR(INDEX(CONFIG!$C$4:$C$43,MATCH($K417,CONFIG!$A$4:$A$43,0)),3)))</f>
        <v/>
      </c>
      <c r="V417" s="46" t="n"/>
      <c r="W417" s="23">
        <f>IF($B417="","",IF($V417&lt;&gt;"",$V417-$B417,TODAY()-$B417))</f>
        <v/>
      </c>
      <c r="X417" s="27">
        <f>IF($C417="","",IF(IFERROR(INDEX(CONFIG!$K$4:$K$43,MATCH($S417,CONFIG!$J$4:$J$43,0)),"NO")="SÍ",IF(OR($V417="",$U417=""),"Resuelta",IF($V417&gt;$U417,"Resuelta tarde","Resuelta a tiempo")),IF($U417="","Sin clasificar",IF(TODAY()&gt;$U417,"Vencida",IF(TODAY()&gt;=$U417-1,"Por vencer","En plazo")))))</f>
        <v/>
      </c>
      <c r="Y417" s="49" t="n"/>
      <c r="Z417" s="49" t="n"/>
    </row>
    <row r="418" ht="16" customHeight="1">
      <c r="A418" s="27">
        <f>IF($C418="","","N-"&amp;TEXT(ROW()-3,"0000"))</f>
        <v/>
      </c>
      <c r="B418" s="46" t="n"/>
      <c r="C418" s="47" t="n"/>
      <c r="D418" s="27">
        <f>IF($C418="","",IF(COUNTIFS(ENVIOS!$A$4:$A$3003,$C418)=0,"NO EXISTE",IF(COUNTIFS(ENVIOS!$A$4:$A$3003,$C418)&gt;1,"DUPLICADA","OK")))</f>
        <v/>
      </c>
      <c r="E418" s="22">
        <f>IF($C418="","",IFERROR(INDEX(ENVIOS!$C$4:$C$3003,MATCH($C418,ENVIOS!$A$4:$A$3003,0)),"—"))</f>
        <v/>
      </c>
      <c r="F418" s="22">
        <f>IF($C418="","",IFERROR(INDEX(ENVIOS!$D$4:$D$3003,MATCH($C418,ENVIOS!$A$4:$A$3003,0)),"—"))</f>
        <v/>
      </c>
      <c r="G418" s="22">
        <f>IF($C418="","",IFERROR(INDEX(ENVIOS!$E$4:$E$3003,MATCH($C418,ENVIOS!$A$4:$A$3003,0)),"—"))</f>
        <v/>
      </c>
      <c r="H418" s="22">
        <f>IF($C418="","",IFERROR(INDEX(ENVIOS!$F$4:$F$3003,MATCH($C418,ENVIOS!$A$4:$A$3003,0)),"—"))</f>
        <v/>
      </c>
      <c r="I418" s="27">
        <f>IF($C418="","",IFERROR(INDEX(ENVIOS!$G$4:$G$3003,MATCH($C418,ENVIOS!$A$4:$A$3003,0)),"—"))</f>
        <v/>
      </c>
      <c r="J418" s="48">
        <f>IF($C418="","",IFERROR(INDEX(ENVIOS!$B$4:$B$3003,MATCH($C418,ENVIOS!$A$4:$A$3003,0)),""))</f>
        <v/>
      </c>
      <c r="K418" s="49" t="n"/>
      <c r="L418" s="27">
        <f>IF($K418="","",IFERROR(INDEX(CONFIG!$B$4:$B$43,MATCH($K418,CONFIG!$A$4:$A$43,0)),"Media"))</f>
        <v/>
      </c>
      <c r="M418" s="27">
        <f>IF($K418="","",IFERROR(INDEX(CONFIG!$D$4:$D$43,MATCH($K418,CONFIG!$A$4:$A$43,0)),"NO"))</f>
        <v/>
      </c>
      <c r="N418" s="49" t="n"/>
      <c r="O418" s="27">
        <f>IF($N418="","",IFERROR(INDEX(CONFIG!$G$4:$G$43,MATCH($N418,CONFIG!$F$4:$F$43,0)),"Por definir"))</f>
        <v/>
      </c>
      <c r="P418" s="27">
        <f>IF($N418="","",IFERROR(INDEX(CONFIG!$H$4:$H$43,MATCH($N418,CONFIG!$F$4:$F$43,0)),"Por definir"))</f>
        <v/>
      </c>
      <c r="Q418" s="50" t="n"/>
      <c r="R418" s="51" t="n"/>
      <c r="S418" s="49" t="n"/>
      <c r="T418" s="49" t="n"/>
      <c r="U418" s="48">
        <f>IF(OR($B418="",$K418=""),"",WORKDAY($B418,IFERROR(INDEX(CONFIG!$C$4:$C$43,MATCH($K418,CONFIG!$A$4:$A$43,0)),3)))</f>
        <v/>
      </c>
      <c r="V418" s="46" t="n"/>
      <c r="W418" s="23">
        <f>IF($B418="","",IF($V418&lt;&gt;"",$V418-$B418,TODAY()-$B418))</f>
        <v/>
      </c>
      <c r="X418" s="27">
        <f>IF($C418="","",IF(IFERROR(INDEX(CONFIG!$K$4:$K$43,MATCH($S418,CONFIG!$J$4:$J$43,0)),"NO")="SÍ",IF(OR($V418="",$U418=""),"Resuelta",IF($V418&gt;$U418,"Resuelta tarde","Resuelta a tiempo")),IF($U418="","Sin clasificar",IF(TODAY()&gt;$U418,"Vencida",IF(TODAY()&gt;=$U418-1,"Por vencer","En plazo")))))</f>
        <v/>
      </c>
      <c r="Y418" s="49" t="n"/>
      <c r="Z418" s="49" t="n"/>
    </row>
    <row r="419" ht="16" customHeight="1">
      <c r="A419" s="27">
        <f>IF($C419="","","N-"&amp;TEXT(ROW()-3,"0000"))</f>
        <v/>
      </c>
      <c r="B419" s="46" t="n"/>
      <c r="C419" s="47" t="n"/>
      <c r="D419" s="27">
        <f>IF($C419="","",IF(COUNTIFS(ENVIOS!$A$4:$A$3003,$C419)=0,"NO EXISTE",IF(COUNTIFS(ENVIOS!$A$4:$A$3003,$C419)&gt;1,"DUPLICADA","OK")))</f>
        <v/>
      </c>
      <c r="E419" s="22">
        <f>IF($C419="","",IFERROR(INDEX(ENVIOS!$C$4:$C$3003,MATCH($C419,ENVIOS!$A$4:$A$3003,0)),"—"))</f>
        <v/>
      </c>
      <c r="F419" s="22">
        <f>IF($C419="","",IFERROR(INDEX(ENVIOS!$D$4:$D$3003,MATCH($C419,ENVIOS!$A$4:$A$3003,0)),"—"))</f>
        <v/>
      </c>
      <c r="G419" s="22">
        <f>IF($C419="","",IFERROR(INDEX(ENVIOS!$E$4:$E$3003,MATCH($C419,ENVIOS!$A$4:$A$3003,0)),"—"))</f>
        <v/>
      </c>
      <c r="H419" s="22">
        <f>IF($C419="","",IFERROR(INDEX(ENVIOS!$F$4:$F$3003,MATCH($C419,ENVIOS!$A$4:$A$3003,0)),"—"))</f>
        <v/>
      </c>
      <c r="I419" s="27">
        <f>IF($C419="","",IFERROR(INDEX(ENVIOS!$G$4:$G$3003,MATCH($C419,ENVIOS!$A$4:$A$3003,0)),"—"))</f>
        <v/>
      </c>
      <c r="J419" s="48">
        <f>IF($C419="","",IFERROR(INDEX(ENVIOS!$B$4:$B$3003,MATCH($C419,ENVIOS!$A$4:$A$3003,0)),""))</f>
        <v/>
      </c>
      <c r="K419" s="49" t="n"/>
      <c r="L419" s="27">
        <f>IF($K419="","",IFERROR(INDEX(CONFIG!$B$4:$B$43,MATCH($K419,CONFIG!$A$4:$A$43,0)),"Media"))</f>
        <v/>
      </c>
      <c r="M419" s="27">
        <f>IF($K419="","",IFERROR(INDEX(CONFIG!$D$4:$D$43,MATCH($K419,CONFIG!$A$4:$A$43,0)),"NO"))</f>
        <v/>
      </c>
      <c r="N419" s="49" t="n"/>
      <c r="O419" s="27">
        <f>IF($N419="","",IFERROR(INDEX(CONFIG!$G$4:$G$43,MATCH($N419,CONFIG!$F$4:$F$43,0)),"Por definir"))</f>
        <v/>
      </c>
      <c r="P419" s="27">
        <f>IF($N419="","",IFERROR(INDEX(CONFIG!$H$4:$H$43,MATCH($N419,CONFIG!$F$4:$F$43,0)),"Por definir"))</f>
        <v/>
      </c>
      <c r="Q419" s="50" t="n"/>
      <c r="R419" s="51" t="n"/>
      <c r="S419" s="49" t="n"/>
      <c r="T419" s="49" t="n"/>
      <c r="U419" s="48">
        <f>IF(OR($B419="",$K419=""),"",WORKDAY($B419,IFERROR(INDEX(CONFIG!$C$4:$C$43,MATCH($K419,CONFIG!$A$4:$A$43,0)),3)))</f>
        <v/>
      </c>
      <c r="V419" s="46" t="n"/>
      <c r="W419" s="23">
        <f>IF($B419="","",IF($V419&lt;&gt;"",$V419-$B419,TODAY()-$B419))</f>
        <v/>
      </c>
      <c r="X419" s="27">
        <f>IF($C419="","",IF(IFERROR(INDEX(CONFIG!$K$4:$K$43,MATCH($S419,CONFIG!$J$4:$J$43,0)),"NO")="SÍ",IF(OR($V419="",$U419=""),"Resuelta",IF($V419&gt;$U419,"Resuelta tarde","Resuelta a tiempo")),IF($U419="","Sin clasificar",IF(TODAY()&gt;$U419,"Vencida",IF(TODAY()&gt;=$U419-1,"Por vencer","En plazo")))))</f>
        <v/>
      </c>
      <c r="Y419" s="49" t="n"/>
      <c r="Z419" s="49" t="n"/>
    </row>
    <row r="420" ht="16" customHeight="1">
      <c r="A420" s="27">
        <f>IF($C420="","","N-"&amp;TEXT(ROW()-3,"0000"))</f>
        <v/>
      </c>
      <c r="B420" s="46" t="n"/>
      <c r="C420" s="47" t="n"/>
      <c r="D420" s="27">
        <f>IF($C420="","",IF(COUNTIFS(ENVIOS!$A$4:$A$3003,$C420)=0,"NO EXISTE",IF(COUNTIFS(ENVIOS!$A$4:$A$3003,$C420)&gt;1,"DUPLICADA","OK")))</f>
        <v/>
      </c>
      <c r="E420" s="22">
        <f>IF($C420="","",IFERROR(INDEX(ENVIOS!$C$4:$C$3003,MATCH($C420,ENVIOS!$A$4:$A$3003,0)),"—"))</f>
        <v/>
      </c>
      <c r="F420" s="22">
        <f>IF($C420="","",IFERROR(INDEX(ENVIOS!$D$4:$D$3003,MATCH($C420,ENVIOS!$A$4:$A$3003,0)),"—"))</f>
        <v/>
      </c>
      <c r="G420" s="22">
        <f>IF($C420="","",IFERROR(INDEX(ENVIOS!$E$4:$E$3003,MATCH($C420,ENVIOS!$A$4:$A$3003,0)),"—"))</f>
        <v/>
      </c>
      <c r="H420" s="22">
        <f>IF($C420="","",IFERROR(INDEX(ENVIOS!$F$4:$F$3003,MATCH($C420,ENVIOS!$A$4:$A$3003,0)),"—"))</f>
        <v/>
      </c>
      <c r="I420" s="27">
        <f>IF($C420="","",IFERROR(INDEX(ENVIOS!$G$4:$G$3003,MATCH($C420,ENVIOS!$A$4:$A$3003,0)),"—"))</f>
        <v/>
      </c>
      <c r="J420" s="48">
        <f>IF($C420="","",IFERROR(INDEX(ENVIOS!$B$4:$B$3003,MATCH($C420,ENVIOS!$A$4:$A$3003,0)),""))</f>
        <v/>
      </c>
      <c r="K420" s="49" t="n"/>
      <c r="L420" s="27">
        <f>IF($K420="","",IFERROR(INDEX(CONFIG!$B$4:$B$43,MATCH($K420,CONFIG!$A$4:$A$43,0)),"Media"))</f>
        <v/>
      </c>
      <c r="M420" s="27">
        <f>IF($K420="","",IFERROR(INDEX(CONFIG!$D$4:$D$43,MATCH($K420,CONFIG!$A$4:$A$43,0)),"NO"))</f>
        <v/>
      </c>
      <c r="N420" s="49" t="n"/>
      <c r="O420" s="27">
        <f>IF($N420="","",IFERROR(INDEX(CONFIG!$G$4:$G$43,MATCH($N420,CONFIG!$F$4:$F$43,0)),"Por definir"))</f>
        <v/>
      </c>
      <c r="P420" s="27">
        <f>IF($N420="","",IFERROR(INDEX(CONFIG!$H$4:$H$43,MATCH($N420,CONFIG!$F$4:$F$43,0)),"Por definir"))</f>
        <v/>
      </c>
      <c r="Q420" s="50" t="n"/>
      <c r="R420" s="51" t="n"/>
      <c r="S420" s="49" t="n"/>
      <c r="T420" s="49" t="n"/>
      <c r="U420" s="48">
        <f>IF(OR($B420="",$K420=""),"",WORKDAY($B420,IFERROR(INDEX(CONFIG!$C$4:$C$43,MATCH($K420,CONFIG!$A$4:$A$43,0)),3)))</f>
        <v/>
      </c>
      <c r="V420" s="46" t="n"/>
      <c r="W420" s="23">
        <f>IF($B420="","",IF($V420&lt;&gt;"",$V420-$B420,TODAY()-$B420))</f>
        <v/>
      </c>
      <c r="X420" s="27">
        <f>IF($C420="","",IF(IFERROR(INDEX(CONFIG!$K$4:$K$43,MATCH($S420,CONFIG!$J$4:$J$43,0)),"NO")="SÍ",IF(OR($V420="",$U420=""),"Resuelta",IF($V420&gt;$U420,"Resuelta tarde","Resuelta a tiempo")),IF($U420="","Sin clasificar",IF(TODAY()&gt;$U420,"Vencida",IF(TODAY()&gt;=$U420-1,"Por vencer","En plazo")))))</f>
        <v/>
      </c>
      <c r="Y420" s="49" t="n"/>
      <c r="Z420" s="49" t="n"/>
    </row>
    <row r="421" ht="16" customHeight="1">
      <c r="A421" s="27">
        <f>IF($C421="","","N-"&amp;TEXT(ROW()-3,"0000"))</f>
        <v/>
      </c>
      <c r="B421" s="46" t="n"/>
      <c r="C421" s="47" t="n"/>
      <c r="D421" s="27">
        <f>IF($C421="","",IF(COUNTIFS(ENVIOS!$A$4:$A$3003,$C421)=0,"NO EXISTE",IF(COUNTIFS(ENVIOS!$A$4:$A$3003,$C421)&gt;1,"DUPLICADA","OK")))</f>
        <v/>
      </c>
      <c r="E421" s="22">
        <f>IF($C421="","",IFERROR(INDEX(ENVIOS!$C$4:$C$3003,MATCH($C421,ENVIOS!$A$4:$A$3003,0)),"—"))</f>
        <v/>
      </c>
      <c r="F421" s="22">
        <f>IF($C421="","",IFERROR(INDEX(ENVIOS!$D$4:$D$3003,MATCH($C421,ENVIOS!$A$4:$A$3003,0)),"—"))</f>
        <v/>
      </c>
      <c r="G421" s="22">
        <f>IF($C421="","",IFERROR(INDEX(ENVIOS!$E$4:$E$3003,MATCH($C421,ENVIOS!$A$4:$A$3003,0)),"—"))</f>
        <v/>
      </c>
      <c r="H421" s="22">
        <f>IF($C421="","",IFERROR(INDEX(ENVIOS!$F$4:$F$3003,MATCH($C421,ENVIOS!$A$4:$A$3003,0)),"—"))</f>
        <v/>
      </c>
      <c r="I421" s="27">
        <f>IF($C421="","",IFERROR(INDEX(ENVIOS!$G$4:$G$3003,MATCH($C421,ENVIOS!$A$4:$A$3003,0)),"—"))</f>
        <v/>
      </c>
      <c r="J421" s="48">
        <f>IF($C421="","",IFERROR(INDEX(ENVIOS!$B$4:$B$3003,MATCH($C421,ENVIOS!$A$4:$A$3003,0)),""))</f>
        <v/>
      </c>
      <c r="K421" s="49" t="n"/>
      <c r="L421" s="27">
        <f>IF($K421="","",IFERROR(INDEX(CONFIG!$B$4:$B$43,MATCH($K421,CONFIG!$A$4:$A$43,0)),"Media"))</f>
        <v/>
      </c>
      <c r="M421" s="27">
        <f>IF($K421="","",IFERROR(INDEX(CONFIG!$D$4:$D$43,MATCH($K421,CONFIG!$A$4:$A$43,0)),"NO"))</f>
        <v/>
      </c>
      <c r="N421" s="49" t="n"/>
      <c r="O421" s="27">
        <f>IF($N421="","",IFERROR(INDEX(CONFIG!$G$4:$G$43,MATCH($N421,CONFIG!$F$4:$F$43,0)),"Por definir"))</f>
        <v/>
      </c>
      <c r="P421" s="27">
        <f>IF($N421="","",IFERROR(INDEX(CONFIG!$H$4:$H$43,MATCH($N421,CONFIG!$F$4:$F$43,0)),"Por definir"))</f>
        <v/>
      </c>
      <c r="Q421" s="50" t="n"/>
      <c r="R421" s="51" t="n"/>
      <c r="S421" s="49" t="n"/>
      <c r="T421" s="49" t="n"/>
      <c r="U421" s="48">
        <f>IF(OR($B421="",$K421=""),"",WORKDAY($B421,IFERROR(INDEX(CONFIG!$C$4:$C$43,MATCH($K421,CONFIG!$A$4:$A$43,0)),3)))</f>
        <v/>
      </c>
      <c r="V421" s="46" t="n"/>
      <c r="W421" s="23">
        <f>IF($B421="","",IF($V421&lt;&gt;"",$V421-$B421,TODAY()-$B421))</f>
        <v/>
      </c>
      <c r="X421" s="27">
        <f>IF($C421="","",IF(IFERROR(INDEX(CONFIG!$K$4:$K$43,MATCH($S421,CONFIG!$J$4:$J$43,0)),"NO")="SÍ",IF(OR($V421="",$U421=""),"Resuelta",IF($V421&gt;$U421,"Resuelta tarde","Resuelta a tiempo")),IF($U421="","Sin clasificar",IF(TODAY()&gt;$U421,"Vencida",IF(TODAY()&gt;=$U421-1,"Por vencer","En plazo")))))</f>
        <v/>
      </c>
      <c r="Y421" s="49" t="n"/>
      <c r="Z421" s="49" t="n"/>
    </row>
    <row r="422" ht="16" customHeight="1">
      <c r="A422" s="27">
        <f>IF($C422="","","N-"&amp;TEXT(ROW()-3,"0000"))</f>
        <v/>
      </c>
      <c r="B422" s="46" t="n"/>
      <c r="C422" s="47" t="n"/>
      <c r="D422" s="27">
        <f>IF($C422="","",IF(COUNTIFS(ENVIOS!$A$4:$A$3003,$C422)=0,"NO EXISTE",IF(COUNTIFS(ENVIOS!$A$4:$A$3003,$C422)&gt;1,"DUPLICADA","OK")))</f>
        <v/>
      </c>
      <c r="E422" s="22">
        <f>IF($C422="","",IFERROR(INDEX(ENVIOS!$C$4:$C$3003,MATCH($C422,ENVIOS!$A$4:$A$3003,0)),"—"))</f>
        <v/>
      </c>
      <c r="F422" s="22">
        <f>IF($C422="","",IFERROR(INDEX(ENVIOS!$D$4:$D$3003,MATCH($C422,ENVIOS!$A$4:$A$3003,0)),"—"))</f>
        <v/>
      </c>
      <c r="G422" s="22">
        <f>IF($C422="","",IFERROR(INDEX(ENVIOS!$E$4:$E$3003,MATCH($C422,ENVIOS!$A$4:$A$3003,0)),"—"))</f>
        <v/>
      </c>
      <c r="H422" s="22">
        <f>IF($C422="","",IFERROR(INDEX(ENVIOS!$F$4:$F$3003,MATCH($C422,ENVIOS!$A$4:$A$3003,0)),"—"))</f>
        <v/>
      </c>
      <c r="I422" s="27">
        <f>IF($C422="","",IFERROR(INDEX(ENVIOS!$G$4:$G$3003,MATCH($C422,ENVIOS!$A$4:$A$3003,0)),"—"))</f>
        <v/>
      </c>
      <c r="J422" s="48">
        <f>IF($C422="","",IFERROR(INDEX(ENVIOS!$B$4:$B$3003,MATCH($C422,ENVIOS!$A$4:$A$3003,0)),""))</f>
        <v/>
      </c>
      <c r="K422" s="49" t="n"/>
      <c r="L422" s="27">
        <f>IF($K422="","",IFERROR(INDEX(CONFIG!$B$4:$B$43,MATCH($K422,CONFIG!$A$4:$A$43,0)),"Media"))</f>
        <v/>
      </c>
      <c r="M422" s="27">
        <f>IF($K422="","",IFERROR(INDEX(CONFIG!$D$4:$D$43,MATCH($K422,CONFIG!$A$4:$A$43,0)),"NO"))</f>
        <v/>
      </c>
      <c r="N422" s="49" t="n"/>
      <c r="O422" s="27">
        <f>IF($N422="","",IFERROR(INDEX(CONFIG!$G$4:$G$43,MATCH($N422,CONFIG!$F$4:$F$43,0)),"Por definir"))</f>
        <v/>
      </c>
      <c r="P422" s="27">
        <f>IF($N422="","",IFERROR(INDEX(CONFIG!$H$4:$H$43,MATCH($N422,CONFIG!$F$4:$F$43,0)),"Por definir"))</f>
        <v/>
      </c>
      <c r="Q422" s="50" t="n"/>
      <c r="R422" s="51" t="n"/>
      <c r="S422" s="49" t="n"/>
      <c r="T422" s="49" t="n"/>
      <c r="U422" s="48">
        <f>IF(OR($B422="",$K422=""),"",WORKDAY($B422,IFERROR(INDEX(CONFIG!$C$4:$C$43,MATCH($K422,CONFIG!$A$4:$A$43,0)),3)))</f>
        <v/>
      </c>
      <c r="V422" s="46" t="n"/>
      <c r="W422" s="23">
        <f>IF($B422="","",IF($V422&lt;&gt;"",$V422-$B422,TODAY()-$B422))</f>
        <v/>
      </c>
      <c r="X422" s="27">
        <f>IF($C422="","",IF(IFERROR(INDEX(CONFIG!$K$4:$K$43,MATCH($S422,CONFIG!$J$4:$J$43,0)),"NO")="SÍ",IF(OR($V422="",$U422=""),"Resuelta",IF($V422&gt;$U422,"Resuelta tarde","Resuelta a tiempo")),IF($U422="","Sin clasificar",IF(TODAY()&gt;$U422,"Vencida",IF(TODAY()&gt;=$U422-1,"Por vencer","En plazo")))))</f>
        <v/>
      </c>
      <c r="Y422" s="49" t="n"/>
      <c r="Z422" s="49" t="n"/>
    </row>
    <row r="423" ht="16" customHeight="1">
      <c r="A423" s="27">
        <f>IF($C423="","","N-"&amp;TEXT(ROW()-3,"0000"))</f>
        <v/>
      </c>
      <c r="B423" s="46" t="n"/>
      <c r="C423" s="47" t="n"/>
      <c r="D423" s="27">
        <f>IF($C423="","",IF(COUNTIFS(ENVIOS!$A$4:$A$3003,$C423)=0,"NO EXISTE",IF(COUNTIFS(ENVIOS!$A$4:$A$3003,$C423)&gt;1,"DUPLICADA","OK")))</f>
        <v/>
      </c>
      <c r="E423" s="22">
        <f>IF($C423="","",IFERROR(INDEX(ENVIOS!$C$4:$C$3003,MATCH($C423,ENVIOS!$A$4:$A$3003,0)),"—"))</f>
        <v/>
      </c>
      <c r="F423" s="22">
        <f>IF($C423="","",IFERROR(INDEX(ENVIOS!$D$4:$D$3003,MATCH($C423,ENVIOS!$A$4:$A$3003,0)),"—"))</f>
        <v/>
      </c>
      <c r="G423" s="22">
        <f>IF($C423="","",IFERROR(INDEX(ENVIOS!$E$4:$E$3003,MATCH($C423,ENVIOS!$A$4:$A$3003,0)),"—"))</f>
        <v/>
      </c>
      <c r="H423" s="22">
        <f>IF($C423="","",IFERROR(INDEX(ENVIOS!$F$4:$F$3003,MATCH($C423,ENVIOS!$A$4:$A$3003,0)),"—"))</f>
        <v/>
      </c>
      <c r="I423" s="27">
        <f>IF($C423="","",IFERROR(INDEX(ENVIOS!$G$4:$G$3003,MATCH($C423,ENVIOS!$A$4:$A$3003,0)),"—"))</f>
        <v/>
      </c>
      <c r="J423" s="48">
        <f>IF($C423="","",IFERROR(INDEX(ENVIOS!$B$4:$B$3003,MATCH($C423,ENVIOS!$A$4:$A$3003,0)),""))</f>
        <v/>
      </c>
      <c r="K423" s="49" t="n"/>
      <c r="L423" s="27">
        <f>IF($K423="","",IFERROR(INDEX(CONFIG!$B$4:$B$43,MATCH($K423,CONFIG!$A$4:$A$43,0)),"Media"))</f>
        <v/>
      </c>
      <c r="M423" s="27">
        <f>IF($K423="","",IFERROR(INDEX(CONFIG!$D$4:$D$43,MATCH($K423,CONFIG!$A$4:$A$43,0)),"NO"))</f>
        <v/>
      </c>
      <c r="N423" s="49" t="n"/>
      <c r="O423" s="27">
        <f>IF($N423="","",IFERROR(INDEX(CONFIG!$G$4:$G$43,MATCH($N423,CONFIG!$F$4:$F$43,0)),"Por definir"))</f>
        <v/>
      </c>
      <c r="P423" s="27">
        <f>IF($N423="","",IFERROR(INDEX(CONFIG!$H$4:$H$43,MATCH($N423,CONFIG!$F$4:$F$43,0)),"Por definir"))</f>
        <v/>
      </c>
      <c r="Q423" s="50" t="n"/>
      <c r="R423" s="51" t="n"/>
      <c r="S423" s="49" t="n"/>
      <c r="T423" s="49" t="n"/>
      <c r="U423" s="48">
        <f>IF(OR($B423="",$K423=""),"",WORKDAY($B423,IFERROR(INDEX(CONFIG!$C$4:$C$43,MATCH($K423,CONFIG!$A$4:$A$43,0)),3)))</f>
        <v/>
      </c>
      <c r="V423" s="46" t="n"/>
      <c r="W423" s="23">
        <f>IF($B423="","",IF($V423&lt;&gt;"",$V423-$B423,TODAY()-$B423))</f>
        <v/>
      </c>
      <c r="X423" s="27">
        <f>IF($C423="","",IF(IFERROR(INDEX(CONFIG!$K$4:$K$43,MATCH($S423,CONFIG!$J$4:$J$43,0)),"NO")="SÍ",IF(OR($V423="",$U423=""),"Resuelta",IF($V423&gt;$U423,"Resuelta tarde","Resuelta a tiempo")),IF($U423="","Sin clasificar",IF(TODAY()&gt;$U423,"Vencida",IF(TODAY()&gt;=$U423-1,"Por vencer","En plazo")))))</f>
        <v/>
      </c>
      <c r="Y423" s="49" t="n"/>
      <c r="Z423" s="49" t="n"/>
    </row>
    <row r="424" ht="16" customHeight="1">
      <c r="A424" s="27">
        <f>IF($C424="","","N-"&amp;TEXT(ROW()-3,"0000"))</f>
        <v/>
      </c>
      <c r="B424" s="46" t="n"/>
      <c r="C424" s="47" t="n"/>
      <c r="D424" s="27">
        <f>IF($C424="","",IF(COUNTIFS(ENVIOS!$A$4:$A$3003,$C424)=0,"NO EXISTE",IF(COUNTIFS(ENVIOS!$A$4:$A$3003,$C424)&gt;1,"DUPLICADA","OK")))</f>
        <v/>
      </c>
      <c r="E424" s="22">
        <f>IF($C424="","",IFERROR(INDEX(ENVIOS!$C$4:$C$3003,MATCH($C424,ENVIOS!$A$4:$A$3003,0)),"—"))</f>
        <v/>
      </c>
      <c r="F424" s="22">
        <f>IF($C424="","",IFERROR(INDEX(ENVIOS!$D$4:$D$3003,MATCH($C424,ENVIOS!$A$4:$A$3003,0)),"—"))</f>
        <v/>
      </c>
      <c r="G424" s="22">
        <f>IF($C424="","",IFERROR(INDEX(ENVIOS!$E$4:$E$3003,MATCH($C424,ENVIOS!$A$4:$A$3003,0)),"—"))</f>
        <v/>
      </c>
      <c r="H424" s="22">
        <f>IF($C424="","",IFERROR(INDEX(ENVIOS!$F$4:$F$3003,MATCH($C424,ENVIOS!$A$4:$A$3003,0)),"—"))</f>
        <v/>
      </c>
      <c r="I424" s="27">
        <f>IF($C424="","",IFERROR(INDEX(ENVIOS!$G$4:$G$3003,MATCH($C424,ENVIOS!$A$4:$A$3003,0)),"—"))</f>
        <v/>
      </c>
      <c r="J424" s="48">
        <f>IF($C424="","",IFERROR(INDEX(ENVIOS!$B$4:$B$3003,MATCH($C424,ENVIOS!$A$4:$A$3003,0)),""))</f>
        <v/>
      </c>
      <c r="K424" s="49" t="n"/>
      <c r="L424" s="27">
        <f>IF($K424="","",IFERROR(INDEX(CONFIG!$B$4:$B$43,MATCH($K424,CONFIG!$A$4:$A$43,0)),"Media"))</f>
        <v/>
      </c>
      <c r="M424" s="27">
        <f>IF($K424="","",IFERROR(INDEX(CONFIG!$D$4:$D$43,MATCH($K424,CONFIG!$A$4:$A$43,0)),"NO"))</f>
        <v/>
      </c>
      <c r="N424" s="49" t="n"/>
      <c r="O424" s="27">
        <f>IF($N424="","",IFERROR(INDEX(CONFIG!$G$4:$G$43,MATCH($N424,CONFIG!$F$4:$F$43,0)),"Por definir"))</f>
        <v/>
      </c>
      <c r="P424" s="27">
        <f>IF($N424="","",IFERROR(INDEX(CONFIG!$H$4:$H$43,MATCH($N424,CONFIG!$F$4:$F$43,0)),"Por definir"))</f>
        <v/>
      </c>
      <c r="Q424" s="50" t="n"/>
      <c r="R424" s="51" t="n"/>
      <c r="S424" s="49" t="n"/>
      <c r="T424" s="49" t="n"/>
      <c r="U424" s="48">
        <f>IF(OR($B424="",$K424=""),"",WORKDAY($B424,IFERROR(INDEX(CONFIG!$C$4:$C$43,MATCH($K424,CONFIG!$A$4:$A$43,0)),3)))</f>
        <v/>
      </c>
      <c r="V424" s="46" t="n"/>
      <c r="W424" s="23">
        <f>IF($B424="","",IF($V424&lt;&gt;"",$V424-$B424,TODAY()-$B424))</f>
        <v/>
      </c>
      <c r="X424" s="27">
        <f>IF($C424="","",IF(IFERROR(INDEX(CONFIG!$K$4:$K$43,MATCH($S424,CONFIG!$J$4:$J$43,0)),"NO")="SÍ",IF(OR($V424="",$U424=""),"Resuelta",IF($V424&gt;$U424,"Resuelta tarde","Resuelta a tiempo")),IF($U424="","Sin clasificar",IF(TODAY()&gt;$U424,"Vencida",IF(TODAY()&gt;=$U424-1,"Por vencer","En plazo")))))</f>
        <v/>
      </c>
      <c r="Y424" s="49" t="n"/>
      <c r="Z424" s="49" t="n"/>
    </row>
    <row r="425" ht="16" customHeight="1">
      <c r="A425" s="27">
        <f>IF($C425="","","N-"&amp;TEXT(ROW()-3,"0000"))</f>
        <v/>
      </c>
      <c r="B425" s="46" t="n"/>
      <c r="C425" s="47" t="n"/>
      <c r="D425" s="27">
        <f>IF($C425="","",IF(COUNTIFS(ENVIOS!$A$4:$A$3003,$C425)=0,"NO EXISTE",IF(COUNTIFS(ENVIOS!$A$4:$A$3003,$C425)&gt;1,"DUPLICADA","OK")))</f>
        <v/>
      </c>
      <c r="E425" s="22">
        <f>IF($C425="","",IFERROR(INDEX(ENVIOS!$C$4:$C$3003,MATCH($C425,ENVIOS!$A$4:$A$3003,0)),"—"))</f>
        <v/>
      </c>
      <c r="F425" s="22">
        <f>IF($C425="","",IFERROR(INDEX(ENVIOS!$D$4:$D$3003,MATCH($C425,ENVIOS!$A$4:$A$3003,0)),"—"))</f>
        <v/>
      </c>
      <c r="G425" s="22">
        <f>IF($C425="","",IFERROR(INDEX(ENVIOS!$E$4:$E$3003,MATCH($C425,ENVIOS!$A$4:$A$3003,0)),"—"))</f>
        <v/>
      </c>
      <c r="H425" s="22">
        <f>IF($C425="","",IFERROR(INDEX(ENVIOS!$F$4:$F$3003,MATCH($C425,ENVIOS!$A$4:$A$3003,0)),"—"))</f>
        <v/>
      </c>
      <c r="I425" s="27">
        <f>IF($C425="","",IFERROR(INDEX(ENVIOS!$G$4:$G$3003,MATCH($C425,ENVIOS!$A$4:$A$3003,0)),"—"))</f>
        <v/>
      </c>
      <c r="J425" s="48">
        <f>IF($C425="","",IFERROR(INDEX(ENVIOS!$B$4:$B$3003,MATCH($C425,ENVIOS!$A$4:$A$3003,0)),""))</f>
        <v/>
      </c>
      <c r="K425" s="49" t="n"/>
      <c r="L425" s="27">
        <f>IF($K425="","",IFERROR(INDEX(CONFIG!$B$4:$B$43,MATCH($K425,CONFIG!$A$4:$A$43,0)),"Media"))</f>
        <v/>
      </c>
      <c r="M425" s="27">
        <f>IF($K425="","",IFERROR(INDEX(CONFIG!$D$4:$D$43,MATCH($K425,CONFIG!$A$4:$A$43,0)),"NO"))</f>
        <v/>
      </c>
      <c r="N425" s="49" t="n"/>
      <c r="O425" s="27">
        <f>IF($N425="","",IFERROR(INDEX(CONFIG!$G$4:$G$43,MATCH($N425,CONFIG!$F$4:$F$43,0)),"Por definir"))</f>
        <v/>
      </c>
      <c r="P425" s="27">
        <f>IF($N425="","",IFERROR(INDEX(CONFIG!$H$4:$H$43,MATCH($N425,CONFIG!$F$4:$F$43,0)),"Por definir"))</f>
        <v/>
      </c>
      <c r="Q425" s="50" t="n"/>
      <c r="R425" s="51" t="n"/>
      <c r="S425" s="49" t="n"/>
      <c r="T425" s="49" t="n"/>
      <c r="U425" s="48">
        <f>IF(OR($B425="",$K425=""),"",WORKDAY($B425,IFERROR(INDEX(CONFIG!$C$4:$C$43,MATCH($K425,CONFIG!$A$4:$A$43,0)),3)))</f>
        <v/>
      </c>
      <c r="V425" s="46" t="n"/>
      <c r="W425" s="23">
        <f>IF($B425="","",IF($V425&lt;&gt;"",$V425-$B425,TODAY()-$B425))</f>
        <v/>
      </c>
      <c r="X425" s="27">
        <f>IF($C425="","",IF(IFERROR(INDEX(CONFIG!$K$4:$K$43,MATCH($S425,CONFIG!$J$4:$J$43,0)),"NO")="SÍ",IF(OR($V425="",$U425=""),"Resuelta",IF($V425&gt;$U425,"Resuelta tarde","Resuelta a tiempo")),IF($U425="","Sin clasificar",IF(TODAY()&gt;$U425,"Vencida",IF(TODAY()&gt;=$U425-1,"Por vencer","En plazo")))))</f>
        <v/>
      </c>
      <c r="Y425" s="49" t="n"/>
      <c r="Z425" s="49" t="n"/>
    </row>
    <row r="426" ht="16" customHeight="1">
      <c r="A426" s="27">
        <f>IF($C426="","","N-"&amp;TEXT(ROW()-3,"0000"))</f>
        <v/>
      </c>
      <c r="B426" s="46" t="n"/>
      <c r="C426" s="47" t="n"/>
      <c r="D426" s="27">
        <f>IF($C426="","",IF(COUNTIFS(ENVIOS!$A$4:$A$3003,$C426)=0,"NO EXISTE",IF(COUNTIFS(ENVIOS!$A$4:$A$3003,$C426)&gt;1,"DUPLICADA","OK")))</f>
        <v/>
      </c>
      <c r="E426" s="22">
        <f>IF($C426="","",IFERROR(INDEX(ENVIOS!$C$4:$C$3003,MATCH($C426,ENVIOS!$A$4:$A$3003,0)),"—"))</f>
        <v/>
      </c>
      <c r="F426" s="22">
        <f>IF($C426="","",IFERROR(INDEX(ENVIOS!$D$4:$D$3003,MATCH($C426,ENVIOS!$A$4:$A$3003,0)),"—"))</f>
        <v/>
      </c>
      <c r="G426" s="22">
        <f>IF($C426="","",IFERROR(INDEX(ENVIOS!$E$4:$E$3003,MATCH($C426,ENVIOS!$A$4:$A$3003,0)),"—"))</f>
        <v/>
      </c>
      <c r="H426" s="22">
        <f>IF($C426="","",IFERROR(INDEX(ENVIOS!$F$4:$F$3003,MATCH($C426,ENVIOS!$A$4:$A$3003,0)),"—"))</f>
        <v/>
      </c>
      <c r="I426" s="27">
        <f>IF($C426="","",IFERROR(INDEX(ENVIOS!$G$4:$G$3003,MATCH($C426,ENVIOS!$A$4:$A$3003,0)),"—"))</f>
        <v/>
      </c>
      <c r="J426" s="48">
        <f>IF($C426="","",IFERROR(INDEX(ENVIOS!$B$4:$B$3003,MATCH($C426,ENVIOS!$A$4:$A$3003,0)),""))</f>
        <v/>
      </c>
      <c r="K426" s="49" t="n"/>
      <c r="L426" s="27">
        <f>IF($K426="","",IFERROR(INDEX(CONFIG!$B$4:$B$43,MATCH($K426,CONFIG!$A$4:$A$43,0)),"Media"))</f>
        <v/>
      </c>
      <c r="M426" s="27">
        <f>IF($K426="","",IFERROR(INDEX(CONFIG!$D$4:$D$43,MATCH($K426,CONFIG!$A$4:$A$43,0)),"NO"))</f>
        <v/>
      </c>
      <c r="N426" s="49" t="n"/>
      <c r="O426" s="27">
        <f>IF($N426="","",IFERROR(INDEX(CONFIG!$G$4:$G$43,MATCH($N426,CONFIG!$F$4:$F$43,0)),"Por definir"))</f>
        <v/>
      </c>
      <c r="P426" s="27">
        <f>IF($N426="","",IFERROR(INDEX(CONFIG!$H$4:$H$43,MATCH($N426,CONFIG!$F$4:$F$43,0)),"Por definir"))</f>
        <v/>
      </c>
      <c r="Q426" s="50" t="n"/>
      <c r="R426" s="51" t="n"/>
      <c r="S426" s="49" t="n"/>
      <c r="T426" s="49" t="n"/>
      <c r="U426" s="48">
        <f>IF(OR($B426="",$K426=""),"",WORKDAY($B426,IFERROR(INDEX(CONFIG!$C$4:$C$43,MATCH($K426,CONFIG!$A$4:$A$43,0)),3)))</f>
        <v/>
      </c>
      <c r="V426" s="46" t="n"/>
      <c r="W426" s="23">
        <f>IF($B426="","",IF($V426&lt;&gt;"",$V426-$B426,TODAY()-$B426))</f>
        <v/>
      </c>
      <c r="X426" s="27">
        <f>IF($C426="","",IF(IFERROR(INDEX(CONFIG!$K$4:$K$43,MATCH($S426,CONFIG!$J$4:$J$43,0)),"NO")="SÍ",IF(OR($V426="",$U426=""),"Resuelta",IF($V426&gt;$U426,"Resuelta tarde","Resuelta a tiempo")),IF($U426="","Sin clasificar",IF(TODAY()&gt;$U426,"Vencida",IF(TODAY()&gt;=$U426-1,"Por vencer","En plazo")))))</f>
        <v/>
      </c>
      <c r="Y426" s="49" t="n"/>
      <c r="Z426" s="49" t="n"/>
    </row>
    <row r="427" ht="16" customHeight="1">
      <c r="A427" s="27">
        <f>IF($C427="","","N-"&amp;TEXT(ROW()-3,"0000"))</f>
        <v/>
      </c>
      <c r="B427" s="46" t="n"/>
      <c r="C427" s="47" t="n"/>
      <c r="D427" s="27">
        <f>IF($C427="","",IF(COUNTIFS(ENVIOS!$A$4:$A$3003,$C427)=0,"NO EXISTE",IF(COUNTIFS(ENVIOS!$A$4:$A$3003,$C427)&gt;1,"DUPLICADA","OK")))</f>
        <v/>
      </c>
      <c r="E427" s="22">
        <f>IF($C427="","",IFERROR(INDEX(ENVIOS!$C$4:$C$3003,MATCH($C427,ENVIOS!$A$4:$A$3003,0)),"—"))</f>
        <v/>
      </c>
      <c r="F427" s="22">
        <f>IF($C427="","",IFERROR(INDEX(ENVIOS!$D$4:$D$3003,MATCH($C427,ENVIOS!$A$4:$A$3003,0)),"—"))</f>
        <v/>
      </c>
      <c r="G427" s="22">
        <f>IF($C427="","",IFERROR(INDEX(ENVIOS!$E$4:$E$3003,MATCH($C427,ENVIOS!$A$4:$A$3003,0)),"—"))</f>
        <v/>
      </c>
      <c r="H427" s="22">
        <f>IF($C427="","",IFERROR(INDEX(ENVIOS!$F$4:$F$3003,MATCH($C427,ENVIOS!$A$4:$A$3003,0)),"—"))</f>
        <v/>
      </c>
      <c r="I427" s="27">
        <f>IF($C427="","",IFERROR(INDEX(ENVIOS!$G$4:$G$3003,MATCH($C427,ENVIOS!$A$4:$A$3003,0)),"—"))</f>
        <v/>
      </c>
      <c r="J427" s="48">
        <f>IF($C427="","",IFERROR(INDEX(ENVIOS!$B$4:$B$3003,MATCH($C427,ENVIOS!$A$4:$A$3003,0)),""))</f>
        <v/>
      </c>
      <c r="K427" s="49" t="n"/>
      <c r="L427" s="27">
        <f>IF($K427="","",IFERROR(INDEX(CONFIG!$B$4:$B$43,MATCH($K427,CONFIG!$A$4:$A$43,0)),"Media"))</f>
        <v/>
      </c>
      <c r="M427" s="27">
        <f>IF($K427="","",IFERROR(INDEX(CONFIG!$D$4:$D$43,MATCH($K427,CONFIG!$A$4:$A$43,0)),"NO"))</f>
        <v/>
      </c>
      <c r="N427" s="49" t="n"/>
      <c r="O427" s="27">
        <f>IF($N427="","",IFERROR(INDEX(CONFIG!$G$4:$G$43,MATCH($N427,CONFIG!$F$4:$F$43,0)),"Por definir"))</f>
        <v/>
      </c>
      <c r="P427" s="27">
        <f>IF($N427="","",IFERROR(INDEX(CONFIG!$H$4:$H$43,MATCH($N427,CONFIG!$F$4:$F$43,0)),"Por definir"))</f>
        <v/>
      </c>
      <c r="Q427" s="50" t="n"/>
      <c r="R427" s="51" t="n"/>
      <c r="S427" s="49" t="n"/>
      <c r="T427" s="49" t="n"/>
      <c r="U427" s="48">
        <f>IF(OR($B427="",$K427=""),"",WORKDAY($B427,IFERROR(INDEX(CONFIG!$C$4:$C$43,MATCH($K427,CONFIG!$A$4:$A$43,0)),3)))</f>
        <v/>
      </c>
      <c r="V427" s="46" t="n"/>
      <c r="W427" s="23">
        <f>IF($B427="","",IF($V427&lt;&gt;"",$V427-$B427,TODAY()-$B427))</f>
        <v/>
      </c>
      <c r="X427" s="27">
        <f>IF($C427="","",IF(IFERROR(INDEX(CONFIG!$K$4:$K$43,MATCH($S427,CONFIG!$J$4:$J$43,0)),"NO")="SÍ",IF(OR($V427="",$U427=""),"Resuelta",IF($V427&gt;$U427,"Resuelta tarde","Resuelta a tiempo")),IF($U427="","Sin clasificar",IF(TODAY()&gt;$U427,"Vencida",IF(TODAY()&gt;=$U427-1,"Por vencer","En plazo")))))</f>
        <v/>
      </c>
      <c r="Y427" s="49" t="n"/>
      <c r="Z427" s="49" t="n"/>
    </row>
    <row r="428" ht="16" customHeight="1">
      <c r="A428" s="27">
        <f>IF($C428="","","N-"&amp;TEXT(ROW()-3,"0000"))</f>
        <v/>
      </c>
      <c r="B428" s="46" t="n"/>
      <c r="C428" s="47" t="n"/>
      <c r="D428" s="27">
        <f>IF($C428="","",IF(COUNTIFS(ENVIOS!$A$4:$A$3003,$C428)=0,"NO EXISTE",IF(COUNTIFS(ENVIOS!$A$4:$A$3003,$C428)&gt;1,"DUPLICADA","OK")))</f>
        <v/>
      </c>
      <c r="E428" s="22">
        <f>IF($C428="","",IFERROR(INDEX(ENVIOS!$C$4:$C$3003,MATCH($C428,ENVIOS!$A$4:$A$3003,0)),"—"))</f>
        <v/>
      </c>
      <c r="F428" s="22">
        <f>IF($C428="","",IFERROR(INDEX(ENVIOS!$D$4:$D$3003,MATCH($C428,ENVIOS!$A$4:$A$3003,0)),"—"))</f>
        <v/>
      </c>
      <c r="G428" s="22">
        <f>IF($C428="","",IFERROR(INDEX(ENVIOS!$E$4:$E$3003,MATCH($C428,ENVIOS!$A$4:$A$3003,0)),"—"))</f>
        <v/>
      </c>
      <c r="H428" s="22">
        <f>IF($C428="","",IFERROR(INDEX(ENVIOS!$F$4:$F$3003,MATCH($C428,ENVIOS!$A$4:$A$3003,0)),"—"))</f>
        <v/>
      </c>
      <c r="I428" s="27">
        <f>IF($C428="","",IFERROR(INDEX(ENVIOS!$G$4:$G$3003,MATCH($C428,ENVIOS!$A$4:$A$3003,0)),"—"))</f>
        <v/>
      </c>
      <c r="J428" s="48">
        <f>IF($C428="","",IFERROR(INDEX(ENVIOS!$B$4:$B$3003,MATCH($C428,ENVIOS!$A$4:$A$3003,0)),""))</f>
        <v/>
      </c>
      <c r="K428" s="49" t="n"/>
      <c r="L428" s="27">
        <f>IF($K428="","",IFERROR(INDEX(CONFIG!$B$4:$B$43,MATCH($K428,CONFIG!$A$4:$A$43,0)),"Media"))</f>
        <v/>
      </c>
      <c r="M428" s="27">
        <f>IF($K428="","",IFERROR(INDEX(CONFIG!$D$4:$D$43,MATCH($K428,CONFIG!$A$4:$A$43,0)),"NO"))</f>
        <v/>
      </c>
      <c r="N428" s="49" t="n"/>
      <c r="O428" s="27">
        <f>IF($N428="","",IFERROR(INDEX(CONFIG!$G$4:$G$43,MATCH($N428,CONFIG!$F$4:$F$43,0)),"Por definir"))</f>
        <v/>
      </c>
      <c r="P428" s="27">
        <f>IF($N428="","",IFERROR(INDEX(CONFIG!$H$4:$H$43,MATCH($N428,CONFIG!$F$4:$F$43,0)),"Por definir"))</f>
        <v/>
      </c>
      <c r="Q428" s="50" t="n"/>
      <c r="R428" s="51" t="n"/>
      <c r="S428" s="49" t="n"/>
      <c r="T428" s="49" t="n"/>
      <c r="U428" s="48">
        <f>IF(OR($B428="",$K428=""),"",WORKDAY($B428,IFERROR(INDEX(CONFIG!$C$4:$C$43,MATCH($K428,CONFIG!$A$4:$A$43,0)),3)))</f>
        <v/>
      </c>
      <c r="V428" s="46" t="n"/>
      <c r="W428" s="23">
        <f>IF($B428="","",IF($V428&lt;&gt;"",$V428-$B428,TODAY()-$B428))</f>
        <v/>
      </c>
      <c r="X428" s="27">
        <f>IF($C428="","",IF(IFERROR(INDEX(CONFIG!$K$4:$K$43,MATCH($S428,CONFIG!$J$4:$J$43,0)),"NO")="SÍ",IF(OR($V428="",$U428=""),"Resuelta",IF($V428&gt;$U428,"Resuelta tarde","Resuelta a tiempo")),IF($U428="","Sin clasificar",IF(TODAY()&gt;$U428,"Vencida",IF(TODAY()&gt;=$U428-1,"Por vencer","En plazo")))))</f>
        <v/>
      </c>
      <c r="Y428" s="49" t="n"/>
      <c r="Z428" s="49" t="n"/>
    </row>
    <row r="429" ht="16" customHeight="1">
      <c r="A429" s="27">
        <f>IF($C429="","","N-"&amp;TEXT(ROW()-3,"0000"))</f>
        <v/>
      </c>
      <c r="B429" s="46" t="n"/>
      <c r="C429" s="47" t="n"/>
      <c r="D429" s="27">
        <f>IF($C429="","",IF(COUNTIFS(ENVIOS!$A$4:$A$3003,$C429)=0,"NO EXISTE",IF(COUNTIFS(ENVIOS!$A$4:$A$3003,$C429)&gt;1,"DUPLICADA","OK")))</f>
        <v/>
      </c>
      <c r="E429" s="22">
        <f>IF($C429="","",IFERROR(INDEX(ENVIOS!$C$4:$C$3003,MATCH($C429,ENVIOS!$A$4:$A$3003,0)),"—"))</f>
        <v/>
      </c>
      <c r="F429" s="22">
        <f>IF($C429="","",IFERROR(INDEX(ENVIOS!$D$4:$D$3003,MATCH($C429,ENVIOS!$A$4:$A$3003,0)),"—"))</f>
        <v/>
      </c>
      <c r="G429" s="22">
        <f>IF($C429="","",IFERROR(INDEX(ENVIOS!$E$4:$E$3003,MATCH($C429,ENVIOS!$A$4:$A$3003,0)),"—"))</f>
        <v/>
      </c>
      <c r="H429" s="22">
        <f>IF($C429="","",IFERROR(INDEX(ENVIOS!$F$4:$F$3003,MATCH($C429,ENVIOS!$A$4:$A$3003,0)),"—"))</f>
        <v/>
      </c>
      <c r="I429" s="27">
        <f>IF($C429="","",IFERROR(INDEX(ENVIOS!$G$4:$G$3003,MATCH($C429,ENVIOS!$A$4:$A$3003,0)),"—"))</f>
        <v/>
      </c>
      <c r="J429" s="48">
        <f>IF($C429="","",IFERROR(INDEX(ENVIOS!$B$4:$B$3003,MATCH($C429,ENVIOS!$A$4:$A$3003,0)),""))</f>
        <v/>
      </c>
      <c r="K429" s="49" t="n"/>
      <c r="L429" s="27">
        <f>IF($K429="","",IFERROR(INDEX(CONFIG!$B$4:$B$43,MATCH($K429,CONFIG!$A$4:$A$43,0)),"Media"))</f>
        <v/>
      </c>
      <c r="M429" s="27">
        <f>IF($K429="","",IFERROR(INDEX(CONFIG!$D$4:$D$43,MATCH($K429,CONFIG!$A$4:$A$43,0)),"NO"))</f>
        <v/>
      </c>
      <c r="N429" s="49" t="n"/>
      <c r="O429" s="27">
        <f>IF($N429="","",IFERROR(INDEX(CONFIG!$G$4:$G$43,MATCH($N429,CONFIG!$F$4:$F$43,0)),"Por definir"))</f>
        <v/>
      </c>
      <c r="P429" s="27">
        <f>IF($N429="","",IFERROR(INDEX(CONFIG!$H$4:$H$43,MATCH($N429,CONFIG!$F$4:$F$43,0)),"Por definir"))</f>
        <v/>
      </c>
      <c r="Q429" s="50" t="n"/>
      <c r="R429" s="51" t="n"/>
      <c r="S429" s="49" t="n"/>
      <c r="T429" s="49" t="n"/>
      <c r="U429" s="48">
        <f>IF(OR($B429="",$K429=""),"",WORKDAY($B429,IFERROR(INDEX(CONFIG!$C$4:$C$43,MATCH($K429,CONFIG!$A$4:$A$43,0)),3)))</f>
        <v/>
      </c>
      <c r="V429" s="46" t="n"/>
      <c r="W429" s="23">
        <f>IF($B429="","",IF($V429&lt;&gt;"",$V429-$B429,TODAY()-$B429))</f>
        <v/>
      </c>
      <c r="X429" s="27">
        <f>IF($C429="","",IF(IFERROR(INDEX(CONFIG!$K$4:$K$43,MATCH($S429,CONFIG!$J$4:$J$43,0)),"NO")="SÍ",IF(OR($V429="",$U429=""),"Resuelta",IF($V429&gt;$U429,"Resuelta tarde","Resuelta a tiempo")),IF($U429="","Sin clasificar",IF(TODAY()&gt;$U429,"Vencida",IF(TODAY()&gt;=$U429-1,"Por vencer","En plazo")))))</f>
        <v/>
      </c>
      <c r="Y429" s="49" t="n"/>
      <c r="Z429" s="49" t="n"/>
    </row>
    <row r="430" ht="16" customHeight="1">
      <c r="A430" s="27">
        <f>IF($C430="","","N-"&amp;TEXT(ROW()-3,"0000"))</f>
        <v/>
      </c>
      <c r="B430" s="46" t="n"/>
      <c r="C430" s="47" t="n"/>
      <c r="D430" s="27">
        <f>IF($C430="","",IF(COUNTIFS(ENVIOS!$A$4:$A$3003,$C430)=0,"NO EXISTE",IF(COUNTIFS(ENVIOS!$A$4:$A$3003,$C430)&gt;1,"DUPLICADA","OK")))</f>
        <v/>
      </c>
      <c r="E430" s="22">
        <f>IF($C430="","",IFERROR(INDEX(ENVIOS!$C$4:$C$3003,MATCH($C430,ENVIOS!$A$4:$A$3003,0)),"—"))</f>
        <v/>
      </c>
      <c r="F430" s="22">
        <f>IF($C430="","",IFERROR(INDEX(ENVIOS!$D$4:$D$3003,MATCH($C430,ENVIOS!$A$4:$A$3003,0)),"—"))</f>
        <v/>
      </c>
      <c r="G430" s="22">
        <f>IF($C430="","",IFERROR(INDEX(ENVIOS!$E$4:$E$3003,MATCH($C430,ENVIOS!$A$4:$A$3003,0)),"—"))</f>
        <v/>
      </c>
      <c r="H430" s="22">
        <f>IF($C430="","",IFERROR(INDEX(ENVIOS!$F$4:$F$3003,MATCH($C430,ENVIOS!$A$4:$A$3003,0)),"—"))</f>
        <v/>
      </c>
      <c r="I430" s="27">
        <f>IF($C430="","",IFERROR(INDEX(ENVIOS!$G$4:$G$3003,MATCH($C430,ENVIOS!$A$4:$A$3003,0)),"—"))</f>
        <v/>
      </c>
      <c r="J430" s="48">
        <f>IF($C430="","",IFERROR(INDEX(ENVIOS!$B$4:$B$3003,MATCH($C430,ENVIOS!$A$4:$A$3003,0)),""))</f>
        <v/>
      </c>
      <c r="K430" s="49" t="n"/>
      <c r="L430" s="27">
        <f>IF($K430="","",IFERROR(INDEX(CONFIG!$B$4:$B$43,MATCH($K430,CONFIG!$A$4:$A$43,0)),"Media"))</f>
        <v/>
      </c>
      <c r="M430" s="27">
        <f>IF($K430="","",IFERROR(INDEX(CONFIG!$D$4:$D$43,MATCH($K430,CONFIG!$A$4:$A$43,0)),"NO"))</f>
        <v/>
      </c>
      <c r="N430" s="49" t="n"/>
      <c r="O430" s="27">
        <f>IF($N430="","",IFERROR(INDEX(CONFIG!$G$4:$G$43,MATCH($N430,CONFIG!$F$4:$F$43,0)),"Por definir"))</f>
        <v/>
      </c>
      <c r="P430" s="27">
        <f>IF($N430="","",IFERROR(INDEX(CONFIG!$H$4:$H$43,MATCH($N430,CONFIG!$F$4:$F$43,0)),"Por definir"))</f>
        <v/>
      </c>
      <c r="Q430" s="50" t="n"/>
      <c r="R430" s="51" t="n"/>
      <c r="S430" s="49" t="n"/>
      <c r="T430" s="49" t="n"/>
      <c r="U430" s="48">
        <f>IF(OR($B430="",$K430=""),"",WORKDAY($B430,IFERROR(INDEX(CONFIG!$C$4:$C$43,MATCH($K430,CONFIG!$A$4:$A$43,0)),3)))</f>
        <v/>
      </c>
      <c r="V430" s="46" t="n"/>
      <c r="W430" s="23">
        <f>IF($B430="","",IF($V430&lt;&gt;"",$V430-$B430,TODAY()-$B430))</f>
        <v/>
      </c>
      <c r="X430" s="27">
        <f>IF($C430="","",IF(IFERROR(INDEX(CONFIG!$K$4:$K$43,MATCH($S430,CONFIG!$J$4:$J$43,0)),"NO")="SÍ",IF(OR($V430="",$U430=""),"Resuelta",IF($V430&gt;$U430,"Resuelta tarde","Resuelta a tiempo")),IF($U430="","Sin clasificar",IF(TODAY()&gt;$U430,"Vencida",IF(TODAY()&gt;=$U430-1,"Por vencer","En plazo")))))</f>
        <v/>
      </c>
      <c r="Y430" s="49" t="n"/>
      <c r="Z430" s="49" t="n"/>
    </row>
    <row r="431" ht="16" customHeight="1">
      <c r="A431" s="27">
        <f>IF($C431="","","N-"&amp;TEXT(ROW()-3,"0000"))</f>
        <v/>
      </c>
      <c r="B431" s="46" t="n"/>
      <c r="C431" s="47" t="n"/>
      <c r="D431" s="27">
        <f>IF($C431="","",IF(COUNTIFS(ENVIOS!$A$4:$A$3003,$C431)=0,"NO EXISTE",IF(COUNTIFS(ENVIOS!$A$4:$A$3003,$C431)&gt;1,"DUPLICADA","OK")))</f>
        <v/>
      </c>
      <c r="E431" s="22">
        <f>IF($C431="","",IFERROR(INDEX(ENVIOS!$C$4:$C$3003,MATCH($C431,ENVIOS!$A$4:$A$3003,0)),"—"))</f>
        <v/>
      </c>
      <c r="F431" s="22">
        <f>IF($C431="","",IFERROR(INDEX(ENVIOS!$D$4:$D$3003,MATCH($C431,ENVIOS!$A$4:$A$3003,0)),"—"))</f>
        <v/>
      </c>
      <c r="G431" s="22">
        <f>IF($C431="","",IFERROR(INDEX(ENVIOS!$E$4:$E$3003,MATCH($C431,ENVIOS!$A$4:$A$3003,0)),"—"))</f>
        <v/>
      </c>
      <c r="H431" s="22">
        <f>IF($C431="","",IFERROR(INDEX(ENVIOS!$F$4:$F$3003,MATCH($C431,ENVIOS!$A$4:$A$3003,0)),"—"))</f>
        <v/>
      </c>
      <c r="I431" s="27">
        <f>IF($C431="","",IFERROR(INDEX(ENVIOS!$G$4:$G$3003,MATCH($C431,ENVIOS!$A$4:$A$3003,0)),"—"))</f>
        <v/>
      </c>
      <c r="J431" s="48">
        <f>IF($C431="","",IFERROR(INDEX(ENVIOS!$B$4:$B$3003,MATCH($C431,ENVIOS!$A$4:$A$3003,0)),""))</f>
        <v/>
      </c>
      <c r="K431" s="49" t="n"/>
      <c r="L431" s="27">
        <f>IF($K431="","",IFERROR(INDEX(CONFIG!$B$4:$B$43,MATCH($K431,CONFIG!$A$4:$A$43,0)),"Media"))</f>
        <v/>
      </c>
      <c r="M431" s="27">
        <f>IF($K431="","",IFERROR(INDEX(CONFIG!$D$4:$D$43,MATCH($K431,CONFIG!$A$4:$A$43,0)),"NO"))</f>
        <v/>
      </c>
      <c r="N431" s="49" t="n"/>
      <c r="O431" s="27">
        <f>IF($N431="","",IFERROR(INDEX(CONFIG!$G$4:$G$43,MATCH($N431,CONFIG!$F$4:$F$43,0)),"Por definir"))</f>
        <v/>
      </c>
      <c r="P431" s="27">
        <f>IF($N431="","",IFERROR(INDEX(CONFIG!$H$4:$H$43,MATCH($N431,CONFIG!$F$4:$F$43,0)),"Por definir"))</f>
        <v/>
      </c>
      <c r="Q431" s="50" t="n"/>
      <c r="R431" s="51" t="n"/>
      <c r="S431" s="49" t="n"/>
      <c r="T431" s="49" t="n"/>
      <c r="U431" s="48">
        <f>IF(OR($B431="",$K431=""),"",WORKDAY($B431,IFERROR(INDEX(CONFIG!$C$4:$C$43,MATCH($K431,CONFIG!$A$4:$A$43,0)),3)))</f>
        <v/>
      </c>
      <c r="V431" s="46" t="n"/>
      <c r="W431" s="23">
        <f>IF($B431="","",IF($V431&lt;&gt;"",$V431-$B431,TODAY()-$B431))</f>
        <v/>
      </c>
      <c r="X431" s="27">
        <f>IF($C431="","",IF(IFERROR(INDEX(CONFIG!$K$4:$K$43,MATCH($S431,CONFIG!$J$4:$J$43,0)),"NO")="SÍ",IF(OR($V431="",$U431=""),"Resuelta",IF($V431&gt;$U431,"Resuelta tarde","Resuelta a tiempo")),IF($U431="","Sin clasificar",IF(TODAY()&gt;$U431,"Vencida",IF(TODAY()&gt;=$U431-1,"Por vencer","En plazo")))))</f>
        <v/>
      </c>
      <c r="Y431" s="49" t="n"/>
      <c r="Z431" s="49" t="n"/>
    </row>
    <row r="432" ht="16" customHeight="1">
      <c r="A432" s="27">
        <f>IF($C432="","","N-"&amp;TEXT(ROW()-3,"0000"))</f>
        <v/>
      </c>
      <c r="B432" s="46" t="n"/>
      <c r="C432" s="47" t="n"/>
      <c r="D432" s="27">
        <f>IF($C432="","",IF(COUNTIFS(ENVIOS!$A$4:$A$3003,$C432)=0,"NO EXISTE",IF(COUNTIFS(ENVIOS!$A$4:$A$3003,$C432)&gt;1,"DUPLICADA","OK")))</f>
        <v/>
      </c>
      <c r="E432" s="22">
        <f>IF($C432="","",IFERROR(INDEX(ENVIOS!$C$4:$C$3003,MATCH($C432,ENVIOS!$A$4:$A$3003,0)),"—"))</f>
        <v/>
      </c>
      <c r="F432" s="22">
        <f>IF($C432="","",IFERROR(INDEX(ENVIOS!$D$4:$D$3003,MATCH($C432,ENVIOS!$A$4:$A$3003,0)),"—"))</f>
        <v/>
      </c>
      <c r="G432" s="22">
        <f>IF($C432="","",IFERROR(INDEX(ENVIOS!$E$4:$E$3003,MATCH($C432,ENVIOS!$A$4:$A$3003,0)),"—"))</f>
        <v/>
      </c>
      <c r="H432" s="22">
        <f>IF($C432="","",IFERROR(INDEX(ENVIOS!$F$4:$F$3003,MATCH($C432,ENVIOS!$A$4:$A$3003,0)),"—"))</f>
        <v/>
      </c>
      <c r="I432" s="27">
        <f>IF($C432="","",IFERROR(INDEX(ENVIOS!$G$4:$G$3003,MATCH($C432,ENVIOS!$A$4:$A$3003,0)),"—"))</f>
        <v/>
      </c>
      <c r="J432" s="48">
        <f>IF($C432="","",IFERROR(INDEX(ENVIOS!$B$4:$B$3003,MATCH($C432,ENVIOS!$A$4:$A$3003,0)),""))</f>
        <v/>
      </c>
      <c r="K432" s="49" t="n"/>
      <c r="L432" s="27">
        <f>IF($K432="","",IFERROR(INDEX(CONFIG!$B$4:$B$43,MATCH($K432,CONFIG!$A$4:$A$43,0)),"Media"))</f>
        <v/>
      </c>
      <c r="M432" s="27">
        <f>IF($K432="","",IFERROR(INDEX(CONFIG!$D$4:$D$43,MATCH($K432,CONFIG!$A$4:$A$43,0)),"NO"))</f>
        <v/>
      </c>
      <c r="N432" s="49" t="n"/>
      <c r="O432" s="27">
        <f>IF($N432="","",IFERROR(INDEX(CONFIG!$G$4:$G$43,MATCH($N432,CONFIG!$F$4:$F$43,0)),"Por definir"))</f>
        <v/>
      </c>
      <c r="P432" s="27">
        <f>IF($N432="","",IFERROR(INDEX(CONFIG!$H$4:$H$43,MATCH($N432,CONFIG!$F$4:$F$43,0)),"Por definir"))</f>
        <v/>
      </c>
      <c r="Q432" s="50" t="n"/>
      <c r="R432" s="51" t="n"/>
      <c r="S432" s="49" t="n"/>
      <c r="T432" s="49" t="n"/>
      <c r="U432" s="48">
        <f>IF(OR($B432="",$K432=""),"",WORKDAY($B432,IFERROR(INDEX(CONFIG!$C$4:$C$43,MATCH($K432,CONFIG!$A$4:$A$43,0)),3)))</f>
        <v/>
      </c>
      <c r="V432" s="46" t="n"/>
      <c r="W432" s="23">
        <f>IF($B432="","",IF($V432&lt;&gt;"",$V432-$B432,TODAY()-$B432))</f>
        <v/>
      </c>
      <c r="X432" s="27">
        <f>IF($C432="","",IF(IFERROR(INDEX(CONFIG!$K$4:$K$43,MATCH($S432,CONFIG!$J$4:$J$43,0)),"NO")="SÍ",IF(OR($V432="",$U432=""),"Resuelta",IF($V432&gt;$U432,"Resuelta tarde","Resuelta a tiempo")),IF($U432="","Sin clasificar",IF(TODAY()&gt;$U432,"Vencida",IF(TODAY()&gt;=$U432-1,"Por vencer","En plazo")))))</f>
        <v/>
      </c>
      <c r="Y432" s="49" t="n"/>
      <c r="Z432" s="49" t="n"/>
    </row>
    <row r="433" ht="16" customHeight="1">
      <c r="A433" s="27">
        <f>IF($C433="","","N-"&amp;TEXT(ROW()-3,"0000"))</f>
        <v/>
      </c>
      <c r="B433" s="46" t="n"/>
      <c r="C433" s="47" t="n"/>
      <c r="D433" s="27">
        <f>IF($C433="","",IF(COUNTIFS(ENVIOS!$A$4:$A$3003,$C433)=0,"NO EXISTE",IF(COUNTIFS(ENVIOS!$A$4:$A$3003,$C433)&gt;1,"DUPLICADA","OK")))</f>
        <v/>
      </c>
      <c r="E433" s="22">
        <f>IF($C433="","",IFERROR(INDEX(ENVIOS!$C$4:$C$3003,MATCH($C433,ENVIOS!$A$4:$A$3003,0)),"—"))</f>
        <v/>
      </c>
      <c r="F433" s="22">
        <f>IF($C433="","",IFERROR(INDEX(ENVIOS!$D$4:$D$3003,MATCH($C433,ENVIOS!$A$4:$A$3003,0)),"—"))</f>
        <v/>
      </c>
      <c r="G433" s="22">
        <f>IF($C433="","",IFERROR(INDEX(ENVIOS!$E$4:$E$3003,MATCH($C433,ENVIOS!$A$4:$A$3003,0)),"—"))</f>
        <v/>
      </c>
      <c r="H433" s="22">
        <f>IF($C433="","",IFERROR(INDEX(ENVIOS!$F$4:$F$3003,MATCH($C433,ENVIOS!$A$4:$A$3003,0)),"—"))</f>
        <v/>
      </c>
      <c r="I433" s="27">
        <f>IF($C433="","",IFERROR(INDEX(ENVIOS!$G$4:$G$3003,MATCH($C433,ENVIOS!$A$4:$A$3003,0)),"—"))</f>
        <v/>
      </c>
      <c r="J433" s="48">
        <f>IF($C433="","",IFERROR(INDEX(ENVIOS!$B$4:$B$3003,MATCH($C433,ENVIOS!$A$4:$A$3003,0)),""))</f>
        <v/>
      </c>
      <c r="K433" s="49" t="n"/>
      <c r="L433" s="27">
        <f>IF($K433="","",IFERROR(INDEX(CONFIG!$B$4:$B$43,MATCH($K433,CONFIG!$A$4:$A$43,0)),"Media"))</f>
        <v/>
      </c>
      <c r="M433" s="27">
        <f>IF($K433="","",IFERROR(INDEX(CONFIG!$D$4:$D$43,MATCH($K433,CONFIG!$A$4:$A$43,0)),"NO"))</f>
        <v/>
      </c>
      <c r="N433" s="49" t="n"/>
      <c r="O433" s="27">
        <f>IF($N433="","",IFERROR(INDEX(CONFIG!$G$4:$G$43,MATCH($N433,CONFIG!$F$4:$F$43,0)),"Por definir"))</f>
        <v/>
      </c>
      <c r="P433" s="27">
        <f>IF($N433="","",IFERROR(INDEX(CONFIG!$H$4:$H$43,MATCH($N433,CONFIG!$F$4:$F$43,0)),"Por definir"))</f>
        <v/>
      </c>
      <c r="Q433" s="50" t="n"/>
      <c r="R433" s="51" t="n"/>
      <c r="S433" s="49" t="n"/>
      <c r="T433" s="49" t="n"/>
      <c r="U433" s="48">
        <f>IF(OR($B433="",$K433=""),"",WORKDAY($B433,IFERROR(INDEX(CONFIG!$C$4:$C$43,MATCH($K433,CONFIG!$A$4:$A$43,0)),3)))</f>
        <v/>
      </c>
      <c r="V433" s="46" t="n"/>
      <c r="W433" s="23">
        <f>IF($B433="","",IF($V433&lt;&gt;"",$V433-$B433,TODAY()-$B433))</f>
        <v/>
      </c>
      <c r="X433" s="27">
        <f>IF($C433="","",IF(IFERROR(INDEX(CONFIG!$K$4:$K$43,MATCH($S433,CONFIG!$J$4:$J$43,0)),"NO")="SÍ",IF(OR($V433="",$U433=""),"Resuelta",IF($V433&gt;$U433,"Resuelta tarde","Resuelta a tiempo")),IF($U433="","Sin clasificar",IF(TODAY()&gt;$U433,"Vencida",IF(TODAY()&gt;=$U433-1,"Por vencer","En plazo")))))</f>
        <v/>
      </c>
      <c r="Y433" s="49" t="n"/>
      <c r="Z433" s="49" t="n"/>
    </row>
    <row r="434" ht="16" customHeight="1">
      <c r="A434" s="27">
        <f>IF($C434="","","N-"&amp;TEXT(ROW()-3,"0000"))</f>
        <v/>
      </c>
      <c r="B434" s="46" t="n"/>
      <c r="C434" s="47" t="n"/>
      <c r="D434" s="27">
        <f>IF($C434="","",IF(COUNTIFS(ENVIOS!$A$4:$A$3003,$C434)=0,"NO EXISTE",IF(COUNTIFS(ENVIOS!$A$4:$A$3003,$C434)&gt;1,"DUPLICADA","OK")))</f>
        <v/>
      </c>
      <c r="E434" s="22">
        <f>IF($C434="","",IFERROR(INDEX(ENVIOS!$C$4:$C$3003,MATCH($C434,ENVIOS!$A$4:$A$3003,0)),"—"))</f>
        <v/>
      </c>
      <c r="F434" s="22">
        <f>IF($C434="","",IFERROR(INDEX(ENVIOS!$D$4:$D$3003,MATCH($C434,ENVIOS!$A$4:$A$3003,0)),"—"))</f>
        <v/>
      </c>
      <c r="G434" s="22">
        <f>IF($C434="","",IFERROR(INDEX(ENVIOS!$E$4:$E$3003,MATCH($C434,ENVIOS!$A$4:$A$3003,0)),"—"))</f>
        <v/>
      </c>
      <c r="H434" s="22">
        <f>IF($C434="","",IFERROR(INDEX(ENVIOS!$F$4:$F$3003,MATCH($C434,ENVIOS!$A$4:$A$3003,0)),"—"))</f>
        <v/>
      </c>
      <c r="I434" s="27">
        <f>IF($C434="","",IFERROR(INDEX(ENVIOS!$G$4:$G$3003,MATCH($C434,ENVIOS!$A$4:$A$3003,0)),"—"))</f>
        <v/>
      </c>
      <c r="J434" s="48">
        <f>IF($C434="","",IFERROR(INDEX(ENVIOS!$B$4:$B$3003,MATCH($C434,ENVIOS!$A$4:$A$3003,0)),""))</f>
        <v/>
      </c>
      <c r="K434" s="49" t="n"/>
      <c r="L434" s="27">
        <f>IF($K434="","",IFERROR(INDEX(CONFIG!$B$4:$B$43,MATCH($K434,CONFIG!$A$4:$A$43,0)),"Media"))</f>
        <v/>
      </c>
      <c r="M434" s="27">
        <f>IF($K434="","",IFERROR(INDEX(CONFIG!$D$4:$D$43,MATCH($K434,CONFIG!$A$4:$A$43,0)),"NO"))</f>
        <v/>
      </c>
      <c r="N434" s="49" t="n"/>
      <c r="O434" s="27">
        <f>IF($N434="","",IFERROR(INDEX(CONFIG!$G$4:$G$43,MATCH($N434,CONFIG!$F$4:$F$43,0)),"Por definir"))</f>
        <v/>
      </c>
      <c r="P434" s="27">
        <f>IF($N434="","",IFERROR(INDEX(CONFIG!$H$4:$H$43,MATCH($N434,CONFIG!$F$4:$F$43,0)),"Por definir"))</f>
        <v/>
      </c>
      <c r="Q434" s="50" t="n"/>
      <c r="R434" s="51" t="n"/>
      <c r="S434" s="49" t="n"/>
      <c r="T434" s="49" t="n"/>
      <c r="U434" s="48">
        <f>IF(OR($B434="",$K434=""),"",WORKDAY($B434,IFERROR(INDEX(CONFIG!$C$4:$C$43,MATCH($K434,CONFIG!$A$4:$A$43,0)),3)))</f>
        <v/>
      </c>
      <c r="V434" s="46" t="n"/>
      <c r="W434" s="23">
        <f>IF($B434="","",IF($V434&lt;&gt;"",$V434-$B434,TODAY()-$B434))</f>
        <v/>
      </c>
      <c r="X434" s="27">
        <f>IF($C434="","",IF(IFERROR(INDEX(CONFIG!$K$4:$K$43,MATCH($S434,CONFIG!$J$4:$J$43,0)),"NO")="SÍ",IF(OR($V434="",$U434=""),"Resuelta",IF($V434&gt;$U434,"Resuelta tarde","Resuelta a tiempo")),IF($U434="","Sin clasificar",IF(TODAY()&gt;$U434,"Vencida",IF(TODAY()&gt;=$U434-1,"Por vencer","En plazo")))))</f>
        <v/>
      </c>
      <c r="Y434" s="49" t="n"/>
      <c r="Z434" s="49" t="n"/>
    </row>
    <row r="435" ht="16" customHeight="1">
      <c r="A435" s="27">
        <f>IF($C435="","","N-"&amp;TEXT(ROW()-3,"0000"))</f>
        <v/>
      </c>
      <c r="B435" s="46" t="n"/>
      <c r="C435" s="47" t="n"/>
      <c r="D435" s="27">
        <f>IF($C435="","",IF(COUNTIFS(ENVIOS!$A$4:$A$3003,$C435)=0,"NO EXISTE",IF(COUNTIFS(ENVIOS!$A$4:$A$3003,$C435)&gt;1,"DUPLICADA","OK")))</f>
        <v/>
      </c>
      <c r="E435" s="22">
        <f>IF($C435="","",IFERROR(INDEX(ENVIOS!$C$4:$C$3003,MATCH($C435,ENVIOS!$A$4:$A$3003,0)),"—"))</f>
        <v/>
      </c>
      <c r="F435" s="22">
        <f>IF($C435="","",IFERROR(INDEX(ENVIOS!$D$4:$D$3003,MATCH($C435,ENVIOS!$A$4:$A$3003,0)),"—"))</f>
        <v/>
      </c>
      <c r="G435" s="22">
        <f>IF($C435="","",IFERROR(INDEX(ENVIOS!$E$4:$E$3003,MATCH($C435,ENVIOS!$A$4:$A$3003,0)),"—"))</f>
        <v/>
      </c>
      <c r="H435" s="22">
        <f>IF($C435="","",IFERROR(INDEX(ENVIOS!$F$4:$F$3003,MATCH($C435,ENVIOS!$A$4:$A$3003,0)),"—"))</f>
        <v/>
      </c>
      <c r="I435" s="27">
        <f>IF($C435="","",IFERROR(INDEX(ENVIOS!$G$4:$G$3003,MATCH($C435,ENVIOS!$A$4:$A$3003,0)),"—"))</f>
        <v/>
      </c>
      <c r="J435" s="48">
        <f>IF($C435="","",IFERROR(INDEX(ENVIOS!$B$4:$B$3003,MATCH($C435,ENVIOS!$A$4:$A$3003,0)),""))</f>
        <v/>
      </c>
      <c r="K435" s="49" t="n"/>
      <c r="L435" s="27">
        <f>IF($K435="","",IFERROR(INDEX(CONFIG!$B$4:$B$43,MATCH($K435,CONFIG!$A$4:$A$43,0)),"Media"))</f>
        <v/>
      </c>
      <c r="M435" s="27">
        <f>IF($K435="","",IFERROR(INDEX(CONFIG!$D$4:$D$43,MATCH($K435,CONFIG!$A$4:$A$43,0)),"NO"))</f>
        <v/>
      </c>
      <c r="N435" s="49" t="n"/>
      <c r="O435" s="27">
        <f>IF($N435="","",IFERROR(INDEX(CONFIG!$G$4:$G$43,MATCH($N435,CONFIG!$F$4:$F$43,0)),"Por definir"))</f>
        <v/>
      </c>
      <c r="P435" s="27">
        <f>IF($N435="","",IFERROR(INDEX(CONFIG!$H$4:$H$43,MATCH($N435,CONFIG!$F$4:$F$43,0)),"Por definir"))</f>
        <v/>
      </c>
      <c r="Q435" s="50" t="n"/>
      <c r="R435" s="51" t="n"/>
      <c r="S435" s="49" t="n"/>
      <c r="T435" s="49" t="n"/>
      <c r="U435" s="48">
        <f>IF(OR($B435="",$K435=""),"",WORKDAY($B435,IFERROR(INDEX(CONFIG!$C$4:$C$43,MATCH($K435,CONFIG!$A$4:$A$43,0)),3)))</f>
        <v/>
      </c>
      <c r="V435" s="46" t="n"/>
      <c r="W435" s="23">
        <f>IF($B435="","",IF($V435&lt;&gt;"",$V435-$B435,TODAY()-$B435))</f>
        <v/>
      </c>
      <c r="X435" s="27">
        <f>IF($C435="","",IF(IFERROR(INDEX(CONFIG!$K$4:$K$43,MATCH($S435,CONFIG!$J$4:$J$43,0)),"NO")="SÍ",IF(OR($V435="",$U435=""),"Resuelta",IF($V435&gt;$U435,"Resuelta tarde","Resuelta a tiempo")),IF($U435="","Sin clasificar",IF(TODAY()&gt;$U435,"Vencida",IF(TODAY()&gt;=$U435-1,"Por vencer","En plazo")))))</f>
        <v/>
      </c>
      <c r="Y435" s="49" t="n"/>
      <c r="Z435" s="49" t="n"/>
    </row>
    <row r="436" ht="16" customHeight="1">
      <c r="A436" s="27">
        <f>IF($C436="","","N-"&amp;TEXT(ROW()-3,"0000"))</f>
        <v/>
      </c>
      <c r="B436" s="46" t="n"/>
      <c r="C436" s="47" t="n"/>
      <c r="D436" s="27">
        <f>IF($C436="","",IF(COUNTIFS(ENVIOS!$A$4:$A$3003,$C436)=0,"NO EXISTE",IF(COUNTIFS(ENVIOS!$A$4:$A$3003,$C436)&gt;1,"DUPLICADA","OK")))</f>
        <v/>
      </c>
      <c r="E436" s="22">
        <f>IF($C436="","",IFERROR(INDEX(ENVIOS!$C$4:$C$3003,MATCH($C436,ENVIOS!$A$4:$A$3003,0)),"—"))</f>
        <v/>
      </c>
      <c r="F436" s="22">
        <f>IF($C436="","",IFERROR(INDEX(ENVIOS!$D$4:$D$3003,MATCH($C436,ENVIOS!$A$4:$A$3003,0)),"—"))</f>
        <v/>
      </c>
      <c r="G436" s="22">
        <f>IF($C436="","",IFERROR(INDEX(ENVIOS!$E$4:$E$3003,MATCH($C436,ENVIOS!$A$4:$A$3003,0)),"—"))</f>
        <v/>
      </c>
      <c r="H436" s="22">
        <f>IF($C436="","",IFERROR(INDEX(ENVIOS!$F$4:$F$3003,MATCH($C436,ENVIOS!$A$4:$A$3003,0)),"—"))</f>
        <v/>
      </c>
      <c r="I436" s="27">
        <f>IF($C436="","",IFERROR(INDEX(ENVIOS!$G$4:$G$3003,MATCH($C436,ENVIOS!$A$4:$A$3003,0)),"—"))</f>
        <v/>
      </c>
      <c r="J436" s="48">
        <f>IF($C436="","",IFERROR(INDEX(ENVIOS!$B$4:$B$3003,MATCH($C436,ENVIOS!$A$4:$A$3003,0)),""))</f>
        <v/>
      </c>
      <c r="K436" s="49" t="n"/>
      <c r="L436" s="27">
        <f>IF($K436="","",IFERROR(INDEX(CONFIG!$B$4:$B$43,MATCH($K436,CONFIG!$A$4:$A$43,0)),"Media"))</f>
        <v/>
      </c>
      <c r="M436" s="27">
        <f>IF($K436="","",IFERROR(INDEX(CONFIG!$D$4:$D$43,MATCH($K436,CONFIG!$A$4:$A$43,0)),"NO"))</f>
        <v/>
      </c>
      <c r="N436" s="49" t="n"/>
      <c r="O436" s="27">
        <f>IF($N436="","",IFERROR(INDEX(CONFIG!$G$4:$G$43,MATCH($N436,CONFIG!$F$4:$F$43,0)),"Por definir"))</f>
        <v/>
      </c>
      <c r="P436" s="27">
        <f>IF($N436="","",IFERROR(INDEX(CONFIG!$H$4:$H$43,MATCH($N436,CONFIG!$F$4:$F$43,0)),"Por definir"))</f>
        <v/>
      </c>
      <c r="Q436" s="50" t="n"/>
      <c r="R436" s="51" t="n"/>
      <c r="S436" s="49" t="n"/>
      <c r="T436" s="49" t="n"/>
      <c r="U436" s="48">
        <f>IF(OR($B436="",$K436=""),"",WORKDAY($B436,IFERROR(INDEX(CONFIG!$C$4:$C$43,MATCH($K436,CONFIG!$A$4:$A$43,0)),3)))</f>
        <v/>
      </c>
      <c r="V436" s="46" t="n"/>
      <c r="W436" s="23">
        <f>IF($B436="","",IF($V436&lt;&gt;"",$V436-$B436,TODAY()-$B436))</f>
        <v/>
      </c>
      <c r="X436" s="27">
        <f>IF($C436="","",IF(IFERROR(INDEX(CONFIG!$K$4:$K$43,MATCH($S436,CONFIG!$J$4:$J$43,0)),"NO")="SÍ",IF(OR($V436="",$U436=""),"Resuelta",IF($V436&gt;$U436,"Resuelta tarde","Resuelta a tiempo")),IF($U436="","Sin clasificar",IF(TODAY()&gt;$U436,"Vencida",IF(TODAY()&gt;=$U436-1,"Por vencer","En plazo")))))</f>
        <v/>
      </c>
      <c r="Y436" s="49" t="n"/>
      <c r="Z436" s="49" t="n"/>
    </row>
    <row r="437" ht="16" customHeight="1">
      <c r="A437" s="27">
        <f>IF($C437="","","N-"&amp;TEXT(ROW()-3,"0000"))</f>
        <v/>
      </c>
      <c r="B437" s="46" t="n"/>
      <c r="C437" s="47" t="n"/>
      <c r="D437" s="27">
        <f>IF($C437="","",IF(COUNTIFS(ENVIOS!$A$4:$A$3003,$C437)=0,"NO EXISTE",IF(COUNTIFS(ENVIOS!$A$4:$A$3003,$C437)&gt;1,"DUPLICADA","OK")))</f>
        <v/>
      </c>
      <c r="E437" s="22">
        <f>IF($C437="","",IFERROR(INDEX(ENVIOS!$C$4:$C$3003,MATCH($C437,ENVIOS!$A$4:$A$3003,0)),"—"))</f>
        <v/>
      </c>
      <c r="F437" s="22">
        <f>IF($C437="","",IFERROR(INDEX(ENVIOS!$D$4:$D$3003,MATCH($C437,ENVIOS!$A$4:$A$3003,0)),"—"))</f>
        <v/>
      </c>
      <c r="G437" s="22">
        <f>IF($C437="","",IFERROR(INDEX(ENVIOS!$E$4:$E$3003,MATCH($C437,ENVIOS!$A$4:$A$3003,0)),"—"))</f>
        <v/>
      </c>
      <c r="H437" s="22">
        <f>IF($C437="","",IFERROR(INDEX(ENVIOS!$F$4:$F$3003,MATCH($C437,ENVIOS!$A$4:$A$3003,0)),"—"))</f>
        <v/>
      </c>
      <c r="I437" s="27">
        <f>IF($C437="","",IFERROR(INDEX(ENVIOS!$G$4:$G$3003,MATCH($C437,ENVIOS!$A$4:$A$3003,0)),"—"))</f>
        <v/>
      </c>
      <c r="J437" s="48">
        <f>IF($C437="","",IFERROR(INDEX(ENVIOS!$B$4:$B$3003,MATCH($C437,ENVIOS!$A$4:$A$3003,0)),""))</f>
        <v/>
      </c>
      <c r="K437" s="49" t="n"/>
      <c r="L437" s="27">
        <f>IF($K437="","",IFERROR(INDEX(CONFIG!$B$4:$B$43,MATCH($K437,CONFIG!$A$4:$A$43,0)),"Media"))</f>
        <v/>
      </c>
      <c r="M437" s="27">
        <f>IF($K437="","",IFERROR(INDEX(CONFIG!$D$4:$D$43,MATCH($K437,CONFIG!$A$4:$A$43,0)),"NO"))</f>
        <v/>
      </c>
      <c r="N437" s="49" t="n"/>
      <c r="O437" s="27">
        <f>IF($N437="","",IFERROR(INDEX(CONFIG!$G$4:$G$43,MATCH($N437,CONFIG!$F$4:$F$43,0)),"Por definir"))</f>
        <v/>
      </c>
      <c r="P437" s="27">
        <f>IF($N437="","",IFERROR(INDEX(CONFIG!$H$4:$H$43,MATCH($N437,CONFIG!$F$4:$F$43,0)),"Por definir"))</f>
        <v/>
      </c>
      <c r="Q437" s="50" t="n"/>
      <c r="R437" s="51" t="n"/>
      <c r="S437" s="49" t="n"/>
      <c r="T437" s="49" t="n"/>
      <c r="U437" s="48">
        <f>IF(OR($B437="",$K437=""),"",WORKDAY($B437,IFERROR(INDEX(CONFIG!$C$4:$C$43,MATCH($K437,CONFIG!$A$4:$A$43,0)),3)))</f>
        <v/>
      </c>
      <c r="V437" s="46" t="n"/>
      <c r="W437" s="23">
        <f>IF($B437="","",IF($V437&lt;&gt;"",$V437-$B437,TODAY()-$B437))</f>
        <v/>
      </c>
      <c r="X437" s="27">
        <f>IF($C437="","",IF(IFERROR(INDEX(CONFIG!$K$4:$K$43,MATCH($S437,CONFIG!$J$4:$J$43,0)),"NO")="SÍ",IF(OR($V437="",$U437=""),"Resuelta",IF($V437&gt;$U437,"Resuelta tarde","Resuelta a tiempo")),IF($U437="","Sin clasificar",IF(TODAY()&gt;$U437,"Vencida",IF(TODAY()&gt;=$U437-1,"Por vencer","En plazo")))))</f>
        <v/>
      </c>
      <c r="Y437" s="49" t="n"/>
      <c r="Z437" s="49" t="n"/>
    </row>
    <row r="438" ht="16" customHeight="1">
      <c r="A438" s="27">
        <f>IF($C438="","","N-"&amp;TEXT(ROW()-3,"0000"))</f>
        <v/>
      </c>
      <c r="B438" s="46" t="n"/>
      <c r="C438" s="47" t="n"/>
      <c r="D438" s="27">
        <f>IF($C438="","",IF(COUNTIFS(ENVIOS!$A$4:$A$3003,$C438)=0,"NO EXISTE",IF(COUNTIFS(ENVIOS!$A$4:$A$3003,$C438)&gt;1,"DUPLICADA","OK")))</f>
        <v/>
      </c>
      <c r="E438" s="22">
        <f>IF($C438="","",IFERROR(INDEX(ENVIOS!$C$4:$C$3003,MATCH($C438,ENVIOS!$A$4:$A$3003,0)),"—"))</f>
        <v/>
      </c>
      <c r="F438" s="22">
        <f>IF($C438="","",IFERROR(INDEX(ENVIOS!$D$4:$D$3003,MATCH($C438,ENVIOS!$A$4:$A$3003,0)),"—"))</f>
        <v/>
      </c>
      <c r="G438" s="22">
        <f>IF($C438="","",IFERROR(INDEX(ENVIOS!$E$4:$E$3003,MATCH($C438,ENVIOS!$A$4:$A$3003,0)),"—"))</f>
        <v/>
      </c>
      <c r="H438" s="22">
        <f>IF($C438="","",IFERROR(INDEX(ENVIOS!$F$4:$F$3003,MATCH($C438,ENVIOS!$A$4:$A$3003,0)),"—"))</f>
        <v/>
      </c>
      <c r="I438" s="27">
        <f>IF($C438="","",IFERROR(INDEX(ENVIOS!$G$4:$G$3003,MATCH($C438,ENVIOS!$A$4:$A$3003,0)),"—"))</f>
        <v/>
      </c>
      <c r="J438" s="48">
        <f>IF($C438="","",IFERROR(INDEX(ENVIOS!$B$4:$B$3003,MATCH($C438,ENVIOS!$A$4:$A$3003,0)),""))</f>
        <v/>
      </c>
      <c r="K438" s="49" t="n"/>
      <c r="L438" s="27">
        <f>IF($K438="","",IFERROR(INDEX(CONFIG!$B$4:$B$43,MATCH($K438,CONFIG!$A$4:$A$43,0)),"Media"))</f>
        <v/>
      </c>
      <c r="M438" s="27">
        <f>IF($K438="","",IFERROR(INDEX(CONFIG!$D$4:$D$43,MATCH($K438,CONFIG!$A$4:$A$43,0)),"NO"))</f>
        <v/>
      </c>
      <c r="N438" s="49" t="n"/>
      <c r="O438" s="27">
        <f>IF($N438="","",IFERROR(INDEX(CONFIG!$G$4:$G$43,MATCH($N438,CONFIG!$F$4:$F$43,0)),"Por definir"))</f>
        <v/>
      </c>
      <c r="P438" s="27">
        <f>IF($N438="","",IFERROR(INDEX(CONFIG!$H$4:$H$43,MATCH($N438,CONFIG!$F$4:$F$43,0)),"Por definir"))</f>
        <v/>
      </c>
      <c r="Q438" s="50" t="n"/>
      <c r="R438" s="51" t="n"/>
      <c r="S438" s="49" t="n"/>
      <c r="T438" s="49" t="n"/>
      <c r="U438" s="48">
        <f>IF(OR($B438="",$K438=""),"",WORKDAY($B438,IFERROR(INDEX(CONFIG!$C$4:$C$43,MATCH($K438,CONFIG!$A$4:$A$43,0)),3)))</f>
        <v/>
      </c>
      <c r="V438" s="46" t="n"/>
      <c r="W438" s="23">
        <f>IF($B438="","",IF($V438&lt;&gt;"",$V438-$B438,TODAY()-$B438))</f>
        <v/>
      </c>
      <c r="X438" s="27">
        <f>IF($C438="","",IF(IFERROR(INDEX(CONFIG!$K$4:$K$43,MATCH($S438,CONFIG!$J$4:$J$43,0)),"NO")="SÍ",IF(OR($V438="",$U438=""),"Resuelta",IF($V438&gt;$U438,"Resuelta tarde","Resuelta a tiempo")),IF($U438="","Sin clasificar",IF(TODAY()&gt;$U438,"Vencida",IF(TODAY()&gt;=$U438-1,"Por vencer","En plazo")))))</f>
        <v/>
      </c>
      <c r="Y438" s="49" t="n"/>
      <c r="Z438" s="49" t="n"/>
    </row>
    <row r="439" ht="16" customHeight="1">
      <c r="A439" s="27">
        <f>IF($C439="","","N-"&amp;TEXT(ROW()-3,"0000"))</f>
        <v/>
      </c>
      <c r="B439" s="46" t="n"/>
      <c r="C439" s="47" t="n"/>
      <c r="D439" s="27">
        <f>IF($C439="","",IF(COUNTIFS(ENVIOS!$A$4:$A$3003,$C439)=0,"NO EXISTE",IF(COUNTIFS(ENVIOS!$A$4:$A$3003,$C439)&gt;1,"DUPLICADA","OK")))</f>
        <v/>
      </c>
      <c r="E439" s="22">
        <f>IF($C439="","",IFERROR(INDEX(ENVIOS!$C$4:$C$3003,MATCH($C439,ENVIOS!$A$4:$A$3003,0)),"—"))</f>
        <v/>
      </c>
      <c r="F439" s="22">
        <f>IF($C439="","",IFERROR(INDEX(ENVIOS!$D$4:$D$3003,MATCH($C439,ENVIOS!$A$4:$A$3003,0)),"—"))</f>
        <v/>
      </c>
      <c r="G439" s="22">
        <f>IF($C439="","",IFERROR(INDEX(ENVIOS!$E$4:$E$3003,MATCH($C439,ENVIOS!$A$4:$A$3003,0)),"—"))</f>
        <v/>
      </c>
      <c r="H439" s="22">
        <f>IF($C439="","",IFERROR(INDEX(ENVIOS!$F$4:$F$3003,MATCH($C439,ENVIOS!$A$4:$A$3003,0)),"—"))</f>
        <v/>
      </c>
      <c r="I439" s="27">
        <f>IF($C439="","",IFERROR(INDEX(ENVIOS!$G$4:$G$3003,MATCH($C439,ENVIOS!$A$4:$A$3003,0)),"—"))</f>
        <v/>
      </c>
      <c r="J439" s="48">
        <f>IF($C439="","",IFERROR(INDEX(ENVIOS!$B$4:$B$3003,MATCH($C439,ENVIOS!$A$4:$A$3003,0)),""))</f>
        <v/>
      </c>
      <c r="K439" s="49" t="n"/>
      <c r="L439" s="27">
        <f>IF($K439="","",IFERROR(INDEX(CONFIG!$B$4:$B$43,MATCH($K439,CONFIG!$A$4:$A$43,0)),"Media"))</f>
        <v/>
      </c>
      <c r="M439" s="27">
        <f>IF($K439="","",IFERROR(INDEX(CONFIG!$D$4:$D$43,MATCH($K439,CONFIG!$A$4:$A$43,0)),"NO"))</f>
        <v/>
      </c>
      <c r="N439" s="49" t="n"/>
      <c r="O439" s="27">
        <f>IF($N439="","",IFERROR(INDEX(CONFIG!$G$4:$G$43,MATCH($N439,CONFIG!$F$4:$F$43,0)),"Por definir"))</f>
        <v/>
      </c>
      <c r="P439" s="27">
        <f>IF($N439="","",IFERROR(INDEX(CONFIG!$H$4:$H$43,MATCH($N439,CONFIG!$F$4:$F$43,0)),"Por definir"))</f>
        <v/>
      </c>
      <c r="Q439" s="50" t="n"/>
      <c r="R439" s="51" t="n"/>
      <c r="S439" s="49" t="n"/>
      <c r="T439" s="49" t="n"/>
      <c r="U439" s="48">
        <f>IF(OR($B439="",$K439=""),"",WORKDAY($B439,IFERROR(INDEX(CONFIG!$C$4:$C$43,MATCH($K439,CONFIG!$A$4:$A$43,0)),3)))</f>
        <v/>
      </c>
      <c r="V439" s="46" t="n"/>
      <c r="W439" s="23">
        <f>IF($B439="","",IF($V439&lt;&gt;"",$V439-$B439,TODAY()-$B439))</f>
        <v/>
      </c>
      <c r="X439" s="27">
        <f>IF($C439="","",IF(IFERROR(INDEX(CONFIG!$K$4:$K$43,MATCH($S439,CONFIG!$J$4:$J$43,0)),"NO")="SÍ",IF(OR($V439="",$U439=""),"Resuelta",IF($V439&gt;$U439,"Resuelta tarde","Resuelta a tiempo")),IF($U439="","Sin clasificar",IF(TODAY()&gt;$U439,"Vencida",IF(TODAY()&gt;=$U439-1,"Por vencer","En plazo")))))</f>
        <v/>
      </c>
      <c r="Y439" s="49" t="n"/>
      <c r="Z439" s="49" t="n"/>
    </row>
    <row r="440" ht="16" customHeight="1">
      <c r="A440" s="27">
        <f>IF($C440="","","N-"&amp;TEXT(ROW()-3,"0000"))</f>
        <v/>
      </c>
      <c r="B440" s="46" t="n"/>
      <c r="C440" s="47" t="n"/>
      <c r="D440" s="27">
        <f>IF($C440="","",IF(COUNTIFS(ENVIOS!$A$4:$A$3003,$C440)=0,"NO EXISTE",IF(COUNTIFS(ENVIOS!$A$4:$A$3003,$C440)&gt;1,"DUPLICADA","OK")))</f>
        <v/>
      </c>
      <c r="E440" s="22">
        <f>IF($C440="","",IFERROR(INDEX(ENVIOS!$C$4:$C$3003,MATCH($C440,ENVIOS!$A$4:$A$3003,0)),"—"))</f>
        <v/>
      </c>
      <c r="F440" s="22">
        <f>IF($C440="","",IFERROR(INDEX(ENVIOS!$D$4:$D$3003,MATCH($C440,ENVIOS!$A$4:$A$3003,0)),"—"))</f>
        <v/>
      </c>
      <c r="G440" s="22">
        <f>IF($C440="","",IFERROR(INDEX(ENVIOS!$E$4:$E$3003,MATCH($C440,ENVIOS!$A$4:$A$3003,0)),"—"))</f>
        <v/>
      </c>
      <c r="H440" s="22">
        <f>IF($C440="","",IFERROR(INDEX(ENVIOS!$F$4:$F$3003,MATCH($C440,ENVIOS!$A$4:$A$3003,0)),"—"))</f>
        <v/>
      </c>
      <c r="I440" s="27">
        <f>IF($C440="","",IFERROR(INDEX(ENVIOS!$G$4:$G$3003,MATCH($C440,ENVIOS!$A$4:$A$3003,0)),"—"))</f>
        <v/>
      </c>
      <c r="J440" s="48">
        <f>IF($C440="","",IFERROR(INDEX(ENVIOS!$B$4:$B$3003,MATCH($C440,ENVIOS!$A$4:$A$3003,0)),""))</f>
        <v/>
      </c>
      <c r="K440" s="49" t="n"/>
      <c r="L440" s="27">
        <f>IF($K440="","",IFERROR(INDEX(CONFIG!$B$4:$B$43,MATCH($K440,CONFIG!$A$4:$A$43,0)),"Media"))</f>
        <v/>
      </c>
      <c r="M440" s="27">
        <f>IF($K440="","",IFERROR(INDEX(CONFIG!$D$4:$D$43,MATCH($K440,CONFIG!$A$4:$A$43,0)),"NO"))</f>
        <v/>
      </c>
      <c r="N440" s="49" t="n"/>
      <c r="O440" s="27">
        <f>IF($N440="","",IFERROR(INDEX(CONFIG!$G$4:$G$43,MATCH($N440,CONFIG!$F$4:$F$43,0)),"Por definir"))</f>
        <v/>
      </c>
      <c r="P440" s="27">
        <f>IF($N440="","",IFERROR(INDEX(CONFIG!$H$4:$H$43,MATCH($N440,CONFIG!$F$4:$F$43,0)),"Por definir"))</f>
        <v/>
      </c>
      <c r="Q440" s="50" t="n"/>
      <c r="R440" s="51" t="n"/>
      <c r="S440" s="49" t="n"/>
      <c r="T440" s="49" t="n"/>
      <c r="U440" s="48">
        <f>IF(OR($B440="",$K440=""),"",WORKDAY($B440,IFERROR(INDEX(CONFIG!$C$4:$C$43,MATCH($K440,CONFIG!$A$4:$A$43,0)),3)))</f>
        <v/>
      </c>
      <c r="V440" s="46" t="n"/>
      <c r="W440" s="23">
        <f>IF($B440="","",IF($V440&lt;&gt;"",$V440-$B440,TODAY()-$B440))</f>
        <v/>
      </c>
      <c r="X440" s="27">
        <f>IF($C440="","",IF(IFERROR(INDEX(CONFIG!$K$4:$K$43,MATCH($S440,CONFIG!$J$4:$J$43,0)),"NO")="SÍ",IF(OR($V440="",$U440=""),"Resuelta",IF($V440&gt;$U440,"Resuelta tarde","Resuelta a tiempo")),IF($U440="","Sin clasificar",IF(TODAY()&gt;$U440,"Vencida",IF(TODAY()&gt;=$U440-1,"Por vencer","En plazo")))))</f>
        <v/>
      </c>
      <c r="Y440" s="49" t="n"/>
      <c r="Z440" s="49" t="n"/>
    </row>
    <row r="441" ht="16" customHeight="1">
      <c r="A441" s="27">
        <f>IF($C441="","","N-"&amp;TEXT(ROW()-3,"0000"))</f>
        <v/>
      </c>
      <c r="B441" s="46" t="n"/>
      <c r="C441" s="47" t="n"/>
      <c r="D441" s="27">
        <f>IF($C441="","",IF(COUNTIFS(ENVIOS!$A$4:$A$3003,$C441)=0,"NO EXISTE",IF(COUNTIFS(ENVIOS!$A$4:$A$3003,$C441)&gt;1,"DUPLICADA","OK")))</f>
        <v/>
      </c>
      <c r="E441" s="22">
        <f>IF($C441="","",IFERROR(INDEX(ENVIOS!$C$4:$C$3003,MATCH($C441,ENVIOS!$A$4:$A$3003,0)),"—"))</f>
        <v/>
      </c>
      <c r="F441" s="22">
        <f>IF($C441="","",IFERROR(INDEX(ENVIOS!$D$4:$D$3003,MATCH($C441,ENVIOS!$A$4:$A$3003,0)),"—"))</f>
        <v/>
      </c>
      <c r="G441" s="22">
        <f>IF($C441="","",IFERROR(INDEX(ENVIOS!$E$4:$E$3003,MATCH($C441,ENVIOS!$A$4:$A$3003,0)),"—"))</f>
        <v/>
      </c>
      <c r="H441" s="22">
        <f>IF($C441="","",IFERROR(INDEX(ENVIOS!$F$4:$F$3003,MATCH($C441,ENVIOS!$A$4:$A$3003,0)),"—"))</f>
        <v/>
      </c>
      <c r="I441" s="27">
        <f>IF($C441="","",IFERROR(INDEX(ENVIOS!$G$4:$G$3003,MATCH($C441,ENVIOS!$A$4:$A$3003,0)),"—"))</f>
        <v/>
      </c>
      <c r="J441" s="48">
        <f>IF($C441="","",IFERROR(INDEX(ENVIOS!$B$4:$B$3003,MATCH($C441,ENVIOS!$A$4:$A$3003,0)),""))</f>
        <v/>
      </c>
      <c r="K441" s="49" t="n"/>
      <c r="L441" s="27">
        <f>IF($K441="","",IFERROR(INDEX(CONFIG!$B$4:$B$43,MATCH($K441,CONFIG!$A$4:$A$43,0)),"Media"))</f>
        <v/>
      </c>
      <c r="M441" s="27">
        <f>IF($K441="","",IFERROR(INDEX(CONFIG!$D$4:$D$43,MATCH($K441,CONFIG!$A$4:$A$43,0)),"NO"))</f>
        <v/>
      </c>
      <c r="N441" s="49" t="n"/>
      <c r="O441" s="27">
        <f>IF($N441="","",IFERROR(INDEX(CONFIG!$G$4:$G$43,MATCH($N441,CONFIG!$F$4:$F$43,0)),"Por definir"))</f>
        <v/>
      </c>
      <c r="P441" s="27">
        <f>IF($N441="","",IFERROR(INDEX(CONFIG!$H$4:$H$43,MATCH($N441,CONFIG!$F$4:$F$43,0)),"Por definir"))</f>
        <v/>
      </c>
      <c r="Q441" s="50" t="n"/>
      <c r="R441" s="51" t="n"/>
      <c r="S441" s="49" t="n"/>
      <c r="T441" s="49" t="n"/>
      <c r="U441" s="48">
        <f>IF(OR($B441="",$K441=""),"",WORKDAY($B441,IFERROR(INDEX(CONFIG!$C$4:$C$43,MATCH($K441,CONFIG!$A$4:$A$43,0)),3)))</f>
        <v/>
      </c>
      <c r="V441" s="46" t="n"/>
      <c r="W441" s="23">
        <f>IF($B441="","",IF($V441&lt;&gt;"",$V441-$B441,TODAY()-$B441))</f>
        <v/>
      </c>
      <c r="X441" s="27">
        <f>IF($C441="","",IF(IFERROR(INDEX(CONFIG!$K$4:$K$43,MATCH($S441,CONFIG!$J$4:$J$43,0)),"NO")="SÍ",IF(OR($V441="",$U441=""),"Resuelta",IF($V441&gt;$U441,"Resuelta tarde","Resuelta a tiempo")),IF($U441="","Sin clasificar",IF(TODAY()&gt;$U441,"Vencida",IF(TODAY()&gt;=$U441-1,"Por vencer","En plazo")))))</f>
        <v/>
      </c>
      <c r="Y441" s="49" t="n"/>
      <c r="Z441" s="49" t="n"/>
    </row>
    <row r="442" ht="16" customHeight="1">
      <c r="A442" s="27">
        <f>IF($C442="","","N-"&amp;TEXT(ROW()-3,"0000"))</f>
        <v/>
      </c>
      <c r="B442" s="46" t="n"/>
      <c r="C442" s="47" t="n"/>
      <c r="D442" s="27">
        <f>IF($C442="","",IF(COUNTIFS(ENVIOS!$A$4:$A$3003,$C442)=0,"NO EXISTE",IF(COUNTIFS(ENVIOS!$A$4:$A$3003,$C442)&gt;1,"DUPLICADA","OK")))</f>
        <v/>
      </c>
      <c r="E442" s="22">
        <f>IF($C442="","",IFERROR(INDEX(ENVIOS!$C$4:$C$3003,MATCH($C442,ENVIOS!$A$4:$A$3003,0)),"—"))</f>
        <v/>
      </c>
      <c r="F442" s="22">
        <f>IF($C442="","",IFERROR(INDEX(ENVIOS!$D$4:$D$3003,MATCH($C442,ENVIOS!$A$4:$A$3003,0)),"—"))</f>
        <v/>
      </c>
      <c r="G442" s="22">
        <f>IF($C442="","",IFERROR(INDEX(ENVIOS!$E$4:$E$3003,MATCH($C442,ENVIOS!$A$4:$A$3003,0)),"—"))</f>
        <v/>
      </c>
      <c r="H442" s="22">
        <f>IF($C442="","",IFERROR(INDEX(ENVIOS!$F$4:$F$3003,MATCH($C442,ENVIOS!$A$4:$A$3003,0)),"—"))</f>
        <v/>
      </c>
      <c r="I442" s="27">
        <f>IF($C442="","",IFERROR(INDEX(ENVIOS!$G$4:$G$3003,MATCH($C442,ENVIOS!$A$4:$A$3003,0)),"—"))</f>
        <v/>
      </c>
      <c r="J442" s="48">
        <f>IF($C442="","",IFERROR(INDEX(ENVIOS!$B$4:$B$3003,MATCH($C442,ENVIOS!$A$4:$A$3003,0)),""))</f>
        <v/>
      </c>
      <c r="K442" s="49" t="n"/>
      <c r="L442" s="27">
        <f>IF($K442="","",IFERROR(INDEX(CONFIG!$B$4:$B$43,MATCH($K442,CONFIG!$A$4:$A$43,0)),"Media"))</f>
        <v/>
      </c>
      <c r="M442" s="27">
        <f>IF($K442="","",IFERROR(INDEX(CONFIG!$D$4:$D$43,MATCH($K442,CONFIG!$A$4:$A$43,0)),"NO"))</f>
        <v/>
      </c>
      <c r="N442" s="49" t="n"/>
      <c r="O442" s="27">
        <f>IF($N442="","",IFERROR(INDEX(CONFIG!$G$4:$G$43,MATCH($N442,CONFIG!$F$4:$F$43,0)),"Por definir"))</f>
        <v/>
      </c>
      <c r="P442" s="27">
        <f>IF($N442="","",IFERROR(INDEX(CONFIG!$H$4:$H$43,MATCH($N442,CONFIG!$F$4:$F$43,0)),"Por definir"))</f>
        <v/>
      </c>
      <c r="Q442" s="50" t="n"/>
      <c r="R442" s="51" t="n"/>
      <c r="S442" s="49" t="n"/>
      <c r="T442" s="49" t="n"/>
      <c r="U442" s="48">
        <f>IF(OR($B442="",$K442=""),"",WORKDAY($B442,IFERROR(INDEX(CONFIG!$C$4:$C$43,MATCH($K442,CONFIG!$A$4:$A$43,0)),3)))</f>
        <v/>
      </c>
      <c r="V442" s="46" t="n"/>
      <c r="W442" s="23">
        <f>IF($B442="","",IF($V442&lt;&gt;"",$V442-$B442,TODAY()-$B442))</f>
        <v/>
      </c>
      <c r="X442" s="27">
        <f>IF($C442="","",IF(IFERROR(INDEX(CONFIG!$K$4:$K$43,MATCH($S442,CONFIG!$J$4:$J$43,0)),"NO")="SÍ",IF(OR($V442="",$U442=""),"Resuelta",IF($V442&gt;$U442,"Resuelta tarde","Resuelta a tiempo")),IF($U442="","Sin clasificar",IF(TODAY()&gt;$U442,"Vencida",IF(TODAY()&gt;=$U442-1,"Por vencer","En plazo")))))</f>
        <v/>
      </c>
      <c r="Y442" s="49" t="n"/>
      <c r="Z442" s="49" t="n"/>
    </row>
    <row r="443" ht="16" customHeight="1">
      <c r="A443" s="27">
        <f>IF($C443="","","N-"&amp;TEXT(ROW()-3,"0000"))</f>
        <v/>
      </c>
      <c r="B443" s="46" t="n"/>
      <c r="C443" s="47" t="n"/>
      <c r="D443" s="27">
        <f>IF($C443="","",IF(COUNTIFS(ENVIOS!$A$4:$A$3003,$C443)=0,"NO EXISTE",IF(COUNTIFS(ENVIOS!$A$4:$A$3003,$C443)&gt;1,"DUPLICADA","OK")))</f>
        <v/>
      </c>
      <c r="E443" s="22">
        <f>IF($C443="","",IFERROR(INDEX(ENVIOS!$C$4:$C$3003,MATCH($C443,ENVIOS!$A$4:$A$3003,0)),"—"))</f>
        <v/>
      </c>
      <c r="F443" s="22">
        <f>IF($C443="","",IFERROR(INDEX(ENVIOS!$D$4:$D$3003,MATCH($C443,ENVIOS!$A$4:$A$3003,0)),"—"))</f>
        <v/>
      </c>
      <c r="G443" s="22">
        <f>IF($C443="","",IFERROR(INDEX(ENVIOS!$E$4:$E$3003,MATCH($C443,ENVIOS!$A$4:$A$3003,0)),"—"))</f>
        <v/>
      </c>
      <c r="H443" s="22">
        <f>IF($C443="","",IFERROR(INDEX(ENVIOS!$F$4:$F$3003,MATCH($C443,ENVIOS!$A$4:$A$3003,0)),"—"))</f>
        <v/>
      </c>
      <c r="I443" s="27">
        <f>IF($C443="","",IFERROR(INDEX(ENVIOS!$G$4:$G$3003,MATCH($C443,ENVIOS!$A$4:$A$3003,0)),"—"))</f>
        <v/>
      </c>
      <c r="J443" s="48">
        <f>IF($C443="","",IFERROR(INDEX(ENVIOS!$B$4:$B$3003,MATCH($C443,ENVIOS!$A$4:$A$3003,0)),""))</f>
        <v/>
      </c>
      <c r="K443" s="49" t="n"/>
      <c r="L443" s="27">
        <f>IF($K443="","",IFERROR(INDEX(CONFIG!$B$4:$B$43,MATCH($K443,CONFIG!$A$4:$A$43,0)),"Media"))</f>
        <v/>
      </c>
      <c r="M443" s="27">
        <f>IF($K443="","",IFERROR(INDEX(CONFIG!$D$4:$D$43,MATCH($K443,CONFIG!$A$4:$A$43,0)),"NO"))</f>
        <v/>
      </c>
      <c r="N443" s="49" t="n"/>
      <c r="O443" s="27">
        <f>IF($N443="","",IFERROR(INDEX(CONFIG!$G$4:$G$43,MATCH($N443,CONFIG!$F$4:$F$43,0)),"Por definir"))</f>
        <v/>
      </c>
      <c r="P443" s="27">
        <f>IF($N443="","",IFERROR(INDEX(CONFIG!$H$4:$H$43,MATCH($N443,CONFIG!$F$4:$F$43,0)),"Por definir"))</f>
        <v/>
      </c>
      <c r="Q443" s="50" t="n"/>
      <c r="R443" s="51" t="n"/>
      <c r="S443" s="49" t="n"/>
      <c r="T443" s="49" t="n"/>
      <c r="U443" s="48">
        <f>IF(OR($B443="",$K443=""),"",WORKDAY($B443,IFERROR(INDEX(CONFIG!$C$4:$C$43,MATCH($K443,CONFIG!$A$4:$A$43,0)),3)))</f>
        <v/>
      </c>
      <c r="V443" s="46" t="n"/>
      <c r="W443" s="23">
        <f>IF($B443="","",IF($V443&lt;&gt;"",$V443-$B443,TODAY()-$B443))</f>
        <v/>
      </c>
      <c r="X443" s="27">
        <f>IF($C443="","",IF(IFERROR(INDEX(CONFIG!$K$4:$K$43,MATCH($S443,CONFIG!$J$4:$J$43,0)),"NO")="SÍ",IF(OR($V443="",$U443=""),"Resuelta",IF($V443&gt;$U443,"Resuelta tarde","Resuelta a tiempo")),IF($U443="","Sin clasificar",IF(TODAY()&gt;$U443,"Vencida",IF(TODAY()&gt;=$U443-1,"Por vencer","En plazo")))))</f>
        <v/>
      </c>
      <c r="Y443" s="49" t="n"/>
      <c r="Z443" s="49" t="n"/>
    </row>
    <row r="444" ht="16" customHeight="1">
      <c r="A444" s="27">
        <f>IF($C444="","","N-"&amp;TEXT(ROW()-3,"0000"))</f>
        <v/>
      </c>
      <c r="B444" s="46" t="n"/>
      <c r="C444" s="47" t="n"/>
      <c r="D444" s="27">
        <f>IF($C444="","",IF(COUNTIFS(ENVIOS!$A$4:$A$3003,$C444)=0,"NO EXISTE",IF(COUNTIFS(ENVIOS!$A$4:$A$3003,$C444)&gt;1,"DUPLICADA","OK")))</f>
        <v/>
      </c>
      <c r="E444" s="22">
        <f>IF($C444="","",IFERROR(INDEX(ENVIOS!$C$4:$C$3003,MATCH($C444,ENVIOS!$A$4:$A$3003,0)),"—"))</f>
        <v/>
      </c>
      <c r="F444" s="22">
        <f>IF($C444="","",IFERROR(INDEX(ENVIOS!$D$4:$D$3003,MATCH($C444,ENVIOS!$A$4:$A$3003,0)),"—"))</f>
        <v/>
      </c>
      <c r="G444" s="22">
        <f>IF($C444="","",IFERROR(INDEX(ENVIOS!$E$4:$E$3003,MATCH($C444,ENVIOS!$A$4:$A$3003,0)),"—"))</f>
        <v/>
      </c>
      <c r="H444" s="22">
        <f>IF($C444="","",IFERROR(INDEX(ENVIOS!$F$4:$F$3003,MATCH($C444,ENVIOS!$A$4:$A$3003,0)),"—"))</f>
        <v/>
      </c>
      <c r="I444" s="27">
        <f>IF($C444="","",IFERROR(INDEX(ENVIOS!$G$4:$G$3003,MATCH($C444,ENVIOS!$A$4:$A$3003,0)),"—"))</f>
        <v/>
      </c>
      <c r="J444" s="48">
        <f>IF($C444="","",IFERROR(INDEX(ENVIOS!$B$4:$B$3003,MATCH($C444,ENVIOS!$A$4:$A$3003,0)),""))</f>
        <v/>
      </c>
      <c r="K444" s="49" t="n"/>
      <c r="L444" s="27">
        <f>IF($K444="","",IFERROR(INDEX(CONFIG!$B$4:$B$43,MATCH($K444,CONFIG!$A$4:$A$43,0)),"Media"))</f>
        <v/>
      </c>
      <c r="M444" s="27">
        <f>IF($K444="","",IFERROR(INDEX(CONFIG!$D$4:$D$43,MATCH($K444,CONFIG!$A$4:$A$43,0)),"NO"))</f>
        <v/>
      </c>
      <c r="N444" s="49" t="n"/>
      <c r="O444" s="27">
        <f>IF($N444="","",IFERROR(INDEX(CONFIG!$G$4:$G$43,MATCH($N444,CONFIG!$F$4:$F$43,0)),"Por definir"))</f>
        <v/>
      </c>
      <c r="P444" s="27">
        <f>IF($N444="","",IFERROR(INDEX(CONFIG!$H$4:$H$43,MATCH($N444,CONFIG!$F$4:$F$43,0)),"Por definir"))</f>
        <v/>
      </c>
      <c r="Q444" s="50" t="n"/>
      <c r="R444" s="51" t="n"/>
      <c r="S444" s="49" t="n"/>
      <c r="T444" s="49" t="n"/>
      <c r="U444" s="48">
        <f>IF(OR($B444="",$K444=""),"",WORKDAY($B444,IFERROR(INDEX(CONFIG!$C$4:$C$43,MATCH($K444,CONFIG!$A$4:$A$43,0)),3)))</f>
        <v/>
      </c>
      <c r="V444" s="46" t="n"/>
      <c r="W444" s="23">
        <f>IF($B444="","",IF($V444&lt;&gt;"",$V444-$B444,TODAY()-$B444))</f>
        <v/>
      </c>
      <c r="X444" s="27">
        <f>IF($C444="","",IF(IFERROR(INDEX(CONFIG!$K$4:$K$43,MATCH($S444,CONFIG!$J$4:$J$43,0)),"NO")="SÍ",IF(OR($V444="",$U444=""),"Resuelta",IF($V444&gt;$U444,"Resuelta tarde","Resuelta a tiempo")),IF($U444="","Sin clasificar",IF(TODAY()&gt;$U444,"Vencida",IF(TODAY()&gt;=$U444-1,"Por vencer","En plazo")))))</f>
        <v/>
      </c>
      <c r="Y444" s="49" t="n"/>
      <c r="Z444" s="49" t="n"/>
    </row>
    <row r="445" ht="16" customHeight="1">
      <c r="A445" s="27">
        <f>IF($C445="","","N-"&amp;TEXT(ROW()-3,"0000"))</f>
        <v/>
      </c>
      <c r="B445" s="46" t="n"/>
      <c r="C445" s="47" t="n"/>
      <c r="D445" s="27">
        <f>IF($C445="","",IF(COUNTIFS(ENVIOS!$A$4:$A$3003,$C445)=0,"NO EXISTE",IF(COUNTIFS(ENVIOS!$A$4:$A$3003,$C445)&gt;1,"DUPLICADA","OK")))</f>
        <v/>
      </c>
      <c r="E445" s="22">
        <f>IF($C445="","",IFERROR(INDEX(ENVIOS!$C$4:$C$3003,MATCH($C445,ENVIOS!$A$4:$A$3003,0)),"—"))</f>
        <v/>
      </c>
      <c r="F445" s="22">
        <f>IF($C445="","",IFERROR(INDEX(ENVIOS!$D$4:$D$3003,MATCH($C445,ENVIOS!$A$4:$A$3003,0)),"—"))</f>
        <v/>
      </c>
      <c r="G445" s="22">
        <f>IF($C445="","",IFERROR(INDEX(ENVIOS!$E$4:$E$3003,MATCH($C445,ENVIOS!$A$4:$A$3003,0)),"—"))</f>
        <v/>
      </c>
      <c r="H445" s="22">
        <f>IF($C445="","",IFERROR(INDEX(ENVIOS!$F$4:$F$3003,MATCH($C445,ENVIOS!$A$4:$A$3003,0)),"—"))</f>
        <v/>
      </c>
      <c r="I445" s="27">
        <f>IF($C445="","",IFERROR(INDEX(ENVIOS!$G$4:$G$3003,MATCH($C445,ENVIOS!$A$4:$A$3003,0)),"—"))</f>
        <v/>
      </c>
      <c r="J445" s="48">
        <f>IF($C445="","",IFERROR(INDEX(ENVIOS!$B$4:$B$3003,MATCH($C445,ENVIOS!$A$4:$A$3003,0)),""))</f>
        <v/>
      </c>
      <c r="K445" s="49" t="n"/>
      <c r="L445" s="27">
        <f>IF($K445="","",IFERROR(INDEX(CONFIG!$B$4:$B$43,MATCH($K445,CONFIG!$A$4:$A$43,0)),"Media"))</f>
        <v/>
      </c>
      <c r="M445" s="27">
        <f>IF($K445="","",IFERROR(INDEX(CONFIG!$D$4:$D$43,MATCH($K445,CONFIG!$A$4:$A$43,0)),"NO"))</f>
        <v/>
      </c>
      <c r="N445" s="49" t="n"/>
      <c r="O445" s="27">
        <f>IF($N445="","",IFERROR(INDEX(CONFIG!$G$4:$G$43,MATCH($N445,CONFIG!$F$4:$F$43,0)),"Por definir"))</f>
        <v/>
      </c>
      <c r="P445" s="27">
        <f>IF($N445="","",IFERROR(INDEX(CONFIG!$H$4:$H$43,MATCH($N445,CONFIG!$F$4:$F$43,0)),"Por definir"))</f>
        <v/>
      </c>
      <c r="Q445" s="50" t="n"/>
      <c r="R445" s="51" t="n"/>
      <c r="S445" s="49" t="n"/>
      <c r="T445" s="49" t="n"/>
      <c r="U445" s="48">
        <f>IF(OR($B445="",$K445=""),"",WORKDAY($B445,IFERROR(INDEX(CONFIG!$C$4:$C$43,MATCH($K445,CONFIG!$A$4:$A$43,0)),3)))</f>
        <v/>
      </c>
      <c r="V445" s="46" t="n"/>
      <c r="W445" s="23">
        <f>IF($B445="","",IF($V445&lt;&gt;"",$V445-$B445,TODAY()-$B445))</f>
        <v/>
      </c>
      <c r="X445" s="27">
        <f>IF($C445="","",IF(IFERROR(INDEX(CONFIG!$K$4:$K$43,MATCH($S445,CONFIG!$J$4:$J$43,0)),"NO")="SÍ",IF(OR($V445="",$U445=""),"Resuelta",IF($V445&gt;$U445,"Resuelta tarde","Resuelta a tiempo")),IF($U445="","Sin clasificar",IF(TODAY()&gt;$U445,"Vencida",IF(TODAY()&gt;=$U445-1,"Por vencer","En plazo")))))</f>
        <v/>
      </c>
      <c r="Y445" s="49" t="n"/>
      <c r="Z445" s="49" t="n"/>
    </row>
    <row r="446" ht="16" customHeight="1">
      <c r="A446" s="27">
        <f>IF($C446="","","N-"&amp;TEXT(ROW()-3,"0000"))</f>
        <v/>
      </c>
      <c r="B446" s="46" t="n"/>
      <c r="C446" s="47" t="n"/>
      <c r="D446" s="27">
        <f>IF($C446="","",IF(COUNTIFS(ENVIOS!$A$4:$A$3003,$C446)=0,"NO EXISTE",IF(COUNTIFS(ENVIOS!$A$4:$A$3003,$C446)&gt;1,"DUPLICADA","OK")))</f>
        <v/>
      </c>
      <c r="E446" s="22">
        <f>IF($C446="","",IFERROR(INDEX(ENVIOS!$C$4:$C$3003,MATCH($C446,ENVIOS!$A$4:$A$3003,0)),"—"))</f>
        <v/>
      </c>
      <c r="F446" s="22">
        <f>IF($C446="","",IFERROR(INDEX(ENVIOS!$D$4:$D$3003,MATCH($C446,ENVIOS!$A$4:$A$3003,0)),"—"))</f>
        <v/>
      </c>
      <c r="G446" s="22">
        <f>IF($C446="","",IFERROR(INDEX(ENVIOS!$E$4:$E$3003,MATCH($C446,ENVIOS!$A$4:$A$3003,0)),"—"))</f>
        <v/>
      </c>
      <c r="H446" s="22">
        <f>IF($C446="","",IFERROR(INDEX(ENVIOS!$F$4:$F$3003,MATCH($C446,ENVIOS!$A$4:$A$3003,0)),"—"))</f>
        <v/>
      </c>
      <c r="I446" s="27">
        <f>IF($C446="","",IFERROR(INDEX(ENVIOS!$G$4:$G$3003,MATCH($C446,ENVIOS!$A$4:$A$3003,0)),"—"))</f>
        <v/>
      </c>
      <c r="J446" s="48">
        <f>IF($C446="","",IFERROR(INDEX(ENVIOS!$B$4:$B$3003,MATCH($C446,ENVIOS!$A$4:$A$3003,0)),""))</f>
        <v/>
      </c>
      <c r="K446" s="49" t="n"/>
      <c r="L446" s="27">
        <f>IF($K446="","",IFERROR(INDEX(CONFIG!$B$4:$B$43,MATCH($K446,CONFIG!$A$4:$A$43,0)),"Media"))</f>
        <v/>
      </c>
      <c r="M446" s="27">
        <f>IF($K446="","",IFERROR(INDEX(CONFIG!$D$4:$D$43,MATCH($K446,CONFIG!$A$4:$A$43,0)),"NO"))</f>
        <v/>
      </c>
      <c r="N446" s="49" t="n"/>
      <c r="O446" s="27">
        <f>IF($N446="","",IFERROR(INDEX(CONFIG!$G$4:$G$43,MATCH($N446,CONFIG!$F$4:$F$43,0)),"Por definir"))</f>
        <v/>
      </c>
      <c r="P446" s="27">
        <f>IF($N446="","",IFERROR(INDEX(CONFIG!$H$4:$H$43,MATCH($N446,CONFIG!$F$4:$F$43,0)),"Por definir"))</f>
        <v/>
      </c>
      <c r="Q446" s="50" t="n"/>
      <c r="R446" s="51" t="n"/>
      <c r="S446" s="49" t="n"/>
      <c r="T446" s="49" t="n"/>
      <c r="U446" s="48">
        <f>IF(OR($B446="",$K446=""),"",WORKDAY($B446,IFERROR(INDEX(CONFIG!$C$4:$C$43,MATCH($K446,CONFIG!$A$4:$A$43,0)),3)))</f>
        <v/>
      </c>
      <c r="V446" s="46" t="n"/>
      <c r="W446" s="23">
        <f>IF($B446="","",IF($V446&lt;&gt;"",$V446-$B446,TODAY()-$B446))</f>
        <v/>
      </c>
      <c r="X446" s="27">
        <f>IF($C446="","",IF(IFERROR(INDEX(CONFIG!$K$4:$K$43,MATCH($S446,CONFIG!$J$4:$J$43,0)),"NO")="SÍ",IF(OR($V446="",$U446=""),"Resuelta",IF($V446&gt;$U446,"Resuelta tarde","Resuelta a tiempo")),IF($U446="","Sin clasificar",IF(TODAY()&gt;$U446,"Vencida",IF(TODAY()&gt;=$U446-1,"Por vencer","En plazo")))))</f>
        <v/>
      </c>
      <c r="Y446" s="49" t="n"/>
      <c r="Z446" s="49" t="n"/>
    </row>
    <row r="447" ht="16" customHeight="1">
      <c r="A447" s="27">
        <f>IF($C447="","","N-"&amp;TEXT(ROW()-3,"0000"))</f>
        <v/>
      </c>
      <c r="B447" s="46" t="n"/>
      <c r="C447" s="47" t="n"/>
      <c r="D447" s="27">
        <f>IF($C447="","",IF(COUNTIFS(ENVIOS!$A$4:$A$3003,$C447)=0,"NO EXISTE",IF(COUNTIFS(ENVIOS!$A$4:$A$3003,$C447)&gt;1,"DUPLICADA","OK")))</f>
        <v/>
      </c>
      <c r="E447" s="22">
        <f>IF($C447="","",IFERROR(INDEX(ENVIOS!$C$4:$C$3003,MATCH($C447,ENVIOS!$A$4:$A$3003,0)),"—"))</f>
        <v/>
      </c>
      <c r="F447" s="22">
        <f>IF($C447="","",IFERROR(INDEX(ENVIOS!$D$4:$D$3003,MATCH($C447,ENVIOS!$A$4:$A$3003,0)),"—"))</f>
        <v/>
      </c>
      <c r="G447" s="22">
        <f>IF($C447="","",IFERROR(INDEX(ENVIOS!$E$4:$E$3003,MATCH($C447,ENVIOS!$A$4:$A$3003,0)),"—"))</f>
        <v/>
      </c>
      <c r="H447" s="22">
        <f>IF($C447="","",IFERROR(INDEX(ENVIOS!$F$4:$F$3003,MATCH($C447,ENVIOS!$A$4:$A$3003,0)),"—"))</f>
        <v/>
      </c>
      <c r="I447" s="27">
        <f>IF($C447="","",IFERROR(INDEX(ENVIOS!$G$4:$G$3003,MATCH($C447,ENVIOS!$A$4:$A$3003,0)),"—"))</f>
        <v/>
      </c>
      <c r="J447" s="48">
        <f>IF($C447="","",IFERROR(INDEX(ENVIOS!$B$4:$B$3003,MATCH($C447,ENVIOS!$A$4:$A$3003,0)),""))</f>
        <v/>
      </c>
      <c r="K447" s="49" t="n"/>
      <c r="L447" s="27">
        <f>IF($K447="","",IFERROR(INDEX(CONFIG!$B$4:$B$43,MATCH($K447,CONFIG!$A$4:$A$43,0)),"Media"))</f>
        <v/>
      </c>
      <c r="M447" s="27">
        <f>IF($K447="","",IFERROR(INDEX(CONFIG!$D$4:$D$43,MATCH($K447,CONFIG!$A$4:$A$43,0)),"NO"))</f>
        <v/>
      </c>
      <c r="N447" s="49" t="n"/>
      <c r="O447" s="27">
        <f>IF($N447="","",IFERROR(INDEX(CONFIG!$G$4:$G$43,MATCH($N447,CONFIG!$F$4:$F$43,0)),"Por definir"))</f>
        <v/>
      </c>
      <c r="P447" s="27">
        <f>IF($N447="","",IFERROR(INDEX(CONFIG!$H$4:$H$43,MATCH($N447,CONFIG!$F$4:$F$43,0)),"Por definir"))</f>
        <v/>
      </c>
      <c r="Q447" s="50" t="n"/>
      <c r="R447" s="51" t="n"/>
      <c r="S447" s="49" t="n"/>
      <c r="T447" s="49" t="n"/>
      <c r="U447" s="48">
        <f>IF(OR($B447="",$K447=""),"",WORKDAY($B447,IFERROR(INDEX(CONFIG!$C$4:$C$43,MATCH($K447,CONFIG!$A$4:$A$43,0)),3)))</f>
        <v/>
      </c>
      <c r="V447" s="46" t="n"/>
      <c r="W447" s="23">
        <f>IF($B447="","",IF($V447&lt;&gt;"",$V447-$B447,TODAY()-$B447))</f>
        <v/>
      </c>
      <c r="X447" s="27">
        <f>IF($C447="","",IF(IFERROR(INDEX(CONFIG!$K$4:$K$43,MATCH($S447,CONFIG!$J$4:$J$43,0)),"NO")="SÍ",IF(OR($V447="",$U447=""),"Resuelta",IF($V447&gt;$U447,"Resuelta tarde","Resuelta a tiempo")),IF($U447="","Sin clasificar",IF(TODAY()&gt;$U447,"Vencida",IF(TODAY()&gt;=$U447-1,"Por vencer","En plazo")))))</f>
        <v/>
      </c>
      <c r="Y447" s="49" t="n"/>
      <c r="Z447" s="49" t="n"/>
    </row>
    <row r="448" ht="16" customHeight="1">
      <c r="A448" s="27">
        <f>IF($C448="","","N-"&amp;TEXT(ROW()-3,"0000"))</f>
        <v/>
      </c>
      <c r="B448" s="46" t="n"/>
      <c r="C448" s="47" t="n"/>
      <c r="D448" s="27">
        <f>IF($C448="","",IF(COUNTIFS(ENVIOS!$A$4:$A$3003,$C448)=0,"NO EXISTE",IF(COUNTIFS(ENVIOS!$A$4:$A$3003,$C448)&gt;1,"DUPLICADA","OK")))</f>
        <v/>
      </c>
      <c r="E448" s="22">
        <f>IF($C448="","",IFERROR(INDEX(ENVIOS!$C$4:$C$3003,MATCH($C448,ENVIOS!$A$4:$A$3003,0)),"—"))</f>
        <v/>
      </c>
      <c r="F448" s="22">
        <f>IF($C448="","",IFERROR(INDEX(ENVIOS!$D$4:$D$3003,MATCH($C448,ENVIOS!$A$4:$A$3003,0)),"—"))</f>
        <v/>
      </c>
      <c r="G448" s="22">
        <f>IF($C448="","",IFERROR(INDEX(ENVIOS!$E$4:$E$3003,MATCH($C448,ENVIOS!$A$4:$A$3003,0)),"—"))</f>
        <v/>
      </c>
      <c r="H448" s="22">
        <f>IF($C448="","",IFERROR(INDEX(ENVIOS!$F$4:$F$3003,MATCH($C448,ENVIOS!$A$4:$A$3003,0)),"—"))</f>
        <v/>
      </c>
      <c r="I448" s="27">
        <f>IF($C448="","",IFERROR(INDEX(ENVIOS!$G$4:$G$3003,MATCH($C448,ENVIOS!$A$4:$A$3003,0)),"—"))</f>
        <v/>
      </c>
      <c r="J448" s="48">
        <f>IF($C448="","",IFERROR(INDEX(ENVIOS!$B$4:$B$3003,MATCH($C448,ENVIOS!$A$4:$A$3003,0)),""))</f>
        <v/>
      </c>
      <c r="K448" s="49" t="n"/>
      <c r="L448" s="27">
        <f>IF($K448="","",IFERROR(INDEX(CONFIG!$B$4:$B$43,MATCH($K448,CONFIG!$A$4:$A$43,0)),"Media"))</f>
        <v/>
      </c>
      <c r="M448" s="27">
        <f>IF($K448="","",IFERROR(INDEX(CONFIG!$D$4:$D$43,MATCH($K448,CONFIG!$A$4:$A$43,0)),"NO"))</f>
        <v/>
      </c>
      <c r="N448" s="49" t="n"/>
      <c r="O448" s="27">
        <f>IF($N448="","",IFERROR(INDEX(CONFIG!$G$4:$G$43,MATCH($N448,CONFIG!$F$4:$F$43,0)),"Por definir"))</f>
        <v/>
      </c>
      <c r="P448" s="27">
        <f>IF($N448="","",IFERROR(INDEX(CONFIG!$H$4:$H$43,MATCH($N448,CONFIG!$F$4:$F$43,0)),"Por definir"))</f>
        <v/>
      </c>
      <c r="Q448" s="50" t="n"/>
      <c r="R448" s="51" t="n"/>
      <c r="S448" s="49" t="n"/>
      <c r="T448" s="49" t="n"/>
      <c r="U448" s="48">
        <f>IF(OR($B448="",$K448=""),"",WORKDAY($B448,IFERROR(INDEX(CONFIG!$C$4:$C$43,MATCH($K448,CONFIG!$A$4:$A$43,0)),3)))</f>
        <v/>
      </c>
      <c r="V448" s="46" t="n"/>
      <c r="W448" s="23">
        <f>IF($B448="","",IF($V448&lt;&gt;"",$V448-$B448,TODAY()-$B448))</f>
        <v/>
      </c>
      <c r="X448" s="27">
        <f>IF($C448="","",IF(IFERROR(INDEX(CONFIG!$K$4:$K$43,MATCH($S448,CONFIG!$J$4:$J$43,0)),"NO")="SÍ",IF(OR($V448="",$U448=""),"Resuelta",IF($V448&gt;$U448,"Resuelta tarde","Resuelta a tiempo")),IF($U448="","Sin clasificar",IF(TODAY()&gt;$U448,"Vencida",IF(TODAY()&gt;=$U448-1,"Por vencer","En plazo")))))</f>
        <v/>
      </c>
      <c r="Y448" s="49" t="n"/>
      <c r="Z448" s="49" t="n"/>
    </row>
    <row r="449" ht="16" customHeight="1">
      <c r="A449" s="27">
        <f>IF($C449="","","N-"&amp;TEXT(ROW()-3,"0000"))</f>
        <v/>
      </c>
      <c r="B449" s="46" t="n"/>
      <c r="C449" s="47" t="n"/>
      <c r="D449" s="27">
        <f>IF($C449="","",IF(COUNTIFS(ENVIOS!$A$4:$A$3003,$C449)=0,"NO EXISTE",IF(COUNTIFS(ENVIOS!$A$4:$A$3003,$C449)&gt;1,"DUPLICADA","OK")))</f>
        <v/>
      </c>
      <c r="E449" s="22">
        <f>IF($C449="","",IFERROR(INDEX(ENVIOS!$C$4:$C$3003,MATCH($C449,ENVIOS!$A$4:$A$3003,0)),"—"))</f>
        <v/>
      </c>
      <c r="F449" s="22">
        <f>IF($C449="","",IFERROR(INDEX(ENVIOS!$D$4:$D$3003,MATCH($C449,ENVIOS!$A$4:$A$3003,0)),"—"))</f>
        <v/>
      </c>
      <c r="G449" s="22">
        <f>IF($C449="","",IFERROR(INDEX(ENVIOS!$E$4:$E$3003,MATCH($C449,ENVIOS!$A$4:$A$3003,0)),"—"))</f>
        <v/>
      </c>
      <c r="H449" s="22">
        <f>IF($C449="","",IFERROR(INDEX(ENVIOS!$F$4:$F$3003,MATCH($C449,ENVIOS!$A$4:$A$3003,0)),"—"))</f>
        <v/>
      </c>
      <c r="I449" s="27">
        <f>IF($C449="","",IFERROR(INDEX(ENVIOS!$G$4:$G$3003,MATCH($C449,ENVIOS!$A$4:$A$3003,0)),"—"))</f>
        <v/>
      </c>
      <c r="J449" s="48">
        <f>IF($C449="","",IFERROR(INDEX(ENVIOS!$B$4:$B$3003,MATCH($C449,ENVIOS!$A$4:$A$3003,0)),""))</f>
        <v/>
      </c>
      <c r="K449" s="49" t="n"/>
      <c r="L449" s="27">
        <f>IF($K449="","",IFERROR(INDEX(CONFIG!$B$4:$B$43,MATCH($K449,CONFIG!$A$4:$A$43,0)),"Media"))</f>
        <v/>
      </c>
      <c r="M449" s="27">
        <f>IF($K449="","",IFERROR(INDEX(CONFIG!$D$4:$D$43,MATCH($K449,CONFIG!$A$4:$A$43,0)),"NO"))</f>
        <v/>
      </c>
      <c r="N449" s="49" t="n"/>
      <c r="O449" s="27">
        <f>IF($N449="","",IFERROR(INDEX(CONFIG!$G$4:$G$43,MATCH($N449,CONFIG!$F$4:$F$43,0)),"Por definir"))</f>
        <v/>
      </c>
      <c r="P449" s="27">
        <f>IF($N449="","",IFERROR(INDEX(CONFIG!$H$4:$H$43,MATCH($N449,CONFIG!$F$4:$F$43,0)),"Por definir"))</f>
        <v/>
      </c>
      <c r="Q449" s="50" t="n"/>
      <c r="R449" s="51" t="n"/>
      <c r="S449" s="49" t="n"/>
      <c r="T449" s="49" t="n"/>
      <c r="U449" s="48">
        <f>IF(OR($B449="",$K449=""),"",WORKDAY($B449,IFERROR(INDEX(CONFIG!$C$4:$C$43,MATCH($K449,CONFIG!$A$4:$A$43,0)),3)))</f>
        <v/>
      </c>
      <c r="V449" s="46" t="n"/>
      <c r="W449" s="23">
        <f>IF($B449="","",IF($V449&lt;&gt;"",$V449-$B449,TODAY()-$B449))</f>
        <v/>
      </c>
      <c r="X449" s="27">
        <f>IF($C449="","",IF(IFERROR(INDEX(CONFIG!$K$4:$K$43,MATCH($S449,CONFIG!$J$4:$J$43,0)),"NO")="SÍ",IF(OR($V449="",$U449=""),"Resuelta",IF($V449&gt;$U449,"Resuelta tarde","Resuelta a tiempo")),IF($U449="","Sin clasificar",IF(TODAY()&gt;$U449,"Vencida",IF(TODAY()&gt;=$U449-1,"Por vencer","En plazo")))))</f>
        <v/>
      </c>
      <c r="Y449" s="49" t="n"/>
      <c r="Z449" s="49" t="n"/>
    </row>
    <row r="450" ht="16" customHeight="1">
      <c r="A450" s="27">
        <f>IF($C450="","","N-"&amp;TEXT(ROW()-3,"0000"))</f>
        <v/>
      </c>
      <c r="B450" s="46" t="n"/>
      <c r="C450" s="47" t="n"/>
      <c r="D450" s="27">
        <f>IF($C450="","",IF(COUNTIFS(ENVIOS!$A$4:$A$3003,$C450)=0,"NO EXISTE",IF(COUNTIFS(ENVIOS!$A$4:$A$3003,$C450)&gt;1,"DUPLICADA","OK")))</f>
        <v/>
      </c>
      <c r="E450" s="22">
        <f>IF($C450="","",IFERROR(INDEX(ENVIOS!$C$4:$C$3003,MATCH($C450,ENVIOS!$A$4:$A$3003,0)),"—"))</f>
        <v/>
      </c>
      <c r="F450" s="22">
        <f>IF($C450="","",IFERROR(INDEX(ENVIOS!$D$4:$D$3003,MATCH($C450,ENVIOS!$A$4:$A$3003,0)),"—"))</f>
        <v/>
      </c>
      <c r="G450" s="22">
        <f>IF($C450="","",IFERROR(INDEX(ENVIOS!$E$4:$E$3003,MATCH($C450,ENVIOS!$A$4:$A$3003,0)),"—"))</f>
        <v/>
      </c>
      <c r="H450" s="22">
        <f>IF($C450="","",IFERROR(INDEX(ENVIOS!$F$4:$F$3003,MATCH($C450,ENVIOS!$A$4:$A$3003,0)),"—"))</f>
        <v/>
      </c>
      <c r="I450" s="27">
        <f>IF($C450="","",IFERROR(INDEX(ENVIOS!$G$4:$G$3003,MATCH($C450,ENVIOS!$A$4:$A$3003,0)),"—"))</f>
        <v/>
      </c>
      <c r="J450" s="48">
        <f>IF($C450="","",IFERROR(INDEX(ENVIOS!$B$4:$B$3003,MATCH($C450,ENVIOS!$A$4:$A$3003,0)),""))</f>
        <v/>
      </c>
      <c r="K450" s="49" t="n"/>
      <c r="L450" s="27">
        <f>IF($K450="","",IFERROR(INDEX(CONFIG!$B$4:$B$43,MATCH($K450,CONFIG!$A$4:$A$43,0)),"Media"))</f>
        <v/>
      </c>
      <c r="M450" s="27">
        <f>IF($K450="","",IFERROR(INDEX(CONFIG!$D$4:$D$43,MATCH($K450,CONFIG!$A$4:$A$43,0)),"NO"))</f>
        <v/>
      </c>
      <c r="N450" s="49" t="n"/>
      <c r="O450" s="27">
        <f>IF($N450="","",IFERROR(INDEX(CONFIG!$G$4:$G$43,MATCH($N450,CONFIG!$F$4:$F$43,0)),"Por definir"))</f>
        <v/>
      </c>
      <c r="P450" s="27">
        <f>IF($N450="","",IFERROR(INDEX(CONFIG!$H$4:$H$43,MATCH($N450,CONFIG!$F$4:$F$43,0)),"Por definir"))</f>
        <v/>
      </c>
      <c r="Q450" s="50" t="n"/>
      <c r="R450" s="51" t="n"/>
      <c r="S450" s="49" t="n"/>
      <c r="T450" s="49" t="n"/>
      <c r="U450" s="48">
        <f>IF(OR($B450="",$K450=""),"",WORKDAY($B450,IFERROR(INDEX(CONFIG!$C$4:$C$43,MATCH($K450,CONFIG!$A$4:$A$43,0)),3)))</f>
        <v/>
      </c>
      <c r="V450" s="46" t="n"/>
      <c r="W450" s="23">
        <f>IF($B450="","",IF($V450&lt;&gt;"",$V450-$B450,TODAY()-$B450))</f>
        <v/>
      </c>
      <c r="X450" s="27">
        <f>IF($C450="","",IF(IFERROR(INDEX(CONFIG!$K$4:$K$43,MATCH($S450,CONFIG!$J$4:$J$43,0)),"NO")="SÍ",IF(OR($V450="",$U450=""),"Resuelta",IF($V450&gt;$U450,"Resuelta tarde","Resuelta a tiempo")),IF($U450="","Sin clasificar",IF(TODAY()&gt;$U450,"Vencida",IF(TODAY()&gt;=$U450-1,"Por vencer","En plazo")))))</f>
        <v/>
      </c>
      <c r="Y450" s="49" t="n"/>
      <c r="Z450" s="49" t="n"/>
    </row>
    <row r="451" ht="16" customHeight="1">
      <c r="A451" s="27">
        <f>IF($C451="","","N-"&amp;TEXT(ROW()-3,"0000"))</f>
        <v/>
      </c>
      <c r="B451" s="46" t="n"/>
      <c r="C451" s="47" t="n"/>
      <c r="D451" s="27">
        <f>IF($C451="","",IF(COUNTIFS(ENVIOS!$A$4:$A$3003,$C451)=0,"NO EXISTE",IF(COUNTIFS(ENVIOS!$A$4:$A$3003,$C451)&gt;1,"DUPLICADA","OK")))</f>
        <v/>
      </c>
      <c r="E451" s="22">
        <f>IF($C451="","",IFERROR(INDEX(ENVIOS!$C$4:$C$3003,MATCH($C451,ENVIOS!$A$4:$A$3003,0)),"—"))</f>
        <v/>
      </c>
      <c r="F451" s="22">
        <f>IF($C451="","",IFERROR(INDEX(ENVIOS!$D$4:$D$3003,MATCH($C451,ENVIOS!$A$4:$A$3003,0)),"—"))</f>
        <v/>
      </c>
      <c r="G451" s="22">
        <f>IF($C451="","",IFERROR(INDEX(ENVIOS!$E$4:$E$3003,MATCH($C451,ENVIOS!$A$4:$A$3003,0)),"—"))</f>
        <v/>
      </c>
      <c r="H451" s="22">
        <f>IF($C451="","",IFERROR(INDEX(ENVIOS!$F$4:$F$3003,MATCH($C451,ENVIOS!$A$4:$A$3003,0)),"—"))</f>
        <v/>
      </c>
      <c r="I451" s="27">
        <f>IF($C451="","",IFERROR(INDEX(ENVIOS!$G$4:$G$3003,MATCH($C451,ENVIOS!$A$4:$A$3003,0)),"—"))</f>
        <v/>
      </c>
      <c r="J451" s="48">
        <f>IF($C451="","",IFERROR(INDEX(ENVIOS!$B$4:$B$3003,MATCH($C451,ENVIOS!$A$4:$A$3003,0)),""))</f>
        <v/>
      </c>
      <c r="K451" s="49" t="n"/>
      <c r="L451" s="27">
        <f>IF($K451="","",IFERROR(INDEX(CONFIG!$B$4:$B$43,MATCH($K451,CONFIG!$A$4:$A$43,0)),"Media"))</f>
        <v/>
      </c>
      <c r="M451" s="27">
        <f>IF($K451="","",IFERROR(INDEX(CONFIG!$D$4:$D$43,MATCH($K451,CONFIG!$A$4:$A$43,0)),"NO"))</f>
        <v/>
      </c>
      <c r="N451" s="49" t="n"/>
      <c r="O451" s="27">
        <f>IF($N451="","",IFERROR(INDEX(CONFIG!$G$4:$G$43,MATCH($N451,CONFIG!$F$4:$F$43,0)),"Por definir"))</f>
        <v/>
      </c>
      <c r="P451" s="27">
        <f>IF($N451="","",IFERROR(INDEX(CONFIG!$H$4:$H$43,MATCH($N451,CONFIG!$F$4:$F$43,0)),"Por definir"))</f>
        <v/>
      </c>
      <c r="Q451" s="50" t="n"/>
      <c r="R451" s="51" t="n"/>
      <c r="S451" s="49" t="n"/>
      <c r="T451" s="49" t="n"/>
      <c r="U451" s="48">
        <f>IF(OR($B451="",$K451=""),"",WORKDAY($B451,IFERROR(INDEX(CONFIG!$C$4:$C$43,MATCH($K451,CONFIG!$A$4:$A$43,0)),3)))</f>
        <v/>
      </c>
      <c r="V451" s="46" t="n"/>
      <c r="W451" s="23">
        <f>IF($B451="","",IF($V451&lt;&gt;"",$V451-$B451,TODAY()-$B451))</f>
        <v/>
      </c>
      <c r="X451" s="27">
        <f>IF($C451="","",IF(IFERROR(INDEX(CONFIG!$K$4:$K$43,MATCH($S451,CONFIG!$J$4:$J$43,0)),"NO")="SÍ",IF(OR($V451="",$U451=""),"Resuelta",IF($V451&gt;$U451,"Resuelta tarde","Resuelta a tiempo")),IF($U451="","Sin clasificar",IF(TODAY()&gt;$U451,"Vencida",IF(TODAY()&gt;=$U451-1,"Por vencer","En plazo")))))</f>
        <v/>
      </c>
      <c r="Y451" s="49" t="n"/>
      <c r="Z451" s="49" t="n"/>
    </row>
    <row r="452" ht="16" customHeight="1">
      <c r="A452" s="27">
        <f>IF($C452="","","N-"&amp;TEXT(ROW()-3,"0000"))</f>
        <v/>
      </c>
      <c r="B452" s="46" t="n"/>
      <c r="C452" s="47" t="n"/>
      <c r="D452" s="27">
        <f>IF($C452="","",IF(COUNTIFS(ENVIOS!$A$4:$A$3003,$C452)=0,"NO EXISTE",IF(COUNTIFS(ENVIOS!$A$4:$A$3003,$C452)&gt;1,"DUPLICADA","OK")))</f>
        <v/>
      </c>
      <c r="E452" s="22">
        <f>IF($C452="","",IFERROR(INDEX(ENVIOS!$C$4:$C$3003,MATCH($C452,ENVIOS!$A$4:$A$3003,0)),"—"))</f>
        <v/>
      </c>
      <c r="F452" s="22">
        <f>IF($C452="","",IFERROR(INDEX(ENVIOS!$D$4:$D$3003,MATCH($C452,ENVIOS!$A$4:$A$3003,0)),"—"))</f>
        <v/>
      </c>
      <c r="G452" s="22">
        <f>IF($C452="","",IFERROR(INDEX(ENVIOS!$E$4:$E$3003,MATCH($C452,ENVIOS!$A$4:$A$3003,0)),"—"))</f>
        <v/>
      </c>
      <c r="H452" s="22">
        <f>IF($C452="","",IFERROR(INDEX(ENVIOS!$F$4:$F$3003,MATCH($C452,ENVIOS!$A$4:$A$3003,0)),"—"))</f>
        <v/>
      </c>
      <c r="I452" s="27">
        <f>IF($C452="","",IFERROR(INDEX(ENVIOS!$G$4:$G$3003,MATCH($C452,ENVIOS!$A$4:$A$3003,0)),"—"))</f>
        <v/>
      </c>
      <c r="J452" s="48">
        <f>IF($C452="","",IFERROR(INDEX(ENVIOS!$B$4:$B$3003,MATCH($C452,ENVIOS!$A$4:$A$3003,0)),""))</f>
        <v/>
      </c>
      <c r="K452" s="49" t="n"/>
      <c r="L452" s="27">
        <f>IF($K452="","",IFERROR(INDEX(CONFIG!$B$4:$B$43,MATCH($K452,CONFIG!$A$4:$A$43,0)),"Media"))</f>
        <v/>
      </c>
      <c r="M452" s="27">
        <f>IF($K452="","",IFERROR(INDEX(CONFIG!$D$4:$D$43,MATCH($K452,CONFIG!$A$4:$A$43,0)),"NO"))</f>
        <v/>
      </c>
      <c r="N452" s="49" t="n"/>
      <c r="O452" s="27">
        <f>IF($N452="","",IFERROR(INDEX(CONFIG!$G$4:$G$43,MATCH($N452,CONFIG!$F$4:$F$43,0)),"Por definir"))</f>
        <v/>
      </c>
      <c r="P452" s="27">
        <f>IF($N452="","",IFERROR(INDEX(CONFIG!$H$4:$H$43,MATCH($N452,CONFIG!$F$4:$F$43,0)),"Por definir"))</f>
        <v/>
      </c>
      <c r="Q452" s="50" t="n"/>
      <c r="R452" s="51" t="n"/>
      <c r="S452" s="49" t="n"/>
      <c r="T452" s="49" t="n"/>
      <c r="U452" s="48">
        <f>IF(OR($B452="",$K452=""),"",WORKDAY($B452,IFERROR(INDEX(CONFIG!$C$4:$C$43,MATCH($K452,CONFIG!$A$4:$A$43,0)),3)))</f>
        <v/>
      </c>
      <c r="V452" s="46" t="n"/>
      <c r="W452" s="23">
        <f>IF($B452="","",IF($V452&lt;&gt;"",$V452-$B452,TODAY()-$B452))</f>
        <v/>
      </c>
      <c r="X452" s="27">
        <f>IF($C452="","",IF(IFERROR(INDEX(CONFIG!$K$4:$K$43,MATCH($S452,CONFIG!$J$4:$J$43,0)),"NO")="SÍ",IF(OR($V452="",$U452=""),"Resuelta",IF($V452&gt;$U452,"Resuelta tarde","Resuelta a tiempo")),IF($U452="","Sin clasificar",IF(TODAY()&gt;$U452,"Vencida",IF(TODAY()&gt;=$U452-1,"Por vencer","En plazo")))))</f>
        <v/>
      </c>
      <c r="Y452" s="49" t="n"/>
      <c r="Z452" s="49" t="n"/>
    </row>
    <row r="453" ht="16" customHeight="1">
      <c r="A453" s="27">
        <f>IF($C453="","","N-"&amp;TEXT(ROW()-3,"0000"))</f>
        <v/>
      </c>
      <c r="B453" s="46" t="n"/>
      <c r="C453" s="47" t="n"/>
      <c r="D453" s="27">
        <f>IF($C453="","",IF(COUNTIFS(ENVIOS!$A$4:$A$3003,$C453)=0,"NO EXISTE",IF(COUNTIFS(ENVIOS!$A$4:$A$3003,$C453)&gt;1,"DUPLICADA","OK")))</f>
        <v/>
      </c>
      <c r="E453" s="22">
        <f>IF($C453="","",IFERROR(INDEX(ENVIOS!$C$4:$C$3003,MATCH($C453,ENVIOS!$A$4:$A$3003,0)),"—"))</f>
        <v/>
      </c>
      <c r="F453" s="22">
        <f>IF($C453="","",IFERROR(INDEX(ENVIOS!$D$4:$D$3003,MATCH($C453,ENVIOS!$A$4:$A$3003,0)),"—"))</f>
        <v/>
      </c>
      <c r="G453" s="22">
        <f>IF($C453="","",IFERROR(INDEX(ENVIOS!$E$4:$E$3003,MATCH($C453,ENVIOS!$A$4:$A$3003,0)),"—"))</f>
        <v/>
      </c>
      <c r="H453" s="22">
        <f>IF($C453="","",IFERROR(INDEX(ENVIOS!$F$4:$F$3003,MATCH($C453,ENVIOS!$A$4:$A$3003,0)),"—"))</f>
        <v/>
      </c>
      <c r="I453" s="27">
        <f>IF($C453="","",IFERROR(INDEX(ENVIOS!$G$4:$G$3003,MATCH($C453,ENVIOS!$A$4:$A$3003,0)),"—"))</f>
        <v/>
      </c>
      <c r="J453" s="48">
        <f>IF($C453="","",IFERROR(INDEX(ENVIOS!$B$4:$B$3003,MATCH($C453,ENVIOS!$A$4:$A$3003,0)),""))</f>
        <v/>
      </c>
      <c r="K453" s="49" t="n"/>
      <c r="L453" s="27">
        <f>IF($K453="","",IFERROR(INDEX(CONFIG!$B$4:$B$43,MATCH($K453,CONFIG!$A$4:$A$43,0)),"Media"))</f>
        <v/>
      </c>
      <c r="M453" s="27">
        <f>IF($K453="","",IFERROR(INDEX(CONFIG!$D$4:$D$43,MATCH($K453,CONFIG!$A$4:$A$43,0)),"NO"))</f>
        <v/>
      </c>
      <c r="N453" s="49" t="n"/>
      <c r="O453" s="27">
        <f>IF($N453="","",IFERROR(INDEX(CONFIG!$G$4:$G$43,MATCH($N453,CONFIG!$F$4:$F$43,0)),"Por definir"))</f>
        <v/>
      </c>
      <c r="P453" s="27">
        <f>IF($N453="","",IFERROR(INDEX(CONFIG!$H$4:$H$43,MATCH($N453,CONFIG!$F$4:$F$43,0)),"Por definir"))</f>
        <v/>
      </c>
      <c r="Q453" s="50" t="n"/>
      <c r="R453" s="51" t="n"/>
      <c r="S453" s="49" t="n"/>
      <c r="T453" s="49" t="n"/>
      <c r="U453" s="48">
        <f>IF(OR($B453="",$K453=""),"",WORKDAY($B453,IFERROR(INDEX(CONFIG!$C$4:$C$43,MATCH($K453,CONFIG!$A$4:$A$43,0)),3)))</f>
        <v/>
      </c>
      <c r="V453" s="46" t="n"/>
      <c r="W453" s="23">
        <f>IF($B453="","",IF($V453&lt;&gt;"",$V453-$B453,TODAY()-$B453))</f>
        <v/>
      </c>
      <c r="X453" s="27">
        <f>IF($C453="","",IF(IFERROR(INDEX(CONFIG!$K$4:$K$43,MATCH($S453,CONFIG!$J$4:$J$43,0)),"NO")="SÍ",IF(OR($V453="",$U453=""),"Resuelta",IF($V453&gt;$U453,"Resuelta tarde","Resuelta a tiempo")),IF($U453="","Sin clasificar",IF(TODAY()&gt;$U453,"Vencida",IF(TODAY()&gt;=$U453-1,"Por vencer","En plazo")))))</f>
        <v/>
      </c>
      <c r="Y453" s="49" t="n"/>
      <c r="Z453" s="49" t="n"/>
    </row>
    <row r="454" ht="16" customHeight="1">
      <c r="A454" s="27">
        <f>IF($C454="","","N-"&amp;TEXT(ROW()-3,"0000"))</f>
        <v/>
      </c>
      <c r="B454" s="46" t="n"/>
      <c r="C454" s="47" t="n"/>
      <c r="D454" s="27">
        <f>IF($C454="","",IF(COUNTIFS(ENVIOS!$A$4:$A$3003,$C454)=0,"NO EXISTE",IF(COUNTIFS(ENVIOS!$A$4:$A$3003,$C454)&gt;1,"DUPLICADA","OK")))</f>
        <v/>
      </c>
      <c r="E454" s="22">
        <f>IF($C454="","",IFERROR(INDEX(ENVIOS!$C$4:$C$3003,MATCH($C454,ENVIOS!$A$4:$A$3003,0)),"—"))</f>
        <v/>
      </c>
      <c r="F454" s="22">
        <f>IF($C454="","",IFERROR(INDEX(ENVIOS!$D$4:$D$3003,MATCH($C454,ENVIOS!$A$4:$A$3003,0)),"—"))</f>
        <v/>
      </c>
      <c r="G454" s="22">
        <f>IF($C454="","",IFERROR(INDEX(ENVIOS!$E$4:$E$3003,MATCH($C454,ENVIOS!$A$4:$A$3003,0)),"—"))</f>
        <v/>
      </c>
      <c r="H454" s="22">
        <f>IF($C454="","",IFERROR(INDEX(ENVIOS!$F$4:$F$3003,MATCH($C454,ENVIOS!$A$4:$A$3003,0)),"—"))</f>
        <v/>
      </c>
      <c r="I454" s="27">
        <f>IF($C454="","",IFERROR(INDEX(ENVIOS!$G$4:$G$3003,MATCH($C454,ENVIOS!$A$4:$A$3003,0)),"—"))</f>
        <v/>
      </c>
      <c r="J454" s="48">
        <f>IF($C454="","",IFERROR(INDEX(ENVIOS!$B$4:$B$3003,MATCH($C454,ENVIOS!$A$4:$A$3003,0)),""))</f>
        <v/>
      </c>
      <c r="K454" s="49" t="n"/>
      <c r="L454" s="27">
        <f>IF($K454="","",IFERROR(INDEX(CONFIG!$B$4:$B$43,MATCH($K454,CONFIG!$A$4:$A$43,0)),"Media"))</f>
        <v/>
      </c>
      <c r="M454" s="27">
        <f>IF($K454="","",IFERROR(INDEX(CONFIG!$D$4:$D$43,MATCH($K454,CONFIG!$A$4:$A$43,0)),"NO"))</f>
        <v/>
      </c>
      <c r="N454" s="49" t="n"/>
      <c r="O454" s="27">
        <f>IF($N454="","",IFERROR(INDEX(CONFIG!$G$4:$G$43,MATCH($N454,CONFIG!$F$4:$F$43,0)),"Por definir"))</f>
        <v/>
      </c>
      <c r="P454" s="27">
        <f>IF($N454="","",IFERROR(INDEX(CONFIG!$H$4:$H$43,MATCH($N454,CONFIG!$F$4:$F$43,0)),"Por definir"))</f>
        <v/>
      </c>
      <c r="Q454" s="50" t="n"/>
      <c r="R454" s="51" t="n"/>
      <c r="S454" s="49" t="n"/>
      <c r="T454" s="49" t="n"/>
      <c r="U454" s="48">
        <f>IF(OR($B454="",$K454=""),"",WORKDAY($B454,IFERROR(INDEX(CONFIG!$C$4:$C$43,MATCH($K454,CONFIG!$A$4:$A$43,0)),3)))</f>
        <v/>
      </c>
      <c r="V454" s="46" t="n"/>
      <c r="W454" s="23">
        <f>IF($B454="","",IF($V454&lt;&gt;"",$V454-$B454,TODAY()-$B454))</f>
        <v/>
      </c>
      <c r="X454" s="27">
        <f>IF($C454="","",IF(IFERROR(INDEX(CONFIG!$K$4:$K$43,MATCH($S454,CONFIG!$J$4:$J$43,0)),"NO")="SÍ",IF(OR($V454="",$U454=""),"Resuelta",IF($V454&gt;$U454,"Resuelta tarde","Resuelta a tiempo")),IF($U454="","Sin clasificar",IF(TODAY()&gt;$U454,"Vencida",IF(TODAY()&gt;=$U454-1,"Por vencer","En plazo")))))</f>
        <v/>
      </c>
      <c r="Y454" s="49" t="n"/>
      <c r="Z454" s="49" t="n"/>
    </row>
    <row r="455" ht="16" customHeight="1">
      <c r="A455" s="27">
        <f>IF($C455="","","N-"&amp;TEXT(ROW()-3,"0000"))</f>
        <v/>
      </c>
      <c r="B455" s="46" t="n"/>
      <c r="C455" s="47" t="n"/>
      <c r="D455" s="27">
        <f>IF($C455="","",IF(COUNTIFS(ENVIOS!$A$4:$A$3003,$C455)=0,"NO EXISTE",IF(COUNTIFS(ENVIOS!$A$4:$A$3003,$C455)&gt;1,"DUPLICADA","OK")))</f>
        <v/>
      </c>
      <c r="E455" s="22">
        <f>IF($C455="","",IFERROR(INDEX(ENVIOS!$C$4:$C$3003,MATCH($C455,ENVIOS!$A$4:$A$3003,0)),"—"))</f>
        <v/>
      </c>
      <c r="F455" s="22">
        <f>IF($C455="","",IFERROR(INDEX(ENVIOS!$D$4:$D$3003,MATCH($C455,ENVIOS!$A$4:$A$3003,0)),"—"))</f>
        <v/>
      </c>
      <c r="G455" s="22">
        <f>IF($C455="","",IFERROR(INDEX(ENVIOS!$E$4:$E$3003,MATCH($C455,ENVIOS!$A$4:$A$3003,0)),"—"))</f>
        <v/>
      </c>
      <c r="H455" s="22">
        <f>IF($C455="","",IFERROR(INDEX(ENVIOS!$F$4:$F$3003,MATCH($C455,ENVIOS!$A$4:$A$3003,0)),"—"))</f>
        <v/>
      </c>
      <c r="I455" s="27">
        <f>IF($C455="","",IFERROR(INDEX(ENVIOS!$G$4:$G$3003,MATCH($C455,ENVIOS!$A$4:$A$3003,0)),"—"))</f>
        <v/>
      </c>
      <c r="J455" s="48">
        <f>IF($C455="","",IFERROR(INDEX(ENVIOS!$B$4:$B$3003,MATCH($C455,ENVIOS!$A$4:$A$3003,0)),""))</f>
        <v/>
      </c>
      <c r="K455" s="49" t="n"/>
      <c r="L455" s="27">
        <f>IF($K455="","",IFERROR(INDEX(CONFIG!$B$4:$B$43,MATCH($K455,CONFIG!$A$4:$A$43,0)),"Media"))</f>
        <v/>
      </c>
      <c r="M455" s="27">
        <f>IF($K455="","",IFERROR(INDEX(CONFIG!$D$4:$D$43,MATCH($K455,CONFIG!$A$4:$A$43,0)),"NO"))</f>
        <v/>
      </c>
      <c r="N455" s="49" t="n"/>
      <c r="O455" s="27">
        <f>IF($N455="","",IFERROR(INDEX(CONFIG!$G$4:$G$43,MATCH($N455,CONFIG!$F$4:$F$43,0)),"Por definir"))</f>
        <v/>
      </c>
      <c r="P455" s="27">
        <f>IF($N455="","",IFERROR(INDEX(CONFIG!$H$4:$H$43,MATCH($N455,CONFIG!$F$4:$F$43,0)),"Por definir"))</f>
        <v/>
      </c>
      <c r="Q455" s="50" t="n"/>
      <c r="R455" s="51" t="n"/>
      <c r="S455" s="49" t="n"/>
      <c r="T455" s="49" t="n"/>
      <c r="U455" s="48">
        <f>IF(OR($B455="",$K455=""),"",WORKDAY($B455,IFERROR(INDEX(CONFIG!$C$4:$C$43,MATCH($K455,CONFIG!$A$4:$A$43,0)),3)))</f>
        <v/>
      </c>
      <c r="V455" s="46" t="n"/>
      <c r="W455" s="23">
        <f>IF($B455="","",IF($V455&lt;&gt;"",$V455-$B455,TODAY()-$B455))</f>
        <v/>
      </c>
      <c r="X455" s="27">
        <f>IF($C455="","",IF(IFERROR(INDEX(CONFIG!$K$4:$K$43,MATCH($S455,CONFIG!$J$4:$J$43,0)),"NO")="SÍ",IF(OR($V455="",$U455=""),"Resuelta",IF($V455&gt;$U455,"Resuelta tarde","Resuelta a tiempo")),IF($U455="","Sin clasificar",IF(TODAY()&gt;$U455,"Vencida",IF(TODAY()&gt;=$U455-1,"Por vencer","En plazo")))))</f>
        <v/>
      </c>
      <c r="Y455" s="49" t="n"/>
      <c r="Z455" s="49" t="n"/>
    </row>
    <row r="456" ht="16" customHeight="1">
      <c r="A456" s="27">
        <f>IF($C456="","","N-"&amp;TEXT(ROW()-3,"0000"))</f>
        <v/>
      </c>
      <c r="B456" s="46" t="n"/>
      <c r="C456" s="47" t="n"/>
      <c r="D456" s="27">
        <f>IF($C456="","",IF(COUNTIFS(ENVIOS!$A$4:$A$3003,$C456)=0,"NO EXISTE",IF(COUNTIFS(ENVIOS!$A$4:$A$3003,$C456)&gt;1,"DUPLICADA","OK")))</f>
        <v/>
      </c>
      <c r="E456" s="22">
        <f>IF($C456="","",IFERROR(INDEX(ENVIOS!$C$4:$C$3003,MATCH($C456,ENVIOS!$A$4:$A$3003,0)),"—"))</f>
        <v/>
      </c>
      <c r="F456" s="22">
        <f>IF($C456="","",IFERROR(INDEX(ENVIOS!$D$4:$D$3003,MATCH($C456,ENVIOS!$A$4:$A$3003,0)),"—"))</f>
        <v/>
      </c>
      <c r="G456" s="22">
        <f>IF($C456="","",IFERROR(INDEX(ENVIOS!$E$4:$E$3003,MATCH($C456,ENVIOS!$A$4:$A$3003,0)),"—"))</f>
        <v/>
      </c>
      <c r="H456" s="22">
        <f>IF($C456="","",IFERROR(INDEX(ENVIOS!$F$4:$F$3003,MATCH($C456,ENVIOS!$A$4:$A$3003,0)),"—"))</f>
        <v/>
      </c>
      <c r="I456" s="27">
        <f>IF($C456="","",IFERROR(INDEX(ENVIOS!$G$4:$G$3003,MATCH($C456,ENVIOS!$A$4:$A$3003,0)),"—"))</f>
        <v/>
      </c>
      <c r="J456" s="48">
        <f>IF($C456="","",IFERROR(INDEX(ENVIOS!$B$4:$B$3003,MATCH($C456,ENVIOS!$A$4:$A$3003,0)),""))</f>
        <v/>
      </c>
      <c r="K456" s="49" t="n"/>
      <c r="L456" s="27">
        <f>IF($K456="","",IFERROR(INDEX(CONFIG!$B$4:$B$43,MATCH($K456,CONFIG!$A$4:$A$43,0)),"Media"))</f>
        <v/>
      </c>
      <c r="M456" s="27">
        <f>IF($K456="","",IFERROR(INDEX(CONFIG!$D$4:$D$43,MATCH($K456,CONFIG!$A$4:$A$43,0)),"NO"))</f>
        <v/>
      </c>
      <c r="N456" s="49" t="n"/>
      <c r="O456" s="27">
        <f>IF($N456="","",IFERROR(INDEX(CONFIG!$G$4:$G$43,MATCH($N456,CONFIG!$F$4:$F$43,0)),"Por definir"))</f>
        <v/>
      </c>
      <c r="P456" s="27">
        <f>IF($N456="","",IFERROR(INDEX(CONFIG!$H$4:$H$43,MATCH($N456,CONFIG!$F$4:$F$43,0)),"Por definir"))</f>
        <v/>
      </c>
      <c r="Q456" s="50" t="n"/>
      <c r="R456" s="51" t="n"/>
      <c r="S456" s="49" t="n"/>
      <c r="T456" s="49" t="n"/>
      <c r="U456" s="48">
        <f>IF(OR($B456="",$K456=""),"",WORKDAY($B456,IFERROR(INDEX(CONFIG!$C$4:$C$43,MATCH($K456,CONFIG!$A$4:$A$43,0)),3)))</f>
        <v/>
      </c>
      <c r="V456" s="46" t="n"/>
      <c r="W456" s="23">
        <f>IF($B456="","",IF($V456&lt;&gt;"",$V456-$B456,TODAY()-$B456))</f>
        <v/>
      </c>
      <c r="X456" s="27">
        <f>IF($C456="","",IF(IFERROR(INDEX(CONFIG!$K$4:$K$43,MATCH($S456,CONFIG!$J$4:$J$43,0)),"NO")="SÍ",IF(OR($V456="",$U456=""),"Resuelta",IF($V456&gt;$U456,"Resuelta tarde","Resuelta a tiempo")),IF($U456="","Sin clasificar",IF(TODAY()&gt;$U456,"Vencida",IF(TODAY()&gt;=$U456-1,"Por vencer","En plazo")))))</f>
        <v/>
      </c>
      <c r="Y456" s="49" t="n"/>
      <c r="Z456" s="49" t="n"/>
    </row>
    <row r="457" ht="16" customHeight="1">
      <c r="A457" s="27">
        <f>IF($C457="","","N-"&amp;TEXT(ROW()-3,"0000"))</f>
        <v/>
      </c>
      <c r="B457" s="46" t="n"/>
      <c r="C457" s="47" t="n"/>
      <c r="D457" s="27">
        <f>IF($C457="","",IF(COUNTIFS(ENVIOS!$A$4:$A$3003,$C457)=0,"NO EXISTE",IF(COUNTIFS(ENVIOS!$A$4:$A$3003,$C457)&gt;1,"DUPLICADA","OK")))</f>
        <v/>
      </c>
      <c r="E457" s="22">
        <f>IF($C457="","",IFERROR(INDEX(ENVIOS!$C$4:$C$3003,MATCH($C457,ENVIOS!$A$4:$A$3003,0)),"—"))</f>
        <v/>
      </c>
      <c r="F457" s="22">
        <f>IF($C457="","",IFERROR(INDEX(ENVIOS!$D$4:$D$3003,MATCH($C457,ENVIOS!$A$4:$A$3003,0)),"—"))</f>
        <v/>
      </c>
      <c r="G457" s="22">
        <f>IF($C457="","",IFERROR(INDEX(ENVIOS!$E$4:$E$3003,MATCH($C457,ENVIOS!$A$4:$A$3003,0)),"—"))</f>
        <v/>
      </c>
      <c r="H457" s="22">
        <f>IF($C457="","",IFERROR(INDEX(ENVIOS!$F$4:$F$3003,MATCH($C457,ENVIOS!$A$4:$A$3003,0)),"—"))</f>
        <v/>
      </c>
      <c r="I457" s="27">
        <f>IF($C457="","",IFERROR(INDEX(ENVIOS!$G$4:$G$3003,MATCH($C457,ENVIOS!$A$4:$A$3003,0)),"—"))</f>
        <v/>
      </c>
      <c r="J457" s="48">
        <f>IF($C457="","",IFERROR(INDEX(ENVIOS!$B$4:$B$3003,MATCH($C457,ENVIOS!$A$4:$A$3003,0)),""))</f>
        <v/>
      </c>
      <c r="K457" s="49" t="n"/>
      <c r="L457" s="27">
        <f>IF($K457="","",IFERROR(INDEX(CONFIG!$B$4:$B$43,MATCH($K457,CONFIG!$A$4:$A$43,0)),"Media"))</f>
        <v/>
      </c>
      <c r="M457" s="27">
        <f>IF($K457="","",IFERROR(INDEX(CONFIG!$D$4:$D$43,MATCH($K457,CONFIG!$A$4:$A$43,0)),"NO"))</f>
        <v/>
      </c>
      <c r="N457" s="49" t="n"/>
      <c r="O457" s="27">
        <f>IF($N457="","",IFERROR(INDEX(CONFIG!$G$4:$G$43,MATCH($N457,CONFIG!$F$4:$F$43,0)),"Por definir"))</f>
        <v/>
      </c>
      <c r="P457" s="27">
        <f>IF($N457="","",IFERROR(INDEX(CONFIG!$H$4:$H$43,MATCH($N457,CONFIG!$F$4:$F$43,0)),"Por definir"))</f>
        <v/>
      </c>
      <c r="Q457" s="50" t="n"/>
      <c r="R457" s="51" t="n"/>
      <c r="S457" s="49" t="n"/>
      <c r="T457" s="49" t="n"/>
      <c r="U457" s="48">
        <f>IF(OR($B457="",$K457=""),"",WORKDAY($B457,IFERROR(INDEX(CONFIG!$C$4:$C$43,MATCH($K457,CONFIG!$A$4:$A$43,0)),3)))</f>
        <v/>
      </c>
      <c r="V457" s="46" t="n"/>
      <c r="W457" s="23">
        <f>IF($B457="","",IF($V457&lt;&gt;"",$V457-$B457,TODAY()-$B457))</f>
        <v/>
      </c>
      <c r="X457" s="27">
        <f>IF($C457="","",IF(IFERROR(INDEX(CONFIG!$K$4:$K$43,MATCH($S457,CONFIG!$J$4:$J$43,0)),"NO")="SÍ",IF(OR($V457="",$U457=""),"Resuelta",IF($V457&gt;$U457,"Resuelta tarde","Resuelta a tiempo")),IF($U457="","Sin clasificar",IF(TODAY()&gt;$U457,"Vencida",IF(TODAY()&gt;=$U457-1,"Por vencer","En plazo")))))</f>
        <v/>
      </c>
      <c r="Y457" s="49" t="n"/>
      <c r="Z457" s="49" t="n"/>
    </row>
    <row r="458" ht="16" customHeight="1">
      <c r="A458" s="27">
        <f>IF($C458="","","N-"&amp;TEXT(ROW()-3,"0000"))</f>
        <v/>
      </c>
      <c r="B458" s="46" t="n"/>
      <c r="C458" s="47" t="n"/>
      <c r="D458" s="27">
        <f>IF($C458="","",IF(COUNTIFS(ENVIOS!$A$4:$A$3003,$C458)=0,"NO EXISTE",IF(COUNTIFS(ENVIOS!$A$4:$A$3003,$C458)&gt;1,"DUPLICADA","OK")))</f>
        <v/>
      </c>
      <c r="E458" s="22">
        <f>IF($C458="","",IFERROR(INDEX(ENVIOS!$C$4:$C$3003,MATCH($C458,ENVIOS!$A$4:$A$3003,0)),"—"))</f>
        <v/>
      </c>
      <c r="F458" s="22">
        <f>IF($C458="","",IFERROR(INDEX(ENVIOS!$D$4:$D$3003,MATCH($C458,ENVIOS!$A$4:$A$3003,0)),"—"))</f>
        <v/>
      </c>
      <c r="G458" s="22">
        <f>IF($C458="","",IFERROR(INDEX(ENVIOS!$E$4:$E$3003,MATCH($C458,ENVIOS!$A$4:$A$3003,0)),"—"))</f>
        <v/>
      </c>
      <c r="H458" s="22">
        <f>IF($C458="","",IFERROR(INDEX(ENVIOS!$F$4:$F$3003,MATCH($C458,ENVIOS!$A$4:$A$3003,0)),"—"))</f>
        <v/>
      </c>
      <c r="I458" s="27">
        <f>IF($C458="","",IFERROR(INDEX(ENVIOS!$G$4:$G$3003,MATCH($C458,ENVIOS!$A$4:$A$3003,0)),"—"))</f>
        <v/>
      </c>
      <c r="J458" s="48">
        <f>IF($C458="","",IFERROR(INDEX(ENVIOS!$B$4:$B$3003,MATCH($C458,ENVIOS!$A$4:$A$3003,0)),""))</f>
        <v/>
      </c>
      <c r="K458" s="49" t="n"/>
      <c r="L458" s="27">
        <f>IF($K458="","",IFERROR(INDEX(CONFIG!$B$4:$B$43,MATCH($K458,CONFIG!$A$4:$A$43,0)),"Media"))</f>
        <v/>
      </c>
      <c r="M458" s="27">
        <f>IF($K458="","",IFERROR(INDEX(CONFIG!$D$4:$D$43,MATCH($K458,CONFIG!$A$4:$A$43,0)),"NO"))</f>
        <v/>
      </c>
      <c r="N458" s="49" t="n"/>
      <c r="O458" s="27">
        <f>IF($N458="","",IFERROR(INDEX(CONFIG!$G$4:$G$43,MATCH($N458,CONFIG!$F$4:$F$43,0)),"Por definir"))</f>
        <v/>
      </c>
      <c r="P458" s="27">
        <f>IF($N458="","",IFERROR(INDEX(CONFIG!$H$4:$H$43,MATCH($N458,CONFIG!$F$4:$F$43,0)),"Por definir"))</f>
        <v/>
      </c>
      <c r="Q458" s="50" t="n"/>
      <c r="R458" s="51" t="n"/>
      <c r="S458" s="49" t="n"/>
      <c r="T458" s="49" t="n"/>
      <c r="U458" s="48">
        <f>IF(OR($B458="",$K458=""),"",WORKDAY($B458,IFERROR(INDEX(CONFIG!$C$4:$C$43,MATCH($K458,CONFIG!$A$4:$A$43,0)),3)))</f>
        <v/>
      </c>
      <c r="V458" s="46" t="n"/>
      <c r="W458" s="23">
        <f>IF($B458="","",IF($V458&lt;&gt;"",$V458-$B458,TODAY()-$B458))</f>
        <v/>
      </c>
      <c r="X458" s="27">
        <f>IF($C458="","",IF(IFERROR(INDEX(CONFIG!$K$4:$K$43,MATCH($S458,CONFIG!$J$4:$J$43,0)),"NO")="SÍ",IF(OR($V458="",$U458=""),"Resuelta",IF($V458&gt;$U458,"Resuelta tarde","Resuelta a tiempo")),IF($U458="","Sin clasificar",IF(TODAY()&gt;$U458,"Vencida",IF(TODAY()&gt;=$U458-1,"Por vencer","En plazo")))))</f>
        <v/>
      </c>
      <c r="Y458" s="49" t="n"/>
      <c r="Z458" s="49" t="n"/>
    </row>
    <row r="459" ht="16" customHeight="1">
      <c r="A459" s="27">
        <f>IF($C459="","","N-"&amp;TEXT(ROW()-3,"0000"))</f>
        <v/>
      </c>
      <c r="B459" s="46" t="n"/>
      <c r="C459" s="47" t="n"/>
      <c r="D459" s="27">
        <f>IF($C459="","",IF(COUNTIFS(ENVIOS!$A$4:$A$3003,$C459)=0,"NO EXISTE",IF(COUNTIFS(ENVIOS!$A$4:$A$3003,$C459)&gt;1,"DUPLICADA","OK")))</f>
        <v/>
      </c>
      <c r="E459" s="22">
        <f>IF($C459="","",IFERROR(INDEX(ENVIOS!$C$4:$C$3003,MATCH($C459,ENVIOS!$A$4:$A$3003,0)),"—"))</f>
        <v/>
      </c>
      <c r="F459" s="22">
        <f>IF($C459="","",IFERROR(INDEX(ENVIOS!$D$4:$D$3003,MATCH($C459,ENVIOS!$A$4:$A$3003,0)),"—"))</f>
        <v/>
      </c>
      <c r="G459" s="22">
        <f>IF($C459="","",IFERROR(INDEX(ENVIOS!$E$4:$E$3003,MATCH($C459,ENVIOS!$A$4:$A$3003,0)),"—"))</f>
        <v/>
      </c>
      <c r="H459" s="22">
        <f>IF($C459="","",IFERROR(INDEX(ENVIOS!$F$4:$F$3003,MATCH($C459,ENVIOS!$A$4:$A$3003,0)),"—"))</f>
        <v/>
      </c>
      <c r="I459" s="27">
        <f>IF($C459="","",IFERROR(INDEX(ENVIOS!$G$4:$G$3003,MATCH($C459,ENVIOS!$A$4:$A$3003,0)),"—"))</f>
        <v/>
      </c>
      <c r="J459" s="48">
        <f>IF($C459="","",IFERROR(INDEX(ENVIOS!$B$4:$B$3003,MATCH($C459,ENVIOS!$A$4:$A$3003,0)),""))</f>
        <v/>
      </c>
      <c r="K459" s="49" t="n"/>
      <c r="L459" s="27">
        <f>IF($K459="","",IFERROR(INDEX(CONFIG!$B$4:$B$43,MATCH($K459,CONFIG!$A$4:$A$43,0)),"Media"))</f>
        <v/>
      </c>
      <c r="M459" s="27">
        <f>IF($K459="","",IFERROR(INDEX(CONFIG!$D$4:$D$43,MATCH($K459,CONFIG!$A$4:$A$43,0)),"NO"))</f>
        <v/>
      </c>
      <c r="N459" s="49" t="n"/>
      <c r="O459" s="27">
        <f>IF($N459="","",IFERROR(INDEX(CONFIG!$G$4:$G$43,MATCH($N459,CONFIG!$F$4:$F$43,0)),"Por definir"))</f>
        <v/>
      </c>
      <c r="P459" s="27">
        <f>IF($N459="","",IFERROR(INDEX(CONFIG!$H$4:$H$43,MATCH($N459,CONFIG!$F$4:$F$43,0)),"Por definir"))</f>
        <v/>
      </c>
      <c r="Q459" s="50" t="n"/>
      <c r="R459" s="51" t="n"/>
      <c r="S459" s="49" t="n"/>
      <c r="T459" s="49" t="n"/>
      <c r="U459" s="48">
        <f>IF(OR($B459="",$K459=""),"",WORKDAY($B459,IFERROR(INDEX(CONFIG!$C$4:$C$43,MATCH($K459,CONFIG!$A$4:$A$43,0)),3)))</f>
        <v/>
      </c>
      <c r="V459" s="46" t="n"/>
      <c r="W459" s="23">
        <f>IF($B459="","",IF($V459&lt;&gt;"",$V459-$B459,TODAY()-$B459))</f>
        <v/>
      </c>
      <c r="X459" s="27">
        <f>IF($C459="","",IF(IFERROR(INDEX(CONFIG!$K$4:$K$43,MATCH($S459,CONFIG!$J$4:$J$43,0)),"NO")="SÍ",IF(OR($V459="",$U459=""),"Resuelta",IF($V459&gt;$U459,"Resuelta tarde","Resuelta a tiempo")),IF($U459="","Sin clasificar",IF(TODAY()&gt;$U459,"Vencida",IF(TODAY()&gt;=$U459-1,"Por vencer","En plazo")))))</f>
        <v/>
      </c>
      <c r="Y459" s="49" t="n"/>
      <c r="Z459" s="49" t="n"/>
    </row>
    <row r="460" ht="16" customHeight="1">
      <c r="A460" s="27">
        <f>IF($C460="","","N-"&amp;TEXT(ROW()-3,"0000"))</f>
        <v/>
      </c>
      <c r="B460" s="46" t="n"/>
      <c r="C460" s="47" t="n"/>
      <c r="D460" s="27">
        <f>IF($C460="","",IF(COUNTIFS(ENVIOS!$A$4:$A$3003,$C460)=0,"NO EXISTE",IF(COUNTIFS(ENVIOS!$A$4:$A$3003,$C460)&gt;1,"DUPLICADA","OK")))</f>
        <v/>
      </c>
      <c r="E460" s="22">
        <f>IF($C460="","",IFERROR(INDEX(ENVIOS!$C$4:$C$3003,MATCH($C460,ENVIOS!$A$4:$A$3003,0)),"—"))</f>
        <v/>
      </c>
      <c r="F460" s="22">
        <f>IF($C460="","",IFERROR(INDEX(ENVIOS!$D$4:$D$3003,MATCH($C460,ENVIOS!$A$4:$A$3003,0)),"—"))</f>
        <v/>
      </c>
      <c r="G460" s="22">
        <f>IF($C460="","",IFERROR(INDEX(ENVIOS!$E$4:$E$3003,MATCH($C460,ENVIOS!$A$4:$A$3003,0)),"—"))</f>
        <v/>
      </c>
      <c r="H460" s="22">
        <f>IF($C460="","",IFERROR(INDEX(ENVIOS!$F$4:$F$3003,MATCH($C460,ENVIOS!$A$4:$A$3003,0)),"—"))</f>
        <v/>
      </c>
      <c r="I460" s="27">
        <f>IF($C460="","",IFERROR(INDEX(ENVIOS!$G$4:$G$3003,MATCH($C460,ENVIOS!$A$4:$A$3003,0)),"—"))</f>
        <v/>
      </c>
      <c r="J460" s="48">
        <f>IF($C460="","",IFERROR(INDEX(ENVIOS!$B$4:$B$3003,MATCH($C460,ENVIOS!$A$4:$A$3003,0)),""))</f>
        <v/>
      </c>
      <c r="K460" s="49" t="n"/>
      <c r="L460" s="27">
        <f>IF($K460="","",IFERROR(INDEX(CONFIG!$B$4:$B$43,MATCH($K460,CONFIG!$A$4:$A$43,0)),"Media"))</f>
        <v/>
      </c>
      <c r="M460" s="27">
        <f>IF($K460="","",IFERROR(INDEX(CONFIG!$D$4:$D$43,MATCH($K460,CONFIG!$A$4:$A$43,0)),"NO"))</f>
        <v/>
      </c>
      <c r="N460" s="49" t="n"/>
      <c r="O460" s="27">
        <f>IF($N460="","",IFERROR(INDEX(CONFIG!$G$4:$G$43,MATCH($N460,CONFIG!$F$4:$F$43,0)),"Por definir"))</f>
        <v/>
      </c>
      <c r="P460" s="27">
        <f>IF($N460="","",IFERROR(INDEX(CONFIG!$H$4:$H$43,MATCH($N460,CONFIG!$F$4:$F$43,0)),"Por definir"))</f>
        <v/>
      </c>
      <c r="Q460" s="50" t="n"/>
      <c r="R460" s="51" t="n"/>
      <c r="S460" s="49" t="n"/>
      <c r="T460" s="49" t="n"/>
      <c r="U460" s="48">
        <f>IF(OR($B460="",$K460=""),"",WORKDAY($B460,IFERROR(INDEX(CONFIG!$C$4:$C$43,MATCH($K460,CONFIG!$A$4:$A$43,0)),3)))</f>
        <v/>
      </c>
      <c r="V460" s="46" t="n"/>
      <c r="W460" s="23">
        <f>IF($B460="","",IF($V460&lt;&gt;"",$V460-$B460,TODAY()-$B460))</f>
        <v/>
      </c>
      <c r="X460" s="27">
        <f>IF($C460="","",IF(IFERROR(INDEX(CONFIG!$K$4:$K$43,MATCH($S460,CONFIG!$J$4:$J$43,0)),"NO")="SÍ",IF(OR($V460="",$U460=""),"Resuelta",IF($V460&gt;$U460,"Resuelta tarde","Resuelta a tiempo")),IF($U460="","Sin clasificar",IF(TODAY()&gt;$U460,"Vencida",IF(TODAY()&gt;=$U460-1,"Por vencer","En plazo")))))</f>
        <v/>
      </c>
      <c r="Y460" s="49" t="n"/>
      <c r="Z460" s="49" t="n"/>
    </row>
    <row r="461" ht="16" customHeight="1">
      <c r="A461" s="27">
        <f>IF($C461="","","N-"&amp;TEXT(ROW()-3,"0000"))</f>
        <v/>
      </c>
      <c r="B461" s="46" t="n"/>
      <c r="C461" s="47" t="n"/>
      <c r="D461" s="27">
        <f>IF($C461="","",IF(COUNTIFS(ENVIOS!$A$4:$A$3003,$C461)=0,"NO EXISTE",IF(COUNTIFS(ENVIOS!$A$4:$A$3003,$C461)&gt;1,"DUPLICADA","OK")))</f>
        <v/>
      </c>
      <c r="E461" s="22">
        <f>IF($C461="","",IFERROR(INDEX(ENVIOS!$C$4:$C$3003,MATCH($C461,ENVIOS!$A$4:$A$3003,0)),"—"))</f>
        <v/>
      </c>
      <c r="F461" s="22">
        <f>IF($C461="","",IFERROR(INDEX(ENVIOS!$D$4:$D$3003,MATCH($C461,ENVIOS!$A$4:$A$3003,0)),"—"))</f>
        <v/>
      </c>
      <c r="G461" s="22">
        <f>IF($C461="","",IFERROR(INDEX(ENVIOS!$E$4:$E$3003,MATCH($C461,ENVIOS!$A$4:$A$3003,0)),"—"))</f>
        <v/>
      </c>
      <c r="H461" s="22">
        <f>IF($C461="","",IFERROR(INDEX(ENVIOS!$F$4:$F$3003,MATCH($C461,ENVIOS!$A$4:$A$3003,0)),"—"))</f>
        <v/>
      </c>
      <c r="I461" s="27">
        <f>IF($C461="","",IFERROR(INDEX(ENVIOS!$G$4:$G$3003,MATCH($C461,ENVIOS!$A$4:$A$3003,0)),"—"))</f>
        <v/>
      </c>
      <c r="J461" s="48">
        <f>IF($C461="","",IFERROR(INDEX(ENVIOS!$B$4:$B$3003,MATCH($C461,ENVIOS!$A$4:$A$3003,0)),""))</f>
        <v/>
      </c>
      <c r="K461" s="49" t="n"/>
      <c r="L461" s="27">
        <f>IF($K461="","",IFERROR(INDEX(CONFIG!$B$4:$B$43,MATCH($K461,CONFIG!$A$4:$A$43,0)),"Media"))</f>
        <v/>
      </c>
      <c r="M461" s="27">
        <f>IF($K461="","",IFERROR(INDEX(CONFIG!$D$4:$D$43,MATCH($K461,CONFIG!$A$4:$A$43,0)),"NO"))</f>
        <v/>
      </c>
      <c r="N461" s="49" t="n"/>
      <c r="O461" s="27">
        <f>IF($N461="","",IFERROR(INDEX(CONFIG!$G$4:$G$43,MATCH($N461,CONFIG!$F$4:$F$43,0)),"Por definir"))</f>
        <v/>
      </c>
      <c r="P461" s="27">
        <f>IF($N461="","",IFERROR(INDEX(CONFIG!$H$4:$H$43,MATCH($N461,CONFIG!$F$4:$F$43,0)),"Por definir"))</f>
        <v/>
      </c>
      <c r="Q461" s="50" t="n"/>
      <c r="R461" s="51" t="n"/>
      <c r="S461" s="49" t="n"/>
      <c r="T461" s="49" t="n"/>
      <c r="U461" s="48">
        <f>IF(OR($B461="",$K461=""),"",WORKDAY($B461,IFERROR(INDEX(CONFIG!$C$4:$C$43,MATCH($K461,CONFIG!$A$4:$A$43,0)),3)))</f>
        <v/>
      </c>
      <c r="V461" s="46" t="n"/>
      <c r="W461" s="23">
        <f>IF($B461="","",IF($V461&lt;&gt;"",$V461-$B461,TODAY()-$B461))</f>
        <v/>
      </c>
      <c r="X461" s="27">
        <f>IF($C461="","",IF(IFERROR(INDEX(CONFIG!$K$4:$K$43,MATCH($S461,CONFIG!$J$4:$J$43,0)),"NO")="SÍ",IF(OR($V461="",$U461=""),"Resuelta",IF($V461&gt;$U461,"Resuelta tarde","Resuelta a tiempo")),IF($U461="","Sin clasificar",IF(TODAY()&gt;$U461,"Vencida",IF(TODAY()&gt;=$U461-1,"Por vencer","En plazo")))))</f>
        <v/>
      </c>
      <c r="Y461" s="49" t="n"/>
      <c r="Z461" s="49" t="n"/>
    </row>
    <row r="462" ht="16" customHeight="1">
      <c r="A462" s="27">
        <f>IF($C462="","","N-"&amp;TEXT(ROW()-3,"0000"))</f>
        <v/>
      </c>
      <c r="B462" s="46" t="n"/>
      <c r="C462" s="47" t="n"/>
      <c r="D462" s="27">
        <f>IF($C462="","",IF(COUNTIFS(ENVIOS!$A$4:$A$3003,$C462)=0,"NO EXISTE",IF(COUNTIFS(ENVIOS!$A$4:$A$3003,$C462)&gt;1,"DUPLICADA","OK")))</f>
        <v/>
      </c>
      <c r="E462" s="22">
        <f>IF($C462="","",IFERROR(INDEX(ENVIOS!$C$4:$C$3003,MATCH($C462,ENVIOS!$A$4:$A$3003,0)),"—"))</f>
        <v/>
      </c>
      <c r="F462" s="22">
        <f>IF($C462="","",IFERROR(INDEX(ENVIOS!$D$4:$D$3003,MATCH($C462,ENVIOS!$A$4:$A$3003,0)),"—"))</f>
        <v/>
      </c>
      <c r="G462" s="22">
        <f>IF($C462="","",IFERROR(INDEX(ENVIOS!$E$4:$E$3003,MATCH($C462,ENVIOS!$A$4:$A$3003,0)),"—"))</f>
        <v/>
      </c>
      <c r="H462" s="22">
        <f>IF($C462="","",IFERROR(INDEX(ENVIOS!$F$4:$F$3003,MATCH($C462,ENVIOS!$A$4:$A$3003,0)),"—"))</f>
        <v/>
      </c>
      <c r="I462" s="27">
        <f>IF($C462="","",IFERROR(INDEX(ENVIOS!$G$4:$G$3003,MATCH($C462,ENVIOS!$A$4:$A$3003,0)),"—"))</f>
        <v/>
      </c>
      <c r="J462" s="48">
        <f>IF($C462="","",IFERROR(INDEX(ENVIOS!$B$4:$B$3003,MATCH($C462,ENVIOS!$A$4:$A$3003,0)),""))</f>
        <v/>
      </c>
      <c r="K462" s="49" t="n"/>
      <c r="L462" s="27">
        <f>IF($K462="","",IFERROR(INDEX(CONFIG!$B$4:$B$43,MATCH($K462,CONFIG!$A$4:$A$43,0)),"Media"))</f>
        <v/>
      </c>
      <c r="M462" s="27">
        <f>IF($K462="","",IFERROR(INDEX(CONFIG!$D$4:$D$43,MATCH($K462,CONFIG!$A$4:$A$43,0)),"NO"))</f>
        <v/>
      </c>
      <c r="N462" s="49" t="n"/>
      <c r="O462" s="27">
        <f>IF($N462="","",IFERROR(INDEX(CONFIG!$G$4:$G$43,MATCH($N462,CONFIG!$F$4:$F$43,0)),"Por definir"))</f>
        <v/>
      </c>
      <c r="P462" s="27">
        <f>IF($N462="","",IFERROR(INDEX(CONFIG!$H$4:$H$43,MATCH($N462,CONFIG!$F$4:$F$43,0)),"Por definir"))</f>
        <v/>
      </c>
      <c r="Q462" s="50" t="n"/>
      <c r="R462" s="51" t="n"/>
      <c r="S462" s="49" t="n"/>
      <c r="T462" s="49" t="n"/>
      <c r="U462" s="48">
        <f>IF(OR($B462="",$K462=""),"",WORKDAY($B462,IFERROR(INDEX(CONFIG!$C$4:$C$43,MATCH($K462,CONFIG!$A$4:$A$43,0)),3)))</f>
        <v/>
      </c>
      <c r="V462" s="46" t="n"/>
      <c r="W462" s="23">
        <f>IF($B462="","",IF($V462&lt;&gt;"",$V462-$B462,TODAY()-$B462))</f>
        <v/>
      </c>
      <c r="X462" s="27">
        <f>IF($C462="","",IF(IFERROR(INDEX(CONFIG!$K$4:$K$43,MATCH($S462,CONFIG!$J$4:$J$43,0)),"NO")="SÍ",IF(OR($V462="",$U462=""),"Resuelta",IF($V462&gt;$U462,"Resuelta tarde","Resuelta a tiempo")),IF($U462="","Sin clasificar",IF(TODAY()&gt;$U462,"Vencida",IF(TODAY()&gt;=$U462-1,"Por vencer","En plazo")))))</f>
        <v/>
      </c>
      <c r="Y462" s="49" t="n"/>
      <c r="Z462" s="49" t="n"/>
    </row>
    <row r="463" ht="16" customHeight="1">
      <c r="A463" s="27">
        <f>IF($C463="","","N-"&amp;TEXT(ROW()-3,"0000"))</f>
        <v/>
      </c>
      <c r="B463" s="46" t="n"/>
      <c r="C463" s="47" t="n"/>
      <c r="D463" s="27">
        <f>IF($C463="","",IF(COUNTIFS(ENVIOS!$A$4:$A$3003,$C463)=0,"NO EXISTE",IF(COUNTIFS(ENVIOS!$A$4:$A$3003,$C463)&gt;1,"DUPLICADA","OK")))</f>
        <v/>
      </c>
      <c r="E463" s="22">
        <f>IF($C463="","",IFERROR(INDEX(ENVIOS!$C$4:$C$3003,MATCH($C463,ENVIOS!$A$4:$A$3003,0)),"—"))</f>
        <v/>
      </c>
      <c r="F463" s="22">
        <f>IF($C463="","",IFERROR(INDEX(ENVIOS!$D$4:$D$3003,MATCH($C463,ENVIOS!$A$4:$A$3003,0)),"—"))</f>
        <v/>
      </c>
      <c r="G463" s="22">
        <f>IF($C463="","",IFERROR(INDEX(ENVIOS!$E$4:$E$3003,MATCH($C463,ENVIOS!$A$4:$A$3003,0)),"—"))</f>
        <v/>
      </c>
      <c r="H463" s="22">
        <f>IF($C463="","",IFERROR(INDEX(ENVIOS!$F$4:$F$3003,MATCH($C463,ENVIOS!$A$4:$A$3003,0)),"—"))</f>
        <v/>
      </c>
      <c r="I463" s="27">
        <f>IF($C463="","",IFERROR(INDEX(ENVIOS!$G$4:$G$3003,MATCH($C463,ENVIOS!$A$4:$A$3003,0)),"—"))</f>
        <v/>
      </c>
      <c r="J463" s="48">
        <f>IF($C463="","",IFERROR(INDEX(ENVIOS!$B$4:$B$3003,MATCH($C463,ENVIOS!$A$4:$A$3003,0)),""))</f>
        <v/>
      </c>
      <c r="K463" s="49" t="n"/>
      <c r="L463" s="27">
        <f>IF($K463="","",IFERROR(INDEX(CONFIG!$B$4:$B$43,MATCH($K463,CONFIG!$A$4:$A$43,0)),"Media"))</f>
        <v/>
      </c>
      <c r="M463" s="27">
        <f>IF($K463="","",IFERROR(INDEX(CONFIG!$D$4:$D$43,MATCH($K463,CONFIG!$A$4:$A$43,0)),"NO"))</f>
        <v/>
      </c>
      <c r="N463" s="49" t="n"/>
      <c r="O463" s="27">
        <f>IF($N463="","",IFERROR(INDEX(CONFIG!$G$4:$G$43,MATCH($N463,CONFIG!$F$4:$F$43,0)),"Por definir"))</f>
        <v/>
      </c>
      <c r="P463" s="27">
        <f>IF($N463="","",IFERROR(INDEX(CONFIG!$H$4:$H$43,MATCH($N463,CONFIG!$F$4:$F$43,0)),"Por definir"))</f>
        <v/>
      </c>
      <c r="Q463" s="50" t="n"/>
      <c r="R463" s="51" t="n"/>
      <c r="S463" s="49" t="n"/>
      <c r="T463" s="49" t="n"/>
      <c r="U463" s="48">
        <f>IF(OR($B463="",$K463=""),"",WORKDAY($B463,IFERROR(INDEX(CONFIG!$C$4:$C$43,MATCH($K463,CONFIG!$A$4:$A$43,0)),3)))</f>
        <v/>
      </c>
      <c r="V463" s="46" t="n"/>
      <c r="W463" s="23">
        <f>IF($B463="","",IF($V463&lt;&gt;"",$V463-$B463,TODAY()-$B463))</f>
        <v/>
      </c>
      <c r="X463" s="27">
        <f>IF($C463="","",IF(IFERROR(INDEX(CONFIG!$K$4:$K$43,MATCH($S463,CONFIG!$J$4:$J$43,0)),"NO")="SÍ",IF(OR($V463="",$U463=""),"Resuelta",IF($V463&gt;$U463,"Resuelta tarde","Resuelta a tiempo")),IF($U463="","Sin clasificar",IF(TODAY()&gt;$U463,"Vencida",IF(TODAY()&gt;=$U463-1,"Por vencer","En plazo")))))</f>
        <v/>
      </c>
      <c r="Y463" s="49" t="n"/>
      <c r="Z463" s="49" t="n"/>
    </row>
    <row r="464" ht="16" customHeight="1">
      <c r="A464" s="27">
        <f>IF($C464="","","N-"&amp;TEXT(ROW()-3,"0000"))</f>
        <v/>
      </c>
      <c r="B464" s="46" t="n"/>
      <c r="C464" s="47" t="n"/>
      <c r="D464" s="27">
        <f>IF($C464="","",IF(COUNTIFS(ENVIOS!$A$4:$A$3003,$C464)=0,"NO EXISTE",IF(COUNTIFS(ENVIOS!$A$4:$A$3003,$C464)&gt;1,"DUPLICADA","OK")))</f>
        <v/>
      </c>
      <c r="E464" s="22">
        <f>IF($C464="","",IFERROR(INDEX(ENVIOS!$C$4:$C$3003,MATCH($C464,ENVIOS!$A$4:$A$3003,0)),"—"))</f>
        <v/>
      </c>
      <c r="F464" s="22">
        <f>IF($C464="","",IFERROR(INDEX(ENVIOS!$D$4:$D$3003,MATCH($C464,ENVIOS!$A$4:$A$3003,0)),"—"))</f>
        <v/>
      </c>
      <c r="G464" s="22">
        <f>IF($C464="","",IFERROR(INDEX(ENVIOS!$E$4:$E$3003,MATCH($C464,ENVIOS!$A$4:$A$3003,0)),"—"))</f>
        <v/>
      </c>
      <c r="H464" s="22">
        <f>IF($C464="","",IFERROR(INDEX(ENVIOS!$F$4:$F$3003,MATCH($C464,ENVIOS!$A$4:$A$3003,0)),"—"))</f>
        <v/>
      </c>
      <c r="I464" s="27">
        <f>IF($C464="","",IFERROR(INDEX(ENVIOS!$G$4:$G$3003,MATCH($C464,ENVIOS!$A$4:$A$3003,0)),"—"))</f>
        <v/>
      </c>
      <c r="J464" s="48">
        <f>IF($C464="","",IFERROR(INDEX(ENVIOS!$B$4:$B$3003,MATCH($C464,ENVIOS!$A$4:$A$3003,0)),""))</f>
        <v/>
      </c>
      <c r="K464" s="49" t="n"/>
      <c r="L464" s="27">
        <f>IF($K464="","",IFERROR(INDEX(CONFIG!$B$4:$B$43,MATCH($K464,CONFIG!$A$4:$A$43,0)),"Media"))</f>
        <v/>
      </c>
      <c r="M464" s="27">
        <f>IF($K464="","",IFERROR(INDEX(CONFIG!$D$4:$D$43,MATCH($K464,CONFIG!$A$4:$A$43,0)),"NO"))</f>
        <v/>
      </c>
      <c r="N464" s="49" t="n"/>
      <c r="O464" s="27">
        <f>IF($N464="","",IFERROR(INDEX(CONFIG!$G$4:$G$43,MATCH($N464,CONFIG!$F$4:$F$43,0)),"Por definir"))</f>
        <v/>
      </c>
      <c r="P464" s="27">
        <f>IF($N464="","",IFERROR(INDEX(CONFIG!$H$4:$H$43,MATCH($N464,CONFIG!$F$4:$F$43,0)),"Por definir"))</f>
        <v/>
      </c>
      <c r="Q464" s="50" t="n"/>
      <c r="R464" s="51" t="n"/>
      <c r="S464" s="49" t="n"/>
      <c r="T464" s="49" t="n"/>
      <c r="U464" s="48">
        <f>IF(OR($B464="",$K464=""),"",WORKDAY($B464,IFERROR(INDEX(CONFIG!$C$4:$C$43,MATCH($K464,CONFIG!$A$4:$A$43,0)),3)))</f>
        <v/>
      </c>
      <c r="V464" s="46" t="n"/>
      <c r="W464" s="23">
        <f>IF($B464="","",IF($V464&lt;&gt;"",$V464-$B464,TODAY()-$B464))</f>
        <v/>
      </c>
      <c r="X464" s="27">
        <f>IF($C464="","",IF(IFERROR(INDEX(CONFIG!$K$4:$K$43,MATCH($S464,CONFIG!$J$4:$J$43,0)),"NO")="SÍ",IF(OR($V464="",$U464=""),"Resuelta",IF($V464&gt;$U464,"Resuelta tarde","Resuelta a tiempo")),IF($U464="","Sin clasificar",IF(TODAY()&gt;$U464,"Vencida",IF(TODAY()&gt;=$U464-1,"Por vencer","En plazo")))))</f>
        <v/>
      </c>
      <c r="Y464" s="49" t="n"/>
      <c r="Z464" s="49" t="n"/>
    </row>
    <row r="465" ht="16" customHeight="1">
      <c r="A465" s="27">
        <f>IF($C465="","","N-"&amp;TEXT(ROW()-3,"0000"))</f>
        <v/>
      </c>
      <c r="B465" s="46" t="n"/>
      <c r="C465" s="47" t="n"/>
      <c r="D465" s="27">
        <f>IF($C465="","",IF(COUNTIFS(ENVIOS!$A$4:$A$3003,$C465)=0,"NO EXISTE",IF(COUNTIFS(ENVIOS!$A$4:$A$3003,$C465)&gt;1,"DUPLICADA","OK")))</f>
        <v/>
      </c>
      <c r="E465" s="22">
        <f>IF($C465="","",IFERROR(INDEX(ENVIOS!$C$4:$C$3003,MATCH($C465,ENVIOS!$A$4:$A$3003,0)),"—"))</f>
        <v/>
      </c>
      <c r="F465" s="22">
        <f>IF($C465="","",IFERROR(INDEX(ENVIOS!$D$4:$D$3003,MATCH($C465,ENVIOS!$A$4:$A$3003,0)),"—"))</f>
        <v/>
      </c>
      <c r="G465" s="22">
        <f>IF($C465="","",IFERROR(INDEX(ENVIOS!$E$4:$E$3003,MATCH($C465,ENVIOS!$A$4:$A$3003,0)),"—"))</f>
        <v/>
      </c>
      <c r="H465" s="22">
        <f>IF($C465="","",IFERROR(INDEX(ENVIOS!$F$4:$F$3003,MATCH($C465,ENVIOS!$A$4:$A$3003,0)),"—"))</f>
        <v/>
      </c>
      <c r="I465" s="27">
        <f>IF($C465="","",IFERROR(INDEX(ENVIOS!$G$4:$G$3003,MATCH($C465,ENVIOS!$A$4:$A$3003,0)),"—"))</f>
        <v/>
      </c>
      <c r="J465" s="48">
        <f>IF($C465="","",IFERROR(INDEX(ENVIOS!$B$4:$B$3003,MATCH($C465,ENVIOS!$A$4:$A$3003,0)),""))</f>
        <v/>
      </c>
      <c r="K465" s="49" t="n"/>
      <c r="L465" s="27">
        <f>IF($K465="","",IFERROR(INDEX(CONFIG!$B$4:$B$43,MATCH($K465,CONFIG!$A$4:$A$43,0)),"Media"))</f>
        <v/>
      </c>
      <c r="M465" s="27">
        <f>IF($K465="","",IFERROR(INDEX(CONFIG!$D$4:$D$43,MATCH($K465,CONFIG!$A$4:$A$43,0)),"NO"))</f>
        <v/>
      </c>
      <c r="N465" s="49" t="n"/>
      <c r="O465" s="27">
        <f>IF($N465="","",IFERROR(INDEX(CONFIG!$G$4:$G$43,MATCH($N465,CONFIG!$F$4:$F$43,0)),"Por definir"))</f>
        <v/>
      </c>
      <c r="P465" s="27">
        <f>IF($N465="","",IFERROR(INDEX(CONFIG!$H$4:$H$43,MATCH($N465,CONFIG!$F$4:$F$43,0)),"Por definir"))</f>
        <v/>
      </c>
      <c r="Q465" s="50" t="n"/>
      <c r="R465" s="51" t="n"/>
      <c r="S465" s="49" t="n"/>
      <c r="T465" s="49" t="n"/>
      <c r="U465" s="48">
        <f>IF(OR($B465="",$K465=""),"",WORKDAY($B465,IFERROR(INDEX(CONFIG!$C$4:$C$43,MATCH($K465,CONFIG!$A$4:$A$43,0)),3)))</f>
        <v/>
      </c>
      <c r="V465" s="46" t="n"/>
      <c r="W465" s="23">
        <f>IF($B465="","",IF($V465&lt;&gt;"",$V465-$B465,TODAY()-$B465))</f>
        <v/>
      </c>
      <c r="X465" s="27">
        <f>IF($C465="","",IF(IFERROR(INDEX(CONFIG!$K$4:$K$43,MATCH($S465,CONFIG!$J$4:$J$43,0)),"NO")="SÍ",IF(OR($V465="",$U465=""),"Resuelta",IF($V465&gt;$U465,"Resuelta tarde","Resuelta a tiempo")),IF($U465="","Sin clasificar",IF(TODAY()&gt;$U465,"Vencida",IF(TODAY()&gt;=$U465-1,"Por vencer","En plazo")))))</f>
        <v/>
      </c>
      <c r="Y465" s="49" t="n"/>
      <c r="Z465" s="49" t="n"/>
    </row>
    <row r="466" ht="16" customHeight="1">
      <c r="A466" s="27">
        <f>IF($C466="","","N-"&amp;TEXT(ROW()-3,"0000"))</f>
        <v/>
      </c>
      <c r="B466" s="46" t="n"/>
      <c r="C466" s="47" t="n"/>
      <c r="D466" s="27">
        <f>IF($C466="","",IF(COUNTIFS(ENVIOS!$A$4:$A$3003,$C466)=0,"NO EXISTE",IF(COUNTIFS(ENVIOS!$A$4:$A$3003,$C466)&gt;1,"DUPLICADA","OK")))</f>
        <v/>
      </c>
      <c r="E466" s="22">
        <f>IF($C466="","",IFERROR(INDEX(ENVIOS!$C$4:$C$3003,MATCH($C466,ENVIOS!$A$4:$A$3003,0)),"—"))</f>
        <v/>
      </c>
      <c r="F466" s="22">
        <f>IF($C466="","",IFERROR(INDEX(ENVIOS!$D$4:$D$3003,MATCH($C466,ENVIOS!$A$4:$A$3003,0)),"—"))</f>
        <v/>
      </c>
      <c r="G466" s="22">
        <f>IF($C466="","",IFERROR(INDEX(ENVIOS!$E$4:$E$3003,MATCH($C466,ENVIOS!$A$4:$A$3003,0)),"—"))</f>
        <v/>
      </c>
      <c r="H466" s="22">
        <f>IF($C466="","",IFERROR(INDEX(ENVIOS!$F$4:$F$3003,MATCH($C466,ENVIOS!$A$4:$A$3003,0)),"—"))</f>
        <v/>
      </c>
      <c r="I466" s="27">
        <f>IF($C466="","",IFERROR(INDEX(ENVIOS!$G$4:$G$3003,MATCH($C466,ENVIOS!$A$4:$A$3003,0)),"—"))</f>
        <v/>
      </c>
      <c r="J466" s="48">
        <f>IF($C466="","",IFERROR(INDEX(ENVIOS!$B$4:$B$3003,MATCH($C466,ENVIOS!$A$4:$A$3003,0)),""))</f>
        <v/>
      </c>
      <c r="K466" s="49" t="n"/>
      <c r="L466" s="27">
        <f>IF($K466="","",IFERROR(INDEX(CONFIG!$B$4:$B$43,MATCH($K466,CONFIG!$A$4:$A$43,0)),"Media"))</f>
        <v/>
      </c>
      <c r="M466" s="27">
        <f>IF($K466="","",IFERROR(INDEX(CONFIG!$D$4:$D$43,MATCH($K466,CONFIG!$A$4:$A$43,0)),"NO"))</f>
        <v/>
      </c>
      <c r="N466" s="49" t="n"/>
      <c r="O466" s="27">
        <f>IF($N466="","",IFERROR(INDEX(CONFIG!$G$4:$G$43,MATCH($N466,CONFIG!$F$4:$F$43,0)),"Por definir"))</f>
        <v/>
      </c>
      <c r="P466" s="27">
        <f>IF($N466="","",IFERROR(INDEX(CONFIG!$H$4:$H$43,MATCH($N466,CONFIG!$F$4:$F$43,0)),"Por definir"))</f>
        <v/>
      </c>
      <c r="Q466" s="50" t="n"/>
      <c r="R466" s="51" t="n"/>
      <c r="S466" s="49" t="n"/>
      <c r="T466" s="49" t="n"/>
      <c r="U466" s="48">
        <f>IF(OR($B466="",$K466=""),"",WORKDAY($B466,IFERROR(INDEX(CONFIG!$C$4:$C$43,MATCH($K466,CONFIG!$A$4:$A$43,0)),3)))</f>
        <v/>
      </c>
      <c r="V466" s="46" t="n"/>
      <c r="W466" s="23">
        <f>IF($B466="","",IF($V466&lt;&gt;"",$V466-$B466,TODAY()-$B466))</f>
        <v/>
      </c>
      <c r="X466" s="27">
        <f>IF($C466="","",IF(IFERROR(INDEX(CONFIG!$K$4:$K$43,MATCH($S466,CONFIG!$J$4:$J$43,0)),"NO")="SÍ",IF(OR($V466="",$U466=""),"Resuelta",IF($V466&gt;$U466,"Resuelta tarde","Resuelta a tiempo")),IF($U466="","Sin clasificar",IF(TODAY()&gt;$U466,"Vencida",IF(TODAY()&gt;=$U466-1,"Por vencer","En plazo")))))</f>
        <v/>
      </c>
      <c r="Y466" s="49" t="n"/>
      <c r="Z466" s="49" t="n"/>
    </row>
    <row r="467" ht="16" customHeight="1">
      <c r="A467" s="27">
        <f>IF($C467="","","N-"&amp;TEXT(ROW()-3,"0000"))</f>
        <v/>
      </c>
      <c r="B467" s="46" t="n"/>
      <c r="C467" s="47" t="n"/>
      <c r="D467" s="27">
        <f>IF($C467="","",IF(COUNTIFS(ENVIOS!$A$4:$A$3003,$C467)=0,"NO EXISTE",IF(COUNTIFS(ENVIOS!$A$4:$A$3003,$C467)&gt;1,"DUPLICADA","OK")))</f>
        <v/>
      </c>
      <c r="E467" s="22">
        <f>IF($C467="","",IFERROR(INDEX(ENVIOS!$C$4:$C$3003,MATCH($C467,ENVIOS!$A$4:$A$3003,0)),"—"))</f>
        <v/>
      </c>
      <c r="F467" s="22">
        <f>IF($C467="","",IFERROR(INDEX(ENVIOS!$D$4:$D$3003,MATCH($C467,ENVIOS!$A$4:$A$3003,0)),"—"))</f>
        <v/>
      </c>
      <c r="G467" s="22">
        <f>IF($C467="","",IFERROR(INDEX(ENVIOS!$E$4:$E$3003,MATCH($C467,ENVIOS!$A$4:$A$3003,0)),"—"))</f>
        <v/>
      </c>
      <c r="H467" s="22">
        <f>IF($C467="","",IFERROR(INDEX(ENVIOS!$F$4:$F$3003,MATCH($C467,ENVIOS!$A$4:$A$3003,0)),"—"))</f>
        <v/>
      </c>
      <c r="I467" s="27">
        <f>IF($C467="","",IFERROR(INDEX(ENVIOS!$G$4:$G$3003,MATCH($C467,ENVIOS!$A$4:$A$3003,0)),"—"))</f>
        <v/>
      </c>
      <c r="J467" s="48">
        <f>IF($C467="","",IFERROR(INDEX(ENVIOS!$B$4:$B$3003,MATCH($C467,ENVIOS!$A$4:$A$3003,0)),""))</f>
        <v/>
      </c>
      <c r="K467" s="49" t="n"/>
      <c r="L467" s="27">
        <f>IF($K467="","",IFERROR(INDEX(CONFIG!$B$4:$B$43,MATCH($K467,CONFIG!$A$4:$A$43,0)),"Media"))</f>
        <v/>
      </c>
      <c r="M467" s="27">
        <f>IF($K467="","",IFERROR(INDEX(CONFIG!$D$4:$D$43,MATCH($K467,CONFIG!$A$4:$A$43,0)),"NO"))</f>
        <v/>
      </c>
      <c r="N467" s="49" t="n"/>
      <c r="O467" s="27">
        <f>IF($N467="","",IFERROR(INDEX(CONFIG!$G$4:$G$43,MATCH($N467,CONFIG!$F$4:$F$43,0)),"Por definir"))</f>
        <v/>
      </c>
      <c r="P467" s="27">
        <f>IF($N467="","",IFERROR(INDEX(CONFIG!$H$4:$H$43,MATCH($N467,CONFIG!$F$4:$F$43,0)),"Por definir"))</f>
        <v/>
      </c>
      <c r="Q467" s="50" t="n"/>
      <c r="R467" s="51" t="n"/>
      <c r="S467" s="49" t="n"/>
      <c r="T467" s="49" t="n"/>
      <c r="U467" s="48">
        <f>IF(OR($B467="",$K467=""),"",WORKDAY($B467,IFERROR(INDEX(CONFIG!$C$4:$C$43,MATCH($K467,CONFIG!$A$4:$A$43,0)),3)))</f>
        <v/>
      </c>
      <c r="V467" s="46" t="n"/>
      <c r="W467" s="23">
        <f>IF($B467="","",IF($V467&lt;&gt;"",$V467-$B467,TODAY()-$B467))</f>
        <v/>
      </c>
      <c r="X467" s="27">
        <f>IF($C467="","",IF(IFERROR(INDEX(CONFIG!$K$4:$K$43,MATCH($S467,CONFIG!$J$4:$J$43,0)),"NO")="SÍ",IF(OR($V467="",$U467=""),"Resuelta",IF($V467&gt;$U467,"Resuelta tarde","Resuelta a tiempo")),IF($U467="","Sin clasificar",IF(TODAY()&gt;$U467,"Vencida",IF(TODAY()&gt;=$U467-1,"Por vencer","En plazo")))))</f>
        <v/>
      </c>
      <c r="Y467" s="49" t="n"/>
      <c r="Z467" s="49" t="n"/>
    </row>
    <row r="468" ht="16" customHeight="1">
      <c r="A468" s="27">
        <f>IF($C468="","","N-"&amp;TEXT(ROW()-3,"0000"))</f>
        <v/>
      </c>
      <c r="B468" s="46" t="n"/>
      <c r="C468" s="47" t="n"/>
      <c r="D468" s="27">
        <f>IF($C468="","",IF(COUNTIFS(ENVIOS!$A$4:$A$3003,$C468)=0,"NO EXISTE",IF(COUNTIFS(ENVIOS!$A$4:$A$3003,$C468)&gt;1,"DUPLICADA","OK")))</f>
        <v/>
      </c>
      <c r="E468" s="22">
        <f>IF($C468="","",IFERROR(INDEX(ENVIOS!$C$4:$C$3003,MATCH($C468,ENVIOS!$A$4:$A$3003,0)),"—"))</f>
        <v/>
      </c>
      <c r="F468" s="22">
        <f>IF($C468="","",IFERROR(INDEX(ENVIOS!$D$4:$D$3003,MATCH($C468,ENVIOS!$A$4:$A$3003,0)),"—"))</f>
        <v/>
      </c>
      <c r="G468" s="22">
        <f>IF($C468="","",IFERROR(INDEX(ENVIOS!$E$4:$E$3003,MATCH($C468,ENVIOS!$A$4:$A$3003,0)),"—"))</f>
        <v/>
      </c>
      <c r="H468" s="22">
        <f>IF($C468="","",IFERROR(INDEX(ENVIOS!$F$4:$F$3003,MATCH($C468,ENVIOS!$A$4:$A$3003,0)),"—"))</f>
        <v/>
      </c>
      <c r="I468" s="27">
        <f>IF($C468="","",IFERROR(INDEX(ENVIOS!$G$4:$G$3003,MATCH($C468,ENVIOS!$A$4:$A$3003,0)),"—"))</f>
        <v/>
      </c>
      <c r="J468" s="48">
        <f>IF($C468="","",IFERROR(INDEX(ENVIOS!$B$4:$B$3003,MATCH($C468,ENVIOS!$A$4:$A$3003,0)),""))</f>
        <v/>
      </c>
      <c r="K468" s="49" t="n"/>
      <c r="L468" s="27">
        <f>IF($K468="","",IFERROR(INDEX(CONFIG!$B$4:$B$43,MATCH($K468,CONFIG!$A$4:$A$43,0)),"Media"))</f>
        <v/>
      </c>
      <c r="M468" s="27">
        <f>IF($K468="","",IFERROR(INDEX(CONFIG!$D$4:$D$43,MATCH($K468,CONFIG!$A$4:$A$43,0)),"NO"))</f>
        <v/>
      </c>
      <c r="N468" s="49" t="n"/>
      <c r="O468" s="27">
        <f>IF($N468="","",IFERROR(INDEX(CONFIG!$G$4:$G$43,MATCH($N468,CONFIG!$F$4:$F$43,0)),"Por definir"))</f>
        <v/>
      </c>
      <c r="P468" s="27">
        <f>IF($N468="","",IFERROR(INDEX(CONFIG!$H$4:$H$43,MATCH($N468,CONFIG!$F$4:$F$43,0)),"Por definir"))</f>
        <v/>
      </c>
      <c r="Q468" s="50" t="n"/>
      <c r="R468" s="51" t="n"/>
      <c r="S468" s="49" t="n"/>
      <c r="T468" s="49" t="n"/>
      <c r="U468" s="48">
        <f>IF(OR($B468="",$K468=""),"",WORKDAY($B468,IFERROR(INDEX(CONFIG!$C$4:$C$43,MATCH($K468,CONFIG!$A$4:$A$43,0)),3)))</f>
        <v/>
      </c>
      <c r="V468" s="46" t="n"/>
      <c r="W468" s="23">
        <f>IF($B468="","",IF($V468&lt;&gt;"",$V468-$B468,TODAY()-$B468))</f>
        <v/>
      </c>
      <c r="X468" s="27">
        <f>IF($C468="","",IF(IFERROR(INDEX(CONFIG!$K$4:$K$43,MATCH($S468,CONFIG!$J$4:$J$43,0)),"NO")="SÍ",IF(OR($V468="",$U468=""),"Resuelta",IF($V468&gt;$U468,"Resuelta tarde","Resuelta a tiempo")),IF($U468="","Sin clasificar",IF(TODAY()&gt;$U468,"Vencida",IF(TODAY()&gt;=$U468-1,"Por vencer","En plazo")))))</f>
        <v/>
      </c>
      <c r="Y468" s="49" t="n"/>
      <c r="Z468" s="49" t="n"/>
    </row>
    <row r="469" ht="16" customHeight="1">
      <c r="A469" s="27">
        <f>IF($C469="","","N-"&amp;TEXT(ROW()-3,"0000"))</f>
        <v/>
      </c>
      <c r="B469" s="46" t="n"/>
      <c r="C469" s="47" t="n"/>
      <c r="D469" s="27">
        <f>IF($C469="","",IF(COUNTIFS(ENVIOS!$A$4:$A$3003,$C469)=0,"NO EXISTE",IF(COUNTIFS(ENVIOS!$A$4:$A$3003,$C469)&gt;1,"DUPLICADA","OK")))</f>
        <v/>
      </c>
      <c r="E469" s="22">
        <f>IF($C469="","",IFERROR(INDEX(ENVIOS!$C$4:$C$3003,MATCH($C469,ENVIOS!$A$4:$A$3003,0)),"—"))</f>
        <v/>
      </c>
      <c r="F469" s="22">
        <f>IF($C469="","",IFERROR(INDEX(ENVIOS!$D$4:$D$3003,MATCH($C469,ENVIOS!$A$4:$A$3003,0)),"—"))</f>
        <v/>
      </c>
      <c r="G469" s="22">
        <f>IF($C469="","",IFERROR(INDEX(ENVIOS!$E$4:$E$3003,MATCH($C469,ENVIOS!$A$4:$A$3003,0)),"—"))</f>
        <v/>
      </c>
      <c r="H469" s="22">
        <f>IF($C469="","",IFERROR(INDEX(ENVIOS!$F$4:$F$3003,MATCH($C469,ENVIOS!$A$4:$A$3003,0)),"—"))</f>
        <v/>
      </c>
      <c r="I469" s="27">
        <f>IF($C469="","",IFERROR(INDEX(ENVIOS!$G$4:$G$3003,MATCH($C469,ENVIOS!$A$4:$A$3003,0)),"—"))</f>
        <v/>
      </c>
      <c r="J469" s="48">
        <f>IF($C469="","",IFERROR(INDEX(ENVIOS!$B$4:$B$3003,MATCH($C469,ENVIOS!$A$4:$A$3003,0)),""))</f>
        <v/>
      </c>
      <c r="K469" s="49" t="n"/>
      <c r="L469" s="27">
        <f>IF($K469="","",IFERROR(INDEX(CONFIG!$B$4:$B$43,MATCH($K469,CONFIG!$A$4:$A$43,0)),"Media"))</f>
        <v/>
      </c>
      <c r="M469" s="27">
        <f>IF($K469="","",IFERROR(INDEX(CONFIG!$D$4:$D$43,MATCH($K469,CONFIG!$A$4:$A$43,0)),"NO"))</f>
        <v/>
      </c>
      <c r="N469" s="49" t="n"/>
      <c r="O469" s="27">
        <f>IF($N469="","",IFERROR(INDEX(CONFIG!$G$4:$G$43,MATCH($N469,CONFIG!$F$4:$F$43,0)),"Por definir"))</f>
        <v/>
      </c>
      <c r="P469" s="27">
        <f>IF($N469="","",IFERROR(INDEX(CONFIG!$H$4:$H$43,MATCH($N469,CONFIG!$F$4:$F$43,0)),"Por definir"))</f>
        <v/>
      </c>
      <c r="Q469" s="50" t="n"/>
      <c r="R469" s="51" t="n"/>
      <c r="S469" s="49" t="n"/>
      <c r="T469" s="49" t="n"/>
      <c r="U469" s="48">
        <f>IF(OR($B469="",$K469=""),"",WORKDAY($B469,IFERROR(INDEX(CONFIG!$C$4:$C$43,MATCH($K469,CONFIG!$A$4:$A$43,0)),3)))</f>
        <v/>
      </c>
      <c r="V469" s="46" t="n"/>
      <c r="W469" s="23">
        <f>IF($B469="","",IF($V469&lt;&gt;"",$V469-$B469,TODAY()-$B469))</f>
        <v/>
      </c>
      <c r="X469" s="27">
        <f>IF($C469="","",IF(IFERROR(INDEX(CONFIG!$K$4:$K$43,MATCH($S469,CONFIG!$J$4:$J$43,0)),"NO")="SÍ",IF(OR($V469="",$U469=""),"Resuelta",IF($V469&gt;$U469,"Resuelta tarde","Resuelta a tiempo")),IF($U469="","Sin clasificar",IF(TODAY()&gt;$U469,"Vencida",IF(TODAY()&gt;=$U469-1,"Por vencer","En plazo")))))</f>
        <v/>
      </c>
      <c r="Y469" s="49" t="n"/>
      <c r="Z469" s="49" t="n"/>
    </row>
    <row r="470" ht="16" customHeight="1">
      <c r="A470" s="27">
        <f>IF($C470="","","N-"&amp;TEXT(ROW()-3,"0000"))</f>
        <v/>
      </c>
      <c r="B470" s="46" t="n"/>
      <c r="C470" s="47" t="n"/>
      <c r="D470" s="27">
        <f>IF($C470="","",IF(COUNTIFS(ENVIOS!$A$4:$A$3003,$C470)=0,"NO EXISTE",IF(COUNTIFS(ENVIOS!$A$4:$A$3003,$C470)&gt;1,"DUPLICADA","OK")))</f>
        <v/>
      </c>
      <c r="E470" s="22">
        <f>IF($C470="","",IFERROR(INDEX(ENVIOS!$C$4:$C$3003,MATCH($C470,ENVIOS!$A$4:$A$3003,0)),"—"))</f>
        <v/>
      </c>
      <c r="F470" s="22">
        <f>IF($C470="","",IFERROR(INDEX(ENVIOS!$D$4:$D$3003,MATCH($C470,ENVIOS!$A$4:$A$3003,0)),"—"))</f>
        <v/>
      </c>
      <c r="G470" s="22">
        <f>IF($C470="","",IFERROR(INDEX(ENVIOS!$E$4:$E$3003,MATCH($C470,ENVIOS!$A$4:$A$3003,0)),"—"))</f>
        <v/>
      </c>
      <c r="H470" s="22">
        <f>IF($C470="","",IFERROR(INDEX(ENVIOS!$F$4:$F$3003,MATCH($C470,ENVIOS!$A$4:$A$3003,0)),"—"))</f>
        <v/>
      </c>
      <c r="I470" s="27">
        <f>IF($C470="","",IFERROR(INDEX(ENVIOS!$G$4:$G$3003,MATCH($C470,ENVIOS!$A$4:$A$3003,0)),"—"))</f>
        <v/>
      </c>
      <c r="J470" s="48">
        <f>IF($C470="","",IFERROR(INDEX(ENVIOS!$B$4:$B$3003,MATCH($C470,ENVIOS!$A$4:$A$3003,0)),""))</f>
        <v/>
      </c>
      <c r="K470" s="49" t="n"/>
      <c r="L470" s="27">
        <f>IF($K470="","",IFERROR(INDEX(CONFIG!$B$4:$B$43,MATCH($K470,CONFIG!$A$4:$A$43,0)),"Media"))</f>
        <v/>
      </c>
      <c r="M470" s="27">
        <f>IF($K470="","",IFERROR(INDEX(CONFIG!$D$4:$D$43,MATCH($K470,CONFIG!$A$4:$A$43,0)),"NO"))</f>
        <v/>
      </c>
      <c r="N470" s="49" t="n"/>
      <c r="O470" s="27">
        <f>IF($N470="","",IFERROR(INDEX(CONFIG!$G$4:$G$43,MATCH($N470,CONFIG!$F$4:$F$43,0)),"Por definir"))</f>
        <v/>
      </c>
      <c r="P470" s="27">
        <f>IF($N470="","",IFERROR(INDEX(CONFIG!$H$4:$H$43,MATCH($N470,CONFIG!$F$4:$F$43,0)),"Por definir"))</f>
        <v/>
      </c>
      <c r="Q470" s="50" t="n"/>
      <c r="R470" s="51" t="n"/>
      <c r="S470" s="49" t="n"/>
      <c r="T470" s="49" t="n"/>
      <c r="U470" s="48">
        <f>IF(OR($B470="",$K470=""),"",WORKDAY($B470,IFERROR(INDEX(CONFIG!$C$4:$C$43,MATCH($K470,CONFIG!$A$4:$A$43,0)),3)))</f>
        <v/>
      </c>
      <c r="V470" s="46" t="n"/>
      <c r="W470" s="23">
        <f>IF($B470="","",IF($V470&lt;&gt;"",$V470-$B470,TODAY()-$B470))</f>
        <v/>
      </c>
      <c r="X470" s="27">
        <f>IF($C470="","",IF(IFERROR(INDEX(CONFIG!$K$4:$K$43,MATCH($S470,CONFIG!$J$4:$J$43,0)),"NO")="SÍ",IF(OR($V470="",$U470=""),"Resuelta",IF($V470&gt;$U470,"Resuelta tarde","Resuelta a tiempo")),IF($U470="","Sin clasificar",IF(TODAY()&gt;$U470,"Vencida",IF(TODAY()&gt;=$U470-1,"Por vencer","En plazo")))))</f>
        <v/>
      </c>
      <c r="Y470" s="49" t="n"/>
      <c r="Z470" s="49" t="n"/>
    </row>
    <row r="471" ht="16" customHeight="1">
      <c r="A471" s="27">
        <f>IF($C471="","","N-"&amp;TEXT(ROW()-3,"0000"))</f>
        <v/>
      </c>
      <c r="B471" s="46" t="n"/>
      <c r="C471" s="47" t="n"/>
      <c r="D471" s="27">
        <f>IF($C471="","",IF(COUNTIFS(ENVIOS!$A$4:$A$3003,$C471)=0,"NO EXISTE",IF(COUNTIFS(ENVIOS!$A$4:$A$3003,$C471)&gt;1,"DUPLICADA","OK")))</f>
        <v/>
      </c>
      <c r="E471" s="22">
        <f>IF($C471="","",IFERROR(INDEX(ENVIOS!$C$4:$C$3003,MATCH($C471,ENVIOS!$A$4:$A$3003,0)),"—"))</f>
        <v/>
      </c>
      <c r="F471" s="22">
        <f>IF($C471="","",IFERROR(INDEX(ENVIOS!$D$4:$D$3003,MATCH($C471,ENVIOS!$A$4:$A$3003,0)),"—"))</f>
        <v/>
      </c>
      <c r="G471" s="22">
        <f>IF($C471="","",IFERROR(INDEX(ENVIOS!$E$4:$E$3003,MATCH($C471,ENVIOS!$A$4:$A$3003,0)),"—"))</f>
        <v/>
      </c>
      <c r="H471" s="22">
        <f>IF($C471="","",IFERROR(INDEX(ENVIOS!$F$4:$F$3003,MATCH($C471,ENVIOS!$A$4:$A$3003,0)),"—"))</f>
        <v/>
      </c>
      <c r="I471" s="27">
        <f>IF($C471="","",IFERROR(INDEX(ENVIOS!$G$4:$G$3003,MATCH($C471,ENVIOS!$A$4:$A$3003,0)),"—"))</f>
        <v/>
      </c>
      <c r="J471" s="48">
        <f>IF($C471="","",IFERROR(INDEX(ENVIOS!$B$4:$B$3003,MATCH($C471,ENVIOS!$A$4:$A$3003,0)),""))</f>
        <v/>
      </c>
      <c r="K471" s="49" t="n"/>
      <c r="L471" s="27">
        <f>IF($K471="","",IFERROR(INDEX(CONFIG!$B$4:$B$43,MATCH($K471,CONFIG!$A$4:$A$43,0)),"Media"))</f>
        <v/>
      </c>
      <c r="M471" s="27">
        <f>IF($K471="","",IFERROR(INDEX(CONFIG!$D$4:$D$43,MATCH($K471,CONFIG!$A$4:$A$43,0)),"NO"))</f>
        <v/>
      </c>
      <c r="N471" s="49" t="n"/>
      <c r="O471" s="27">
        <f>IF($N471="","",IFERROR(INDEX(CONFIG!$G$4:$G$43,MATCH($N471,CONFIG!$F$4:$F$43,0)),"Por definir"))</f>
        <v/>
      </c>
      <c r="P471" s="27">
        <f>IF($N471="","",IFERROR(INDEX(CONFIG!$H$4:$H$43,MATCH($N471,CONFIG!$F$4:$F$43,0)),"Por definir"))</f>
        <v/>
      </c>
      <c r="Q471" s="50" t="n"/>
      <c r="R471" s="51" t="n"/>
      <c r="S471" s="49" t="n"/>
      <c r="T471" s="49" t="n"/>
      <c r="U471" s="48">
        <f>IF(OR($B471="",$K471=""),"",WORKDAY($B471,IFERROR(INDEX(CONFIG!$C$4:$C$43,MATCH($K471,CONFIG!$A$4:$A$43,0)),3)))</f>
        <v/>
      </c>
      <c r="V471" s="46" t="n"/>
      <c r="W471" s="23">
        <f>IF($B471="","",IF($V471&lt;&gt;"",$V471-$B471,TODAY()-$B471))</f>
        <v/>
      </c>
      <c r="X471" s="27">
        <f>IF($C471="","",IF(IFERROR(INDEX(CONFIG!$K$4:$K$43,MATCH($S471,CONFIG!$J$4:$J$43,0)),"NO")="SÍ",IF(OR($V471="",$U471=""),"Resuelta",IF($V471&gt;$U471,"Resuelta tarde","Resuelta a tiempo")),IF($U471="","Sin clasificar",IF(TODAY()&gt;$U471,"Vencida",IF(TODAY()&gt;=$U471-1,"Por vencer","En plazo")))))</f>
        <v/>
      </c>
      <c r="Y471" s="49" t="n"/>
      <c r="Z471" s="49" t="n"/>
    </row>
    <row r="472" ht="16" customHeight="1">
      <c r="A472" s="27">
        <f>IF($C472="","","N-"&amp;TEXT(ROW()-3,"0000"))</f>
        <v/>
      </c>
      <c r="B472" s="46" t="n"/>
      <c r="C472" s="47" t="n"/>
      <c r="D472" s="27">
        <f>IF($C472="","",IF(COUNTIFS(ENVIOS!$A$4:$A$3003,$C472)=0,"NO EXISTE",IF(COUNTIFS(ENVIOS!$A$4:$A$3003,$C472)&gt;1,"DUPLICADA","OK")))</f>
        <v/>
      </c>
      <c r="E472" s="22">
        <f>IF($C472="","",IFERROR(INDEX(ENVIOS!$C$4:$C$3003,MATCH($C472,ENVIOS!$A$4:$A$3003,0)),"—"))</f>
        <v/>
      </c>
      <c r="F472" s="22">
        <f>IF($C472="","",IFERROR(INDEX(ENVIOS!$D$4:$D$3003,MATCH($C472,ENVIOS!$A$4:$A$3003,0)),"—"))</f>
        <v/>
      </c>
      <c r="G472" s="22">
        <f>IF($C472="","",IFERROR(INDEX(ENVIOS!$E$4:$E$3003,MATCH($C472,ENVIOS!$A$4:$A$3003,0)),"—"))</f>
        <v/>
      </c>
      <c r="H472" s="22">
        <f>IF($C472="","",IFERROR(INDEX(ENVIOS!$F$4:$F$3003,MATCH($C472,ENVIOS!$A$4:$A$3003,0)),"—"))</f>
        <v/>
      </c>
      <c r="I472" s="27">
        <f>IF($C472="","",IFERROR(INDEX(ENVIOS!$G$4:$G$3003,MATCH($C472,ENVIOS!$A$4:$A$3003,0)),"—"))</f>
        <v/>
      </c>
      <c r="J472" s="48">
        <f>IF($C472="","",IFERROR(INDEX(ENVIOS!$B$4:$B$3003,MATCH($C472,ENVIOS!$A$4:$A$3003,0)),""))</f>
        <v/>
      </c>
      <c r="K472" s="49" t="n"/>
      <c r="L472" s="27">
        <f>IF($K472="","",IFERROR(INDEX(CONFIG!$B$4:$B$43,MATCH($K472,CONFIG!$A$4:$A$43,0)),"Media"))</f>
        <v/>
      </c>
      <c r="M472" s="27">
        <f>IF($K472="","",IFERROR(INDEX(CONFIG!$D$4:$D$43,MATCH($K472,CONFIG!$A$4:$A$43,0)),"NO"))</f>
        <v/>
      </c>
      <c r="N472" s="49" t="n"/>
      <c r="O472" s="27">
        <f>IF($N472="","",IFERROR(INDEX(CONFIG!$G$4:$G$43,MATCH($N472,CONFIG!$F$4:$F$43,0)),"Por definir"))</f>
        <v/>
      </c>
      <c r="P472" s="27">
        <f>IF($N472="","",IFERROR(INDEX(CONFIG!$H$4:$H$43,MATCH($N472,CONFIG!$F$4:$F$43,0)),"Por definir"))</f>
        <v/>
      </c>
      <c r="Q472" s="50" t="n"/>
      <c r="R472" s="51" t="n"/>
      <c r="S472" s="49" t="n"/>
      <c r="T472" s="49" t="n"/>
      <c r="U472" s="48">
        <f>IF(OR($B472="",$K472=""),"",WORKDAY($B472,IFERROR(INDEX(CONFIG!$C$4:$C$43,MATCH($K472,CONFIG!$A$4:$A$43,0)),3)))</f>
        <v/>
      </c>
      <c r="V472" s="46" t="n"/>
      <c r="W472" s="23">
        <f>IF($B472="","",IF($V472&lt;&gt;"",$V472-$B472,TODAY()-$B472))</f>
        <v/>
      </c>
      <c r="X472" s="27">
        <f>IF($C472="","",IF(IFERROR(INDEX(CONFIG!$K$4:$K$43,MATCH($S472,CONFIG!$J$4:$J$43,0)),"NO")="SÍ",IF(OR($V472="",$U472=""),"Resuelta",IF($V472&gt;$U472,"Resuelta tarde","Resuelta a tiempo")),IF($U472="","Sin clasificar",IF(TODAY()&gt;$U472,"Vencida",IF(TODAY()&gt;=$U472-1,"Por vencer","En plazo")))))</f>
        <v/>
      </c>
      <c r="Y472" s="49" t="n"/>
      <c r="Z472" s="49" t="n"/>
    </row>
    <row r="473" ht="16" customHeight="1">
      <c r="A473" s="27">
        <f>IF($C473="","","N-"&amp;TEXT(ROW()-3,"0000"))</f>
        <v/>
      </c>
      <c r="B473" s="46" t="n"/>
      <c r="C473" s="47" t="n"/>
      <c r="D473" s="27">
        <f>IF($C473="","",IF(COUNTIFS(ENVIOS!$A$4:$A$3003,$C473)=0,"NO EXISTE",IF(COUNTIFS(ENVIOS!$A$4:$A$3003,$C473)&gt;1,"DUPLICADA","OK")))</f>
        <v/>
      </c>
      <c r="E473" s="22">
        <f>IF($C473="","",IFERROR(INDEX(ENVIOS!$C$4:$C$3003,MATCH($C473,ENVIOS!$A$4:$A$3003,0)),"—"))</f>
        <v/>
      </c>
      <c r="F473" s="22">
        <f>IF($C473="","",IFERROR(INDEX(ENVIOS!$D$4:$D$3003,MATCH($C473,ENVIOS!$A$4:$A$3003,0)),"—"))</f>
        <v/>
      </c>
      <c r="G473" s="22">
        <f>IF($C473="","",IFERROR(INDEX(ENVIOS!$E$4:$E$3003,MATCH($C473,ENVIOS!$A$4:$A$3003,0)),"—"))</f>
        <v/>
      </c>
      <c r="H473" s="22">
        <f>IF($C473="","",IFERROR(INDEX(ENVIOS!$F$4:$F$3003,MATCH($C473,ENVIOS!$A$4:$A$3003,0)),"—"))</f>
        <v/>
      </c>
      <c r="I473" s="27">
        <f>IF($C473="","",IFERROR(INDEX(ENVIOS!$G$4:$G$3003,MATCH($C473,ENVIOS!$A$4:$A$3003,0)),"—"))</f>
        <v/>
      </c>
      <c r="J473" s="48">
        <f>IF($C473="","",IFERROR(INDEX(ENVIOS!$B$4:$B$3003,MATCH($C473,ENVIOS!$A$4:$A$3003,0)),""))</f>
        <v/>
      </c>
      <c r="K473" s="49" t="n"/>
      <c r="L473" s="27">
        <f>IF($K473="","",IFERROR(INDEX(CONFIG!$B$4:$B$43,MATCH($K473,CONFIG!$A$4:$A$43,0)),"Media"))</f>
        <v/>
      </c>
      <c r="M473" s="27">
        <f>IF($K473="","",IFERROR(INDEX(CONFIG!$D$4:$D$43,MATCH($K473,CONFIG!$A$4:$A$43,0)),"NO"))</f>
        <v/>
      </c>
      <c r="N473" s="49" t="n"/>
      <c r="O473" s="27">
        <f>IF($N473="","",IFERROR(INDEX(CONFIG!$G$4:$G$43,MATCH($N473,CONFIG!$F$4:$F$43,0)),"Por definir"))</f>
        <v/>
      </c>
      <c r="P473" s="27">
        <f>IF($N473="","",IFERROR(INDEX(CONFIG!$H$4:$H$43,MATCH($N473,CONFIG!$F$4:$F$43,0)),"Por definir"))</f>
        <v/>
      </c>
      <c r="Q473" s="50" t="n"/>
      <c r="R473" s="51" t="n"/>
      <c r="S473" s="49" t="n"/>
      <c r="T473" s="49" t="n"/>
      <c r="U473" s="48">
        <f>IF(OR($B473="",$K473=""),"",WORKDAY($B473,IFERROR(INDEX(CONFIG!$C$4:$C$43,MATCH($K473,CONFIG!$A$4:$A$43,0)),3)))</f>
        <v/>
      </c>
      <c r="V473" s="46" t="n"/>
      <c r="W473" s="23">
        <f>IF($B473="","",IF($V473&lt;&gt;"",$V473-$B473,TODAY()-$B473))</f>
        <v/>
      </c>
      <c r="X473" s="27">
        <f>IF($C473="","",IF(IFERROR(INDEX(CONFIG!$K$4:$K$43,MATCH($S473,CONFIG!$J$4:$J$43,0)),"NO")="SÍ",IF(OR($V473="",$U473=""),"Resuelta",IF($V473&gt;$U473,"Resuelta tarde","Resuelta a tiempo")),IF($U473="","Sin clasificar",IF(TODAY()&gt;$U473,"Vencida",IF(TODAY()&gt;=$U473-1,"Por vencer","En plazo")))))</f>
        <v/>
      </c>
      <c r="Y473" s="49" t="n"/>
      <c r="Z473" s="49" t="n"/>
    </row>
    <row r="474" ht="16" customHeight="1">
      <c r="A474" s="27">
        <f>IF($C474="","","N-"&amp;TEXT(ROW()-3,"0000"))</f>
        <v/>
      </c>
      <c r="B474" s="46" t="n"/>
      <c r="C474" s="47" t="n"/>
      <c r="D474" s="27">
        <f>IF($C474="","",IF(COUNTIFS(ENVIOS!$A$4:$A$3003,$C474)=0,"NO EXISTE",IF(COUNTIFS(ENVIOS!$A$4:$A$3003,$C474)&gt;1,"DUPLICADA","OK")))</f>
        <v/>
      </c>
      <c r="E474" s="22">
        <f>IF($C474="","",IFERROR(INDEX(ENVIOS!$C$4:$C$3003,MATCH($C474,ENVIOS!$A$4:$A$3003,0)),"—"))</f>
        <v/>
      </c>
      <c r="F474" s="22">
        <f>IF($C474="","",IFERROR(INDEX(ENVIOS!$D$4:$D$3003,MATCH($C474,ENVIOS!$A$4:$A$3003,0)),"—"))</f>
        <v/>
      </c>
      <c r="G474" s="22">
        <f>IF($C474="","",IFERROR(INDEX(ENVIOS!$E$4:$E$3003,MATCH($C474,ENVIOS!$A$4:$A$3003,0)),"—"))</f>
        <v/>
      </c>
      <c r="H474" s="22">
        <f>IF($C474="","",IFERROR(INDEX(ENVIOS!$F$4:$F$3003,MATCH($C474,ENVIOS!$A$4:$A$3003,0)),"—"))</f>
        <v/>
      </c>
      <c r="I474" s="27">
        <f>IF($C474="","",IFERROR(INDEX(ENVIOS!$G$4:$G$3003,MATCH($C474,ENVIOS!$A$4:$A$3003,0)),"—"))</f>
        <v/>
      </c>
      <c r="J474" s="48">
        <f>IF($C474="","",IFERROR(INDEX(ENVIOS!$B$4:$B$3003,MATCH($C474,ENVIOS!$A$4:$A$3003,0)),""))</f>
        <v/>
      </c>
      <c r="K474" s="49" t="n"/>
      <c r="L474" s="27">
        <f>IF($K474="","",IFERROR(INDEX(CONFIG!$B$4:$B$43,MATCH($K474,CONFIG!$A$4:$A$43,0)),"Media"))</f>
        <v/>
      </c>
      <c r="M474" s="27">
        <f>IF($K474="","",IFERROR(INDEX(CONFIG!$D$4:$D$43,MATCH($K474,CONFIG!$A$4:$A$43,0)),"NO"))</f>
        <v/>
      </c>
      <c r="N474" s="49" t="n"/>
      <c r="O474" s="27">
        <f>IF($N474="","",IFERROR(INDEX(CONFIG!$G$4:$G$43,MATCH($N474,CONFIG!$F$4:$F$43,0)),"Por definir"))</f>
        <v/>
      </c>
      <c r="P474" s="27">
        <f>IF($N474="","",IFERROR(INDEX(CONFIG!$H$4:$H$43,MATCH($N474,CONFIG!$F$4:$F$43,0)),"Por definir"))</f>
        <v/>
      </c>
      <c r="Q474" s="50" t="n"/>
      <c r="R474" s="51" t="n"/>
      <c r="S474" s="49" t="n"/>
      <c r="T474" s="49" t="n"/>
      <c r="U474" s="48">
        <f>IF(OR($B474="",$K474=""),"",WORKDAY($B474,IFERROR(INDEX(CONFIG!$C$4:$C$43,MATCH($K474,CONFIG!$A$4:$A$43,0)),3)))</f>
        <v/>
      </c>
      <c r="V474" s="46" t="n"/>
      <c r="W474" s="23">
        <f>IF($B474="","",IF($V474&lt;&gt;"",$V474-$B474,TODAY()-$B474))</f>
        <v/>
      </c>
      <c r="X474" s="27">
        <f>IF($C474="","",IF(IFERROR(INDEX(CONFIG!$K$4:$K$43,MATCH($S474,CONFIG!$J$4:$J$43,0)),"NO")="SÍ",IF(OR($V474="",$U474=""),"Resuelta",IF($V474&gt;$U474,"Resuelta tarde","Resuelta a tiempo")),IF($U474="","Sin clasificar",IF(TODAY()&gt;$U474,"Vencida",IF(TODAY()&gt;=$U474-1,"Por vencer","En plazo")))))</f>
        <v/>
      </c>
      <c r="Y474" s="49" t="n"/>
      <c r="Z474" s="49" t="n"/>
    </row>
    <row r="475" ht="16" customHeight="1">
      <c r="A475" s="27">
        <f>IF($C475="","","N-"&amp;TEXT(ROW()-3,"0000"))</f>
        <v/>
      </c>
      <c r="B475" s="46" t="n"/>
      <c r="C475" s="47" t="n"/>
      <c r="D475" s="27">
        <f>IF($C475="","",IF(COUNTIFS(ENVIOS!$A$4:$A$3003,$C475)=0,"NO EXISTE",IF(COUNTIFS(ENVIOS!$A$4:$A$3003,$C475)&gt;1,"DUPLICADA","OK")))</f>
        <v/>
      </c>
      <c r="E475" s="22">
        <f>IF($C475="","",IFERROR(INDEX(ENVIOS!$C$4:$C$3003,MATCH($C475,ENVIOS!$A$4:$A$3003,0)),"—"))</f>
        <v/>
      </c>
      <c r="F475" s="22">
        <f>IF($C475="","",IFERROR(INDEX(ENVIOS!$D$4:$D$3003,MATCH($C475,ENVIOS!$A$4:$A$3003,0)),"—"))</f>
        <v/>
      </c>
      <c r="G475" s="22">
        <f>IF($C475="","",IFERROR(INDEX(ENVIOS!$E$4:$E$3003,MATCH($C475,ENVIOS!$A$4:$A$3003,0)),"—"))</f>
        <v/>
      </c>
      <c r="H475" s="22">
        <f>IF($C475="","",IFERROR(INDEX(ENVIOS!$F$4:$F$3003,MATCH($C475,ENVIOS!$A$4:$A$3003,0)),"—"))</f>
        <v/>
      </c>
      <c r="I475" s="27">
        <f>IF($C475="","",IFERROR(INDEX(ENVIOS!$G$4:$G$3003,MATCH($C475,ENVIOS!$A$4:$A$3003,0)),"—"))</f>
        <v/>
      </c>
      <c r="J475" s="48">
        <f>IF($C475="","",IFERROR(INDEX(ENVIOS!$B$4:$B$3003,MATCH($C475,ENVIOS!$A$4:$A$3003,0)),""))</f>
        <v/>
      </c>
      <c r="K475" s="49" t="n"/>
      <c r="L475" s="27">
        <f>IF($K475="","",IFERROR(INDEX(CONFIG!$B$4:$B$43,MATCH($K475,CONFIG!$A$4:$A$43,0)),"Media"))</f>
        <v/>
      </c>
      <c r="M475" s="27">
        <f>IF($K475="","",IFERROR(INDEX(CONFIG!$D$4:$D$43,MATCH($K475,CONFIG!$A$4:$A$43,0)),"NO"))</f>
        <v/>
      </c>
      <c r="N475" s="49" t="n"/>
      <c r="O475" s="27">
        <f>IF($N475="","",IFERROR(INDEX(CONFIG!$G$4:$G$43,MATCH($N475,CONFIG!$F$4:$F$43,0)),"Por definir"))</f>
        <v/>
      </c>
      <c r="P475" s="27">
        <f>IF($N475="","",IFERROR(INDEX(CONFIG!$H$4:$H$43,MATCH($N475,CONFIG!$F$4:$F$43,0)),"Por definir"))</f>
        <v/>
      </c>
      <c r="Q475" s="50" t="n"/>
      <c r="R475" s="51" t="n"/>
      <c r="S475" s="49" t="n"/>
      <c r="T475" s="49" t="n"/>
      <c r="U475" s="48">
        <f>IF(OR($B475="",$K475=""),"",WORKDAY($B475,IFERROR(INDEX(CONFIG!$C$4:$C$43,MATCH($K475,CONFIG!$A$4:$A$43,0)),3)))</f>
        <v/>
      </c>
      <c r="V475" s="46" t="n"/>
      <c r="W475" s="23">
        <f>IF($B475="","",IF($V475&lt;&gt;"",$V475-$B475,TODAY()-$B475))</f>
        <v/>
      </c>
      <c r="X475" s="27">
        <f>IF($C475="","",IF(IFERROR(INDEX(CONFIG!$K$4:$K$43,MATCH($S475,CONFIG!$J$4:$J$43,0)),"NO")="SÍ",IF(OR($V475="",$U475=""),"Resuelta",IF($V475&gt;$U475,"Resuelta tarde","Resuelta a tiempo")),IF($U475="","Sin clasificar",IF(TODAY()&gt;$U475,"Vencida",IF(TODAY()&gt;=$U475-1,"Por vencer","En plazo")))))</f>
        <v/>
      </c>
      <c r="Y475" s="49" t="n"/>
      <c r="Z475" s="49" t="n"/>
    </row>
    <row r="476" ht="16" customHeight="1">
      <c r="A476" s="27">
        <f>IF($C476="","","N-"&amp;TEXT(ROW()-3,"0000"))</f>
        <v/>
      </c>
      <c r="B476" s="46" t="n"/>
      <c r="C476" s="47" t="n"/>
      <c r="D476" s="27">
        <f>IF($C476="","",IF(COUNTIFS(ENVIOS!$A$4:$A$3003,$C476)=0,"NO EXISTE",IF(COUNTIFS(ENVIOS!$A$4:$A$3003,$C476)&gt;1,"DUPLICADA","OK")))</f>
        <v/>
      </c>
      <c r="E476" s="22">
        <f>IF($C476="","",IFERROR(INDEX(ENVIOS!$C$4:$C$3003,MATCH($C476,ENVIOS!$A$4:$A$3003,0)),"—"))</f>
        <v/>
      </c>
      <c r="F476" s="22">
        <f>IF($C476="","",IFERROR(INDEX(ENVIOS!$D$4:$D$3003,MATCH($C476,ENVIOS!$A$4:$A$3003,0)),"—"))</f>
        <v/>
      </c>
      <c r="G476" s="22">
        <f>IF($C476="","",IFERROR(INDEX(ENVIOS!$E$4:$E$3003,MATCH($C476,ENVIOS!$A$4:$A$3003,0)),"—"))</f>
        <v/>
      </c>
      <c r="H476" s="22">
        <f>IF($C476="","",IFERROR(INDEX(ENVIOS!$F$4:$F$3003,MATCH($C476,ENVIOS!$A$4:$A$3003,0)),"—"))</f>
        <v/>
      </c>
      <c r="I476" s="27">
        <f>IF($C476="","",IFERROR(INDEX(ENVIOS!$G$4:$G$3003,MATCH($C476,ENVIOS!$A$4:$A$3003,0)),"—"))</f>
        <v/>
      </c>
      <c r="J476" s="48">
        <f>IF($C476="","",IFERROR(INDEX(ENVIOS!$B$4:$B$3003,MATCH($C476,ENVIOS!$A$4:$A$3003,0)),""))</f>
        <v/>
      </c>
      <c r="K476" s="49" t="n"/>
      <c r="L476" s="27">
        <f>IF($K476="","",IFERROR(INDEX(CONFIG!$B$4:$B$43,MATCH($K476,CONFIG!$A$4:$A$43,0)),"Media"))</f>
        <v/>
      </c>
      <c r="M476" s="27">
        <f>IF($K476="","",IFERROR(INDEX(CONFIG!$D$4:$D$43,MATCH($K476,CONFIG!$A$4:$A$43,0)),"NO"))</f>
        <v/>
      </c>
      <c r="N476" s="49" t="n"/>
      <c r="O476" s="27">
        <f>IF($N476="","",IFERROR(INDEX(CONFIG!$G$4:$G$43,MATCH($N476,CONFIG!$F$4:$F$43,0)),"Por definir"))</f>
        <v/>
      </c>
      <c r="P476" s="27">
        <f>IF($N476="","",IFERROR(INDEX(CONFIG!$H$4:$H$43,MATCH($N476,CONFIG!$F$4:$F$43,0)),"Por definir"))</f>
        <v/>
      </c>
      <c r="Q476" s="50" t="n"/>
      <c r="R476" s="51" t="n"/>
      <c r="S476" s="49" t="n"/>
      <c r="T476" s="49" t="n"/>
      <c r="U476" s="48">
        <f>IF(OR($B476="",$K476=""),"",WORKDAY($B476,IFERROR(INDEX(CONFIG!$C$4:$C$43,MATCH($K476,CONFIG!$A$4:$A$43,0)),3)))</f>
        <v/>
      </c>
      <c r="V476" s="46" t="n"/>
      <c r="W476" s="23">
        <f>IF($B476="","",IF($V476&lt;&gt;"",$V476-$B476,TODAY()-$B476))</f>
        <v/>
      </c>
      <c r="X476" s="27">
        <f>IF($C476="","",IF(IFERROR(INDEX(CONFIG!$K$4:$K$43,MATCH($S476,CONFIG!$J$4:$J$43,0)),"NO")="SÍ",IF(OR($V476="",$U476=""),"Resuelta",IF($V476&gt;$U476,"Resuelta tarde","Resuelta a tiempo")),IF($U476="","Sin clasificar",IF(TODAY()&gt;$U476,"Vencida",IF(TODAY()&gt;=$U476-1,"Por vencer","En plazo")))))</f>
        <v/>
      </c>
      <c r="Y476" s="49" t="n"/>
      <c r="Z476" s="49" t="n"/>
    </row>
    <row r="477" ht="16" customHeight="1">
      <c r="A477" s="27">
        <f>IF($C477="","","N-"&amp;TEXT(ROW()-3,"0000"))</f>
        <v/>
      </c>
      <c r="B477" s="46" t="n"/>
      <c r="C477" s="47" t="n"/>
      <c r="D477" s="27">
        <f>IF($C477="","",IF(COUNTIFS(ENVIOS!$A$4:$A$3003,$C477)=0,"NO EXISTE",IF(COUNTIFS(ENVIOS!$A$4:$A$3003,$C477)&gt;1,"DUPLICADA","OK")))</f>
        <v/>
      </c>
      <c r="E477" s="22">
        <f>IF($C477="","",IFERROR(INDEX(ENVIOS!$C$4:$C$3003,MATCH($C477,ENVIOS!$A$4:$A$3003,0)),"—"))</f>
        <v/>
      </c>
      <c r="F477" s="22">
        <f>IF($C477="","",IFERROR(INDEX(ENVIOS!$D$4:$D$3003,MATCH($C477,ENVIOS!$A$4:$A$3003,0)),"—"))</f>
        <v/>
      </c>
      <c r="G477" s="22">
        <f>IF($C477="","",IFERROR(INDEX(ENVIOS!$E$4:$E$3003,MATCH($C477,ENVIOS!$A$4:$A$3003,0)),"—"))</f>
        <v/>
      </c>
      <c r="H477" s="22">
        <f>IF($C477="","",IFERROR(INDEX(ENVIOS!$F$4:$F$3003,MATCH($C477,ENVIOS!$A$4:$A$3003,0)),"—"))</f>
        <v/>
      </c>
      <c r="I477" s="27">
        <f>IF($C477="","",IFERROR(INDEX(ENVIOS!$G$4:$G$3003,MATCH($C477,ENVIOS!$A$4:$A$3003,0)),"—"))</f>
        <v/>
      </c>
      <c r="J477" s="48">
        <f>IF($C477="","",IFERROR(INDEX(ENVIOS!$B$4:$B$3003,MATCH($C477,ENVIOS!$A$4:$A$3003,0)),""))</f>
        <v/>
      </c>
      <c r="K477" s="49" t="n"/>
      <c r="L477" s="27">
        <f>IF($K477="","",IFERROR(INDEX(CONFIG!$B$4:$B$43,MATCH($K477,CONFIG!$A$4:$A$43,0)),"Media"))</f>
        <v/>
      </c>
      <c r="M477" s="27">
        <f>IF($K477="","",IFERROR(INDEX(CONFIG!$D$4:$D$43,MATCH($K477,CONFIG!$A$4:$A$43,0)),"NO"))</f>
        <v/>
      </c>
      <c r="N477" s="49" t="n"/>
      <c r="O477" s="27">
        <f>IF($N477="","",IFERROR(INDEX(CONFIG!$G$4:$G$43,MATCH($N477,CONFIG!$F$4:$F$43,0)),"Por definir"))</f>
        <v/>
      </c>
      <c r="P477" s="27">
        <f>IF($N477="","",IFERROR(INDEX(CONFIG!$H$4:$H$43,MATCH($N477,CONFIG!$F$4:$F$43,0)),"Por definir"))</f>
        <v/>
      </c>
      <c r="Q477" s="50" t="n"/>
      <c r="R477" s="51" t="n"/>
      <c r="S477" s="49" t="n"/>
      <c r="T477" s="49" t="n"/>
      <c r="U477" s="48">
        <f>IF(OR($B477="",$K477=""),"",WORKDAY($B477,IFERROR(INDEX(CONFIG!$C$4:$C$43,MATCH($K477,CONFIG!$A$4:$A$43,0)),3)))</f>
        <v/>
      </c>
      <c r="V477" s="46" t="n"/>
      <c r="W477" s="23">
        <f>IF($B477="","",IF($V477&lt;&gt;"",$V477-$B477,TODAY()-$B477))</f>
        <v/>
      </c>
      <c r="X477" s="27">
        <f>IF($C477="","",IF(IFERROR(INDEX(CONFIG!$K$4:$K$43,MATCH($S477,CONFIG!$J$4:$J$43,0)),"NO")="SÍ",IF(OR($V477="",$U477=""),"Resuelta",IF($V477&gt;$U477,"Resuelta tarde","Resuelta a tiempo")),IF($U477="","Sin clasificar",IF(TODAY()&gt;$U477,"Vencida",IF(TODAY()&gt;=$U477-1,"Por vencer","En plazo")))))</f>
        <v/>
      </c>
      <c r="Y477" s="49" t="n"/>
      <c r="Z477" s="49" t="n"/>
    </row>
    <row r="478" ht="16" customHeight="1">
      <c r="A478" s="27">
        <f>IF($C478="","","N-"&amp;TEXT(ROW()-3,"0000"))</f>
        <v/>
      </c>
      <c r="B478" s="46" t="n"/>
      <c r="C478" s="47" t="n"/>
      <c r="D478" s="27">
        <f>IF($C478="","",IF(COUNTIFS(ENVIOS!$A$4:$A$3003,$C478)=0,"NO EXISTE",IF(COUNTIFS(ENVIOS!$A$4:$A$3003,$C478)&gt;1,"DUPLICADA","OK")))</f>
        <v/>
      </c>
      <c r="E478" s="22">
        <f>IF($C478="","",IFERROR(INDEX(ENVIOS!$C$4:$C$3003,MATCH($C478,ENVIOS!$A$4:$A$3003,0)),"—"))</f>
        <v/>
      </c>
      <c r="F478" s="22">
        <f>IF($C478="","",IFERROR(INDEX(ENVIOS!$D$4:$D$3003,MATCH($C478,ENVIOS!$A$4:$A$3003,0)),"—"))</f>
        <v/>
      </c>
      <c r="G478" s="22">
        <f>IF($C478="","",IFERROR(INDEX(ENVIOS!$E$4:$E$3003,MATCH($C478,ENVIOS!$A$4:$A$3003,0)),"—"))</f>
        <v/>
      </c>
      <c r="H478" s="22">
        <f>IF($C478="","",IFERROR(INDEX(ENVIOS!$F$4:$F$3003,MATCH($C478,ENVIOS!$A$4:$A$3003,0)),"—"))</f>
        <v/>
      </c>
      <c r="I478" s="27">
        <f>IF($C478="","",IFERROR(INDEX(ENVIOS!$G$4:$G$3003,MATCH($C478,ENVIOS!$A$4:$A$3003,0)),"—"))</f>
        <v/>
      </c>
      <c r="J478" s="48">
        <f>IF($C478="","",IFERROR(INDEX(ENVIOS!$B$4:$B$3003,MATCH($C478,ENVIOS!$A$4:$A$3003,0)),""))</f>
        <v/>
      </c>
      <c r="K478" s="49" t="n"/>
      <c r="L478" s="27">
        <f>IF($K478="","",IFERROR(INDEX(CONFIG!$B$4:$B$43,MATCH($K478,CONFIG!$A$4:$A$43,0)),"Media"))</f>
        <v/>
      </c>
      <c r="M478" s="27">
        <f>IF($K478="","",IFERROR(INDEX(CONFIG!$D$4:$D$43,MATCH($K478,CONFIG!$A$4:$A$43,0)),"NO"))</f>
        <v/>
      </c>
      <c r="N478" s="49" t="n"/>
      <c r="O478" s="27">
        <f>IF($N478="","",IFERROR(INDEX(CONFIG!$G$4:$G$43,MATCH($N478,CONFIG!$F$4:$F$43,0)),"Por definir"))</f>
        <v/>
      </c>
      <c r="P478" s="27">
        <f>IF($N478="","",IFERROR(INDEX(CONFIG!$H$4:$H$43,MATCH($N478,CONFIG!$F$4:$F$43,0)),"Por definir"))</f>
        <v/>
      </c>
      <c r="Q478" s="50" t="n"/>
      <c r="R478" s="51" t="n"/>
      <c r="S478" s="49" t="n"/>
      <c r="T478" s="49" t="n"/>
      <c r="U478" s="48">
        <f>IF(OR($B478="",$K478=""),"",WORKDAY($B478,IFERROR(INDEX(CONFIG!$C$4:$C$43,MATCH($K478,CONFIG!$A$4:$A$43,0)),3)))</f>
        <v/>
      </c>
      <c r="V478" s="46" t="n"/>
      <c r="W478" s="23">
        <f>IF($B478="","",IF($V478&lt;&gt;"",$V478-$B478,TODAY()-$B478))</f>
        <v/>
      </c>
      <c r="X478" s="27">
        <f>IF($C478="","",IF(IFERROR(INDEX(CONFIG!$K$4:$K$43,MATCH($S478,CONFIG!$J$4:$J$43,0)),"NO")="SÍ",IF(OR($V478="",$U478=""),"Resuelta",IF($V478&gt;$U478,"Resuelta tarde","Resuelta a tiempo")),IF($U478="","Sin clasificar",IF(TODAY()&gt;$U478,"Vencida",IF(TODAY()&gt;=$U478-1,"Por vencer","En plazo")))))</f>
        <v/>
      </c>
      <c r="Y478" s="49" t="n"/>
      <c r="Z478" s="49" t="n"/>
    </row>
    <row r="479" ht="16" customHeight="1">
      <c r="A479" s="27">
        <f>IF($C479="","","N-"&amp;TEXT(ROW()-3,"0000"))</f>
        <v/>
      </c>
      <c r="B479" s="46" t="n"/>
      <c r="C479" s="47" t="n"/>
      <c r="D479" s="27">
        <f>IF($C479="","",IF(COUNTIFS(ENVIOS!$A$4:$A$3003,$C479)=0,"NO EXISTE",IF(COUNTIFS(ENVIOS!$A$4:$A$3003,$C479)&gt;1,"DUPLICADA","OK")))</f>
        <v/>
      </c>
      <c r="E479" s="22">
        <f>IF($C479="","",IFERROR(INDEX(ENVIOS!$C$4:$C$3003,MATCH($C479,ENVIOS!$A$4:$A$3003,0)),"—"))</f>
        <v/>
      </c>
      <c r="F479" s="22">
        <f>IF($C479="","",IFERROR(INDEX(ENVIOS!$D$4:$D$3003,MATCH($C479,ENVIOS!$A$4:$A$3003,0)),"—"))</f>
        <v/>
      </c>
      <c r="G479" s="22">
        <f>IF($C479="","",IFERROR(INDEX(ENVIOS!$E$4:$E$3003,MATCH($C479,ENVIOS!$A$4:$A$3003,0)),"—"))</f>
        <v/>
      </c>
      <c r="H479" s="22">
        <f>IF($C479="","",IFERROR(INDEX(ENVIOS!$F$4:$F$3003,MATCH($C479,ENVIOS!$A$4:$A$3003,0)),"—"))</f>
        <v/>
      </c>
      <c r="I479" s="27">
        <f>IF($C479="","",IFERROR(INDEX(ENVIOS!$G$4:$G$3003,MATCH($C479,ENVIOS!$A$4:$A$3003,0)),"—"))</f>
        <v/>
      </c>
      <c r="J479" s="48">
        <f>IF($C479="","",IFERROR(INDEX(ENVIOS!$B$4:$B$3003,MATCH($C479,ENVIOS!$A$4:$A$3003,0)),""))</f>
        <v/>
      </c>
      <c r="K479" s="49" t="n"/>
      <c r="L479" s="27">
        <f>IF($K479="","",IFERROR(INDEX(CONFIG!$B$4:$B$43,MATCH($K479,CONFIG!$A$4:$A$43,0)),"Media"))</f>
        <v/>
      </c>
      <c r="M479" s="27">
        <f>IF($K479="","",IFERROR(INDEX(CONFIG!$D$4:$D$43,MATCH($K479,CONFIG!$A$4:$A$43,0)),"NO"))</f>
        <v/>
      </c>
      <c r="N479" s="49" t="n"/>
      <c r="O479" s="27">
        <f>IF($N479="","",IFERROR(INDEX(CONFIG!$G$4:$G$43,MATCH($N479,CONFIG!$F$4:$F$43,0)),"Por definir"))</f>
        <v/>
      </c>
      <c r="P479" s="27">
        <f>IF($N479="","",IFERROR(INDEX(CONFIG!$H$4:$H$43,MATCH($N479,CONFIG!$F$4:$F$43,0)),"Por definir"))</f>
        <v/>
      </c>
      <c r="Q479" s="50" t="n"/>
      <c r="R479" s="51" t="n"/>
      <c r="S479" s="49" t="n"/>
      <c r="T479" s="49" t="n"/>
      <c r="U479" s="48">
        <f>IF(OR($B479="",$K479=""),"",WORKDAY($B479,IFERROR(INDEX(CONFIG!$C$4:$C$43,MATCH($K479,CONFIG!$A$4:$A$43,0)),3)))</f>
        <v/>
      </c>
      <c r="V479" s="46" t="n"/>
      <c r="W479" s="23">
        <f>IF($B479="","",IF($V479&lt;&gt;"",$V479-$B479,TODAY()-$B479))</f>
        <v/>
      </c>
      <c r="X479" s="27">
        <f>IF($C479="","",IF(IFERROR(INDEX(CONFIG!$K$4:$K$43,MATCH($S479,CONFIG!$J$4:$J$43,0)),"NO")="SÍ",IF(OR($V479="",$U479=""),"Resuelta",IF($V479&gt;$U479,"Resuelta tarde","Resuelta a tiempo")),IF($U479="","Sin clasificar",IF(TODAY()&gt;$U479,"Vencida",IF(TODAY()&gt;=$U479-1,"Por vencer","En plazo")))))</f>
        <v/>
      </c>
      <c r="Y479" s="49" t="n"/>
      <c r="Z479" s="49" t="n"/>
    </row>
    <row r="480" ht="16" customHeight="1">
      <c r="A480" s="27">
        <f>IF($C480="","","N-"&amp;TEXT(ROW()-3,"0000"))</f>
        <v/>
      </c>
      <c r="B480" s="46" t="n"/>
      <c r="C480" s="47" t="n"/>
      <c r="D480" s="27">
        <f>IF($C480="","",IF(COUNTIFS(ENVIOS!$A$4:$A$3003,$C480)=0,"NO EXISTE",IF(COUNTIFS(ENVIOS!$A$4:$A$3003,$C480)&gt;1,"DUPLICADA","OK")))</f>
        <v/>
      </c>
      <c r="E480" s="22">
        <f>IF($C480="","",IFERROR(INDEX(ENVIOS!$C$4:$C$3003,MATCH($C480,ENVIOS!$A$4:$A$3003,0)),"—"))</f>
        <v/>
      </c>
      <c r="F480" s="22">
        <f>IF($C480="","",IFERROR(INDEX(ENVIOS!$D$4:$D$3003,MATCH($C480,ENVIOS!$A$4:$A$3003,0)),"—"))</f>
        <v/>
      </c>
      <c r="G480" s="22">
        <f>IF($C480="","",IFERROR(INDEX(ENVIOS!$E$4:$E$3003,MATCH($C480,ENVIOS!$A$4:$A$3003,0)),"—"))</f>
        <v/>
      </c>
      <c r="H480" s="22">
        <f>IF($C480="","",IFERROR(INDEX(ENVIOS!$F$4:$F$3003,MATCH($C480,ENVIOS!$A$4:$A$3003,0)),"—"))</f>
        <v/>
      </c>
      <c r="I480" s="27">
        <f>IF($C480="","",IFERROR(INDEX(ENVIOS!$G$4:$G$3003,MATCH($C480,ENVIOS!$A$4:$A$3003,0)),"—"))</f>
        <v/>
      </c>
      <c r="J480" s="48">
        <f>IF($C480="","",IFERROR(INDEX(ENVIOS!$B$4:$B$3003,MATCH($C480,ENVIOS!$A$4:$A$3003,0)),""))</f>
        <v/>
      </c>
      <c r="K480" s="49" t="n"/>
      <c r="L480" s="27">
        <f>IF($K480="","",IFERROR(INDEX(CONFIG!$B$4:$B$43,MATCH($K480,CONFIG!$A$4:$A$43,0)),"Media"))</f>
        <v/>
      </c>
      <c r="M480" s="27">
        <f>IF($K480="","",IFERROR(INDEX(CONFIG!$D$4:$D$43,MATCH($K480,CONFIG!$A$4:$A$43,0)),"NO"))</f>
        <v/>
      </c>
      <c r="N480" s="49" t="n"/>
      <c r="O480" s="27">
        <f>IF($N480="","",IFERROR(INDEX(CONFIG!$G$4:$G$43,MATCH($N480,CONFIG!$F$4:$F$43,0)),"Por definir"))</f>
        <v/>
      </c>
      <c r="P480" s="27">
        <f>IF($N480="","",IFERROR(INDEX(CONFIG!$H$4:$H$43,MATCH($N480,CONFIG!$F$4:$F$43,0)),"Por definir"))</f>
        <v/>
      </c>
      <c r="Q480" s="50" t="n"/>
      <c r="R480" s="51" t="n"/>
      <c r="S480" s="49" t="n"/>
      <c r="T480" s="49" t="n"/>
      <c r="U480" s="48">
        <f>IF(OR($B480="",$K480=""),"",WORKDAY($B480,IFERROR(INDEX(CONFIG!$C$4:$C$43,MATCH($K480,CONFIG!$A$4:$A$43,0)),3)))</f>
        <v/>
      </c>
      <c r="V480" s="46" t="n"/>
      <c r="W480" s="23">
        <f>IF($B480="","",IF($V480&lt;&gt;"",$V480-$B480,TODAY()-$B480))</f>
        <v/>
      </c>
      <c r="X480" s="27">
        <f>IF($C480="","",IF(IFERROR(INDEX(CONFIG!$K$4:$K$43,MATCH($S480,CONFIG!$J$4:$J$43,0)),"NO")="SÍ",IF(OR($V480="",$U480=""),"Resuelta",IF($V480&gt;$U480,"Resuelta tarde","Resuelta a tiempo")),IF($U480="","Sin clasificar",IF(TODAY()&gt;$U480,"Vencida",IF(TODAY()&gt;=$U480-1,"Por vencer","En plazo")))))</f>
        <v/>
      </c>
      <c r="Y480" s="49" t="n"/>
      <c r="Z480" s="49" t="n"/>
    </row>
    <row r="481" ht="16" customHeight="1">
      <c r="A481" s="27">
        <f>IF($C481="","","N-"&amp;TEXT(ROW()-3,"0000"))</f>
        <v/>
      </c>
      <c r="B481" s="46" t="n"/>
      <c r="C481" s="47" t="n"/>
      <c r="D481" s="27">
        <f>IF($C481="","",IF(COUNTIFS(ENVIOS!$A$4:$A$3003,$C481)=0,"NO EXISTE",IF(COUNTIFS(ENVIOS!$A$4:$A$3003,$C481)&gt;1,"DUPLICADA","OK")))</f>
        <v/>
      </c>
      <c r="E481" s="22">
        <f>IF($C481="","",IFERROR(INDEX(ENVIOS!$C$4:$C$3003,MATCH($C481,ENVIOS!$A$4:$A$3003,0)),"—"))</f>
        <v/>
      </c>
      <c r="F481" s="22">
        <f>IF($C481="","",IFERROR(INDEX(ENVIOS!$D$4:$D$3003,MATCH($C481,ENVIOS!$A$4:$A$3003,0)),"—"))</f>
        <v/>
      </c>
      <c r="G481" s="22">
        <f>IF($C481="","",IFERROR(INDEX(ENVIOS!$E$4:$E$3003,MATCH($C481,ENVIOS!$A$4:$A$3003,0)),"—"))</f>
        <v/>
      </c>
      <c r="H481" s="22">
        <f>IF($C481="","",IFERROR(INDEX(ENVIOS!$F$4:$F$3003,MATCH($C481,ENVIOS!$A$4:$A$3003,0)),"—"))</f>
        <v/>
      </c>
      <c r="I481" s="27">
        <f>IF($C481="","",IFERROR(INDEX(ENVIOS!$G$4:$G$3003,MATCH($C481,ENVIOS!$A$4:$A$3003,0)),"—"))</f>
        <v/>
      </c>
      <c r="J481" s="48">
        <f>IF($C481="","",IFERROR(INDEX(ENVIOS!$B$4:$B$3003,MATCH($C481,ENVIOS!$A$4:$A$3003,0)),""))</f>
        <v/>
      </c>
      <c r="K481" s="49" t="n"/>
      <c r="L481" s="27">
        <f>IF($K481="","",IFERROR(INDEX(CONFIG!$B$4:$B$43,MATCH($K481,CONFIG!$A$4:$A$43,0)),"Media"))</f>
        <v/>
      </c>
      <c r="M481" s="27">
        <f>IF($K481="","",IFERROR(INDEX(CONFIG!$D$4:$D$43,MATCH($K481,CONFIG!$A$4:$A$43,0)),"NO"))</f>
        <v/>
      </c>
      <c r="N481" s="49" t="n"/>
      <c r="O481" s="27">
        <f>IF($N481="","",IFERROR(INDEX(CONFIG!$G$4:$G$43,MATCH($N481,CONFIG!$F$4:$F$43,0)),"Por definir"))</f>
        <v/>
      </c>
      <c r="P481" s="27">
        <f>IF($N481="","",IFERROR(INDEX(CONFIG!$H$4:$H$43,MATCH($N481,CONFIG!$F$4:$F$43,0)),"Por definir"))</f>
        <v/>
      </c>
      <c r="Q481" s="50" t="n"/>
      <c r="R481" s="51" t="n"/>
      <c r="S481" s="49" t="n"/>
      <c r="T481" s="49" t="n"/>
      <c r="U481" s="48">
        <f>IF(OR($B481="",$K481=""),"",WORKDAY($B481,IFERROR(INDEX(CONFIG!$C$4:$C$43,MATCH($K481,CONFIG!$A$4:$A$43,0)),3)))</f>
        <v/>
      </c>
      <c r="V481" s="46" t="n"/>
      <c r="W481" s="23">
        <f>IF($B481="","",IF($V481&lt;&gt;"",$V481-$B481,TODAY()-$B481))</f>
        <v/>
      </c>
      <c r="X481" s="27">
        <f>IF($C481="","",IF(IFERROR(INDEX(CONFIG!$K$4:$K$43,MATCH($S481,CONFIG!$J$4:$J$43,0)),"NO")="SÍ",IF(OR($V481="",$U481=""),"Resuelta",IF($V481&gt;$U481,"Resuelta tarde","Resuelta a tiempo")),IF($U481="","Sin clasificar",IF(TODAY()&gt;$U481,"Vencida",IF(TODAY()&gt;=$U481-1,"Por vencer","En plazo")))))</f>
        <v/>
      </c>
      <c r="Y481" s="49" t="n"/>
      <c r="Z481" s="49" t="n"/>
    </row>
    <row r="482" ht="16" customHeight="1">
      <c r="A482" s="27">
        <f>IF($C482="","","N-"&amp;TEXT(ROW()-3,"0000"))</f>
        <v/>
      </c>
      <c r="B482" s="46" t="n"/>
      <c r="C482" s="47" t="n"/>
      <c r="D482" s="27">
        <f>IF($C482="","",IF(COUNTIFS(ENVIOS!$A$4:$A$3003,$C482)=0,"NO EXISTE",IF(COUNTIFS(ENVIOS!$A$4:$A$3003,$C482)&gt;1,"DUPLICADA","OK")))</f>
        <v/>
      </c>
      <c r="E482" s="22">
        <f>IF($C482="","",IFERROR(INDEX(ENVIOS!$C$4:$C$3003,MATCH($C482,ENVIOS!$A$4:$A$3003,0)),"—"))</f>
        <v/>
      </c>
      <c r="F482" s="22">
        <f>IF($C482="","",IFERROR(INDEX(ENVIOS!$D$4:$D$3003,MATCH($C482,ENVIOS!$A$4:$A$3003,0)),"—"))</f>
        <v/>
      </c>
      <c r="G482" s="22">
        <f>IF($C482="","",IFERROR(INDEX(ENVIOS!$E$4:$E$3003,MATCH($C482,ENVIOS!$A$4:$A$3003,0)),"—"))</f>
        <v/>
      </c>
      <c r="H482" s="22">
        <f>IF($C482="","",IFERROR(INDEX(ENVIOS!$F$4:$F$3003,MATCH($C482,ENVIOS!$A$4:$A$3003,0)),"—"))</f>
        <v/>
      </c>
      <c r="I482" s="27">
        <f>IF($C482="","",IFERROR(INDEX(ENVIOS!$G$4:$G$3003,MATCH($C482,ENVIOS!$A$4:$A$3003,0)),"—"))</f>
        <v/>
      </c>
      <c r="J482" s="48">
        <f>IF($C482="","",IFERROR(INDEX(ENVIOS!$B$4:$B$3003,MATCH($C482,ENVIOS!$A$4:$A$3003,0)),""))</f>
        <v/>
      </c>
      <c r="K482" s="49" t="n"/>
      <c r="L482" s="27">
        <f>IF($K482="","",IFERROR(INDEX(CONFIG!$B$4:$B$43,MATCH($K482,CONFIG!$A$4:$A$43,0)),"Media"))</f>
        <v/>
      </c>
      <c r="M482" s="27">
        <f>IF($K482="","",IFERROR(INDEX(CONFIG!$D$4:$D$43,MATCH($K482,CONFIG!$A$4:$A$43,0)),"NO"))</f>
        <v/>
      </c>
      <c r="N482" s="49" t="n"/>
      <c r="O482" s="27">
        <f>IF($N482="","",IFERROR(INDEX(CONFIG!$G$4:$G$43,MATCH($N482,CONFIG!$F$4:$F$43,0)),"Por definir"))</f>
        <v/>
      </c>
      <c r="P482" s="27">
        <f>IF($N482="","",IFERROR(INDEX(CONFIG!$H$4:$H$43,MATCH($N482,CONFIG!$F$4:$F$43,0)),"Por definir"))</f>
        <v/>
      </c>
      <c r="Q482" s="50" t="n"/>
      <c r="R482" s="51" t="n"/>
      <c r="S482" s="49" t="n"/>
      <c r="T482" s="49" t="n"/>
      <c r="U482" s="48">
        <f>IF(OR($B482="",$K482=""),"",WORKDAY($B482,IFERROR(INDEX(CONFIG!$C$4:$C$43,MATCH($K482,CONFIG!$A$4:$A$43,0)),3)))</f>
        <v/>
      </c>
      <c r="V482" s="46" t="n"/>
      <c r="W482" s="23">
        <f>IF($B482="","",IF($V482&lt;&gt;"",$V482-$B482,TODAY()-$B482))</f>
        <v/>
      </c>
      <c r="X482" s="27">
        <f>IF($C482="","",IF(IFERROR(INDEX(CONFIG!$K$4:$K$43,MATCH($S482,CONFIG!$J$4:$J$43,0)),"NO")="SÍ",IF(OR($V482="",$U482=""),"Resuelta",IF($V482&gt;$U482,"Resuelta tarde","Resuelta a tiempo")),IF($U482="","Sin clasificar",IF(TODAY()&gt;$U482,"Vencida",IF(TODAY()&gt;=$U482-1,"Por vencer","En plazo")))))</f>
        <v/>
      </c>
      <c r="Y482" s="49" t="n"/>
      <c r="Z482" s="49" t="n"/>
    </row>
    <row r="483" ht="16" customHeight="1">
      <c r="A483" s="27">
        <f>IF($C483="","","N-"&amp;TEXT(ROW()-3,"0000"))</f>
        <v/>
      </c>
      <c r="B483" s="46" t="n"/>
      <c r="C483" s="47" t="n"/>
      <c r="D483" s="27">
        <f>IF($C483="","",IF(COUNTIFS(ENVIOS!$A$4:$A$3003,$C483)=0,"NO EXISTE",IF(COUNTIFS(ENVIOS!$A$4:$A$3003,$C483)&gt;1,"DUPLICADA","OK")))</f>
        <v/>
      </c>
      <c r="E483" s="22">
        <f>IF($C483="","",IFERROR(INDEX(ENVIOS!$C$4:$C$3003,MATCH($C483,ENVIOS!$A$4:$A$3003,0)),"—"))</f>
        <v/>
      </c>
      <c r="F483" s="22">
        <f>IF($C483="","",IFERROR(INDEX(ENVIOS!$D$4:$D$3003,MATCH($C483,ENVIOS!$A$4:$A$3003,0)),"—"))</f>
        <v/>
      </c>
      <c r="G483" s="22">
        <f>IF($C483="","",IFERROR(INDEX(ENVIOS!$E$4:$E$3003,MATCH($C483,ENVIOS!$A$4:$A$3003,0)),"—"))</f>
        <v/>
      </c>
      <c r="H483" s="22">
        <f>IF($C483="","",IFERROR(INDEX(ENVIOS!$F$4:$F$3003,MATCH($C483,ENVIOS!$A$4:$A$3003,0)),"—"))</f>
        <v/>
      </c>
      <c r="I483" s="27">
        <f>IF($C483="","",IFERROR(INDEX(ENVIOS!$G$4:$G$3003,MATCH($C483,ENVIOS!$A$4:$A$3003,0)),"—"))</f>
        <v/>
      </c>
      <c r="J483" s="48">
        <f>IF($C483="","",IFERROR(INDEX(ENVIOS!$B$4:$B$3003,MATCH($C483,ENVIOS!$A$4:$A$3003,0)),""))</f>
        <v/>
      </c>
      <c r="K483" s="49" t="n"/>
      <c r="L483" s="27">
        <f>IF($K483="","",IFERROR(INDEX(CONFIG!$B$4:$B$43,MATCH($K483,CONFIG!$A$4:$A$43,0)),"Media"))</f>
        <v/>
      </c>
      <c r="M483" s="27">
        <f>IF($K483="","",IFERROR(INDEX(CONFIG!$D$4:$D$43,MATCH($K483,CONFIG!$A$4:$A$43,0)),"NO"))</f>
        <v/>
      </c>
      <c r="N483" s="49" t="n"/>
      <c r="O483" s="27">
        <f>IF($N483="","",IFERROR(INDEX(CONFIG!$G$4:$G$43,MATCH($N483,CONFIG!$F$4:$F$43,0)),"Por definir"))</f>
        <v/>
      </c>
      <c r="P483" s="27">
        <f>IF($N483="","",IFERROR(INDEX(CONFIG!$H$4:$H$43,MATCH($N483,CONFIG!$F$4:$F$43,0)),"Por definir"))</f>
        <v/>
      </c>
      <c r="Q483" s="50" t="n"/>
      <c r="R483" s="51" t="n"/>
      <c r="S483" s="49" t="n"/>
      <c r="T483" s="49" t="n"/>
      <c r="U483" s="48">
        <f>IF(OR($B483="",$K483=""),"",WORKDAY($B483,IFERROR(INDEX(CONFIG!$C$4:$C$43,MATCH($K483,CONFIG!$A$4:$A$43,0)),3)))</f>
        <v/>
      </c>
      <c r="V483" s="46" t="n"/>
      <c r="W483" s="23">
        <f>IF($B483="","",IF($V483&lt;&gt;"",$V483-$B483,TODAY()-$B483))</f>
        <v/>
      </c>
      <c r="X483" s="27">
        <f>IF($C483="","",IF(IFERROR(INDEX(CONFIG!$K$4:$K$43,MATCH($S483,CONFIG!$J$4:$J$43,0)),"NO")="SÍ",IF(OR($V483="",$U483=""),"Resuelta",IF($V483&gt;$U483,"Resuelta tarde","Resuelta a tiempo")),IF($U483="","Sin clasificar",IF(TODAY()&gt;$U483,"Vencida",IF(TODAY()&gt;=$U483-1,"Por vencer","En plazo")))))</f>
        <v/>
      </c>
      <c r="Y483" s="49" t="n"/>
      <c r="Z483" s="49" t="n"/>
    </row>
    <row r="484" ht="16" customHeight="1">
      <c r="A484" s="27">
        <f>IF($C484="","","N-"&amp;TEXT(ROW()-3,"0000"))</f>
        <v/>
      </c>
      <c r="B484" s="46" t="n"/>
      <c r="C484" s="47" t="n"/>
      <c r="D484" s="27">
        <f>IF($C484="","",IF(COUNTIFS(ENVIOS!$A$4:$A$3003,$C484)=0,"NO EXISTE",IF(COUNTIFS(ENVIOS!$A$4:$A$3003,$C484)&gt;1,"DUPLICADA","OK")))</f>
        <v/>
      </c>
      <c r="E484" s="22">
        <f>IF($C484="","",IFERROR(INDEX(ENVIOS!$C$4:$C$3003,MATCH($C484,ENVIOS!$A$4:$A$3003,0)),"—"))</f>
        <v/>
      </c>
      <c r="F484" s="22">
        <f>IF($C484="","",IFERROR(INDEX(ENVIOS!$D$4:$D$3003,MATCH($C484,ENVIOS!$A$4:$A$3003,0)),"—"))</f>
        <v/>
      </c>
      <c r="G484" s="22">
        <f>IF($C484="","",IFERROR(INDEX(ENVIOS!$E$4:$E$3003,MATCH($C484,ENVIOS!$A$4:$A$3003,0)),"—"))</f>
        <v/>
      </c>
      <c r="H484" s="22">
        <f>IF($C484="","",IFERROR(INDEX(ENVIOS!$F$4:$F$3003,MATCH($C484,ENVIOS!$A$4:$A$3003,0)),"—"))</f>
        <v/>
      </c>
      <c r="I484" s="27">
        <f>IF($C484="","",IFERROR(INDEX(ENVIOS!$G$4:$G$3003,MATCH($C484,ENVIOS!$A$4:$A$3003,0)),"—"))</f>
        <v/>
      </c>
      <c r="J484" s="48">
        <f>IF($C484="","",IFERROR(INDEX(ENVIOS!$B$4:$B$3003,MATCH($C484,ENVIOS!$A$4:$A$3003,0)),""))</f>
        <v/>
      </c>
      <c r="K484" s="49" t="n"/>
      <c r="L484" s="27">
        <f>IF($K484="","",IFERROR(INDEX(CONFIG!$B$4:$B$43,MATCH($K484,CONFIG!$A$4:$A$43,0)),"Media"))</f>
        <v/>
      </c>
      <c r="M484" s="27">
        <f>IF($K484="","",IFERROR(INDEX(CONFIG!$D$4:$D$43,MATCH($K484,CONFIG!$A$4:$A$43,0)),"NO"))</f>
        <v/>
      </c>
      <c r="N484" s="49" t="n"/>
      <c r="O484" s="27">
        <f>IF($N484="","",IFERROR(INDEX(CONFIG!$G$4:$G$43,MATCH($N484,CONFIG!$F$4:$F$43,0)),"Por definir"))</f>
        <v/>
      </c>
      <c r="P484" s="27">
        <f>IF($N484="","",IFERROR(INDEX(CONFIG!$H$4:$H$43,MATCH($N484,CONFIG!$F$4:$F$43,0)),"Por definir"))</f>
        <v/>
      </c>
      <c r="Q484" s="50" t="n"/>
      <c r="R484" s="51" t="n"/>
      <c r="S484" s="49" t="n"/>
      <c r="T484" s="49" t="n"/>
      <c r="U484" s="48">
        <f>IF(OR($B484="",$K484=""),"",WORKDAY($B484,IFERROR(INDEX(CONFIG!$C$4:$C$43,MATCH($K484,CONFIG!$A$4:$A$43,0)),3)))</f>
        <v/>
      </c>
      <c r="V484" s="46" t="n"/>
      <c r="W484" s="23">
        <f>IF($B484="","",IF($V484&lt;&gt;"",$V484-$B484,TODAY()-$B484))</f>
        <v/>
      </c>
      <c r="X484" s="27">
        <f>IF($C484="","",IF(IFERROR(INDEX(CONFIG!$K$4:$K$43,MATCH($S484,CONFIG!$J$4:$J$43,0)),"NO")="SÍ",IF(OR($V484="",$U484=""),"Resuelta",IF($V484&gt;$U484,"Resuelta tarde","Resuelta a tiempo")),IF($U484="","Sin clasificar",IF(TODAY()&gt;$U484,"Vencida",IF(TODAY()&gt;=$U484-1,"Por vencer","En plazo")))))</f>
        <v/>
      </c>
      <c r="Y484" s="49" t="n"/>
      <c r="Z484" s="49" t="n"/>
    </row>
    <row r="485" ht="16" customHeight="1">
      <c r="A485" s="27">
        <f>IF($C485="","","N-"&amp;TEXT(ROW()-3,"0000"))</f>
        <v/>
      </c>
      <c r="B485" s="46" t="n"/>
      <c r="C485" s="47" t="n"/>
      <c r="D485" s="27">
        <f>IF($C485="","",IF(COUNTIFS(ENVIOS!$A$4:$A$3003,$C485)=0,"NO EXISTE",IF(COUNTIFS(ENVIOS!$A$4:$A$3003,$C485)&gt;1,"DUPLICADA","OK")))</f>
        <v/>
      </c>
      <c r="E485" s="22">
        <f>IF($C485="","",IFERROR(INDEX(ENVIOS!$C$4:$C$3003,MATCH($C485,ENVIOS!$A$4:$A$3003,0)),"—"))</f>
        <v/>
      </c>
      <c r="F485" s="22">
        <f>IF($C485="","",IFERROR(INDEX(ENVIOS!$D$4:$D$3003,MATCH($C485,ENVIOS!$A$4:$A$3003,0)),"—"))</f>
        <v/>
      </c>
      <c r="G485" s="22">
        <f>IF($C485="","",IFERROR(INDEX(ENVIOS!$E$4:$E$3003,MATCH($C485,ENVIOS!$A$4:$A$3003,0)),"—"))</f>
        <v/>
      </c>
      <c r="H485" s="22">
        <f>IF($C485="","",IFERROR(INDEX(ENVIOS!$F$4:$F$3003,MATCH($C485,ENVIOS!$A$4:$A$3003,0)),"—"))</f>
        <v/>
      </c>
      <c r="I485" s="27">
        <f>IF($C485="","",IFERROR(INDEX(ENVIOS!$G$4:$G$3003,MATCH($C485,ENVIOS!$A$4:$A$3003,0)),"—"))</f>
        <v/>
      </c>
      <c r="J485" s="48">
        <f>IF($C485="","",IFERROR(INDEX(ENVIOS!$B$4:$B$3003,MATCH($C485,ENVIOS!$A$4:$A$3003,0)),""))</f>
        <v/>
      </c>
      <c r="K485" s="49" t="n"/>
      <c r="L485" s="27">
        <f>IF($K485="","",IFERROR(INDEX(CONFIG!$B$4:$B$43,MATCH($K485,CONFIG!$A$4:$A$43,0)),"Media"))</f>
        <v/>
      </c>
      <c r="M485" s="27">
        <f>IF($K485="","",IFERROR(INDEX(CONFIG!$D$4:$D$43,MATCH($K485,CONFIG!$A$4:$A$43,0)),"NO"))</f>
        <v/>
      </c>
      <c r="N485" s="49" t="n"/>
      <c r="O485" s="27">
        <f>IF($N485="","",IFERROR(INDEX(CONFIG!$G$4:$G$43,MATCH($N485,CONFIG!$F$4:$F$43,0)),"Por definir"))</f>
        <v/>
      </c>
      <c r="P485" s="27">
        <f>IF($N485="","",IFERROR(INDEX(CONFIG!$H$4:$H$43,MATCH($N485,CONFIG!$F$4:$F$43,0)),"Por definir"))</f>
        <v/>
      </c>
      <c r="Q485" s="50" t="n"/>
      <c r="R485" s="51" t="n"/>
      <c r="S485" s="49" t="n"/>
      <c r="T485" s="49" t="n"/>
      <c r="U485" s="48">
        <f>IF(OR($B485="",$K485=""),"",WORKDAY($B485,IFERROR(INDEX(CONFIG!$C$4:$C$43,MATCH($K485,CONFIG!$A$4:$A$43,0)),3)))</f>
        <v/>
      </c>
      <c r="V485" s="46" t="n"/>
      <c r="W485" s="23">
        <f>IF($B485="","",IF($V485&lt;&gt;"",$V485-$B485,TODAY()-$B485))</f>
        <v/>
      </c>
      <c r="X485" s="27">
        <f>IF($C485="","",IF(IFERROR(INDEX(CONFIG!$K$4:$K$43,MATCH($S485,CONFIG!$J$4:$J$43,0)),"NO")="SÍ",IF(OR($V485="",$U485=""),"Resuelta",IF($V485&gt;$U485,"Resuelta tarde","Resuelta a tiempo")),IF($U485="","Sin clasificar",IF(TODAY()&gt;$U485,"Vencida",IF(TODAY()&gt;=$U485-1,"Por vencer","En plazo")))))</f>
        <v/>
      </c>
      <c r="Y485" s="49" t="n"/>
      <c r="Z485" s="49" t="n"/>
    </row>
    <row r="486" ht="16" customHeight="1">
      <c r="A486" s="27">
        <f>IF($C486="","","N-"&amp;TEXT(ROW()-3,"0000"))</f>
        <v/>
      </c>
      <c r="B486" s="46" t="n"/>
      <c r="C486" s="47" t="n"/>
      <c r="D486" s="27">
        <f>IF($C486="","",IF(COUNTIFS(ENVIOS!$A$4:$A$3003,$C486)=0,"NO EXISTE",IF(COUNTIFS(ENVIOS!$A$4:$A$3003,$C486)&gt;1,"DUPLICADA","OK")))</f>
        <v/>
      </c>
      <c r="E486" s="22">
        <f>IF($C486="","",IFERROR(INDEX(ENVIOS!$C$4:$C$3003,MATCH($C486,ENVIOS!$A$4:$A$3003,0)),"—"))</f>
        <v/>
      </c>
      <c r="F486" s="22">
        <f>IF($C486="","",IFERROR(INDEX(ENVIOS!$D$4:$D$3003,MATCH($C486,ENVIOS!$A$4:$A$3003,0)),"—"))</f>
        <v/>
      </c>
      <c r="G486" s="22">
        <f>IF($C486="","",IFERROR(INDEX(ENVIOS!$E$4:$E$3003,MATCH($C486,ENVIOS!$A$4:$A$3003,0)),"—"))</f>
        <v/>
      </c>
      <c r="H486" s="22">
        <f>IF($C486="","",IFERROR(INDEX(ENVIOS!$F$4:$F$3003,MATCH($C486,ENVIOS!$A$4:$A$3003,0)),"—"))</f>
        <v/>
      </c>
      <c r="I486" s="27">
        <f>IF($C486="","",IFERROR(INDEX(ENVIOS!$G$4:$G$3003,MATCH($C486,ENVIOS!$A$4:$A$3003,0)),"—"))</f>
        <v/>
      </c>
      <c r="J486" s="48">
        <f>IF($C486="","",IFERROR(INDEX(ENVIOS!$B$4:$B$3003,MATCH($C486,ENVIOS!$A$4:$A$3003,0)),""))</f>
        <v/>
      </c>
      <c r="K486" s="49" t="n"/>
      <c r="L486" s="27">
        <f>IF($K486="","",IFERROR(INDEX(CONFIG!$B$4:$B$43,MATCH($K486,CONFIG!$A$4:$A$43,0)),"Media"))</f>
        <v/>
      </c>
      <c r="M486" s="27">
        <f>IF($K486="","",IFERROR(INDEX(CONFIG!$D$4:$D$43,MATCH($K486,CONFIG!$A$4:$A$43,0)),"NO"))</f>
        <v/>
      </c>
      <c r="N486" s="49" t="n"/>
      <c r="O486" s="27">
        <f>IF($N486="","",IFERROR(INDEX(CONFIG!$G$4:$G$43,MATCH($N486,CONFIG!$F$4:$F$43,0)),"Por definir"))</f>
        <v/>
      </c>
      <c r="P486" s="27">
        <f>IF($N486="","",IFERROR(INDEX(CONFIG!$H$4:$H$43,MATCH($N486,CONFIG!$F$4:$F$43,0)),"Por definir"))</f>
        <v/>
      </c>
      <c r="Q486" s="50" t="n"/>
      <c r="R486" s="51" t="n"/>
      <c r="S486" s="49" t="n"/>
      <c r="T486" s="49" t="n"/>
      <c r="U486" s="48">
        <f>IF(OR($B486="",$K486=""),"",WORKDAY($B486,IFERROR(INDEX(CONFIG!$C$4:$C$43,MATCH($K486,CONFIG!$A$4:$A$43,0)),3)))</f>
        <v/>
      </c>
      <c r="V486" s="46" t="n"/>
      <c r="W486" s="23">
        <f>IF($B486="","",IF($V486&lt;&gt;"",$V486-$B486,TODAY()-$B486))</f>
        <v/>
      </c>
      <c r="X486" s="27">
        <f>IF($C486="","",IF(IFERROR(INDEX(CONFIG!$K$4:$K$43,MATCH($S486,CONFIG!$J$4:$J$43,0)),"NO")="SÍ",IF(OR($V486="",$U486=""),"Resuelta",IF($V486&gt;$U486,"Resuelta tarde","Resuelta a tiempo")),IF($U486="","Sin clasificar",IF(TODAY()&gt;$U486,"Vencida",IF(TODAY()&gt;=$U486-1,"Por vencer","En plazo")))))</f>
        <v/>
      </c>
      <c r="Y486" s="49" t="n"/>
      <c r="Z486" s="49" t="n"/>
    </row>
    <row r="487" ht="16" customHeight="1">
      <c r="A487" s="27">
        <f>IF($C487="","","N-"&amp;TEXT(ROW()-3,"0000"))</f>
        <v/>
      </c>
      <c r="B487" s="46" t="n"/>
      <c r="C487" s="47" t="n"/>
      <c r="D487" s="27">
        <f>IF($C487="","",IF(COUNTIFS(ENVIOS!$A$4:$A$3003,$C487)=0,"NO EXISTE",IF(COUNTIFS(ENVIOS!$A$4:$A$3003,$C487)&gt;1,"DUPLICADA","OK")))</f>
        <v/>
      </c>
      <c r="E487" s="22">
        <f>IF($C487="","",IFERROR(INDEX(ENVIOS!$C$4:$C$3003,MATCH($C487,ENVIOS!$A$4:$A$3003,0)),"—"))</f>
        <v/>
      </c>
      <c r="F487" s="22">
        <f>IF($C487="","",IFERROR(INDEX(ENVIOS!$D$4:$D$3003,MATCH($C487,ENVIOS!$A$4:$A$3003,0)),"—"))</f>
        <v/>
      </c>
      <c r="G487" s="22">
        <f>IF($C487="","",IFERROR(INDEX(ENVIOS!$E$4:$E$3003,MATCH($C487,ENVIOS!$A$4:$A$3003,0)),"—"))</f>
        <v/>
      </c>
      <c r="H487" s="22">
        <f>IF($C487="","",IFERROR(INDEX(ENVIOS!$F$4:$F$3003,MATCH($C487,ENVIOS!$A$4:$A$3003,0)),"—"))</f>
        <v/>
      </c>
      <c r="I487" s="27">
        <f>IF($C487="","",IFERROR(INDEX(ENVIOS!$G$4:$G$3003,MATCH($C487,ENVIOS!$A$4:$A$3003,0)),"—"))</f>
        <v/>
      </c>
      <c r="J487" s="48">
        <f>IF($C487="","",IFERROR(INDEX(ENVIOS!$B$4:$B$3003,MATCH($C487,ENVIOS!$A$4:$A$3003,0)),""))</f>
        <v/>
      </c>
      <c r="K487" s="49" t="n"/>
      <c r="L487" s="27">
        <f>IF($K487="","",IFERROR(INDEX(CONFIG!$B$4:$B$43,MATCH($K487,CONFIG!$A$4:$A$43,0)),"Media"))</f>
        <v/>
      </c>
      <c r="M487" s="27">
        <f>IF($K487="","",IFERROR(INDEX(CONFIG!$D$4:$D$43,MATCH($K487,CONFIG!$A$4:$A$43,0)),"NO"))</f>
        <v/>
      </c>
      <c r="N487" s="49" t="n"/>
      <c r="O487" s="27">
        <f>IF($N487="","",IFERROR(INDEX(CONFIG!$G$4:$G$43,MATCH($N487,CONFIG!$F$4:$F$43,0)),"Por definir"))</f>
        <v/>
      </c>
      <c r="P487" s="27">
        <f>IF($N487="","",IFERROR(INDEX(CONFIG!$H$4:$H$43,MATCH($N487,CONFIG!$F$4:$F$43,0)),"Por definir"))</f>
        <v/>
      </c>
      <c r="Q487" s="50" t="n"/>
      <c r="R487" s="51" t="n"/>
      <c r="S487" s="49" t="n"/>
      <c r="T487" s="49" t="n"/>
      <c r="U487" s="48">
        <f>IF(OR($B487="",$K487=""),"",WORKDAY($B487,IFERROR(INDEX(CONFIG!$C$4:$C$43,MATCH($K487,CONFIG!$A$4:$A$43,0)),3)))</f>
        <v/>
      </c>
      <c r="V487" s="46" t="n"/>
      <c r="W487" s="23">
        <f>IF($B487="","",IF($V487&lt;&gt;"",$V487-$B487,TODAY()-$B487))</f>
        <v/>
      </c>
      <c r="X487" s="27">
        <f>IF($C487="","",IF(IFERROR(INDEX(CONFIG!$K$4:$K$43,MATCH($S487,CONFIG!$J$4:$J$43,0)),"NO")="SÍ",IF(OR($V487="",$U487=""),"Resuelta",IF($V487&gt;$U487,"Resuelta tarde","Resuelta a tiempo")),IF($U487="","Sin clasificar",IF(TODAY()&gt;$U487,"Vencida",IF(TODAY()&gt;=$U487-1,"Por vencer","En plazo")))))</f>
        <v/>
      </c>
      <c r="Y487" s="49" t="n"/>
      <c r="Z487" s="49" t="n"/>
    </row>
    <row r="488" ht="16" customHeight="1">
      <c r="A488" s="27">
        <f>IF($C488="","","N-"&amp;TEXT(ROW()-3,"0000"))</f>
        <v/>
      </c>
      <c r="B488" s="46" t="n"/>
      <c r="C488" s="47" t="n"/>
      <c r="D488" s="27">
        <f>IF($C488="","",IF(COUNTIFS(ENVIOS!$A$4:$A$3003,$C488)=0,"NO EXISTE",IF(COUNTIFS(ENVIOS!$A$4:$A$3003,$C488)&gt;1,"DUPLICADA","OK")))</f>
        <v/>
      </c>
      <c r="E488" s="22">
        <f>IF($C488="","",IFERROR(INDEX(ENVIOS!$C$4:$C$3003,MATCH($C488,ENVIOS!$A$4:$A$3003,0)),"—"))</f>
        <v/>
      </c>
      <c r="F488" s="22">
        <f>IF($C488="","",IFERROR(INDEX(ENVIOS!$D$4:$D$3003,MATCH($C488,ENVIOS!$A$4:$A$3003,0)),"—"))</f>
        <v/>
      </c>
      <c r="G488" s="22">
        <f>IF($C488="","",IFERROR(INDEX(ENVIOS!$E$4:$E$3003,MATCH($C488,ENVIOS!$A$4:$A$3003,0)),"—"))</f>
        <v/>
      </c>
      <c r="H488" s="22">
        <f>IF($C488="","",IFERROR(INDEX(ENVIOS!$F$4:$F$3003,MATCH($C488,ENVIOS!$A$4:$A$3003,0)),"—"))</f>
        <v/>
      </c>
      <c r="I488" s="27">
        <f>IF($C488="","",IFERROR(INDEX(ENVIOS!$G$4:$G$3003,MATCH($C488,ENVIOS!$A$4:$A$3003,0)),"—"))</f>
        <v/>
      </c>
      <c r="J488" s="48">
        <f>IF($C488="","",IFERROR(INDEX(ENVIOS!$B$4:$B$3003,MATCH($C488,ENVIOS!$A$4:$A$3003,0)),""))</f>
        <v/>
      </c>
      <c r="K488" s="49" t="n"/>
      <c r="L488" s="27">
        <f>IF($K488="","",IFERROR(INDEX(CONFIG!$B$4:$B$43,MATCH($K488,CONFIG!$A$4:$A$43,0)),"Media"))</f>
        <v/>
      </c>
      <c r="M488" s="27">
        <f>IF($K488="","",IFERROR(INDEX(CONFIG!$D$4:$D$43,MATCH($K488,CONFIG!$A$4:$A$43,0)),"NO"))</f>
        <v/>
      </c>
      <c r="N488" s="49" t="n"/>
      <c r="O488" s="27">
        <f>IF($N488="","",IFERROR(INDEX(CONFIG!$G$4:$G$43,MATCH($N488,CONFIG!$F$4:$F$43,0)),"Por definir"))</f>
        <v/>
      </c>
      <c r="P488" s="27">
        <f>IF($N488="","",IFERROR(INDEX(CONFIG!$H$4:$H$43,MATCH($N488,CONFIG!$F$4:$F$43,0)),"Por definir"))</f>
        <v/>
      </c>
      <c r="Q488" s="50" t="n"/>
      <c r="R488" s="51" t="n"/>
      <c r="S488" s="49" t="n"/>
      <c r="T488" s="49" t="n"/>
      <c r="U488" s="48">
        <f>IF(OR($B488="",$K488=""),"",WORKDAY($B488,IFERROR(INDEX(CONFIG!$C$4:$C$43,MATCH($K488,CONFIG!$A$4:$A$43,0)),3)))</f>
        <v/>
      </c>
      <c r="V488" s="46" t="n"/>
      <c r="W488" s="23">
        <f>IF($B488="","",IF($V488&lt;&gt;"",$V488-$B488,TODAY()-$B488))</f>
        <v/>
      </c>
      <c r="X488" s="27">
        <f>IF($C488="","",IF(IFERROR(INDEX(CONFIG!$K$4:$K$43,MATCH($S488,CONFIG!$J$4:$J$43,0)),"NO")="SÍ",IF(OR($V488="",$U488=""),"Resuelta",IF($V488&gt;$U488,"Resuelta tarde","Resuelta a tiempo")),IF($U488="","Sin clasificar",IF(TODAY()&gt;$U488,"Vencida",IF(TODAY()&gt;=$U488-1,"Por vencer","En plazo")))))</f>
        <v/>
      </c>
      <c r="Y488" s="49" t="n"/>
      <c r="Z488" s="49" t="n"/>
    </row>
    <row r="489" ht="16" customHeight="1">
      <c r="A489" s="27">
        <f>IF($C489="","","N-"&amp;TEXT(ROW()-3,"0000"))</f>
        <v/>
      </c>
      <c r="B489" s="46" t="n"/>
      <c r="C489" s="47" t="n"/>
      <c r="D489" s="27">
        <f>IF($C489="","",IF(COUNTIFS(ENVIOS!$A$4:$A$3003,$C489)=0,"NO EXISTE",IF(COUNTIFS(ENVIOS!$A$4:$A$3003,$C489)&gt;1,"DUPLICADA","OK")))</f>
        <v/>
      </c>
      <c r="E489" s="22">
        <f>IF($C489="","",IFERROR(INDEX(ENVIOS!$C$4:$C$3003,MATCH($C489,ENVIOS!$A$4:$A$3003,0)),"—"))</f>
        <v/>
      </c>
      <c r="F489" s="22">
        <f>IF($C489="","",IFERROR(INDEX(ENVIOS!$D$4:$D$3003,MATCH($C489,ENVIOS!$A$4:$A$3003,0)),"—"))</f>
        <v/>
      </c>
      <c r="G489" s="22">
        <f>IF($C489="","",IFERROR(INDEX(ENVIOS!$E$4:$E$3003,MATCH($C489,ENVIOS!$A$4:$A$3003,0)),"—"))</f>
        <v/>
      </c>
      <c r="H489" s="22">
        <f>IF($C489="","",IFERROR(INDEX(ENVIOS!$F$4:$F$3003,MATCH($C489,ENVIOS!$A$4:$A$3003,0)),"—"))</f>
        <v/>
      </c>
      <c r="I489" s="27">
        <f>IF($C489="","",IFERROR(INDEX(ENVIOS!$G$4:$G$3003,MATCH($C489,ENVIOS!$A$4:$A$3003,0)),"—"))</f>
        <v/>
      </c>
      <c r="J489" s="48">
        <f>IF($C489="","",IFERROR(INDEX(ENVIOS!$B$4:$B$3003,MATCH($C489,ENVIOS!$A$4:$A$3003,0)),""))</f>
        <v/>
      </c>
      <c r="K489" s="49" t="n"/>
      <c r="L489" s="27">
        <f>IF($K489="","",IFERROR(INDEX(CONFIG!$B$4:$B$43,MATCH($K489,CONFIG!$A$4:$A$43,0)),"Media"))</f>
        <v/>
      </c>
      <c r="M489" s="27">
        <f>IF($K489="","",IFERROR(INDEX(CONFIG!$D$4:$D$43,MATCH($K489,CONFIG!$A$4:$A$43,0)),"NO"))</f>
        <v/>
      </c>
      <c r="N489" s="49" t="n"/>
      <c r="O489" s="27">
        <f>IF($N489="","",IFERROR(INDEX(CONFIG!$G$4:$G$43,MATCH($N489,CONFIG!$F$4:$F$43,0)),"Por definir"))</f>
        <v/>
      </c>
      <c r="P489" s="27">
        <f>IF($N489="","",IFERROR(INDEX(CONFIG!$H$4:$H$43,MATCH($N489,CONFIG!$F$4:$F$43,0)),"Por definir"))</f>
        <v/>
      </c>
      <c r="Q489" s="50" t="n"/>
      <c r="R489" s="51" t="n"/>
      <c r="S489" s="49" t="n"/>
      <c r="T489" s="49" t="n"/>
      <c r="U489" s="48">
        <f>IF(OR($B489="",$K489=""),"",WORKDAY($B489,IFERROR(INDEX(CONFIG!$C$4:$C$43,MATCH($K489,CONFIG!$A$4:$A$43,0)),3)))</f>
        <v/>
      </c>
      <c r="V489" s="46" t="n"/>
      <c r="W489" s="23">
        <f>IF($B489="","",IF($V489&lt;&gt;"",$V489-$B489,TODAY()-$B489))</f>
        <v/>
      </c>
      <c r="X489" s="27">
        <f>IF($C489="","",IF(IFERROR(INDEX(CONFIG!$K$4:$K$43,MATCH($S489,CONFIG!$J$4:$J$43,0)),"NO")="SÍ",IF(OR($V489="",$U489=""),"Resuelta",IF($V489&gt;$U489,"Resuelta tarde","Resuelta a tiempo")),IF($U489="","Sin clasificar",IF(TODAY()&gt;$U489,"Vencida",IF(TODAY()&gt;=$U489-1,"Por vencer","En plazo")))))</f>
        <v/>
      </c>
      <c r="Y489" s="49" t="n"/>
      <c r="Z489" s="49" t="n"/>
    </row>
    <row r="490" ht="16" customHeight="1">
      <c r="A490" s="27">
        <f>IF($C490="","","N-"&amp;TEXT(ROW()-3,"0000"))</f>
        <v/>
      </c>
      <c r="B490" s="46" t="n"/>
      <c r="C490" s="47" t="n"/>
      <c r="D490" s="27">
        <f>IF($C490="","",IF(COUNTIFS(ENVIOS!$A$4:$A$3003,$C490)=0,"NO EXISTE",IF(COUNTIFS(ENVIOS!$A$4:$A$3003,$C490)&gt;1,"DUPLICADA","OK")))</f>
        <v/>
      </c>
      <c r="E490" s="22">
        <f>IF($C490="","",IFERROR(INDEX(ENVIOS!$C$4:$C$3003,MATCH($C490,ENVIOS!$A$4:$A$3003,0)),"—"))</f>
        <v/>
      </c>
      <c r="F490" s="22">
        <f>IF($C490="","",IFERROR(INDEX(ENVIOS!$D$4:$D$3003,MATCH($C490,ENVIOS!$A$4:$A$3003,0)),"—"))</f>
        <v/>
      </c>
      <c r="G490" s="22">
        <f>IF($C490="","",IFERROR(INDEX(ENVIOS!$E$4:$E$3003,MATCH($C490,ENVIOS!$A$4:$A$3003,0)),"—"))</f>
        <v/>
      </c>
      <c r="H490" s="22">
        <f>IF($C490="","",IFERROR(INDEX(ENVIOS!$F$4:$F$3003,MATCH($C490,ENVIOS!$A$4:$A$3003,0)),"—"))</f>
        <v/>
      </c>
      <c r="I490" s="27">
        <f>IF($C490="","",IFERROR(INDEX(ENVIOS!$G$4:$G$3003,MATCH($C490,ENVIOS!$A$4:$A$3003,0)),"—"))</f>
        <v/>
      </c>
      <c r="J490" s="48">
        <f>IF($C490="","",IFERROR(INDEX(ENVIOS!$B$4:$B$3003,MATCH($C490,ENVIOS!$A$4:$A$3003,0)),""))</f>
        <v/>
      </c>
      <c r="K490" s="49" t="n"/>
      <c r="L490" s="27">
        <f>IF($K490="","",IFERROR(INDEX(CONFIG!$B$4:$B$43,MATCH($K490,CONFIG!$A$4:$A$43,0)),"Media"))</f>
        <v/>
      </c>
      <c r="M490" s="27">
        <f>IF($K490="","",IFERROR(INDEX(CONFIG!$D$4:$D$43,MATCH($K490,CONFIG!$A$4:$A$43,0)),"NO"))</f>
        <v/>
      </c>
      <c r="N490" s="49" t="n"/>
      <c r="O490" s="27">
        <f>IF($N490="","",IFERROR(INDEX(CONFIG!$G$4:$G$43,MATCH($N490,CONFIG!$F$4:$F$43,0)),"Por definir"))</f>
        <v/>
      </c>
      <c r="P490" s="27">
        <f>IF($N490="","",IFERROR(INDEX(CONFIG!$H$4:$H$43,MATCH($N490,CONFIG!$F$4:$F$43,0)),"Por definir"))</f>
        <v/>
      </c>
      <c r="Q490" s="50" t="n"/>
      <c r="R490" s="51" t="n"/>
      <c r="S490" s="49" t="n"/>
      <c r="T490" s="49" t="n"/>
      <c r="U490" s="48">
        <f>IF(OR($B490="",$K490=""),"",WORKDAY($B490,IFERROR(INDEX(CONFIG!$C$4:$C$43,MATCH($K490,CONFIG!$A$4:$A$43,0)),3)))</f>
        <v/>
      </c>
      <c r="V490" s="46" t="n"/>
      <c r="W490" s="23">
        <f>IF($B490="","",IF($V490&lt;&gt;"",$V490-$B490,TODAY()-$B490))</f>
        <v/>
      </c>
      <c r="X490" s="27">
        <f>IF($C490="","",IF(IFERROR(INDEX(CONFIG!$K$4:$K$43,MATCH($S490,CONFIG!$J$4:$J$43,0)),"NO")="SÍ",IF(OR($V490="",$U490=""),"Resuelta",IF($V490&gt;$U490,"Resuelta tarde","Resuelta a tiempo")),IF($U490="","Sin clasificar",IF(TODAY()&gt;$U490,"Vencida",IF(TODAY()&gt;=$U490-1,"Por vencer","En plazo")))))</f>
        <v/>
      </c>
      <c r="Y490" s="49" t="n"/>
      <c r="Z490" s="49" t="n"/>
    </row>
    <row r="491" ht="16" customHeight="1">
      <c r="A491" s="27">
        <f>IF($C491="","","N-"&amp;TEXT(ROW()-3,"0000"))</f>
        <v/>
      </c>
      <c r="B491" s="46" t="n"/>
      <c r="C491" s="47" t="n"/>
      <c r="D491" s="27">
        <f>IF($C491="","",IF(COUNTIFS(ENVIOS!$A$4:$A$3003,$C491)=0,"NO EXISTE",IF(COUNTIFS(ENVIOS!$A$4:$A$3003,$C491)&gt;1,"DUPLICADA","OK")))</f>
        <v/>
      </c>
      <c r="E491" s="22">
        <f>IF($C491="","",IFERROR(INDEX(ENVIOS!$C$4:$C$3003,MATCH($C491,ENVIOS!$A$4:$A$3003,0)),"—"))</f>
        <v/>
      </c>
      <c r="F491" s="22">
        <f>IF($C491="","",IFERROR(INDEX(ENVIOS!$D$4:$D$3003,MATCH($C491,ENVIOS!$A$4:$A$3003,0)),"—"))</f>
        <v/>
      </c>
      <c r="G491" s="22">
        <f>IF($C491="","",IFERROR(INDEX(ENVIOS!$E$4:$E$3003,MATCH($C491,ENVIOS!$A$4:$A$3003,0)),"—"))</f>
        <v/>
      </c>
      <c r="H491" s="22">
        <f>IF($C491="","",IFERROR(INDEX(ENVIOS!$F$4:$F$3003,MATCH($C491,ENVIOS!$A$4:$A$3003,0)),"—"))</f>
        <v/>
      </c>
      <c r="I491" s="27">
        <f>IF($C491="","",IFERROR(INDEX(ENVIOS!$G$4:$G$3003,MATCH($C491,ENVIOS!$A$4:$A$3003,0)),"—"))</f>
        <v/>
      </c>
      <c r="J491" s="48">
        <f>IF($C491="","",IFERROR(INDEX(ENVIOS!$B$4:$B$3003,MATCH($C491,ENVIOS!$A$4:$A$3003,0)),""))</f>
        <v/>
      </c>
      <c r="K491" s="49" t="n"/>
      <c r="L491" s="27">
        <f>IF($K491="","",IFERROR(INDEX(CONFIG!$B$4:$B$43,MATCH($K491,CONFIG!$A$4:$A$43,0)),"Media"))</f>
        <v/>
      </c>
      <c r="M491" s="27">
        <f>IF($K491="","",IFERROR(INDEX(CONFIG!$D$4:$D$43,MATCH($K491,CONFIG!$A$4:$A$43,0)),"NO"))</f>
        <v/>
      </c>
      <c r="N491" s="49" t="n"/>
      <c r="O491" s="27">
        <f>IF($N491="","",IFERROR(INDEX(CONFIG!$G$4:$G$43,MATCH($N491,CONFIG!$F$4:$F$43,0)),"Por definir"))</f>
        <v/>
      </c>
      <c r="P491" s="27">
        <f>IF($N491="","",IFERROR(INDEX(CONFIG!$H$4:$H$43,MATCH($N491,CONFIG!$F$4:$F$43,0)),"Por definir"))</f>
        <v/>
      </c>
      <c r="Q491" s="50" t="n"/>
      <c r="R491" s="51" t="n"/>
      <c r="S491" s="49" t="n"/>
      <c r="T491" s="49" t="n"/>
      <c r="U491" s="48">
        <f>IF(OR($B491="",$K491=""),"",WORKDAY($B491,IFERROR(INDEX(CONFIG!$C$4:$C$43,MATCH($K491,CONFIG!$A$4:$A$43,0)),3)))</f>
        <v/>
      </c>
      <c r="V491" s="46" t="n"/>
      <c r="W491" s="23">
        <f>IF($B491="","",IF($V491&lt;&gt;"",$V491-$B491,TODAY()-$B491))</f>
        <v/>
      </c>
      <c r="X491" s="27">
        <f>IF($C491="","",IF(IFERROR(INDEX(CONFIG!$K$4:$K$43,MATCH($S491,CONFIG!$J$4:$J$43,0)),"NO")="SÍ",IF(OR($V491="",$U491=""),"Resuelta",IF($V491&gt;$U491,"Resuelta tarde","Resuelta a tiempo")),IF($U491="","Sin clasificar",IF(TODAY()&gt;$U491,"Vencida",IF(TODAY()&gt;=$U491-1,"Por vencer","En plazo")))))</f>
        <v/>
      </c>
      <c r="Y491" s="49" t="n"/>
      <c r="Z491" s="49" t="n"/>
    </row>
    <row r="492" ht="16" customHeight="1">
      <c r="A492" s="27">
        <f>IF($C492="","","N-"&amp;TEXT(ROW()-3,"0000"))</f>
        <v/>
      </c>
      <c r="B492" s="46" t="n"/>
      <c r="C492" s="47" t="n"/>
      <c r="D492" s="27">
        <f>IF($C492="","",IF(COUNTIFS(ENVIOS!$A$4:$A$3003,$C492)=0,"NO EXISTE",IF(COUNTIFS(ENVIOS!$A$4:$A$3003,$C492)&gt;1,"DUPLICADA","OK")))</f>
        <v/>
      </c>
      <c r="E492" s="22">
        <f>IF($C492="","",IFERROR(INDEX(ENVIOS!$C$4:$C$3003,MATCH($C492,ENVIOS!$A$4:$A$3003,0)),"—"))</f>
        <v/>
      </c>
      <c r="F492" s="22">
        <f>IF($C492="","",IFERROR(INDEX(ENVIOS!$D$4:$D$3003,MATCH($C492,ENVIOS!$A$4:$A$3003,0)),"—"))</f>
        <v/>
      </c>
      <c r="G492" s="22">
        <f>IF($C492="","",IFERROR(INDEX(ENVIOS!$E$4:$E$3003,MATCH($C492,ENVIOS!$A$4:$A$3003,0)),"—"))</f>
        <v/>
      </c>
      <c r="H492" s="22">
        <f>IF($C492="","",IFERROR(INDEX(ENVIOS!$F$4:$F$3003,MATCH($C492,ENVIOS!$A$4:$A$3003,0)),"—"))</f>
        <v/>
      </c>
      <c r="I492" s="27">
        <f>IF($C492="","",IFERROR(INDEX(ENVIOS!$G$4:$G$3003,MATCH($C492,ENVIOS!$A$4:$A$3003,0)),"—"))</f>
        <v/>
      </c>
      <c r="J492" s="48">
        <f>IF($C492="","",IFERROR(INDEX(ENVIOS!$B$4:$B$3003,MATCH($C492,ENVIOS!$A$4:$A$3003,0)),""))</f>
        <v/>
      </c>
      <c r="K492" s="49" t="n"/>
      <c r="L492" s="27">
        <f>IF($K492="","",IFERROR(INDEX(CONFIG!$B$4:$B$43,MATCH($K492,CONFIG!$A$4:$A$43,0)),"Media"))</f>
        <v/>
      </c>
      <c r="M492" s="27">
        <f>IF($K492="","",IFERROR(INDEX(CONFIG!$D$4:$D$43,MATCH($K492,CONFIG!$A$4:$A$43,0)),"NO"))</f>
        <v/>
      </c>
      <c r="N492" s="49" t="n"/>
      <c r="O492" s="27">
        <f>IF($N492="","",IFERROR(INDEX(CONFIG!$G$4:$G$43,MATCH($N492,CONFIG!$F$4:$F$43,0)),"Por definir"))</f>
        <v/>
      </c>
      <c r="P492" s="27">
        <f>IF($N492="","",IFERROR(INDEX(CONFIG!$H$4:$H$43,MATCH($N492,CONFIG!$F$4:$F$43,0)),"Por definir"))</f>
        <v/>
      </c>
      <c r="Q492" s="50" t="n"/>
      <c r="R492" s="51" t="n"/>
      <c r="S492" s="49" t="n"/>
      <c r="T492" s="49" t="n"/>
      <c r="U492" s="48">
        <f>IF(OR($B492="",$K492=""),"",WORKDAY($B492,IFERROR(INDEX(CONFIG!$C$4:$C$43,MATCH($K492,CONFIG!$A$4:$A$43,0)),3)))</f>
        <v/>
      </c>
      <c r="V492" s="46" t="n"/>
      <c r="W492" s="23">
        <f>IF($B492="","",IF($V492&lt;&gt;"",$V492-$B492,TODAY()-$B492))</f>
        <v/>
      </c>
      <c r="X492" s="27">
        <f>IF($C492="","",IF(IFERROR(INDEX(CONFIG!$K$4:$K$43,MATCH($S492,CONFIG!$J$4:$J$43,0)),"NO")="SÍ",IF(OR($V492="",$U492=""),"Resuelta",IF($V492&gt;$U492,"Resuelta tarde","Resuelta a tiempo")),IF($U492="","Sin clasificar",IF(TODAY()&gt;$U492,"Vencida",IF(TODAY()&gt;=$U492-1,"Por vencer","En plazo")))))</f>
        <v/>
      </c>
      <c r="Y492" s="49" t="n"/>
      <c r="Z492" s="49" t="n"/>
    </row>
    <row r="493" ht="16" customHeight="1">
      <c r="A493" s="27">
        <f>IF($C493="","","N-"&amp;TEXT(ROW()-3,"0000"))</f>
        <v/>
      </c>
      <c r="B493" s="46" t="n"/>
      <c r="C493" s="47" t="n"/>
      <c r="D493" s="27">
        <f>IF($C493="","",IF(COUNTIFS(ENVIOS!$A$4:$A$3003,$C493)=0,"NO EXISTE",IF(COUNTIFS(ENVIOS!$A$4:$A$3003,$C493)&gt;1,"DUPLICADA","OK")))</f>
        <v/>
      </c>
      <c r="E493" s="22">
        <f>IF($C493="","",IFERROR(INDEX(ENVIOS!$C$4:$C$3003,MATCH($C493,ENVIOS!$A$4:$A$3003,0)),"—"))</f>
        <v/>
      </c>
      <c r="F493" s="22">
        <f>IF($C493="","",IFERROR(INDEX(ENVIOS!$D$4:$D$3003,MATCH($C493,ENVIOS!$A$4:$A$3003,0)),"—"))</f>
        <v/>
      </c>
      <c r="G493" s="22">
        <f>IF($C493="","",IFERROR(INDEX(ENVIOS!$E$4:$E$3003,MATCH($C493,ENVIOS!$A$4:$A$3003,0)),"—"))</f>
        <v/>
      </c>
      <c r="H493" s="22">
        <f>IF($C493="","",IFERROR(INDEX(ENVIOS!$F$4:$F$3003,MATCH($C493,ENVIOS!$A$4:$A$3003,0)),"—"))</f>
        <v/>
      </c>
      <c r="I493" s="27">
        <f>IF($C493="","",IFERROR(INDEX(ENVIOS!$G$4:$G$3003,MATCH($C493,ENVIOS!$A$4:$A$3003,0)),"—"))</f>
        <v/>
      </c>
      <c r="J493" s="48">
        <f>IF($C493="","",IFERROR(INDEX(ENVIOS!$B$4:$B$3003,MATCH($C493,ENVIOS!$A$4:$A$3003,0)),""))</f>
        <v/>
      </c>
      <c r="K493" s="49" t="n"/>
      <c r="L493" s="27">
        <f>IF($K493="","",IFERROR(INDEX(CONFIG!$B$4:$B$43,MATCH($K493,CONFIG!$A$4:$A$43,0)),"Media"))</f>
        <v/>
      </c>
      <c r="M493" s="27">
        <f>IF($K493="","",IFERROR(INDEX(CONFIG!$D$4:$D$43,MATCH($K493,CONFIG!$A$4:$A$43,0)),"NO"))</f>
        <v/>
      </c>
      <c r="N493" s="49" t="n"/>
      <c r="O493" s="27">
        <f>IF($N493="","",IFERROR(INDEX(CONFIG!$G$4:$G$43,MATCH($N493,CONFIG!$F$4:$F$43,0)),"Por definir"))</f>
        <v/>
      </c>
      <c r="P493" s="27">
        <f>IF($N493="","",IFERROR(INDEX(CONFIG!$H$4:$H$43,MATCH($N493,CONFIG!$F$4:$F$43,0)),"Por definir"))</f>
        <v/>
      </c>
      <c r="Q493" s="50" t="n"/>
      <c r="R493" s="51" t="n"/>
      <c r="S493" s="49" t="n"/>
      <c r="T493" s="49" t="n"/>
      <c r="U493" s="48">
        <f>IF(OR($B493="",$K493=""),"",WORKDAY($B493,IFERROR(INDEX(CONFIG!$C$4:$C$43,MATCH($K493,CONFIG!$A$4:$A$43,0)),3)))</f>
        <v/>
      </c>
      <c r="V493" s="46" t="n"/>
      <c r="W493" s="23">
        <f>IF($B493="","",IF($V493&lt;&gt;"",$V493-$B493,TODAY()-$B493))</f>
        <v/>
      </c>
      <c r="X493" s="27">
        <f>IF($C493="","",IF(IFERROR(INDEX(CONFIG!$K$4:$K$43,MATCH($S493,CONFIG!$J$4:$J$43,0)),"NO")="SÍ",IF(OR($V493="",$U493=""),"Resuelta",IF($V493&gt;$U493,"Resuelta tarde","Resuelta a tiempo")),IF($U493="","Sin clasificar",IF(TODAY()&gt;$U493,"Vencida",IF(TODAY()&gt;=$U493-1,"Por vencer","En plazo")))))</f>
        <v/>
      </c>
      <c r="Y493" s="49" t="n"/>
      <c r="Z493" s="49" t="n"/>
    </row>
    <row r="494" ht="16" customHeight="1">
      <c r="A494" s="27">
        <f>IF($C494="","","N-"&amp;TEXT(ROW()-3,"0000"))</f>
        <v/>
      </c>
      <c r="B494" s="46" t="n"/>
      <c r="C494" s="47" t="n"/>
      <c r="D494" s="27">
        <f>IF($C494="","",IF(COUNTIFS(ENVIOS!$A$4:$A$3003,$C494)=0,"NO EXISTE",IF(COUNTIFS(ENVIOS!$A$4:$A$3003,$C494)&gt;1,"DUPLICADA","OK")))</f>
        <v/>
      </c>
      <c r="E494" s="22">
        <f>IF($C494="","",IFERROR(INDEX(ENVIOS!$C$4:$C$3003,MATCH($C494,ENVIOS!$A$4:$A$3003,0)),"—"))</f>
        <v/>
      </c>
      <c r="F494" s="22">
        <f>IF($C494="","",IFERROR(INDEX(ENVIOS!$D$4:$D$3003,MATCH($C494,ENVIOS!$A$4:$A$3003,0)),"—"))</f>
        <v/>
      </c>
      <c r="G494" s="22">
        <f>IF($C494="","",IFERROR(INDEX(ENVIOS!$E$4:$E$3003,MATCH($C494,ENVIOS!$A$4:$A$3003,0)),"—"))</f>
        <v/>
      </c>
      <c r="H494" s="22">
        <f>IF($C494="","",IFERROR(INDEX(ENVIOS!$F$4:$F$3003,MATCH($C494,ENVIOS!$A$4:$A$3003,0)),"—"))</f>
        <v/>
      </c>
      <c r="I494" s="27">
        <f>IF($C494="","",IFERROR(INDEX(ENVIOS!$G$4:$G$3003,MATCH($C494,ENVIOS!$A$4:$A$3003,0)),"—"))</f>
        <v/>
      </c>
      <c r="J494" s="48">
        <f>IF($C494="","",IFERROR(INDEX(ENVIOS!$B$4:$B$3003,MATCH($C494,ENVIOS!$A$4:$A$3003,0)),""))</f>
        <v/>
      </c>
      <c r="K494" s="49" t="n"/>
      <c r="L494" s="27">
        <f>IF($K494="","",IFERROR(INDEX(CONFIG!$B$4:$B$43,MATCH($K494,CONFIG!$A$4:$A$43,0)),"Media"))</f>
        <v/>
      </c>
      <c r="M494" s="27">
        <f>IF($K494="","",IFERROR(INDEX(CONFIG!$D$4:$D$43,MATCH($K494,CONFIG!$A$4:$A$43,0)),"NO"))</f>
        <v/>
      </c>
      <c r="N494" s="49" t="n"/>
      <c r="O494" s="27">
        <f>IF($N494="","",IFERROR(INDEX(CONFIG!$G$4:$G$43,MATCH($N494,CONFIG!$F$4:$F$43,0)),"Por definir"))</f>
        <v/>
      </c>
      <c r="P494" s="27">
        <f>IF($N494="","",IFERROR(INDEX(CONFIG!$H$4:$H$43,MATCH($N494,CONFIG!$F$4:$F$43,0)),"Por definir"))</f>
        <v/>
      </c>
      <c r="Q494" s="50" t="n"/>
      <c r="R494" s="51" t="n"/>
      <c r="S494" s="49" t="n"/>
      <c r="T494" s="49" t="n"/>
      <c r="U494" s="48">
        <f>IF(OR($B494="",$K494=""),"",WORKDAY($B494,IFERROR(INDEX(CONFIG!$C$4:$C$43,MATCH($K494,CONFIG!$A$4:$A$43,0)),3)))</f>
        <v/>
      </c>
      <c r="V494" s="46" t="n"/>
      <c r="W494" s="23">
        <f>IF($B494="","",IF($V494&lt;&gt;"",$V494-$B494,TODAY()-$B494))</f>
        <v/>
      </c>
      <c r="X494" s="27">
        <f>IF($C494="","",IF(IFERROR(INDEX(CONFIG!$K$4:$K$43,MATCH($S494,CONFIG!$J$4:$J$43,0)),"NO")="SÍ",IF(OR($V494="",$U494=""),"Resuelta",IF($V494&gt;$U494,"Resuelta tarde","Resuelta a tiempo")),IF($U494="","Sin clasificar",IF(TODAY()&gt;$U494,"Vencida",IF(TODAY()&gt;=$U494-1,"Por vencer","En plazo")))))</f>
        <v/>
      </c>
      <c r="Y494" s="49" t="n"/>
      <c r="Z494" s="49" t="n"/>
    </row>
    <row r="495" ht="16" customHeight="1">
      <c r="A495" s="27">
        <f>IF($C495="","","N-"&amp;TEXT(ROW()-3,"0000"))</f>
        <v/>
      </c>
      <c r="B495" s="46" t="n"/>
      <c r="C495" s="47" t="n"/>
      <c r="D495" s="27">
        <f>IF($C495="","",IF(COUNTIFS(ENVIOS!$A$4:$A$3003,$C495)=0,"NO EXISTE",IF(COUNTIFS(ENVIOS!$A$4:$A$3003,$C495)&gt;1,"DUPLICADA","OK")))</f>
        <v/>
      </c>
      <c r="E495" s="22">
        <f>IF($C495="","",IFERROR(INDEX(ENVIOS!$C$4:$C$3003,MATCH($C495,ENVIOS!$A$4:$A$3003,0)),"—"))</f>
        <v/>
      </c>
      <c r="F495" s="22">
        <f>IF($C495="","",IFERROR(INDEX(ENVIOS!$D$4:$D$3003,MATCH($C495,ENVIOS!$A$4:$A$3003,0)),"—"))</f>
        <v/>
      </c>
      <c r="G495" s="22">
        <f>IF($C495="","",IFERROR(INDEX(ENVIOS!$E$4:$E$3003,MATCH($C495,ENVIOS!$A$4:$A$3003,0)),"—"))</f>
        <v/>
      </c>
      <c r="H495" s="22">
        <f>IF($C495="","",IFERROR(INDEX(ENVIOS!$F$4:$F$3003,MATCH($C495,ENVIOS!$A$4:$A$3003,0)),"—"))</f>
        <v/>
      </c>
      <c r="I495" s="27">
        <f>IF($C495="","",IFERROR(INDEX(ENVIOS!$G$4:$G$3003,MATCH($C495,ENVIOS!$A$4:$A$3003,0)),"—"))</f>
        <v/>
      </c>
      <c r="J495" s="48">
        <f>IF($C495="","",IFERROR(INDEX(ENVIOS!$B$4:$B$3003,MATCH($C495,ENVIOS!$A$4:$A$3003,0)),""))</f>
        <v/>
      </c>
      <c r="K495" s="49" t="n"/>
      <c r="L495" s="27">
        <f>IF($K495="","",IFERROR(INDEX(CONFIG!$B$4:$B$43,MATCH($K495,CONFIG!$A$4:$A$43,0)),"Media"))</f>
        <v/>
      </c>
      <c r="M495" s="27">
        <f>IF($K495="","",IFERROR(INDEX(CONFIG!$D$4:$D$43,MATCH($K495,CONFIG!$A$4:$A$43,0)),"NO"))</f>
        <v/>
      </c>
      <c r="N495" s="49" t="n"/>
      <c r="O495" s="27">
        <f>IF($N495="","",IFERROR(INDEX(CONFIG!$G$4:$G$43,MATCH($N495,CONFIG!$F$4:$F$43,0)),"Por definir"))</f>
        <v/>
      </c>
      <c r="P495" s="27">
        <f>IF($N495="","",IFERROR(INDEX(CONFIG!$H$4:$H$43,MATCH($N495,CONFIG!$F$4:$F$43,0)),"Por definir"))</f>
        <v/>
      </c>
      <c r="Q495" s="50" t="n"/>
      <c r="R495" s="51" t="n"/>
      <c r="S495" s="49" t="n"/>
      <c r="T495" s="49" t="n"/>
      <c r="U495" s="48">
        <f>IF(OR($B495="",$K495=""),"",WORKDAY($B495,IFERROR(INDEX(CONFIG!$C$4:$C$43,MATCH($K495,CONFIG!$A$4:$A$43,0)),3)))</f>
        <v/>
      </c>
      <c r="V495" s="46" t="n"/>
      <c r="W495" s="23">
        <f>IF($B495="","",IF($V495&lt;&gt;"",$V495-$B495,TODAY()-$B495))</f>
        <v/>
      </c>
      <c r="X495" s="27">
        <f>IF($C495="","",IF(IFERROR(INDEX(CONFIG!$K$4:$K$43,MATCH($S495,CONFIG!$J$4:$J$43,0)),"NO")="SÍ",IF(OR($V495="",$U495=""),"Resuelta",IF($V495&gt;$U495,"Resuelta tarde","Resuelta a tiempo")),IF($U495="","Sin clasificar",IF(TODAY()&gt;$U495,"Vencida",IF(TODAY()&gt;=$U495-1,"Por vencer","En plazo")))))</f>
        <v/>
      </c>
      <c r="Y495" s="49" t="n"/>
      <c r="Z495" s="49" t="n"/>
    </row>
    <row r="496" ht="16" customHeight="1">
      <c r="A496" s="27">
        <f>IF($C496="","","N-"&amp;TEXT(ROW()-3,"0000"))</f>
        <v/>
      </c>
      <c r="B496" s="46" t="n"/>
      <c r="C496" s="47" t="n"/>
      <c r="D496" s="27">
        <f>IF($C496="","",IF(COUNTIFS(ENVIOS!$A$4:$A$3003,$C496)=0,"NO EXISTE",IF(COUNTIFS(ENVIOS!$A$4:$A$3003,$C496)&gt;1,"DUPLICADA","OK")))</f>
        <v/>
      </c>
      <c r="E496" s="22">
        <f>IF($C496="","",IFERROR(INDEX(ENVIOS!$C$4:$C$3003,MATCH($C496,ENVIOS!$A$4:$A$3003,0)),"—"))</f>
        <v/>
      </c>
      <c r="F496" s="22">
        <f>IF($C496="","",IFERROR(INDEX(ENVIOS!$D$4:$D$3003,MATCH($C496,ENVIOS!$A$4:$A$3003,0)),"—"))</f>
        <v/>
      </c>
      <c r="G496" s="22">
        <f>IF($C496="","",IFERROR(INDEX(ENVIOS!$E$4:$E$3003,MATCH($C496,ENVIOS!$A$4:$A$3003,0)),"—"))</f>
        <v/>
      </c>
      <c r="H496" s="22">
        <f>IF($C496="","",IFERROR(INDEX(ENVIOS!$F$4:$F$3003,MATCH($C496,ENVIOS!$A$4:$A$3003,0)),"—"))</f>
        <v/>
      </c>
      <c r="I496" s="27">
        <f>IF($C496="","",IFERROR(INDEX(ENVIOS!$G$4:$G$3003,MATCH($C496,ENVIOS!$A$4:$A$3003,0)),"—"))</f>
        <v/>
      </c>
      <c r="J496" s="48">
        <f>IF($C496="","",IFERROR(INDEX(ENVIOS!$B$4:$B$3003,MATCH($C496,ENVIOS!$A$4:$A$3003,0)),""))</f>
        <v/>
      </c>
      <c r="K496" s="49" t="n"/>
      <c r="L496" s="27">
        <f>IF($K496="","",IFERROR(INDEX(CONFIG!$B$4:$B$43,MATCH($K496,CONFIG!$A$4:$A$43,0)),"Media"))</f>
        <v/>
      </c>
      <c r="M496" s="27">
        <f>IF($K496="","",IFERROR(INDEX(CONFIG!$D$4:$D$43,MATCH($K496,CONFIG!$A$4:$A$43,0)),"NO"))</f>
        <v/>
      </c>
      <c r="N496" s="49" t="n"/>
      <c r="O496" s="27">
        <f>IF($N496="","",IFERROR(INDEX(CONFIG!$G$4:$G$43,MATCH($N496,CONFIG!$F$4:$F$43,0)),"Por definir"))</f>
        <v/>
      </c>
      <c r="P496" s="27">
        <f>IF($N496="","",IFERROR(INDEX(CONFIG!$H$4:$H$43,MATCH($N496,CONFIG!$F$4:$F$43,0)),"Por definir"))</f>
        <v/>
      </c>
      <c r="Q496" s="50" t="n"/>
      <c r="R496" s="51" t="n"/>
      <c r="S496" s="49" t="n"/>
      <c r="T496" s="49" t="n"/>
      <c r="U496" s="48">
        <f>IF(OR($B496="",$K496=""),"",WORKDAY($B496,IFERROR(INDEX(CONFIG!$C$4:$C$43,MATCH($K496,CONFIG!$A$4:$A$43,0)),3)))</f>
        <v/>
      </c>
      <c r="V496" s="46" t="n"/>
      <c r="W496" s="23">
        <f>IF($B496="","",IF($V496&lt;&gt;"",$V496-$B496,TODAY()-$B496))</f>
        <v/>
      </c>
      <c r="X496" s="27">
        <f>IF($C496="","",IF(IFERROR(INDEX(CONFIG!$K$4:$K$43,MATCH($S496,CONFIG!$J$4:$J$43,0)),"NO")="SÍ",IF(OR($V496="",$U496=""),"Resuelta",IF($V496&gt;$U496,"Resuelta tarde","Resuelta a tiempo")),IF($U496="","Sin clasificar",IF(TODAY()&gt;$U496,"Vencida",IF(TODAY()&gt;=$U496-1,"Por vencer","En plazo")))))</f>
        <v/>
      </c>
      <c r="Y496" s="49" t="n"/>
      <c r="Z496" s="49" t="n"/>
    </row>
    <row r="497" ht="16" customHeight="1">
      <c r="A497" s="27">
        <f>IF($C497="","","N-"&amp;TEXT(ROW()-3,"0000"))</f>
        <v/>
      </c>
      <c r="B497" s="46" t="n"/>
      <c r="C497" s="47" t="n"/>
      <c r="D497" s="27">
        <f>IF($C497="","",IF(COUNTIFS(ENVIOS!$A$4:$A$3003,$C497)=0,"NO EXISTE",IF(COUNTIFS(ENVIOS!$A$4:$A$3003,$C497)&gt;1,"DUPLICADA","OK")))</f>
        <v/>
      </c>
      <c r="E497" s="22">
        <f>IF($C497="","",IFERROR(INDEX(ENVIOS!$C$4:$C$3003,MATCH($C497,ENVIOS!$A$4:$A$3003,0)),"—"))</f>
        <v/>
      </c>
      <c r="F497" s="22">
        <f>IF($C497="","",IFERROR(INDEX(ENVIOS!$D$4:$D$3003,MATCH($C497,ENVIOS!$A$4:$A$3003,0)),"—"))</f>
        <v/>
      </c>
      <c r="G497" s="22">
        <f>IF($C497="","",IFERROR(INDEX(ENVIOS!$E$4:$E$3003,MATCH($C497,ENVIOS!$A$4:$A$3003,0)),"—"))</f>
        <v/>
      </c>
      <c r="H497" s="22">
        <f>IF($C497="","",IFERROR(INDEX(ENVIOS!$F$4:$F$3003,MATCH($C497,ENVIOS!$A$4:$A$3003,0)),"—"))</f>
        <v/>
      </c>
      <c r="I497" s="27">
        <f>IF($C497="","",IFERROR(INDEX(ENVIOS!$G$4:$G$3003,MATCH($C497,ENVIOS!$A$4:$A$3003,0)),"—"))</f>
        <v/>
      </c>
      <c r="J497" s="48">
        <f>IF($C497="","",IFERROR(INDEX(ENVIOS!$B$4:$B$3003,MATCH($C497,ENVIOS!$A$4:$A$3003,0)),""))</f>
        <v/>
      </c>
      <c r="K497" s="49" t="n"/>
      <c r="L497" s="27">
        <f>IF($K497="","",IFERROR(INDEX(CONFIG!$B$4:$B$43,MATCH($K497,CONFIG!$A$4:$A$43,0)),"Media"))</f>
        <v/>
      </c>
      <c r="M497" s="27">
        <f>IF($K497="","",IFERROR(INDEX(CONFIG!$D$4:$D$43,MATCH($K497,CONFIG!$A$4:$A$43,0)),"NO"))</f>
        <v/>
      </c>
      <c r="N497" s="49" t="n"/>
      <c r="O497" s="27">
        <f>IF($N497="","",IFERROR(INDEX(CONFIG!$G$4:$G$43,MATCH($N497,CONFIG!$F$4:$F$43,0)),"Por definir"))</f>
        <v/>
      </c>
      <c r="P497" s="27">
        <f>IF($N497="","",IFERROR(INDEX(CONFIG!$H$4:$H$43,MATCH($N497,CONFIG!$F$4:$F$43,0)),"Por definir"))</f>
        <v/>
      </c>
      <c r="Q497" s="50" t="n"/>
      <c r="R497" s="51" t="n"/>
      <c r="S497" s="49" t="n"/>
      <c r="T497" s="49" t="n"/>
      <c r="U497" s="48">
        <f>IF(OR($B497="",$K497=""),"",WORKDAY($B497,IFERROR(INDEX(CONFIG!$C$4:$C$43,MATCH($K497,CONFIG!$A$4:$A$43,0)),3)))</f>
        <v/>
      </c>
      <c r="V497" s="46" t="n"/>
      <c r="W497" s="23">
        <f>IF($B497="","",IF($V497&lt;&gt;"",$V497-$B497,TODAY()-$B497))</f>
        <v/>
      </c>
      <c r="X497" s="27">
        <f>IF($C497="","",IF(IFERROR(INDEX(CONFIG!$K$4:$K$43,MATCH($S497,CONFIG!$J$4:$J$43,0)),"NO")="SÍ",IF(OR($V497="",$U497=""),"Resuelta",IF($V497&gt;$U497,"Resuelta tarde","Resuelta a tiempo")),IF($U497="","Sin clasificar",IF(TODAY()&gt;$U497,"Vencida",IF(TODAY()&gt;=$U497-1,"Por vencer","En plazo")))))</f>
        <v/>
      </c>
      <c r="Y497" s="49" t="n"/>
      <c r="Z497" s="49" t="n"/>
    </row>
    <row r="498" ht="16" customHeight="1">
      <c r="A498" s="27">
        <f>IF($C498="","","N-"&amp;TEXT(ROW()-3,"0000"))</f>
        <v/>
      </c>
      <c r="B498" s="46" t="n"/>
      <c r="C498" s="47" t="n"/>
      <c r="D498" s="27">
        <f>IF($C498="","",IF(COUNTIFS(ENVIOS!$A$4:$A$3003,$C498)=0,"NO EXISTE",IF(COUNTIFS(ENVIOS!$A$4:$A$3003,$C498)&gt;1,"DUPLICADA","OK")))</f>
        <v/>
      </c>
      <c r="E498" s="22">
        <f>IF($C498="","",IFERROR(INDEX(ENVIOS!$C$4:$C$3003,MATCH($C498,ENVIOS!$A$4:$A$3003,0)),"—"))</f>
        <v/>
      </c>
      <c r="F498" s="22">
        <f>IF($C498="","",IFERROR(INDEX(ENVIOS!$D$4:$D$3003,MATCH($C498,ENVIOS!$A$4:$A$3003,0)),"—"))</f>
        <v/>
      </c>
      <c r="G498" s="22">
        <f>IF($C498="","",IFERROR(INDEX(ENVIOS!$E$4:$E$3003,MATCH($C498,ENVIOS!$A$4:$A$3003,0)),"—"))</f>
        <v/>
      </c>
      <c r="H498" s="22">
        <f>IF($C498="","",IFERROR(INDEX(ENVIOS!$F$4:$F$3003,MATCH($C498,ENVIOS!$A$4:$A$3003,0)),"—"))</f>
        <v/>
      </c>
      <c r="I498" s="27">
        <f>IF($C498="","",IFERROR(INDEX(ENVIOS!$G$4:$G$3003,MATCH($C498,ENVIOS!$A$4:$A$3003,0)),"—"))</f>
        <v/>
      </c>
      <c r="J498" s="48">
        <f>IF($C498="","",IFERROR(INDEX(ENVIOS!$B$4:$B$3003,MATCH($C498,ENVIOS!$A$4:$A$3003,0)),""))</f>
        <v/>
      </c>
      <c r="K498" s="49" t="n"/>
      <c r="L498" s="27">
        <f>IF($K498="","",IFERROR(INDEX(CONFIG!$B$4:$B$43,MATCH($K498,CONFIG!$A$4:$A$43,0)),"Media"))</f>
        <v/>
      </c>
      <c r="M498" s="27">
        <f>IF($K498="","",IFERROR(INDEX(CONFIG!$D$4:$D$43,MATCH($K498,CONFIG!$A$4:$A$43,0)),"NO"))</f>
        <v/>
      </c>
      <c r="N498" s="49" t="n"/>
      <c r="O498" s="27">
        <f>IF($N498="","",IFERROR(INDEX(CONFIG!$G$4:$G$43,MATCH($N498,CONFIG!$F$4:$F$43,0)),"Por definir"))</f>
        <v/>
      </c>
      <c r="P498" s="27">
        <f>IF($N498="","",IFERROR(INDEX(CONFIG!$H$4:$H$43,MATCH($N498,CONFIG!$F$4:$F$43,0)),"Por definir"))</f>
        <v/>
      </c>
      <c r="Q498" s="50" t="n"/>
      <c r="R498" s="51" t="n"/>
      <c r="S498" s="49" t="n"/>
      <c r="T498" s="49" t="n"/>
      <c r="U498" s="48">
        <f>IF(OR($B498="",$K498=""),"",WORKDAY($B498,IFERROR(INDEX(CONFIG!$C$4:$C$43,MATCH($K498,CONFIG!$A$4:$A$43,0)),3)))</f>
        <v/>
      </c>
      <c r="V498" s="46" t="n"/>
      <c r="W498" s="23">
        <f>IF($B498="","",IF($V498&lt;&gt;"",$V498-$B498,TODAY()-$B498))</f>
        <v/>
      </c>
      <c r="X498" s="27">
        <f>IF($C498="","",IF(IFERROR(INDEX(CONFIG!$K$4:$K$43,MATCH($S498,CONFIG!$J$4:$J$43,0)),"NO")="SÍ",IF(OR($V498="",$U498=""),"Resuelta",IF($V498&gt;$U498,"Resuelta tarde","Resuelta a tiempo")),IF($U498="","Sin clasificar",IF(TODAY()&gt;$U498,"Vencida",IF(TODAY()&gt;=$U498-1,"Por vencer","En plazo")))))</f>
        <v/>
      </c>
      <c r="Y498" s="49" t="n"/>
      <c r="Z498" s="49" t="n"/>
    </row>
    <row r="499" ht="16" customHeight="1">
      <c r="A499" s="27">
        <f>IF($C499="","","N-"&amp;TEXT(ROW()-3,"0000"))</f>
        <v/>
      </c>
      <c r="B499" s="46" t="n"/>
      <c r="C499" s="47" t="n"/>
      <c r="D499" s="27">
        <f>IF($C499="","",IF(COUNTIFS(ENVIOS!$A$4:$A$3003,$C499)=0,"NO EXISTE",IF(COUNTIFS(ENVIOS!$A$4:$A$3003,$C499)&gt;1,"DUPLICADA","OK")))</f>
        <v/>
      </c>
      <c r="E499" s="22">
        <f>IF($C499="","",IFERROR(INDEX(ENVIOS!$C$4:$C$3003,MATCH($C499,ENVIOS!$A$4:$A$3003,0)),"—"))</f>
        <v/>
      </c>
      <c r="F499" s="22">
        <f>IF($C499="","",IFERROR(INDEX(ENVIOS!$D$4:$D$3003,MATCH($C499,ENVIOS!$A$4:$A$3003,0)),"—"))</f>
        <v/>
      </c>
      <c r="G499" s="22">
        <f>IF($C499="","",IFERROR(INDEX(ENVIOS!$E$4:$E$3003,MATCH($C499,ENVIOS!$A$4:$A$3003,0)),"—"))</f>
        <v/>
      </c>
      <c r="H499" s="22">
        <f>IF($C499="","",IFERROR(INDEX(ENVIOS!$F$4:$F$3003,MATCH($C499,ENVIOS!$A$4:$A$3003,0)),"—"))</f>
        <v/>
      </c>
      <c r="I499" s="27">
        <f>IF($C499="","",IFERROR(INDEX(ENVIOS!$G$4:$G$3003,MATCH($C499,ENVIOS!$A$4:$A$3003,0)),"—"))</f>
        <v/>
      </c>
      <c r="J499" s="48">
        <f>IF($C499="","",IFERROR(INDEX(ENVIOS!$B$4:$B$3003,MATCH($C499,ENVIOS!$A$4:$A$3003,0)),""))</f>
        <v/>
      </c>
      <c r="K499" s="49" t="n"/>
      <c r="L499" s="27">
        <f>IF($K499="","",IFERROR(INDEX(CONFIG!$B$4:$B$43,MATCH($K499,CONFIG!$A$4:$A$43,0)),"Media"))</f>
        <v/>
      </c>
      <c r="M499" s="27">
        <f>IF($K499="","",IFERROR(INDEX(CONFIG!$D$4:$D$43,MATCH($K499,CONFIG!$A$4:$A$43,0)),"NO"))</f>
        <v/>
      </c>
      <c r="N499" s="49" t="n"/>
      <c r="O499" s="27">
        <f>IF($N499="","",IFERROR(INDEX(CONFIG!$G$4:$G$43,MATCH($N499,CONFIG!$F$4:$F$43,0)),"Por definir"))</f>
        <v/>
      </c>
      <c r="P499" s="27">
        <f>IF($N499="","",IFERROR(INDEX(CONFIG!$H$4:$H$43,MATCH($N499,CONFIG!$F$4:$F$43,0)),"Por definir"))</f>
        <v/>
      </c>
      <c r="Q499" s="50" t="n"/>
      <c r="R499" s="51" t="n"/>
      <c r="S499" s="49" t="n"/>
      <c r="T499" s="49" t="n"/>
      <c r="U499" s="48">
        <f>IF(OR($B499="",$K499=""),"",WORKDAY($B499,IFERROR(INDEX(CONFIG!$C$4:$C$43,MATCH($K499,CONFIG!$A$4:$A$43,0)),3)))</f>
        <v/>
      </c>
      <c r="V499" s="46" t="n"/>
      <c r="W499" s="23">
        <f>IF($B499="","",IF($V499&lt;&gt;"",$V499-$B499,TODAY()-$B499))</f>
        <v/>
      </c>
      <c r="X499" s="27">
        <f>IF($C499="","",IF(IFERROR(INDEX(CONFIG!$K$4:$K$43,MATCH($S499,CONFIG!$J$4:$J$43,0)),"NO")="SÍ",IF(OR($V499="",$U499=""),"Resuelta",IF($V499&gt;$U499,"Resuelta tarde","Resuelta a tiempo")),IF($U499="","Sin clasificar",IF(TODAY()&gt;$U499,"Vencida",IF(TODAY()&gt;=$U499-1,"Por vencer","En plazo")))))</f>
        <v/>
      </c>
      <c r="Y499" s="49" t="n"/>
      <c r="Z499" s="49" t="n"/>
    </row>
    <row r="500" ht="16" customHeight="1">
      <c r="A500" s="27">
        <f>IF($C500="","","N-"&amp;TEXT(ROW()-3,"0000"))</f>
        <v/>
      </c>
      <c r="B500" s="46" t="n"/>
      <c r="C500" s="47" t="n"/>
      <c r="D500" s="27">
        <f>IF($C500="","",IF(COUNTIFS(ENVIOS!$A$4:$A$3003,$C500)=0,"NO EXISTE",IF(COUNTIFS(ENVIOS!$A$4:$A$3003,$C500)&gt;1,"DUPLICADA","OK")))</f>
        <v/>
      </c>
      <c r="E500" s="22">
        <f>IF($C500="","",IFERROR(INDEX(ENVIOS!$C$4:$C$3003,MATCH($C500,ENVIOS!$A$4:$A$3003,0)),"—"))</f>
        <v/>
      </c>
      <c r="F500" s="22">
        <f>IF($C500="","",IFERROR(INDEX(ENVIOS!$D$4:$D$3003,MATCH($C500,ENVIOS!$A$4:$A$3003,0)),"—"))</f>
        <v/>
      </c>
      <c r="G500" s="22">
        <f>IF($C500="","",IFERROR(INDEX(ENVIOS!$E$4:$E$3003,MATCH($C500,ENVIOS!$A$4:$A$3003,0)),"—"))</f>
        <v/>
      </c>
      <c r="H500" s="22">
        <f>IF($C500="","",IFERROR(INDEX(ENVIOS!$F$4:$F$3003,MATCH($C500,ENVIOS!$A$4:$A$3003,0)),"—"))</f>
        <v/>
      </c>
      <c r="I500" s="27">
        <f>IF($C500="","",IFERROR(INDEX(ENVIOS!$G$4:$G$3003,MATCH($C500,ENVIOS!$A$4:$A$3003,0)),"—"))</f>
        <v/>
      </c>
      <c r="J500" s="48">
        <f>IF($C500="","",IFERROR(INDEX(ENVIOS!$B$4:$B$3003,MATCH($C500,ENVIOS!$A$4:$A$3003,0)),""))</f>
        <v/>
      </c>
      <c r="K500" s="49" t="n"/>
      <c r="L500" s="27">
        <f>IF($K500="","",IFERROR(INDEX(CONFIG!$B$4:$B$43,MATCH($K500,CONFIG!$A$4:$A$43,0)),"Media"))</f>
        <v/>
      </c>
      <c r="M500" s="27">
        <f>IF($K500="","",IFERROR(INDEX(CONFIG!$D$4:$D$43,MATCH($K500,CONFIG!$A$4:$A$43,0)),"NO"))</f>
        <v/>
      </c>
      <c r="N500" s="49" t="n"/>
      <c r="O500" s="27">
        <f>IF($N500="","",IFERROR(INDEX(CONFIG!$G$4:$G$43,MATCH($N500,CONFIG!$F$4:$F$43,0)),"Por definir"))</f>
        <v/>
      </c>
      <c r="P500" s="27">
        <f>IF($N500="","",IFERROR(INDEX(CONFIG!$H$4:$H$43,MATCH($N500,CONFIG!$F$4:$F$43,0)),"Por definir"))</f>
        <v/>
      </c>
      <c r="Q500" s="50" t="n"/>
      <c r="R500" s="51" t="n"/>
      <c r="S500" s="49" t="n"/>
      <c r="T500" s="49" t="n"/>
      <c r="U500" s="48">
        <f>IF(OR($B500="",$K500=""),"",WORKDAY($B500,IFERROR(INDEX(CONFIG!$C$4:$C$43,MATCH($K500,CONFIG!$A$4:$A$43,0)),3)))</f>
        <v/>
      </c>
      <c r="V500" s="46" t="n"/>
      <c r="W500" s="23">
        <f>IF($B500="","",IF($V500&lt;&gt;"",$V500-$B500,TODAY()-$B500))</f>
        <v/>
      </c>
      <c r="X500" s="27">
        <f>IF($C500="","",IF(IFERROR(INDEX(CONFIG!$K$4:$K$43,MATCH($S500,CONFIG!$J$4:$J$43,0)),"NO")="SÍ",IF(OR($V500="",$U500=""),"Resuelta",IF($V500&gt;$U500,"Resuelta tarde","Resuelta a tiempo")),IF($U500="","Sin clasificar",IF(TODAY()&gt;$U500,"Vencida",IF(TODAY()&gt;=$U500-1,"Por vencer","En plazo")))))</f>
        <v/>
      </c>
      <c r="Y500" s="49" t="n"/>
      <c r="Z500" s="49" t="n"/>
    </row>
    <row r="501" ht="16" customHeight="1">
      <c r="A501" s="27">
        <f>IF($C501="","","N-"&amp;TEXT(ROW()-3,"0000"))</f>
        <v/>
      </c>
      <c r="B501" s="46" t="n"/>
      <c r="C501" s="47" t="n"/>
      <c r="D501" s="27">
        <f>IF($C501="","",IF(COUNTIFS(ENVIOS!$A$4:$A$3003,$C501)=0,"NO EXISTE",IF(COUNTIFS(ENVIOS!$A$4:$A$3003,$C501)&gt;1,"DUPLICADA","OK")))</f>
        <v/>
      </c>
      <c r="E501" s="22">
        <f>IF($C501="","",IFERROR(INDEX(ENVIOS!$C$4:$C$3003,MATCH($C501,ENVIOS!$A$4:$A$3003,0)),"—"))</f>
        <v/>
      </c>
      <c r="F501" s="22">
        <f>IF($C501="","",IFERROR(INDEX(ENVIOS!$D$4:$D$3003,MATCH($C501,ENVIOS!$A$4:$A$3003,0)),"—"))</f>
        <v/>
      </c>
      <c r="G501" s="22">
        <f>IF($C501="","",IFERROR(INDEX(ENVIOS!$E$4:$E$3003,MATCH($C501,ENVIOS!$A$4:$A$3003,0)),"—"))</f>
        <v/>
      </c>
      <c r="H501" s="22">
        <f>IF($C501="","",IFERROR(INDEX(ENVIOS!$F$4:$F$3003,MATCH($C501,ENVIOS!$A$4:$A$3003,0)),"—"))</f>
        <v/>
      </c>
      <c r="I501" s="27">
        <f>IF($C501="","",IFERROR(INDEX(ENVIOS!$G$4:$G$3003,MATCH($C501,ENVIOS!$A$4:$A$3003,0)),"—"))</f>
        <v/>
      </c>
      <c r="J501" s="48">
        <f>IF($C501="","",IFERROR(INDEX(ENVIOS!$B$4:$B$3003,MATCH($C501,ENVIOS!$A$4:$A$3003,0)),""))</f>
        <v/>
      </c>
      <c r="K501" s="49" t="n"/>
      <c r="L501" s="27">
        <f>IF($K501="","",IFERROR(INDEX(CONFIG!$B$4:$B$43,MATCH($K501,CONFIG!$A$4:$A$43,0)),"Media"))</f>
        <v/>
      </c>
      <c r="M501" s="27">
        <f>IF($K501="","",IFERROR(INDEX(CONFIG!$D$4:$D$43,MATCH($K501,CONFIG!$A$4:$A$43,0)),"NO"))</f>
        <v/>
      </c>
      <c r="N501" s="49" t="n"/>
      <c r="O501" s="27">
        <f>IF($N501="","",IFERROR(INDEX(CONFIG!$G$4:$G$43,MATCH($N501,CONFIG!$F$4:$F$43,0)),"Por definir"))</f>
        <v/>
      </c>
      <c r="P501" s="27">
        <f>IF($N501="","",IFERROR(INDEX(CONFIG!$H$4:$H$43,MATCH($N501,CONFIG!$F$4:$F$43,0)),"Por definir"))</f>
        <v/>
      </c>
      <c r="Q501" s="50" t="n"/>
      <c r="R501" s="51" t="n"/>
      <c r="S501" s="49" t="n"/>
      <c r="T501" s="49" t="n"/>
      <c r="U501" s="48">
        <f>IF(OR($B501="",$K501=""),"",WORKDAY($B501,IFERROR(INDEX(CONFIG!$C$4:$C$43,MATCH($K501,CONFIG!$A$4:$A$43,0)),3)))</f>
        <v/>
      </c>
      <c r="V501" s="46" t="n"/>
      <c r="W501" s="23">
        <f>IF($B501="","",IF($V501&lt;&gt;"",$V501-$B501,TODAY()-$B501))</f>
        <v/>
      </c>
      <c r="X501" s="27">
        <f>IF($C501="","",IF(IFERROR(INDEX(CONFIG!$K$4:$K$43,MATCH($S501,CONFIG!$J$4:$J$43,0)),"NO")="SÍ",IF(OR($V501="",$U501=""),"Resuelta",IF($V501&gt;$U501,"Resuelta tarde","Resuelta a tiempo")),IF($U501="","Sin clasificar",IF(TODAY()&gt;$U501,"Vencida",IF(TODAY()&gt;=$U501-1,"Por vencer","En plazo")))))</f>
        <v/>
      </c>
      <c r="Y501" s="49" t="n"/>
      <c r="Z501" s="49" t="n"/>
    </row>
    <row r="502" ht="16" customHeight="1">
      <c r="A502" s="27">
        <f>IF($C502="","","N-"&amp;TEXT(ROW()-3,"0000"))</f>
        <v/>
      </c>
      <c r="B502" s="46" t="n"/>
      <c r="C502" s="47" t="n"/>
      <c r="D502" s="27">
        <f>IF($C502="","",IF(COUNTIFS(ENVIOS!$A$4:$A$3003,$C502)=0,"NO EXISTE",IF(COUNTIFS(ENVIOS!$A$4:$A$3003,$C502)&gt;1,"DUPLICADA","OK")))</f>
        <v/>
      </c>
      <c r="E502" s="22">
        <f>IF($C502="","",IFERROR(INDEX(ENVIOS!$C$4:$C$3003,MATCH($C502,ENVIOS!$A$4:$A$3003,0)),"—"))</f>
        <v/>
      </c>
      <c r="F502" s="22">
        <f>IF($C502="","",IFERROR(INDEX(ENVIOS!$D$4:$D$3003,MATCH($C502,ENVIOS!$A$4:$A$3003,0)),"—"))</f>
        <v/>
      </c>
      <c r="G502" s="22">
        <f>IF($C502="","",IFERROR(INDEX(ENVIOS!$E$4:$E$3003,MATCH($C502,ENVIOS!$A$4:$A$3003,0)),"—"))</f>
        <v/>
      </c>
      <c r="H502" s="22">
        <f>IF($C502="","",IFERROR(INDEX(ENVIOS!$F$4:$F$3003,MATCH($C502,ENVIOS!$A$4:$A$3003,0)),"—"))</f>
        <v/>
      </c>
      <c r="I502" s="27">
        <f>IF($C502="","",IFERROR(INDEX(ENVIOS!$G$4:$G$3003,MATCH($C502,ENVIOS!$A$4:$A$3003,0)),"—"))</f>
        <v/>
      </c>
      <c r="J502" s="48">
        <f>IF($C502="","",IFERROR(INDEX(ENVIOS!$B$4:$B$3003,MATCH($C502,ENVIOS!$A$4:$A$3003,0)),""))</f>
        <v/>
      </c>
      <c r="K502" s="49" t="n"/>
      <c r="L502" s="27">
        <f>IF($K502="","",IFERROR(INDEX(CONFIG!$B$4:$B$43,MATCH($K502,CONFIG!$A$4:$A$43,0)),"Media"))</f>
        <v/>
      </c>
      <c r="M502" s="27">
        <f>IF($K502="","",IFERROR(INDEX(CONFIG!$D$4:$D$43,MATCH($K502,CONFIG!$A$4:$A$43,0)),"NO"))</f>
        <v/>
      </c>
      <c r="N502" s="49" t="n"/>
      <c r="O502" s="27">
        <f>IF($N502="","",IFERROR(INDEX(CONFIG!$G$4:$G$43,MATCH($N502,CONFIG!$F$4:$F$43,0)),"Por definir"))</f>
        <v/>
      </c>
      <c r="P502" s="27">
        <f>IF($N502="","",IFERROR(INDEX(CONFIG!$H$4:$H$43,MATCH($N502,CONFIG!$F$4:$F$43,0)),"Por definir"))</f>
        <v/>
      </c>
      <c r="Q502" s="50" t="n"/>
      <c r="R502" s="51" t="n"/>
      <c r="S502" s="49" t="n"/>
      <c r="T502" s="49" t="n"/>
      <c r="U502" s="48">
        <f>IF(OR($B502="",$K502=""),"",WORKDAY($B502,IFERROR(INDEX(CONFIG!$C$4:$C$43,MATCH($K502,CONFIG!$A$4:$A$43,0)),3)))</f>
        <v/>
      </c>
      <c r="V502" s="46" t="n"/>
      <c r="W502" s="23">
        <f>IF($B502="","",IF($V502&lt;&gt;"",$V502-$B502,TODAY()-$B502))</f>
        <v/>
      </c>
      <c r="X502" s="27">
        <f>IF($C502="","",IF(IFERROR(INDEX(CONFIG!$K$4:$K$43,MATCH($S502,CONFIG!$J$4:$J$43,0)),"NO")="SÍ",IF(OR($V502="",$U502=""),"Resuelta",IF($V502&gt;$U502,"Resuelta tarde","Resuelta a tiempo")),IF($U502="","Sin clasificar",IF(TODAY()&gt;$U502,"Vencida",IF(TODAY()&gt;=$U502-1,"Por vencer","En plazo")))))</f>
        <v/>
      </c>
      <c r="Y502" s="49" t="n"/>
      <c r="Z502" s="49" t="n"/>
    </row>
    <row r="503" ht="16" customHeight="1">
      <c r="A503" s="27">
        <f>IF($C503="","","N-"&amp;TEXT(ROW()-3,"0000"))</f>
        <v/>
      </c>
      <c r="B503" s="46" t="n"/>
      <c r="C503" s="47" t="n"/>
      <c r="D503" s="27">
        <f>IF($C503="","",IF(COUNTIFS(ENVIOS!$A$4:$A$3003,$C503)=0,"NO EXISTE",IF(COUNTIFS(ENVIOS!$A$4:$A$3003,$C503)&gt;1,"DUPLICADA","OK")))</f>
        <v/>
      </c>
      <c r="E503" s="22">
        <f>IF($C503="","",IFERROR(INDEX(ENVIOS!$C$4:$C$3003,MATCH($C503,ENVIOS!$A$4:$A$3003,0)),"—"))</f>
        <v/>
      </c>
      <c r="F503" s="22">
        <f>IF($C503="","",IFERROR(INDEX(ENVIOS!$D$4:$D$3003,MATCH($C503,ENVIOS!$A$4:$A$3003,0)),"—"))</f>
        <v/>
      </c>
      <c r="G503" s="22">
        <f>IF($C503="","",IFERROR(INDEX(ENVIOS!$E$4:$E$3003,MATCH($C503,ENVIOS!$A$4:$A$3003,0)),"—"))</f>
        <v/>
      </c>
      <c r="H503" s="22">
        <f>IF($C503="","",IFERROR(INDEX(ENVIOS!$F$4:$F$3003,MATCH($C503,ENVIOS!$A$4:$A$3003,0)),"—"))</f>
        <v/>
      </c>
      <c r="I503" s="27">
        <f>IF($C503="","",IFERROR(INDEX(ENVIOS!$G$4:$G$3003,MATCH($C503,ENVIOS!$A$4:$A$3003,0)),"—"))</f>
        <v/>
      </c>
      <c r="J503" s="48">
        <f>IF($C503="","",IFERROR(INDEX(ENVIOS!$B$4:$B$3003,MATCH($C503,ENVIOS!$A$4:$A$3003,0)),""))</f>
        <v/>
      </c>
      <c r="K503" s="49" t="n"/>
      <c r="L503" s="27">
        <f>IF($K503="","",IFERROR(INDEX(CONFIG!$B$4:$B$43,MATCH($K503,CONFIG!$A$4:$A$43,0)),"Media"))</f>
        <v/>
      </c>
      <c r="M503" s="27">
        <f>IF($K503="","",IFERROR(INDEX(CONFIG!$D$4:$D$43,MATCH($K503,CONFIG!$A$4:$A$43,0)),"NO"))</f>
        <v/>
      </c>
      <c r="N503" s="49" t="n"/>
      <c r="O503" s="27">
        <f>IF($N503="","",IFERROR(INDEX(CONFIG!$G$4:$G$43,MATCH($N503,CONFIG!$F$4:$F$43,0)),"Por definir"))</f>
        <v/>
      </c>
      <c r="P503" s="27">
        <f>IF($N503="","",IFERROR(INDEX(CONFIG!$H$4:$H$43,MATCH($N503,CONFIG!$F$4:$F$43,0)),"Por definir"))</f>
        <v/>
      </c>
      <c r="Q503" s="50" t="n"/>
      <c r="R503" s="51" t="n"/>
      <c r="S503" s="49" t="n"/>
      <c r="T503" s="49" t="n"/>
      <c r="U503" s="48">
        <f>IF(OR($B503="",$K503=""),"",WORKDAY($B503,IFERROR(INDEX(CONFIG!$C$4:$C$43,MATCH($K503,CONFIG!$A$4:$A$43,0)),3)))</f>
        <v/>
      </c>
      <c r="V503" s="46" t="n"/>
      <c r="W503" s="23">
        <f>IF($B503="","",IF($V503&lt;&gt;"",$V503-$B503,TODAY()-$B503))</f>
        <v/>
      </c>
      <c r="X503" s="27">
        <f>IF($C503="","",IF(IFERROR(INDEX(CONFIG!$K$4:$K$43,MATCH($S503,CONFIG!$J$4:$J$43,0)),"NO")="SÍ",IF(OR($V503="",$U503=""),"Resuelta",IF($V503&gt;$U503,"Resuelta tarde","Resuelta a tiempo")),IF($U503="","Sin clasificar",IF(TODAY()&gt;$U503,"Vencida",IF(TODAY()&gt;=$U503-1,"Por vencer","En plazo")))))</f>
        <v/>
      </c>
      <c r="Y503" s="49" t="n"/>
      <c r="Z503" s="49" t="n"/>
    </row>
    <row r="504" ht="16" customHeight="1">
      <c r="A504" s="27">
        <f>IF($C504="","","N-"&amp;TEXT(ROW()-3,"0000"))</f>
        <v/>
      </c>
      <c r="B504" s="46" t="n"/>
      <c r="C504" s="47" t="n"/>
      <c r="D504" s="27">
        <f>IF($C504="","",IF(COUNTIFS(ENVIOS!$A$4:$A$3003,$C504)=0,"NO EXISTE",IF(COUNTIFS(ENVIOS!$A$4:$A$3003,$C504)&gt;1,"DUPLICADA","OK")))</f>
        <v/>
      </c>
      <c r="E504" s="22">
        <f>IF($C504="","",IFERROR(INDEX(ENVIOS!$C$4:$C$3003,MATCH($C504,ENVIOS!$A$4:$A$3003,0)),"—"))</f>
        <v/>
      </c>
      <c r="F504" s="22">
        <f>IF($C504="","",IFERROR(INDEX(ENVIOS!$D$4:$D$3003,MATCH($C504,ENVIOS!$A$4:$A$3003,0)),"—"))</f>
        <v/>
      </c>
      <c r="G504" s="22">
        <f>IF($C504="","",IFERROR(INDEX(ENVIOS!$E$4:$E$3003,MATCH($C504,ENVIOS!$A$4:$A$3003,0)),"—"))</f>
        <v/>
      </c>
      <c r="H504" s="22">
        <f>IF($C504="","",IFERROR(INDEX(ENVIOS!$F$4:$F$3003,MATCH($C504,ENVIOS!$A$4:$A$3003,0)),"—"))</f>
        <v/>
      </c>
      <c r="I504" s="27">
        <f>IF($C504="","",IFERROR(INDEX(ENVIOS!$G$4:$G$3003,MATCH($C504,ENVIOS!$A$4:$A$3003,0)),"—"))</f>
        <v/>
      </c>
      <c r="J504" s="48">
        <f>IF($C504="","",IFERROR(INDEX(ENVIOS!$B$4:$B$3003,MATCH($C504,ENVIOS!$A$4:$A$3003,0)),""))</f>
        <v/>
      </c>
      <c r="K504" s="49" t="n"/>
      <c r="L504" s="27">
        <f>IF($K504="","",IFERROR(INDEX(CONFIG!$B$4:$B$43,MATCH($K504,CONFIG!$A$4:$A$43,0)),"Media"))</f>
        <v/>
      </c>
      <c r="M504" s="27">
        <f>IF($K504="","",IFERROR(INDEX(CONFIG!$D$4:$D$43,MATCH($K504,CONFIG!$A$4:$A$43,0)),"NO"))</f>
        <v/>
      </c>
      <c r="N504" s="49" t="n"/>
      <c r="O504" s="27">
        <f>IF($N504="","",IFERROR(INDEX(CONFIG!$G$4:$G$43,MATCH($N504,CONFIG!$F$4:$F$43,0)),"Por definir"))</f>
        <v/>
      </c>
      <c r="P504" s="27">
        <f>IF($N504="","",IFERROR(INDEX(CONFIG!$H$4:$H$43,MATCH($N504,CONFIG!$F$4:$F$43,0)),"Por definir"))</f>
        <v/>
      </c>
      <c r="Q504" s="50" t="n"/>
      <c r="R504" s="51" t="n"/>
      <c r="S504" s="49" t="n"/>
      <c r="T504" s="49" t="n"/>
      <c r="U504" s="48">
        <f>IF(OR($B504="",$K504=""),"",WORKDAY($B504,IFERROR(INDEX(CONFIG!$C$4:$C$43,MATCH($K504,CONFIG!$A$4:$A$43,0)),3)))</f>
        <v/>
      </c>
      <c r="V504" s="46" t="n"/>
      <c r="W504" s="23">
        <f>IF($B504="","",IF($V504&lt;&gt;"",$V504-$B504,TODAY()-$B504))</f>
        <v/>
      </c>
      <c r="X504" s="27">
        <f>IF($C504="","",IF(IFERROR(INDEX(CONFIG!$K$4:$K$43,MATCH($S504,CONFIG!$J$4:$J$43,0)),"NO")="SÍ",IF(OR($V504="",$U504=""),"Resuelta",IF($V504&gt;$U504,"Resuelta tarde","Resuelta a tiempo")),IF($U504="","Sin clasificar",IF(TODAY()&gt;$U504,"Vencida",IF(TODAY()&gt;=$U504-1,"Por vencer","En plazo")))))</f>
        <v/>
      </c>
      <c r="Y504" s="49" t="n"/>
      <c r="Z504" s="49" t="n"/>
    </row>
    <row r="505" ht="16" customHeight="1">
      <c r="A505" s="27">
        <f>IF($C505="","","N-"&amp;TEXT(ROW()-3,"0000"))</f>
        <v/>
      </c>
      <c r="B505" s="46" t="n"/>
      <c r="C505" s="47" t="n"/>
      <c r="D505" s="27">
        <f>IF($C505="","",IF(COUNTIFS(ENVIOS!$A$4:$A$3003,$C505)=0,"NO EXISTE",IF(COUNTIFS(ENVIOS!$A$4:$A$3003,$C505)&gt;1,"DUPLICADA","OK")))</f>
        <v/>
      </c>
      <c r="E505" s="22">
        <f>IF($C505="","",IFERROR(INDEX(ENVIOS!$C$4:$C$3003,MATCH($C505,ENVIOS!$A$4:$A$3003,0)),"—"))</f>
        <v/>
      </c>
      <c r="F505" s="22">
        <f>IF($C505="","",IFERROR(INDEX(ENVIOS!$D$4:$D$3003,MATCH($C505,ENVIOS!$A$4:$A$3003,0)),"—"))</f>
        <v/>
      </c>
      <c r="G505" s="22">
        <f>IF($C505="","",IFERROR(INDEX(ENVIOS!$E$4:$E$3003,MATCH($C505,ENVIOS!$A$4:$A$3003,0)),"—"))</f>
        <v/>
      </c>
      <c r="H505" s="22">
        <f>IF($C505="","",IFERROR(INDEX(ENVIOS!$F$4:$F$3003,MATCH($C505,ENVIOS!$A$4:$A$3003,0)),"—"))</f>
        <v/>
      </c>
      <c r="I505" s="27">
        <f>IF($C505="","",IFERROR(INDEX(ENVIOS!$G$4:$G$3003,MATCH($C505,ENVIOS!$A$4:$A$3003,0)),"—"))</f>
        <v/>
      </c>
      <c r="J505" s="48">
        <f>IF($C505="","",IFERROR(INDEX(ENVIOS!$B$4:$B$3003,MATCH($C505,ENVIOS!$A$4:$A$3003,0)),""))</f>
        <v/>
      </c>
      <c r="K505" s="49" t="n"/>
      <c r="L505" s="27">
        <f>IF($K505="","",IFERROR(INDEX(CONFIG!$B$4:$B$43,MATCH($K505,CONFIG!$A$4:$A$43,0)),"Media"))</f>
        <v/>
      </c>
      <c r="M505" s="27">
        <f>IF($K505="","",IFERROR(INDEX(CONFIG!$D$4:$D$43,MATCH($K505,CONFIG!$A$4:$A$43,0)),"NO"))</f>
        <v/>
      </c>
      <c r="N505" s="49" t="n"/>
      <c r="O505" s="27">
        <f>IF($N505="","",IFERROR(INDEX(CONFIG!$G$4:$G$43,MATCH($N505,CONFIG!$F$4:$F$43,0)),"Por definir"))</f>
        <v/>
      </c>
      <c r="P505" s="27">
        <f>IF($N505="","",IFERROR(INDEX(CONFIG!$H$4:$H$43,MATCH($N505,CONFIG!$F$4:$F$43,0)),"Por definir"))</f>
        <v/>
      </c>
      <c r="Q505" s="50" t="n"/>
      <c r="R505" s="51" t="n"/>
      <c r="S505" s="49" t="n"/>
      <c r="T505" s="49" t="n"/>
      <c r="U505" s="48">
        <f>IF(OR($B505="",$K505=""),"",WORKDAY($B505,IFERROR(INDEX(CONFIG!$C$4:$C$43,MATCH($K505,CONFIG!$A$4:$A$43,0)),3)))</f>
        <v/>
      </c>
      <c r="V505" s="46" t="n"/>
      <c r="W505" s="23">
        <f>IF($B505="","",IF($V505&lt;&gt;"",$V505-$B505,TODAY()-$B505))</f>
        <v/>
      </c>
      <c r="X505" s="27">
        <f>IF($C505="","",IF(IFERROR(INDEX(CONFIG!$K$4:$K$43,MATCH($S505,CONFIG!$J$4:$J$43,0)),"NO")="SÍ",IF(OR($V505="",$U505=""),"Resuelta",IF($V505&gt;$U505,"Resuelta tarde","Resuelta a tiempo")),IF($U505="","Sin clasificar",IF(TODAY()&gt;$U505,"Vencida",IF(TODAY()&gt;=$U505-1,"Por vencer","En plazo")))))</f>
        <v/>
      </c>
      <c r="Y505" s="49" t="n"/>
      <c r="Z505" s="49" t="n"/>
    </row>
    <row r="506" ht="16" customHeight="1">
      <c r="A506" s="27">
        <f>IF($C506="","","N-"&amp;TEXT(ROW()-3,"0000"))</f>
        <v/>
      </c>
      <c r="B506" s="46" t="n"/>
      <c r="C506" s="47" t="n"/>
      <c r="D506" s="27">
        <f>IF($C506="","",IF(COUNTIFS(ENVIOS!$A$4:$A$3003,$C506)=0,"NO EXISTE",IF(COUNTIFS(ENVIOS!$A$4:$A$3003,$C506)&gt;1,"DUPLICADA","OK")))</f>
        <v/>
      </c>
      <c r="E506" s="22">
        <f>IF($C506="","",IFERROR(INDEX(ENVIOS!$C$4:$C$3003,MATCH($C506,ENVIOS!$A$4:$A$3003,0)),"—"))</f>
        <v/>
      </c>
      <c r="F506" s="22">
        <f>IF($C506="","",IFERROR(INDEX(ENVIOS!$D$4:$D$3003,MATCH($C506,ENVIOS!$A$4:$A$3003,0)),"—"))</f>
        <v/>
      </c>
      <c r="G506" s="22">
        <f>IF($C506="","",IFERROR(INDEX(ENVIOS!$E$4:$E$3003,MATCH($C506,ENVIOS!$A$4:$A$3003,0)),"—"))</f>
        <v/>
      </c>
      <c r="H506" s="22">
        <f>IF($C506="","",IFERROR(INDEX(ENVIOS!$F$4:$F$3003,MATCH($C506,ENVIOS!$A$4:$A$3003,0)),"—"))</f>
        <v/>
      </c>
      <c r="I506" s="27">
        <f>IF($C506="","",IFERROR(INDEX(ENVIOS!$G$4:$G$3003,MATCH($C506,ENVIOS!$A$4:$A$3003,0)),"—"))</f>
        <v/>
      </c>
      <c r="J506" s="48">
        <f>IF($C506="","",IFERROR(INDEX(ENVIOS!$B$4:$B$3003,MATCH($C506,ENVIOS!$A$4:$A$3003,0)),""))</f>
        <v/>
      </c>
      <c r="K506" s="49" t="n"/>
      <c r="L506" s="27">
        <f>IF($K506="","",IFERROR(INDEX(CONFIG!$B$4:$B$43,MATCH($K506,CONFIG!$A$4:$A$43,0)),"Media"))</f>
        <v/>
      </c>
      <c r="M506" s="27">
        <f>IF($K506="","",IFERROR(INDEX(CONFIG!$D$4:$D$43,MATCH($K506,CONFIG!$A$4:$A$43,0)),"NO"))</f>
        <v/>
      </c>
      <c r="N506" s="49" t="n"/>
      <c r="O506" s="27">
        <f>IF($N506="","",IFERROR(INDEX(CONFIG!$G$4:$G$43,MATCH($N506,CONFIG!$F$4:$F$43,0)),"Por definir"))</f>
        <v/>
      </c>
      <c r="P506" s="27">
        <f>IF($N506="","",IFERROR(INDEX(CONFIG!$H$4:$H$43,MATCH($N506,CONFIG!$F$4:$F$43,0)),"Por definir"))</f>
        <v/>
      </c>
      <c r="Q506" s="50" t="n"/>
      <c r="R506" s="51" t="n"/>
      <c r="S506" s="49" t="n"/>
      <c r="T506" s="49" t="n"/>
      <c r="U506" s="48">
        <f>IF(OR($B506="",$K506=""),"",WORKDAY($B506,IFERROR(INDEX(CONFIG!$C$4:$C$43,MATCH($K506,CONFIG!$A$4:$A$43,0)),3)))</f>
        <v/>
      </c>
      <c r="V506" s="46" t="n"/>
      <c r="W506" s="23">
        <f>IF($B506="","",IF($V506&lt;&gt;"",$V506-$B506,TODAY()-$B506))</f>
        <v/>
      </c>
      <c r="X506" s="27">
        <f>IF($C506="","",IF(IFERROR(INDEX(CONFIG!$K$4:$K$43,MATCH($S506,CONFIG!$J$4:$J$43,0)),"NO")="SÍ",IF(OR($V506="",$U506=""),"Resuelta",IF($V506&gt;$U506,"Resuelta tarde","Resuelta a tiempo")),IF($U506="","Sin clasificar",IF(TODAY()&gt;$U506,"Vencida",IF(TODAY()&gt;=$U506-1,"Por vencer","En plazo")))))</f>
        <v/>
      </c>
      <c r="Y506" s="49" t="n"/>
      <c r="Z506" s="49" t="n"/>
    </row>
    <row r="507" ht="16" customHeight="1">
      <c r="A507" s="27">
        <f>IF($C507="","","N-"&amp;TEXT(ROW()-3,"0000"))</f>
        <v/>
      </c>
      <c r="B507" s="46" t="n"/>
      <c r="C507" s="47" t="n"/>
      <c r="D507" s="27">
        <f>IF($C507="","",IF(COUNTIFS(ENVIOS!$A$4:$A$3003,$C507)=0,"NO EXISTE",IF(COUNTIFS(ENVIOS!$A$4:$A$3003,$C507)&gt;1,"DUPLICADA","OK")))</f>
        <v/>
      </c>
      <c r="E507" s="22">
        <f>IF($C507="","",IFERROR(INDEX(ENVIOS!$C$4:$C$3003,MATCH($C507,ENVIOS!$A$4:$A$3003,0)),"—"))</f>
        <v/>
      </c>
      <c r="F507" s="22">
        <f>IF($C507="","",IFERROR(INDEX(ENVIOS!$D$4:$D$3003,MATCH($C507,ENVIOS!$A$4:$A$3003,0)),"—"))</f>
        <v/>
      </c>
      <c r="G507" s="22">
        <f>IF($C507="","",IFERROR(INDEX(ENVIOS!$E$4:$E$3003,MATCH($C507,ENVIOS!$A$4:$A$3003,0)),"—"))</f>
        <v/>
      </c>
      <c r="H507" s="22">
        <f>IF($C507="","",IFERROR(INDEX(ENVIOS!$F$4:$F$3003,MATCH($C507,ENVIOS!$A$4:$A$3003,0)),"—"))</f>
        <v/>
      </c>
      <c r="I507" s="27">
        <f>IF($C507="","",IFERROR(INDEX(ENVIOS!$G$4:$G$3003,MATCH($C507,ENVIOS!$A$4:$A$3003,0)),"—"))</f>
        <v/>
      </c>
      <c r="J507" s="48">
        <f>IF($C507="","",IFERROR(INDEX(ENVIOS!$B$4:$B$3003,MATCH($C507,ENVIOS!$A$4:$A$3003,0)),""))</f>
        <v/>
      </c>
      <c r="K507" s="49" t="n"/>
      <c r="L507" s="27">
        <f>IF($K507="","",IFERROR(INDEX(CONFIG!$B$4:$B$43,MATCH($K507,CONFIG!$A$4:$A$43,0)),"Media"))</f>
        <v/>
      </c>
      <c r="M507" s="27">
        <f>IF($K507="","",IFERROR(INDEX(CONFIG!$D$4:$D$43,MATCH($K507,CONFIG!$A$4:$A$43,0)),"NO"))</f>
        <v/>
      </c>
      <c r="N507" s="49" t="n"/>
      <c r="O507" s="27">
        <f>IF($N507="","",IFERROR(INDEX(CONFIG!$G$4:$G$43,MATCH($N507,CONFIG!$F$4:$F$43,0)),"Por definir"))</f>
        <v/>
      </c>
      <c r="P507" s="27">
        <f>IF($N507="","",IFERROR(INDEX(CONFIG!$H$4:$H$43,MATCH($N507,CONFIG!$F$4:$F$43,0)),"Por definir"))</f>
        <v/>
      </c>
      <c r="Q507" s="50" t="n"/>
      <c r="R507" s="51" t="n"/>
      <c r="S507" s="49" t="n"/>
      <c r="T507" s="49" t="n"/>
      <c r="U507" s="48">
        <f>IF(OR($B507="",$K507=""),"",WORKDAY($B507,IFERROR(INDEX(CONFIG!$C$4:$C$43,MATCH($K507,CONFIG!$A$4:$A$43,0)),3)))</f>
        <v/>
      </c>
      <c r="V507" s="46" t="n"/>
      <c r="W507" s="23">
        <f>IF($B507="","",IF($V507&lt;&gt;"",$V507-$B507,TODAY()-$B507))</f>
        <v/>
      </c>
      <c r="X507" s="27">
        <f>IF($C507="","",IF(IFERROR(INDEX(CONFIG!$K$4:$K$43,MATCH($S507,CONFIG!$J$4:$J$43,0)),"NO")="SÍ",IF(OR($V507="",$U507=""),"Resuelta",IF($V507&gt;$U507,"Resuelta tarde","Resuelta a tiempo")),IF($U507="","Sin clasificar",IF(TODAY()&gt;$U507,"Vencida",IF(TODAY()&gt;=$U507-1,"Por vencer","En plazo")))))</f>
        <v/>
      </c>
      <c r="Y507" s="49" t="n"/>
      <c r="Z507" s="49" t="n"/>
    </row>
    <row r="508" ht="16" customHeight="1">
      <c r="A508" s="27">
        <f>IF($C508="","","N-"&amp;TEXT(ROW()-3,"0000"))</f>
        <v/>
      </c>
      <c r="B508" s="46" t="n"/>
      <c r="C508" s="47" t="n"/>
      <c r="D508" s="27">
        <f>IF($C508="","",IF(COUNTIFS(ENVIOS!$A$4:$A$3003,$C508)=0,"NO EXISTE",IF(COUNTIFS(ENVIOS!$A$4:$A$3003,$C508)&gt;1,"DUPLICADA","OK")))</f>
        <v/>
      </c>
      <c r="E508" s="22">
        <f>IF($C508="","",IFERROR(INDEX(ENVIOS!$C$4:$C$3003,MATCH($C508,ENVIOS!$A$4:$A$3003,0)),"—"))</f>
        <v/>
      </c>
      <c r="F508" s="22">
        <f>IF($C508="","",IFERROR(INDEX(ENVIOS!$D$4:$D$3003,MATCH($C508,ENVIOS!$A$4:$A$3003,0)),"—"))</f>
        <v/>
      </c>
      <c r="G508" s="22">
        <f>IF($C508="","",IFERROR(INDEX(ENVIOS!$E$4:$E$3003,MATCH($C508,ENVIOS!$A$4:$A$3003,0)),"—"))</f>
        <v/>
      </c>
      <c r="H508" s="22">
        <f>IF($C508="","",IFERROR(INDEX(ENVIOS!$F$4:$F$3003,MATCH($C508,ENVIOS!$A$4:$A$3003,0)),"—"))</f>
        <v/>
      </c>
      <c r="I508" s="27">
        <f>IF($C508="","",IFERROR(INDEX(ENVIOS!$G$4:$G$3003,MATCH($C508,ENVIOS!$A$4:$A$3003,0)),"—"))</f>
        <v/>
      </c>
      <c r="J508" s="48">
        <f>IF($C508="","",IFERROR(INDEX(ENVIOS!$B$4:$B$3003,MATCH($C508,ENVIOS!$A$4:$A$3003,0)),""))</f>
        <v/>
      </c>
      <c r="K508" s="49" t="n"/>
      <c r="L508" s="27">
        <f>IF($K508="","",IFERROR(INDEX(CONFIG!$B$4:$B$43,MATCH($K508,CONFIG!$A$4:$A$43,0)),"Media"))</f>
        <v/>
      </c>
      <c r="M508" s="27">
        <f>IF($K508="","",IFERROR(INDEX(CONFIG!$D$4:$D$43,MATCH($K508,CONFIG!$A$4:$A$43,0)),"NO"))</f>
        <v/>
      </c>
      <c r="N508" s="49" t="n"/>
      <c r="O508" s="27">
        <f>IF($N508="","",IFERROR(INDEX(CONFIG!$G$4:$G$43,MATCH($N508,CONFIG!$F$4:$F$43,0)),"Por definir"))</f>
        <v/>
      </c>
      <c r="P508" s="27">
        <f>IF($N508="","",IFERROR(INDEX(CONFIG!$H$4:$H$43,MATCH($N508,CONFIG!$F$4:$F$43,0)),"Por definir"))</f>
        <v/>
      </c>
      <c r="Q508" s="50" t="n"/>
      <c r="R508" s="51" t="n"/>
      <c r="S508" s="49" t="n"/>
      <c r="T508" s="49" t="n"/>
      <c r="U508" s="48">
        <f>IF(OR($B508="",$K508=""),"",WORKDAY($B508,IFERROR(INDEX(CONFIG!$C$4:$C$43,MATCH($K508,CONFIG!$A$4:$A$43,0)),3)))</f>
        <v/>
      </c>
      <c r="V508" s="46" t="n"/>
      <c r="W508" s="23">
        <f>IF($B508="","",IF($V508&lt;&gt;"",$V508-$B508,TODAY()-$B508))</f>
        <v/>
      </c>
      <c r="X508" s="27">
        <f>IF($C508="","",IF(IFERROR(INDEX(CONFIG!$K$4:$K$43,MATCH($S508,CONFIG!$J$4:$J$43,0)),"NO")="SÍ",IF(OR($V508="",$U508=""),"Resuelta",IF($V508&gt;$U508,"Resuelta tarde","Resuelta a tiempo")),IF($U508="","Sin clasificar",IF(TODAY()&gt;$U508,"Vencida",IF(TODAY()&gt;=$U508-1,"Por vencer","En plazo")))))</f>
        <v/>
      </c>
      <c r="Y508" s="49" t="n"/>
      <c r="Z508" s="49" t="n"/>
    </row>
    <row r="509" ht="16" customHeight="1">
      <c r="A509" s="27">
        <f>IF($C509="","","N-"&amp;TEXT(ROW()-3,"0000"))</f>
        <v/>
      </c>
      <c r="B509" s="46" t="n"/>
      <c r="C509" s="47" t="n"/>
      <c r="D509" s="27">
        <f>IF($C509="","",IF(COUNTIFS(ENVIOS!$A$4:$A$3003,$C509)=0,"NO EXISTE",IF(COUNTIFS(ENVIOS!$A$4:$A$3003,$C509)&gt;1,"DUPLICADA","OK")))</f>
        <v/>
      </c>
      <c r="E509" s="22">
        <f>IF($C509="","",IFERROR(INDEX(ENVIOS!$C$4:$C$3003,MATCH($C509,ENVIOS!$A$4:$A$3003,0)),"—"))</f>
        <v/>
      </c>
      <c r="F509" s="22">
        <f>IF($C509="","",IFERROR(INDEX(ENVIOS!$D$4:$D$3003,MATCH($C509,ENVIOS!$A$4:$A$3003,0)),"—"))</f>
        <v/>
      </c>
      <c r="G509" s="22">
        <f>IF($C509="","",IFERROR(INDEX(ENVIOS!$E$4:$E$3003,MATCH($C509,ENVIOS!$A$4:$A$3003,0)),"—"))</f>
        <v/>
      </c>
      <c r="H509" s="22">
        <f>IF($C509="","",IFERROR(INDEX(ENVIOS!$F$4:$F$3003,MATCH($C509,ENVIOS!$A$4:$A$3003,0)),"—"))</f>
        <v/>
      </c>
      <c r="I509" s="27">
        <f>IF($C509="","",IFERROR(INDEX(ENVIOS!$G$4:$G$3003,MATCH($C509,ENVIOS!$A$4:$A$3003,0)),"—"))</f>
        <v/>
      </c>
      <c r="J509" s="48">
        <f>IF($C509="","",IFERROR(INDEX(ENVIOS!$B$4:$B$3003,MATCH($C509,ENVIOS!$A$4:$A$3003,0)),""))</f>
        <v/>
      </c>
      <c r="K509" s="49" t="n"/>
      <c r="L509" s="27">
        <f>IF($K509="","",IFERROR(INDEX(CONFIG!$B$4:$B$43,MATCH($K509,CONFIG!$A$4:$A$43,0)),"Media"))</f>
        <v/>
      </c>
      <c r="M509" s="27">
        <f>IF($K509="","",IFERROR(INDEX(CONFIG!$D$4:$D$43,MATCH($K509,CONFIG!$A$4:$A$43,0)),"NO"))</f>
        <v/>
      </c>
      <c r="N509" s="49" t="n"/>
      <c r="O509" s="27">
        <f>IF($N509="","",IFERROR(INDEX(CONFIG!$G$4:$G$43,MATCH($N509,CONFIG!$F$4:$F$43,0)),"Por definir"))</f>
        <v/>
      </c>
      <c r="P509" s="27">
        <f>IF($N509="","",IFERROR(INDEX(CONFIG!$H$4:$H$43,MATCH($N509,CONFIG!$F$4:$F$43,0)),"Por definir"))</f>
        <v/>
      </c>
      <c r="Q509" s="50" t="n"/>
      <c r="R509" s="51" t="n"/>
      <c r="S509" s="49" t="n"/>
      <c r="T509" s="49" t="n"/>
      <c r="U509" s="48">
        <f>IF(OR($B509="",$K509=""),"",WORKDAY($B509,IFERROR(INDEX(CONFIG!$C$4:$C$43,MATCH($K509,CONFIG!$A$4:$A$43,0)),3)))</f>
        <v/>
      </c>
      <c r="V509" s="46" t="n"/>
      <c r="W509" s="23">
        <f>IF($B509="","",IF($V509&lt;&gt;"",$V509-$B509,TODAY()-$B509))</f>
        <v/>
      </c>
      <c r="X509" s="27">
        <f>IF($C509="","",IF(IFERROR(INDEX(CONFIG!$K$4:$K$43,MATCH($S509,CONFIG!$J$4:$J$43,0)),"NO")="SÍ",IF(OR($V509="",$U509=""),"Resuelta",IF($V509&gt;$U509,"Resuelta tarde","Resuelta a tiempo")),IF($U509="","Sin clasificar",IF(TODAY()&gt;$U509,"Vencida",IF(TODAY()&gt;=$U509-1,"Por vencer","En plazo")))))</f>
        <v/>
      </c>
      <c r="Y509" s="49" t="n"/>
      <c r="Z509" s="49" t="n"/>
    </row>
    <row r="510" ht="16" customHeight="1">
      <c r="A510" s="27">
        <f>IF($C510="","","N-"&amp;TEXT(ROW()-3,"0000"))</f>
        <v/>
      </c>
      <c r="B510" s="46" t="n"/>
      <c r="C510" s="47" t="n"/>
      <c r="D510" s="27">
        <f>IF($C510="","",IF(COUNTIFS(ENVIOS!$A$4:$A$3003,$C510)=0,"NO EXISTE",IF(COUNTIFS(ENVIOS!$A$4:$A$3003,$C510)&gt;1,"DUPLICADA","OK")))</f>
        <v/>
      </c>
      <c r="E510" s="22">
        <f>IF($C510="","",IFERROR(INDEX(ENVIOS!$C$4:$C$3003,MATCH($C510,ENVIOS!$A$4:$A$3003,0)),"—"))</f>
        <v/>
      </c>
      <c r="F510" s="22">
        <f>IF($C510="","",IFERROR(INDEX(ENVIOS!$D$4:$D$3003,MATCH($C510,ENVIOS!$A$4:$A$3003,0)),"—"))</f>
        <v/>
      </c>
      <c r="G510" s="22">
        <f>IF($C510="","",IFERROR(INDEX(ENVIOS!$E$4:$E$3003,MATCH($C510,ENVIOS!$A$4:$A$3003,0)),"—"))</f>
        <v/>
      </c>
      <c r="H510" s="22">
        <f>IF($C510="","",IFERROR(INDEX(ENVIOS!$F$4:$F$3003,MATCH($C510,ENVIOS!$A$4:$A$3003,0)),"—"))</f>
        <v/>
      </c>
      <c r="I510" s="27">
        <f>IF($C510="","",IFERROR(INDEX(ENVIOS!$G$4:$G$3003,MATCH($C510,ENVIOS!$A$4:$A$3003,0)),"—"))</f>
        <v/>
      </c>
      <c r="J510" s="48">
        <f>IF($C510="","",IFERROR(INDEX(ENVIOS!$B$4:$B$3003,MATCH($C510,ENVIOS!$A$4:$A$3003,0)),""))</f>
        <v/>
      </c>
      <c r="K510" s="49" t="n"/>
      <c r="L510" s="27">
        <f>IF($K510="","",IFERROR(INDEX(CONFIG!$B$4:$B$43,MATCH($K510,CONFIG!$A$4:$A$43,0)),"Media"))</f>
        <v/>
      </c>
      <c r="M510" s="27">
        <f>IF($K510="","",IFERROR(INDEX(CONFIG!$D$4:$D$43,MATCH($K510,CONFIG!$A$4:$A$43,0)),"NO"))</f>
        <v/>
      </c>
      <c r="N510" s="49" t="n"/>
      <c r="O510" s="27">
        <f>IF($N510="","",IFERROR(INDEX(CONFIG!$G$4:$G$43,MATCH($N510,CONFIG!$F$4:$F$43,0)),"Por definir"))</f>
        <v/>
      </c>
      <c r="P510" s="27">
        <f>IF($N510="","",IFERROR(INDEX(CONFIG!$H$4:$H$43,MATCH($N510,CONFIG!$F$4:$F$43,0)),"Por definir"))</f>
        <v/>
      </c>
      <c r="Q510" s="50" t="n"/>
      <c r="R510" s="51" t="n"/>
      <c r="S510" s="49" t="n"/>
      <c r="T510" s="49" t="n"/>
      <c r="U510" s="48">
        <f>IF(OR($B510="",$K510=""),"",WORKDAY($B510,IFERROR(INDEX(CONFIG!$C$4:$C$43,MATCH($K510,CONFIG!$A$4:$A$43,0)),3)))</f>
        <v/>
      </c>
      <c r="V510" s="46" t="n"/>
      <c r="W510" s="23">
        <f>IF($B510="","",IF($V510&lt;&gt;"",$V510-$B510,TODAY()-$B510))</f>
        <v/>
      </c>
      <c r="X510" s="27">
        <f>IF($C510="","",IF(IFERROR(INDEX(CONFIG!$K$4:$K$43,MATCH($S510,CONFIG!$J$4:$J$43,0)),"NO")="SÍ",IF(OR($V510="",$U510=""),"Resuelta",IF($V510&gt;$U510,"Resuelta tarde","Resuelta a tiempo")),IF($U510="","Sin clasificar",IF(TODAY()&gt;$U510,"Vencida",IF(TODAY()&gt;=$U510-1,"Por vencer","En plazo")))))</f>
        <v/>
      </c>
      <c r="Y510" s="49" t="n"/>
      <c r="Z510" s="49" t="n"/>
    </row>
    <row r="511" ht="16" customHeight="1">
      <c r="A511" s="27">
        <f>IF($C511="","","N-"&amp;TEXT(ROW()-3,"0000"))</f>
        <v/>
      </c>
      <c r="B511" s="46" t="n"/>
      <c r="C511" s="47" t="n"/>
      <c r="D511" s="27">
        <f>IF($C511="","",IF(COUNTIFS(ENVIOS!$A$4:$A$3003,$C511)=0,"NO EXISTE",IF(COUNTIFS(ENVIOS!$A$4:$A$3003,$C511)&gt;1,"DUPLICADA","OK")))</f>
        <v/>
      </c>
      <c r="E511" s="22">
        <f>IF($C511="","",IFERROR(INDEX(ENVIOS!$C$4:$C$3003,MATCH($C511,ENVIOS!$A$4:$A$3003,0)),"—"))</f>
        <v/>
      </c>
      <c r="F511" s="22">
        <f>IF($C511="","",IFERROR(INDEX(ENVIOS!$D$4:$D$3003,MATCH($C511,ENVIOS!$A$4:$A$3003,0)),"—"))</f>
        <v/>
      </c>
      <c r="G511" s="22">
        <f>IF($C511="","",IFERROR(INDEX(ENVIOS!$E$4:$E$3003,MATCH($C511,ENVIOS!$A$4:$A$3003,0)),"—"))</f>
        <v/>
      </c>
      <c r="H511" s="22">
        <f>IF($C511="","",IFERROR(INDEX(ENVIOS!$F$4:$F$3003,MATCH($C511,ENVIOS!$A$4:$A$3003,0)),"—"))</f>
        <v/>
      </c>
      <c r="I511" s="27">
        <f>IF($C511="","",IFERROR(INDEX(ENVIOS!$G$4:$G$3003,MATCH($C511,ENVIOS!$A$4:$A$3003,0)),"—"))</f>
        <v/>
      </c>
      <c r="J511" s="48">
        <f>IF($C511="","",IFERROR(INDEX(ENVIOS!$B$4:$B$3003,MATCH($C511,ENVIOS!$A$4:$A$3003,0)),""))</f>
        <v/>
      </c>
      <c r="K511" s="49" t="n"/>
      <c r="L511" s="27">
        <f>IF($K511="","",IFERROR(INDEX(CONFIG!$B$4:$B$43,MATCH($K511,CONFIG!$A$4:$A$43,0)),"Media"))</f>
        <v/>
      </c>
      <c r="M511" s="27">
        <f>IF($K511="","",IFERROR(INDEX(CONFIG!$D$4:$D$43,MATCH($K511,CONFIG!$A$4:$A$43,0)),"NO"))</f>
        <v/>
      </c>
      <c r="N511" s="49" t="n"/>
      <c r="O511" s="27">
        <f>IF($N511="","",IFERROR(INDEX(CONFIG!$G$4:$G$43,MATCH($N511,CONFIG!$F$4:$F$43,0)),"Por definir"))</f>
        <v/>
      </c>
      <c r="P511" s="27">
        <f>IF($N511="","",IFERROR(INDEX(CONFIG!$H$4:$H$43,MATCH($N511,CONFIG!$F$4:$F$43,0)),"Por definir"))</f>
        <v/>
      </c>
      <c r="Q511" s="50" t="n"/>
      <c r="R511" s="51" t="n"/>
      <c r="S511" s="49" t="n"/>
      <c r="T511" s="49" t="n"/>
      <c r="U511" s="48">
        <f>IF(OR($B511="",$K511=""),"",WORKDAY($B511,IFERROR(INDEX(CONFIG!$C$4:$C$43,MATCH($K511,CONFIG!$A$4:$A$43,0)),3)))</f>
        <v/>
      </c>
      <c r="V511" s="46" t="n"/>
      <c r="W511" s="23">
        <f>IF($B511="","",IF($V511&lt;&gt;"",$V511-$B511,TODAY()-$B511))</f>
        <v/>
      </c>
      <c r="X511" s="27">
        <f>IF($C511="","",IF(IFERROR(INDEX(CONFIG!$K$4:$K$43,MATCH($S511,CONFIG!$J$4:$J$43,0)),"NO")="SÍ",IF(OR($V511="",$U511=""),"Resuelta",IF($V511&gt;$U511,"Resuelta tarde","Resuelta a tiempo")),IF($U511="","Sin clasificar",IF(TODAY()&gt;$U511,"Vencida",IF(TODAY()&gt;=$U511-1,"Por vencer","En plazo")))))</f>
        <v/>
      </c>
      <c r="Y511" s="49" t="n"/>
      <c r="Z511" s="49" t="n"/>
    </row>
    <row r="512" ht="16" customHeight="1">
      <c r="A512" s="27">
        <f>IF($C512="","","N-"&amp;TEXT(ROW()-3,"0000"))</f>
        <v/>
      </c>
      <c r="B512" s="46" t="n"/>
      <c r="C512" s="47" t="n"/>
      <c r="D512" s="27">
        <f>IF($C512="","",IF(COUNTIFS(ENVIOS!$A$4:$A$3003,$C512)=0,"NO EXISTE",IF(COUNTIFS(ENVIOS!$A$4:$A$3003,$C512)&gt;1,"DUPLICADA","OK")))</f>
        <v/>
      </c>
      <c r="E512" s="22">
        <f>IF($C512="","",IFERROR(INDEX(ENVIOS!$C$4:$C$3003,MATCH($C512,ENVIOS!$A$4:$A$3003,0)),"—"))</f>
        <v/>
      </c>
      <c r="F512" s="22">
        <f>IF($C512="","",IFERROR(INDEX(ENVIOS!$D$4:$D$3003,MATCH($C512,ENVIOS!$A$4:$A$3003,0)),"—"))</f>
        <v/>
      </c>
      <c r="G512" s="22">
        <f>IF($C512="","",IFERROR(INDEX(ENVIOS!$E$4:$E$3003,MATCH($C512,ENVIOS!$A$4:$A$3003,0)),"—"))</f>
        <v/>
      </c>
      <c r="H512" s="22">
        <f>IF($C512="","",IFERROR(INDEX(ENVIOS!$F$4:$F$3003,MATCH($C512,ENVIOS!$A$4:$A$3003,0)),"—"))</f>
        <v/>
      </c>
      <c r="I512" s="27">
        <f>IF($C512="","",IFERROR(INDEX(ENVIOS!$G$4:$G$3003,MATCH($C512,ENVIOS!$A$4:$A$3003,0)),"—"))</f>
        <v/>
      </c>
      <c r="J512" s="48">
        <f>IF($C512="","",IFERROR(INDEX(ENVIOS!$B$4:$B$3003,MATCH($C512,ENVIOS!$A$4:$A$3003,0)),""))</f>
        <v/>
      </c>
      <c r="K512" s="49" t="n"/>
      <c r="L512" s="27">
        <f>IF($K512="","",IFERROR(INDEX(CONFIG!$B$4:$B$43,MATCH($K512,CONFIG!$A$4:$A$43,0)),"Media"))</f>
        <v/>
      </c>
      <c r="M512" s="27">
        <f>IF($K512="","",IFERROR(INDEX(CONFIG!$D$4:$D$43,MATCH($K512,CONFIG!$A$4:$A$43,0)),"NO"))</f>
        <v/>
      </c>
      <c r="N512" s="49" t="n"/>
      <c r="O512" s="27">
        <f>IF($N512="","",IFERROR(INDEX(CONFIG!$G$4:$G$43,MATCH($N512,CONFIG!$F$4:$F$43,0)),"Por definir"))</f>
        <v/>
      </c>
      <c r="P512" s="27">
        <f>IF($N512="","",IFERROR(INDEX(CONFIG!$H$4:$H$43,MATCH($N512,CONFIG!$F$4:$F$43,0)),"Por definir"))</f>
        <v/>
      </c>
      <c r="Q512" s="50" t="n"/>
      <c r="R512" s="51" t="n"/>
      <c r="S512" s="49" t="n"/>
      <c r="T512" s="49" t="n"/>
      <c r="U512" s="48">
        <f>IF(OR($B512="",$K512=""),"",WORKDAY($B512,IFERROR(INDEX(CONFIG!$C$4:$C$43,MATCH($K512,CONFIG!$A$4:$A$43,0)),3)))</f>
        <v/>
      </c>
      <c r="V512" s="46" t="n"/>
      <c r="W512" s="23">
        <f>IF($B512="","",IF($V512&lt;&gt;"",$V512-$B512,TODAY()-$B512))</f>
        <v/>
      </c>
      <c r="X512" s="27">
        <f>IF($C512="","",IF(IFERROR(INDEX(CONFIG!$K$4:$K$43,MATCH($S512,CONFIG!$J$4:$J$43,0)),"NO")="SÍ",IF(OR($V512="",$U512=""),"Resuelta",IF($V512&gt;$U512,"Resuelta tarde","Resuelta a tiempo")),IF($U512="","Sin clasificar",IF(TODAY()&gt;$U512,"Vencida",IF(TODAY()&gt;=$U512-1,"Por vencer","En plazo")))))</f>
        <v/>
      </c>
      <c r="Y512" s="49" t="n"/>
      <c r="Z512" s="49" t="n"/>
    </row>
    <row r="513" ht="16" customHeight="1">
      <c r="A513" s="27">
        <f>IF($C513="","","N-"&amp;TEXT(ROW()-3,"0000"))</f>
        <v/>
      </c>
      <c r="B513" s="46" t="n"/>
      <c r="C513" s="47" t="n"/>
      <c r="D513" s="27">
        <f>IF($C513="","",IF(COUNTIFS(ENVIOS!$A$4:$A$3003,$C513)=0,"NO EXISTE",IF(COUNTIFS(ENVIOS!$A$4:$A$3003,$C513)&gt;1,"DUPLICADA","OK")))</f>
        <v/>
      </c>
      <c r="E513" s="22">
        <f>IF($C513="","",IFERROR(INDEX(ENVIOS!$C$4:$C$3003,MATCH($C513,ENVIOS!$A$4:$A$3003,0)),"—"))</f>
        <v/>
      </c>
      <c r="F513" s="22">
        <f>IF($C513="","",IFERROR(INDEX(ENVIOS!$D$4:$D$3003,MATCH($C513,ENVIOS!$A$4:$A$3003,0)),"—"))</f>
        <v/>
      </c>
      <c r="G513" s="22">
        <f>IF($C513="","",IFERROR(INDEX(ENVIOS!$E$4:$E$3003,MATCH($C513,ENVIOS!$A$4:$A$3003,0)),"—"))</f>
        <v/>
      </c>
      <c r="H513" s="22">
        <f>IF($C513="","",IFERROR(INDEX(ENVIOS!$F$4:$F$3003,MATCH($C513,ENVIOS!$A$4:$A$3003,0)),"—"))</f>
        <v/>
      </c>
      <c r="I513" s="27">
        <f>IF($C513="","",IFERROR(INDEX(ENVIOS!$G$4:$G$3003,MATCH($C513,ENVIOS!$A$4:$A$3003,0)),"—"))</f>
        <v/>
      </c>
      <c r="J513" s="48">
        <f>IF($C513="","",IFERROR(INDEX(ENVIOS!$B$4:$B$3003,MATCH($C513,ENVIOS!$A$4:$A$3003,0)),""))</f>
        <v/>
      </c>
      <c r="K513" s="49" t="n"/>
      <c r="L513" s="27">
        <f>IF($K513="","",IFERROR(INDEX(CONFIG!$B$4:$B$43,MATCH($K513,CONFIG!$A$4:$A$43,0)),"Media"))</f>
        <v/>
      </c>
      <c r="M513" s="27">
        <f>IF($K513="","",IFERROR(INDEX(CONFIG!$D$4:$D$43,MATCH($K513,CONFIG!$A$4:$A$43,0)),"NO"))</f>
        <v/>
      </c>
      <c r="N513" s="49" t="n"/>
      <c r="O513" s="27">
        <f>IF($N513="","",IFERROR(INDEX(CONFIG!$G$4:$G$43,MATCH($N513,CONFIG!$F$4:$F$43,0)),"Por definir"))</f>
        <v/>
      </c>
      <c r="P513" s="27">
        <f>IF($N513="","",IFERROR(INDEX(CONFIG!$H$4:$H$43,MATCH($N513,CONFIG!$F$4:$F$43,0)),"Por definir"))</f>
        <v/>
      </c>
      <c r="Q513" s="50" t="n"/>
      <c r="R513" s="51" t="n"/>
      <c r="S513" s="49" t="n"/>
      <c r="T513" s="49" t="n"/>
      <c r="U513" s="48">
        <f>IF(OR($B513="",$K513=""),"",WORKDAY($B513,IFERROR(INDEX(CONFIG!$C$4:$C$43,MATCH($K513,CONFIG!$A$4:$A$43,0)),3)))</f>
        <v/>
      </c>
      <c r="V513" s="46" t="n"/>
      <c r="W513" s="23">
        <f>IF($B513="","",IF($V513&lt;&gt;"",$V513-$B513,TODAY()-$B513))</f>
        <v/>
      </c>
      <c r="X513" s="27">
        <f>IF($C513="","",IF(IFERROR(INDEX(CONFIG!$K$4:$K$43,MATCH($S513,CONFIG!$J$4:$J$43,0)),"NO")="SÍ",IF(OR($V513="",$U513=""),"Resuelta",IF($V513&gt;$U513,"Resuelta tarde","Resuelta a tiempo")),IF($U513="","Sin clasificar",IF(TODAY()&gt;$U513,"Vencida",IF(TODAY()&gt;=$U513-1,"Por vencer","En plazo")))))</f>
        <v/>
      </c>
      <c r="Y513" s="49" t="n"/>
      <c r="Z513" s="49" t="n"/>
    </row>
    <row r="514" ht="16" customHeight="1">
      <c r="A514" s="27">
        <f>IF($C514="","","N-"&amp;TEXT(ROW()-3,"0000"))</f>
        <v/>
      </c>
      <c r="B514" s="46" t="n"/>
      <c r="C514" s="47" t="n"/>
      <c r="D514" s="27">
        <f>IF($C514="","",IF(COUNTIFS(ENVIOS!$A$4:$A$3003,$C514)=0,"NO EXISTE",IF(COUNTIFS(ENVIOS!$A$4:$A$3003,$C514)&gt;1,"DUPLICADA","OK")))</f>
        <v/>
      </c>
      <c r="E514" s="22">
        <f>IF($C514="","",IFERROR(INDEX(ENVIOS!$C$4:$C$3003,MATCH($C514,ENVIOS!$A$4:$A$3003,0)),"—"))</f>
        <v/>
      </c>
      <c r="F514" s="22">
        <f>IF($C514="","",IFERROR(INDEX(ENVIOS!$D$4:$D$3003,MATCH($C514,ENVIOS!$A$4:$A$3003,0)),"—"))</f>
        <v/>
      </c>
      <c r="G514" s="22">
        <f>IF($C514="","",IFERROR(INDEX(ENVIOS!$E$4:$E$3003,MATCH($C514,ENVIOS!$A$4:$A$3003,0)),"—"))</f>
        <v/>
      </c>
      <c r="H514" s="22">
        <f>IF($C514="","",IFERROR(INDEX(ENVIOS!$F$4:$F$3003,MATCH($C514,ENVIOS!$A$4:$A$3003,0)),"—"))</f>
        <v/>
      </c>
      <c r="I514" s="27">
        <f>IF($C514="","",IFERROR(INDEX(ENVIOS!$G$4:$G$3003,MATCH($C514,ENVIOS!$A$4:$A$3003,0)),"—"))</f>
        <v/>
      </c>
      <c r="J514" s="48">
        <f>IF($C514="","",IFERROR(INDEX(ENVIOS!$B$4:$B$3003,MATCH($C514,ENVIOS!$A$4:$A$3003,0)),""))</f>
        <v/>
      </c>
      <c r="K514" s="49" t="n"/>
      <c r="L514" s="27">
        <f>IF($K514="","",IFERROR(INDEX(CONFIG!$B$4:$B$43,MATCH($K514,CONFIG!$A$4:$A$43,0)),"Media"))</f>
        <v/>
      </c>
      <c r="M514" s="27">
        <f>IF($K514="","",IFERROR(INDEX(CONFIG!$D$4:$D$43,MATCH($K514,CONFIG!$A$4:$A$43,0)),"NO"))</f>
        <v/>
      </c>
      <c r="N514" s="49" t="n"/>
      <c r="O514" s="27">
        <f>IF($N514="","",IFERROR(INDEX(CONFIG!$G$4:$G$43,MATCH($N514,CONFIG!$F$4:$F$43,0)),"Por definir"))</f>
        <v/>
      </c>
      <c r="P514" s="27">
        <f>IF($N514="","",IFERROR(INDEX(CONFIG!$H$4:$H$43,MATCH($N514,CONFIG!$F$4:$F$43,0)),"Por definir"))</f>
        <v/>
      </c>
      <c r="Q514" s="50" t="n"/>
      <c r="R514" s="51" t="n"/>
      <c r="S514" s="49" t="n"/>
      <c r="T514" s="49" t="n"/>
      <c r="U514" s="48">
        <f>IF(OR($B514="",$K514=""),"",WORKDAY($B514,IFERROR(INDEX(CONFIG!$C$4:$C$43,MATCH($K514,CONFIG!$A$4:$A$43,0)),3)))</f>
        <v/>
      </c>
      <c r="V514" s="46" t="n"/>
      <c r="W514" s="23">
        <f>IF($B514="","",IF($V514&lt;&gt;"",$V514-$B514,TODAY()-$B514))</f>
        <v/>
      </c>
      <c r="X514" s="27">
        <f>IF($C514="","",IF(IFERROR(INDEX(CONFIG!$K$4:$K$43,MATCH($S514,CONFIG!$J$4:$J$43,0)),"NO")="SÍ",IF(OR($V514="",$U514=""),"Resuelta",IF($V514&gt;$U514,"Resuelta tarde","Resuelta a tiempo")),IF($U514="","Sin clasificar",IF(TODAY()&gt;$U514,"Vencida",IF(TODAY()&gt;=$U514-1,"Por vencer","En plazo")))))</f>
        <v/>
      </c>
      <c r="Y514" s="49" t="n"/>
      <c r="Z514" s="49" t="n"/>
    </row>
    <row r="515" ht="16" customHeight="1">
      <c r="A515" s="27">
        <f>IF($C515="","","N-"&amp;TEXT(ROW()-3,"0000"))</f>
        <v/>
      </c>
      <c r="B515" s="46" t="n"/>
      <c r="C515" s="47" t="n"/>
      <c r="D515" s="27">
        <f>IF($C515="","",IF(COUNTIFS(ENVIOS!$A$4:$A$3003,$C515)=0,"NO EXISTE",IF(COUNTIFS(ENVIOS!$A$4:$A$3003,$C515)&gt;1,"DUPLICADA","OK")))</f>
        <v/>
      </c>
      <c r="E515" s="22">
        <f>IF($C515="","",IFERROR(INDEX(ENVIOS!$C$4:$C$3003,MATCH($C515,ENVIOS!$A$4:$A$3003,0)),"—"))</f>
        <v/>
      </c>
      <c r="F515" s="22">
        <f>IF($C515="","",IFERROR(INDEX(ENVIOS!$D$4:$D$3003,MATCH($C515,ENVIOS!$A$4:$A$3003,0)),"—"))</f>
        <v/>
      </c>
      <c r="G515" s="22">
        <f>IF($C515="","",IFERROR(INDEX(ENVIOS!$E$4:$E$3003,MATCH($C515,ENVIOS!$A$4:$A$3003,0)),"—"))</f>
        <v/>
      </c>
      <c r="H515" s="22">
        <f>IF($C515="","",IFERROR(INDEX(ENVIOS!$F$4:$F$3003,MATCH($C515,ENVIOS!$A$4:$A$3003,0)),"—"))</f>
        <v/>
      </c>
      <c r="I515" s="27">
        <f>IF($C515="","",IFERROR(INDEX(ENVIOS!$G$4:$G$3003,MATCH($C515,ENVIOS!$A$4:$A$3003,0)),"—"))</f>
        <v/>
      </c>
      <c r="J515" s="48">
        <f>IF($C515="","",IFERROR(INDEX(ENVIOS!$B$4:$B$3003,MATCH($C515,ENVIOS!$A$4:$A$3003,0)),""))</f>
        <v/>
      </c>
      <c r="K515" s="49" t="n"/>
      <c r="L515" s="27">
        <f>IF($K515="","",IFERROR(INDEX(CONFIG!$B$4:$B$43,MATCH($K515,CONFIG!$A$4:$A$43,0)),"Media"))</f>
        <v/>
      </c>
      <c r="M515" s="27">
        <f>IF($K515="","",IFERROR(INDEX(CONFIG!$D$4:$D$43,MATCH($K515,CONFIG!$A$4:$A$43,0)),"NO"))</f>
        <v/>
      </c>
      <c r="N515" s="49" t="n"/>
      <c r="O515" s="27">
        <f>IF($N515="","",IFERROR(INDEX(CONFIG!$G$4:$G$43,MATCH($N515,CONFIG!$F$4:$F$43,0)),"Por definir"))</f>
        <v/>
      </c>
      <c r="P515" s="27">
        <f>IF($N515="","",IFERROR(INDEX(CONFIG!$H$4:$H$43,MATCH($N515,CONFIG!$F$4:$F$43,0)),"Por definir"))</f>
        <v/>
      </c>
      <c r="Q515" s="50" t="n"/>
      <c r="R515" s="51" t="n"/>
      <c r="S515" s="49" t="n"/>
      <c r="T515" s="49" t="n"/>
      <c r="U515" s="48">
        <f>IF(OR($B515="",$K515=""),"",WORKDAY($B515,IFERROR(INDEX(CONFIG!$C$4:$C$43,MATCH($K515,CONFIG!$A$4:$A$43,0)),3)))</f>
        <v/>
      </c>
      <c r="V515" s="46" t="n"/>
      <c r="W515" s="23">
        <f>IF($B515="","",IF($V515&lt;&gt;"",$V515-$B515,TODAY()-$B515))</f>
        <v/>
      </c>
      <c r="X515" s="27">
        <f>IF($C515="","",IF(IFERROR(INDEX(CONFIG!$K$4:$K$43,MATCH($S515,CONFIG!$J$4:$J$43,0)),"NO")="SÍ",IF(OR($V515="",$U515=""),"Resuelta",IF($V515&gt;$U515,"Resuelta tarde","Resuelta a tiempo")),IF($U515="","Sin clasificar",IF(TODAY()&gt;$U515,"Vencida",IF(TODAY()&gt;=$U515-1,"Por vencer","En plazo")))))</f>
        <v/>
      </c>
      <c r="Y515" s="49" t="n"/>
      <c r="Z515" s="49" t="n"/>
    </row>
    <row r="516" ht="16" customHeight="1">
      <c r="A516" s="27">
        <f>IF($C516="","","N-"&amp;TEXT(ROW()-3,"0000"))</f>
        <v/>
      </c>
      <c r="B516" s="46" t="n"/>
      <c r="C516" s="47" t="n"/>
      <c r="D516" s="27">
        <f>IF($C516="","",IF(COUNTIFS(ENVIOS!$A$4:$A$3003,$C516)=0,"NO EXISTE",IF(COUNTIFS(ENVIOS!$A$4:$A$3003,$C516)&gt;1,"DUPLICADA","OK")))</f>
        <v/>
      </c>
      <c r="E516" s="22">
        <f>IF($C516="","",IFERROR(INDEX(ENVIOS!$C$4:$C$3003,MATCH($C516,ENVIOS!$A$4:$A$3003,0)),"—"))</f>
        <v/>
      </c>
      <c r="F516" s="22">
        <f>IF($C516="","",IFERROR(INDEX(ENVIOS!$D$4:$D$3003,MATCH($C516,ENVIOS!$A$4:$A$3003,0)),"—"))</f>
        <v/>
      </c>
      <c r="G516" s="22">
        <f>IF($C516="","",IFERROR(INDEX(ENVIOS!$E$4:$E$3003,MATCH($C516,ENVIOS!$A$4:$A$3003,0)),"—"))</f>
        <v/>
      </c>
      <c r="H516" s="22">
        <f>IF($C516="","",IFERROR(INDEX(ENVIOS!$F$4:$F$3003,MATCH($C516,ENVIOS!$A$4:$A$3003,0)),"—"))</f>
        <v/>
      </c>
      <c r="I516" s="27">
        <f>IF($C516="","",IFERROR(INDEX(ENVIOS!$G$4:$G$3003,MATCH($C516,ENVIOS!$A$4:$A$3003,0)),"—"))</f>
        <v/>
      </c>
      <c r="J516" s="48">
        <f>IF($C516="","",IFERROR(INDEX(ENVIOS!$B$4:$B$3003,MATCH($C516,ENVIOS!$A$4:$A$3003,0)),""))</f>
        <v/>
      </c>
      <c r="K516" s="49" t="n"/>
      <c r="L516" s="27">
        <f>IF($K516="","",IFERROR(INDEX(CONFIG!$B$4:$B$43,MATCH($K516,CONFIG!$A$4:$A$43,0)),"Media"))</f>
        <v/>
      </c>
      <c r="M516" s="27">
        <f>IF($K516="","",IFERROR(INDEX(CONFIG!$D$4:$D$43,MATCH($K516,CONFIG!$A$4:$A$43,0)),"NO"))</f>
        <v/>
      </c>
      <c r="N516" s="49" t="n"/>
      <c r="O516" s="27">
        <f>IF($N516="","",IFERROR(INDEX(CONFIG!$G$4:$G$43,MATCH($N516,CONFIG!$F$4:$F$43,0)),"Por definir"))</f>
        <v/>
      </c>
      <c r="P516" s="27">
        <f>IF($N516="","",IFERROR(INDEX(CONFIG!$H$4:$H$43,MATCH($N516,CONFIG!$F$4:$F$43,0)),"Por definir"))</f>
        <v/>
      </c>
      <c r="Q516" s="50" t="n"/>
      <c r="R516" s="51" t="n"/>
      <c r="S516" s="49" t="n"/>
      <c r="T516" s="49" t="n"/>
      <c r="U516" s="48">
        <f>IF(OR($B516="",$K516=""),"",WORKDAY($B516,IFERROR(INDEX(CONFIG!$C$4:$C$43,MATCH($K516,CONFIG!$A$4:$A$43,0)),3)))</f>
        <v/>
      </c>
      <c r="V516" s="46" t="n"/>
      <c r="W516" s="23">
        <f>IF($B516="","",IF($V516&lt;&gt;"",$V516-$B516,TODAY()-$B516))</f>
        <v/>
      </c>
      <c r="X516" s="27">
        <f>IF($C516="","",IF(IFERROR(INDEX(CONFIG!$K$4:$K$43,MATCH($S516,CONFIG!$J$4:$J$43,0)),"NO")="SÍ",IF(OR($V516="",$U516=""),"Resuelta",IF($V516&gt;$U516,"Resuelta tarde","Resuelta a tiempo")),IF($U516="","Sin clasificar",IF(TODAY()&gt;$U516,"Vencida",IF(TODAY()&gt;=$U516-1,"Por vencer","En plazo")))))</f>
        <v/>
      </c>
      <c r="Y516" s="49" t="n"/>
      <c r="Z516" s="49" t="n"/>
    </row>
    <row r="517" ht="16" customHeight="1">
      <c r="A517" s="27">
        <f>IF($C517="","","N-"&amp;TEXT(ROW()-3,"0000"))</f>
        <v/>
      </c>
      <c r="B517" s="46" t="n"/>
      <c r="C517" s="47" t="n"/>
      <c r="D517" s="27">
        <f>IF($C517="","",IF(COUNTIFS(ENVIOS!$A$4:$A$3003,$C517)=0,"NO EXISTE",IF(COUNTIFS(ENVIOS!$A$4:$A$3003,$C517)&gt;1,"DUPLICADA","OK")))</f>
        <v/>
      </c>
      <c r="E517" s="22">
        <f>IF($C517="","",IFERROR(INDEX(ENVIOS!$C$4:$C$3003,MATCH($C517,ENVIOS!$A$4:$A$3003,0)),"—"))</f>
        <v/>
      </c>
      <c r="F517" s="22">
        <f>IF($C517="","",IFERROR(INDEX(ENVIOS!$D$4:$D$3003,MATCH($C517,ENVIOS!$A$4:$A$3003,0)),"—"))</f>
        <v/>
      </c>
      <c r="G517" s="22">
        <f>IF($C517="","",IFERROR(INDEX(ENVIOS!$E$4:$E$3003,MATCH($C517,ENVIOS!$A$4:$A$3003,0)),"—"))</f>
        <v/>
      </c>
      <c r="H517" s="22">
        <f>IF($C517="","",IFERROR(INDEX(ENVIOS!$F$4:$F$3003,MATCH($C517,ENVIOS!$A$4:$A$3003,0)),"—"))</f>
        <v/>
      </c>
      <c r="I517" s="27">
        <f>IF($C517="","",IFERROR(INDEX(ENVIOS!$G$4:$G$3003,MATCH($C517,ENVIOS!$A$4:$A$3003,0)),"—"))</f>
        <v/>
      </c>
      <c r="J517" s="48">
        <f>IF($C517="","",IFERROR(INDEX(ENVIOS!$B$4:$B$3003,MATCH($C517,ENVIOS!$A$4:$A$3003,0)),""))</f>
        <v/>
      </c>
      <c r="K517" s="49" t="n"/>
      <c r="L517" s="27">
        <f>IF($K517="","",IFERROR(INDEX(CONFIG!$B$4:$B$43,MATCH($K517,CONFIG!$A$4:$A$43,0)),"Media"))</f>
        <v/>
      </c>
      <c r="M517" s="27">
        <f>IF($K517="","",IFERROR(INDEX(CONFIG!$D$4:$D$43,MATCH($K517,CONFIG!$A$4:$A$43,0)),"NO"))</f>
        <v/>
      </c>
      <c r="N517" s="49" t="n"/>
      <c r="O517" s="27">
        <f>IF($N517="","",IFERROR(INDEX(CONFIG!$G$4:$G$43,MATCH($N517,CONFIG!$F$4:$F$43,0)),"Por definir"))</f>
        <v/>
      </c>
      <c r="P517" s="27">
        <f>IF($N517="","",IFERROR(INDEX(CONFIG!$H$4:$H$43,MATCH($N517,CONFIG!$F$4:$F$43,0)),"Por definir"))</f>
        <v/>
      </c>
      <c r="Q517" s="50" t="n"/>
      <c r="R517" s="51" t="n"/>
      <c r="S517" s="49" t="n"/>
      <c r="T517" s="49" t="n"/>
      <c r="U517" s="48">
        <f>IF(OR($B517="",$K517=""),"",WORKDAY($B517,IFERROR(INDEX(CONFIG!$C$4:$C$43,MATCH($K517,CONFIG!$A$4:$A$43,0)),3)))</f>
        <v/>
      </c>
      <c r="V517" s="46" t="n"/>
      <c r="W517" s="23">
        <f>IF($B517="","",IF($V517&lt;&gt;"",$V517-$B517,TODAY()-$B517))</f>
        <v/>
      </c>
      <c r="X517" s="27">
        <f>IF($C517="","",IF(IFERROR(INDEX(CONFIG!$K$4:$K$43,MATCH($S517,CONFIG!$J$4:$J$43,0)),"NO")="SÍ",IF(OR($V517="",$U517=""),"Resuelta",IF($V517&gt;$U517,"Resuelta tarde","Resuelta a tiempo")),IF($U517="","Sin clasificar",IF(TODAY()&gt;$U517,"Vencida",IF(TODAY()&gt;=$U517-1,"Por vencer","En plazo")))))</f>
        <v/>
      </c>
      <c r="Y517" s="49" t="n"/>
      <c r="Z517" s="49" t="n"/>
    </row>
    <row r="518" ht="16" customHeight="1">
      <c r="A518" s="27">
        <f>IF($C518="","","N-"&amp;TEXT(ROW()-3,"0000"))</f>
        <v/>
      </c>
      <c r="B518" s="46" t="n"/>
      <c r="C518" s="47" t="n"/>
      <c r="D518" s="27">
        <f>IF($C518="","",IF(COUNTIFS(ENVIOS!$A$4:$A$3003,$C518)=0,"NO EXISTE",IF(COUNTIFS(ENVIOS!$A$4:$A$3003,$C518)&gt;1,"DUPLICADA","OK")))</f>
        <v/>
      </c>
      <c r="E518" s="22">
        <f>IF($C518="","",IFERROR(INDEX(ENVIOS!$C$4:$C$3003,MATCH($C518,ENVIOS!$A$4:$A$3003,0)),"—"))</f>
        <v/>
      </c>
      <c r="F518" s="22">
        <f>IF($C518="","",IFERROR(INDEX(ENVIOS!$D$4:$D$3003,MATCH($C518,ENVIOS!$A$4:$A$3003,0)),"—"))</f>
        <v/>
      </c>
      <c r="G518" s="22">
        <f>IF($C518="","",IFERROR(INDEX(ENVIOS!$E$4:$E$3003,MATCH($C518,ENVIOS!$A$4:$A$3003,0)),"—"))</f>
        <v/>
      </c>
      <c r="H518" s="22">
        <f>IF($C518="","",IFERROR(INDEX(ENVIOS!$F$4:$F$3003,MATCH($C518,ENVIOS!$A$4:$A$3003,0)),"—"))</f>
        <v/>
      </c>
      <c r="I518" s="27">
        <f>IF($C518="","",IFERROR(INDEX(ENVIOS!$G$4:$G$3003,MATCH($C518,ENVIOS!$A$4:$A$3003,0)),"—"))</f>
        <v/>
      </c>
      <c r="J518" s="48">
        <f>IF($C518="","",IFERROR(INDEX(ENVIOS!$B$4:$B$3003,MATCH($C518,ENVIOS!$A$4:$A$3003,0)),""))</f>
        <v/>
      </c>
      <c r="K518" s="49" t="n"/>
      <c r="L518" s="27">
        <f>IF($K518="","",IFERROR(INDEX(CONFIG!$B$4:$B$43,MATCH($K518,CONFIG!$A$4:$A$43,0)),"Media"))</f>
        <v/>
      </c>
      <c r="M518" s="27">
        <f>IF($K518="","",IFERROR(INDEX(CONFIG!$D$4:$D$43,MATCH($K518,CONFIG!$A$4:$A$43,0)),"NO"))</f>
        <v/>
      </c>
      <c r="N518" s="49" t="n"/>
      <c r="O518" s="27">
        <f>IF($N518="","",IFERROR(INDEX(CONFIG!$G$4:$G$43,MATCH($N518,CONFIG!$F$4:$F$43,0)),"Por definir"))</f>
        <v/>
      </c>
      <c r="P518" s="27">
        <f>IF($N518="","",IFERROR(INDEX(CONFIG!$H$4:$H$43,MATCH($N518,CONFIG!$F$4:$F$43,0)),"Por definir"))</f>
        <v/>
      </c>
      <c r="Q518" s="50" t="n"/>
      <c r="R518" s="51" t="n"/>
      <c r="S518" s="49" t="n"/>
      <c r="T518" s="49" t="n"/>
      <c r="U518" s="48">
        <f>IF(OR($B518="",$K518=""),"",WORKDAY($B518,IFERROR(INDEX(CONFIG!$C$4:$C$43,MATCH($K518,CONFIG!$A$4:$A$43,0)),3)))</f>
        <v/>
      </c>
      <c r="V518" s="46" t="n"/>
      <c r="W518" s="23">
        <f>IF($B518="","",IF($V518&lt;&gt;"",$V518-$B518,TODAY()-$B518))</f>
        <v/>
      </c>
      <c r="X518" s="27">
        <f>IF($C518="","",IF(IFERROR(INDEX(CONFIG!$K$4:$K$43,MATCH($S518,CONFIG!$J$4:$J$43,0)),"NO")="SÍ",IF(OR($V518="",$U518=""),"Resuelta",IF($V518&gt;$U518,"Resuelta tarde","Resuelta a tiempo")),IF($U518="","Sin clasificar",IF(TODAY()&gt;$U518,"Vencida",IF(TODAY()&gt;=$U518-1,"Por vencer","En plazo")))))</f>
        <v/>
      </c>
      <c r="Y518" s="49" t="n"/>
      <c r="Z518" s="49" t="n"/>
    </row>
    <row r="519" ht="16" customHeight="1">
      <c r="A519" s="27">
        <f>IF($C519="","","N-"&amp;TEXT(ROW()-3,"0000"))</f>
        <v/>
      </c>
      <c r="B519" s="46" t="n"/>
      <c r="C519" s="47" t="n"/>
      <c r="D519" s="27">
        <f>IF($C519="","",IF(COUNTIFS(ENVIOS!$A$4:$A$3003,$C519)=0,"NO EXISTE",IF(COUNTIFS(ENVIOS!$A$4:$A$3003,$C519)&gt;1,"DUPLICADA","OK")))</f>
        <v/>
      </c>
      <c r="E519" s="22">
        <f>IF($C519="","",IFERROR(INDEX(ENVIOS!$C$4:$C$3003,MATCH($C519,ENVIOS!$A$4:$A$3003,0)),"—"))</f>
        <v/>
      </c>
      <c r="F519" s="22">
        <f>IF($C519="","",IFERROR(INDEX(ENVIOS!$D$4:$D$3003,MATCH($C519,ENVIOS!$A$4:$A$3003,0)),"—"))</f>
        <v/>
      </c>
      <c r="G519" s="22">
        <f>IF($C519="","",IFERROR(INDEX(ENVIOS!$E$4:$E$3003,MATCH($C519,ENVIOS!$A$4:$A$3003,0)),"—"))</f>
        <v/>
      </c>
      <c r="H519" s="22">
        <f>IF($C519="","",IFERROR(INDEX(ENVIOS!$F$4:$F$3003,MATCH($C519,ENVIOS!$A$4:$A$3003,0)),"—"))</f>
        <v/>
      </c>
      <c r="I519" s="27">
        <f>IF($C519="","",IFERROR(INDEX(ENVIOS!$G$4:$G$3003,MATCH($C519,ENVIOS!$A$4:$A$3003,0)),"—"))</f>
        <v/>
      </c>
      <c r="J519" s="48">
        <f>IF($C519="","",IFERROR(INDEX(ENVIOS!$B$4:$B$3003,MATCH($C519,ENVIOS!$A$4:$A$3003,0)),""))</f>
        <v/>
      </c>
      <c r="K519" s="49" t="n"/>
      <c r="L519" s="27">
        <f>IF($K519="","",IFERROR(INDEX(CONFIG!$B$4:$B$43,MATCH($K519,CONFIG!$A$4:$A$43,0)),"Media"))</f>
        <v/>
      </c>
      <c r="M519" s="27">
        <f>IF($K519="","",IFERROR(INDEX(CONFIG!$D$4:$D$43,MATCH($K519,CONFIG!$A$4:$A$43,0)),"NO"))</f>
        <v/>
      </c>
      <c r="N519" s="49" t="n"/>
      <c r="O519" s="27">
        <f>IF($N519="","",IFERROR(INDEX(CONFIG!$G$4:$G$43,MATCH($N519,CONFIG!$F$4:$F$43,0)),"Por definir"))</f>
        <v/>
      </c>
      <c r="P519" s="27">
        <f>IF($N519="","",IFERROR(INDEX(CONFIG!$H$4:$H$43,MATCH($N519,CONFIG!$F$4:$F$43,0)),"Por definir"))</f>
        <v/>
      </c>
      <c r="Q519" s="50" t="n"/>
      <c r="R519" s="51" t="n"/>
      <c r="S519" s="49" t="n"/>
      <c r="T519" s="49" t="n"/>
      <c r="U519" s="48">
        <f>IF(OR($B519="",$K519=""),"",WORKDAY($B519,IFERROR(INDEX(CONFIG!$C$4:$C$43,MATCH($K519,CONFIG!$A$4:$A$43,0)),3)))</f>
        <v/>
      </c>
      <c r="V519" s="46" t="n"/>
      <c r="W519" s="23">
        <f>IF($B519="","",IF($V519&lt;&gt;"",$V519-$B519,TODAY()-$B519))</f>
        <v/>
      </c>
      <c r="X519" s="27">
        <f>IF($C519="","",IF(IFERROR(INDEX(CONFIG!$K$4:$K$43,MATCH($S519,CONFIG!$J$4:$J$43,0)),"NO")="SÍ",IF(OR($V519="",$U519=""),"Resuelta",IF($V519&gt;$U519,"Resuelta tarde","Resuelta a tiempo")),IF($U519="","Sin clasificar",IF(TODAY()&gt;$U519,"Vencida",IF(TODAY()&gt;=$U519-1,"Por vencer","En plazo")))))</f>
        <v/>
      </c>
      <c r="Y519" s="49" t="n"/>
      <c r="Z519" s="49" t="n"/>
    </row>
    <row r="520" ht="16" customHeight="1">
      <c r="A520" s="27">
        <f>IF($C520="","","N-"&amp;TEXT(ROW()-3,"0000"))</f>
        <v/>
      </c>
      <c r="B520" s="46" t="n"/>
      <c r="C520" s="47" t="n"/>
      <c r="D520" s="27">
        <f>IF($C520="","",IF(COUNTIFS(ENVIOS!$A$4:$A$3003,$C520)=0,"NO EXISTE",IF(COUNTIFS(ENVIOS!$A$4:$A$3003,$C520)&gt;1,"DUPLICADA","OK")))</f>
        <v/>
      </c>
      <c r="E520" s="22">
        <f>IF($C520="","",IFERROR(INDEX(ENVIOS!$C$4:$C$3003,MATCH($C520,ENVIOS!$A$4:$A$3003,0)),"—"))</f>
        <v/>
      </c>
      <c r="F520" s="22">
        <f>IF($C520="","",IFERROR(INDEX(ENVIOS!$D$4:$D$3003,MATCH($C520,ENVIOS!$A$4:$A$3003,0)),"—"))</f>
        <v/>
      </c>
      <c r="G520" s="22">
        <f>IF($C520="","",IFERROR(INDEX(ENVIOS!$E$4:$E$3003,MATCH($C520,ENVIOS!$A$4:$A$3003,0)),"—"))</f>
        <v/>
      </c>
      <c r="H520" s="22">
        <f>IF($C520="","",IFERROR(INDEX(ENVIOS!$F$4:$F$3003,MATCH($C520,ENVIOS!$A$4:$A$3003,0)),"—"))</f>
        <v/>
      </c>
      <c r="I520" s="27">
        <f>IF($C520="","",IFERROR(INDEX(ENVIOS!$G$4:$G$3003,MATCH($C520,ENVIOS!$A$4:$A$3003,0)),"—"))</f>
        <v/>
      </c>
      <c r="J520" s="48">
        <f>IF($C520="","",IFERROR(INDEX(ENVIOS!$B$4:$B$3003,MATCH($C520,ENVIOS!$A$4:$A$3003,0)),""))</f>
        <v/>
      </c>
      <c r="K520" s="49" t="n"/>
      <c r="L520" s="27">
        <f>IF($K520="","",IFERROR(INDEX(CONFIG!$B$4:$B$43,MATCH($K520,CONFIG!$A$4:$A$43,0)),"Media"))</f>
        <v/>
      </c>
      <c r="M520" s="27">
        <f>IF($K520="","",IFERROR(INDEX(CONFIG!$D$4:$D$43,MATCH($K520,CONFIG!$A$4:$A$43,0)),"NO"))</f>
        <v/>
      </c>
      <c r="N520" s="49" t="n"/>
      <c r="O520" s="27">
        <f>IF($N520="","",IFERROR(INDEX(CONFIG!$G$4:$G$43,MATCH($N520,CONFIG!$F$4:$F$43,0)),"Por definir"))</f>
        <v/>
      </c>
      <c r="P520" s="27">
        <f>IF($N520="","",IFERROR(INDEX(CONFIG!$H$4:$H$43,MATCH($N520,CONFIG!$F$4:$F$43,0)),"Por definir"))</f>
        <v/>
      </c>
      <c r="Q520" s="50" t="n"/>
      <c r="R520" s="51" t="n"/>
      <c r="S520" s="49" t="n"/>
      <c r="T520" s="49" t="n"/>
      <c r="U520" s="48">
        <f>IF(OR($B520="",$K520=""),"",WORKDAY($B520,IFERROR(INDEX(CONFIG!$C$4:$C$43,MATCH($K520,CONFIG!$A$4:$A$43,0)),3)))</f>
        <v/>
      </c>
      <c r="V520" s="46" t="n"/>
      <c r="W520" s="23">
        <f>IF($B520="","",IF($V520&lt;&gt;"",$V520-$B520,TODAY()-$B520))</f>
        <v/>
      </c>
      <c r="X520" s="27">
        <f>IF($C520="","",IF(IFERROR(INDEX(CONFIG!$K$4:$K$43,MATCH($S520,CONFIG!$J$4:$J$43,0)),"NO")="SÍ",IF(OR($V520="",$U520=""),"Resuelta",IF($V520&gt;$U520,"Resuelta tarde","Resuelta a tiempo")),IF($U520="","Sin clasificar",IF(TODAY()&gt;$U520,"Vencida",IF(TODAY()&gt;=$U520-1,"Por vencer","En plazo")))))</f>
        <v/>
      </c>
      <c r="Y520" s="49" t="n"/>
      <c r="Z520" s="49" t="n"/>
    </row>
    <row r="521" ht="16" customHeight="1">
      <c r="A521" s="27">
        <f>IF($C521="","","N-"&amp;TEXT(ROW()-3,"0000"))</f>
        <v/>
      </c>
      <c r="B521" s="46" t="n"/>
      <c r="C521" s="47" t="n"/>
      <c r="D521" s="27">
        <f>IF($C521="","",IF(COUNTIFS(ENVIOS!$A$4:$A$3003,$C521)=0,"NO EXISTE",IF(COUNTIFS(ENVIOS!$A$4:$A$3003,$C521)&gt;1,"DUPLICADA","OK")))</f>
        <v/>
      </c>
      <c r="E521" s="22">
        <f>IF($C521="","",IFERROR(INDEX(ENVIOS!$C$4:$C$3003,MATCH($C521,ENVIOS!$A$4:$A$3003,0)),"—"))</f>
        <v/>
      </c>
      <c r="F521" s="22">
        <f>IF($C521="","",IFERROR(INDEX(ENVIOS!$D$4:$D$3003,MATCH($C521,ENVIOS!$A$4:$A$3003,0)),"—"))</f>
        <v/>
      </c>
      <c r="G521" s="22">
        <f>IF($C521="","",IFERROR(INDEX(ENVIOS!$E$4:$E$3003,MATCH($C521,ENVIOS!$A$4:$A$3003,0)),"—"))</f>
        <v/>
      </c>
      <c r="H521" s="22">
        <f>IF($C521="","",IFERROR(INDEX(ENVIOS!$F$4:$F$3003,MATCH($C521,ENVIOS!$A$4:$A$3003,0)),"—"))</f>
        <v/>
      </c>
      <c r="I521" s="27">
        <f>IF($C521="","",IFERROR(INDEX(ENVIOS!$G$4:$G$3003,MATCH($C521,ENVIOS!$A$4:$A$3003,0)),"—"))</f>
        <v/>
      </c>
      <c r="J521" s="48">
        <f>IF($C521="","",IFERROR(INDEX(ENVIOS!$B$4:$B$3003,MATCH($C521,ENVIOS!$A$4:$A$3003,0)),""))</f>
        <v/>
      </c>
      <c r="K521" s="49" t="n"/>
      <c r="L521" s="27">
        <f>IF($K521="","",IFERROR(INDEX(CONFIG!$B$4:$B$43,MATCH($K521,CONFIG!$A$4:$A$43,0)),"Media"))</f>
        <v/>
      </c>
      <c r="M521" s="27">
        <f>IF($K521="","",IFERROR(INDEX(CONFIG!$D$4:$D$43,MATCH($K521,CONFIG!$A$4:$A$43,0)),"NO"))</f>
        <v/>
      </c>
      <c r="N521" s="49" t="n"/>
      <c r="O521" s="27">
        <f>IF($N521="","",IFERROR(INDEX(CONFIG!$G$4:$G$43,MATCH($N521,CONFIG!$F$4:$F$43,0)),"Por definir"))</f>
        <v/>
      </c>
      <c r="P521" s="27">
        <f>IF($N521="","",IFERROR(INDEX(CONFIG!$H$4:$H$43,MATCH($N521,CONFIG!$F$4:$F$43,0)),"Por definir"))</f>
        <v/>
      </c>
      <c r="Q521" s="50" t="n"/>
      <c r="R521" s="51" t="n"/>
      <c r="S521" s="49" t="n"/>
      <c r="T521" s="49" t="n"/>
      <c r="U521" s="48">
        <f>IF(OR($B521="",$K521=""),"",WORKDAY($B521,IFERROR(INDEX(CONFIG!$C$4:$C$43,MATCH($K521,CONFIG!$A$4:$A$43,0)),3)))</f>
        <v/>
      </c>
      <c r="V521" s="46" t="n"/>
      <c r="W521" s="23">
        <f>IF($B521="","",IF($V521&lt;&gt;"",$V521-$B521,TODAY()-$B521))</f>
        <v/>
      </c>
      <c r="X521" s="27">
        <f>IF($C521="","",IF(IFERROR(INDEX(CONFIG!$K$4:$K$43,MATCH($S521,CONFIG!$J$4:$J$43,0)),"NO")="SÍ",IF(OR($V521="",$U521=""),"Resuelta",IF($V521&gt;$U521,"Resuelta tarde","Resuelta a tiempo")),IF($U521="","Sin clasificar",IF(TODAY()&gt;$U521,"Vencida",IF(TODAY()&gt;=$U521-1,"Por vencer","En plazo")))))</f>
        <v/>
      </c>
      <c r="Y521" s="49" t="n"/>
      <c r="Z521" s="49" t="n"/>
    </row>
    <row r="522" ht="16" customHeight="1">
      <c r="A522" s="27">
        <f>IF($C522="","","N-"&amp;TEXT(ROW()-3,"0000"))</f>
        <v/>
      </c>
      <c r="B522" s="46" t="n"/>
      <c r="C522" s="47" t="n"/>
      <c r="D522" s="27">
        <f>IF($C522="","",IF(COUNTIFS(ENVIOS!$A$4:$A$3003,$C522)=0,"NO EXISTE",IF(COUNTIFS(ENVIOS!$A$4:$A$3003,$C522)&gt;1,"DUPLICADA","OK")))</f>
        <v/>
      </c>
      <c r="E522" s="22">
        <f>IF($C522="","",IFERROR(INDEX(ENVIOS!$C$4:$C$3003,MATCH($C522,ENVIOS!$A$4:$A$3003,0)),"—"))</f>
        <v/>
      </c>
      <c r="F522" s="22">
        <f>IF($C522="","",IFERROR(INDEX(ENVIOS!$D$4:$D$3003,MATCH($C522,ENVIOS!$A$4:$A$3003,0)),"—"))</f>
        <v/>
      </c>
      <c r="G522" s="22">
        <f>IF($C522="","",IFERROR(INDEX(ENVIOS!$E$4:$E$3003,MATCH($C522,ENVIOS!$A$4:$A$3003,0)),"—"))</f>
        <v/>
      </c>
      <c r="H522" s="22">
        <f>IF($C522="","",IFERROR(INDEX(ENVIOS!$F$4:$F$3003,MATCH($C522,ENVIOS!$A$4:$A$3003,0)),"—"))</f>
        <v/>
      </c>
      <c r="I522" s="27">
        <f>IF($C522="","",IFERROR(INDEX(ENVIOS!$G$4:$G$3003,MATCH($C522,ENVIOS!$A$4:$A$3003,0)),"—"))</f>
        <v/>
      </c>
      <c r="J522" s="48">
        <f>IF($C522="","",IFERROR(INDEX(ENVIOS!$B$4:$B$3003,MATCH($C522,ENVIOS!$A$4:$A$3003,0)),""))</f>
        <v/>
      </c>
      <c r="K522" s="49" t="n"/>
      <c r="L522" s="27">
        <f>IF($K522="","",IFERROR(INDEX(CONFIG!$B$4:$B$43,MATCH($K522,CONFIG!$A$4:$A$43,0)),"Media"))</f>
        <v/>
      </c>
      <c r="M522" s="27">
        <f>IF($K522="","",IFERROR(INDEX(CONFIG!$D$4:$D$43,MATCH($K522,CONFIG!$A$4:$A$43,0)),"NO"))</f>
        <v/>
      </c>
      <c r="N522" s="49" t="n"/>
      <c r="O522" s="27">
        <f>IF($N522="","",IFERROR(INDEX(CONFIG!$G$4:$G$43,MATCH($N522,CONFIG!$F$4:$F$43,0)),"Por definir"))</f>
        <v/>
      </c>
      <c r="P522" s="27">
        <f>IF($N522="","",IFERROR(INDEX(CONFIG!$H$4:$H$43,MATCH($N522,CONFIG!$F$4:$F$43,0)),"Por definir"))</f>
        <v/>
      </c>
      <c r="Q522" s="50" t="n"/>
      <c r="R522" s="51" t="n"/>
      <c r="S522" s="49" t="n"/>
      <c r="T522" s="49" t="n"/>
      <c r="U522" s="48">
        <f>IF(OR($B522="",$K522=""),"",WORKDAY($B522,IFERROR(INDEX(CONFIG!$C$4:$C$43,MATCH($K522,CONFIG!$A$4:$A$43,0)),3)))</f>
        <v/>
      </c>
      <c r="V522" s="46" t="n"/>
      <c r="W522" s="23">
        <f>IF($B522="","",IF($V522&lt;&gt;"",$V522-$B522,TODAY()-$B522))</f>
        <v/>
      </c>
      <c r="X522" s="27">
        <f>IF($C522="","",IF(IFERROR(INDEX(CONFIG!$K$4:$K$43,MATCH($S522,CONFIG!$J$4:$J$43,0)),"NO")="SÍ",IF(OR($V522="",$U522=""),"Resuelta",IF($V522&gt;$U522,"Resuelta tarde","Resuelta a tiempo")),IF($U522="","Sin clasificar",IF(TODAY()&gt;$U522,"Vencida",IF(TODAY()&gt;=$U522-1,"Por vencer","En plazo")))))</f>
        <v/>
      </c>
      <c r="Y522" s="49" t="n"/>
      <c r="Z522" s="49" t="n"/>
    </row>
    <row r="523" ht="16" customHeight="1">
      <c r="A523" s="27">
        <f>IF($C523="","","N-"&amp;TEXT(ROW()-3,"0000"))</f>
        <v/>
      </c>
      <c r="B523" s="46" t="n"/>
      <c r="C523" s="47" t="n"/>
      <c r="D523" s="27">
        <f>IF($C523="","",IF(COUNTIFS(ENVIOS!$A$4:$A$3003,$C523)=0,"NO EXISTE",IF(COUNTIFS(ENVIOS!$A$4:$A$3003,$C523)&gt;1,"DUPLICADA","OK")))</f>
        <v/>
      </c>
      <c r="E523" s="22">
        <f>IF($C523="","",IFERROR(INDEX(ENVIOS!$C$4:$C$3003,MATCH($C523,ENVIOS!$A$4:$A$3003,0)),"—"))</f>
        <v/>
      </c>
      <c r="F523" s="22">
        <f>IF($C523="","",IFERROR(INDEX(ENVIOS!$D$4:$D$3003,MATCH($C523,ENVIOS!$A$4:$A$3003,0)),"—"))</f>
        <v/>
      </c>
      <c r="G523" s="22">
        <f>IF($C523="","",IFERROR(INDEX(ENVIOS!$E$4:$E$3003,MATCH($C523,ENVIOS!$A$4:$A$3003,0)),"—"))</f>
        <v/>
      </c>
      <c r="H523" s="22">
        <f>IF($C523="","",IFERROR(INDEX(ENVIOS!$F$4:$F$3003,MATCH($C523,ENVIOS!$A$4:$A$3003,0)),"—"))</f>
        <v/>
      </c>
      <c r="I523" s="27">
        <f>IF($C523="","",IFERROR(INDEX(ENVIOS!$G$4:$G$3003,MATCH($C523,ENVIOS!$A$4:$A$3003,0)),"—"))</f>
        <v/>
      </c>
      <c r="J523" s="48">
        <f>IF($C523="","",IFERROR(INDEX(ENVIOS!$B$4:$B$3003,MATCH($C523,ENVIOS!$A$4:$A$3003,0)),""))</f>
        <v/>
      </c>
      <c r="K523" s="49" t="n"/>
      <c r="L523" s="27">
        <f>IF($K523="","",IFERROR(INDEX(CONFIG!$B$4:$B$43,MATCH($K523,CONFIG!$A$4:$A$43,0)),"Media"))</f>
        <v/>
      </c>
      <c r="M523" s="27">
        <f>IF($K523="","",IFERROR(INDEX(CONFIG!$D$4:$D$43,MATCH($K523,CONFIG!$A$4:$A$43,0)),"NO"))</f>
        <v/>
      </c>
      <c r="N523" s="49" t="n"/>
      <c r="O523" s="27">
        <f>IF($N523="","",IFERROR(INDEX(CONFIG!$G$4:$G$43,MATCH($N523,CONFIG!$F$4:$F$43,0)),"Por definir"))</f>
        <v/>
      </c>
      <c r="P523" s="27">
        <f>IF($N523="","",IFERROR(INDEX(CONFIG!$H$4:$H$43,MATCH($N523,CONFIG!$F$4:$F$43,0)),"Por definir"))</f>
        <v/>
      </c>
      <c r="Q523" s="50" t="n"/>
      <c r="R523" s="51" t="n"/>
      <c r="S523" s="49" t="n"/>
      <c r="T523" s="49" t="n"/>
      <c r="U523" s="48">
        <f>IF(OR($B523="",$K523=""),"",WORKDAY($B523,IFERROR(INDEX(CONFIG!$C$4:$C$43,MATCH($K523,CONFIG!$A$4:$A$43,0)),3)))</f>
        <v/>
      </c>
      <c r="V523" s="46" t="n"/>
      <c r="W523" s="23">
        <f>IF($B523="","",IF($V523&lt;&gt;"",$V523-$B523,TODAY()-$B523))</f>
        <v/>
      </c>
      <c r="X523" s="27">
        <f>IF($C523="","",IF(IFERROR(INDEX(CONFIG!$K$4:$K$43,MATCH($S523,CONFIG!$J$4:$J$43,0)),"NO")="SÍ",IF(OR($V523="",$U523=""),"Resuelta",IF($V523&gt;$U523,"Resuelta tarde","Resuelta a tiempo")),IF($U523="","Sin clasificar",IF(TODAY()&gt;$U523,"Vencida",IF(TODAY()&gt;=$U523-1,"Por vencer","En plazo")))))</f>
        <v/>
      </c>
      <c r="Y523" s="49" t="n"/>
      <c r="Z523" s="49" t="n"/>
    </row>
    <row r="524" ht="16" customHeight="1">
      <c r="A524" s="27">
        <f>IF($C524="","","N-"&amp;TEXT(ROW()-3,"0000"))</f>
        <v/>
      </c>
      <c r="B524" s="46" t="n"/>
      <c r="C524" s="47" t="n"/>
      <c r="D524" s="27">
        <f>IF($C524="","",IF(COUNTIFS(ENVIOS!$A$4:$A$3003,$C524)=0,"NO EXISTE",IF(COUNTIFS(ENVIOS!$A$4:$A$3003,$C524)&gt;1,"DUPLICADA","OK")))</f>
        <v/>
      </c>
      <c r="E524" s="22">
        <f>IF($C524="","",IFERROR(INDEX(ENVIOS!$C$4:$C$3003,MATCH($C524,ENVIOS!$A$4:$A$3003,0)),"—"))</f>
        <v/>
      </c>
      <c r="F524" s="22">
        <f>IF($C524="","",IFERROR(INDEX(ENVIOS!$D$4:$D$3003,MATCH($C524,ENVIOS!$A$4:$A$3003,0)),"—"))</f>
        <v/>
      </c>
      <c r="G524" s="22">
        <f>IF($C524="","",IFERROR(INDEX(ENVIOS!$E$4:$E$3003,MATCH($C524,ENVIOS!$A$4:$A$3003,0)),"—"))</f>
        <v/>
      </c>
      <c r="H524" s="22">
        <f>IF($C524="","",IFERROR(INDEX(ENVIOS!$F$4:$F$3003,MATCH($C524,ENVIOS!$A$4:$A$3003,0)),"—"))</f>
        <v/>
      </c>
      <c r="I524" s="27">
        <f>IF($C524="","",IFERROR(INDEX(ENVIOS!$G$4:$G$3003,MATCH($C524,ENVIOS!$A$4:$A$3003,0)),"—"))</f>
        <v/>
      </c>
      <c r="J524" s="48">
        <f>IF($C524="","",IFERROR(INDEX(ENVIOS!$B$4:$B$3003,MATCH($C524,ENVIOS!$A$4:$A$3003,0)),""))</f>
        <v/>
      </c>
      <c r="K524" s="49" t="n"/>
      <c r="L524" s="27">
        <f>IF($K524="","",IFERROR(INDEX(CONFIG!$B$4:$B$43,MATCH($K524,CONFIG!$A$4:$A$43,0)),"Media"))</f>
        <v/>
      </c>
      <c r="M524" s="27">
        <f>IF($K524="","",IFERROR(INDEX(CONFIG!$D$4:$D$43,MATCH($K524,CONFIG!$A$4:$A$43,0)),"NO"))</f>
        <v/>
      </c>
      <c r="N524" s="49" t="n"/>
      <c r="O524" s="27">
        <f>IF($N524="","",IFERROR(INDEX(CONFIG!$G$4:$G$43,MATCH($N524,CONFIG!$F$4:$F$43,0)),"Por definir"))</f>
        <v/>
      </c>
      <c r="P524" s="27">
        <f>IF($N524="","",IFERROR(INDEX(CONFIG!$H$4:$H$43,MATCH($N524,CONFIG!$F$4:$F$43,0)),"Por definir"))</f>
        <v/>
      </c>
      <c r="Q524" s="50" t="n"/>
      <c r="R524" s="51" t="n"/>
      <c r="S524" s="49" t="n"/>
      <c r="T524" s="49" t="n"/>
      <c r="U524" s="48">
        <f>IF(OR($B524="",$K524=""),"",WORKDAY($B524,IFERROR(INDEX(CONFIG!$C$4:$C$43,MATCH($K524,CONFIG!$A$4:$A$43,0)),3)))</f>
        <v/>
      </c>
      <c r="V524" s="46" t="n"/>
      <c r="W524" s="23">
        <f>IF($B524="","",IF($V524&lt;&gt;"",$V524-$B524,TODAY()-$B524))</f>
        <v/>
      </c>
      <c r="X524" s="27">
        <f>IF($C524="","",IF(IFERROR(INDEX(CONFIG!$K$4:$K$43,MATCH($S524,CONFIG!$J$4:$J$43,0)),"NO")="SÍ",IF(OR($V524="",$U524=""),"Resuelta",IF($V524&gt;$U524,"Resuelta tarde","Resuelta a tiempo")),IF($U524="","Sin clasificar",IF(TODAY()&gt;$U524,"Vencida",IF(TODAY()&gt;=$U524-1,"Por vencer","En plazo")))))</f>
        <v/>
      </c>
      <c r="Y524" s="49" t="n"/>
      <c r="Z524" s="49" t="n"/>
    </row>
    <row r="525" ht="16" customHeight="1">
      <c r="A525" s="27">
        <f>IF($C525="","","N-"&amp;TEXT(ROW()-3,"0000"))</f>
        <v/>
      </c>
      <c r="B525" s="46" t="n"/>
      <c r="C525" s="47" t="n"/>
      <c r="D525" s="27">
        <f>IF($C525="","",IF(COUNTIFS(ENVIOS!$A$4:$A$3003,$C525)=0,"NO EXISTE",IF(COUNTIFS(ENVIOS!$A$4:$A$3003,$C525)&gt;1,"DUPLICADA","OK")))</f>
        <v/>
      </c>
      <c r="E525" s="22">
        <f>IF($C525="","",IFERROR(INDEX(ENVIOS!$C$4:$C$3003,MATCH($C525,ENVIOS!$A$4:$A$3003,0)),"—"))</f>
        <v/>
      </c>
      <c r="F525" s="22">
        <f>IF($C525="","",IFERROR(INDEX(ENVIOS!$D$4:$D$3003,MATCH($C525,ENVIOS!$A$4:$A$3003,0)),"—"))</f>
        <v/>
      </c>
      <c r="G525" s="22">
        <f>IF($C525="","",IFERROR(INDEX(ENVIOS!$E$4:$E$3003,MATCH($C525,ENVIOS!$A$4:$A$3003,0)),"—"))</f>
        <v/>
      </c>
      <c r="H525" s="22">
        <f>IF($C525="","",IFERROR(INDEX(ENVIOS!$F$4:$F$3003,MATCH($C525,ENVIOS!$A$4:$A$3003,0)),"—"))</f>
        <v/>
      </c>
      <c r="I525" s="27">
        <f>IF($C525="","",IFERROR(INDEX(ENVIOS!$G$4:$G$3003,MATCH($C525,ENVIOS!$A$4:$A$3003,0)),"—"))</f>
        <v/>
      </c>
      <c r="J525" s="48">
        <f>IF($C525="","",IFERROR(INDEX(ENVIOS!$B$4:$B$3003,MATCH($C525,ENVIOS!$A$4:$A$3003,0)),""))</f>
        <v/>
      </c>
      <c r="K525" s="49" t="n"/>
      <c r="L525" s="27">
        <f>IF($K525="","",IFERROR(INDEX(CONFIG!$B$4:$B$43,MATCH($K525,CONFIG!$A$4:$A$43,0)),"Media"))</f>
        <v/>
      </c>
      <c r="M525" s="27">
        <f>IF($K525="","",IFERROR(INDEX(CONFIG!$D$4:$D$43,MATCH($K525,CONFIG!$A$4:$A$43,0)),"NO"))</f>
        <v/>
      </c>
      <c r="N525" s="49" t="n"/>
      <c r="O525" s="27">
        <f>IF($N525="","",IFERROR(INDEX(CONFIG!$G$4:$G$43,MATCH($N525,CONFIG!$F$4:$F$43,0)),"Por definir"))</f>
        <v/>
      </c>
      <c r="P525" s="27">
        <f>IF($N525="","",IFERROR(INDEX(CONFIG!$H$4:$H$43,MATCH($N525,CONFIG!$F$4:$F$43,0)),"Por definir"))</f>
        <v/>
      </c>
      <c r="Q525" s="50" t="n"/>
      <c r="R525" s="51" t="n"/>
      <c r="S525" s="49" t="n"/>
      <c r="T525" s="49" t="n"/>
      <c r="U525" s="48">
        <f>IF(OR($B525="",$K525=""),"",WORKDAY($B525,IFERROR(INDEX(CONFIG!$C$4:$C$43,MATCH($K525,CONFIG!$A$4:$A$43,0)),3)))</f>
        <v/>
      </c>
      <c r="V525" s="46" t="n"/>
      <c r="W525" s="23">
        <f>IF($B525="","",IF($V525&lt;&gt;"",$V525-$B525,TODAY()-$B525))</f>
        <v/>
      </c>
      <c r="X525" s="27">
        <f>IF($C525="","",IF(IFERROR(INDEX(CONFIG!$K$4:$K$43,MATCH($S525,CONFIG!$J$4:$J$43,0)),"NO")="SÍ",IF(OR($V525="",$U525=""),"Resuelta",IF($V525&gt;$U525,"Resuelta tarde","Resuelta a tiempo")),IF($U525="","Sin clasificar",IF(TODAY()&gt;$U525,"Vencida",IF(TODAY()&gt;=$U525-1,"Por vencer","En plazo")))))</f>
        <v/>
      </c>
      <c r="Y525" s="49" t="n"/>
      <c r="Z525" s="49" t="n"/>
    </row>
    <row r="526" ht="16" customHeight="1">
      <c r="A526" s="27">
        <f>IF($C526="","","N-"&amp;TEXT(ROW()-3,"0000"))</f>
        <v/>
      </c>
      <c r="B526" s="46" t="n"/>
      <c r="C526" s="47" t="n"/>
      <c r="D526" s="27">
        <f>IF($C526="","",IF(COUNTIFS(ENVIOS!$A$4:$A$3003,$C526)=0,"NO EXISTE",IF(COUNTIFS(ENVIOS!$A$4:$A$3003,$C526)&gt;1,"DUPLICADA","OK")))</f>
        <v/>
      </c>
      <c r="E526" s="22">
        <f>IF($C526="","",IFERROR(INDEX(ENVIOS!$C$4:$C$3003,MATCH($C526,ENVIOS!$A$4:$A$3003,0)),"—"))</f>
        <v/>
      </c>
      <c r="F526" s="22">
        <f>IF($C526="","",IFERROR(INDEX(ENVIOS!$D$4:$D$3003,MATCH($C526,ENVIOS!$A$4:$A$3003,0)),"—"))</f>
        <v/>
      </c>
      <c r="G526" s="22">
        <f>IF($C526="","",IFERROR(INDEX(ENVIOS!$E$4:$E$3003,MATCH($C526,ENVIOS!$A$4:$A$3003,0)),"—"))</f>
        <v/>
      </c>
      <c r="H526" s="22">
        <f>IF($C526="","",IFERROR(INDEX(ENVIOS!$F$4:$F$3003,MATCH($C526,ENVIOS!$A$4:$A$3003,0)),"—"))</f>
        <v/>
      </c>
      <c r="I526" s="27">
        <f>IF($C526="","",IFERROR(INDEX(ENVIOS!$G$4:$G$3003,MATCH($C526,ENVIOS!$A$4:$A$3003,0)),"—"))</f>
        <v/>
      </c>
      <c r="J526" s="48">
        <f>IF($C526="","",IFERROR(INDEX(ENVIOS!$B$4:$B$3003,MATCH($C526,ENVIOS!$A$4:$A$3003,0)),""))</f>
        <v/>
      </c>
      <c r="K526" s="49" t="n"/>
      <c r="L526" s="27">
        <f>IF($K526="","",IFERROR(INDEX(CONFIG!$B$4:$B$43,MATCH($K526,CONFIG!$A$4:$A$43,0)),"Media"))</f>
        <v/>
      </c>
      <c r="M526" s="27">
        <f>IF($K526="","",IFERROR(INDEX(CONFIG!$D$4:$D$43,MATCH($K526,CONFIG!$A$4:$A$43,0)),"NO"))</f>
        <v/>
      </c>
      <c r="N526" s="49" t="n"/>
      <c r="O526" s="27">
        <f>IF($N526="","",IFERROR(INDEX(CONFIG!$G$4:$G$43,MATCH($N526,CONFIG!$F$4:$F$43,0)),"Por definir"))</f>
        <v/>
      </c>
      <c r="P526" s="27">
        <f>IF($N526="","",IFERROR(INDEX(CONFIG!$H$4:$H$43,MATCH($N526,CONFIG!$F$4:$F$43,0)),"Por definir"))</f>
        <v/>
      </c>
      <c r="Q526" s="50" t="n"/>
      <c r="R526" s="51" t="n"/>
      <c r="S526" s="49" t="n"/>
      <c r="T526" s="49" t="n"/>
      <c r="U526" s="48">
        <f>IF(OR($B526="",$K526=""),"",WORKDAY($B526,IFERROR(INDEX(CONFIG!$C$4:$C$43,MATCH($K526,CONFIG!$A$4:$A$43,0)),3)))</f>
        <v/>
      </c>
      <c r="V526" s="46" t="n"/>
      <c r="W526" s="23">
        <f>IF($B526="","",IF($V526&lt;&gt;"",$V526-$B526,TODAY()-$B526))</f>
        <v/>
      </c>
      <c r="X526" s="27">
        <f>IF($C526="","",IF(IFERROR(INDEX(CONFIG!$K$4:$K$43,MATCH($S526,CONFIG!$J$4:$J$43,0)),"NO")="SÍ",IF(OR($V526="",$U526=""),"Resuelta",IF($V526&gt;$U526,"Resuelta tarde","Resuelta a tiempo")),IF($U526="","Sin clasificar",IF(TODAY()&gt;$U526,"Vencida",IF(TODAY()&gt;=$U526-1,"Por vencer","En plazo")))))</f>
        <v/>
      </c>
      <c r="Y526" s="49" t="n"/>
      <c r="Z526" s="49" t="n"/>
    </row>
    <row r="527" ht="16" customHeight="1">
      <c r="A527" s="27">
        <f>IF($C527="","","N-"&amp;TEXT(ROW()-3,"0000"))</f>
        <v/>
      </c>
      <c r="B527" s="46" t="n"/>
      <c r="C527" s="47" t="n"/>
      <c r="D527" s="27">
        <f>IF($C527="","",IF(COUNTIFS(ENVIOS!$A$4:$A$3003,$C527)=0,"NO EXISTE",IF(COUNTIFS(ENVIOS!$A$4:$A$3003,$C527)&gt;1,"DUPLICADA","OK")))</f>
        <v/>
      </c>
      <c r="E527" s="22">
        <f>IF($C527="","",IFERROR(INDEX(ENVIOS!$C$4:$C$3003,MATCH($C527,ENVIOS!$A$4:$A$3003,0)),"—"))</f>
        <v/>
      </c>
      <c r="F527" s="22">
        <f>IF($C527="","",IFERROR(INDEX(ENVIOS!$D$4:$D$3003,MATCH($C527,ENVIOS!$A$4:$A$3003,0)),"—"))</f>
        <v/>
      </c>
      <c r="G527" s="22">
        <f>IF($C527="","",IFERROR(INDEX(ENVIOS!$E$4:$E$3003,MATCH($C527,ENVIOS!$A$4:$A$3003,0)),"—"))</f>
        <v/>
      </c>
      <c r="H527" s="22">
        <f>IF($C527="","",IFERROR(INDEX(ENVIOS!$F$4:$F$3003,MATCH($C527,ENVIOS!$A$4:$A$3003,0)),"—"))</f>
        <v/>
      </c>
      <c r="I527" s="27">
        <f>IF($C527="","",IFERROR(INDEX(ENVIOS!$G$4:$G$3003,MATCH($C527,ENVIOS!$A$4:$A$3003,0)),"—"))</f>
        <v/>
      </c>
      <c r="J527" s="48">
        <f>IF($C527="","",IFERROR(INDEX(ENVIOS!$B$4:$B$3003,MATCH($C527,ENVIOS!$A$4:$A$3003,0)),""))</f>
        <v/>
      </c>
      <c r="K527" s="49" t="n"/>
      <c r="L527" s="27">
        <f>IF($K527="","",IFERROR(INDEX(CONFIG!$B$4:$B$43,MATCH($K527,CONFIG!$A$4:$A$43,0)),"Media"))</f>
        <v/>
      </c>
      <c r="M527" s="27">
        <f>IF($K527="","",IFERROR(INDEX(CONFIG!$D$4:$D$43,MATCH($K527,CONFIG!$A$4:$A$43,0)),"NO"))</f>
        <v/>
      </c>
      <c r="N527" s="49" t="n"/>
      <c r="O527" s="27">
        <f>IF($N527="","",IFERROR(INDEX(CONFIG!$G$4:$G$43,MATCH($N527,CONFIG!$F$4:$F$43,0)),"Por definir"))</f>
        <v/>
      </c>
      <c r="P527" s="27">
        <f>IF($N527="","",IFERROR(INDEX(CONFIG!$H$4:$H$43,MATCH($N527,CONFIG!$F$4:$F$43,0)),"Por definir"))</f>
        <v/>
      </c>
      <c r="Q527" s="50" t="n"/>
      <c r="R527" s="51" t="n"/>
      <c r="S527" s="49" t="n"/>
      <c r="T527" s="49" t="n"/>
      <c r="U527" s="48">
        <f>IF(OR($B527="",$K527=""),"",WORKDAY($B527,IFERROR(INDEX(CONFIG!$C$4:$C$43,MATCH($K527,CONFIG!$A$4:$A$43,0)),3)))</f>
        <v/>
      </c>
      <c r="V527" s="46" t="n"/>
      <c r="W527" s="23">
        <f>IF($B527="","",IF($V527&lt;&gt;"",$V527-$B527,TODAY()-$B527))</f>
        <v/>
      </c>
      <c r="X527" s="27">
        <f>IF($C527="","",IF(IFERROR(INDEX(CONFIG!$K$4:$K$43,MATCH($S527,CONFIG!$J$4:$J$43,0)),"NO")="SÍ",IF(OR($V527="",$U527=""),"Resuelta",IF($V527&gt;$U527,"Resuelta tarde","Resuelta a tiempo")),IF($U527="","Sin clasificar",IF(TODAY()&gt;$U527,"Vencida",IF(TODAY()&gt;=$U527-1,"Por vencer","En plazo")))))</f>
        <v/>
      </c>
      <c r="Y527" s="49" t="n"/>
      <c r="Z527" s="49" t="n"/>
    </row>
    <row r="528" ht="16" customHeight="1">
      <c r="A528" s="27">
        <f>IF($C528="","","N-"&amp;TEXT(ROW()-3,"0000"))</f>
        <v/>
      </c>
      <c r="B528" s="46" t="n"/>
      <c r="C528" s="47" t="n"/>
      <c r="D528" s="27">
        <f>IF($C528="","",IF(COUNTIFS(ENVIOS!$A$4:$A$3003,$C528)=0,"NO EXISTE",IF(COUNTIFS(ENVIOS!$A$4:$A$3003,$C528)&gt;1,"DUPLICADA","OK")))</f>
        <v/>
      </c>
      <c r="E528" s="22">
        <f>IF($C528="","",IFERROR(INDEX(ENVIOS!$C$4:$C$3003,MATCH($C528,ENVIOS!$A$4:$A$3003,0)),"—"))</f>
        <v/>
      </c>
      <c r="F528" s="22">
        <f>IF($C528="","",IFERROR(INDEX(ENVIOS!$D$4:$D$3003,MATCH($C528,ENVIOS!$A$4:$A$3003,0)),"—"))</f>
        <v/>
      </c>
      <c r="G528" s="22">
        <f>IF($C528="","",IFERROR(INDEX(ENVIOS!$E$4:$E$3003,MATCH($C528,ENVIOS!$A$4:$A$3003,0)),"—"))</f>
        <v/>
      </c>
      <c r="H528" s="22">
        <f>IF($C528="","",IFERROR(INDEX(ENVIOS!$F$4:$F$3003,MATCH($C528,ENVIOS!$A$4:$A$3003,0)),"—"))</f>
        <v/>
      </c>
      <c r="I528" s="27">
        <f>IF($C528="","",IFERROR(INDEX(ENVIOS!$G$4:$G$3003,MATCH($C528,ENVIOS!$A$4:$A$3003,0)),"—"))</f>
        <v/>
      </c>
      <c r="J528" s="48">
        <f>IF($C528="","",IFERROR(INDEX(ENVIOS!$B$4:$B$3003,MATCH($C528,ENVIOS!$A$4:$A$3003,0)),""))</f>
        <v/>
      </c>
      <c r="K528" s="49" t="n"/>
      <c r="L528" s="27">
        <f>IF($K528="","",IFERROR(INDEX(CONFIG!$B$4:$B$43,MATCH($K528,CONFIG!$A$4:$A$43,0)),"Media"))</f>
        <v/>
      </c>
      <c r="M528" s="27">
        <f>IF($K528="","",IFERROR(INDEX(CONFIG!$D$4:$D$43,MATCH($K528,CONFIG!$A$4:$A$43,0)),"NO"))</f>
        <v/>
      </c>
      <c r="N528" s="49" t="n"/>
      <c r="O528" s="27">
        <f>IF($N528="","",IFERROR(INDEX(CONFIG!$G$4:$G$43,MATCH($N528,CONFIG!$F$4:$F$43,0)),"Por definir"))</f>
        <v/>
      </c>
      <c r="P528" s="27">
        <f>IF($N528="","",IFERROR(INDEX(CONFIG!$H$4:$H$43,MATCH($N528,CONFIG!$F$4:$F$43,0)),"Por definir"))</f>
        <v/>
      </c>
      <c r="Q528" s="50" t="n"/>
      <c r="R528" s="51" t="n"/>
      <c r="S528" s="49" t="n"/>
      <c r="T528" s="49" t="n"/>
      <c r="U528" s="48">
        <f>IF(OR($B528="",$K528=""),"",WORKDAY($B528,IFERROR(INDEX(CONFIG!$C$4:$C$43,MATCH($K528,CONFIG!$A$4:$A$43,0)),3)))</f>
        <v/>
      </c>
      <c r="V528" s="46" t="n"/>
      <c r="W528" s="23">
        <f>IF($B528="","",IF($V528&lt;&gt;"",$V528-$B528,TODAY()-$B528))</f>
        <v/>
      </c>
      <c r="X528" s="27">
        <f>IF($C528="","",IF(IFERROR(INDEX(CONFIG!$K$4:$K$43,MATCH($S528,CONFIG!$J$4:$J$43,0)),"NO")="SÍ",IF(OR($V528="",$U528=""),"Resuelta",IF($V528&gt;$U528,"Resuelta tarde","Resuelta a tiempo")),IF($U528="","Sin clasificar",IF(TODAY()&gt;$U528,"Vencida",IF(TODAY()&gt;=$U528-1,"Por vencer","En plazo")))))</f>
        <v/>
      </c>
      <c r="Y528" s="49" t="n"/>
      <c r="Z528" s="49" t="n"/>
    </row>
    <row r="529" ht="16" customHeight="1">
      <c r="A529" s="27">
        <f>IF($C529="","","N-"&amp;TEXT(ROW()-3,"0000"))</f>
        <v/>
      </c>
      <c r="B529" s="46" t="n"/>
      <c r="C529" s="47" t="n"/>
      <c r="D529" s="27">
        <f>IF($C529="","",IF(COUNTIFS(ENVIOS!$A$4:$A$3003,$C529)=0,"NO EXISTE",IF(COUNTIFS(ENVIOS!$A$4:$A$3003,$C529)&gt;1,"DUPLICADA","OK")))</f>
        <v/>
      </c>
      <c r="E529" s="22">
        <f>IF($C529="","",IFERROR(INDEX(ENVIOS!$C$4:$C$3003,MATCH($C529,ENVIOS!$A$4:$A$3003,0)),"—"))</f>
        <v/>
      </c>
      <c r="F529" s="22">
        <f>IF($C529="","",IFERROR(INDEX(ENVIOS!$D$4:$D$3003,MATCH($C529,ENVIOS!$A$4:$A$3003,0)),"—"))</f>
        <v/>
      </c>
      <c r="G529" s="22">
        <f>IF($C529="","",IFERROR(INDEX(ENVIOS!$E$4:$E$3003,MATCH($C529,ENVIOS!$A$4:$A$3003,0)),"—"))</f>
        <v/>
      </c>
      <c r="H529" s="22">
        <f>IF($C529="","",IFERROR(INDEX(ENVIOS!$F$4:$F$3003,MATCH($C529,ENVIOS!$A$4:$A$3003,0)),"—"))</f>
        <v/>
      </c>
      <c r="I529" s="27">
        <f>IF($C529="","",IFERROR(INDEX(ENVIOS!$G$4:$G$3003,MATCH($C529,ENVIOS!$A$4:$A$3003,0)),"—"))</f>
        <v/>
      </c>
      <c r="J529" s="48">
        <f>IF($C529="","",IFERROR(INDEX(ENVIOS!$B$4:$B$3003,MATCH($C529,ENVIOS!$A$4:$A$3003,0)),""))</f>
        <v/>
      </c>
      <c r="K529" s="49" t="n"/>
      <c r="L529" s="27">
        <f>IF($K529="","",IFERROR(INDEX(CONFIG!$B$4:$B$43,MATCH($K529,CONFIG!$A$4:$A$43,0)),"Media"))</f>
        <v/>
      </c>
      <c r="M529" s="27">
        <f>IF($K529="","",IFERROR(INDEX(CONFIG!$D$4:$D$43,MATCH($K529,CONFIG!$A$4:$A$43,0)),"NO"))</f>
        <v/>
      </c>
      <c r="N529" s="49" t="n"/>
      <c r="O529" s="27">
        <f>IF($N529="","",IFERROR(INDEX(CONFIG!$G$4:$G$43,MATCH($N529,CONFIG!$F$4:$F$43,0)),"Por definir"))</f>
        <v/>
      </c>
      <c r="P529" s="27">
        <f>IF($N529="","",IFERROR(INDEX(CONFIG!$H$4:$H$43,MATCH($N529,CONFIG!$F$4:$F$43,0)),"Por definir"))</f>
        <v/>
      </c>
      <c r="Q529" s="50" t="n"/>
      <c r="R529" s="51" t="n"/>
      <c r="S529" s="49" t="n"/>
      <c r="T529" s="49" t="n"/>
      <c r="U529" s="48">
        <f>IF(OR($B529="",$K529=""),"",WORKDAY($B529,IFERROR(INDEX(CONFIG!$C$4:$C$43,MATCH($K529,CONFIG!$A$4:$A$43,0)),3)))</f>
        <v/>
      </c>
      <c r="V529" s="46" t="n"/>
      <c r="W529" s="23">
        <f>IF($B529="","",IF($V529&lt;&gt;"",$V529-$B529,TODAY()-$B529))</f>
        <v/>
      </c>
      <c r="X529" s="27">
        <f>IF($C529="","",IF(IFERROR(INDEX(CONFIG!$K$4:$K$43,MATCH($S529,CONFIG!$J$4:$J$43,0)),"NO")="SÍ",IF(OR($V529="",$U529=""),"Resuelta",IF($V529&gt;$U529,"Resuelta tarde","Resuelta a tiempo")),IF($U529="","Sin clasificar",IF(TODAY()&gt;$U529,"Vencida",IF(TODAY()&gt;=$U529-1,"Por vencer","En plazo")))))</f>
        <v/>
      </c>
      <c r="Y529" s="49" t="n"/>
      <c r="Z529" s="49" t="n"/>
    </row>
    <row r="530" ht="16" customHeight="1">
      <c r="A530" s="27">
        <f>IF($C530="","","N-"&amp;TEXT(ROW()-3,"0000"))</f>
        <v/>
      </c>
      <c r="B530" s="46" t="n"/>
      <c r="C530" s="47" t="n"/>
      <c r="D530" s="27">
        <f>IF($C530="","",IF(COUNTIFS(ENVIOS!$A$4:$A$3003,$C530)=0,"NO EXISTE",IF(COUNTIFS(ENVIOS!$A$4:$A$3003,$C530)&gt;1,"DUPLICADA","OK")))</f>
        <v/>
      </c>
      <c r="E530" s="22">
        <f>IF($C530="","",IFERROR(INDEX(ENVIOS!$C$4:$C$3003,MATCH($C530,ENVIOS!$A$4:$A$3003,0)),"—"))</f>
        <v/>
      </c>
      <c r="F530" s="22">
        <f>IF($C530="","",IFERROR(INDEX(ENVIOS!$D$4:$D$3003,MATCH($C530,ENVIOS!$A$4:$A$3003,0)),"—"))</f>
        <v/>
      </c>
      <c r="G530" s="22">
        <f>IF($C530="","",IFERROR(INDEX(ENVIOS!$E$4:$E$3003,MATCH($C530,ENVIOS!$A$4:$A$3003,0)),"—"))</f>
        <v/>
      </c>
      <c r="H530" s="22">
        <f>IF($C530="","",IFERROR(INDEX(ENVIOS!$F$4:$F$3003,MATCH($C530,ENVIOS!$A$4:$A$3003,0)),"—"))</f>
        <v/>
      </c>
      <c r="I530" s="27">
        <f>IF($C530="","",IFERROR(INDEX(ENVIOS!$G$4:$G$3003,MATCH($C530,ENVIOS!$A$4:$A$3003,0)),"—"))</f>
        <v/>
      </c>
      <c r="J530" s="48">
        <f>IF($C530="","",IFERROR(INDEX(ENVIOS!$B$4:$B$3003,MATCH($C530,ENVIOS!$A$4:$A$3003,0)),""))</f>
        <v/>
      </c>
      <c r="K530" s="49" t="n"/>
      <c r="L530" s="27">
        <f>IF($K530="","",IFERROR(INDEX(CONFIG!$B$4:$B$43,MATCH($K530,CONFIG!$A$4:$A$43,0)),"Media"))</f>
        <v/>
      </c>
      <c r="M530" s="27">
        <f>IF($K530="","",IFERROR(INDEX(CONFIG!$D$4:$D$43,MATCH($K530,CONFIG!$A$4:$A$43,0)),"NO"))</f>
        <v/>
      </c>
      <c r="N530" s="49" t="n"/>
      <c r="O530" s="27">
        <f>IF($N530="","",IFERROR(INDEX(CONFIG!$G$4:$G$43,MATCH($N530,CONFIG!$F$4:$F$43,0)),"Por definir"))</f>
        <v/>
      </c>
      <c r="P530" s="27">
        <f>IF($N530="","",IFERROR(INDEX(CONFIG!$H$4:$H$43,MATCH($N530,CONFIG!$F$4:$F$43,0)),"Por definir"))</f>
        <v/>
      </c>
      <c r="Q530" s="50" t="n"/>
      <c r="R530" s="51" t="n"/>
      <c r="S530" s="49" t="n"/>
      <c r="T530" s="49" t="n"/>
      <c r="U530" s="48">
        <f>IF(OR($B530="",$K530=""),"",WORKDAY($B530,IFERROR(INDEX(CONFIG!$C$4:$C$43,MATCH($K530,CONFIG!$A$4:$A$43,0)),3)))</f>
        <v/>
      </c>
      <c r="V530" s="46" t="n"/>
      <c r="W530" s="23">
        <f>IF($B530="","",IF($V530&lt;&gt;"",$V530-$B530,TODAY()-$B530))</f>
        <v/>
      </c>
      <c r="X530" s="27">
        <f>IF($C530="","",IF(IFERROR(INDEX(CONFIG!$K$4:$K$43,MATCH($S530,CONFIG!$J$4:$J$43,0)),"NO")="SÍ",IF(OR($V530="",$U530=""),"Resuelta",IF($V530&gt;$U530,"Resuelta tarde","Resuelta a tiempo")),IF($U530="","Sin clasificar",IF(TODAY()&gt;$U530,"Vencida",IF(TODAY()&gt;=$U530-1,"Por vencer","En plazo")))))</f>
        <v/>
      </c>
      <c r="Y530" s="49" t="n"/>
      <c r="Z530" s="49" t="n"/>
    </row>
    <row r="531" ht="16" customHeight="1">
      <c r="A531" s="27">
        <f>IF($C531="","","N-"&amp;TEXT(ROW()-3,"0000"))</f>
        <v/>
      </c>
      <c r="B531" s="46" t="n"/>
      <c r="C531" s="47" t="n"/>
      <c r="D531" s="27">
        <f>IF($C531="","",IF(COUNTIFS(ENVIOS!$A$4:$A$3003,$C531)=0,"NO EXISTE",IF(COUNTIFS(ENVIOS!$A$4:$A$3003,$C531)&gt;1,"DUPLICADA","OK")))</f>
        <v/>
      </c>
      <c r="E531" s="22">
        <f>IF($C531="","",IFERROR(INDEX(ENVIOS!$C$4:$C$3003,MATCH($C531,ENVIOS!$A$4:$A$3003,0)),"—"))</f>
        <v/>
      </c>
      <c r="F531" s="22">
        <f>IF($C531="","",IFERROR(INDEX(ENVIOS!$D$4:$D$3003,MATCH($C531,ENVIOS!$A$4:$A$3003,0)),"—"))</f>
        <v/>
      </c>
      <c r="G531" s="22">
        <f>IF($C531="","",IFERROR(INDEX(ENVIOS!$E$4:$E$3003,MATCH($C531,ENVIOS!$A$4:$A$3003,0)),"—"))</f>
        <v/>
      </c>
      <c r="H531" s="22">
        <f>IF($C531="","",IFERROR(INDEX(ENVIOS!$F$4:$F$3003,MATCH($C531,ENVIOS!$A$4:$A$3003,0)),"—"))</f>
        <v/>
      </c>
      <c r="I531" s="27">
        <f>IF($C531="","",IFERROR(INDEX(ENVIOS!$G$4:$G$3003,MATCH($C531,ENVIOS!$A$4:$A$3003,0)),"—"))</f>
        <v/>
      </c>
      <c r="J531" s="48">
        <f>IF($C531="","",IFERROR(INDEX(ENVIOS!$B$4:$B$3003,MATCH($C531,ENVIOS!$A$4:$A$3003,0)),""))</f>
        <v/>
      </c>
      <c r="K531" s="49" t="n"/>
      <c r="L531" s="27">
        <f>IF($K531="","",IFERROR(INDEX(CONFIG!$B$4:$B$43,MATCH($K531,CONFIG!$A$4:$A$43,0)),"Media"))</f>
        <v/>
      </c>
      <c r="M531" s="27">
        <f>IF($K531="","",IFERROR(INDEX(CONFIG!$D$4:$D$43,MATCH($K531,CONFIG!$A$4:$A$43,0)),"NO"))</f>
        <v/>
      </c>
      <c r="N531" s="49" t="n"/>
      <c r="O531" s="27">
        <f>IF($N531="","",IFERROR(INDEX(CONFIG!$G$4:$G$43,MATCH($N531,CONFIG!$F$4:$F$43,0)),"Por definir"))</f>
        <v/>
      </c>
      <c r="P531" s="27">
        <f>IF($N531="","",IFERROR(INDEX(CONFIG!$H$4:$H$43,MATCH($N531,CONFIG!$F$4:$F$43,0)),"Por definir"))</f>
        <v/>
      </c>
      <c r="Q531" s="50" t="n"/>
      <c r="R531" s="51" t="n"/>
      <c r="S531" s="49" t="n"/>
      <c r="T531" s="49" t="n"/>
      <c r="U531" s="48">
        <f>IF(OR($B531="",$K531=""),"",WORKDAY($B531,IFERROR(INDEX(CONFIG!$C$4:$C$43,MATCH($K531,CONFIG!$A$4:$A$43,0)),3)))</f>
        <v/>
      </c>
      <c r="V531" s="46" t="n"/>
      <c r="W531" s="23">
        <f>IF($B531="","",IF($V531&lt;&gt;"",$V531-$B531,TODAY()-$B531))</f>
        <v/>
      </c>
      <c r="X531" s="27">
        <f>IF($C531="","",IF(IFERROR(INDEX(CONFIG!$K$4:$K$43,MATCH($S531,CONFIG!$J$4:$J$43,0)),"NO")="SÍ",IF(OR($V531="",$U531=""),"Resuelta",IF($V531&gt;$U531,"Resuelta tarde","Resuelta a tiempo")),IF($U531="","Sin clasificar",IF(TODAY()&gt;$U531,"Vencida",IF(TODAY()&gt;=$U531-1,"Por vencer","En plazo")))))</f>
        <v/>
      </c>
      <c r="Y531" s="49" t="n"/>
      <c r="Z531" s="49" t="n"/>
    </row>
    <row r="532" ht="16" customHeight="1">
      <c r="A532" s="27">
        <f>IF($C532="","","N-"&amp;TEXT(ROW()-3,"0000"))</f>
        <v/>
      </c>
      <c r="B532" s="46" t="n"/>
      <c r="C532" s="47" t="n"/>
      <c r="D532" s="27">
        <f>IF($C532="","",IF(COUNTIFS(ENVIOS!$A$4:$A$3003,$C532)=0,"NO EXISTE",IF(COUNTIFS(ENVIOS!$A$4:$A$3003,$C532)&gt;1,"DUPLICADA","OK")))</f>
        <v/>
      </c>
      <c r="E532" s="22">
        <f>IF($C532="","",IFERROR(INDEX(ENVIOS!$C$4:$C$3003,MATCH($C532,ENVIOS!$A$4:$A$3003,0)),"—"))</f>
        <v/>
      </c>
      <c r="F532" s="22">
        <f>IF($C532="","",IFERROR(INDEX(ENVIOS!$D$4:$D$3003,MATCH($C532,ENVIOS!$A$4:$A$3003,0)),"—"))</f>
        <v/>
      </c>
      <c r="G532" s="22">
        <f>IF($C532="","",IFERROR(INDEX(ENVIOS!$E$4:$E$3003,MATCH($C532,ENVIOS!$A$4:$A$3003,0)),"—"))</f>
        <v/>
      </c>
      <c r="H532" s="22">
        <f>IF($C532="","",IFERROR(INDEX(ENVIOS!$F$4:$F$3003,MATCH($C532,ENVIOS!$A$4:$A$3003,0)),"—"))</f>
        <v/>
      </c>
      <c r="I532" s="27">
        <f>IF($C532="","",IFERROR(INDEX(ENVIOS!$G$4:$G$3003,MATCH($C532,ENVIOS!$A$4:$A$3003,0)),"—"))</f>
        <v/>
      </c>
      <c r="J532" s="48">
        <f>IF($C532="","",IFERROR(INDEX(ENVIOS!$B$4:$B$3003,MATCH($C532,ENVIOS!$A$4:$A$3003,0)),""))</f>
        <v/>
      </c>
      <c r="K532" s="49" t="n"/>
      <c r="L532" s="27">
        <f>IF($K532="","",IFERROR(INDEX(CONFIG!$B$4:$B$43,MATCH($K532,CONFIG!$A$4:$A$43,0)),"Media"))</f>
        <v/>
      </c>
      <c r="M532" s="27">
        <f>IF($K532="","",IFERROR(INDEX(CONFIG!$D$4:$D$43,MATCH($K532,CONFIG!$A$4:$A$43,0)),"NO"))</f>
        <v/>
      </c>
      <c r="N532" s="49" t="n"/>
      <c r="O532" s="27">
        <f>IF($N532="","",IFERROR(INDEX(CONFIG!$G$4:$G$43,MATCH($N532,CONFIG!$F$4:$F$43,0)),"Por definir"))</f>
        <v/>
      </c>
      <c r="P532" s="27">
        <f>IF($N532="","",IFERROR(INDEX(CONFIG!$H$4:$H$43,MATCH($N532,CONFIG!$F$4:$F$43,0)),"Por definir"))</f>
        <v/>
      </c>
      <c r="Q532" s="50" t="n"/>
      <c r="R532" s="51" t="n"/>
      <c r="S532" s="49" t="n"/>
      <c r="T532" s="49" t="n"/>
      <c r="U532" s="48">
        <f>IF(OR($B532="",$K532=""),"",WORKDAY($B532,IFERROR(INDEX(CONFIG!$C$4:$C$43,MATCH($K532,CONFIG!$A$4:$A$43,0)),3)))</f>
        <v/>
      </c>
      <c r="V532" s="46" t="n"/>
      <c r="W532" s="23">
        <f>IF($B532="","",IF($V532&lt;&gt;"",$V532-$B532,TODAY()-$B532))</f>
        <v/>
      </c>
      <c r="X532" s="27">
        <f>IF($C532="","",IF(IFERROR(INDEX(CONFIG!$K$4:$K$43,MATCH($S532,CONFIG!$J$4:$J$43,0)),"NO")="SÍ",IF(OR($V532="",$U532=""),"Resuelta",IF($V532&gt;$U532,"Resuelta tarde","Resuelta a tiempo")),IF($U532="","Sin clasificar",IF(TODAY()&gt;$U532,"Vencida",IF(TODAY()&gt;=$U532-1,"Por vencer","En plazo")))))</f>
        <v/>
      </c>
      <c r="Y532" s="49" t="n"/>
      <c r="Z532" s="49" t="n"/>
    </row>
    <row r="533" ht="16" customHeight="1">
      <c r="A533" s="27">
        <f>IF($C533="","","N-"&amp;TEXT(ROW()-3,"0000"))</f>
        <v/>
      </c>
      <c r="B533" s="46" t="n"/>
      <c r="C533" s="47" t="n"/>
      <c r="D533" s="27">
        <f>IF($C533="","",IF(COUNTIFS(ENVIOS!$A$4:$A$3003,$C533)=0,"NO EXISTE",IF(COUNTIFS(ENVIOS!$A$4:$A$3003,$C533)&gt;1,"DUPLICADA","OK")))</f>
        <v/>
      </c>
      <c r="E533" s="22">
        <f>IF($C533="","",IFERROR(INDEX(ENVIOS!$C$4:$C$3003,MATCH($C533,ENVIOS!$A$4:$A$3003,0)),"—"))</f>
        <v/>
      </c>
      <c r="F533" s="22">
        <f>IF($C533="","",IFERROR(INDEX(ENVIOS!$D$4:$D$3003,MATCH($C533,ENVIOS!$A$4:$A$3003,0)),"—"))</f>
        <v/>
      </c>
      <c r="G533" s="22">
        <f>IF($C533="","",IFERROR(INDEX(ENVIOS!$E$4:$E$3003,MATCH($C533,ENVIOS!$A$4:$A$3003,0)),"—"))</f>
        <v/>
      </c>
      <c r="H533" s="22">
        <f>IF($C533="","",IFERROR(INDEX(ENVIOS!$F$4:$F$3003,MATCH($C533,ENVIOS!$A$4:$A$3003,0)),"—"))</f>
        <v/>
      </c>
      <c r="I533" s="27">
        <f>IF($C533="","",IFERROR(INDEX(ENVIOS!$G$4:$G$3003,MATCH($C533,ENVIOS!$A$4:$A$3003,0)),"—"))</f>
        <v/>
      </c>
      <c r="J533" s="48">
        <f>IF($C533="","",IFERROR(INDEX(ENVIOS!$B$4:$B$3003,MATCH($C533,ENVIOS!$A$4:$A$3003,0)),""))</f>
        <v/>
      </c>
      <c r="K533" s="49" t="n"/>
      <c r="L533" s="27">
        <f>IF($K533="","",IFERROR(INDEX(CONFIG!$B$4:$B$43,MATCH($K533,CONFIG!$A$4:$A$43,0)),"Media"))</f>
        <v/>
      </c>
      <c r="M533" s="27">
        <f>IF($K533="","",IFERROR(INDEX(CONFIG!$D$4:$D$43,MATCH($K533,CONFIG!$A$4:$A$43,0)),"NO"))</f>
        <v/>
      </c>
      <c r="N533" s="49" t="n"/>
      <c r="O533" s="27">
        <f>IF($N533="","",IFERROR(INDEX(CONFIG!$G$4:$G$43,MATCH($N533,CONFIG!$F$4:$F$43,0)),"Por definir"))</f>
        <v/>
      </c>
      <c r="P533" s="27">
        <f>IF($N533="","",IFERROR(INDEX(CONFIG!$H$4:$H$43,MATCH($N533,CONFIG!$F$4:$F$43,0)),"Por definir"))</f>
        <v/>
      </c>
      <c r="Q533" s="50" t="n"/>
      <c r="R533" s="51" t="n"/>
      <c r="S533" s="49" t="n"/>
      <c r="T533" s="49" t="n"/>
      <c r="U533" s="48">
        <f>IF(OR($B533="",$K533=""),"",WORKDAY($B533,IFERROR(INDEX(CONFIG!$C$4:$C$43,MATCH($K533,CONFIG!$A$4:$A$43,0)),3)))</f>
        <v/>
      </c>
      <c r="V533" s="46" t="n"/>
      <c r="W533" s="23">
        <f>IF($B533="","",IF($V533&lt;&gt;"",$V533-$B533,TODAY()-$B533))</f>
        <v/>
      </c>
      <c r="X533" s="27">
        <f>IF($C533="","",IF(IFERROR(INDEX(CONFIG!$K$4:$K$43,MATCH($S533,CONFIG!$J$4:$J$43,0)),"NO")="SÍ",IF(OR($V533="",$U533=""),"Resuelta",IF($V533&gt;$U533,"Resuelta tarde","Resuelta a tiempo")),IF($U533="","Sin clasificar",IF(TODAY()&gt;$U533,"Vencida",IF(TODAY()&gt;=$U533-1,"Por vencer","En plazo")))))</f>
        <v/>
      </c>
      <c r="Y533" s="49" t="n"/>
      <c r="Z533" s="49" t="n"/>
    </row>
    <row r="534" ht="16" customHeight="1">
      <c r="A534" s="27">
        <f>IF($C534="","","N-"&amp;TEXT(ROW()-3,"0000"))</f>
        <v/>
      </c>
      <c r="B534" s="46" t="n"/>
      <c r="C534" s="47" t="n"/>
      <c r="D534" s="27">
        <f>IF($C534="","",IF(COUNTIFS(ENVIOS!$A$4:$A$3003,$C534)=0,"NO EXISTE",IF(COUNTIFS(ENVIOS!$A$4:$A$3003,$C534)&gt;1,"DUPLICADA","OK")))</f>
        <v/>
      </c>
      <c r="E534" s="22">
        <f>IF($C534="","",IFERROR(INDEX(ENVIOS!$C$4:$C$3003,MATCH($C534,ENVIOS!$A$4:$A$3003,0)),"—"))</f>
        <v/>
      </c>
      <c r="F534" s="22">
        <f>IF($C534="","",IFERROR(INDEX(ENVIOS!$D$4:$D$3003,MATCH($C534,ENVIOS!$A$4:$A$3003,0)),"—"))</f>
        <v/>
      </c>
      <c r="G534" s="22">
        <f>IF($C534="","",IFERROR(INDEX(ENVIOS!$E$4:$E$3003,MATCH($C534,ENVIOS!$A$4:$A$3003,0)),"—"))</f>
        <v/>
      </c>
      <c r="H534" s="22">
        <f>IF($C534="","",IFERROR(INDEX(ENVIOS!$F$4:$F$3003,MATCH($C534,ENVIOS!$A$4:$A$3003,0)),"—"))</f>
        <v/>
      </c>
      <c r="I534" s="27">
        <f>IF($C534="","",IFERROR(INDEX(ENVIOS!$G$4:$G$3003,MATCH($C534,ENVIOS!$A$4:$A$3003,0)),"—"))</f>
        <v/>
      </c>
      <c r="J534" s="48">
        <f>IF($C534="","",IFERROR(INDEX(ENVIOS!$B$4:$B$3003,MATCH($C534,ENVIOS!$A$4:$A$3003,0)),""))</f>
        <v/>
      </c>
      <c r="K534" s="49" t="n"/>
      <c r="L534" s="27">
        <f>IF($K534="","",IFERROR(INDEX(CONFIG!$B$4:$B$43,MATCH($K534,CONFIG!$A$4:$A$43,0)),"Media"))</f>
        <v/>
      </c>
      <c r="M534" s="27">
        <f>IF($K534="","",IFERROR(INDEX(CONFIG!$D$4:$D$43,MATCH($K534,CONFIG!$A$4:$A$43,0)),"NO"))</f>
        <v/>
      </c>
      <c r="N534" s="49" t="n"/>
      <c r="O534" s="27">
        <f>IF($N534="","",IFERROR(INDEX(CONFIG!$G$4:$G$43,MATCH($N534,CONFIG!$F$4:$F$43,0)),"Por definir"))</f>
        <v/>
      </c>
      <c r="P534" s="27">
        <f>IF($N534="","",IFERROR(INDEX(CONFIG!$H$4:$H$43,MATCH($N534,CONFIG!$F$4:$F$43,0)),"Por definir"))</f>
        <v/>
      </c>
      <c r="Q534" s="50" t="n"/>
      <c r="R534" s="51" t="n"/>
      <c r="S534" s="49" t="n"/>
      <c r="T534" s="49" t="n"/>
      <c r="U534" s="48">
        <f>IF(OR($B534="",$K534=""),"",WORKDAY($B534,IFERROR(INDEX(CONFIG!$C$4:$C$43,MATCH($K534,CONFIG!$A$4:$A$43,0)),3)))</f>
        <v/>
      </c>
      <c r="V534" s="46" t="n"/>
      <c r="W534" s="23">
        <f>IF($B534="","",IF($V534&lt;&gt;"",$V534-$B534,TODAY()-$B534))</f>
        <v/>
      </c>
      <c r="X534" s="27">
        <f>IF($C534="","",IF(IFERROR(INDEX(CONFIG!$K$4:$K$43,MATCH($S534,CONFIG!$J$4:$J$43,0)),"NO")="SÍ",IF(OR($V534="",$U534=""),"Resuelta",IF($V534&gt;$U534,"Resuelta tarde","Resuelta a tiempo")),IF($U534="","Sin clasificar",IF(TODAY()&gt;$U534,"Vencida",IF(TODAY()&gt;=$U534-1,"Por vencer","En plazo")))))</f>
        <v/>
      </c>
      <c r="Y534" s="49" t="n"/>
      <c r="Z534" s="49" t="n"/>
    </row>
    <row r="535" ht="16" customHeight="1">
      <c r="A535" s="27">
        <f>IF($C535="","","N-"&amp;TEXT(ROW()-3,"0000"))</f>
        <v/>
      </c>
      <c r="B535" s="46" t="n"/>
      <c r="C535" s="47" t="n"/>
      <c r="D535" s="27">
        <f>IF($C535="","",IF(COUNTIFS(ENVIOS!$A$4:$A$3003,$C535)=0,"NO EXISTE",IF(COUNTIFS(ENVIOS!$A$4:$A$3003,$C535)&gt;1,"DUPLICADA","OK")))</f>
        <v/>
      </c>
      <c r="E535" s="22">
        <f>IF($C535="","",IFERROR(INDEX(ENVIOS!$C$4:$C$3003,MATCH($C535,ENVIOS!$A$4:$A$3003,0)),"—"))</f>
        <v/>
      </c>
      <c r="F535" s="22">
        <f>IF($C535="","",IFERROR(INDEX(ENVIOS!$D$4:$D$3003,MATCH($C535,ENVIOS!$A$4:$A$3003,0)),"—"))</f>
        <v/>
      </c>
      <c r="G535" s="22">
        <f>IF($C535="","",IFERROR(INDEX(ENVIOS!$E$4:$E$3003,MATCH($C535,ENVIOS!$A$4:$A$3003,0)),"—"))</f>
        <v/>
      </c>
      <c r="H535" s="22">
        <f>IF($C535="","",IFERROR(INDEX(ENVIOS!$F$4:$F$3003,MATCH($C535,ENVIOS!$A$4:$A$3003,0)),"—"))</f>
        <v/>
      </c>
      <c r="I535" s="27">
        <f>IF($C535="","",IFERROR(INDEX(ENVIOS!$G$4:$G$3003,MATCH($C535,ENVIOS!$A$4:$A$3003,0)),"—"))</f>
        <v/>
      </c>
      <c r="J535" s="48">
        <f>IF($C535="","",IFERROR(INDEX(ENVIOS!$B$4:$B$3003,MATCH($C535,ENVIOS!$A$4:$A$3003,0)),""))</f>
        <v/>
      </c>
      <c r="K535" s="49" t="n"/>
      <c r="L535" s="27">
        <f>IF($K535="","",IFERROR(INDEX(CONFIG!$B$4:$B$43,MATCH($K535,CONFIG!$A$4:$A$43,0)),"Media"))</f>
        <v/>
      </c>
      <c r="M535" s="27">
        <f>IF($K535="","",IFERROR(INDEX(CONFIG!$D$4:$D$43,MATCH($K535,CONFIG!$A$4:$A$43,0)),"NO"))</f>
        <v/>
      </c>
      <c r="N535" s="49" t="n"/>
      <c r="O535" s="27">
        <f>IF($N535="","",IFERROR(INDEX(CONFIG!$G$4:$G$43,MATCH($N535,CONFIG!$F$4:$F$43,0)),"Por definir"))</f>
        <v/>
      </c>
      <c r="P535" s="27">
        <f>IF($N535="","",IFERROR(INDEX(CONFIG!$H$4:$H$43,MATCH($N535,CONFIG!$F$4:$F$43,0)),"Por definir"))</f>
        <v/>
      </c>
      <c r="Q535" s="50" t="n"/>
      <c r="R535" s="51" t="n"/>
      <c r="S535" s="49" t="n"/>
      <c r="T535" s="49" t="n"/>
      <c r="U535" s="48">
        <f>IF(OR($B535="",$K535=""),"",WORKDAY($B535,IFERROR(INDEX(CONFIG!$C$4:$C$43,MATCH($K535,CONFIG!$A$4:$A$43,0)),3)))</f>
        <v/>
      </c>
      <c r="V535" s="46" t="n"/>
      <c r="W535" s="23">
        <f>IF($B535="","",IF($V535&lt;&gt;"",$V535-$B535,TODAY()-$B535))</f>
        <v/>
      </c>
      <c r="X535" s="27">
        <f>IF($C535="","",IF(IFERROR(INDEX(CONFIG!$K$4:$K$43,MATCH($S535,CONFIG!$J$4:$J$43,0)),"NO")="SÍ",IF(OR($V535="",$U535=""),"Resuelta",IF($V535&gt;$U535,"Resuelta tarde","Resuelta a tiempo")),IF($U535="","Sin clasificar",IF(TODAY()&gt;$U535,"Vencida",IF(TODAY()&gt;=$U535-1,"Por vencer","En plazo")))))</f>
        <v/>
      </c>
      <c r="Y535" s="49" t="n"/>
      <c r="Z535" s="49" t="n"/>
    </row>
    <row r="536" ht="16" customHeight="1">
      <c r="A536" s="27">
        <f>IF($C536="","","N-"&amp;TEXT(ROW()-3,"0000"))</f>
        <v/>
      </c>
      <c r="B536" s="46" t="n"/>
      <c r="C536" s="47" t="n"/>
      <c r="D536" s="27">
        <f>IF($C536="","",IF(COUNTIFS(ENVIOS!$A$4:$A$3003,$C536)=0,"NO EXISTE",IF(COUNTIFS(ENVIOS!$A$4:$A$3003,$C536)&gt;1,"DUPLICADA","OK")))</f>
        <v/>
      </c>
      <c r="E536" s="22">
        <f>IF($C536="","",IFERROR(INDEX(ENVIOS!$C$4:$C$3003,MATCH($C536,ENVIOS!$A$4:$A$3003,0)),"—"))</f>
        <v/>
      </c>
      <c r="F536" s="22">
        <f>IF($C536="","",IFERROR(INDEX(ENVIOS!$D$4:$D$3003,MATCH($C536,ENVIOS!$A$4:$A$3003,0)),"—"))</f>
        <v/>
      </c>
      <c r="G536" s="22">
        <f>IF($C536="","",IFERROR(INDEX(ENVIOS!$E$4:$E$3003,MATCH($C536,ENVIOS!$A$4:$A$3003,0)),"—"))</f>
        <v/>
      </c>
      <c r="H536" s="22">
        <f>IF($C536="","",IFERROR(INDEX(ENVIOS!$F$4:$F$3003,MATCH($C536,ENVIOS!$A$4:$A$3003,0)),"—"))</f>
        <v/>
      </c>
      <c r="I536" s="27">
        <f>IF($C536="","",IFERROR(INDEX(ENVIOS!$G$4:$G$3003,MATCH($C536,ENVIOS!$A$4:$A$3003,0)),"—"))</f>
        <v/>
      </c>
      <c r="J536" s="48">
        <f>IF($C536="","",IFERROR(INDEX(ENVIOS!$B$4:$B$3003,MATCH($C536,ENVIOS!$A$4:$A$3003,0)),""))</f>
        <v/>
      </c>
      <c r="K536" s="49" t="n"/>
      <c r="L536" s="27">
        <f>IF($K536="","",IFERROR(INDEX(CONFIG!$B$4:$B$43,MATCH($K536,CONFIG!$A$4:$A$43,0)),"Media"))</f>
        <v/>
      </c>
      <c r="M536" s="27">
        <f>IF($K536="","",IFERROR(INDEX(CONFIG!$D$4:$D$43,MATCH($K536,CONFIG!$A$4:$A$43,0)),"NO"))</f>
        <v/>
      </c>
      <c r="N536" s="49" t="n"/>
      <c r="O536" s="27">
        <f>IF($N536="","",IFERROR(INDEX(CONFIG!$G$4:$G$43,MATCH($N536,CONFIG!$F$4:$F$43,0)),"Por definir"))</f>
        <v/>
      </c>
      <c r="P536" s="27">
        <f>IF($N536="","",IFERROR(INDEX(CONFIG!$H$4:$H$43,MATCH($N536,CONFIG!$F$4:$F$43,0)),"Por definir"))</f>
        <v/>
      </c>
      <c r="Q536" s="50" t="n"/>
      <c r="R536" s="51" t="n"/>
      <c r="S536" s="49" t="n"/>
      <c r="T536" s="49" t="n"/>
      <c r="U536" s="48">
        <f>IF(OR($B536="",$K536=""),"",WORKDAY($B536,IFERROR(INDEX(CONFIG!$C$4:$C$43,MATCH($K536,CONFIG!$A$4:$A$43,0)),3)))</f>
        <v/>
      </c>
      <c r="V536" s="46" t="n"/>
      <c r="W536" s="23">
        <f>IF($B536="","",IF($V536&lt;&gt;"",$V536-$B536,TODAY()-$B536))</f>
        <v/>
      </c>
      <c r="X536" s="27">
        <f>IF($C536="","",IF(IFERROR(INDEX(CONFIG!$K$4:$K$43,MATCH($S536,CONFIG!$J$4:$J$43,0)),"NO")="SÍ",IF(OR($V536="",$U536=""),"Resuelta",IF($V536&gt;$U536,"Resuelta tarde","Resuelta a tiempo")),IF($U536="","Sin clasificar",IF(TODAY()&gt;$U536,"Vencida",IF(TODAY()&gt;=$U536-1,"Por vencer","En plazo")))))</f>
        <v/>
      </c>
      <c r="Y536" s="49" t="n"/>
      <c r="Z536" s="49" t="n"/>
    </row>
    <row r="537" ht="16" customHeight="1">
      <c r="A537" s="27">
        <f>IF($C537="","","N-"&amp;TEXT(ROW()-3,"0000"))</f>
        <v/>
      </c>
      <c r="B537" s="46" t="n"/>
      <c r="C537" s="47" t="n"/>
      <c r="D537" s="27">
        <f>IF($C537="","",IF(COUNTIFS(ENVIOS!$A$4:$A$3003,$C537)=0,"NO EXISTE",IF(COUNTIFS(ENVIOS!$A$4:$A$3003,$C537)&gt;1,"DUPLICADA","OK")))</f>
        <v/>
      </c>
      <c r="E537" s="22">
        <f>IF($C537="","",IFERROR(INDEX(ENVIOS!$C$4:$C$3003,MATCH($C537,ENVIOS!$A$4:$A$3003,0)),"—"))</f>
        <v/>
      </c>
      <c r="F537" s="22">
        <f>IF($C537="","",IFERROR(INDEX(ENVIOS!$D$4:$D$3003,MATCH($C537,ENVIOS!$A$4:$A$3003,0)),"—"))</f>
        <v/>
      </c>
      <c r="G537" s="22">
        <f>IF($C537="","",IFERROR(INDEX(ENVIOS!$E$4:$E$3003,MATCH($C537,ENVIOS!$A$4:$A$3003,0)),"—"))</f>
        <v/>
      </c>
      <c r="H537" s="22">
        <f>IF($C537="","",IFERROR(INDEX(ENVIOS!$F$4:$F$3003,MATCH($C537,ENVIOS!$A$4:$A$3003,0)),"—"))</f>
        <v/>
      </c>
      <c r="I537" s="27">
        <f>IF($C537="","",IFERROR(INDEX(ENVIOS!$G$4:$G$3003,MATCH($C537,ENVIOS!$A$4:$A$3003,0)),"—"))</f>
        <v/>
      </c>
      <c r="J537" s="48">
        <f>IF($C537="","",IFERROR(INDEX(ENVIOS!$B$4:$B$3003,MATCH($C537,ENVIOS!$A$4:$A$3003,0)),""))</f>
        <v/>
      </c>
      <c r="K537" s="49" t="n"/>
      <c r="L537" s="27">
        <f>IF($K537="","",IFERROR(INDEX(CONFIG!$B$4:$B$43,MATCH($K537,CONFIG!$A$4:$A$43,0)),"Media"))</f>
        <v/>
      </c>
      <c r="M537" s="27">
        <f>IF($K537="","",IFERROR(INDEX(CONFIG!$D$4:$D$43,MATCH($K537,CONFIG!$A$4:$A$43,0)),"NO"))</f>
        <v/>
      </c>
      <c r="N537" s="49" t="n"/>
      <c r="O537" s="27">
        <f>IF($N537="","",IFERROR(INDEX(CONFIG!$G$4:$G$43,MATCH($N537,CONFIG!$F$4:$F$43,0)),"Por definir"))</f>
        <v/>
      </c>
      <c r="P537" s="27">
        <f>IF($N537="","",IFERROR(INDEX(CONFIG!$H$4:$H$43,MATCH($N537,CONFIG!$F$4:$F$43,0)),"Por definir"))</f>
        <v/>
      </c>
      <c r="Q537" s="50" t="n"/>
      <c r="R537" s="51" t="n"/>
      <c r="S537" s="49" t="n"/>
      <c r="T537" s="49" t="n"/>
      <c r="U537" s="48">
        <f>IF(OR($B537="",$K537=""),"",WORKDAY($B537,IFERROR(INDEX(CONFIG!$C$4:$C$43,MATCH($K537,CONFIG!$A$4:$A$43,0)),3)))</f>
        <v/>
      </c>
      <c r="V537" s="46" t="n"/>
      <c r="W537" s="23">
        <f>IF($B537="","",IF($V537&lt;&gt;"",$V537-$B537,TODAY()-$B537))</f>
        <v/>
      </c>
      <c r="X537" s="27">
        <f>IF($C537="","",IF(IFERROR(INDEX(CONFIG!$K$4:$K$43,MATCH($S537,CONFIG!$J$4:$J$43,0)),"NO")="SÍ",IF(OR($V537="",$U537=""),"Resuelta",IF($V537&gt;$U537,"Resuelta tarde","Resuelta a tiempo")),IF($U537="","Sin clasificar",IF(TODAY()&gt;$U537,"Vencida",IF(TODAY()&gt;=$U537-1,"Por vencer","En plazo")))))</f>
        <v/>
      </c>
      <c r="Y537" s="49" t="n"/>
      <c r="Z537" s="49" t="n"/>
    </row>
    <row r="538" ht="16" customHeight="1">
      <c r="A538" s="27">
        <f>IF($C538="","","N-"&amp;TEXT(ROW()-3,"0000"))</f>
        <v/>
      </c>
      <c r="B538" s="46" t="n"/>
      <c r="C538" s="47" t="n"/>
      <c r="D538" s="27">
        <f>IF($C538="","",IF(COUNTIFS(ENVIOS!$A$4:$A$3003,$C538)=0,"NO EXISTE",IF(COUNTIFS(ENVIOS!$A$4:$A$3003,$C538)&gt;1,"DUPLICADA","OK")))</f>
        <v/>
      </c>
      <c r="E538" s="22">
        <f>IF($C538="","",IFERROR(INDEX(ENVIOS!$C$4:$C$3003,MATCH($C538,ENVIOS!$A$4:$A$3003,0)),"—"))</f>
        <v/>
      </c>
      <c r="F538" s="22">
        <f>IF($C538="","",IFERROR(INDEX(ENVIOS!$D$4:$D$3003,MATCH($C538,ENVIOS!$A$4:$A$3003,0)),"—"))</f>
        <v/>
      </c>
      <c r="G538" s="22">
        <f>IF($C538="","",IFERROR(INDEX(ENVIOS!$E$4:$E$3003,MATCH($C538,ENVIOS!$A$4:$A$3003,0)),"—"))</f>
        <v/>
      </c>
      <c r="H538" s="22">
        <f>IF($C538="","",IFERROR(INDEX(ENVIOS!$F$4:$F$3003,MATCH($C538,ENVIOS!$A$4:$A$3003,0)),"—"))</f>
        <v/>
      </c>
      <c r="I538" s="27">
        <f>IF($C538="","",IFERROR(INDEX(ENVIOS!$G$4:$G$3003,MATCH($C538,ENVIOS!$A$4:$A$3003,0)),"—"))</f>
        <v/>
      </c>
      <c r="J538" s="48">
        <f>IF($C538="","",IFERROR(INDEX(ENVIOS!$B$4:$B$3003,MATCH($C538,ENVIOS!$A$4:$A$3003,0)),""))</f>
        <v/>
      </c>
      <c r="K538" s="49" t="n"/>
      <c r="L538" s="27">
        <f>IF($K538="","",IFERROR(INDEX(CONFIG!$B$4:$B$43,MATCH($K538,CONFIG!$A$4:$A$43,0)),"Media"))</f>
        <v/>
      </c>
      <c r="M538" s="27">
        <f>IF($K538="","",IFERROR(INDEX(CONFIG!$D$4:$D$43,MATCH($K538,CONFIG!$A$4:$A$43,0)),"NO"))</f>
        <v/>
      </c>
      <c r="N538" s="49" t="n"/>
      <c r="O538" s="27">
        <f>IF($N538="","",IFERROR(INDEX(CONFIG!$G$4:$G$43,MATCH($N538,CONFIG!$F$4:$F$43,0)),"Por definir"))</f>
        <v/>
      </c>
      <c r="P538" s="27">
        <f>IF($N538="","",IFERROR(INDEX(CONFIG!$H$4:$H$43,MATCH($N538,CONFIG!$F$4:$F$43,0)),"Por definir"))</f>
        <v/>
      </c>
      <c r="Q538" s="50" t="n"/>
      <c r="R538" s="51" t="n"/>
      <c r="S538" s="49" t="n"/>
      <c r="T538" s="49" t="n"/>
      <c r="U538" s="48">
        <f>IF(OR($B538="",$K538=""),"",WORKDAY($B538,IFERROR(INDEX(CONFIG!$C$4:$C$43,MATCH($K538,CONFIG!$A$4:$A$43,0)),3)))</f>
        <v/>
      </c>
      <c r="V538" s="46" t="n"/>
      <c r="W538" s="23">
        <f>IF($B538="","",IF($V538&lt;&gt;"",$V538-$B538,TODAY()-$B538))</f>
        <v/>
      </c>
      <c r="X538" s="27">
        <f>IF($C538="","",IF(IFERROR(INDEX(CONFIG!$K$4:$K$43,MATCH($S538,CONFIG!$J$4:$J$43,0)),"NO")="SÍ",IF(OR($V538="",$U538=""),"Resuelta",IF($V538&gt;$U538,"Resuelta tarde","Resuelta a tiempo")),IF($U538="","Sin clasificar",IF(TODAY()&gt;$U538,"Vencida",IF(TODAY()&gt;=$U538-1,"Por vencer","En plazo")))))</f>
        <v/>
      </c>
      <c r="Y538" s="49" t="n"/>
      <c r="Z538" s="49" t="n"/>
    </row>
    <row r="539" ht="16" customHeight="1">
      <c r="A539" s="27">
        <f>IF($C539="","","N-"&amp;TEXT(ROW()-3,"0000"))</f>
        <v/>
      </c>
      <c r="B539" s="46" t="n"/>
      <c r="C539" s="47" t="n"/>
      <c r="D539" s="27">
        <f>IF($C539="","",IF(COUNTIFS(ENVIOS!$A$4:$A$3003,$C539)=0,"NO EXISTE",IF(COUNTIFS(ENVIOS!$A$4:$A$3003,$C539)&gt;1,"DUPLICADA","OK")))</f>
        <v/>
      </c>
      <c r="E539" s="22">
        <f>IF($C539="","",IFERROR(INDEX(ENVIOS!$C$4:$C$3003,MATCH($C539,ENVIOS!$A$4:$A$3003,0)),"—"))</f>
        <v/>
      </c>
      <c r="F539" s="22">
        <f>IF($C539="","",IFERROR(INDEX(ENVIOS!$D$4:$D$3003,MATCH($C539,ENVIOS!$A$4:$A$3003,0)),"—"))</f>
        <v/>
      </c>
      <c r="G539" s="22">
        <f>IF($C539="","",IFERROR(INDEX(ENVIOS!$E$4:$E$3003,MATCH($C539,ENVIOS!$A$4:$A$3003,0)),"—"))</f>
        <v/>
      </c>
      <c r="H539" s="22">
        <f>IF($C539="","",IFERROR(INDEX(ENVIOS!$F$4:$F$3003,MATCH($C539,ENVIOS!$A$4:$A$3003,0)),"—"))</f>
        <v/>
      </c>
      <c r="I539" s="27">
        <f>IF($C539="","",IFERROR(INDEX(ENVIOS!$G$4:$G$3003,MATCH($C539,ENVIOS!$A$4:$A$3003,0)),"—"))</f>
        <v/>
      </c>
      <c r="J539" s="48">
        <f>IF($C539="","",IFERROR(INDEX(ENVIOS!$B$4:$B$3003,MATCH($C539,ENVIOS!$A$4:$A$3003,0)),""))</f>
        <v/>
      </c>
      <c r="K539" s="49" t="n"/>
      <c r="L539" s="27">
        <f>IF($K539="","",IFERROR(INDEX(CONFIG!$B$4:$B$43,MATCH($K539,CONFIG!$A$4:$A$43,0)),"Media"))</f>
        <v/>
      </c>
      <c r="M539" s="27">
        <f>IF($K539="","",IFERROR(INDEX(CONFIG!$D$4:$D$43,MATCH($K539,CONFIG!$A$4:$A$43,0)),"NO"))</f>
        <v/>
      </c>
      <c r="N539" s="49" t="n"/>
      <c r="O539" s="27">
        <f>IF($N539="","",IFERROR(INDEX(CONFIG!$G$4:$G$43,MATCH($N539,CONFIG!$F$4:$F$43,0)),"Por definir"))</f>
        <v/>
      </c>
      <c r="P539" s="27">
        <f>IF($N539="","",IFERROR(INDEX(CONFIG!$H$4:$H$43,MATCH($N539,CONFIG!$F$4:$F$43,0)),"Por definir"))</f>
        <v/>
      </c>
      <c r="Q539" s="50" t="n"/>
      <c r="R539" s="51" t="n"/>
      <c r="S539" s="49" t="n"/>
      <c r="T539" s="49" t="n"/>
      <c r="U539" s="48">
        <f>IF(OR($B539="",$K539=""),"",WORKDAY($B539,IFERROR(INDEX(CONFIG!$C$4:$C$43,MATCH($K539,CONFIG!$A$4:$A$43,0)),3)))</f>
        <v/>
      </c>
      <c r="V539" s="46" t="n"/>
      <c r="W539" s="23">
        <f>IF($B539="","",IF($V539&lt;&gt;"",$V539-$B539,TODAY()-$B539))</f>
        <v/>
      </c>
      <c r="X539" s="27">
        <f>IF($C539="","",IF(IFERROR(INDEX(CONFIG!$K$4:$K$43,MATCH($S539,CONFIG!$J$4:$J$43,0)),"NO")="SÍ",IF(OR($V539="",$U539=""),"Resuelta",IF($V539&gt;$U539,"Resuelta tarde","Resuelta a tiempo")),IF($U539="","Sin clasificar",IF(TODAY()&gt;$U539,"Vencida",IF(TODAY()&gt;=$U539-1,"Por vencer","En plazo")))))</f>
        <v/>
      </c>
      <c r="Y539" s="49" t="n"/>
      <c r="Z539" s="49" t="n"/>
    </row>
    <row r="540" ht="16" customHeight="1">
      <c r="A540" s="27">
        <f>IF($C540="","","N-"&amp;TEXT(ROW()-3,"0000"))</f>
        <v/>
      </c>
      <c r="B540" s="46" t="n"/>
      <c r="C540" s="47" t="n"/>
      <c r="D540" s="27">
        <f>IF($C540="","",IF(COUNTIFS(ENVIOS!$A$4:$A$3003,$C540)=0,"NO EXISTE",IF(COUNTIFS(ENVIOS!$A$4:$A$3003,$C540)&gt;1,"DUPLICADA","OK")))</f>
        <v/>
      </c>
      <c r="E540" s="22">
        <f>IF($C540="","",IFERROR(INDEX(ENVIOS!$C$4:$C$3003,MATCH($C540,ENVIOS!$A$4:$A$3003,0)),"—"))</f>
        <v/>
      </c>
      <c r="F540" s="22">
        <f>IF($C540="","",IFERROR(INDEX(ENVIOS!$D$4:$D$3003,MATCH($C540,ENVIOS!$A$4:$A$3003,0)),"—"))</f>
        <v/>
      </c>
      <c r="G540" s="22">
        <f>IF($C540="","",IFERROR(INDEX(ENVIOS!$E$4:$E$3003,MATCH($C540,ENVIOS!$A$4:$A$3003,0)),"—"))</f>
        <v/>
      </c>
      <c r="H540" s="22">
        <f>IF($C540="","",IFERROR(INDEX(ENVIOS!$F$4:$F$3003,MATCH($C540,ENVIOS!$A$4:$A$3003,0)),"—"))</f>
        <v/>
      </c>
      <c r="I540" s="27">
        <f>IF($C540="","",IFERROR(INDEX(ENVIOS!$G$4:$G$3003,MATCH($C540,ENVIOS!$A$4:$A$3003,0)),"—"))</f>
        <v/>
      </c>
      <c r="J540" s="48">
        <f>IF($C540="","",IFERROR(INDEX(ENVIOS!$B$4:$B$3003,MATCH($C540,ENVIOS!$A$4:$A$3003,0)),""))</f>
        <v/>
      </c>
      <c r="K540" s="49" t="n"/>
      <c r="L540" s="27">
        <f>IF($K540="","",IFERROR(INDEX(CONFIG!$B$4:$B$43,MATCH($K540,CONFIG!$A$4:$A$43,0)),"Media"))</f>
        <v/>
      </c>
      <c r="M540" s="27">
        <f>IF($K540="","",IFERROR(INDEX(CONFIG!$D$4:$D$43,MATCH($K540,CONFIG!$A$4:$A$43,0)),"NO"))</f>
        <v/>
      </c>
      <c r="N540" s="49" t="n"/>
      <c r="O540" s="27">
        <f>IF($N540="","",IFERROR(INDEX(CONFIG!$G$4:$G$43,MATCH($N540,CONFIG!$F$4:$F$43,0)),"Por definir"))</f>
        <v/>
      </c>
      <c r="P540" s="27">
        <f>IF($N540="","",IFERROR(INDEX(CONFIG!$H$4:$H$43,MATCH($N540,CONFIG!$F$4:$F$43,0)),"Por definir"))</f>
        <v/>
      </c>
      <c r="Q540" s="50" t="n"/>
      <c r="R540" s="51" t="n"/>
      <c r="S540" s="49" t="n"/>
      <c r="T540" s="49" t="n"/>
      <c r="U540" s="48">
        <f>IF(OR($B540="",$K540=""),"",WORKDAY($B540,IFERROR(INDEX(CONFIG!$C$4:$C$43,MATCH($K540,CONFIG!$A$4:$A$43,0)),3)))</f>
        <v/>
      </c>
      <c r="V540" s="46" t="n"/>
      <c r="W540" s="23">
        <f>IF($B540="","",IF($V540&lt;&gt;"",$V540-$B540,TODAY()-$B540))</f>
        <v/>
      </c>
      <c r="X540" s="27">
        <f>IF($C540="","",IF(IFERROR(INDEX(CONFIG!$K$4:$K$43,MATCH($S540,CONFIG!$J$4:$J$43,0)),"NO")="SÍ",IF(OR($V540="",$U540=""),"Resuelta",IF($V540&gt;$U540,"Resuelta tarde","Resuelta a tiempo")),IF($U540="","Sin clasificar",IF(TODAY()&gt;$U540,"Vencida",IF(TODAY()&gt;=$U540-1,"Por vencer","En plazo")))))</f>
        <v/>
      </c>
      <c r="Y540" s="49" t="n"/>
      <c r="Z540" s="49" t="n"/>
    </row>
    <row r="541" ht="16" customHeight="1">
      <c r="A541" s="27">
        <f>IF($C541="","","N-"&amp;TEXT(ROW()-3,"0000"))</f>
        <v/>
      </c>
      <c r="B541" s="46" t="n"/>
      <c r="C541" s="47" t="n"/>
      <c r="D541" s="27">
        <f>IF($C541="","",IF(COUNTIFS(ENVIOS!$A$4:$A$3003,$C541)=0,"NO EXISTE",IF(COUNTIFS(ENVIOS!$A$4:$A$3003,$C541)&gt;1,"DUPLICADA","OK")))</f>
        <v/>
      </c>
      <c r="E541" s="22">
        <f>IF($C541="","",IFERROR(INDEX(ENVIOS!$C$4:$C$3003,MATCH($C541,ENVIOS!$A$4:$A$3003,0)),"—"))</f>
        <v/>
      </c>
      <c r="F541" s="22">
        <f>IF($C541="","",IFERROR(INDEX(ENVIOS!$D$4:$D$3003,MATCH($C541,ENVIOS!$A$4:$A$3003,0)),"—"))</f>
        <v/>
      </c>
      <c r="G541" s="22">
        <f>IF($C541="","",IFERROR(INDEX(ENVIOS!$E$4:$E$3003,MATCH($C541,ENVIOS!$A$4:$A$3003,0)),"—"))</f>
        <v/>
      </c>
      <c r="H541" s="22">
        <f>IF($C541="","",IFERROR(INDEX(ENVIOS!$F$4:$F$3003,MATCH($C541,ENVIOS!$A$4:$A$3003,0)),"—"))</f>
        <v/>
      </c>
      <c r="I541" s="27">
        <f>IF($C541="","",IFERROR(INDEX(ENVIOS!$G$4:$G$3003,MATCH($C541,ENVIOS!$A$4:$A$3003,0)),"—"))</f>
        <v/>
      </c>
      <c r="J541" s="48">
        <f>IF($C541="","",IFERROR(INDEX(ENVIOS!$B$4:$B$3003,MATCH($C541,ENVIOS!$A$4:$A$3003,0)),""))</f>
        <v/>
      </c>
      <c r="K541" s="49" t="n"/>
      <c r="L541" s="27">
        <f>IF($K541="","",IFERROR(INDEX(CONFIG!$B$4:$B$43,MATCH($K541,CONFIG!$A$4:$A$43,0)),"Media"))</f>
        <v/>
      </c>
      <c r="M541" s="27">
        <f>IF($K541="","",IFERROR(INDEX(CONFIG!$D$4:$D$43,MATCH($K541,CONFIG!$A$4:$A$43,0)),"NO"))</f>
        <v/>
      </c>
      <c r="N541" s="49" t="n"/>
      <c r="O541" s="27">
        <f>IF($N541="","",IFERROR(INDEX(CONFIG!$G$4:$G$43,MATCH($N541,CONFIG!$F$4:$F$43,0)),"Por definir"))</f>
        <v/>
      </c>
      <c r="P541" s="27">
        <f>IF($N541="","",IFERROR(INDEX(CONFIG!$H$4:$H$43,MATCH($N541,CONFIG!$F$4:$F$43,0)),"Por definir"))</f>
        <v/>
      </c>
      <c r="Q541" s="50" t="n"/>
      <c r="R541" s="51" t="n"/>
      <c r="S541" s="49" t="n"/>
      <c r="T541" s="49" t="n"/>
      <c r="U541" s="48">
        <f>IF(OR($B541="",$K541=""),"",WORKDAY($B541,IFERROR(INDEX(CONFIG!$C$4:$C$43,MATCH($K541,CONFIG!$A$4:$A$43,0)),3)))</f>
        <v/>
      </c>
      <c r="V541" s="46" t="n"/>
      <c r="W541" s="23">
        <f>IF($B541="","",IF($V541&lt;&gt;"",$V541-$B541,TODAY()-$B541))</f>
        <v/>
      </c>
      <c r="X541" s="27">
        <f>IF($C541="","",IF(IFERROR(INDEX(CONFIG!$K$4:$K$43,MATCH($S541,CONFIG!$J$4:$J$43,0)),"NO")="SÍ",IF(OR($V541="",$U541=""),"Resuelta",IF($V541&gt;$U541,"Resuelta tarde","Resuelta a tiempo")),IF($U541="","Sin clasificar",IF(TODAY()&gt;$U541,"Vencida",IF(TODAY()&gt;=$U541-1,"Por vencer","En plazo")))))</f>
        <v/>
      </c>
      <c r="Y541" s="49" t="n"/>
      <c r="Z541" s="49" t="n"/>
    </row>
    <row r="542" ht="16" customHeight="1">
      <c r="A542" s="27">
        <f>IF($C542="","","N-"&amp;TEXT(ROW()-3,"0000"))</f>
        <v/>
      </c>
      <c r="B542" s="46" t="n"/>
      <c r="C542" s="47" t="n"/>
      <c r="D542" s="27">
        <f>IF($C542="","",IF(COUNTIFS(ENVIOS!$A$4:$A$3003,$C542)=0,"NO EXISTE",IF(COUNTIFS(ENVIOS!$A$4:$A$3003,$C542)&gt;1,"DUPLICADA","OK")))</f>
        <v/>
      </c>
      <c r="E542" s="22">
        <f>IF($C542="","",IFERROR(INDEX(ENVIOS!$C$4:$C$3003,MATCH($C542,ENVIOS!$A$4:$A$3003,0)),"—"))</f>
        <v/>
      </c>
      <c r="F542" s="22">
        <f>IF($C542="","",IFERROR(INDEX(ENVIOS!$D$4:$D$3003,MATCH($C542,ENVIOS!$A$4:$A$3003,0)),"—"))</f>
        <v/>
      </c>
      <c r="G542" s="22">
        <f>IF($C542="","",IFERROR(INDEX(ENVIOS!$E$4:$E$3003,MATCH($C542,ENVIOS!$A$4:$A$3003,0)),"—"))</f>
        <v/>
      </c>
      <c r="H542" s="22">
        <f>IF($C542="","",IFERROR(INDEX(ENVIOS!$F$4:$F$3003,MATCH($C542,ENVIOS!$A$4:$A$3003,0)),"—"))</f>
        <v/>
      </c>
      <c r="I542" s="27">
        <f>IF($C542="","",IFERROR(INDEX(ENVIOS!$G$4:$G$3003,MATCH($C542,ENVIOS!$A$4:$A$3003,0)),"—"))</f>
        <v/>
      </c>
      <c r="J542" s="48">
        <f>IF($C542="","",IFERROR(INDEX(ENVIOS!$B$4:$B$3003,MATCH($C542,ENVIOS!$A$4:$A$3003,0)),""))</f>
        <v/>
      </c>
      <c r="K542" s="49" t="n"/>
      <c r="L542" s="27">
        <f>IF($K542="","",IFERROR(INDEX(CONFIG!$B$4:$B$43,MATCH($K542,CONFIG!$A$4:$A$43,0)),"Media"))</f>
        <v/>
      </c>
      <c r="M542" s="27">
        <f>IF($K542="","",IFERROR(INDEX(CONFIG!$D$4:$D$43,MATCH($K542,CONFIG!$A$4:$A$43,0)),"NO"))</f>
        <v/>
      </c>
      <c r="N542" s="49" t="n"/>
      <c r="O542" s="27">
        <f>IF($N542="","",IFERROR(INDEX(CONFIG!$G$4:$G$43,MATCH($N542,CONFIG!$F$4:$F$43,0)),"Por definir"))</f>
        <v/>
      </c>
      <c r="P542" s="27">
        <f>IF($N542="","",IFERROR(INDEX(CONFIG!$H$4:$H$43,MATCH($N542,CONFIG!$F$4:$F$43,0)),"Por definir"))</f>
        <v/>
      </c>
      <c r="Q542" s="50" t="n"/>
      <c r="R542" s="51" t="n"/>
      <c r="S542" s="49" t="n"/>
      <c r="T542" s="49" t="n"/>
      <c r="U542" s="48">
        <f>IF(OR($B542="",$K542=""),"",WORKDAY($B542,IFERROR(INDEX(CONFIG!$C$4:$C$43,MATCH($K542,CONFIG!$A$4:$A$43,0)),3)))</f>
        <v/>
      </c>
      <c r="V542" s="46" t="n"/>
      <c r="W542" s="23">
        <f>IF($B542="","",IF($V542&lt;&gt;"",$V542-$B542,TODAY()-$B542))</f>
        <v/>
      </c>
      <c r="X542" s="27">
        <f>IF($C542="","",IF(IFERROR(INDEX(CONFIG!$K$4:$K$43,MATCH($S542,CONFIG!$J$4:$J$43,0)),"NO")="SÍ",IF(OR($V542="",$U542=""),"Resuelta",IF($V542&gt;$U542,"Resuelta tarde","Resuelta a tiempo")),IF($U542="","Sin clasificar",IF(TODAY()&gt;$U542,"Vencida",IF(TODAY()&gt;=$U542-1,"Por vencer","En plazo")))))</f>
        <v/>
      </c>
      <c r="Y542" s="49" t="n"/>
      <c r="Z542" s="49" t="n"/>
    </row>
    <row r="543" ht="16" customHeight="1">
      <c r="A543" s="27">
        <f>IF($C543="","","N-"&amp;TEXT(ROW()-3,"0000"))</f>
        <v/>
      </c>
      <c r="B543" s="46" t="n"/>
      <c r="C543" s="47" t="n"/>
      <c r="D543" s="27">
        <f>IF($C543="","",IF(COUNTIFS(ENVIOS!$A$4:$A$3003,$C543)=0,"NO EXISTE",IF(COUNTIFS(ENVIOS!$A$4:$A$3003,$C543)&gt;1,"DUPLICADA","OK")))</f>
        <v/>
      </c>
      <c r="E543" s="22">
        <f>IF($C543="","",IFERROR(INDEX(ENVIOS!$C$4:$C$3003,MATCH($C543,ENVIOS!$A$4:$A$3003,0)),"—"))</f>
        <v/>
      </c>
      <c r="F543" s="22">
        <f>IF($C543="","",IFERROR(INDEX(ENVIOS!$D$4:$D$3003,MATCH($C543,ENVIOS!$A$4:$A$3003,0)),"—"))</f>
        <v/>
      </c>
      <c r="G543" s="22">
        <f>IF($C543="","",IFERROR(INDEX(ENVIOS!$E$4:$E$3003,MATCH($C543,ENVIOS!$A$4:$A$3003,0)),"—"))</f>
        <v/>
      </c>
      <c r="H543" s="22">
        <f>IF($C543="","",IFERROR(INDEX(ENVIOS!$F$4:$F$3003,MATCH($C543,ENVIOS!$A$4:$A$3003,0)),"—"))</f>
        <v/>
      </c>
      <c r="I543" s="27">
        <f>IF($C543="","",IFERROR(INDEX(ENVIOS!$G$4:$G$3003,MATCH($C543,ENVIOS!$A$4:$A$3003,0)),"—"))</f>
        <v/>
      </c>
      <c r="J543" s="48">
        <f>IF($C543="","",IFERROR(INDEX(ENVIOS!$B$4:$B$3003,MATCH($C543,ENVIOS!$A$4:$A$3003,0)),""))</f>
        <v/>
      </c>
      <c r="K543" s="49" t="n"/>
      <c r="L543" s="27">
        <f>IF($K543="","",IFERROR(INDEX(CONFIG!$B$4:$B$43,MATCH($K543,CONFIG!$A$4:$A$43,0)),"Media"))</f>
        <v/>
      </c>
      <c r="M543" s="27">
        <f>IF($K543="","",IFERROR(INDEX(CONFIG!$D$4:$D$43,MATCH($K543,CONFIG!$A$4:$A$43,0)),"NO"))</f>
        <v/>
      </c>
      <c r="N543" s="49" t="n"/>
      <c r="O543" s="27">
        <f>IF($N543="","",IFERROR(INDEX(CONFIG!$G$4:$G$43,MATCH($N543,CONFIG!$F$4:$F$43,0)),"Por definir"))</f>
        <v/>
      </c>
      <c r="P543" s="27">
        <f>IF($N543="","",IFERROR(INDEX(CONFIG!$H$4:$H$43,MATCH($N543,CONFIG!$F$4:$F$43,0)),"Por definir"))</f>
        <v/>
      </c>
      <c r="Q543" s="50" t="n"/>
      <c r="R543" s="51" t="n"/>
      <c r="S543" s="49" t="n"/>
      <c r="T543" s="49" t="n"/>
      <c r="U543" s="48">
        <f>IF(OR($B543="",$K543=""),"",WORKDAY($B543,IFERROR(INDEX(CONFIG!$C$4:$C$43,MATCH($K543,CONFIG!$A$4:$A$43,0)),3)))</f>
        <v/>
      </c>
      <c r="V543" s="46" t="n"/>
      <c r="W543" s="23">
        <f>IF($B543="","",IF($V543&lt;&gt;"",$V543-$B543,TODAY()-$B543))</f>
        <v/>
      </c>
      <c r="X543" s="27">
        <f>IF($C543="","",IF(IFERROR(INDEX(CONFIG!$K$4:$K$43,MATCH($S543,CONFIG!$J$4:$J$43,0)),"NO")="SÍ",IF(OR($V543="",$U543=""),"Resuelta",IF($V543&gt;$U543,"Resuelta tarde","Resuelta a tiempo")),IF($U543="","Sin clasificar",IF(TODAY()&gt;$U543,"Vencida",IF(TODAY()&gt;=$U543-1,"Por vencer","En plazo")))))</f>
        <v/>
      </c>
      <c r="Y543" s="49" t="n"/>
      <c r="Z543" s="49" t="n"/>
    </row>
    <row r="544" ht="16" customHeight="1">
      <c r="A544" s="27">
        <f>IF($C544="","","N-"&amp;TEXT(ROW()-3,"0000"))</f>
        <v/>
      </c>
      <c r="B544" s="46" t="n"/>
      <c r="C544" s="47" t="n"/>
      <c r="D544" s="27">
        <f>IF($C544="","",IF(COUNTIFS(ENVIOS!$A$4:$A$3003,$C544)=0,"NO EXISTE",IF(COUNTIFS(ENVIOS!$A$4:$A$3003,$C544)&gt;1,"DUPLICADA","OK")))</f>
        <v/>
      </c>
      <c r="E544" s="22">
        <f>IF($C544="","",IFERROR(INDEX(ENVIOS!$C$4:$C$3003,MATCH($C544,ENVIOS!$A$4:$A$3003,0)),"—"))</f>
        <v/>
      </c>
      <c r="F544" s="22">
        <f>IF($C544="","",IFERROR(INDEX(ENVIOS!$D$4:$D$3003,MATCH($C544,ENVIOS!$A$4:$A$3003,0)),"—"))</f>
        <v/>
      </c>
      <c r="G544" s="22">
        <f>IF($C544="","",IFERROR(INDEX(ENVIOS!$E$4:$E$3003,MATCH($C544,ENVIOS!$A$4:$A$3003,0)),"—"))</f>
        <v/>
      </c>
      <c r="H544" s="22">
        <f>IF($C544="","",IFERROR(INDEX(ENVIOS!$F$4:$F$3003,MATCH($C544,ENVIOS!$A$4:$A$3003,0)),"—"))</f>
        <v/>
      </c>
      <c r="I544" s="27">
        <f>IF($C544="","",IFERROR(INDEX(ENVIOS!$G$4:$G$3003,MATCH($C544,ENVIOS!$A$4:$A$3003,0)),"—"))</f>
        <v/>
      </c>
      <c r="J544" s="48">
        <f>IF($C544="","",IFERROR(INDEX(ENVIOS!$B$4:$B$3003,MATCH($C544,ENVIOS!$A$4:$A$3003,0)),""))</f>
        <v/>
      </c>
      <c r="K544" s="49" t="n"/>
      <c r="L544" s="27">
        <f>IF($K544="","",IFERROR(INDEX(CONFIG!$B$4:$B$43,MATCH($K544,CONFIG!$A$4:$A$43,0)),"Media"))</f>
        <v/>
      </c>
      <c r="M544" s="27">
        <f>IF($K544="","",IFERROR(INDEX(CONFIG!$D$4:$D$43,MATCH($K544,CONFIG!$A$4:$A$43,0)),"NO"))</f>
        <v/>
      </c>
      <c r="N544" s="49" t="n"/>
      <c r="O544" s="27">
        <f>IF($N544="","",IFERROR(INDEX(CONFIG!$G$4:$G$43,MATCH($N544,CONFIG!$F$4:$F$43,0)),"Por definir"))</f>
        <v/>
      </c>
      <c r="P544" s="27">
        <f>IF($N544="","",IFERROR(INDEX(CONFIG!$H$4:$H$43,MATCH($N544,CONFIG!$F$4:$F$43,0)),"Por definir"))</f>
        <v/>
      </c>
      <c r="Q544" s="50" t="n"/>
      <c r="R544" s="51" t="n"/>
      <c r="S544" s="49" t="n"/>
      <c r="T544" s="49" t="n"/>
      <c r="U544" s="48">
        <f>IF(OR($B544="",$K544=""),"",WORKDAY($B544,IFERROR(INDEX(CONFIG!$C$4:$C$43,MATCH($K544,CONFIG!$A$4:$A$43,0)),3)))</f>
        <v/>
      </c>
      <c r="V544" s="46" t="n"/>
      <c r="W544" s="23">
        <f>IF($B544="","",IF($V544&lt;&gt;"",$V544-$B544,TODAY()-$B544))</f>
        <v/>
      </c>
      <c r="X544" s="27">
        <f>IF($C544="","",IF(IFERROR(INDEX(CONFIG!$K$4:$K$43,MATCH($S544,CONFIG!$J$4:$J$43,0)),"NO")="SÍ",IF(OR($V544="",$U544=""),"Resuelta",IF($V544&gt;$U544,"Resuelta tarde","Resuelta a tiempo")),IF($U544="","Sin clasificar",IF(TODAY()&gt;$U544,"Vencida",IF(TODAY()&gt;=$U544-1,"Por vencer","En plazo")))))</f>
        <v/>
      </c>
      <c r="Y544" s="49" t="n"/>
      <c r="Z544" s="49" t="n"/>
    </row>
    <row r="545" ht="16" customHeight="1">
      <c r="A545" s="27">
        <f>IF($C545="","","N-"&amp;TEXT(ROW()-3,"0000"))</f>
        <v/>
      </c>
      <c r="B545" s="46" t="n"/>
      <c r="C545" s="47" t="n"/>
      <c r="D545" s="27">
        <f>IF($C545="","",IF(COUNTIFS(ENVIOS!$A$4:$A$3003,$C545)=0,"NO EXISTE",IF(COUNTIFS(ENVIOS!$A$4:$A$3003,$C545)&gt;1,"DUPLICADA","OK")))</f>
        <v/>
      </c>
      <c r="E545" s="22">
        <f>IF($C545="","",IFERROR(INDEX(ENVIOS!$C$4:$C$3003,MATCH($C545,ENVIOS!$A$4:$A$3003,0)),"—"))</f>
        <v/>
      </c>
      <c r="F545" s="22">
        <f>IF($C545="","",IFERROR(INDEX(ENVIOS!$D$4:$D$3003,MATCH($C545,ENVIOS!$A$4:$A$3003,0)),"—"))</f>
        <v/>
      </c>
      <c r="G545" s="22">
        <f>IF($C545="","",IFERROR(INDEX(ENVIOS!$E$4:$E$3003,MATCH($C545,ENVIOS!$A$4:$A$3003,0)),"—"))</f>
        <v/>
      </c>
      <c r="H545" s="22">
        <f>IF($C545="","",IFERROR(INDEX(ENVIOS!$F$4:$F$3003,MATCH($C545,ENVIOS!$A$4:$A$3003,0)),"—"))</f>
        <v/>
      </c>
      <c r="I545" s="27">
        <f>IF($C545="","",IFERROR(INDEX(ENVIOS!$G$4:$G$3003,MATCH($C545,ENVIOS!$A$4:$A$3003,0)),"—"))</f>
        <v/>
      </c>
      <c r="J545" s="48">
        <f>IF($C545="","",IFERROR(INDEX(ENVIOS!$B$4:$B$3003,MATCH($C545,ENVIOS!$A$4:$A$3003,0)),""))</f>
        <v/>
      </c>
      <c r="K545" s="49" t="n"/>
      <c r="L545" s="27">
        <f>IF($K545="","",IFERROR(INDEX(CONFIG!$B$4:$B$43,MATCH($K545,CONFIG!$A$4:$A$43,0)),"Media"))</f>
        <v/>
      </c>
      <c r="M545" s="27">
        <f>IF($K545="","",IFERROR(INDEX(CONFIG!$D$4:$D$43,MATCH($K545,CONFIG!$A$4:$A$43,0)),"NO"))</f>
        <v/>
      </c>
      <c r="N545" s="49" t="n"/>
      <c r="O545" s="27">
        <f>IF($N545="","",IFERROR(INDEX(CONFIG!$G$4:$G$43,MATCH($N545,CONFIG!$F$4:$F$43,0)),"Por definir"))</f>
        <v/>
      </c>
      <c r="P545" s="27">
        <f>IF($N545="","",IFERROR(INDEX(CONFIG!$H$4:$H$43,MATCH($N545,CONFIG!$F$4:$F$43,0)),"Por definir"))</f>
        <v/>
      </c>
      <c r="Q545" s="50" t="n"/>
      <c r="R545" s="51" t="n"/>
      <c r="S545" s="49" t="n"/>
      <c r="T545" s="49" t="n"/>
      <c r="U545" s="48">
        <f>IF(OR($B545="",$K545=""),"",WORKDAY($B545,IFERROR(INDEX(CONFIG!$C$4:$C$43,MATCH($K545,CONFIG!$A$4:$A$43,0)),3)))</f>
        <v/>
      </c>
      <c r="V545" s="46" t="n"/>
      <c r="W545" s="23">
        <f>IF($B545="","",IF($V545&lt;&gt;"",$V545-$B545,TODAY()-$B545))</f>
        <v/>
      </c>
      <c r="X545" s="27">
        <f>IF($C545="","",IF(IFERROR(INDEX(CONFIG!$K$4:$K$43,MATCH($S545,CONFIG!$J$4:$J$43,0)),"NO")="SÍ",IF(OR($V545="",$U545=""),"Resuelta",IF($V545&gt;$U545,"Resuelta tarde","Resuelta a tiempo")),IF($U545="","Sin clasificar",IF(TODAY()&gt;$U545,"Vencida",IF(TODAY()&gt;=$U545-1,"Por vencer","En plazo")))))</f>
        <v/>
      </c>
      <c r="Y545" s="49" t="n"/>
      <c r="Z545" s="49" t="n"/>
    </row>
    <row r="546" ht="16" customHeight="1">
      <c r="A546" s="27">
        <f>IF($C546="","","N-"&amp;TEXT(ROW()-3,"0000"))</f>
        <v/>
      </c>
      <c r="B546" s="46" t="n"/>
      <c r="C546" s="47" t="n"/>
      <c r="D546" s="27">
        <f>IF($C546="","",IF(COUNTIFS(ENVIOS!$A$4:$A$3003,$C546)=0,"NO EXISTE",IF(COUNTIFS(ENVIOS!$A$4:$A$3003,$C546)&gt;1,"DUPLICADA","OK")))</f>
        <v/>
      </c>
      <c r="E546" s="22">
        <f>IF($C546="","",IFERROR(INDEX(ENVIOS!$C$4:$C$3003,MATCH($C546,ENVIOS!$A$4:$A$3003,0)),"—"))</f>
        <v/>
      </c>
      <c r="F546" s="22">
        <f>IF($C546="","",IFERROR(INDEX(ENVIOS!$D$4:$D$3003,MATCH($C546,ENVIOS!$A$4:$A$3003,0)),"—"))</f>
        <v/>
      </c>
      <c r="G546" s="22">
        <f>IF($C546="","",IFERROR(INDEX(ENVIOS!$E$4:$E$3003,MATCH($C546,ENVIOS!$A$4:$A$3003,0)),"—"))</f>
        <v/>
      </c>
      <c r="H546" s="22">
        <f>IF($C546="","",IFERROR(INDEX(ENVIOS!$F$4:$F$3003,MATCH($C546,ENVIOS!$A$4:$A$3003,0)),"—"))</f>
        <v/>
      </c>
      <c r="I546" s="27">
        <f>IF($C546="","",IFERROR(INDEX(ENVIOS!$G$4:$G$3003,MATCH($C546,ENVIOS!$A$4:$A$3003,0)),"—"))</f>
        <v/>
      </c>
      <c r="J546" s="48">
        <f>IF($C546="","",IFERROR(INDEX(ENVIOS!$B$4:$B$3003,MATCH($C546,ENVIOS!$A$4:$A$3003,0)),""))</f>
        <v/>
      </c>
      <c r="K546" s="49" t="n"/>
      <c r="L546" s="27">
        <f>IF($K546="","",IFERROR(INDEX(CONFIG!$B$4:$B$43,MATCH($K546,CONFIG!$A$4:$A$43,0)),"Media"))</f>
        <v/>
      </c>
      <c r="M546" s="27">
        <f>IF($K546="","",IFERROR(INDEX(CONFIG!$D$4:$D$43,MATCH($K546,CONFIG!$A$4:$A$43,0)),"NO"))</f>
        <v/>
      </c>
      <c r="N546" s="49" t="n"/>
      <c r="O546" s="27">
        <f>IF($N546="","",IFERROR(INDEX(CONFIG!$G$4:$G$43,MATCH($N546,CONFIG!$F$4:$F$43,0)),"Por definir"))</f>
        <v/>
      </c>
      <c r="P546" s="27">
        <f>IF($N546="","",IFERROR(INDEX(CONFIG!$H$4:$H$43,MATCH($N546,CONFIG!$F$4:$F$43,0)),"Por definir"))</f>
        <v/>
      </c>
      <c r="Q546" s="50" t="n"/>
      <c r="R546" s="51" t="n"/>
      <c r="S546" s="49" t="n"/>
      <c r="T546" s="49" t="n"/>
      <c r="U546" s="48">
        <f>IF(OR($B546="",$K546=""),"",WORKDAY($B546,IFERROR(INDEX(CONFIG!$C$4:$C$43,MATCH($K546,CONFIG!$A$4:$A$43,0)),3)))</f>
        <v/>
      </c>
      <c r="V546" s="46" t="n"/>
      <c r="W546" s="23">
        <f>IF($B546="","",IF($V546&lt;&gt;"",$V546-$B546,TODAY()-$B546))</f>
        <v/>
      </c>
      <c r="X546" s="27">
        <f>IF($C546="","",IF(IFERROR(INDEX(CONFIG!$K$4:$K$43,MATCH($S546,CONFIG!$J$4:$J$43,0)),"NO")="SÍ",IF(OR($V546="",$U546=""),"Resuelta",IF($V546&gt;$U546,"Resuelta tarde","Resuelta a tiempo")),IF($U546="","Sin clasificar",IF(TODAY()&gt;$U546,"Vencida",IF(TODAY()&gt;=$U546-1,"Por vencer","En plazo")))))</f>
        <v/>
      </c>
      <c r="Y546" s="49" t="n"/>
      <c r="Z546" s="49" t="n"/>
    </row>
    <row r="547" ht="16" customHeight="1">
      <c r="A547" s="27">
        <f>IF($C547="","","N-"&amp;TEXT(ROW()-3,"0000"))</f>
        <v/>
      </c>
      <c r="B547" s="46" t="n"/>
      <c r="C547" s="47" t="n"/>
      <c r="D547" s="27">
        <f>IF($C547="","",IF(COUNTIFS(ENVIOS!$A$4:$A$3003,$C547)=0,"NO EXISTE",IF(COUNTIFS(ENVIOS!$A$4:$A$3003,$C547)&gt;1,"DUPLICADA","OK")))</f>
        <v/>
      </c>
      <c r="E547" s="22">
        <f>IF($C547="","",IFERROR(INDEX(ENVIOS!$C$4:$C$3003,MATCH($C547,ENVIOS!$A$4:$A$3003,0)),"—"))</f>
        <v/>
      </c>
      <c r="F547" s="22">
        <f>IF($C547="","",IFERROR(INDEX(ENVIOS!$D$4:$D$3003,MATCH($C547,ENVIOS!$A$4:$A$3003,0)),"—"))</f>
        <v/>
      </c>
      <c r="G547" s="22">
        <f>IF($C547="","",IFERROR(INDEX(ENVIOS!$E$4:$E$3003,MATCH($C547,ENVIOS!$A$4:$A$3003,0)),"—"))</f>
        <v/>
      </c>
      <c r="H547" s="22">
        <f>IF($C547="","",IFERROR(INDEX(ENVIOS!$F$4:$F$3003,MATCH($C547,ENVIOS!$A$4:$A$3003,0)),"—"))</f>
        <v/>
      </c>
      <c r="I547" s="27">
        <f>IF($C547="","",IFERROR(INDEX(ENVIOS!$G$4:$G$3003,MATCH($C547,ENVIOS!$A$4:$A$3003,0)),"—"))</f>
        <v/>
      </c>
      <c r="J547" s="48">
        <f>IF($C547="","",IFERROR(INDEX(ENVIOS!$B$4:$B$3003,MATCH($C547,ENVIOS!$A$4:$A$3003,0)),""))</f>
        <v/>
      </c>
      <c r="K547" s="49" t="n"/>
      <c r="L547" s="27">
        <f>IF($K547="","",IFERROR(INDEX(CONFIG!$B$4:$B$43,MATCH($K547,CONFIG!$A$4:$A$43,0)),"Media"))</f>
        <v/>
      </c>
      <c r="M547" s="27">
        <f>IF($K547="","",IFERROR(INDEX(CONFIG!$D$4:$D$43,MATCH($K547,CONFIG!$A$4:$A$43,0)),"NO"))</f>
        <v/>
      </c>
      <c r="N547" s="49" t="n"/>
      <c r="O547" s="27">
        <f>IF($N547="","",IFERROR(INDEX(CONFIG!$G$4:$G$43,MATCH($N547,CONFIG!$F$4:$F$43,0)),"Por definir"))</f>
        <v/>
      </c>
      <c r="P547" s="27">
        <f>IF($N547="","",IFERROR(INDEX(CONFIG!$H$4:$H$43,MATCH($N547,CONFIG!$F$4:$F$43,0)),"Por definir"))</f>
        <v/>
      </c>
      <c r="Q547" s="50" t="n"/>
      <c r="R547" s="51" t="n"/>
      <c r="S547" s="49" t="n"/>
      <c r="T547" s="49" t="n"/>
      <c r="U547" s="48">
        <f>IF(OR($B547="",$K547=""),"",WORKDAY($B547,IFERROR(INDEX(CONFIG!$C$4:$C$43,MATCH($K547,CONFIG!$A$4:$A$43,0)),3)))</f>
        <v/>
      </c>
      <c r="V547" s="46" t="n"/>
      <c r="W547" s="23">
        <f>IF($B547="","",IF($V547&lt;&gt;"",$V547-$B547,TODAY()-$B547))</f>
        <v/>
      </c>
      <c r="X547" s="27">
        <f>IF($C547="","",IF(IFERROR(INDEX(CONFIG!$K$4:$K$43,MATCH($S547,CONFIG!$J$4:$J$43,0)),"NO")="SÍ",IF(OR($V547="",$U547=""),"Resuelta",IF($V547&gt;$U547,"Resuelta tarde","Resuelta a tiempo")),IF($U547="","Sin clasificar",IF(TODAY()&gt;$U547,"Vencida",IF(TODAY()&gt;=$U547-1,"Por vencer","En plazo")))))</f>
        <v/>
      </c>
      <c r="Y547" s="49" t="n"/>
      <c r="Z547" s="49" t="n"/>
    </row>
    <row r="548" ht="16" customHeight="1">
      <c r="A548" s="27">
        <f>IF($C548="","","N-"&amp;TEXT(ROW()-3,"0000"))</f>
        <v/>
      </c>
      <c r="B548" s="46" t="n"/>
      <c r="C548" s="47" t="n"/>
      <c r="D548" s="27">
        <f>IF($C548="","",IF(COUNTIFS(ENVIOS!$A$4:$A$3003,$C548)=0,"NO EXISTE",IF(COUNTIFS(ENVIOS!$A$4:$A$3003,$C548)&gt;1,"DUPLICADA","OK")))</f>
        <v/>
      </c>
      <c r="E548" s="22">
        <f>IF($C548="","",IFERROR(INDEX(ENVIOS!$C$4:$C$3003,MATCH($C548,ENVIOS!$A$4:$A$3003,0)),"—"))</f>
        <v/>
      </c>
      <c r="F548" s="22">
        <f>IF($C548="","",IFERROR(INDEX(ENVIOS!$D$4:$D$3003,MATCH($C548,ENVIOS!$A$4:$A$3003,0)),"—"))</f>
        <v/>
      </c>
      <c r="G548" s="22">
        <f>IF($C548="","",IFERROR(INDEX(ENVIOS!$E$4:$E$3003,MATCH($C548,ENVIOS!$A$4:$A$3003,0)),"—"))</f>
        <v/>
      </c>
      <c r="H548" s="22">
        <f>IF($C548="","",IFERROR(INDEX(ENVIOS!$F$4:$F$3003,MATCH($C548,ENVIOS!$A$4:$A$3003,0)),"—"))</f>
        <v/>
      </c>
      <c r="I548" s="27">
        <f>IF($C548="","",IFERROR(INDEX(ENVIOS!$G$4:$G$3003,MATCH($C548,ENVIOS!$A$4:$A$3003,0)),"—"))</f>
        <v/>
      </c>
      <c r="J548" s="48">
        <f>IF($C548="","",IFERROR(INDEX(ENVIOS!$B$4:$B$3003,MATCH($C548,ENVIOS!$A$4:$A$3003,0)),""))</f>
        <v/>
      </c>
      <c r="K548" s="49" t="n"/>
      <c r="L548" s="27">
        <f>IF($K548="","",IFERROR(INDEX(CONFIG!$B$4:$B$43,MATCH($K548,CONFIG!$A$4:$A$43,0)),"Media"))</f>
        <v/>
      </c>
      <c r="M548" s="27">
        <f>IF($K548="","",IFERROR(INDEX(CONFIG!$D$4:$D$43,MATCH($K548,CONFIG!$A$4:$A$43,0)),"NO"))</f>
        <v/>
      </c>
      <c r="N548" s="49" t="n"/>
      <c r="O548" s="27">
        <f>IF($N548="","",IFERROR(INDEX(CONFIG!$G$4:$G$43,MATCH($N548,CONFIG!$F$4:$F$43,0)),"Por definir"))</f>
        <v/>
      </c>
      <c r="P548" s="27">
        <f>IF($N548="","",IFERROR(INDEX(CONFIG!$H$4:$H$43,MATCH($N548,CONFIG!$F$4:$F$43,0)),"Por definir"))</f>
        <v/>
      </c>
      <c r="Q548" s="50" t="n"/>
      <c r="R548" s="51" t="n"/>
      <c r="S548" s="49" t="n"/>
      <c r="T548" s="49" t="n"/>
      <c r="U548" s="48">
        <f>IF(OR($B548="",$K548=""),"",WORKDAY($B548,IFERROR(INDEX(CONFIG!$C$4:$C$43,MATCH($K548,CONFIG!$A$4:$A$43,0)),3)))</f>
        <v/>
      </c>
      <c r="V548" s="46" t="n"/>
      <c r="W548" s="23">
        <f>IF($B548="","",IF($V548&lt;&gt;"",$V548-$B548,TODAY()-$B548))</f>
        <v/>
      </c>
      <c r="X548" s="27">
        <f>IF($C548="","",IF(IFERROR(INDEX(CONFIG!$K$4:$K$43,MATCH($S548,CONFIG!$J$4:$J$43,0)),"NO")="SÍ",IF(OR($V548="",$U548=""),"Resuelta",IF($V548&gt;$U548,"Resuelta tarde","Resuelta a tiempo")),IF($U548="","Sin clasificar",IF(TODAY()&gt;$U548,"Vencida",IF(TODAY()&gt;=$U548-1,"Por vencer","En plazo")))))</f>
        <v/>
      </c>
      <c r="Y548" s="49" t="n"/>
      <c r="Z548" s="49" t="n"/>
    </row>
    <row r="549" ht="16" customHeight="1">
      <c r="A549" s="27">
        <f>IF($C549="","","N-"&amp;TEXT(ROW()-3,"0000"))</f>
        <v/>
      </c>
      <c r="B549" s="46" t="n"/>
      <c r="C549" s="47" t="n"/>
      <c r="D549" s="27">
        <f>IF($C549="","",IF(COUNTIFS(ENVIOS!$A$4:$A$3003,$C549)=0,"NO EXISTE",IF(COUNTIFS(ENVIOS!$A$4:$A$3003,$C549)&gt;1,"DUPLICADA","OK")))</f>
        <v/>
      </c>
      <c r="E549" s="22">
        <f>IF($C549="","",IFERROR(INDEX(ENVIOS!$C$4:$C$3003,MATCH($C549,ENVIOS!$A$4:$A$3003,0)),"—"))</f>
        <v/>
      </c>
      <c r="F549" s="22">
        <f>IF($C549="","",IFERROR(INDEX(ENVIOS!$D$4:$D$3003,MATCH($C549,ENVIOS!$A$4:$A$3003,0)),"—"))</f>
        <v/>
      </c>
      <c r="G549" s="22">
        <f>IF($C549="","",IFERROR(INDEX(ENVIOS!$E$4:$E$3003,MATCH($C549,ENVIOS!$A$4:$A$3003,0)),"—"))</f>
        <v/>
      </c>
      <c r="H549" s="22">
        <f>IF($C549="","",IFERROR(INDEX(ENVIOS!$F$4:$F$3003,MATCH($C549,ENVIOS!$A$4:$A$3003,0)),"—"))</f>
        <v/>
      </c>
      <c r="I549" s="27">
        <f>IF($C549="","",IFERROR(INDEX(ENVIOS!$G$4:$G$3003,MATCH($C549,ENVIOS!$A$4:$A$3003,0)),"—"))</f>
        <v/>
      </c>
      <c r="J549" s="48">
        <f>IF($C549="","",IFERROR(INDEX(ENVIOS!$B$4:$B$3003,MATCH($C549,ENVIOS!$A$4:$A$3003,0)),""))</f>
        <v/>
      </c>
      <c r="K549" s="49" t="n"/>
      <c r="L549" s="27">
        <f>IF($K549="","",IFERROR(INDEX(CONFIG!$B$4:$B$43,MATCH($K549,CONFIG!$A$4:$A$43,0)),"Media"))</f>
        <v/>
      </c>
      <c r="M549" s="27">
        <f>IF($K549="","",IFERROR(INDEX(CONFIG!$D$4:$D$43,MATCH($K549,CONFIG!$A$4:$A$43,0)),"NO"))</f>
        <v/>
      </c>
      <c r="N549" s="49" t="n"/>
      <c r="O549" s="27">
        <f>IF($N549="","",IFERROR(INDEX(CONFIG!$G$4:$G$43,MATCH($N549,CONFIG!$F$4:$F$43,0)),"Por definir"))</f>
        <v/>
      </c>
      <c r="P549" s="27">
        <f>IF($N549="","",IFERROR(INDEX(CONFIG!$H$4:$H$43,MATCH($N549,CONFIG!$F$4:$F$43,0)),"Por definir"))</f>
        <v/>
      </c>
      <c r="Q549" s="50" t="n"/>
      <c r="R549" s="51" t="n"/>
      <c r="S549" s="49" t="n"/>
      <c r="T549" s="49" t="n"/>
      <c r="U549" s="48">
        <f>IF(OR($B549="",$K549=""),"",WORKDAY($B549,IFERROR(INDEX(CONFIG!$C$4:$C$43,MATCH($K549,CONFIG!$A$4:$A$43,0)),3)))</f>
        <v/>
      </c>
      <c r="V549" s="46" t="n"/>
      <c r="W549" s="23">
        <f>IF($B549="","",IF($V549&lt;&gt;"",$V549-$B549,TODAY()-$B549))</f>
        <v/>
      </c>
      <c r="X549" s="27">
        <f>IF($C549="","",IF(IFERROR(INDEX(CONFIG!$K$4:$K$43,MATCH($S549,CONFIG!$J$4:$J$43,0)),"NO")="SÍ",IF(OR($V549="",$U549=""),"Resuelta",IF($V549&gt;$U549,"Resuelta tarde","Resuelta a tiempo")),IF($U549="","Sin clasificar",IF(TODAY()&gt;$U549,"Vencida",IF(TODAY()&gt;=$U549-1,"Por vencer","En plazo")))))</f>
        <v/>
      </c>
      <c r="Y549" s="49" t="n"/>
      <c r="Z549" s="49" t="n"/>
    </row>
    <row r="550" ht="16" customHeight="1">
      <c r="A550" s="27">
        <f>IF($C550="","","N-"&amp;TEXT(ROW()-3,"0000"))</f>
        <v/>
      </c>
      <c r="B550" s="46" t="n"/>
      <c r="C550" s="47" t="n"/>
      <c r="D550" s="27">
        <f>IF($C550="","",IF(COUNTIFS(ENVIOS!$A$4:$A$3003,$C550)=0,"NO EXISTE",IF(COUNTIFS(ENVIOS!$A$4:$A$3003,$C550)&gt;1,"DUPLICADA","OK")))</f>
        <v/>
      </c>
      <c r="E550" s="22">
        <f>IF($C550="","",IFERROR(INDEX(ENVIOS!$C$4:$C$3003,MATCH($C550,ENVIOS!$A$4:$A$3003,0)),"—"))</f>
        <v/>
      </c>
      <c r="F550" s="22">
        <f>IF($C550="","",IFERROR(INDEX(ENVIOS!$D$4:$D$3003,MATCH($C550,ENVIOS!$A$4:$A$3003,0)),"—"))</f>
        <v/>
      </c>
      <c r="G550" s="22">
        <f>IF($C550="","",IFERROR(INDEX(ENVIOS!$E$4:$E$3003,MATCH($C550,ENVIOS!$A$4:$A$3003,0)),"—"))</f>
        <v/>
      </c>
      <c r="H550" s="22">
        <f>IF($C550="","",IFERROR(INDEX(ENVIOS!$F$4:$F$3003,MATCH($C550,ENVIOS!$A$4:$A$3003,0)),"—"))</f>
        <v/>
      </c>
      <c r="I550" s="27">
        <f>IF($C550="","",IFERROR(INDEX(ENVIOS!$G$4:$G$3003,MATCH($C550,ENVIOS!$A$4:$A$3003,0)),"—"))</f>
        <v/>
      </c>
      <c r="J550" s="48">
        <f>IF($C550="","",IFERROR(INDEX(ENVIOS!$B$4:$B$3003,MATCH($C550,ENVIOS!$A$4:$A$3003,0)),""))</f>
        <v/>
      </c>
      <c r="K550" s="49" t="n"/>
      <c r="L550" s="27">
        <f>IF($K550="","",IFERROR(INDEX(CONFIG!$B$4:$B$43,MATCH($K550,CONFIG!$A$4:$A$43,0)),"Media"))</f>
        <v/>
      </c>
      <c r="M550" s="27">
        <f>IF($K550="","",IFERROR(INDEX(CONFIG!$D$4:$D$43,MATCH($K550,CONFIG!$A$4:$A$43,0)),"NO"))</f>
        <v/>
      </c>
      <c r="N550" s="49" t="n"/>
      <c r="O550" s="27">
        <f>IF($N550="","",IFERROR(INDEX(CONFIG!$G$4:$G$43,MATCH($N550,CONFIG!$F$4:$F$43,0)),"Por definir"))</f>
        <v/>
      </c>
      <c r="P550" s="27">
        <f>IF($N550="","",IFERROR(INDEX(CONFIG!$H$4:$H$43,MATCH($N550,CONFIG!$F$4:$F$43,0)),"Por definir"))</f>
        <v/>
      </c>
      <c r="Q550" s="50" t="n"/>
      <c r="R550" s="51" t="n"/>
      <c r="S550" s="49" t="n"/>
      <c r="T550" s="49" t="n"/>
      <c r="U550" s="48">
        <f>IF(OR($B550="",$K550=""),"",WORKDAY($B550,IFERROR(INDEX(CONFIG!$C$4:$C$43,MATCH($K550,CONFIG!$A$4:$A$43,0)),3)))</f>
        <v/>
      </c>
      <c r="V550" s="46" t="n"/>
      <c r="W550" s="23">
        <f>IF($B550="","",IF($V550&lt;&gt;"",$V550-$B550,TODAY()-$B550))</f>
        <v/>
      </c>
      <c r="X550" s="27">
        <f>IF($C550="","",IF(IFERROR(INDEX(CONFIG!$K$4:$K$43,MATCH($S550,CONFIG!$J$4:$J$43,0)),"NO")="SÍ",IF(OR($V550="",$U550=""),"Resuelta",IF($V550&gt;$U550,"Resuelta tarde","Resuelta a tiempo")),IF($U550="","Sin clasificar",IF(TODAY()&gt;$U550,"Vencida",IF(TODAY()&gt;=$U550-1,"Por vencer","En plazo")))))</f>
        <v/>
      </c>
      <c r="Y550" s="49" t="n"/>
      <c r="Z550" s="49" t="n"/>
    </row>
    <row r="551" ht="16" customHeight="1">
      <c r="A551" s="27">
        <f>IF($C551="","","N-"&amp;TEXT(ROW()-3,"0000"))</f>
        <v/>
      </c>
      <c r="B551" s="46" t="n"/>
      <c r="C551" s="47" t="n"/>
      <c r="D551" s="27">
        <f>IF($C551="","",IF(COUNTIFS(ENVIOS!$A$4:$A$3003,$C551)=0,"NO EXISTE",IF(COUNTIFS(ENVIOS!$A$4:$A$3003,$C551)&gt;1,"DUPLICADA","OK")))</f>
        <v/>
      </c>
      <c r="E551" s="22">
        <f>IF($C551="","",IFERROR(INDEX(ENVIOS!$C$4:$C$3003,MATCH($C551,ENVIOS!$A$4:$A$3003,0)),"—"))</f>
        <v/>
      </c>
      <c r="F551" s="22">
        <f>IF($C551="","",IFERROR(INDEX(ENVIOS!$D$4:$D$3003,MATCH($C551,ENVIOS!$A$4:$A$3003,0)),"—"))</f>
        <v/>
      </c>
      <c r="G551" s="22">
        <f>IF($C551="","",IFERROR(INDEX(ENVIOS!$E$4:$E$3003,MATCH($C551,ENVIOS!$A$4:$A$3003,0)),"—"))</f>
        <v/>
      </c>
      <c r="H551" s="22">
        <f>IF($C551="","",IFERROR(INDEX(ENVIOS!$F$4:$F$3003,MATCH($C551,ENVIOS!$A$4:$A$3003,0)),"—"))</f>
        <v/>
      </c>
      <c r="I551" s="27">
        <f>IF($C551="","",IFERROR(INDEX(ENVIOS!$G$4:$G$3003,MATCH($C551,ENVIOS!$A$4:$A$3003,0)),"—"))</f>
        <v/>
      </c>
      <c r="J551" s="48">
        <f>IF($C551="","",IFERROR(INDEX(ENVIOS!$B$4:$B$3003,MATCH($C551,ENVIOS!$A$4:$A$3003,0)),""))</f>
        <v/>
      </c>
      <c r="K551" s="49" t="n"/>
      <c r="L551" s="27">
        <f>IF($K551="","",IFERROR(INDEX(CONFIG!$B$4:$B$43,MATCH($K551,CONFIG!$A$4:$A$43,0)),"Media"))</f>
        <v/>
      </c>
      <c r="M551" s="27">
        <f>IF($K551="","",IFERROR(INDEX(CONFIG!$D$4:$D$43,MATCH($K551,CONFIG!$A$4:$A$43,0)),"NO"))</f>
        <v/>
      </c>
      <c r="N551" s="49" t="n"/>
      <c r="O551" s="27">
        <f>IF($N551="","",IFERROR(INDEX(CONFIG!$G$4:$G$43,MATCH($N551,CONFIG!$F$4:$F$43,0)),"Por definir"))</f>
        <v/>
      </c>
      <c r="P551" s="27">
        <f>IF($N551="","",IFERROR(INDEX(CONFIG!$H$4:$H$43,MATCH($N551,CONFIG!$F$4:$F$43,0)),"Por definir"))</f>
        <v/>
      </c>
      <c r="Q551" s="50" t="n"/>
      <c r="R551" s="51" t="n"/>
      <c r="S551" s="49" t="n"/>
      <c r="T551" s="49" t="n"/>
      <c r="U551" s="48">
        <f>IF(OR($B551="",$K551=""),"",WORKDAY($B551,IFERROR(INDEX(CONFIG!$C$4:$C$43,MATCH($K551,CONFIG!$A$4:$A$43,0)),3)))</f>
        <v/>
      </c>
      <c r="V551" s="46" t="n"/>
      <c r="W551" s="23">
        <f>IF($B551="","",IF($V551&lt;&gt;"",$V551-$B551,TODAY()-$B551))</f>
        <v/>
      </c>
      <c r="X551" s="27">
        <f>IF($C551="","",IF(IFERROR(INDEX(CONFIG!$K$4:$K$43,MATCH($S551,CONFIG!$J$4:$J$43,0)),"NO")="SÍ",IF(OR($V551="",$U551=""),"Resuelta",IF($V551&gt;$U551,"Resuelta tarde","Resuelta a tiempo")),IF($U551="","Sin clasificar",IF(TODAY()&gt;$U551,"Vencida",IF(TODAY()&gt;=$U551-1,"Por vencer","En plazo")))))</f>
        <v/>
      </c>
      <c r="Y551" s="49" t="n"/>
      <c r="Z551" s="49" t="n"/>
    </row>
    <row r="552" ht="16" customHeight="1">
      <c r="A552" s="27">
        <f>IF($C552="","","N-"&amp;TEXT(ROW()-3,"0000"))</f>
        <v/>
      </c>
      <c r="B552" s="46" t="n"/>
      <c r="C552" s="47" t="n"/>
      <c r="D552" s="27">
        <f>IF($C552="","",IF(COUNTIFS(ENVIOS!$A$4:$A$3003,$C552)=0,"NO EXISTE",IF(COUNTIFS(ENVIOS!$A$4:$A$3003,$C552)&gt;1,"DUPLICADA","OK")))</f>
        <v/>
      </c>
      <c r="E552" s="22">
        <f>IF($C552="","",IFERROR(INDEX(ENVIOS!$C$4:$C$3003,MATCH($C552,ENVIOS!$A$4:$A$3003,0)),"—"))</f>
        <v/>
      </c>
      <c r="F552" s="22">
        <f>IF($C552="","",IFERROR(INDEX(ENVIOS!$D$4:$D$3003,MATCH($C552,ENVIOS!$A$4:$A$3003,0)),"—"))</f>
        <v/>
      </c>
      <c r="G552" s="22">
        <f>IF($C552="","",IFERROR(INDEX(ENVIOS!$E$4:$E$3003,MATCH($C552,ENVIOS!$A$4:$A$3003,0)),"—"))</f>
        <v/>
      </c>
      <c r="H552" s="22">
        <f>IF($C552="","",IFERROR(INDEX(ENVIOS!$F$4:$F$3003,MATCH($C552,ENVIOS!$A$4:$A$3003,0)),"—"))</f>
        <v/>
      </c>
      <c r="I552" s="27">
        <f>IF($C552="","",IFERROR(INDEX(ENVIOS!$G$4:$G$3003,MATCH($C552,ENVIOS!$A$4:$A$3003,0)),"—"))</f>
        <v/>
      </c>
      <c r="J552" s="48">
        <f>IF($C552="","",IFERROR(INDEX(ENVIOS!$B$4:$B$3003,MATCH($C552,ENVIOS!$A$4:$A$3003,0)),""))</f>
        <v/>
      </c>
      <c r="K552" s="49" t="n"/>
      <c r="L552" s="27">
        <f>IF($K552="","",IFERROR(INDEX(CONFIG!$B$4:$B$43,MATCH($K552,CONFIG!$A$4:$A$43,0)),"Media"))</f>
        <v/>
      </c>
      <c r="M552" s="27">
        <f>IF($K552="","",IFERROR(INDEX(CONFIG!$D$4:$D$43,MATCH($K552,CONFIG!$A$4:$A$43,0)),"NO"))</f>
        <v/>
      </c>
      <c r="N552" s="49" t="n"/>
      <c r="O552" s="27">
        <f>IF($N552="","",IFERROR(INDEX(CONFIG!$G$4:$G$43,MATCH($N552,CONFIG!$F$4:$F$43,0)),"Por definir"))</f>
        <v/>
      </c>
      <c r="P552" s="27">
        <f>IF($N552="","",IFERROR(INDEX(CONFIG!$H$4:$H$43,MATCH($N552,CONFIG!$F$4:$F$43,0)),"Por definir"))</f>
        <v/>
      </c>
      <c r="Q552" s="50" t="n"/>
      <c r="R552" s="51" t="n"/>
      <c r="S552" s="49" t="n"/>
      <c r="T552" s="49" t="n"/>
      <c r="U552" s="48">
        <f>IF(OR($B552="",$K552=""),"",WORKDAY($B552,IFERROR(INDEX(CONFIG!$C$4:$C$43,MATCH($K552,CONFIG!$A$4:$A$43,0)),3)))</f>
        <v/>
      </c>
      <c r="V552" s="46" t="n"/>
      <c r="W552" s="23">
        <f>IF($B552="","",IF($V552&lt;&gt;"",$V552-$B552,TODAY()-$B552))</f>
        <v/>
      </c>
      <c r="X552" s="27">
        <f>IF($C552="","",IF(IFERROR(INDEX(CONFIG!$K$4:$K$43,MATCH($S552,CONFIG!$J$4:$J$43,0)),"NO")="SÍ",IF(OR($V552="",$U552=""),"Resuelta",IF($V552&gt;$U552,"Resuelta tarde","Resuelta a tiempo")),IF($U552="","Sin clasificar",IF(TODAY()&gt;$U552,"Vencida",IF(TODAY()&gt;=$U552-1,"Por vencer","En plazo")))))</f>
        <v/>
      </c>
      <c r="Y552" s="49" t="n"/>
      <c r="Z552" s="49" t="n"/>
    </row>
    <row r="553" ht="16" customHeight="1">
      <c r="A553" s="27">
        <f>IF($C553="","","N-"&amp;TEXT(ROW()-3,"0000"))</f>
        <v/>
      </c>
      <c r="B553" s="46" t="n"/>
      <c r="C553" s="47" t="n"/>
      <c r="D553" s="27">
        <f>IF($C553="","",IF(COUNTIFS(ENVIOS!$A$4:$A$3003,$C553)=0,"NO EXISTE",IF(COUNTIFS(ENVIOS!$A$4:$A$3003,$C553)&gt;1,"DUPLICADA","OK")))</f>
        <v/>
      </c>
      <c r="E553" s="22">
        <f>IF($C553="","",IFERROR(INDEX(ENVIOS!$C$4:$C$3003,MATCH($C553,ENVIOS!$A$4:$A$3003,0)),"—"))</f>
        <v/>
      </c>
      <c r="F553" s="22">
        <f>IF($C553="","",IFERROR(INDEX(ENVIOS!$D$4:$D$3003,MATCH($C553,ENVIOS!$A$4:$A$3003,0)),"—"))</f>
        <v/>
      </c>
      <c r="G553" s="22">
        <f>IF($C553="","",IFERROR(INDEX(ENVIOS!$E$4:$E$3003,MATCH($C553,ENVIOS!$A$4:$A$3003,0)),"—"))</f>
        <v/>
      </c>
      <c r="H553" s="22">
        <f>IF($C553="","",IFERROR(INDEX(ENVIOS!$F$4:$F$3003,MATCH($C553,ENVIOS!$A$4:$A$3003,0)),"—"))</f>
        <v/>
      </c>
      <c r="I553" s="27">
        <f>IF($C553="","",IFERROR(INDEX(ENVIOS!$G$4:$G$3003,MATCH($C553,ENVIOS!$A$4:$A$3003,0)),"—"))</f>
        <v/>
      </c>
      <c r="J553" s="48">
        <f>IF($C553="","",IFERROR(INDEX(ENVIOS!$B$4:$B$3003,MATCH($C553,ENVIOS!$A$4:$A$3003,0)),""))</f>
        <v/>
      </c>
      <c r="K553" s="49" t="n"/>
      <c r="L553" s="27">
        <f>IF($K553="","",IFERROR(INDEX(CONFIG!$B$4:$B$43,MATCH($K553,CONFIG!$A$4:$A$43,0)),"Media"))</f>
        <v/>
      </c>
      <c r="M553" s="27">
        <f>IF($K553="","",IFERROR(INDEX(CONFIG!$D$4:$D$43,MATCH($K553,CONFIG!$A$4:$A$43,0)),"NO"))</f>
        <v/>
      </c>
      <c r="N553" s="49" t="n"/>
      <c r="O553" s="27">
        <f>IF($N553="","",IFERROR(INDEX(CONFIG!$G$4:$G$43,MATCH($N553,CONFIG!$F$4:$F$43,0)),"Por definir"))</f>
        <v/>
      </c>
      <c r="P553" s="27">
        <f>IF($N553="","",IFERROR(INDEX(CONFIG!$H$4:$H$43,MATCH($N553,CONFIG!$F$4:$F$43,0)),"Por definir"))</f>
        <v/>
      </c>
      <c r="Q553" s="50" t="n"/>
      <c r="R553" s="51" t="n"/>
      <c r="S553" s="49" t="n"/>
      <c r="T553" s="49" t="n"/>
      <c r="U553" s="48">
        <f>IF(OR($B553="",$K553=""),"",WORKDAY($B553,IFERROR(INDEX(CONFIG!$C$4:$C$43,MATCH($K553,CONFIG!$A$4:$A$43,0)),3)))</f>
        <v/>
      </c>
      <c r="V553" s="46" t="n"/>
      <c r="W553" s="23">
        <f>IF($B553="","",IF($V553&lt;&gt;"",$V553-$B553,TODAY()-$B553))</f>
        <v/>
      </c>
      <c r="X553" s="27">
        <f>IF($C553="","",IF(IFERROR(INDEX(CONFIG!$K$4:$K$43,MATCH($S553,CONFIG!$J$4:$J$43,0)),"NO")="SÍ",IF(OR($V553="",$U553=""),"Resuelta",IF($V553&gt;$U553,"Resuelta tarde","Resuelta a tiempo")),IF($U553="","Sin clasificar",IF(TODAY()&gt;$U553,"Vencida",IF(TODAY()&gt;=$U553-1,"Por vencer","En plazo")))))</f>
        <v/>
      </c>
      <c r="Y553" s="49" t="n"/>
      <c r="Z553" s="49" t="n"/>
    </row>
    <row r="554" ht="16" customHeight="1">
      <c r="A554" s="27">
        <f>IF($C554="","","N-"&amp;TEXT(ROW()-3,"0000"))</f>
        <v/>
      </c>
      <c r="B554" s="46" t="n"/>
      <c r="C554" s="47" t="n"/>
      <c r="D554" s="27">
        <f>IF($C554="","",IF(COUNTIFS(ENVIOS!$A$4:$A$3003,$C554)=0,"NO EXISTE",IF(COUNTIFS(ENVIOS!$A$4:$A$3003,$C554)&gt;1,"DUPLICADA","OK")))</f>
        <v/>
      </c>
      <c r="E554" s="22">
        <f>IF($C554="","",IFERROR(INDEX(ENVIOS!$C$4:$C$3003,MATCH($C554,ENVIOS!$A$4:$A$3003,0)),"—"))</f>
        <v/>
      </c>
      <c r="F554" s="22">
        <f>IF($C554="","",IFERROR(INDEX(ENVIOS!$D$4:$D$3003,MATCH($C554,ENVIOS!$A$4:$A$3003,0)),"—"))</f>
        <v/>
      </c>
      <c r="G554" s="22">
        <f>IF($C554="","",IFERROR(INDEX(ENVIOS!$E$4:$E$3003,MATCH($C554,ENVIOS!$A$4:$A$3003,0)),"—"))</f>
        <v/>
      </c>
      <c r="H554" s="22">
        <f>IF($C554="","",IFERROR(INDEX(ENVIOS!$F$4:$F$3003,MATCH($C554,ENVIOS!$A$4:$A$3003,0)),"—"))</f>
        <v/>
      </c>
      <c r="I554" s="27">
        <f>IF($C554="","",IFERROR(INDEX(ENVIOS!$G$4:$G$3003,MATCH($C554,ENVIOS!$A$4:$A$3003,0)),"—"))</f>
        <v/>
      </c>
      <c r="J554" s="48">
        <f>IF($C554="","",IFERROR(INDEX(ENVIOS!$B$4:$B$3003,MATCH($C554,ENVIOS!$A$4:$A$3003,0)),""))</f>
        <v/>
      </c>
      <c r="K554" s="49" t="n"/>
      <c r="L554" s="27">
        <f>IF($K554="","",IFERROR(INDEX(CONFIG!$B$4:$B$43,MATCH($K554,CONFIG!$A$4:$A$43,0)),"Media"))</f>
        <v/>
      </c>
      <c r="M554" s="27">
        <f>IF($K554="","",IFERROR(INDEX(CONFIG!$D$4:$D$43,MATCH($K554,CONFIG!$A$4:$A$43,0)),"NO"))</f>
        <v/>
      </c>
      <c r="N554" s="49" t="n"/>
      <c r="O554" s="27">
        <f>IF($N554="","",IFERROR(INDEX(CONFIG!$G$4:$G$43,MATCH($N554,CONFIG!$F$4:$F$43,0)),"Por definir"))</f>
        <v/>
      </c>
      <c r="P554" s="27">
        <f>IF($N554="","",IFERROR(INDEX(CONFIG!$H$4:$H$43,MATCH($N554,CONFIG!$F$4:$F$43,0)),"Por definir"))</f>
        <v/>
      </c>
      <c r="Q554" s="50" t="n"/>
      <c r="R554" s="51" t="n"/>
      <c r="S554" s="49" t="n"/>
      <c r="T554" s="49" t="n"/>
      <c r="U554" s="48">
        <f>IF(OR($B554="",$K554=""),"",WORKDAY($B554,IFERROR(INDEX(CONFIG!$C$4:$C$43,MATCH($K554,CONFIG!$A$4:$A$43,0)),3)))</f>
        <v/>
      </c>
      <c r="V554" s="46" t="n"/>
      <c r="W554" s="23">
        <f>IF($B554="","",IF($V554&lt;&gt;"",$V554-$B554,TODAY()-$B554))</f>
        <v/>
      </c>
      <c r="X554" s="27">
        <f>IF($C554="","",IF(IFERROR(INDEX(CONFIG!$K$4:$K$43,MATCH($S554,CONFIG!$J$4:$J$43,0)),"NO")="SÍ",IF(OR($V554="",$U554=""),"Resuelta",IF($V554&gt;$U554,"Resuelta tarde","Resuelta a tiempo")),IF($U554="","Sin clasificar",IF(TODAY()&gt;$U554,"Vencida",IF(TODAY()&gt;=$U554-1,"Por vencer","En plazo")))))</f>
        <v/>
      </c>
      <c r="Y554" s="49" t="n"/>
      <c r="Z554" s="49" t="n"/>
    </row>
    <row r="555" ht="16" customHeight="1">
      <c r="A555" s="27">
        <f>IF($C555="","","N-"&amp;TEXT(ROW()-3,"0000"))</f>
        <v/>
      </c>
      <c r="B555" s="46" t="n"/>
      <c r="C555" s="47" t="n"/>
      <c r="D555" s="27">
        <f>IF($C555="","",IF(COUNTIFS(ENVIOS!$A$4:$A$3003,$C555)=0,"NO EXISTE",IF(COUNTIFS(ENVIOS!$A$4:$A$3003,$C555)&gt;1,"DUPLICADA","OK")))</f>
        <v/>
      </c>
      <c r="E555" s="22">
        <f>IF($C555="","",IFERROR(INDEX(ENVIOS!$C$4:$C$3003,MATCH($C555,ENVIOS!$A$4:$A$3003,0)),"—"))</f>
        <v/>
      </c>
      <c r="F555" s="22">
        <f>IF($C555="","",IFERROR(INDEX(ENVIOS!$D$4:$D$3003,MATCH($C555,ENVIOS!$A$4:$A$3003,0)),"—"))</f>
        <v/>
      </c>
      <c r="G555" s="22">
        <f>IF($C555="","",IFERROR(INDEX(ENVIOS!$E$4:$E$3003,MATCH($C555,ENVIOS!$A$4:$A$3003,0)),"—"))</f>
        <v/>
      </c>
      <c r="H555" s="22">
        <f>IF($C555="","",IFERROR(INDEX(ENVIOS!$F$4:$F$3003,MATCH($C555,ENVIOS!$A$4:$A$3003,0)),"—"))</f>
        <v/>
      </c>
      <c r="I555" s="27">
        <f>IF($C555="","",IFERROR(INDEX(ENVIOS!$G$4:$G$3003,MATCH($C555,ENVIOS!$A$4:$A$3003,0)),"—"))</f>
        <v/>
      </c>
      <c r="J555" s="48">
        <f>IF($C555="","",IFERROR(INDEX(ENVIOS!$B$4:$B$3003,MATCH($C555,ENVIOS!$A$4:$A$3003,0)),""))</f>
        <v/>
      </c>
      <c r="K555" s="49" t="n"/>
      <c r="L555" s="27">
        <f>IF($K555="","",IFERROR(INDEX(CONFIG!$B$4:$B$43,MATCH($K555,CONFIG!$A$4:$A$43,0)),"Media"))</f>
        <v/>
      </c>
      <c r="M555" s="27">
        <f>IF($K555="","",IFERROR(INDEX(CONFIG!$D$4:$D$43,MATCH($K555,CONFIG!$A$4:$A$43,0)),"NO"))</f>
        <v/>
      </c>
      <c r="N555" s="49" t="n"/>
      <c r="O555" s="27">
        <f>IF($N555="","",IFERROR(INDEX(CONFIG!$G$4:$G$43,MATCH($N555,CONFIG!$F$4:$F$43,0)),"Por definir"))</f>
        <v/>
      </c>
      <c r="P555" s="27">
        <f>IF($N555="","",IFERROR(INDEX(CONFIG!$H$4:$H$43,MATCH($N555,CONFIG!$F$4:$F$43,0)),"Por definir"))</f>
        <v/>
      </c>
      <c r="Q555" s="50" t="n"/>
      <c r="R555" s="51" t="n"/>
      <c r="S555" s="49" t="n"/>
      <c r="T555" s="49" t="n"/>
      <c r="U555" s="48">
        <f>IF(OR($B555="",$K555=""),"",WORKDAY($B555,IFERROR(INDEX(CONFIG!$C$4:$C$43,MATCH($K555,CONFIG!$A$4:$A$43,0)),3)))</f>
        <v/>
      </c>
      <c r="V555" s="46" t="n"/>
      <c r="W555" s="23">
        <f>IF($B555="","",IF($V555&lt;&gt;"",$V555-$B555,TODAY()-$B555))</f>
        <v/>
      </c>
      <c r="X555" s="27">
        <f>IF($C555="","",IF(IFERROR(INDEX(CONFIG!$K$4:$K$43,MATCH($S555,CONFIG!$J$4:$J$43,0)),"NO")="SÍ",IF(OR($V555="",$U555=""),"Resuelta",IF($V555&gt;$U555,"Resuelta tarde","Resuelta a tiempo")),IF($U555="","Sin clasificar",IF(TODAY()&gt;$U555,"Vencida",IF(TODAY()&gt;=$U555-1,"Por vencer","En plazo")))))</f>
        <v/>
      </c>
      <c r="Y555" s="49" t="n"/>
      <c r="Z555" s="49" t="n"/>
    </row>
    <row r="556" ht="16" customHeight="1">
      <c r="A556" s="27">
        <f>IF($C556="","","N-"&amp;TEXT(ROW()-3,"0000"))</f>
        <v/>
      </c>
      <c r="B556" s="46" t="n"/>
      <c r="C556" s="47" t="n"/>
      <c r="D556" s="27">
        <f>IF($C556="","",IF(COUNTIFS(ENVIOS!$A$4:$A$3003,$C556)=0,"NO EXISTE",IF(COUNTIFS(ENVIOS!$A$4:$A$3003,$C556)&gt;1,"DUPLICADA","OK")))</f>
        <v/>
      </c>
      <c r="E556" s="22">
        <f>IF($C556="","",IFERROR(INDEX(ENVIOS!$C$4:$C$3003,MATCH($C556,ENVIOS!$A$4:$A$3003,0)),"—"))</f>
        <v/>
      </c>
      <c r="F556" s="22">
        <f>IF($C556="","",IFERROR(INDEX(ENVIOS!$D$4:$D$3003,MATCH($C556,ENVIOS!$A$4:$A$3003,0)),"—"))</f>
        <v/>
      </c>
      <c r="G556" s="22">
        <f>IF($C556="","",IFERROR(INDEX(ENVIOS!$E$4:$E$3003,MATCH($C556,ENVIOS!$A$4:$A$3003,0)),"—"))</f>
        <v/>
      </c>
      <c r="H556" s="22">
        <f>IF($C556="","",IFERROR(INDEX(ENVIOS!$F$4:$F$3003,MATCH($C556,ENVIOS!$A$4:$A$3003,0)),"—"))</f>
        <v/>
      </c>
      <c r="I556" s="27">
        <f>IF($C556="","",IFERROR(INDEX(ENVIOS!$G$4:$G$3003,MATCH($C556,ENVIOS!$A$4:$A$3003,0)),"—"))</f>
        <v/>
      </c>
      <c r="J556" s="48">
        <f>IF($C556="","",IFERROR(INDEX(ENVIOS!$B$4:$B$3003,MATCH($C556,ENVIOS!$A$4:$A$3003,0)),""))</f>
        <v/>
      </c>
      <c r="K556" s="49" t="n"/>
      <c r="L556" s="27">
        <f>IF($K556="","",IFERROR(INDEX(CONFIG!$B$4:$B$43,MATCH($K556,CONFIG!$A$4:$A$43,0)),"Media"))</f>
        <v/>
      </c>
      <c r="M556" s="27">
        <f>IF($K556="","",IFERROR(INDEX(CONFIG!$D$4:$D$43,MATCH($K556,CONFIG!$A$4:$A$43,0)),"NO"))</f>
        <v/>
      </c>
      <c r="N556" s="49" t="n"/>
      <c r="O556" s="27">
        <f>IF($N556="","",IFERROR(INDEX(CONFIG!$G$4:$G$43,MATCH($N556,CONFIG!$F$4:$F$43,0)),"Por definir"))</f>
        <v/>
      </c>
      <c r="P556" s="27">
        <f>IF($N556="","",IFERROR(INDEX(CONFIG!$H$4:$H$43,MATCH($N556,CONFIG!$F$4:$F$43,0)),"Por definir"))</f>
        <v/>
      </c>
      <c r="Q556" s="50" t="n"/>
      <c r="R556" s="51" t="n"/>
      <c r="S556" s="49" t="n"/>
      <c r="T556" s="49" t="n"/>
      <c r="U556" s="48">
        <f>IF(OR($B556="",$K556=""),"",WORKDAY($B556,IFERROR(INDEX(CONFIG!$C$4:$C$43,MATCH($K556,CONFIG!$A$4:$A$43,0)),3)))</f>
        <v/>
      </c>
      <c r="V556" s="46" t="n"/>
      <c r="W556" s="23">
        <f>IF($B556="","",IF($V556&lt;&gt;"",$V556-$B556,TODAY()-$B556))</f>
        <v/>
      </c>
      <c r="X556" s="27">
        <f>IF($C556="","",IF(IFERROR(INDEX(CONFIG!$K$4:$K$43,MATCH($S556,CONFIG!$J$4:$J$43,0)),"NO")="SÍ",IF(OR($V556="",$U556=""),"Resuelta",IF($V556&gt;$U556,"Resuelta tarde","Resuelta a tiempo")),IF($U556="","Sin clasificar",IF(TODAY()&gt;$U556,"Vencida",IF(TODAY()&gt;=$U556-1,"Por vencer","En plazo")))))</f>
        <v/>
      </c>
      <c r="Y556" s="49" t="n"/>
      <c r="Z556" s="49" t="n"/>
    </row>
    <row r="557" ht="16" customHeight="1">
      <c r="A557" s="27">
        <f>IF($C557="","","N-"&amp;TEXT(ROW()-3,"0000"))</f>
        <v/>
      </c>
      <c r="B557" s="46" t="n"/>
      <c r="C557" s="47" t="n"/>
      <c r="D557" s="27">
        <f>IF($C557="","",IF(COUNTIFS(ENVIOS!$A$4:$A$3003,$C557)=0,"NO EXISTE",IF(COUNTIFS(ENVIOS!$A$4:$A$3003,$C557)&gt;1,"DUPLICADA","OK")))</f>
        <v/>
      </c>
      <c r="E557" s="22">
        <f>IF($C557="","",IFERROR(INDEX(ENVIOS!$C$4:$C$3003,MATCH($C557,ENVIOS!$A$4:$A$3003,0)),"—"))</f>
        <v/>
      </c>
      <c r="F557" s="22">
        <f>IF($C557="","",IFERROR(INDEX(ENVIOS!$D$4:$D$3003,MATCH($C557,ENVIOS!$A$4:$A$3003,0)),"—"))</f>
        <v/>
      </c>
      <c r="G557" s="22">
        <f>IF($C557="","",IFERROR(INDEX(ENVIOS!$E$4:$E$3003,MATCH($C557,ENVIOS!$A$4:$A$3003,0)),"—"))</f>
        <v/>
      </c>
      <c r="H557" s="22">
        <f>IF($C557="","",IFERROR(INDEX(ENVIOS!$F$4:$F$3003,MATCH($C557,ENVIOS!$A$4:$A$3003,0)),"—"))</f>
        <v/>
      </c>
      <c r="I557" s="27">
        <f>IF($C557="","",IFERROR(INDEX(ENVIOS!$G$4:$G$3003,MATCH($C557,ENVIOS!$A$4:$A$3003,0)),"—"))</f>
        <v/>
      </c>
      <c r="J557" s="48">
        <f>IF($C557="","",IFERROR(INDEX(ENVIOS!$B$4:$B$3003,MATCH($C557,ENVIOS!$A$4:$A$3003,0)),""))</f>
        <v/>
      </c>
      <c r="K557" s="49" t="n"/>
      <c r="L557" s="27">
        <f>IF($K557="","",IFERROR(INDEX(CONFIG!$B$4:$B$43,MATCH($K557,CONFIG!$A$4:$A$43,0)),"Media"))</f>
        <v/>
      </c>
      <c r="M557" s="27">
        <f>IF($K557="","",IFERROR(INDEX(CONFIG!$D$4:$D$43,MATCH($K557,CONFIG!$A$4:$A$43,0)),"NO"))</f>
        <v/>
      </c>
      <c r="N557" s="49" t="n"/>
      <c r="O557" s="27">
        <f>IF($N557="","",IFERROR(INDEX(CONFIG!$G$4:$G$43,MATCH($N557,CONFIG!$F$4:$F$43,0)),"Por definir"))</f>
        <v/>
      </c>
      <c r="P557" s="27">
        <f>IF($N557="","",IFERROR(INDEX(CONFIG!$H$4:$H$43,MATCH($N557,CONFIG!$F$4:$F$43,0)),"Por definir"))</f>
        <v/>
      </c>
      <c r="Q557" s="50" t="n"/>
      <c r="R557" s="51" t="n"/>
      <c r="S557" s="49" t="n"/>
      <c r="T557" s="49" t="n"/>
      <c r="U557" s="48">
        <f>IF(OR($B557="",$K557=""),"",WORKDAY($B557,IFERROR(INDEX(CONFIG!$C$4:$C$43,MATCH($K557,CONFIG!$A$4:$A$43,0)),3)))</f>
        <v/>
      </c>
      <c r="V557" s="46" t="n"/>
      <c r="W557" s="23">
        <f>IF($B557="","",IF($V557&lt;&gt;"",$V557-$B557,TODAY()-$B557))</f>
        <v/>
      </c>
      <c r="X557" s="27">
        <f>IF($C557="","",IF(IFERROR(INDEX(CONFIG!$K$4:$K$43,MATCH($S557,CONFIG!$J$4:$J$43,0)),"NO")="SÍ",IF(OR($V557="",$U557=""),"Resuelta",IF($V557&gt;$U557,"Resuelta tarde","Resuelta a tiempo")),IF($U557="","Sin clasificar",IF(TODAY()&gt;$U557,"Vencida",IF(TODAY()&gt;=$U557-1,"Por vencer","En plazo")))))</f>
        <v/>
      </c>
      <c r="Y557" s="49" t="n"/>
      <c r="Z557" s="49" t="n"/>
    </row>
    <row r="558" ht="16" customHeight="1">
      <c r="A558" s="27">
        <f>IF($C558="","","N-"&amp;TEXT(ROW()-3,"0000"))</f>
        <v/>
      </c>
      <c r="B558" s="46" t="n"/>
      <c r="C558" s="47" t="n"/>
      <c r="D558" s="27">
        <f>IF($C558="","",IF(COUNTIFS(ENVIOS!$A$4:$A$3003,$C558)=0,"NO EXISTE",IF(COUNTIFS(ENVIOS!$A$4:$A$3003,$C558)&gt;1,"DUPLICADA","OK")))</f>
        <v/>
      </c>
      <c r="E558" s="22">
        <f>IF($C558="","",IFERROR(INDEX(ENVIOS!$C$4:$C$3003,MATCH($C558,ENVIOS!$A$4:$A$3003,0)),"—"))</f>
        <v/>
      </c>
      <c r="F558" s="22">
        <f>IF($C558="","",IFERROR(INDEX(ENVIOS!$D$4:$D$3003,MATCH($C558,ENVIOS!$A$4:$A$3003,0)),"—"))</f>
        <v/>
      </c>
      <c r="G558" s="22">
        <f>IF($C558="","",IFERROR(INDEX(ENVIOS!$E$4:$E$3003,MATCH($C558,ENVIOS!$A$4:$A$3003,0)),"—"))</f>
        <v/>
      </c>
      <c r="H558" s="22">
        <f>IF($C558="","",IFERROR(INDEX(ENVIOS!$F$4:$F$3003,MATCH($C558,ENVIOS!$A$4:$A$3003,0)),"—"))</f>
        <v/>
      </c>
      <c r="I558" s="27">
        <f>IF($C558="","",IFERROR(INDEX(ENVIOS!$G$4:$G$3003,MATCH($C558,ENVIOS!$A$4:$A$3003,0)),"—"))</f>
        <v/>
      </c>
      <c r="J558" s="48">
        <f>IF($C558="","",IFERROR(INDEX(ENVIOS!$B$4:$B$3003,MATCH($C558,ENVIOS!$A$4:$A$3003,0)),""))</f>
        <v/>
      </c>
      <c r="K558" s="49" t="n"/>
      <c r="L558" s="27">
        <f>IF($K558="","",IFERROR(INDEX(CONFIG!$B$4:$B$43,MATCH($K558,CONFIG!$A$4:$A$43,0)),"Media"))</f>
        <v/>
      </c>
      <c r="M558" s="27">
        <f>IF($K558="","",IFERROR(INDEX(CONFIG!$D$4:$D$43,MATCH($K558,CONFIG!$A$4:$A$43,0)),"NO"))</f>
        <v/>
      </c>
      <c r="N558" s="49" t="n"/>
      <c r="O558" s="27">
        <f>IF($N558="","",IFERROR(INDEX(CONFIG!$G$4:$G$43,MATCH($N558,CONFIG!$F$4:$F$43,0)),"Por definir"))</f>
        <v/>
      </c>
      <c r="P558" s="27">
        <f>IF($N558="","",IFERROR(INDEX(CONFIG!$H$4:$H$43,MATCH($N558,CONFIG!$F$4:$F$43,0)),"Por definir"))</f>
        <v/>
      </c>
      <c r="Q558" s="50" t="n"/>
      <c r="R558" s="51" t="n"/>
      <c r="S558" s="49" t="n"/>
      <c r="T558" s="49" t="n"/>
      <c r="U558" s="48">
        <f>IF(OR($B558="",$K558=""),"",WORKDAY($B558,IFERROR(INDEX(CONFIG!$C$4:$C$43,MATCH($K558,CONFIG!$A$4:$A$43,0)),3)))</f>
        <v/>
      </c>
      <c r="V558" s="46" t="n"/>
      <c r="W558" s="23">
        <f>IF($B558="","",IF($V558&lt;&gt;"",$V558-$B558,TODAY()-$B558))</f>
        <v/>
      </c>
      <c r="X558" s="27">
        <f>IF($C558="","",IF(IFERROR(INDEX(CONFIG!$K$4:$K$43,MATCH($S558,CONFIG!$J$4:$J$43,0)),"NO")="SÍ",IF(OR($V558="",$U558=""),"Resuelta",IF($V558&gt;$U558,"Resuelta tarde","Resuelta a tiempo")),IF($U558="","Sin clasificar",IF(TODAY()&gt;$U558,"Vencida",IF(TODAY()&gt;=$U558-1,"Por vencer","En plazo")))))</f>
        <v/>
      </c>
      <c r="Y558" s="49" t="n"/>
      <c r="Z558" s="49" t="n"/>
    </row>
    <row r="559" ht="16" customHeight="1">
      <c r="A559" s="27">
        <f>IF($C559="","","N-"&amp;TEXT(ROW()-3,"0000"))</f>
        <v/>
      </c>
      <c r="B559" s="46" t="n"/>
      <c r="C559" s="47" t="n"/>
      <c r="D559" s="27">
        <f>IF($C559="","",IF(COUNTIFS(ENVIOS!$A$4:$A$3003,$C559)=0,"NO EXISTE",IF(COUNTIFS(ENVIOS!$A$4:$A$3003,$C559)&gt;1,"DUPLICADA","OK")))</f>
        <v/>
      </c>
      <c r="E559" s="22">
        <f>IF($C559="","",IFERROR(INDEX(ENVIOS!$C$4:$C$3003,MATCH($C559,ENVIOS!$A$4:$A$3003,0)),"—"))</f>
        <v/>
      </c>
      <c r="F559" s="22">
        <f>IF($C559="","",IFERROR(INDEX(ENVIOS!$D$4:$D$3003,MATCH($C559,ENVIOS!$A$4:$A$3003,0)),"—"))</f>
        <v/>
      </c>
      <c r="G559" s="22">
        <f>IF($C559="","",IFERROR(INDEX(ENVIOS!$E$4:$E$3003,MATCH($C559,ENVIOS!$A$4:$A$3003,0)),"—"))</f>
        <v/>
      </c>
      <c r="H559" s="22">
        <f>IF($C559="","",IFERROR(INDEX(ENVIOS!$F$4:$F$3003,MATCH($C559,ENVIOS!$A$4:$A$3003,0)),"—"))</f>
        <v/>
      </c>
      <c r="I559" s="27">
        <f>IF($C559="","",IFERROR(INDEX(ENVIOS!$G$4:$G$3003,MATCH($C559,ENVIOS!$A$4:$A$3003,0)),"—"))</f>
        <v/>
      </c>
      <c r="J559" s="48">
        <f>IF($C559="","",IFERROR(INDEX(ENVIOS!$B$4:$B$3003,MATCH($C559,ENVIOS!$A$4:$A$3003,0)),""))</f>
        <v/>
      </c>
      <c r="K559" s="49" t="n"/>
      <c r="L559" s="27">
        <f>IF($K559="","",IFERROR(INDEX(CONFIG!$B$4:$B$43,MATCH($K559,CONFIG!$A$4:$A$43,0)),"Media"))</f>
        <v/>
      </c>
      <c r="M559" s="27">
        <f>IF($K559="","",IFERROR(INDEX(CONFIG!$D$4:$D$43,MATCH($K559,CONFIG!$A$4:$A$43,0)),"NO"))</f>
        <v/>
      </c>
      <c r="N559" s="49" t="n"/>
      <c r="O559" s="27">
        <f>IF($N559="","",IFERROR(INDEX(CONFIG!$G$4:$G$43,MATCH($N559,CONFIG!$F$4:$F$43,0)),"Por definir"))</f>
        <v/>
      </c>
      <c r="P559" s="27">
        <f>IF($N559="","",IFERROR(INDEX(CONFIG!$H$4:$H$43,MATCH($N559,CONFIG!$F$4:$F$43,0)),"Por definir"))</f>
        <v/>
      </c>
      <c r="Q559" s="50" t="n"/>
      <c r="R559" s="51" t="n"/>
      <c r="S559" s="49" t="n"/>
      <c r="T559" s="49" t="n"/>
      <c r="U559" s="48">
        <f>IF(OR($B559="",$K559=""),"",WORKDAY($B559,IFERROR(INDEX(CONFIG!$C$4:$C$43,MATCH($K559,CONFIG!$A$4:$A$43,0)),3)))</f>
        <v/>
      </c>
      <c r="V559" s="46" t="n"/>
      <c r="W559" s="23">
        <f>IF($B559="","",IF($V559&lt;&gt;"",$V559-$B559,TODAY()-$B559))</f>
        <v/>
      </c>
      <c r="X559" s="27">
        <f>IF($C559="","",IF(IFERROR(INDEX(CONFIG!$K$4:$K$43,MATCH($S559,CONFIG!$J$4:$J$43,0)),"NO")="SÍ",IF(OR($V559="",$U559=""),"Resuelta",IF($V559&gt;$U559,"Resuelta tarde","Resuelta a tiempo")),IF($U559="","Sin clasificar",IF(TODAY()&gt;$U559,"Vencida",IF(TODAY()&gt;=$U559-1,"Por vencer","En plazo")))))</f>
        <v/>
      </c>
      <c r="Y559" s="49" t="n"/>
      <c r="Z559" s="49" t="n"/>
    </row>
    <row r="560" ht="16" customHeight="1">
      <c r="A560" s="27">
        <f>IF($C560="","","N-"&amp;TEXT(ROW()-3,"0000"))</f>
        <v/>
      </c>
      <c r="B560" s="46" t="n"/>
      <c r="C560" s="47" t="n"/>
      <c r="D560" s="27">
        <f>IF($C560="","",IF(COUNTIFS(ENVIOS!$A$4:$A$3003,$C560)=0,"NO EXISTE",IF(COUNTIFS(ENVIOS!$A$4:$A$3003,$C560)&gt;1,"DUPLICADA","OK")))</f>
        <v/>
      </c>
      <c r="E560" s="22">
        <f>IF($C560="","",IFERROR(INDEX(ENVIOS!$C$4:$C$3003,MATCH($C560,ENVIOS!$A$4:$A$3003,0)),"—"))</f>
        <v/>
      </c>
      <c r="F560" s="22">
        <f>IF($C560="","",IFERROR(INDEX(ENVIOS!$D$4:$D$3003,MATCH($C560,ENVIOS!$A$4:$A$3003,0)),"—"))</f>
        <v/>
      </c>
      <c r="G560" s="22">
        <f>IF($C560="","",IFERROR(INDEX(ENVIOS!$E$4:$E$3003,MATCH($C560,ENVIOS!$A$4:$A$3003,0)),"—"))</f>
        <v/>
      </c>
      <c r="H560" s="22">
        <f>IF($C560="","",IFERROR(INDEX(ENVIOS!$F$4:$F$3003,MATCH($C560,ENVIOS!$A$4:$A$3003,0)),"—"))</f>
        <v/>
      </c>
      <c r="I560" s="27">
        <f>IF($C560="","",IFERROR(INDEX(ENVIOS!$G$4:$G$3003,MATCH($C560,ENVIOS!$A$4:$A$3003,0)),"—"))</f>
        <v/>
      </c>
      <c r="J560" s="48">
        <f>IF($C560="","",IFERROR(INDEX(ENVIOS!$B$4:$B$3003,MATCH($C560,ENVIOS!$A$4:$A$3003,0)),""))</f>
        <v/>
      </c>
      <c r="K560" s="49" t="n"/>
      <c r="L560" s="27">
        <f>IF($K560="","",IFERROR(INDEX(CONFIG!$B$4:$B$43,MATCH($K560,CONFIG!$A$4:$A$43,0)),"Media"))</f>
        <v/>
      </c>
      <c r="M560" s="27">
        <f>IF($K560="","",IFERROR(INDEX(CONFIG!$D$4:$D$43,MATCH($K560,CONFIG!$A$4:$A$43,0)),"NO"))</f>
        <v/>
      </c>
      <c r="N560" s="49" t="n"/>
      <c r="O560" s="27">
        <f>IF($N560="","",IFERROR(INDEX(CONFIG!$G$4:$G$43,MATCH($N560,CONFIG!$F$4:$F$43,0)),"Por definir"))</f>
        <v/>
      </c>
      <c r="P560" s="27">
        <f>IF($N560="","",IFERROR(INDEX(CONFIG!$H$4:$H$43,MATCH($N560,CONFIG!$F$4:$F$43,0)),"Por definir"))</f>
        <v/>
      </c>
      <c r="Q560" s="50" t="n"/>
      <c r="R560" s="51" t="n"/>
      <c r="S560" s="49" t="n"/>
      <c r="T560" s="49" t="n"/>
      <c r="U560" s="48">
        <f>IF(OR($B560="",$K560=""),"",WORKDAY($B560,IFERROR(INDEX(CONFIG!$C$4:$C$43,MATCH($K560,CONFIG!$A$4:$A$43,0)),3)))</f>
        <v/>
      </c>
      <c r="V560" s="46" t="n"/>
      <c r="W560" s="23">
        <f>IF($B560="","",IF($V560&lt;&gt;"",$V560-$B560,TODAY()-$B560))</f>
        <v/>
      </c>
      <c r="X560" s="27">
        <f>IF($C560="","",IF(IFERROR(INDEX(CONFIG!$K$4:$K$43,MATCH($S560,CONFIG!$J$4:$J$43,0)),"NO")="SÍ",IF(OR($V560="",$U560=""),"Resuelta",IF($V560&gt;$U560,"Resuelta tarde","Resuelta a tiempo")),IF($U560="","Sin clasificar",IF(TODAY()&gt;$U560,"Vencida",IF(TODAY()&gt;=$U560-1,"Por vencer","En plazo")))))</f>
        <v/>
      </c>
      <c r="Y560" s="49" t="n"/>
      <c r="Z560" s="49" t="n"/>
    </row>
    <row r="561" ht="16" customHeight="1">
      <c r="A561" s="27">
        <f>IF($C561="","","N-"&amp;TEXT(ROW()-3,"0000"))</f>
        <v/>
      </c>
      <c r="B561" s="46" t="n"/>
      <c r="C561" s="47" t="n"/>
      <c r="D561" s="27">
        <f>IF($C561="","",IF(COUNTIFS(ENVIOS!$A$4:$A$3003,$C561)=0,"NO EXISTE",IF(COUNTIFS(ENVIOS!$A$4:$A$3003,$C561)&gt;1,"DUPLICADA","OK")))</f>
        <v/>
      </c>
      <c r="E561" s="22">
        <f>IF($C561="","",IFERROR(INDEX(ENVIOS!$C$4:$C$3003,MATCH($C561,ENVIOS!$A$4:$A$3003,0)),"—"))</f>
        <v/>
      </c>
      <c r="F561" s="22">
        <f>IF($C561="","",IFERROR(INDEX(ENVIOS!$D$4:$D$3003,MATCH($C561,ENVIOS!$A$4:$A$3003,0)),"—"))</f>
        <v/>
      </c>
      <c r="G561" s="22">
        <f>IF($C561="","",IFERROR(INDEX(ENVIOS!$E$4:$E$3003,MATCH($C561,ENVIOS!$A$4:$A$3003,0)),"—"))</f>
        <v/>
      </c>
      <c r="H561" s="22">
        <f>IF($C561="","",IFERROR(INDEX(ENVIOS!$F$4:$F$3003,MATCH($C561,ENVIOS!$A$4:$A$3003,0)),"—"))</f>
        <v/>
      </c>
      <c r="I561" s="27">
        <f>IF($C561="","",IFERROR(INDEX(ENVIOS!$G$4:$G$3003,MATCH($C561,ENVIOS!$A$4:$A$3003,0)),"—"))</f>
        <v/>
      </c>
      <c r="J561" s="48">
        <f>IF($C561="","",IFERROR(INDEX(ENVIOS!$B$4:$B$3003,MATCH($C561,ENVIOS!$A$4:$A$3003,0)),""))</f>
        <v/>
      </c>
      <c r="K561" s="49" t="n"/>
      <c r="L561" s="27">
        <f>IF($K561="","",IFERROR(INDEX(CONFIG!$B$4:$B$43,MATCH($K561,CONFIG!$A$4:$A$43,0)),"Media"))</f>
        <v/>
      </c>
      <c r="M561" s="27">
        <f>IF($K561="","",IFERROR(INDEX(CONFIG!$D$4:$D$43,MATCH($K561,CONFIG!$A$4:$A$43,0)),"NO"))</f>
        <v/>
      </c>
      <c r="N561" s="49" t="n"/>
      <c r="O561" s="27">
        <f>IF($N561="","",IFERROR(INDEX(CONFIG!$G$4:$G$43,MATCH($N561,CONFIG!$F$4:$F$43,0)),"Por definir"))</f>
        <v/>
      </c>
      <c r="P561" s="27">
        <f>IF($N561="","",IFERROR(INDEX(CONFIG!$H$4:$H$43,MATCH($N561,CONFIG!$F$4:$F$43,0)),"Por definir"))</f>
        <v/>
      </c>
      <c r="Q561" s="50" t="n"/>
      <c r="R561" s="51" t="n"/>
      <c r="S561" s="49" t="n"/>
      <c r="T561" s="49" t="n"/>
      <c r="U561" s="48">
        <f>IF(OR($B561="",$K561=""),"",WORKDAY($B561,IFERROR(INDEX(CONFIG!$C$4:$C$43,MATCH($K561,CONFIG!$A$4:$A$43,0)),3)))</f>
        <v/>
      </c>
      <c r="V561" s="46" t="n"/>
      <c r="W561" s="23">
        <f>IF($B561="","",IF($V561&lt;&gt;"",$V561-$B561,TODAY()-$B561))</f>
        <v/>
      </c>
      <c r="X561" s="27">
        <f>IF($C561="","",IF(IFERROR(INDEX(CONFIG!$K$4:$K$43,MATCH($S561,CONFIG!$J$4:$J$43,0)),"NO")="SÍ",IF(OR($V561="",$U561=""),"Resuelta",IF($V561&gt;$U561,"Resuelta tarde","Resuelta a tiempo")),IF($U561="","Sin clasificar",IF(TODAY()&gt;$U561,"Vencida",IF(TODAY()&gt;=$U561-1,"Por vencer","En plazo")))))</f>
        <v/>
      </c>
      <c r="Y561" s="49" t="n"/>
      <c r="Z561" s="49" t="n"/>
    </row>
    <row r="562" ht="16" customHeight="1">
      <c r="A562" s="27">
        <f>IF($C562="","","N-"&amp;TEXT(ROW()-3,"0000"))</f>
        <v/>
      </c>
      <c r="B562" s="46" t="n"/>
      <c r="C562" s="47" t="n"/>
      <c r="D562" s="27">
        <f>IF($C562="","",IF(COUNTIFS(ENVIOS!$A$4:$A$3003,$C562)=0,"NO EXISTE",IF(COUNTIFS(ENVIOS!$A$4:$A$3003,$C562)&gt;1,"DUPLICADA","OK")))</f>
        <v/>
      </c>
      <c r="E562" s="22">
        <f>IF($C562="","",IFERROR(INDEX(ENVIOS!$C$4:$C$3003,MATCH($C562,ENVIOS!$A$4:$A$3003,0)),"—"))</f>
        <v/>
      </c>
      <c r="F562" s="22">
        <f>IF($C562="","",IFERROR(INDEX(ENVIOS!$D$4:$D$3003,MATCH($C562,ENVIOS!$A$4:$A$3003,0)),"—"))</f>
        <v/>
      </c>
      <c r="G562" s="22">
        <f>IF($C562="","",IFERROR(INDEX(ENVIOS!$E$4:$E$3003,MATCH($C562,ENVIOS!$A$4:$A$3003,0)),"—"))</f>
        <v/>
      </c>
      <c r="H562" s="22">
        <f>IF($C562="","",IFERROR(INDEX(ENVIOS!$F$4:$F$3003,MATCH($C562,ENVIOS!$A$4:$A$3003,0)),"—"))</f>
        <v/>
      </c>
      <c r="I562" s="27">
        <f>IF($C562="","",IFERROR(INDEX(ENVIOS!$G$4:$G$3003,MATCH($C562,ENVIOS!$A$4:$A$3003,0)),"—"))</f>
        <v/>
      </c>
      <c r="J562" s="48">
        <f>IF($C562="","",IFERROR(INDEX(ENVIOS!$B$4:$B$3003,MATCH($C562,ENVIOS!$A$4:$A$3003,0)),""))</f>
        <v/>
      </c>
      <c r="K562" s="49" t="n"/>
      <c r="L562" s="27">
        <f>IF($K562="","",IFERROR(INDEX(CONFIG!$B$4:$B$43,MATCH($K562,CONFIG!$A$4:$A$43,0)),"Media"))</f>
        <v/>
      </c>
      <c r="M562" s="27">
        <f>IF($K562="","",IFERROR(INDEX(CONFIG!$D$4:$D$43,MATCH($K562,CONFIG!$A$4:$A$43,0)),"NO"))</f>
        <v/>
      </c>
      <c r="N562" s="49" t="n"/>
      <c r="O562" s="27">
        <f>IF($N562="","",IFERROR(INDEX(CONFIG!$G$4:$G$43,MATCH($N562,CONFIG!$F$4:$F$43,0)),"Por definir"))</f>
        <v/>
      </c>
      <c r="P562" s="27">
        <f>IF($N562="","",IFERROR(INDEX(CONFIG!$H$4:$H$43,MATCH($N562,CONFIG!$F$4:$F$43,0)),"Por definir"))</f>
        <v/>
      </c>
      <c r="Q562" s="50" t="n"/>
      <c r="R562" s="51" t="n"/>
      <c r="S562" s="49" t="n"/>
      <c r="T562" s="49" t="n"/>
      <c r="U562" s="48">
        <f>IF(OR($B562="",$K562=""),"",WORKDAY($B562,IFERROR(INDEX(CONFIG!$C$4:$C$43,MATCH($K562,CONFIG!$A$4:$A$43,0)),3)))</f>
        <v/>
      </c>
      <c r="V562" s="46" t="n"/>
      <c r="W562" s="23">
        <f>IF($B562="","",IF($V562&lt;&gt;"",$V562-$B562,TODAY()-$B562))</f>
        <v/>
      </c>
      <c r="X562" s="27">
        <f>IF($C562="","",IF(IFERROR(INDEX(CONFIG!$K$4:$K$43,MATCH($S562,CONFIG!$J$4:$J$43,0)),"NO")="SÍ",IF(OR($V562="",$U562=""),"Resuelta",IF($V562&gt;$U562,"Resuelta tarde","Resuelta a tiempo")),IF($U562="","Sin clasificar",IF(TODAY()&gt;$U562,"Vencida",IF(TODAY()&gt;=$U562-1,"Por vencer","En plazo")))))</f>
        <v/>
      </c>
      <c r="Y562" s="49" t="n"/>
      <c r="Z562" s="49" t="n"/>
    </row>
    <row r="563" ht="16" customHeight="1">
      <c r="A563" s="27">
        <f>IF($C563="","","N-"&amp;TEXT(ROW()-3,"0000"))</f>
        <v/>
      </c>
      <c r="B563" s="46" t="n"/>
      <c r="C563" s="47" t="n"/>
      <c r="D563" s="27">
        <f>IF($C563="","",IF(COUNTIFS(ENVIOS!$A$4:$A$3003,$C563)=0,"NO EXISTE",IF(COUNTIFS(ENVIOS!$A$4:$A$3003,$C563)&gt;1,"DUPLICADA","OK")))</f>
        <v/>
      </c>
      <c r="E563" s="22">
        <f>IF($C563="","",IFERROR(INDEX(ENVIOS!$C$4:$C$3003,MATCH($C563,ENVIOS!$A$4:$A$3003,0)),"—"))</f>
        <v/>
      </c>
      <c r="F563" s="22">
        <f>IF($C563="","",IFERROR(INDEX(ENVIOS!$D$4:$D$3003,MATCH($C563,ENVIOS!$A$4:$A$3003,0)),"—"))</f>
        <v/>
      </c>
      <c r="G563" s="22">
        <f>IF($C563="","",IFERROR(INDEX(ENVIOS!$E$4:$E$3003,MATCH($C563,ENVIOS!$A$4:$A$3003,0)),"—"))</f>
        <v/>
      </c>
      <c r="H563" s="22">
        <f>IF($C563="","",IFERROR(INDEX(ENVIOS!$F$4:$F$3003,MATCH($C563,ENVIOS!$A$4:$A$3003,0)),"—"))</f>
        <v/>
      </c>
      <c r="I563" s="27">
        <f>IF($C563="","",IFERROR(INDEX(ENVIOS!$G$4:$G$3003,MATCH($C563,ENVIOS!$A$4:$A$3003,0)),"—"))</f>
        <v/>
      </c>
      <c r="J563" s="48">
        <f>IF($C563="","",IFERROR(INDEX(ENVIOS!$B$4:$B$3003,MATCH($C563,ENVIOS!$A$4:$A$3003,0)),""))</f>
        <v/>
      </c>
      <c r="K563" s="49" t="n"/>
      <c r="L563" s="27">
        <f>IF($K563="","",IFERROR(INDEX(CONFIG!$B$4:$B$43,MATCH($K563,CONFIG!$A$4:$A$43,0)),"Media"))</f>
        <v/>
      </c>
      <c r="M563" s="27">
        <f>IF($K563="","",IFERROR(INDEX(CONFIG!$D$4:$D$43,MATCH($K563,CONFIG!$A$4:$A$43,0)),"NO"))</f>
        <v/>
      </c>
      <c r="N563" s="49" t="n"/>
      <c r="O563" s="27">
        <f>IF($N563="","",IFERROR(INDEX(CONFIG!$G$4:$G$43,MATCH($N563,CONFIG!$F$4:$F$43,0)),"Por definir"))</f>
        <v/>
      </c>
      <c r="P563" s="27">
        <f>IF($N563="","",IFERROR(INDEX(CONFIG!$H$4:$H$43,MATCH($N563,CONFIG!$F$4:$F$43,0)),"Por definir"))</f>
        <v/>
      </c>
      <c r="Q563" s="50" t="n"/>
      <c r="R563" s="51" t="n"/>
      <c r="S563" s="49" t="n"/>
      <c r="T563" s="49" t="n"/>
      <c r="U563" s="48">
        <f>IF(OR($B563="",$K563=""),"",WORKDAY($B563,IFERROR(INDEX(CONFIG!$C$4:$C$43,MATCH($K563,CONFIG!$A$4:$A$43,0)),3)))</f>
        <v/>
      </c>
      <c r="V563" s="46" t="n"/>
      <c r="W563" s="23">
        <f>IF($B563="","",IF($V563&lt;&gt;"",$V563-$B563,TODAY()-$B563))</f>
        <v/>
      </c>
      <c r="X563" s="27">
        <f>IF($C563="","",IF(IFERROR(INDEX(CONFIG!$K$4:$K$43,MATCH($S563,CONFIG!$J$4:$J$43,0)),"NO")="SÍ",IF(OR($V563="",$U563=""),"Resuelta",IF($V563&gt;$U563,"Resuelta tarde","Resuelta a tiempo")),IF($U563="","Sin clasificar",IF(TODAY()&gt;$U563,"Vencida",IF(TODAY()&gt;=$U563-1,"Por vencer","En plazo")))))</f>
        <v/>
      </c>
      <c r="Y563" s="49" t="n"/>
      <c r="Z563" s="49" t="n"/>
    </row>
    <row r="564" ht="16" customHeight="1">
      <c r="A564" s="27">
        <f>IF($C564="","","N-"&amp;TEXT(ROW()-3,"0000"))</f>
        <v/>
      </c>
      <c r="B564" s="46" t="n"/>
      <c r="C564" s="47" t="n"/>
      <c r="D564" s="27">
        <f>IF($C564="","",IF(COUNTIFS(ENVIOS!$A$4:$A$3003,$C564)=0,"NO EXISTE",IF(COUNTIFS(ENVIOS!$A$4:$A$3003,$C564)&gt;1,"DUPLICADA","OK")))</f>
        <v/>
      </c>
      <c r="E564" s="22">
        <f>IF($C564="","",IFERROR(INDEX(ENVIOS!$C$4:$C$3003,MATCH($C564,ENVIOS!$A$4:$A$3003,0)),"—"))</f>
        <v/>
      </c>
      <c r="F564" s="22">
        <f>IF($C564="","",IFERROR(INDEX(ENVIOS!$D$4:$D$3003,MATCH($C564,ENVIOS!$A$4:$A$3003,0)),"—"))</f>
        <v/>
      </c>
      <c r="G564" s="22">
        <f>IF($C564="","",IFERROR(INDEX(ENVIOS!$E$4:$E$3003,MATCH($C564,ENVIOS!$A$4:$A$3003,0)),"—"))</f>
        <v/>
      </c>
      <c r="H564" s="22">
        <f>IF($C564="","",IFERROR(INDEX(ENVIOS!$F$4:$F$3003,MATCH($C564,ENVIOS!$A$4:$A$3003,0)),"—"))</f>
        <v/>
      </c>
      <c r="I564" s="27">
        <f>IF($C564="","",IFERROR(INDEX(ENVIOS!$G$4:$G$3003,MATCH($C564,ENVIOS!$A$4:$A$3003,0)),"—"))</f>
        <v/>
      </c>
      <c r="J564" s="48">
        <f>IF($C564="","",IFERROR(INDEX(ENVIOS!$B$4:$B$3003,MATCH($C564,ENVIOS!$A$4:$A$3003,0)),""))</f>
        <v/>
      </c>
      <c r="K564" s="49" t="n"/>
      <c r="L564" s="27">
        <f>IF($K564="","",IFERROR(INDEX(CONFIG!$B$4:$B$43,MATCH($K564,CONFIG!$A$4:$A$43,0)),"Media"))</f>
        <v/>
      </c>
      <c r="M564" s="27">
        <f>IF($K564="","",IFERROR(INDEX(CONFIG!$D$4:$D$43,MATCH($K564,CONFIG!$A$4:$A$43,0)),"NO"))</f>
        <v/>
      </c>
      <c r="N564" s="49" t="n"/>
      <c r="O564" s="27">
        <f>IF($N564="","",IFERROR(INDEX(CONFIG!$G$4:$G$43,MATCH($N564,CONFIG!$F$4:$F$43,0)),"Por definir"))</f>
        <v/>
      </c>
      <c r="P564" s="27">
        <f>IF($N564="","",IFERROR(INDEX(CONFIG!$H$4:$H$43,MATCH($N564,CONFIG!$F$4:$F$43,0)),"Por definir"))</f>
        <v/>
      </c>
      <c r="Q564" s="50" t="n"/>
      <c r="R564" s="51" t="n"/>
      <c r="S564" s="49" t="n"/>
      <c r="T564" s="49" t="n"/>
      <c r="U564" s="48">
        <f>IF(OR($B564="",$K564=""),"",WORKDAY($B564,IFERROR(INDEX(CONFIG!$C$4:$C$43,MATCH($K564,CONFIG!$A$4:$A$43,0)),3)))</f>
        <v/>
      </c>
      <c r="V564" s="46" t="n"/>
      <c r="W564" s="23">
        <f>IF($B564="","",IF($V564&lt;&gt;"",$V564-$B564,TODAY()-$B564))</f>
        <v/>
      </c>
      <c r="X564" s="27">
        <f>IF($C564="","",IF(IFERROR(INDEX(CONFIG!$K$4:$K$43,MATCH($S564,CONFIG!$J$4:$J$43,0)),"NO")="SÍ",IF(OR($V564="",$U564=""),"Resuelta",IF($V564&gt;$U564,"Resuelta tarde","Resuelta a tiempo")),IF($U564="","Sin clasificar",IF(TODAY()&gt;$U564,"Vencida",IF(TODAY()&gt;=$U564-1,"Por vencer","En plazo")))))</f>
        <v/>
      </c>
      <c r="Y564" s="49" t="n"/>
      <c r="Z564" s="49" t="n"/>
    </row>
    <row r="565" ht="16" customHeight="1">
      <c r="A565" s="27">
        <f>IF($C565="","","N-"&amp;TEXT(ROW()-3,"0000"))</f>
        <v/>
      </c>
      <c r="B565" s="46" t="n"/>
      <c r="C565" s="47" t="n"/>
      <c r="D565" s="27">
        <f>IF($C565="","",IF(COUNTIFS(ENVIOS!$A$4:$A$3003,$C565)=0,"NO EXISTE",IF(COUNTIFS(ENVIOS!$A$4:$A$3003,$C565)&gt;1,"DUPLICADA","OK")))</f>
        <v/>
      </c>
      <c r="E565" s="22">
        <f>IF($C565="","",IFERROR(INDEX(ENVIOS!$C$4:$C$3003,MATCH($C565,ENVIOS!$A$4:$A$3003,0)),"—"))</f>
        <v/>
      </c>
      <c r="F565" s="22">
        <f>IF($C565="","",IFERROR(INDEX(ENVIOS!$D$4:$D$3003,MATCH($C565,ENVIOS!$A$4:$A$3003,0)),"—"))</f>
        <v/>
      </c>
      <c r="G565" s="22">
        <f>IF($C565="","",IFERROR(INDEX(ENVIOS!$E$4:$E$3003,MATCH($C565,ENVIOS!$A$4:$A$3003,0)),"—"))</f>
        <v/>
      </c>
      <c r="H565" s="22">
        <f>IF($C565="","",IFERROR(INDEX(ENVIOS!$F$4:$F$3003,MATCH($C565,ENVIOS!$A$4:$A$3003,0)),"—"))</f>
        <v/>
      </c>
      <c r="I565" s="27">
        <f>IF($C565="","",IFERROR(INDEX(ENVIOS!$G$4:$G$3003,MATCH($C565,ENVIOS!$A$4:$A$3003,0)),"—"))</f>
        <v/>
      </c>
      <c r="J565" s="48">
        <f>IF($C565="","",IFERROR(INDEX(ENVIOS!$B$4:$B$3003,MATCH($C565,ENVIOS!$A$4:$A$3003,0)),""))</f>
        <v/>
      </c>
      <c r="K565" s="49" t="n"/>
      <c r="L565" s="27">
        <f>IF($K565="","",IFERROR(INDEX(CONFIG!$B$4:$B$43,MATCH($K565,CONFIG!$A$4:$A$43,0)),"Media"))</f>
        <v/>
      </c>
      <c r="M565" s="27">
        <f>IF($K565="","",IFERROR(INDEX(CONFIG!$D$4:$D$43,MATCH($K565,CONFIG!$A$4:$A$43,0)),"NO"))</f>
        <v/>
      </c>
      <c r="N565" s="49" t="n"/>
      <c r="O565" s="27">
        <f>IF($N565="","",IFERROR(INDEX(CONFIG!$G$4:$G$43,MATCH($N565,CONFIG!$F$4:$F$43,0)),"Por definir"))</f>
        <v/>
      </c>
      <c r="P565" s="27">
        <f>IF($N565="","",IFERROR(INDEX(CONFIG!$H$4:$H$43,MATCH($N565,CONFIG!$F$4:$F$43,0)),"Por definir"))</f>
        <v/>
      </c>
      <c r="Q565" s="50" t="n"/>
      <c r="R565" s="51" t="n"/>
      <c r="S565" s="49" t="n"/>
      <c r="T565" s="49" t="n"/>
      <c r="U565" s="48">
        <f>IF(OR($B565="",$K565=""),"",WORKDAY($B565,IFERROR(INDEX(CONFIG!$C$4:$C$43,MATCH($K565,CONFIG!$A$4:$A$43,0)),3)))</f>
        <v/>
      </c>
      <c r="V565" s="46" t="n"/>
      <c r="W565" s="23">
        <f>IF($B565="","",IF($V565&lt;&gt;"",$V565-$B565,TODAY()-$B565))</f>
        <v/>
      </c>
      <c r="X565" s="27">
        <f>IF($C565="","",IF(IFERROR(INDEX(CONFIG!$K$4:$K$43,MATCH($S565,CONFIG!$J$4:$J$43,0)),"NO")="SÍ",IF(OR($V565="",$U565=""),"Resuelta",IF($V565&gt;$U565,"Resuelta tarde","Resuelta a tiempo")),IF($U565="","Sin clasificar",IF(TODAY()&gt;$U565,"Vencida",IF(TODAY()&gt;=$U565-1,"Por vencer","En plazo")))))</f>
        <v/>
      </c>
      <c r="Y565" s="49" t="n"/>
      <c r="Z565" s="49" t="n"/>
    </row>
    <row r="566" ht="16" customHeight="1">
      <c r="A566" s="27">
        <f>IF($C566="","","N-"&amp;TEXT(ROW()-3,"0000"))</f>
        <v/>
      </c>
      <c r="B566" s="46" t="n"/>
      <c r="C566" s="47" t="n"/>
      <c r="D566" s="27">
        <f>IF($C566="","",IF(COUNTIFS(ENVIOS!$A$4:$A$3003,$C566)=0,"NO EXISTE",IF(COUNTIFS(ENVIOS!$A$4:$A$3003,$C566)&gt;1,"DUPLICADA","OK")))</f>
        <v/>
      </c>
      <c r="E566" s="22">
        <f>IF($C566="","",IFERROR(INDEX(ENVIOS!$C$4:$C$3003,MATCH($C566,ENVIOS!$A$4:$A$3003,0)),"—"))</f>
        <v/>
      </c>
      <c r="F566" s="22">
        <f>IF($C566="","",IFERROR(INDEX(ENVIOS!$D$4:$D$3003,MATCH($C566,ENVIOS!$A$4:$A$3003,0)),"—"))</f>
        <v/>
      </c>
      <c r="G566" s="22">
        <f>IF($C566="","",IFERROR(INDEX(ENVIOS!$E$4:$E$3003,MATCH($C566,ENVIOS!$A$4:$A$3003,0)),"—"))</f>
        <v/>
      </c>
      <c r="H566" s="22">
        <f>IF($C566="","",IFERROR(INDEX(ENVIOS!$F$4:$F$3003,MATCH($C566,ENVIOS!$A$4:$A$3003,0)),"—"))</f>
        <v/>
      </c>
      <c r="I566" s="27">
        <f>IF($C566="","",IFERROR(INDEX(ENVIOS!$G$4:$G$3003,MATCH($C566,ENVIOS!$A$4:$A$3003,0)),"—"))</f>
        <v/>
      </c>
      <c r="J566" s="48">
        <f>IF($C566="","",IFERROR(INDEX(ENVIOS!$B$4:$B$3003,MATCH($C566,ENVIOS!$A$4:$A$3003,0)),""))</f>
        <v/>
      </c>
      <c r="K566" s="49" t="n"/>
      <c r="L566" s="27">
        <f>IF($K566="","",IFERROR(INDEX(CONFIG!$B$4:$B$43,MATCH($K566,CONFIG!$A$4:$A$43,0)),"Media"))</f>
        <v/>
      </c>
      <c r="M566" s="27">
        <f>IF($K566="","",IFERROR(INDEX(CONFIG!$D$4:$D$43,MATCH($K566,CONFIG!$A$4:$A$43,0)),"NO"))</f>
        <v/>
      </c>
      <c r="N566" s="49" t="n"/>
      <c r="O566" s="27">
        <f>IF($N566="","",IFERROR(INDEX(CONFIG!$G$4:$G$43,MATCH($N566,CONFIG!$F$4:$F$43,0)),"Por definir"))</f>
        <v/>
      </c>
      <c r="P566" s="27">
        <f>IF($N566="","",IFERROR(INDEX(CONFIG!$H$4:$H$43,MATCH($N566,CONFIG!$F$4:$F$43,0)),"Por definir"))</f>
        <v/>
      </c>
      <c r="Q566" s="50" t="n"/>
      <c r="R566" s="51" t="n"/>
      <c r="S566" s="49" t="n"/>
      <c r="T566" s="49" t="n"/>
      <c r="U566" s="48">
        <f>IF(OR($B566="",$K566=""),"",WORKDAY($B566,IFERROR(INDEX(CONFIG!$C$4:$C$43,MATCH($K566,CONFIG!$A$4:$A$43,0)),3)))</f>
        <v/>
      </c>
      <c r="V566" s="46" t="n"/>
      <c r="W566" s="23">
        <f>IF($B566="","",IF($V566&lt;&gt;"",$V566-$B566,TODAY()-$B566))</f>
        <v/>
      </c>
      <c r="X566" s="27">
        <f>IF($C566="","",IF(IFERROR(INDEX(CONFIG!$K$4:$K$43,MATCH($S566,CONFIG!$J$4:$J$43,0)),"NO")="SÍ",IF(OR($V566="",$U566=""),"Resuelta",IF($V566&gt;$U566,"Resuelta tarde","Resuelta a tiempo")),IF($U566="","Sin clasificar",IF(TODAY()&gt;$U566,"Vencida",IF(TODAY()&gt;=$U566-1,"Por vencer","En plazo")))))</f>
        <v/>
      </c>
      <c r="Y566" s="49" t="n"/>
      <c r="Z566" s="49" t="n"/>
    </row>
    <row r="567" ht="16" customHeight="1">
      <c r="A567" s="27">
        <f>IF($C567="","","N-"&amp;TEXT(ROW()-3,"0000"))</f>
        <v/>
      </c>
      <c r="B567" s="46" t="n"/>
      <c r="C567" s="47" t="n"/>
      <c r="D567" s="27">
        <f>IF($C567="","",IF(COUNTIFS(ENVIOS!$A$4:$A$3003,$C567)=0,"NO EXISTE",IF(COUNTIFS(ENVIOS!$A$4:$A$3003,$C567)&gt;1,"DUPLICADA","OK")))</f>
        <v/>
      </c>
      <c r="E567" s="22">
        <f>IF($C567="","",IFERROR(INDEX(ENVIOS!$C$4:$C$3003,MATCH($C567,ENVIOS!$A$4:$A$3003,0)),"—"))</f>
        <v/>
      </c>
      <c r="F567" s="22">
        <f>IF($C567="","",IFERROR(INDEX(ENVIOS!$D$4:$D$3003,MATCH($C567,ENVIOS!$A$4:$A$3003,0)),"—"))</f>
        <v/>
      </c>
      <c r="G567" s="22">
        <f>IF($C567="","",IFERROR(INDEX(ENVIOS!$E$4:$E$3003,MATCH($C567,ENVIOS!$A$4:$A$3003,0)),"—"))</f>
        <v/>
      </c>
      <c r="H567" s="22">
        <f>IF($C567="","",IFERROR(INDEX(ENVIOS!$F$4:$F$3003,MATCH($C567,ENVIOS!$A$4:$A$3003,0)),"—"))</f>
        <v/>
      </c>
      <c r="I567" s="27">
        <f>IF($C567="","",IFERROR(INDEX(ENVIOS!$G$4:$G$3003,MATCH($C567,ENVIOS!$A$4:$A$3003,0)),"—"))</f>
        <v/>
      </c>
      <c r="J567" s="48">
        <f>IF($C567="","",IFERROR(INDEX(ENVIOS!$B$4:$B$3003,MATCH($C567,ENVIOS!$A$4:$A$3003,0)),""))</f>
        <v/>
      </c>
      <c r="K567" s="49" t="n"/>
      <c r="L567" s="27">
        <f>IF($K567="","",IFERROR(INDEX(CONFIG!$B$4:$B$43,MATCH($K567,CONFIG!$A$4:$A$43,0)),"Media"))</f>
        <v/>
      </c>
      <c r="M567" s="27">
        <f>IF($K567="","",IFERROR(INDEX(CONFIG!$D$4:$D$43,MATCH($K567,CONFIG!$A$4:$A$43,0)),"NO"))</f>
        <v/>
      </c>
      <c r="N567" s="49" t="n"/>
      <c r="O567" s="27">
        <f>IF($N567="","",IFERROR(INDEX(CONFIG!$G$4:$G$43,MATCH($N567,CONFIG!$F$4:$F$43,0)),"Por definir"))</f>
        <v/>
      </c>
      <c r="P567" s="27">
        <f>IF($N567="","",IFERROR(INDEX(CONFIG!$H$4:$H$43,MATCH($N567,CONFIG!$F$4:$F$43,0)),"Por definir"))</f>
        <v/>
      </c>
      <c r="Q567" s="50" t="n"/>
      <c r="R567" s="51" t="n"/>
      <c r="S567" s="49" t="n"/>
      <c r="T567" s="49" t="n"/>
      <c r="U567" s="48">
        <f>IF(OR($B567="",$K567=""),"",WORKDAY($B567,IFERROR(INDEX(CONFIG!$C$4:$C$43,MATCH($K567,CONFIG!$A$4:$A$43,0)),3)))</f>
        <v/>
      </c>
      <c r="V567" s="46" t="n"/>
      <c r="W567" s="23">
        <f>IF($B567="","",IF($V567&lt;&gt;"",$V567-$B567,TODAY()-$B567))</f>
        <v/>
      </c>
      <c r="X567" s="27">
        <f>IF($C567="","",IF(IFERROR(INDEX(CONFIG!$K$4:$K$43,MATCH($S567,CONFIG!$J$4:$J$43,0)),"NO")="SÍ",IF(OR($V567="",$U567=""),"Resuelta",IF($V567&gt;$U567,"Resuelta tarde","Resuelta a tiempo")),IF($U567="","Sin clasificar",IF(TODAY()&gt;$U567,"Vencida",IF(TODAY()&gt;=$U567-1,"Por vencer","En plazo")))))</f>
        <v/>
      </c>
      <c r="Y567" s="49" t="n"/>
      <c r="Z567" s="49" t="n"/>
    </row>
    <row r="568" ht="16" customHeight="1">
      <c r="A568" s="27">
        <f>IF($C568="","","N-"&amp;TEXT(ROW()-3,"0000"))</f>
        <v/>
      </c>
      <c r="B568" s="46" t="n"/>
      <c r="C568" s="47" t="n"/>
      <c r="D568" s="27">
        <f>IF($C568="","",IF(COUNTIFS(ENVIOS!$A$4:$A$3003,$C568)=0,"NO EXISTE",IF(COUNTIFS(ENVIOS!$A$4:$A$3003,$C568)&gt;1,"DUPLICADA","OK")))</f>
        <v/>
      </c>
      <c r="E568" s="22">
        <f>IF($C568="","",IFERROR(INDEX(ENVIOS!$C$4:$C$3003,MATCH($C568,ENVIOS!$A$4:$A$3003,0)),"—"))</f>
        <v/>
      </c>
      <c r="F568" s="22">
        <f>IF($C568="","",IFERROR(INDEX(ENVIOS!$D$4:$D$3003,MATCH($C568,ENVIOS!$A$4:$A$3003,0)),"—"))</f>
        <v/>
      </c>
      <c r="G568" s="22">
        <f>IF($C568="","",IFERROR(INDEX(ENVIOS!$E$4:$E$3003,MATCH($C568,ENVIOS!$A$4:$A$3003,0)),"—"))</f>
        <v/>
      </c>
      <c r="H568" s="22">
        <f>IF($C568="","",IFERROR(INDEX(ENVIOS!$F$4:$F$3003,MATCH($C568,ENVIOS!$A$4:$A$3003,0)),"—"))</f>
        <v/>
      </c>
      <c r="I568" s="27">
        <f>IF($C568="","",IFERROR(INDEX(ENVIOS!$G$4:$G$3003,MATCH($C568,ENVIOS!$A$4:$A$3003,0)),"—"))</f>
        <v/>
      </c>
      <c r="J568" s="48">
        <f>IF($C568="","",IFERROR(INDEX(ENVIOS!$B$4:$B$3003,MATCH($C568,ENVIOS!$A$4:$A$3003,0)),""))</f>
        <v/>
      </c>
      <c r="K568" s="49" t="n"/>
      <c r="L568" s="27">
        <f>IF($K568="","",IFERROR(INDEX(CONFIG!$B$4:$B$43,MATCH($K568,CONFIG!$A$4:$A$43,0)),"Media"))</f>
        <v/>
      </c>
      <c r="M568" s="27">
        <f>IF($K568="","",IFERROR(INDEX(CONFIG!$D$4:$D$43,MATCH($K568,CONFIG!$A$4:$A$43,0)),"NO"))</f>
        <v/>
      </c>
      <c r="N568" s="49" t="n"/>
      <c r="O568" s="27">
        <f>IF($N568="","",IFERROR(INDEX(CONFIG!$G$4:$G$43,MATCH($N568,CONFIG!$F$4:$F$43,0)),"Por definir"))</f>
        <v/>
      </c>
      <c r="P568" s="27">
        <f>IF($N568="","",IFERROR(INDEX(CONFIG!$H$4:$H$43,MATCH($N568,CONFIG!$F$4:$F$43,0)),"Por definir"))</f>
        <v/>
      </c>
      <c r="Q568" s="50" t="n"/>
      <c r="R568" s="51" t="n"/>
      <c r="S568" s="49" t="n"/>
      <c r="T568" s="49" t="n"/>
      <c r="U568" s="48">
        <f>IF(OR($B568="",$K568=""),"",WORKDAY($B568,IFERROR(INDEX(CONFIG!$C$4:$C$43,MATCH($K568,CONFIG!$A$4:$A$43,0)),3)))</f>
        <v/>
      </c>
      <c r="V568" s="46" t="n"/>
      <c r="W568" s="23">
        <f>IF($B568="","",IF($V568&lt;&gt;"",$V568-$B568,TODAY()-$B568))</f>
        <v/>
      </c>
      <c r="X568" s="27">
        <f>IF($C568="","",IF(IFERROR(INDEX(CONFIG!$K$4:$K$43,MATCH($S568,CONFIG!$J$4:$J$43,0)),"NO")="SÍ",IF(OR($V568="",$U568=""),"Resuelta",IF($V568&gt;$U568,"Resuelta tarde","Resuelta a tiempo")),IF($U568="","Sin clasificar",IF(TODAY()&gt;$U568,"Vencida",IF(TODAY()&gt;=$U568-1,"Por vencer","En plazo")))))</f>
        <v/>
      </c>
      <c r="Y568" s="49" t="n"/>
      <c r="Z568" s="49" t="n"/>
    </row>
    <row r="569" ht="16" customHeight="1">
      <c r="A569" s="27">
        <f>IF($C569="","","N-"&amp;TEXT(ROW()-3,"0000"))</f>
        <v/>
      </c>
      <c r="B569" s="46" t="n"/>
      <c r="C569" s="47" t="n"/>
      <c r="D569" s="27">
        <f>IF($C569="","",IF(COUNTIFS(ENVIOS!$A$4:$A$3003,$C569)=0,"NO EXISTE",IF(COUNTIFS(ENVIOS!$A$4:$A$3003,$C569)&gt;1,"DUPLICADA","OK")))</f>
        <v/>
      </c>
      <c r="E569" s="22">
        <f>IF($C569="","",IFERROR(INDEX(ENVIOS!$C$4:$C$3003,MATCH($C569,ENVIOS!$A$4:$A$3003,0)),"—"))</f>
        <v/>
      </c>
      <c r="F569" s="22">
        <f>IF($C569="","",IFERROR(INDEX(ENVIOS!$D$4:$D$3003,MATCH($C569,ENVIOS!$A$4:$A$3003,0)),"—"))</f>
        <v/>
      </c>
      <c r="G569" s="22">
        <f>IF($C569="","",IFERROR(INDEX(ENVIOS!$E$4:$E$3003,MATCH($C569,ENVIOS!$A$4:$A$3003,0)),"—"))</f>
        <v/>
      </c>
      <c r="H569" s="22">
        <f>IF($C569="","",IFERROR(INDEX(ENVIOS!$F$4:$F$3003,MATCH($C569,ENVIOS!$A$4:$A$3003,0)),"—"))</f>
        <v/>
      </c>
      <c r="I569" s="27">
        <f>IF($C569="","",IFERROR(INDEX(ENVIOS!$G$4:$G$3003,MATCH($C569,ENVIOS!$A$4:$A$3003,0)),"—"))</f>
        <v/>
      </c>
      <c r="J569" s="48">
        <f>IF($C569="","",IFERROR(INDEX(ENVIOS!$B$4:$B$3003,MATCH($C569,ENVIOS!$A$4:$A$3003,0)),""))</f>
        <v/>
      </c>
      <c r="K569" s="49" t="n"/>
      <c r="L569" s="27">
        <f>IF($K569="","",IFERROR(INDEX(CONFIG!$B$4:$B$43,MATCH($K569,CONFIG!$A$4:$A$43,0)),"Media"))</f>
        <v/>
      </c>
      <c r="M569" s="27">
        <f>IF($K569="","",IFERROR(INDEX(CONFIG!$D$4:$D$43,MATCH($K569,CONFIG!$A$4:$A$43,0)),"NO"))</f>
        <v/>
      </c>
      <c r="N569" s="49" t="n"/>
      <c r="O569" s="27">
        <f>IF($N569="","",IFERROR(INDEX(CONFIG!$G$4:$G$43,MATCH($N569,CONFIG!$F$4:$F$43,0)),"Por definir"))</f>
        <v/>
      </c>
      <c r="P569" s="27">
        <f>IF($N569="","",IFERROR(INDEX(CONFIG!$H$4:$H$43,MATCH($N569,CONFIG!$F$4:$F$43,0)),"Por definir"))</f>
        <v/>
      </c>
      <c r="Q569" s="50" t="n"/>
      <c r="R569" s="51" t="n"/>
      <c r="S569" s="49" t="n"/>
      <c r="T569" s="49" t="n"/>
      <c r="U569" s="48">
        <f>IF(OR($B569="",$K569=""),"",WORKDAY($B569,IFERROR(INDEX(CONFIG!$C$4:$C$43,MATCH($K569,CONFIG!$A$4:$A$43,0)),3)))</f>
        <v/>
      </c>
      <c r="V569" s="46" t="n"/>
      <c r="W569" s="23">
        <f>IF($B569="","",IF($V569&lt;&gt;"",$V569-$B569,TODAY()-$B569))</f>
        <v/>
      </c>
      <c r="X569" s="27">
        <f>IF($C569="","",IF(IFERROR(INDEX(CONFIG!$K$4:$K$43,MATCH($S569,CONFIG!$J$4:$J$43,0)),"NO")="SÍ",IF(OR($V569="",$U569=""),"Resuelta",IF($V569&gt;$U569,"Resuelta tarde","Resuelta a tiempo")),IF($U569="","Sin clasificar",IF(TODAY()&gt;$U569,"Vencida",IF(TODAY()&gt;=$U569-1,"Por vencer","En plazo")))))</f>
        <v/>
      </c>
      <c r="Y569" s="49" t="n"/>
      <c r="Z569" s="49" t="n"/>
    </row>
    <row r="570" ht="16" customHeight="1">
      <c r="A570" s="27">
        <f>IF($C570="","","N-"&amp;TEXT(ROW()-3,"0000"))</f>
        <v/>
      </c>
      <c r="B570" s="46" t="n"/>
      <c r="C570" s="47" t="n"/>
      <c r="D570" s="27">
        <f>IF($C570="","",IF(COUNTIFS(ENVIOS!$A$4:$A$3003,$C570)=0,"NO EXISTE",IF(COUNTIFS(ENVIOS!$A$4:$A$3003,$C570)&gt;1,"DUPLICADA","OK")))</f>
        <v/>
      </c>
      <c r="E570" s="22">
        <f>IF($C570="","",IFERROR(INDEX(ENVIOS!$C$4:$C$3003,MATCH($C570,ENVIOS!$A$4:$A$3003,0)),"—"))</f>
        <v/>
      </c>
      <c r="F570" s="22">
        <f>IF($C570="","",IFERROR(INDEX(ENVIOS!$D$4:$D$3003,MATCH($C570,ENVIOS!$A$4:$A$3003,0)),"—"))</f>
        <v/>
      </c>
      <c r="G570" s="22">
        <f>IF($C570="","",IFERROR(INDEX(ENVIOS!$E$4:$E$3003,MATCH($C570,ENVIOS!$A$4:$A$3003,0)),"—"))</f>
        <v/>
      </c>
      <c r="H570" s="22">
        <f>IF($C570="","",IFERROR(INDEX(ENVIOS!$F$4:$F$3003,MATCH($C570,ENVIOS!$A$4:$A$3003,0)),"—"))</f>
        <v/>
      </c>
      <c r="I570" s="27">
        <f>IF($C570="","",IFERROR(INDEX(ENVIOS!$G$4:$G$3003,MATCH($C570,ENVIOS!$A$4:$A$3003,0)),"—"))</f>
        <v/>
      </c>
      <c r="J570" s="48">
        <f>IF($C570="","",IFERROR(INDEX(ENVIOS!$B$4:$B$3003,MATCH($C570,ENVIOS!$A$4:$A$3003,0)),""))</f>
        <v/>
      </c>
      <c r="K570" s="49" t="n"/>
      <c r="L570" s="27">
        <f>IF($K570="","",IFERROR(INDEX(CONFIG!$B$4:$B$43,MATCH($K570,CONFIG!$A$4:$A$43,0)),"Media"))</f>
        <v/>
      </c>
      <c r="M570" s="27">
        <f>IF($K570="","",IFERROR(INDEX(CONFIG!$D$4:$D$43,MATCH($K570,CONFIG!$A$4:$A$43,0)),"NO"))</f>
        <v/>
      </c>
      <c r="N570" s="49" t="n"/>
      <c r="O570" s="27">
        <f>IF($N570="","",IFERROR(INDEX(CONFIG!$G$4:$G$43,MATCH($N570,CONFIG!$F$4:$F$43,0)),"Por definir"))</f>
        <v/>
      </c>
      <c r="P570" s="27">
        <f>IF($N570="","",IFERROR(INDEX(CONFIG!$H$4:$H$43,MATCH($N570,CONFIG!$F$4:$F$43,0)),"Por definir"))</f>
        <v/>
      </c>
      <c r="Q570" s="50" t="n"/>
      <c r="R570" s="51" t="n"/>
      <c r="S570" s="49" t="n"/>
      <c r="T570" s="49" t="n"/>
      <c r="U570" s="48">
        <f>IF(OR($B570="",$K570=""),"",WORKDAY($B570,IFERROR(INDEX(CONFIG!$C$4:$C$43,MATCH($K570,CONFIG!$A$4:$A$43,0)),3)))</f>
        <v/>
      </c>
      <c r="V570" s="46" t="n"/>
      <c r="W570" s="23">
        <f>IF($B570="","",IF($V570&lt;&gt;"",$V570-$B570,TODAY()-$B570))</f>
        <v/>
      </c>
      <c r="X570" s="27">
        <f>IF($C570="","",IF(IFERROR(INDEX(CONFIG!$K$4:$K$43,MATCH($S570,CONFIG!$J$4:$J$43,0)),"NO")="SÍ",IF(OR($V570="",$U570=""),"Resuelta",IF($V570&gt;$U570,"Resuelta tarde","Resuelta a tiempo")),IF($U570="","Sin clasificar",IF(TODAY()&gt;$U570,"Vencida",IF(TODAY()&gt;=$U570-1,"Por vencer","En plazo")))))</f>
        <v/>
      </c>
      <c r="Y570" s="49" t="n"/>
      <c r="Z570" s="49" t="n"/>
    </row>
    <row r="571" ht="16" customHeight="1">
      <c r="A571" s="27">
        <f>IF($C571="","","N-"&amp;TEXT(ROW()-3,"0000"))</f>
        <v/>
      </c>
      <c r="B571" s="46" t="n"/>
      <c r="C571" s="47" t="n"/>
      <c r="D571" s="27">
        <f>IF($C571="","",IF(COUNTIFS(ENVIOS!$A$4:$A$3003,$C571)=0,"NO EXISTE",IF(COUNTIFS(ENVIOS!$A$4:$A$3003,$C571)&gt;1,"DUPLICADA","OK")))</f>
        <v/>
      </c>
      <c r="E571" s="22">
        <f>IF($C571="","",IFERROR(INDEX(ENVIOS!$C$4:$C$3003,MATCH($C571,ENVIOS!$A$4:$A$3003,0)),"—"))</f>
        <v/>
      </c>
      <c r="F571" s="22">
        <f>IF($C571="","",IFERROR(INDEX(ENVIOS!$D$4:$D$3003,MATCH($C571,ENVIOS!$A$4:$A$3003,0)),"—"))</f>
        <v/>
      </c>
      <c r="G571" s="22">
        <f>IF($C571="","",IFERROR(INDEX(ENVIOS!$E$4:$E$3003,MATCH($C571,ENVIOS!$A$4:$A$3003,0)),"—"))</f>
        <v/>
      </c>
      <c r="H571" s="22">
        <f>IF($C571="","",IFERROR(INDEX(ENVIOS!$F$4:$F$3003,MATCH($C571,ENVIOS!$A$4:$A$3003,0)),"—"))</f>
        <v/>
      </c>
      <c r="I571" s="27">
        <f>IF($C571="","",IFERROR(INDEX(ENVIOS!$G$4:$G$3003,MATCH($C571,ENVIOS!$A$4:$A$3003,0)),"—"))</f>
        <v/>
      </c>
      <c r="J571" s="48">
        <f>IF($C571="","",IFERROR(INDEX(ENVIOS!$B$4:$B$3003,MATCH($C571,ENVIOS!$A$4:$A$3003,0)),""))</f>
        <v/>
      </c>
      <c r="K571" s="49" t="n"/>
      <c r="L571" s="27">
        <f>IF($K571="","",IFERROR(INDEX(CONFIG!$B$4:$B$43,MATCH($K571,CONFIG!$A$4:$A$43,0)),"Media"))</f>
        <v/>
      </c>
      <c r="M571" s="27">
        <f>IF($K571="","",IFERROR(INDEX(CONFIG!$D$4:$D$43,MATCH($K571,CONFIG!$A$4:$A$43,0)),"NO"))</f>
        <v/>
      </c>
      <c r="N571" s="49" t="n"/>
      <c r="O571" s="27">
        <f>IF($N571="","",IFERROR(INDEX(CONFIG!$G$4:$G$43,MATCH($N571,CONFIG!$F$4:$F$43,0)),"Por definir"))</f>
        <v/>
      </c>
      <c r="P571" s="27">
        <f>IF($N571="","",IFERROR(INDEX(CONFIG!$H$4:$H$43,MATCH($N571,CONFIG!$F$4:$F$43,0)),"Por definir"))</f>
        <v/>
      </c>
      <c r="Q571" s="50" t="n"/>
      <c r="R571" s="51" t="n"/>
      <c r="S571" s="49" t="n"/>
      <c r="T571" s="49" t="n"/>
      <c r="U571" s="48">
        <f>IF(OR($B571="",$K571=""),"",WORKDAY($B571,IFERROR(INDEX(CONFIG!$C$4:$C$43,MATCH($K571,CONFIG!$A$4:$A$43,0)),3)))</f>
        <v/>
      </c>
      <c r="V571" s="46" t="n"/>
      <c r="W571" s="23">
        <f>IF($B571="","",IF($V571&lt;&gt;"",$V571-$B571,TODAY()-$B571))</f>
        <v/>
      </c>
      <c r="X571" s="27">
        <f>IF($C571="","",IF(IFERROR(INDEX(CONFIG!$K$4:$K$43,MATCH($S571,CONFIG!$J$4:$J$43,0)),"NO")="SÍ",IF(OR($V571="",$U571=""),"Resuelta",IF($V571&gt;$U571,"Resuelta tarde","Resuelta a tiempo")),IF($U571="","Sin clasificar",IF(TODAY()&gt;$U571,"Vencida",IF(TODAY()&gt;=$U571-1,"Por vencer","En plazo")))))</f>
        <v/>
      </c>
      <c r="Y571" s="49" t="n"/>
      <c r="Z571" s="49" t="n"/>
    </row>
    <row r="572" ht="16" customHeight="1">
      <c r="A572" s="27">
        <f>IF($C572="","","N-"&amp;TEXT(ROW()-3,"0000"))</f>
        <v/>
      </c>
      <c r="B572" s="46" t="n"/>
      <c r="C572" s="47" t="n"/>
      <c r="D572" s="27">
        <f>IF($C572="","",IF(COUNTIFS(ENVIOS!$A$4:$A$3003,$C572)=0,"NO EXISTE",IF(COUNTIFS(ENVIOS!$A$4:$A$3003,$C572)&gt;1,"DUPLICADA","OK")))</f>
        <v/>
      </c>
      <c r="E572" s="22">
        <f>IF($C572="","",IFERROR(INDEX(ENVIOS!$C$4:$C$3003,MATCH($C572,ENVIOS!$A$4:$A$3003,0)),"—"))</f>
        <v/>
      </c>
      <c r="F572" s="22">
        <f>IF($C572="","",IFERROR(INDEX(ENVIOS!$D$4:$D$3003,MATCH($C572,ENVIOS!$A$4:$A$3003,0)),"—"))</f>
        <v/>
      </c>
      <c r="G572" s="22">
        <f>IF($C572="","",IFERROR(INDEX(ENVIOS!$E$4:$E$3003,MATCH($C572,ENVIOS!$A$4:$A$3003,0)),"—"))</f>
        <v/>
      </c>
      <c r="H572" s="22">
        <f>IF($C572="","",IFERROR(INDEX(ENVIOS!$F$4:$F$3003,MATCH($C572,ENVIOS!$A$4:$A$3003,0)),"—"))</f>
        <v/>
      </c>
      <c r="I572" s="27">
        <f>IF($C572="","",IFERROR(INDEX(ENVIOS!$G$4:$G$3003,MATCH($C572,ENVIOS!$A$4:$A$3003,0)),"—"))</f>
        <v/>
      </c>
      <c r="J572" s="48">
        <f>IF($C572="","",IFERROR(INDEX(ENVIOS!$B$4:$B$3003,MATCH($C572,ENVIOS!$A$4:$A$3003,0)),""))</f>
        <v/>
      </c>
      <c r="K572" s="49" t="n"/>
      <c r="L572" s="27">
        <f>IF($K572="","",IFERROR(INDEX(CONFIG!$B$4:$B$43,MATCH($K572,CONFIG!$A$4:$A$43,0)),"Media"))</f>
        <v/>
      </c>
      <c r="M572" s="27">
        <f>IF($K572="","",IFERROR(INDEX(CONFIG!$D$4:$D$43,MATCH($K572,CONFIG!$A$4:$A$43,0)),"NO"))</f>
        <v/>
      </c>
      <c r="N572" s="49" t="n"/>
      <c r="O572" s="27">
        <f>IF($N572="","",IFERROR(INDEX(CONFIG!$G$4:$G$43,MATCH($N572,CONFIG!$F$4:$F$43,0)),"Por definir"))</f>
        <v/>
      </c>
      <c r="P572" s="27">
        <f>IF($N572="","",IFERROR(INDEX(CONFIG!$H$4:$H$43,MATCH($N572,CONFIG!$F$4:$F$43,0)),"Por definir"))</f>
        <v/>
      </c>
      <c r="Q572" s="50" t="n"/>
      <c r="R572" s="51" t="n"/>
      <c r="S572" s="49" t="n"/>
      <c r="T572" s="49" t="n"/>
      <c r="U572" s="48">
        <f>IF(OR($B572="",$K572=""),"",WORKDAY($B572,IFERROR(INDEX(CONFIG!$C$4:$C$43,MATCH($K572,CONFIG!$A$4:$A$43,0)),3)))</f>
        <v/>
      </c>
      <c r="V572" s="46" t="n"/>
      <c r="W572" s="23">
        <f>IF($B572="","",IF($V572&lt;&gt;"",$V572-$B572,TODAY()-$B572))</f>
        <v/>
      </c>
      <c r="X572" s="27">
        <f>IF($C572="","",IF(IFERROR(INDEX(CONFIG!$K$4:$K$43,MATCH($S572,CONFIG!$J$4:$J$43,0)),"NO")="SÍ",IF(OR($V572="",$U572=""),"Resuelta",IF($V572&gt;$U572,"Resuelta tarde","Resuelta a tiempo")),IF($U572="","Sin clasificar",IF(TODAY()&gt;$U572,"Vencida",IF(TODAY()&gt;=$U572-1,"Por vencer","En plazo")))))</f>
        <v/>
      </c>
      <c r="Y572" s="49" t="n"/>
      <c r="Z572" s="49" t="n"/>
    </row>
    <row r="573" ht="16" customHeight="1">
      <c r="A573" s="27">
        <f>IF($C573="","","N-"&amp;TEXT(ROW()-3,"0000"))</f>
        <v/>
      </c>
      <c r="B573" s="46" t="n"/>
      <c r="C573" s="47" t="n"/>
      <c r="D573" s="27">
        <f>IF($C573="","",IF(COUNTIFS(ENVIOS!$A$4:$A$3003,$C573)=0,"NO EXISTE",IF(COUNTIFS(ENVIOS!$A$4:$A$3003,$C573)&gt;1,"DUPLICADA","OK")))</f>
        <v/>
      </c>
      <c r="E573" s="22">
        <f>IF($C573="","",IFERROR(INDEX(ENVIOS!$C$4:$C$3003,MATCH($C573,ENVIOS!$A$4:$A$3003,0)),"—"))</f>
        <v/>
      </c>
      <c r="F573" s="22">
        <f>IF($C573="","",IFERROR(INDEX(ENVIOS!$D$4:$D$3003,MATCH($C573,ENVIOS!$A$4:$A$3003,0)),"—"))</f>
        <v/>
      </c>
      <c r="G573" s="22">
        <f>IF($C573="","",IFERROR(INDEX(ENVIOS!$E$4:$E$3003,MATCH($C573,ENVIOS!$A$4:$A$3003,0)),"—"))</f>
        <v/>
      </c>
      <c r="H573" s="22">
        <f>IF($C573="","",IFERROR(INDEX(ENVIOS!$F$4:$F$3003,MATCH($C573,ENVIOS!$A$4:$A$3003,0)),"—"))</f>
        <v/>
      </c>
      <c r="I573" s="27">
        <f>IF($C573="","",IFERROR(INDEX(ENVIOS!$G$4:$G$3003,MATCH($C573,ENVIOS!$A$4:$A$3003,0)),"—"))</f>
        <v/>
      </c>
      <c r="J573" s="48">
        <f>IF($C573="","",IFERROR(INDEX(ENVIOS!$B$4:$B$3003,MATCH($C573,ENVIOS!$A$4:$A$3003,0)),""))</f>
        <v/>
      </c>
      <c r="K573" s="49" t="n"/>
      <c r="L573" s="27">
        <f>IF($K573="","",IFERROR(INDEX(CONFIG!$B$4:$B$43,MATCH($K573,CONFIG!$A$4:$A$43,0)),"Media"))</f>
        <v/>
      </c>
      <c r="M573" s="27">
        <f>IF($K573="","",IFERROR(INDEX(CONFIG!$D$4:$D$43,MATCH($K573,CONFIG!$A$4:$A$43,0)),"NO"))</f>
        <v/>
      </c>
      <c r="N573" s="49" t="n"/>
      <c r="O573" s="27">
        <f>IF($N573="","",IFERROR(INDEX(CONFIG!$G$4:$G$43,MATCH($N573,CONFIG!$F$4:$F$43,0)),"Por definir"))</f>
        <v/>
      </c>
      <c r="P573" s="27">
        <f>IF($N573="","",IFERROR(INDEX(CONFIG!$H$4:$H$43,MATCH($N573,CONFIG!$F$4:$F$43,0)),"Por definir"))</f>
        <v/>
      </c>
      <c r="Q573" s="50" t="n"/>
      <c r="R573" s="51" t="n"/>
      <c r="S573" s="49" t="n"/>
      <c r="T573" s="49" t="n"/>
      <c r="U573" s="48">
        <f>IF(OR($B573="",$K573=""),"",WORKDAY($B573,IFERROR(INDEX(CONFIG!$C$4:$C$43,MATCH($K573,CONFIG!$A$4:$A$43,0)),3)))</f>
        <v/>
      </c>
      <c r="V573" s="46" t="n"/>
      <c r="W573" s="23">
        <f>IF($B573="","",IF($V573&lt;&gt;"",$V573-$B573,TODAY()-$B573))</f>
        <v/>
      </c>
      <c r="X573" s="27">
        <f>IF($C573="","",IF(IFERROR(INDEX(CONFIG!$K$4:$K$43,MATCH($S573,CONFIG!$J$4:$J$43,0)),"NO")="SÍ",IF(OR($V573="",$U573=""),"Resuelta",IF($V573&gt;$U573,"Resuelta tarde","Resuelta a tiempo")),IF($U573="","Sin clasificar",IF(TODAY()&gt;$U573,"Vencida",IF(TODAY()&gt;=$U573-1,"Por vencer","En plazo")))))</f>
        <v/>
      </c>
      <c r="Y573" s="49" t="n"/>
      <c r="Z573" s="49" t="n"/>
    </row>
    <row r="574" ht="16" customHeight="1">
      <c r="A574" s="27">
        <f>IF($C574="","","N-"&amp;TEXT(ROW()-3,"0000"))</f>
        <v/>
      </c>
      <c r="B574" s="46" t="n"/>
      <c r="C574" s="47" t="n"/>
      <c r="D574" s="27">
        <f>IF($C574="","",IF(COUNTIFS(ENVIOS!$A$4:$A$3003,$C574)=0,"NO EXISTE",IF(COUNTIFS(ENVIOS!$A$4:$A$3003,$C574)&gt;1,"DUPLICADA","OK")))</f>
        <v/>
      </c>
      <c r="E574" s="22">
        <f>IF($C574="","",IFERROR(INDEX(ENVIOS!$C$4:$C$3003,MATCH($C574,ENVIOS!$A$4:$A$3003,0)),"—"))</f>
        <v/>
      </c>
      <c r="F574" s="22">
        <f>IF($C574="","",IFERROR(INDEX(ENVIOS!$D$4:$D$3003,MATCH($C574,ENVIOS!$A$4:$A$3003,0)),"—"))</f>
        <v/>
      </c>
      <c r="G574" s="22">
        <f>IF($C574="","",IFERROR(INDEX(ENVIOS!$E$4:$E$3003,MATCH($C574,ENVIOS!$A$4:$A$3003,0)),"—"))</f>
        <v/>
      </c>
      <c r="H574" s="22">
        <f>IF($C574="","",IFERROR(INDEX(ENVIOS!$F$4:$F$3003,MATCH($C574,ENVIOS!$A$4:$A$3003,0)),"—"))</f>
        <v/>
      </c>
      <c r="I574" s="27">
        <f>IF($C574="","",IFERROR(INDEX(ENVIOS!$G$4:$G$3003,MATCH($C574,ENVIOS!$A$4:$A$3003,0)),"—"))</f>
        <v/>
      </c>
      <c r="J574" s="48">
        <f>IF($C574="","",IFERROR(INDEX(ENVIOS!$B$4:$B$3003,MATCH($C574,ENVIOS!$A$4:$A$3003,0)),""))</f>
        <v/>
      </c>
      <c r="K574" s="49" t="n"/>
      <c r="L574" s="27">
        <f>IF($K574="","",IFERROR(INDEX(CONFIG!$B$4:$B$43,MATCH($K574,CONFIG!$A$4:$A$43,0)),"Media"))</f>
        <v/>
      </c>
      <c r="M574" s="27">
        <f>IF($K574="","",IFERROR(INDEX(CONFIG!$D$4:$D$43,MATCH($K574,CONFIG!$A$4:$A$43,0)),"NO"))</f>
        <v/>
      </c>
      <c r="N574" s="49" t="n"/>
      <c r="O574" s="27">
        <f>IF($N574="","",IFERROR(INDEX(CONFIG!$G$4:$G$43,MATCH($N574,CONFIG!$F$4:$F$43,0)),"Por definir"))</f>
        <v/>
      </c>
      <c r="P574" s="27">
        <f>IF($N574="","",IFERROR(INDEX(CONFIG!$H$4:$H$43,MATCH($N574,CONFIG!$F$4:$F$43,0)),"Por definir"))</f>
        <v/>
      </c>
      <c r="Q574" s="50" t="n"/>
      <c r="R574" s="51" t="n"/>
      <c r="S574" s="49" t="n"/>
      <c r="T574" s="49" t="n"/>
      <c r="U574" s="48">
        <f>IF(OR($B574="",$K574=""),"",WORKDAY($B574,IFERROR(INDEX(CONFIG!$C$4:$C$43,MATCH($K574,CONFIG!$A$4:$A$43,0)),3)))</f>
        <v/>
      </c>
      <c r="V574" s="46" t="n"/>
      <c r="W574" s="23">
        <f>IF($B574="","",IF($V574&lt;&gt;"",$V574-$B574,TODAY()-$B574))</f>
        <v/>
      </c>
      <c r="X574" s="27">
        <f>IF($C574="","",IF(IFERROR(INDEX(CONFIG!$K$4:$K$43,MATCH($S574,CONFIG!$J$4:$J$43,0)),"NO")="SÍ",IF(OR($V574="",$U574=""),"Resuelta",IF($V574&gt;$U574,"Resuelta tarde","Resuelta a tiempo")),IF($U574="","Sin clasificar",IF(TODAY()&gt;$U574,"Vencida",IF(TODAY()&gt;=$U574-1,"Por vencer","En plazo")))))</f>
        <v/>
      </c>
      <c r="Y574" s="49" t="n"/>
      <c r="Z574" s="49" t="n"/>
    </row>
    <row r="575" ht="16" customHeight="1">
      <c r="A575" s="27">
        <f>IF($C575="","","N-"&amp;TEXT(ROW()-3,"0000"))</f>
        <v/>
      </c>
      <c r="B575" s="46" t="n"/>
      <c r="C575" s="47" t="n"/>
      <c r="D575" s="27">
        <f>IF($C575="","",IF(COUNTIFS(ENVIOS!$A$4:$A$3003,$C575)=0,"NO EXISTE",IF(COUNTIFS(ENVIOS!$A$4:$A$3003,$C575)&gt;1,"DUPLICADA","OK")))</f>
        <v/>
      </c>
      <c r="E575" s="22">
        <f>IF($C575="","",IFERROR(INDEX(ENVIOS!$C$4:$C$3003,MATCH($C575,ENVIOS!$A$4:$A$3003,0)),"—"))</f>
        <v/>
      </c>
      <c r="F575" s="22">
        <f>IF($C575="","",IFERROR(INDEX(ENVIOS!$D$4:$D$3003,MATCH($C575,ENVIOS!$A$4:$A$3003,0)),"—"))</f>
        <v/>
      </c>
      <c r="G575" s="22">
        <f>IF($C575="","",IFERROR(INDEX(ENVIOS!$E$4:$E$3003,MATCH($C575,ENVIOS!$A$4:$A$3003,0)),"—"))</f>
        <v/>
      </c>
      <c r="H575" s="22">
        <f>IF($C575="","",IFERROR(INDEX(ENVIOS!$F$4:$F$3003,MATCH($C575,ENVIOS!$A$4:$A$3003,0)),"—"))</f>
        <v/>
      </c>
      <c r="I575" s="27">
        <f>IF($C575="","",IFERROR(INDEX(ENVIOS!$G$4:$G$3003,MATCH($C575,ENVIOS!$A$4:$A$3003,0)),"—"))</f>
        <v/>
      </c>
      <c r="J575" s="48">
        <f>IF($C575="","",IFERROR(INDEX(ENVIOS!$B$4:$B$3003,MATCH($C575,ENVIOS!$A$4:$A$3003,0)),""))</f>
        <v/>
      </c>
      <c r="K575" s="49" t="n"/>
      <c r="L575" s="27">
        <f>IF($K575="","",IFERROR(INDEX(CONFIG!$B$4:$B$43,MATCH($K575,CONFIG!$A$4:$A$43,0)),"Media"))</f>
        <v/>
      </c>
      <c r="M575" s="27">
        <f>IF($K575="","",IFERROR(INDEX(CONFIG!$D$4:$D$43,MATCH($K575,CONFIG!$A$4:$A$43,0)),"NO"))</f>
        <v/>
      </c>
      <c r="N575" s="49" t="n"/>
      <c r="O575" s="27">
        <f>IF($N575="","",IFERROR(INDEX(CONFIG!$G$4:$G$43,MATCH($N575,CONFIG!$F$4:$F$43,0)),"Por definir"))</f>
        <v/>
      </c>
      <c r="P575" s="27">
        <f>IF($N575="","",IFERROR(INDEX(CONFIG!$H$4:$H$43,MATCH($N575,CONFIG!$F$4:$F$43,0)),"Por definir"))</f>
        <v/>
      </c>
      <c r="Q575" s="50" t="n"/>
      <c r="R575" s="51" t="n"/>
      <c r="S575" s="49" t="n"/>
      <c r="T575" s="49" t="n"/>
      <c r="U575" s="48">
        <f>IF(OR($B575="",$K575=""),"",WORKDAY($B575,IFERROR(INDEX(CONFIG!$C$4:$C$43,MATCH($K575,CONFIG!$A$4:$A$43,0)),3)))</f>
        <v/>
      </c>
      <c r="V575" s="46" t="n"/>
      <c r="W575" s="23">
        <f>IF($B575="","",IF($V575&lt;&gt;"",$V575-$B575,TODAY()-$B575))</f>
        <v/>
      </c>
      <c r="X575" s="27">
        <f>IF($C575="","",IF(IFERROR(INDEX(CONFIG!$K$4:$K$43,MATCH($S575,CONFIG!$J$4:$J$43,0)),"NO")="SÍ",IF(OR($V575="",$U575=""),"Resuelta",IF($V575&gt;$U575,"Resuelta tarde","Resuelta a tiempo")),IF($U575="","Sin clasificar",IF(TODAY()&gt;$U575,"Vencida",IF(TODAY()&gt;=$U575-1,"Por vencer","En plazo")))))</f>
        <v/>
      </c>
      <c r="Y575" s="49" t="n"/>
      <c r="Z575" s="49" t="n"/>
    </row>
    <row r="576" ht="16" customHeight="1">
      <c r="A576" s="27">
        <f>IF($C576="","","N-"&amp;TEXT(ROW()-3,"0000"))</f>
        <v/>
      </c>
      <c r="B576" s="46" t="n"/>
      <c r="C576" s="47" t="n"/>
      <c r="D576" s="27">
        <f>IF($C576="","",IF(COUNTIFS(ENVIOS!$A$4:$A$3003,$C576)=0,"NO EXISTE",IF(COUNTIFS(ENVIOS!$A$4:$A$3003,$C576)&gt;1,"DUPLICADA","OK")))</f>
        <v/>
      </c>
      <c r="E576" s="22">
        <f>IF($C576="","",IFERROR(INDEX(ENVIOS!$C$4:$C$3003,MATCH($C576,ENVIOS!$A$4:$A$3003,0)),"—"))</f>
        <v/>
      </c>
      <c r="F576" s="22">
        <f>IF($C576="","",IFERROR(INDEX(ENVIOS!$D$4:$D$3003,MATCH($C576,ENVIOS!$A$4:$A$3003,0)),"—"))</f>
        <v/>
      </c>
      <c r="G576" s="22">
        <f>IF($C576="","",IFERROR(INDEX(ENVIOS!$E$4:$E$3003,MATCH($C576,ENVIOS!$A$4:$A$3003,0)),"—"))</f>
        <v/>
      </c>
      <c r="H576" s="22">
        <f>IF($C576="","",IFERROR(INDEX(ENVIOS!$F$4:$F$3003,MATCH($C576,ENVIOS!$A$4:$A$3003,0)),"—"))</f>
        <v/>
      </c>
      <c r="I576" s="27">
        <f>IF($C576="","",IFERROR(INDEX(ENVIOS!$G$4:$G$3003,MATCH($C576,ENVIOS!$A$4:$A$3003,0)),"—"))</f>
        <v/>
      </c>
      <c r="J576" s="48">
        <f>IF($C576="","",IFERROR(INDEX(ENVIOS!$B$4:$B$3003,MATCH($C576,ENVIOS!$A$4:$A$3003,0)),""))</f>
        <v/>
      </c>
      <c r="K576" s="49" t="n"/>
      <c r="L576" s="27">
        <f>IF($K576="","",IFERROR(INDEX(CONFIG!$B$4:$B$43,MATCH($K576,CONFIG!$A$4:$A$43,0)),"Media"))</f>
        <v/>
      </c>
      <c r="M576" s="27">
        <f>IF($K576="","",IFERROR(INDEX(CONFIG!$D$4:$D$43,MATCH($K576,CONFIG!$A$4:$A$43,0)),"NO"))</f>
        <v/>
      </c>
      <c r="N576" s="49" t="n"/>
      <c r="O576" s="27">
        <f>IF($N576="","",IFERROR(INDEX(CONFIG!$G$4:$G$43,MATCH($N576,CONFIG!$F$4:$F$43,0)),"Por definir"))</f>
        <v/>
      </c>
      <c r="P576" s="27">
        <f>IF($N576="","",IFERROR(INDEX(CONFIG!$H$4:$H$43,MATCH($N576,CONFIG!$F$4:$F$43,0)),"Por definir"))</f>
        <v/>
      </c>
      <c r="Q576" s="50" t="n"/>
      <c r="R576" s="51" t="n"/>
      <c r="S576" s="49" t="n"/>
      <c r="T576" s="49" t="n"/>
      <c r="U576" s="48">
        <f>IF(OR($B576="",$K576=""),"",WORKDAY($B576,IFERROR(INDEX(CONFIG!$C$4:$C$43,MATCH($K576,CONFIG!$A$4:$A$43,0)),3)))</f>
        <v/>
      </c>
      <c r="V576" s="46" t="n"/>
      <c r="W576" s="23">
        <f>IF($B576="","",IF($V576&lt;&gt;"",$V576-$B576,TODAY()-$B576))</f>
        <v/>
      </c>
      <c r="X576" s="27">
        <f>IF($C576="","",IF(IFERROR(INDEX(CONFIG!$K$4:$K$43,MATCH($S576,CONFIG!$J$4:$J$43,0)),"NO")="SÍ",IF(OR($V576="",$U576=""),"Resuelta",IF($V576&gt;$U576,"Resuelta tarde","Resuelta a tiempo")),IF($U576="","Sin clasificar",IF(TODAY()&gt;$U576,"Vencida",IF(TODAY()&gt;=$U576-1,"Por vencer","En plazo")))))</f>
        <v/>
      </c>
      <c r="Y576" s="49" t="n"/>
      <c r="Z576" s="49" t="n"/>
    </row>
    <row r="577" ht="16" customHeight="1">
      <c r="A577" s="27">
        <f>IF($C577="","","N-"&amp;TEXT(ROW()-3,"0000"))</f>
        <v/>
      </c>
      <c r="B577" s="46" t="n"/>
      <c r="C577" s="47" t="n"/>
      <c r="D577" s="27">
        <f>IF($C577="","",IF(COUNTIFS(ENVIOS!$A$4:$A$3003,$C577)=0,"NO EXISTE",IF(COUNTIFS(ENVIOS!$A$4:$A$3003,$C577)&gt;1,"DUPLICADA","OK")))</f>
        <v/>
      </c>
      <c r="E577" s="22">
        <f>IF($C577="","",IFERROR(INDEX(ENVIOS!$C$4:$C$3003,MATCH($C577,ENVIOS!$A$4:$A$3003,0)),"—"))</f>
        <v/>
      </c>
      <c r="F577" s="22">
        <f>IF($C577="","",IFERROR(INDEX(ENVIOS!$D$4:$D$3003,MATCH($C577,ENVIOS!$A$4:$A$3003,0)),"—"))</f>
        <v/>
      </c>
      <c r="G577" s="22">
        <f>IF($C577="","",IFERROR(INDEX(ENVIOS!$E$4:$E$3003,MATCH($C577,ENVIOS!$A$4:$A$3003,0)),"—"))</f>
        <v/>
      </c>
      <c r="H577" s="22">
        <f>IF($C577="","",IFERROR(INDEX(ENVIOS!$F$4:$F$3003,MATCH($C577,ENVIOS!$A$4:$A$3003,0)),"—"))</f>
        <v/>
      </c>
      <c r="I577" s="27">
        <f>IF($C577="","",IFERROR(INDEX(ENVIOS!$G$4:$G$3003,MATCH($C577,ENVIOS!$A$4:$A$3003,0)),"—"))</f>
        <v/>
      </c>
      <c r="J577" s="48">
        <f>IF($C577="","",IFERROR(INDEX(ENVIOS!$B$4:$B$3003,MATCH($C577,ENVIOS!$A$4:$A$3003,0)),""))</f>
        <v/>
      </c>
      <c r="K577" s="49" t="n"/>
      <c r="L577" s="27">
        <f>IF($K577="","",IFERROR(INDEX(CONFIG!$B$4:$B$43,MATCH($K577,CONFIG!$A$4:$A$43,0)),"Media"))</f>
        <v/>
      </c>
      <c r="M577" s="27">
        <f>IF($K577="","",IFERROR(INDEX(CONFIG!$D$4:$D$43,MATCH($K577,CONFIG!$A$4:$A$43,0)),"NO"))</f>
        <v/>
      </c>
      <c r="N577" s="49" t="n"/>
      <c r="O577" s="27">
        <f>IF($N577="","",IFERROR(INDEX(CONFIG!$G$4:$G$43,MATCH($N577,CONFIG!$F$4:$F$43,0)),"Por definir"))</f>
        <v/>
      </c>
      <c r="P577" s="27">
        <f>IF($N577="","",IFERROR(INDEX(CONFIG!$H$4:$H$43,MATCH($N577,CONFIG!$F$4:$F$43,0)),"Por definir"))</f>
        <v/>
      </c>
      <c r="Q577" s="50" t="n"/>
      <c r="R577" s="51" t="n"/>
      <c r="S577" s="49" t="n"/>
      <c r="T577" s="49" t="n"/>
      <c r="U577" s="48">
        <f>IF(OR($B577="",$K577=""),"",WORKDAY($B577,IFERROR(INDEX(CONFIG!$C$4:$C$43,MATCH($K577,CONFIG!$A$4:$A$43,0)),3)))</f>
        <v/>
      </c>
      <c r="V577" s="46" t="n"/>
      <c r="W577" s="23">
        <f>IF($B577="","",IF($V577&lt;&gt;"",$V577-$B577,TODAY()-$B577))</f>
        <v/>
      </c>
      <c r="X577" s="27">
        <f>IF($C577="","",IF(IFERROR(INDEX(CONFIG!$K$4:$K$43,MATCH($S577,CONFIG!$J$4:$J$43,0)),"NO")="SÍ",IF(OR($V577="",$U577=""),"Resuelta",IF($V577&gt;$U577,"Resuelta tarde","Resuelta a tiempo")),IF($U577="","Sin clasificar",IF(TODAY()&gt;$U577,"Vencida",IF(TODAY()&gt;=$U577-1,"Por vencer","En plazo")))))</f>
        <v/>
      </c>
      <c r="Y577" s="49" t="n"/>
      <c r="Z577" s="49" t="n"/>
    </row>
    <row r="578" ht="16" customHeight="1">
      <c r="A578" s="27">
        <f>IF($C578="","","N-"&amp;TEXT(ROW()-3,"0000"))</f>
        <v/>
      </c>
      <c r="B578" s="46" t="n"/>
      <c r="C578" s="47" t="n"/>
      <c r="D578" s="27">
        <f>IF($C578="","",IF(COUNTIFS(ENVIOS!$A$4:$A$3003,$C578)=0,"NO EXISTE",IF(COUNTIFS(ENVIOS!$A$4:$A$3003,$C578)&gt;1,"DUPLICADA","OK")))</f>
        <v/>
      </c>
      <c r="E578" s="22">
        <f>IF($C578="","",IFERROR(INDEX(ENVIOS!$C$4:$C$3003,MATCH($C578,ENVIOS!$A$4:$A$3003,0)),"—"))</f>
        <v/>
      </c>
      <c r="F578" s="22">
        <f>IF($C578="","",IFERROR(INDEX(ENVIOS!$D$4:$D$3003,MATCH($C578,ENVIOS!$A$4:$A$3003,0)),"—"))</f>
        <v/>
      </c>
      <c r="G578" s="22">
        <f>IF($C578="","",IFERROR(INDEX(ENVIOS!$E$4:$E$3003,MATCH($C578,ENVIOS!$A$4:$A$3003,0)),"—"))</f>
        <v/>
      </c>
      <c r="H578" s="22">
        <f>IF($C578="","",IFERROR(INDEX(ENVIOS!$F$4:$F$3003,MATCH($C578,ENVIOS!$A$4:$A$3003,0)),"—"))</f>
        <v/>
      </c>
      <c r="I578" s="27">
        <f>IF($C578="","",IFERROR(INDEX(ENVIOS!$G$4:$G$3003,MATCH($C578,ENVIOS!$A$4:$A$3003,0)),"—"))</f>
        <v/>
      </c>
      <c r="J578" s="48">
        <f>IF($C578="","",IFERROR(INDEX(ENVIOS!$B$4:$B$3003,MATCH($C578,ENVIOS!$A$4:$A$3003,0)),""))</f>
        <v/>
      </c>
      <c r="K578" s="49" t="n"/>
      <c r="L578" s="27">
        <f>IF($K578="","",IFERROR(INDEX(CONFIG!$B$4:$B$43,MATCH($K578,CONFIG!$A$4:$A$43,0)),"Media"))</f>
        <v/>
      </c>
      <c r="M578" s="27">
        <f>IF($K578="","",IFERROR(INDEX(CONFIG!$D$4:$D$43,MATCH($K578,CONFIG!$A$4:$A$43,0)),"NO"))</f>
        <v/>
      </c>
      <c r="N578" s="49" t="n"/>
      <c r="O578" s="27">
        <f>IF($N578="","",IFERROR(INDEX(CONFIG!$G$4:$G$43,MATCH($N578,CONFIG!$F$4:$F$43,0)),"Por definir"))</f>
        <v/>
      </c>
      <c r="P578" s="27">
        <f>IF($N578="","",IFERROR(INDEX(CONFIG!$H$4:$H$43,MATCH($N578,CONFIG!$F$4:$F$43,0)),"Por definir"))</f>
        <v/>
      </c>
      <c r="Q578" s="50" t="n"/>
      <c r="R578" s="51" t="n"/>
      <c r="S578" s="49" t="n"/>
      <c r="T578" s="49" t="n"/>
      <c r="U578" s="48">
        <f>IF(OR($B578="",$K578=""),"",WORKDAY($B578,IFERROR(INDEX(CONFIG!$C$4:$C$43,MATCH($K578,CONFIG!$A$4:$A$43,0)),3)))</f>
        <v/>
      </c>
      <c r="V578" s="46" t="n"/>
      <c r="W578" s="23">
        <f>IF($B578="","",IF($V578&lt;&gt;"",$V578-$B578,TODAY()-$B578))</f>
        <v/>
      </c>
      <c r="X578" s="27">
        <f>IF($C578="","",IF(IFERROR(INDEX(CONFIG!$K$4:$K$43,MATCH($S578,CONFIG!$J$4:$J$43,0)),"NO")="SÍ",IF(OR($V578="",$U578=""),"Resuelta",IF($V578&gt;$U578,"Resuelta tarde","Resuelta a tiempo")),IF($U578="","Sin clasificar",IF(TODAY()&gt;$U578,"Vencida",IF(TODAY()&gt;=$U578-1,"Por vencer","En plazo")))))</f>
        <v/>
      </c>
      <c r="Y578" s="49" t="n"/>
      <c r="Z578" s="49" t="n"/>
    </row>
    <row r="579" ht="16" customHeight="1">
      <c r="A579" s="27">
        <f>IF($C579="","","N-"&amp;TEXT(ROW()-3,"0000"))</f>
        <v/>
      </c>
      <c r="B579" s="46" t="n"/>
      <c r="C579" s="47" t="n"/>
      <c r="D579" s="27">
        <f>IF($C579="","",IF(COUNTIFS(ENVIOS!$A$4:$A$3003,$C579)=0,"NO EXISTE",IF(COUNTIFS(ENVIOS!$A$4:$A$3003,$C579)&gt;1,"DUPLICADA","OK")))</f>
        <v/>
      </c>
      <c r="E579" s="22">
        <f>IF($C579="","",IFERROR(INDEX(ENVIOS!$C$4:$C$3003,MATCH($C579,ENVIOS!$A$4:$A$3003,0)),"—"))</f>
        <v/>
      </c>
      <c r="F579" s="22">
        <f>IF($C579="","",IFERROR(INDEX(ENVIOS!$D$4:$D$3003,MATCH($C579,ENVIOS!$A$4:$A$3003,0)),"—"))</f>
        <v/>
      </c>
      <c r="G579" s="22">
        <f>IF($C579="","",IFERROR(INDEX(ENVIOS!$E$4:$E$3003,MATCH($C579,ENVIOS!$A$4:$A$3003,0)),"—"))</f>
        <v/>
      </c>
      <c r="H579" s="22">
        <f>IF($C579="","",IFERROR(INDEX(ENVIOS!$F$4:$F$3003,MATCH($C579,ENVIOS!$A$4:$A$3003,0)),"—"))</f>
        <v/>
      </c>
      <c r="I579" s="27">
        <f>IF($C579="","",IFERROR(INDEX(ENVIOS!$G$4:$G$3003,MATCH($C579,ENVIOS!$A$4:$A$3003,0)),"—"))</f>
        <v/>
      </c>
      <c r="J579" s="48">
        <f>IF($C579="","",IFERROR(INDEX(ENVIOS!$B$4:$B$3003,MATCH($C579,ENVIOS!$A$4:$A$3003,0)),""))</f>
        <v/>
      </c>
      <c r="K579" s="49" t="n"/>
      <c r="L579" s="27">
        <f>IF($K579="","",IFERROR(INDEX(CONFIG!$B$4:$B$43,MATCH($K579,CONFIG!$A$4:$A$43,0)),"Media"))</f>
        <v/>
      </c>
      <c r="M579" s="27">
        <f>IF($K579="","",IFERROR(INDEX(CONFIG!$D$4:$D$43,MATCH($K579,CONFIG!$A$4:$A$43,0)),"NO"))</f>
        <v/>
      </c>
      <c r="N579" s="49" t="n"/>
      <c r="O579" s="27">
        <f>IF($N579="","",IFERROR(INDEX(CONFIG!$G$4:$G$43,MATCH($N579,CONFIG!$F$4:$F$43,0)),"Por definir"))</f>
        <v/>
      </c>
      <c r="P579" s="27">
        <f>IF($N579="","",IFERROR(INDEX(CONFIG!$H$4:$H$43,MATCH($N579,CONFIG!$F$4:$F$43,0)),"Por definir"))</f>
        <v/>
      </c>
      <c r="Q579" s="50" t="n"/>
      <c r="R579" s="51" t="n"/>
      <c r="S579" s="49" t="n"/>
      <c r="T579" s="49" t="n"/>
      <c r="U579" s="48">
        <f>IF(OR($B579="",$K579=""),"",WORKDAY($B579,IFERROR(INDEX(CONFIG!$C$4:$C$43,MATCH($K579,CONFIG!$A$4:$A$43,0)),3)))</f>
        <v/>
      </c>
      <c r="V579" s="46" t="n"/>
      <c r="W579" s="23">
        <f>IF($B579="","",IF($V579&lt;&gt;"",$V579-$B579,TODAY()-$B579))</f>
        <v/>
      </c>
      <c r="X579" s="27">
        <f>IF($C579="","",IF(IFERROR(INDEX(CONFIG!$K$4:$K$43,MATCH($S579,CONFIG!$J$4:$J$43,0)),"NO")="SÍ",IF(OR($V579="",$U579=""),"Resuelta",IF($V579&gt;$U579,"Resuelta tarde","Resuelta a tiempo")),IF($U579="","Sin clasificar",IF(TODAY()&gt;$U579,"Vencida",IF(TODAY()&gt;=$U579-1,"Por vencer","En plazo")))))</f>
        <v/>
      </c>
      <c r="Y579" s="49" t="n"/>
      <c r="Z579" s="49" t="n"/>
    </row>
    <row r="580" ht="16" customHeight="1">
      <c r="A580" s="27">
        <f>IF($C580="","","N-"&amp;TEXT(ROW()-3,"0000"))</f>
        <v/>
      </c>
      <c r="B580" s="46" t="n"/>
      <c r="C580" s="47" t="n"/>
      <c r="D580" s="27">
        <f>IF($C580="","",IF(COUNTIFS(ENVIOS!$A$4:$A$3003,$C580)=0,"NO EXISTE",IF(COUNTIFS(ENVIOS!$A$4:$A$3003,$C580)&gt;1,"DUPLICADA","OK")))</f>
        <v/>
      </c>
      <c r="E580" s="22">
        <f>IF($C580="","",IFERROR(INDEX(ENVIOS!$C$4:$C$3003,MATCH($C580,ENVIOS!$A$4:$A$3003,0)),"—"))</f>
        <v/>
      </c>
      <c r="F580" s="22">
        <f>IF($C580="","",IFERROR(INDEX(ENVIOS!$D$4:$D$3003,MATCH($C580,ENVIOS!$A$4:$A$3003,0)),"—"))</f>
        <v/>
      </c>
      <c r="G580" s="22">
        <f>IF($C580="","",IFERROR(INDEX(ENVIOS!$E$4:$E$3003,MATCH($C580,ENVIOS!$A$4:$A$3003,0)),"—"))</f>
        <v/>
      </c>
      <c r="H580" s="22">
        <f>IF($C580="","",IFERROR(INDEX(ENVIOS!$F$4:$F$3003,MATCH($C580,ENVIOS!$A$4:$A$3003,0)),"—"))</f>
        <v/>
      </c>
      <c r="I580" s="27">
        <f>IF($C580="","",IFERROR(INDEX(ENVIOS!$G$4:$G$3003,MATCH($C580,ENVIOS!$A$4:$A$3003,0)),"—"))</f>
        <v/>
      </c>
      <c r="J580" s="48">
        <f>IF($C580="","",IFERROR(INDEX(ENVIOS!$B$4:$B$3003,MATCH($C580,ENVIOS!$A$4:$A$3003,0)),""))</f>
        <v/>
      </c>
      <c r="K580" s="49" t="n"/>
      <c r="L580" s="27">
        <f>IF($K580="","",IFERROR(INDEX(CONFIG!$B$4:$B$43,MATCH($K580,CONFIG!$A$4:$A$43,0)),"Media"))</f>
        <v/>
      </c>
      <c r="M580" s="27">
        <f>IF($K580="","",IFERROR(INDEX(CONFIG!$D$4:$D$43,MATCH($K580,CONFIG!$A$4:$A$43,0)),"NO"))</f>
        <v/>
      </c>
      <c r="N580" s="49" t="n"/>
      <c r="O580" s="27">
        <f>IF($N580="","",IFERROR(INDEX(CONFIG!$G$4:$G$43,MATCH($N580,CONFIG!$F$4:$F$43,0)),"Por definir"))</f>
        <v/>
      </c>
      <c r="P580" s="27">
        <f>IF($N580="","",IFERROR(INDEX(CONFIG!$H$4:$H$43,MATCH($N580,CONFIG!$F$4:$F$43,0)),"Por definir"))</f>
        <v/>
      </c>
      <c r="Q580" s="50" t="n"/>
      <c r="R580" s="51" t="n"/>
      <c r="S580" s="49" t="n"/>
      <c r="T580" s="49" t="n"/>
      <c r="U580" s="48">
        <f>IF(OR($B580="",$K580=""),"",WORKDAY($B580,IFERROR(INDEX(CONFIG!$C$4:$C$43,MATCH($K580,CONFIG!$A$4:$A$43,0)),3)))</f>
        <v/>
      </c>
      <c r="V580" s="46" t="n"/>
      <c r="W580" s="23">
        <f>IF($B580="","",IF($V580&lt;&gt;"",$V580-$B580,TODAY()-$B580))</f>
        <v/>
      </c>
      <c r="X580" s="27">
        <f>IF($C580="","",IF(IFERROR(INDEX(CONFIG!$K$4:$K$43,MATCH($S580,CONFIG!$J$4:$J$43,0)),"NO")="SÍ",IF(OR($V580="",$U580=""),"Resuelta",IF($V580&gt;$U580,"Resuelta tarde","Resuelta a tiempo")),IF($U580="","Sin clasificar",IF(TODAY()&gt;$U580,"Vencida",IF(TODAY()&gt;=$U580-1,"Por vencer","En plazo")))))</f>
        <v/>
      </c>
      <c r="Y580" s="49" t="n"/>
      <c r="Z580" s="49" t="n"/>
    </row>
    <row r="581" ht="16" customHeight="1">
      <c r="A581" s="27">
        <f>IF($C581="","","N-"&amp;TEXT(ROW()-3,"0000"))</f>
        <v/>
      </c>
      <c r="B581" s="46" t="n"/>
      <c r="C581" s="47" t="n"/>
      <c r="D581" s="27">
        <f>IF($C581="","",IF(COUNTIFS(ENVIOS!$A$4:$A$3003,$C581)=0,"NO EXISTE",IF(COUNTIFS(ENVIOS!$A$4:$A$3003,$C581)&gt;1,"DUPLICADA","OK")))</f>
        <v/>
      </c>
      <c r="E581" s="22">
        <f>IF($C581="","",IFERROR(INDEX(ENVIOS!$C$4:$C$3003,MATCH($C581,ENVIOS!$A$4:$A$3003,0)),"—"))</f>
        <v/>
      </c>
      <c r="F581" s="22">
        <f>IF($C581="","",IFERROR(INDEX(ENVIOS!$D$4:$D$3003,MATCH($C581,ENVIOS!$A$4:$A$3003,0)),"—"))</f>
        <v/>
      </c>
      <c r="G581" s="22">
        <f>IF($C581="","",IFERROR(INDEX(ENVIOS!$E$4:$E$3003,MATCH($C581,ENVIOS!$A$4:$A$3003,0)),"—"))</f>
        <v/>
      </c>
      <c r="H581" s="22">
        <f>IF($C581="","",IFERROR(INDEX(ENVIOS!$F$4:$F$3003,MATCH($C581,ENVIOS!$A$4:$A$3003,0)),"—"))</f>
        <v/>
      </c>
      <c r="I581" s="27">
        <f>IF($C581="","",IFERROR(INDEX(ENVIOS!$G$4:$G$3003,MATCH($C581,ENVIOS!$A$4:$A$3003,0)),"—"))</f>
        <v/>
      </c>
      <c r="J581" s="48">
        <f>IF($C581="","",IFERROR(INDEX(ENVIOS!$B$4:$B$3003,MATCH($C581,ENVIOS!$A$4:$A$3003,0)),""))</f>
        <v/>
      </c>
      <c r="K581" s="49" t="n"/>
      <c r="L581" s="27">
        <f>IF($K581="","",IFERROR(INDEX(CONFIG!$B$4:$B$43,MATCH($K581,CONFIG!$A$4:$A$43,0)),"Media"))</f>
        <v/>
      </c>
      <c r="M581" s="27">
        <f>IF($K581="","",IFERROR(INDEX(CONFIG!$D$4:$D$43,MATCH($K581,CONFIG!$A$4:$A$43,0)),"NO"))</f>
        <v/>
      </c>
      <c r="N581" s="49" t="n"/>
      <c r="O581" s="27">
        <f>IF($N581="","",IFERROR(INDEX(CONFIG!$G$4:$G$43,MATCH($N581,CONFIG!$F$4:$F$43,0)),"Por definir"))</f>
        <v/>
      </c>
      <c r="P581" s="27">
        <f>IF($N581="","",IFERROR(INDEX(CONFIG!$H$4:$H$43,MATCH($N581,CONFIG!$F$4:$F$43,0)),"Por definir"))</f>
        <v/>
      </c>
      <c r="Q581" s="50" t="n"/>
      <c r="R581" s="51" t="n"/>
      <c r="S581" s="49" t="n"/>
      <c r="T581" s="49" t="n"/>
      <c r="U581" s="48">
        <f>IF(OR($B581="",$K581=""),"",WORKDAY($B581,IFERROR(INDEX(CONFIG!$C$4:$C$43,MATCH($K581,CONFIG!$A$4:$A$43,0)),3)))</f>
        <v/>
      </c>
      <c r="V581" s="46" t="n"/>
      <c r="W581" s="23">
        <f>IF($B581="","",IF($V581&lt;&gt;"",$V581-$B581,TODAY()-$B581))</f>
        <v/>
      </c>
      <c r="X581" s="27">
        <f>IF($C581="","",IF(IFERROR(INDEX(CONFIG!$K$4:$K$43,MATCH($S581,CONFIG!$J$4:$J$43,0)),"NO")="SÍ",IF(OR($V581="",$U581=""),"Resuelta",IF($V581&gt;$U581,"Resuelta tarde","Resuelta a tiempo")),IF($U581="","Sin clasificar",IF(TODAY()&gt;$U581,"Vencida",IF(TODAY()&gt;=$U581-1,"Por vencer","En plazo")))))</f>
        <v/>
      </c>
      <c r="Y581" s="49" t="n"/>
      <c r="Z581" s="49" t="n"/>
    </row>
    <row r="582" ht="16" customHeight="1">
      <c r="A582" s="27">
        <f>IF($C582="","","N-"&amp;TEXT(ROW()-3,"0000"))</f>
        <v/>
      </c>
      <c r="B582" s="46" t="n"/>
      <c r="C582" s="47" t="n"/>
      <c r="D582" s="27">
        <f>IF($C582="","",IF(COUNTIFS(ENVIOS!$A$4:$A$3003,$C582)=0,"NO EXISTE",IF(COUNTIFS(ENVIOS!$A$4:$A$3003,$C582)&gt;1,"DUPLICADA","OK")))</f>
        <v/>
      </c>
      <c r="E582" s="22">
        <f>IF($C582="","",IFERROR(INDEX(ENVIOS!$C$4:$C$3003,MATCH($C582,ENVIOS!$A$4:$A$3003,0)),"—"))</f>
        <v/>
      </c>
      <c r="F582" s="22">
        <f>IF($C582="","",IFERROR(INDEX(ENVIOS!$D$4:$D$3003,MATCH($C582,ENVIOS!$A$4:$A$3003,0)),"—"))</f>
        <v/>
      </c>
      <c r="G582" s="22">
        <f>IF($C582="","",IFERROR(INDEX(ENVIOS!$E$4:$E$3003,MATCH($C582,ENVIOS!$A$4:$A$3003,0)),"—"))</f>
        <v/>
      </c>
      <c r="H582" s="22">
        <f>IF($C582="","",IFERROR(INDEX(ENVIOS!$F$4:$F$3003,MATCH($C582,ENVIOS!$A$4:$A$3003,0)),"—"))</f>
        <v/>
      </c>
      <c r="I582" s="27">
        <f>IF($C582="","",IFERROR(INDEX(ENVIOS!$G$4:$G$3003,MATCH($C582,ENVIOS!$A$4:$A$3003,0)),"—"))</f>
        <v/>
      </c>
      <c r="J582" s="48">
        <f>IF($C582="","",IFERROR(INDEX(ENVIOS!$B$4:$B$3003,MATCH($C582,ENVIOS!$A$4:$A$3003,0)),""))</f>
        <v/>
      </c>
      <c r="K582" s="49" t="n"/>
      <c r="L582" s="27">
        <f>IF($K582="","",IFERROR(INDEX(CONFIG!$B$4:$B$43,MATCH($K582,CONFIG!$A$4:$A$43,0)),"Media"))</f>
        <v/>
      </c>
      <c r="M582" s="27">
        <f>IF($K582="","",IFERROR(INDEX(CONFIG!$D$4:$D$43,MATCH($K582,CONFIG!$A$4:$A$43,0)),"NO"))</f>
        <v/>
      </c>
      <c r="N582" s="49" t="n"/>
      <c r="O582" s="27">
        <f>IF($N582="","",IFERROR(INDEX(CONFIG!$G$4:$G$43,MATCH($N582,CONFIG!$F$4:$F$43,0)),"Por definir"))</f>
        <v/>
      </c>
      <c r="P582" s="27">
        <f>IF($N582="","",IFERROR(INDEX(CONFIG!$H$4:$H$43,MATCH($N582,CONFIG!$F$4:$F$43,0)),"Por definir"))</f>
        <v/>
      </c>
      <c r="Q582" s="50" t="n"/>
      <c r="R582" s="51" t="n"/>
      <c r="S582" s="49" t="n"/>
      <c r="T582" s="49" t="n"/>
      <c r="U582" s="48">
        <f>IF(OR($B582="",$K582=""),"",WORKDAY($B582,IFERROR(INDEX(CONFIG!$C$4:$C$43,MATCH($K582,CONFIG!$A$4:$A$43,0)),3)))</f>
        <v/>
      </c>
      <c r="V582" s="46" t="n"/>
      <c r="W582" s="23">
        <f>IF($B582="","",IF($V582&lt;&gt;"",$V582-$B582,TODAY()-$B582))</f>
        <v/>
      </c>
      <c r="X582" s="27">
        <f>IF($C582="","",IF(IFERROR(INDEX(CONFIG!$K$4:$K$43,MATCH($S582,CONFIG!$J$4:$J$43,0)),"NO")="SÍ",IF(OR($V582="",$U582=""),"Resuelta",IF($V582&gt;$U582,"Resuelta tarde","Resuelta a tiempo")),IF($U582="","Sin clasificar",IF(TODAY()&gt;$U582,"Vencida",IF(TODAY()&gt;=$U582-1,"Por vencer","En plazo")))))</f>
        <v/>
      </c>
      <c r="Y582" s="49" t="n"/>
      <c r="Z582" s="49" t="n"/>
    </row>
    <row r="583" ht="16" customHeight="1">
      <c r="A583" s="27">
        <f>IF($C583="","","N-"&amp;TEXT(ROW()-3,"0000"))</f>
        <v/>
      </c>
      <c r="B583" s="46" t="n"/>
      <c r="C583" s="47" t="n"/>
      <c r="D583" s="27">
        <f>IF($C583="","",IF(COUNTIFS(ENVIOS!$A$4:$A$3003,$C583)=0,"NO EXISTE",IF(COUNTIFS(ENVIOS!$A$4:$A$3003,$C583)&gt;1,"DUPLICADA","OK")))</f>
        <v/>
      </c>
      <c r="E583" s="22">
        <f>IF($C583="","",IFERROR(INDEX(ENVIOS!$C$4:$C$3003,MATCH($C583,ENVIOS!$A$4:$A$3003,0)),"—"))</f>
        <v/>
      </c>
      <c r="F583" s="22">
        <f>IF($C583="","",IFERROR(INDEX(ENVIOS!$D$4:$D$3003,MATCH($C583,ENVIOS!$A$4:$A$3003,0)),"—"))</f>
        <v/>
      </c>
      <c r="G583" s="22">
        <f>IF($C583="","",IFERROR(INDEX(ENVIOS!$E$4:$E$3003,MATCH($C583,ENVIOS!$A$4:$A$3003,0)),"—"))</f>
        <v/>
      </c>
      <c r="H583" s="22">
        <f>IF($C583="","",IFERROR(INDEX(ENVIOS!$F$4:$F$3003,MATCH($C583,ENVIOS!$A$4:$A$3003,0)),"—"))</f>
        <v/>
      </c>
      <c r="I583" s="27">
        <f>IF($C583="","",IFERROR(INDEX(ENVIOS!$G$4:$G$3003,MATCH($C583,ENVIOS!$A$4:$A$3003,0)),"—"))</f>
        <v/>
      </c>
      <c r="J583" s="48">
        <f>IF($C583="","",IFERROR(INDEX(ENVIOS!$B$4:$B$3003,MATCH($C583,ENVIOS!$A$4:$A$3003,0)),""))</f>
        <v/>
      </c>
      <c r="K583" s="49" t="n"/>
      <c r="L583" s="27">
        <f>IF($K583="","",IFERROR(INDEX(CONFIG!$B$4:$B$43,MATCH($K583,CONFIG!$A$4:$A$43,0)),"Media"))</f>
        <v/>
      </c>
      <c r="M583" s="27">
        <f>IF($K583="","",IFERROR(INDEX(CONFIG!$D$4:$D$43,MATCH($K583,CONFIG!$A$4:$A$43,0)),"NO"))</f>
        <v/>
      </c>
      <c r="N583" s="49" t="n"/>
      <c r="O583" s="27">
        <f>IF($N583="","",IFERROR(INDEX(CONFIG!$G$4:$G$43,MATCH($N583,CONFIG!$F$4:$F$43,0)),"Por definir"))</f>
        <v/>
      </c>
      <c r="P583" s="27">
        <f>IF($N583="","",IFERROR(INDEX(CONFIG!$H$4:$H$43,MATCH($N583,CONFIG!$F$4:$F$43,0)),"Por definir"))</f>
        <v/>
      </c>
      <c r="Q583" s="50" t="n"/>
      <c r="R583" s="51" t="n"/>
      <c r="S583" s="49" t="n"/>
      <c r="T583" s="49" t="n"/>
      <c r="U583" s="48">
        <f>IF(OR($B583="",$K583=""),"",WORKDAY($B583,IFERROR(INDEX(CONFIG!$C$4:$C$43,MATCH($K583,CONFIG!$A$4:$A$43,0)),3)))</f>
        <v/>
      </c>
      <c r="V583" s="46" t="n"/>
      <c r="W583" s="23">
        <f>IF($B583="","",IF($V583&lt;&gt;"",$V583-$B583,TODAY()-$B583))</f>
        <v/>
      </c>
      <c r="X583" s="27">
        <f>IF($C583="","",IF(IFERROR(INDEX(CONFIG!$K$4:$K$43,MATCH($S583,CONFIG!$J$4:$J$43,0)),"NO")="SÍ",IF(OR($V583="",$U583=""),"Resuelta",IF($V583&gt;$U583,"Resuelta tarde","Resuelta a tiempo")),IF($U583="","Sin clasificar",IF(TODAY()&gt;$U583,"Vencida",IF(TODAY()&gt;=$U583-1,"Por vencer","En plazo")))))</f>
        <v/>
      </c>
      <c r="Y583" s="49" t="n"/>
      <c r="Z583" s="49" t="n"/>
    </row>
    <row r="584" ht="16" customHeight="1">
      <c r="A584" s="27">
        <f>IF($C584="","","N-"&amp;TEXT(ROW()-3,"0000"))</f>
        <v/>
      </c>
      <c r="B584" s="46" t="n"/>
      <c r="C584" s="47" t="n"/>
      <c r="D584" s="27">
        <f>IF($C584="","",IF(COUNTIFS(ENVIOS!$A$4:$A$3003,$C584)=0,"NO EXISTE",IF(COUNTIFS(ENVIOS!$A$4:$A$3003,$C584)&gt;1,"DUPLICADA","OK")))</f>
        <v/>
      </c>
      <c r="E584" s="22">
        <f>IF($C584="","",IFERROR(INDEX(ENVIOS!$C$4:$C$3003,MATCH($C584,ENVIOS!$A$4:$A$3003,0)),"—"))</f>
        <v/>
      </c>
      <c r="F584" s="22">
        <f>IF($C584="","",IFERROR(INDEX(ENVIOS!$D$4:$D$3003,MATCH($C584,ENVIOS!$A$4:$A$3003,0)),"—"))</f>
        <v/>
      </c>
      <c r="G584" s="22">
        <f>IF($C584="","",IFERROR(INDEX(ENVIOS!$E$4:$E$3003,MATCH($C584,ENVIOS!$A$4:$A$3003,0)),"—"))</f>
        <v/>
      </c>
      <c r="H584" s="22">
        <f>IF($C584="","",IFERROR(INDEX(ENVIOS!$F$4:$F$3003,MATCH($C584,ENVIOS!$A$4:$A$3003,0)),"—"))</f>
        <v/>
      </c>
      <c r="I584" s="27">
        <f>IF($C584="","",IFERROR(INDEX(ENVIOS!$G$4:$G$3003,MATCH($C584,ENVIOS!$A$4:$A$3003,0)),"—"))</f>
        <v/>
      </c>
      <c r="J584" s="48">
        <f>IF($C584="","",IFERROR(INDEX(ENVIOS!$B$4:$B$3003,MATCH($C584,ENVIOS!$A$4:$A$3003,0)),""))</f>
        <v/>
      </c>
      <c r="K584" s="49" t="n"/>
      <c r="L584" s="27">
        <f>IF($K584="","",IFERROR(INDEX(CONFIG!$B$4:$B$43,MATCH($K584,CONFIG!$A$4:$A$43,0)),"Media"))</f>
        <v/>
      </c>
      <c r="M584" s="27">
        <f>IF($K584="","",IFERROR(INDEX(CONFIG!$D$4:$D$43,MATCH($K584,CONFIG!$A$4:$A$43,0)),"NO"))</f>
        <v/>
      </c>
      <c r="N584" s="49" t="n"/>
      <c r="O584" s="27">
        <f>IF($N584="","",IFERROR(INDEX(CONFIG!$G$4:$G$43,MATCH($N584,CONFIG!$F$4:$F$43,0)),"Por definir"))</f>
        <v/>
      </c>
      <c r="P584" s="27">
        <f>IF($N584="","",IFERROR(INDEX(CONFIG!$H$4:$H$43,MATCH($N584,CONFIG!$F$4:$F$43,0)),"Por definir"))</f>
        <v/>
      </c>
      <c r="Q584" s="50" t="n"/>
      <c r="R584" s="51" t="n"/>
      <c r="S584" s="49" t="n"/>
      <c r="T584" s="49" t="n"/>
      <c r="U584" s="48">
        <f>IF(OR($B584="",$K584=""),"",WORKDAY($B584,IFERROR(INDEX(CONFIG!$C$4:$C$43,MATCH($K584,CONFIG!$A$4:$A$43,0)),3)))</f>
        <v/>
      </c>
      <c r="V584" s="46" t="n"/>
      <c r="W584" s="23">
        <f>IF($B584="","",IF($V584&lt;&gt;"",$V584-$B584,TODAY()-$B584))</f>
        <v/>
      </c>
      <c r="X584" s="27">
        <f>IF($C584="","",IF(IFERROR(INDEX(CONFIG!$K$4:$K$43,MATCH($S584,CONFIG!$J$4:$J$43,0)),"NO")="SÍ",IF(OR($V584="",$U584=""),"Resuelta",IF($V584&gt;$U584,"Resuelta tarde","Resuelta a tiempo")),IF($U584="","Sin clasificar",IF(TODAY()&gt;$U584,"Vencida",IF(TODAY()&gt;=$U584-1,"Por vencer","En plazo")))))</f>
        <v/>
      </c>
      <c r="Y584" s="49" t="n"/>
      <c r="Z584" s="49" t="n"/>
    </row>
    <row r="585" ht="16" customHeight="1">
      <c r="A585" s="27">
        <f>IF($C585="","","N-"&amp;TEXT(ROW()-3,"0000"))</f>
        <v/>
      </c>
      <c r="B585" s="46" t="n"/>
      <c r="C585" s="47" t="n"/>
      <c r="D585" s="27">
        <f>IF($C585="","",IF(COUNTIFS(ENVIOS!$A$4:$A$3003,$C585)=0,"NO EXISTE",IF(COUNTIFS(ENVIOS!$A$4:$A$3003,$C585)&gt;1,"DUPLICADA","OK")))</f>
        <v/>
      </c>
      <c r="E585" s="22">
        <f>IF($C585="","",IFERROR(INDEX(ENVIOS!$C$4:$C$3003,MATCH($C585,ENVIOS!$A$4:$A$3003,0)),"—"))</f>
        <v/>
      </c>
      <c r="F585" s="22">
        <f>IF($C585="","",IFERROR(INDEX(ENVIOS!$D$4:$D$3003,MATCH($C585,ENVIOS!$A$4:$A$3003,0)),"—"))</f>
        <v/>
      </c>
      <c r="G585" s="22">
        <f>IF($C585="","",IFERROR(INDEX(ENVIOS!$E$4:$E$3003,MATCH($C585,ENVIOS!$A$4:$A$3003,0)),"—"))</f>
        <v/>
      </c>
      <c r="H585" s="22">
        <f>IF($C585="","",IFERROR(INDEX(ENVIOS!$F$4:$F$3003,MATCH($C585,ENVIOS!$A$4:$A$3003,0)),"—"))</f>
        <v/>
      </c>
      <c r="I585" s="27">
        <f>IF($C585="","",IFERROR(INDEX(ENVIOS!$G$4:$G$3003,MATCH($C585,ENVIOS!$A$4:$A$3003,0)),"—"))</f>
        <v/>
      </c>
      <c r="J585" s="48">
        <f>IF($C585="","",IFERROR(INDEX(ENVIOS!$B$4:$B$3003,MATCH($C585,ENVIOS!$A$4:$A$3003,0)),""))</f>
        <v/>
      </c>
      <c r="K585" s="49" t="n"/>
      <c r="L585" s="27">
        <f>IF($K585="","",IFERROR(INDEX(CONFIG!$B$4:$B$43,MATCH($K585,CONFIG!$A$4:$A$43,0)),"Media"))</f>
        <v/>
      </c>
      <c r="M585" s="27">
        <f>IF($K585="","",IFERROR(INDEX(CONFIG!$D$4:$D$43,MATCH($K585,CONFIG!$A$4:$A$43,0)),"NO"))</f>
        <v/>
      </c>
      <c r="N585" s="49" t="n"/>
      <c r="O585" s="27">
        <f>IF($N585="","",IFERROR(INDEX(CONFIG!$G$4:$G$43,MATCH($N585,CONFIG!$F$4:$F$43,0)),"Por definir"))</f>
        <v/>
      </c>
      <c r="P585" s="27">
        <f>IF($N585="","",IFERROR(INDEX(CONFIG!$H$4:$H$43,MATCH($N585,CONFIG!$F$4:$F$43,0)),"Por definir"))</f>
        <v/>
      </c>
      <c r="Q585" s="50" t="n"/>
      <c r="R585" s="51" t="n"/>
      <c r="S585" s="49" t="n"/>
      <c r="T585" s="49" t="n"/>
      <c r="U585" s="48">
        <f>IF(OR($B585="",$K585=""),"",WORKDAY($B585,IFERROR(INDEX(CONFIG!$C$4:$C$43,MATCH($K585,CONFIG!$A$4:$A$43,0)),3)))</f>
        <v/>
      </c>
      <c r="V585" s="46" t="n"/>
      <c r="W585" s="23">
        <f>IF($B585="","",IF($V585&lt;&gt;"",$V585-$B585,TODAY()-$B585))</f>
        <v/>
      </c>
      <c r="X585" s="27">
        <f>IF($C585="","",IF(IFERROR(INDEX(CONFIG!$K$4:$K$43,MATCH($S585,CONFIG!$J$4:$J$43,0)),"NO")="SÍ",IF(OR($V585="",$U585=""),"Resuelta",IF($V585&gt;$U585,"Resuelta tarde","Resuelta a tiempo")),IF($U585="","Sin clasificar",IF(TODAY()&gt;$U585,"Vencida",IF(TODAY()&gt;=$U585-1,"Por vencer","En plazo")))))</f>
        <v/>
      </c>
      <c r="Y585" s="49" t="n"/>
      <c r="Z585" s="49" t="n"/>
    </row>
    <row r="586" ht="16" customHeight="1">
      <c r="A586" s="27">
        <f>IF($C586="","","N-"&amp;TEXT(ROW()-3,"0000"))</f>
        <v/>
      </c>
      <c r="B586" s="46" t="n"/>
      <c r="C586" s="47" t="n"/>
      <c r="D586" s="27">
        <f>IF($C586="","",IF(COUNTIFS(ENVIOS!$A$4:$A$3003,$C586)=0,"NO EXISTE",IF(COUNTIFS(ENVIOS!$A$4:$A$3003,$C586)&gt;1,"DUPLICADA","OK")))</f>
        <v/>
      </c>
      <c r="E586" s="22">
        <f>IF($C586="","",IFERROR(INDEX(ENVIOS!$C$4:$C$3003,MATCH($C586,ENVIOS!$A$4:$A$3003,0)),"—"))</f>
        <v/>
      </c>
      <c r="F586" s="22">
        <f>IF($C586="","",IFERROR(INDEX(ENVIOS!$D$4:$D$3003,MATCH($C586,ENVIOS!$A$4:$A$3003,0)),"—"))</f>
        <v/>
      </c>
      <c r="G586" s="22">
        <f>IF($C586="","",IFERROR(INDEX(ENVIOS!$E$4:$E$3003,MATCH($C586,ENVIOS!$A$4:$A$3003,0)),"—"))</f>
        <v/>
      </c>
      <c r="H586" s="22">
        <f>IF($C586="","",IFERROR(INDEX(ENVIOS!$F$4:$F$3003,MATCH($C586,ENVIOS!$A$4:$A$3003,0)),"—"))</f>
        <v/>
      </c>
      <c r="I586" s="27">
        <f>IF($C586="","",IFERROR(INDEX(ENVIOS!$G$4:$G$3003,MATCH($C586,ENVIOS!$A$4:$A$3003,0)),"—"))</f>
        <v/>
      </c>
      <c r="J586" s="48">
        <f>IF($C586="","",IFERROR(INDEX(ENVIOS!$B$4:$B$3003,MATCH($C586,ENVIOS!$A$4:$A$3003,0)),""))</f>
        <v/>
      </c>
      <c r="K586" s="49" t="n"/>
      <c r="L586" s="27">
        <f>IF($K586="","",IFERROR(INDEX(CONFIG!$B$4:$B$43,MATCH($K586,CONFIG!$A$4:$A$43,0)),"Media"))</f>
        <v/>
      </c>
      <c r="M586" s="27">
        <f>IF($K586="","",IFERROR(INDEX(CONFIG!$D$4:$D$43,MATCH($K586,CONFIG!$A$4:$A$43,0)),"NO"))</f>
        <v/>
      </c>
      <c r="N586" s="49" t="n"/>
      <c r="O586" s="27">
        <f>IF($N586="","",IFERROR(INDEX(CONFIG!$G$4:$G$43,MATCH($N586,CONFIG!$F$4:$F$43,0)),"Por definir"))</f>
        <v/>
      </c>
      <c r="P586" s="27">
        <f>IF($N586="","",IFERROR(INDEX(CONFIG!$H$4:$H$43,MATCH($N586,CONFIG!$F$4:$F$43,0)),"Por definir"))</f>
        <v/>
      </c>
      <c r="Q586" s="50" t="n"/>
      <c r="R586" s="51" t="n"/>
      <c r="S586" s="49" t="n"/>
      <c r="T586" s="49" t="n"/>
      <c r="U586" s="48">
        <f>IF(OR($B586="",$K586=""),"",WORKDAY($B586,IFERROR(INDEX(CONFIG!$C$4:$C$43,MATCH($K586,CONFIG!$A$4:$A$43,0)),3)))</f>
        <v/>
      </c>
      <c r="V586" s="46" t="n"/>
      <c r="W586" s="23">
        <f>IF($B586="","",IF($V586&lt;&gt;"",$V586-$B586,TODAY()-$B586))</f>
        <v/>
      </c>
      <c r="X586" s="27">
        <f>IF($C586="","",IF(IFERROR(INDEX(CONFIG!$K$4:$K$43,MATCH($S586,CONFIG!$J$4:$J$43,0)),"NO")="SÍ",IF(OR($V586="",$U586=""),"Resuelta",IF($V586&gt;$U586,"Resuelta tarde","Resuelta a tiempo")),IF($U586="","Sin clasificar",IF(TODAY()&gt;$U586,"Vencida",IF(TODAY()&gt;=$U586-1,"Por vencer","En plazo")))))</f>
        <v/>
      </c>
      <c r="Y586" s="49" t="n"/>
      <c r="Z586" s="49" t="n"/>
    </row>
    <row r="587" ht="16" customHeight="1">
      <c r="A587" s="27">
        <f>IF($C587="","","N-"&amp;TEXT(ROW()-3,"0000"))</f>
        <v/>
      </c>
      <c r="B587" s="46" t="n"/>
      <c r="C587" s="47" t="n"/>
      <c r="D587" s="27">
        <f>IF($C587="","",IF(COUNTIFS(ENVIOS!$A$4:$A$3003,$C587)=0,"NO EXISTE",IF(COUNTIFS(ENVIOS!$A$4:$A$3003,$C587)&gt;1,"DUPLICADA","OK")))</f>
        <v/>
      </c>
      <c r="E587" s="22">
        <f>IF($C587="","",IFERROR(INDEX(ENVIOS!$C$4:$C$3003,MATCH($C587,ENVIOS!$A$4:$A$3003,0)),"—"))</f>
        <v/>
      </c>
      <c r="F587" s="22">
        <f>IF($C587="","",IFERROR(INDEX(ENVIOS!$D$4:$D$3003,MATCH($C587,ENVIOS!$A$4:$A$3003,0)),"—"))</f>
        <v/>
      </c>
      <c r="G587" s="22">
        <f>IF($C587="","",IFERROR(INDEX(ENVIOS!$E$4:$E$3003,MATCH($C587,ENVIOS!$A$4:$A$3003,0)),"—"))</f>
        <v/>
      </c>
      <c r="H587" s="22">
        <f>IF($C587="","",IFERROR(INDEX(ENVIOS!$F$4:$F$3003,MATCH($C587,ENVIOS!$A$4:$A$3003,0)),"—"))</f>
        <v/>
      </c>
      <c r="I587" s="27">
        <f>IF($C587="","",IFERROR(INDEX(ENVIOS!$G$4:$G$3003,MATCH($C587,ENVIOS!$A$4:$A$3003,0)),"—"))</f>
        <v/>
      </c>
      <c r="J587" s="48">
        <f>IF($C587="","",IFERROR(INDEX(ENVIOS!$B$4:$B$3003,MATCH($C587,ENVIOS!$A$4:$A$3003,0)),""))</f>
        <v/>
      </c>
      <c r="K587" s="49" t="n"/>
      <c r="L587" s="27">
        <f>IF($K587="","",IFERROR(INDEX(CONFIG!$B$4:$B$43,MATCH($K587,CONFIG!$A$4:$A$43,0)),"Media"))</f>
        <v/>
      </c>
      <c r="M587" s="27">
        <f>IF($K587="","",IFERROR(INDEX(CONFIG!$D$4:$D$43,MATCH($K587,CONFIG!$A$4:$A$43,0)),"NO"))</f>
        <v/>
      </c>
      <c r="N587" s="49" t="n"/>
      <c r="O587" s="27">
        <f>IF($N587="","",IFERROR(INDEX(CONFIG!$G$4:$G$43,MATCH($N587,CONFIG!$F$4:$F$43,0)),"Por definir"))</f>
        <v/>
      </c>
      <c r="P587" s="27">
        <f>IF($N587="","",IFERROR(INDEX(CONFIG!$H$4:$H$43,MATCH($N587,CONFIG!$F$4:$F$43,0)),"Por definir"))</f>
        <v/>
      </c>
      <c r="Q587" s="50" t="n"/>
      <c r="R587" s="51" t="n"/>
      <c r="S587" s="49" t="n"/>
      <c r="T587" s="49" t="n"/>
      <c r="U587" s="48">
        <f>IF(OR($B587="",$K587=""),"",WORKDAY($B587,IFERROR(INDEX(CONFIG!$C$4:$C$43,MATCH($K587,CONFIG!$A$4:$A$43,0)),3)))</f>
        <v/>
      </c>
      <c r="V587" s="46" t="n"/>
      <c r="W587" s="23">
        <f>IF($B587="","",IF($V587&lt;&gt;"",$V587-$B587,TODAY()-$B587))</f>
        <v/>
      </c>
      <c r="X587" s="27">
        <f>IF($C587="","",IF(IFERROR(INDEX(CONFIG!$K$4:$K$43,MATCH($S587,CONFIG!$J$4:$J$43,0)),"NO")="SÍ",IF(OR($V587="",$U587=""),"Resuelta",IF($V587&gt;$U587,"Resuelta tarde","Resuelta a tiempo")),IF($U587="","Sin clasificar",IF(TODAY()&gt;$U587,"Vencida",IF(TODAY()&gt;=$U587-1,"Por vencer","En plazo")))))</f>
        <v/>
      </c>
      <c r="Y587" s="49" t="n"/>
      <c r="Z587" s="49" t="n"/>
    </row>
    <row r="588" ht="16" customHeight="1">
      <c r="A588" s="27">
        <f>IF($C588="","","N-"&amp;TEXT(ROW()-3,"0000"))</f>
        <v/>
      </c>
      <c r="B588" s="46" t="n"/>
      <c r="C588" s="47" t="n"/>
      <c r="D588" s="27">
        <f>IF($C588="","",IF(COUNTIFS(ENVIOS!$A$4:$A$3003,$C588)=0,"NO EXISTE",IF(COUNTIFS(ENVIOS!$A$4:$A$3003,$C588)&gt;1,"DUPLICADA","OK")))</f>
        <v/>
      </c>
      <c r="E588" s="22">
        <f>IF($C588="","",IFERROR(INDEX(ENVIOS!$C$4:$C$3003,MATCH($C588,ENVIOS!$A$4:$A$3003,0)),"—"))</f>
        <v/>
      </c>
      <c r="F588" s="22">
        <f>IF($C588="","",IFERROR(INDEX(ENVIOS!$D$4:$D$3003,MATCH($C588,ENVIOS!$A$4:$A$3003,0)),"—"))</f>
        <v/>
      </c>
      <c r="G588" s="22">
        <f>IF($C588="","",IFERROR(INDEX(ENVIOS!$E$4:$E$3003,MATCH($C588,ENVIOS!$A$4:$A$3003,0)),"—"))</f>
        <v/>
      </c>
      <c r="H588" s="22">
        <f>IF($C588="","",IFERROR(INDEX(ENVIOS!$F$4:$F$3003,MATCH($C588,ENVIOS!$A$4:$A$3003,0)),"—"))</f>
        <v/>
      </c>
      <c r="I588" s="27">
        <f>IF($C588="","",IFERROR(INDEX(ENVIOS!$G$4:$G$3003,MATCH($C588,ENVIOS!$A$4:$A$3003,0)),"—"))</f>
        <v/>
      </c>
      <c r="J588" s="48">
        <f>IF($C588="","",IFERROR(INDEX(ENVIOS!$B$4:$B$3003,MATCH($C588,ENVIOS!$A$4:$A$3003,0)),""))</f>
        <v/>
      </c>
      <c r="K588" s="49" t="n"/>
      <c r="L588" s="27">
        <f>IF($K588="","",IFERROR(INDEX(CONFIG!$B$4:$B$43,MATCH($K588,CONFIG!$A$4:$A$43,0)),"Media"))</f>
        <v/>
      </c>
      <c r="M588" s="27">
        <f>IF($K588="","",IFERROR(INDEX(CONFIG!$D$4:$D$43,MATCH($K588,CONFIG!$A$4:$A$43,0)),"NO"))</f>
        <v/>
      </c>
      <c r="N588" s="49" t="n"/>
      <c r="O588" s="27">
        <f>IF($N588="","",IFERROR(INDEX(CONFIG!$G$4:$G$43,MATCH($N588,CONFIG!$F$4:$F$43,0)),"Por definir"))</f>
        <v/>
      </c>
      <c r="P588" s="27">
        <f>IF($N588="","",IFERROR(INDEX(CONFIG!$H$4:$H$43,MATCH($N588,CONFIG!$F$4:$F$43,0)),"Por definir"))</f>
        <v/>
      </c>
      <c r="Q588" s="50" t="n"/>
      <c r="R588" s="51" t="n"/>
      <c r="S588" s="49" t="n"/>
      <c r="T588" s="49" t="n"/>
      <c r="U588" s="48">
        <f>IF(OR($B588="",$K588=""),"",WORKDAY($B588,IFERROR(INDEX(CONFIG!$C$4:$C$43,MATCH($K588,CONFIG!$A$4:$A$43,0)),3)))</f>
        <v/>
      </c>
      <c r="V588" s="46" t="n"/>
      <c r="W588" s="23">
        <f>IF($B588="","",IF($V588&lt;&gt;"",$V588-$B588,TODAY()-$B588))</f>
        <v/>
      </c>
      <c r="X588" s="27">
        <f>IF($C588="","",IF(IFERROR(INDEX(CONFIG!$K$4:$K$43,MATCH($S588,CONFIG!$J$4:$J$43,0)),"NO")="SÍ",IF(OR($V588="",$U588=""),"Resuelta",IF($V588&gt;$U588,"Resuelta tarde","Resuelta a tiempo")),IF($U588="","Sin clasificar",IF(TODAY()&gt;$U588,"Vencida",IF(TODAY()&gt;=$U588-1,"Por vencer","En plazo")))))</f>
        <v/>
      </c>
      <c r="Y588" s="49" t="n"/>
      <c r="Z588" s="49" t="n"/>
    </row>
    <row r="589" ht="16" customHeight="1">
      <c r="A589" s="27">
        <f>IF($C589="","","N-"&amp;TEXT(ROW()-3,"0000"))</f>
        <v/>
      </c>
      <c r="B589" s="46" t="n"/>
      <c r="C589" s="47" t="n"/>
      <c r="D589" s="27">
        <f>IF($C589="","",IF(COUNTIFS(ENVIOS!$A$4:$A$3003,$C589)=0,"NO EXISTE",IF(COUNTIFS(ENVIOS!$A$4:$A$3003,$C589)&gt;1,"DUPLICADA","OK")))</f>
        <v/>
      </c>
      <c r="E589" s="22">
        <f>IF($C589="","",IFERROR(INDEX(ENVIOS!$C$4:$C$3003,MATCH($C589,ENVIOS!$A$4:$A$3003,0)),"—"))</f>
        <v/>
      </c>
      <c r="F589" s="22">
        <f>IF($C589="","",IFERROR(INDEX(ENVIOS!$D$4:$D$3003,MATCH($C589,ENVIOS!$A$4:$A$3003,0)),"—"))</f>
        <v/>
      </c>
      <c r="G589" s="22">
        <f>IF($C589="","",IFERROR(INDEX(ENVIOS!$E$4:$E$3003,MATCH($C589,ENVIOS!$A$4:$A$3003,0)),"—"))</f>
        <v/>
      </c>
      <c r="H589" s="22">
        <f>IF($C589="","",IFERROR(INDEX(ENVIOS!$F$4:$F$3003,MATCH($C589,ENVIOS!$A$4:$A$3003,0)),"—"))</f>
        <v/>
      </c>
      <c r="I589" s="27">
        <f>IF($C589="","",IFERROR(INDEX(ENVIOS!$G$4:$G$3003,MATCH($C589,ENVIOS!$A$4:$A$3003,0)),"—"))</f>
        <v/>
      </c>
      <c r="J589" s="48">
        <f>IF($C589="","",IFERROR(INDEX(ENVIOS!$B$4:$B$3003,MATCH($C589,ENVIOS!$A$4:$A$3003,0)),""))</f>
        <v/>
      </c>
      <c r="K589" s="49" t="n"/>
      <c r="L589" s="27">
        <f>IF($K589="","",IFERROR(INDEX(CONFIG!$B$4:$B$43,MATCH($K589,CONFIG!$A$4:$A$43,0)),"Media"))</f>
        <v/>
      </c>
      <c r="M589" s="27">
        <f>IF($K589="","",IFERROR(INDEX(CONFIG!$D$4:$D$43,MATCH($K589,CONFIG!$A$4:$A$43,0)),"NO"))</f>
        <v/>
      </c>
      <c r="N589" s="49" t="n"/>
      <c r="O589" s="27">
        <f>IF($N589="","",IFERROR(INDEX(CONFIG!$G$4:$G$43,MATCH($N589,CONFIG!$F$4:$F$43,0)),"Por definir"))</f>
        <v/>
      </c>
      <c r="P589" s="27">
        <f>IF($N589="","",IFERROR(INDEX(CONFIG!$H$4:$H$43,MATCH($N589,CONFIG!$F$4:$F$43,0)),"Por definir"))</f>
        <v/>
      </c>
      <c r="Q589" s="50" t="n"/>
      <c r="R589" s="51" t="n"/>
      <c r="S589" s="49" t="n"/>
      <c r="T589" s="49" t="n"/>
      <c r="U589" s="48">
        <f>IF(OR($B589="",$K589=""),"",WORKDAY($B589,IFERROR(INDEX(CONFIG!$C$4:$C$43,MATCH($K589,CONFIG!$A$4:$A$43,0)),3)))</f>
        <v/>
      </c>
      <c r="V589" s="46" t="n"/>
      <c r="W589" s="23">
        <f>IF($B589="","",IF($V589&lt;&gt;"",$V589-$B589,TODAY()-$B589))</f>
        <v/>
      </c>
      <c r="X589" s="27">
        <f>IF($C589="","",IF(IFERROR(INDEX(CONFIG!$K$4:$K$43,MATCH($S589,CONFIG!$J$4:$J$43,0)),"NO")="SÍ",IF(OR($V589="",$U589=""),"Resuelta",IF($V589&gt;$U589,"Resuelta tarde","Resuelta a tiempo")),IF($U589="","Sin clasificar",IF(TODAY()&gt;$U589,"Vencida",IF(TODAY()&gt;=$U589-1,"Por vencer","En plazo")))))</f>
        <v/>
      </c>
      <c r="Y589" s="49" t="n"/>
      <c r="Z589" s="49" t="n"/>
    </row>
    <row r="590" ht="16" customHeight="1">
      <c r="A590" s="27">
        <f>IF($C590="","","N-"&amp;TEXT(ROW()-3,"0000"))</f>
        <v/>
      </c>
      <c r="B590" s="46" t="n"/>
      <c r="C590" s="47" t="n"/>
      <c r="D590" s="27">
        <f>IF($C590="","",IF(COUNTIFS(ENVIOS!$A$4:$A$3003,$C590)=0,"NO EXISTE",IF(COUNTIFS(ENVIOS!$A$4:$A$3003,$C590)&gt;1,"DUPLICADA","OK")))</f>
        <v/>
      </c>
      <c r="E590" s="22">
        <f>IF($C590="","",IFERROR(INDEX(ENVIOS!$C$4:$C$3003,MATCH($C590,ENVIOS!$A$4:$A$3003,0)),"—"))</f>
        <v/>
      </c>
      <c r="F590" s="22">
        <f>IF($C590="","",IFERROR(INDEX(ENVIOS!$D$4:$D$3003,MATCH($C590,ENVIOS!$A$4:$A$3003,0)),"—"))</f>
        <v/>
      </c>
      <c r="G590" s="22">
        <f>IF($C590="","",IFERROR(INDEX(ENVIOS!$E$4:$E$3003,MATCH($C590,ENVIOS!$A$4:$A$3003,0)),"—"))</f>
        <v/>
      </c>
      <c r="H590" s="22">
        <f>IF($C590="","",IFERROR(INDEX(ENVIOS!$F$4:$F$3003,MATCH($C590,ENVIOS!$A$4:$A$3003,0)),"—"))</f>
        <v/>
      </c>
      <c r="I590" s="27">
        <f>IF($C590="","",IFERROR(INDEX(ENVIOS!$G$4:$G$3003,MATCH($C590,ENVIOS!$A$4:$A$3003,0)),"—"))</f>
        <v/>
      </c>
      <c r="J590" s="48">
        <f>IF($C590="","",IFERROR(INDEX(ENVIOS!$B$4:$B$3003,MATCH($C590,ENVIOS!$A$4:$A$3003,0)),""))</f>
        <v/>
      </c>
      <c r="K590" s="49" t="n"/>
      <c r="L590" s="27">
        <f>IF($K590="","",IFERROR(INDEX(CONFIG!$B$4:$B$43,MATCH($K590,CONFIG!$A$4:$A$43,0)),"Media"))</f>
        <v/>
      </c>
      <c r="M590" s="27">
        <f>IF($K590="","",IFERROR(INDEX(CONFIG!$D$4:$D$43,MATCH($K590,CONFIG!$A$4:$A$43,0)),"NO"))</f>
        <v/>
      </c>
      <c r="N590" s="49" t="n"/>
      <c r="O590" s="27">
        <f>IF($N590="","",IFERROR(INDEX(CONFIG!$G$4:$G$43,MATCH($N590,CONFIG!$F$4:$F$43,0)),"Por definir"))</f>
        <v/>
      </c>
      <c r="P590" s="27">
        <f>IF($N590="","",IFERROR(INDEX(CONFIG!$H$4:$H$43,MATCH($N590,CONFIG!$F$4:$F$43,0)),"Por definir"))</f>
        <v/>
      </c>
      <c r="Q590" s="50" t="n"/>
      <c r="R590" s="51" t="n"/>
      <c r="S590" s="49" t="n"/>
      <c r="T590" s="49" t="n"/>
      <c r="U590" s="48">
        <f>IF(OR($B590="",$K590=""),"",WORKDAY($B590,IFERROR(INDEX(CONFIG!$C$4:$C$43,MATCH($K590,CONFIG!$A$4:$A$43,0)),3)))</f>
        <v/>
      </c>
      <c r="V590" s="46" t="n"/>
      <c r="W590" s="23">
        <f>IF($B590="","",IF($V590&lt;&gt;"",$V590-$B590,TODAY()-$B590))</f>
        <v/>
      </c>
      <c r="X590" s="27">
        <f>IF($C590="","",IF(IFERROR(INDEX(CONFIG!$K$4:$K$43,MATCH($S590,CONFIG!$J$4:$J$43,0)),"NO")="SÍ",IF(OR($V590="",$U590=""),"Resuelta",IF($V590&gt;$U590,"Resuelta tarde","Resuelta a tiempo")),IF($U590="","Sin clasificar",IF(TODAY()&gt;$U590,"Vencida",IF(TODAY()&gt;=$U590-1,"Por vencer","En plazo")))))</f>
        <v/>
      </c>
      <c r="Y590" s="49" t="n"/>
      <c r="Z590" s="49" t="n"/>
    </row>
    <row r="591" ht="16" customHeight="1">
      <c r="A591" s="27">
        <f>IF($C591="","","N-"&amp;TEXT(ROW()-3,"0000"))</f>
        <v/>
      </c>
      <c r="B591" s="46" t="n"/>
      <c r="C591" s="47" t="n"/>
      <c r="D591" s="27">
        <f>IF($C591="","",IF(COUNTIFS(ENVIOS!$A$4:$A$3003,$C591)=0,"NO EXISTE",IF(COUNTIFS(ENVIOS!$A$4:$A$3003,$C591)&gt;1,"DUPLICADA","OK")))</f>
        <v/>
      </c>
      <c r="E591" s="22">
        <f>IF($C591="","",IFERROR(INDEX(ENVIOS!$C$4:$C$3003,MATCH($C591,ENVIOS!$A$4:$A$3003,0)),"—"))</f>
        <v/>
      </c>
      <c r="F591" s="22">
        <f>IF($C591="","",IFERROR(INDEX(ENVIOS!$D$4:$D$3003,MATCH($C591,ENVIOS!$A$4:$A$3003,0)),"—"))</f>
        <v/>
      </c>
      <c r="G591" s="22">
        <f>IF($C591="","",IFERROR(INDEX(ENVIOS!$E$4:$E$3003,MATCH($C591,ENVIOS!$A$4:$A$3003,0)),"—"))</f>
        <v/>
      </c>
      <c r="H591" s="22">
        <f>IF($C591="","",IFERROR(INDEX(ENVIOS!$F$4:$F$3003,MATCH($C591,ENVIOS!$A$4:$A$3003,0)),"—"))</f>
        <v/>
      </c>
      <c r="I591" s="27">
        <f>IF($C591="","",IFERROR(INDEX(ENVIOS!$G$4:$G$3003,MATCH($C591,ENVIOS!$A$4:$A$3003,0)),"—"))</f>
        <v/>
      </c>
      <c r="J591" s="48">
        <f>IF($C591="","",IFERROR(INDEX(ENVIOS!$B$4:$B$3003,MATCH($C591,ENVIOS!$A$4:$A$3003,0)),""))</f>
        <v/>
      </c>
      <c r="K591" s="49" t="n"/>
      <c r="L591" s="27">
        <f>IF($K591="","",IFERROR(INDEX(CONFIG!$B$4:$B$43,MATCH($K591,CONFIG!$A$4:$A$43,0)),"Media"))</f>
        <v/>
      </c>
      <c r="M591" s="27">
        <f>IF($K591="","",IFERROR(INDEX(CONFIG!$D$4:$D$43,MATCH($K591,CONFIG!$A$4:$A$43,0)),"NO"))</f>
        <v/>
      </c>
      <c r="N591" s="49" t="n"/>
      <c r="O591" s="27">
        <f>IF($N591="","",IFERROR(INDEX(CONFIG!$G$4:$G$43,MATCH($N591,CONFIG!$F$4:$F$43,0)),"Por definir"))</f>
        <v/>
      </c>
      <c r="P591" s="27">
        <f>IF($N591="","",IFERROR(INDEX(CONFIG!$H$4:$H$43,MATCH($N591,CONFIG!$F$4:$F$43,0)),"Por definir"))</f>
        <v/>
      </c>
      <c r="Q591" s="50" t="n"/>
      <c r="R591" s="51" t="n"/>
      <c r="S591" s="49" t="n"/>
      <c r="T591" s="49" t="n"/>
      <c r="U591" s="48">
        <f>IF(OR($B591="",$K591=""),"",WORKDAY($B591,IFERROR(INDEX(CONFIG!$C$4:$C$43,MATCH($K591,CONFIG!$A$4:$A$43,0)),3)))</f>
        <v/>
      </c>
      <c r="V591" s="46" t="n"/>
      <c r="W591" s="23">
        <f>IF($B591="","",IF($V591&lt;&gt;"",$V591-$B591,TODAY()-$B591))</f>
        <v/>
      </c>
      <c r="X591" s="27">
        <f>IF($C591="","",IF(IFERROR(INDEX(CONFIG!$K$4:$K$43,MATCH($S591,CONFIG!$J$4:$J$43,0)),"NO")="SÍ",IF(OR($V591="",$U591=""),"Resuelta",IF($V591&gt;$U591,"Resuelta tarde","Resuelta a tiempo")),IF($U591="","Sin clasificar",IF(TODAY()&gt;$U591,"Vencida",IF(TODAY()&gt;=$U591-1,"Por vencer","En plazo")))))</f>
        <v/>
      </c>
      <c r="Y591" s="49" t="n"/>
      <c r="Z591" s="49" t="n"/>
    </row>
    <row r="592" ht="16" customHeight="1">
      <c r="A592" s="27">
        <f>IF($C592="","","N-"&amp;TEXT(ROW()-3,"0000"))</f>
        <v/>
      </c>
      <c r="B592" s="46" t="n"/>
      <c r="C592" s="47" t="n"/>
      <c r="D592" s="27">
        <f>IF($C592="","",IF(COUNTIFS(ENVIOS!$A$4:$A$3003,$C592)=0,"NO EXISTE",IF(COUNTIFS(ENVIOS!$A$4:$A$3003,$C592)&gt;1,"DUPLICADA","OK")))</f>
        <v/>
      </c>
      <c r="E592" s="22">
        <f>IF($C592="","",IFERROR(INDEX(ENVIOS!$C$4:$C$3003,MATCH($C592,ENVIOS!$A$4:$A$3003,0)),"—"))</f>
        <v/>
      </c>
      <c r="F592" s="22">
        <f>IF($C592="","",IFERROR(INDEX(ENVIOS!$D$4:$D$3003,MATCH($C592,ENVIOS!$A$4:$A$3003,0)),"—"))</f>
        <v/>
      </c>
      <c r="G592" s="22">
        <f>IF($C592="","",IFERROR(INDEX(ENVIOS!$E$4:$E$3003,MATCH($C592,ENVIOS!$A$4:$A$3003,0)),"—"))</f>
        <v/>
      </c>
      <c r="H592" s="22">
        <f>IF($C592="","",IFERROR(INDEX(ENVIOS!$F$4:$F$3003,MATCH($C592,ENVIOS!$A$4:$A$3003,0)),"—"))</f>
        <v/>
      </c>
      <c r="I592" s="27">
        <f>IF($C592="","",IFERROR(INDEX(ENVIOS!$G$4:$G$3003,MATCH($C592,ENVIOS!$A$4:$A$3003,0)),"—"))</f>
        <v/>
      </c>
      <c r="J592" s="48">
        <f>IF($C592="","",IFERROR(INDEX(ENVIOS!$B$4:$B$3003,MATCH($C592,ENVIOS!$A$4:$A$3003,0)),""))</f>
        <v/>
      </c>
      <c r="K592" s="49" t="n"/>
      <c r="L592" s="27">
        <f>IF($K592="","",IFERROR(INDEX(CONFIG!$B$4:$B$43,MATCH($K592,CONFIG!$A$4:$A$43,0)),"Media"))</f>
        <v/>
      </c>
      <c r="M592" s="27">
        <f>IF($K592="","",IFERROR(INDEX(CONFIG!$D$4:$D$43,MATCH($K592,CONFIG!$A$4:$A$43,0)),"NO"))</f>
        <v/>
      </c>
      <c r="N592" s="49" t="n"/>
      <c r="O592" s="27">
        <f>IF($N592="","",IFERROR(INDEX(CONFIG!$G$4:$G$43,MATCH($N592,CONFIG!$F$4:$F$43,0)),"Por definir"))</f>
        <v/>
      </c>
      <c r="P592" s="27">
        <f>IF($N592="","",IFERROR(INDEX(CONFIG!$H$4:$H$43,MATCH($N592,CONFIG!$F$4:$F$43,0)),"Por definir"))</f>
        <v/>
      </c>
      <c r="Q592" s="50" t="n"/>
      <c r="R592" s="51" t="n"/>
      <c r="S592" s="49" t="n"/>
      <c r="T592" s="49" t="n"/>
      <c r="U592" s="48">
        <f>IF(OR($B592="",$K592=""),"",WORKDAY($B592,IFERROR(INDEX(CONFIG!$C$4:$C$43,MATCH($K592,CONFIG!$A$4:$A$43,0)),3)))</f>
        <v/>
      </c>
      <c r="V592" s="46" t="n"/>
      <c r="W592" s="23">
        <f>IF($B592="","",IF($V592&lt;&gt;"",$V592-$B592,TODAY()-$B592))</f>
        <v/>
      </c>
      <c r="X592" s="27">
        <f>IF($C592="","",IF(IFERROR(INDEX(CONFIG!$K$4:$K$43,MATCH($S592,CONFIG!$J$4:$J$43,0)),"NO")="SÍ",IF(OR($V592="",$U592=""),"Resuelta",IF($V592&gt;$U592,"Resuelta tarde","Resuelta a tiempo")),IF($U592="","Sin clasificar",IF(TODAY()&gt;$U592,"Vencida",IF(TODAY()&gt;=$U592-1,"Por vencer","En plazo")))))</f>
        <v/>
      </c>
      <c r="Y592" s="49" t="n"/>
      <c r="Z592" s="49" t="n"/>
    </row>
    <row r="593" ht="16" customHeight="1">
      <c r="A593" s="27">
        <f>IF($C593="","","N-"&amp;TEXT(ROW()-3,"0000"))</f>
        <v/>
      </c>
      <c r="B593" s="46" t="n"/>
      <c r="C593" s="47" t="n"/>
      <c r="D593" s="27">
        <f>IF($C593="","",IF(COUNTIFS(ENVIOS!$A$4:$A$3003,$C593)=0,"NO EXISTE",IF(COUNTIFS(ENVIOS!$A$4:$A$3003,$C593)&gt;1,"DUPLICADA","OK")))</f>
        <v/>
      </c>
      <c r="E593" s="22">
        <f>IF($C593="","",IFERROR(INDEX(ENVIOS!$C$4:$C$3003,MATCH($C593,ENVIOS!$A$4:$A$3003,0)),"—"))</f>
        <v/>
      </c>
      <c r="F593" s="22">
        <f>IF($C593="","",IFERROR(INDEX(ENVIOS!$D$4:$D$3003,MATCH($C593,ENVIOS!$A$4:$A$3003,0)),"—"))</f>
        <v/>
      </c>
      <c r="G593" s="22">
        <f>IF($C593="","",IFERROR(INDEX(ENVIOS!$E$4:$E$3003,MATCH($C593,ENVIOS!$A$4:$A$3003,0)),"—"))</f>
        <v/>
      </c>
      <c r="H593" s="22">
        <f>IF($C593="","",IFERROR(INDEX(ENVIOS!$F$4:$F$3003,MATCH($C593,ENVIOS!$A$4:$A$3003,0)),"—"))</f>
        <v/>
      </c>
      <c r="I593" s="27">
        <f>IF($C593="","",IFERROR(INDEX(ENVIOS!$G$4:$G$3003,MATCH($C593,ENVIOS!$A$4:$A$3003,0)),"—"))</f>
        <v/>
      </c>
      <c r="J593" s="48">
        <f>IF($C593="","",IFERROR(INDEX(ENVIOS!$B$4:$B$3003,MATCH($C593,ENVIOS!$A$4:$A$3003,0)),""))</f>
        <v/>
      </c>
      <c r="K593" s="49" t="n"/>
      <c r="L593" s="27">
        <f>IF($K593="","",IFERROR(INDEX(CONFIG!$B$4:$B$43,MATCH($K593,CONFIG!$A$4:$A$43,0)),"Media"))</f>
        <v/>
      </c>
      <c r="M593" s="27">
        <f>IF($K593="","",IFERROR(INDEX(CONFIG!$D$4:$D$43,MATCH($K593,CONFIG!$A$4:$A$43,0)),"NO"))</f>
        <v/>
      </c>
      <c r="N593" s="49" t="n"/>
      <c r="O593" s="27">
        <f>IF($N593="","",IFERROR(INDEX(CONFIG!$G$4:$G$43,MATCH($N593,CONFIG!$F$4:$F$43,0)),"Por definir"))</f>
        <v/>
      </c>
      <c r="P593" s="27">
        <f>IF($N593="","",IFERROR(INDEX(CONFIG!$H$4:$H$43,MATCH($N593,CONFIG!$F$4:$F$43,0)),"Por definir"))</f>
        <v/>
      </c>
      <c r="Q593" s="50" t="n"/>
      <c r="R593" s="51" t="n"/>
      <c r="S593" s="49" t="n"/>
      <c r="T593" s="49" t="n"/>
      <c r="U593" s="48">
        <f>IF(OR($B593="",$K593=""),"",WORKDAY($B593,IFERROR(INDEX(CONFIG!$C$4:$C$43,MATCH($K593,CONFIG!$A$4:$A$43,0)),3)))</f>
        <v/>
      </c>
      <c r="V593" s="46" t="n"/>
      <c r="W593" s="23">
        <f>IF($B593="","",IF($V593&lt;&gt;"",$V593-$B593,TODAY()-$B593))</f>
        <v/>
      </c>
      <c r="X593" s="27">
        <f>IF($C593="","",IF(IFERROR(INDEX(CONFIG!$K$4:$K$43,MATCH($S593,CONFIG!$J$4:$J$43,0)),"NO")="SÍ",IF(OR($V593="",$U593=""),"Resuelta",IF($V593&gt;$U593,"Resuelta tarde","Resuelta a tiempo")),IF($U593="","Sin clasificar",IF(TODAY()&gt;$U593,"Vencida",IF(TODAY()&gt;=$U593-1,"Por vencer","En plazo")))))</f>
        <v/>
      </c>
      <c r="Y593" s="49" t="n"/>
      <c r="Z593" s="49" t="n"/>
    </row>
    <row r="594" ht="16" customHeight="1">
      <c r="A594" s="27">
        <f>IF($C594="","","N-"&amp;TEXT(ROW()-3,"0000"))</f>
        <v/>
      </c>
      <c r="B594" s="46" t="n"/>
      <c r="C594" s="47" t="n"/>
      <c r="D594" s="27">
        <f>IF($C594="","",IF(COUNTIFS(ENVIOS!$A$4:$A$3003,$C594)=0,"NO EXISTE",IF(COUNTIFS(ENVIOS!$A$4:$A$3003,$C594)&gt;1,"DUPLICADA","OK")))</f>
        <v/>
      </c>
      <c r="E594" s="22">
        <f>IF($C594="","",IFERROR(INDEX(ENVIOS!$C$4:$C$3003,MATCH($C594,ENVIOS!$A$4:$A$3003,0)),"—"))</f>
        <v/>
      </c>
      <c r="F594" s="22">
        <f>IF($C594="","",IFERROR(INDEX(ENVIOS!$D$4:$D$3003,MATCH($C594,ENVIOS!$A$4:$A$3003,0)),"—"))</f>
        <v/>
      </c>
      <c r="G594" s="22">
        <f>IF($C594="","",IFERROR(INDEX(ENVIOS!$E$4:$E$3003,MATCH($C594,ENVIOS!$A$4:$A$3003,0)),"—"))</f>
        <v/>
      </c>
      <c r="H594" s="22">
        <f>IF($C594="","",IFERROR(INDEX(ENVIOS!$F$4:$F$3003,MATCH($C594,ENVIOS!$A$4:$A$3003,0)),"—"))</f>
        <v/>
      </c>
      <c r="I594" s="27">
        <f>IF($C594="","",IFERROR(INDEX(ENVIOS!$G$4:$G$3003,MATCH($C594,ENVIOS!$A$4:$A$3003,0)),"—"))</f>
        <v/>
      </c>
      <c r="J594" s="48">
        <f>IF($C594="","",IFERROR(INDEX(ENVIOS!$B$4:$B$3003,MATCH($C594,ENVIOS!$A$4:$A$3003,0)),""))</f>
        <v/>
      </c>
      <c r="K594" s="49" t="n"/>
      <c r="L594" s="27">
        <f>IF($K594="","",IFERROR(INDEX(CONFIG!$B$4:$B$43,MATCH($K594,CONFIG!$A$4:$A$43,0)),"Media"))</f>
        <v/>
      </c>
      <c r="M594" s="27">
        <f>IF($K594="","",IFERROR(INDEX(CONFIG!$D$4:$D$43,MATCH($K594,CONFIG!$A$4:$A$43,0)),"NO"))</f>
        <v/>
      </c>
      <c r="N594" s="49" t="n"/>
      <c r="O594" s="27">
        <f>IF($N594="","",IFERROR(INDEX(CONFIG!$G$4:$G$43,MATCH($N594,CONFIG!$F$4:$F$43,0)),"Por definir"))</f>
        <v/>
      </c>
      <c r="P594" s="27">
        <f>IF($N594="","",IFERROR(INDEX(CONFIG!$H$4:$H$43,MATCH($N594,CONFIG!$F$4:$F$43,0)),"Por definir"))</f>
        <v/>
      </c>
      <c r="Q594" s="50" t="n"/>
      <c r="R594" s="51" t="n"/>
      <c r="S594" s="49" t="n"/>
      <c r="T594" s="49" t="n"/>
      <c r="U594" s="48">
        <f>IF(OR($B594="",$K594=""),"",WORKDAY($B594,IFERROR(INDEX(CONFIG!$C$4:$C$43,MATCH($K594,CONFIG!$A$4:$A$43,0)),3)))</f>
        <v/>
      </c>
      <c r="V594" s="46" t="n"/>
      <c r="W594" s="23">
        <f>IF($B594="","",IF($V594&lt;&gt;"",$V594-$B594,TODAY()-$B594))</f>
        <v/>
      </c>
      <c r="X594" s="27">
        <f>IF($C594="","",IF(IFERROR(INDEX(CONFIG!$K$4:$K$43,MATCH($S594,CONFIG!$J$4:$J$43,0)),"NO")="SÍ",IF(OR($V594="",$U594=""),"Resuelta",IF($V594&gt;$U594,"Resuelta tarde","Resuelta a tiempo")),IF($U594="","Sin clasificar",IF(TODAY()&gt;$U594,"Vencida",IF(TODAY()&gt;=$U594-1,"Por vencer","En plazo")))))</f>
        <v/>
      </c>
      <c r="Y594" s="49" t="n"/>
      <c r="Z594" s="49" t="n"/>
    </row>
    <row r="595" ht="16" customHeight="1">
      <c r="A595" s="27">
        <f>IF($C595="","","N-"&amp;TEXT(ROW()-3,"0000"))</f>
        <v/>
      </c>
      <c r="B595" s="46" t="n"/>
      <c r="C595" s="47" t="n"/>
      <c r="D595" s="27">
        <f>IF($C595="","",IF(COUNTIFS(ENVIOS!$A$4:$A$3003,$C595)=0,"NO EXISTE",IF(COUNTIFS(ENVIOS!$A$4:$A$3003,$C595)&gt;1,"DUPLICADA","OK")))</f>
        <v/>
      </c>
      <c r="E595" s="22">
        <f>IF($C595="","",IFERROR(INDEX(ENVIOS!$C$4:$C$3003,MATCH($C595,ENVIOS!$A$4:$A$3003,0)),"—"))</f>
        <v/>
      </c>
      <c r="F595" s="22">
        <f>IF($C595="","",IFERROR(INDEX(ENVIOS!$D$4:$D$3003,MATCH($C595,ENVIOS!$A$4:$A$3003,0)),"—"))</f>
        <v/>
      </c>
      <c r="G595" s="22">
        <f>IF($C595="","",IFERROR(INDEX(ENVIOS!$E$4:$E$3003,MATCH($C595,ENVIOS!$A$4:$A$3003,0)),"—"))</f>
        <v/>
      </c>
      <c r="H595" s="22">
        <f>IF($C595="","",IFERROR(INDEX(ENVIOS!$F$4:$F$3003,MATCH($C595,ENVIOS!$A$4:$A$3003,0)),"—"))</f>
        <v/>
      </c>
      <c r="I595" s="27">
        <f>IF($C595="","",IFERROR(INDEX(ENVIOS!$G$4:$G$3003,MATCH($C595,ENVIOS!$A$4:$A$3003,0)),"—"))</f>
        <v/>
      </c>
      <c r="J595" s="48">
        <f>IF($C595="","",IFERROR(INDEX(ENVIOS!$B$4:$B$3003,MATCH($C595,ENVIOS!$A$4:$A$3003,0)),""))</f>
        <v/>
      </c>
      <c r="K595" s="49" t="n"/>
      <c r="L595" s="27">
        <f>IF($K595="","",IFERROR(INDEX(CONFIG!$B$4:$B$43,MATCH($K595,CONFIG!$A$4:$A$43,0)),"Media"))</f>
        <v/>
      </c>
      <c r="M595" s="27">
        <f>IF($K595="","",IFERROR(INDEX(CONFIG!$D$4:$D$43,MATCH($K595,CONFIG!$A$4:$A$43,0)),"NO"))</f>
        <v/>
      </c>
      <c r="N595" s="49" t="n"/>
      <c r="O595" s="27">
        <f>IF($N595="","",IFERROR(INDEX(CONFIG!$G$4:$G$43,MATCH($N595,CONFIG!$F$4:$F$43,0)),"Por definir"))</f>
        <v/>
      </c>
      <c r="P595" s="27">
        <f>IF($N595="","",IFERROR(INDEX(CONFIG!$H$4:$H$43,MATCH($N595,CONFIG!$F$4:$F$43,0)),"Por definir"))</f>
        <v/>
      </c>
      <c r="Q595" s="50" t="n"/>
      <c r="R595" s="51" t="n"/>
      <c r="S595" s="49" t="n"/>
      <c r="T595" s="49" t="n"/>
      <c r="U595" s="48">
        <f>IF(OR($B595="",$K595=""),"",WORKDAY($B595,IFERROR(INDEX(CONFIG!$C$4:$C$43,MATCH($K595,CONFIG!$A$4:$A$43,0)),3)))</f>
        <v/>
      </c>
      <c r="V595" s="46" t="n"/>
      <c r="W595" s="23">
        <f>IF($B595="","",IF($V595&lt;&gt;"",$V595-$B595,TODAY()-$B595))</f>
        <v/>
      </c>
      <c r="X595" s="27">
        <f>IF($C595="","",IF(IFERROR(INDEX(CONFIG!$K$4:$K$43,MATCH($S595,CONFIG!$J$4:$J$43,0)),"NO")="SÍ",IF(OR($V595="",$U595=""),"Resuelta",IF($V595&gt;$U595,"Resuelta tarde","Resuelta a tiempo")),IF($U595="","Sin clasificar",IF(TODAY()&gt;$U595,"Vencida",IF(TODAY()&gt;=$U595-1,"Por vencer","En plazo")))))</f>
        <v/>
      </c>
      <c r="Y595" s="49" t="n"/>
      <c r="Z595" s="49" t="n"/>
    </row>
    <row r="596" ht="16" customHeight="1">
      <c r="A596" s="27">
        <f>IF($C596="","","N-"&amp;TEXT(ROW()-3,"0000"))</f>
        <v/>
      </c>
      <c r="B596" s="46" t="n"/>
      <c r="C596" s="47" t="n"/>
      <c r="D596" s="27">
        <f>IF($C596="","",IF(COUNTIFS(ENVIOS!$A$4:$A$3003,$C596)=0,"NO EXISTE",IF(COUNTIFS(ENVIOS!$A$4:$A$3003,$C596)&gt;1,"DUPLICADA","OK")))</f>
        <v/>
      </c>
      <c r="E596" s="22">
        <f>IF($C596="","",IFERROR(INDEX(ENVIOS!$C$4:$C$3003,MATCH($C596,ENVIOS!$A$4:$A$3003,0)),"—"))</f>
        <v/>
      </c>
      <c r="F596" s="22">
        <f>IF($C596="","",IFERROR(INDEX(ENVIOS!$D$4:$D$3003,MATCH($C596,ENVIOS!$A$4:$A$3003,0)),"—"))</f>
        <v/>
      </c>
      <c r="G596" s="22">
        <f>IF($C596="","",IFERROR(INDEX(ENVIOS!$E$4:$E$3003,MATCH($C596,ENVIOS!$A$4:$A$3003,0)),"—"))</f>
        <v/>
      </c>
      <c r="H596" s="22">
        <f>IF($C596="","",IFERROR(INDEX(ENVIOS!$F$4:$F$3003,MATCH($C596,ENVIOS!$A$4:$A$3003,0)),"—"))</f>
        <v/>
      </c>
      <c r="I596" s="27">
        <f>IF($C596="","",IFERROR(INDEX(ENVIOS!$G$4:$G$3003,MATCH($C596,ENVIOS!$A$4:$A$3003,0)),"—"))</f>
        <v/>
      </c>
      <c r="J596" s="48">
        <f>IF($C596="","",IFERROR(INDEX(ENVIOS!$B$4:$B$3003,MATCH($C596,ENVIOS!$A$4:$A$3003,0)),""))</f>
        <v/>
      </c>
      <c r="K596" s="49" t="n"/>
      <c r="L596" s="27">
        <f>IF($K596="","",IFERROR(INDEX(CONFIG!$B$4:$B$43,MATCH($K596,CONFIG!$A$4:$A$43,0)),"Media"))</f>
        <v/>
      </c>
      <c r="M596" s="27">
        <f>IF($K596="","",IFERROR(INDEX(CONFIG!$D$4:$D$43,MATCH($K596,CONFIG!$A$4:$A$43,0)),"NO"))</f>
        <v/>
      </c>
      <c r="N596" s="49" t="n"/>
      <c r="O596" s="27">
        <f>IF($N596="","",IFERROR(INDEX(CONFIG!$G$4:$G$43,MATCH($N596,CONFIG!$F$4:$F$43,0)),"Por definir"))</f>
        <v/>
      </c>
      <c r="P596" s="27">
        <f>IF($N596="","",IFERROR(INDEX(CONFIG!$H$4:$H$43,MATCH($N596,CONFIG!$F$4:$F$43,0)),"Por definir"))</f>
        <v/>
      </c>
      <c r="Q596" s="50" t="n"/>
      <c r="R596" s="51" t="n"/>
      <c r="S596" s="49" t="n"/>
      <c r="T596" s="49" t="n"/>
      <c r="U596" s="48">
        <f>IF(OR($B596="",$K596=""),"",WORKDAY($B596,IFERROR(INDEX(CONFIG!$C$4:$C$43,MATCH($K596,CONFIG!$A$4:$A$43,0)),3)))</f>
        <v/>
      </c>
      <c r="V596" s="46" t="n"/>
      <c r="W596" s="23">
        <f>IF($B596="","",IF($V596&lt;&gt;"",$V596-$B596,TODAY()-$B596))</f>
        <v/>
      </c>
      <c r="X596" s="27">
        <f>IF($C596="","",IF(IFERROR(INDEX(CONFIG!$K$4:$K$43,MATCH($S596,CONFIG!$J$4:$J$43,0)),"NO")="SÍ",IF(OR($V596="",$U596=""),"Resuelta",IF($V596&gt;$U596,"Resuelta tarde","Resuelta a tiempo")),IF($U596="","Sin clasificar",IF(TODAY()&gt;$U596,"Vencida",IF(TODAY()&gt;=$U596-1,"Por vencer","En plazo")))))</f>
        <v/>
      </c>
      <c r="Y596" s="49" t="n"/>
      <c r="Z596" s="49" t="n"/>
    </row>
    <row r="597" ht="16" customHeight="1">
      <c r="A597" s="27">
        <f>IF($C597="","","N-"&amp;TEXT(ROW()-3,"0000"))</f>
        <v/>
      </c>
      <c r="B597" s="46" t="n"/>
      <c r="C597" s="47" t="n"/>
      <c r="D597" s="27">
        <f>IF($C597="","",IF(COUNTIFS(ENVIOS!$A$4:$A$3003,$C597)=0,"NO EXISTE",IF(COUNTIFS(ENVIOS!$A$4:$A$3003,$C597)&gt;1,"DUPLICADA","OK")))</f>
        <v/>
      </c>
      <c r="E597" s="22">
        <f>IF($C597="","",IFERROR(INDEX(ENVIOS!$C$4:$C$3003,MATCH($C597,ENVIOS!$A$4:$A$3003,0)),"—"))</f>
        <v/>
      </c>
      <c r="F597" s="22">
        <f>IF($C597="","",IFERROR(INDEX(ENVIOS!$D$4:$D$3003,MATCH($C597,ENVIOS!$A$4:$A$3003,0)),"—"))</f>
        <v/>
      </c>
      <c r="G597" s="22">
        <f>IF($C597="","",IFERROR(INDEX(ENVIOS!$E$4:$E$3003,MATCH($C597,ENVIOS!$A$4:$A$3003,0)),"—"))</f>
        <v/>
      </c>
      <c r="H597" s="22">
        <f>IF($C597="","",IFERROR(INDEX(ENVIOS!$F$4:$F$3003,MATCH($C597,ENVIOS!$A$4:$A$3003,0)),"—"))</f>
        <v/>
      </c>
      <c r="I597" s="27">
        <f>IF($C597="","",IFERROR(INDEX(ENVIOS!$G$4:$G$3003,MATCH($C597,ENVIOS!$A$4:$A$3003,0)),"—"))</f>
        <v/>
      </c>
      <c r="J597" s="48">
        <f>IF($C597="","",IFERROR(INDEX(ENVIOS!$B$4:$B$3003,MATCH($C597,ENVIOS!$A$4:$A$3003,0)),""))</f>
        <v/>
      </c>
      <c r="K597" s="49" t="n"/>
      <c r="L597" s="27">
        <f>IF($K597="","",IFERROR(INDEX(CONFIG!$B$4:$B$43,MATCH($K597,CONFIG!$A$4:$A$43,0)),"Media"))</f>
        <v/>
      </c>
      <c r="M597" s="27">
        <f>IF($K597="","",IFERROR(INDEX(CONFIG!$D$4:$D$43,MATCH($K597,CONFIG!$A$4:$A$43,0)),"NO"))</f>
        <v/>
      </c>
      <c r="N597" s="49" t="n"/>
      <c r="O597" s="27">
        <f>IF($N597="","",IFERROR(INDEX(CONFIG!$G$4:$G$43,MATCH($N597,CONFIG!$F$4:$F$43,0)),"Por definir"))</f>
        <v/>
      </c>
      <c r="P597" s="27">
        <f>IF($N597="","",IFERROR(INDEX(CONFIG!$H$4:$H$43,MATCH($N597,CONFIG!$F$4:$F$43,0)),"Por definir"))</f>
        <v/>
      </c>
      <c r="Q597" s="50" t="n"/>
      <c r="R597" s="51" t="n"/>
      <c r="S597" s="49" t="n"/>
      <c r="T597" s="49" t="n"/>
      <c r="U597" s="48">
        <f>IF(OR($B597="",$K597=""),"",WORKDAY($B597,IFERROR(INDEX(CONFIG!$C$4:$C$43,MATCH($K597,CONFIG!$A$4:$A$43,0)),3)))</f>
        <v/>
      </c>
      <c r="V597" s="46" t="n"/>
      <c r="W597" s="23">
        <f>IF($B597="","",IF($V597&lt;&gt;"",$V597-$B597,TODAY()-$B597))</f>
        <v/>
      </c>
      <c r="X597" s="27">
        <f>IF($C597="","",IF(IFERROR(INDEX(CONFIG!$K$4:$K$43,MATCH($S597,CONFIG!$J$4:$J$43,0)),"NO")="SÍ",IF(OR($V597="",$U597=""),"Resuelta",IF($V597&gt;$U597,"Resuelta tarde","Resuelta a tiempo")),IF($U597="","Sin clasificar",IF(TODAY()&gt;$U597,"Vencida",IF(TODAY()&gt;=$U597-1,"Por vencer","En plazo")))))</f>
        <v/>
      </c>
      <c r="Y597" s="49" t="n"/>
      <c r="Z597" s="49" t="n"/>
    </row>
    <row r="598" ht="16" customHeight="1">
      <c r="A598" s="27">
        <f>IF($C598="","","N-"&amp;TEXT(ROW()-3,"0000"))</f>
        <v/>
      </c>
      <c r="B598" s="46" t="n"/>
      <c r="C598" s="47" t="n"/>
      <c r="D598" s="27">
        <f>IF($C598="","",IF(COUNTIFS(ENVIOS!$A$4:$A$3003,$C598)=0,"NO EXISTE",IF(COUNTIFS(ENVIOS!$A$4:$A$3003,$C598)&gt;1,"DUPLICADA","OK")))</f>
        <v/>
      </c>
      <c r="E598" s="22">
        <f>IF($C598="","",IFERROR(INDEX(ENVIOS!$C$4:$C$3003,MATCH($C598,ENVIOS!$A$4:$A$3003,0)),"—"))</f>
        <v/>
      </c>
      <c r="F598" s="22">
        <f>IF($C598="","",IFERROR(INDEX(ENVIOS!$D$4:$D$3003,MATCH($C598,ENVIOS!$A$4:$A$3003,0)),"—"))</f>
        <v/>
      </c>
      <c r="G598" s="22">
        <f>IF($C598="","",IFERROR(INDEX(ENVIOS!$E$4:$E$3003,MATCH($C598,ENVIOS!$A$4:$A$3003,0)),"—"))</f>
        <v/>
      </c>
      <c r="H598" s="22">
        <f>IF($C598="","",IFERROR(INDEX(ENVIOS!$F$4:$F$3003,MATCH($C598,ENVIOS!$A$4:$A$3003,0)),"—"))</f>
        <v/>
      </c>
      <c r="I598" s="27">
        <f>IF($C598="","",IFERROR(INDEX(ENVIOS!$G$4:$G$3003,MATCH($C598,ENVIOS!$A$4:$A$3003,0)),"—"))</f>
        <v/>
      </c>
      <c r="J598" s="48">
        <f>IF($C598="","",IFERROR(INDEX(ENVIOS!$B$4:$B$3003,MATCH($C598,ENVIOS!$A$4:$A$3003,0)),""))</f>
        <v/>
      </c>
      <c r="K598" s="49" t="n"/>
      <c r="L598" s="27">
        <f>IF($K598="","",IFERROR(INDEX(CONFIG!$B$4:$B$43,MATCH($K598,CONFIG!$A$4:$A$43,0)),"Media"))</f>
        <v/>
      </c>
      <c r="M598" s="27">
        <f>IF($K598="","",IFERROR(INDEX(CONFIG!$D$4:$D$43,MATCH($K598,CONFIG!$A$4:$A$43,0)),"NO"))</f>
        <v/>
      </c>
      <c r="N598" s="49" t="n"/>
      <c r="O598" s="27">
        <f>IF($N598="","",IFERROR(INDEX(CONFIG!$G$4:$G$43,MATCH($N598,CONFIG!$F$4:$F$43,0)),"Por definir"))</f>
        <v/>
      </c>
      <c r="P598" s="27">
        <f>IF($N598="","",IFERROR(INDEX(CONFIG!$H$4:$H$43,MATCH($N598,CONFIG!$F$4:$F$43,0)),"Por definir"))</f>
        <v/>
      </c>
      <c r="Q598" s="50" t="n"/>
      <c r="R598" s="51" t="n"/>
      <c r="S598" s="49" t="n"/>
      <c r="T598" s="49" t="n"/>
      <c r="U598" s="48">
        <f>IF(OR($B598="",$K598=""),"",WORKDAY($B598,IFERROR(INDEX(CONFIG!$C$4:$C$43,MATCH($K598,CONFIG!$A$4:$A$43,0)),3)))</f>
        <v/>
      </c>
      <c r="V598" s="46" t="n"/>
      <c r="W598" s="23">
        <f>IF($B598="","",IF($V598&lt;&gt;"",$V598-$B598,TODAY()-$B598))</f>
        <v/>
      </c>
      <c r="X598" s="27">
        <f>IF($C598="","",IF(IFERROR(INDEX(CONFIG!$K$4:$K$43,MATCH($S598,CONFIG!$J$4:$J$43,0)),"NO")="SÍ",IF(OR($V598="",$U598=""),"Resuelta",IF($V598&gt;$U598,"Resuelta tarde","Resuelta a tiempo")),IF($U598="","Sin clasificar",IF(TODAY()&gt;$U598,"Vencida",IF(TODAY()&gt;=$U598-1,"Por vencer","En plazo")))))</f>
        <v/>
      </c>
      <c r="Y598" s="49" t="n"/>
      <c r="Z598" s="49" t="n"/>
    </row>
    <row r="599" ht="16" customHeight="1">
      <c r="A599" s="27">
        <f>IF($C599="","","N-"&amp;TEXT(ROW()-3,"0000"))</f>
        <v/>
      </c>
      <c r="B599" s="46" t="n"/>
      <c r="C599" s="47" t="n"/>
      <c r="D599" s="27">
        <f>IF($C599="","",IF(COUNTIFS(ENVIOS!$A$4:$A$3003,$C599)=0,"NO EXISTE",IF(COUNTIFS(ENVIOS!$A$4:$A$3003,$C599)&gt;1,"DUPLICADA","OK")))</f>
        <v/>
      </c>
      <c r="E599" s="22">
        <f>IF($C599="","",IFERROR(INDEX(ENVIOS!$C$4:$C$3003,MATCH($C599,ENVIOS!$A$4:$A$3003,0)),"—"))</f>
        <v/>
      </c>
      <c r="F599" s="22">
        <f>IF($C599="","",IFERROR(INDEX(ENVIOS!$D$4:$D$3003,MATCH($C599,ENVIOS!$A$4:$A$3003,0)),"—"))</f>
        <v/>
      </c>
      <c r="G599" s="22">
        <f>IF($C599="","",IFERROR(INDEX(ENVIOS!$E$4:$E$3003,MATCH($C599,ENVIOS!$A$4:$A$3003,0)),"—"))</f>
        <v/>
      </c>
      <c r="H599" s="22">
        <f>IF($C599="","",IFERROR(INDEX(ENVIOS!$F$4:$F$3003,MATCH($C599,ENVIOS!$A$4:$A$3003,0)),"—"))</f>
        <v/>
      </c>
      <c r="I599" s="27">
        <f>IF($C599="","",IFERROR(INDEX(ENVIOS!$G$4:$G$3003,MATCH($C599,ENVIOS!$A$4:$A$3003,0)),"—"))</f>
        <v/>
      </c>
      <c r="J599" s="48">
        <f>IF($C599="","",IFERROR(INDEX(ENVIOS!$B$4:$B$3003,MATCH($C599,ENVIOS!$A$4:$A$3003,0)),""))</f>
        <v/>
      </c>
      <c r="K599" s="49" t="n"/>
      <c r="L599" s="27">
        <f>IF($K599="","",IFERROR(INDEX(CONFIG!$B$4:$B$43,MATCH($K599,CONFIG!$A$4:$A$43,0)),"Media"))</f>
        <v/>
      </c>
      <c r="M599" s="27">
        <f>IF($K599="","",IFERROR(INDEX(CONFIG!$D$4:$D$43,MATCH($K599,CONFIG!$A$4:$A$43,0)),"NO"))</f>
        <v/>
      </c>
      <c r="N599" s="49" t="n"/>
      <c r="O599" s="27">
        <f>IF($N599="","",IFERROR(INDEX(CONFIG!$G$4:$G$43,MATCH($N599,CONFIG!$F$4:$F$43,0)),"Por definir"))</f>
        <v/>
      </c>
      <c r="P599" s="27">
        <f>IF($N599="","",IFERROR(INDEX(CONFIG!$H$4:$H$43,MATCH($N599,CONFIG!$F$4:$F$43,0)),"Por definir"))</f>
        <v/>
      </c>
      <c r="Q599" s="50" t="n"/>
      <c r="R599" s="51" t="n"/>
      <c r="S599" s="49" t="n"/>
      <c r="T599" s="49" t="n"/>
      <c r="U599" s="48">
        <f>IF(OR($B599="",$K599=""),"",WORKDAY($B599,IFERROR(INDEX(CONFIG!$C$4:$C$43,MATCH($K599,CONFIG!$A$4:$A$43,0)),3)))</f>
        <v/>
      </c>
      <c r="V599" s="46" t="n"/>
      <c r="W599" s="23">
        <f>IF($B599="","",IF($V599&lt;&gt;"",$V599-$B599,TODAY()-$B599))</f>
        <v/>
      </c>
      <c r="X599" s="27">
        <f>IF($C599="","",IF(IFERROR(INDEX(CONFIG!$K$4:$K$43,MATCH($S599,CONFIG!$J$4:$J$43,0)),"NO")="SÍ",IF(OR($V599="",$U599=""),"Resuelta",IF($V599&gt;$U599,"Resuelta tarde","Resuelta a tiempo")),IF($U599="","Sin clasificar",IF(TODAY()&gt;$U599,"Vencida",IF(TODAY()&gt;=$U599-1,"Por vencer","En plazo")))))</f>
        <v/>
      </c>
      <c r="Y599" s="49" t="n"/>
      <c r="Z599" s="49" t="n"/>
    </row>
    <row r="600" ht="16" customHeight="1">
      <c r="A600" s="27">
        <f>IF($C600="","","N-"&amp;TEXT(ROW()-3,"0000"))</f>
        <v/>
      </c>
      <c r="B600" s="46" t="n"/>
      <c r="C600" s="47" t="n"/>
      <c r="D600" s="27">
        <f>IF($C600="","",IF(COUNTIFS(ENVIOS!$A$4:$A$3003,$C600)=0,"NO EXISTE",IF(COUNTIFS(ENVIOS!$A$4:$A$3003,$C600)&gt;1,"DUPLICADA","OK")))</f>
        <v/>
      </c>
      <c r="E600" s="22">
        <f>IF($C600="","",IFERROR(INDEX(ENVIOS!$C$4:$C$3003,MATCH($C600,ENVIOS!$A$4:$A$3003,0)),"—"))</f>
        <v/>
      </c>
      <c r="F600" s="22">
        <f>IF($C600="","",IFERROR(INDEX(ENVIOS!$D$4:$D$3003,MATCH($C600,ENVIOS!$A$4:$A$3003,0)),"—"))</f>
        <v/>
      </c>
      <c r="G600" s="22">
        <f>IF($C600="","",IFERROR(INDEX(ENVIOS!$E$4:$E$3003,MATCH($C600,ENVIOS!$A$4:$A$3003,0)),"—"))</f>
        <v/>
      </c>
      <c r="H600" s="22">
        <f>IF($C600="","",IFERROR(INDEX(ENVIOS!$F$4:$F$3003,MATCH($C600,ENVIOS!$A$4:$A$3003,0)),"—"))</f>
        <v/>
      </c>
      <c r="I600" s="27">
        <f>IF($C600="","",IFERROR(INDEX(ENVIOS!$G$4:$G$3003,MATCH($C600,ENVIOS!$A$4:$A$3003,0)),"—"))</f>
        <v/>
      </c>
      <c r="J600" s="48">
        <f>IF($C600="","",IFERROR(INDEX(ENVIOS!$B$4:$B$3003,MATCH($C600,ENVIOS!$A$4:$A$3003,0)),""))</f>
        <v/>
      </c>
      <c r="K600" s="49" t="n"/>
      <c r="L600" s="27">
        <f>IF($K600="","",IFERROR(INDEX(CONFIG!$B$4:$B$43,MATCH($K600,CONFIG!$A$4:$A$43,0)),"Media"))</f>
        <v/>
      </c>
      <c r="M600" s="27">
        <f>IF($K600="","",IFERROR(INDEX(CONFIG!$D$4:$D$43,MATCH($K600,CONFIG!$A$4:$A$43,0)),"NO"))</f>
        <v/>
      </c>
      <c r="N600" s="49" t="n"/>
      <c r="O600" s="27">
        <f>IF($N600="","",IFERROR(INDEX(CONFIG!$G$4:$G$43,MATCH($N600,CONFIG!$F$4:$F$43,0)),"Por definir"))</f>
        <v/>
      </c>
      <c r="P600" s="27">
        <f>IF($N600="","",IFERROR(INDEX(CONFIG!$H$4:$H$43,MATCH($N600,CONFIG!$F$4:$F$43,0)),"Por definir"))</f>
        <v/>
      </c>
      <c r="Q600" s="50" t="n"/>
      <c r="R600" s="51" t="n"/>
      <c r="S600" s="49" t="n"/>
      <c r="T600" s="49" t="n"/>
      <c r="U600" s="48">
        <f>IF(OR($B600="",$K600=""),"",WORKDAY($B600,IFERROR(INDEX(CONFIG!$C$4:$C$43,MATCH($K600,CONFIG!$A$4:$A$43,0)),3)))</f>
        <v/>
      </c>
      <c r="V600" s="46" t="n"/>
      <c r="W600" s="23">
        <f>IF($B600="","",IF($V600&lt;&gt;"",$V600-$B600,TODAY()-$B600))</f>
        <v/>
      </c>
      <c r="X600" s="27">
        <f>IF($C600="","",IF(IFERROR(INDEX(CONFIG!$K$4:$K$43,MATCH($S600,CONFIG!$J$4:$J$43,0)),"NO")="SÍ",IF(OR($V600="",$U600=""),"Resuelta",IF($V600&gt;$U600,"Resuelta tarde","Resuelta a tiempo")),IF($U600="","Sin clasificar",IF(TODAY()&gt;$U600,"Vencida",IF(TODAY()&gt;=$U600-1,"Por vencer","En plazo")))))</f>
        <v/>
      </c>
      <c r="Y600" s="49" t="n"/>
      <c r="Z600" s="49" t="n"/>
    </row>
    <row r="601" ht="16" customHeight="1">
      <c r="A601" s="27">
        <f>IF($C601="","","N-"&amp;TEXT(ROW()-3,"0000"))</f>
        <v/>
      </c>
      <c r="B601" s="46" t="n"/>
      <c r="C601" s="47" t="n"/>
      <c r="D601" s="27">
        <f>IF($C601="","",IF(COUNTIFS(ENVIOS!$A$4:$A$3003,$C601)=0,"NO EXISTE",IF(COUNTIFS(ENVIOS!$A$4:$A$3003,$C601)&gt;1,"DUPLICADA","OK")))</f>
        <v/>
      </c>
      <c r="E601" s="22">
        <f>IF($C601="","",IFERROR(INDEX(ENVIOS!$C$4:$C$3003,MATCH($C601,ENVIOS!$A$4:$A$3003,0)),"—"))</f>
        <v/>
      </c>
      <c r="F601" s="22">
        <f>IF($C601="","",IFERROR(INDEX(ENVIOS!$D$4:$D$3003,MATCH($C601,ENVIOS!$A$4:$A$3003,0)),"—"))</f>
        <v/>
      </c>
      <c r="G601" s="22">
        <f>IF($C601="","",IFERROR(INDEX(ENVIOS!$E$4:$E$3003,MATCH($C601,ENVIOS!$A$4:$A$3003,0)),"—"))</f>
        <v/>
      </c>
      <c r="H601" s="22">
        <f>IF($C601="","",IFERROR(INDEX(ENVIOS!$F$4:$F$3003,MATCH($C601,ENVIOS!$A$4:$A$3003,0)),"—"))</f>
        <v/>
      </c>
      <c r="I601" s="27">
        <f>IF($C601="","",IFERROR(INDEX(ENVIOS!$G$4:$G$3003,MATCH($C601,ENVIOS!$A$4:$A$3003,0)),"—"))</f>
        <v/>
      </c>
      <c r="J601" s="48">
        <f>IF($C601="","",IFERROR(INDEX(ENVIOS!$B$4:$B$3003,MATCH($C601,ENVIOS!$A$4:$A$3003,0)),""))</f>
        <v/>
      </c>
      <c r="K601" s="49" t="n"/>
      <c r="L601" s="27">
        <f>IF($K601="","",IFERROR(INDEX(CONFIG!$B$4:$B$43,MATCH($K601,CONFIG!$A$4:$A$43,0)),"Media"))</f>
        <v/>
      </c>
      <c r="M601" s="27">
        <f>IF($K601="","",IFERROR(INDEX(CONFIG!$D$4:$D$43,MATCH($K601,CONFIG!$A$4:$A$43,0)),"NO"))</f>
        <v/>
      </c>
      <c r="N601" s="49" t="n"/>
      <c r="O601" s="27">
        <f>IF($N601="","",IFERROR(INDEX(CONFIG!$G$4:$G$43,MATCH($N601,CONFIG!$F$4:$F$43,0)),"Por definir"))</f>
        <v/>
      </c>
      <c r="P601" s="27">
        <f>IF($N601="","",IFERROR(INDEX(CONFIG!$H$4:$H$43,MATCH($N601,CONFIG!$F$4:$F$43,0)),"Por definir"))</f>
        <v/>
      </c>
      <c r="Q601" s="50" t="n"/>
      <c r="R601" s="51" t="n"/>
      <c r="S601" s="49" t="n"/>
      <c r="T601" s="49" t="n"/>
      <c r="U601" s="48">
        <f>IF(OR($B601="",$K601=""),"",WORKDAY($B601,IFERROR(INDEX(CONFIG!$C$4:$C$43,MATCH($K601,CONFIG!$A$4:$A$43,0)),3)))</f>
        <v/>
      </c>
      <c r="V601" s="46" t="n"/>
      <c r="W601" s="23">
        <f>IF($B601="","",IF($V601&lt;&gt;"",$V601-$B601,TODAY()-$B601))</f>
        <v/>
      </c>
      <c r="X601" s="27">
        <f>IF($C601="","",IF(IFERROR(INDEX(CONFIG!$K$4:$K$43,MATCH($S601,CONFIG!$J$4:$J$43,0)),"NO")="SÍ",IF(OR($V601="",$U601=""),"Resuelta",IF($V601&gt;$U601,"Resuelta tarde","Resuelta a tiempo")),IF($U601="","Sin clasificar",IF(TODAY()&gt;$U601,"Vencida",IF(TODAY()&gt;=$U601-1,"Por vencer","En plazo")))))</f>
        <v/>
      </c>
      <c r="Y601" s="49" t="n"/>
      <c r="Z601" s="49" t="n"/>
    </row>
    <row r="602" ht="16" customHeight="1">
      <c r="A602" s="27">
        <f>IF($C602="","","N-"&amp;TEXT(ROW()-3,"0000"))</f>
        <v/>
      </c>
      <c r="B602" s="46" t="n"/>
      <c r="C602" s="47" t="n"/>
      <c r="D602" s="27">
        <f>IF($C602="","",IF(COUNTIFS(ENVIOS!$A$4:$A$3003,$C602)=0,"NO EXISTE",IF(COUNTIFS(ENVIOS!$A$4:$A$3003,$C602)&gt;1,"DUPLICADA","OK")))</f>
        <v/>
      </c>
      <c r="E602" s="22">
        <f>IF($C602="","",IFERROR(INDEX(ENVIOS!$C$4:$C$3003,MATCH($C602,ENVIOS!$A$4:$A$3003,0)),"—"))</f>
        <v/>
      </c>
      <c r="F602" s="22">
        <f>IF($C602="","",IFERROR(INDEX(ENVIOS!$D$4:$D$3003,MATCH($C602,ENVIOS!$A$4:$A$3003,0)),"—"))</f>
        <v/>
      </c>
      <c r="G602" s="22">
        <f>IF($C602="","",IFERROR(INDEX(ENVIOS!$E$4:$E$3003,MATCH($C602,ENVIOS!$A$4:$A$3003,0)),"—"))</f>
        <v/>
      </c>
      <c r="H602" s="22">
        <f>IF($C602="","",IFERROR(INDEX(ENVIOS!$F$4:$F$3003,MATCH($C602,ENVIOS!$A$4:$A$3003,0)),"—"))</f>
        <v/>
      </c>
      <c r="I602" s="27">
        <f>IF($C602="","",IFERROR(INDEX(ENVIOS!$G$4:$G$3003,MATCH($C602,ENVIOS!$A$4:$A$3003,0)),"—"))</f>
        <v/>
      </c>
      <c r="J602" s="48">
        <f>IF($C602="","",IFERROR(INDEX(ENVIOS!$B$4:$B$3003,MATCH($C602,ENVIOS!$A$4:$A$3003,0)),""))</f>
        <v/>
      </c>
      <c r="K602" s="49" t="n"/>
      <c r="L602" s="27">
        <f>IF($K602="","",IFERROR(INDEX(CONFIG!$B$4:$B$43,MATCH($K602,CONFIG!$A$4:$A$43,0)),"Media"))</f>
        <v/>
      </c>
      <c r="M602" s="27">
        <f>IF($K602="","",IFERROR(INDEX(CONFIG!$D$4:$D$43,MATCH($K602,CONFIG!$A$4:$A$43,0)),"NO"))</f>
        <v/>
      </c>
      <c r="N602" s="49" t="n"/>
      <c r="O602" s="27">
        <f>IF($N602="","",IFERROR(INDEX(CONFIG!$G$4:$G$43,MATCH($N602,CONFIG!$F$4:$F$43,0)),"Por definir"))</f>
        <v/>
      </c>
      <c r="P602" s="27">
        <f>IF($N602="","",IFERROR(INDEX(CONFIG!$H$4:$H$43,MATCH($N602,CONFIG!$F$4:$F$43,0)),"Por definir"))</f>
        <v/>
      </c>
      <c r="Q602" s="50" t="n"/>
      <c r="R602" s="51" t="n"/>
      <c r="S602" s="49" t="n"/>
      <c r="T602" s="49" t="n"/>
      <c r="U602" s="48">
        <f>IF(OR($B602="",$K602=""),"",WORKDAY($B602,IFERROR(INDEX(CONFIG!$C$4:$C$43,MATCH($K602,CONFIG!$A$4:$A$43,0)),3)))</f>
        <v/>
      </c>
      <c r="V602" s="46" t="n"/>
      <c r="W602" s="23">
        <f>IF($B602="","",IF($V602&lt;&gt;"",$V602-$B602,TODAY()-$B602))</f>
        <v/>
      </c>
      <c r="X602" s="27">
        <f>IF($C602="","",IF(IFERROR(INDEX(CONFIG!$K$4:$K$43,MATCH($S602,CONFIG!$J$4:$J$43,0)),"NO")="SÍ",IF(OR($V602="",$U602=""),"Resuelta",IF($V602&gt;$U602,"Resuelta tarde","Resuelta a tiempo")),IF($U602="","Sin clasificar",IF(TODAY()&gt;$U602,"Vencida",IF(TODAY()&gt;=$U602-1,"Por vencer","En plazo")))))</f>
        <v/>
      </c>
      <c r="Y602" s="49" t="n"/>
      <c r="Z602" s="49" t="n"/>
    </row>
    <row r="603" ht="16" customHeight="1">
      <c r="A603" s="27">
        <f>IF($C603="","","N-"&amp;TEXT(ROW()-3,"0000"))</f>
        <v/>
      </c>
      <c r="B603" s="46" t="n"/>
      <c r="C603" s="47" t="n"/>
      <c r="D603" s="27">
        <f>IF($C603="","",IF(COUNTIFS(ENVIOS!$A$4:$A$3003,$C603)=0,"NO EXISTE",IF(COUNTIFS(ENVIOS!$A$4:$A$3003,$C603)&gt;1,"DUPLICADA","OK")))</f>
        <v/>
      </c>
      <c r="E603" s="22">
        <f>IF($C603="","",IFERROR(INDEX(ENVIOS!$C$4:$C$3003,MATCH($C603,ENVIOS!$A$4:$A$3003,0)),"—"))</f>
        <v/>
      </c>
      <c r="F603" s="22">
        <f>IF($C603="","",IFERROR(INDEX(ENVIOS!$D$4:$D$3003,MATCH($C603,ENVIOS!$A$4:$A$3003,0)),"—"))</f>
        <v/>
      </c>
      <c r="G603" s="22">
        <f>IF($C603="","",IFERROR(INDEX(ENVIOS!$E$4:$E$3003,MATCH($C603,ENVIOS!$A$4:$A$3003,0)),"—"))</f>
        <v/>
      </c>
      <c r="H603" s="22">
        <f>IF($C603="","",IFERROR(INDEX(ENVIOS!$F$4:$F$3003,MATCH($C603,ENVIOS!$A$4:$A$3003,0)),"—"))</f>
        <v/>
      </c>
      <c r="I603" s="27">
        <f>IF($C603="","",IFERROR(INDEX(ENVIOS!$G$4:$G$3003,MATCH($C603,ENVIOS!$A$4:$A$3003,0)),"—"))</f>
        <v/>
      </c>
      <c r="J603" s="48">
        <f>IF($C603="","",IFERROR(INDEX(ENVIOS!$B$4:$B$3003,MATCH($C603,ENVIOS!$A$4:$A$3003,0)),""))</f>
        <v/>
      </c>
      <c r="K603" s="49" t="n"/>
      <c r="L603" s="27">
        <f>IF($K603="","",IFERROR(INDEX(CONFIG!$B$4:$B$43,MATCH($K603,CONFIG!$A$4:$A$43,0)),"Media"))</f>
        <v/>
      </c>
      <c r="M603" s="27">
        <f>IF($K603="","",IFERROR(INDEX(CONFIG!$D$4:$D$43,MATCH($K603,CONFIG!$A$4:$A$43,0)),"NO"))</f>
        <v/>
      </c>
      <c r="N603" s="49" t="n"/>
      <c r="O603" s="27">
        <f>IF($N603="","",IFERROR(INDEX(CONFIG!$G$4:$G$43,MATCH($N603,CONFIG!$F$4:$F$43,0)),"Por definir"))</f>
        <v/>
      </c>
      <c r="P603" s="27">
        <f>IF($N603="","",IFERROR(INDEX(CONFIG!$H$4:$H$43,MATCH($N603,CONFIG!$F$4:$F$43,0)),"Por definir"))</f>
        <v/>
      </c>
      <c r="Q603" s="50" t="n"/>
      <c r="R603" s="51" t="n"/>
      <c r="S603" s="49" t="n"/>
      <c r="T603" s="49" t="n"/>
      <c r="U603" s="48">
        <f>IF(OR($B603="",$K603=""),"",WORKDAY($B603,IFERROR(INDEX(CONFIG!$C$4:$C$43,MATCH($K603,CONFIG!$A$4:$A$43,0)),3)))</f>
        <v/>
      </c>
      <c r="V603" s="46" t="n"/>
      <c r="W603" s="23">
        <f>IF($B603="","",IF($V603&lt;&gt;"",$V603-$B603,TODAY()-$B603))</f>
        <v/>
      </c>
      <c r="X603" s="27">
        <f>IF($C603="","",IF(IFERROR(INDEX(CONFIG!$K$4:$K$43,MATCH($S603,CONFIG!$J$4:$J$43,0)),"NO")="SÍ",IF(OR($V603="",$U603=""),"Resuelta",IF($V603&gt;$U603,"Resuelta tarde","Resuelta a tiempo")),IF($U603="","Sin clasificar",IF(TODAY()&gt;$U603,"Vencida",IF(TODAY()&gt;=$U603-1,"Por vencer","En plazo")))))</f>
        <v/>
      </c>
      <c r="Y603" s="49" t="n"/>
      <c r="Z603" s="49" t="n"/>
    </row>
    <row r="604" ht="16" customHeight="1">
      <c r="A604" s="27">
        <f>IF($C604="","","N-"&amp;TEXT(ROW()-3,"0000"))</f>
        <v/>
      </c>
      <c r="B604" s="46" t="n"/>
      <c r="C604" s="47" t="n"/>
      <c r="D604" s="27">
        <f>IF($C604="","",IF(COUNTIFS(ENVIOS!$A$4:$A$3003,$C604)=0,"NO EXISTE",IF(COUNTIFS(ENVIOS!$A$4:$A$3003,$C604)&gt;1,"DUPLICADA","OK")))</f>
        <v/>
      </c>
      <c r="E604" s="22">
        <f>IF($C604="","",IFERROR(INDEX(ENVIOS!$C$4:$C$3003,MATCH($C604,ENVIOS!$A$4:$A$3003,0)),"—"))</f>
        <v/>
      </c>
      <c r="F604" s="22">
        <f>IF($C604="","",IFERROR(INDEX(ENVIOS!$D$4:$D$3003,MATCH($C604,ENVIOS!$A$4:$A$3003,0)),"—"))</f>
        <v/>
      </c>
      <c r="G604" s="22">
        <f>IF($C604="","",IFERROR(INDEX(ENVIOS!$E$4:$E$3003,MATCH($C604,ENVIOS!$A$4:$A$3003,0)),"—"))</f>
        <v/>
      </c>
      <c r="H604" s="22">
        <f>IF($C604="","",IFERROR(INDEX(ENVIOS!$F$4:$F$3003,MATCH($C604,ENVIOS!$A$4:$A$3003,0)),"—"))</f>
        <v/>
      </c>
      <c r="I604" s="27">
        <f>IF($C604="","",IFERROR(INDEX(ENVIOS!$G$4:$G$3003,MATCH($C604,ENVIOS!$A$4:$A$3003,0)),"—"))</f>
        <v/>
      </c>
      <c r="J604" s="48">
        <f>IF($C604="","",IFERROR(INDEX(ENVIOS!$B$4:$B$3003,MATCH($C604,ENVIOS!$A$4:$A$3003,0)),""))</f>
        <v/>
      </c>
      <c r="K604" s="49" t="n"/>
      <c r="L604" s="27">
        <f>IF($K604="","",IFERROR(INDEX(CONFIG!$B$4:$B$43,MATCH($K604,CONFIG!$A$4:$A$43,0)),"Media"))</f>
        <v/>
      </c>
      <c r="M604" s="27">
        <f>IF($K604="","",IFERROR(INDEX(CONFIG!$D$4:$D$43,MATCH($K604,CONFIG!$A$4:$A$43,0)),"NO"))</f>
        <v/>
      </c>
      <c r="N604" s="49" t="n"/>
      <c r="O604" s="27">
        <f>IF($N604="","",IFERROR(INDEX(CONFIG!$G$4:$G$43,MATCH($N604,CONFIG!$F$4:$F$43,0)),"Por definir"))</f>
        <v/>
      </c>
      <c r="P604" s="27">
        <f>IF($N604="","",IFERROR(INDEX(CONFIG!$H$4:$H$43,MATCH($N604,CONFIG!$F$4:$F$43,0)),"Por definir"))</f>
        <v/>
      </c>
      <c r="Q604" s="50" t="n"/>
      <c r="R604" s="51" t="n"/>
      <c r="S604" s="49" t="n"/>
      <c r="T604" s="49" t="n"/>
      <c r="U604" s="48">
        <f>IF(OR($B604="",$K604=""),"",WORKDAY($B604,IFERROR(INDEX(CONFIG!$C$4:$C$43,MATCH($K604,CONFIG!$A$4:$A$43,0)),3)))</f>
        <v/>
      </c>
      <c r="V604" s="46" t="n"/>
      <c r="W604" s="23">
        <f>IF($B604="","",IF($V604&lt;&gt;"",$V604-$B604,TODAY()-$B604))</f>
        <v/>
      </c>
      <c r="X604" s="27">
        <f>IF($C604="","",IF(IFERROR(INDEX(CONFIG!$K$4:$K$43,MATCH($S604,CONFIG!$J$4:$J$43,0)),"NO")="SÍ",IF(OR($V604="",$U604=""),"Resuelta",IF($V604&gt;$U604,"Resuelta tarde","Resuelta a tiempo")),IF($U604="","Sin clasificar",IF(TODAY()&gt;$U604,"Vencida",IF(TODAY()&gt;=$U604-1,"Por vencer","En plazo")))))</f>
        <v/>
      </c>
      <c r="Y604" s="49" t="n"/>
      <c r="Z604" s="49" t="n"/>
    </row>
    <row r="605" ht="16" customHeight="1">
      <c r="A605" s="27">
        <f>IF($C605="","","N-"&amp;TEXT(ROW()-3,"0000"))</f>
        <v/>
      </c>
      <c r="B605" s="46" t="n"/>
      <c r="C605" s="47" t="n"/>
      <c r="D605" s="27">
        <f>IF($C605="","",IF(COUNTIFS(ENVIOS!$A$4:$A$3003,$C605)=0,"NO EXISTE",IF(COUNTIFS(ENVIOS!$A$4:$A$3003,$C605)&gt;1,"DUPLICADA","OK")))</f>
        <v/>
      </c>
      <c r="E605" s="22">
        <f>IF($C605="","",IFERROR(INDEX(ENVIOS!$C$4:$C$3003,MATCH($C605,ENVIOS!$A$4:$A$3003,0)),"—"))</f>
        <v/>
      </c>
      <c r="F605" s="22">
        <f>IF($C605="","",IFERROR(INDEX(ENVIOS!$D$4:$D$3003,MATCH($C605,ENVIOS!$A$4:$A$3003,0)),"—"))</f>
        <v/>
      </c>
      <c r="G605" s="22">
        <f>IF($C605="","",IFERROR(INDEX(ENVIOS!$E$4:$E$3003,MATCH($C605,ENVIOS!$A$4:$A$3003,0)),"—"))</f>
        <v/>
      </c>
      <c r="H605" s="22">
        <f>IF($C605="","",IFERROR(INDEX(ENVIOS!$F$4:$F$3003,MATCH($C605,ENVIOS!$A$4:$A$3003,0)),"—"))</f>
        <v/>
      </c>
      <c r="I605" s="27">
        <f>IF($C605="","",IFERROR(INDEX(ENVIOS!$G$4:$G$3003,MATCH($C605,ENVIOS!$A$4:$A$3003,0)),"—"))</f>
        <v/>
      </c>
      <c r="J605" s="48">
        <f>IF($C605="","",IFERROR(INDEX(ENVIOS!$B$4:$B$3003,MATCH($C605,ENVIOS!$A$4:$A$3003,0)),""))</f>
        <v/>
      </c>
      <c r="K605" s="49" t="n"/>
      <c r="L605" s="27">
        <f>IF($K605="","",IFERROR(INDEX(CONFIG!$B$4:$B$43,MATCH($K605,CONFIG!$A$4:$A$43,0)),"Media"))</f>
        <v/>
      </c>
      <c r="M605" s="27">
        <f>IF($K605="","",IFERROR(INDEX(CONFIG!$D$4:$D$43,MATCH($K605,CONFIG!$A$4:$A$43,0)),"NO"))</f>
        <v/>
      </c>
      <c r="N605" s="49" t="n"/>
      <c r="O605" s="27">
        <f>IF($N605="","",IFERROR(INDEX(CONFIG!$G$4:$G$43,MATCH($N605,CONFIG!$F$4:$F$43,0)),"Por definir"))</f>
        <v/>
      </c>
      <c r="P605" s="27">
        <f>IF($N605="","",IFERROR(INDEX(CONFIG!$H$4:$H$43,MATCH($N605,CONFIG!$F$4:$F$43,0)),"Por definir"))</f>
        <v/>
      </c>
      <c r="Q605" s="50" t="n"/>
      <c r="R605" s="51" t="n"/>
      <c r="S605" s="49" t="n"/>
      <c r="T605" s="49" t="n"/>
      <c r="U605" s="48">
        <f>IF(OR($B605="",$K605=""),"",WORKDAY($B605,IFERROR(INDEX(CONFIG!$C$4:$C$43,MATCH($K605,CONFIG!$A$4:$A$43,0)),3)))</f>
        <v/>
      </c>
      <c r="V605" s="46" t="n"/>
      <c r="W605" s="23">
        <f>IF($B605="","",IF($V605&lt;&gt;"",$V605-$B605,TODAY()-$B605))</f>
        <v/>
      </c>
      <c r="X605" s="27">
        <f>IF($C605="","",IF(IFERROR(INDEX(CONFIG!$K$4:$K$43,MATCH($S605,CONFIG!$J$4:$J$43,0)),"NO")="SÍ",IF(OR($V605="",$U605=""),"Resuelta",IF($V605&gt;$U605,"Resuelta tarde","Resuelta a tiempo")),IF($U605="","Sin clasificar",IF(TODAY()&gt;$U605,"Vencida",IF(TODAY()&gt;=$U605-1,"Por vencer","En plazo")))))</f>
        <v/>
      </c>
      <c r="Y605" s="49" t="n"/>
      <c r="Z605" s="49" t="n"/>
    </row>
    <row r="606" ht="16" customHeight="1">
      <c r="A606" s="27">
        <f>IF($C606="","","N-"&amp;TEXT(ROW()-3,"0000"))</f>
        <v/>
      </c>
      <c r="B606" s="46" t="n"/>
      <c r="C606" s="47" t="n"/>
      <c r="D606" s="27">
        <f>IF($C606="","",IF(COUNTIFS(ENVIOS!$A$4:$A$3003,$C606)=0,"NO EXISTE",IF(COUNTIFS(ENVIOS!$A$4:$A$3003,$C606)&gt;1,"DUPLICADA","OK")))</f>
        <v/>
      </c>
      <c r="E606" s="22">
        <f>IF($C606="","",IFERROR(INDEX(ENVIOS!$C$4:$C$3003,MATCH($C606,ENVIOS!$A$4:$A$3003,0)),"—"))</f>
        <v/>
      </c>
      <c r="F606" s="22">
        <f>IF($C606="","",IFERROR(INDEX(ENVIOS!$D$4:$D$3003,MATCH($C606,ENVIOS!$A$4:$A$3003,0)),"—"))</f>
        <v/>
      </c>
      <c r="G606" s="22">
        <f>IF($C606="","",IFERROR(INDEX(ENVIOS!$E$4:$E$3003,MATCH($C606,ENVIOS!$A$4:$A$3003,0)),"—"))</f>
        <v/>
      </c>
      <c r="H606" s="22">
        <f>IF($C606="","",IFERROR(INDEX(ENVIOS!$F$4:$F$3003,MATCH($C606,ENVIOS!$A$4:$A$3003,0)),"—"))</f>
        <v/>
      </c>
      <c r="I606" s="27">
        <f>IF($C606="","",IFERROR(INDEX(ENVIOS!$G$4:$G$3003,MATCH($C606,ENVIOS!$A$4:$A$3003,0)),"—"))</f>
        <v/>
      </c>
      <c r="J606" s="48">
        <f>IF($C606="","",IFERROR(INDEX(ENVIOS!$B$4:$B$3003,MATCH($C606,ENVIOS!$A$4:$A$3003,0)),""))</f>
        <v/>
      </c>
      <c r="K606" s="49" t="n"/>
      <c r="L606" s="27">
        <f>IF($K606="","",IFERROR(INDEX(CONFIG!$B$4:$B$43,MATCH($K606,CONFIG!$A$4:$A$43,0)),"Media"))</f>
        <v/>
      </c>
      <c r="M606" s="27">
        <f>IF($K606="","",IFERROR(INDEX(CONFIG!$D$4:$D$43,MATCH($K606,CONFIG!$A$4:$A$43,0)),"NO"))</f>
        <v/>
      </c>
      <c r="N606" s="49" t="n"/>
      <c r="O606" s="27">
        <f>IF($N606="","",IFERROR(INDEX(CONFIG!$G$4:$G$43,MATCH($N606,CONFIG!$F$4:$F$43,0)),"Por definir"))</f>
        <v/>
      </c>
      <c r="P606" s="27">
        <f>IF($N606="","",IFERROR(INDEX(CONFIG!$H$4:$H$43,MATCH($N606,CONFIG!$F$4:$F$43,0)),"Por definir"))</f>
        <v/>
      </c>
      <c r="Q606" s="50" t="n"/>
      <c r="R606" s="51" t="n"/>
      <c r="S606" s="49" t="n"/>
      <c r="T606" s="49" t="n"/>
      <c r="U606" s="48">
        <f>IF(OR($B606="",$K606=""),"",WORKDAY($B606,IFERROR(INDEX(CONFIG!$C$4:$C$43,MATCH($K606,CONFIG!$A$4:$A$43,0)),3)))</f>
        <v/>
      </c>
      <c r="V606" s="46" t="n"/>
      <c r="W606" s="23">
        <f>IF($B606="","",IF($V606&lt;&gt;"",$V606-$B606,TODAY()-$B606))</f>
        <v/>
      </c>
      <c r="X606" s="27">
        <f>IF($C606="","",IF(IFERROR(INDEX(CONFIG!$K$4:$K$43,MATCH($S606,CONFIG!$J$4:$J$43,0)),"NO")="SÍ",IF(OR($V606="",$U606=""),"Resuelta",IF($V606&gt;$U606,"Resuelta tarde","Resuelta a tiempo")),IF($U606="","Sin clasificar",IF(TODAY()&gt;$U606,"Vencida",IF(TODAY()&gt;=$U606-1,"Por vencer","En plazo")))))</f>
        <v/>
      </c>
      <c r="Y606" s="49" t="n"/>
      <c r="Z606" s="49" t="n"/>
    </row>
    <row r="607" ht="16" customHeight="1">
      <c r="A607" s="27">
        <f>IF($C607="","","N-"&amp;TEXT(ROW()-3,"0000"))</f>
        <v/>
      </c>
      <c r="B607" s="46" t="n"/>
      <c r="C607" s="47" t="n"/>
      <c r="D607" s="27">
        <f>IF($C607="","",IF(COUNTIFS(ENVIOS!$A$4:$A$3003,$C607)=0,"NO EXISTE",IF(COUNTIFS(ENVIOS!$A$4:$A$3003,$C607)&gt;1,"DUPLICADA","OK")))</f>
        <v/>
      </c>
      <c r="E607" s="22">
        <f>IF($C607="","",IFERROR(INDEX(ENVIOS!$C$4:$C$3003,MATCH($C607,ENVIOS!$A$4:$A$3003,0)),"—"))</f>
        <v/>
      </c>
      <c r="F607" s="22">
        <f>IF($C607="","",IFERROR(INDEX(ENVIOS!$D$4:$D$3003,MATCH($C607,ENVIOS!$A$4:$A$3003,0)),"—"))</f>
        <v/>
      </c>
      <c r="G607" s="22">
        <f>IF($C607="","",IFERROR(INDEX(ENVIOS!$E$4:$E$3003,MATCH($C607,ENVIOS!$A$4:$A$3003,0)),"—"))</f>
        <v/>
      </c>
      <c r="H607" s="22">
        <f>IF($C607="","",IFERROR(INDEX(ENVIOS!$F$4:$F$3003,MATCH($C607,ENVIOS!$A$4:$A$3003,0)),"—"))</f>
        <v/>
      </c>
      <c r="I607" s="27">
        <f>IF($C607="","",IFERROR(INDEX(ENVIOS!$G$4:$G$3003,MATCH($C607,ENVIOS!$A$4:$A$3003,0)),"—"))</f>
        <v/>
      </c>
      <c r="J607" s="48">
        <f>IF($C607="","",IFERROR(INDEX(ENVIOS!$B$4:$B$3003,MATCH($C607,ENVIOS!$A$4:$A$3003,0)),""))</f>
        <v/>
      </c>
      <c r="K607" s="49" t="n"/>
      <c r="L607" s="27">
        <f>IF($K607="","",IFERROR(INDEX(CONFIG!$B$4:$B$43,MATCH($K607,CONFIG!$A$4:$A$43,0)),"Media"))</f>
        <v/>
      </c>
      <c r="M607" s="27">
        <f>IF($K607="","",IFERROR(INDEX(CONFIG!$D$4:$D$43,MATCH($K607,CONFIG!$A$4:$A$43,0)),"NO"))</f>
        <v/>
      </c>
      <c r="N607" s="49" t="n"/>
      <c r="O607" s="27">
        <f>IF($N607="","",IFERROR(INDEX(CONFIG!$G$4:$G$43,MATCH($N607,CONFIG!$F$4:$F$43,0)),"Por definir"))</f>
        <v/>
      </c>
      <c r="P607" s="27">
        <f>IF($N607="","",IFERROR(INDEX(CONFIG!$H$4:$H$43,MATCH($N607,CONFIG!$F$4:$F$43,0)),"Por definir"))</f>
        <v/>
      </c>
      <c r="Q607" s="50" t="n"/>
      <c r="R607" s="51" t="n"/>
      <c r="S607" s="49" t="n"/>
      <c r="T607" s="49" t="n"/>
      <c r="U607" s="48">
        <f>IF(OR($B607="",$K607=""),"",WORKDAY($B607,IFERROR(INDEX(CONFIG!$C$4:$C$43,MATCH($K607,CONFIG!$A$4:$A$43,0)),3)))</f>
        <v/>
      </c>
      <c r="V607" s="46" t="n"/>
      <c r="W607" s="23">
        <f>IF($B607="","",IF($V607&lt;&gt;"",$V607-$B607,TODAY()-$B607))</f>
        <v/>
      </c>
      <c r="X607" s="27">
        <f>IF($C607="","",IF(IFERROR(INDEX(CONFIG!$K$4:$K$43,MATCH($S607,CONFIG!$J$4:$J$43,0)),"NO")="SÍ",IF(OR($V607="",$U607=""),"Resuelta",IF($V607&gt;$U607,"Resuelta tarde","Resuelta a tiempo")),IF($U607="","Sin clasificar",IF(TODAY()&gt;$U607,"Vencida",IF(TODAY()&gt;=$U607-1,"Por vencer","En plazo")))))</f>
        <v/>
      </c>
      <c r="Y607" s="49" t="n"/>
      <c r="Z607" s="49" t="n"/>
    </row>
    <row r="608" ht="16" customHeight="1">
      <c r="A608" s="27">
        <f>IF($C608="","","N-"&amp;TEXT(ROW()-3,"0000"))</f>
        <v/>
      </c>
      <c r="B608" s="46" t="n"/>
      <c r="C608" s="47" t="n"/>
      <c r="D608" s="27">
        <f>IF($C608="","",IF(COUNTIFS(ENVIOS!$A$4:$A$3003,$C608)=0,"NO EXISTE",IF(COUNTIFS(ENVIOS!$A$4:$A$3003,$C608)&gt;1,"DUPLICADA","OK")))</f>
        <v/>
      </c>
      <c r="E608" s="22">
        <f>IF($C608="","",IFERROR(INDEX(ENVIOS!$C$4:$C$3003,MATCH($C608,ENVIOS!$A$4:$A$3003,0)),"—"))</f>
        <v/>
      </c>
      <c r="F608" s="22">
        <f>IF($C608="","",IFERROR(INDEX(ENVIOS!$D$4:$D$3003,MATCH($C608,ENVIOS!$A$4:$A$3003,0)),"—"))</f>
        <v/>
      </c>
      <c r="G608" s="22">
        <f>IF($C608="","",IFERROR(INDEX(ENVIOS!$E$4:$E$3003,MATCH($C608,ENVIOS!$A$4:$A$3003,0)),"—"))</f>
        <v/>
      </c>
      <c r="H608" s="22">
        <f>IF($C608="","",IFERROR(INDEX(ENVIOS!$F$4:$F$3003,MATCH($C608,ENVIOS!$A$4:$A$3003,0)),"—"))</f>
        <v/>
      </c>
      <c r="I608" s="27">
        <f>IF($C608="","",IFERROR(INDEX(ENVIOS!$G$4:$G$3003,MATCH($C608,ENVIOS!$A$4:$A$3003,0)),"—"))</f>
        <v/>
      </c>
      <c r="J608" s="48">
        <f>IF($C608="","",IFERROR(INDEX(ENVIOS!$B$4:$B$3003,MATCH($C608,ENVIOS!$A$4:$A$3003,0)),""))</f>
        <v/>
      </c>
      <c r="K608" s="49" t="n"/>
      <c r="L608" s="27">
        <f>IF($K608="","",IFERROR(INDEX(CONFIG!$B$4:$B$43,MATCH($K608,CONFIG!$A$4:$A$43,0)),"Media"))</f>
        <v/>
      </c>
      <c r="M608" s="27">
        <f>IF($K608="","",IFERROR(INDEX(CONFIG!$D$4:$D$43,MATCH($K608,CONFIG!$A$4:$A$43,0)),"NO"))</f>
        <v/>
      </c>
      <c r="N608" s="49" t="n"/>
      <c r="O608" s="27">
        <f>IF($N608="","",IFERROR(INDEX(CONFIG!$G$4:$G$43,MATCH($N608,CONFIG!$F$4:$F$43,0)),"Por definir"))</f>
        <v/>
      </c>
      <c r="P608" s="27">
        <f>IF($N608="","",IFERROR(INDEX(CONFIG!$H$4:$H$43,MATCH($N608,CONFIG!$F$4:$F$43,0)),"Por definir"))</f>
        <v/>
      </c>
      <c r="Q608" s="50" t="n"/>
      <c r="R608" s="51" t="n"/>
      <c r="S608" s="49" t="n"/>
      <c r="T608" s="49" t="n"/>
      <c r="U608" s="48">
        <f>IF(OR($B608="",$K608=""),"",WORKDAY($B608,IFERROR(INDEX(CONFIG!$C$4:$C$43,MATCH($K608,CONFIG!$A$4:$A$43,0)),3)))</f>
        <v/>
      </c>
      <c r="V608" s="46" t="n"/>
      <c r="W608" s="23">
        <f>IF($B608="","",IF($V608&lt;&gt;"",$V608-$B608,TODAY()-$B608))</f>
        <v/>
      </c>
      <c r="X608" s="27">
        <f>IF($C608="","",IF(IFERROR(INDEX(CONFIG!$K$4:$K$43,MATCH($S608,CONFIG!$J$4:$J$43,0)),"NO")="SÍ",IF(OR($V608="",$U608=""),"Resuelta",IF($V608&gt;$U608,"Resuelta tarde","Resuelta a tiempo")),IF($U608="","Sin clasificar",IF(TODAY()&gt;$U608,"Vencida",IF(TODAY()&gt;=$U608-1,"Por vencer","En plazo")))))</f>
        <v/>
      </c>
      <c r="Y608" s="49" t="n"/>
      <c r="Z608" s="49" t="n"/>
    </row>
    <row r="609" ht="16" customHeight="1">
      <c r="A609" s="27">
        <f>IF($C609="","","N-"&amp;TEXT(ROW()-3,"0000"))</f>
        <v/>
      </c>
      <c r="B609" s="46" t="n"/>
      <c r="C609" s="47" t="n"/>
      <c r="D609" s="27">
        <f>IF($C609="","",IF(COUNTIFS(ENVIOS!$A$4:$A$3003,$C609)=0,"NO EXISTE",IF(COUNTIFS(ENVIOS!$A$4:$A$3003,$C609)&gt;1,"DUPLICADA","OK")))</f>
        <v/>
      </c>
      <c r="E609" s="22">
        <f>IF($C609="","",IFERROR(INDEX(ENVIOS!$C$4:$C$3003,MATCH($C609,ENVIOS!$A$4:$A$3003,0)),"—"))</f>
        <v/>
      </c>
      <c r="F609" s="22">
        <f>IF($C609="","",IFERROR(INDEX(ENVIOS!$D$4:$D$3003,MATCH($C609,ENVIOS!$A$4:$A$3003,0)),"—"))</f>
        <v/>
      </c>
      <c r="G609" s="22">
        <f>IF($C609="","",IFERROR(INDEX(ENVIOS!$E$4:$E$3003,MATCH($C609,ENVIOS!$A$4:$A$3003,0)),"—"))</f>
        <v/>
      </c>
      <c r="H609" s="22">
        <f>IF($C609="","",IFERROR(INDEX(ENVIOS!$F$4:$F$3003,MATCH($C609,ENVIOS!$A$4:$A$3003,0)),"—"))</f>
        <v/>
      </c>
      <c r="I609" s="27">
        <f>IF($C609="","",IFERROR(INDEX(ENVIOS!$G$4:$G$3003,MATCH($C609,ENVIOS!$A$4:$A$3003,0)),"—"))</f>
        <v/>
      </c>
      <c r="J609" s="48">
        <f>IF($C609="","",IFERROR(INDEX(ENVIOS!$B$4:$B$3003,MATCH($C609,ENVIOS!$A$4:$A$3003,0)),""))</f>
        <v/>
      </c>
      <c r="K609" s="49" t="n"/>
      <c r="L609" s="27">
        <f>IF($K609="","",IFERROR(INDEX(CONFIG!$B$4:$B$43,MATCH($K609,CONFIG!$A$4:$A$43,0)),"Media"))</f>
        <v/>
      </c>
      <c r="M609" s="27">
        <f>IF($K609="","",IFERROR(INDEX(CONFIG!$D$4:$D$43,MATCH($K609,CONFIG!$A$4:$A$43,0)),"NO"))</f>
        <v/>
      </c>
      <c r="N609" s="49" t="n"/>
      <c r="O609" s="27">
        <f>IF($N609="","",IFERROR(INDEX(CONFIG!$G$4:$G$43,MATCH($N609,CONFIG!$F$4:$F$43,0)),"Por definir"))</f>
        <v/>
      </c>
      <c r="P609" s="27">
        <f>IF($N609="","",IFERROR(INDEX(CONFIG!$H$4:$H$43,MATCH($N609,CONFIG!$F$4:$F$43,0)),"Por definir"))</f>
        <v/>
      </c>
      <c r="Q609" s="50" t="n"/>
      <c r="R609" s="51" t="n"/>
      <c r="S609" s="49" t="n"/>
      <c r="T609" s="49" t="n"/>
      <c r="U609" s="48">
        <f>IF(OR($B609="",$K609=""),"",WORKDAY($B609,IFERROR(INDEX(CONFIG!$C$4:$C$43,MATCH($K609,CONFIG!$A$4:$A$43,0)),3)))</f>
        <v/>
      </c>
      <c r="V609" s="46" t="n"/>
      <c r="W609" s="23">
        <f>IF($B609="","",IF($V609&lt;&gt;"",$V609-$B609,TODAY()-$B609))</f>
        <v/>
      </c>
      <c r="X609" s="27">
        <f>IF($C609="","",IF(IFERROR(INDEX(CONFIG!$K$4:$K$43,MATCH($S609,CONFIG!$J$4:$J$43,0)),"NO")="SÍ",IF(OR($V609="",$U609=""),"Resuelta",IF($V609&gt;$U609,"Resuelta tarde","Resuelta a tiempo")),IF($U609="","Sin clasificar",IF(TODAY()&gt;$U609,"Vencida",IF(TODAY()&gt;=$U609-1,"Por vencer","En plazo")))))</f>
        <v/>
      </c>
      <c r="Y609" s="49" t="n"/>
      <c r="Z609" s="49" t="n"/>
    </row>
    <row r="610" ht="16" customHeight="1">
      <c r="A610" s="27">
        <f>IF($C610="","","N-"&amp;TEXT(ROW()-3,"0000"))</f>
        <v/>
      </c>
      <c r="B610" s="46" t="n"/>
      <c r="C610" s="47" t="n"/>
      <c r="D610" s="27">
        <f>IF($C610="","",IF(COUNTIFS(ENVIOS!$A$4:$A$3003,$C610)=0,"NO EXISTE",IF(COUNTIFS(ENVIOS!$A$4:$A$3003,$C610)&gt;1,"DUPLICADA","OK")))</f>
        <v/>
      </c>
      <c r="E610" s="22">
        <f>IF($C610="","",IFERROR(INDEX(ENVIOS!$C$4:$C$3003,MATCH($C610,ENVIOS!$A$4:$A$3003,0)),"—"))</f>
        <v/>
      </c>
      <c r="F610" s="22">
        <f>IF($C610="","",IFERROR(INDEX(ENVIOS!$D$4:$D$3003,MATCH($C610,ENVIOS!$A$4:$A$3003,0)),"—"))</f>
        <v/>
      </c>
      <c r="G610" s="22">
        <f>IF($C610="","",IFERROR(INDEX(ENVIOS!$E$4:$E$3003,MATCH($C610,ENVIOS!$A$4:$A$3003,0)),"—"))</f>
        <v/>
      </c>
      <c r="H610" s="22">
        <f>IF($C610="","",IFERROR(INDEX(ENVIOS!$F$4:$F$3003,MATCH($C610,ENVIOS!$A$4:$A$3003,0)),"—"))</f>
        <v/>
      </c>
      <c r="I610" s="27">
        <f>IF($C610="","",IFERROR(INDEX(ENVIOS!$G$4:$G$3003,MATCH($C610,ENVIOS!$A$4:$A$3003,0)),"—"))</f>
        <v/>
      </c>
      <c r="J610" s="48">
        <f>IF($C610="","",IFERROR(INDEX(ENVIOS!$B$4:$B$3003,MATCH($C610,ENVIOS!$A$4:$A$3003,0)),""))</f>
        <v/>
      </c>
      <c r="K610" s="49" t="n"/>
      <c r="L610" s="27">
        <f>IF($K610="","",IFERROR(INDEX(CONFIG!$B$4:$B$43,MATCH($K610,CONFIG!$A$4:$A$43,0)),"Media"))</f>
        <v/>
      </c>
      <c r="M610" s="27">
        <f>IF($K610="","",IFERROR(INDEX(CONFIG!$D$4:$D$43,MATCH($K610,CONFIG!$A$4:$A$43,0)),"NO"))</f>
        <v/>
      </c>
      <c r="N610" s="49" t="n"/>
      <c r="O610" s="27">
        <f>IF($N610="","",IFERROR(INDEX(CONFIG!$G$4:$G$43,MATCH($N610,CONFIG!$F$4:$F$43,0)),"Por definir"))</f>
        <v/>
      </c>
      <c r="P610" s="27">
        <f>IF($N610="","",IFERROR(INDEX(CONFIG!$H$4:$H$43,MATCH($N610,CONFIG!$F$4:$F$43,0)),"Por definir"))</f>
        <v/>
      </c>
      <c r="Q610" s="50" t="n"/>
      <c r="R610" s="51" t="n"/>
      <c r="S610" s="49" t="n"/>
      <c r="T610" s="49" t="n"/>
      <c r="U610" s="48">
        <f>IF(OR($B610="",$K610=""),"",WORKDAY($B610,IFERROR(INDEX(CONFIG!$C$4:$C$43,MATCH($K610,CONFIG!$A$4:$A$43,0)),3)))</f>
        <v/>
      </c>
      <c r="V610" s="46" t="n"/>
      <c r="W610" s="23">
        <f>IF($B610="","",IF($V610&lt;&gt;"",$V610-$B610,TODAY()-$B610))</f>
        <v/>
      </c>
      <c r="X610" s="27">
        <f>IF($C610="","",IF(IFERROR(INDEX(CONFIG!$K$4:$K$43,MATCH($S610,CONFIG!$J$4:$J$43,0)),"NO")="SÍ",IF(OR($V610="",$U610=""),"Resuelta",IF($V610&gt;$U610,"Resuelta tarde","Resuelta a tiempo")),IF($U610="","Sin clasificar",IF(TODAY()&gt;$U610,"Vencida",IF(TODAY()&gt;=$U610-1,"Por vencer","En plazo")))))</f>
        <v/>
      </c>
      <c r="Y610" s="49" t="n"/>
      <c r="Z610" s="49" t="n"/>
    </row>
    <row r="611" ht="16" customHeight="1">
      <c r="A611" s="27">
        <f>IF($C611="","","N-"&amp;TEXT(ROW()-3,"0000"))</f>
        <v/>
      </c>
      <c r="B611" s="46" t="n"/>
      <c r="C611" s="47" t="n"/>
      <c r="D611" s="27">
        <f>IF($C611="","",IF(COUNTIFS(ENVIOS!$A$4:$A$3003,$C611)=0,"NO EXISTE",IF(COUNTIFS(ENVIOS!$A$4:$A$3003,$C611)&gt;1,"DUPLICADA","OK")))</f>
        <v/>
      </c>
      <c r="E611" s="22">
        <f>IF($C611="","",IFERROR(INDEX(ENVIOS!$C$4:$C$3003,MATCH($C611,ENVIOS!$A$4:$A$3003,0)),"—"))</f>
        <v/>
      </c>
      <c r="F611" s="22">
        <f>IF($C611="","",IFERROR(INDEX(ENVIOS!$D$4:$D$3003,MATCH($C611,ENVIOS!$A$4:$A$3003,0)),"—"))</f>
        <v/>
      </c>
      <c r="G611" s="22">
        <f>IF($C611="","",IFERROR(INDEX(ENVIOS!$E$4:$E$3003,MATCH($C611,ENVIOS!$A$4:$A$3003,0)),"—"))</f>
        <v/>
      </c>
      <c r="H611" s="22">
        <f>IF($C611="","",IFERROR(INDEX(ENVIOS!$F$4:$F$3003,MATCH($C611,ENVIOS!$A$4:$A$3003,0)),"—"))</f>
        <v/>
      </c>
      <c r="I611" s="27">
        <f>IF($C611="","",IFERROR(INDEX(ENVIOS!$G$4:$G$3003,MATCH($C611,ENVIOS!$A$4:$A$3003,0)),"—"))</f>
        <v/>
      </c>
      <c r="J611" s="48">
        <f>IF($C611="","",IFERROR(INDEX(ENVIOS!$B$4:$B$3003,MATCH($C611,ENVIOS!$A$4:$A$3003,0)),""))</f>
        <v/>
      </c>
      <c r="K611" s="49" t="n"/>
      <c r="L611" s="27">
        <f>IF($K611="","",IFERROR(INDEX(CONFIG!$B$4:$B$43,MATCH($K611,CONFIG!$A$4:$A$43,0)),"Media"))</f>
        <v/>
      </c>
      <c r="M611" s="27">
        <f>IF($K611="","",IFERROR(INDEX(CONFIG!$D$4:$D$43,MATCH($K611,CONFIG!$A$4:$A$43,0)),"NO"))</f>
        <v/>
      </c>
      <c r="N611" s="49" t="n"/>
      <c r="O611" s="27">
        <f>IF($N611="","",IFERROR(INDEX(CONFIG!$G$4:$G$43,MATCH($N611,CONFIG!$F$4:$F$43,0)),"Por definir"))</f>
        <v/>
      </c>
      <c r="P611" s="27">
        <f>IF($N611="","",IFERROR(INDEX(CONFIG!$H$4:$H$43,MATCH($N611,CONFIG!$F$4:$F$43,0)),"Por definir"))</f>
        <v/>
      </c>
      <c r="Q611" s="50" t="n"/>
      <c r="R611" s="51" t="n"/>
      <c r="S611" s="49" t="n"/>
      <c r="T611" s="49" t="n"/>
      <c r="U611" s="48">
        <f>IF(OR($B611="",$K611=""),"",WORKDAY($B611,IFERROR(INDEX(CONFIG!$C$4:$C$43,MATCH($K611,CONFIG!$A$4:$A$43,0)),3)))</f>
        <v/>
      </c>
      <c r="V611" s="46" t="n"/>
      <c r="W611" s="23">
        <f>IF($B611="","",IF($V611&lt;&gt;"",$V611-$B611,TODAY()-$B611))</f>
        <v/>
      </c>
      <c r="X611" s="27">
        <f>IF($C611="","",IF(IFERROR(INDEX(CONFIG!$K$4:$K$43,MATCH($S611,CONFIG!$J$4:$J$43,0)),"NO")="SÍ",IF(OR($V611="",$U611=""),"Resuelta",IF($V611&gt;$U611,"Resuelta tarde","Resuelta a tiempo")),IF($U611="","Sin clasificar",IF(TODAY()&gt;$U611,"Vencida",IF(TODAY()&gt;=$U611-1,"Por vencer","En plazo")))))</f>
        <v/>
      </c>
      <c r="Y611" s="49" t="n"/>
      <c r="Z611" s="49" t="n"/>
    </row>
    <row r="612" ht="16" customHeight="1">
      <c r="A612" s="27">
        <f>IF($C612="","","N-"&amp;TEXT(ROW()-3,"0000"))</f>
        <v/>
      </c>
      <c r="B612" s="46" t="n"/>
      <c r="C612" s="47" t="n"/>
      <c r="D612" s="27">
        <f>IF($C612="","",IF(COUNTIFS(ENVIOS!$A$4:$A$3003,$C612)=0,"NO EXISTE",IF(COUNTIFS(ENVIOS!$A$4:$A$3003,$C612)&gt;1,"DUPLICADA","OK")))</f>
        <v/>
      </c>
      <c r="E612" s="22">
        <f>IF($C612="","",IFERROR(INDEX(ENVIOS!$C$4:$C$3003,MATCH($C612,ENVIOS!$A$4:$A$3003,0)),"—"))</f>
        <v/>
      </c>
      <c r="F612" s="22">
        <f>IF($C612="","",IFERROR(INDEX(ENVIOS!$D$4:$D$3003,MATCH($C612,ENVIOS!$A$4:$A$3003,0)),"—"))</f>
        <v/>
      </c>
      <c r="G612" s="22">
        <f>IF($C612="","",IFERROR(INDEX(ENVIOS!$E$4:$E$3003,MATCH($C612,ENVIOS!$A$4:$A$3003,0)),"—"))</f>
        <v/>
      </c>
      <c r="H612" s="22">
        <f>IF($C612="","",IFERROR(INDEX(ENVIOS!$F$4:$F$3003,MATCH($C612,ENVIOS!$A$4:$A$3003,0)),"—"))</f>
        <v/>
      </c>
      <c r="I612" s="27">
        <f>IF($C612="","",IFERROR(INDEX(ENVIOS!$G$4:$G$3003,MATCH($C612,ENVIOS!$A$4:$A$3003,0)),"—"))</f>
        <v/>
      </c>
      <c r="J612" s="48">
        <f>IF($C612="","",IFERROR(INDEX(ENVIOS!$B$4:$B$3003,MATCH($C612,ENVIOS!$A$4:$A$3003,0)),""))</f>
        <v/>
      </c>
      <c r="K612" s="49" t="n"/>
      <c r="L612" s="27">
        <f>IF($K612="","",IFERROR(INDEX(CONFIG!$B$4:$B$43,MATCH($K612,CONFIG!$A$4:$A$43,0)),"Media"))</f>
        <v/>
      </c>
      <c r="M612" s="27">
        <f>IF($K612="","",IFERROR(INDEX(CONFIG!$D$4:$D$43,MATCH($K612,CONFIG!$A$4:$A$43,0)),"NO"))</f>
        <v/>
      </c>
      <c r="N612" s="49" t="n"/>
      <c r="O612" s="27">
        <f>IF($N612="","",IFERROR(INDEX(CONFIG!$G$4:$G$43,MATCH($N612,CONFIG!$F$4:$F$43,0)),"Por definir"))</f>
        <v/>
      </c>
      <c r="P612" s="27">
        <f>IF($N612="","",IFERROR(INDEX(CONFIG!$H$4:$H$43,MATCH($N612,CONFIG!$F$4:$F$43,0)),"Por definir"))</f>
        <v/>
      </c>
      <c r="Q612" s="50" t="n"/>
      <c r="R612" s="51" t="n"/>
      <c r="S612" s="49" t="n"/>
      <c r="T612" s="49" t="n"/>
      <c r="U612" s="48">
        <f>IF(OR($B612="",$K612=""),"",WORKDAY($B612,IFERROR(INDEX(CONFIG!$C$4:$C$43,MATCH($K612,CONFIG!$A$4:$A$43,0)),3)))</f>
        <v/>
      </c>
      <c r="V612" s="46" t="n"/>
      <c r="W612" s="23">
        <f>IF($B612="","",IF($V612&lt;&gt;"",$V612-$B612,TODAY()-$B612))</f>
        <v/>
      </c>
      <c r="X612" s="27">
        <f>IF($C612="","",IF(IFERROR(INDEX(CONFIG!$K$4:$K$43,MATCH($S612,CONFIG!$J$4:$J$43,0)),"NO")="SÍ",IF(OR($V612="",$U612=""),"Resuelta",IF($V612&gt;$U612,"Resuelta tarde","Resuelta a tiempo")),IF($U612="","Sin clasificar",IF(TODAY()&gt;$U612,"Vencida",IF(TODAY()&gt;=$U612-1,"Por vencer","En plazo")))))</f>
        <v/>
      </c>
      <c r="Y612" s="49" t="n"/>
      <c r="Z612" s="49" t="n"/>
    </row>
    <row r="613" ht="16" customHeight="1">
      <c r="A613" s="27">
        <f>IF($C613="","","N-"&amp;TEXT(ROW()-3,"0000"))</f>
        <v/>
      </c>
      <c r="B613" s="46" t="n"/>
      <c r="C613" s="47" t="n"/>
      <c r="D613" s="27">
        <f>IF($C613="","",IF(COUNTIFS(ENVIOS!$A$4:$A$3003,$C613)=0,"NO EXISTE",IF(COUNTIFS(ENVIOS!$A$4:$A$3003,$C613)&gt;1,"DUPLICADA","OK")))</f>
        <v/>
      </c>
      <c r="E613" s="22">
        <f>IF($C613="","",IFERROR(INDEX(ENVIOS!$C$4:$C$3003,MATCH($C613,ENVIOS!$A$4:$A$3003,0)),"—"))</f>
        <v/>
      </c>
      <c r="F613" s="22">
        <f>IF($C613="","",IFERROR(INDEX(ENVIOS!$D$4:$D$3003,MATCH($C613,ENVIOS!$A$4:$A$3003,0)),"—"))</f>
        <v/>
      </c>
      <c r="G613" s="22">
        <f>IF($C613="","",IFERROR(INDEX(ENVIOS!$E$4:$E$3003,MATCH($C613,ENVIOS!$A$4:$A$3003,0)),"—"))</f>
        <v/>
      </c>
      <c r="H613" s="22">
        <f>IF($C613="","",IFERROR(INDEX(ENVIOS!$F$4:$F$3003,MATCH($C613,ENVIOS!$A$4:$A$3003,0)),"—"))</f>
        <v/>
      </c>
      <c r="I613" s="27">
        <f>IF($C613="","",IFERROR(INDEX(ENVIOS!$G$4:$G$3003,MATCH($C613,ENVIOS!$A$4:$A$3003,0)),"—"))</f>
        <v/>
      </c>
      <c r="J613" s="48">
        <f>IF($C613="","",IFERROR(INDEX(ENVIOS!$B$4:$B$3003,MATCH($C613,ENVIOS!$A$4:$A$3003,0)),""))</f>
        <v/>
      </c>
      <c r="K613" s="49" t="n"/>
      <c r="L613" s="27">
        <f>IF($K613="","",IFERROR(INDEX(CONFIG!$B$4:$B$43,MATCH($K613,CONFIG!$A$4:$A$43,0)),"Media"))</f>
        <v/>
      </c>
      <c r="M613" s="27">
        <f>IF($K613="","",IFERROR(INDEX(CONFIG!$D$4:$D$43,MATCH($K613,CONFIG!$A$4:$A$43,0)),"NO"))</f>
        <v/>
      </c>
      <c r="N613" s="49" t="n"/>
      <c r="O613" s="27">
        <f>IF($N613="","",IFERROR(INDEX(CONFIG!$G$4:$G$43,MATCH($N613,CONFIG!$F$4:$F$43,0)),"Por definir"))</f>
        <v/>
      </c>
      <c r="P613" s="27">
        <f>IF($N613="","",IFERROR(INDEX(CONFIG!$H$4:$H$43,MATCH($N613,CONFIG!$F$4:$F$43,0)),"Por definir"))</f>
        <v/>
      </c>
      <c r="Q613" s="50" t="n"/>
      <c r="R613" s="51" t="n"/>
      <c r="S613" s="49" t="n"/>
      <c r="T613" s="49" t="n"/>
      <c r="U613" s="48">
        <f>IF(OR($B613="",$K613=""),"",WORKDAY($B613,IFERROR(INDEX(CONFIG!$C$4:$C$43,MATCH($K613,CONFIG!$A$4:$A$43,0)),3)))</f>
        <v/>
      </c>
      <c r="V613" s="46" t="n"/>
      <c r="W613" s="23">
        <f>IF($B613="","",IF($V613&lt;&gt;"",$V613-$B613,TODAY()-$B613))</f>
        <v/>
      </c>
      <c r="X613" s="27">
        <f>IF($C613="","",IF(IFERROR(INDEX(CONFIG!$K$4:$K$43,MATCH($S613,CONFIG!$J$4:$J$43,0)),"NO")="SÍ",IF(OR($V613="",$U613=""),"Resuelta",IF($V613&gt;$U613,"Resuelta tarde","Resuelta a tiempo")),IF($U613="","Sin clasificar",IF(TODAY()&gt;$U613,"Vencida",IF(TODAY()&gt;=$U613-1,"Por vencer","En plazo")))))</f>
        <v/>
      </c>
      <c r="Y613" s="49" t="n"/>
      <c r="Z613" s="49" t="n"/>
    </row>
    <row r="614" ht="16" customHeight="1">
      <c r="A614" s="27">
        <f>IF($C614="","","N-"&amp;TEXT(ROW()-3,"0000"))</f>
        <v/>
      </c>
      <c r="B614" s="46" t="n"/>
      <c r="C614" s="47" t="n"/>
      <c r="D614" s="27">
        <f>IF($C614="","",IF(COUNTIFS(ENVIOS!$A$4:$A$3003,$C614)=0,"NO EXISTE",IF(COUNTIFS(ENVIOS!$A$4:$A$3003,$C614)&gt;1,"DUPLICADA","OK")))</f>
        <v/>
      </c>
      <c r="E614" s="22">
        <f>IF($C614="","",IFERROR(INDEX(ENVIOS!$C$4:$C$3003,MATCH($C614,ENVIOS!$A$4:$A$3003,0)),"—"))</f>
        <v/>
      </c>
      <c r="F614" s="22">
        <f>IF($C614="","",IFERROR(INDEX(ENVIOS!$D$4:$D$3003,MATCH($C614,ENVIOS!$A$4:$A$3003,0)),"—"))</f>
        <v/>
      </c>
      <c r="G614" s="22">
        <f>IF($C614="","",IFERROR(INDEX(ENVIOS!$E$4:$E$3003,MATCH($C614,ENVIOS!$A$4:$A$3003,0)),"—"))</f>
        <v/>
      </c>
      <c r="H614" s="22">
        <f>IF($C614="","",IFERROR(INDEX(ENVIOS!$F$4:$F$3003,MATCH($C614,ENVIOS!$A$4:$A$3003,0)),"—"))</f>
        <v/>
      </c>
      <c r="I614" s="27">
        <f>IF($C614="","",IFERROR(INDEX(ENVIOS!$G$4:$G$3003,MATCH($C614,ENVIOS!$A$4:$A$3003,0)),"—"))</f>
        <v/>
      </c>
      <c r="J614" s="48">
        <f>IF($C614="","",IFERROR(INDEX(ENVIOS!$B$4:$B$3003,MATCH($C614,ENVIOS!$A$4:$A$3003,0)),""))</f>
        <v/>
      </c>
      <c r="K614" s="49" t="n"/>
      <c r="L614" s="27">
        <f>IF($K614="","",IFERROR(INDEX(CONFIG!$B$4:$B$43,MATCH($K614,CONFIG!$A$4:$A$43,0)),"Media"))</f>
        <v/>
      </c>
      <c r="M614" s="27">
        <f>IF($K614="","",IFERROR(INDEX(CONFIG!$D$4:$D$43,MATCH($K614,CONFIG!$A$4:$A$43,0)),"NO"))</f>
        <v/>
      </c>
      <c r="N614" s="49" t="n"/>
      <c r="O614" s="27">
        <f>IF($N614="","",IFERROR(INDEX(CONFIG!$G$4:$G$43,MATCH($N614,CONFIG!$F$4:$F$43,0)),"Por definir"))</f>
        <v/>
      </c>
      <c r="P614" s="27">
        <f>IF($N614="","",IFERROR(INDEX(CONFIG!$H$4:$H$43,MATCH($N614,CONFIG!$F$4:$F$43,0)),"Por definir"))</f>
        <v/>
      </c>
      <c r="Q614" s="50" t="n"/>
      <c r="R614" s="51" t="n"/>
      <c r="S614" s="49" t="n"/>
      <c r="T614" s="49" t="n"/>
      <c r="U614" s="48">
        <f>IF(OR($B614="",$K614=""),"",WORKDAY($B614,IFERROR(INDEX(CONFIG!$C$4:$C$43,MATCH($K614,CONFIG!$A$4:$A$43,0)),3)))</f>
        <v/>
      </c>
      <c r="V614" s="46" t="n"/>
      <c r="W614" s="23">
        <f>IF($B614="","",IF($V614&lt;&gt;"",$V614-$B614,TODAY()-$B614))</f>
        <v/>
      </c>
      <c r="X614" s="27">
        <f>IF($C614="","",IF(IFERROR(INDEX(CONFIG!$K$4:$K$43,MATCH($S614,CONFIG!$J$4:$J$43,0)),"NO")="SÍ",IF(OR($V614="",$U614=""),"Resuelta",IF($V614&gt;$U614,"Resuelta tarde","Resuelta a tiempo")),IF($U614="","Sin clasificar",IF(TODAY()&gt;$U614,"Vencida",IF(TODAY()&gt;=$U614-1,"Por vencer","En plazo")))))</f>
        <v/>
      </c>
      <c r="Y614" s="49" t="n"/>
      <c r="Z614" s="49" t="n"/>
    </row>
    <row r="615" ht="16" customHeight="1">
      <c r="A615" s="27">
        <f>IF($C615="","","N-"&amp;TEXT(ROW()-3,"0000"))</f>
        <v/>
      </c>
      <c r="B615" s="46" t="n"/>
      <c r="C615" s="47" t="n"/>
      <c r="D615" s="27">
        <f>IF($C615="","",IF(COUNTIFS(ENVIOS!$A$4:$A$3003,$C615)=0,"NO EXISTE",IF(COUNTIFS(ENVIOS!$A$4:$A$3003,$C615)&gt;1,"DUPLICADA","OK")))</f>
        <v/>
      </c>
      <c r="E615" s="22">
        <f>IF($C615="","",IFERROR(INDEX(ENVIOS!$C$4:$C$3003,MATCH($C615,ENVIOS!$A$4:$A$3003,0)),"—"))</f>
        <v/>
      </c>
      <c r="F615" s="22">
        <f>IF($C615="","",IFERROR(INDEX(ENVIOS!$D$4:$D$3003,MATCH($C615,ENVIOS!$A$4:$A$3003,0)),"—"))</f>
        <v/>
      </c>
      <c r="G615" s="22">
        <f>IF($C615="","",IFERROR(INDEX(ENVIOS!$E$4:$E$3003,MATCH($C615,ENVIOS!$A$4:$A$3003,0)),"—"))</f>
        <v/>
      </c>
      <c r="H615" s="22">
        <f>IF($C615="","",IFERROR(INDEX(ENVIOS!$F$4:$F$3003,MATCH($C615,ENVIOS!$A$4:$A$3003,0)),"—"))</f>
        <v/>
      </c>
      <c r="I615" s="27">
        <f>IF($C615="","",IFERROR(INDEX(ENVIOS!$G$4:$G$3003,MATCH($C615,ENVIOS!$A$4:$A$3003,0)),"—"))</f>
        <v/>
      </c>
      <c r="J615" s="48">
        <f>IF($C615="","",IFERROR(INDEX(ENVIOS!$B$4:$B$3003,MATCH($C615,ENVIOS!$A$4:$A$3003,0)),""))</f>
        <v/>
      </c>
      <c r="K615" s="49" t="n"/>
      <c r="L615" s="27">
        <f>IF($K615="","",IFERROR(INDEX(CONFIG!$B$4:$B$43,MATCH($K615,CONFIG!$A$4:$A$43,0)),"Media"))</f>
        <v/>
      </c>
      <c r="M615" s="27">
        <f>IF($K615="","",IFERROR(INDEX(CONFIG!$D$4:$D$43,MATCH($K615,CONFIG!$A$4:$A$43,0)),"NO"))</f>
        <v/>
      </c>
      <c r="N615" s="49" t="n"/>
      <c r="O615" s="27">
        <f>IF($N615="","",IFERROR(INDEX(CONFIG!$G$4:$G$43,MATCH($N615,CONFIG!$F$4:$F$43,0)),"Por definir"))</f>
        <v/>
      </c>
      <c r="P615" s="27">
        <f>IF($N615="","",IFERROR(INDEX(CONFIG!$H$4:$H$43,MATCH($N615,CONFIG!$F$4:$F$43,0)),"Por definir"))</f>
        <v/>
      </c>
      <c r="Q615" s="50" t="n"/>
      <c r="R615" s="51" t="n"/>
      <c r="S615" s="49" t="n"/>
      <c r="T615" s="49" t="n"/>
      <c r="U615" s="48">
        <f>IF(OR($B615="",$K615=""),"",WORKDAY($B615,IFERROR(INDEX(CONFIG!$C$4:$C$43,MATCH($K615,CONFIG!$A$4:$A$43,0)),3)))</f>
        <v/>
      </c>
      <c r="V615" s="46" t="n"/>
      <c r="W615" s="23">
        <f>IF($B615="","",IF($V615&lt;&gt;"",$V615-$B615,TODAY()-$B615))</f>
        <v/>
      </c>
      <c r="X615" s="27">
        <f>IF($C615="","",IF(IFERROR(INDEX(CONFIG!$K$4:$K$43,MATCH($S615,CONFIG!$J$4:$J$43,0)),"NO")="SÍ",IF(OR($V615="",$U615=""),"Resuelta",IF($V615&gt;$U615,"Resuelta tarde","Resuelta a tiempo")),IF($U615="","Sin clasificar",IF(TODAY()&gt;$U615,"Vencida",IF(TODAY()&gt;=$U615-1,"Por vencer","En plazo")))))</f>
        <v/>
      </c>
      <c r="Y615" s="49" t="n"/>
      <c r="Z615" s="49" t="n"/>
    </row>
    <row r="616" ht="16" customHeight="1">
      <c r="A616" s="27">
        <f>IF($C616="","","N-"&amp;TEXT(ROW()-3,"0000"))</f>
        <v/>
      </c>
      <c r="B616" s="46" t="n"/>
      <c r="C616" s="47" t="n"/>
      <c r="D616" s="27">
        <f>IF($C616="","",IF(COUNTIFS(ENVIOS!$A$4:$A$3003,$C616)=0,"NO EXISTE",IF(COUNTIFS(ENVIOS!$A$4:$A$3003,$C616)&gt;1,"DUPLICADA","OK")))</f>
        <v/>
      </c>
      <c r="E616" s="22">
        <f>IF($C616="","",IFERROR(INDEX(ENVIOS!$C$4:$C$3003,MATCH($C616,ENVIOS!$A$4:$A$3003,0)),"—"))</f>
        <v/>
      </c>
      <c r="F616" s="22">
        <f>IF($C616="","",IFERROR(INDEX(ENVIOS!$D$4:$D$3003,MATCH($C616,ENVIOS!$A$4:$A$3003,0)),"—"))</f>
        <v/>
      </c>
      <c r="G616" s="22">
        <f>IF($C616="","",IFERROR(INDEX(ENVIOS!$E$4:$E$3003,MATCH($C616,ENVIOS!$A$4:$A$3003,0)),"—"))</f>
        <v/>
      </c>
      <c r="H616" s="22">
        <f>IF($C616="","",IFERROR(INDEX(ENVIOS!$F$4:$F$3003,MATCH($C616,ENVIOS!$A$4:$A$3003,0)),"—"))</f>
        <v/>
      </c>
      <c r="I616" s="27">
        <f>IF($C616="","",IFERROR(INDEX(ENVIOS!$G$4:$G$3003,MATCH($C616,ENVIOS!$A$4:$A$3003,0)),"—"))</f>
        <v/>
      </c>
      <c r="J616" s="48">
        <f>IF($C616="","",IFERROR(INDEX(ENVIOS!$B$4:$B$3003,MATCH($C616,ENVIOS!$A$4:$A$3003,0)),""))</f>
        <v/>
      </c>
      <c r="K616" s="49" t="n"/>
      <c r="L616" s="27">
        <f>IF($K616="","",IFERROR(INDEX(CONFIG!$B$4:$B$43,MATCH($K616,CONFIG!$A$4:$A$43,0)),"Media"))</f>
        <v/>
      </c>
      <c r="M616" s="27">
        <f>IF($K616="","",IFERROR(INDEX(CONFIG!$D$4:$D$43,MATCH($K616,CONFIG!$A$4:$A$43,0)),"NO"))</f>
        <v/>
      </c>
      <c r="N616" s="49" t="n"/>
      <c r="O616" s="27">
        <f>IF($N616="","",IFERROR(INDEX(CONFIG!$G$4:$G$43,MATCH($N616,CONFIG!$F$4:$F$43,0)),"Por definir"))</f>
        <v/>
      </c>
      <c r="P616" s="27">
        <f>IF($N616="","",IFERROR(INDEX(CONFIG!$H$4:$H$43,MATCH($N616,CONFIG!$F$4:$F$43,0)),"Por definir"))</f>
        <v/>
      </c>
      <c r="Q616" s="50" t="n"/>
      <c r="R616" s="51" t="n"/>
      <c r="S616" s="49" t="n"/>
      <c r="T616" s="49" t="n"/>
      <c r="U616" s="48">
        <f>IF(OR($B616="",$K616=""),"",WORKDAY($B616,IFERROR(INDEX(CONFIG!$C$4:$C$43,MATCH($K616,CONFIG!$A$4:$A$43,0)),3)))</f>
        <v/>
      </c>
      <c r="V616" s="46" t="n"/>
      <c r="W616" s="23">
        <f>IF($B616="","",IF($V616&lt;&gt;"",$V616-$B616,TODAY()-$B616))</f>
        <v/>
      </c>
      <c r="X616" s="27">
        <f>IF($C616="","",IF(IFERROR(INDEX(CONFIG!$K$4:$K$43,MATCH($S616,CONFIG!$J$4:$J$43,0)),"NO")="SÍ",IF(OR($V616="",$U616=""),"Resuelta",IF($V616&gt;$U616,"Resuelta tarde","Resuelta a tiempo")),IF($U616="","Sin clasificar",IF(TODAY()&gt;$U616,"Vencida",IF(TODAY()&gt;=$U616-1,"Por vencer","En plazo")))))</f>
        <v/>
      </c>
      <c r="Y616" s="49" t="n"/>
      <c r="Z616" s="49" t="n"/>
    </row>
    <row r="617" ht="16" customHeight="1">
      <c r="A617" s="27">
        <f>IF($C617="","","N-"&amp;TEXT(ROW()-3,"0000"))</f>
        <v/>
      </c>
      <c r="B617" s="46" t="n"/>
      <c r="C617" s="47" t="n"/>
      <c r="D617" s="27">
        <f>IF($C617="","",IF(COUNTIFS(ENVIOS!$A$4:$A$3003,$C617)=0,"NO EXISTE",IF(COUNTIFS(ENVIOS!$A$4:$A$3003,$C617)&gt;1,"DUPLICADA","OK")))</f>
        <v/>
      </c>
      <c r="E617" s="22">
        <f>IF($C617="","",IFERROR(INDEX(ENVIOS!$C$4:$C$3003,MATCH($C617,ENVIOS!$A$4:$A$3003,0)),"—"))</f>
        <v/>
      </c>
      <c r="F617" s="22">
        <f>IF($C617="","",IFERROR(INDEX(ENVIOS!$D$4:$D$3003,MATCH($C617,ENVIOS!$A$4:$A$3003,0)),"—"))</f>
        <v/>
      </c>
      <c r="G617" s="22">
        <f>IF($C617="","",IFERROR(INDEX(ENVIOS!$E$4:$E$3003,MATCH($C617,ENVIOS!$A$4:$A$3003,0)),"—"))</f>
        <v/>
      </c>
      <c r="H617" s="22">
        <f>IF($C617="","",IFERROR(INDEX(ENVIOS!$F$4:$F$3003,MATCH($C617,ENVIOS!$A$4:$A$3003,0)),"—"))</f>
        <v/>
      </c>
      <c r="I617" s="27">
        <f>IF($C617="","",IFERROR(INDEX(ENVIOS!$G$4:$G$3003,MATCH($C617,ENVIOS!$A$4:$A$3003,0)),"—"))</f>
        <v/>
      </c>
      <c r="J617" s="48">
        <f>IF($C617="","",IFERROR(INDEX(ENVIOS!$B$4:$B$3003,MATCH($C617,ENVIOS!$A$4:$A$3003,0)),""))</f>
        <v/>
      </c>
      <c r="K617" s="49" t="n"/>
      <c r="L617" s="27">
        <f>IF($K617="","",IFERROR(INDEX(CONFIG!$B$4:$B$43,MATCH($K617,CONFIG!$A$4:$A$43,0)),"Media"))</f>
        <v/>
      </c>
      <c r="M617" s="27">
        <f>IF($K617="","",IFERROR(INDEX(CONFIG!$D$4:$D$43,MATCH($K617,CONFIG!$A$4:$A$43,0)),"NO"))</f>
        <v/>
      </c>
      <c r="N617" s="49" t="n"/>
      <c r="O617" s="27">
        <f>IF($N617="","",IFERROR(INDEX(CONFIG!$G$4:$G$43,MATCH($N617,CONFIG!$F$4:$F$43,0)),"Por definir"))</f>
        <v/>
      </c>
      <c r="P617" s="27">
        <f>IF($N617="","",IFERROR(INDEX(CONFIG!$H$4:$H$43,MATCH($N617,CONFIG!$F$4:$F$43,0)),"Por definir"))</f>
        <v/>
      </c>
      <c r="Q617" s="50" t="n"/>
      <c r="R617" s="51" t="n"/>
      <c r="S617" s="49" t="n"/>
      <c r="T617" s="49" t="n"/>
      <c r="U617" s="48">
        <f>IF(OR($B617="",$K617=""),"",WORKDAY($B617,IFERROR(INDEX(CONFIG!$C$4:$C$43,MATCH($K617,CONFIG!$A$4:$A$43,0)),3)))</f>
        <v/>
      </c>
      <c r="V617" s="46" t="n"/>
      <c r="W617" s="23">
        <f>IF($B617="","",IF($V617&lt;&gt;"",$V617-$B617,TODAY()-$B617))</f>
        <v/>
      </c>
      <c r="X617" s="27">
        <f>IF($C617="","",IF(IFERROR(INDEX(CONFIG!$K$4:$K$43,MATCH($S617,CONFIG!$J$4:$J$43,0)),"NO")="SÍ",IF(OR($V617="",$U617=""),"Resuelta",IF($V617&gt;$U617,"Resuelta tarde","Resuelta a tiempo")),IF($U617="","Sin clasificar",IF(TODAY()&gt;$U617,"Vencida",IF(TODAY()&gt;=$U617-1,"Por vencer","En plazo")))))</f>
        <v/>
      </c>
      <c r="Y617" s="49" t="n"/>
      <c r="Z617" s="49" t="n"/>
    </row>
    <row r="618" ht="16" customHeight="1">
      <c r="A618" s="27">
        <f>IF($C618="","","N-"&amp;TEXT(ROW()-3,"0000"))</f>
        <v/>
      </c>
      <c r="B618" s="46" t="n"/>
      <c r="C618" s="47" t="n"/>
      <c r="D618" s="27">
        <f>IF($C618="","",IF(COUNTIFS(ENVIOS!$A$4:$A$3003,$C618)=0,"NO EXISTE",IF(COUNTIFS(ENVIOS!$A$4:$A$3003,$C618)&gt;1,"DUPLICADA","OK")))</f>
        <v/>
      </c>
      <c r="E618" s="22">
        <f>IF($C618="","",IFERROR(INDEX(ENVIOS!$C$4:$C$3003,MATCH($C618,ENVIOS!$A$4:$A$3003,0)),"—"))</f>
        <v/>
      </c>
      <c r="F618" s="22">
        <f>IF($C618="","",IFERROR(INDEX(ENVIOS!$D$4:$D$3003,MATCH($C618,ENVIOS!$A$4:$A$3003,0)),"—"))</f>
        <v/>
      </c>
      <c r="G618" s="22">
        <f>IF($C618="","",IFERROR(INDEX(ENVIOS!$E$4:$E$3003,MATCH($C618,ENVIOS!$A$4:$A$3003,0)),"—"))</f>
        <v/>
      </c>
      <c r="H618" s="22">
        <f>IF($C618="","",IFERROR(INDEX(ENVIOS!$F$4:$F$3003,MATCH($C618,ENVIOS!$A$4:$A$3003,0)),"—"))</f>
        <v/>
      </c>
      <c r="I618" s="27">
        <f>IF($C618="","",IFERROR(INDEX(ENVIOS!$G$4:$G$3003,MATCH($C618,ENVIOS!$A$4:$A$3003,0)),"—"))</f>
        <v/>
      </c>
      <c r="J618" s="48">
        <f>IF($C618="","",IFERROR(INDEX(ENVIOS!$B$4:$B$3003,MATCH($C618,ENVIOS!$A$4:$A$3003,0)),""))</f>
        <v/>
      </c>
      <c r="K618" s="49" t="n"/>
      <c r="L618" s="27">
        <f>IF($K618="","",IFERROR(INDEX(CONFIG!$B$4:$B$43,MATCH($K618,CONFIG!$A$4:$A$43,0)),"Media"))</f>
        <v/>
      </c>
      <c r="M618" s="27">
        <f>IF($K618="","",IFERROR(INDEX(CONFIG!$D$4:$D$43,MATCH($K618,CONFIG!$A$4:$A$43,0)),"NO"))</f>
        <v/>
      </c>
      <c r="N618" s="49" t="n"/>
      <c r="O618" s="27">
        <f>IF($N618="","",IFERROR(INDEX(CONFIG!$G$4:$G$43,MATCH($N618,CONFIG!$F$4:$F$43,0)),"Por definir"))</f>
        <v/>
      </c>
      <c r="P618" s="27">
        <f>IF($N618="","",IFERROR(INDEX(CONFIG!$H$4:$H$43,MATCH($N618,CONFIG!$F$4:$F$43,0)),"Por definir"))</f>
        <v/>
      </c>
      <c r="Q618" s="50" t="n"/>
      <c r="R618" s="51" t="n"/>
      <c r="S618" s="49" t="n"/>
      <c r="T618" s="49" t="n"/>
      <c r="U618" s="48">
        <f>IF(OR($B618="",$K618=""),"",WORKDAY($B618,IFERROR(INDEX(CONFIG!$C$4:$C$43,MATCH($K618,CONFIG!$A$4:$A$43,0)),3)))</f>
        <v/>
      </c>
      <c r="V618" s="46" t="n"/>
      <c r="W618" s="23">
        <f>IF($B618="","",IF($V618&lt;&gt;"",$V618-$B618,TODAY()-$B618))</f>
        <v/>
      </c>
      <c r="X618" s="27">
        <f>IF($C618="","",IF(IFERROR(INDEX(CONFIG!$K$4:$K$43,MATCH($S618,CONFIG!$J$4:$J$43,0)),"NO")="SÍ",IF(OR($V618="",$U618=""),"Resuelta",IF($V618&gt;$U618,"Resuelta tarde","Resuelta a tiempo")),IF($U618="","Sin clasificar",IF(TODAY()&gt;$U618,"Vencida",IF(TODAY()&gt;=$U618-1,"Por vencer","En plazo")))))</f>
        <v/>
      </c>
      <c r="Y618" s="49" t="n"/>
      <c r="Z618" s="49" t="n"/>
    </row>
    <row r="619" ht="16" customHeight="1">
      <c r="A619" s="27">
        <f>IF($C619="","","N-"&amp;TEXT(ROW()-3,"0000"))</f>
        <v/>
      </c>
      <c r="B619" s="46" t="n"/>
      <c r="C619" s="47" t="n"/>
      <c r="D619" s="27">
        <f>IF($C619="","",IF(COUNTIFS(ENVIOS!$A$4:$A$3003,$C619)=0,"NO EXISTE",IF(COUNTIFS(ENVIOS!$A$4:$A$3003,$C619)&gt;1,"DUPLICADA","OK")))</f>
        <v/>
      </c>
      <c r="E619" s="22">
        <f>IF($C619="","",IFERROR(INDEX(ENVIOS!$C$4:$C$3003,MATCH($C619,ENVIOS!$A$4:$A$3003,0)),"—"))</f>
        <v/>
      </c>
      <c r="F619" s="22">
        <f>IF($C619="","",IFERROR(INDEX(ENVIOS!$D$4:$D$3003,MATCH($C619,ENVIOS!$A$4:$A$3003,0)),"—"))</f>
        <v/>
      </c>
      <c r="G619" s="22">
        <f>IF($C619="","",IFERROR(INDEX(ENVIOS!$E$4:$E$3003,MATCH($C619,ENVIOS!$A$4:$A$3003,0)),"—"))</f>
        <v/>
      </c>
      <c r="H619" s="22">
        <f>IF($C619="","",IFERROR(INDEX(ENVIOS!$F$4:$F$3003,MATCH($C619,ENVIOS!$A$4:$A$3003,0)),"—"))</f>
        <v/>
      </c>
      <c r="I619" s="27">
        <f>IF($C619="","",IFERROR(INDEX(ENVIOS!$G$4:$G$3003,MATCH($C619,ENVIOS!$A$4:$A$3003,0)),"—"))</f>
        <v/>
      </c>
      <c r="J619" s="48">
        <f>IF($C619="","",IFERROR(INDEX(ENVIOS!$B$4:$B$3003,MATCH($C619,ENVIOS!$A$4:$A$3003,0)),""))</f>
        <v/>
      </c>
      <c r="K619" s="49" t="n"/>
      <c r="L619" s="27">
        <f>IF($K619="","",IFERROR(INDEX(CONFIG!$B$4:$B$43,MATCH($K619,CONFIG!$A$4:$A$43,0)),"Media"))</f>
        <v/>
      </c>
      <c r="M619" s="27">
        <f>IF($K619="","",IFERROR(INDEX(CONFIG!$D$4:$D$43,MATCH($K619,CONFIG!$A$4:$A$43,0)),"NO"))</f>
        <v/>
      </c>
      <c r="N619" s="49" t="n"/>
      <c r="O619" s="27">
        <f>IF($N619="","",IFERROR(INDEX(CONFIG!$G$4:$G$43,MATCH($N619,CONFIG!$F$4:$F$43,0)),"Por definir"))</f>
        <v/>
      </c>
      <c r="P619" s="27">
        <f>IF($N619="","",IFERROR(INDEX(CONFIG!$H$4:$H$43,MATCH($N619,CONFIG!$F$4:$F$43,0)),"Por definir"))</f>
        <v/>
      </c>
      <c r="Q619" s="50" t="n"/>
      <c r="R619" s="51" t="n"/>
      <c r="S619" s="49" t="n"/>
      <c r="T619" s="49" t="n"/>
      <c r="U619" s="48">
        <f>IF(OR($B619="",$K619=""),"",WORKDAY($B619,IFERROR(INDEX(CONFIG!$C$4:$C$43,MATCH($K619,CONFIG!$A$4:$A$43,0)),3)))</f>
        <v/>
      </c>
      <c r="V619" s="46" t="n"/>
      <c r="W619" s="23">
        <f>IF($B619="","",IF($V619&lt;&gt;"",$V619-$B619,TODAY()-$B619))</f>
        <v/>
      </c>
      <c r="X619" s="27">
        <f>IF($C619="","",IF(IFERROR(INDEX(CONFIG!$K$4:$K$43,MATCH($S619,CONFIG!$J$4:$J$43,0)),"NO")="SÍ",IF(OR($V619="",$U619=""),"Resuelta",IF($V619&gt;$U619,"Resuelta tarde","Resuelta a tiempo")),IF($U619="","Sin clasificar",IF(TODAY()&gt;$U619,"Vencida",IF(TODAY()&gt;=$U619-1,"Por vencer","En plazo")))))</f>
        <v/>
      </c>
      <c r="Y619" s="49" t="n"/>
      <c r="Z619" s="49" t="n"/>
    </row>
    <row r="620" ht="16" customHeight="1">
      <c r="A620" s="27">
        <f>IF($C620="","","N-"&amp;TEXT(ROW()-3,"0000"))</f>
        <v/>
      </c>
      <c r="B620" s="46" t="n"/>
      <c r="C620" s="47" t="n"/>
      <c r="D620" s="27">
        <f>IF($C620="","",IF(COUNTIFS(ENVIOS!$A$4:$A$3003,$C620)=0,"NO EXISTE",IF(COUNTIFS(ENVIOS!$A$4:$A$3003,$C620)&gt;1,"DUPLICADA","OK")))</f>
        <v/>
      </c>
      <c r="E620" s="22">
        <f>IF($C620="","",IFERROR(INDEX(ENVIOS!$C$4:$C$3003,MATCH($C620,ENVIOS!$A$4:$A$3003,0)),"—"))</f>
        <v/>
      </c>
      <c r="F620" s="22">
        <f>IF($C620="","",IFERROR(INDEX(ENVIOS!$D$4:$D$3003,MATCH($C620,ENVIOS!$A$4:$A$3003,0)),"—"))</f>
        <v/>
      </c>
      <c r="G620" s="22">
        <f>IF($C620="","",IFERROR(INDEX(ENVIOS!$E$4:$E$3003,MATCH($C620,ENVIOS!$A$4:$A$3003,0)),"—"))</f>
        <v/>
      </c>
      <c r="H620" s="22">
        <f>IF($C620="","",IFERROR(INDEX(ENVIOS!$F$4:$F$3003,MATCH($C620,ENVIOS!$A$4:$A$3003,0)),"—"))</f>
        <v/>
      </c>
      <c r="I620" s="27">
        <f>IF($C620="","",IFERROR(INDEX(ENVIOS!$G$4:$G$3003,MATCH($C620,ENVIOS!$A$4:$A$3003,0)),"—"))</f>
        <v/>
      </c>
      <c r="J620" s="48">
        <f>IF($C620="","",IFERROR(INDEX(ENVIOS!$B$4:$B$3003,MATCH($C620,ENVIOS!$A$4:$A$3003,0)),""))</f>
        <v/>
      </c>
      <c r="K620" s="49" t="n"/>
      <c r="L620" s="27">
        <f>IF($K620="","",IFERROR(INDEX(CONFIG!$B$4:$B$43,MATCH($K620,CONFIG!$A$4:$A$43,0)),"Media"))</f>
        <v/>
      </c>
      <c r="M620" s="27">
        <f>IF($K620="","",IFERROR(INDEX(CONFIG!$D$4:$D$43,MATCH($K620,CONFIG!$A$4:$A$43,0)),"NO"))</f>
        <v/>
      </c>
      <c r="N620" s="49" t="n"/>
      <c r="O620" s="27">
        <f>IF($N620="","",IFERROR(INDEX(CONFIG!$G$4:$G$43,MATCH($N620,CONFIG!$F$4:$F$43,0)),"Por definir"))</f>
        <v/>
      </c>
      <c r="P620" s="27">
        <f>IF($N620="","",IFERROR(INDEX(CONFIG!$H$4:$H$43,MATCH($N620,CONFIG!$F$4:$F$43,0)),"Por definir"))</f>
        <v/>
      </c>
      <c r="Q620" s="50" t="n"/>
      <c r="R620" s="51" t="n"/>
      <c r="S620" s="49" t="n"/>
      <c r="T620" s="49" t="n"/>
      <c r="U620" s="48">
        <f>IF(OR($B620="",$K620=""),"",WORKDAY($B620,IFERROR(INDEX(CONFIG!$C$4:$C$43,MATCH($K620,CONFIG!$A$4:$A$43,0)),3)))</f>
        <v/>
      </c>
      <c r="V620" s="46" t="n"/>
      <c r="W620" s="23">
        <f>IF($B620="","",IF($V620&lt;&gt;"",$V620-$B620,TODAY()-$B620))</f>
        <v/>
      </c>
      <c r="X620" s="27">
        <f>IF($C620="","",IF(IFERROR(INDEX(CONFIG!$K$4:$K$43,MATCH($S620,CONFIG!$J$4:$J$43,0)),"NO")="SÍ",IF(OR($V620="",$U620=""),"Resuelta",IF($V620&gt;$U620,"Resuelta tarde","Resuelta a tiempo")),IF($U620="","Sin clasificar",IF(TODAY()&gt;$U620,"Vencida",IF(TODAY()&gt;=$U620-1,"Por vencer","En plazo")))))</f>
        <v/>
      </c>
      <c r="Y620" s="49" t="n"/>
      <c r="Z620" s="49" t="n"/>
    </row>
    <row r="621" ht="16" customHeight="1">
      <c r="A621" s="27">
        <f>IF($C621="","","N-"&amp;TEXT(ROW()-3,"0000"))</f>
        <v/>
      </c>
      <c r="B621" s="46" t="n"/>
      <c r="C621" s="47" t="n"/>
      <c r="D621" s="27">
        <f>IF($C621="","",IF(COUNTIFS(ENVIOS!$A$4:$A$3003,$C621)=0,"NO EXISTE",IF(COUNTIFS(ENVIOS!$A$4:$A$3003,$C621)&gt;1,"DUPLICADA","OK")))</f>
        <v/>
      </c>
      <c r="E621" s="22">
        <f>IF($C621="","",IFERROR(INDEX(ENVIOS!$C$4:$C$3003,MATCH($C621,ENVIOS!$A$4:$A$3003,0)),"—"))</f>
        <v/>
      </c>
      <c r="F621" s="22">
        <f>IF($C621="","",IFERROR(INDEX(ENVIOS!$D$4:$D$3003,MATCH($C621,ENVIOS!$A$4:$A$3003,0)),"—"))</f>
        <v/>
      </c>
      <c r="G621" s="22">
        <f>IF($C621="","",IFERROR(INDEX(ENVIOS!$E$4:$E$3003,MATCH($C621,ENVIOS!$A$4:$A$3003,0)),"—"))</f>
        <v/>
      </c>
      <c r="H621" s="22">
        <f>IF($C621="","",IFERROR(INDEX(ENVIOS!$F$4:$F$3003,MATCH($C621,ENVIOS!$A$4:$A$3003,0)),"—"))</f>
        <v/>
      </c>
      <c r="I621" s="27">
        <f>IF($C621="","",IFERROR(INDEX(ENVIOS!$G$4:$G$3003,MATCH($C621,ENVIOS!$A$4:$A$3003,0)),"—"))</f>
        <v/>
      </c>
      <c r="J621" s="48">
        <f>IF($C621="","",IFERROR(INDEX(ENVIOS!$B$4:$B$3003,MATCH($C621,ENVIOS!$A$4:$A$3003,0)),""))</f>
        <v/>
      </c>
      <c r="K621" s="49" t="n"/>
      <c r="L621" s="27">
        <f>IF($K621="","",IFERROR(INDEX(CONFIG!$B$4:$B$43,MATCH($K621,CONFIG!$A$4:$A$43,0)),"Media"))</f>
        <v/>
      </c>
      <c r="M621" s="27">
        <f>IF($K621="","",IFERROR(INDEX(CONFIG!$D$4:$D$43,MATCH($K621,CONFIG!$A$4:$A$43,0)),"NO"))</f>
        <v/>
      </c>
      <c r="N621" s="49" t="n"/>
      <c r="O621" s="27">
        <f>IF($N621="","",IFERROR(INDEX(CONFIG!$G$4:$G$43,MATCH($N621,CONFIG!$F$4:$F$43,0)),"Por definir"))</f>
        <v/>
      </c>
      <c r="P621" s="27">
        <f>IF($N621="","",IFERROR(INDEX(CONFIG!$H$4:$H$43,MATCH($N621,CONFIG!$F$4:$F$43,0)),"Por definir"))</f>
        <v/>
      </c>
      <c r="Q621" s="50" t="n"/>
      <c r="R621" s="51" t="n"/>
      <c r="S621" s="49" t="n"/>
      <c r="T621" s="49" t="n"/>
      <c r="U621" s="48">
        <f>IF(OR($B621="",$K621=""),"",WORKDAY($B621,IFERROR(INDEX(CONFIG!$C$4:$C$43,MATCH($K621,CONFIG!$A$4:$A$43,0)),3)))</f>
        <v/>
      </c>
      <c r="V621" s="46" t="n"/>
      <c r="W621" s="23">
        <f>IF($B621="","",IF($V621&lt;&gt;"",$V621-$B621,TODAY()-$B621))</f>
        <v/>
      </c>
      <c r="X621" s="27">
        <f>IF($C621="","",IF(IFERROR(INDEX(CONFIG!$K$4:$K$43,MATCH($S621,CONFIG!$J$4:$J$43,0)),"NO")="SÍ",IF(OR($V621="",$U621=""),"Resuelta",IF($V621&gt;$U621,"Resuelta tarde","Resuelta a tiempo")),IF($U621="","Sin clasificar",IF(TODAY()&gt;$U621,"Vencida",IF(TODAY()&gt;=$U621-1,"Por vencer","En plazo")))))</f>
        <v/>
      </c>
      <c r="Y621" s="49" t="n"/>
      <c r="Z621" s="49" t="n"/>
    </row>
    <row r="622" ht="16" customHeight="1">
      <c r="A622" s="27">
        <f>IF($C622="","","N-"&amp;TEXT(ROW()-3,"0000"))</f>
        <v/>
      </c>
      <c r="B622" s="46" t="n"/>
      <c r="C622" s="47" t="n"/>
      <c r="D622" s="27">
        <f>IF($C622="","",IF(COUNTIFS(ENVIOS!$A$4:$A$3003,$C622)=0,"NO EXISTE",IF(COUNTIFS(ENVIOS!$A$4:$A$3003,$C622)&gt;1,"DUPLICADA","OK")))</f>
        <v/>
      </c>
      <c r="E622" s="22">
        <f>IF($C622="","",IFERROR(INDEX(ENVIOS!$C$4:$C$3003,MATCH($C622,ENVIOS!$A$4:$A$3003,0)),"—"))</f>
        <v/>
      </c>
      <c r="F622" s="22">
        <f>IF($C622="","",IFERROR(INDEX(ENVIOS!$D$4:$D$3003,MATCH($C622,ENVIOS!$A$4:$A$3003,0)),"—"))</f>
        <v/>
      </c>
      <c r="G622" s="22">
        <f>IF($C622="","",IFERROR(INDEX(ENVIOS!$E$4:$E$3003,MATCH($C622,ENVIOS!$A$4:$A$3003,0)),"—"))</f>
        <v/>
      </c>
      <c r="H622" s="22">
        <f>IF($C622="","",IFERROR(INDEX(ENVIOS!$F$4:$F$3003,MATCH($C622,ENVIOS!$A$4:$A$3003,0)),"—"))</f>
        <v/>
      </c>
      <c r="I622" s="27">
        <f>IF($C622="","",IFERROR(INDEX(ENVIOS!$G$4:$G$3003,MATCH($C622,ENVIOS!$A$4:$A$3003,0)),"—"))</f>
        <v/>
      </c>
      <c r="J622" s="48">
        <f>IF($C622="","",IFERROR(INDEX(ENVIOS!$B$4:$B$3003,MATCH($C622,ENVIOS!$A$4:$A$3003,0)),""))</f>
        <v/>
      </c>
      <c r="K622" s="49" t="n"/>
      <c r="L622" s="27">
        <f>IF($K622="","",IFERROR(INDEX(CONFIG!$B$4:$B$43,MATCH($K622,CONFIG!$A$4:$A$43,0)),"Media"))</f>
        <v/>
      </c>
      <c r="M622" s="27">
        <f>IF($K622="","",IFERROR(INDEX(CONFIG!$D$4:$D$43,MATCH($K622,CONFIG!$A$4:$A$43,0)),"NO"))</f>
        <v/>
      </c>
      <c r="N622" s="49" t="n"/>
      <c r="O622" s="27">
        <f>IF($N622="","",IFERROR(INDEX(CONFIG!$G$4:$G$43,MATCH($N622,CONFIG!$F$4:$F$43,0)),"Por definir"))</f>
        <v/>
      </c>
      <c r="P622" s="27">
        <f>IF($N622="","",IFERROR(INDEX(CONFIG!$H$4:$H$43,MATCH($N622,CONFIG!$F$4:$F$43,0)),"Por definir"))</f>
        <v/>
      </c>
      <c r="Q622" s="50" t="n"/>
      <c r="R622" s="51" t="n"/>
      <c r="S622" s="49" t="n"/>
      <c r="T622" s="49" t="n"/>
      <c r="U622" s="48">
        <f>IF(OR($B622="",$K622=""),"",WORKDAY($B622,IFERROR(INDEX(CONFIG!$C$4:$C$43,MATCH($K622,CONFIG!$A$4:$A$43,0)),3)))</f>
        <v/>
      </c>
      <c r="V622" s="46" t="n"/>
      <c r="W622" s="23">
        <f>IF($B622="","",IF($V622&lt;&gt;"",$V622-$B622,TODAY()-$B622))</f>
        <v/>
      </c>
      <c r="X622" s="27">
        <f>IF($C622="","",IF(IFERROR(INDEX(CONFIG!$K$4:$K$43,MATCH($S622,CONFIG!$J$4:$J$43,0)),"NO")="SÍ",IF(OR($V622="",$U622=""),"Resuelta",IF($V622&gt;$U622,"Resuelta tarde","Resuelta a tiempo")),IF($U622="","Sin clasificar",IF(TODAY()&gt;$U622,"Vencida",IF(TODAY()&gt;=$U622-1,"Por vencer","En plazo")))))</f>
        <v/>
      </c>
      <c r="Y622" s="49" t="n"/>
      <c r="Z622" s="49" t="n"/>
    </row>
    <row r="623" ht="16" customHeight="1">
      <c r="A623" s="27">
        <f>IF($C623="","","N-"&amp;TEXT(ROW()-3,"0000"))</f>
        <v/>
      </c>
      <c r="B623" s="46" t="n"/>
      <c r="C623" s="47" t="n"/>
      <c r="D623" s="27">
        <f>IF($C623="","",IF(COUNTIFS(ENVIOS!$A$4:$A$3003,$C623)=0,"NO EXISTE",IF(COUNTIFS(ENVIOS!$A$4:$A$3003,$C623)&gt;1,"DUPLICADA","OK")))</f>
        <v/>
      </c>
      <c r="E623" s="22">
        <f>IF($C623="","",IFERROR(INDEX(ENVIOS!$C$4:$C$3003,MATCH($C623,ENVIOS!$A$4:$A$3003,0)),"—"))</f>
        <v/>
      </c>
      <c r="F623" s="22">
        <f>IF($C623="","",IFERROR(INDEX(ENVIOS!$D$4:$D$3003,MATCH($C623,ENVIOS!$A$4:$A$3003,0)),"—"))</f>
        <v/>
      </c>
      <c r="G623" s="22">
        <f>IF($C623="","",IFERROR(INDEX(ENVIOS!$E$4:$E$3003,MATCH($C623,ENVIOS!$A$4:$A$3003,0)),"—"))</f>
        <v/>
      </c>
      <c r="H623" s="22">
        <f>IF($C623="","",IFERROR(INDEX(ENVIOS!$F$4:$F$3003,MATCH($C623,ENVIOS!$A$4:$A$3003,0)),"—"))</f>
        <v/>
      </c>
      <c r="I623" s="27">
        <f>IF($C623="","",IFERROR(INDEX(ENVIOS!$G$4:$G$3003,MATCH($C623,ENVIOS!$A$4:$A$3003,0)),"—"))</f>
        <v/>
      </c>
      <c r="J623" s="48">
        <f>IF($C623="","",IFERROR(INDEX(ENVIOS!$B$4:$B$3003,MATCH($C623,ENVIOS!$A$4:$A$3003,0)),""))</f>
        <v/>
      </c>
      <c r="K623" s="49" t="n"/>
      <c r="L623" s="27">
        <f>IF($K623="","",IFERROR(INDEX(CONFIG!$B$4:$B$43,MATCH($K623,CONFIG!$A$4:$A$43,0)),"Media"))</f>
        <v/>
      </c>
      <c r="M623" s="27">
        <f>IF($K623="","",IFERROR(INDEX(CONFIG!$D$4:$D$43,MATCH($K623,CONFIG!$A$4:$A$43,0)),"NO"))</f>
        <v/>
      </c>
      <c r="N623" s="49" t="n"/>
      <c r="O623" s="27">
        <f>IF($N623="","",IFERROR(INDEX(CONFIG!$G$4:$G$43,MATCH($N623,CONFIG!$F$4:$F$43,0)),"Por definir"))</f>
        <v/>
      </c>
      <c r="P623" s="27">
        <f>IF($N623="","",IFERROR(INDEX(CONFIG!$H$4:$H$43,MATCH($N623,CONFIG!$F$4:$F$43,0)),"Por definir"))</f>
        <v/>
      </c>
      <c r="Q623" s="50" t="n"/>
      <c r="R623" s="51" t="n"/>
      <c r="S623" s="49" t="n"/>
      <c r="T623" s="49" t="n"/>
      <c r="U623" s="48">
        <f>IF(OR($B623="",$K623=""),"",WORKDAY($B623,IFERROR(INDEX(CONFIG!$C$4:$C$43,MATCH($K623,CONFIG!$A$4:$A$43,0)),3)))</f>
        <v/>
      </c>
      <c r="V623" s="46" t="n"/>
      <c r="W623" s="23">
        <f>IF($B623="","",IF($V623&lt;&gt;"",$V623-$B623,TODAY()-$B623))</f>
        <v/>
      </c>
      <c r="X623" s="27">
        <f>IF($C623="","",IF(IFERROR(INDEX(CONFIG!$K$4:$K$43,MATCH($S623,CONFIG!$J$4:$J$43,0)),"NO")="SÍ",IF(OR($V623="",$U623=""),"Resuelta",IF($V623&gt;$U623,"Resuelta tarde","Resuelta a tiempo")),IF($U623="","Sin clasificar",IF(TODAY()&gt;$U623,"Vencida",IF(TODAY()&gt;=$U623-1,"Por vencer","En plazo")))))</f>
        <v/>
      </c>
      <c r="Y623" s="49" t="n"/>
      <c r="Z623" s="49" t="n"/>
    </row>
    <row r="624" ht="16" customHeight="1">
      <c r="A624" s="27">
        <f>IF($C624="","","N-"&amp;TEXT(ROW()-3,"0000"))</f>
        <v/>
      </c>
      <c r="B624" s="46" t="n"/>
      <c r="C624" s="47" t="n"/>
      <c r="D624" s="27">
        <f>IF($C624="","",IF(COUNTIFS(ENVIOS!$A$4:$A$3003,$C624)=0,"NO EXISTE",IF(COUNTIFS(ENVIOS!$A$4:$A$3003,$C624)&gt;1,"DUPLICADA","OK")))</f>
        <v/>
      </c>
      <c r="E624" s="22">
        <f>IF($C624="","",IFERROR(INDEX(ENVIOS!$C$4:$C$3003,MATCH($C624,ENVIOS!$A$4:$A$3003,0)),"—"))</f>
        <v/>
      </c>
      <c r="F624" s="22">
        <f>IF($C624="","",IFERROR(INDEX(ENVIOS!$D$4:$D$3003,MATCH($C624,ENVIOS!$A$4:$A$3003,0)),"—"))</f>
        <v/>
      </c>
      <c r="G624" s="22">
        <f>IF($C624="","",IFERROR(INDEX(ENVIOS!$E$4:$E$3003,MATCH($C624,ENVIOS!$A$4:$A$3003,0)),"—"))</f>
        <v/>
      </c>
      <c r="H624" s="22">
        <f>IF($C624="","",IFERROR(INDEX(ENVIOS!$F$4:$F$3003,MATCH($C624,ENVIOS!$A$4:$A$3003,0)),"—"))</f>
        <v/>
      </c>
      <c r="I624" s="27">
        <f>IF($C624="","",IFERROR(INDEX(ENVIOS!$G$4:$G$3003,MATCH($C624,ENVIOS!$A$4:$A$3003,0)),"—"))</f>
        <v/>
      </c>
      <c r="J624" s="48">
        <f>IF($C624="","",IFERROR(INDEX(ENVIOS!$B$4:$B$3003,MATCH($C624,ENVIOS!$A$4:$A$3003,0)),""))</f>
        <v/>
      </c>
      <c r="K624" s="49" t="n"/>
      <c r="L624" s="27">
        <f>IF($K624="","",IFERROR(INDEX(CONFIG!$B$4:$B$43,MATCH($K624,CONFIG!$A$4:$A$43,0)),"Media"))</f>
        <v/>
      </c>
      <c r="M624" s="27">
        <f>IF($K624="","",IFERROR(INDEX(CONFIG!$D$4:$D$43,MATCH($K624,CONFIG!$A$4:$A$43,0)),"NO"))</f>
        <v/>
      </c>
      <c r="N624" s="49" t="n"/>
      <c r="O624" s="27">
        <f>IF($N624="","",IFERROR(INDEX(CONFIG!$G$4:$G$43,MATCH($N624,CONFIG!$F$4:$F$43,0)),"Por definir"))</f>
        <v/>
      </c>
      <c r="P624" s="27">
        <f>IF($N624="","",IFERROR(INDEX(CONFIG!$H$4:$H$43,MATCH($N624,CONFIG!$F$4:$F$43,0)),"Por definir"))</f>
        <v/>
      </c>
      <c r="Q624" s="50" t="n"/>
      <c r="R624" s="51" t="n"/>
      <c r="S624" s="49" t="n"/>
      <c r="T624" s="49" t="n"/>
      <c r="U624" s="48">
        <f>IF(OR($B624="",$K624=""),"",WORKDAY($B624,IFERROR(INDEX(CONFIG!$C$4:$C$43,MATCH($K624,CONFIG!$A$4:$A$43,0)),3)))</f>
        <v/>
      </c>
      <c r="V624" s="46" t="n"/>
      <c r="W624" s="23">
        <f>IF($B624="","",IF($V624&lt;&gt;"",$V624-$B624,TODAY()-$B624))</f>
        <v/>
      </c>
      <c r="X624" s="27">
        <f>IF($C624="","",IF(IFERROR(INDEX(CONFIG!$K$4:$K$43,MATCH($S624,CONFIG!$J$4:$J$43,0)),"NO")="SÍ",IF(OR($V624="",$U624=""),"Resuelta",IF($V624&gt;$U624,"Resuelta tarde","Resuelta a tiempo")),IF($U624="","Sin clasificar",IF(TODAY()&gt;$U624,"Vencida",IF(TODAY()&gt;=$U624-1,"Por vencer","En plazo")))))</f>
        <v/>
      </c>
      <c r="Y624" s="49" t="n"/>
      <c r="Z624" s="49" t="n"/>
    </row>
    <row r="625" ht="16" customHeight="1">
      <c r="A625" s="27">
        <f>IF($C625="","","N-"&amp;TEXT(ROW()-3,"0000"))</f>
        <v/>
      </c>
      <c r="B625" s="46" t="n"/>
      <c r="C625" s="47" t="n"/>
      <c r="D625" s="27">
        <f>IF($C625="","",IF(COUNTIFS(ENVIOS!$A$4:$A$3003,$C625)=0,"NO EXISTE",IF(COUNTIFS(ENVIOS!$A$4:$A$3003,$C625)&gt;1,"DUPLICADA","OK")))</f>
        <v/>
      </c>
      <c r="E625" s="22">
        <f>IF($C625="","",IFERROR(INDEX(ENVIOS!$C$4:$C$3003,MATCH($C625,ENVIOS!$A$4:$A$3003,0)),"—"))</f>
        <v/>
      </c>
      <c r="F625" s="22">
        <f>IF($C625="","",IFERROR(INDEX(ENVIOS!$D$4:$D$3003,MATCH($C625,ENVIOS!$A$4:$A$3003,0)),"—"))</f>
        <v/>
      </c>
      <c r="G625" s="22">
        <f>IF($C625="","",IFERROR(INDEX(ENVIOS!$E$4:$E$3003,MATCH($C625,ENVIOS!$A$4:$A$3003,0)),"—"))</f>
        <v/>
      </c>
      <c r="H625" s="22">
        <f>IF($C625="","",IFERROR(INDEX(ENVIOS!$F$4:$F$3003,MATCH($C625,ENVIOS!$A$4:$A$3003,0)),"—"))</f>
        <v/>
      </c>
      <c r="I625" s="27">
        <f>IF($C625="","",IFERROR(INDEX(ENVIOS!$G$4:$G$3003,MATCH($C625,ENVIOS!$A$4:$A$3003,0)),"—"))</f>
        <v/>
      </c>
      <c r="J625" s="48">
        <f>IF($C625="","",IFERROR(INDEX(ENVIOS!$B$4:$B$3003,MATCH($C625,ENVIOS!$A$4:$A$3003,0)),""))</f>
        <v/>
      </c>
      <c r="K625" s="49" t="n"/>
      <c r="L625" s="27">
        <f>IF($K625="","",IFERROR(INDEX(CONFIG!$B$4:$B$43,MATCH($K625,CONFIG!$A$4:$A$43,0)),"Media"))</f>
        <v/>
      </c>
      <c r="M625" s="27">
        <f>IF($K625="","",IFERROR(INDEX(CONFIG!$D$4:$D$43,MATCH($K625,CONFIG!$A$4:$A$43,0)),"NO"))</f>
        <v/>
      </c>
      <c r="N625" s="49" t="n"/>
      <c r="O625" s="27">
        <f>IF($N625="","",IFERROR(INDEX(CONFIG!$G$4:$G$43,MATCH($N625,CONFIG!$F$4:$F$43,0)),"Por definir"))</f>
        <v/>
      </c>
      <c r="P625" s="27">
        <f>IF($N625="","",IFERROR(INDEX(CONFIG!$H$4:$H$43,MATCH($N625,CONFIG!$F$4:$F$43,0)),"Por definir"))</f>
        <v/>
      </c>
      <c r="Q625" s="50" t="n"/>
      <c r="R625" s="51" t="n"/>
      <c r="S625" s="49" t="n"/>
      <c r="T625" s="49" t="n"/>
      <c r="U625" s="48">
        <f>IF(OR($B625="",$K625=""),"",WORKDAY($B625,IFERROR(INDEX(CONFIG!$C$4:$C$43,MATCH($K625,CONFIG!$A$4:$A$43,0)),3)))</f>
        <v/>
      </c>
      <c r="V625" s="46" t="n"/>
      <c r="W625" s="23">
        <f>IF($B625="","",IF($V625&lt;&gt;"",$V625-$B625,TODAY()-$B625))</f>
        <v/>
      </c>
      <c r="X625" s="27">
        <f>IF($C625="","",IF(IFERROR(INDEX(CONFIG!$K$4:$K$43,MATCH($S625,CONFIG!$J$4:$J$43,0)),"NO")="SÍ",IF(OR($V625="",$U625=""),"Resuelta",IF($V625&gt;$U625,"Resuelta tarde","Resuelta a tiempo")),IF($U625="","Sin clasificar",IF(TODAY()&gt;$U625,"Vencida",IF(TODAY()&gt;=$U625-1,"Por vencer","En plazo")))))</f>
        <v/>
      </c>
      <c r="Y625" s="49" t="n"/>
      <c r="Z625" s="49" t="n"/>
    </row>
    <row r="626" ht="16" customHeight="1">
      <c r="A626" s="27">
        <f>IF($C626="","","N-"&amp;TEXT(ROW()-3,"0000"))</f>
        <v/>
      </c>
      <c r="B626" s="46" t="n"/>
      <c r="C626" s="47" t="n"/>
      <c r="D626" s="27">
        <f>IF($C626="","",IF(COUNTIFS(ENVIOS!$A$4:$A$3003,$C626)=0,"NO EXISTE",IF(COUNTIFS(ENVIOS!$A$4:$A$3003,$C626)&gt;1,"DUPLICADA","OK")))</f>
        <v/>
      </c>
      <c r="E626" s="22">
        <f>IF($C626="","",IFERROR(INDEX(ENVIOS!$C$4:$C$3003,MATCH($C626,ENVIOS!$A$4:$A$3003,0)),"—"))</f>
        <v/>
      </c>
      <c r="F626" s="22">
        <f>IF($C626="","",IFERROR(INDEX(ENVIOS!$D$4:$D$3003,MATCH($C626,ENVIOS!$A$4:$A$3003,0)),"—"))</f>
        <v/>
      </c>
      <c r="G626" s="22">
        <f>IF($C626="","",IFERROR(INDEX(ENVIOS!$E$4:$E$3003,MATCH($C626,ENVIOS!$A$4:$A$3003,0)),"—"))</f>
        <v/>
      </c>
      <c r="H626" s="22">
        <f>IF($C626="","",IFERROR(INDEX(ENVIOS!$F$4:$F$3003,MATCH($C626,ENVIOS!$A$4:$A$3003,0)),"—"))</f>
        <v/>
      </c>
      <c r="I626" s="27">
        <f>IF($C626="","",IFERROR(INDEX(ENVIOS!$G$4:$G$3003,MATCH($C626,ENVIOS!$A$4:$A$3003,0)),"—"))</f>
        <v/>
      </c>
      <c r="J626" s="48">
        <f>IF($C626="","",IFERROR(INDEX(ENVIOS!$B$4:$B$3003,MATCH($C626,ENVIOS!$A$4:$A$3003,0)),""))</f>
        <v/>
      </c>
      <c r="K626" s="49" t="n"/>
      <c r="L626" s="27">
        <f>IF($K626="","",IFERROR(INDEX(CONFIG!$B$4:$B$43,MATCH($K626,CONFIG!$A$4:$A$43,0)),"Media"))</f>
        <v/>
      </c>
      <c r="M626" s="27">
        <f>IF($K626="","",IFERROR(INDEX(CONFIG!$D$4:$D$43,MATCH($K626,CONFIG!$A$4:$A$43,0)),"NO"))</f>
        <v/>
      </c>
      <c r="N626" s="49" t="n"/>
      <c r="O626" s="27">
        <f>IF($N626="","",IFERROR(INDEX(CONFIG!$G$4:$G$43,MATCH($N626,CONFIG!$F$4:$F$43,0)),"Por definir"))</f>
        <v/>
      </c>
      <c r="P626" s="27">
        <f>IF($N626="","",IFERROR(INDEX(CONFIG!$H$4:$H$43,MATCH($N626,CONFIG!$F$4:$F$43,0)),"Por definir"))</f>
        <v/>
      </c>
      <c r="Q626" s="50" t="n"/>
      <c r="R626" s="51" t="n"/>
      <c r="S626" s="49" t="n"/>
      <c r="T626" s="49" t="n"/>
      <c r="U626" s="48">
        <f>IF(OR($B626="",$K626=""),"",WORKDAY($B626,IFERROR(INDEX(CONFIG!$C$4:$C$43,MATCH($K626,CONFIG!$A$4:$A$43,0)),3)))</f>
        <v/>
      </c>
      <c r="V626" s="46" t="n"/>
      <c r="W626" s="23">
        <f>IF($B626="","",IF($V626&lt;&gt;"",$V626-$B626,TODAY()-$B626))</f>
        <v/>
      </c>
      <c r="X626" s="27">
        <f>IF($C626="","",IF(IFERROR(INDEX(CONFIG!$K$4:$K$43,MATCH($S626,CONFIG!$J$4:$J$43,0)),"NO")="SÍ",IF(OR($V626="",$U626=""),"Resuelta",IF($V626&gt;$U626,"Resuelta tarde","Resuelta a tiempo")),IF($U626="","Sin clasificar",IF(TODAY()&gt;$U626,"Vencida",IF(TODAY()&gt;=$U626-1,"Por vencer","En plazo")))))</f>
        <v/>
      </c>
      <c r="Y626" s="49" t="n"/>
      <c r="Z626" s="49" t="n"/>
    </row>
    <row r="627" ht="16" customHeight="1">
      <c r="A627" s="27">
        <f>IF($C627="","","N-"&amp;TEXT(ROW()-3,"0000"))</f>
        <v/>
      </c>
      <c r="B627" s="46" t="n"/>
      <c r="C627" s="47" t="n"/>
      <c r="D627" s="27">
        <f>IF($C627="","",IF(COUNTIFS(ENVIOS!$A$4:$A$3003,$C627)=0,"NO EXISTE",IF(COUNTIFS(ENVIOS!$A$4:$A$3003,$C627)&gt;1,"DUPLICADA","OK")))</f>
        <v/>
      </c>
      <c r="E627" s="22">
        <f>IF($C627="","",IFERROR(INDEX(ENVIOS!$C$4:$C$3003,MATCH($C627,ENVIOS!$A$4:$A$3003,0)),"—"))</f>
        <v/>
      </c>
      <c r="F627" s="22">
        <f>IF($C627="","",IFERROR(INDEX(ENVIOS!$D$4:$D$3003,MATCH($C627,ENVIOS!$A$4:$A$3003,0)),"—"))</f>
        <v/>
      </c>
      <c r="G627" s="22">
        <f>IF($C627="","",IFERROR(INDEX(ENVIOS!$E$4:$E$3003,MATCH($C627,ENVIOS!$A$4:$A$3003,0)),"—"))</f>
        <v/>
      </c>
      <c r="H627" s="22">
        <f>IF($C627="","",IFERROR(INDEX(ENVIOS!$F$4:$F$3003,MATCH($C627,ENVIOS!$A$4:$A$3003,0)),"—"))</f>
        <v/>
      </c>
      <c r="I627" s="27">
        <f>IF($C627="","",IFERROR(INDEX(ENVIOS!$G$4:$G$3003,MATCH($C627,ENVIOS!$A$4:$A$3003,0)),"—"))</f>
        <v/>
      </c>
      <c r="J627" s="48">
        <f>IF($C627="","",IFERROR(INDEX(ENVIOS!$B$4:$B$3003,MATCH($C627,ENVIOS!$A$4:$A$3003,0)),""))</f>
        <v/>
      </c>
      <c r="K627" s="49" t="n"/>
      <c r="L627" s="27">
        <f>IF($K627="","",IFERROR(INDEX(CONFIG!$B$4:$B$43,MATCH($K627,CONFIG!$A$4:$A$43,0)),"Media"))</f>
        <v/>
      </c>
      <c r="M627" s="27">
        <f>IF($K627="","",IFERROR(INDEX(CONFIG!$D$4:$D$43,MATCH($K627,CONFIG!$A$4:$A$43,0)),"NO"))</f>
        <v/>
      </c>
      <c r="N627" s="49" t="n"/>
      <c r="O627" s="27">
        <f>IF($N627="","",IFERROR(INDEX(CONFIG!$G$4:$G$43,MATCH($N627,CONFIG!$F$4:$F$43,0)),"Por definir"))</f>
        <v/>
      </c>
      <c r="P627" s="27">
        <f>IF($N627="","",IFERROR(INDEX(CONFIG!$H$4:$H$43,MATCH($N627,CONFIG!$F$4:$F$43,0)),"Por definir"))</f>
        <v/>
      </c>
      <c r="Q627" s="50" t="n"/>
      <c r="R627" s="51" t="n"/>
      <c r="S627" s="49" t="n"/>
      <c r="T627" s="49" t="n"/>
      <c r="U627" s="48">
        <f>IF(OR($B627="",$K627=""),"",WORKDAY($B627,IFERROR(INDEX(CONFIG!$C$4:$C$43,MATCH($K627,CONFIG!$A$4:$A$43,0)),3)))</f>
        <v/>
      </c>
      <c r="V627" s="46" t="n"/>
      <c r="W627" s="23">
        <f>IF($B627="","",IF($V627&lt;&gt;"",$V627-$B627,TODAY()-$B627))</f>
        <v/>
      </c>
      <c r="X627" s="27">
        <f>IF($C627="","",IF(IFERROR(INDEX(CONFIG!$K$4:$K$43,MATCH($S627,CONFIG!$J$4:$J$43,0)),"NO")="SÍ",IF(OR($V627="",$U627=""),"Resuelta",IF($V627&gt;$U627,"Resuelta tarde","Resuelta a tiempo")),IF($U627="","Sin clasificar",IF(TODAY()&gt;$U627,"Vencida",IF(TODAY()&gt;=$U627-1,"Por vencer","En plazo")))))</f>
        <v/>
      </c>
      <c r="Y627" s="49" t="n"/>
      <c r="Z627" s="49" t="n"/>
    </row>
    <row r="628" ht="16" customHeight="1">
      <c r="A628" s="27">
        <f>IF($C628="","","N-"&amp;TEXT(ROW()-3,"0000"))</f>
        <v/>
      </c>
      <c r="B628" s="46" t="n"/>
      <c r="C628" s="47" t="n"/>
      <c r="D628" s="27">
        <f>IF($C628="","",IF(COUNTIFS(ENVIOS!$A$4:$A$3003,$C628)=0,"NO EXISTE",IF(COUNTIFS(ENVIOS!$A$4:$A$3003,$C628)&gt;1,"DUPLICADA","OK")))</f>
        <v/>
      </c>
      <c r="E628" s="22">
        <f>IF($C628="","",IFERROR(INDEX(ENVIOS!$C$4:$C$3003,MATCH($C628,ENVIOS!$A$4:$A$3003,0)),"—"))</f>
        <v/>
      </c>
      <c r="F628" s="22">
        <f>IF($C628="","",IFERROR(INDEX(ENVIOS!$D$4:$D$3003,MATCH($C628,ENVIOS!$A$4:$A$3003,0)),"—"))</f>
        <v/>
      </c>
      <c r="G628" s="22">
        <f>IF($C628="","",IFERROR(INDEX(ENVIOS!$E$4:$E$3003,MATCH($C628,ENVIOS!$A$4:$A$3003,0)),"—"))</f>
        <v/>
      </c>
      <c r="H628" s="22">
        <f>IF($C628="","",IFERROR(INDEX(ENVIOS!$F$4:$F$3003,MATCH($C628,ENVIOS!$A$4:$A$3003,0)),"—"))</f>
        <v/>
      </c>
      <c r="I628" s="27">
        <f>IF($C628="","",IFERROR(INDEX(ENVIOS!$G$4:$G$3003,MATCH($C628,ENVIOS!$A$4:$A$3003,0)),"—"))</f>
        <v/>
      </c>
      <c r="J628" s="48">
        <f>IF($C628="","",IFERROR(INDEX(ENVIOS!$B$4:$B$3003,MATCH($C628,ENVIOS!$A$4:$A$3003,0)),""))</f>
        <v/>
      </c>
      <c r="K628" s="49" t="n"/>
      <c r="L628" s="27">
        <f>IF($K628="","",IFERROR(INDEX(CONFIG!$B$4:$B$43,MATCH($K628,CONFIG!$A$4:$A$43,0)),"Media"))</f>
        <v/>
      </c>
      <c r="M628" s="27">
        <f>IF($K628="","",IFERROR(INDEX(CONFIG!$D$4:$D$43,MATCH($K628,CONFIG!$A$4:$A$43,0)),"NO"))</f>
        <v/>
      </c>
      <c r="N628" s="49" t="n"/>
      <c r="O628" s="27">
        <f>IF($N628="","",IFERROR(INDEX(CONFIG!$G$4:$G$43,MATCH($N628,CONFIG!$F$4:$F$43,0)),"Por definir"))</f>
        <v/>
      </c>
      <c r="P628" s="27">
        <f>IF($N628="","",IFERROR(INDEX(CONFIG!$H$4:$H$43,MATCH($N628,CONFIG!$F$4:$F$43,0)),"Por definir"))</f>
        <v/>
      </c>
      <c r="Q628" s="50" t="n"/>
      <c r="R628" s="51" t="n"/>
      <c r="S628" s="49" t="n"/>
      <c r="T628" s="49" t="n"/>
      <c r="U628" s="48">
        <f>IF(OR($B628="",$K628=""),"",WORKDAY($B628,IFERROR(INDEX(CONFIG!$C$4:$C$43,MATCH($K628,CONFIG!$A$4:$A$43,0)),3)))</f>
        <v/>
      </c>
      <c r="V628" s="46" t="n"/>
      <c r="W628" s="23">
        <f>IF($B628="","",IF($V628&lt;&gt;"",$V628-$B628,TODAY()-$B628))</f>
        <v/>
      </c>
      <c r="X628" s="27">
        <f>IF($C628="","",IF(IFERROR(INDEX(CONFIG!$K$4:$K$43,MATCH($S628,CONFIG!$J$4:$J$43,0)),"NO")="SÍ",IF(OR($V628="",$U628=""),"Resuelta",IF($V628&gt;$U628,"Resuelta tarde","Resuelta a tiempo")),IF($U628="","Sin clasificar",IF(TODAY()&gt;$U628,"Vencida",IF(TODAY()&gt;=$U628-1,"Por vencer","En plazo")))))</f>
        <v/>
      </c>
      <c r="Y628" s="49" t="n"/>
      <c r="Z628" s="49" t="n"/>
    </row>
    <row r="629" ht="16" customHeight="1">
      <c r="A629" s="27">
        <f>IF($C629="","","N-"&amp;TEXT(ROW()-3,"0000"))</f>
        <v/>
      </c>
      <c r="B629" s="46" t="n"/>
      <c r="C629" s="47" t="n"/>
      <c r="D629" s="27">
        <f>IF($C629="","",IF(COUNTIFS(ENVIOS!$A$4:$A$3003,$C629)=0,"NO EXISTE",IF(COUNTIFS(ENVIOS!$A$4:$A$3003,$C629)&gt;1,"DUPLICADA","OK")))</f>
        <v/>
      </c>
      <c r="E629" s="22">
        <f>IF($C629="","",IFERROR(INDEX(ENVIOS!$C$4:$C$3003,MATCH($C629,ENVIOS!$A$4:$A$3003,0)),"—"))</f>
        <v/>
      </c>
      <c r="F629" s="22">
        <f>IF($C629="","",IFERROR(INDEX(ENVIOS!$D$4:$D$3003,MATCH($C629,ENVIOS!$A$4:$A$3003,0)),"—"))</f>
        <v/>
      </c>
      <c r="G629" s="22">
        <f>IF($C629="","",IFERROR(INDEX(ENVIOS!$E$4:$E$3003,MATCH($C629,ENVIOS!$A$4:$A$3003,0)),"—"))</f>
        <v/>
      </c>
      <c r="H629" s="22">
        <f>IF($C629="","",IFERROR(INDEX(ENVIOS!$F$4:$F$3003,MATCH($C629,ENVIOS!$A$4:$A$3003,0)),"—"))</f>
        <v/>
      </c>
      <c r="I629" s="27">
        <f>IF($C629="","",IFERROR(INDEX(ENVIOS!$G$4:$G$3003,MATCH($C629,ENVIOS!$A$4:$A$3003,0)),"—"))</f>
        <v/>
      </c>
      <c r="J629" s="48">
        <f>IF($C629="","",IFERROR(INDEX(ENVIOS!$B$4:$B$3003,MATCH($C629,ENVIOS!$A$4:$A$3003,0)),""))</f>
        <v/>
      </c>
      <c r="K629" s="49" t="n"/>
      <c r="L629" s="27">
        <f>IF($K629="","",IFERROR(INDEX(CONFIG!$B$4:$B$43,MATCH($K629,CONFIG!$A$4:$A$43,0)),"Media"))</f>
        <v/>
      </c>
      <c r="M629" s="27">
        <f>IF($K629="","",IFERROR(INDEX(CONFIG!$D$4:$D$43,MATCH($K629,CONFIG!$A$4:$A$43,0)),"NO"))</f>
        <v/>
      </c>
      <c r="N629" s="49" t="n"/>
      <c r="O629" s="27">
        <f>IF($N629="","",IFERROR(INDEX(CONFIG!$G$4:$G$43,MATCH($N629,CONFIG!$F$4:$F$43,0)),"Por definir"))</f>
        <v/>
      </c>
      <c r="P629" s="27">
        <f>IF($N629="","",IFERROR(INDEX(CONFIG!$H$4:$H$43,MATCH($N629,CONFIG!$F$4:$F$43,0)),"Por definir"))</f>
        <v/>
      </c>
      <c r="Q629" s="50" t="n"/>
      <c r="R629" s="51" t="n"/>
      <c r="S629" s="49" t="n"/>
      <c r="T629" s="49" t="n"/>
      <c r="U629" s="48">
        <f>IF(OR($B629="",$K629=""),"",WORKDAY($B629,IFERROR(INDEX(CONFIG!$C$4:$C$43,MATCH($K629,CONFIG!$A$4:$A$43,0)),3)))</f>
        <v/>
      </c>
      <c r="V629" s="46" t="n"/>
      <c r="W629" s="23">
        <f>IF($B629="","",IF($V629&lt;&gt;"",$V629-$B629,TODAY()-$B629))</f>
        <v/>
      </c>
      <c r="X629" s="27">
        <f>IF($C629="","",IF(IFERROR(INDEX(CONFIG!$K$4:$K$43,MATCH($S629,CONFIG!$J$4:$J$43,0)),"NO")="SÍ",IF(OR($V629="",$U629=""),"Resuelta",IF($V629&gt;$U629,"Resuelta tarde","Resuelta a tiempo")),IF($U629="","Sin clasificar",IF(TODAY()&gt;$U629,"Vencida",IF(TODAY()&gt;=$U629-1,"Por vencer","En plazo")))))</f>
        <v/>
      </c>
      <c r="Y629" s="49" t="n"/>
      <c r="Z629" s="49" t="n"/>
    </row>
    <row r="630" ht="16" customHeight="1">
      <c r="A630" s="27">
        <f>IF($C630="","","N-"&amp;TEXT(ROW()-3,"0000"))</f>
        <v/>
      </c>
      <c r="B630" s="46" t="n"/>
      <c r="C630" s="47" t="n"/>
      <c r="D630" s="27">
        <f>IF($C630="","",IF(COUNTIFS(ENVIOS!$A$4:$A$3003,$C630)=0,"NO EXISTE",IF(COUNTIFS(ENVIOS!$A$4:$A$3003,$C630)&gt;1,"DUPLICADA","OK")))</f>
        <v/>
      </c>
      <c r="E630" s="22">
        <f>IF($C630="","",IFERROR(INDEX(ENVIOS!$C$4:$C$3003,MATCH($C630,ENVIOS!$A$4:$A$3003,0)),"—"))</f>
        <v/>
      </c>
      <c r="F630" s="22">
        <f>IF($C630="","",IFERROR(INDEX(ENVIOS!$D$4:$D$3003,MATCH($C630,ENVIOS!$A$4:$A$3003,0)),"—"))</f>
        <v/>
      </c>
      <c r="G630" s="22">
        <f>IF($C630="","",IFERROR(INDEX(ENVIOS!$E$4:$E$3003,MATCH($C630,ENVIOS!$A$4:$A$3003,0)),"—"))</f>
        <v/>
      </c>
      <c r="H630" s="22">
        <f>IF($C630="","",IFERROR(INDEX(ENVIOS!$F$4:$F$3003,MATCH($C630,ENVIOS!$A$4:$A$3003,0)),"—"))</f>
        <v/>
      </c>
      <c r="I630" s="27">
        <f>IF($C630="","",IFERROR(INDEX(ENVIOS!$G$4:$G$3003,MATCH($C630,ENVIOS!$A$4:$A$3003,0)),"—"))</f>
        <v/>
      </c>
      <c r="J630" s="48">
        <f>IF($C630="","",IFERROR(INDEX(ENVIOS!$B$4:$B$3003,MATCH($C630,ENVIOS!$A$4:$A$3003,0)),""))</f>
        <v/>
      </c>
      <c r="K630" s="49" t="n"/>
      <c r="L630" s="27">
        <f>IF($K630="","",IFERROR(INDEX(CONFIG!$B$4:$B$43,MATCH($K630,CONFIG!$A$4:$A$43,0)),"Media"))</f>
        <v/>
      </c>
      <c r="M630" s="27">
        <f>IF($K630="","",IFERROR(INDEX(CONFIG!$D$4:$D$43,MATCH($K630,CONFIG!$A$4:$A$43,0)),"NO"))</f>
        <v/>
      </c>
      <c r="N630" s="49" t="n"/>
      <c r="O630" s="27">
        <f>IF($N630="","",IFERROR(INDEX(CONFIG!$G$4:$G$43,MATCH($N630,CONFIG!$F$4:$F$43,0)),"Por definir"))</f>
        <v/>
      </c>
      <c r="P630" s="27">
        <f>IF($N630="","",IFERROR(INDEX(CONFIG!$H$4:$H$43,MATCH($N630,CONFIG!$F$4:$F$43,0)),"Por definir"))</f>
        <v/>
      </c>
      <c r="Q630" s="50" t="n"/>
      <c r="R630" s="51" t="n"/>
      <c r="S630" s="49" t="n"/>
      <c r="T630" s="49" t="n"/>
      <c r="U630" s="48">
        <f>IF(OR($B630="",$K630=""),"",WORKDAY($B630,IFERROR(INDEX(CONFIG!$C$4:$C$43,MATCH($K630,CONFIG!$A$4:$A$43,0)),3)))</f>
        <v/>
      </c>
      <c r="V630" s="46" t="n"/>
      <c r="W630" s="23">
        <f>IF($B630="","",IF($V630&lt;&gt;"",$V630-$B630,TODAY()-$B630))</f>
        <v/>
      </c>
      <c r="X630" s="27">
        <f>IF($C630="","",IF(IFERROR(INDEX(CONFIG!$K$4:$K$43,MATCH($S630,CONFIG!$J$4:$J$43,0)),"NO")="SÍ",IF(OR($V630="",$U630=""),"Resuelta",IF($V630&gt;$U630,"Resuelta tarde","Resuelta a tiempo")),IF($U630="","Sin clasificar",IF(TODAY()&gt;$U630,"Vencida",IF(TODAY()&gt;=$U630-1,"Por vencer","En plazo")))))</f>
        <v/>
      </c>
      <c r="Y630" s="49" t="n"/>
      <c r="Z630" s="49" t="n"/>
    </row>
    <row r="631" ht="16" customHeight="1">
      <c r="A631" s="27">
        <f>IF($C631="","","N-"&amp;TEXT(ROW()-3,"0000"))</f>
        <v/>
      </c>
      <c r="B631" s="46" t="n"/>
      <c r="C631" s="47" t="n"/>
      <c r="D631" s="27">
        <f>IF($C631="","",IF(COUNTIFS(ENVIOS!$A$4:$A$3003,$C631)=0,"NO EXISTE",IF(COUNTIFS(ENVIOS!$A$4:$A$3003,$C631)&gt;1,"DUPLICADA","OK")))</f>
        <v/>
      </c>
      <c r="E631" s="22">
        <f>IF($C631="","",IFERROR(INDEX(ENVIOS!$C$4:$C$3003,MATCH($C631,ENVIOS!$A$4:$A$3003,0)),"—"))</f>
        <v/>
      </c>
      <c r="F631" s="22">
        <f>IF($C631="","",IFERROR(INDEX(ENVIOS!$D$4:$D$3003,MATCH($C631,ENVIOS!$A$4:$A$3003,0)),"—"))</f>
        <v/>
      </c>
      <c r="G631" s="22">
        <f>IF($C631="","",IFERROR(INDEX(ENVIOS!$E$4:$E$3003,MATCH($C631,ENVIOS!$A$4:$A$3003,0)),"—"))</f>
        <v/>
      </c>
      <c r="H631" s="22">
        <f>IF($C631="","",IFERROR(INDEX(ENVIOS!$F$4:$F$3003,MATCH($C631,ENVIOS!$A$4:$A$3003,0)),"—"))</f>
        <v/>
      </c>
      <c r="I631" s="27">
        <f>IF($C631="","",IFERROR(INDEX(ENVIOS!$G$4:$G$3003,MATCH($C631,ENVIOS!$A$4:$A$3003,0)),"—"))</f>
        <v/>
      </c>
      <c r="J631" s="48">
        <f>IF($C631="","",IFERROR(INDEX(ENVIOS!$B$4:$B$3003,MATCH($C631,ENVIOS!$A$4:$A$3003,0)),""))</f>
        <v/>
      </c>
      <c r="K631" s="49" t="n"/>
      <c r="L631" s="27">
        <f>IF($K631="","",IFERROR(INDEX(CONFIG!$B$4:$B$43,MATCH($K631,CONFIG!$A$4:$A$43,0)),"Media"))</f>
        <v/>
      </c>
      <c r="M631" s="27">
        <f>IF($K631="","",IFERROR(INDEX(CONFIG!$D$4:$D$43,MATCH($K631,CONFIG!$A$4:$A$43,0)),"NO"))</f>
        <v/>
      </c>
      <c r="N631" s="49" t="n"/>
      <c r="O631" s="27">
        <f>IF($N631="","",IFERROR(INDEX(CONFIG!$G$4:$G$43,MATCH($N631,CONFIG!$F$4:$F$43,0)),"Por definir"))</f>
        <v/>
      </c>
      <c r="P631" s="27">
        <f>IF($N631="","",IFERROR(INDEX(CONFIG!$H$4:$H$43,MATCH($N631,CONFIG!$F$4:$F$43,0)),"Por definir"))</f>
        <v/>
      </c>
      <c r="Q631" s="50" t="n"/>
      <c r="R631" s="51" t="n"/>
      <c r="S631" s="49" t="n"/>
      <c r="T631" s="49" t="n"/>
      <c r="U631" s="48">
        <f>IF(OR($B631="",$K631=""),"",WORKDAY($B631,IFERROR(INDEX(CONFIG!$C$4:$C$43,MATCH($K631,CONFIG!$A$4:$A$43,0)),3)))</f>
        <v/>
      </c>
      <c r="V631" s="46" t="n"/>
      <c r="W631" s="23">
        <f>IF($B631="","",IF($V631&lt;&gt;"",$V631-$B631,TODAY()-$B631))</f>
        <v/>
      </c>
      <c r="X631" s="27">
        <f>IF($C631="","",IF(IFERROR(INDEX(CONFIG!$K$4:$K$43,MATCH($S631,CONFIG!$J$4:$J$43,0)),"NO")="SÍ",IF(OR($V631="",$U631=""),"Resuelta",IF($V631&gt;$U631,"Resuelta tarde","Resuelta a tiempo")),IF($U631="","Sin clasificar",IF(TODAY()&gt;$U631,"Vencida",IF(TODAY()&gt;=$U631-1,"Por vencer","En plazo")))))</f>
        <v/>
      </c>
      <c r="Y631" s="49" t="n"/>
      <c r="Z631" s="49" t="n"/>
    </row>
    <row r="632" ht="16" customHeight="1">
      <c r="A632" s="27">
        <f>IF($C632="","","N-"&amp;TEXT(ROW()-3,"0000"))</f>
        <v/>
      </c>
      <c r="B632" s="46" t="n"/>
      <c r="C632" s="47" t="n"/>
      <c r="D632" s="27">
        <f>IF($C632="","",IF(COUNTIFS(ENVIOS!$A$4:$A$3003,$C632)=0,"NO EXISTE",IF(COUNTIFS(ENVIOS!$A$4:$A$3003,$C632)&gt;1,"DUPLICADA","OK")))</f>
        <v/>
      </c>
      <c r="E632" s="22">
        <f>IF($C632="","",IFERROR(INDEX(ENVIOS!$C$4:$C$3003,MATCH($C632,ENVIOS!$A$4:$A$3003,0)),"—"))</f>
        <v/>
      </c>
      <c r="F632" s="22">
        <f>IF($C632="","",IFERROR(INDEX(ENVIOS!$D$4:$D$3003,MATCH($C632,ENVIOS!$A$4:$A$3003,0)),"—"))</f>
        <v/>
      </c>
      <c r="G632" s="22">
        <f>IF($C632="","",IFERROR(INDEX(ENVIOS!$E$4:$E$3003,MATCH($C632,ENVIOS!$A$4:$A$3003,0)),"—"))</f>
        <v/>
      </c>
      <c r="H632" s="22">
        <f>IF($C632="","",IFERROR(INDEX(ENVIOS!$F$4:$F$3003,MATCH($C632,ENVIOS!$A$4:$A$3003,0)),"—"))</f>
        <v/>
      </c>
      <c r="I632" s="27">
        <f>IF($C632="","",IFERROR(INDEX(ENVIOS!$G$4:$G$3003,MATCH($C632,ENVIOS!$A$4:$A$3003,0)),"—"))</f>
        <v/>
      </c>
      <c r="J632" s="48">
        <f>IF($C632="","",IFERROR(INDEX(ENVIOS!$B$4:$B$3003,MATCH($C632,ENVIOS!$A$4:$A$3003,0)),""))</f>
        <v/>
      </c>
      <c r="K632" s="49" t="n"/>
      <c r="L632" s="27">
        <f>IF($K632="","",IFERROR(INDEX(CONFIG!$B$4:$B$43,MATCH($K632,CONFIG!$A$4:$A$43,0)),"Media"))</f>
        <v/>
      </c>
      <c r="M632" s="27">
        <f>IF($K632="","",IFERROR(INDEX(CONFIG!$D$4:$D$43,MATCH($K632,CONFIG!$A$4:$A$43,0)),"NO"))</f>
        <v/>
      </c>
      <c r="N632" s="49" t="n"/>
      <c r="O632" s="27">
        <f>IF($N632="","",IFERROR(INDEX(CONFIG!$G$4:$G$43,MATCH($N632,CONFIG!$F$4:$F$43,0)),"Por definir"))</f>
        <v/>
      </c>
      <c r="P632" s="27">
        <f>IF($N632="","",IFERROR(INDEX(CONFIG!$H$4:$H$43,MATCH($N632,CONFIG!$F$4:$F$43,0)),"Por definir"))</f>
        <v/>
      </c>
      <c r="Q632" s="50" t="n"/>
      <c r="R632" s="51" t="n"/>
      <c r="S632" s="49" t="n"/>
      <c r="T632" s="49" t="n"/>
      <c r="U632" s="48">
        <f>IF(OR($B632="",$K632=""),"",WORKDAY($B632,IFERROR(INDEX(CONFIG!$C$4:$C$43,MATCH($K632,CONFIG!$A$4:$A$43,0)),3)))</f>
        <v/>
      </c>
      <c r="V632" s="46" t="n"/>
      <c r="W632" s="23">
        <f>IF($B632="","",IF($V632&lt;&gt;"",$V632-$B632,TODAY()-$B632))</f>
        <v/>
      </c>
      <c r="X632" s="27">
        <f>IF($C632="","",IF(IFERROR(INDEX(CONFIG!$K$4:$K$43,MATCH($S632,CONFIG!$J$4:$J$43,0)),"NO")="SÍ",IF(OR($V632="",$U632=""),"Resuelta",IF($V632&gt;$U632,"Resuelta tarde","Resuelta a tiempo")),IF($U632="","Sin clasificar",IF(TODAY()&gt;$U632,"Vencida",IF(TODAY()&gt;=$U632-1,"Por vencer","En plazo")))))</f>
        <v/>
      </c>
      <c r="Y632" s="49" t="n"/>
      <c r="Z632" s="49" t="n"/>
    </row>
    <row r="633" ht="16" customHeight="1">
      <c r="A633" s="27">
        <f>IF($C633="","","N-"&amp;TEXT(ROW()-3,"0000"))</f>
        <v/>
      </c>
      <c r="B633" s="46" t="n"/>
      <c r="C633" s="47" t="n"/>
      <c r="D633" s="27">
        <f>IF($C633="","",IF(COUNTIFS(ENVIOS!$A$4:$A$3003,$C633)=0,"NO EXISTE",IF(COUNTIFS(ENVIOS!$A$4:$A$3003,$C633)&gt;1,"DUPLICADA","OK")))</f>
        <v/>
      </c>
      <c r="E633" s="22">
        <f>IF($C633="","",IFERROR(INDEX(ENVIOS!$C$4:$C$3003,MATCH($C633,ENVIOS!$A$4:$A$3003,0)),"—"))</f>
        <v/>
      </c>
      <c r="F633" s="22">
        <f>IF($C633="","",IFERROR(INDEX(ENVIOS!$D$4:$D$3003,MATCH($C633,ENVIOS!$A$4:$A$3003,0)),"—"))</f>
        <v/>
      </c>
      <c r="G633" s="22">
        <f>IF($C633="","",IFERROR(INDEX(ENVIOS!$E$4:$E$3003,MATCH($C633,ENVIOS!$A$4:$A$3003,0)),"—"))</f>
        <v/>
      </c>
      <c r="H633" s="22">
        <f>IF($C633="","",IFERROR(INDEX(ENVIOS!$F$4:$F$3003,MATCH($C633,ENVIOS!$A$4:$A$3003,0)),"—"))</f>
        <v/>
      </c>
      <c r="I633" s="27">
        <f>IF($C633="","",IFERROR(INDEX(ENVIOS!$G$4:$G$3003,MATCH($C633,ENVIOS!$A$4:$A$3003,0)),"—"))</f>
        <v/>
      </c>
      <c r="J633" s="48">
        <f>IF($C633="","",IFERROR(INDEX(ENVIOS!$B$4:$B$3003,MATCH($C633,ENVIOS!$A$4:$A$3003,0)),""))</f>
        <v/>
      </c>
      <c r="K633" s="49" t="n"/>
      <c r="L633" s="27">
        <f>IF($K633="","",IFERROR(INDEX(CONFIG!$B$4:$B$43,MATCH($K633,CONFIG!$A$4:$A$43,0)),"Media"))</f>
        <v/>
      </c>
      <c r="M633" s="27">
        <f>IF($K633="","",IFERROR(INDEX(CONFIG!$D$4:$D$43,MATCH($K633,CONFIG!$A$4:$A$43,0)),"NO"))</f>
        <v/>
      </c>
      <c r="N633" s="49" t="n"/>
      <c r="O633" s="27">
        <f>IF($N633="","",IFERROR(INDEX(CONFIG!$G$4:$G$43,MATCH($N633,CONFIG!$F$4:$F$43,0)),"Por definir"))</f>
        <v/>
      </c>
      <c r="P633" s="27">
        <f>IF($N633="","",IFERROR(INDEX(CONFIG!$H$4:$H$43,MATCH($N633,CONFIG!$F$4:$F$43,0)),"Por definir"))</f>
        <v/>
      </c>
      <c r="Q633" s="50" t="n"/>
      <c r="R633" s="51" t="n"/>
      <c r="S633" s="49" t="n"/>
      <c r="T633" s="49" t="n"/>
      <c r="U633" s="48">
        <f>IF(OR($B633="",$K633=""),"",WORKDAY($B633,IFERROR(INDEX(CONFIG!$C$4:$C$43,MATCH($K633,CONFIG!$A$4:$A$43,0)),3)))</f>
        <v/>
      </c>
      <c r="V633" s="46" t="n"/>
      <c r="W633" s="23">
        <f>IF($B633="","",IF($V633&lt;&gt;"",$V633-$B633,TODAY()-$B633))</f>
        <v/>
      </c>
      <c r="X633" s="27">
        <f>IF($C633="","",IF(IFERROR(INDEX(CONFIG!$K$4:$K$43,MATCH($S633,CONFIG!$J$4:$J$43,0)),"NO")="SÍ",IF(OR($V633="",$U633=""),"Resuelta",IF($V633&gt;$U633,"Resuelta tarde","Resuelta a tiempo")),IF($U633="","Sin clasificar",IF(TODAY()&gt;$U633,"Vencida",IF(TODAY()&gt;=$U633-1,"Por vencer","En plazo")))))</f>
        <v/>
      </c>
      <c r="Y633" s="49" t="n"/>
      <c r="Z633" s="49" t="n"/>
    </row>
    <row r="634" ht="16" customHeight="1">
      <c r="A634" s="27">
        <f>IF($C634="","","N-"&amp;TEXT(ROW()-3,"0000"))</f>
        <v/>
      </c>
      <c r="B634" s="46" t="n"/>
      <c r="C634" s="47" t="n"/>
      <c r="D634" s="27">
        <f>IF($C634="","",IF(COUNTIFS(ENVIOS!$A$4:$A$3003,$C634)=0,"NO EXISTE",IF(COUNTIFS(ENVIOS!$A$4:$A$3003,$C634)&gt;1,"DUPLICADA","OK")))</f>
        <v/>
      </c>
      <c r="E634" s="22">
        <f>IF($C634="","",IFERROR(INDEX(ENVIOS!$C$4:$C$3003,MATCH($C634,ENVIOS!$A$4:$A$3003,0)),"—"))</f>
        <v/>
      </c>
      <c r="F634" s="22">
        <f>IF($C634="","",IFERROR(INDEX(ENVIOS!$D$4:$D$3003,MATCH($C634,ENVIOS!$A$4:$A$3003,0)),"—"))</f>
        <v/>
      </c>
      <c r="G634" s="22">
        <f>IF($C634="","",IFERROR(INDEX(ENVIOS!$E$4:$E$3003,MATCH($C634,ENVIOS!$A$4:$A$3003,0)),"—"))</f>
        <v/>
      </c>
      <c r="H634" s="22">
        <f>IF($C634="","",IFERROR(INDEX(ENVIOS!$F$4:$F$3003,MATCH($C634,ENVIOS!$A$4:$A$3003,0)),"—"))</f>
        <v/>
      </c>
      <c r="I634" s="27">
        <f>IF($C634="","",IFERROR(INDEX(ENVIOS!$G$4:$G$3003,MATCH($C634,ENVIOS!$A$4:$A$3003,0)),"—"))</f>
        <v/>
      </c>
      <c r="J634" s="48">
        <f>IF($C634="","",IFERROR(INDEX(ENVIOS!$B$4:$B$3003,MATCH($C634,ENVIOS!$A$4:$A$3003,0)),""))</f>
        <v/>
      </c>
      <c r="K634" s="49" t="n"/>
      <c r="L634" s="27">
        <f>IF($K634="","",IFERROR(INDEX(CONFIG!$B$4:$B$43,MATCH($K634,CONFIG!$A$4:$A$43,0)),"Media"))</f>
        <v/>
      </c>
      <c r="M634" s="27">
        <f>IF($K634="","",IFERROR(INDEX(CONFIG!$D$4:$D$43,MATCH($K634,CONFIG!$A$4:$A$43,0)),"NO"))</f>
        <v/>
      </c>
      <c r="N634" s="49" t="n"/>
      <c r="O634" s="27">
        <f>IF($N634="","",IFERROR(INDEX(CONFIG!$G$4:$G$43,MATCH($N634,CONFIG!$F$4:$F$43,0)),"Por definir"))</f>
        <v/>
      </c>
      <c r="P634" s="27">
        <f>IF($N634="","",IFERROR(INDEX(CONFIG!$H$4:$H$43,MATCH($N634,CONFIG!$F$4:$F$43,0)),"Por definir"))</f>
        <v/>
      </c>
      <c r="Q634" s="50" t="n"/>
      <c r="R634" s="51" t="n"/>
      <c r="S634" s="49" t="n"/>
      <c r="T634" s="49" t="n"/>
      <c r="U634" s="48">
        <f>IF(OR($B634="",$K634=""),"",WORKDAY($B634,IFERROR(INDEX(CONFIG!$C$4:$C$43,MATCH($K634,CONFIG!$A$4:$A$43,0)),3)))</f>
        <v/>
      </c>
      <c r="V634" s="46" t="n"/>
      <c r="W634" s="23">
        <f>IF($B634="","",IF($V634&lt;&gt;"",$V634-$B634,TODAY()-$B634))</f>
        <v/>
      </c>
      <c r="X634" s="27">
        <f>IF($C634="","",IF(IFERROR(INDEX(CONFIG!$K$4:$K$43,MATCH($S634,CONFIG!$J$4:$J$43,0)),"NO")="SÍ",IF(OR($V634="",$U634=""),"Resuelta",IF($V634&gt;$U634,"Resuelta tarde","Resuelta a tiempo")),IF($U634="","Sin clasificar",IF(TODAY()&gt;$U634,"Vencida",IF(TODAY()&gt;=$U634-1,"Por vencer","En plazo")))))</f>
        <v/>
      </c>
      <c r="Y634" s="49" t="n"/>
      <c r="Z634" s="49" t="n"/>
    </row>
    <row r="635" ht="16" customHeight="1">
      <c r="A635" s="27">
        <f>IF($C635="","","N-"&amp;TEXT(ROW()-3,"0000"))</f>
        <v/>
      </c>
      <c r="B635" s="46" t="n"/>
      <c r="C635" s="47" t="n"/>
      <c r="D635" s="27">
        <f>IF($C635="","",IF(COUNTIFS(ENVIOS!$A$4:$A$3003,$C635)=0,"NO EXISTE",IF(COUNTIFS(ENVIOS!$A$4:$A$3003,$C635)&gt;1,"DUPLICADA","OK")))</f>
        <v/>
      </c>
      <c r="E635" s="22">
        <f>IF($C635="","",IFERROR(INDEX(ENVIOS!$C$4:$C$3003,MATCH($C635,ENVIOS!$A$4:$A$3003,0)),"—"))</f>
        <v/>
      </c>
      <c r="F635" s="22">
        <f>IF($C635="","",IFERROR(INDEX(ENVIOS!$D$4:$D$3003,MATCH($C635,ENVIOS!$A$4:$A$3003,0)),"—"))</f>
        <v/>
      </c>
      <c r="G635" s="22">
        <f>IF($C635="","",IFERROR(INDEX(ENVIOS!$E$4:$E$3003,MATCH($C635,ENVIOS!$A$4:$A$3003,0)),"—"))</f>
        <v/>
      </c>
      <c r="H635" s="22">
        <f>IF($C635="","",IFERROR(INDEX(ENVIOS!$F$4:$F$3003,MATCH($C635,ENVIOS!$A$4:$A$3003,0)),"—"))</f>
        <v/>
      </c>
      <c r="I635" s="27">
        <f>IF($C635="","",IFERROR(INDEX(ENVIOS!$G$4:$G$3003,MATCH($C635,ENVIOS!$A$4:$A$3003,0)),"—"))</f>
        <v/>
      </c>
      <c r="J635" s="48">
        <f>IF($C635="","",IFERROR(INDEX(ENVIOS!$B$4:$B$3003,MATCH($C635,ENVIOS!$A$4:$A$3003,0)),""))</f>
        <v/>
      </c>
      <c r="K635" s="49" t="n"/>
      <c r="L635" s="27">
        <f>IF($K635="","",IFERROR(INDEX(CONFIG!$B$4:$B$43,MATCH($K635,CONFIG!$A$4:$A$43,0)),"Media"))</f>
        <v/>
      </c>
      <c r="M635" s="27">
        <f>IF($K635="","",IFERROR(INDEX(CONFIG!$D$4:$D$43,MATCH($K635,CONFIG!$A$4:$A$43,0)),"NO"))</f>
        <v/>
      </c>
      <c r="N635" s="49" t="n"/>
      <c r="O635" s="27">
        <f>IF($N635="","",IFERROR(INDEX(CONFIG!$G$4:$G$43,MATCH($N635,CONFIG!$F$4:$F$43,0)),"Por definir"))</f>
        <v/>
      </c>
      <c r="P635" s="27">
        <f>IF($N635="","",IFERROR(INDEX(CONFIG!$H$4:$H$43,MATCH($N635,CONFIG!$F$4:$F$43,0)),"Por definir"))</f>
        <v/>
      </c>
      <c r="Q635" s="50" t="n"/>
      <c r="R635" s="51" t="n"/>
      <c r="S635" s="49" t="n"/>
      <c r="T635" s="49" t="n"/>
      <c r="U635" s="48">
        <f>IF(OR($B635="",$K635=""),"",WORKDAY($B635,IFERROR(INDEX(CONFIG!$C$4:$C$43,MATCH($K635,CONFIG!$A$4:$A$43,0)),3)))</f>
        <v/>
      </c>
      <c r="V635" s="46" t="n"/>
      <c r="W635" s="23">
        <f>IF($B635="","",IF($V635&lt;&gt;"",$V635-$B635,TODAY()-$B635))</f>
        <v/>
      </c>
      <c r="X635" s="27">
        <f>IF($C635="","",IF(IFERROR(INDEX(CONFIG!$K$4:$K$43,MATCH($S635,CONFIG!$J$4:$J$43,0)),"NO")="SÍ",IF(OR($V635="",$U635=""),"Resuelta",IF($V635&gt;$U635,"Resuelta tarde","Resuelta a tiempo")),IF($U635="","Sin clasificar",IF(TODAY()&gt;$U635,"Vencida",IF(TODAY()&gt;=$U635-1,"Por vencer","En plazo")))))</f>
        <v/>
      </c>
      <c r="Y635" s="49" t="n"/>
      <c r="Z635" s="49" t="n"/>
    </row>
    <row r="636" ht="16" customHeight="1">
      <c r="A636" s="27">
        <f>IF($C636="","","N-"&amp;TEXT(ROW()-3,"0000"))</f>
        <v/>
      </c>
      <c r="B636" s="46" t="n"/>
      <c r="C636" s="47" t="n"/>
      <c r="D636" s="27">
        <f>IF($C636="","",IF(COUNTIFS(ENVIOS!$A$4:$A$3003,$C636)=0,"NO EXISTE",IF(COUNTIFS(ENVIOS!$A$4:$A$3003,$C636)&gt;1,"DUPLICADA","OK")))</f>
        <v/>
      </c>
      <c r="E636" s="22">
        <f>IF($C636="","",IFERROR(INDEX(ENVIOS!$C$4:$C$3003,MATCH($C636,ENVIOS!$A$4:$A$3003,0)),"—"))</f>
        <v/>
      </c>
      <c r="F636" s="22">
        <f>IF($C636="","",IFERROR(INDEX(ENVIOS!$D$4:$D$3003,MATCH($C636,ENVIOS!$A$4:$A$3003,0)),"—"))</f>
        <v/>
      </c>
      <c r="G636" s="22">
        <f>IF($C636="","",IFERROR(INDEX(ENVIOS!$E$4:$E$3003,MATCH($C636,ENVIOS!$A$4:$A$3003,0)),"—"))</f>
        <v/>
      </c>
      <c r="H636" s="22">
        <f>IF($C636="","",IFERROR(INDEX(ENVIOS!$F$4:$F$3003,MATCH($C636,ENVIOS!$A$4:$A$3003,0)),"—"))</f>
        <v/>
      </c>
      <c r="I636" s="27">
        <f>IF($C636="","",IFERROR(INDEX(ENVIOS!$G$4:$G$3003,MATCH($C636,ENVIOS!$A$4:$A$3003,0)),"—"))</f>
        <v/>
      </c>
      <c r="J636" s="48">
        <f>IF($C636="","",IFERROR(INDEX(ENVIOS!$B$4:$B$3003,MATCH($C636,ENVIOS!$A$4:$A$3003,0)),""))</f>
        <v/>
      </c>
      <c r="K636" s="49" t="n"/>
      <c r="L636" s="27">
        <f>IF($K636="","",IFERROR(INDEX(CONFIG!$B$4:$B$43,MATCH($K636,CONFIG!$A$4:$A$43,0)),"Media"))</f>
        <v/>
      </c>
      <c r="M636" s="27">
        <f>IF($K636="","",IFERROR(INDEX(CONFIG!$D$4:$D$43,MATCH($K636,CONFIG!$A$4:$A$43,0)),"NO"))</f>
        <v/>
      </c>
      <c r="N636" s="49" t="n"/>
      <c r="O636" s="27">
        <f>IF($N636="","",IFERROR(INDEX(CONFIG!$G$4:$G$43,MATCH($N636,CONFIG!$F$4:$F$43,0)),"Por definir"))</f>
        <v/>
      </c>
      <c r="P636" s="27">
        <f>IF($N636="","",IFERROR(INDEX(CONFIG!$H$4:$H$43,MATCH($N636,CONFIG!$F$4:$F$43,0)),"Por definir"))</f>
        <v/>
      </c>
      <c r="Q636" s="50" t="n"/>
      <c r="R636" s="51" t="n"/>
      <c r="S636" s="49" t="n"/>
      <c r="T636" s="49" t="n"/>
      <c r="U636" s="48">
        <f>IF(OR($B636="",$K636=""),"",WORKDAY($B636,IFERROR(INDEX(CONFIG!$C$4:$C$43,MATCH($K636,CONFIG!$A$4:$A$43,0)),3)))</f>
        <v/>
      </c>
      <c r="V636" s="46" t="n"/>
      <c r="W636" s="23">
        <f>IF($B636="","",IF($V636&lt;&gt;"",$V636-$B636,TODAY()-$B636))</f>
        <v/>
      </c>
      <c r="X636" s="27">
        <f>IF($C636="","",IF(IFERROR(INDEX(CONFIG!$K$4:$K$43,MATCH($S636,CONFIG!$J$4:$J$43,0)),"NO")="SÍ",IF(OR($V636="",$U636=""),"Resuelta",IF($V636&gt;$U636,"Resuelta tarde","Resuelta a tiempo")),IF($U636="","Sin clasificar",IF(TODAY()&gt;$U636,"Vencida",IF(TODAY()&gt;=$U636-1,"Por vencer","En plazo")))))</f>
        <v/>
      </c>
      <c r="Y636" s="49" t="n"/>
      <c r="Z636" s="49" t="n"/>
    </row>
    <row r="637" ht="16" customHeight="1">
      <c r="A637" s="27">
        <f>IF($C637="","","N-"&amp;TEXT(ROW()-3,"0000"))</f>
        <v/>
      </c>
      <c r="B637" s="46" t="n"/>
      <c r="C637" s="47" t="n"/>
      <c r="D637" s="27">
        <f>IF($C637="","",IF(COUNTIFS(ENVIOS!$A$4:$A$3003,$C637)=0,"NO EXISTE",IF(COUNTIFS(ENVIOS!$A$4:$A$3003,$C637)&gt;1,"DUPLICADA","OK")))</f>
        <v/>
      </c>
      <c r="E637" s="22">
        <f>IF($C637="","",IFERROR(INDEX(ENVIOS!$C$4:$C$3003,MATCH($C637,ENVIOS!$A$4:$A$3003,0)),"—"))</f>
        <v/>
      </c>
      <c r="F637" s="22">
        <f>IF($C637="","",IFERROR(INDEX(ENVIOS!$D$4:$D$3003,MATCH($C637,ENVIOS!$A$4:$A$3003,0)),"—"))</f>
        <v/>
      </c>
      <c r="G637" s="22">
        <f>IF($C637="","",IFERROR(INDEX(ENVIOS!$E$4:$E$3003,MATCH($C637,ENVIOS!$A$4:$A$3003,0)),"—"))</f>
        <v/>
      </c>
      <c r="H637" s="22">
        <f>IF($C637="","",IFERROR(INDEX(ENVIOS!$F$4:$F$3003,MATCH($C637,ENVIOS!$A$4:$A$3003,0)),"—"))</f>
        <v/>
      </c>
      <c r="I637" s="27">
        <f>IF($C637="","",IFERROR(INDEX(ENVIOS!$G$4:$G$3003,MATCH($C637,ENVIOS!$A$4:$A$3003,0)),"—"))</f>
        <v/>
      </c>
      <c r="J637" s="48">
        <f>IF($C637="","",IFERROR(INDEX(ENVIOS!$B$4:$B$3003,MATCH($C637,ENVIOS!$A$4:$A$3003,0)),""))</f>
        <v/>
      </c>
      <c r="K637" s="49" t="n"/>
      <c r="L637" s="27">
        <f>IF($K637="","",IFERROR(INDEX(CONFIG!$B$4:$B$43,MATCH($K637,CONFIG!$A$4:$A$43,0)),"Media"))</f>
        <v/>
      </c>
      <c r="M637" s="27">
        <f>IF($K637="","",IFERROR(INDEX(CONFIG!$D$4:$D$43,MATCH($K637,CONFIG!$A$4:$A$43,0)),"NO"))</f>
        <v/>
      </c>
      <c r="N637" s="49" t="n"/>
      <c r="O637" s="27">
        <f>IF($N637="","",IFERROR(INDEX(CONFIG!$G$4:$G$43,MATCH($N637,CONFIG!$F$4:$F$43,0)),"Por definir"))</f>
        <v/>
      </c>
      <c r="P637" s="27">
        <f>IF($N637="","",IFERROR(INDEX(CONFIG!$H$4:$H$43,MATCH($N637,CONFIG!$F$4:$F$43,0)),"Por definir"))</f>
        <v/>
      </c>
      <c r="Q637" s="50" t="n"/>
      <c r="R637" s="51" t="n"/>
      <c r="S637" s="49" t="n"/>
      <c r="T637" s="49" t="n"/>
      <c r="U637" s="48">
        <f>IF(OR($B637="",$K637=""),"",WORKDAY($B637,IFERROR(INDEX(CONFIG!$C$4:$C$43,MATCH($K637,CONFIG!$A$4:$A$43,0)),3)))</f>
        <v/>
      </c>
      <c r="V637" s="46" t="n"/>
      <c r="W637" s="23">
        <f>IF($B637="","",IF($V637&lt;&gt;"",$V637-$B637,TODAY()-$B637))</f>
        <v/>
      </c>
      <c r="X637" s="27">
        <f>IF($C637="","",IF(IFERROR(INDEX(CONFIG!$K$4:$K$43,MATCH($S637,CONFIG!$J$4:$J$43,0)),"NO")="SÍ",IF(OR($V637="",$U637=""),"Resuelta",IF($V637&gt;$U637,"Resuelta tarde","Resuelta a tiempo")),IF($U637="","Sin clasificar",IF(TODAY()&gt;$U637,"Vencida",IF(TODAY()&gt;=$U637-1,"Por vencer","En plazo")))))</f>
        <v/>
      </c>
      <c r="Y637" s="49" t="n"/>
      <c r="Z637" s="49" t="n"/>
    </row>
    <row r="638" ht="16" customHeight="1">
      <c r="A638" s="27">
        <f>IF($C638="","","N-"&amp;TEXT(ROW()-3,"0000"))</f>
        <v/>
      </c>
      <c r="B638" s="46" t="n"/>
      <c r="C638" s="47" t="n"/>
      <c r="D638" s="27">
        <f>IF($C638="","",IF(COUNTIFS(ENVIOS!$A$4:$A$3003,$C638)=0,"NO EXISTE",IF(COUNTIFS(ENVIOS!$A$4:$A$3003,$C638)&gt;1,"DUPLICADA","OK")))</f>
        <v/>
      </c>
      <c r="E638" s="22">
        <f>IF($C638="","",IFERROR(INDEX(ENVIOS!$C$4:$C$3003,MATCH($C638,ENVIOS!$A$4:$A$3003,0)),"—"))</f>
        <v/>
      </c>
      <c r="F638" s="22">
        <f>IF($C638="","",IFERROR(INDEX(ENVIOS!$D$4:$D$3003,MATCH($C638,ENVIOS!$A$4:$A$3003,0)),"—"))</f>
        <v/>
      </c>
      <c r="G638" s="22">
        <f>IF($C638="","",IFERROR(INDEX(ENVIOS!$E$4:$E$3003,MATCH($C638,ENVIOS!$A$4:$A$3003,0)),"—"))</f>
        <v/>
      </c>
      <c r="H638" s="22">
        <f>IF($C638="","",IFERROR(INDEX(ENVIOS!$F$4:$F$3003,MATCH($C638,ENVIOS!$A$4:$A$3003,0)),"—"))</f>
        <v/>
      </c>
      <c r="I638" s="27">
        <f>IF($C638="","",IFERROR(INDEX(ENVIOS!$G$4:$G$3003,MATCH($C638,ENVIOS!$A$4:$A$3003,0)),"—"))</f>
        <v/>
      </c>
      <c r="J638" s="48">
        <f>IF($C638="","",IFERROR(INDEX(ENVIOS!$B$4:$B$3003,MATCH($C638,ENVIOS!$A$4:$A$3003,0)),""))</f>
        <v/>
      </c>
      <c r="K638" s="49" t="n"/>
      <c r="L638" s="27">
        <f>IF($K638="","",IFERROR(INDEX(CONFIG!$B$4:$B$43,MATCH($K638,CONFIG!$A$4:$A$43,0)),"Media"))</f>
        <v/>
      </c>
      <c r="M638" s="27">
        <f>IF($K638="","",IFERROR(INDEX(CONFIG!$D$4:$D$43,MATCH($K638,CONFIG!$A$4:$A$43,0)),"NO"))</f>
        <v/>
      </c>
      <c r="N638" s="49" t="n"/>
      <c r="O638" s="27">
        <f>IF($N638="","",IFERROR(INDEX(CONFIG!$G$4:$G$43,MATCH($N638,CONFIG!$F$4:$F$43,0)),"Por definir"))</f>
        <v/>
      </c>
      <c r="P638" s="27">
        <f>IF($N638="","",IFERROR(INDEX(CONFIG!$H$4:$H$43,MATCH($N638,CONFIG!$F$4:$F$43,0)),"Por definir"))</f>
        <v/>
      </c>
      <c r="Q638" s="50" t="n"/>
      <c r="R638" s="51" t="n"/>
      <c r="S638" s="49" t="n"/>
      <c r="T638" s="49" t="n"/>
      <c r="U638" s="48">
        <f>IF(OR($B638="",$K638=""),"",WORKDAY($B638,IFERROR(INDEX(CONFIG!$C$4:$C$43,MATCH($K638,CONFIG!$A$4:$A$43,0)),3)))</f>
        <v/>
      </c>
      <c r="V638" s="46" t="n"/>
      <c r="W638" s="23">
        <f>IF($B638="","",IF($V638&lt;&gt;"",$V638-$B638,TODAY()-$B638))</f>
        <v/>
      </c>
      <c r="X638" s="27">
        <f>IF($C638="","",IF(IFERROR(INDEX(CONFIG!$K$4:$K$43,MATCH($S638,CONFIG!$J$4:$J$43,0)),"NO")="SÍ",IF(OR($V638="",$U638=""),"Resuelta",IF($V638&gt;$U638,"Resuelta tarde","Resuelta a tiempo")),IF($U638="","Sin clasificar",IF(TODAY()&gt;$U638,"Vencida",IF(TODAY()&gt;=$U638-1,"Por vencer","En plazo")))))</f>
        <v/>
      </c>
      <c r="Y638" s="49" t="n"/>
      <c r="Z638" s="49" t="n"/>
    </row>
    <row r="639" ht="16" customHeight="1">
      <c r="A639" s="27">
        <f>IF($C639="","","N-"&amp;TEXT(ROW()-3,"0000"))</f>
        <v/>
      </c>
      <c r="B639" s="46" t="n"/>
      <c r="C639" s="47" t="n"/>
      <c r="D639" s="27">
        <f>IF($C639="","",IF(COUNTIFS(ENVIOS!$A$4:$A$3003,$C639)=0,"NO EXISTE",IF(COUNTIFS(ENVIOS!$A$4:$A$3003,$C639)&gt;1,"DUPLICADA","OK")))</f>
        <v/>
      </c>
      <c r="E639" s="22">
        <f>IF($C639="","",IFERROR(INDEX(ENVIOS!$C$4:$C$3003,MATCH($C639,ENVIOS!$A$4:$A$3003,0)),"—"))</f>
        <v/>
      </c>
      <c r="F639" s="22">
        <f>IF($C639="","",IFERROR(INDEX(ENVIOS!$D$4:$D$3003,MATCH($C639,ENVIOS!$A$4:$A$3003,0)),"—"))</f>
        <v/>
      </c>
      <c r="G639" s="22">
        <f>IF($C639="","",IFERROR(INDEX(ENVIOS!$E$4:$E$3003,MATCH($C639,ENVIOS!$A$4:$A$3003,0)),"—"))</f>
        <v/>
      </c>
      <c r="H639" s="22">
        <f>IF($C639="","",IFERROR(INDEX(ENVIOS!$F$4:$F$3003,MATCH($C639,ENVIOS!$A$4:$A$3003,0)),"—"))</f>
        <v/>
      </c>
      <c r="I639" s="27">
        <f>IF($C639="","",IFERROR(INDEX(ENVIOS!$G$4:$G$3003,MATCH($C639,ENVIOS!$A$4:$A$3003,0)),"—"))</f>
        <v/>
      </c>
      <c r="J639" s="48">
        <f>IF($C639="","",IFERROR(INDEX(ENVIOS!$B$4:$B$3003,MATCH($C639,ENVIOS!$A$4:$A$3003,0)),""))</f>
        <v/>
      </c>
      <c r="K639" s="49" t="n"/>
      <c r="L639" s="27">
        <f>IF($K639="","",IFERROR(INDEX(CONFIG!$B$4:$B$43,MATCH($K639,CONFIG!$A$4:$A$43,0)),"Media"))</f>
        <v/>
      </c>
      <c r="M639" s="27">
        <f>IF($K639="","",IFERROR(INDEX(CONFIG!$D$4:$D$43,MATCH($K639,CONFIG!$A$4:$A$43,0)),"NO"))</f>
        <v/>
      </c>
      <c r="N639" s="49" t="n"/>
      <c r="O639" s="27">
        <f>IF($N639="","",IFERROR(INDEX(CONFIG!$G$4:$G$43,MATCH($N639,CONFIG!$F$4:$F$43,0)),"Por definir"))</f>
        <v/>
      </c>
      <c r="P639" s="27">
        <f>IF($N639="","",IFERROR(INDEX(CONFIG!$H$4:$H$43,MATCH($N639,CONFIG!$F$4:$F$43,0)),"Por definir"))</f>
        <v/>
      </c>
      <c r="Q639" s="50" t="n"/>
      <c r="R639" s="51" t="n"/>
      <c r="S639" s="49" t="n"/>
      <c r="T639" s="49" t="n"/>
      <c r="U639" s="48">
        <f>IF(OR($B639="",$K639=""),"",WORKDAY($B639,IFERROR(INDEX(CONFIG!$C$4:$C$43,MATCH($K639,CONFIG!$A$4:$A$43,0)),3)))</f>
        <v/>
      </c>
      <c r="V639" s="46" t="n"/>
      <c r="W639" s="23">
        <f>IF($B639="","",IF($V639&lt;&gt;"",$V639-$B639,TODAY()-$B639))</f>
        <v/>
      </c>
      <c r="X639" s="27">
        <f>IF($C639="","",IF(IFERROR(INDEX(CONFIG!$K$4:$K$43,MATCH($S639,CONFIG!$J$4:$J$43,0)),"NO")="SÍ",IF(OR($V639="",$U639=""),"Resuelta",IF($V639&gt;$U639,"Resuelta tarde","Resuelta a tiempo")),IF($U639="","Sin clasificar",IF(TODAY()&gt;$U639,"Vencida",IF(TODAY()&gt;=$U639-1,"Por vencer","En plazo")))))</f>
        <v/>
      </c>
      <c r="Y639" s="49" t="n"/>
      <c r="Z639" s="49" t="n"/>
    </row>
    <row r="640" ht="16" customHeight="1">
      <c r="A640" s="27">
        <f>IF($C640="","","N-"&amp;TEXT(ROW()-3,"0000"))</f>
        <v/>
      </c>
      <c r="B640" s="46" t="n"/>
      <c r="C640" s="47" t="n"/>
      <c r="D640" s="27">
        <f>IF($C640="","",IF(COUNTIFS(ENVIOS!$A$4:$A$3003,$C640)=0,"NO EXISTE",IF(COUNTIFS(ENVIOS!$A$4:$A$3003,$C640)&gt;1,"DUPLICADA","OK")))</f>
        <v/>
      </c>
      <c r="E640" s="22">
        <f>IF($C640="","",IFERROR(INDEX(ENVIOS!$C$4:$C$3003,MATCH($C640,ENVIOS!$A$4:$A$3003,0)),"—"))</f>
        <v/>
      </c>
      <c r="F640" s="22">
        <f>IF($C640="","",IFERROR(INDEX(ENVIOS!$D$4:$D$3003,MATCH($C640,ENVIOS!$A$4:$A$3003,0)),"—"))</f>
        <v/>
      </c>
      <c r="G640" s="22">
        <f>IF($C640="","",IFERROR(INDEX(ENVIOS!$E$4:$E$3003,MATCH($C640,ENVIOS!$A$4:$A$3003,0)),"—"))</f>
        <v/>
      </c>
      <c r="H640" s="22">
        <f>IF($C640="","",IFERROR(INDEX(ENVIOS!$F$4:$F$3003,MATCH($C640,ENVIOS!$A$4:$A$3003,0)),"—"))</f>
        <v/>
      </c>
      <c r="I640" s="27">
        <f>IF($C640="","",IFERROR(INDEX(ENVIOS!$G$4:$G$3003,MATCH($C640,ENVIOS!$A$4:$A$3003,0)),"—"))</f>
        <v/>
      </c>
      <c r="J640" s="48">
        <f>IF($C640="","",IFERROR(INDEX(ENVIOS!$B$4:$B$3003,MATCH($C640,ENVIOS!$A$4:$A$3003,0)),""))</f>
        <v/>
      </c>
      <c r="K640" s="49" t="n"/>
      <c r="L640" s="27">
        <f>IF($K640="","",IFERROR(INDEX(CONFIG!$B$4:$B$43,MATCH($K640,CONFIG!$A$4:$A$43,0)),"Media"))</f>
        <v/>
      </c>
      <c r="M640" s="27">
        <f>IF($K640="","",IFERROR(INDEX(CONFIG!$D$4:$D$43,MATCH($K640,CONFIG!$A$4:$A$43,0)),"NO"))</f>
        <v/>
      </c>
      <c r="N640" s="49" t="n"/>
      <c r="O640" s="27">
        <f>IF($N640="","",IFERROR(INDEX(CONFIG!$G$4:$G$43,MATCH($N640,CONFIG!$F$4:$F$43,0)),"Por definir"))</f>
        <v/>
      </c>
      <c r="P640" s="27">
        <f>IF($N640="","",IFERROR(INDEX(CONFIG!$H$4:$H$43,MATCH($N640,CONFIG!$F$4:$F$43,0)),"Por definir"))</f>
        <v/>
      </c>
      <c r="Q640" s="50" t="n"/>
      <c r="R640" s="51" t="n"/>
      <c r="S640" s="49" t="n"/>
      <c r="T640" s="49" t="n"/>
      <c r="U640" s="48">
        <f>IF(OR($B640="",$K640=""),"",WORKDAY($B640,IFERROR(INDEX(CONFIG!$C$4:$C$43,MATCH($K640,CONFIG!$A$4:$A$43,0)),3)))</f>
        <v/>
      </c>
      <c r="V640" s="46" t="n"/>
      <c r="W640" s="23">
        <f>IF($B640="","",IF($V640&lt;&gt;"",$V640-$B640,TODAY()-$B640))</f>
        <v/>
      </c>
      <c r="X640" s="27">
        <f>IF($C640="","",IF(IFERROR(INDEX(CONFIG!$K$4:$K$43,MATCH($S640,CONFIG!$J$4:$J$43,0)),"NO")="SÍ",IF(OR($V640="",$U640=""),"Resuelta",IF($V640&gt;$U640,"Resuelta tarde","Resuelta a tiempo")),IF($U640="","Sin clasificar",IF(TODAY()&gt;$U640,"Vencida",IF(TODAY()&gt;=$U640-1,"Por vencer","En plazo")))))</f>
        <v/>
      </c>
      <c r="Y640" s="49" t="n"/>
      <c r="Z640" s="49" t="n"/>
    </row>
    <row r="641" ht="16" customHeight="1">
      <c r="A641" s="27">
        <f>IF($C641="","","N-"&amp;TEXT(ROW()-3,"0000"))</f>
        <v/>
      </c>
      <c r="B641" s="46" t="n"/>
      <c r="C641" s="47" t="n"/>
      <c r="D641" s="27">
        <f>IF($C641="","",IF(COUNTIFS(ENVIOS!$A$4:$A$3003,$C641)=0,"NO EXISTE",IF(COUNTIFS(ENVIOS!$A$4:$A$3003,$C641)&gt;1,"DUPLICADA","OK")))</f>
        <v/>
      </c>
      <c r="E641" s="22">
        <f>IF($C641="","",IFERROR(INDEX(ENVIOS!$C$4:$C$3003,MATCH($C641,ENVIOS!$A$4:$A$3003,0)),"—"))</f>
        <v/>
      </c>
      <c r="F641" s="22">
        <f>IF($C641="","",IFERROR(INDEX(ENVIOS!$D$4:$D$3003,MATCH($C641,ENVIOS!$A$4:$A$3003,0)),"—"))</f>
        <v/>
      </c>
      <c r="G641" s="22">
        <f>IF($C641="","",IFERROR(INDEX(ENVIOS!$E$4:$E$3003,MATCH($C641,ENVIOS!$A$4:$A$3003,0)),"—"))</f>
        <v/>
      </c>
      <c r="H641" s="22">
        <f>IF($C641="","",IFERROR(INDEX(ENVIOS!$F$4:$F$3003,MATCH($C641,ENVIOS!$A$4:$A$3003,0)),"—"))</f>
        <v/>
      </c>
      <c r="I641" s="27">
        <f>IF($C641="","",IFERROR(INDEX(ENVIOS!$G$4:$G$3003,MATCH($C641,ENVIOS!$A$4:$A$3003,0)),"—"))</f>
        <v/>
      </c>
      <c r="J641" s="48">
        <f>IF($C641="","",IFERROR(INDEX(ENVIOS!$B$4:$B$3003,MATCH($C641,ENVIOS!$A$4:$A$3003,0)),""))</f>
        <v/>
      </c>
      <c r="K641" s="49" t="n"/>
      <c r="L641" s="27">
        <f>IF($K641="","",IFERROR(INDEX(CONFIG!$B$4:$B$43,MATCH($K641,CONFIG!$A$4:$A$43,0)),"Media"))</f>
        <v/>
      </c>
      <c r="M641" s="27">
        <f>IF($K641="","",IFERROR(INDEX(CONFIG!$D$4:$D$43,MATCH($K641,CONFIG!$A$4:$A$43,0)),"NO"))</f>
        <v/>
      </c>
      <c r="N641" s="49" t="n"/>
      <c r="O641" s="27">
        <f>IF($N641="","",IFERROR(INDEX(CONFIG!$G$4:$G$43,MATCH($N641,CONFIG!$F$4:$F$43,0)),"Por definir"))</f>
        <v/>
      </c>
      <c r="P641" s="27">
        <f>IF($N641="","",IFERROR(INDEX(CONFIG!$H$4:$H$43,MATCH($N641,CONFIG!$F$4:$F$43,0)),"Por definir"))</f>
        <v/>
      </c>
      <c r="Q641" s="50" t="n"/>
      <c r="R641" s="51" t="n"/>
      <c r="S641" s="49" t="n"/>
      <c r="T641" s="49" t="n"/>
      <c r="U641" s="48">
        <f>IF(OR($B641="",$K641=""),"",WORKDAY($B641,IFERROR(INDEX(CONFIG!$C$4:$C$43,MATCH($K641,CONFIG!$A$4:$A$43,0)),3)))</f>
        <v/>
      </c>
      <c r="V641" s="46" t="n"/>
      <c r="W641" s="23">
        <f>IF($B641="","",IF($V641&lt;&gt;"",$V641-$B641,TODAY()-$B641))</f>
        <v/>
      </c>
      <c r="X641" s="27">
        <f>IF($C641="","",IF(IFERROR(INDEX(CONFIG!$K$4:$K$43,MATCH($S641,CONFIG!$J$4:$J$43,0)),"NO")="SÍ",IF(OR($V641="",$U641=""),"Resuelta",IF($V641&gt;$U641,"Resuelta tarde","Resuelta a tiempo")),IF($U641="","Sin clasificar",IF(TODAY()&gt;$U641,"Vencida",IF(TODAY()&gt;=$U641-1,"Por vencer","En plazo")))))</f>
        <v/>
      </c>
      <c r="Y641" s="49" t="n"/>
      <c r="Z641" s="49" t="n"/>
    </row>
    <row r="642" ht="16" customHeight="1">
      <c r="A642" s="27">
        <f>IF($C642="","","N-"&amp;TEXT(ROW()-3,"0000"))</f>
        <v/>
      </c>
      <c r="B642" s="46" t="n"/>
      <c r="C642" s="47" t="n"/>
      <c r="D642" s="27">
        <f>IF($C642="","",IF(COUNTIFS(ENVIOS!$A$4:$A$3003,$C642)=0,"NO EXISTE",IF(COUNTIFS(ENVIOS!$A$4:$A$3003,$C642)&gt;1,"DUPLICADA","OK")))</f>
        <v/>
      </c>
      <c r="E642" s="22">
        <f>IF($C642="","",IFERROR(INDEX(ENVIOS!$C$4:$C$3003,MATCH($C642,ENVIOS!$A$4:$A$3003,0)),"—"))</f>
        <v/>
      </c>
      <c r="F642" s="22">
        <f>IF($C642="","",IFERROR(INDEX(ENVIOS!$D$4:$D$3003,MATCH($C642,ENVIOS!$A$4:$A$3003,0)),"—"))</f>
        <v/>
      </c>
      <c r="G642" s="22">
        <f>IF($C642="","",IFERROR(INDEX(ENVIOS!$E$4:$E$3003,MATCH($C642,ENVIOS!$A$4:$A$3003,0)),"—"))</f>
        <v/>
      </c>
      <c r="H642" s="22">
        <f>IF($C642="","",IFERROR(INDEX(ENVIOS!$F$4:$F$3003,MATCH($C642,ENVIOS!$A$4:$A$3003,0)),"—"))</f>
        <v/>
      </c>
      <c r="I642" s="27">
        <f>IF($C642="","",IFERROR(INDEX(ENVIOS!$G$4:$G$3003,MATCH($C642,ENVIOS!$A$4:$A$3003,0)),"—"))</f>
        <v/>
      </c>
      <c r="J642" s="48">
        <f>IF($C642="","",IFERROR(INDEX(ENVIOS!$B$4:$B$3003,MATCH($C642,ENVIOS!$A$4:$A$3003,0)),""))</f>
        <v/>
      </c>
      <c r="K642" s="49" t="n"/>
      <c r="L642" s="27">
        <f>IF($K642="","",IFERROR(INDEX(CONFIG!$B$4:$B$43,MATCH($K642,CONFIG!$A$4:$A$43,0)),"Media"))</f>
        <v/>
      </c>
      <c r="M642" s="27">
        <f>IF($K642="","",IFERROR(INDEX(CONFIG!$D$4:$D$43,MATCH($K642,CONFIG!$A$4:$A$43,0)),"NO"))</f>
        <v/>
      </c>
      <c r="N642" s="49" t="n"/>
      <c r="O642" s="27">
        <f>IF($N642="","",IFERROR(INDEX(CONFIG!$G$4:$G$43,MATCH($N642,CONFIG!$F$4:$F$43,0)),"Por definir"))</f>
        <v/>
      </c>
      <c r="P642" s="27">
        <f>IF($N642="","",IFERROR(INDEX(CONFIG!$H$4:$H$43,MATCH($N642,CONFIG!$F$4:$F$43,0)),"Por definir"))</f>
        <v/>
      </c>
      <c r="Q642" s="50" t="n"/>
      <c r="R642" s="51" t="n"/>
      <c r="S642" s="49" t="n"/>
      <c r="T642" s="49" t="n"/>
      <c r="U642" s="48">
        <f>IF(OR($B642="",$K642=""),"",WORKDAY($B642,IFERROR(INDEX(CONFIG!$C$4:$C$43,MATCH($K642,CONFIG!$A$4:$A$43,0)),3)))</f>
        <v/>
      </c>
      <c r="V642" s="46" t="n"/>
      <c r="W642" s="23">
        <f>IF($B642="","",IF($V642&lt;&gt;"",$V642-$B642,TODAY()-$B642))</f>
        <v/>
      </c>
      <c r="X642" s="27">
        <f>IF($C642="","",IF(IFERROR(INDEX(CONFIG!$K$4:$K$43,MATCH($S642,CONFIG!$J$4:$J$43,0)),"NO")="SÍ",IF(OR($V642="",$U642=""),"Resuelta",IF($V642&gt;$U642,"Resuelta tarde","Resuelta a tiempo")),IF($U642="","Sin clasificar",IF(TODAY()&gt;$U642,"Vencida",IF(TODAY()&gt;=$U642-1,"Por vencer","En plazo")))))</f>
        <v/>
      </c>
      <c r="Y642" s="49" t="n"/>
      <c r="Z642" s="49" t="n"/>
    </row>
    <row r="643" ht="16" customHeight="1">
      <c r="A643" s="27">
        <f>IF($C643="","","N-"&amp;TEXT(ROW()-3,"0000"))</f>
        <v/>
      </c>
      <c r="B643" s="46" t="n"/>
      <c r="C643" s="47" t="n"/>
      <c r="D643" s="27">
        <f>IF($C643="","",IF(COUNTIFS(ENVIOS!$A$4:$A$3003,$C643)=0,"NO EXISTE",IF(COUNTIFS(ENVIOS!$A$4:$A$3003,$C643)&gt;1,"DUPLICADA","OK")))</f>
        <v/>
      </c>
      <c r="E643" s="22">
        <f>IF($C643="","",IFERROR(INDEX(ENVIOS!$C$4:$C$3003,MATCH($C643,ENVIOS!$A$4:$A$3003,0)),"—"))</f>
        <v/>
      </c>
      <c r="F643" s="22">
        <f>IF($C643="","",IFERROR(INDEX(ENVIOS!$D$4:$D$3003,MATCH($C643,ENVIOS!$A$4:$A$3003,0)),"—"))</f>
        <v/>
      </c>
      <c r="G643" s="22">
        <f>IF($C643="","",IFERROR(INDEX(ENVIOS!$E$4:$E$3003,MATCH($C643,ENVIOS!$A$4:$A$3003,0)),"—"))</f>
        <v/>
      </c>
      <c r="H643" s="22">
        <f>IF($C643="","",IFERROR(INDEX(ENVIOS!$F$4:$F$3003,MATCH($C643,ENVIOS!$A$4:$A$3003,0)),"—"))</f>
        <v/>
      </c>
      <c r="I643" s="27">
        <f>IF($C643="","",IFERROR(INDEX(ENVIOS!$G$4:$G$3003,MATCH($C643,ENVIOS!$A$4:$A$3003,0)),"—"))</f>
        <v/>
      </c>
      <c r="J643" s="48">
        <f>IF($C643="","",IFERROR(INDEX(ENVIOS!$B$4:$B$3003,MATCH($C643,ENVIOS!$A$4:$A$3003,0)),""))</f>
        <v/>
      </c>
      <c r="K643" s="49" t="n"/>
      <c r="L643" s="27">
        <f>IF($K643="","",IFERROR(INDEX(CONFIG!$B$4:$B$43,MATCH($K643,CONFIG!$A$4:$A$43,0)),"Media"))</f>
        <v/>
      </c>
      <c r="M643" s="27">
        <f>IF($K643="","",IFERROR(INDEX(CONFIG!$D$4:$D$43,MATCH($K643,CONFIG!$A$4:$A$43,0)),"NO"))</f>
        <v/>
      </c>
      <c r="N643" s="49" t="n"/>
      <c r="O643" s="27">
        <f>IF($N643="","",IFERROR(INDEX(CONFIG!$G$4:$G$43,MATCH($N643,CONFIG!$F$4:$F$43,0)),"Por definir"))</f>
        <v/>
      </c>
      <c r="P643" s="27">
        <f>IF($N643="","",IFERROR(INDEX(CONFIG!$H$4:$H$43,MATCH($N643,CONFIG!$F$4:$F$43,0)),"Por definir"))</f>
        <v/>
      </c>
      <c r="Q643" s="50" t="n"/>
      <c r="R643" s="51" t="n"/>
      <c r="S643" s="49" t="n"/>
      <c r="T643" s="49" t="n"/>
      <c r="U643" s="48">
        <f>IF(OR($B643="",$K643=""),"",WORKDAY($B643,IFERROR(INDEX(CONFIG!$C$4:$C$43,MATCH($K643,CONFIG!$A$4:$A$43,0)),3)))</f>
        <v/>
      </c>
      <c r="V643" s="46" t="n"/>
      <c r="W643" s="23">
        <f>IF($B643="","",IF($V643&lt;&gt;"",$V643-$B643,TODAY()-$B643))</f>
        <v/>
      </c>
      <c r="X643" s="27">
        <f>IF($C643="","",IF(IFERROR(INDEX(CONFIG!$K$4:$K$43,MATCH($S643,CONFIG!$J$4:$J$43,0)),"NO")="SÍ",IF(OR($V643="",$U643=""),"Resuelta",IF($V643&gt;$U643,"Resuelta tarde","Resuelta a tiempo")),IF($U643="","Sin clasificar",IF(TODAY()&gt;$U643,"Vencida",IF(TODAY()&gt;=$U643-1,"Por vencer","En plazo")))))</f>
        <v/>
      </c>
      <c r="Y643" s="49" t="n"/>
      <c r="Z643" s="49" t="n"/>
    </row>
    <row r="644" ht="16" customHeight="1">
      <c r="A644" s="27">
        <f>IF($C644="","","N-"&amp;TEXT(ROW()-3,"0000"))</f>
        <v/>
      </c>
      <c r="B644" s="46" t="n"/>
      <c r="C644" s="47" t="n"/>
      <c r="D644" s="27">
        <f>IF($C644="","",IF(COUNTIFS(ENVIOS!$A$4:$A$3003,$C644)=0,"NO EXISTE",IF(COUNTIFS(ENVIOS!$A$4:$A$3003,$C644)&gt;1,"DUPLICADA","OK")))</f>
        <v/>
      </c>
      <c r="E644" s="22">
        <f>IF($C644="","",IFERROR(INDEX(ENVIOS!$C$4:$C$3003,MATCH($C644,ENVIOS!$A$4:$A$3003,0)),"—"))</f>
        <v/>
      </c>
      <c r="F644" s="22">
        <f>IF($C644="","",IFERROR(INDEX(ENVIOS!$D$4:$D$3003,MATCH($C644,ENVIOS!$A$4:$A$3003,0)),"—"))</f>
        <v/>
      </c>
      <c r="G644" s="22">
        <f>IF($C644="","",IFERROR(INDEX(ENVIOS!$E$4:$E$3003,MATCH($C644,ENVIOS!$A$4:$A$3003,0)),"—"))</f>
        <v/>
      </c>
      <c r="H644" s="22">
        <f>IF($C644="","",IFERROR(INDEX(ENVIOS!$F$4:$F$3003,MATCH($C644,ENVIOS!$A$4:$A$3003,0)),"—"))</f>
        <v/>
      </c>
      <c r="I644" s="27">
        <f>IF($C644="","",IFERROR(INDEX(ENVIOS!$G$4:$G$3003,MATCH($C644,ENVIOS!$A$4:$A$3003,0)),"—"))</f>
        <v/>
      </c>
      <c r="J644" s="48">
        <f>IF($C644="","",IFERROR(INDEX(ENVIOS!$B$4:$B$3003,MATCH($C644,ENVIOS!$A$4:$A$3003,0)),""))</f>
        <v/>
      </c>
      <c r="K644" s="49" t="n"/>
      <c r="L644" s="27">
        <f>IF($K644="","",IFERROR(INDEX(CONFIG!$B$4:$B$43,MATCH($K644,CONFIG!$A$4:$A$43,0)),"Media"))</f>
        <v/>
      </c>
      <c r="M644" s="27">
        <f>IF($K644="","",IFERROR(INDEX(CONFIG!$D$4:$D$43,MATCH($K644,CONFIG!$A$4:$A$43,0)),"NO"))</f>
        <v/>
      </c>
      <c r="N644" s="49" t="n"/>
      <c r="O644" s="27">
        <f>IF($N644="","",IFERROR(INDEX(CONFIG!$G$4:$G$43,MATCH($N644,CONFIG!$F$4:$F$43,0)),"Por definir"))</f>
        <v/>
      </c>
      <c r="P644" s="27">
        <f>IF($N644="","",IFERROR(INDEX(CONFIG!$H$4:$H$43,MATCH($N644,CONFIG!$F$4:$F$43,0)),"Por definir"))</f>
        <v/>
      </c>
      <c r="Q644" s="50" t="n"/>
      <c r="R644" s="51" t="n"/>
      <c r="S644" s="49" t="n"/>
      <c r="T644" s="49" t="n"/>
      <c r="U644" s="48">
        <f>IF(OR($B644="",$K644=""),"",WORKDAY($B644,IFERROR(INDEX(CONFIG!$C$4:$C$43,MATCH($K644,CONFIG!$A$4:$A$43,0)),3)))</f>
        <v/>
      </c>
      <c r="V644" s="46" t="n"/>
      <c r="W644" s="23">
        <f>IF($B644="","",IF($V644&lt;&gt;"",$V644-$B644,TODAY()-$B644))</f>
        <v/>
      </c>
      <c r="X644" s="27">
        <f>IF($C644="","",IF(IFERROR(INDEX(CONFIG!$K$4:$K$43,MATCH($S644,CONFIG!$J$4:$J$43,0)),"NO")="SÍ",IF(OR($V644="",$U644=""),"Resuelta",IF($V644&gt;$U644,"Resuelta tarde","Resuelta a tiempo")),IF($U644="","Sin clasificar",IF(TODAY()&gt;$U644,"Vencida",IF(TODAY()&gt;=$U644-1,"Por vencer","En plazo")))))</f>
        <v/>
      </c>
      <c r="Y644" s="49" t="n"/>
      <c r="Z644" s="49" t="n"/>
    </row>
    <row r="645" ht="16" customHeight="1">
      <c r="A645" s="27">
        <f>IF($C645="","","N-"&amp;TEXT(ROW()-3,"0000"))</f>
        <v/>
      </c>
      <c r="B645" s="46" t="n"/>
      <c r="C645" s="47" t="n"/>
      <c r="D645" s="27">
        <f>IF($C645="","",IF(COUNTIFS(ENVIOS!$A$4:$A$3003,$C645)=0,"NO EXISTE",IF(COUNTIFS(ENVIOS!$A$4:$A$3003,$C645)&gt;1,"DUPLICADA","OK")))</f>
        <v/>
      </c>
      <c r="E645" s="22">
        <f>IF($C645="","",IFERROR(INDEX(ENVIOS!$C$4:$C$3003,MATCH($C645,ENVIOS!$A$4:$A$3003,0)),"—"))</f>
        <v/>
      </c>
      <c r="F645" s="22">
        <f>IF($C645="","",IFERROR(INDEX(ENVIOS!$D$4:$D$3003,MATCH($C645,ENVIOS!$A$4:$A$3003,0)),"—"))</f>
        <v/>
      </c>
      <c r="G645" s="22">
        <f>IF($C645="","",IFERROR(INDEX(ENVIOS!$E$4:$E$3003,MATCH($C645,ENVIOS!$A$4:$A$3003,0)),"—"))</f>
        <v/>
      </c>
      <c r="H645" s="22">
        <f>IF($C645="","",IFERROR(INDEX(ENVIOS!$F$4:$F$3003,MATCH($C645,ENVIOS!$A$4:$A$3003,0)),"—"))</f>
        <v/>
      </c>
      <c r="I645" s="27">
        <f>IF($C645="","",IFERROR(INDEX(ENVIOS!$G$4:$G$3003,MATCH($C645,ENVIOS!$A$4:$A$3003,0)),"—"))</f>
        <v/>
      </c>
      <c r="J645" s="48">
        <f>IF($C645="","",IFERROR(INDEX(ENVIOS!$B$4:$B$3003,MATCH($C645,ENVIOS!$A$4:$A$3003,0)),""))</f>
        <v/>
      </c>
      <c r="K645" s="49" t="n"/>
      <c r="L645" s="27">
        <f>IF($K645="","",IFERROR(INDEX(CONFIG!$B$4:$B$43,MATCH($K645,CONFIG!$A$4:$A$43,0)),"Media"))</f>
        <v/>
      </c>
      <c r="M645" s="27">
        <f>IF($K645="","",IFERROR(INDEX(CONFIG!$D$4:$D$43,MATCH($K645,CONFIG!$A$4:$A$43,0)),"NO"))</f>
        <v/>
      </c>
      <c r="N645" s="49" t="n"/>
      <c r="O645" s="27">
        <f>IF($N645="","",IFERROR(INDEX(CONFIG!$G$4:$G$43,MATCH($N645,CONFIG!$F$4:$F$43,0)),"Por definir"))</f>
        <v/>
      </c>
      <c r="P645" s="27">
        <f>IF($N645="","",IFERROR(INDEX(CONFIG!$H$4:$H$43,MATCH($N645,CONFIG!$F$4:$F$43,0)),"Por definir"))</f>
        <v/>
      </c>
      <c r="Q645" s="50" t="n"/>
      <c r="R645" s="51" t="n"/>
      <c r="S645" s="49" t="n"/>
      <c r="T645" s="49" t="n"/>
      <c r="U645" s="48">
        <f>IF(OR($B645="",$K645=""),"",WORKDAY($B645,IFERROR(INDEX(CONFIG!$C$4:$C$43,MATCH($K645,CONFIG!$A$4:$A$43,0)),3)))</f>
        <v/>
      </c>
      <c r="V645" s="46" t="n"/>
      <c r="W645" s="23">
        <f>IF($B645="","",IF($V645&lt;&gt;"",$V645-$B645,TODAY()-$B645))</f>
        <v/>
      </c>
      <c r="X645" s="27">
        <f>IF($C645="","",IF(IFERROR(INDEX(CONFIG!$K$4:$K$43,MATCH($S645,CONFIG!$J$4:$J$43,0)),"NO")="SÍ",IF(OR($V645="",$U645=""),"Resuelta",IF($V645&gt;$U645,"Resuelta tarde","Resuelta a tiempo")),IF($U645="","Sin clasificar",IF(TODAY()&gt;$U645,"Vencida",IF(TODAY()&gt;=$U645-1,"Por vencer","En plazo")))))</f>
        <v/>
      </c>
      <c r="Y645" s="49" t="n"/>
      <c r="Z645" s="49" t="n"/>
    </row>
    <row r="646" ht="16" customHeight="1">
      <c r="A646" s="27">
        <f>IF($C646="","","N-"&amp;TEXT(ROW()-3,"0000"))</f>
        <v/>
      </c>
      <c r="B646" s="46" t="n"/>
      <c r="C646" s="47" t="n"/>
      <c r="D646" s="27">
        <f>IF($C646="","",IF(COUNTIFS(ENVIOS!$A$4:$A$3003,$C646)=0,"NO EXISTE",IF(COUNTIFS(ENVIOS!$A$4:$A$3003,$C646)&gt;1,"DUPLICADA","OK")))</f>
        <v/>
      </c>
      <c r="E646" s="22">
        <f>IF($C646="","",IFERROR(INDEX(ENVIOS!$C$4:$C$3003,MATCH($C646,ENVIOS!$A$4:$A$3003,0)),"—"))</f>
        <v/>
      </c>
      <c r="F646" s="22">
        <f>IF($C646="","",IFERROR(INDEX(ENVIOS!$D$4:$D$3003,MATCH($C646,ENVIOS!$A$4:$A$3003,0)),"—"))</f>
        <v/>
      </c>
      <c r="G646" s="22">
        <f>IF($C646="","",IFERROR(INDEX(ENVIOS!$E$4:$E$3003,MATCH($C646,ENVIOS!$A$4:$A$3003,0)),"—"))</f>
        <v/>
      </c>
      <c r="H646" s="22">
        <f>IF($C646="","",IFERROR(INDEX(ENVIOS!$F$4:$F$3003,MATCH($C646,ENVIOS!$A$4:$A$3003,0)),"—"))</f>
        <v/>
      </c>
      <c r="I646" s="27">
        <f>IF($C646="","",IFERROR(INDEX(ENVIOS!$G$4:$G$3003,MATCH($C646,ENVIOS!$A$4:$A$3003,0)),"—"))</f>
        <v/>
      </c>
      <c r="J646" s="48">
        <f>IF($C646="","",IFERROR(INDEX(ENVIOS!$B$4:$B$3003,MATCH($C646,ENVIOS!$A$4:$A$3003,0)),""))</f>
        <v/>
      </c>
      <c r="K646" s="49" t="n"/>
      <c r="L646" s="27">
        <f>IF($K646="","",IFERROR(INDEX(CONFIG!$B$4:$B$43,MATCH($K646,CONFIG!$A$4:$A$43,0)),"Media"))</f>
        <v/>
      </c>
      <c r="M646" s="27">
        <f>IF($K646="","",IFERROR(INDEX(CONFIG!$D$4:$D$43,MATCH($K646,CONFIG!$A$4:$A$43,0)),"NO"))</f>
        <v/>
      </c>
      <c r="N646" s="49" t="n"/>
      <c r="O646" s="27">
        <f>IF($N646="","",IFERROR(INDEX(CONFIG!$G$4:$G$43,MATCH($N646,CONFIG!$F$4:$F$43,0)),"Por definir"))</f>
        <v/>
      </c>
      <c r="P646" s="27">
        <f>IF($N646="","",IFERROR(INDEX(CONFIG!$H$4:$H$43,MATCH($N646,CONFIG!$F$4:$F$43,0)),"Por definir"))</f>
        <v/>
      </c>
      <c r="Q646" s="50" t="n"/>
      <c r="R646" s="51" t="n"/>
      <c r="S646" s="49" t="n"/>
      <c r="T646" s="49" t="n"/>
      <c r="U646" s="48">
        <f>IF(OR($B646="",$K646=""),"",WORKDAY($B646,IFERROR(INDEX(CONFIG!$C$4:$C$43,MATCH($K646,CONFIG!$A$4:$A$43,0)),3)))</f>
        <v/>
      </c>
      <c r="V646" s="46" t="n"/>
      <c r="W646" s="23">
        <f>IF($B646="","",IF($V646&lt;&gt;"",$V646-$B646,TODAY()-$B646))</f>
        <v/>
      </c>
      <c r="X646" s="27">
        <f>IF($C646="","",IF(IFERROR(INDEX(CONFIG!$K$4:$K$43,MATCH($S646,CONFIG!$J$4:$J$43,0)),"NO")="SÍ",IF(OR($V646="",$U646=""),"Resuelta",IF($V646&gt;$U646,"Resuelta tarde","Resuelta a tiempo")),IF($U646="","Sin clasificar",IF(TODAY()&gt;$U646,"Vencida",IF(TODAY()&gt;=$U646-1,"Por vencer","En plazo")))))</f>
        <v/>
      </c>
      <c r="Y646" s="49" t="n"/>
      <c r="Z646" s="49" t="n"/>
    </row>
    <row r="647" ht="16" customHeight="1">
      <c r="A647" s="27">
        <f>IF($C647="","","N-"&amp;TEXT(ROW()-3,"0000"))</f>
        <v/>
      </c>
      <c r="B647" s="46" t="n"/>
      <c r="C647" s="47" t="n"/>
      <c r="D647" s="27">
        <f>IF($C647="","",IF(COUNTIFS(ENVIOS!$A$4:$A$3003,$C647)=0,"NO EXISTE",IF(COUNTIFS(ENVIOS!$A$4:$A$3003,$C647)&gt;1,"DUPLICADA","OK")))</f>
        <v/>
      </c>
      <c r="E647" s="22">
        <f>IF($C647="","",IFERROR(INDEX(ENVIOS!$C$4:$C$3003,MATCH($C647,ENVIOS!$A$4:$A$3003,0)),"—"))</f>
        <v/>
      </c>
      <c r="F647" s="22">
        <f>IF($C647="","",IFERROR(INDEX(ENVIOS!$D$4:$D$3003,MATCH($C647,ENVIOS!$A$4:$A$3003,0)),"—"))</f>
        <v/>
      </c>
      <c r="G647" s="22">
        <f>IF($C647="","",IFERROR(INDEX(ENVIOS!$E$4:$E$3003,MATCH($C647,ENVIOS!$A$4:$A$3003,0)),"—"))</f>
        <v/>
      </c>
      <c r="H647" s="22">
        <f>IF($C647="","",IFERROR(INDEX(ENVIOS!$F$4:$F$3003,MATCH($C647,ENVIOS!$A$4:$A$3003,0)),"—"))</f>
        <v/>
      </c>
      <c r="I647" s="27">
        <f>IF($C647="","",IFERROR(INDEX(ENVIOS!$G$4:$G$3003,MATCH($C647,ENVIOS!$A$4:$A$3003,0)),"—"))</f>
        <v/>
      </c>
      <c r="J647" s="48">
        <f>IF($C647="","",IFERROR(INDEX(ENVIOS!$B$4:$B$3003,MATCH($C647,ENVIOS!$A$4:$A$3003,0)),""))</f>
        <v/>
      </c>
      <c r="K647" s="49" t="n"/>
      <c r="L647" s="27">
        <f>IF($K647="","",IFERROR(INDEX(CONFIG!$B$4:$B$43,MATCH($K647,CONFIG!$A$4:$A$43,0)),"Media"))</f>
        <v/>
      </c>
      <c r="M647" s="27">
        <f>IF($K647="","",IFERROR(INDEX(CONFIG!$D$4:$D$43,MATCH($K647,CONFIG!$A$4:$A$43,0)),"NO"))</f>
        <v/>
      </c>
      <c r="N647" s="49" t="n"/>
      <c r="O647" s="27">
        <f>IF($N647="","",IFERROR(INDEX(CONFIG!$G$4:$G$43,MATCH($N647,CONFIG!$F$4:$F$43,0)),"Por definir"))</f>
        <v/>
      </c>
      <c r="P647" s="27">
        <f>IF($N647="","",IFERROR(INDEX(CONFIG!$H$4:$H$43,MATCH($N647,CONFIG!$F$4:$F$43,0)),"Por definir"))</f>
        <v/>
      </c>
      <c r="Q647" s="50" t="n"/>
      <c r="R647" s="51" t="n"/>
      <c r="S647" s="49" t="n"/>
      <c r="T647" s="49" t="n"/>
      <c r="U647" s="48">
        <f>IF(OR($B647="",$K647=""),"",WORKDAY($B647,IFERROR(INDEX(CONFIG!$C$4:$C$43,MATCH($K647,CONFIG!$A$4:$A$43,0)),3)))</f>
        <v/>
      </c>
      <c r="V647" s="46" t="n"/>
      <c r="W647" s="23">
        <f>IF($B647="","",IF($V647&lt;&gt;"",$V647-$B647,TODAY()-$B647))</f>
        <v/>
      </c>
      <c r="X647" s="27">
        <f>IF($C647="","",IF(IFERROR(INDEX(CONFIG!$K$4:$K$43,MATCH($S647,CONFIG!$J$4:$J$43,0)),"NO")="SÍ",IF(OR($V647="",$U647=""),"Resuelta",IF($V647&gt;$U647,"Resuelta tarde","Resuelta a tiempo")),IF($U647="","Sin clasificar",IF(TODAY()&gt;$U647,"Vencida",IF(TODAY()&gt;=$U647-1,"Por vencer","En plazo")))))</f>
        <v/>
      </c>
      <c r="Y647" s="49" t="n"/>
      <c r="Z647" s="49" t="n"/>
    </row>
    <row r="648" ht="16" customHeight="1">
      <c r="A648" s="27">
        <f>IF($C648="","","N-"&amp;TEXT(ROW()-3,"0000"))</f>
        <v/>
      </c>
      <c r="B648" s="46" t="n"/>
      <c r="C648" s="47" t="n"/>
      <c r="D648" s="27">
        <f>IF($C648="","",IF(COUNTIFS(ENVIOS!$A$4:$A$3003,$C648)=0,"NO EXISTE",IF(COUNTIFS(ENVIOS!$A$4:$A$3003,$C648)&gt;1,"DUPLICADA","OK")))</f>
        <v/>
      </c>
      <c r="E648" s="22">
        <f>IF($C648="","",IFERROR(INDEX(ENVIOS!$C$4:$C$3003,MATCH($C648,ENVIOS!$A$4:$A$3003,0)),"—"))</f>
        <v/>
      </c>
      <c r="F648" s="22">
        <f>IF($C648="","",IFERROR(INDEX(ENVIOS!$D$4:$D$3003,MATCH($C648,ENVIOS!$A$4:$A$3003,0)),"—"))</f>
        <v/>
      </c>
      <c r="G648" s="22">
        <f>IF($C648="","",IFERROR(INDEX(ENVIOS!$E$4:$E$3003,MATCH($C648,ENVIOS!$A$4:$A$3003,0)),"—"))</f>
        <v/>
      </c>
      <c r="H648" s="22">
        <f>IF($C648="","",IFERROR(INDEX(ENVIOS!$F$4:$F$3003,MATCH($C648,ENVIOS!$A$4:$A$3003,0)),"—"))</f>
        <v/>
      </c>
      <c r="I648" s="27">
        <f>IF($C648="","",IFERROR(INDEX(ENVIOS!$G$4:$G$3003,MATCH($C648,ENVIOS!$A$4:$A$3003,0)),"—"))</f>
        <v/>
      </c>
      <c r="J648" s="48">
        <f>IF($C648="","",IFERROR(INDEX(ENVIOS!$B$4:$B$3003,MATCH($C648,ENVIOS!$A$4:$A$3003,0)),""))</f>
        <v/>
      </c>
      <c r="K648" s="49" t="n"/>
      <c r="L648" s="27">
        <f>IF($K648="","",IFERROR(INDEX(CONFIG!$B$4:$B$43,MATCH($K648,CONFIG!$A$4:$A$43,0)),"Media"))</f>
        <v/>
      </c>
      <c r="M648" s="27">
        <f>IF($K648="","",IFERROR(INDEX(CONFIG!$D$4:$D$43,MATCH($K648,CONFIG!$A$4:$A$43,0)),"NO"))</f>
        <v/>
      </c>
      <c r="N648" s="49" t="n"/>
      <c r="O648" s="27">
        <f>IF($N648="","",IFERROR(INDEX(CONFIG!$G$4:$G$43,MATCH($N648,CONFIG!$F$4:$F$43,0)),"Por definir"))</f>
        <v/>
      </c>
      <c r="P648" s="27">
        <f>IF($N648="","",IFERROR(INDEX(CONFIG!$H$4:$H$43,MATCH($N648,CONFIG!$F$4:$F$43,0)),"Por definir"))</f>
        <v/>
      </c>
      <c r="Q648" s="50" t="n"/>
      <c r="R648" s="51" t="n"/>
      <c r="S648" s="49" t="n"/>
      <c r="T648" s="49" t="n"/>
      <c r="U648" s="48">
        <f>IF(OR($B648="",$K648=""),"",WORKDAY($B648,IFERROR(INDEX(CONFIG!$C$4:$C$43,MATCH($K648,CONFIG!$A$4:$A$43,0)),3)))</f>
        <v/>
      </c>
      <c r="V648" s="46" t="n"/>
      <c r="W648" s="23">
        <f>IF($B648="","",IF($V648&lt;&gt;"",$V648-$B648,TODAY()-$B648))</f>
        <v/>
      </c>
      <c r="X648" s="27">
        <f>IF($C648="","",IF(IFERROR(INDEX(CONFIG!$K$4:$K$43,MATCH($S648,CONFIG!$J$4:$J$43,0)),"NO")="SÍ",IF(OR($V648="",$U648=""),"Resuelta",IF($V648&gt;$U648,"Resuelta tarde","Resuelta a tiempo")),IF($U648="","Sin clasificar",IF(TODAY()&gt;$U648,"Vencida",IF(TODAY()&gt;=$U648-1,"Por vencer","En plazo")))))</f>
        <v/>
      </c>
      <c r="Y648" s="49" t="n"/>
      <c r="Z648" s="49" t="n"/>
    </row>
    <row r="649" ht="16" customHeight="1">
      <c r="A649" s="27">
        <f>IF($C649="","","N-"&amp;TEXT(ROW()-3,"0000"))</f>
        <v/>
      </c>
      <c r="B649" s="46" t="n"/>
      <c r="C649" s="47" t="n"/>
      <c r="D649" s="27">
        <f>IF($C649="","",IF(COUNTIFS(ENVIOS!$A$4:$A$3003,$C649)=0,"NO EXISTE",IF(COUNTIFS(ENVIOS!$A$4:$A$3003,$C649)&gt;1,"DUPLICADA","OK")))</f>
        <v/>
      </c>
      <c r="E649" s="22">
        <f>IF($C649="","",IFERROR(INDEX(ENVIOS!$C$4:$C$3003,MATCH($C649,ENVIOS!$A$4:$A$3003,0)),"—"))</f>
        <v/>
      </c>
      <c r="F649" s="22">
        <f>IF($C649="","",IFERROR(INDEX(ENVIOS!$D$4:$D$3003,MATCH($C649,ENVIOS!$A$4:$A$3003,0)),"—"))</f>
        <v/>
      </c>
      <c r="G649" s="22">
        <f>IF($C649="","",IFERROR(INDEX(ENVIOS!$E$4:$E$3003,MATCH($C649,ENVIOS!$A$4:$A$3003,0)),"—"))</f>
        <v/>
      </c>
      <c r="H649" s="22">
        <f>IF($C649="","",IFERROR(INDEX(ENVIOS!$F$4:$F$3003,MATCH($C649,ENVIOS!$A$4:$A$3003,0)),"—"))</f>
        <v/>
      </c>
      <c r="I649" s="27">
        <f>IF($C649="","",IFERROR(INDEX(ENVIOS!$G$4:$G$3003,MATCH($C649,ENVIOS!$A$4:$A$3003,0)),"—"))</f>
        <v/>
      </c>
      <c r="J649" s="48">
        <f>IF($C649="","",IFERROR(INDEX(ENVIOS!$B$4:$B$3003,MATCH($C649,ENVIOS!$A$4:$A$3003,0)),""))</f>
        <v/>
      </c>
      <c r="K649" s="49" t="n"/>
      <c r="L649" s="27">
        <f>IF($K649="","",IFERROR(INDEX(CONFIG!$B$4:$B$43,MATCH($K649,CONFIG!$A$4:$A$43,0)),"Media"))</f>
        <v/>
      </c>
      <c r="M649" s="27">
        <f>IF($K649="","",IFERROR(INDEX(CONFIG!$D$4:$D$43,MATCH($K649,CONFIG!$A$4:$A$43,0)),"NO"))</f>
        <v/>
      </c>
      <c r="N649" s="49" t="n"/>
      <c r="O649" s="27">
        <f>IF($N649="","",IFERROR(INDEX(CONFIG!$G$4:$G$43,MATCH($N649,CONFIG!$F$4:$F$43,0)),"Por definir"))</f>
        <v/>
      </c>
      <c r="P649" s="27">
        <f>IF($N649="","",IFERROR(INDEX(CONFIG!$H$4:$H$43,MATCH($N649,CONFIG!$F$4:$F$43,0)),"Por definir"))</f>
        <v/>
      </c>
      <c r="Q649" s="50" t="n"/>
      <c r="R649" s="51" t="n"/>
      <c r="S649" s="49" t="n"/>
      <c r="T649" s="49" t="n"/>
      <c r="U649" s="48">
        <f>IF(OR($B649="",$K649=""),"",WORKDAY($B649,IFERROR(INDEX(CONFIG!$C$4:$C$43,MATCH($K649,CONFIG!$A$4:$A$43,0)),3)))</f>
        <v/>
      </c>
      <c r="V649" s="46" t="n"/>
      <c r="W649" s="23">
        <f>IF($B649="","",IF($V649&lt;&gt;"",$V649-$B649,TODAY()-$B649))</f>
        <v/>
      </c>
      <c r="X649" s="27">
        <f>IF($C649="","",IF(IFERROR(INDEX(CONFIG!$K$4:$K$43,MATCH($S649,CONFIG!$J$4:$J$43,0)),"NO")="SÍ",IF(OR($V649="",$U649=""),"Resuelta",IF($V649&gt;$U649,"Resuelta tarde","Resuelta a tiempo")),IF($U649="","Sin clasificar",IF(TODAY()&gt;$U649,"Vencida",IF(TODAY()&gt;=$U649-1,"Por vencer","En plazo")))))</f>
        <v/>
      </c>
      <c r="Y649" s="49" t="n"/>
      <c r="Z649" s="49" t="n"/>
    </row>
    <row r="650" ht="16" customHeight="1">
      <c r="A650" s="27">
        <f>IF($C650="","","N-"&amp;TEXT(ROW()-3,"0000"))</f>
        <v/>
      </c>
      <c r="B650" s="46" t="n"/>
      <c r="C650" s="47" t="n"/>
      <c r="D650" s="27">
        <f>IF($C650="","",IF(COUNTIFS(ENVIOS!$A$4:$A$3003,$C650)=0,"NO EXISTE",IF(COUNTIFS(ENVIOS!$A$4:$A$3003,$C650)&gt;1,"DUPLICADA","OK")))</f>
        <v/>
      </c>
      <c r="E650" s="22">
        <f>IF($C650="","",IFERROR(INDEX(ENVIOS!$C$4:$C$3003,MATCH($C650,ENVIOS!$A$4:$A$3003,0)),"—"))</f>
        <v/>
      </c>
      <c r="F650" s="22">
        <f>IF($C650="","",IFERROR(INDEX(ENVIOS!$D$4:$D$3003,MATCH($C650,ENVIOS!$A$4:$A$3003,0)),"—"))</f>
        <v/>
      </c>
      <c r="G650" s="22">
        <f>IF($C650="","",IFERROR(INDEX(ENVIOS!$E$4:$E$3003,MATCH($C650,ENVIOS!$A$4:$A$3003,0)),"—"))</f>
        <v/>
      </c>
      <c r="H650" s="22">
        <f>IF($C650="","",IFERROR(INDEX(ENVIOS!$F$4:$F$3003,MATCH($C650,ENVIOS!$A$4:$A$3003,0)),"—"))</f>
        <v/>
      </c>
      <c r="I650" s="27">
        <f>IF($C650="","",IFERROR(INDEX(ENVIOS!$G$4:$G$3003,MATCH($C650,ENVIOS!$A$4:$A$3003,0)),"—"))</f>
        <v/>
      </c>
      <c r="J650" s="48">
        <f>IF($C650="","",IFERROR(INDEX(ENVIOS!$B$4:$B$3003,MATCH($C650,ENVIOS!$A$4:$A$3003,0)),""))</f>
        <v/>
      </c>
      <c r="K650" s="49" t="n"/>
      <c r="L650" s="27">
        <f>IF($K650="","",IFERROR(INDEX(CONFIG!$B$4:$B$43,MATCH($K650,CONFIG!$A$4:$A$43,0)),"Media"))</f>
        <v/>
      </c>
      <c r="M650" s="27">
        <f>IF($K650="","",IFERROR(INDEX(CONFIG!$D$4:$D$43,MATCH($K650,CONFIG!$A$4:$A$43,0)),"NO"))</f>
        <v/>
      </c>
      <c r="N650" s="49" t="n"/>
      <c r="O650" s="27">
        <f>IF($N650="","",IFERROR(INDEX(CONFIG!$G$4:$G$43,MATCH($N650,CONFIG!$F$4:$F$43,0)),"Por definir"))</f>
        <v/>
      </c>
      <c r="P650" s="27">
        <f>IF($N650="","",IFERROR(INDEX(CONFIG!$H$4:$H$43,MATCH($N650,CONFIG!$F$4:$F$43,0)),"Por definir"))</f>
        <v/>
      </c>
      <c r="Q650" s="50" t="n"/>
      <c r="R650" s="51" t="n"/>
      <c r="S650" s="49" t="n"/>
      <c r="T650" s="49" t="n"/>
      <c r="U650" s="48">
        <f>IF(OR($B650="",$K650=""),"",WORKDAY($B650,IFERROR(INDEX(CONFIG!$C$4:$C$43,MATCH($K650,CONFIG!$A$4:$A$43,0)),3)))</f>
        <v/>
      </c>
      <c r="V650" s="46" t="n"/>
      <c r="W650" s="23">
        <f>IF($B650="","",IF($V650&lt;&gt;"",$V650-$B650,TODAY()-$B650))</f>
        <v/>
      </c>
      <c r="X650" s="27">
        <f>IF($C650="","",IF(IFERROR(INDEX(CONFIG!$K$4:$K$43,MATCH($S650,CONFIG!$J$4:$J$43,0)),"NO")="SÍ",IF(OR($V650="",$U650=""),"Resuelta",IF($V650&gt;$U650,"Resuelta tarde","Resuelta a tiempo")),IF($U650="","Sin clasificar",IF(TODAY()&gt;$U650,"Vencida",IF(TODAY()&gt;=$U650-1,"Por vencer","En plazo")))))</f>
        <v/>
      </c>
      <c r="Y650" s="49" t="n"/>
      <c r="Z650" s="49" t="n"/>
    </row>
    <row r="651" ht="16" customHeight="1">
      <c r="A651" s="27">
        <f>IF($C651="","","N-"&amp;TEXT(ROW()-3,"0000"))</f>
        <v/>
      </c>
      <c r="B651" s="46" t="n"/>
      <c r="C651" s="47" t="n"/>
      <c r="D651" s="27">
        <f>IF($C651="","",IF(COUNTIFS(ENVIOS!$A$4:$A$3003,$C651)=0,"NO EXISTE",IF(COUNTIFS(ENVIOS!$A$4:$A$3003,$C651)&gt;1,"DUPLICADA","OK")))</f>
        <v/>
      </c>
      <c r="E651" s="22">
        <f>IF($C651="","",IFERROR(INDEX(ENVIOS!$C$4:$C$3003,MATCH($C651,ENVIOS!$A$4:$A$3003,0)),"—"))</f>
        <v/>
      </c>
      <c r="F651" s="22">
        <f>IF($C651="","",IFERROR(INDEX(ENVIOS!$D$4:$D$3003,MATCH($C651,ENVIOS!$A$4:$A$3003,0)),"—"))</f>
        <v/>
      </c>
      <c r="G651" s="22">
        <f>IF($C651="","",IFERROR(INDEX(ENVIOS!$E$4:$E$3003,MATCH($C651,ENVIOS!$A$4:$A$3003,0)),"—"))</f>
        <v/>
      </c>
      <c r="H651" s="22">
        <f>IF($C651="","",IFERROR(INDEX(ENVIOS!$F$4:$F$3003,MATCH($C651,ENVIOS!$A$4:$A$3003,0)),"—"))</f>
        <v/>
      </c>
      <c r="I651" s="27">
        <f>IF($C651="","",IFERROR(INDEX(ENVIOS!$G$4:$G$3003,MATCH($C651,ENVIOS!$A$4:$A$3003,0)),"—"))</f>
        <v/>
      </c>
      <c r="J651" s="48">
        <f>IF($C651="","",IFERROR(INDEX(ENVIOS!$B$4:$B$3003,MATCH($C651,ENVIOS!$A$4:$A$3003,0)),""))</f>
        <v/>
      </c>
      <c r="K651" s="49" t="n"/>
      <c r="L651" s="27">
        <f>IF($K651="","",IFERROR(INDEX(CONFIG!$B$4:$B$43,MATCH($K651,CONFIG!$A$4:$A$43,0)),"Media"))</f>
        <v/>
      </c>
      <c r="M651" s="27">
        <f>IF($K651="","",IFERROR(INDEX(CONFIG!$D$4:$D$43,MATCH($K651,CONFIG!$A$4:$A$43,0)),"NO"))</f>
        <v/>
      </c>
      <c r="N651" s="49" t="n"/>
      <c r="O651" s="27">
        <f>IF($N651="","",IFERROR(INDEX(CONFIG!$G$4:$G$43,MATCH($N651,CONFIG!$F$4:$F$43,0)),"Por definir"))</f>
        <v/>
      </c>
      <c r="P651" s="27">
        <f>IF($N651="","",IFERROR(INDEX(CONFIG!$H$4:$H$43,MATCH($N651,CONFIG!$F$4:$F$43,0)),"Por definir"))</f>
        <v/>
      </c>
      <c r="Q651" s="50" t="n"/>
      <c r="R651" s="51" t="n"/>
      <c r="S651" s="49" t="n"/>
      <c r="T651" s="49" t="n"/>
      <c r="U651" s="48">
        <f>IF(OR($B651="",$K651=""),"",WORKDAY($B651,IFERROR(INDEX(CONFIG!$C$4:$C$43,MATCH($K651,CONFIG!$A$4:$A$43,0)),3)))</f>
        <v/>
      </c>
      <c r="V651" s="46" t="n"/>
      <c r="W651" s="23">
        <f>IF($B651="","",IF($V651&lt;&gt;"",$V651-$B651,TODAY()-$B651))</f>
        <v/>
      </c>
      <c r="X651" s="27">
        <f>IF($C651="","",IF(IFERROR(INDEX(CONFIG!$K$4:$K$43,MATCH($S651,CONFIG!$J$4:$J$43,0)),"NO")="SÍ",IF(OR($V651="",$U651=""),"Resuelta",IF($V651&gt;$U651,"Resuelta tarde","Resuelta a tiempo")),IF($U651="","Sin clasificar",IF(TODAY()&gt;$U651,"Vencida",IF(TODAY()&gt;=$U651-1,"Por vencer","En plazo")))))</f>
        <v/>
      </c>
      <c r="Y651" s="49" t="n"/>
      <c r="Z651" s="49" t="n"/>
    </row>
    <row r="652" ht="16" customHeight="1">
      <c r="A652" s="27">
        <f>IF($C652="","","N-"&amp;TEXT(ROW()-3,"0000"))</f>
        <v/>
      </c>
      <c r="B652" s="46" t="n"/>
      <c r="C652" s="47" t="n"/>
      <c r="D652" s="27">
        <f>IF($C652="","",IF(COUNTIFS(ENVIOS!$A$4:$A$3003,$C652)=0,"NO EXISTE",IF(COUNTIFS(ENVIOS!$A$4:$A$3003,$C652)&gt;1,"DUPLICADA","OK")))</f>
        <v/>
      </c>
      <c r="E652" s="22">
        <f>IF($C652="","",IFERROR(INDEX(ENVIOS!$C$4:$C$3003,MATCH($C652,ENVIOS!$A$4:$A$3003,0)),"—"))</f>
        <v/>
      </c>
      <c r="F652" s="22">
        <f>IF($C652="","",IFERROR(INDEX(ENVIOS!$D$4:$D$3003,MATCH($C652,ENVIOS!$A$4:$A$3003,0)),"—"))</f>
        <v/>
      </c>
      <c r="G652" s="22">
        <f>IF($C652="","",IFERROR(INDEX(ENVIOS!$E$4:$E$3003,MATCH($C652,ENVIOS!$A$4:$A$3003,0)),"—"))</f>
        <v/>
      </c>
      <c r="H652" s="22">
        <f>IF($C652="","",IFERROR(INDEX(ENVIOS!$F$4:$F$3003,MATCH($C652,ENVIOS!$A$4:$A$3003,0)),"—"))</f>
        <v/>
      </c>
      <c r="I652" s="27">
        <f>IF($C652="","",IFERROR(INDEX(ENVIOS!$G$4:$G$3003,MATCH($C652,ENVIOS!$A$4:$A$3003,0)),"—"))</f>
        <v/>
      </c>
      <c r="J652" s="48">
        <f>IF($C652="","",IFERROR(INDEX(ENVIOS!$B$4:$B$3003,MATCH($C652,ENVIOS!$A$4:$A$3003,0)),""))</f>
        <v/>
      </c>
      <c r="K652" s="49" t="n"/>
      <c r="L652" s="27">
        <f>IF($K652="","",IFERROR(INDEX(CONFIG!$B$4:$B$43,MATCH($K652,CONFIG!$A$4:$A$43,0)),"Media"))</f>
        <v/>
      </c>
      <c r="M652" s="27">
        <f>IF($K652="","",IFERROR(INDEX(CONFIG!$D$4:$D$43,MATCH($K652,CONFIG!$A$4:$A$43,0)),"NO"))</f>
        <v/>
      </c>
      <c r="N652" s="49" t="n"/>
      <c r="O652" s="27">
        <f>IF($N652="","",IFERROR(INDEX(CONFIG!$G$4:$G$43,MATCH($N652,CONFIG!$F$4:$F$43,0)),"Por definir"))</f>
        <v/>
      </c>
      <c r="P652" s="27">
        <f>IF($N652="","",IFERROR(INDEX(CONFIG!$H$4:$H$43,MATCH($N652,CONFIG!$F$4:$F$43,0)),"Por definir"))</f>
        <v/>
      </c>
      <c r="Q652" s="50" t="n"/>
      <c r="R652" s="51" t="n"/>
      <c r="S652" s="49" t="n"/>
      <c r="T652" s="49" t="n"/>
      <c r="U652" s="48">
        <f>IF(OR($B652="",$K652=""),"",WORKDAY($B652,IFERROR(INDEX(CONFIG!$C$4:$C$43,MATCH($K652,CONFIG!$A$4:$A$43,0)),3)))</f>
        <v/>
      </c>
      <c r="V652" s="46" t="n"/>
      <c r="W652" s="23">
        <f>IF($B652="","",IF($V652&lt;&gt;"",$V652-$B652,TODAY()-$B652))</f>
        <v/>
      </c>
      <c r="X652" s="27">
        <f>IF($C652="","",IF(IFERROR(INDEX(CONFIG!$K$4:$K$43,MATCH($S652,CONFIG!$J$4:$J$43,0)),"NO")="SÍ",IF(OR($V652="",$U652=""),"Resuelta",IF($V652&gt;$U652,"Resuelta tarde","Resuelta a tiempo")),IF($U652="","Sin clasificar",IF(TODAY()&gt;$U652,"Vencida",IF(TODAY()&gt;=$U652-1,"Por vencer","En plazo")))))</f>
        <v/>
      </c>
      <c r="Y652" s="49" t="n"/>
      <c r="Z652" s="49" t="n"/>
    </row>
    <row r="653" ht="16" customHeight="1">
      <c r="A653" s="27">
        <f>IF($C653="","","N-"&amp;TEXT(ROW()-3,"0000"))</f>
        <v/>
      </c>
      <c r="B653" s="46" t="n"/>
      <c r="C653" s="47" t="n"/>
      <c r="D653" s="27">
        <f>IF($C653="","",IF(COUNTIFS(ENVIOS!$A$4:$A$3003,$C653)=0,"NO EXISTE",IF(COUNTIFS(ENVIOS!$A$4:$A$3003,$C653)&gt;1,"DUPLICADA","OK")))</f>
        <v/>
      </c>
      <c r="E653" s="22">
        <f>IF($C653="","",IFERROR(INDEX(ENVIOS!$C$4:$C$3003,MATCH($C653,ENVIOS!$A$4:$A$3003,0)),"—"))</f>
        <v/>
      </c>
      <c r="F653" s="22">
        <f>IF($C653="","",IFERROR(INDEX(ENVIOS!$D$4:$D$3003,MATCH($C653,ENVIOS!$A$4:$A$3003,0)),"—"))</f>
        <v/>
      </c>
      <c r="G653" s="22">
        <f>IF($C653="","",IFERROR(INDEX(ENVIOS!$E$4:$E$3003,MATCH($C653,ENVIOS!$A$4:$A$3003,0)),"—"))</f>
        <v/>
      </c>
      <c r="H653" s="22">
        <f>IF($C653="","",IFERROR(INDEX(ENVIOS!$F$4:$F$3003,MATCH($C653,ENVIOS!$A$4:$A$3003,0)),"—"))</f>
        <v/>
      </c>
      <c r="I653" s="27">
        <f>IF($C653="","",IFERROR(INDEX(ENVIOS!$G$4:$G$3003,MATCH($C653,ENVIOS!$A$4:$A$3003,0)),"—"))</f>
        <v/>
      </c>
      <c r="J653" s="48">
        <f>IF($C653="","",IFERROR(INDEX(ENVIOS!$B$4:$B$3003,MATCH($C653,ENVIOS!$A$4:$A$3003,0)),""))</f>
        <v/>
      </c>
      <c r="K653" s="49" t="n"/>
      <c r="L653" s="27">
        <f>IF($K653="","",IFERROR(INDEX(CONFIG!$B$4:$B$43,MATCH($K653,CONFIG!$A$4:$A$43,0)),"Media"))</f>
        <v/>
      </c>
      <c r="M653" s="27">
        <f>IF($K653="","",IFERROR(INDEX(CONFIG!$D$4:$D$43,MATCH($K653,CONFIG!$A$4:$A$43,0)),"NO"))</f>
        <v/>
      </c>
      <c r="N653" s="49" t="n"/>
      <c r="O653" s="27">
        <f>IF($N653="","",IFERROR(INDEX(CONFIG!$G$4:$G$43,MATCH($N653,CONFIG!$F$4:$F$43,0)),"Por definir"))</f>
        <v/>
      </c>
      <c r="P653" s="27">
        <f>IF($N653="","",IFERROR(INDEX(CONFIG!$H$4:$H$43,MATCH($N653,CONFIG!$F$4:$F$43,0)),"Por definir"))</f>
        <v/>
      </c>
      <c r="Q653" s="50" t="n"/>
      <c r="R653" s="51" t="n"/>
      <c r="S653" s="49" t="n"/>
      <c r="T653" s="49" t="n"/>
      <c r="U653" s="48">
        <f>IF(OR($B653="",$K653=""),"",WORKDAY($B653,IFERROR(INDEX(CONFIG!$C$4:$C$43,MATCH($K653,CONFIG!$A$4:$A$43,0)),3)))</f>
        <v/>
      </c>
      <c r="V653" s="46" t="n"/>
      <c r="W653" s="23">
        <f>IF($B653="","",IF($V653&lt;&gt;"",$V653-$B653,TODAY()-$B653))</f>
        <v/>
      </c>
      <c r="X653" s="27">
        <f>IF($C653="","",IF(IFERROR(INDEX(CONFIG!$K$4:$K$43,MATCH($S653,CONFIG!$J$4:$J$43,0)),"NO")="SÍ",IF(OR($V653="",$U653=""),"Resuelta",IF($V653&gt;$U653,"Resuelta tarde","Resuelta a tiempo")),IF($U653="","Sin clasificar",IF(TODAY()&gt;$U653,"Vencida",IF(TODAY()&gt;=$U653-1,"Por vencer","En plazo")))))</f>
        <v/>
      </c>
      <c r="Y653" s="49" t="n"/>
      <c r="Z653" s="49" t="n"/>
    </row>
    <row r="654" ht="16" customHeight="1">
      <c r="A654" s="27">
        <f>IF($C654="","","N-"&amp;TEXT(ROW()-3,"0000"))</f>
        <v/>
      </c>
      <c r="B654" s="46" t="n"/>
      <c r="C654" s="47" t="n"/>
      <c r="D654" s="27">
        <f>IF($C654="","",IF(COUNTIFS(ENVIOS!$A$4:$A$3003,$C654)=0,"NO EXISTE",IF(COUNTIFS(ENVIOS!$A$4:$A$3003,$C654)&gt;1,"DUPLICADA","OK")))</f>
        <v/>
      </c>
      <c r="E654" s="22">
        <f>IF($C654="","",IFERROR(INDEX(ENVIOS!$C$4:$C$3003,MATCH($C654,ENVIOS!$A$4:$A$3003,0)),"—"))</f>
        <v/>
      </c>
      <c r="F654" s="22">
        <f>IF($C654="","",IFERROR(INDEX(ENVIOS!$D$4:$D$3003,MATCH($C654,ENVIOS!$A$4:$A$3003,0)),"—"))</f>
        <v/>
      </c>
      <c r="G654" s="22">
        <f>IF($C654="","",IFERROR(INDEX(ENVIOS!$E$4:$E$3003,MATCH($C654,ENVIOS!$A$4:$A$3003,0)),"—"))</f>
        <v/>
      </c>
      <c r="H654" s="22">
        <f>IF($C654="","",IFERROR(INDEX(ENVIOS!$F$4:$F$3003,MATCH($C654,ENVIOS!$A$4:$A$3003,0)),"—"))</f>
        <v/>
      </c>
      <c r="I654" s="27">
        <f>IF($C654="","",IFERROR(INDEX(ENVIOS!$G$4:$G$3003,MATCH($C654,ENVIOS!$A$4:$A$3003,0)),"—"))</f>
        <v/>
      </c>
      <c r="J654" s="48">
        <f>IF($C654="","",IFERROR(INDEX(ENVIOS!$B$4:$B$3003,MATCH($C654,ENVIOS!$A$4:$A$3003,0)),""))</f>
        <v/>
      </c>
      <c r="K654" s="49" t="n"/>
      <c r="L654" s="27">
        <f>IF($K654="","",IFERROR(INDEX(CONFIG!$B$4:$B$43,MATCH($K654,CONFIG!$A$4:$A$43,0)),"Media"))</f>
        <v/>
      </c>
      <c r="M654" s="27">
        <f>IF($K654="","",IFERROR(INDEX(CONFIG!$D$4:$D$43,MATCH($K654,CONFIG!$A$4:$A$43,0)),"NO"))</f>
        <v/>
      </c>
      <c r="N654" s="49" t="n"/>
      <c r="O654" s="27">
        <f>IF($N654="","",IFERROR(INDEX(CONFIG!$G$4:$G$43,MATCH($N654,CONFIG!$F$4:$F$43,0)),"Por definir"))</f>
        <v/>
      </c>
      <c r="P654" s="27">
        <f>IF($N654="","",IFERROR(INDEX(CONFIG!$H$4:$H$43,MATCH($N654,CONFIG!$F$4:$F$43,0)),"Por definir"))</f>
        <v/>
      </c>
      <c r="Q654" s="50" t="n"/>
      <c r="R654" s="51" t="n"/>
      <c r="S654" s="49" t="n"/>
      <c r="T654" s="49" t="n"/>
      <c r="U654" s="48">
        <f>IF(OR($B654="",$K654=""),"",WORKDAY($B654,IFERROR(INDEX(CONFIG!$C$4:$C$43,MATCH($K654,CONFIG!$A$4:$A$43,0)),3)))</f>
        <v/>
      </c>
      <c r="V654" s="46" t="n"/>
      <c r="W654" s="23">
        <f>IF($B654="","",IF($V654&lt;&gt;"",$V654-$B654,TODAY()-$B654))</f>
        <v/>
      </c>
      <c r="X654" s="27">
        <f>IF($C654="","",IF(IFERROR(INDEX(CONFIG!$K$4:$K$43,MATCH($S654,CONFIG!$J$4:$J$43,0)),"NO")="SÍ",IF(OR($V654="",$U654=""),"Resuelta",IF($V654&gt;$U654,"Resuelta tarde","Resuelta a tiempo")),IF($U654="","Sin clasificar",IF(TODAY()&gt;$U654,"Vencida",IF(TODAY()&gt;=$U654-1,"Por vencer","En plazo")))))</f>
        <v/>
      </c>
      <c r="Y654" s="49" t="n"/>
      <c r="Z654" s="49" t="n"/>
    </row>
    <row r="655" ht="16" customHeight="1">
      <c r="A655" s="27">
        <f>IF($C655="","","N-"&amp;TEXT(ROW()-3,"0000"))</f>
        <v/>
      </c>
      <c r="B655" s="46" t="n"/>
      <c r="C655" s="47" t="n"/>
      <c r="D655" s="27">
        <f>IF($C655="","",IF(COUNTIFS(ENVIOS!$A$4:$A$3003,$C655)=0,"NO EXISTE",IF(COUNTIFS(ENVIOS!$A$4:$A$3003,$C655)&gt;1,"DUPLICADA","OK")))</f>
        <v/>
      </c>
      <c r="E655" s="22">
        <f>IF($C655="","",IFERROR(INDEX(ENVIOS!$C$4:$C$3003,MATCH($C655,ENVIOS!$A$4:$A$3003,0)),"—"))</f>
        <v/>
      </c>
      <c r="F655" s="22">
        <f>IF($C655="","",IFERROR(INDEX(ENVIOS!$D$4:$D$3003,MATCH($C655,ENVIOS!$A$4:$A$3003,0)),"—"))</f>
        <v/>
      </c>
      <c r="G655" s="22">
        <f>IF($C655="","",IFERROR(INDEX(ENVIOS!$E$4:$E$3003,MATCH($C655,ENVIOS!$A$4:$A$3003,0)),"—"))</f>
        <v/>
      </c>
      <c r="H655" s="22">
        <f>IF($C655="","",IFERROR(INDEX(ENVIOS!$F$4:$F$3003,MATCH($C655,ENVIOS!$A$4:$A$3003,0)),"—"))</f>
        <v/>
      </c>
      <c r="I655" s="27">
        <f>IF($C655="","",IFERROR(INDEX(ENVIOS!$G$4:$G$3003,MATCH($C655,ENVIOS!$A$4:$A$3003,0)),"—"))</f>
        <v/>
      </c>
      <c r="J655" s="48">
        <f>IF($C655="","",IFERROR(INDEX(ENVIOS!$B$4:$B$3003,MATCH($C655,ENVIOS!$A$4:$A$3003,0)),""))</f>
        <v/>
      </c>
      <c r="K655" s="49" t="n"/>
      <c r="L655" s="27">
        <f>IF($K655="","",IFERROR(INDEX(CONFIG!$B$4:$B$43,MATCH($K655,CONFIG!$A$4:$A$43,0)),"Media"))</f>
        <v/>
      </c>
      <c r="M655" s="27">
        <f>IF($K655="","",IFERROR(INDEX(CONFIG!$D$4:$D$43,MATCH($K655,CONFIG!$A$4:$A$43,0)),"NO"))</f>
        <v/>
      </c>
      <c r="N655" s="49" t="n"/>
      <c r="O655" s="27">
        <f>IF($N655="","",IFERROR(INDEX(CONFIG!$G$4:$G$43,MATCH($N655,CONFIG!$F$4:$F$43,0)),"Por definir"))</f>
        <v/>
      </c>
      <c r="P655" s="27">
        <f>IF($N655="","",IFERROR(INDEX(CONFIG!$H$4:$H$43,MATCH($N655,CONFIG!$F$4:$F$43,0)),"Por definir"))</f>
        <v/>
      </c>
      <c r="Q655" s="50" t="n"/>
      <c r="R655" s="51" t="n"/>
      <c r="S655" s="49" t="n"/>
      <c r="T655" s="49" t="n"/>
      <c r="U655" s="48">
        <f>IF(OR($B655="",$K655=""),"",WORKDAY($B655,IFERROR(INDEX(CONFIG!$C$4:$C$43,MATCH($K655,CONFIG!$A$4:$A$43,0)),3)))</f>
        <v/>
      </c>
      <c r="V655" s="46" t="n"/>
      <c r="W655" s="23">
        <f>IF($B655="","",IF($V655&lt;&gt;"",$V655-$B655,TODAY()-$B655))</f>
        <v/>
      </c>
      <c r="X655" s="27">
        <f>IF($C655="","",IF(IFERROR(INDEX(CONFIG!$K$4:$K$43,MATCH($S655,CONFIG!$J$4:$J$43,0)),"NO")="SÍ",IF(OR($V655="",$U655=""),"Resuelta",IF($V655&gt;$U655,"Resuelta tarde","Resuelta a tiempo")),IF($U655="","Sin clasificar",IF(TODAY()&gt;$U655,"Vencida",IF(TODAY()&gt;=$U655-1,"Por vencer","En plazo")))))</f>
        <v/>
      </c>
      <c r="Y655" s="49" t="n"/>
      <c r="Z655" s="49" t="n"/>
    </row>
    <row r="656" ht="16" customHeight="1">
      <c r="A656" s="27">
        <f>IF($C656="","","N-"&amp;TEXT(ROW()-3,"0000"))</f>
        <v/>
      </c>
      <c r="B656" s="46" t="n"/>
      <c r="C656" s="47" t="n"/>
      <c r="D656" s="27">
        <f>IF($C656="","",IF(COUNTIFS(ENVIOS!$A$4:$A$3003,$C656)=0,"NO EXISTE",IF(COUNTIFS(ENVIOS!$A$4:$A$3003,$C656)&gt;1,"DUPLICADA","OK")))</f>
        <v/>
      </c>
      <c r="E656" s="22">
        <f>IF($C656="","",IFERROR(INDEX(ENVIOS!$C$4:$C$3003,MATCH($C656,ENVIOS!$A$4:$A$3003,0)),"—"))</f>
        <v/>
      </c>
      <c r="F656" s="22">
        <f>IF($C656="","",IFERROR(INDEX(ENVIOS!$D$4:$D$3003,MATCH($C656,ENVIOS!$A$4:$A$3003,0)),"—"))</f>
        <v/>
      </c>
      <c r="G656" s="22">
        <f>IF($C656="","",IFERROR(INDEX(ENVIOS!$E$4:$E$3003,MATCH($C656,ENVIOS!$A$4:$A$3003,0)),"—"))</f>
        <v/>
      </c>
      <c r="H656" s="22">
        <f>IF($C656="","",IFERROR(INDEX(ENVIOS!$F$4:$F$3003,MATCH($C656,ENVIOS!$A$4:$A$3003,0)),"—"))</f>
        <v/>
      </c>
      <c r="I656" s="27">
        <f>IF($C656="","",IFERROR(INDEX(ENVIOS!$G$4:$G$3003,MATCH($C656,ENVIOS!$A$4:$A$3003,0)),"—"))</f>
        <v/>
      </c>
      <c r="J656" s="48">
        <f>IF($C656="","",IFERROR(INDEX(ENVIOS!$B$4:$B$3003,MATCH($C656,ENVIOS!$A$4:$A$3003,0)),""))</f>
        <v/>
      </c>
      <c r="K656" s="49" t="n"/>
      <c r="L656" s="27">
        <f>IF($K656="","",IFERROR(INDEX(CONFIG!$B$4:$B$43,MATCH($K656,CONFIG!$A$4:$A$43,0)),"Media"))</f>
        <v/>
      </c>
      <c r="M656" s="27">
        <f>IF($K656="","",IFERROR(INDEX(CONFIG!$D$4:$D$43,MATCH($K656,CONFIG!$A$4:$A$43,0)),"NO"))</f>
        <v/>
      </c>
      <c r="N656" s="49" t="n"/>
      <c r="O656" s="27">
        <f>IF($N656="","",IFERROR(INDEX(CONFIG!$G$4:$G$43,MATCH($N656,CONFIG!$F$4:$F$43,0)),"Por definir"))</f>
        <v/>
      </c>
      <c r="P656" s="27">
        <f>IF($N656="","",IFERROR(INDEX(CONFIG!$H$4:$H$43,MATCH($N656,CONFIG!$F$4:$F$43,0)),"Por definir"))</f>
        <v/>
      </c>
      <c r="Q656" s="50" t="n"/>
      <c r="R656" s="51" t="n"/>
      <c r="S656" s="49" t="n"/>
      <c r="T656" s="49" t="n"/>
      <c r="U656" s="48">
        <f>IF(OR($B656="",$K656=""),"",WORKDAY($B656,IFERROR(INDEX(CONFIG!$C$4:$C$43,MATCH($K656,CONFIG!$A$4:$A$43,0)),3)))</f>
        <v/>
      </c>
      <c r="V656" s="46" t="n"/>
      <c r="W656" s="23">
        <f>IF($B656="","",IF($V656&lt;&gt;"",$V656-$B656,TODAY()-$B656))</f>
        <v/>
      </c>
      <c r="X656" s="27">
        <f>IF($C656="","",IF(IFERROR(INDEX(CONFIG!$K$4:$K$43,MATCH($S656,CONFIG!$J$4:$J$43,0)),"NO")="SÍ",IF(OR($V656="",$U656=""),"Resuelta",IF($V656&gt;$U656,"Resuelta tarde","Resuelta a tiempo")),IF($U656="","Sin clasificar",IF(TODAY()&gt;$U656,"Vencida",IF(TODAY()&gt;=$U656-1,"Por vencer","En plazo")))))</f>
        <v/>
      </c>
      <c r="Y656" s="49" t="n"/>
      <c r="Z656" s="49" t="n"/>
    </row>
    <row r="657" ht="16" customHeight="1">
      <c r="A657" s="27">
        <f>IF($C657="","","N-"&amp;TEXT(ROW()-3,"0000"))</f>
        <v/>
      </c>
      <c r="B657" s="46" t="n"/>
      <c r="C657" s="47" t="n"/>
      <c r="D657" s="27">
        <f>IF($C657="","",IF(COUNTIFS(ENVIOS!$A$4:$A$3003,$C657)=0,"NO EXISTE",IF(COUNTIFS(ENVIOS!$A$4:$A$3003,$C657)&gt;1,"DUPLICADA","OK")))</f>
        <v/>
      </c>
      <c r="E657" s="22">
        <f>IF($C657="","",IFERROR(INDEX(ENVIOS!$C$4:$C$3003,MATCH($C657,ENVIOS!$A$4:$A$3003,0)),"—"))</f>
        <v/>
      </c>
      <c r="F657" s="22">
        <f>IF($C657="","",IFERROR(INDEX(ENVIOS!$D$4:$D$3003,MATCH($C657,ENVIOS!$A$4:$A$3003,0)),"—"))</f>
        <v/>
      </c>
      <c r="G657" s="22">
        <f>IF($C657="","",IFERROR(INDEX(ENVIOS!$E$4:$E$3003,MATCH($C657,ENVIOS!$A$4:$A$3003,0)),"—"))</f>
        <v/>
      </c>
      <c r="H657" s="22">
        <f>IF($C657="","",IFERROR(INDEX(ENVIOS!$F$4:$F$3003,MATCH($C657,ENVIOS!$A$4:$A$3003,0)),"—"))</f>
        <v/>
      </c>
      <c r="I657" s="27">
        <f>IF($C657="","",IFERROR(INDEX(ENVIOS!$G$4:$G$3003,MATCH($C657,ENVIOS!$A$4:$A$3003,0)),"—"))</f>
        <v/>
      </c>
      <c r="J657" s="48">
        <f>IF($C657="","",IFERROR(INDEX(ENVIOS!$B$4:$B$3003,MATCH($C657,ENVIOS!$A$4:$A$3003,0)),""))</f>
        <v/>
      </c>
      <c r="K657" s="49" t="n"/>
      <c r="L657" s="27">
        <f>IF($K657="","",IFERROR(INDEX(CONFIG!$B$4:$B$43,MATCH($K657,CONFIG!$A$4:$A$43,0)),"Media"))</f>
        <v/>
      </c>
      <c r="M657" s="27">
        <f>IF($K657="","",IFERROR(INDEX(CONFIG!$D$4:$D$43,MATCH($K657,CONFIG!$A$4:$A$43,0)),"NO"))</f>
        <v/>
      </c>
      <c r="N657" s="49" t="n"/>
      <c r="O657" s="27">
        <f>IF($N657="","",IFERROR(INDEX(CONFIG!$G$4:$G$43,MATCH($N657,CONFIG!$F$4:$F$43,0)),"Por definir"))</f>
        <v/>
      </c>
      <c r="P657" s="27">
        <f>IF($N657="","",IFERROR(INDEX(CONFIG!$H$4:$H$43,MATCH($N657,CONFIG!$F$4:$F$43,0)),"Por definir"))</f>
        <v/>
      </c>
      <c r="Q657" s="50" t="n"/>
      <c r="R657" s="51" t="n"/>
      <c r="S657" s="49" t="n"/>
      <c r="T657" s="49" t="n"/>
      <c r="U657" s="48">
        <f>IF(OR($B657="",$K657=""),"",WORKDAY($B657,IFERROR(INDEX(CONFIG!$C$4:$C$43,MATCH($K657,CONFIG!$A$4:$A$43,0)),3)))</f>
        <v/>
      </c>
      <c r="V657" s="46" t="n"/>
      <c r="W657" s="23">
        <f>IF($B657="","",IF($V657&lt;&gt;"",$V657-$B657,TODAY()-$B657))</f>
        <v/>
      </c>
      <c r="X657" s="27">
        <f>IF($C657="","",IF(IFERROR(INDEX(CONFIG!$K$4:$K$43,MATCH($S657,CONFIG!$J$4:$J$43,0)),"NO")="SÍ",IF(OR($V657="",$U657=""),"Resuelta",IF($V657&gt;$U657,"Resuelta tarde","Resuelta a tiempo")),IF($U657="","Sin clasificar",IF(TODAY()&gt;$U657,"Vencida",IF(TODAY()&gt;=$U657-1,"Por vencer","En plazo")))))</f>
        <v/>
      </c>
      <c r="Y657" s="49" t="n"/>
      <c r="Z657" s="49" t="n"/>
    </row>
    <row r="658" ht="16" customHeight="1">
      <c r="A658" s="27">
        <f>IF($C658="","","N-"&amp;TEXT(ROW()-3,"0000"))</f>
        <v/>
      </c>
      <c r="B658" s="46" t="n"/>
      <c r="C658" s="47" t="n"/>
      <c r="D658" s="27">
        <f>IF($C658="","",IF(COUNTIFS(ENVIOS!$A$4:$A$3003,$C658)=0,"NO EXISTE",IF(COUNTIFS(ENVIOS!$A$4:$A$3003,$C658)&gt;1,"DUPLICADA","OK")))</f>
        <v/>
      </c>
      <c r="E658" s="22">
        <f>IF($C658="","",IFERROR(INDEX(ENVIOS!$C$4:$C$3003,MATCH($C658,ENVIOS!$A$4:$A$3003,0)),"—"))</f>
        <v/>
      </c>
      <c r="F658" s="22">
        <f>IF($C658="","",IFERROR(INDEX(ENVIOS!$D$4:$D$3003,MATCH($C658,ENVIOS!$A$4:$A$3003,0)),"—"))</f>
        <v/>
      </c>
      <c r="G658" s="22">
        <f>IF($C658="","",IFERROR(INDEX(ENVIOS!$E$4:$E$3003,MATCH($C658,ENVIOS!$A$4:$A$3003,0)),"—"))</f>
        <v/>
      </c>
      <c r="H658" s="22">
        <f>IF($C658="","",IFERROR(INDEX(ENVIOS!$F$4:$F$3003,MATCH($C658,ENVIOS!$A$4:$A$3003,0)),"—"))</f>
        <v/>
      </c>
      <c r="I658" s="27">
        <f>IF($C658="","",IFERROR(INDEX(ENVIOS!$G$4:$G$3003,MATCH($C658,ENVIOS!$A$4:$A$3003,0)),"—"))</f>
        <v/>
      </c>
      <c r="J658" s="48">
        <f>IF($C658="","",IFERROR(INDEX(ENVIOS!$B$4:$B$3003,MATCH($C658,ENVIOS!$A$4:$A$3003,0)),""))</f>
        <v/>
      </c>
      <c r="K658" s="49" t="n"/>
      <c r="L658" s="27">
        <f>IF($K658="","",IFERROR(INDEX(CONFIG!$B$4:$B$43,MATCH($K658,CONFIG!$A$4:$A$43,0)),"Media"))</f>
        <v/>
      </c>
      <c r="M658" s="27">
        <f>IF($K658="","",IFERROR(INDEX(CONFIG!$D$4:$D$43,MATCH($K658,CONFIG!$A$4:$A$43,0)),"NO"))</f>
        <v/>
      </c>
      <c r="N658" s="49" t="n"/>
      <c r="O658" s="27">
        <f>IF($N658="","",IFERROR(INDEX(CONFIG!$G$4:$G$43,MATCH($N658,CONFIG!$F$4:$F$43,0)),"Por definir"))</f>
        <v/>
      </c>
      <c r="P658" s="27">
        <f>IF($N658="","",IFERROR(INDEX(CONFIG!$H$4:$H$43,MATCH($N658,CONFIG!$F$4:$F$43,0)),"Por definir"))</f>
        <v/>
      </c>
      <c r="Q658" s="50" t="n"/>
      <c r="R658" s="51" t="n"/>
      <c r="S658" s="49" t="n"/>
      <c r="T658" s="49" t="n"/>
      <c r="U658" s="48">
        <f>IF(OR($B658="",$K658=""),"",WORKDAY($B658,IFERROR(INDEX(CONFIG!$C$4:$C$43,MATCH($K658,CONFIG!$A$4:$A$43,0)),3)))</f>
        <v/>
      </c>
      <c r="V658" s="46" t="n"/>
      <c r="W658" s="23">
        <f>IF($B658="","",IF($V658&lt;&gt;"",$V658-$B658,TODAY()-$B658))</f>
        <v/>
      </c>
      <c r="X658" s="27">
        <f>IF($C658="","",IF(IFERROR(INDEX(CONFIG!$K$4:$K$43,MATCH($S658,CONFIG!$J$4:$J$43,0)),"NO")="SÍ",IF(OR($V658="",$U658=""),"Resuelta",IF($V658&gt;$U658,"Resuelta tarde","Resuelta a tiempo")),IF($U658="","Sin clasificar",IF(TODAY()&gt;$U658,"Vencida",IF(TODAY()&gt;=$U658-1,"Por vencer","En plazo")))))</f>
        <v/>
      </c>
      <c r="Y658" s="49" t="n"/>
      <c r="Z658" s="49" t="n"/>
    </row>
    <row r="659" ht="16" customHeight="1">
      <c r="A659" s="27">
        <f>IF($C659="","","N-"&amp;TEXT(ROW()-3,"0000"))</f>
        <v/>
      </c>
      <c r="B659" s="46" t="n"/>
      <c r="C659" s="47" t="n"/>
      <c r="D659" s="27">
        <f>IF($C659="","",IF(COUNTIFS(ENVIOS!$A$4:$A$3003,$C659)=0,"NO EXISTE",IF(COUNTIFS(ENVIOS!$A$4:$A$3003,$C659)&gt;1,"DUPLICADA","OK")))</f>
        <v/>
      </c>
      <c r="E659" s="22">
        <f>IF($C659="","",IFERROR(INDEX(ENVIOS!$C$4:$C$3003,MATCH($C659,ENVIOS!$A$4:$A$3003,0)),"—"))</f>
        <v/>
      </c>
      <c r="F659" s="22">
        <f>IF($C659="","",IFERROR(INDEX(ENVIOS!$D$4:$D$3003,MATCH($C659,ENVIOS!$A$4:$A$3003,0)),"—"))</f>
        <v/>
      </c>
      <c r="G659" s="22">
        <f>IF($C659="","",IFERROR(INDEX(ENVIOS!$E$4:$E$3003,MATCH($C659,ENVIOS!$A$4:$A$3003,0)),"—"))</f>
        <v/>
      </c>
      <c r="H659" s="22">
        <f>IF($C659="","",IFERROR(INDEX(ENVIOS!$F$4:$F$3003,MATCH($C659,ENVIOS!$A$4:$A$3003,0)),"—"))</f>
        <v/>
      </c>
      <c r="I659" s="27">
        <f>IF($C659="","",IFERROR(INDEX(ENVIOS!$G$4:$G$3003,MATCH($C659,ENVIOS!$A$4:$A$3003,0)),"—"))</f>
        <v/>
      </c>
      <c r="J659" s="48">
        <f>IF($C659="","",IFERROR(INDEX(ENVIOS!$B$4:$B$3003,MATCH($C659,ENVIOS!$A$4:$A$3003,0)),""))</f>
        <v/>
      </c>
      <c r="K659" s="49" t="n"/>
      <c r="L659" s="27">
        <f>IF($K659="","",IFERROR(INDEX(CONFIG!$B$4:$B$43,MATCH($K659,CONFIG!$A$4:$A$43,0)),"Media"))</f>
        <v/>
      </c>
      <c r="M659" s="27">
        <f>IF($K659="","",IFERROR(INDEX(CONFIG!$D$4:$D$43,MATCH($K659,CONFIG!$A$4:$A$43,0)),"NO"))</f>
        <v/>
      </c>
      <c r="N659" s="49" t="n"/>
      <c r="O659" s="27">
        <f>IF($N659="","",IFERROR(INDEX(CONFIG!$G$4:$G$43,MATCH($N659,CONFIG!$F$4:$F$43,0)),"Por definir"))</f>
        <v/>
      </c>
      <c r="P659" s="27">
        <f>IF($N659="","",IFERROR(INDEX(CONFIG!$H$4:$H$43,MATCH($N659,CONFIG!$F$4:$F$43,0)),"Por definir"))</f>
        <v/>
      </c>
      <c r="Q659" s="50" t="n"/>
      <c r="R659" s="51" t="n"/>
      <c r="S659" s="49" t="n"/>
      <c r="T659" s="49" t="n"/>
      <c r="U659" s="48">
        <f>IF(OR($B659="",$K659=""),"",WORKDAY($B659,IFERROR(INDEX(CONFIG!$C$4:$C$43,MATCH($K659,CONFIG!$A$4:$A$43,0)),3)))</f>
        <v/>
      </c>
      <c r="V659" s="46" t="n"/>
      <c r="W659" s="23">
        <f>IF($B659="","",IF($V659&lt;&gt;"",$V659-$B659,TODAY()-$B659))</f>
        <v/>
      </c>
      <c r="X659" s="27">
        <f>IF($C659="","",IF(IFERROR(INDEX(CONFIG!$K$4:$K$43,MATCH($S659,CONFIG!$J$4:$J$43,0)),"NO")="SÍ",IF(OR($V659="",$U659=""),"Resuelta",IF($V659&gt;$U659,"Resuelta tarde","Resuelta a tiempo")),IF($U659="","Sin clasificar",IF(TODAY()&gt;$U659,"Vencida",IF(TODAY()&gt;=$U659-1,"Por vencer","En plazo")))))</f>
        <v/>
      </c>
      <c r="Y659" s="49" t="n"/>
      <c r="Z659" s="49" t="n"/>
    </row>
    <row r="660" ht="16" customHeight="1">
      <c r="A660" s="27">
        <f>IF($C660="","","N-"&amp;TEXT(ROW()-3,"0000"))</f>
        <v/>
      </c>
      <c r="B660" s="46" t="n"/>
      <c r="C660" s="47" t="n"/>
      <c r="D660" s="27">
        <f>IF($C660="","",IF(COUNTIFS(ENVIOS!$A$4:$A$3003,$C660)=0,"NO EXISTE",IF(COUNTIFS(ENVIOS!$A$4:$A$3003,$C660)&gt;1,"DUPLICADA","OK")))</f>
        <v/>
      </c>
      <c r="E660" s="22">
        <f>IF($C660="","",IFERROR(INDEX(ENVIOS!$C$4:$C$3003,MATCH($C660,ENVIOS!$A$4:$A$3003,0)),"—"))</f>
        <v/>
      </c>
      <c r="F660" s="22">
        <f>IF($C660="","",IFERROR(INDEX(ENVIOS!$D$4:$D$3003,MATCH($C660,ENVIOS!$A$4:$A$3003,0)),"—"))</f>
        <v/>
      </c>
      <c r="G660" s="22">
        <f>IF($C660="","",IFERROR(INDEX(ENVIOS!$E$4:$E$3003,MATCH($C660,ENVIOS!$A$4:$A$3003,0)),"—"))</f>
        <v/>
      </c>
      <c r="H660" s="22">
        <f>IF($C660="","",IFERROR(INDEX(ENVIOS!$F$4:$F$3003,MATCH($C660,ENVIOS!$A$4:$A$3003,0)),"—"))</f>
        <v/>
      </c>
      <c r="I660" s="27">
        <f>IF($C660="","",IFERROR(INDEX(ENVIOS!$G$4:$G$3003,MATCH($C660,ENVIOS!$A$4:$A$3003,0)),"—"))</f>
        <v/>
      </c>
      <c r="J660" s="48">
        <f>IF($C660="","",IFERROR(INDEX(ENVIOS!$B$4:$B$3003,MATCH($C660,ENVIOS!$A$4:$A$3003,0)),""))</f>
        <v/>
      </c>
      <c r="K660" s="49" t="n"/>
      <c r="L660" s="27">
        <f>IF($K660="","",IFERROR(INDEX(CONFIG!$B$4:$B$43,MATCH($K660,CONFIG!$A$4:$A$43,0)),"Media"))</f>
        <v/>
      </c>
      <c r="M660" s="27">
        <f>IF($K660="","",IFERROR(INDEX(CONFIG!$D$4:$D$43,MATCH($K660,CONFIG!$A$4:$A$43,0)),"NO"))</f>
        <v/>
      </c>
      <c r="N660" s="49" t="n"/>
      <c r="O660" s="27">
        <f>IF($N660="","",IFERROR(INDEX(CONFIG!$G$4:$G$43,MATCH($N660,CONFIG!$F$4:$F$43,0)),"Por definir"))</f>
        <v/>
      </c>
      <c r="P660" s="27">
        <f>IF($N660="","",IFERROR(INDEX(CONFIG!$H$4:$H$43,MATCH($N660,CONFIG!$F$4:$F$43,0)),"Por definir"))</f>
        <v/>
      </c>
      <c r="Q660" s="50" t="n"/>
      <c r="R660" s="51" t="n"/>
      <c r="S660" s="49" t="n"/>
      <c r="T660" s="49" t="n"/>
      <c r="U660" s="48">
        <f>IF(OR($B660="",$K660=""),"",WORKDAY($B660,IFERROR(INDEX(CONFIG!$C$4:$C$43,MATCH($K660,CONFIG!$A$4:$A$43,0)),3)))</f>
        <v/>
      </c>
      <c r="V660" s="46" t="n"/>
      <c r="W660" s="23">
        <f>IF($B660="","",IF($V660&lt;&gt;"",$V660-$B660,TODAY()-$B660))</f>
        <v/>
      </c>
      <c r="X660" s="27">
        <f>IF($C660="","",IF(IFERROR(INDEX(CONFIG!$K$4:$K$43,MATCH($S660,CONFIG!$J$4:$J$43,0)),"NO")="SÍ",IF(OR($V660="",$U660=""),"Resuelta",IF($V660&gt;$U660,"Resuelta tarde","Resuelta a tiempo")),IF($U660="","Sin clasificar",IF(TODAY()&gt;$U660,"Vencida",IF(TODAY()&gt;=$U660-1,"Por vencer","En plazo")))))</f>
        <v/>
      </c>
      <c r="Y660" s="49" t="n"/>
      <c r="Z660" s="49" t="n"/>
    </row>
    <row r="661" ht="16" customHeight="1">
      <c r="A661" s="27">
        <f>IF($C661="","","N-"&amp;TEXT(ROW()-3,"0000"))</f>
        <v/>
      </c>
      <c r="B661" s="46" t="n"/>
      <c r="C661" s="47" t="n"/>
      <c r="D661" s="27">
        <f>IF($C661="","",IF(COUNTIFS(ENVIOS!$A$4:$A$3003,$C661)=0,"NO EXISTE",IF(COUNTIFS(ENVIOS!$A$4:$A$3003,$C661)&gt;1,"DUPLICADA","OK")))</f>
        <v/>
      </c>
      <c r="E661" s="22">
        <f>IF($C661="","",IFERROR(INDEX(ENVIOS!$C$4:$C$3003,MATCH($C661,ENVIOS!$A$4:$A$3003,0)),"—"))</f>
        <v/>
      </c>
      <c r="F661" s="22">
        <f>IF($C661="","",IFERROR(INDEX(ENVIOS!$D$4:$D$3003,MATCH($C661,ENVIOS!$A$4:$A$3003,0)),"—"))</f>
        <v/>
      </c>
      <c r="G661" s="22">
        <f>IF($C661="","",IFERROR(INDEX(ENVIOS!$E$4:$E$3003,MATCH($C661,ENVIOS!$A$4:$A$3003,0)),"—"))</f>
        <v/>
      </c>
      <c r="H661" s="22">
        <f>IF($C661="","",IFERROR(INDEX(ENVIOS!$F$4:$F$3003,MATCH($C661,ENVIOS!$A$4:$A$3003,0)),"—"))</f>
        <v/>
      </c>
      <c r="I661" s="27">
        <f>IF($C661="","",IFERROR(INDEX(ENVIOS!$G$4:$G$3003,MATCH($C661,ENVIOS!$A$4:$A$3003,0)),"—"))</f>
        <v/>
      </c>
      <c r="J661" s="48">
        <f>IF($C661="","",IFERROR(INDEX(ENVIOS!$B$4:$B$3003,MATCH($C661,ENVIOS!$A$4:$A$3003,0)),""))</f>
        <v/>
      </c>
      <c r="K661" s="49" t="n"/>
      <c r="L661" s="27">
        <f>IF($K661="","",IFERROR(INDEX(CONFIG!$B$4:$B$43,MATCH($K661,CONFIG!$A$4:$A$43,0)),"Media"))</f>
        <v/>
      </c>
      <c r="M661" s="27">
        <f>IF($K661="","",IFERROR(INDEX(CONFIG!$D$4:$D$43,MATCH($K661,CONFIG!$A$4:$A$43,0)),"NO"))</f>
        <v/>
      </c>
      <c r="N661" s="49" t="n"/>
      <c r="O661" s="27">
        <f>IF($N661="","",IFERROR(INDEX(CONFIG!$G$4:$G$43,MATCH($N661,CONFIG!$F$4:$F$43,0)),"Por definir"))</f>
        <v/>
      </c>
      <c r="P661" s="27">
        <f>IF($N661="","",IFERROR(INDEX(CONFIG!$H$4:$H$43,MATCH($N661,CONFIG!$F$4:$F$43,0)),"Por definir"))</f>
        <v/>
      </c>
      <c r="Q661" s="50" t="n"/>
      <c r="R661" s="51" t="n"/>
      <c r="S661" s="49" t="n"/>
      <c r="T661" s="49" t="n"/>
      <c r="U661" s="48">
        <f>IF(OR($B661="",$K661=""),"",WORKDAY($B661,IFERROR(INDEX(CONFIG!$C$4:$C$43,MATCH($K661,CONFIG!$A$4:$A$43,0)),3)))</f>
        <v/>
      </c>
      <c r="V661" s="46" t="n"/>
      <c r="W661" s="23">
        <f>IF($B661="","",IF($V661&lt;&gt;"",$V661-$B661,TODAY()-$B661))</f>
        <v/>
      </c>
      <c r="X661" s="27">
        <f>IF($C661="","",IF(IFERROR(INDEX(CONFIG!$K$4:$K$43,MATCH($S661,CONFIG!$J$4:$J$43,0)),"NO")="SÍ",IF(OR($V661="",$U661=""),"Resuelta",IF($V661&gt;$U661,"Resuelta tarde","Resuelta a tiempo")),IF($U661="","Sin clasificar",IF(TODAY()&gt;$U661,"Vencida",IF(TODAY()&gt;=$U661-1,"Por vencer","En plazo")))))</f>
        <v/>
      </c>
      <c r="Y661" s="49" t="n"/>
      <c r="Z661" s="49" t="n"/>
    </row>
    <row r="662" ht="16" customHeight="1">
      <c r="A662" s="27">
        <f>IF($C662="","","N-"&amp;TEXT(ROW()-3,"0000"))</f>
        <v/>
      </c>
      <c r="B662" s="46" t="n"/>
      <c r="C662" s="47" t="n"/>
      <c r="D662" s="27">
        <f>IF($C662="","",IF(COUNTIFS(ENVIOS!$A$4:$A$3003,$C662)=0,"NO EXISTE",IF(COUNTIFS(ENVIOS!$A$4:$A$3003,$C662)&gt;1,"DUPLICADA","OK")))</f>
        <v/>
      </c>
      <c r="E662" s="22">
        <f>IF($C662="","",IFERROR(INDEX(ENVIOS!$C$4:$C$3003,MATCH($C662,ENVIOS!$A$4:$A$3003,0)),"—"))</f>
        <v/>
      </c>
      <c r="F662" s="22">
        <f>IF($C662="","",IFERROR(INDEX(ENVIOS!$D$4:$D$3003,MATCH($C662,ENVIOS!$A$4:$A$3003,0)),"—"))</f>
        <v/>
      </c>
      <c r="G662" s="22">
        <f>IF($C662="","",IFERROR(INDEX(ENVIOS!$E$4:$E$3003,MATCH($C662,ENVIOS!$A$4:$A$3003,0)),"—"))</f>
        <v/>
      </c>
      <c r="H662" s="22">
        <f>IF($C662="","",IFERROR(INDEX(ENVIOS!$F$4:$F$3003,MATCH($C662,ENVIOS!$A$4:$A$3003,0)),"—"))</f>
        <v/>
      </c>
      <c r="I662" s="27">
        <f>IF($C662="","",IFERROR(INDEX(ENVIOS!$G$4:$G$3003,MATCH($C662,ENVIOS!$A$4:$A$3003,0)),"—"))</f>
        <v/>
      </c>
      <c r="J662" s="48">
        <f>IF($C662="","",IFERROR(INDEX(ENVIOS!$B$4:$B$3003,MATCH($C662,ENVIOS!$A$4:$A$3003,0)),""))</f>
        <v/>
      </c>
      <c r="K662" s="49" t="n"/>
      <c r="L662" s="27">
        <f>IF($K662="","",IFERROR(INDEX(CONFIG!$B$4:$B$43,MATCH($K662,CONFIG!$A$4:$A$43,0)),"Media"))</f>
        <v/>
      </c>
      <c r="M662" s="27">
        <f>IF($K662="","",IFERROR(INDEX(CONFIG!$D$4:$D$43,MATCH($K662,CONFIG!$A$4:$A$43,0)),"NO"))</f>
        <v/>
      </c>
      <c r="N662" s="49" t="n"/>
      <c r="O662" s="27">
        <f>IF($N662="","",IFERROR(INDEX(CONFIG!$G$4:$G$43,MATCH($N662,CONFIG!$F$4:$F$43,0)),"Por definir"))</f>
        <v/>
      </c>
      <c r="P662" s="27">
        <f>IF($N662="","",IFERROR(INDEX(CONFIG!$H$4:$H$43,MATCH($N662,CONFIG!$F$4:$F$43,0)),"Por definir"))</f>
        <v/>
      </c>
      <c r="Q662" s="50" t="n"/>
      <c r="R662" s="51" t="n"/>
      <c r="S662" s="49" t="n"/>
      <c r="T662" s="49" t="n"/>
      <c r="U662" s="48">
        <f>IF(OR($B662="",$K662=""),"",WORKDAY($B662,IFERROR(INDEX(CONFIG!$C$4:$C$43,MATCH($K662,CONFIG!$A$4:$A$43,0)),3)))</f>
        <v/>
      </c>
      <c r="V662" s="46" t="n"/>
      <c r="W662" s="23">
        <f>IF($B662="","",IF($V662&lt;&gt;"",$V662-$B662,TODAY()-$B662))</f>
        <v/>
      </c>
      <c r="X662" s="27">
        <f>IF($C662="","",IF(IFERROR(INDEX(CONFIG!$K$4:$K$43,MATCH($S662,CONFIG!$J$4:$J$43,0)),"NO")="SÍ",IF(OR($V662="",$U662=""),"Resuelta",IF($V662&gt;$U662,"Resuelta tarde","Resuelta a tiempo")),IF($U662="","Sin clasificar",IF(TODAY()&gt;$U662,"Vencida",IF(TODAY()&gt;=$U662-1,"Por vencer","En plazo")))))</f>
        <v/>
      </c>
      <c r="Y662" s="49" t="n"/>
      <c r="Z662" s="49" t="n"/>
    </row>
    <row r="663" ht="16" customHeight="1">
      <c r="A663" s="27">
        <f>IF($C663="","","N-"&amp;TEXT(ROW()-3,"0000"))</f>
        <v/>
      </c>
      <c r="B663" s="46" t="n"/>
      <c r="C663" s="47" t="n"/>
      <c r="D663" s="27">
        <f>IF($C663="","",IF(COUNTIFS(ENVIOS!$A$4:$A$3003,$C663)=0,"NO EXISTE",IF(COUNTIFS(ENVIOS!$A$4:$A$3003,$C663)&gt;1,"DUPLICADA","OK")))</f>
        <v/>
      </c>
      <c r="E663" s="22">
        <f>IF($C663="","",IFERROR(INDEX(ENVIOS!$C$4:$C$3003,MATCH($C663,ENVIOS!$A$4:$A$3003,0)),"—"))</f>
        <v/>
      </c>
      <c r="F663" s="22">
        <f>IF($C663="","",IFERROR(INDEX(ENVIOS!$D$4:$D$3003,MATCH($C663,ENVIOS!$A$4:$A$3003,0)),"—"))</f>
        <v/>
      </c>
      <c r="G663" s="22">
        <f>IF($C663="","",IFERROR(INDEX(ENVIOS!$E$4:$E$3003,MATCH($C663,ENVIOS!$A$4:$A$3003,0)),"—"))</f>
        <v/>
      </c>
      <c r="H663" s="22">
        <f>IF($C663="","",IFERROR(INDEX(ENVIOS!$F$4:$F$3003,MATCH($C663,ENVIOS!$A$4:$A$3003,0)),"—"))</f>
        <v/>
      </c>
      <c r="I663" s="27">
        <f>IF($C663="","",IFERROR(INDEX(ENVIOS!$G$4:$G$3003,MATCH($C663,ENVIOS!$A$4:$A$3003,0)),"—"))</f>
        <v/>
      </c>
      <c r="J663" s="48">
        <f>IF($C663="","",IFERROR(INDEX(ENVIOS!$B$4:$B$3003,MATCH($C663,ENVIOS!$A$4:$A$3003,0)),""))</f>
        <v/>
      </c>
      <c r="K663" s="49" t="n"/>
      <c r="L663" s="27">
        <f>IF($K663="","",IFERROR(INDEX(CONFIG!$B$4:$B$43,MATCH($K663,CONFIG!$A$4:$A$43,0)),"Media"))</f>
        <v/>
      </c>
      <c r="M663" s="27">
        <f>IF($K663="","",IFERROR(INDEX(CONFIG!$D$4:$D$43,MATCH($K663,CONFIG!$A$4:$A$43,0)),"NO"))</f>
        <v/>
      </c>
      <c r="N663" s="49" t="n"/>
      <c r="O663" s="27">
        <f>IF($N663="","",IFERROR(INDEX(CONFIG!$G$4:$G$43,MATCH($N663,CONFIG!$F$4:$F$43,0)),"Por definir"))</f>
        <v/>
      </c>
      <c r="P663" s="27">
        <f>IF($N663="","",IFERROR(INDEX(CONFIG!$H$4:$H$43,MATCH($N663,CONFIG!$F$4:$F$43,0)),"Por definir"))</f>
        <v/>
      </c>
      <c r="Q663" s="50" t="n"/>
      <c r="R663" s="51" t="n"/>
      <c r="S663" s="49" t="n"/>
      <c r="T663" s="49" t="n"/>
      <c r="U663" s="48">
        <f>IF(OR($B663="",$K663=""),"",WORKDAY($B663,IFERROR(INDEX(CONFIG!$C$4:$C$43,MATCH($K663,CONFIG!$A$4:$A$43,0)),3)))</f>
        <v/>
      </c>
      <c r="V663" s="46" t="n"/>
      <c r="W663" s="23">
        <f>IF($B663="","",IF($V663&lt;&gt;"",$V663-$B663,TODAY()-$B663))</f>
        <v/>
      </c>
      <c r="X663" s="27">
        <f>IF($C663="","",IF(IFERROR(INDEX(CONFIG!$K$4:$K$43,MATCH($S663,CONFIG!$J$4:$J$43,0)),"NO")="SÍ",IF(OR($V663="",$U663=""),"Resuelta",IF($V663&gt;$U663,"Resuelta tarde","Resuelta a tiempo")),IF($U663="","Sin clasificar",IF(TODAY()&gt;$U663,"Vencida",IF(TODAY()&gt;=$U663-1,"Por vencer","En plazo")))))</f>
        <v/>
      </c>
      <c r="Y663" s="49" t="n"/>
      <c r="Z663" s="49" t="n"/>
    </row>
    <row r="664" ht="16" customHeight="1">
      <c r="A664" s="27">
        <f>IF($C664="","","N-"&amp;TEXT(ROW()-3,"0000"))</f>
        <v/>
      </c>
      <c r="B664" s="46" t="n"/>
      <c r="C664" s="47" t="n"/>
      <c r="D664" s="27">
        <f>IF($C664="","",IF(COUNTIFS(ENVIOS!$A$4:$A$3003,$C664)=0,"NO EXISTE",IF(COUNTIFS(ENVIOS!$A$4:$A$3003,$C664)&gt;1,"DUPLICADA","OK")))</f>
        <v/>
      </c>
      <c r="E664" s="22">
        <f>IF($C664="","",IFERROR(INDEX(ENVIOS!$C$4:$C$3003,MATCH($C664,ENVIOS!$A$4:$A$3003,0)),"—"))</f>
        <v/>
      </c>
      <c r="F664" s="22">
        <f>IF($C664="","",IFERROR(INDEX(ENVIOS!$D$4:$D$3003,MATCH($C664,ENVIOS!$A$4:$A$3003,0)),"—"))</f>
        <v/>
      </c>
      <c r="G664" s="22">
        <f>IF($C664="","",IFERROR(INDEX(ENVIOS!$E$4:$E$3003,MATCH($C664,ENVIOS!$A$4:$A$3003,0)),"—"))</f>
        <v/>
      </c>
      <c r="H664" s="22">
        <f>IF($C664="","",IFERROR(INDEX(ENVIOS!$F$4:$F$3003,MATCH($C664,ENVIOS!$A$4:$A$3003,0)),"—"))</f>
        <v/>
      </c>
      <c r="I664" s="27">
        <f>IF($C664="","",IFERROR(INDEX(ENVIOS!$G$4:$G$3003,MATCH($C664,ENVIOS!$A$4:$A$3003,0)),"—"))</f>
        <v/>
      </c>
      <c r="J664" s="48">
        <f>IF($C664="","",IFERROR(INDEX(ENVIOS!$B$4:$B$3003,MATCH($C664,ENVIOS!$A$4:$A$3003,0)),""))</f>
        <v/>
      </c>
      <c r="K664" s="49" t="n"/>
      <c r="L664" s="27">
        <f>IF($K664="","",IFERROR(INDEX(CONFIG!$B$4:$B$43,MATCH($K664,CONFIG!$A$4:$A$43,0)),"Media"))</f>
        <v/>
      </c>
      <c r="M664" s="27">
        <f>IF($K664="","",IFERROR(INDEX(CONFIG!$D$4:$D$43,MATCH($K664,CONFIG!$A$4:$A$43,0)),"NO"))</f>
        <v/>
      </c>
      <c r="N664" s="49" t="n"/>
      <c r="O664" s="27">
        <f>IF($N664="","",IFERROR(INDEX(CONFIG!$G$4:$G$43,MATCH($N664,CONFIG!$F$4:$F$43,0)),"Por definir"))</f>
        <v/>
      </c>
      <c r="P664" s="27">
        <f>IF($N664="","",IFERROR(INDEX(CONFIG!$H$4:$H$43,MATCH($N664,CONFIG!$F$4:$F$43,0)),"Por definir"))</f>
        <v/>
      </c>
      <c r="Q664" s="50" t="n"/>
      <c r="R664" s="51" t="n"/>
      <c r="S664" s="49" t="n"/>
      <c r="T664" s="49" t="n"/>
      <c r="U664" s="48">
        <f>IF(OR($B664="",$K664=""),"",WORKDAY($B664,IFERROR(INDEX(CONFIG!$C$4:$C$43,MATCH($K664,CONFIG!$A$4:$A$43,0)),3)))</f>
        <v/>
      </c>
      <c r="V664" s="46" t="n"/>
      <c r="W664" s="23">
        <f>IF($B664="","",IF($V664&lt;&gt;"",$V664-$B664,TODAY()-$B664))</f>
        <v/>
      </c>
      <c r="X664" s="27">
        <f>IF($C664="","",IF(IFERROR(INDEX(CONFIG!$K$4:$K$43,MATCH($S664,CONFIG!$J$4:$J$43,0)),"NO")="SÍ",IF(OR($V664="",$U664=""),"Resuelta",IF($V664&gt;$U664,"Resuelta tarde","Resuelta a tiempo")),IF($U664="","Sin clasificar",IF(TODAY()&gt;$U664,"Vencida",IF(TODAY()&gt;=$U664-1,"Por vencer","En plazo")))))</f>
        <v/>
      </c>
      <c r="Y664" s="49" t="n"/>
      <c r="Z664" s="49" t="n"/>
    </row>
    <row r="665" ht="16" customHeight="1">
      <c r="A665" s="27">
        <f>IF($C665="","","N-"&amp;TEXT(ROW()-3,"0000"))</f>
        <v/>
      </c>
      <c r="B665" s="46" t="n"/>
      <c r="C665" s="47" t="n"/>
      <c r="D665" s="27">
        <f>IF($C665="","",IF(COUNTIFS(ENVIOS!$A$4:$A$3003,$C665)=0,"NO EXISTE",IF(COUNTIFS(ENVIOS!$A$4:$A$3003,$C665)&gt;1,"DUPLICADA","OK")))</f>
        <v/>
      </c>
      <c r="E665" s="22">
        <f>IF($C665="","",IFERROR(INDEX(ENVIOS!$C$4:$C$3003,MATCH($C665,ENVIOS!$A$4:$A$3003,0)),"—"))</f>
        <v/>
      </c>
      <c r="F665" s="22">
        <f>IF($C665="","",IFERROR(INDEX(ENVIOS!$D$4:$D$3003,MATCH($C665,ENVIOS!$A$4:$A$3003,0)),"—"))</f>
        <v/>
      </c>
      <c r="G665" s="22">
        <f>IF($C665="","",IFERROR(INDEX(ENVIOS!$E$4:$E$3003,MATCH($C665,ENVIOS!$A$4:$A$3003,0)),"—"))</f>
        <v/>
      </c>
      <c r="H665" s="22">
        <f>IF($C665="","",IFERROR(INDEX(ENVIOS!$F$4:$F$3003,MATCH($C665,ENVIOS!$A$4:$A$3003,0)),"—"))</f>
        <v/>
      </c>
      <c r="I665" s="27">
        <f>IF($C665="","",IFERROR(INDEX(ENVIOS!$G$4:$G$3003,MATCH($C665,ENVIOS!$A$4:$A$3003,0)),"—"))</f>
        <v/>
      </c>
      <c r="J665" s="48">
        <f>IF($C665="","",IFERROR(INDEX(ENVIOS!$B$4:$B$3003,MATCH($C665,ENVIOS!$A$4:$A$3003,0)),""))</f>
        <v/>
      </c>
      <c r="K665" s="49" t="n"/>
      <c r="L665" s="27">
        <f>IF($K665="","",IFERROR(INDEX(CONFIG!$B$4:$B$43,MATCH($K665,CONFIG!$A$4:$A$43,0)),"Media"))</f>
        <v/>
      </c>
      <c r="M665" s="27">
        <f>IF($K665="","",IFERROR(INDEX(CONFIG!$D$4:$D$43,MATCH($K665,CONFIG!$A$4:$A$43,0)),"NO"))</f>
        <v/>
      </c>
      <c r="N665" s="49" t="n"/>
      <c r="O665" s="27">
        <f>IF($N665="","",IFERROR(INDEX(CONFIG!$G$4:$G$43,MATCH($N665,CONFIG!$F$4:$F$43,0)),"Por definir"))</f>
        <v/>
      </c>
      <c r="P665" s="27">
        <f>IF($N665="","",IFERROR(INDEX(CONFIG!$H$4:$H$43,MATCH($N665,CONFIG!$F$4:$F$43,0)),"Por definir"))</f>
        <v/>
      </c>
      <c r="Q665" s="50" t="n"/>
      <c r="R665" s="51" t="n"/>
      <c r="S665" s="49" t="n"/>
      <c r="T665" s="49" t="n"/>
      <c r="U665" s="48">
        <f>IF(OR($B665="",$K665=""),"",WORKDAY($B665,IFERROR(INDEX(CONFIG!$C$4:$C$43,MATCH($K665,CONFIG!$A$4:$A$43,0)),3)))</f>
        <v/>
      </c>
      <c r="V665" s="46" t="n"/>
      <c r="W665" s="23">
        <f>IF($B665="","",IF($V665&lt;&gt;"",$V665-$B665,TODAY()-$B665))</f>
        <v/>
      </c>
      <c r="X665" s="27">
        <f>IF($C665="","",IF(IFERROR(INDEX(CONFIG!$K$4:$K$43,MATCH($S665,CONFIG!$J$4:$J$43,0)),"NO")="SÍ",IF(OR($V665="",$U665=""),"Resuelta",IF($V665&gt;$U665,"Resuelta tarde","Resuelta a tiempo")),IF($U665="","Sin clasificar",IF(TODAY()&gt;$U665,"Vencida",IF(TODAY()&gt;=$U665-1,"Por vencer","En plazo")))))</f>
        <v/>
      </c>
      <c r="Y665" s="49" t="n"/>
      <c r="Z665" s="49" t="n"/>
    </row>
    <row r="666" ht="16" customHeight="1">
      <c r="A666" s="27">
        <f>IF($C666="","","N-"&amp;TEXT(ROW()-3,"0000"))</f>
        <v/>
      </c>
      <c r="B666" s="46" t="n"/>
      <c r="C666" s="47" t="n"/>
      <c r="D666" s="27">
        <f>IF($C666="","",IF(COUNTIFS(ENVIOS!$A$4:$A$3003,$C666)=0,"NO EXISTE",IF(COUNTIFS(ENVIOS!$A$4:$A$3003,$C666)&gt;1,"DUPLICADA","OK")))</f>
        <v/>
      </c>
      <c r="E666" s="22">
        <f>IF($C666="","",IFERROR(INDEX(ENVIOS!$C$4:$C$3003,MATCH($C666,ENVIOS!$A$4:$A$3003,0)),"—"))</f>
        <v/>
      </c>
      <c r="F666" s="22">
        <f>IF($C666="","",IFERROR(INDEX(ENVIOS!$D$4:$D$3003,MATCH($C666,ENVIOS!$A$4:$A$3003,0)),"—"))</f>
        <v/>
      </c>
      <c r="G666" s="22">
        <f>IF($C666="","",IFERROR(INDEX(ENVIOS!$E$4:$E$3003,MATCH($C666,ENVIOS!$A$4:$A$3003,0)),"—"))</f>
        <v/>
      </c>
      <c r="H666" s="22">
        <f>IF($C666="","",IFERROR(INDEX(ENVIOS!$F$4:$F$3003,MATCH($C666,ENVIOS!$A$4:$A$3003,0)),"—"))</f>
        <v/>
      </c>
      <c r="I666" s="27">
        <f>IF($C666="","",IFERROR(INDEX(ENVIOS!$G$4:$G$3003,MATCH($C666,ENVIOS!$A$4:$A$3003,0)),"—"))</f>
        <v/>
      </c>
      <c r="J666" s="48">
        <f>IF($C666="","",IFERROR(INDEX(ENVIOS!$B$4:$B$3003,MATCH($C666,ENVIOS!$A$4:$A$3003,0)),""))</f>
        <v/>
      </c>
      <c r="K666" s="49" t="n"/>
      <c r="L666" s="27">
        <f>IF($K666="","",IFERROR(INDEX(CONFIG!$B$4:$B$43,MATCH($K666,CONFIG!$A$4:$A$43,0)),"Media"))</f>
        <v/>
      </c>
      <c r="M666" s="27">
        <f>IF($K666="","",IFERROR(INDEX(CONFIG!$D$4:$D$43,MATCH($K666,CONFIG!$A$4:$A$43,0)),"NO"))</f>
        <v/>
      </c>
      <c r="N666" s="49" t="n"/>
      <c r="O666" s="27">
        <f>IF($N666="","",IFERROR(INDEX(CONFIG!$G$4:$G$43,MATCH($N666,CONFIG!$F$4:$F$43,0)),"Por definir"))</f>
        <v/>
      </c>
      <c r="P666" s="27">
        <f>IF($N666="","",IFERROR(INDEX(CONFIG!$H$4:$H$43,MATCH($N666,CONFIG!$F$4:$F$43,0)),"Por definir"))</f>
        <v/>
      </c>
      <c r="Q666" s="50" t="n"/>
      <c r="R666" s="51" t="n"/>
      <c r="S666" s="49" t="n"/>
      <c r="T666" s="49" t="n"/>
      <c r="U666" s="48">
        <f>IF(OR($B666="",$K666=""),"",WORKDAY($B666,IFERROR(INDEX(CONFIG!$C$4:$C$43,MATCH($K666,CONFIG!$A$4:$A$43,0)),3)))</f>
        <v/>
      </c>
      <c r="V666" s="46" t="n"/>
      <c r="W666" s="23">
        <f>IF($B666="","",IF($V666&lt;&gt;"",$V666-$B666,TODAY()-$B666))</f>
        <v/>
      </c>
      <c r="X666" s="27">
        <f>IF($C666="","",IF(IFERROR(INDEX(CONFIG!$K$4:$K$43,MATCH($S666,CONFIG!$J$4:$J$43,0)),"NO")="SÍ",IF(OR($V666="",$U666=""),"Resuelta",IF($V666&gt;$U666,"Resuelta tarde","Resuelta a tiempo")),IF($U666="","Sin clasificar",IF(TODAY()&gt;$U666,"Vencida",IF(TODAY()&gt;=$U666-1,"Por vencer","En plazo")))))</f>
        <v/>
      </c>
      <c r="Y666" s="49" t="n"/>
      <c r="Z666" s="49" t="n"/>
    </row>
    <row r="667" ht="16" customHeight="1">
      <c r="A667" s="27">
        <f>IF($C667="","","N-"&amp;TEXT(ROW()-3,"0000"))</f>
        <v/>
      </c>
      <c r="B667" s="46" t="n"/>
      <c r="C667" s="47" t="n"/>
      <c r="D667" s="27">
        <f>IF($C667="","",IF(COUNTIFS(ENVIOS!$A$4:$A$3003,$C667)=0,"NO EXISTE",IF(COUNTIFS(ENVIOS!$A$4:$A$3003,$C667)&gt;1,"DUPLICADA","OK")))</f>
        <v/>
      </c>
      <c r="E667" s="22">
        <f>IF($C667="","",IFERROR(INDEX(ENVIOS!$C$4:$C$3003,MATCH($C667,ENVIOS!$A$4:$A$3003,0)),"—"))</f>
        <v/>
      </c>
      <c r="F667" s="22">
        <f>IF($C667="","",IFERROR(INDEX(ENVIOS!$D$4:$D$3003,MATCH($C667,ENVIOS!$A$4:$A$3003,0)),"—"))</f>
        <v/>
      </c>
      <c r="G667" s="22">
        <f>IF($C667="","",IFERROR(INDEX(ENVIOS!$E$4:$E$3003,MATCH($C667,ENVIOS!$A$4:$A$3003,0)),"—"))</f>
        <v/>
      </c>
      <c r="H667" s="22">
        <f>IF($C667="","",IFERROR(INDEX(ENVIOS!$F$4:$F$3003,MATCH($C667,ENVIOS!$A$4:$A$3003,0)),"—"))</f>
        <v/>
      </c>
      <c r="I667" s="27">
        <f>IF($C667="","",IFERROR(INDEX(ENVIOS!$G$4:$G$3003,MATCH($C667,ENVIOS!$A$4:$A$3003,0)),"—"))</f>
        <v/>
      </c>
      <c r="J667" s="48">
        <f>IF($C667="","",IFERROR(INDEX(ENVIOS!$B$4:$B$3003,MATCH($C667,ENVIOS!$A$4:$A$3003,0)),""))</f>
        <v/>
      </c>
      <c r="K667" s="49" t="n"/>
      <c r="L667" s="27">
        <f>IF($K667="","",IFERROR(INDEX(CONFIG!$B$4:$B$43,MATCH($K667,CONFIG!$A$4:$A$43,0)),"Media"))</f>
        <v/>
      </c>
      <c r="M667" s="27">
        <f>IF($K667="","",IFERROR(INDEX(CONFIG!$D$4:$D$43,MATCH($K667,CONFIG!$A$4:$A$43,0)),"NO"))</f>
        <v/>
      </c>
      <c r="N667" s="49" t="n"/>
      <c r="O667" s="27">
        <f>IF($N667="","",IFERROR(INDEX(CONFIG!$G$4:$G$43,MATCH($N667,CONFIG!$F$4:$F$43,0)),"Por definir"))</f>
        <v/>
      </c>
      <c r="P667" s="27">
        <f>IF($N667="","",IFERROR(INDEX(CONFIG!$H$4:$H$43,MATCH($N667,CONFIG!$F$4:$F$43,0)),"Por definir"))</f>
        <v/>
      </c>
      <c r="Q667" s="50" t="n"/>
      <c r="R667" s="51" t="n"/>
      <c r="S667" s="49" t="n"/>
      <c r="T667" s="49" t="n"/>
      <c r="U667" s="48">
        <f>IF(OR($B667="",$K667=""),"",WORKDAY($B667,IFERROR(INDEX(CONFIG!$C$4:$C$43,MATCH($K667,CONFIG!$A$4:$A$43,0)),3)))</f>
        <v/>
      </c>
      <c r="V667" s="46" t="n"/>
      <c r="W667" s="23">
        <f>IF($B667="","",IF($V667&lt;&gt;"",$V667-$B667,TODAY()-$B667))</f>
        <v/>
      </c>
      <c r="X667" s="27">
        <f>IF($C667="","",IF(IFERROR(INDEX(CONFIG!$K$4:$K$43,MATCH($S667,CONFIG!$J$4:$J$43,0)),"NO")="SÍ",IF(OR($V667="",$U667=""),"Resuelta",IF($V667&gt;$U667,"Resuelta tarde","Resuelta a tiempo")),IF($U667="","Sin clasificar",IF(TODAY()&gt;$U667,"Vencida",IF(TODAY()&gt;=$U667-1,"Por vencer","En plazo")))))</f>
        <v/>
      </c>
      <c r="Y667" s="49" t="n"/>
      <c r="Z667" s="49" t="n"/>
    </row>
    <row r="668" ht="16" customHeight="1">
      <c r="A668" s="27">
        <f>IF($C668="","","N-"&amp;TEXT(ROW()-3,"0000"))</f>
        <v/>
      </c>
      <c r="B668" s="46" t="n"/>
      <c r="C668" s="47" t="n"/>
      <c r="D668" s="27">
        <f>IF($C668="","",IF(COUNTIFS(ENVIOS!$A$4:$A$3003,$C668)=0,"NO EXISTE",IF(COUNTIFS(ENVIOS!$A$4:$A$3003,$C668)&gt;1,"DUPLICADA","OK")))</f>
        <v/>
      </c>
      <c r="E668" s="22">
        <f>IF($C668="","",IFERROR(INDEX(ENVIOS!$C$4:$C$3003,MATCH($C668,ENVIOS!$A$4:$A$3003,0)),"—"))</f>
        <v/>
      </c>
      <c r="F668" s="22">
        <f>IF($C668="","",IFERROR(INDEX(ENVIOS!$D$4:$D$3003,MATCH($C668,ENVIOS!$A$4:$A$3003,0)),"—"))</f>
        <v/>
      </c>
      <c r="G668" s="22">
        <f>IF($C668="","",IFERROR(INDEX(ENVIOS!$E$4:$E$3003,MATCH($C668,ENVIOS!$A$4:$A$3003,0)),"—"))</f>
        <v/>
      </c>
      <c r="H668" s="22">
        <f>IF($C668="","",IFERROR(INDEX(ENVIOS!$F$4:$F$3003,MATCH($C668,ENVIOS!$A$4:$A$3003,0)),"—"))</f>
        <v/>
      </c>
      <c r="I668" s="27">
        <f>IF($C668="","",IFERROR(INDEX(ENVIOS!$G$4:$G$3003,MATCH($C668,ENVIOS!$A$4:$A$3003,0)),"—"))</f>
        <v/>
      </c>
      <c r="J668" s="48">
        <f>IF($C668="","",IFERROR(INDEX(ENVIOS!$B$4:$B$3003,MATCH($C668,ENVIOS!$A$4:$A$3003,0)),""))</f>
        <v/>
      </c>
      <c r="K668" s="49" t="n"/>
      <c r="L668" s="27">
        <f>IF($K668="","",IFERROR(INDEX(CONFIG!$B$4:$B$43,MATCH($K668,CONFIG!$A$4:$A$43,0)),"Media"))</f>
        <v/>
      </c>
      <c r="M668" s="27">
        <f>IF($K668="","",IFERROR(INDEX(CONFIG!$D$4:$D$43,MATCH($K668,CONFIG!$A$4:$A$43,0)),"NO"))</f>
        <v/>
      </c>
      <c r="N668" s="49" t="n"/>
      <c r="O668" s="27">
        <f>IF($N668="","",IFERROR(INDEX(CONFIG!$G$4:$G$43,MATCH($N668,CONFIG!$F$4:$F$43,0)),"Por definir"))</f>
        <v/>
      </c>
      <c r="P668" s="27">
        <f>IF($N668="","",IFERROR(INDEX(CONFIG!$H$4:$H$43,MATCH($N668,CONFIG!$F$4:$F$43,0)),"Por definir"))</f>
        <v/>
      </c>
      <c r="Q668" s="50" t="n"/>
      <c r="R668" s="51" t="n"/>
      <c r="S668" s="49" t="n"/>
      <c r="T668" s="49" t="n"/>
      <c r="U668" s="48">
        <f>IF(OR($B668="",$K668=""),"",WORKDAY($B668,IFERROR(INDEX(CONFIG!$C$4:$C$43,MATCH($K668,CONFIG!$A$4:$A$43,0)),3)))</f>
        <v/>
      </c>
      <c r="V668" s="46" t="n"/>
      <c r="W668" s="23">
        <f>IF($B668="","",IF($V668&lt;&gt;"",$V668-$B668,TODAY()-$B668))</f>
        <v/>
      </c>
      <c r="X668" s="27">
        <f>IF($C668="","",IF(IFERROR(INDEX(CONFIG!$K$4:$K$43,MATCH($S668,CONFIG!$J$4:$J$43,0)),"NO")="SÍ",IF(OR($V668="",$U668=""),"Resuelta",IF($V668&gt;$U668,"Resuelta tarde","Resuelta a tiempo")),IF($U668="","Sin clasificar",IF(TODAY()&gt;$U668,"Vencida",IF(TODAY()&gt;=$U668-1,"Por vencer","En plazo")))))</f>
        <v/>
      </c>
      <c r="Y668" s="49" t="n"/>
      <c r="Z668" s="49" t="n"/>
    </row>
    <row r="669" ht="16" customHeight="1">
      <c r="A669" s="27">
        <f>IF($C669="","","N-"&amp;TEXT(ROW()-3,"0000"))</f>
        <v/>
      </c>
      <c r="B669" s="46" t="n"/>
      <c r="C669" s="47" t="n"/>
      <c r="D669" s="27">
        <f>IF($C669="","",IF(COUNTIFS(ENVIOS!$A$4:$A$3003,$C669)=0,"NO EXISTE",IF(COUNTIFS(ENVIOS!$A$4:$A$3003,$C669)&gt;1,"DUPLICADA","OK")))</f>
        <v/>
      </c>
      <c r="E669" s="22">
        <f>IF($C669="","",IFERROR(INDEX(ENVIOS!$C$4:$C$3003,MATCH($C669,ENVIOS!$A$4:$A$3003,0)),"—"))</f>
        <v/>
      </c>
      <c r="F669" s="22">
        <f>IF($C669="","",IFERROR(INDEX(ENVIOS!$D$4:$D$3003,MATCH($C669,ENVIOS!$A$4:$A$3003,0)),"—"))</f>
        <v/>
      </c>
      <c r="G669" s="22">
        <f>IF($C669="","",IFERROR(INDEX(ENVIOS!$E$4:$E$3003,MATCH($C669,ENVIOS!$A$4:$A$3003,0)),"—"))</f>
        <v/>
      </c>
      <c r="H669" s="22">
        <f>IF($C669="","",IFERROR(INDEX(ENVIOS!$F$4:$F$3003,MATCH($C669,ENVIOS!$A$4:$A$3003,0)),"—"))</f>
        <v/>
      </c>
      <c r="I669" s="27">
        <f>IF($C669="","",IFERROR(INDEX(ENVIOS!$G$4:$G$3003,MATCH($C669,ENVIOS!$A$4:$A$3003,0)),"—"))</f>
        <v/>
      </c>
      <c r="J669" s="48">
        <f>IF($C669="","",IFERROR(INDEX(ENVIOS!$B$4:$B$3003,MATCH($C669,ENVIOS!$A$4:$A$3003,0)),""))</f>
        <v/>
      </c>
      <c r="K669" s="49" t="n"/>
      <c r="L669" s="27">
        <f>IF($K669="","",IFERROR(INDEX(CONFIG!$B$4:$B$43,MATCH($K669,CONFIG!$A$4:$A$43,0)),"Media"))</f>
        <v/>
      </c>
      <c r="M669" s="27">
        <f>IF($K669="","",IFERROR(INDEX(CONFIG!$D$4:$D$43,MATCH($K669,CONFIG!$A$4:$A$43,0)),"NO"))</f>
        <v/>
      </c>
      <c r="N669" s="49" t="n"/>
      <c r="O669" s="27">
        <f>IF($N669="","",IFERROR(INDEX(CONFIG!$G$4:$G$43,MATCH($N669,CONFIG!$F$4:$F$43,0)),"Por definir"))</f>
        <v/>
      </c>
      <c r="P669" s="27">
        <f>IF($N669="","",IFERROR(INDEX(CONFIG!$H$4:$H$43,MATCH($N669,CONFIG!$F$4:$F$43,0)),"Por definir"))</f>
        <v/>
      </c>
      <c r="Q669" s="50" t="n"/>
      <c r="R669" s="51" t="n"/>
      <c r="S669" s="49" t="n"/>
      <c r="T669" s="49" t="n"/>
      <c r="U669" s="48">
        <f>IF(OR($B669="",$K669=""),"",WORKDAY($B669,IFERROR(INDEX(CONFIG!$C$4:$C$43,MATCH($K669,CONFIG!$A$4:$A$43,0)),3)))</f>
        <v/>
      </c>
      <c r="V669" s="46" t="n"/>
      <c r="W669" s="23">
        <f>IF($B669="","",IF($V669&lt;&gt;"",$V669-$B669,TODAY()-$B669))</f>
        <v/>
      </c>
      <c r="X669" s="27">
        <f>IF($C669="","",IF(IFERROR(INDEX(CONFIG!$K$4:$K$43,MATCH($S669,CONFIG!$J$4:$J$43,0)),"NO")="SÍ",IF(OR($V669="",$U669=""),"Resuelta",IF($V669&gt;$U669,"Resuelta tarde","Resuelta a tiempo")),IF($U669="","Sin clasificar",IF(TODAY()&gt;$U669,"Vencida",IF(TODAY()&gt;=$U669-1,"Por vencer","En plazo")))))</f>
        <v/>
      </c>
      <c r="Y669" s="49" t="n"/>
      <c r="Z669" s="49" t="n"/>
    </row>
    <row r="670" ht="16" customHeight="1">
      <c r="A670" s="27">
        <f>IF($C670="","","N-"&amp;TEXT(ROW()-3,"0000"))</f>
        <v/>
      </c>
      <c r="B670" s="46" t="n"/>
      <c r="C670" s="47" t="n"/>
      <c r="D670" s="27">
        <f>IF($C670="","",IF(COUNTIFS(ENVIOS!$A$4:$A$3003,$C670)=0,"NO EXISTE",IF(COUNTIFS(ENVIOS!$A$4:$A$3003,$C670)&gt;1,"DUPLICADA","OK")))</f>
        <v/>
      </c>
      <c r="E670" s="22">
        <f>IF($C670="","",IFERROR(INDEX(ENVIOS!$C$4:$C$3003,MATCH($C670,ENVIOS!$A$4:$A$3003,0)),"—"))</f>
        <v/>
      </c>
      <c r="F670" s="22">
        <f>IF($C670="","",IFERROR(INDEX(ENVIOS!$D$4:$D$3003,MATCH($C670,ENVIOS!$A$4:$A$3003,0)),"—"))</f>
        <v/>
      </c>
      <c r="G670" s="22">
        <f>IF($C670="","",IFERROR(INDEX(ENVIOS!$E$4:$E$3003,MATCH($C670,ENVIOS!$A$4:$A$3003,0)),"—"))</f>
        <v/>
      </c>
      <c r="H670" s="22">
        <f>IF($C670="","",IFERROR(INDEX(ENVIOS!$F$4:$F$3003,MATCH($C670,ENVIOS!$A$4:$A$3003,0)),"—"))</f>
        <v/>
      </c>
      <c r="I670" s="27">
        <f>IF($C670="","",IFERROR(INDEX(ENVIOS!$G$4:$G$3003,MATCH($C670,ENVIOS!$A$4:$A$3003,0)),"—"))</f>
        <v/>
      </c>
      <c r="J670" s="48">
        <f>IF($C670="","",IFERROR(INDEX(ENVIOS!$B$4:$B$3003,MATCH($C670,ENVIOS!$A$4:$A$3003,0)),""))</f>
        <v/>
      </c>
      <c r="K670" s="49" t="n"/>
      <c r="L670" s="27">
        <f>IF($K670="","",IFERROR(INDEX(CONFIG!$B$4:$B$43,MATCH($K670,CONFIG!$A$4:$A$43,0)),"Media"))</f>
        <v/>
      </c>
      <c r="M670" s="27">
        <f>IF($K670="","",IFERROR(INDEX(CONFIG!$D$4:$D$43,MATCH($K670,CONFIG!$A$4:$A$43,0)),"NO"))</f>
        <v/>
      </c>
      <c r="N670" s="49" t="n"/>
      <c r="O670" s="27">
        <f>IF($N670="","",IFERROR(INDEX(CONFIG!$G$4:$G$43,MATCH($N670,CONFIG!$F$4:$F$43,0)),"Por definir"))</f>
        <v/>
      </c>
      <c r="P670" s="27">
        <f>IF($N670="","",IFERROR(INDEX(CONFIG!$H$4:$H$43,MATCH($N670,CONFIG!$F$4:$F$43,0)),"Por definir"))</f>
        <v/>
      </c>
      <c r="Q670" s="50" t="n"/>
      <c r="R670" s="51" t="n"/>
      <c r="S670" s="49" t="n"/>
      <c r="T670" s="49" t="n"/>
      <c r="U670" s="48">
        <f>IF(OR($B670="",$K670=""),"",WORKDAY($B670,IFERROR(INDEX(CONFIG!$C$4:$C$43,MATCH($K670,CONFIG!$A$4:$A$43,0)),3)))</f>
        <v/>
      </c>
      <c r="V670" s="46" t="n"/>
      <c r="W670" s="23">
        <f>IF($B670="","",IF($V670&lt;&gt;"",$V670-$B670,TODAY()-$B670))</f>
        <v/>
      </c>
      <c r="X670" s="27">
        <f>IF($C670="","",IF(IFERROR(INDEX(CONFIG!$K$4:$K$43,MATCH($S670,CONFIG!$J$4:$J$43,0)),"NO")="SÍ",IF(OR($V670="",$U670=""),"Resuelta",IF($V670&gt;$U670,"Resuelta tarde","Resuelta a tiempo")),IF($U670="","Sin clasificar",IF(TODAY()&gt;$U670,"Vencida",IF(TODAY()&gt;=$U670-1,"Por vencer","En plazo")))))</f>
        <v/>
      </c>
      <c r="Y670" s="49" t="n"/>
      <c r="Z670" s="49" t="n"/>
    </row>
    <row r="671" ht="16" customHeight="1">
      <c r="A671" s="27">
        <f>IF($C671="","","N-"&amp;TEXT(ROW()-3,"0000"))</f>
        <v/>
      </c>
      <c r="B671" s="46" t="n"/>
      <c r="C671" s="47" t="n"/>
      <c r="D671" s="27">
        <f>IF($C671="","",IF(COUNTIFS(ENVIOS!$A$4:$A$3003,$C671)=0,"NO EXISTE",IF(COUNTIFS(ENVIOS!$A$4:$A$3003,$C671)&gt;1,"DUPLICADA","OK")))</f>
        <v/>
      </c>
      <c r="E671" s="22">
        <f>IF($C671="","",IFERROR(INDEX(ENVIOS!$C$4:$C$3003,MATCH($C671,ENVIOS!$A$4:$A$3003,0)),"—"))</f>
        <v/>
      </c>
      <c r="F671" s="22">
        <f>IF($C671="","",IFERROR(INDEX(ENVIOS!$D$4:$D$3003,MATCH($C671,ENVIOS!$A$4:$A$3003,0)),"—"))</f>
        <v/>
      </c>
      <c r="G671" s="22">
        <f>IF($C671="","",IFERROR(INDEX(ENVIOS!$E$4:$E$3003,MATCH($C671,ENVIOS!$A$4:$A$3003,0)),"—"))</f>
        <v/>
      </c>
      <c r="H671" s="22">
        <f>IF($C671="","",IFERROR(INDEX(ENVIOS!$F$4:$F$3003,MATCH($C671,ENVIOS!$A$4:$A$3003,0)),"—"))</f>
        <v/>
      </c>
      <c r="I671" s="27">
        <f>IF($C671="","",IFERROR(INDEX(ENVIOS!$G$4:$G$3003,MATCH($C671,ENVIOS!$A$4:$A$3003,0)),"—"))</f>
        <v/>
      </c>
      <c r="J671" s="48">
        <f>IF($C671="","",IFERROR(INDEX(ENVIOS!$B$4:$B$3003,MATCH($C671,ENVIOS!$A$4:$A$3003,0)),""))</f>
        <v/>
      </c>
      <c r="K671" s="49" t="n"/>
      <c r="L671" s="27">
        <f>IF($K671="","",IFERROR(INDEX(CONFIG!$B$4:$B$43,MATCH($K671,CONFIG!$A$4:$A$43,0)),"Media"))</f>
        <v/>
      </c>
      <c r="M671" s="27">
        <f>IF($K671="","",IFERROR(INDEX(CONFIG!$D$4:$D$43,MATCH($K671,CONFIG!$A$4:$A$43,0)),"NO"))</f>
        <v/>
      </c>
      <c r="N671" s="49" t="n"/>
      <c r="O671" s="27">
        <f>IF($N671="","",IFERROR(INDEX(CONFIG!$G$4:$G$43,MATCH($N671,CONFIG!$F$4:$F$43,0)),"Por definir"))</f>
        <v/>
      </c>
      <c r="P671" s="27">
        <f>IF($N671="","",IFERROR(INDEX(CONFIG!$H$4:$H$43,MATCH($N671,CONFIG!$F$4:$F$43,0)),"Por definir"))</f>
        <v/>
      </c>
      <c r="Q671" s="50" t="n"/>
      <c r="R671" s="51" t="n"/>
      <c r="S671" s="49" t="n"/>
      <c r="T671" s="49" t="n"/>
      <c r="U671" s="48">
        <f>IF(OR($B671="",$K671=""),"",WORKDAY($B671,IFERROR(INDEX(CONFIG!$C$4:$C$43,MATCH($K671,CONFIG!$A$4:$A$43,0)),3)))</f>
        <v/>
      </c>
      <c r="V671" s="46" t="n"/>
      <c r="W671" s="23">
        <f>IF($B671="","",IF($V671&lt;&gt;"",$V671-$B671,TODAY()-$B671))</f>
        <v/>
      </c>
      <c r="X671" s="27">
        <f>IF($C671="","",IF(IFERROR(INDEX(CONFIG!$K$4:$K$43,MATCH($S671,CONFIG!$J$4:$J$43,0)),"NO")="SÍ",IF(OR($V671="",$U671=""),"Resuelta",IF($V671&gt;$U671,"Resuelta tarde","Resuelta a tiempo")),IF($U671="","Sin clasificar",IF(TODAY()&gt;$U671,"Vencida",IF(TODAY()&gt;=$U671-1,"Por vencer","En plazo")))))</f>
        <v/>
      </c>
      <c r="Y671" s="49" t="n"/>
      <c r="Z671" s="49" t="n"/>
    </row>
    <row r="672" ht="16" customHeight="1">
      <c r="A672" s="27">
        <f>IF($C672="","","N-"&amp;TEXT(ROW()-3,"0000"))</f>
        <v/>
      </c>
      <c r="B672" s="46" t="n"/>
      <c r="C672" s="47" t="n"/>
      <c r="D672" s="27">
        <f>IF($C672="","",IF(COUNTIFS(ENVIOS!$A$4:$A$3003,$C672)=0,"NO EXISTE",IF(COUNTIFS(ENVIOS!$A$4:$A$3003,$C672)&gt;1,"DUPLICADA","OK")))</f>
        <v/>
      </c>
      <c r="E672" s="22">
        <f>IF($C672="","",IFERROR(INDEX(ENVIOS!$C$4:$C$3003,MATCH($C672,ENVIOS!$A$4:$A$3003,0)),"—"))</f>
        <v/>
      </c>
      <c r="F672" s="22">
        <f>IF($C672="","",IFERROR(INDEX(ENVIOS!$D$4:$D$3003,MATCH($C672,ENVIOS!$A$4:$A$3003,0)),"—"))</f>
        <v/>
      </c>
      <c r="G672" s="22">
        <f>IF($C672="","",IFERROR(INDEX(ENVIOS!$E$4:$E$3003,MATCH($C672,ENVIOS!$A$4:$A$3003,0)),"—"))</f>
        <v/>
      </c>
      <c r="H672" s="22">
        <f>IF($C672="","",IFERROR(INDEX(ENVIOS!$F$4:$F$3003,MATCH($C672,ENVIOS!$A$4:$A$3003,0)),"—"))</f>
        <v/>
      </c>
      <c r="I672" s="27">
        <f>IF($C672="","",IFERROR(INDEX(ENVIOS!$G$4:$G$3003,MATCH($C672,ENVIOS!$A$4:$A$3003,0)),"—"))</f>
        <v/>
      </c>
      <c r="J672" s="48">
        <f>IF($C672="","",IFERROR(INDEX(ENVIOS!$B$4:$B$3003,MATCH($C672,ENVIOS!$A$4:$A$3003,0)),""))</f>
        <v/>
      </c>
      <c r="K672" s="49" t="n"/>
      <c r="L672" s="27">
        <f>IF($K672="","",IFERROR(INDEX(CONFIG!$B$4:$B$43,MATCH($K672,CONFIG!$A$4:$A$43,0)),"Media"))</f>
        <v/>
      </c>
      <c r="M672" s="27">
        <f>IF($K672="","",IFERROR(INDEX(CONFIG!$D$4:$D$43,MATCH($K672,CONFIG!$A$4:$A$43,0)),"NO"))</f>
        <v/>
      </c>
      <c r="N672" s="49" t="n"/>
      <c r="O672" s="27">
        <f>IF($N672="","",IFERROR(INDEX(CONFIG!$G$4:$G$43,MATCH($N672,CONFIG!$F$4:$F$43,0)),"Por definir"))</f>
        <v/>
      </c>
      <c r="P672" s="27">
        <f>IF($N672="","",IFERROR(INDEX(CONFIG!$H$4:$H$43,MATCH($N672,CONFIG!$F$4:$F$43,0)),"Por definir"))</f>
        <v/>
      </c>
      <c r="Q672" s="50" t="n"/>
      <c r="R672" s="51" t="n"/>
      <c r="S672" s="49" t="n"/>
      <c r="T672" s="49" t="n"/>
      <c r="U672" s="48">
        <f>IF(OR($B672="",$K672=""),"",WORKDAY($B672,IFERROR(INDEX(CONFIG!$C$4:$C$43,MATCH($K672,CONFIG!$A$4:$A$43,0)),3)))</f>
        <v/>
      </c>
      <c r="V672" s="46" t="n"/>
      <c r="W672" s="23">
        <f>IF($B672="","",IF($V672&lt;&gt;"",$V672-$B672,TODAY()-$B672))</f>
        <v/>
      </c>
      <c r="X672" s="27">
        <f>IF($C672="","",IF(IFERROR(INDEX(CONFIG!$K$4:$K$43,MATCH($S672,CONFIG!$J$4:$J$43,0)),"NO")="SÍ",IF(OR($V672="",$U672=""),"Resuelta",IF($V672&gt;$U672,"Resuelta tarde","Resuelta a tiempo")),IF($U672="","Sin clasificar",IF(TODAY()&gt;$U672,"Vencida",IF(TODAY()&gt;=$U672-1,"Por vencer","En plazo")))))</f>
        <v/>
      </c>
      <c r="Y672" s="49" t="n"/>
      <c r="Z672" s="49" t="n"/>
    </row>
    <row r="673" ht="16" customHeight="1">
      <c r="A673" s="27">
        <f>IF($C673="","","N-"&amp;TEXT(ROW()-3,"0000"))</f>
        <v/>
      </c>
      <c r="B673" s="46" t="n"/>
      <c r="C673" s="47" t="n"/>
      <c r="D673" s="27">
        <f>IF($C673="","",IF(COUNTIFS(ENVIOS!$A$4:$A$3003,$C673)=0,"NO EXISTE",IF(COUNTIFS(ENVIOS!$A$4:$A$3003,$C673)&gt;1,"DUPLICADA","OK")))</f>
        <v/>
      </c>
      <c r="E673" s="22">
        <f>IF($C673="","",IFERROR(INDEX(ENVIOS!$C$4:$C$3003,MATCH($C673,ENVIOS!$A$4:$A$3003,0)),"—"))</f>
        <v/>
      </c>
      <c r="F673" s="22">
        <f>IF($C673="","",IFERROR(INDEX(ENVIOS!$D$4:$D$3003,MATCH($C673,ENVIOS!$A$4:$A$3003,0)),"—"))</f>
        <v/>
      </c>
      <c r="G673" s="22">
        <f>IF($C673="","",IFERROR(INDEX(ENVIOS!$E$4:$E$3003,MATCH($C673,ENVIOS!$A$4:$A$3003,0)),"—"))</f>
        <v/>
      </c>
      <c r="H673" s="22">
        <f>IF($C673="","",IFERROR(INDEX(ENVIOS!$F$4:$F$3003,MATCH($C673,ENVIOS!$A$4:$A$3003,0)),"—"))</f>
        <v/>
      </c>
      <c r="I673" s="27">
        <f>IF($C673="","",IFERROR(INDEX(ENVIOS!$G$4:$G$3003,MATCH($C673,ENVIOS!$A$4:$A$3003,0)),"—"))</f>
        <v/>
      </c>
      <c r="J673" s="48">
        <f>IF($C673="","",IFERROR(INDEX(ENVIOS!$B$4:$B$3003,MATCH($C673,ENVIOS!$A$4:$A$3003,0)),""))</f>
        <v/>
      </c>
      <c r="K673" s="49" t="n"/>
      <c r="L673" s="27">
        <f>IF($K673="","",IFERROR(INDEX(CONFIG!$B$4:$B$43,MATCH($K673,CONFIG!$A$4:$A$43,0)),"Media"))</f>
        <v/>
      </c>
      <c r="M673" s="27">
        <f>IF($K673="","",IFERROR(INDEX(CONFIG!$D$4:$D$43,MATCH($K673,CONFIG!$A$4:$A$43,0)),"NO"))</f>
        <v/>
      </c>
      <c r="N673" s="49" t="n"/>
      <c r="O673" s="27">
        <f>IF($N673="","",IFERROR(INDEX(CONFIG!$G$4:$G$43,MATCH($N673,CONFIG!$F$4:$F$43,0)),"Por definir"))</f>
        <v/>
      </c>
      <c r="P673" s="27">
        <f>IF($N673="","",IFERROR(INDEX(CONFIG!$H$4:$H$43,MATCH($N673,CONFIG!$F$4:$F$43,0)),"Por definir"))</f>
        <v/>
      </c>
      <c r="Q673" s="50" t="n"/>
      <c r="R673" s="51" t="n"/>
      <c r="S673" s="49" t="n"/>
      <c r="T673" s="49" t="n"/>
      <c r="U673" s="48">
        <f>IF(OR($B673="",$K673=""),"",WORKDAY($B673,IFERROR(INDEX(CONFIG!$C$4:$C$43,MATCH($K673,CONFIG!$A$4:$A$43,0)),3)))</f>
        <v/>
      </c>
      <c r="V673" s="46" t="n"/>
      <c r="W673" s="23">
        <f>IF($B673="","",IF($V673&lt;&gt;"",$V673-$B673,TODAY()-$B673))</f>
        <v/>
      </c>
      <c r="X673" s="27">
        <f>IF($C673="","",IF(IFERROR(INDEX(CONFIG!$K$4:$K$43,MATCH($S673,CONFIG!$J$4:$J$43,0)),"NO")="SÍ",IF(OR($V673="",$U673=""),"Resuelta",IF($V673&gt;$U673,"Resuelta tarde","Resuelta a tiempo")),IF($U673="","Sin clasificar",IF(TODAY()&gt;$U673,"Vencida",IF(TODAY()&gt;=$U673-1,"Por vencer","En plazo")))))</f>
        <v/>
      </c>
      <c r="Y673" s="49" t="n"/>
      <c r="Z673" s="49" t="n"/>
    </row>
    <row r="674" ht="16" customHeight="1">
      <c r="A674" s="27">
        <f>IF($C674="","","N-"&amp;TEXT(ROW()-3,"0000"))</f>
        <v/>
      </c>
      <c r="B674" s="46" t="n"/>
      <c r="C674" s="47" t="n"/>
      <c r="D674" s="27">
        <f>IF($C674="","",IF(COUNTIFS(ENVIOS!$A$4:$A$3003,$C674)=0,"NO EXISTE",IF(COUNTIFS(ENVIOS!$A$4:$A$3003,$C674)&gt;1,"DUPLICADA","OK")))</f>
        <v/>
      </c>
      <c r="E674" s="22">
        <f>IF($C674="","",IFERROR(INDEX(ENVIOS!$C$4:$C$3003,MATCH($C674,ENVIOS!$A$4:$A$3003,0)),"—"))</f>
        <v/>
      </c>
      <c r="F674" s="22">
        <f>IF($C674="","",IFERROR(INDEX(ENVIOS!$D$4:$D$3003,MATCH($C674,ENVIOS!$A$4:$A$3003,0)),"—"))</f>
        <v/>
      </c>
      <c r="G674" s="22">
        <f>IF($C674="","",IFERROR(INDEX(ENVIOS!$E$4:$E$3003,MATCH($C674,ENVIOS!$A$4:$A$3003,0)),"—"))</f>
        <v/>
      </c>
      <c r="H674" s="22">
        <f>IF($C674="","",IFERROR(INDEX(ENVIOS!$F$4:$F$3003,MATCH($C674,ENVIOS!$A$4:$A$3003,0)),"—"))</f>
        <v/>
      </c>
      <c r="I674" s="27">
        <f>IF($C674="","",IFERROR(INDEX(ENVIOS!$G$4:$G$3003,MATCH($C674,ENVIOS!$A$4:$A$3003,0)),"—"))</f>
        <v/>
      </c>
      <c r="J674" s="48">
        <f>IF($C674="","",IFERROR(INDEX(ENVIOS!$B$4:$B$3003,MATCH($C674,ENVIOS!$A$4:$A$3003,0)),""))</f>
        <v/>
      </c>
      <c r="K674" s="49" t="n"/>
      <c r="L674" s="27">
        <f>IF($K674="","",IFERROR(INDEX(CONFIG!$B$4:$B$43,MATCH($K674,CONFIG!$A$4:$A$43,0)),"Media"))</f>
        <v/>
      </c>
      <c r="M674" s="27">
        <f>IF($K674="","",IFERROR(INDEX(CONFIG!$D$4:$D$43,MATCH($K674,CONFIG!$A$4:$A$43,0)),"NO"))</f>
        <v/>
      </c>
      <c r="N674" s="49" t="n"/>
      <c r="O674" s="27">
        <f>IF($N674="","",IFERROR(INDEX(CONFIG!$G$4:$G$43,MATCH($N674,CONFIG!$F$4:$F$43,0)),"Por definir"))</f>
        <v/>
      </c>
      <c r="P674" s="27">
        <f>IF($N674="","",IFERROR(INDEX(CONFIG!$H$4:$H$43,MATCH($N674,CONFIG!$F$4:$F$43,0)),"Por definir"))</f>
        <v/>
      </c>
      <c r="Q674" s="50" t="n"/>
      <c r="R674" s="51" t="n"/>
      <c r="S674" s="49" t="n"/>
      <c r="T674" s="49" t="n"/>
      <c r="U674" s="48">
        <f>IF(OR($B674="",$K674=""),"",WORKDAY($B674,IFERROR(INDEX(CONFIG!$C$4:$C$43,MATCH($K674,CONFIG!$A$4:$A$43,0)),3)))</f>
        <v/>
      </c>
      <c r="V674" s="46" t="n"/>
      <c r="W674" s="23">
        <f>IF($B674="","",IF($V674&lt;&gt;"",$V674-$B674,TODAY()-$B674))</f>
        <v/>
      </c>
      <c r="X674" s="27">
        <f>IF($C674="","",IF(IFERROR(INDEX(CONFIG!$K$4:$K$43,MATCH($S674,CONFIG!$J$4:$J$43,0)),"NO")="SÍ",IF(OR($V674="",$U674=""),"Resuelta",IF($V674&gt;$U674,"Resuelta tarde","Resuelta a tiempo")),IF($U674="","Sin clasificar",IF(TODAY()&gt;$U674,"Vencida",IF(TODAY()&gt;=$U674-1,"Por vencer","En plazo")))))</f>
        <v/>
      </c>
      <c r="Y674" s="49" t="n"/>
      <c r="Z674" s="49" t="n"/>
    </row>
    <row r="675" ht="16" customHeight="1">
      <c r="A675" s="27">
        <f>IF($C675="","","N-"&amp;TEXT(ROW()-3,"0000"))</f>
        <v/>
      </c>
      <c r="B675" s="46" t="n"/>
      <c r="C675" s="47" t="n"/>
      <c r="D675" s="27">
        <f>IF($C675="","",IF(COUNTIFS(ENVIOS!$A$4:$A$3003,$C675)=0,"NO EXISTE",IF(COUNTIFS(ENVIOS!$A$4:$A$3003,$C675)&gt;1,"DUPLICADA","OK")))</f>
        <v/>
      </c>
      <c r="E675" s="22">
        <f>IF($C675="","",IFERROR(INDEX(ENVIOS!$C$4:$C$3003,MATCH($C675,ENVIOS!$A$4:$A$3003,0)),"—"))</f>
        <v/>
      </c>
      <c r="F675" s="22">
        <f>IF($C675="","",IFERROR(INDEX(ENVIOS!$D$4:$D$3003,MATCH($C675,ENVIOS!$A$4:$A$3003,0)),"—"))</f>
        <v/>
      </c>
      <c r="G675" s="22">
        <f>IF($C675="","",IFERROR(INDEX(ENVIOS!$E$4:$E$3003,MATCH($C675,ENVIOS!$A$4:$A$3003,0)),"—"))</f>
        <v/>
      </c>
      <c r="H675" s="22">
        <f>IF($C675="","",IFERROR(INDEX(ENVIOS!$F$4:$F$3003,MATCH($C675,ENVIOS!$A$4:$A$3003,0)),"—"))</f>
        <v/>
      </c>
      <c r="I675" s="27">
        <f>IF($C675="","",IFERROR(INDEX(ENVIOS!$G$4:$G$3003,MATCH($C675,ENVIOS!$A$4:$A$3003,0)),"—"))</f>
        <v/>
      </c>
      <c r="J675" s="48">
        <f>IF($C675="","",IFERROR(INDEX(ENVIOS!$B$4:$B$3003,MATCH($C675,ENVIOS!$A$4:$A$3003,0)),""))</f>
        <v/>
      </c>
      <c r="K675" s="49" t="n"/>
      <c r="L675" s="27">
        <f>IF($K675="","",IFERROR(INDEX(CONFIG!$B$4:$B$43,MATCH($K675,CONFIG!$A$4:$A$43,0)),"Media"))</f>
        <v/>
      </c>
      <c r="M675" s="27">
        <f>IF($K675="","",IFERROR(INDEX(CONFIG!$D$4:$D$43,MATCH($K675,CONFIG!$A$4:$A$43,0)),"NO"))</f>
        <v/>
      </c>
      <c r="N675" s="49" t="n"/>
      <c r="O675" s="27">
        <f>IF($N675="","",IFERROR(INDEX(CONFIG!$G$4:$G$43,MATCH($N675,CONFIG!$F$4:$F$43,0)),"Por definir"))</f>
        <v/>
      </c>
      <c r="P675" s="27">
        <f>IF($N675="","",IFERROR(INDEX(CONFIG!$H$4:$H$43,MATCH($N675,CONFIG!$F$4:$F$43,0)),"Por definir"))</f>
        <v/>
      </c>
      <c r="Q675" s="50" t="n"/>
      <c r="R675" s="51" t="n"/>
      <c r="S675" s="49" t="n"/>
      <c r="T675" s="49" t="n"/>
      <c r="U675" s="48">
        <f>IF(OR($B675="",$K675=""),"",WORKDAY($B675,IFERROR(INDEX(CONFIG!$C$4:$C$43,MATCH($K675,CONFIG!$A$4:$A$43,0)),3)))</f>
        <v/>
      </c>
      <c r="V675" s="46" t="n"/>
      <c r="W675" s="23">
        <f>IF($B675="","",IF($V675&lt;&gt;"",$V675-$B675,TODAY()-$B675))</f>
        <v/>
      </c>
      <c r="X675" s="27">
        <f>IF($C675="","",IF(IFERROR(INDEX(CONFIG!$K$4:$K$43,MATCH($S675,CONFIG!$J$4:$J$43,0)),"NO")="SÍ",IF(OR($V675="",$U675=""),"Resuelta",IF($V675&gt;$U675,"Resuelta tarde","Resuelta a tiempo")),IF($U675="","Sin clasificar",IF(TODAY()&gt;$U675,"Vencida",IF(TODAY()&gt;=$U675-1,"Por vencer","En plazo")))))</f>
        <v/>
      </c>
      <c r="Y675" s="49" t="n"/>
      <c r="Z675" s="49" t="n"/>
    </row>
    <row r="676" ht="16" customHeight="1">
      <c r="A676" s="27">
        <f>IF($C676="","","N-"&amp;TEXT(ROW()-3,"0000"))</f>
        <v/>
      </c>
      <c r="B676" s="46" t="n"/>
      <c r="C676" s="47" t="n"/>
      <c r="D676" s="27">
        <f>IF($C676="","",IF(COUNTIFS(ENVIOS!$A$4:$A$3003,$C676)=0,"NO EXISTE",IF(COUNTIFS(ENVIOS!$A$4:$A$3003,$C676)&gt;1,"DUPLICADA","OK")))</f>
        <v/>
      </c>
      <c r="E676" s="22">
        <f>IF($C676="","",IFERROR(INDEX(ENVIOS!$C$4:$C$3003,MATCH($C676,ENVIOS!$A$4:$A$3003,0)),"—"))</f>
        <v/>
      </c>
      <c r="F676" s="22">
        <f>IF($C676="","",IFERROR(INDEX(ENVIOS!$D$4:$D$3003,MATCH($C676,ENVIOS!$A$4:$A$3003,0)),"—"))</f>
        <v/>
      </c>
      <c r="G676" s="22">
        <f>IF($C676="","",IFERROR(INDEX(ENVIOS!$E$4:$E$3003,MATCH($C676,ENVIOS!$A$4:$A$3003,0)),"—"))</f>
        <v/>
      </c>
      <c r="H676" s="22">
        <f>IF($C676="","",IFERROR(INDEX(ENVIOS!$F$4:$F$3003,MATCH($C676,ENVIOS!$A$4:$A$3003,0)),"—"))</f>
        <v/>
      </c>
      <c r="I676" s="27">
        <f>IF($C676="","",IFERROR(INDEX(ENVIOS!$G$4:$G$3003,MATCH($C676,ENVIOS!$A$4:$A$3003,0)),"—"))</f>
        <v/>
      </c>
      <c r="J676" s="48">
        <f>IF($C676="","",IFERROR(INDEX(ENVIOS!$B$4:$B$3003,MATCH($C676,ENVIOS!$A$4:$A$3003,0)),""))</f>
        <v/>
      </c>
      <c r="K676" s="49" t="n"/>
      <c r="L676" s="27">
        <f>IF($K676="","",IFERROR(INDEX(CONFIG!$B$4:$B$43,MATCH($K676,CONFIG!$A$4:$A$43,0)),"Media"))</f>
        <v/>
      </c>
      <c r="M676" s="27">
        <f>IF($K676="","",IFERROR(INDEX(CONFIG!$D$4:$D$43,MATCH($K676,CONFIG!$A$4:$A$43,0)),"NO"))</f>
        <v/>
      </c>
      <c r="N676" s="49" t="n"/>
      <c r="O676" s="27">
        <f>IF($N676="","",IFERROR(INDEX(CONFIG!$G$4:$G$43,MATCH($N676,CONFIG!$F$4:$F$43,0)),"Por definir"))</f>
        <v/>
      </c>
      <c r="P676" s="27">
        <f>IF($N676="","",IFERROR(INDEX(CONFIG!$H$4:$H$43,MATCH($N676,CONFIG!$F$4:$F$43,0)),"Por definir"))</f>
        <v/>
      </c>
      <c r="Q676" s="50" t="n"/>
      <c r="R676" s="51" t="n"/>
      <c r="S676" s="49" t="n"/>
      <c r="T676" s="49" t="n"/>
      <c r="U676" s="48">
        <f>IF(OR($B676="",$K676=""),"",WORKDAY($B676,IFERROR(INDEX(CONFIG!$C$4:$C$43,MATCH($K676,CONFIG!$A$4:$A$43,0)),3)))</f>
        <v/>
      </c>
      <c r="V676" s="46" t="n"/>
      <c r="W676" s="23">
        <f>IF($B676="","",IF($V676&lt;&gt;"",$V676-$B676,TODAY()-$B676))</f>
        <v/>
      </c>
      <c r="X676" s="27">
        <f>IF($C676="","",IF(IFERROR(INDEX(CONFIG!$K$4:$K$43,MATCH($S676,CONFIG!$J$4:$J$43,0)),"NO")="SÍ",IF(OR($V676="",$U676=""),"Resuelta",IF($V676&gt;$U676,"Resuelta tarde","Resuelta a tiempo")),IF($U676="","Sin clasificar",IF(TODAY()&gt;$U676,"Vencida",IF(TODAY()&gt;=$U676-1,"Por vencer","En plazo")))))</f>
        <v/>
      </c>
      <c r="Y676" s="49" t="n"/>
      <c r="Z676" s="49" t="n"/>
    </row>
    <row r="677" ht="16" customHeight="1">
      <c r="A677" s="27">
        <f>IF($C677="","","N-"&amp;TEXT(ROW()-3,"0000"))</f>
        <v/>
      </c>
      <c r="B677" s="46" t="n"/>
      <c r="C677" s="47" t="n"/>
      <c r="D677" s="27">
        <f>IF($C677="","",IF(COUNTIFS(ENVIOS!$A$4:$A$3003,$C677)=0,"NO EXISTE",IF(COUNTIFS(ENVIOS!$A$4:$A$3003,$C677)&gt;1,"DUPLICADA","OK")))</f>
        <v/>
      </c>
      <c r="E677" s="22">
        <f>IF($C677="","",IFERROR(INDEX(ENVIOS!$C$4:$C$3003,MATCH($C677,ENVIOS!$A$4:$A$3003,0)),"—"))</f>
        <v/>
      </c>
      <c r="F677" s="22">
        <f>IF($C677="","",IFERROR(INDEX(ENVIOS!$D$4:$D$3003,MATCH($C677,ENVIOS!$A$4:$A$3003,0)),"—"))</f>
        <v/>
      </c>
      <c r="G677" s="22">
        <f>IF($C677="","",IFERROR(INDEX(ENVIOS!$E$4:$E$3003,MATCH($C677,ENVIOS!$A$4:$A$3003,0)),"—"))</f>
        <v/>
      </c>
      <c r="H677" s="22">
        <f>IF($C677="","",IFERROR(INDEX(ENVIOS!$F$4:$F$3003,MATCH($C677,ENVIOS!$A$4:$A$3003,0)),"—"))</f>
        <v/>
      </c>
      <c r="I677" s="27">
        <f>IF($C677="","",IFERROR(INDEX(ENVIOS!$G$4:$G$3003,MATCH($C677,ENVIOS!$A$4:$A$3003,0)),"—"))</f>
        <v/>
      </c>
      <c r="J677" s="48">
        <f>IF($C677="","",IFERROR(INDEX(ENVIOS!$B$4:$B$3003,MATCH($C677,ENVIOS!$A$4:$A$3003,0)),""))</f>
        <v/>
      </c>
      <c r="K677" s="49" t="n"/>
      <c r="L677" s="27">
        <f>IF($K677="","",IFERROR(INDEX(CONFIG!$B$4:$B$43,MATCH($K677,CONFIG!$A$4:$A$43,0)),"Media"))</f>
        <v/>
      </c>
      <c r="M677" s="27">
        <f>IF($K677="","",IFERROR(INDEX(CONFIG!$D$4:$D$43,MATCH($K677,CONFIG!$A$4:$A$43,0)),"NO"))</f>
        <v/>
      </c>
      <c r="N677" s="49" t="n"/>
      <c r="O677" s="27">
        <f>IF($N677="","",IFERROR(INDEX(CONFIG!$G$4:$G$43,MATCH($N677,CONFIG!$F$4:$F$43,0)),"Por definir"))</f>
        <v/>
      </c>
      <c r="P677" s="27">
        <f>IF($N677="","",IFERROR(INDEX(CONFIG!$H$4:$H$43,MATCH($N677,CONFIG!$F$4:$F$43,0)),"Por definir"))</f>
        <v/>
      </c>
      <c r="Q677" s="50" t="n"/>
      <c r="R677" s="51" t="n"/>
      <c r="S677" s="49" t="n"/>
      <c r="T677" s="49" t="n"/>
      <c r="U677" s="48">
        <f>IF(OR($B677="",$K677=""),"",WORKDAY($B677,IFERROR(INDEX(CONFIG!$C$4:$C$43,MATCH($K677,CONFIG!$A$4:$A$43,0)),3)))</f>
        <v/>
      </c>
      <c r="V677" s="46" t="n"/>
      <c r="W677" s="23">
        <f>IF($B677="","",IF($V677&lt;&gt;"",$V677-$B677,TODAY()-$B677))</f>
        <v/>
      </c>
      <c r="X677" s="27">
        <f>IF($C677="","",IF(IFERROR(INDEX(CONFIG!$K$4:$K$43,MATCH($S677,CONFIG!$J$4:$J$43,0)),"NO")="SÍ",IF(OR($V677="",$U677=""),"Resuelta",IF($V677&gt;$U677,"Resuelta tarde","Resuelta a tiempo")),IF($U677="","Sin clasificar",IF(TODAY()&gt;$U677,"Vencida",IF(TODAY()&gt;=$U677-1,"Por vencer","En plazo")))))</f>
        <v/>
      </c>
      <c r="Y677" s="49" t="n"/>
      <c r="Z677" s="49" t="n"/>
    </row>
    <row r="678" ht="16" customHeight="1">
      <c r="A678" s="27">
        <f>IF($C678="","","N-"&amp;TEXT(ROW()-3,"0000"))</f>
        <v/>
      </c>
      <c r="B678" s="46" t="n"/>
      <c r="C678" s="47" t="n"/>
      <c r="D678" s="27">
        <f>IF($C678="","",IF(COUNTIFS(ENVIOS!$A$4:$A$3003,$C678)=0,"NO EXISTE",IF(COUNTIFS(ENVIOS!$A$4:$A$3003,$C678)&gt;1,"DUPLICADA","OK")))</f>
        <v/>
      </c>
      <c r="E678" s="22">
        <f>IF($C678="","",IFERROR(INDEX(ENVIOS!$C$4:$C$3003,MATCH($C678,ENVIOS!$A$4:$A$3003,0)),"—"))</f>
        <v/>
      </c>
      <c r="F678" s="22">
        <f>IF($C678="","",IFERROR(INDEX(ENVIOS!$D$4:$D$3003,MATCH($C678,ENVIOS!$A$4:$A$3003,0)),"—"))</f>
        <v/>
      </c>
      <c r="G678" s="22">
        <f>IF($C678="","",IFERROR(INDEX(ENVIOS!$E$4:$E$3003,MATCH($C678,ENVIOS!$A$4:$A$3003,0)),"—"))</f>
        <v/>
      </c>
      <c r="H678" s="22">
        <f>IF($C678="","",IFERROR(INDEX(ENVIOS!$F$4:$F$3003,MATCH($C678,ENVIOS!$A$4:$A$3003,0)),"—"))</f>
        <v/>
      </c>
      <c r="I678" s="27">
        <f>IF($C678="","",IFERROR(INDEX(ENVIOS!$G$4:$G$3003,MATCH($C678,ENVIOS!$A$4:$A$3003,0)),"—"))</f>
        <v/>
      </c>
      <c r="J678" s="48">
        <f>IF($C678="","",IFERROR(INDEX(ENVIOS!$B$4:$B$3003,MATCH($C678,ENVIOS!$A$4:$A$3003,0)),""))</f>
        <v/>
      </c>
      <c r="K678" s="49" t="n"/>
      <c r="L678" s="27">
        <f>IF($K678="","",IFERROR(INDEX(CONFIG!$B$4:$B$43,MATCH($K678,CONFIG!$A$4:$A$43,0)),"Media"))</f>
        <v/>
      </c>
      <c r="M678" s="27">
        <f>IF($K678="","",IFERROR(INDEX(CONFIG!$D$4:$D$43,MATCH($K678,CONFIG!$A$4:$A$43,0)),"NO"))</f>
        <v/>
      </c>
      <c r="N678" s="49" t="n"/>
      <c r="O678" s="27">
        <f>IF($N678="","",IFERROR(INDEX(CONFIG!$G$4:$G$43,MATCH($N678,CONFIG!$F$4:$F$43,0)),"Por definir"))</f>
        <v/>
      </c>
      <c r="P678" s="27">
        <f>IF($N678="","",IFERROR(INDEX(CONFIG!$H$4:$H$43,MATCH($N678,CONFIG!$F$4:$F$43,0)),"Por definir"))</f>
        <v/>
      </c>
      <c r="Q678" s="50" t="n"/>
      <c r="R678" s="51" t="n"/>
      <c r="S678" s="49" t="n"/>
      <c r="T678" s="49" t="n"/>
      <c r="U678" s="48">
        <f>IF(OR($B678="",$K678=""),"",WORKDAY($B678,IFERROR(INDEX(CONFIG!$C$4:$C$43,MATCH($K678,CONFIG!$A$4:$A$43,0)),3)))</f>
        <v/>
      </c>
      <c r="V678" s="46" t="n"/>
      <c r="W678" s="23">
        <f>IF($B678="","",IF($V678&lt;&gt;"",$V678-$B678,TODAY()-$B678))</f>
        <v/>
      </c>
      <c r="X678" s="27">
        <f>IF($C678="","",IF(IFERROR(INDEX(CONFIG!$K$4:$K$43,MATCH($S678,CONFIG!$J$4:$J$43,0)),"NO")="SÍ",IF(OR($V678="",$U678=""),"Resuelta",IF($V678&gt;$U678,"Resuelta tarde","Resuelta a tiempo")),IF($U678="","Sin clasificar",IF(TODAY()&gt;$U678,"Vencida",IF(TODAY()&gt;=$U678-1,"Por vencer","En plazo")))))</f>
        <v/>
      </c>
      <c r="Y678" s="49" t="n"/>
      <c r="Z678" s="49" t="n"/>
    </row>
    <row r="679" ht="16" customHeight="1">
      <c r="A679" s="27">
        <f>IF($C679="","","N-"&amp;TEXT(ROW()-3,"0000"))</f>
        <v/>
      </c>
      <c r="B679" s="46" t="n"/>
      <c r="C679" s="47" t="n"/>
      <c r="D679" s="27">
        <f>IF($C679="","",IF(COUNTIFS(ENVIOS!$A$4:$A$3003,$C679)=0,"NO EXISTE",IF(COUNTIFS(ENVIOS!$A$4:$A$3003,$C679)&gt;1,"DUPLICADA","OK")))</f>
        <v/>
      </c>
      <c r="E679" s="22">
        <f>IF($C679="","",IFERROR(INDEX(ENVIOS!$C$4:$C$3003,MATCH($C679,ENVIOS!$A$4:$A$3003,0)),"—"))</f>
        <v/>
      </c>
      <c r="F679" s="22">
        <f>IF($C679="","",IFERROR(INDEX(ENVIOS!$D$4:$D$3003,MATCH($C679,ENVIOS!$A$4:$A$3003,0)),"—"))</f>
        <v/>
      </c>
      <c r="G679" s="22">
        <f>IF($C679="","",IFERROR(INDEX(ENVIOS!$E$4:$E$3003,MATCH($C679,ENVIOS!$A$4:$A$3003,0)),"—"))</f>
        <v/>
      </c>
      <c r="H679" s="22">
        <f>IF($C679="","",IFERROR(INDEX(ENVIOS!$F$4:$F$3003,MATCH($C679,ENVIOS!$A$4:$A$3003,0)),"—"))</f>
        <v/>
      </c>
      <c r="I679" s="27">
        <f>IF($C679="","",IFERROR(INDEX(ENVIOS!$G$4:$G$3003,MATCH($C679,ENVIOS!$A$4:$A$3003,0)),"—"))</f>
        <v/>
      </c>
      <c r="J679" s="48">
        <f>IF($C679="","",IFERROR(INDEX(ENVIOS!$B$4:$B$3003,MATCH($C679,ENVIOS!$A$4:$A$3003,0)),""))</f>
        <v/>
      </c>
      <c r="K679" s="49" t="n"/>
      <c r="L679" s="27">
        <f>IF($K679="","",IFERROR(INDEX(CONFIG!$B$4:$B$43,MATCH($K679,CONFIG!$A$4:$A$43,0)),"Media"))</f>
        <v/>
      </c>
      <c r="M679" s="27">
        <f>IF($K679="","",IFERROR(INDEX(CONFIG!$D$4:$D$43,MATCH($K679,CONFIG!$A$4:$A$43,0)),"NO"))</f>
        <v/>
      </c>
      <c r="N679" s="49" t="n"/>
      <c r="O679" s="27">
        <f>IF($N679="","",IFERROR(INDEX(CONFIG!$G$4:$G$43,MATCH($N679,CONFIG!$F$4:$F$43,0)),"Por definir"))</f>
        <v/>
      </c>
      <c r="P679" s="27">
        <f>IF($N679="","",IFERROR(INDEX(CONFIG!$H$4:$H$43,MATCH($N679,CONFIG!$F$4:$F$43,0)),"Por definir"))</f>
        <v/>
      </c>
      <c r="Q679" s="50" t="n"/>
      <c r="R679" s="51" t="n"/>
      <c r="S679" s="49" t="n"/>
      <c r="T679" s="49" t="n"/>
      <c r="U679" s="48">
        <f>IF(OR($B679="",$K679=""),"",WORKDAY($B679,IFERROR(INDEX(CONFIG!$C$4:$C$43,MATCH($K679,CONFIG!$A$4:$A$43,0)),3)))</f>
        <v/>
      </c>
      <c r="V679" s="46" t="n"/>
      <c r="W679" s="23">
        <f>IF($B679="","",IF($V679&lt;&gt;"",$V679-$B679,TODAY()-$B679))</f>
        <v/>
      </c>
      <c r="X679" s="27">
        <f>IF($C679="","",IF(IFERROR(INDEX(CONFIG!$K$4:$K$43,MATCH($S679,CONFIG!$J$4:$J$43,0)),"NO")="SÍ",IF(OR($V679="",$U679=""),"Resuelta",IF($V679&gt;$U679,"Resuelta tarde","Resuelta a tiempo")),IF($U679="","Sin clasificar",IF(TODAY()&gt;$U679,"Vencida",IF(TODAY()&gt;=$U679-1,"Por vencer","En plazo")))))</f>
        <v/>
      </c>
      <c r="Y679" s="49" t="n"/>
      <c r="Z679" s="49" t="n"/>
    </row>
    <row r="680" ht="16" customHeight="1">
      <c r="A680" s="27">
        <f>IF($C680="","","N-"&amp;TEXT(ROW()-3,"0000"))</f>
        <v/>
      </c>
      <c r="B680" s="46" t="n"/>
      <c r="C680" s="47" t="n"/>
      <c r="D680" s="27">
        <f>IF($C680="","",IF(COUNTIFS(ENVIOS!$A$4:$A$3003,$C680)=0,"NO EXISTE",IF(COUNTIFS(ENVIOS!$A$4:$A$3003,$C680)&gt;1,"DUPLICADA","OK")))</f>
        <v/>
      </c>
      <c r="E680" s="22">
        <f>IF($C680="","",IFERROR(INDEX(ENVIOS!$C$4:$C$3003,MATCH($C680,ENVIOS!$A$4:$A$3003,0)),"—"))</f>
        <v/>
      </c>
      <c r="F680" s="22">
        <f>IF($C680="","",IFERROR(INDEX(ENVIOS!$D$4:$D$3003,MATCH($C680,ENVIOS!$A$4:$A$3003,0)),"—"))</f>
        <v/>
      </c>
      <c r="G680" s="22">
        <f>IF($C680="","",IFERROR(INDEX(ENVIOS!$E$4:$E$3003,MATCH($C680,ENVIOS!$A$4:$A$3003,0)),"—"))</f>
        <v/>
      </c>
      <c r="H680" s="22">
        <f>IF($C680="","",IFERROR(INDEX(ENVIOS!$F$4:$F$3003,MATCH($C680,ENVIOS!$A$4:$A$3003,0)),"—"))</f>
        <v/>
      </c>
      <c r="I680" s="27">
        <f>IF($C680="","",IFERROR(INDEX(ENVIOS!$G$4:$G$3003,MATCH($C680,ENVIOS!$A$4:$A$3003,0)),"—"))</f>
        <v/>
      </c>
      <c r="J680" s="48">
        <f>IF($C680="","",IFERROR(INDEX(ENVIOS!$B$4:$B$3003,MATCH($C680,ENVIOS!$A$4:$A$3003,0)),""))</f>
        <v/>
      </c>
      <c r="K680" s="49" t="n"/>
      <c r="L680" s="27">
        <f>IF($K680="","",IFERROR(INDEX(CONFIG!$B$4:$B$43,MATCH($K680,CONFIG!$A$4:$A$43,0)),"Media"))</f>
        <v/>
      </c>
      <c r="M680" s="27">
        <f>IF($K680="","",IFERROR(INDEX(CONFIG!$D$4:$D$43,MATCH($K680,CONFIG!$A$4:$A$43,0)),"NO"))</f>
        <v/>
      </c>
      <c r="N680" s="49" t="n"/>
      <c r="O680" s="27">
        <f>IF($N680="","",IFERROR(INDEX(CONFIG!$G$4:$G$43,MATCH($N680,CONFIG!$F$4:$F$43,0)),"Por definir"))</f>
        <v/>
      </c>
      <c r="P680" s="27">
        <f>IF($N680="","",IFERROR(INDEX(CONFIG!$H$4:$H$43,MATCH($N680,CONFIG!$F$4:$F$43,0)),"Por definir"))</f>
        <v/>
      </c>
      <c r="Q680" s="50" t="n"/>
      <c r="R680" s="51" t="n"/>
      <c r="S680" s="49" t="n"/>
      <c r="T680" s="49" t="n"/>
      <c r="U680" s="48">
        <f>IF(OR($B680="",$K680=""),"",WORKDAY($B680,IFERROR(INDEX(CONFIG!$C$4:$C$43,MATCH($K680,CONFIG!$A$4:$A$43,0)),3)))</f>
        <v/>
      </c>
      <c r="V680" s="46" t="n"/>
      <c r="W680" s="23">
        <f>IF($B680="","",IF($V680&lt;&gt;"",$V680-$B680,TODAY()-$B680))</f>
        <v/>
      </c>
      <c r="X680" s="27">
        <f>IF($C680="","",IF(IFERROR(INDEX(CONFIG!$K$4:$K$43,MATCH($S680,CONFIG!$J$4:$J$43,0)),"NO")="SÍ",IF(OR($V680="",$U680=""),"Resuelta",IF($V680&gt;$U680,"Resuelta tarde","Resuelta a tiempo")),IF($U680="","Sin clasificar",IF(TODAY()&gt;$U680,"Vencida",IF(TODAY()&gt;=$U680-1,"Por vencer","En plazo")))))</f>
        <v/>
      </c>
      <c r="Y680" s="49" t="n"/>
      <c r="Z680" s="49" t="n"/>
    </row>
    <row r="681" ht="16" customHeight="1">
      <c r="A681" s="27">
        <f>IF($C681="","","N-"&amp;TEXT(ROW()-3,"0000"))</f>
        <v/>
      </c>
      <c r="B681" s="46" t="n"/>
      <c r="C681" s="47" t="n"/>
      <c r="D681" s="27">
        <f>IF($C681="","",IF(COUNTIFS(ENVIOS!$A$4:$A$3003,$C681)=0,"NO EXISTE",IF(COUNTIFS(ENVIOS!$A$4:$A$3003,$C681)&gt;1,"DUPLICADA","OK")))</f>
        <v/>
      </c>
      <c r="E681" s="22">
        <f>IF($C681="","",IFERROR(INDEX(ENVIOS!$C$4:$C$3003,MATCH($C681,ENVIOS!$A$4:$A$3003,0)),"—"))</f>
        <v/>
      </c>
      <c r="F681" s="22">
        <f>IF($C681="","",IFERROR(INDEX(ENVIOS!$D$4:$D$3003,MATCH($C681,ENVIOS!$A$4:$A$3003,0)),"—"))</f>
        <v/>
      </c>
      <c r="G681" s="22">
        <f>IF($C681="","",IFERROR(INDEX(ENVIOS!$E$4:$E$3003,MATCH($C681,ENVIOS!$A$4:$A$3003,0)),"—"))</f>
        <v/>
      </c>
      <c r="H681" s="22">
        <f>IF($C681="","",IFERROR(INDEX(ENVIOS!$F$4:$F$3003,MATCH($C681,ENVIOS!$A$4:$A$3003,0)),"—"))</f>
        <v/>
      </c>
      <c r="I681" s="27">
        <f>IF($C681="","",IFERROR(INDEX(ENVIOS!$G$4:$G$3003,MATCH($C681,ENVIOS!$A$4:$A$3003,0)),"—"))</f>
        <v/>
      </c>
      <c r="J681" s="48">
        <f>IF($C681="","",IFERROR(INDEX(ENVIOS!$B$4:$B$3003,MATCH($C681,ENVIOS!$A$4:$A$3003,0)),""))</f>
        <v/>
      </c>
      <c r="K681" s="49" t="n"/>
      <c r="L681" s="27">
        <f>IF($K681="","",IFERROR(INDEX(CONFIG!$B$4:$B$43,MATCH($K681,CONFIG!$A$4:$A$43,0)),"Media"))</f>
        <v/>
      </c>
      <c r="M681" s="27">
        <f>IF($K681="","",IFERROR(INDEX(CONFIG!$D$4:$D$43,MATCH($K681,CONFIG!$A$4:$A$43,0)),"NO"))</f>
        <v/>
      </c>
      <c r="N681" s="49" t="n"/>
      <c r="O681" s="27">
        <f>IF($N681="","",IFERROR(INDEX(CONFIG!$G$4:$G$43,MATCH($N681,CONFIG!$F$4:$F$43,0)),"Por definir"))</f>
        <v/>
      </c>
      <c r="P681" s="27">
        <f>IF($N681="","",IFERROR(INDEX(CONFIG!$H$4:$H$43,MATCH($N681,CONFIG!$F$4:$F$43,0)),"Por definir"))</f>
        <v/>
      </c>
      <c r="Q681" s="50" t="n"/>
      <c r="R681" s="51" t="n"/>
      <c r="S681" s="49" t="n"/>
      <c r="T681" s="49" t="n"/>
      <c r="U681" s="48">
        <f>IF(OR($B681="",$K681=""),"",WORKDAY($B681,IFERROR(INDEX(CONFIG!$C$4:$C$43,MATCH($K681,CONFIG!$A$4:$A$43,0)),3)))</f>
        <v/>
      </c>
      <c r="V681" s="46" t="n"/>
      <c r="W681" s="23">
        <f>IF($B681="","",IF($V681&lt;&gt;"",$V681-$B681,TODAY()-$B681))</f>
        <v/>
      </c>
      <c r="X681" s="27">
        <f>IF($C681="","",IF(IFERROR(INDEX(CONFIG!$K$4:$K$43,MATCH($S681,CONFIG!$J$4:$J$43,0)),"NO")="SÍ",IF(OR($V681="",$U681=""),"Resuelta",IF($V681&gt;$U681,"Resuelta tarde","Resuelta a tiempo")),IF($U681="","Sin clasificar",IF(TODAY()&gt;$U681,"Vencida",IF(TODAY()&gt;=$U681-1,"Por vencer","En plazo")))))</f>
        <v/>
      </c>
      <c r="Y681" s="49" t="n"/>
      <c r="Z681" s="49" t="n"/>
    </row>
    <row r="682" ht="16" customHeight="1">
      <c r="A682" s="27">
        <f>IF($C682="","","N-"&amp;TEXT(ROW()-3,"0000"))</f>
        <v/>
      </c>
      <c r="B682" s="46" t="n"/>
      <c r="C682" s="47" t="n"/>
      <c r="D682" s="27">
        <f>IF($C682="","",IF(COUNTIFS(ENVIOS!$A$4:$A$3003,$C682)=0,"NO EXISTE",IF(COUNTIFS(ENVIOS!$A$4:$A$3003,$C682)&gt;1,"DUPLICADA","OK")))</f>
        <v/>
      </c>
      <c r="E682" s="22">
        <f>IF($C682="","",IFERROR(INDEX(ENVIOS!$C$4:$C$3003,MATCH($C682,ENVIOS!$A$4:$A$3003,0)),"—"))</f>
        <v/>
      </c>
      <c r="F682" s="22">
        <f>IF($C682="","",IFERROR(INDEX(ENVIOS!$D$4:$D$3003,MATCH($C682,ENVIOS!$A$4:$A$3003,0)),"—"))</f>
        <v/>
      </c>
      <c r="G682" s="22">
        <f>IF($C682="","",IFERROR(INDEX(ENVIOS!$E$4:$E$3003,MATCH($C682,ENVIOS!$A$4:$A$3003,0)),"—"))</f>
        <v/>
      </c>
      <c r="H682" s="22">
        <f>IF($C682="","",IFERROR(INDEX(ENVIOS!$F$4:$F$3003,MATCH($C682,ENVIOS!$A$4:$A$3003,0)),"—"))</f>
        <v/>
      </c>
      <c r="I682" s="27">
        <f>IF($C682="","",IFERROR(INDEX(ENVIOS!$G$4:$G$3003,MATCH($C682,ENVIOS!$A$4:$A$3003,0)),"—"))</f>
        <v/>
      </c>
      <c r="J682" s="48">
        <f>IF($C682="","",IFERROR(INDEX(ENVIOS!$B$4:$B$3003,MATCH($C682,ENVIOS!$A$4:$A$3003,0)),""))</f>
        <v/>
      </c>
      <c r="K682" s="49" t="n"/>
      <c r="L682" s="27">
        <f>IF($K682="","",IFERROR(INDEX(CONFIG!$B$4:$B$43,MATCH($K682,CONFIG!$A$4:$A$43,0)),"Media"))</f>
        <v/>
      </c>
      <c r="M682" s="27">
        <f>IF($K682="","",IFERROR(INDEX(CONFIG!$D$4:$D$43,MATCH($K682,CONFIG!$A$4:$A$43,0)),"NO"))</f>
        <v/>
      </c>
      <c r="N682" s="49" t="n"/>
      <c r="O682" s="27">
        <f>IF($N682="","",IFERROR(INDEX(CONFIG!$G$4:$G$43,MATCH($N682,CONFIG!$F$4:$F$43,0)),"Por definir"))</f>
        <v/>
      </c>
      <c r="P682" s="27">
        <f>IF($N682="","",IFERROR(INDEX(CONFIG!$H$4:$H$43,MATCH($N682,CONFIG!$F$4:$F$43,0)),"Por definir"))</f>
        <v/>
      </c>
      <c r="Q682" s="50" t="n"/>
      <c r="R682" s="51" t="n"/>
      <c r="S682" s="49" t="n"/>
      <c r="T682" s="49" t="n"/>
      <c r="U682" s="48">
        <f>IF(OR($B682="",$K682=""),"",WORKDAY($B682,IFERROR(INDEX(CONFIG!$C$4:$C$43,MATCH($K682,CONFIG!$A$4:$A$43,0)),3)))</f>
        <v/>
      </c>
      <c r="V682" s="46" t="n"/>
      <c r="W682" s="23">
        <f>IF($B682="","",IF($V682&lt;&gt;"",$V682-$B682,TODAY()-$B682))</f>
        <v/>
      </c>
      <c r="X682" s="27">
        <f>IF($C682="","",IF(IFERROR(INDEX(CONFIG!$K$4:$K$43,MATCH($S682,CONFIG!$J$4:$J$43,0)),"NO")="SÍ",IF(OR($V682="",$U682=""),"Resuelta",IF($V682&gt;$U682,"Resuelta tarde","Resuelta a tiempo")),IF($U682="","Sin clasificar",IF(TODAY()&gt;$U682,"Vencida",IF(TODAY()&gt;=$U682-1,"Por vencer","En plazo")))))</f>
        <v/>
      </c>
      <c r="Y682" s="49" t="n"/>
      <c r="Z682" s="49" t="n"/>
    </row>
    <row r="683" ht="16" customHeight="1">
      <c r="A683" s="27">
        <f>IF($C683="","","N-"&amp;TEXT(ROW()-3,"0000"))</f>
        <v/>
      </c>
      <c r="B683" s="46" t="n"/>
      <c r="C683" s="47" t="n"/>
      <c r="D683" s="27">
        <f>IF($C683="","",IF(COUNTIFS(ENVIOS!$A$4:$A$3003,$C683)=0,"NO EXISTE",IF(COUNTIFS(ENVIOS!$A$4:$A$3003,$C683)&gt;1,"DUPLICADA","OK")))</f>
        <v/>
      </c>
      <c r="E683" s="22">
        <f>IF($C683="","",IFERROR(INDEX(ENVIOS!$C$4:$C$3003,MATCH($C683,ENVIOS!$A$4:$A$3003,0)),"—"))</f>
        <v/>
      </c>
      <c r="F683" s="22">
        <f>IF($C683="","",IFERROR(INDEX(ENVIOS!$D$4:$D$3003,MATCH($C683,ENVIOS!$A$4:$A$3003,0)),"—"))</f>
        <v/>
      </c>
      <c r="G683" s="22">
        <f>IF($C683="","",IFERROR(INDEX(ENVIOS!$E$4:$E$3003,MATCH($C683,ENVIOS!$A$4:$A$3003,0)),"—"))</f>
        <v/>
      </c>
      <c r="H683" s="22">
        <f>IF($C683="","",IFERROR(INDEX(ENVIOS!$F$4:$F$3003,MATCH($C683,ENVIOS!$A$4:$A$3003,0)),"—"))</f>
        <v/>
      </c>
      <c r="I683" s="27">
        <f>IF($C683="","",IFERROR(INDEX(ENVIOS!$G$4:$G$3003,MATCH($C683,ENVIOS!$A$4:$A$3003,0)),"—"))</f>
        <v/>
      </c>
      <c r="J683" s="48">
        <f>IF($C683="","",IFERROR(INDEX(ENVIOS!$B$4:$B$3003,MATCH($C683,ENVIOS!$A$4:$A$3003,0)),""))</f>
        <v/>
      </c>
      <c r="K683" s="49" t="n"/>
      <c r="L683" s="27">
        <f>IF($K683="","",IFERROR(INDEX(CONFIG!$B$4:$B$43,MATCH($K683,CONFIG!$A$4:$A$43,0)),"Media"))</f>
        <v/>
      </c>
      <c r="M683" s="27">
        <f>IF($K683="","",IFERROR(INDEX(CONFIG!$D$4:$D$43,MATCH($K683,CONFIG!$A$4:$A$43,0)),"NO"))</f>
        <v/>
      </c>
      <c r="N683" s="49" t="n"/>
      <c r="O683" s="27">
        <f>IF($N683="","",IFERROR(INDEX(CONFIG!$G$4:$G$43,MATCH($N683,CONFIG!$F$4:$F$43,0)),"Por definir"))</f>
        <v/>
      </c>
      <c r="P683" s="27">
        <f>IF($N683="","",IFERROR(INDEX(CONFIG!$H$4:$H$43,MATCH($N683,CONFIG!$F$4:$F$43,0)),"Por definir"))</f>
        <v/>
      </c>
      <c r="Q683" s="50" t="n"/>
      <c r="R683" s="51" t="n"/>
      <c r="S683" s="49" t="n"/>
      <c r="T683" s="49" t="n"/>
      <c r="U683" s="48">
        <f>IF(OR($B683="",$K683=""),"",WORKDAY($B683,IFERROR(INDEX(CONFIG!$C$4:$C$43,MATCH($K683,CONFIG!$A$4:$A$43,0)),3)))</f>
        <v/>
      </c>
      <c r="V683" s="46" t="n"/>
      <c r="W683" s="23">
        <f>IF($B683="","",IF($V683&lt;&gt;"",$V683-$B683,TODAY()-$B683))</f>
        <v/>
      </c>
      <c r="X683" s="27">
        <f>IF($C683="","",IF(IFERROR(INDEX(CONFIG!$K$4:$K$43,MATCH($S683,CONFIG!$J$4:$J$43,0)),"NO")="SÍ",IF(OR($V683="",$U683=""),"Resuelta",IF($V683&gt;$U683,"Resuelta tarde","Resuelta a tiempo")),IF($U683="","Sin clasificar",IF(TODAY()&gt;$U683,"Vencida",IF(TODAY()&gt;=$U683-1,"Por vencer","En plazo")))))</f>
        <v/>
      </c>
      <c r="Y683" s="49" t="n"/>
      <c r="Z683" s="49" t="n"/>
    </row>
    <row r="684" ht="16" customHeight="1">
      <c r="A684" s="27">
        <f>IF($C684="","","N-"&amp;TEXT(ROW()-3,"0000"))</f>
        <v/>
      </c>
      <c r="B684" s="46" t="n"/>
      <c r="C684" s="47" t="n"/>
      <c r="D684" s="27">
        <f>IF($C684="","",IF(COUNTIFS(ENVIOS!$A$4:$A$3003,$C684)=0,"NO EXISTE",IF(COUNTIFS(ENVIOS!$A$4:$A$3003,$C684)&gt;1,"DUPLICADA","OK")))</f>
        <v/>
      </c>
      <c r="E684" s="22">
        <f>IF($C684="","",IFERROR(INDEX(ENVIOS!$C$4:$C$3003,MATCH($C684,ENVIOS!$A$4:$A$3003,0)),"—"))</f>
        <v/>
      </c>
      <c r="F684" s="22">
        <f>IF($C684="","",IFERROR(INDEX(ENVIOS!$D$4:$D$3003,MATCH($C684,ENVIOS!$A$4:$A$3003,0)),"—"))</f>
        <v/>
      </c>
      <c r="G684" s="22">
        <f>IF($C684="","",IFERROR(INDEX(ENVIOS!$E$4:$E$3003,MATCH($C684,ENVIOS!$A$4:$A$3003,0)),"—"))</f>
        <v/>
      </c>
      <c r="H684" s="22">
        <f>IF($C684="","",IFERROR(INDEX(ENVIOS!$F$4:$F$3003,MATCH($C684,ENVIOS!$A$4:$A$3003,0)),"—"))</f>
        <v/>
      </c>
      <c r="I684" s="27">
        <f>IF($C684="","",IFERROR(INDEX(ENVIOS!$G$4:$G$3003,MATCH($C684,ENVIOS!$A$4:$A$3003,0)),"—"))</f>
        <v/>
      </c>
      <c r="J684" s="48">
        <f>IF($C684="","",IFERROR(INDEX(ENVIOS!$B$4:$B$3003,MATCH($C684,ENVIOS!$A$4:$A$3003,0)),""))</f>
        <v/>
      </c>
      <c r="K684" s="49" t="n"/>
      <c r="L684" s="27">
        <f>IF($K684="","",IFERROR(INDEX(CONFIG!$B$4:$B$43,MATCH($K684,CONFIG!$A$4:$A$43,0)),"Media"))</f>
        <v/>
      </c>
      <c r="M684" s="27">
        <f>IF($K684="","",IFERROR(INDEX(CONFIG!$D$4:$D$43,MATCH($K684,CONFIG!$A$4:$A$43,0)),"NO"))</f>
        <v/>
      </c>
      <c r="N684" s="49" t="n"/>
      <c r="O684" s="27">
        <f>IF($N684="","",IFERROR(INDEX(CONFIG!$G$4:$G$43,MATCH($N684,CONFIG!$F$4:$F$43,0)),"Por definir"))</f>
        <v/>
      </c>
      <c r="P684" s="27">
        <f>IF($N684="","",IFERROR(INDEX(CONFIG!$H$4:$H$43,MATCH($N684,CONFIG!$F$4:$F$43,0)),"Por definir"))</f>
        <v/>
      </c>
      <c r="Q684" s="50" t="n"/>
      <c r="R684" s="51" t="n"/>
      <c r="S684" s="49" t="n"/>
      <c r="T684" s="49" t="n"/>
      <c r="U684" s="48">
        <f>IF(OR($B684="",$K684=""),"",WORKDAY($B684,IFERROR(INDEX(CONFIG!$C$4:$C$43,MATCH($K684,CONFIG!$A$4:$A$43,0)),3)))</f>
        <v/>
      </c>
      <c r="V684" s="46" t="n"/>
      <c r="W684" s="23">
        <f>IF($B684="","",IF($V684&lt;&gt;"",$V684-$B684,TODAY()-$B684))</f>
        <v/>
      </c>
      <c r="X684" s="27">
        <f>IF($C684="","",IF(IFERROR(INDEX(CONFIG!$K$4:$K$43,MATCH($S684,CONFIG!$J$4:$J$43,0)),"NO")="SÍ",IF(OR($V684="",$U684=""),"Resuelta",IF($V684&gt;$U684,"Resuelta tarde","Resuelta a tiempo")),IF($U684="","Sin clasificar",IF(TODAY()&gt;$U684,"Vencida",IF(TODAY()&gt;=$U684-1,"Por vencer","En plazo")))))</f>
        <v/>
      </c>
      <c r="Y684" s="49" t="n"/>
      <c r="Z684" s="49" t="n"/>
    </row>
    <row r="685" ht="16" customHeight="1">
      <c r="A685" s="27">
        <f>IF($C685="","","N-"&amp;TEXT(ROW()-3,"0000"))</f>
        <v/>
      </c>
      <c r="B685" s="46" t="n"/>
      <c r="C685" s="47" t="n"/>
      <c r="D685" s="27">
        <f>IF($C685="","",IF(COUNTIFS(ENVIOS!$A$4:$A$3003,$C685)=0,"NO EXISTE",IF(COUNTIFS(ENVIOS!$A$4:$A$3003,$C685)&gt;1,"DUPLICADA","OK")))</f>
        <v/>
      </c>
      <c r="E685" s="22">
        <f>IF($C685="","",IFERROR(INDEX(ENVIOS!$C$4:$C$3003,MATCH($C685,ENVIOS!$A$4:$A$3003,0)),"—"))</f>
        <v/>
      </c>
      <c r="F685" s="22">
        <f>IF($C685="","",IFERROR(INDEX(ENVIOS!$D$4:$D$3003,MATCH($C685,ENVIOS!$A$4:$A$3003,0)),"—"))</f>
        <v/>
      </c>
      <c r="G685" s="22">
        <f>IF($C685="","",IFERROR(INDEX(ENVIOS!$E$4:$E$3003,MATCH($C685,ENVIOS!$A$4:$A$3003,0)),"—"))</f>
        <v/>
      </c>
      <c r="H685" s="22">
        <f>IF($C685="","",IFERROR(INDEX(ENVIOS!$F$4:$F$3003,MATCH($C685,ENVIOS!$A$4:$A$3003,0)),"—"))</f>
        <v/>
      </c>
      <c r="I685" s="27">
        <f>IF($C685="","",IFERROR(INDEX(ENVIOS!$G$4:$G$3003,MATCH($C685,ENVIOS!$A$4:$A$3003,0)),"—"))</f>
        <v/>
      </c>
      <c r="J685" s="48">
        <f>IF($C685="","",IFERROR(INDEX(ENVIOS!$B$4:$B$3003,MATCH($C685,ENVIOS!$A$4:$A$3003,0)),""))</f>
        <v/>
      </c>
      <c r="K685" s="49" t="n"/>
      <c r="L685" s="27">
        <f>IF($K685="","",IFERROR(INDEX(CONFIG!$B$4:$B$43,MATCH($K685,CONFIG!$A$4:$A$43,0)),"Media"))</f>
        <v/>
      </c>
      <c r="M685" s="27">
        <f>IF($K685="","",IFERROR(INDEX(CONFIG!$D$4:$D$43,MATCH($K685,CONFIG!$A$4:$A$43,0)),"NO"))</f>
        <v/>
      </c>
      <c r="N685" s="49" t="n"/>
      <c r="O685" s="27">
        <f>IF($N685="","",IFERROR(INDEX(CONFIG!$G$4:$G$43,MATCH($N685,CONFIG!$F$4:$F$43,0)),"Por definir"))</f>
        <v/>
      </c>
      <c r="P685" s="27">
        <f>IF($N685="","",IFERROR(INDEX(CONFIG!$H$4:$H$43,MATCH($N685,CONFIG!$F$4:$F$43,0)),"Por definir"))</f>
        <v/>
      </c>
      <c r="Q685" s="50" t="n"/>
      <c r="R685" s="51" t="n"/>
      <c r="S685" s="49" t="n"/>
      <c r="T685" s="49" t="n"/>
      <c r="U685" s="48">
        <f>IF(OR($B685="",$K685=""),"",WORKDAY($B685,IFERROR(INDEX(CONFIG!$C$4:$C$43,MATCH($K685,CONFIG!$A$4:$A$43,0)),3)))</f>
        <v/>
      </c>
      <c r="V685" s="46" t="n"/>
      <c r="W685" s="23">
        <f>IF($B685="","",IF($V685&lt;&gt;"",$V685-$B685,TODAY()-$B685))</f>
        <v/>
      </c>
      <c r="X685" s="27">
        <f>IF($C685="","",IF(IFERROR(INDEX(CONFIG!$K$4:$K$43,MATCH($S685,CONFIG!$J$4:$J$43,0)),"NO")="SÍ",IF(OR($V685="",$U685=""),"Resuelta",IF($V685&gt;$U685,"Resuelta tarde","Resuelta a tiempo")),IF($U685="","Sin clasificar",IF(TODAY()&gt;$U685,"Vencida",IF(TODAY()&gt;=$U685-1,"Por vencer","En plazo")))))</f>
        <v/>
      </c>
      <c r="Y685" s="49" t="n"/>
      <c r="Z685" s="49" t="n"/>
    </row>
    <row r="686" ht="16" customHeight="1">
      <c r="A686" s="27">
        <f>IF($C686="","","N-"&amp;TEXT(ROW()-3,"0000"))</f>
        <v/>
      </c>
      <c r="B686" s="46" t="n"/>
      <c r="C686" s="47" t="n"/>
      <c r="D686" s="27">
        <f>IF($C686="","",IF(COUNTIFS(ENVIOS!$A$4:$A$3003,$C686)=0,"NO EXISTE",IF(COUNTIFS(ENVIOS!$A$4:$A$3003,$C686)&gt;1,"DUPLICADA","OK")))</f>
        <v/>
      </c>
      <c r="E686" s="22">
        <f>IF($C686="","",IFERROR(INDEX(ENVIOS!$C$4:$C$3003,MATCH($C686,ENVIOS!$A$4:$A$3003,0)),"—"))</f>
        <v/>
      </c>
      <c r="F686" s="22">
        <f>IF($C686="","",IFERROR(INDEX(ENVIOS!$D$4:$D$3003,MATCH($C686,ENVIOS!$A$4:$A$3003,0)),"—"))</f>
        <v/>
      </c>
      <c r="G686" s="22">
        <f>IF($C686="","",IFERROR(INDEX(ENVIOS!$E$4:$E$3003,MATCH($C686,ENVIOS!$A$4:$A$3003,0)),"—"))</f>
        <v/>
      </c>
      <c r="H686" s="22">
        <f>IF($C686="","",IFERROR(INDEX(ENVIOS!$F$4:$F$3003,MATCH($C686,ENVIOS!$A$4:$A$3003,0)),"—"))</f>
        <v/>
      </c>
      <c r="I686" s="27">
        <f>IF($C686="","",IFERROR(INDEX(ENVIOS!$G$4:$G$3003,MATCH($C686,ENVIOS!$A$4:$A$3003,0)),"—"))</f>
        <v/>
      </c>
      <c r="J686" s="48">
        <f>IF($C686="","",IFERROR(INDEX(ENVIOS!$B$4:$B$3003,MATCH($C686,ENVIOS!$A$4:$A$3003,0)),""))</f>
        <v/>
      </c>
      <c r="K686" s="49" t="n"/>
      <c r="L686" s="27">
        <f>IF($K686="","",IFERROR(INDEX(CONFIG!$B$4:$B$43,MATCH($K686,CONFIG!$A$4:$A$43,0)),"Media"))</f>
        <v/>
      </c>
      <c r="M686" s="27">
        <f>IF($K686="","",IFERROR(INDEX(CONFIG!$D$4:$D$43,MATCH($K686,CONFIG!$A$4:$A$43,0)),"NO"))</f>
        <v/>
      </c>
      <c r="N686" s="49" t="n"/>
      <c r="O686" s="27">
        <f>IF($N686="","",IFERROR(INDEX(CONFIG!$G$4:$G$43,MATCH($N686,CONFIG!$F$4:$F$43,0)),"Por definir"))</f>
        <v/>
      </c>
      <c r="P686" s="27">
        <f>IF($N686="","",IFERROR(INDEX(CONFIG!$H$4:$H$43,MATCH($N686,CONFIG!$F$4:$F$43,0)),"Por definir"))</f>
        <v/>
      </c>
      <c r="Q686" s="50" t="n"/>
      <c r="R686" s="51" t="n"/>
      <c r="S686" s="49" t="n"/>
      <c r="T686" s="49" t="n"/>
      <c r="U686" s="48">
        <f>IF(OR($B686="",$K686=""),"",WORKDAY($B686,IFERROR(INDEX(CONFIG!$C$4:$C$43,MATCH($K686,CONFIG!$A$4:$A$43,0)),3)))</f>
        <v/>
      </c>
      <c r="V686" s="46" t="n"/>
      <c r="W686" s="23">
        <f>IF($B686="","",IF($V686&lt;&gt;"",$V686-$B686,TODAY()-$B686))</f>
        <v/>
      </c>
      <c r="X686" s="27">
        <f>IF($C686="","",IF(IFERROR(INDEX(CONFIG!$K$4:$K$43,MATCH($S686,CONFIG!$J$4:$J$43,0)),"NO")="SÍ",IF(OR($V686="",$U686=""),"Resuelta",IF($V686&gt;$U686,"Resuelta tarde","Resuelta a tiempo")),IF($U686="","Sin clasificar",IF(TODAY()&gt;$U686,"Vencida",IF(TODAY()&gt;=$U686-1,"Por vencer","En plazo")))))</f>
        <v/>
      </c>
      <c r="Y686" s="49" t="n"/>
      <c r="Z686" s="49" t="n"/>
    </row>
    <row r="687" ht="16" customHeight="1">
      <c r="A687" s="27">
        <f>IF($C687="","","N-"&amp;TEXT(ROW()-3,"0000"))</f>
        <v/>
      </c>
      <c r="B687" s="46" t="n"/>
      <c r="C687" s="47" t="n"/>
      <c r="D687" s="27">
        <f>IF($C687="","",IF(COUNTIFS(ENVIOS!$A$4:$A$3003,$C687)=0,"NO EXISTE",IF(COUNTIFS(ENVIOS!$A$4:$A$3003,$C687)&gt;1,"DUPLICADA","OK")))</f>
        <v/>
      </c>
      <c r="E687" s="22">
        <f>IF($C687="","",IFERROR(INDEX(ENVIOS!$C$4:$C$3003,MATCH($C687,ENVIOS!$A$4:$A$3003,0)),"—"))</f>
        <v/>
      </c>
      <c r="F687" s="22">
        <f>IF($C687="","",IFERROR(INDEX(ENVIOS!$D$4:$D$3003,MATCH($C687,ENVIOS!$A$4:$A$3003,0)),"—"))</f>
        <v/>
      </c>
      <c r="G687" s="22">
        <f>IF($C687="","",IFERROR(INDEX(ENVIOS!$E$4:$E$3003,MATCH($C687,ENVIOS!$A$4:$A$3003,0)),"—"))</f>
        <v/>
      </c>
      <c r="H687" s="22">
        <f>IF($C687="","",IFERROR(INDEX(ENVIOS!$F$4:$F$3003,MATCH($C687,ENVIOS!$A$4:$A$3003,0)),"—"))</f>
        <v/>
      </c>
      <c r="I687" s="27">
        <f>IF($C687="","",IFERROR(INDEX(ENVIOS!$G$4:$G$3003,MATCH($C687,ENVIOS!$A$4:$A$3003,0)),"—"))</f>
        <v/>
      </c>
      <c r="J687" s="48">
        <f>IF($C687="","",IFERROR(INDEX(ENVIOS!$B$4:$B$3003,MATCH($C687,ENVIOS!$A$4:$A$3003,0)),""))</f>
        <v/>
      </c>
      <c r="K687" s="49" t="n"/>
      <c r="L687" s="27">
        <f>IF($K687="","",IFERROR(INDEX(CONFIG!$B$4:$B$43,MATCH($K687,CONFIG!$A$4:$A$43,0)),"Media"))</f>
        <v/>
      </c>
      <c r="M687" s="27">
        <f>IF($K687="","",IFERROR(INDEX(CONFIG!$D$4:$D$43,MATCH($K687,CONFIG!$A$4:$A$43,0)),"NO"))</f>
        <v/>
      </c>
      <c r="N687" s="49" t="n"/>
      <c r="O687" s="27">
        <f>IF($N687="","",IFERROR(INDEX(CONFIG!$G$4:$G$43,MATCH($N687,CONFIG!$F$4:$F$43,0)),"Por definir"))</f>
        <v/>
      </c>
      <c r="P687" s="27">
        <f>IF($N687="","",IFERROR(INDEX(CONFIG!$H$4:$H$43,MATCH($N687,CONFIG!$F$4:$F$43,0)),"Por definir"))</f>
        <v/>
      </c>
      <c r="Q687" s="50" t="n"/>
      <c r="R687" s="51" t="n"/>
      <c r="S687" s="49" t="n"/>
      <c r="T687" s="49" t="n"/>
      <c r="U687" s="48">
        <f>IF(OR($B687="",$K687=""),"",WORKDAY($B687,IFERROR(INDEX(CONFIG!$C$4:$C$43,MATCH($K687,CONFIG!$A$4:$A$43,0)),3)))</f>
        <v/>
      </c>
      <c r="V687" s="46" t="n"/>
      <c r="W687" s="23">
        <f>IF($B687="","",IF($V687&lt;&gt;"",$V687-$B687,TODAY()-$B687))</f>
        <v/>
      </c>
      <c r="X687" s="27">
        <f>IF($C687="","",IF(IFERROR(INDEX(CONFIG!$K$4:$K$43,MATCH($S687,CONFIG!$J$4:$J$43,0)),"NO")="SÍ",IF(OR($V687="",$U687=""),"Resuelta",IF($V687&gt;$U687,"Resuelta tarde","Resuelta a tiempo")),IF($U687="","Sin clasificar",IF(TODAY()&gt;$U687,"Vencida",IF(TODAY()&gt;=$U687-1,"Por vencer","En plazo")))))</f>
        <v/>
      </c>
      <c r="Y687" s="49" t="n"/>
      <c r="Z687" s="49" t="n"/>
    </row>
    <row r="688" ht="16" customHeight="1">
      <c r="A688" s="27">
        <f>IF($C688="","","N-"&amp;TEXT(ROW()-3,"0000"))</f>
        <v/>
      </c>
      <c r="B688" s="46" t="n"/>
      <c r="C688" s="47" t="n"/>
      <c r="D688" s="27">
        <f>IF($C688="","",IF(COUNTIFS(ENVIOS!$A$4:$A$3003,$C688)=0,"NO EXISTE",IF(COUNTIFS(ENVIOS!$A$4:$A$3003,$C688)&gt;1,"DUPLICADA","OK")))</f>
        <v/>
      </c>
      <c r="E688" s="22">
        <f>IF($C688="","",IFERROR(INDEX(ENVIOS!$C$4:$C$3003,MATCH($C688,ENVIOS!$A$4:$A$3003,0)),"—"))</f>
        <v/>
      </c>
      <c r="F688" s="22">
        <f>IF($C688="","",IFERROR(INDEX(ENVIOS!$D$4:$D$3003,MATCH($C688,ENVIOS!$A$4:$A$3003,0)),"—"))</f>
        <v/>
      </c>
      <c r="G688" s="22">
        <f>IF($C688="","",IFERROR(INDEX(ENVIOS!$E$4:$E$3003,MATCH($C688,ENVIOS!$A$4:$A$3003,0)),"—"))</f>
        <v/>
      </c>
      <c r="H688" s="22">
        <f>IF($C688="","",IFERROR(INDEX(ENVIOS!$F$4:$F$3003,MATCH($C688,ENVIOS!$A$4:$A$3003,0)),"—"))</f>
        <v/>
      </c>
      <c r="I688" s="27">
        <f>IF($C688="","",IFERROR(INDEX(ENVIOS!$G$4:$G$3003,MATCH($C688,ENVIOS!$A$4:$A$3003,0)),"—"))</f>
        <v/>
      </c>
      <c r="J688" s="48">
        <f>IF($C688="","",IFERROR(INDEX(ENVIOS!$B$4:$B$3003,MATCH($C688,ENVIOS!$A$4:$A$3003,0)),""))</f>
        <v/>
      </c>
      <c r="K688" s="49" t="n"/>
      <c r="L688" s="27">
        <f>IF($K688="","",IFERROR(INDEX(CONFIG!$B$4:$B$43,MATCH($K688,CONFIG!$A$4:$A$43,0)),"Media"))</f>
        <v/>
      </c>
      <c r="M688" s="27">
        <f>IF($K688="","",IFERROR(INDEX(CONFIG!$D$4:$D$43,MATCH($K688,CONFIG!$A$4:$A$43,0)),"NO"))</f>
        <v/>
      </c>
      <c r="N688" s="49" t="n"/>
      <c r="O688" s="27">
        <f>IF($N688="","",IFERROR(INDEX(CONFIG!$G$4:$G$43,MATCH($N688,CONFIG!$F$4:$F$43,0)),"Por definir"))</f>
        <v/>
      </c>
      <c r="P688" s="27">
        <f>IF($N688="","",IFERROR(INDEX(CONFIG!$H$4:$H$43,MATCH($N688,CONFIG!$F$4:$F$43,0)),"Por definir"))</f>
        <v/>
      </c>
      <c r="Q688" s="50" t="n"/>
      <c r="R688" s="51" t="n"/>
      <c r="S688" s="49" t="n"/>
      <c r="T688" s="49" t="n"/>
      <c r="U688" s="48">
        <f>IF(OR($B688="",$K688=""),"",WORKDAY($B688,IFERROR(INDEX(CONFIG!$C$4:$C$43,MATCH($K688,CONFIG!$A$4:$A$43,0)),3)))</f>
        <v/>
      </c>
      <c r="V688" s="46" t="n"/>
      <c r="W688" s="23">
        <f>IF($B688="","",IF($V688&lt;&gt;"",$V688-$B688,TODAY()-$B688))</f>
        <v/>
      </c>
      <c r="X688" s="27">
        <f>IF($C688="","",IF(IFERROR(INDEX(CONFIG!$K$4:$K$43,MATCH($S688,CONFIG!$J$4:$J$43,0)),"NO")="SÍ",IF(OR($V688="",$U688=""),"Resuelta",IF($V688&gt;$U688,"Resuelta tarde","Resuelta a tiempo")),IF($U688="","Sin clasificar",IF(TODAY()&gt;$U688,"Vencida",IF(TODAY()&gt;=$U688-1,"Por vencer","En plazo")))))</f>
        <v/>
      </c>
      <c r="Y688" s="49" t="n"/>
      <c r="Z688" s="49" t="n"/>
    </row>
    <row r="689" ht="16" customHeight="1">
      <c r="A689" s="27">
        <f>IF($C689="","","N-"&amp;TEXT(ROW()-3,"0000"))</f>
        <v/>
      </c>
      <c r="B689" s="46" t="n"/>
      <c r="C689" s="47" t="n"/>
      <c r="D689" s="27">
        <f>IF($C689="","",IF(COUNTIFS(ENVIOS!$A$4:$A$3003,$C689)=0,"NO EXISTE",IF(COUNTIFS(ENVIOS!$A$4:$A$3003,$C689)&gt;1,"DUPLICADA","OK")))</f>
        <v/>
      </c>
      <c r="E689" s="22">
        <f>IF($C689="","",IFERROR(INDEX(ENVIOS!$C$4:$C$3003,MATCH($C689,ENVIOS!$A$4:$A$3003,0)),"—"))</f>
        <v/>
      </c>
      <c r="F689" s="22">
        <f>IF($C689="","",IFERROR(INDEX(ENVIOS!$D$4:$D$3003,MATCH($C689,ENVIOS!$A$4:$A$3003,0)),"—"))</f>
        <v/>
      </c>
      <c r="G689" s="22">
        <f>IF($C689="","",IFERROR(INDEX(ENVIOS!$E$4:$E$3003,MATCH($C689,ENVIOS!$A$4:$A$3003,0)),"—"))</f>
        <v/>
      </c>
      <c r="H689" s="22">
        <f>IF($C689="","",IFERROR(INDEX(ENVIOS!$F$4:$F$3003,MATCH($C689,ENVIOS!$A$4:$A$3003,0)),"—"))</f>
        <v/>
      </c>
      <c r="I689" s="27">
        <f>IF($C689="","",IFERROR(INDEX(ENVIOS!$G$4:$G$3003,MATCH($C689,ENVIOS!$A$4:$A$3003,0)),"—"))</f>
        <v/>
      </c>
      <c r="J689" s="48">
        <f>IF($C689="","",IFERROR(INDEX(ENVIOS!$B$4:$B$3003,MATCH($C689,ENVIOS!$A$4:$A$3003,0)),""))</f>
        <v/>
      </c>
      <c r="K689" s="49" t="n"/>
      <c r="L689" s="27">
        <f>IF($K689="","",IFERROR(INDEX(CONFIG!$B$4:$B$43,MATCH($K689,CONFIG!$A$4:$A$43,0)),"Media"))</f>
        <v/>
      </c>
      <c r="M689" s="27">
        <f>IF($K689="","",IFERROR(INDEX(CONFIG!$D$4:$D$43,MATCH($K689,CONFIG!$A$4:$A$43,0)),"NO"))</f>
        <v/>
      </c>
      <c r="N689" s="49" t="n"/>
      <c r="O689" s="27">
        <f>IF($N689="","",IFERROR(INDEX(CONFIG!$G$4:$G$43,MATCH($N689,CONFIG!$F$4:$F$43,0)),"Por definir"))</f>
        <v/>
      </c>
      <c r="P689" s="27">
        <f>IF($N689="","",IFERROR(INDEX(CONFIG!$H$4:$H$43,MATCH($N689,CONFIG!$F$4:$F$43,0)),"Por definir"))</f>
        <v/>
      </c>
      <c r="Q689" s="50" t="n"/>
      <c r="R689" s="51" t="n"/>
      <c r="S689" s="49" t="n"/>
      <c r="T689" s="49" t="n"/>
      <c r="U689" s="48">
        <f>IF(OR($B689="",$K689=""),"",WORKDAY($B689,IFERROR(INDEX(CONFIG!$C$4:$C$43,MATCH($K689,CONFIG!$A$4:$A$43,0)),3)))</f>
        <v/>
      </c>
      <c r="V689" s="46" t="n"/>
      <c r="W689" s="23">
        <f>IF($B689="","",IF($V689&lt;&gt;"",$V689-$B689,TODAY()-$B689))</f>
        <v/>
      </c>
      <c r="X689" s="27">
        <f>IF($C689="","",IF(IFERROR(INDEX(CONFIG!$K$4:$K$43,MATCH($S689,CONFIG!$J$4:$J$43,0)),"NO")="SÍ",IF(OR($V689="",$U689=""),"Resuelta",IF($V689&gt;$U689,"Resuelta tarde","Resuelta a tiempo")),IF($U689="","Sin clasificar",IF(TODAY()&gt;$U689,"Vencida",IF(TODAY()&gt;=$U689-1,"Por vencer","En plazo")))))</f>
        <v/>
      </c>
      <c r="Y689" s="49" t="n"/>
      <c r="Z689" s="49" t="n"/>
    </row>
    <row r="690" ht="16" customHeight="1">
      <c r="A690" s="27">
        <f>IF($C690="","","N-"&amp;TEXT(ROW()-3,"0000"))</f>
        <v/>
      </c>
      <c r="B690" s="46" t="n"/>
      <c r="C690" s="47" t="n"/>
      <c r="D690" s="27">
        <f>IF($C690="","",IF(COUNTIFS(ENVIOS!$A$4:$A$3003,$C690)=0,"NO EXISTE",IF(COUNTIFS(ENVIOS!$A$4:$A$3003,$C690)&gt;1,"DUPLICADA","OK")))</f>
        <v/>
      </c>
      <c r="E690" s="22">
        <f>IF($C690="","",IFERROR(INDEX(ENVIOS!$C$4:$C$3003,MATCH($C690,ENVIOS!$A$4:$A$3003,0)),"—"))</f>
        <v/>
      </c>
      <c r="F690" s="22">
        <f>IF($C690="","",IFERROR(INDEX(ENVIOS!$D$4:$D$3003,MATCH($C690,ENVIOS!$A$4:$A$3003,0)),"—"))</f>
        <v/>
      </c>
      <c r="G690" s="22">
        <f>IF($C690="","",IFERROR(INDEX(ENVIOS!$E$4:$E$3003,MATCH($C690,ENVIOS!$A$4:$A$3003,0)),"—"))</f>
        <v/>
      </c>
      <c r="H690" s="22">
        <f>IF($C690="","",IFERROR(INDEX(ENVIOS!$F$4:$F$3003,MATCH($C690,ENVIOS!$A$4:$A$3003,0)),"—"))</f>
        <v/>
      </c>
      <c r="I690" s="27">
        <f>IF($C690="","",IFERROR(INDEX(ENVIOS!$G$4:$G$3003,MATCH($C690,ENVIOS!$A$4:$A$3003,0)),"—"))</f>
        <v/>
      </c>
      <c r="J690" s="48">
        <f>IF($C690="","",IFERROR(INDEX(ENVIOS!$B$4:$B$3003,MATCH($C690,ENVIOS!$A$4:$A$3003,0)),""))</f>
        <v/>
      </c>
      <c r="K690" s="49" t="n"/>
      <c r="L690" s="27">
        <f>IF($K690="","",IFERROR(INDEX(CONFIG!$B$4:$B$43,MATCH($K690,CONFIG!$A$4:$A$43,0)),"Media"))</f>
        <v/>
      </c>
      <c r="M690" s="27">
        <f>IF($K690="","",IFERROR(INDEX(CONFIG!$D$4:$D$43,MATCH($K690,CONFIG!$A$4:$A$43,0)),"NO"))</f>
        <v/>
      </c>
      <c r="N690" s="49" t="n"/>
      <c r="O690" s="27">
        <f>IF($N690="","",IFERROR(INDEX(CONFIG!$G$4:$G$43,MATCH($N690,CONFIG!$F$4:$F$43,0)),"Por definir"))</f>
        <v/>
      </c>
      <c r="P690" s="27">
        <f>IF($N690="","",IFERROR(INDEX(CONFIG!$H$4:$H$43,MATCH($N690,CONFIG!$F$4:$F$43,0)),"Por definir"))</f>
        <v/>
      </c>
      <c r="Q690" s="50" t="n"/>
      <c r="R690" s="51" t="n"/>
      <c r="S690" s="49" t="n"/>
      <c r="T690" s="49" t="n"/>
      <c r="U690" s="48">
        <f>IF(OR($B690="",$K690=""),"",WORKDAY($B690,IFERROR(INDEX(CONFIG!$C$4:$C$43,MATCH($K690,CONFIG!$A$4:$A$43,0)),3)))</f>
        <v/>
      </c>
      <c r="V690" s="46" t="n"/>
      <c r="W690" s="23">
        <f>IF($B690="","",IF($V690&lt;&gt;"",$V690-$B690,TODAY()-$B690))</f>
        <v/>
      </c>
      <c r="X690" s="27">
        <f>IF($C690="","",IF(IFERROR(INDEX(CONFIG!$K$4:$K$43,MATCH($S690,CONFIG!$J$4:$J$43,0)),"NO")="SÍ",IF(OR($V690="",$U690=""),"Resuelta",IF($V690&gt;$U690,"Resuelta tarde","Resuelta a tiempo")),IF($U690="","Sin clasificar",IF(TODAY()&gt;$U690,"Vencida",IF(TODAY()&gt;=$U690-1,"Por vencer","En plazo")))))</f>
        <v/>
      </c>
      <c r="Y690" s="49" t="n"/>
      <c r="Z690" s="49" t="n"/>
    </row>
    <row r="691" ht="16" customHeight="1">
      <c r="A691" s="27">
        <f>IF($C691="","","N-"&amp;TEXT(ROW()-3,"0000"))</f>
        <v/>
      </c>
      <c r="B691" s="46" t="n"/>
      <c r="C691" s="47" t="n"/>
      <c r="D691" s="27">
        <f>IF($C691="","",IF(COUNTIFS(ENVIOS!$A$4:$A$3003,$C691)=0,"NO EXISTE",IF(COUNTIFS(ENVIOS!$A$4:$A$3003,$C691)&gt;1,"DUPLICADA","OK")))</f>
        <v/>
      </c>
      <c r="E691" s="22">
        <f>IF($C691="","",IFERROR(INDEX(ENVIOS!$C$4:$C$3003,MATCH($C691,ENVIOS!$A$4:$A$3003,0)),"—"))</f>
        <v/>
      </c>
      <c r="F691" s="22">
        <f>IF($C691="","",IFERROR(INDEX(ENVIOS!$D$4:$D$3003,MATCH($C691,ENVIOS!$A$4:$A$3003,0)),"—"))</f>
        <v/>
      </c>
      <c r="G691" s="22">
        <f>IF($C691="","",IFERROR(INDEX(ENVIOS!$E$4:$E$3003,MATCH($C691,ENVIOS!$A$4:$A$3003,0)),"—"))</f>
        <v/>
      </c>
      <c r="H691" s="22">
        <f>IF($C691="","",IFERROR(INDEX(ENVIOS!$F$4:$F$3003,MATCH($C691,ENVIOS!$A$4:$A$3003,0)),"—"))</f>
        <v/>
      </c>
      <c r="I691" s="27">
        <f>IF($C691="","",IFERROR(INDEX(ENVIOS!$G$4:$G$3003,MATCH($C691,ENVIOS!$A$4:$A$3003,0)),"—"))</f>
        <v/>
      </c>
      <c r="J691" s="48">
        <f>IF($C691="","",IFERROR(INDEX(ENVIOS!$B$4:$B$3003,MATCH($C691,ENVIOS!$A$4:$A$3003,0)),""))</f>
        <v/>
      </c>
      <c r="K691" s="49" t="n"/>
      <c r="L691" s="27">
        <f>IF($K691="","",IFERROR(INDEX(CONFIG!$B$4:$B$43,MATCH($K691,CONFIG!$A$4:$A$43,0)),"Media"))</f>
        <v/>
      </c>
      <c r="M691" s="27">
        <f>IF($K691="","",IFERROR(INDEX(CONFIG!$D$4:$D$43,MATCH($K691,CONFIG!$A$4:$A$43,0)),"NO"))</f>
        <v/>
      </c>
      <c r="N691" s="49" t="n"/>
      <c r="O691" s="27">
        <f>IF($N691="","",IFERROR(INDEX(CONFIG!$G$4:$G$43,MATCH($N691,CONFIG!$F$4:$F$43,0)),"Por definir"))</f>
        <v/>
      </c>
      <c r="P691" s="27">
        <f>IF($N691="","",IFERROR(INDEX(CONFIG!$H$4:$H$43,MATCH($N691,CONFIG!$F$4:$F$43,0)),"Por definir"))</f>
        <v/>
      </c>
      <c r="Q691" s="50" t="n"/>
      <c r="R691" s="51" t="n"/>
      <c r="S691" s="49" t="n"/>
      <c r="T691" s="49" t="n"/>
      <c r="U691" s="48">
        <f>IF(OR($B691="",$K691=""),"",WORKDAY($B691,IFERROR(INDEX(CONFIG!$C$4:$C$43,MATCH($K691,CONFIG!$A$4:$A$43,0)),3)))</f>
        <v/>
      </c>
      <c r="V691" s="46" t="n"/>
      <c r="W691" s="23">
        <f>IF($B691="","",IF($V691&lt;&gt;"",$V691-$B691,TODAY()-$B691))</f>
        <v/>
      </c>
      <c r="X691" s="27">
        <f>IF($C691="","",IF(IFERROR(INDEX(CONFIG!$K$4:$K$43,MATCH($S691,CONFIG!$J$4:$J$43,0)),"NO")="SÍ",IF(OR($V691="",$U691=""),"Resuelta",IF($V691&gt;$U691,"Resuelta tarde","Resuelta a tiempo")),IF($U691="","Sin clasificar",IF(TODAY()&gt;$U691,"Vencida",IF(TODAY()&gt;=$U691-1,"Por vencer","En plazo")))))</f>
        <v/>
      </c>
      <c r="Y691" s="49" t="n"/>
      <c r="Z691" s="49" t="n"/>
    </row>
    <row r="692" ht="16" customHeight="1">
      <c r="A692" s="27">
        <f>IF($C692="","","N-"&amp;TEXT(ROW()-3,"0000"))</f>
        <v/>
      </c>
      <c r="B692" s="46" t="n"/>
      <c r="C692" s="47" t="n"/>
      <c r="D692" s="27">
        <f>IF($C692="","",IF(COUNTIFS(ENVIOS!$A$4:$A$3003,$C692)=0,"NO EXISTE",IF(COUNTIFS(ENVIOS!$A$4:$A$3003,$C692)&gt;1,"DUPLICADA","OK")))</f>
        <v/>
      </c>
      <c r="E692" s="22">
        <f>IF($C692="","",IFERROR(INDEX(ENVIOS!$C$4:$C$3003,MATCH($C692,ENVIOS!$A$4:$A$3003,0)),"—"))</f>
        <v/>
      </c>
      <c r="F692" s="22">
        <f>IF($C692="","",IFERROR(INDEX(ENVIOS!$D$4:$D$3003,MATCH($C692,ENVIOS!$A$4:$A$3003,0)),"—"))</f>
        <v/>
      </c>
      <c r="G692" s="22">
        <f>IF($C692="","",IFERROR(INDEX(ENVIOS!$E$4:$E$3003,MATCH($C692,ENVIOS!$A$4:$A$3003,0)),"—"))</f>
        <v/>
      </c>
      <c r="H692" s="22">
        <f>IF($C692="","",IFERROR(INDEX(ENVIOS!$F$4:$F$3003,MATCH($C692,ENVIOS!$A$4:$A$3003,0)),"—"))</f>
        <v/>
      </c>
      <c r="I692" s="27">
        <f>IF($C692="","",IFERROR(INDEX(ENVIOS!$G$4:$G$3003,MATCH($C692,ENVIOS!$A$4:$A$3003,0)),"—"))</f>
        <v/>
      </c>
      <c r="J692" s="48">
        <f>IF($C692="","",IFERROR(INDEX(ENVIOS!$B$4:$B$3003,MATCH($C692,ENVIOS!$A$4:$A$3003,0)),""))</f>
        <v/>
      </c>
      <c r="K692" s="49" t="n"/>
      <c r="L692" s="27">
        <f>IF($K692="","",IFERROR(INDEX(CONFIG!$B$4:$B$43,MATCH($K692,CONFIG!$A$4:$A$43,0)),"Media"))</f>
        <v/>
      </c>
      <c r="M692" s="27">
        <f>IF($K692="","",IFERROR(INDEX(CONFIG!$D$4:$D$43,MATCH($K692,CONFIG!$A$4:$A$43,0)),"NO"))</f>
        <v/>
      </c>
      <c r="N692" s="49" t="n"/>
      <c r="O692" s="27">
        <f>IF($N692="","",IFERROR(INDEX(CONFIG!$G$4:$G$43,MATCH($N692,CONFIG!$F$4:$F$43,0)),"Por definir"))</f>
        <v/>
      </c>
      <c r="P692" s="27">
        <f>IF($N692="","",IFERROR(INDEX(CONFIG!$H$4:$H$43,MATCH($N692,CONFIG!$F$4:$F$43,0)),"Por definir"))</f>
        <v/>
      </c>
      <c r="Q692" s="50" t="n"/>
      <c r="R692" s="51" t="n"/>
      <c r="S692" s="49" t="n"/>
      <c r="T692" s="49" t="n"/>
      <c r="U692" s="48">
        <f>IF(OR($B692="",$K692=""),"",WORKDAY($B692,IFERROR(INDEX(CONFIG!$C$4:$C$43,MATCH($K692,CONFIG!$A$4:$A$43,0)),3)))</f>
        <v/>
      </c>
      <c r="V692" s="46" t="n"/>
      <c r="W692" s="23">
        <f>IF($B692="","",IF($V692&lt;&gt;"",$V692-$B692,TODAY()-$B692))</f>
        <v/>
      </c>
      <c r="X692" s="27">
        <f>IF($C692="","",IF(IFERROR(INDEX(CONFIG!$K$4:$K$43,MATCH($S692,CONFIG!$J$4:$J$43,0)),"NO")="SÍ",IF(OR($V692="",$U692=""),"Resuelta",IF($V692&gt;$U692,"Resuelta tarde","Resuelta a tiempo")),IF($U692="","Sin clasificar",IF(TODAY()&gt;$U692,"Vencida",IF(TODAY()&gt;=$U692-1,"Por vencer","En plazo")))))</f>
        <v/>
      </c>
      <c r="Y692" s="49" t="n"/>
      <c r="Z692" s="49" t="n"/>
    </row>
    <row r="693" ht="16" customHeight="1">
      <c r="A693" s="27">
        <f>IF($C693="","","N-"&amp;TEXT(ROW()-3,"0000"))</f>
        <v/>
      </c>
      <c r="B693" s="46" t="n"/>
      <c r="C693" s="47" t="n"/>
      <c r="D693" s="27">
        <f>IF($C693="","",IF(COUNTIFS(ENVIOS!$A$4:$A$3003,$C693)=0,"NO EXISTE",IF(COUNTIFS(ENVIOS!$A$4:$A$3003,$C693)&gt;1,"DUPLICADA","OK")))</f>
        <v/>
      </c>
      <c r="E693" s="22">
        <f>IF($C693="","",IFERROR(INDEX(ENVIOS!$C$4:$C$3003,MATCH($C693,ENVIOS!$A$4:$A$3003,0)),"—"))</f>
        <v/>
      </c>
      <c r="F693" s="22">
        <f>IF($C693="","",IFERROR(INDEX(ENVIOS!$D$4:$D$3003,MATCH($C693,ENVIOS!$A$4:$A$3003,0)),"—"))</f>
        <v/>
      </c>
      <c r="G693" s="22">
        <f>IF($C693="","",IFERROR(INDEX(ENVIOS!$E$4:$E$3003,MATCH($C693,ENVIOS!$A$4:$A$3003,0)),"—"))</f>
        <v/>
      </c>
      <c r="H693" s="22">
        <f>IF($C693="","",IFERROR(INDEX(ENVIOS!$F$4:$F$3003,MATCH($C693,ENVIOS!$A$4:$A$3003,0)),"—"))</f>
        <v/>
      </c>
      <c r="I693" s="27">
        <f>IF($C693="","",IFERROR(INDEX(ENVIOS!$G$4:$G$3003,MATCH($C693,ENVIOS!$A$4:$A$3003,0)),"—"))</f>
        <v/>
      </c>
      <c r="J693" s="48">
        <f>IF($C693="","",IFERROR(INDEX(ENVIOS!$B$4:$B$3003,MATCH($C693,ENVIOS!$A$4:$A$3003,0)),""))</f>
        <v/>
      </c>
      <c r="K693" s="49" t="n"/>
      <c r="L693" s="27">
        <f>IF($K693="","",IFERROR(INDEX(CONFIG!$B$4:$B$43,MATCH($K693,CONFIG!$A$4:$A$43,0)),"Media"))</f>
        <v/>
      </c>
      <c r="M693" s="27">
        <f>IF($K693="","",IFERROR(INDEX(CONFIG!$D$4:$D$43,MATCH($K693,CONFIG!$A$4:$A$43,0)),"NO"))</f>
        <v/>
      </c>
      <c r="N693" s="49" t="n"/>
      <c r="O693" s="27">
        <f>IF($N693="","",IFERROR(INDEX(CONFIG!$G$4:$G$43,MATCH($N693,CONFIG!$F$4:$F$43,0)),"Por definir"))</f>
        <v/>
      </c>
      <c r="P693" s="27">
        <f>IF($N693="","",IFERROR(INDEX(CONFIG!$H$4:$H$43,MATCH($N693,CONFIG!$F$4:$F$43,0)),"Por definir"))</f>
        <v/>
      </c>
      <c r="Q693" s="50" t="n"/>
      <c r="R693" s="51" t="n"/>
      <c r="S693" s="49" t="n"/>
      <c r="T693" s="49" t="n"/>
      <c r="U693" s="48">
        <f>IF(OR($B693="",$K693=""),"",WORKDAY($B693,IFERROR(INDEX(CONFIG!$C$4:$C$43,MATCH($K693,CONFIG!$A$4:$A$43,0)),3)))</f>
        <v/>
      </c>
      <c r="V693" s="46" t="n"/>
      <c r="W693" s="23">
        <f>IF($B693="","",IF($V693&lt;&gt;"",$V693-$B693,TODAY()-$B693))</f>
        <v/>
      </c>
      <c r="X693" s="27">
        <f>IF($C693="","",IF(IFERROR(INDEX(CONFIG!$K$4:$K$43,MATCH($S693,CONFIG!$J$4:$J$43,0)),"NO")="SÍ",IF(OR($V693="",$U693=""),"Resuelta",IF($V693&gt;$U693,"Resuelta tarde","Resuelta a tiempo")),IF($U693="","Sin clasificar",IF(TODAY()&gt;$U693,"Vencida",IF(TODAY()&gt;=$U693-1,"Por vencer","En plazo")))))</f>
        <v/>
      </c>
      <c r="Y693" s="49" t="n"/>
      <c r="Z693" s="49" t="n"/>
    </row>
    <row r="694" ht="16" customHeight="1">
      <c r="A694" s="27">
        <f>IF($C694="","","N-"&amp;TEXT(ROW()-3,"0000"))</f>
        <v/>
      </c>
      <c r="B694" s="46" t="n"/>
      <c r="C694" s="47" t="n"/>
      <c r="D694" s="27">
        <f>IF($C694="","",IF(COUNTIFS(ENVIOS!$A$4:$A$3003,$C694)=0,"NO EXISTE",IF(COUNTIFS(ENVIOS!$A$4:$A$3003,$C694)&gt;1,"DUPLICADA","OK")))</f>
        <v/>
      </c>
      <c r="E694" s="22">
        <f>IF($C694="","",IFERROR(INDEX(ENVIOS!$C$4:$C$3003,MATCH($C694,ENVIOS!$A$4:$A$3003,0)),"—"))</f>
        <v/>
      </c>
      <c r="F694" s="22">
        <f>IF($C694="","",IFERROR(INDEX(ENVIOS!$D$4:$D$3003,MATCH($C694,ENVIOS!$A$4:$A$3003,0)),"—"))</f>
        <v/>
      </c>
      <c r="G694" s="22">
        <f>IF($C694="","",IFERROR(INDEX(ENVIOS!$E$4:$E$3003,MATCH($C694,ENVIOS!$A$4:$A$3003,0)),"—"))</f>
        <v/>
      </c>
      <c r="H694" s="22">
        <f>IF($C694="","",IFERROR(INDEX(ENVIOS!$F$4:$F$3003,MATCH($C694,ENVIOS!$A$4:$A$3003,0)),"—"))</f>
        <v/>
      </c>
      <c r="I694" s="27">
        <f>IF($C694="","",IFERROR(INDEX(ENVIOS!$G$4:$G$3003,MATCH($C694,ENVIOS!$A$4:$A$3003,0)),"—"))</f>
        <v/>
      </c>
      <c r="J694" s="48">
        <f>IF($C694="","",IFERROR(INDEX(ENVIOS!$B$4:$B$3003,MATCH($C694,ENVIOS!$A$4:$A$3003,0)),""))</f>
        <v/>
      </c>
      <c r="K694" s="49" t="n"/>
      <c r="L694" s="27">
        <f>IF($K694="","",IFERROR(INDEX(CONFIG!$B$4:$B$43,MATCH($K694,CONFIG!$A$4:$A$43,0)),"Media"))</f>
        <v/>
      </c>
      <c r="M694" s="27">
        <f>IF($K694="","",IFERROR(INDEX(CONFIG!$D$4:$D$43,MATCH($K694,CONFIG!$A$4:$A$43,0)),"NO"))</f>
        <v/>
      </c>
      <c r="N694" s="49" t="n"/>
      <c r="O694" s="27">
        <f>IF($N694="","",IFERROR(INDEX(CONFIG!$G$4:$G$43,MATCH($N694,CONFIG!$F$4:$F$43,0)),"Por definir"))</f>
        <v/>
      </c>
      <c r="P694" s="27">
        <f>IF($N694="","",IFERROR(INDEX(CONFIG!$H$4:$H$43,MATCH($N694,CONFIG!$F$4:$F$43,0)),"Por definir"))</f>
        <v/>
      </c>
      <c r="Q694" s="50" t="n"/>
      <c r="R694" s="51" t="n"/>
      <c r="S694" s="49" t="n"/>
      <c r="T694" s="49" t="n"/>
      <c r="U694" s="48">
        <f>IF(OR($B694="",$K694=""),"",WORKDAY($B694,IFERROR(INDEX(CONFIG!$C$4:$C$43,MATCH($K694,CONFIG!$A$4:$A$43,0)),3)))</f>
        <v/>
      </c>
      <c r="V694" s="46" t="n"/>
      <c r="W694" s="23">
        <f>IF($B694="","",IF($V694&lt;&gt;"",$V694-$B694,TODAY()-$B694))</f>
        <v/>
      </c>
      <c r="X694" s="27">
        <f>IF($C694="","",IF(IFERROR(INDEX(CONFIG!$K$4:$K$43,MATCH($S694,CONFIG!$J$4:$J$43,0)),"NO")="SÍ",IF(OR($V694="",$U694=""),"Resuelta",IF($V694&gt;$U694,"Resuelta tarde","Resuelta a tiempo")),IF($U694="","Sin clasificar",IF(TODAY()&gt;$U694,"Vencida",IF(TODAY()&gt;=$U694-1,"Por vencer","En plazo")))))</f>
        <v/>
      </c>
      <c r="Y694" s="49" t="n"/>
      <c r="Z694" s="49" t="n"/>
    </row>
    <row r="695" ht="16" customHeight="1">
      <c r="A695" s="27">
        <f>IF($C695="","","N-"&amp;TEXT(ROW()-3,"0000"))</f>
        <v/>
      </c>
      <c r="B695" s="46" t="n"/>
      <c r="C695" s="47" t="n"/>
      <c r="D695" s="27">
        <f>IF($C695="","",IF(COUNTIFS(ENVIOS!$A$4:$A$3003,$C695)=0,"NO EXISTE",IF(COUNTIFS(ENVIOS!$A$4:$A$3003,$C695)&gt;1,"DUPLICADA","OK")))</f>
        <v/>
      </c>
      <c r="E695" s="22">
        <f>IF($C695="","",IFERROR(INDEX(ENVIOS!$C$4:$C$3003,MATCH($C695,ENVIOS!$A$4:$A$3003,0)),"—"))</f>
        <v/>
      </c>
      <c r="F695" s="22">
        <f>IF($C695="","",IFERROR(INDEX(ENVIOS!$D$4:$D$3003,MATCH($C695,ENVIOS!$A$4:$A$3003,0)),"—"))</f>
        <v/>
      </c>
      <c r="G695" s="22">
        <f>IF($C695="","",IFERROR(INDEX(ENVIOS!$E$4:$E$3003,MATCH($C695,ENVIOS!$A$4:$A$3003,0)),"—"))</f>
        <v/>
      </c>
      <c r="H695" s="22">
        <f>IF($C695="","",IFERROR(INDEX(ENVIOS!$F$4:$F$3003,MATCH($C695,ENVIOS!$A$4:$A$3003,0)),"—"))</f>
        <v/>
      </c>
      <c r="I695" s="27">
        <f>IF($C695="","",IFERROR(INDEX(ENVIOS!$G$4:$G$3003,MATCH($C695,ENVIOS!$A$4:$A$3003,0)),"—"))</f>
        <v/>
      </c>
      <c r="J695" s="48">
        <f>IF($C695="","",IFERROR(INDEX(ENVIOS!$B$4:$B$3003,MATCH($C695,ENVIOS!$A$4:$A$3003,0)),""))</f>
        <v/>
      </c>
      <c r="K695" s="49" t="n"/>
      <c r="L695" s="27">
        <f>IF($K695="","",IFERROR(INDEX(CONFIG!$B$4:$B$43,MATCH($K695,CONFIG!$A$4:$A$43,0)),"Media"))</f>
        <v/>
      </c>
      <c r="M695" s="27">
        <f>IF($K695="","",IFERROR(INDEX(CONFIG!$D$4:$D$43,MATCH($K695,CONFIG!$A$4:$A$43,0)),"NO"))</f>
        <v/>
      </c>
      <c r="N695" s="49" t="n"/>
      <c r="O695" s="27">
        <f>IF($N695="","",IFERROR(INDEX(CONFIG!$G$4:$G$43,MATCH($N695,CONFIG!$F$4:$F$43,0)),"Por definir"))</f>
        <v/>
      </c>
      <c r="P695" s="27">
        <f>IF($N695="","",IFERROR(INDEX(CONFIG!$H$4:$H$43,MATCH($N695,CONFIG!$F$4:$F$43,0)),"Por definir"))</f>
        <v/>
      </c>
      <c r="Q695" s="50" t="n"/>
      <c r="R695" s="51" t="n"/>
      <c r="S695" s="49" t="n"/>
      <c r="T695" s="49" t="n"/>
      <c r="U695" s="48">
        <f>IF(OR($B695="",$K695=""),"",WORKDAY($B695,IFERROR(INDEX(CONFIG!$C$4:$C$43,MATCH($K695,CONFIG!$A$4:$A$43,0)),3)))</f>
        <v/>
      </c>
      <c r="V695" s="46" t="n"/>
      <c r="W695" s="23">
        <f>IF($B695="","",IF($V695&lt;&gt;"",$V695-$B695,TODAY()-$B695))</f>
        <v/>
      </c>
      <c r="X695" s="27">
        <f>IF($C695="","",IF(IFERROR(INDEX(CONFIG!$K$4:$K$43,MATCH($S695,CONFIG!$J$4:$J$43,0)),"NO")="SÍ",IF(OR($V695="",$U695=""),"Resuelta",IF($V695&gt;$U695,"Resuelta tarde","Resuelta a tiempo")),IF($U695="","Sin clasificar",IF(TODAY()&gt;$U695,"Vencida",IF(TODAY()&gt;=$U695-1,"Por vencer","En plazo")))))</f>
        <v/>
      </c>
      <c r="Y695" s="49" t="n"/>
      <c r="Z695" s="49" t="n"/>
    </row>
    <row r="696" ht="16" customHeight="1">
      <c r="A696" s="27">
        <f>IF($C696="","","N-"&amp;TEXT(ROW()-3,"0000"))</f>
        <v/>
      </c>
      <c r="B696" s="46" t="n"/>
      <c r="C696" s="47" t="n"/>
      <c r="D696" s="27">
        <f>IF($C696="","",IF(COUNTIFS(ENVIOS!$A$4:$A$3003,$C696)=0,"NO EXISTE",IF(COUNTIFS(ENVIOS!$A$4:$A$3003,$C696)&gt;1,"DUPLICADA","OK")))</f>
        <v/>
      </c>
      <c r="E696" s="22">
        <f>IF($C696="","",IFERROR(INDEX(ENVIOS!$C$4:$C$3003,MATCH($C696,ENVIOS!$A$4:$A$3003,0)),"—"))</f>
        <v/>
      </c>
      <c r="F696" s="22">
        <f>IF($C696="","",IFERROR(INDEX(ENVIOS!$D$4:$D$3003,MATCH($C696,ENVIOS!$A$4:$A$3003,0)),"—"))</f>
        <v/>
      </c>
      <c r="G696" s="22">
        <f>IF($C696="","",IFERROR(INDEX(ENVIOS!$E$4:$E$3003,MATCH($C696,ENVIOS!$A$4:$A$3003,0)),"—"))</f>
        <v/>
      </c>
      <c r="H696" s="22">
        <f>IF($C696="","",IFERROR(INDEX(ENVIOS!$F$4:$F$3003,MATCH($C696,ENVIOS!$A$4:$A$3003,0)),"—"))</f>
        <v/>
      </c>
      <c r="I696" s="27">
        <f>IF($C696="","",IFERROR(INDEX(ENVIOS!$G$4:$G$3003,MATCH($C696,ENVIOS!$A$4:$A$3003,0)),"—"))</f>
        <v/>
      </c>
      <c r="J696" s="48">
        <f>IF($C696="","",IFERROR(INDEX(ENVIOS!$B$4:$B$3003,MATCH($C696,ENVIOS!$A$4:$A$3003,0)),""))</f>
        <v/>
      </c>
      <c r="K696" s="49" t="n"/>
      <c r="L696" s="27">
        <f>IF($K696="","",IFERROR(INDEX(CONFIG!$B$4:$B$43,MATCH($K696,CONFIG!$A$4:$A$43,0)),"Media"))</f>
        <v/>
      </c>
      <c r="M696" s="27">
        <f>IF($K696="","",IFERROR(INDEX(CONFIG!$D$4:$D$43,MATCH($K696,CONFIG!$A$4:$A$43,0)),"NO"))</f>
        <v/>
      </c>
      <c r="N696" s="49" t="n"/>
      <c r="O696" s="27">
        <f>IF($N696="","",IFERROR(INDEX(CONFIG!$G$4:$G$43,MATCH($N696,CONFIG!$F$4:$F$43,0)),"Por definir"))</f>
        <v/>
      </c>
      <c r="P696" s="27">
        <f>IF($N696="","",IFERROR(INDEX(CONFIG!$H$4:$H$43,MATCH($N696,CONFIG!$F$4:$F$43,0)),"Por definir"))</f>
        <v/>
      </c>
      <c r="Q696" s="50" t="n"/>
      <c r="R696" s="51" t="n"/>
      <c r="S696" s="49" t="n"/>
      <c r="T696" s="49" t="n"/>
      <c r="U696" s="48">
        <f>IF(OR($B696="",$K696=""),"",WORKDAY($B696,IFERROR(INDEX(CONFIG!$C$4:$C$43,MATCH($K696,CONFIG!$A$4:$A$43,0)),3)))</f>
        <v/>
      </c>
      <c r="V696" s="46" t="n"/>
      <c r="W696" s="23">
        <f>IF($B696="","",IF($V696&lt;&gt;"",$V696-$B696,TODAY()-$B696))</f>
        <v/>
      </c>
      <c r="X696" s="27">
        <f>IF($C696="","",IF(IFERROR(INDEX(CONFIG!$K$4:$K$43,MATCH($S696,CONFIG!$J$4:$J$43,0)),"NO")="SÍ",IF(OR($V696="",$U696=""),"Resuelta",IF($V696&gt;$U696,"Resuelta tarde","Resuelta a tiempo")),IF($U696="","Sin clasificar",IF(TODAY()&gt;$U696,"Vencida",IF(TODAY()&gt;=$U696-1,"Por vencer","En plazo")))))</f>
        <v/>
      </c>
      <c r="Y696" s="49" t="n"/>
      <c r="Z696" s="49" t="n"/>
    </row>
    <row r="697" ht="16" customHeight="1">
      <c r="A697" s="27">
        <f>IF($C697="","","N-"&amp;TEXT(ROW()-3,"0000"))</f>
        <v/>
      </c>
      <c r="B697" s="46" t="n"/>
      <c r="C697" s="47" t="n"/>
      <c r="D697" s="27">
        <f>IF($C697="","",IF(COUNTIFS(ENVIOS!$A$4:$A$3003,$C697)=0,"NO EXISTE",IF(COUNTIFS(ENVIOS!$A$4:$A$3003,$C697)&gt;1,"DUPLICADA","OK")))</f>
        <v/>
      </c>
      <c r="E697" s="22">
        <f>IF($C697="","",IFERROR(INDEX(ENVIOS!$C$4:$C$3003,MATCH($C697,ENVIOS!$A$4:$A$3003,0)),"—"))</f>
        <v/>
      </c>
      <c r="F697" s="22">
        <f>IF($C697="","",IFERROR(INDEX(ENVIOS!$D$4:$D$3003,MATCH($C697,ENVIOS!$A$4:$A$3003,0)),"—"))</f>
        <v/>
      </c>
      <c r="G697" s="22">
        <f>IF($C697="","",IFERROR(INDEX(ENVIOS!$E$4:$E$3003,MATCH($C697,ENVIOS!$A$4:$A$3003,0)),"—"))</f>
        <v/>
      </c>
      <c r="H697" s="22">
        <f>IF($C697="","",IFERROR(INDEX(ENVIOS!$F$4:$F$3003,MATCH($C697,ENVIOS!$A$4:$A$3003,0)),"—"))</f>
        <v/>
      </c>
      <c r="I697" s="27">
        <f>IF($C697="","",IFERROR(INDEX(ENVIOS!$G$4:$G$3003,MATCH($C697,ENVIOS!$A$4:$A$3003,0)),"—"))</f>
        <v/>
      </c>
      <c r="J697" s="48">
        <f>IF($C697="","",IFERROR(INDEX(ENVIOS!$B$4:$B$3003,MATCH($C697,ENVIOS!$A$4:$A$3003,0)),""))</f>
        <v/>
      </c>
      <c r="K697" s="49" t="n"/>
      <c r="L697" s="27">
        <f>IF($K697="","",IFERROR(INDEX(CONFIG!$B$4:$B$43,MATCH($K697,CONFIG!$A$4:$A$43,0)),"Media"))</f>
        <v/>
      </c>
      <c r="M697" s="27">
        <f>IF($K697="","",IFERROR(INDEX(CONFIG!$D$4:$D$43,MATCH($K697,CONFIG!$A$4:$A$43,0)),"NO"))</f>
        <v/>
      </c>
      <c r="N697" s="49" t="n"/>
      <c r="O697" s="27">
        <f>IF($N697="","",IFERROR(INDEX(CONFIG!$G$4:$G$43,MATCH($N697,CONFIG!$F$4:$F$43,0)),"Por definir"))</f>
        <v/>
      </c>
      <c r="P697" s="27">
        <f>IF($N697="","",IFERROR(INDEX(CONFIG!$H$4:$H$43,MATCH($N697,CONFIG!$F$4:$F$43,0)),"Por definir"))</f>
        <v/>
      </c>
      <c r="Q697" s="50" t="n"/>
      <c r="R697" s="51" t="n"/>
      <c r="S697" s="49" t="n"/>
      <c r="T697" s="49" t="n"/>
      <c r="U697" s="48">
        <f>IF(OR($B697="",$K697=""),"",WORKDAY($B697,IFERROR(INDEX(CONFIG!$C$4:$C$43,MATCH($K697,CONFIG!$A$4:$A$43,0)),3)))</f>
        <v/>
      </c>
      <c r="V697" s="46" t="n"/>
      <c r="W697" s="23">
        <f>IF($B697="","",IF($V697&lt;&gt;"",$V697-$B697,TODAY()-$B697))</f>
        <v/>
      </c>
      <c r="X697" s="27">
        <f>IF($C697="","",IF(IFERROR(INDEX(CONFIG!$K$4:$K$43,MATCH($S697,CONFIG!$J$4:$J$43,0)),"NO")="SÍ",IF(OR($V697="",$U697=""),"Resuelta",IF($V697&gt;$U697,"Resuelta tarde","Resuelta a tiempo")),IF($U697="","Sin clasificar",IF(TODAY()&gt;$U697,"Vencida",IF(TODAY()&gt;=$U697-1,"Por vencer","En plazo")))))</f>
        <v/>
      </c>
      <c r="Y697" s="49" t="n"/>
      <c r="Z697" s="49" t="n"/>
    </row>
    <row r="698" ht="16" customHeight="1">
      <c r="A698" s="27">
        <f>IF($C698="","","N-"&amp;TEXT(ROW()-3,"0000"))</f>
        <v/>
      </c>
      <c r="B698" s="46" t="n"/>
      <c r="C698" s="47" t="n"/>
      <c r="D698" s="27">
        <f>IF($C698="","",IF(COUNTIFS(ENVIOS!$A$4:$A$3003,$C698)=0,"NO EXISTE",IF(COUNTIFS(ENVIOS!$A$4:$A$3003,$C698)&gt;1,"DUPLICADA","OK")))</f>
        <v/>
      </c>
      <c r="E698" s="22">
        <f>IF($C698="","",IFERROR(INDEX(ENVIOS!$C$4:$C$3003,MATCH($C698,ENVIOS!$A$4:$A$3003,0)),"—"))</f>
        <v/>
      </c>
      <c r="F698" s="22">
        <f>IF($C698="","",IFERROR(INDEX(ENVIOS!$D$4:$D$3003,MATCH($C698,ENVIOS!$A$4:$A$3003,0)),"—"))</f>
        <v/>
      </c>
      <c r="G698" s="22">
        <f>IF($C698="","",IFERROR(INDEX(ENVIOS!$E$4:$E$3003,MATCH($C698,ENVIOS!$A$4:$A$3003,0)),"—"))</f>
        <v/>
      </c>
      <c r="H698" s="22">
        <f>IF($C698="","",IFERROR(INDEX(ENVIOS!$F$4:$F$3003,MATCH($C698,ENVIOS!$A$4:$A$3003,0)),"—"))</f>
        <v/>
      </c>
      <c r="I698" s="27">
        <f>IF($C698="","",IFERROR(INDEX(ENVIOS!$G$4:$G$3003,MATCH($C698,ENVIOS!$A$4:$A$3003,0)),"—"))</f>
        <v/>
      </c>
      <c r="J698" s="48">
        <f>IF($C698="","",IFERROR(INDEX(ENVIOS!$B$4:$B$3003,MATCH($C698,ENVIOS!$A$4:$A$3003,0)),""))</f>
        <v/>
      </c>
      <c r="K698" s="49" t="n"/>
      <c r="L698" s="27">
        <f>IF($K698="","",IFERROR(INDEX(CONFIG!$B$4:$B$43,MATCH($K698,CONFIG!$A$4:$A$43,0)),"Media"))</f>
        <v/>
      </c>
      <c r="M698" s="27">
        <f>IF($K698="","",IFERROR(INDEX(CONFIG!$D$4:$D$43,MATCH($K698,CONFIG!$A$4:$A$43,0)),"NO"))</f>
        <v/>
      </c>
      <c r="N698" s="49" t="n"/>
      <c r="O698" s="27">
        <f>IF($N698="","",IFERROR(INDEX(CONFIG!$G$4:$G$43,MATCH($N698,CONFIG!$F$4:$F$43,0)),"Por definir"))</f>
        <v/>
      </c>
      <c r="P698" s="27">
        <f>IF($N698="","",IFERROR(INDEX(CONFIG!$H$4:$H$43,MATCH($N698,CONFIG!$F$4:$F$43,0)),"Por definir"))</f>
        <v/>
      </c>
      <c r="Q698" s="50" t="n"/>
      <c r="R698" s="51" t="n"/>
      <c r="S698" s="49" t="n"/>
      <c r="T698" s="49" t="n"/>
      <c r="U698" s="48">
        <f>IF(OR($B698="",$K698=""),"",WORKDAY($B698,IFERROR(INDEX(CONFIG!$C$4:$C$43,MATCH($K698,CONFIG!$A$4:$A$43,0)),3)))</f>
        <v/>
      </c>
      <c r="V698" s="46" t="n"/>
      <c r="W698" s="23">
        <f>IF($B698="","",IF($V698&lt;&gt;"",$V698-$B698,TODAY()-$B698))</f>
        <v/>
      </c>
      <c r="X698" s="27">
        <f>IF($C698="","",IF(IFERROR(INDEX(CONFIG!$K$4:$K$43,MATCH($S698,CONFIG!$J$4:$J$43,0)),"NO")="SÍ",IF(OR($V698="",$U698=""),"Resuelta",IF($V698&gt;$U698,"Resuelta tarde","Resuelta a tiempo")),IF($U698="","Sin clasificar",IF(TODAY()&gt;$U698,"Vencida",IF(TODAY()&gt;=$U698-1,"Por vencer","En plazo")))))</f>
        <v/>
      </c>
      <c r="Y698" s="49" t="n"/>
      <c r="Z698" s="49" t="n"/>
    </row>
    <row r="699" ht="16" customHeight="1">
      <c r="A699" s="27">
        <f>IF($C699="","","N-"&amp;TEXT(ROW()-3,"0000"))</f>
        <v/>
      </c>
      <c r="B699" s="46" t="n"/>
      <c r="C699" s="47" t="n"/>
      <c r="D699" s="27">
        <f>IF($C699="","",IF(COUNTIFS(ENVIOS!$A$4:$A$3003,$C699)=0,"NO EXISTE",IF(COUNTIFS(ENVIOS!$A$4:$A$3003,$C699)&gt;1,"DUPLICADA","OK")))</f>
        <v/>
      </c>
      <c r="E699" s="22">
        <f>IF($C699="","",IFERROR(INDEX(ENVIOS!$C$4:$C$3003,MATCH($C699,ENVIOS!$A$4:$A$3003,0)),"—"))</f>
        <v/>
      </c>
      <c r="F699" s="22">
        <f>IF($C699="","",IFERROR(INDEX(ENVIOS!$D$4:$D$3003,MATCH($C699,ENVIOS!$A$4:$A$3003,0)),"—"))</f>
        <v/>
      </c>
      <c r="G699" s="22">
        <f>IF($C699="","",IFERROR(INDEX(ENVIOS!$E$4:$E$3003,MATCH($C699,ENVIOS!$A$4:$A$3003,0)),"—"))</f>
        <v/>
      </c>
      <c r="H699" s="22">
        <f>IF($C699="","",IFERROR(INDEX(ENVIOS!$F$4:$F$3003,MATCH($C699,ENVIOS!$A$4:$A$3003,0)),"—"))</f>
        <v/>
      </c>
      <c r="I699" s="27">
        <f>IF($C699="","",IFERROR(INDEX(ENVIOS!$G$4:$G$3003,MATCH($C699,ENVIOS!$A$4:$A$3003,0)),"—"))</f>
        <v/>
      </c>
      <c r="J699" s="48">
        <f>IF($C699="","",IFERROR(INDEX(ENVIOS!$B$4:$B$3003,MATCH($C699,ENVIOS!$A$4:$A$3003,0)),""))</f>
        <v/>
      </c>
      <c r="K699" s="49" t="n"/>
      <c r="L699" s="27">
        <f>IF($K699="","",IFERROR(INDEX(CONFIG!$B$4:$B$43,MATCH($K699,CONFIG!$A$4:$A$43,0)),"Media"))</f>
        <v/>
      </c>
      <c r="M699" s="27">
        <f>IF($K699="","",IFERROR(INDEX(CONFIG!$D$4:$D$43,MATCH($K699,CONFIG!$A$4:$A$43,0)),"NO"))</f>
        <v/>
      </c>
      <c r="N699" s="49" t="n"/>
      <c r="O699" s="27">
        <f>IF($N699="","",IFERROR(INDEX(CONFIG!$G$4:$G$43,MATCH($N699,CONFIG!$F$4:$F$43,0)),"Por definir"))</f>
        <v/>
      </c>
      <c r="P699" s="27">
        <f>IF($N699="","",IFERROR(INDEX(CONFIG!$H$4:$H$43,MATCH($N699,CONFIG!$F$4:$F$43,0)),"Por definir"))</f>
        <v/>
      </c>
      <c r="Q699" s="50" t="n"/>
      <c r="R699" s="51" t="n"/>
      <c r="S699" s="49" t="n"/>
      <c r="T699" s="49" t="n"/>
      <c r="U699" s="48">
        <f>IF(OR($B699="",$K699=""),"",WORKDAY($B699,IFERROR(INDEX(CONFIG!$C$4:$C$43,MATCH($K699,CONFIG!$A$4:$A$43,0)),3)))</f>
        <v/>
      </c>
      <c r="V699" s="46" t="n"/>
      <c r="W699" s="23">
        <f>IF($B699="","",IF($V699&lt;&gt;"",$V699-$B699,TODAY()-$B699))</f>
        <v/>
      </c>
      <c r="X699" s="27">
        <f>IF($C699="","",IF(IFERROR(INDEX(CONFIG!$K$4:$K$43,MATCH($S699,CONFIG!$J$4:$J$43,0)),"NO")="SÍ",IF(OR($V699="",$U699=""),"Resuelta",IF($V699&gt;$U699,"Resuelta tarde","Resuelta a tiempo")),IF($U699="","Sin clasificar",IF(TODAY()&gt;$U699,"Vencida",IF(TODAY()&gt;=$U699-1,"Por vencer","En plazo")))))</f>
        <v/>
      </c>
      <c r="Y699" s="49" t="n"/>
      <c r="Z699" s="49" t="n"/>
    </row>
    <row r="700" ht="16" customHeight="1">
      <c r="A700" s="27">
        <f>IF($C700="","","N-"&amp;TEXT(ROW()-3,"0000"))</f>
        <v/>
      </c>
      <c r="B700" s="46" t="n"/>
      <c r="C700" s="47" t="n"/>
      <c r="D700" s="27">
        <f>IF($C700="","",IF(COUNTIFS(ENVIOS!$A$4:$A$3003,$C700)=0,"NO EXISTE",IF(COUNTIFS(ENVIOS!$A$4:$A$3003,$C700)&gt;1,"DUPLICADA","OK")))</f>
        <v/>
      </c>
      <c r="E700" s="22">
        <f>IF($C700="","",IFERROR(INDEX(ENVIOS!$C$4:$C$3003,MATCH($C700,ENVIOS!$A$4:$A$3003,0)),"—"))</f>
        <v/>
      </c>
      <c r="F700" s="22">
        <f>IF($C700="","",IFERROR(INDEX(ENVIOS!$D$4:$D$3003,MATCH($C700,ENVIOS!$A$4:$A$3003,0)),"—"))</f>
        <v/>
      </c>
      <c r="G700" s="22">
        <f>IF($C700="","",IFERROR(INDEX(ENVIOS!$E$4:$E$3003,MATCH($C700,ENVIOS!$A$4:$A$3003,0)),"—"))</f>
        <v/>
      </c>
      <c r="H700" s="22">
        <f>IF($C700="","",IFERROR(INDEX(ENVIOS!$F$4:$F$3003,MATCH($C700,ENVIOS!$A$4:$A$3003,0)),"—"))</f>
        <v/>
      </c>
      <c r="I700" s="27">
        <f>IF($C700="","",IFERROR(INDEX(ENVIOS!$G$4:$G$3003,MATCH($C700,ENVIOS!$A$4:$A$3003,0)),"—"))</f>
        <v/>
      </c>
      <c r="J700" s="48">
        <f>IF($C700="","",IFERROR(INDEX(ENVIOS!$B$4:$B$3003,MATCH($C700,ENVIOS!$A$4:$A$3003,0)),""))</f>
        <v/>
      </c>
      <c r="K700" s="49" t="n"/>
      <c r="L700" s="27">
        <f>IF($K700="","",IFERROR(INDEX(CONFIG!$B$4:$B$43,MATCH($K700,CONFIG!$A$4:$A$43,0)),"Media"))</f>
        <v/>
      </c>
      <c r="M700" s="27">
        <f>IF($K700="","",IFERROR(INDEX(CONFIG!$D$4:$D$43,MATCH($K700,CONFIG!$A$4:$A$43,0)),"NO"))</f>
        <v/>
      </c>
      <c r="N700" s="49" t="n"/>
      <c r="O700" s="27">
        <f>IF($N700="","",IFERROR(INDEX(CONFIG!$G$4:$G$43,MATCH($N700,CONFIG!$F$4:$F$43,0)),"Por definir"))</f>
        <v/>
      </c>
      <c r="P700" s="27">
        <f>IF($N700="","",IFERROR(INDEX(CONFIG!$H$4:$H$43,MATCH($N700,CONFIG!$F$4:$F$43,0)),"Por definir"))</f>
        <v/>
      </c>
      <c r="Q700" s="50" t="n"/>
      <c r="R700" s="51" t="n"/>
      <c r="S700" s="49" t="n"/>
      <c r="T700" s="49" t="n"/>
      <c r="U700" s="48">
        <f>IF(OR($B700="",$K700=""),"",WORKDAY($B700,IFERROR(INDEX(CONFIG!$C$4:$C$43,MATCH($K700,CONFIG!$A$4:$A$43,0)),3)))</f>
        <v/>
      </c>
      <c r="V700" s="46" t="n"/>
      <c r="W700" s="23">
        <f>IF($B700="","",IF($V700&lt;&gt;"",$V700-$B700,TODAY()-$B700))</f>
        <v/>
      </c>
      <c r="X700" s="27">
        <f>IF($C700="","",IF(IFERROR(INDEX(CONFIG!$K$4:$K$43,MATCH($S700,CONFIG!$J$4:$J$43,0)),"NO")="SÍ",IF(OR($V700="",$U700=""),"Resuelta",IF($V700&gt;$U700,"Resuelta tarde","Resuelta a tiempo")),IF($U700="","Sin clasificar",IF(TODAY()&gt;$U700,"Vencida",IF(TODAY()&gt;=$U700-1,"Por vencer","En plazo")))))</f>
        <v/>
      </c>
      <c r="Y700" s="49" t="n"/>
      <c r="Z700" s="49" t="n"/>
    </row>
    <row r="701" ht="16" customHeight="1">
      <c r="A701" s="27">
        <f>IF($C701="","","N-"&amp;TEXT(ROW()-3,"0000"))</f>
        <v/>
      </c>
      <c r="B701" s="46" t="n"/>
      <c r="C701" s="47" t="n"/>
      <c r="D701" s="27">
        <f>IF($C701="","",IF(COUNTIFS(ENVIOS!$A$4:$A$3003,$C701)=0,"NO EXISTE",IF(COUNTIFS(ENVIOS!$A$4:$A$3003,$C701)&gt;1,"DUPLICADA","OK")))</f>
        <v/>
      </c>
      <c r="E701" s="22">
        <f>IF($C701="","",IFERROR(INDEX(ENVIOS!$C$4:$C$3003,MATCH($C701,ENVIOS!$A$4:$A$3003,0)),"—"))</f>
        <v/>
      </c>
      <c r="F701" s="22">
        <f>IF($C701="","",IFERROR(INDEX(ENVIOS!$D$4:$D$3003,MATCH($C701,ENVIOS!$A$4:$A$3003,0)),"—"))</f>
        <v/>
      </c>
      <c r="G701" s="22">
        <f>IF($C701="","",IFERROR(INDEX(ENVIOS!$E$4:$E$3003,MATCH($C701,ENVIOS!$A$4:$A$3003,0)),"—"))</f>
        <v/>
      </c>
      <c r="H701" s="22">
        <f>IF($C701="","",IFERROR(INDEX(ENVIOS!$F$4:$F$3003,MATCH($C701,ENVIOS!$A$4:$A$3003,0)),"—"))</f>
        <v/>
      </c>
      <c r="I701" s="27">
        <f>IF($C701="","",IFERROR(INDEX(ENVIOS!$G$4:$G$3003,MATCH($C701,ENVIOS!$A$4:$A$3003,0)),"—"))</f>
        <v/>
      </c>
      <c r="J701" s="48">
        <f>IF($C701="","",IFERROR(INDEX(ENVIOS!$B$4:$B$3003,MATCH($C701,ENVIOS!$A$4:$A$3003,0)),""))</f>
        <v/>
      </c>
      <c r="K701" s="49" t="n"/>
      <c r="L701" s="27">
        <f>IF($K701="","",IFERROR(INDEX(CONFIG!$B$4:$B$43,MATCH($K701,CONFIG!$A$4:$A$43,0)),"Media"))</f>
        <v/>
      </c>
      <c r="M701" s="27">
        <f>IF($K701="","",IFERROR(INDEX(CONFIG!$D$4:$D$43,MATCH($K701,CONFIG!$A$4:$A$43,0)),"NO"))</f>
        <v/>
      </c>
      <c r="N701" s="49" t="n"/>
      <c r="O701" s="27">
        <f>IF($N701="","",IFERROR(INDEX(CONFIG!$G$4:$G$43,MATCH($N701,CONFIG!$F$4:$F$43,0)),"Por definir"))</f>
        <v/>
      </c>
      <c r="P701" s="27">
        <f>IF($N701="","",IFERROR(INDEX(CONFIG!$H$4:$H$43,MATCH($N701,CONFIG!$F$4:$F$43,0)),"Por definir"))</f>
        <v/>
      </c>
      <c r="Q701" s="50" t="n"/>
      <c r="R701" s="51" t="n"/>
      <c r="S701" s="49" t="n"/>
      <c r="T701" s="49" t="n"/>
      <c r="U701" s="48">
        <f>IF(OR($B701="",$K701=""),"",WORKDAY($B701,IFERROR(INDEX(CONFIG!$C$4:$C$43,MATCH($K701,CONFIG!$A$4:$A$43,0)),3)))</f>
        <v/>
      </c>
      <c r="V701" s="46" t="n"/>
      <c r="W701" s="23">
        <f>IF($B701="","",IF($V701&lt;&gt;"",$V701-$B701,TODAY()-$B701))</f>
        <v/>
      </c>
      <c r="X701" s="27">
        <f>IF($C701="","",IF(IFERROR(INDEX(CONFIG!$K$4:$K$43,MATCH($S701,CONFIG!$J$4:$J$43,0)),"NO")="SÍ",IF(OR($V701="",$U701=""),"Resuelta",IF($V701&gt;$U701,"Resuelta tarde","Resuelta a tiempo")),IF($U701="","Sin clasificar",IF(TODAY()&gt;$U701,"Vencida",IF(TODAY()&gt;=$U701-1,"Por vencer","En plazo")))))</f>
        <v/>
      </c>
      <c r="Y701" s="49" t="n"/>
      <c r="Z701" s="49" t="n"/>
    </row>
    <row r="702" ht="16" customHeight="1">
      <c r="A702" s="27">
        <f>IF($C702="","","N-"&amp;TEXT(ROW()-3,"0000"))</f>
        <v/>
      </c>
      <c r="B702" s="46" t="n"/>
      <c r="C702" s="47" t="n"/>
      <c r="D702" s="27">
        <f>IF($C702="","",IF(COUNTIFS(ENVIOS!$A$4:$A$3003,$C702)=0,"NO EXISTE",IF(COUNTIFS(ENVIOS!$A$4:$A$3003,$C702)&gt;1,"DUPLICADA","OK")))</f>
        <v/>
      </c>
      <c r="E702" s="22">
        <f>IF($C702="","",IFERROR(INDEX(ENVIOS!$C$4:$C$3003,MATCH($C702,ENVIOS!$A$4:$A$3003,0)),"—"))</f>
        <v/>
      </c>
      <c r="F702" s="22">
        <f>IF($C702="","",IFERROR(INDEX(ENVIOS!$D$4:$D$3003,MATCH($C702,ENVIOS!$A$4:$A$3003,0)),"—"))</f>
        <v/>
      </c>
      <c r="G702" s="22">
        <f>IF($C702="","",IFERROR(INDEX(ENVIOS!$E$4:$E$3003,MATCH($C702,ENVIOS!$A$4:$A$3003,0)),"—"))</f>
        <v/>
      </c>
      <c r="H702" s="22">
        <f>IF($C702="","",IFERROR(INDEX(ENVIOS!$F$4:$F$3003,MATCH($C702,ENVIOS!$A$4:$A$3003,0)),"—"))</f>
        <v/>
      </c>
      <c r="I702" s="27">
        <f>IF($C702="","",IFERROR(INDEX(ENVIOS!$G$4:$G$3003,MATCH($C702,ENVIOS!$A$4:$A$3003,0)),"—"))</f>
        <v/>
      </c>
      <c r="J702" s="48">
        <f>IF($C702="","",IFERROR(INDEX(ENVIOS!$B$4:$B$3003,MATCH($C702,ENVIOS!$A$4:$A$3003,0)),""))</f>
        <v/>
      </c>
      <c r="K702" s="49" t="n"/>
      <c r="L702" s="27">
        <f>IF($K702="","",IFERROR(INDEX(CONFIG!$B$4:$B$43,MATCH($K702,CONFIG!$A$4:$A$43,0)),"Media"))</f>
        <v/>
      </c>
      <c r="M702" s="27">
        <f>IF($K702="","",IFERROR(INDEX(CONFIG!$D$4:$D$43,MATCH($K702,CONFIG!$A$4:$A$43,0)),"NO"))</f>
        <v/>
      </c>
      <c r="N702" s="49" t="n"/>
      <c r="O702" s="27">
        <f>IF($N702="","",IFERROR(INDEX(CONFIG!$G$4:$G$43,MATCH($N702,CONFIG!$F$4:$F$43,0)),"Por definir"))</f>
        <v/>
      </c>
      <c r="P702" s="27">
        <f>IF($N702="","",IFERROR(INDEX(CONFIG!$H$4:$H$43,MATCH($N702,CONFIG!$F$4:$F$43,0)),"Por definir"))</f>
        <v/>
      </c>
      <c r="Q702" s="50" t="n"/>
      <c r="R702" s="51" t="n"/>
      <c r="S702" s="49" t="n"/>
      <c r="T702" s="49" t="n"/>
      <c r="U702" s="48">
        <f>IF(OR($B702="",$K702=""),"",WORKDAY($B702,IFERROR(INDEX(CONFIG!$C$4:$C$43,MATCH($K702,CONFIG!$A$4:$A$43,0)),3)))</f>
        <v/>
      </c>
      <c r="V702" s="46" t="n"/>
      <c r="W702" s="23">
        <f>IF($B702="","",IF($V702&lt;&gt;"",$V702-$B702,TODAY()-$B702))</f>
        <v/>
      </c>
      <c r="X702" s="27">
        <f>IF($C702="","",IF(IFERROR(INDEX(CONFIG!$K$4:$K$43,MATCH($S702,CONFIG!$J$4:$J$43,0)),"NO")="SÍ",IF(OR($V702="",$U702=""),"Resuelta",IF($V702&gt;$U702,"Resuelta tarde","Resuelta a tiempo")),IF($U702="","Sin clasificar",IF(TODAY()&gt;$U702,"Vencida",IF(TODAY()&gt;=$U702-1,"Por vencer","En plazo")))))</f>
        <v/>
      </c>
      <c r="Y702" s="49" t="n"/>
      <c r="Z702" s="49" t="n"/>
    </row>
    <row r="703" ht="16" customHeight="1">
      <c r="A703" s="27">
        <f>IF($C703="","","N-"&amp;TEXT(ROW()-3,"0000"))</f>
        <v/>
      </c>
      <c r="B703" s="46" t="n"/>
      <c r="C703" s="47" t="n"/>
      <c r="D703" s="27">
        <f>IF($C703="","",IF(COUNTIFS(ENVIOS!$A$4:$A$3003,$C703)=0,"NO EXISTE",IF(COUNTIFS(ENVIOS!$A$4:$A$3003,$C703)&gt;1,"DUPLICADA","OK")))</f>
        <v/>
      </c>
      <c r="E703" s="22">
        <f>IF($C703="","",IFERROR(INDEX(ENVIOS!$C$4:$C$3003,MATCH($C703,ENVIOS!$A$4:$A$3003,0)),"—"))</f>
        <v/>
      </c>
      <c r="F703" s="22">
        <f>IF($C703="","",IFERROR(INDEX(ENVIOS!$D$4:$D$3003,MATCH($C703,ENVIOS!$A$4:$A$3003,0)),"—"))</f>
        <v/>
      </c>
      <c r="G703" s="22">
        <f>IF($C703="","",IFERROR(INDEX(ENVIOS!$E$4:$E$3003,MATCH($C703,ENVIOS!$A$4:$A$3003,0)),"—"))</f>
        <v/>
      </c>
      <c r="H703" s="22">
        <f>IF($C703="","",IFERROR(INDEX(ENVIOS!$F$4:$F$3003,MATCH($C703,ENVIOS!$A$4:$A$3003,0)),"—"))</f>
        <v/>
      </c>
      <c r="I703" s="27">
        <f>IF($C703="","",IFERROR(INDEX(ENVIOS!$G$4:$G$3003,MATCH($C703,ENVIOS!$A$4:$A$3003,0)),"—"))</f>
        <v/>
      </c>
      <c r="J703" s="48">
        <f>IF($C703="","",IFERROR(INDEX(ENVIOS!$B$4:$B$3003,MATCH($C703,ENVIOS!$A$4:$A$3003,0)),""))</f>
        <v/>
      </c>
      <c r="K703" s="49" t="n"/>
      <c r="L703" s="27">
        <f>IF($K703="","",IFERROR(INDEX(CONFIG!$B$4:$B$43,MATCH($K703,CONFIG!$A$4:$A$43,0)),"Media"))</f>
        <v/>
      </c>
      <c r="M703" s="27">
        <f>IF($K703="","",IFERROR(INDEX(CONFIG!$D$4:$D$43,MATCH($K703,CONFIG!$A$4:$A$43,0)),"NO"))</f>
        <v/>
      </c>
      <c r="N703" s="49" t="n"/>
      <c r="O703" s="27">
        <f>IF($N703="","",IFERROR(INDEX(CONFIG!$G$4:$G$43,MATCH($N703,CONFIG!$F$4:$F$43,0)),"Por definir"))</f>
        <v/>
      </c>
      <c r="P703" s="27">
        <f>IF($N703="","",IFERROR(INDEX(CONFIG!$H$4:$H$43,MATCH($N703,CONFIG!$F$4:$F$43,0)),"Por definir"))</f>
        <v/>
      </c>
      <c r="Q703" s="50" t="n"/>
      <c r="R703" s="51" t="n"/>
      <c r="S703" s="49" t="n"/>
      <c r="T703" s="49" t="n"/>
      <c r="U703" s="48">
        <f>IF(OR($B703="",$K703=""),"",WORKDAY($B703,IFERROR(INDEX(CONFIG!$C$4:$C$43,MATCH($K703,CONFIG!$A$4:$A$43,0)),3)))</f>
        <v/>
      </c>
      <c r="V703" s="46" t="n"/>
      <c r="W703" s="23">
        <f>IF($B703="","",IF($V703&lt;&gt;"",$V703-$B703,TODAY()-$B703))</f>
        <v/>
      </c>
      <c r="X703" s="27">
        <f>IF($C703="","",IF(IFERROR(INDEX(CONFIG!$K$4:$K$43,MATCH($S703,CONFIG!$J$4:$J$43,0)),"NO")="SÍ",IF(OR($V703="",$U703=""),"Resuelta",IF($V703&gt;$U703,"Resuelta tarde","Resuelta a tiempo")),IF($U703="","Sin clasificar",IF(TODAY()&gt;$U703,"Vencida",IF(TODAY()&gt;=$U703-1,"Por vencer","En plazo")))))</f>
        <v/>
      </c>
      <c r="Y703" s="49" t="n"/>
      <c r="Z703" s="49" t="n"/>
    </row>
    <row r="704" ht="16" customHeight="1">
      <c r="A704" s="27">
        <f>IF($C704="","","N-"&amp;TEXT(ROW()-3,"0000"))</f>
        <v/>
      </c>
      <c r="B704" s="46" t="n"/>
      <c r="C704" s="47" t="n"/>
      <c r="D704" s="27">
        <f>IF($C704="","",IF(COUNTIFS(ENVIOS!$A$4:$A$3003,$C704)=0,"NO EXISTE",IF(COUNTIFS(ENVIOS!$A$4:$A$3003,$C704)&gt;1,"DUPLICADA","OK")))</f>
        <v/>
      </c>
      <c r="E704" s="22">
        <f>IF($C704="","",IFERROR(INDEX(ENVIOS!$C$4:$C$3003,MATCH($C704,ENVIOS!$A$4:$A$3003,0)),"—"))</f>
        <v/>
      </c>
      <c r="F704" s="22">
        <f>IF($C704="","",IFERROR(INDEX(ENVIOS!$D$4:$D$3003,MATCH($C704,ENVIOS!$A$4:$A$3003,0)),"—"))</f>
        <v/>
      </c>
      <c r="G704" s="22">
        <f>IF($C704="","",IFERROR(INDEX(ENVIOS!$E$4:$E$3003,MATCH($C704,ENVIOS!$A$4:$A$3003,0)),"—"))</f>
        <v/>
      </c>
      <c r="H704" s="22">
        <f>IF($C704="","",IFERROR(INDEX(ENVIOS!$F$4:$F$3003,MATCH($C704,ENVIOS!$A$4:$A$3003,0)),"—"))</f>
        <v/>
      </c>
      <c r="I704" s="27">
        <f>IF($C704="","",IFERROR(INDEX(ENVIOS!$G$4:$G$3003,MATCH($C704,ENVIOS!$A$4:$A$3003,0)),"—"))</f>
        <v/>
      </c>
      <c r="J704" s="48">
        <f>IF($C704="","",IFERROR(INDEX(ENVIOS!$B$4:$B$3003,MATCH($C704,ENVIOS!$A$4:$A$3003,0)),""))</f>
        <v/>
      </c>
      <c r="K704" s="49" t="n"/>
      <c r="L704" s="27">
        <f>IF($K704="","",IFERROR(INDEX(CONFIG!$B$4:$B$43,MATCH($K704,CONFIG!$A$4:$A$43,0)),"Media"))</f>
        <v/>
      </c>
      <c r="M704" s="27">
        <f>IF($K704="","",IFERROR(INDEX(CONFIG!$D$4:$D$43,MATCH($K704,CONFIG!$A$4:$A$43,0)),"NO"))</f>
        <v/>
      </c>
      <c r="N704" s="49" t="n"/>
      <c r="O704" s="27">
        <f>IF($N704="","",IFERROR(INDEX(CONFIG!$G$4:$G$43,MATCH($N704,CONFIG!$F$4:$F$43,0)),"Por definir"))</f>
        <v/>
      </c>
      <c r="P704" s="27">
        <f>IF($N704="","",IFERROR(INDEX(CONFIG!$H$4:$H$43,MATCH($N704,CONFIG!$F$4:$F$43,0)),"Por definir"))</f>
        <v/>
      </c>
      <c r="Q704" s="50" t="n"/>
      <c r="R704" s="51" t="n"/>
      <c r="S704" s="49" t="n"/>
      <c r="T704" s="49" t="n"/>
      <c r="U704" s="48">
        <f>IF(OR($B704="",$K704=""),"",WORKDAY($B704,IFERROR(INDEX(CONFIG!$C$4:$C$43,MATCH($K704,CONFIG!$A$4:$A$43,0)),3)))</f>
        <v/>
      </c>
      <c r="V704" s="46" t="n"/>
      <c r="W704" s="23">
        <f>IF($B704="","",IF($V704&lt;&gt;"",$V704-$B704,TODAY()-$B704))</f>
        <v/>
      </c>
      <c r="X704" s="27">
        <f>IF($C704="","",IF(IFERROR(INDEX(CONFIG!$K$4:$K$43,MATCH($S704,CONFIG!$J$4:$J$43,0)),"NO")="SÍ",IF(OR($V704="",$U704=""),"Resuelta",IF($V704&gt;$U704,"Resuelta tarde","Resuelta a tiempo")),IF($U704="","Sin clasificar",IF(TODAY()&gt;$U704,"Vencida",IF(TODAY()&gt;=$U704-1,"Por vencer","En plazo")))))</f>
        <v/>
      </c>
      <c r="Y704" s="49" t="n"/>
      <c r="Z704" s="49" t="n"/>
    </row>
    <row r="705" ht="16" customHeight="1">
      <c r="A705" s="27">
        <f>IF($C705="","","N-"&amp;TEXT(ROW()-3,"0000"))</f>
        <v/>
      </c>
      <c r="B705" s="46" t="n"/>
      <c r="C705" s="47" t="n"/>
      <c r="D705" s="27">
        <f>IF($C705="","",IF(COUNTIFS(ENVIOS!$A$4:$A$3003,$C705)=0,"NO EXISTE",IF(COUNTIFS(ENVIOS!$A$4:$A$3003,$C705)&gt;1,"DUPLICADA","OK")))</f>
        <v/>
      </c>
      <c r="E705" s="22">
        <f>IF($C705="","",IFERROR(INDEX(ENVIOS!$C$4:$C$3003,MATCH($C705,ENVIOS!$A$4:$A$3003,0)),"—"))</f>
        <v/>
      </c>
      <c r="F705" s="22">
        <f>IF($C705="","",IFERROR(INDEX(ENVIOS!$D$4:$D$3003,MATCH($C705,ENVIOS!$A$4:$A$3003,0)),"—"))</f>
        <v/>
      </c>
      <c r="G705" s="22">
        <f>IF($C705="","",IFERROR(INDEX(ENVIOS!$E$4:$E$3003,MATCH($C705,ENVIOS!$A$4:$A$3003,0)),"—"))</f>
        <v/>
      </c>
      <c r="H705" s="22">
        <f>IF($C705="","",IFERROR(INDEX(ENVIOS!$F$4:$F$3003,MATCH($C705,ENVIOS!$A$4:$A$3003,0)),"—"))</f>
        <v/>
      </c>
      <c r="I705" s="27">
        <f>IF($C705="","",IFERROR(INDEX(ENVIOS!$G$4:$G$3003,MATCH($C705,ENVIOS!$A$4:$A$3003,0)),"—"))</f>
        <v/>
      </c>
      <c r="J705" s="48">
        <f>IF($C705="","",IFERROR(INDEX(ENVIOS!$B$4:$B$3003,MATCH($C705,ENVIOS!$A$4:$A$3003,0)),""))</f>
        <v/>
      </c>
      <c r="K705" s="49" t="n"/>
      <c r="L705" s="27">
        <f>IF($K705="","",IFERROR(INDEX(CONFIG!$B$4:$B$43,MATCH($K705,CONFIG!$A$4:$A$43,0)),"Media"))</f>
        <v/>
      </c>
      <c r="M705" s="27">
        <f>IF($K705="","",IFERROR(INDEX(CONFIG!$D$4:$D$43,MATCH($K705,CONFIG!$A$4:$A$43,0)),"NO"))</f>
        <v/>
      </c>
      <c r="N705" s="49" t="n"/>
      <c r="O705" s="27">
        <f>IF($N705="","",IFERROR(INDEX(CONFIG!$G$4:$G$43,MATCH($N705,CONFIG!$F$4:$F$43,0)),"Por definir"))</f>
        <v/>
      </c>
      <c r="P705" s="27">
        <f>IF($N705="","",IFERROR(INDEX(CONFIG!$H$4:$H$43,MATCH($N705,CONFIG!$F$4:$F$43,0)),"Por definir"))</f>
        <v/>
      </c>
      <c r="Q705" s="50" t="n"/>
      <c r="R705" s="51" t="n"/>
      <c r="S705" s="49" t="n"/>
      <c r="T705" s="49" t="n"/>
      <c r="U705" s="48">
        <f>IF(OR($B705="",$K705=""),"",WORKDAY($B705,IFERROR(INDEX(CONFIG!$C$4:$C$43,MATCH($K705,CONFIG!$A$4:$A$43,0)),3)))</f>
        <v/>
      </c>
      <c r="V705" s="46" t="n"/>
      <c r="W705" s="23">
        <f>IF($B705="","",IF($V705&lt;&gt;"",$V705-$B705,TODAY()-$B705))</f>
        <v/>
      </c>
      <c r="X705" s="27">
        <f>IF($C705="","",IF(IFERROR(INDEX(CONFIG!$K$4:$K$43,MATCH($S705,CONFIG!$J$4:$J$43,0)),"NO")="SÍ",IF(OR($V705="",$U705=""),"Resuelta",IF($V705&gt;$U705,"Resuelta tarde","Resuelta a tiempo")),IF($U705="","Sin clasificar",IF(TODAY()&gt;$U705,"Vencida",IF(TODAY()&gt;=$U705-1,"Por vencer","En plazo")))))</f>
        <v/>
      </c>
      <c r="Y705" s="49" t="n"/>
      <c r="Z705" s="49" t="n"/>
    </row>
    <row r="706" ht="16" customHeight="1">
      <c r="A706" s="27">
        <f>IF($C706="","","N-"&amp;TEXT(ROW()-3,"0000"))</f>
        <v/>
      </c>
      <c r="B706" s="46" t="n"/>
      <c r="C706" s="47" t="n"/>
      <c r="D706" s="27">
        <f>IF($C706="","",IF(COUNTIFS(ENVIOS!$A$4:$A$3003,$C706)=0,"NO EXISTE",IF(COUNTIFS(ENVIOS!$A$4:$A$3003,$C706)&gt;1,"DUPLICADA","OK")))</f>
        <v/>
      </c>
      <c r="E706" s="22">
        <f>IF($C706="","",IFERROR(INDEX(ENVIOS!$C$4:$C$3003,MATCH($C706,ENVIOS!$A$4:$A$3003,0)),"—"))</f>
        <v/>
      </c>
      <c r="F706" s="22">
        <f>IF($C706="","",IFERROR(INDEX(ENVIOS!$D$4:$D$3003,MATCH($C706,ENVIOS!$A$4:$A$3003,0)),"—"))</f>
        <v/>
      </c>
      <c r="G706" s="22">
        <f>IF($C706="","",IFERROR(INDEX(ENVIOS!$E$4:$E$3003,MATCH($C706,ENVIOS!$A$4:$A$3003,0)),"—"))</f>
        <v/>
      </c>
      <c r="H706" s="22">
        <f>IF($C706="","",IFERROR(INDEX(ENVIOS!$F$4:$F$3003,MATCH($C706,ENVIOS!$A$4:$A$3003,0)),"—"))</f>
        <v/>
      </c>
      <c r="I706" s="27">
        <f>IF($C706="","",IFERROR(INDEX(ENVIOS!$G$4:$G$3003,MATCH($C706,ENVIOS!$A$4:$A$3003,0)),"—"))</f>
        <v/>
      </c>
      <c r="J706" s="48">
        <f>IF($C706="","",IFERROR(INDEX(ENVIOS!$B$4:$B$3003,MATCH($C706,ENVIOS!$A$4:$A$3003,0)),""))</f>
        <v/>
      </c>
      <c r="K706" s="49" t="n"/>
      <c r="L706" s="27">
        <f>IF($K706="","",IFERROR(INDEX(CONFIG!$B$4:$B$43,MATCH($K706,CONFIG!$A$4:$A$43,0)),"Media"))</f>
        <v/>
      </c>
      <c r="M706" s="27">
        <f>IF($K706="","",IFERROR(INDEX(CONFIG!$D$4:$D$43,MATCH($K706,CONFIG!$A$4:$A$43,0)),"NO"))</f>
        <v/>
      </c>
      <c r="N706" s="49" t="n"/>
      <c r="O706" s="27">
        <f>IF($N706="","",IFERROR(INDEX(CONFIG!$G$4:$G$43,MATCH($N706,CONFIG!$F$4:$F$43,0)),"Por definir"))</f>
        <v/>
      </c>
      <c r="P706" s="27">
        <f>IF($N706="","",IFERROR(INDEX(CONFIG!$H$4:$H$43,MATCH($N706,CONFIG!$F$4:$F$43,0)),"Por definir"))</f>
        <v/>
      </c>
      <c r="Q706" s="50" t="n"/>
      <c r="R706" s="51" t="n"/>
      <c r="S706" s="49" t="n"/>
      <c r="T706" s="49" t="n"/>
      <c r="U706" s="48">
        <f>IF(OR($B706="",$K706=""),"",WORKDAY($B706,IFERROR(INDEX(CONFIG!$C$4:$C$43,MATCH($K706,CONFIG!$A$4:$A$43,0)),3)))</f>
        <v/>
      </c>
      <c r="V706" s="46" t="n"/>
      <c r="W706" s="23">
        <f>IF($B706="","",IF($V706&lt;&gt;"",$V706-$B706,TODAY()-$B706))</f>
        <v/>
      </c>
      <c r="X706" s="27">
        <f>IF($C706="","",IF(IFERROR(INDEX(CONFIG!$K$4:$K$43,MATCH($S706,CONFIG!$J$4:$J$43,0)),"NO")="SÍ",IF(OR($V706="",$U706=""),"Resuelta",IF($V706&gt;$U706,"Resuelta tarde","Resuelta a tiempo")),IF($U706="","Sin clasificar",IF(TODAY()&gt;$U706,"Vencida",IF(TODAY()&gt;=$U706-1,"Por vencer","En plazo")))))</f>
        <v/>
      </c>
      <c r="Y706" s="49" t="n"/>
      <c r="Z706" s="49" t="n"/>
    </row>
    <row r="707" ht="16" customHeight="1">
      <c r="A707" s="27">
        <f>IF($C707="","","N-"&amp;TEXT(ROW()-3,"0000"))</f>
        <v/>
      </c>
      <c r="B707" s="46" t="n"/>
      <c r="C707" s="47" t="n"/>
      <c r="D707" s="27">
        <f>IF($C707="","",IF(COUNTIFS(ENVIOS!$A$4:$A$3003,$C707)=0,"NO EXISTE",IF(COUNTIFS(ENVIOS!$A$4:$A$3003,$C707)&gt;1,"DUPLICADA","OK")))</f>
        <v/>
      </c>
      <c r="E707" s="22">
        <f>IF($C707="","",IFERROR(INDEX(ENVIOS!$C$4:$C$3003,MATCH($C707,ENVIOS!$A$4:$A$3003,0)),"—"))</f>
        <v/>
      </c>
      <c r="F707" s="22">
        <f>IF($C707="","",IFERROR(INDEX(ENVIOS!$D$4:$D$3003,MATCH($C707,ENVIOS!$A$4:$A$3003,0)),"—"))</f>
        <v/>
      </c>
      <c r="G707" s="22">
        <f>IF($C707="","",IFERROR(INDEX(ENVIOS!$E$4:$E$3003,MATCH($C707,ENVIOS!$A$4:$A$3003,0)),"—"))</f>
        <v/>
      </c>
      <c r="H707" s="22">
        <f>IF($C707="","",IFERROR(INDEX(ENVIOS!$F$4:$F$3003,MATCH($C707,ENVIOS!$A$4:$A$3003,0)),"—"))</f>
        <v/>
      </c>
      <c r="I707" s="27">
        <f>IF($C707="","",IFERROR(INDEX(ENVIOS!$G$4:$G$3003,MATCH($C707,ENVIOS!$A$4:$A$3003,0)),"—"))</f>
        <v/>
      </c>
      <c r="J707" s="48">
        <f>IF($C707="","",IFERROR(INDEX(ENVIOS!$B$4:$B$3003,MATCH($C707,ENVIOS!$A$4:$A$3003,0)),""))</f>
        <v/>
      </c>
      <c r="K707" s="49" t="n"/>
      <c r="L707" s="27">
        <f>IF($K707="","",IFERROR(INDEX(CONFIG!$B$4:$B$43,MATCH($K707,CONFIG!$A$4:$A$43,0)),"Media"))</f>
        <v/>
      </c>
      <c r="M707" s="27">
        <f>IF($K707="","",IFERROR(INDEX(CONFIG!$D$4:$D$43,MATCH($K707,CONFIG!$A$4:$A$43,0)),"NO"))</f>
        <v/>
      </c>
      <c r="N707" s="49" t="n"/>
      <c r="O707" s="27">
        <f>IF($N707="","",IFERROR(INDEX(CONFIG!$G$4:$G$43,MATCH($N707,CONFIG!$F$4:$F$43,0)),"Por definir"))</f>
        <v/>
      </c>
      <c r="P707" s="27">
        <f>IF($N707="","",IFERROR(INDEX(CONFIG!$H$4:$H$43,MATCH($N707,CONFIG!$F$4:$F$43,0)),"Por definir"))</f>
        <v/>
      </c>
      <c r="Q707" s="50" t="n"/>
      <c r="R707" s="51" t="n"/>
      <c r="S707" s="49" t="n"/>
      <c r="T707" s="49" t="n"/>
      <c r="U707" s="48">
        <f>IF(OR($B707="",$K707=""),"",WORKDAY($B707,IFERROR(INDEX(CONFIG!$C$4:$C$43,MATCH($K707,CONFIG!$A$4:$A$43,0)),3)))</f>
        <v/>
      </c>
      <c r="V707" s="46" t="n"/>
      <c r="W707" s="23">
        <f>IF($B707="","",IF($V707&lt;&gt;"",$V707-$B707,TODAY()-$B707))</f>
        <v/>
      </c>
      <c r="X707" s="27">
        <f>IF($C707="","",IF(IFERROR(INDEX(CONFIG!$K$4:$K$43,MATCH($S707,CONFIG!$J$4:$J$43,0)),"NO")="SÍ",IF(OR($V707="",$U707=""),"Resuelta",IF($V707&gt;$U707,"Resuelta tarde","Resuelta a tiempo")),IF($U707="","Sin clasificar",IF(TODAY()&gt;$U707,"Vencida",IF(TODAY()&gt;=$U707-1,"Por vencer","En plazo")))))</f>
        <v/>
      </c>
      <c r="Y707" s="49" t="n"/>
      <c r="Z707" s="49" t="n"/>
    </row>
    <row r="708" ht="16" customHeight="1">
      <c r="A708" s="27">
        <f>IF($C708="","","N-"&amp;TEXT(ROW()-3,"0000"))</f>
        <v/>
      </c>
      <c r="B708" s="46" t="n"/>
      <c r="C708" s="47" t="n"/>
      <c r="D708" s="27">
        <f>IF($C708="","",IF(COUNTIFS(ENVIOS!$A$4:$A$3003,$C708)=0,"NO EXISTE",IF(COUNTIFS(ENVIOS!$A$4:$A$3003,$C708)&gt;1,"DUPLICADA","OK")))</f>
        <v/>
      </c>
      <c r="E708" s="22">
        <f>IF($C708="","",IFERROR(INDEX(ENVIOS!$C$4:$C$3003,MATCH($C708,ENVIOS!$A$4:$A$3003,0)),"—"))</f>
        <v/>
      </c>
      <c r="F708" s="22">
        <f>IF($C708="","",IFERROR(INDEX(ENVIOS!$D$4:$D$3003,MATCH($C708,ENVIOS!$A$4:$A$3003,0)),"—"))</f>
        <v/>
      </c>
      <c r="G708" s="22">
        <f>IF($C708="","",IFERROR(INDEX(ENVIOS!$E$4:$E$3003,MATCH($C708,ENVIOS!$A$4:$A$3003,0)),"—"))</f>
        <v/>
      </c>
      <c r="H708" s="22">
        <f>IF($C708="","",IFERROR(INDEX(ENVIOS!$F$4:$F$3003,MATCH($C708,ENVIOS!$A$4:$A$3003,0)),"—"))</f>
        <v/>
      </c>
      <c r="I708" s="27">
        <f>IF($C708="","",IFERROR(INDEX(ENVIOS!$G$4:$G$3003,MATCH($C708,ENVIOS!$A$4:$A$3003,0)),"—"))</f>
        <v/>
      </c>
      <c r="J708" s="48">
        <f>IF($C708="","",IFERROR(INDEX(ENVIOS!$B$4:$B$3003,MATCH($C708,ENVIOS!$A$4:$A$3003,0)),""))</f>
        <v/>
      </c>
      <c r="K708" s="49" t="n"/>
      <c r="L708" s="27">
        <f>IF($K708="","",IFERROR(INDEX(CONFIG!$B$4:$B$43,MATCH($K708,CONFIG!$A$4:$A$43,0)),"Media"))</f>
        <v/>
      </c>
      <c r="M708" s="27">
        <f>IF($K708="","",IFERROR(INDEX(CONFIG!$D$4:$D$43,MATCH($K708,CONFIG!$A$4:$A$43,0)),"NO"))</f>
        <v/>
      </c>
      <c r="N708" s="49" t="n"/>
      <c r="O708" s="27">
        <f>IF($N708="","",IFERROR(INDEX(CONFIG!$G$4:$G$43,MATCH($N708,CONFIG!$F$4:$F$43,0)),"Por definir"))</f>
        <v/>
      </c>
      <c r="P708" s="27">
        <f>IF($N708="","",IFERROR(INDEX(CONFIG!$H$4:$H$43,MATCH($N708,CONFIG!$F$4:$F$43,0)),"Por definir"))</f>
        <v/>
      </c>
      <c r="Q708" s="50" t="n"/>
      <c r="R708" s="51" t="n"/>
      <c r="S708" s="49" t="n"/>
      <c r="T708" s="49" t="n"/>
      <c r="U708" s="48">
        <f>IF(OR($B708="",$K708=""),"",WORKDAY($B708,IFERROR(INDEX(CONFIG!$C$4:$C$43,MATCH($K708,CONFIG!$A$4:$A$43,0)),3)))</f>
        <v/>
      </c>
      <c r="V708" s="46" t="n"/>
      <c r="W708" s="23">
        <f>IF($B708="","",IF($V708&lt;&gt;"",$V708-$B708,TODAY()-$B708))</f>
        <v/>
      </c>
      <c r="X708" s="27">
        <f>IF($C708="","",IF(IFERROR(INDEX(CONFIG!$K$4:$K$43,MATCH($S708,CONFIG!$J$4:$J$43,0)),"NO")="SÍ",IF(OR($V708="",$U708=""),"Resuelta",IF($V708&gt;$U708,"Resuelta tarde","Resuelta a tiempo")),IF($U708="","Sin clasificar",IF(TODAY()&gt;$U708,"Vencida",IF(TODAY()&gt;=$U708-1,"Por vencer","En plazo")))))</f>
        <v/>
      </c>
      <c r="Y708" s="49" t="n"/>
      <c r="Z708" s="49" t="n"/>
    </row>
    <row r="709" ht="16" customHeight="1">
      <c r="A709" s="27">
        <f>IF($C709="","","N-"&amp;TEXT(ROW()-3,"0000"))</f>
        <v/>
      </c>
      <c r="B709" s="46" t="n"/>
      <c r="C709" s="47" t="n"/>
      <c r="D709" s="27">
        <f>IF($C709="","",IF(COUNTIFS(ENVIOS!$A$4:$A$3003,$C709)=0,"NO EXISTE",IF(COUNTIFS(ENVIOS!$A$4:$A$3003,$C709)&gt;1,"DUPLICADA","OK")))</f>
        <v/>
      </c>
      <c r="E709" s="22">
        <f>IF($C709="","",IFERROR(INDEX(ENVIOS!$C$4:$C$3003,MATCH($C709,ENVIOS!$A$4:$A$3003,0)),"—"))</f>
        <v/>
      </c>
      <c r="F709" s="22">
        <f>IF($C709="","",IFERROR(INDEX(ENVIOS!$D$4:$D$3003,MATCH($C709,ENVIOS!$A$4:$A$3003,0)),"—"))</f>
        <v/>
      </c>
      <c r="G709" s="22">
        <f>IF($C709="","",IFERROR(INDEX(ENVIOS!$E$4:$E$3003,MATCH($C709,ENVIOS!$A$4:$A$3003,0)),"—"))</f>
        <v/>
      </c>
      <c r="H709" s="22">
        <f>IF($C709="","",IFERROR(INDEX(ENVIOS!$F$4:$F$3003,MATCH($C709,ENVIOS!$A$4:$A$3003,0)),"—"))</f>
        <v/>
      </c>
      <c r="I709" s="27">
        <f>IF($C709="","",IFERROR(INDEX(ENVIOS!$G$4:$G$3003,MATCH($C709,ENVIOS!$A$4:$A$3003,0)),"—"))</f>
        <v/>
      </c>
      <c r="J709" s="48">
        <f>IF($C709="","",IFERROR(INDEX(ENVIOS!$B$4:$B$3003,MATCH($C709,ENVIOS!$A$4:$A$3003,0)),""))</f>
        <v/>
      </c>
      <c r="K709" s="49" t="n"/>
      <c r="L709" s="27">
        <f>IF($K709="","",IFERROR(INDEX(CONFIG!$B$4:$B$43,MATCH($K709,CONFIG!$A$4:$A$43,0)),"Media"))</f>
        <v/>
      </c>
      <c r="M709" s="27">
        <f>IF($K709="","",IFERROR(INDEX(CONFIG!$D$4:$D$43,MATCH($K709,CONFIG!$A$4:$A$43,0)),"NO"))</f>
        <v/>
      </c>
      <c r="N709" s="49" t="n"/>
      <c r="O709" s="27">
        <f>IF($N709="","",IFERROR(INDEX(CONFIG!$G$4:$G$43,MATCH($N709,CONFIG!$F$4:$F$43,0)),"Por definir"))</f>
        <v/>
      </c>
      <c r="P709" s="27">
        <f>IF($N709="","",IFERROR(INDEX(CONFIG!$H$4:$H$43,MATCH($N709,CONFIG!$F$4:$F$43,0)),"Por definir"))</f>
        <v/>
      </c>
      <c r="Q709" s="50" t="n"/>
      <c r="R709" s="51" t="n"/>
      <c r="S709" s="49" t="n"/>
      <c r="T709" s="49" t="n"/>
      <c r="U709" s="48">
        <f>IF(OR($B709="",$K709=""),"",WORKDAY($B709,IFERROR(INDEX(CONFIG!$C$4:$C$43,MATCH($K709,CONFIG!$A$4:$A$43,0)),3)))</f>
        <v/>
      </c>
      <c r="V709" s="46" t="n"/>
      <c r="W709" s="23">
        <f>IF($B709="","",IF($V709&lt;&gt;"",$V709-$B709,TODAY()-$B709))</f>
        <v/>
      </c>
      <c r="X709" s="27">
        <f>IF($C709="","",IF(IFERROR(INDEX(CONFIG!$K$4:$K$43,MATCH($S709,CONFIG!$J$4:$J$43,0)),"NO")="SÍ",IF(OR($V709="",$U709=""),"Resuelta",IF($V709&gt;$U709,"Resuelta tarde","Resuelta a tiempo")),IF($U709="","Sin clasificar",IF(TODAY()&gt;$U709,"Vencida",IF(TODAY()&gt;=$U709-1,"Por vencer","En plazo")))))</f>
        <v/>
      </c>
      <c r="Y709" s="49" t="n"/>
      <c r="Z709" s="49" t="n"/>
    </row>
    <row r="710" ht="16" customHeight="1">
      <c r="A710" s="27">
        <f>IF($C710="","","N-"&amp;TEXT(ROW()-3,"0000"))</f>
        <v/>
      </c>
      <c r="B710" s="46" t="n"/>
      <c r="C710" s="47" t="n"/>
      <c r="D710" s="27">
        <f>IF($C710="","",IF(COUNTIFS(ENVIOS!$A$4:$A$3003,$C710)=0,"NO EXISTE",IF(COUNTIFS(ENVIOS!$A$4:$A$3003,$C710)&gt;1,"DUPLICADA","OK")))</f>
        <v/>
      </c>
      <c r="E710" s="22">
        <f>IF($C710="","",IFERROR(INDEX(ENVIOS!$C$4:$C$3003,MATCH($C710,ENVIOS!$A$4:$A$3003,0)),"—"))</f>
        <v/>
      </c>
      <c r="F710" s="22">
        <f>IF($C710="","",IFERROR(INDEX(ENVIOS!$D$4:$D$3003,MATCH($C710,ENVIOS!$A$4:$A$3003,0)),"—"))</f>
        <v/>
      </c>
      <c r="G710" s="22">
        <f>IF($C710="","",IFERROR(INDEX(ENVIOS!$E$4:$E$3003,MATCH($C710,ENVIOS!$A$4:$A$3003,0)),"—"))</f>
        <v/>
      </c>
      <c r="H710" s="22">
        <f>IF($C710="","",IFERROR(INDEX(ENVIOS!$F$4:$F$3003,MATCH($C710,ENVIOS!$A$4:$A$3003,0)),"—"))</f>
        <v/>
      </c>
      <c r="I710" s="27">
        <f>IF($C710="","",IFERROR(INDEX(ENVIOS!$G$4:$G$3003,MATCH($C710,ENVIOS!$A$4:$A$3003,0)),"—"))</f>
        <v/>
      </c>
      <c r="J710" s="48">
        <f>IF($C710="","",IFERROR(INDEX(ENVIOS!$B$4:$B$3003,MATCH($C710,ENVIOS!$A$4:$A$3003,0)),""))</f>
        <v/>
      </c>
      <c r="K710" s="49" t="n"/>
      <c r="L710" s="27">
        <f>IF($K710="","",IFERROR(INDEX(CONFIG!$B$4:$B$43,MATCH($K710,CONFIG!$A$4:$A$43,0)),"Media"))</f>
        <v/>
      </c>
      <c r="M710" s="27">
        <f>IF($K710="","",IFERROR(INDEX(CONFIG!$D$4:$D$43,MATCH($K710,CONFIG!$A$4:$A$43,0)),"NO"))</f>
        <v/>
      </c>
      <c r="N710" s="49" t="n"/>
      <c r="O710" s="27">
        <f>IF($N710="","",IFERROR(INDEX(CONFIG!$G$4:$G$43,MATCH($N710,CONFIG!$F$4:$F$43,0)),"Por definir"))</f>
        <v/>
      </c>
      <c r="P710" s="27">
        <f>IF($N710="","",IFERROR(INDEX(CONFIG!$H$4:$H$43,MATCH($N710,CONFIG!$F$4:$F$43,0)),"Por definir"))</f>
        <v/>
      </c>
      <c r="Q710" s="50" t="n"/>
      <c r="R710" s="51" t="n"/>
      <c r="S710" s="49" t="n"/>
      <c r="T710" s="49" t="n"/>
      <c r="U710" s="48">
        <f>IF(OR($B710="",$K710=""),"",WORKDAY($B710,IFERROR(INDEX(CONFIG!$C$4:$C$43,MATCH($K710,CONFIG!$A$4:$A$43,0)),3)))</f>
        <v/>
      </c>
      <c r="V710" s="46" t="n"/>
      <c r="W710" s="23">
        <f>IF($B710="","",IF($V710&lt;&gt;"",$V710-$B710,TODAY()-$B710))</f>
        <v/>
      </c>
      <c r="X710" s="27">
        <f>IF($C710="","",IF(IFERROR(INDEX(CONFIG!$K$4:$K$43,MATCH($S710,CONFIG!$J$4:$J$43,0)),"NO")="SÍ",IF(OR($V710="",$U710=""),"Resuelta",IF($V710&gt;$U710,"Resuelta tarde","Resuelta a tiempo")),IF($U710="","Sin clasificar",IF(TODAY()&gt;$U710,"Vencida",IF(TODAY()&gt;=$U710-1,"Por vencer","En plazo")))))</f>
        <v/>
      </c>
      <c r="Y710" s="49" t="n"/>
      <c r="Z710" s="49" t="n"/>
    </row>
    <row r="711" ht="16" customHeight="1">
      <c r="A711" s="27">
        <f>IF($C711="","","N-"&amp;TEXT(ROW()-3,"0000"))</f>
        <v/>
      </c>
      <c r="B711" s="46" t="n"/>
      <c r="C711" s="47" t="n"/>
      <c r="D711" s="27">
        <f>IF($C711="","",IF(COUNTIFS(ENVIOS!$A$4:$A$3003,$C711)=0,"NO EXISTE",IF(COUNTIFS(ENVIOS!$A$4:$A$3003,$C711)&gt;1,"DUPLICADA","OK")))</f>
        <v/>
      </c>
      <c r="E711" s="22">
        <f>IF($C711="","",IFERROR(INDEX(ENVIOS!$C$4:$C$3003,MATCH($C711,ENVIOS!$A$4:$A$3003,0)),"—"))</f>
        <v/>
      </c>
      <c r="F711" s="22">
        <f>IF($C711="","",IFERROR(INDEX(ENVIOS!$D$4:$D$3003,MATCH($C711,ENVIOS!$A$4:$A$3003,0)),"—"))</f>
        <v/>
      </c>
      <c r="G711" s="22">
        <f>IF($C711="","",IFERROR(INDEX(ENVIOS!$E$4:$E$3003,MATCH($C711,ENVIOS!$A$4:$A$3003,0)),"—"))</f>
        <v/>
      </c>
      <c r="H711" s="22">
        <f>IF($C711="","",IFERROR(INDEX(ENVIOS!$F$4:$F$3003,MATCH($C711,ENVIOS!$A$4:$A$3003,0)),"—"))</f>
        <v/>
      </c>
      <c r="I711" s="27">
        <f>IF($C711="","",IFERROR(INDEX(ENVIOS!$G$4:$G$3003,MATCH($C711,ENVIOS!$A$4:$A$3003,0)),"—"))</f>
        <v/>
      </c>
      <c r="J711" s="48">
        <f>IF($C711="","",IFERROR(INDEX(ENVIOS!$B$4:$B$3003,MATCH($C711,ENVIOS!$A$4:$A$3003,0)),""))</f>
        <v/>
      </c>
      <c r="K711" s="49" t="n"/>
      <c r="L711" s="27">
        <f>IF($K711="","",IFERROR(INDEX(CONFIG!$B$4:$B$43,MATCH($K711,CONFIG!$A$4:$A$43,0)),"Media"))</f>
        <v/>
      </c>
      <c r="M711" s="27">
        <f>IF($K711="","",IFERROR(INDEX(CONFIG!$D$4:$D$43,MATCH($K711,CONFIG!$A$4:$A$43,0)),"NO"))</f>
        <v/>
      </c>
      <c r="N711" s="49" t="n"/>
      <c r="O711" s="27">
        <f>IF($N711="","",IFERROR(INDEX(CONFIG!$G$4:$G$43,MATCH($N711,CONFIG!$F$4:$F$43,0)),"Por definir"))</f>
        <v/>
      </c>
      <c r="P711" s="27">
        <f>IF($N711="","",IFERROR(INDEX(CONFIG!$H$4:$H$43,MATCH($N711,CONFIG!$F$4:$F$43,0)),"Por definir"))</f>
        <v/>
      </c>
      <c r="Q711" s="50" t="n"/>
      <c r="R711" s="51" t="n"/>
      <c r="S711" s="49" t="n"/>
      <c r="T711" s="49" t="n"/>
      <c r="U711" s="48">
        <f>IF(OR($B711="",$K711=""),"",WORKDAY($B711,IFERROR(INDEX(CONFIG!$C$4:$C$43,MATCH($K711,CONFIG!$A$4:$A$43,0)),3)))</f>
        <v/>
      </c>
      <c r="V711" s="46" t="n"/>
      <c r="W711" s="23">
        <f>IF($B711="","",IF($V711&lt;&gt;"",$V711-$B711,TODAY()-$B711))</f>
        <v/>
      </c>
      <c r="X711" s="27">
        <f>IF($C711="","",IF(IFERROR(INDEX(CONFIG!$K$4:$K$43,MATCH($S711,CONFIG!$J$4:$J$43,0)),"NO")="SÍ",IF(OR($V711="",$U711=""),"Resuelta",IF($V711&gt;$U711,"Resuelta tarde","Resuelta a tiempo")),IF($U711="","Sin clasificar",IF(TODAY()&gt;$U711,"Vencida",IF(TODAY()&gt;=$U711-1,"Por vencer","En plazo")))))</f>
        <v/>
      </c>
      <c r="Y711" s="49" t="n"/>
      <c r="Z711" s="49" t="n"/>
    </row>
    <row r="712" ht="16" customHeight="1">
      <c r="A712" s="27">
        <f>IF($C712="","","N-"&amp;TEXT(ROW()-3,"0000"))</f>
        <v/>
      </c>
      <c r="B712" s="46" t="n"/>
      <c r="C712" s="47" t="n"/>
      <c r="D712" s="27">
        <f>IF($C712="","",IF(COUNTIFS(ENVIOS!$A$4:$A$3003,$C712)=0,"NO EXISTE",IF(COUNTIFS(ENVIOS!$A$4:$A$3003,$C712)&gt;1,"DUPLICADA","OK")))</f>
        <v/>
      </c>
      <c r="E712" s="22">
        <f>IF($C712="","",IFERROR(INDEX(ENVIOS!$C$4:$C$3003,MATCH($C712,ENVIOS!$A$4:$A$3003,0)),"—"))</f>
        <v/>
      </c>
      <c r="F712" s="22">
        <f>IF($C712="","",IFERROR(INDEX(ENVIOS!$D$4:$D$3003,MATCH($C712,ENVIOS!$A$4:$A$3003,0)),"—"))</f>
        <v/>
      </c>
      <c r="G712" s="22">
        <f>IF($C712="","",IFERROR(INDEX(ENVIOS!$E$4:$E$3003,MATCH($C712,ENVIOS!$A$4:$A$3003,0)),"—"))</f>
        <v/>
      </c>
      <c r="H712" s="22">
        <f>IF($C712="","",IFERROR(INDEX(ENVIOS!$F$4:$F$3003,MATCH($C712,ENVIOS!$A$4:$A$3003,0)),"—"))</f>
        <v/>
      </c>
      <c r="I712" s="27">
        <f>IF($C712="","",IFERROR(INDEX(ENVIOS!$G$4:$G$3003,MATCH($C712,ENVIOS!$A$4:$A$3003,0)),"—"))</f>
        <v/>
      </c>
      <c r="J712" s="48">
        <f>IF($C712="","",IFERROR(INDEX(ENVIOS!$B$4:$B$3003,MATCH($C712,ENVIOS!$A$4:$A$3003,0)),""))</f>
        <v/>
      </c>
      <c r="K712" s="49" t="n"/>
      <c r="L712" s="27">
        <f>IF($K712="","",IFERROR(INDEX(CONFIG!$B$4:$B$43,MATCH($K712,CONFIG!$A$4:$A$43,0)),"Media"))</f>
        <v/>
      </c>
      <c r="M712" s="27">
        <f>IF($K712="","",IFERROR(INDEX(CONFIG!$D$4:$D$43,MATCH($K712,CONFIG!$A$4:$A$43,0)),"NO"))</f>
        <v/>
      </c>
      <c r="N712" s="49" t="n"/>
      <c r="O712" s="27">
        <f>IF($N712="","",IFERROR(INDEX(CONFIG!$G$4:$G$43,MATCH($N712,CONFIG!$F$4:$F$43,0)),"Por definir"))</f>
        <v/>
      </c>
      <c r="P712" s="27">
        <f>IF($N712="","",IFERROR(INDEX(CONFIG!$H$4:$H$43,MATCH($N712,CONFIG!$F$4:$F$43,0)),"Por definir"))</f>
        <v/>
      </c>
      <c r="Q712" s="50" t="n"/>
      <c r="R712" s="51" t="n"/>
      <c r="S712" s="49" t="n"/>
      <c r="T712" s="49" t="n"/>
      <c r="U712" s="48">
        <f>IF(OR($B712="",$K712=""),"",WORKDAY($B712,IFERROR(INDEX(CONFIG!$C$4:$C$43,MATCH($K712,CONFIG!$A$4:$A$43,0)),3)))</f>
        <v/>
      </c>
      <c r="V712" s="46" t="n"/>
      <c r="W712" s="23">
        <f>IF($B712="","",IF($V712&lt;&gt;"",$V712-$B712,TODAY()-$B712))</f>
        <v/>
      </c>
      <c r="X712" s="27">
        <f>IF($C712="","",IF(IFERROR(INDEX(CONFIG!$K$4:$K$43,MATCH($S712,CONFIG!$J$4:$J$43,0)),"NO")="SÍ",IF(OR($V712="",$U712=""),"Resuelta",IF($V712&gt;$U712,"Resuelta tarde","Resuelta a tiempo")),IF($U712="","Sin clasificar",IF(TODAY()&gt;$U712,"Vencida",IF(TODAY()&gt;=$U712-1,"Por vencer","En plazo")))))</f>
        <v/>
      </c>
      <c r="Y712" s="49" t="n"/>
      <c r="Z712" s="49" t="n"/>
    </row>
    <row r="713" ht="16" customHeight="1">
      <c r="A713" s="27">
        <f>IF($C713="","","N-"&amp;TEXT(ROW()-3,"0000"))</f>
        <v/>
      </c>
      <c r="B713" s="46" t="n"/>
      <c r="C713" s="47" t="n"/>
      <c r="D713" s="27">
        <f>IF($C713="","",IF(COUNTIFS(ENVIOS!$A$4:$A$3003,$C713)=0,"NO EXISTE",IF(COUNTIFS(ENVIOS!$A$4:$A$3003,$C713)&gt;1,"DUPLICADA","OK")))</f>
        <v/>
      </c>
      <c r="E713" s="22">
        <f>IF($C713="","",IFERROR(INDEX(ENVIOS!$C$4:$C$3003,MATCH($C713,ENVIOS!$A$4:$A$3003,0)),"—"))</f>
        <v/>
      </c>
      <c r="F713" s="22">
        <f>IF($C713="","",IFERROR(INDEX(ENVIOS!$D$4:$D$3003,MATCH($C713,ENVIOS!$A$4:$A$3003,0)),"—"))</f>
        <v/>
      </c>
      <c r="G713" s="22">
        <f>IF($C713="","",IFERROR(INDEX(ENVIOS!$E$4:$E$3003,MATCH($C713,ENVIOS!$A$4:$A$3003,0)),"—"))</f>
        <v/>
      </c>
      <c r="H713" s="22">
        <f>IF($C713="","",IFERROR(INDEX(ENVIOS!$F$4:$F$3003,MATCH($C713,ENVIOS!$A$4:$A$3003,0)),"—"))</f>
        <v/>
      </c>
      <c r="I713" s="27">
        <f>IF($C713="","",IFERROR(INDEX(ENVIOS!$G$4:$G$3003,MATCH($C713,ENVIOS!$A$4:$A$3003,0)),"—"))</f>
        <v/>
      </c>
      <c r="J713" s="48">
        <f>IF($C713="","",IFERROR(INDEX(ENVIOS!$B$4:$B$3003,MATCH($C713,ENVIOS!$A$4:$A$3003,0)),""))</f>
        <v/>
      </c>
      <c r="K713" s="49" t="n"/>
      <c r="L713" s="27">
        <f>IF($K713="","",IFERROR(INDEX(CONFIG!$B$4:$B$43,MATCH($K713,CONFIG!$A$4:$A$43,0)),"Media"))</f>
        <v/>
      </c>
      <c r="M713" s="27">
        <f>IF($K713="","",IFERROR(INDEX(CONFIG!$D$4:$D$43,MATCH($K713,CONFIG!$A$4:$A$43,0)),"NO"))</f>
        <v/>
      </c>
      <c r="N713" s="49" t="n"/>
      <c r="O713" s="27">
        <f>IF($N713="","",IFERROR(INDEX(CONFIG!$G$4:$G$43,MATCH($N713,CONFIG!$F$4:$F$43,0)),"Por definir"))</f>
        <v/>
      </c>
      <c r="P713" s="27">
        <f>IF($N713="","",IFERROR(INDEX(CONFIG!$H$4:$H$43,MATCH($N713,CONFIG!$F$4:$F$43,0)),"Por definir"))</f>
        <v/>
      </c>
      <c r="Q713" s="50" t="n"/>
      <c r="R713" s="51" t="n"/>
      <c r="S713" s="49" t="n"/>
      <c r="T713" s="49" t="n"/>
      <c r="U713" s="48">
        <f>IF(OR($B713="",$K713=""),"",WORKDAY($B713,IFERROR(INDEX(CONFIG!$C$4:$C$43,MATCH($K713,CONFIG!$A$4:$A$43,0)),3)))</f>
        <v/>
      </c>
      <c r="V713" s="46" t="n"/>
      <c r="W713" s="23">
        <f>IF($B713="","",IF($V713&lt;&gt;"",$V713-$B713,TODAY()-$B713))</f>
        <v/>
      </c>
      <c r="X713" s="27">
        <f>IF($C713="","",IF(IFERROR(INDEX(CONFIG!$K$4:$K$43,MATCH($S713,CONFIG!$J$4:$J$43,0)),"NO")="SÍ",IF(OR($V713="",$U713=""),"Resuelta",IF($V713&gt;$U713,"Resuelta tarde","Resuelta a tiempo")),IF($U713="","Sin clasificar",IF(TODAY()&gt;$U713,"Vencida",IF(TODAY()&gt;=$U713-1,"Por vencer","En plazo")))))</f>
        <v/>
      </c>
      <c r="Y713" s="49" t="n"/>
      <c r="Z713" s="49" t="n"/>
    </row>
    <row r="714" ht="16" customHeight="1">
      <c r="A714" s="27">
        <f>IF($C714="","","N-"&amp;TEXT(ROW()-3,"0000"))</f>
        <v/>
      </c>
      <c r="B714" s="46" t="n"/>
      <c r="C714" s="47" t="n"/>
      <c r="D714" s="27">
        <f>IF($C714="","",IF(COUNTIFS(ENVIOS!$A$4:$A$3003,$C714)=0,"NO EXISTE",IF(COUNTIFS(ENVIOS!$A$4:$A$3003,$C714)&gt;1,"DUPLICADA","OK")))</f>
        <v/>
      </c>
      <c r="E714" s="22">
        <f>IF($C714="","",IFERROR(INDEX(ENVIOS!$C$4:$C$3003,MATCH($C714,ENVIOS!$A$4:$A$3003,0)),"—"))</f>
        <v/>
      </c>
      <c r="F714" s="22">
        <f>IF($C714="","",IFERROR(INDEX(ENVIOS!$D$4:$D$3003,MATCH($C714,ENVIOS!$A$4:$A$3003,0)),"—"))</f>
        <v/>
      </c>
      <c r="G714" s="22">
        <f>IF($C714="","",IFERROR(INDEX(ENVIOS!$E$4:$E$3003,MATCH($C714,ENVIOS!$A$4:$A$3003,0)),"—"))</f>
        <v/>
      </c>
      <c r="H714" s="22">
        <f>IF($C714="","",IFERROR(INDEX(ENVIOS!$F$4:$F$3003,MATCH($C714,ENVIOS!$A$4:$A$3003,0)),"—"))</f>
        <v/>
      </c>
      <c r="I714" s="27">
        <f>IF($C714="","",IFERROR(INDEX(ENVIOS!$G$4:$G$3003,MATCH($C714,ENVIOS!$A$4:$A$3003,0)),"—"))</f>
        <v/>
      </c>
      <c r="J714" s="48">
        <f>IF($C714="","",IFERROR(INDEX(ENVIOS!$B$4:$B$3003,MATCH($C714,ENVIOS!$A$4:$A$3003,0)),""))</f>
        <v/>
      </c>
      <c r="K714" s="49" t="n"/>
      <c r="L714" s="27">
        <f>IF($K714="","",IFERROR(INDEX(CONFIG!$B$4:$B$43,MATCH($K714,CONFIG!$A$4:$A$43,0)),"Media"))</f>
        <v/>
      </c>
      <c r="M714" s="27">
        <f>IF($K714="","",IFERROR(INDEX(CONFIG!$D$4:$D$43,MATCH($K714,CONFIG!$A$4:$A$43,0)),"NO"))</f>
        <v/>
      </c>
      <c r="N714" s="49" t="n"/>
      <c r="O714" s="27">
        <f>IF($N714="","",IFERROR(INDEX(CONFIG!$G$4:$G$43,MATCH($N714,CONFIG!$F$4:$F$43,0)),"Por definir"))</f>
        <v/>
      </c>
      <c r="P714" s="27">
        <f>IF($N714="","",IFERROR(INDEX(CONFIG!$H$4:$H$43,MATCH($N714,CONFIG!$F$4:$F$43,0)),"Por definir"))</f>
        <v/>
      </c>
      <c r="Q714" s="50" t="n"/>
      <c r="R714" s="51" t="n"/>
      <c r="S714" s="49" t="n"/>
      <c r="T714" s="49" t="n"/>
      <c r="U714" s="48">
        <f>IF(OR($B714="",$K714=""),"",WORKDAY($B714,IFERROR(INDEX(CONFIG!$C$4:$C$43,MATCH($K714,CONFIG!$A$4:$A$43,0)),3)))</f>
        <v/>
      </c>
      <c r="V714" s="46" t="n"/>
      <c r="W714" s="23">
        <f>IF($B714="","",IF($V714&lt;&gt;"",$V714-$B714,TODAY()-$B714))</f>
        <v/>
      </c>
      <c r="X714" s="27">
        <f>IF($C714="","",IF(IFERROR(INDEX(CONFIG!$K$4:$K$43,MATCH($S714,CONFIG!$J$4:$J$43,0)),"NO")="SÍ",IF(OR($V714="",$U714=""),"Resuelta",IF($V714&gt;$U714,"Resuelta tarde","Resuelta a tiempo")),IF($U714="","Sin clasificar",IF(TODAY()&gt;$U714,"Vencida",IF(TODAY()&gt;=$U714-1,"Por vencer","En plazo")))))</f>
        <v/>
      </c>
      <c r="Y714" s="49" t="n"/>
      <c r="Z714" s="49" t="n"/>
    </row>
    <row r="715" ht="16" customHeight="1">
      <c r="A715" s="27">
        <f>IF($C715="","","N-"&amp;TEXT(ROW()-3,"0000"))</f>
        <v/>
      </c>
      <c r="B715" s="46" t="n"/>
      <c r="C715" s="47" t="n"/>
      <c r="D715" s="27">
        <f>IF($C715="","",IF(COUNTIFS(ENVIOS!$A$4:$A$3003,$C715)=0,"NO EXISTE",IF(COUNTIFS(ENVIOS!$A$4:$A$3003,$C715)&gt;1,"DUPLICADA","OK")))</f>
        <v/>
      </c>
      <c r="E715" s="22">
        <f>IF($C715="","",IFERROR(INDEX(ENVIOS!$C$4:$C$3003,MATCH($C715,ENVIOS!$A$4:$A$3003,0)),"—"))</f>
        <v/>
      </c>
      <c r="F715" s="22">
        <f>IF($C715="","",IFERROR(INDEX(ENVIOS!$D$4:$D$3003,MATCH($C715,ENVIOS!$A$4:$A$3003,0)),"—"))</f>
        <v/>
      </c>
      <c r="G715" s="22">
        <f>IF($C715="","",IFERROR(INDEX(ENVIOS!$E$4:$E$3003,MATCH($C715,ENVIOS!$A$4:$A$3003,0)),"—"))</f>
        <v/>
      </c>
      <c r="H715" s="22">
        <f>IF($C715="","",IFERROR(INDEX(ENVIOS!$F$4:$F$3003,MATCH($C715,ENVIOS!$A$4:$A$3003,0)),"—"))</f>
        <v/>
      </c>
      <c r="I715" s="27">
        <f>IF($C715="","",IFERROR(INDEX(ENVIOS!$G$4:$G$3003,MATCH($C715,ENVIOS!$A$4:$A$3003,0)),"—"))</f>
        <v/>
      </c>
      <c r="J715" s="48">
        <f>IF($C715="","",IFERROR(INDEX(ENVIOS!$B$4:$B$3003,MATCH($C715,ENVIOS!$A$4:$A$3003,0)),""))</f>
        <v/>
      </c>
      <c r="K715" s="49" t="n"/>
      <c r="L715" s="27">
        <f>IF($K715="","",IFERROR(INDEX(CONFIG!$B$4:$B$43,MATCH($K715,CONFIG!$A$4:$A$43,0)),"Media"))</f>
        <v/>
      </c>
      <c r="M715" s="27">
        <f>IF($K715="","",IFERROR(INDEX(CONFIG!$D$4:$D$43,MATCH($K715,CONFIG!$A$4:$A$43,0)),"NO"))</f>
        <v/>
      </c>
      <c r="N715" s="49" t="n"/>
      <c r="O715" s="27">
        <f>IF($N715="","",IFERROR(INDEX(CONFIG!$G$4:$G$43,MATCH($N715,CONFIG!$F$4:$F$43,0)),"Por definir"))</f>
        <v/>
      </c>
      <c r="P715" s="27">
        <f>IF($N715="","",IFERROR(INDEX(CONFIG!$H$4:$H$43,MATCH($N715,CONFIG!$F$4:$F$43,0)),"Por definir"))</f>
        <v/>
      </c>
      <c r="Q715" s="50" t="n"/>
      <c r="R715" s="51" t="n"/>
      <c r="S715" s="49" t="n"/>
      <c r="T715" s="49" t="n"/>
      <c r="U715" s="48">
        <f>IF(OR($B715="",$K715=""),"",WORKDAY($B715,IFERROR(INDEX(CONFIG!$C$4:$C$43,MATCH($K715,CONFIG!$A$4:$A$43,0)),3)))</f>
        <v/>
      </c>
      <c r="V715" s="46" t="n"/>
      <c r="W715" s="23">
        <f>IF($B715="","",IF($V715&lt;&gt;"",$V715-$B715,TODAY()-$B715))</f>
        <v/>
      </c>
      <c r="X715" s="27">
        <f>IF($C715="","",IF(IFERROR(INDEX(CONFIG!$K$4:$K$43,MATCH($S715,CONFIG!$J$4:$J$43,0)),"NO")="SÍ",IF(OR($V715="",$U715=""),"Resuelta",IF($V715&gt;$U715,"Resuelta tarde","Resuelta a tiempo")),IF($U715="","Sin clasificar",IF(TODAY()&gt;$U715,"Vencida",IF(TODAY()&gt;=$U715-1,"Por vencer","En plazo")))))</f>
        <v/>
      </c>
      <c r="Y715" s="49" t="n"/>
      <c r="Z715" s="49" t="n"/>
    </row>
    <row r="716" ht="16" customHeight="1">
      <c r="A716" s="27">
        <f>IF($C716="","","N-"&amp;TEXT(ROW()-3,"0000"))</f>
        <v/>
      </c>
      <c r="B716" s="46" t="n"/>
      <c r="C716" s="47" t="n"/>
      <c r="D716" s="27">
        <f>IF($C716="","",IF(COUNTIFS(ENVIOS!$A$4:$A$3003,$C716)=0,"NO EXISTE",IF(COUNTIFS(ENVIOS!$A$4:$A$3003,$C716)&gt;1,"DUPLICADA","OK")))</f>
        <v/>
      </c>
      <c r="E716" s="22">
        <f>IF($C716="","",IFERROR(INDEX(ENVIOS!$C$4:$C$3003,MATCH($C716,ENVIOS!$A$4:$A$3003,0)),"—"))</f>
        <v/>
      </c>
      <c r="F716" s="22">
        <f>IF($C716="","",IFERROR(INDEX(ENVIOS!$D$4:$D$3003,MATCH($C716,ENVIOS!$A$4:$A$3003,0)),"—"))</f>
        <v/>
      </c>
      <c r="G716" s="22">
        <f>IF($C716="","",IFERROR(INDEX(ENVIOS!$E$4:$E$3003,MATCH($C716,ENVIOS!$A$4:$A$3003,0)),"—"))</f>
        <v/>
      </c>
      <c r="H716" s="22">
        <f>IF($C716="","",IFERROR(INDEX(ENVIOS!$F$4:$F$3003,MATCH($C716,ENVIOS!$A$4:$A$3003,0)),"—"))</f>
        <v/>
      </c>
      <c r="I716" s="27">
        <f>IF($C716="","",IFERROR(INDEX(ENVIOS!$G$4:$G$3003,MATCH($C716,ENVIOS!$A$4:$A$3003,0)),"—"))</f>
        <v/>
      </c>
      <c r="J716" s="48">
        <f>IF($C716="","",IFERROR(INDEX(ENVIOS!$B$4:$B$3003,MATCH($C716,ENVIOS!$A$4:$A$3003,0)),""))</f>
        <v/>
      </c>
      <c r="K716" s="49" t="n"/>
      <c r="L716" s="27">
        <f>IF($K716="","",IFERROR(INDEX(CONFIG!$B$4:$B$43,MATCH($K716,CONFIG!$A$4:$A$43,0)),"Media"))</f>
        <v/>
      </c>
      <c r="M716" s="27">
        <f>IF($K716="","",IFERROR(INDEX(CONFIG!$D$4:$D$43,MATCH($K716,CONFIG!$A$4:$A$43,0)),"NO"))</f>
        <v/>
      </c>
      <c r="N716" s="49" t="n"/>
      <c r="O716" s="27">
        <f>IF($N716="","",IFERROR(INDEX(CONFIG!$G$4:$G$43,MATCH($N716,CONFIG!$F$4:$F$43,0)),"Por definir"))</f>
        <v/>
      </c>
      <c r="P716" s="27">
        <f>IF($N716="","",IFERROR(INDEX(CONFIG!$H$4:$H$43,MATCH($N716,CONFIG!$F$4:$F$43,0)),"Por definir"))</f>
        <v/>
      </c>
      <c r="Q716" s="50" t="n"/>
      <c r="R716" s="51" t="n"/>
      <c r="S716" s="49" t="n"/>
      <c r="T716" s="49" t="n"/>
      <c r="U716" s="48">
        <f>IF(OR($B716="",$K716=""),"",WORKDAY($B716,IFERROR(INDEX(CONFIG!$C$4:$C$43,MATCH($K716,CONFIG!$A$4:$A$43,0)),3)))</f>
        <v/>
      </c>
      <c r="V716" s="46" t="n"/>
      <c r="W716" s="23">
        <f>IF($B716="","",IF($V716&lt;&gt;"",$V716-$B716,TODAY()-$B716))</f>
        <v/>
      </c>
      <c r="X716" s="27">
        <f>IF($C716="","",IF(IFERROR(INDEX(CONFIG!$K$4:$K$43,MATCH($S716,CONFIG!$J$4:$J$43,0)),"NO")="SÍ",IF(OR($V716="",$U716=""),"Resuelta",IF($V716&gt;$U716,"Resuelta tarde","Resuelta a tiempo")),IF($U716="","Sin clasificar",IF(TODAY()&gt;$U716,"Vencida",IF(TODAY()&gt;=$U716-1,"Por vencer","En plazo")))))</f>
        <v/>
      </c>
      <c r="Y716" s="49" t="n"/>
      <c r="Z716" s="49" t="n"/>
    </row>
    <row r="717" ht="16" customHeight="1">
      <c r="A717" s="27">
        <f>IF($C717="","","N-"&amp;TEXT(ROW()-3,"0000"))</f>
        <v/>
      </c>
      <c r="B717" s="46" t="n"/>
      <c r="C717" s="47" t="n"/>
      <c r="D717" s="27">
        <f>IF($C717="","",IF(COUNTIFS(ENVIOS!$A$4:$A$3003,$C717)=0,"NO EXISTE",IF(COUNTIFS(ENVIOS!$A$4:$A$3003,$C717)&gt;1,"DUPLICADA","OK")))</f>
        <v/>
      </c>
      <c r="E717" s="22">
        <f>IF($C717="","",IFERROR(INDEX(ENVIOS!$C$4:$C$3003,MATCH($C717,ENVIOS!$A$4:$A$3003,0)),"—"))</f>
        <v/>
      </c>
      <c r="F717" s="22">
        <f>IF($C717="","",IFERROR(INDEX(ENVIOS!$D$4:$D$3003,MATCH($C717,ENVIOS!$A$4:$A$3003,0)),"—"))</f>
        <v/>
      </c>
      <c r="G717" s="22">
        <f>IF($C717="","",IFERROR(INDEX(ENVIOS!$E$4:$E$3003,MATCH($C717,ENVIOS!$A$4:$A$3003,0)),"—"))</f>
        <v/>
      </c>
      <c r="H717" s="22">
        <f>IF($C717="","",IFERROR(INDEX(ENVIOS!$F$4:$F$3003,MATCH($C717,ENVIOS!$A$4:$A$3003,0)),"—"))</f>
        <v/>
      </c>
      <c r="I717" s="27">
        <f>IF($C717="","",IFERROR(INDEX(ENVIOS!$G$4:$G$3003,MATCH($C717,ENVIOS!$A$4:$A$3003,0)),"—"))</f>
        <v/>
      </c>
      <c r="J717" s="48">
        <f>IF($C717="","",IFERROR(INDEX(ENVIOS!$B$4:$B$3003,MATCH($C717,ENVIOS!$A$4:$A$3003,0)),""))</f>
        <v/>
      </c>
      <c r="K717" s="49" t="n"/>
      <c r="L717" s="27">
        <f>IF($K717="","",IFERROR(INDEX(CONFIG!$B$4:$B$43,MATCH($K717,CONFIG!$A$4:$A$43,0)),"Media"))</f>
        <v/>
      </c>
      <c r="M717" s="27">
        <f>IF($K717="","",IFERROR(INDEX(CONFIG!$D$4:$D$43,MATCH($K717,CONFIG!$A$4:$A$43,0)),"NO"))</f>
        <v/>
      </c>
      <c r="N717" s="49" t="n"/>
      <c r="O717" s="27">
        <f>IF($N717="","",IFERROR(INDEX(CONFIG!$G$4:$G$43,MATCH($N717,CONFIG!$F$4:$F$43,0)),"Por definir"))</f>
        <v/>
      </c>
      <c r="P717" s="27">
        <f>IF($N717="","",IFERROR(INDEX(CONFIG!$H$4:$H$43,MATCH($N717,CONFIG!$F$4:$F$43,0)),"Por definir"))</f>
        <v/>
      </c>
      <c r="Q717" s="50" t="n"/>
      <c r="R717" s="51" t="n"/>
      <c r="S717" s="49" t="n"/>
      <c r="T717" s="49" t="n"/>
      <c r="U717" s="48">
        <f>IF(OR($B717="",$K717=""),"",WORKDAY($B717,IFERROR(INDEX(CONFIG!$C$4:$C$43,MATCH($K717,CONFIG!$A$4:$A$43,0)),3)))</f>
        <v/>
      </c>
      <c r="V717" s="46" t="n"/>
      <c r="W717" s="23">
        <f>IF($B717="","",IF($V717&lt;&gt;"",$V717-$B717,TODAY()-$B717))</f>
        <v/>
      </c>
      <c r="X717" s="27">
        <f>IF($C717="","",IF(IFERROR(INDEX(CONFIG!$K$4:$K$43,MATCH($S717,CONFIG!$J$4:$J$43,0)),"NO")="SÍ",IF(OR($V717="",$U717=""),"Resuelta",IF($V717&gt;$U717,"Resuelta tarde","Resuelta a tiempo")),IF($U717="","Sin clasificar",IF(TODAY()&gt;$U717,"Vencida",IF(TODAY()&gt;=$U717-1,"Por vencer","En plazo")))))</f>
        <v/>
      </c>
      <c r="Y717" s="49" t="n"/>
      <c r="Z717" s="49" t="n"/>
    </row>
    <row r="718" ht="16" customHeight="1">
      <c r="A718" s="27">
        <f>IF($C718="","","N-"&amp;TEXT(ROW()-3,"0000"))</f>
        <v/>
      </c>
      <c r="B718" s="46" t="n"/>
      <c r="C718" s="47" t="n"/>
      <c r="D718" s="27">
        <f>IF($C718="","",IF(COUNTIFS(ENVIOS!$A$4:$A$3003,$C718)=0,"NO EXISTE",IF(COUNTIFS(ENVIOS!$A$4:$A$3003,$C718)&gt;1,"DUPLICADA","OK")))</f>
        <v/>
      </c>
      <c r="E718" s="22">
        <f>IF($C718="","",IFERROR(INDEX(ENVIOS!$C$4:$C$3003,MATCH($C718,ENVIOS!$A$4:$A$3003,0)),"—"))</f>
        <v/>
      </c>
      <c r="F718" s="22">
        <f>IF($C718="","",IFERROR(INDEX(ENVIOS!$D$4:$D$3003,MATCH($C718,ENVIOS!$A$4:$A$3003,0)),"—"))</f>
        <v/>
      </c>
      <c r="G718" s="22">
        <f>IF($C718="","",IFERROR(INDEX(ENVIOS!$E$4:$E$3003,MATCH($C718,ENVIOS!$A$4:$A$3003,0)),"—"))</f>
        <v/>
      </c>
      <c r="H718" s="22">
        <f>IF($C718="","",IFERROR(INDEX(ENVIOS!$F$4:$F$3003,MATCH($C718,ENVIOS!$A$4:$A$3003,0)),"—"))</f>
        <v/>
      </c>
      <c r="I718" s="27">
        <f>IF($C718="","",IFERROR(INDEX(ENVIOS!$G$4:$G$3003,MATCH($C718,ENVIOS!$A$4:$A$3003,0)),"—"))</f>
        <v/>
      </c>
      <c r="J718" s="48">
        <f>IF($C718="","",IFERROR(INDEX(ENVIOS!$B$4:$B$3003,MATCH($C718,ENVIOS!$A$4:$A$3003,0)),""))</f>
        <v/>
      </c>
      <c r="K718" s="49" t="n"/>
      <c r="L718" s="27">
        <f>IF($K718="","",IFERROR(INDEX(CONFIG!$B$4:$B$43,MATCH($K718,CONFIG!$A$4:$A$43,0)),"Media"))</f>
        <v/>
      </c>
      <c r="M718" s="27">
        <f>IF($K718="","",IFERROR(INDEX(CONFIG!$D$4:$D$43,MATCH($K718,CONFIG!$A$4:$A$43,0)),"NO"))</f>
        <v/>
      </c>
      <c r="N718" s="49" t="n"/>
      <c r="O718" s="27">
        <f>IF($N718="","",IFERROR(INDEX(CONFIG!$G$4:$G$43,MATCH($N718,CONFIG!$F$4:$F$43,0)),"Por definir"))</f>
        <v/>
      </c>
      <c r="P718" s="27">
        <f>IF($N718="","",IFERROR(INDEX(CONFIG!$H$4:$H$43,MATCH($N718,CONFIG!$F$4:$F$43,0)),"Por definir"))</f>
        <v/>
      </c>
      <c r="Q718" s="50" t="n"/>
      <c r="R718" s="51" t="n"/>
      <c r="S718" s="49" t="n"/>
      <c r="T718" s="49" t="n"/>
      <c r="U718" s="48">
        <f>IF(OR($B718="",$K718=""),"",WORKDAY($B718,IFERROR(INDEX(CONFIG!$C$4:$C$43,MATCH($K718,CONFIG!$A$4:$A$43,0)),3)))</f>
        <v/>
      </c>
      <c r="V718" s="46" t="n"/>
      <c r="W718" s="23">
        <f>IF($B718="","",IF($V718&lt;&gt;"",$V718-$B718,TODAY()-$B718))</f>
        <v/>
      </c>
      <c r="X718" s="27">
        <f>IF($C718="","",IF(IFERROR(INDEX(CONFIG!$K$4:$K$43,MATCH($S718,CONFIG!$J$4:$J$43,0)),"NO")="SÍ",IF(OR($V718="",$U718=""),"Resuelta",IF($V718&gt;$U718,"Resuelta tarde","Resuelta a tiempo")),IF($U718="","Sin clasificar",IF(TODAY()&gt;$U718,"Vencida",IF(TODAY()&gt;=$U718-1,"Por vencer","En plazo")))))</f>
        <v/>
      </c>
      <c r="Y718" s="49" t="n"/>
      <c r="Z718" s="49" t="n"/>
    </row>
    <row r="719" ht="16" customHeight="1">
      <c r="A719" s="27">
        <f>IF($C719="","","N-"&amp;TEXT(ROW()-3,"0000"))</f>
        <v/>
      </c>
      <c r="B719" s="46" t="n"/>
      <c r="C719" s="47" t="n"/>
      <c r="D719" s="27">
        <f>IF($C719="","",IF(COUNTIFS(ENVIOS!$A$4:$A$3003,$C719)=0,"NO EXISTE",IF(COUNTIFS(ENVIOS!$A$4:$A$3003,$C719)&gt;1,"DUPLICADA","OK")))</f>
        <v/>
      </c>
      <c r="E719" s="22">
        <f>IF($C719="","",IFERROR(INDEX(ENVIOS!$C$4:$C$3003,MATCH($C719,ENVIOS!$A$4:$A$3003,0)),"—"))</f>
        <v/>
      </c>
      <c r="F719" s="22">
        <f>IF($C719="","",IFERROR(INDEX(ENVIOS!$D$4:$D$3003,MATCH($C719,ENVIOS!$A$4:$A$3003,0)),"—"))</f>
        <v/>
      </c>
      <c r="G719" s="22">
        <f>IF($C719="","",IFERROR(INDEX(ENVIOS!$E$4:$E$3003,MATCH($C719,ENVIOS!$A$4:$A$3003,0)),"—"))</f>
        <v/>
      </c>
      <c r="H719" s="22">
        <f>IF($C719="","",IFERROR(INDEX(ENVIOS!$F$4:$F$3003,MATCH($C719,ENVIOS!$A$4:$A$3003,0)),"—"))</f>
        <v/>
      </c>
      <c r="I719" s="27">
        <f>IF($C719="","",IFERROR(INDEX(ENVIOS!$G$4:$G$3003,MATCH($C719,ENVIOS!$A$4:$A$3003,0)),"—"))</f>
        <v/>
      </c>
      <c r="J719" s="48">
        <f>IF($C719="","",IFERROR(INDEX(ENVIOS!$B$4:$B$3003,MATCH($C719,ENVIOS!$A$4:$A$3003,0)),""))</f>
        <v/>
      </c>
      <c r="K719" s="49" t="n"/>
      <c r="L719" s="27">
        <f>IF($K719="","",IFERROR(INDEX(CONFIG!$B$4:$B$43,MATCH($K719,CONFIG!$A$4:$A$43,0)),"Media"))</f>
        <v/>
      </c>
      <c r="M719" s="27">
        <f>IF($K719="","",IFERROR(INDEX(CONFIG!$D$4:$D$43,MATCH($K719,CONFIG!$A$4:$A$43,0)),"NO"))</f>
        <v/>
      </c>
      <c r="N719" s="49" t="n"/>
      <c r="O719" s="27">
        <f>IF($N719="","",IFERROR(INDEX(CONFIG!$G$4:$G$43,MATCH($N719,CONFIG!$F$4:$F$43,0)),"Por definir"))</f>
        <v/>
      </c>
      <c r="P719" s="27">
        <f>IF($N719="","",IFERROR(INDEX(CONFIG!$H$4:$H$43,MATCH($N719,CONFIG!$F$4:$F$43,0)),"Por definir"))</f>
        <v/>
      </c>
      <c r="Q719" s="50" t="n"/>
      <c r="R719" s="51" t="n"/>
      <c r="S719" s="49" t="n"/>
      <c r="T719" s="49" t="n"/>
      <c r="U719" s="48">
        <f>IF(OR($B719="",$K719=""),"",WORKDAY($B719,IFERROR(INDEX(CONFIG!$C$4:$C$43,MATCH($K719,CONFIG!$A$4:$A$43,0)),3)))</f>
        <v/>
      </c>
      <c r="V719" s="46" t="n"/>
      <c r="W719" s="23">
        <f>IF($B719="","",IF($V719&lt;&gt;"",$V719-$B719,TODAY()-$B719))</f>
        <v/>
      </c>
      <c r="X719" s="27">
        <f>IF($C719="","",IF(IFERROR(INDEX(CONFIG!$K$4:$K$43,MATCH($S719,CONFIG!$J$4:$J$43,0)),"NO")="SÍ",IF(OR($V719="",$U719=""),"Resuelta",IF($V719&gt;$U719,"Resuelta tarde","Resuelta a tiempo")),IF($U719="","Sin clasificar",IF(TODAY()&gt;$U719,"Vencida",IF(TODAY()&gt;=$U719-1,"Por vencer","En plazo")))))</f>
        <v/>
      </c>
      <c r="Y719" s="49" t="n"/>
      <c r="Z719" s="49" t="n"/>
    </row>
    <row r="720" ht="16" customHeight="1">
      <c r="A720" s="27">
        <f>IF($C720="","","N-"&amp;TEXT(ROW()-3,"0000"))</f>
        <v/>
      </c>
      <c r="B720" s="46" t="n"/>
      <c r="C720" s="47" t="n"/>
      <c r="D720" s="27">
        <f>IF($C720="","",IF(COUNTIFS(ENVIOS!$A$4:$A$3003,$C720)=0,"NO EXISTE",IF(COUNTIFS(ENVIOS!$A$4:$A$3003,$C720)&gt;1,"DUPLICADA","OK")))</f>
        <v/>
      </c>
      <c r="E720" s="22">
        <f>IF($C720="","",IFERROR(INDEX(ENVIOS!$C$4:$C$3003,MATCH($C720,ENVIOS!$A$4:$A$3003,0)),"—"))</f>
        <v/>
      </c>
      <c r="F720" s="22">
        <f>IF($C720="","",IFERROR(INDEX(ENVIOS!$D$4:$D$3003,MATCH($C720,ENVIOS!$A$4:$A$3003,0)),"—"))</f>
        <v/>
      </c>
      <c r="G720" s="22">
        <f>IF($C720="","",IFERROR(INDEX(ENVIOS!$E$4:$E$3003,MATCH($C720,ENVIOS!$A$4:$A$3003,0)),"—"))</f>
        <v/>
      </c>
      <c r="H720" s="22">
        <f>IF($C720="","",IFERROR(INDEX(ENVIOS!$F$4:$F$3003,MATCH($C720,ENVIOS!$A$4:$A$3003,0)),"—"))</f>
        <v/>
      </c>
      <c r="I720" s="27">
        <f>IF($C720="","",IFERROR(INDEX(ENVIOS!$G$4:$G$3003,MATCH($C720,ENVIOS!$A$4:$A$3003,0)),"—"))</f>
        <v/>
      </c>
      <c r="J720" s="48">
        <f>IF($C720="","",IFERROR(INDEX(ENVIOS!$B$4:$B$3003,MATCH($C720,ENVIOS!$A$4:$A$3003,0)),""))</f>
        <v/>
      </c>
      <c r="K720" s="49" t="n"/>
      <c r="L720" s="27">
        <f>IF($K720="","",IFERROR(INDEX(CONFIG!$B$4:$B$43,MATCH($K720,CONFIG!$A$4:$A$43,0)),"Media"))</f>
        <v/>
      </c>
      <c r="M720" s="27">
        <f>IF($K720="","",IFERROR(INDEX(CONFIG!$D$4:$D$43,MATCH($K720,CONFIG!$A$4:$A$43,0)),"NO"))</f>
        <v/>
      </c>
      <c r="N720" s="49" t="n"/>
      <c r="O720" s="27">
        <f>IF($N720="","",IFERROR(INDEX(CONFIG!$G$4:$G$43,MATCH($N720,CONFIG!$F$4:$F$43,0)),"Por definir"))</f>
        <v/>
      </c>
      <c r="P720" s="27">
        <f>IF($N720="","",IFERROR(INDEX(CONFIG!$H$4:$H$43,MATCH($N720,CONFIG!$F$4:$F$43,0)),"Por definir"))</f>
        <v/>
      </c>
      <c r="Q720" s="50" t="n"/>
      <c r="R720" s="51" t="n"/>
      <c r="S720" s="49" t="n"/>
      <c r="T720" s="49" t="n"/>
      <c r="U720" s="48">
        <f>IF(OR($B720="",$K720=""),"",WORKDAY($B720,IFERROR(INDEX(CONFIG!$C$4:$C$43,MATCH($K720,CONFIG!$A$4:$A$43,0)),3)))</f>
        <v/>
      </c>
      <c r="V720" s="46" t="n"/>
      <c r="W720" s="23">
        <f>IF($B720="","",IF($V720&lt;&gt;"",$V720-$B720,TODAY()-$B720))</f>
        <v/>
      </c>
      <c r="X720" s="27">
        <f>IF($C720="","",IF(IFERROR(INDEX(CONFIG!$K$4:$K$43,MATCH($S720,CONFIG!$J$4:$J$43,0)),"NO")="SÍ",IF(OR($V720="",$U720=""),"Resuelta",IF($V720&gt;$U720,"Resuelta tarde","Resuelta a tiempo")),IF($U720="","Sin clasificar",IF(TODAY()&gt;$U720,"Vencida",IF(TODAY()&gt;=$U720-1,"Por vencer","En plazo")))))</f>
        <v/>
      </c>
      <c r="Y720" s="49" t="n"/>
      <c r="Z720" s="49" t="n"/>
    </row>
    <row r="721" ht="16" customHeight="1">
      <c r="A721" s="27">
        <f>IF($C721="","","N-"&amp;TEXT(ROW()-3,"0000"))</f>
        <v/>
      </c>
      <c r="B721" s="46" t="n"/>
      <c r="C721" s="47" t="n"/>
      <c r="D721" s="27">
        <f>IF($C721="","",IF(COUNTIFS(ENVIOS!$A$4:$A$3003,$C721)=0,"NO EXISTE",IF(COUNTIFS(ENVIOS!$A$4:$A$3003,$C721)&gt;1,"DUPLICADA","OK")))</f>
        <v/>
      </c>
      <c r="E721" s="22">
        <f>IF($C721="","",IFERROR(INDEX(ENVIOS!$C$4:$C$3003,MATCH($C721,ENVIOS!$A$4:$A$3003,0)),"—"))</f>
        <v/>
      </c>
      <c r="F721" s="22">
        <f>IF($C721="","",IFERROR(INDEX(ENVIOS!$D$4:$D$3003,MATCH($C721,ENVIOS!$A$4:$A$3003,0)),"—"))</f>
        <v/>
      </c>
      <c r="G721" s="22">
        <f>IF($C721="","",IFERROR(INDEX(ENVIOS!$E$4:$E$3003,MATCH($C721,ENVIOS!$A$4:$A$3003,0)),"—"))</f>
        <v/>
      </c>
      <c r="H721" s="22">
        <f>IF($C721="","",IFERROR(INDEX(ENVIOS!$F$4:$F$3003,MATCH($C721,ENVIOS!$A$4:$A$3003,0)),"—"))</f>
        <v/>
      </c>
      <c r="I721" s="27">
        <f>IF($C721="","",IFERROR(INDEX(ENVIOS!$G$4:$G$3003,MATCH($C721,ENVIOS!$A$4:$A$3003,0)),"—"))</f>
        <v/>
      </c>
      <c r="J721" s="48">
        <f>IF($C721="","",IFERROR(INDEX(ENVIOS!$B$4:$B$3003,MATCH($C721,ENVIOS!$A$4:$A$3003,0)),""))</f>
        <v/>
      </c>
      <c r="K721" s="49" t="n"/>
      <c r="L721" s="27">
        <f>IF($K721="","",IFERROR(INDEX(CONFIG!$B$4:$B$43,MATCH($K721,CONFIG!$A$4:$A$43,0)),"Media"))</f>
        <v/>
      </c>
      <c r="M721" s="27">
        <f>IF($K721="","",IFERROR(INDEX(CONFIG!$D$4:$D$43,MATCH($K721,CONFIG!$A$4:$A$43,0)),"NO"))</f>
        <v/>
      </c>
      <c r="N721" s="49" t="n"/>
      <c r="O721" s="27">
        <f>IF($N721="","",IFERROR(INDEX(CONFIG!$G$4:$G$43,MATCH($N721,CONFIG!$F$4:$F$43,0)),"Por definir"))</f>
        <v/>
      </c>
      <c r="P721" s="27">
        <f>IF($N721="","",IFERROR(INDEX(CONFIG!$H$4:$H$43,MATCH($N721,CONFIG!$F$4:$F$43,0)),"Por definir"))</f>
        <v/>
      </c>
      <c r="Q721" s="50" t="n"/>
      <c r="R721" s="51" t="n"/>
      <c r="S721" s="49" t="n"/>
      <c r="T721" s="49" t="n"/>
      <c r="U721" s="48">
        <f>IF(OR($B721="",$K721=""),"",WORKDAY($B721,IFERROR(INDEX(CONFIG!$C$4:$C$43,MATCH($K721,CONFIG!$A$4:$A$43,0)),3)))</f>
        <v/>
      </c>
      <c r="V721" s="46" t="n"/>
      <c r="W721" s="23">
        <f>IF($B721="","",IF($V721&lt;&gt;"",$V721-$B721,TODAY()-$B721))</f>
        <v/>
      </c>
      <c r="X721" s="27">
        <f>IF($C721="","",IF(IFERROR(INDEX(CONFIG!$K$4:$K$43,MATCH($S721,CONFIG!$J$4:$J$43,0)),"NO")="SÍ",IF(OR($V721="",$U721=""),"Resuelta",IF($V721&gt;$U721,"Resuelta tarde","Resuelta a tiempo")),IF($U721="","Sin clasificar",IF(TODAY()&gt;$U721,"Vencida",IF(TODAY()&gt;=$U721-1,"Por vencer","En plazo")))))</f>
        <v/>
      </c>
      <c r="Y721" s="49" t="n"/>
      <c r="Z721" s="49" t="n"/>
    </row>
    <row r="722" ht="16" customHeight="1">
      <c r="A722" s="27">
        <f>IF($C722="","","N-"&amp;TEXT(ROW()-3,"0000"))</f>
        <v/>
      </c>
      <c r="B722" s="46" t="n"/>
      <c r="C722" s="47" t="n"/>
      <c r="D722" s="27">
        <f>IF($C722="","",IF(COUNTIFS(ENVIOS!$A$4:$A$3003,$C722)=0,"NO EXISTE",IF(COUNTIFS(ENVIOS!$A$4:$A$3003,$C722)&gt;1,"DUPLICADA","OK")))</f>
        <v/>
      </c>
      <c r="E722" s="22">
        <f>IF($C722="","",IFERROR(INDEX(ENVIOS!$C$4:$C$3003,MATCH($C722,ENVIOS!$A$4:$A$3003,0)),"—"))</f>
        <v/>
      </c>
      <c r="F722" s="22">
        <f>IF($C722="","",IFERROR(INDEX(ENVIOS!$D$4:$D$3003,MATCH($C722,ENVIOS!$A$4:$A$3003,0)),"—"))</f>
        <v/>
      </c>
      <c r="G722" s="22">
        <f>IF($C722="","",IFERROR(INDEX(ENVIOS!$E$4:$E$3003,MATCH($C722,ENVIOS!$A$4:$A$3003,0)),"—"))</f>
        <v/>
      </c>
      <c r="H722" s="22">
        <f>IF($C722="","",IFERROR(INDEX(ENVIOS!$F$4:$F$3003,MATCH($C722,ENVIOS!$A$4:$A$3003,0)),"—"))</f>
        <v/>
      </c>
      <c r="I722" s="27">
        <f>IF($C722="","",IFERROR(INDEX(ENVIOS!$G$4:$G$3003,MATCH($C722,ENVIOS!$A$4:$A$3003,0)),"—"))</f>
        <v/>
      </c>
      <c r="J722" s="48">
        <f>IF($C722="","",IFERROR(INDEX(ENVIOS!$B$4:$B$3003,MATCH($C722,ENVIOS!$A$4:$A$3003,0)),""))</f>
        <v/>
      </c>
      <c r="K722" s="49" t="n"/>
      <c r="L722" s="27">
        <f>IF($K722="","",IFERROR(INDEX(CONFIG!$B$4:$B$43,MATCH($K722,CONFIG!$A$4:$A$43,0)),"Media"))</f>
        <v/>
      </c>
      <c r="M722" s="27">
        <f>IF($K722="","",IFERROR(INDEX(CONFIG!$D$4:$D$43,MATCH($K722,CONFIG!$A$4:$A$43,0)),"NO"))</f>
        <v/>
      </c>
      <c r="N722" s="49" t="n"/>
      <c r="O722" s="27">
        <f>IF($N722="","",IFERROR(INDEX(CONFIG!$G$4:$G$43,MATCH($N722,CONFIG!$F$4:$F$43,0)),"Por definir"))</f>
        <v/>
      </c>
      <c r="P722" s="27">
        <f>IF($N722="","",IFERROR(INDEX(CONFIG!$H$4:$H$43,MATCH($N722,CONFIG!$F$4:$F$43,0)),"Por definir"))</f>
        <v/>
      </c>
      <c r="Q722" s="50" t="n"/>
      <c r="R722" s="51" t="n"/>
      <c r="S722" s="49" t="n"/>
      <c r="T722" s="49" t="n"/>
      <c r="U722" s="48">
        <f>IF(OR($B722="",$K722=""),"",WORKDAY($B722,IFERROR(INDEX(CONFIG!$C$4:$C$43,MATCH($K722,CONFIG!$A$4:$A$43,0)),3)))</f>
        <v/>
      </c>
      <c r="V722" s="46" t="n"/>
      <c r="W722" s="23">
        <f>IF($B722="","",IF($V722&lt;&gt;"",$V722-$B722,TODAY()-$B722))</f>
        <v/>
      </c>
      <c r="X722" s="27">
        <f>IF($C722="","",IF(IFERROR(INDEX(CONFIG!$K$4:$K$43,MATCH($S722,CONFIG!$J$4:$J$43,0)),"NO")="SÍ",IF(OR($V722="",$U722=""),"Resuelta",IF($V722&gt;$U722,"Resuelta tarde","Resuelta a tiempo")),IF($U722="","Sin clasificar",IF(TODAY()&gt;$U722,"Vencida",IF(TODAY()&gt;=$U722-1,"Por vencer","En plazo")))))</f>
        <v/>
      </c>
      <c r="Y722" s="49" t="n"/>
      <c r="Z722" s="49" t="n"/>
    </row>
    <row r="723" ht="16" customHeight="1">
      <c r="A723" s="27">
        <f>IF($C723="","","N-"&amp;TEXT(ROW()-3,"0000"))</f>
        <v/>
      </c>
      <c r="B723" s="46" t="n"/>
      <c r="C723" s="47" t="n"/>
      <c r="D723" s="27">
        <f>IF($C723="","",IF(COUNTIFS(ENVIOS!$A$4:$A$3003,$C723)=0,"NO EXISTE",IF(COUNTIFS(ENVIOS!$A$4:$A$3003,$C723)&gt;1,"DUPLICADA","OK")))</f>
        <v/>
      </c>
      <c r="E723" s="22">
        <f>IF($C723="","",IFERROR(INDEX(ENVIOS!$C$4:$C$3003,MATCH($C723,ENVIOS!$A$4:$A$3003,0)),"—"))</f>
        <v/>
      </c>
      <c r="F723" s="22">
        <f>IF($C723="","",IFERROR(INDEX(ENVIOS!$D$4:$D$3003,MATCH($C723,ENVIOS!$A$4:$A$3003,0)),"—"))</f>
        <v/>
      </c>
      <c r="G723" s="22">
        <f>IF($C723="","",IFERROR(INDEX(ENVIOS!$E$4:$E$3003,MATCH($C723,ENVIOS!$A$4:$A$3003,0)),"—"))</f>
        <v/>
      </c>
      <c r="H723" s="22">
        <f>IF($C723="","",IFERROR(INDEX(ENVIOS!$F$4:$F$3003,MATCH($C723,ENVIOS!$A$4:$A$3003,0)),"—"))</f>
        <v/>
      </c>
      <c r="I723" s="27">
        <f>IF($C723="","",IFERROR(INDEX(ENVIOS!$G$4:$G$3003,MATCH($C723,ENVIOS!$A$4:$A$3003,0)),"—"))</f>
        <v/>
      </c>
      <c r="J723" s="48">
        <f>IF($C723="","",IFERROR(INDEX(ENVIOS!$B$4:$B$3003,MATCH($C723,ENVIOS!$A$4:$A$3003,0)),""))</f>
        <v/>
      </c>
      <c r="K723" s="49" t="n"/>
      <c r="L723" s="27">
        <f>IF($K723="","",IFERROR(INDEX(CONFIG!$B$4:$B$43,MATCH($K723,CONFIG!$A$4:$A$43,0)),"Media"))</f>
        <v/>
      </c>
      <c r="M723" s="27">
        <f>IF($K723="","",IFERROR(INDEX(CONFIG!$D$4:$D$43,MATCH($K723,CONFIG!$A$4:$A$43,0)),"NO"))</f>
        <v/>
      </c>
      <c r="N723" s="49" t="n"/>
      <c r="O723" s="27">
        <f>IF($N723="","",IFERROR(INDEX(CONFIG!$G$4:$G$43,MATCH($N723,CONFIG!$F$4:$F$43,0)),"Por definir"))</f>
        <v/>
      </c>
      <c r="P723" s="27">
        <f>IF($N723="","",IFERROR(INDEX(CONFIG!$H$4:$H$43,MATCH($N723,CONFIG!$F$4:$F$43,0)),"Por definir"))</f>
        <v/>
      </c>
      <c r="Q723" s="50" t="n"/>
      <c r="R723" s="51" t="n"/>
      <c r="S723" s="49" t="n"/>
      <c r="T723" s="49" t="n"/>
      <c r="U723" s="48">
        <f>IF(OR($B723="",$K723=""),"",WORKDAY($B723,IFERROR(INDEX(CONFIG!$C$4:$C$43,MATCH($K723,CONFIG!$A$4:$A$43,0)),3)))</f>
        <v/>
      </c>
      <c r="V723" s="46" t="n"/>
      <c r="W723" s="23">
        <f>IF($B723="","",IF($V723&lt;&gt;"",$V723-$B723,TODAY()-$B723))</f>
        <v/>
      </c>
      <c r="X723" s="27">
        <f>IF($C723="","",IF(IFERROR(INDEX(CONFIG!$K$4:$K$43,MATCH($S723,CONFIG!$J$4:$J$43,0)),"NO")="SÍ",IF(OR($V723="",$U723=""),"Resuelta",IF($V723&gt;$U723,"Resuelta tarde","Resuelta a tiempo")),IF($U723="","Sin clasificar",IF(TODAY()&gt;$U723,"Vencida",IF(TODAY()&gt;=$U723-1,"Por vencer","En plazo")))))</f>
        <v/>
      </c>
      <c r="Y723" s="49" t="n"/>
      <c r="Z723" s="49" t="n"/>
    </row>
    <row r="724" ht="16" customHeight="1">
      <c r="A724" s="27">
        <f>IF($C724="","","N-"&amp;TEXT(ROW()-3,"0000"))</f>
        <v/>
      </c>
      <c r="B724" s="46" t="n"/>
      <c r="C724" s="47" t="n"/>
      <c r="D724" s="27">
        <f>IF($C724="","",IF(COUNTIFS(ENVIOS!$A$4:$A$3003,$C724)=0,"NO EXISTE",IF(COUNTIFS(ENVIOS!$A$4:$A$3003,$C724)&gt;1,"DUPLICADA","OK")))</f>
        <v/>
      </c>
      <c r="E724" s="22">
        <f>IF($C724="","",IFERROR(INDEX(ENVIOS!$C$4:$C$3003,MATCH($C724,ENVIOS!$A$4:$A$3003,0)),"—"))</f>
        <v/>
      </c>
      <c r="F724" s="22">
        <f>IF($C724="","",IFERROR(INDEX(ENVIOS!$D$4:$D$3003,MATCH($C724,ENVIOS!$A$4:$A$3003,0)),"—"))</f>
        <v/>
      </c>
      <c r="G724" s="22">
        <f>IF($C724="","",IFERROR(INDEX(ENVIOS!$E$4:$E$3003,MATCH($C724,ENVIOS!$A$4:$A$3003,0)),"—"))</f>
        <v/>
      </c>
      <c r="H724" s="22">
        <f>IF($C724="","",IFERROR(INDEX(ENVIOS!$F$4:$F$3003,MATCH($C724,ENVIOS!$A$4:$A$3003,0)),"—"))</f>
        <v/>
      </c>
      <c r="I724" s="27">
        <f>IF($C724="","",IFERROR(INDEX(ENVIOS!$G$4:$G$3003,MATCH($C724,ENVIOS!$A$4:$A$3003,0)),"—"))</f>
        <v/>
      </c>
      <c r="J724" s="48">
        <f>IF($C724="","",IFERROR(INDEX(ENVIOS!$B$4:$B$3003,MATCH($C724,ENVIOS!$A$4:$A$3003,0)),""))</f>
        <v/>
      </c>
      <c r="K724" s="49" t="n"/>
      <c r="L724" s="27">
        <f>IF($K724="","",IFERROR(INDEX(CONFIG!$B$4:$B$43,MATCH($K724,CONFIG!$A$4:$A$43,0)),"Media"))</f>
        <v/>
      </c>
      <c r="M724" s="27">
        <f>IF($K724="","",IFERROR(INDEX(CONFIG!$D$4:$D$43,MATCH($K724,CONFIG!$A$4:$A$43,0)),"NO"))</f>
        <v/>
      </c>
      <c r="N724" s="49" t="n"/>
      <c r="O724" s="27">
        <f>IF($N724="","",IFERROR(INDEX(CONFIG!$G$4:$G$43,MATCH($N724,CONFIG!$F$4:$F$43,0)),"Por definir"))</f>
        <v/>
      </c>
      <c r="P724" s="27">
        <f>IF($N724="","",IFERROR(INDEX(CONFIG!$H$4:$H$43,MATCH($N724,CONFIG!$F$4:$F$43,0)),"Por definir"))</f>
        <v/>
      </c>
      <c r="Q724" s="50" t="n"/>
      <c r="R724" s="51" t="n"/>
      <c r="S724" s="49" t="n"/>
      <c r="T724" s="49" t="n"/>
      <c r="U724" s="48">
        <f>IF(OR($B724="",$K724=""),"",WORKDAY($B724,IFERROR(INDEX(CONFIG!$C$4:$C$43,MATCH($K724,CONFIG!$A$4:$A$43,0)),3)))</f>
        <v/>
      </c>
      <c r="V724" s="46" t="n"/>
      <c r="W724" s="23">
        <f>IF($B724="","",IF($V724&lt;&gt;"",$V724-$B724,TODAY()-$B724))</f>
        <v/>
      </c>
      <c r="X724" s="27">
        <f>IF($C724="","",IF(IFERROR(INDEX(CONFIG!$K$4:$K$43,MATCH($S724,CONFIG!$J$4:$J$43,0)),"NO")="SÍ",IF(OR($V724="",$U724=""),"Resuelta",IF($V724&gt;$U724,"Resuelta tarde","Resuelta a tiempo")),IF($U724="","Sin clasificar",IF(TODAY()&gt;$U724,"Vencida",IF(TODAY()&gt;=$U724-1,"Por vencer","En plazo")))))</f>
        <v/>
      </c>
      <c r="Y724" s="49" t="n"/>
      <c r="Z724" s="49" t="n"/>
    </row>
    <row r="725" ht="16" customHeight="1">
      <c r="A725" s="27">
        <f>IF($C725="","","N-"&amp;TEXT(ROW()-3,"0000"))</f>
        <v/>
      </c>
      <c r="B725" s="46" t="n"/>
      <c r="C725" s="47" t="n"/>
      <c r="D725" s="27">
        <f>IF($C725="","",IF(COUNTIFS(ENVIOS!$A$4:$A$3003,$C725)=0,"NO EXISTE",IF(COUNTIFS(ENVIOS!$A$4:$A$3003,$C725)&gt;1,"DUPLICADA","OK")))</f>
        <v/>
      </c>
      <c r="E725" s="22">
        <f>IF($C725="","",IFERROR(INDEX(ENVIOS!$C$4:$C$3003,MATCH($C725,ENVIOS!$A$4:$A$3003,0)),"—"))</f>
        <v/>
      </c>
      <c r="F725" s="22">
        <f>IF($C725="","",IFERROR(INDEX(ENVIOS!$D$4:$D$3003,MATCH($C725,ENVIOS!$A$4:$A$3003,0)),"—"))</f>
        <v/>
      </c>
      <c r="G725" s="22">
        <f>IF($C725="","",IFERROR(INDEX(ENVIOS!$E$4:$E$3003,MATCH($C725,ENVIOS!$A$4:$A$3003,0)),"—"))</f>
        <v/>
      </c>
      <c r="H725" s="22">
        <f>IF($C725="","",IFERROR(INDEX(ENVIOS!$F$4:$F$3003,MATCH($C725,ENVIOS!$A$4:$A$3003,0)),"—"))</f>
        <v/>
      </c>
      <c r="I725" s="27">
        <f>IF($C725="","",IFERROR(INDEX(ENVIOS!$G$4:$G$3003,MATCH($C725,ENVIOS!$A$4:$A$3003,0)),"—"))</f>
        <v/>
      </c>
      <c r="J725" s="48">
        <f>IF($C725="","",IFERROR(INDEX(ENVIOS!$B$4:$B$3003,MATCH($C725,ENVIOS!$A$4:$A$3003,0)),""))</f>
        <v/>
      </c>
      <c r="K725" s="49" t="n"/>
      <c r="L725" s="27">
        <f>IF($K725="","",IFERROR(INDEX(CONFIG!$B$4:$B$43,MATCH($K725,CONFIG!$A$4:$A$43,0)),"Media"))</f>
        <v/>
      </c>
      <c r="M725" s="27">
        <f>IF($K725="","",IFERROR(INDEX(CONFIG!$D$4:$D$43,MATCH($K725,CONFIG!$A$4:$A$43,0)),"NO"))</f>
        <v/>
      </c>
      <c r="N725" s="49" t="n"/>
      <c r="O725" s="27">
        <f>IF($N725="","",IFERROR(INDEX(CONFIG!$G$4:$G$43,MATCH($N725,CONFIG!$F$4:$F$43,0)),"Por definir"))</f>
        <v/>
      </c>
      <c r="P725" s="27">
        <f>IF($N725="","",IFERROR(INDEX(CONFIG!$H$4:$H$43,MATCH($N725,CONFIG!$F$4:$F$43,0)),"Por definir"))</f>
        <v/>
      </c>
      <c r="Q725" s="50" t="n"/>
      <c r="R725" s="51" t="n"/>
      <c r="S725" s="49" t="n"/>
      <c r="T725" s="49" t="n"/>
      <c r="U725" s="48">
        <f>IF(OR($B725="",$K725=""),"",WORKDAY($B725,IFERROR(INDEX(CONFIG!$C$4:$C$43,MATCH($K725,CONFIG!$A$4:$A$43,0)),3)))</f>
        <v/>
      </c>
      <c r="V725" s="46" t="n"/>
      <c r="W725" s="23">
        <f>IF($B725="","",IF($V725&lt;&gt;"",$V725-$B725,TODAY()-$B725))</f>
        <v/>
      </c>
      <c r="X725" s="27">
        <f>IF($C725="","",IF(IFERROR(INDEX(CONFIG!$K$4:$K$43,MATCH($S725,CONFIG!$J$4:$J$43,0)),"NO")="SÍ",IF(OR($V725="",$U725=""),"Resuelta",IF($V725&gt;$U725,"Resuelta tarde","Resuelta a tiempo")),IF($U725="","Sin clasificar",IF(TODAY()&gt;$U725,"Vencida",IF(TODAY()&gt;=$U725-1,"Por vencer","En plazo")))))</f>
        <v/>
      </c>
      <c r="Y725" s="49" t="n"/>
      <c r="Z725" s="49" t="n"/>
    </row>
    <row r="726" ht="16" customHeight="1">
      <c r="A726" s="27">
        <f>IF($C726="","","N-"&amp;TEXT(ROW()-3,"0000"))</f>
        <v/>
      </c>
      <c r="B726" s="46" t="n"/>
      <c r="C726" s="47" t="n"/>
      <c r="D726" s="27">
        <f>IF($C726="","",IF(COUNTIFS(ENVIOS!$A$4:$A$3003,$C726)=0,"NO EXISTE",IF(COUNTIFS(ENVIOS!$A$4:$A$3003,$C726)&gt;1,"DUPLICADA","OK")))</f>
        <v/>
      </c>
      <c r="E726" s="22">
        <f>IF($C726="","",IFERROR(INDEX(ENVIOS!$C$4:$C$3003,MATCH($C726,ENVIOS!$A$4:$A$3003,0)),"—"))</f>
        <v/>
      </c>
      <c r="F726" s="22">
        <f>IF($C726="","",IFERROR(INDEX(ENVIOS!$D$4:$D$3003,MATCH($C726,ENVIOS!$A$4:$A$3003,0)),"—"))</f>
        <v/>
      </c>
      <c r="G726" s="22">
        <f>IF($C726="","",IFERROR(INDEX(ENVIOS!$E$4:$E$3003,MATCH($C726,ENVIOS!$A$4:$A$3003,0)),"—"))</f>
        <v/>
      </c>
      <c r="H726" s="22">
        <f>IF($C726="","",IFERROR(INDEX(ENVIOS!$F$4:$F$3003,MATCH($C726,ENVIOS!$A$4:$A$3003,0)),"—"))</f>
        <v/>
      </c>
      <c r="I726" s="27">
        <f>IF($C726="","",IFERROR(INDEX(ENVIOS!$G$4:$G$3003,MATCH($C726,ENVIOS!$A$4:$A$3003,0)),"—"))</f>
        <v/>
      </c>
      <c r="J726" s="48">
        <f>IF($C726="","",IFERROR(INDEX(ENVIOS!$B$4:$B$3003,MATCH($C726,ENVIOS!$A$4:$A$3003,0)),""))</f>
        <v/>
      </c>
      <c r="K726" s="49" t="n"/>
      <c r="L726" s="27">
        <f>IF($K726="","",IFERROR(INDEX(CONFIG!$B$4:$B$43,MATCH($K726,CONFIG!$A$4:$A$43,0)),"Media"))</f>
        <v/>
      </c>
      <c r="M726" s="27">
        <f>IF($K726="","",IFERROR(INDEX(CONFIG!$D$4:$D$43,MATCH($K726,CONFIG!$A$4:$A$43,0)),"NO"))</f>
        <v/>
      </c>
      <c r="N726" s="49" t="n"/>
      <c r="O726" s="27">
        <f>IF($N726="","",IFERROR(INDEX(CONFIG!$G$4:$G$43,MATCH($N726,CONFIG!$F$4:$F$43,0)),"Por definir"))</f>
        <v/>
      </c>
      <c r="P726" s="27">
        <f>IF($N726="","",IFERROR(INDEX(CONFIG!$H$4:$H$43,MATCH($N726,CONFIG!$F$4:$F$43,0)),"Por definir"))</f>
        <v/>
      </c>
      <c r="Q726" s="50" t="n"/>
      <c r="R726" s="51" t="n"/>
      <c r="S726" s="49" t="n"/>
      <c r="T726" s="49" t="n"/>
      <c r="U726" s="48">
        <f>IF(OR($B726="",$K726=""),"",WORKDAY($B726,IFERROR(INDEX(CONFIG!$C$4:$C$43,MATCH($K726,CONFIG!$A$4:$A$43,0)),3)))</f>
        <v/>
      </c>
      <c r="V726" s="46" t="n"/>
      <c r="W726" s="23">
        <f>IF($B726="","",IF($V726&lt;&gt;"",$V726-$B726,TODAY()-$B726))</f>
        <v/>
      </c>
      <c r="X726" s="27">
        <f>IF($C726="","",IF(IFERROR(INDEX(CONFIG!$K$4:$K$43,MATCH($S726,CONFIG!$J$4:$J$43,0)),"NO")="SÍ",IF(OR($V726="",$U726=""),"Resuelta",IF($V726&gt;$U726,"Resuelta tarde","Resuelta a tiempo")),IF($U726="","Sin clasificar",IF(TODAY()&gt;$U726,"Vencida",IF(TODAY()&gt;=$U726-1,"Por vencer","En plazo")))))</f>
        <v/>
      </c>
      <c r="Y726" s="49" t="n"/>
      <c r="Z726" s="49" t="n"/>
    </row>
    <row r="727" ht="16" customHeight="1">
      <c r="A727" s="27">
        <f>IF($C727="","","N-"&amp;TEXT(ROW()-3,"0000"))</f>
        <v/>
      </c>
      <c r="B727" s="46" t="n"/>
      <c r="C727" s="47" t="n"/>
      <c r="D727" s="27">
        <f>IF($C727="","",IF(COUNTIFS(ENVIOS!$A$4:$A$3003,$C727)=0,"NO EXISTE",IF(COUNTIFS(ENVIOS!$A$4:$A$3003,$C727)&gt;1,"DUPLICADA","OK")))</f>
        <v/>
      </c>
      <c r="E727" s="22">
        <f>IF($C727="","",IFERROR(INDEX(ENVIOS!$C$4:$C$3003,MATCH($C727,ENVIOS!$A$4:$A$3003,0)),"—"))</f>
        <v/>
      </c>
      <c r="F727" s="22">
        <f>IF($C727="","",IFERROR(INDEX(ENVIOS!$D$4:$D$3003,MATCH($C727,ENVIOS!$A$4:$A$3003,0)),"—"))</f>
        <v/>
      </c>
      <c r="G727" s="22">
        <f>IF($C727="","",IFERROR(INDEX(ENVIOS!$E$4:$E$3003,MATCH($C727,ENVIOS!$A$4:$A$3003,0)),"—"))</f>
        <v/>
      </c>
      <c r="H727" s="22">
        <f>IF($C727="","",IFERROR(INDEX(ENVIOS!$F$4:$F$3003,MATCH($C727,ENVIOS!$A$4:$A$3003,0)),"—"))</f>
        <v/>
      </c>
      <c r="I727" s="27">
        <f>IF($C727="","",IFERROR(INDEX(ENVIOS!$G$4:$G$3003,MATCH($C727,ENVIOS!$A$4:$A$3003,0)),"—"))</f>
        <v/>
      </c>
      <c r="J727" s="48">
        <f>IF($C727="","",IFERROR(INDEX(ENVIOS!$B$4:$B$3003,MATCH($C727,ENVIOS!$A$4:$A$3003,0)),""))</f>
        <v/>
      </c>
      <c r="K727" s="49" t="n"/>
      <c r="L727" s="27">
        <f>IF($K727="","",IFERROR(INDEX(CONFIG!$B$4:$B$43,MATCH($K727,CONFIG!$A$4:$A$43,0)),"Media"))</f>
        <v/>
      </c>
      <c r="M727" s="27">
        <f>IF($K727="","",IFERROR(INDEX(CONFIG!$D$4:$D$43,MATCH($K727,CONFIG!$A$4:$A$43,0)),"NO"))</f>
        <v/>
      </c>
      <c r="N727" s="49" t="n"/>
      <c r="O727" s="27">
        <f>IF($N727="","",IFERROR(INDEX(CONFIG!$G$4:$G$43,MATCH($N727,CONFIG!$F$4:$F$43,0)),"Por definir"))</f>
        <v/>
      </c>
      <c r="P727" s="27">
        <f>IF($N727="","",IFERROR(INDEX(CONFIG!$H$4:$H$43,MATCH($N727,CONFIG!$F$4:$F$43,0)),"Por definir"))</f>
        <v/>
      </c>
      <c r="Q727" s="50" t="n"/>
      <c r="R727" s="51" t="n"/>
      <c r="S727" s="49" t="n"/>
      <c r="T727" s="49" t="n"/>
      <c r="U727" s="48">
        <f>IF(OR($B727="",$K727=""),"",WORKDAY($B727,IFERROR(INDEX(CONFIG!$C$4:$C$43,MATCH($K727,CONFIG!$A$4:$A$43,0)),3)))</f>
        <v/>
      </c>
      <c r="V727" s="46" t="n"/>
      <c r="W727" s="23">
        <f>IF($B727="","",IF($V727&lt;&gt;"",$V727-$B727,TODAY()-$B727))</f>
        <v/>
      </c>
      <c r="X727" s="27">
        <f>IF($C727="","",IF(IFERROR(INDEX(CONFIG!$K$4:$K$43,MATCH($S727,CONFIG!$J$4:$J$43,0)),"NO")="SÍ",IF(OR($V727="",$U727=""),"Resuelta",IF($V727&gt;$U727,"Resuelta tarde","Resuelta a tiempo")),IF($U727="","Sin clasificar",IF(TODAY()&gt;$U727,"Vencida",IF(TODAY()&gt;=$U727-1,"Por vencer","En plazo")))))</f>
        <v/>
      </c>
      <c r="Y727" s="49" t="n"/>
      <c r="Z727" s="49" t="n"/>
    </row>
    <row r="728" ht="16" customHeight="1">
      <c r="A728" s="27">
        <f>IF($C728="","","N-"&amp;TEXT(ROW()-3,"0000"))</f>
        <v/>
      </c>
      <c r="B728" s="46" t="n"/>
      <c r="C728" s="47" t="n"/>
      <c r="D728" s="27">
        <f>IF($C728="","",IF(COUNTIFS(ENVIOS!$A$4:$A$3003,$C728)=0,"NO EXISTE",IF(COUNTIFS(ENVIOS!$A$4:$A$3003,$C728)&gt;1,"DUPLICADA","OK")))</f>
        <v/>
      </c>
      <c r="E728" s="22">
        <f>IF($C728="","",IFERROR(INDEX(ENVIOS!$C$4:$C$3003,MATCH($C728,ENVIOS!$A$4:$A$3003,0)),"—"))</f>
        <v/>
      </c>
      <c r="F728" s="22">
        <f>IF($C728="","",IFERROR(INDEX(ENVIOS!$D$4:$D$3003,MATCH($C728,ENVIOS!$A$4:$A$3003,0)),"—"))</f>
        <v/>
      </c>
      <c r="G728" s="22">
        <f>IF($C728="","",IFERROR(INDEX(ENVIOS!$E$4:$E$3003,MATCH($C728,ENVIOS!$A$4:$A$3003,0)),"—"))</f>
        <v/>
      </c>
      <c r="H728" s="22">
        <f>IF($C728="","",IFERROR(INDEX(ENVIOS!$F$4:$F$3003,MATCH($C728,ENVIOS!$A$4:$A$3003,0)),"—"))</f>
        <v/>
      </c>
      <c r="I728" s="27">
        <f>IF($C728="","",IFERROR(INDEX(ENVIOS!$G$4:$G$3003,MATCH($C728,ENVIOS!$A$4:$A$3003,0)),"—"))</f>
        <v/>
      </c>
      <c r="J728" s="48">
        <f>IF($C728="","",IFERROR(INDEX(ENVIOS!$B$4:$B$3003,MATCH($C728,ENVIOS!$A$4:$A$3003,0)),""))</f>
        <v/>
      </c>
      <c r="K728" s="49" t="n"/>
      <c r="L728" s="27">
        <f>IF($K728="","",IFERROR(INDEX(CONFIG!$B$4:$B$43,MATCH($K728,CONFIG!$A$4:$A$43,0)),"Media"))</f>
        <v/>
      </c>
      <c r="M728" s="27">
        <f>IF($K728="","",IFERROR(INDEX(CONFIG!$D$4:$D$43,MATCH($K728,CONFIG!$A$4:$A$43,0)),"NO"))</f>
        <v/>
      </c>
      <c r="N728" s="49" t="n"/>
      <c r="O728" s="27">
        <f>IF($N728="","",IFERROR(INDEX(CONFIG!$G$4:$G$43,MATCH($N728,CONFIG!$F$4:$F$43,0)),"Por definir"))</f>
        <v/>
      </c>
      <c r="P728" s="27">
        <f>IF($N728="","",IFERROR(INDEX(CONFIG!$H$4:$H$43,MATCH($N728,CONFIG!$F$4:$F$43,0)),"Por definir"))</f>
        <v/>
      </c>
      <c r="Q728" s="50" t="n"/>
      <c r="R728" s="51" t="n"/>
      <c r="S728" s="49" t="n"/>
      <c r="T728" s="49" t="n"/>
      <c r="U728" s="48">
        <f>IF(OR($B728="",$K728=""),"",WORKDAY($B728,IFERROR(INDEX(CONFIG!$C$4:$C$43,MATCH($K728,CONFIG!$A$4:$A$43,0)),3)))</f>
        <v/>
      </c>
      <c r="V728" s="46" t="n"/>
      <c r="W728" s="23">
        <f>IF($B728="","",IF($V728&lt;&gt;"",$V728-$B728,TODAY()-$B728))</f>
        <v/>
      </c>
      <c r="X728" s="27">
        <f>IF($C728="","",IF(IFERROR(INDEX(CONFIG!$K$4:$K$43,MATCH($S728,CONFIG!$J$4:$J$43,0)),"NO")="SÍ",IF(OR($V728="",$U728=""),"Resuelta",IF($V728&gt;$U728,"Resuelta tarde","Resuelta a tiempo")),IF($U728="","Sin clasificar",IF(TODAY()&gt;$U728,"Vencida",IF(TODAY()&gt;=$U728-1,"Por vencer","En plazo")))))</f>
        <v/>
      </c>
      <c r="Y728" s="49" t="n"/>
      <c r="Z728" s="49" t="n"/>
    </row>
    <row r="729" ht="16" customHeight="1">
      <c r="A729" s="27">
        <f>IF($C729="","","N-"&amp;TEXT(ROW()-3,"0000"))</f>
        <v/>
      </c>
      <c r="B729" s="46" t="n"/>
      <c r="C729" s="47" t="n"/>
      <c r="D729" s="27">
        <f>IF($C729="","",IF(COUNTIFS(ENVIOS!$A$4:$A$3003,$C729)=0,"NO EXISTE",IF(COUNTIFS(ENVIOS!$A$4:$A$3003,$C729)&gt;1,"DUPLICADA","OK")))</f>
        <v/>
      </c>
      <c r="E729" s="22">
        <f>IF($C729="","",IFERROR(INDEX(ENVIOS!$C$4:$C$3003,MATCH($C729,ENVIOS!$A$4:$A$3003,0)),"—"))</f>
        <v/>
      </c>
      <c r="F729" s="22">
        <f>IF($C729="","",IFERROR(INDEX(ENVIOS!$D$4:$D$3003,MATCH($C729,ENVIOS!$A$4:$A$3003,0)),"—"))</f>
        <v/>
      </c>
      <c r="G729" s="22">
        <f>IF($C729="","",IFERROR(INDEX(ENVIOS!$E$4:$E$3003,MATCH($C729,ENVIOS!$A$4:$A$3003,0)),"—"))</f>
        <v/>
      </c>
      <c r="H729" s="22">
        <f>IF($C729="","",IFERROR(INDEX(ENVIOS!$F$4:$F$3003,MATCH($C729,ENVIOS!$A$4:$A$3003,0)),"—"))</f>
        <v/>
      </c>
      <c r="I729" s="27">
        <f>IF($C729="","",IFERROR(INDEX(ENVIOS!$G$4:$G$3003,MATCH($C729,ENVIOS!$A$4:$A$3003,0)),"—"))</f>
        <v/>
      </c>
      <c r="J729" s="48">
        <f>IF($C729="","",IFERROR(INDEX(ENVIOS!$B$4:$B$3003,MATCH($C729,ENVIOS!$A$4:$A$3003,0)),""))</f>
        <v/>
      </c>
      <c r="K729" s="49" t="n"/>
      <c r="L729" s="27">
        <f>IF($K729="","",IFERROR(INDEX(CONFIG!$B$4:$B$43,MATCH($K729,CONFIG!$A$4:$A$43,0)),"Media"))</f>
        <v/>
      </c>
      <c r="M729" s="27">
        <f>IF($K729="","",IFERROR(INDEX(CONFIG!$D$4:$D$43,MATCH($K729,CONFIG!$A$4:$A$43,0)),"NO"))</f>
        <v/>
      </c>
      <c r="N729" s="49" t="n"/>
      <c r="O729" s="27">
        <f>IF($N729="","",IFERROR(INDEX(CONFIG!$G$4:$G$43,MATCH($N729,CONFIG!$F$4:$F$43,0)),"Por definir"))</f>
        <v/>
      </c>
      <c r="P729" s="27">
        <f>IF($N729="","",IFERROR(INDEX(CONFIG!$H$4:$H$43,MATCH($N729,CONFIG!$F$4:$F$43,0)),"Por definir"))</f>
        <v/>
      </c>
      <c r="Q729" s="50" t="n"/>
      <c r="R729" s="51" t="n"/>
      <c r="S729" s="49" t="n"/>
      <c r="T729" s="49" t="n"/>
      <c r="U729" s="48">
        <f>IF(OR($B729="",$K729=""),"",WORKDAY($B729,IFERROR(INDEX(CONFIG!$C$4:$C$43,MATCH($K729,CONFIG!$A$4:$A$43,0)),3)))</f>
        <v/>
      </c>
      <c r="V729" s="46" t="n"/>
      <c r="W729" s="23">
        <f>IF($B729="","",IF($V729&lt;&gt;"",$V729-$B729,TODAY()-$B729))</f>
        <v/>
      </c>
      <c r="X729" s="27">
        <f>IF($C729="","",IF(IFERROR(INDEX(CONFIG!$K$4:$K$43,MATCH($S729,CONFIG!$J$4:$J$43,0)),"NO")="SÍ",IF(OR($V729="",$U729=""),"Resuelta",IF($V729&gt;$U729,"Resuelta tarde","Resuelta a tiempo")),IF($U729="","Sin clasificar",IF(TODAY()&gt;$U729,"Vencida",IF(TODAY()&gt;=$U729-1,"Por vencer","En plazo")))))</f>
        <v/>
      </c>
      <c r="Y729" s="49" t="n"/>
      <c r="Z729" s="49" t="n"/>
    </row>
    <row r="730" ht="16" customHeight="1">
      <c r="A730" s="27">
        <f>IF($C730="","","N-"&amp;TEXT(ROW()-3,"0000"))</f>
        <v/>
      </c>
      <c r="B730" s="46" t="n"/>
      <c r="C730" s="47" t="n"/>
      <c r="D730" s="27">
        <f>IF($C730="","",IF(COUNTIFS(ENVIOS!$A$4:$A$3003,$C730)=0,"NO EXISTE",IF(COUNTIFS(ENVIOS!$A$4:$A$3003,$C730)&gt;1,"DUPLICADA","OK")))</f>
        <v/>
      </c>
      <c r="E730" s="22">
        <f>IF($C730="","",IFERROR(INDEX(ENVIOS!$C$4:$C$3003,MATCH($C730,ENVIOS!$A$4:$A$3003,0)),"—"))</f>
        <v/>
      </c>
      <c r="F730" s="22">
        <f>IF($C730="","",IFERROR(INDEX(ENVIOS!$D$4:$D$3003,MATCH($C730,ENVIOS!$A$4:$A$3003,0)),"—"))</f>
        <v/>
      </c>
      <c r="G730" s="22">
        <f>IF($C730="","",IFERROR(INDEX(ENVIOS!$E$4:$E$3003,MATCH($C730,ENVIOS!$A$4:$A$3003,0)),"—"))</f>
        <v/>
      </c>
      <c r="H730" s="22">
        <f>IF($C730="","",IFERROR(INDEX(ENVIOS!$F$4:$F$3003,MATCH($C730,ENVIOS!$A$4:$A$3003,0)),"—"))</f>
        <v/>
      </c>
      <c r="I730" s="27">
        <f>IF($C730="","",IFERROR(INDEX(ENVIOS!$G$4:$G$3003,MATCH($C730,ENVIOS!$A$4:$A$3003,0)),"—"))</f>
        <v/>
      </c>
      <c r="J730" s="48">
        <f>IF($C730="","",IFERROR(INDEX(ENVIOS!$B$4:$B$3003,MATCH($C730,ENVIOS!$A$4:$A$3003,0)),""))</f>
        <v/>
      </c>
      <c r="K730" s="49" t="n"/>
      <c r="L730" s="27">
        <f>IF($K730="","",IFERROR(INDEX(CONFIG!$B$4:$B$43,MATCH($K730,CONFIG!$A$4:$A$43,0)),"Media"))</f>
        <v/>
      </c>
      <c r="M730" s="27">
        <f>IF($K730="","",IFERROR(INDEX(CONFIG!$D$4:$D$43,MATCH($K730,CONFIG!$A$4:$A$43,0)),"NO"))</f>
        <v/>
      </c>
      <c r="N730" s="49" t="n"/>
      <c r="O730" s="27">
        <f>IF($N730="","",IFERROR(INDEX(CONFIG!$G$4:$G$43,MATCH($N730,CONFIG!$F$4:$F$43,0)),"Por definir"))</f>
        <v/>
      </c>
      <c r="P730" s="27">
        <f>IF($N730="","",IFERROR(INDEX(CONFIG!$H$4:$H$43,MATCH($N730,CONFIG!$F$4:$F$43,0)),"Por definir"))</f>
        <v/>
      </c>
      <c r="Q730" s="50" t="n"/>
      <c r="R730" s="51" t="n"/>
      <c r="S730" s="49" t="n"/>
      <c r="T730" s="49" t="n"/>
      <c r="U730" s="48">
        <f>IF(OR($B730="",$K730=""),"",WORKDAY($B730,IFERROR(INDEX(CONFIG!$C$4:$C$43,MATCH($K730,CONFIG!$A$4:$A$43,0)),3)))</f>
        <v/>
      </c>
      <c r="V730" s="46" t="n"/>
      <c r="W730" s="23">
        <f>IF($B730="","",IF($V730&lt;&gt;"",$V730-$B730,TODAY()-$B730))</f>
        <v/>
      </c>
      <c r="X730" s="27">
        <f>IF($C730="","",IF(IFERROR(INDEX(CONFIG!$K$4:$K$43,MATCH($S730,CONFIG!$J$4:$J$43,0)),"NO")="SÍ",IF(OR($V730="",$U730=""),"Resuelta",IF($V730&gt;$U730,"Resuelta tarde","Resuelta a tiempo")),IF($U730="","Sin clasificar",IF(TODAY()&gt;$U730,"Vencida",IF(TODAY()&gt;=$U730-1,"Por vencer","En plazo")))))</f>
        <v/>
      </c>
      <c r="Y730" s="49" t="n"/>
      <c r="Z730" s="49" t="n"/>
    </row>
    <row r="731" ht="16" customHeight="1">
      <c r="A731" s="27">
        <f>IF($C731="","","N-"&amp;TEXT(ROW()-3,"0000"))</f>
        <v/>
      </c>
      <c r="B731" s="46" t="n"/>
      <c r="C731" s="47" t="n"/>
      <c r="D731" s="27">
        <f>IF($C731="","",IF(COUNTIFS(ENVIOS!$A$4:$A$3003,$C731)=0,"NO EXISTE",IF(COUNTIFS(ENVIOS!$A$4:$A$3003,$C731)&gt;1,"DUPLICADA","OK")))</f>
        <v/>
      </c>
      <c r="E731" s="22">
        <f>IF($C731="","",IFERROR(INDEX(ENVIOS!$C$4:$C$3003,MATCH($C731,ENVIOS!$A$4:$A$3003,0)),"—"))</f>
        <v/>
      </c>
      <c r="F731" s="22">
        <f>IF($C731="","",IFERROR(INDEX(ENVIOS!$D$4:$D$3003,MATCH($C731,ENVIOS!$A$4:$A$3003,0)),"—"))</f>
        <v/>
      </c>
      <c r="G731" s="22">
        <f>IF($C731="","",IFERROR(INDEX(ENVIOS!$E$4:$E$3003,MATCH($C731,ENVIOS!$A$4:$A$3003,0)),"—"))</f>
        <v/>
      </c>
      <c r="H731" s="22">
        <f>IF($C731="","",IFERROR(INDEX(ENVIOS!$F$4:$F$3003,MATCH($C731,ENVIOS!$A$4:$A$3003,0)),"—"))</f>
        <v/>
      </c>
      <c r="I731" s="27">
        <f>IF($C731="","",IFERROR(INDEX(ENVIOS!$G$4:$G$3003,MATCH($C731,ENVIOS!$A$4:$A$3003,0)),"—"))</f>
        <v/>
      </c>
      <c r="J731" s="48">
        <f>IF($C731="","",IFERROR(INDEX(ENVIOS!$B$4:$B$3003,MATCH($C731,ENVIOS!$A$4:$A$3003,0)),""))</f>
        <v/>
      </c>
      <c r="K731" s="49" t="n"/>
      <c r="L731" s="27">
        <f>IF($K731="","",IFERROR(INDEX(CONFIG!$B$4:$B$43,MATCH($K731,CONFIG!$A$4:$A$43,0)),"Media"))</f>
        <v/>
      </c>
      <c r="M731" s="27">
        <f>IF($K731="","",IFERROR(INDEX(CONFIG!$D$4:$D$43,MATCH($K731,CONFIG!$A$4:$A$43,0)),"NO"))</f>
        <v/>
      </c>
      <c r="N731" s="49" t="n"/>
      <c r="O731" s="27">
        <f>IF($N731="","",IFERROR(INDEX(CONFIG!$G$4:$G$43,MATCH($N731,CONFIG!$F$4:$F$43,0)),"Por definir"))</f>
        <v/>
      </c>
      <c r="P731" s="27">
        <f>IF($N731="","",IFERROR(INDEX(CONFIG!$H$4:$H$43,MATCH($N731,CONFIG!$F$4:$F$43,0)),"Por definir"))</f>
        <v/>
      </c>
      <c r="Q731" s="50" t="n"/>
      <c r="R731" s="51" t="n"/>
      <c r="S731" s="49" t="n"/>
      <c r="T731" s="49" t="n"/>
      <c r="U731" s="48">
        <f>IF(OR($B731="",$K731=""),"",WORKDAY($B731,IFERROR(INDEX(CONFIG!$C$4:$C$43,MATCH($K731,CONFIG!$A$4:$A$43,0)),3)))</f>
        <v/>
      </c>
      <c r="V731" s="46" t="n"/>
      <c r="W731" s="23">
        <f>IF($B731="","",IF($V731&lt;&gt;"",$V731-$B731,TODAY()-$B731))</f>
        <v/>
      </c>
      <c r="X731" s="27">
        <f>IF($C731="","",IF(IFERROR(INDEX(CONFIG!$K$4:$K$43,MATCH($S731,CONFIG!$J$4:$J$43,0)),"NO")="SÍ",IF(OR($V731="",$U731=""),"Resuelta",IF($V731&gt;$U731,"Resuelta tarde","Resuelta a tiempo")),IF($U731="","Sin clasificar",IF(TODAY()&gt;$U731,"Vencida",IF(TODAY()&gt;=$U731-1,"Por vencer","En plazo")))))</f>
        <v/>
      </c>
      <c r="Y731" s="49" t="n"/>
      <c r="Z731" s="49" t="n"/>
    </row>
    <row r="732" ht="16" customHeight="1">
      <c r="A732" s="27">
        <f>IF($C732="","","N-"&amp;TEXT(ROW()-3,"0000"))</f>
        <v/>
      </c>
      <c r="B732" s="46" t="n"/>
      <c r="C732" s="47" t="n"/>
      <c r="D732" s="27">
        <f>IF($C732="","",IF(COUNTIFS(ENVIOS!$A$4:$A$3003,$C732)=0,"NO EXISTE",IF(COUNTIFS(ENVIOS!$A$4:$A$3003,$C732)&gt;1,"DUPLICADA","OK")))</f>
        <v/>
      </c>
      <c r="E732" s="22">
        <f>IF($C732="","",IFERROR(INDEX(ENVIOS!$C$4:$C$3003,MATCH($C732,ENVIOS!$A$4:$A$3003,0)),"—"))</f>
        <v/>
      </c>
      <c r="F732" s="22">
        <f>IF($C732="","",IFERROR(INDEX(ENVIOS!$D$4:$D$3003,MATCH($C732,ENVIOS!$A$4:$A$3003,0)),"—"))</f>
        <v/>
      </c>
      <c r="G732" s="22">
        <f>IF($C732="","",IFERROR(INDEX(ENVIOS!$E$4:$E$3003,MATCH($C732,ENVIOS!$A$4:$A$3003,0)),"—"))</f>
        <v/>
      </c>
      <c r="H732" s="22">
        <f>IF($C732="","",IFERROR(INDEX(ENVIOS!$F$4:$F$3003,MATCH($C732,ENVIOS!$A$4:$A$3003,0)),"—"))</f>
        <v/>
      </c>
      <c r="I732" s="27">
        <f>IF($C732="","",IFERROR(INDEX(ENVIOS!$G$4:$G$3003,MATCH($C732,ENVIOS!$A$4:$A$3003,0)),"—"))</f>
        <v/>
      </c>
      <c r="J732" s="48">
        <f>IF($C732="","",IFERROR(INDEX(ENVIOS!$B$4:$B$3003,MATCH($C732,ENVIOS!$A$4:$A$3003,0)),""))</f>
        <v/>
      </c>
      <c r="K732" s="49" t="n"/>
      <c r="L732" s="27">
        <f>IF($K732="","",IFERROR(INDEX(CONFIG!$B$4:$B$43,MATCH($K732,CONFIG!$A$4:$A$43,0)),"Media"))</f>
        <v/>
      </c>
      <c r="M732" s="27">
        <f>IF($K732="","",IFERROR(INDEX(CONFIG!$D$4:$D$43,MATCH($K732,CONFIG!$A$4:$A$43,0)),"NO"))</f>
        <v/>
      </c>
      <c r="N732" s="49" t="n"/>
      <c r="O732" s="27">
        <f>IF($N732="","",IFERROR(INDEX(CONFIG!$G$4:$G$43,MATCH($N732,CONFIG!$F$4:$F$43,0)),"Por definir"))</f>
        <v/>
      </c>
      <c r="P732" s="27">
        <f>IF($N732="","",IFERROR(INDEX(CONFIG!$H$4:$H$43,MATCH($N732,CONFIG!$F$4:$F$43,0)),"Por definir"))</f>
        <v/>
      </c>
      <c r="Q732" s="50" t="n"/>
      <c r="R732" s="51" t="n"/>
      <c r="S732" s="49" t="n"/>
      <c r="T732" s="49" t="n"/>
      <c r="U732" s="48">
        <f>IF(OR($B732="",$K732=""),"",WORKDAY($B732,IFERROR(INDEX(CONFIG!$C$4:$C$43,MATCH($K732,CONFIG!$A$4:$A$43,0)),3)))</f>
        <v/>
      </c>
      <c r="V732" s="46" t="n"/>
      <c r="W732" s="23">
        <f>IF($B732="","",IF($V732&lt;&gt;"",$V732-$B732,TODAY()-$B732))</f>
        <v/>
      </c>
      <c r="X732" s="27">
        <f>IF($C732="","",IF(IFERROR(INDEX(CONFIG!$K$4:$K$43,MATCH($S732,CONFIG!$J$4:$J$43,0)),"NO")="SÍ",IF(OR($V732="",$U732=""),"Resuelta",IF($V732&gt;$U732,"Resuelta tarde","Resuelta a tiempo")),IF($U732="","Sin clasificar",IF(TODAY()&gt;$U732,"Vencida",IF(TODAY()&gt;=$U732-1,"Por vencer","En plazo")))))</f>
        <v/>
      </c>
      <c r="Y732" s="49" t="n"/>
      <c r="Z732" s="49" t="n"/>
    </row>
    <row r="733" ht="16" customHeight="1">
      <c r="A733" s="27">
        <f>IF($C733="","","N-"&amp;TEXT(ROW()-3,"0000"))</f>
        <v/>
      </c>
      <c r="B733" s="46" t="n"/>
      <c r="C733" s="47" t="n"/>
      <c r="D733" s="27">
        <f>IF($C733="","",IF(COUNTIFS(ENVIOS!$A$4:$A$3003,$C733)=0,"NO EXISTE",IF(COUNTIFS(ENVIOS!$A$4:$A$3003,$C733)&gt;1,"DUPLICADA","OK")))</f>
        <v/>
      </c>
      <c r="E733" s="22">
        <f>IF($C733="","",IFERROR(INDEX(ENVIOS!$C$4:$C$3003,MATCH($C733,ENVIOS!$A$4:$A$3003,0)),"—"))</f>
        <v/>
      </c>
      <c r="F733" s="22">
        <f>IF($C733="","",IFERROR(INDEX(ENVIOS!$D$4:$D$3003,MATCH($C733,ENVIOS!$A$4:$A$3003,0)),"—"))</f>
        <v/>
      </c>
      <c r="G733" s="22">
        <f>IF($C733="","",IFERROR(INDEX(ENVIOS!$E$4:$E$3003,MATCH($C733,ENVIOS!$A$4:$A$3003,0)),"—"))</f>
        <v/>
      </c>
      <c r="H733" s="22">
        <f>IF($C733="","",IFERROR(INDEX(ENVIOS!$F$4:$F$3003,MATCH($C733,ENVIOS!$A$4:$A$3003,0)),"—"))</f>
        <v/>
      </c>
      <c r="I733" s="27">
        <f>IF($C733="","",IFERROR(INDEX(ENVIOS!$G$4:$G$3003,MATCH($C733,ENVIOS!$A$4:$A$3003,0)),"—"))</f>
        <v/>
      </c>
      <c r="J733" s="48">
        <f>IF($C733="","",IFERROR(INDEX(ENVIOS!$B$4:$B$3003,MATCH($C733,ENVIOS!$A$4:$A$3003,0)),""))</f>
        <v/>
      </c>
      <c r="K733" s="49" t="n"/>
      <c r="L733" s="27">
        <f>IF($K733="","",IFERROR(INDEX(CONFIG!$B$4:$B$43,MATCH($K733,CONFIG!$A$4:$A$43,0)),"Media"))</f>
        <v/>
      </c>
      <c r="M733" s="27">
        <f>IF($K733="","",IFERROR(INDEX(CONFIG!$D$4:$D$43,MATCH($K733,CONFIG!$A$4:$A$43,0)),"NO"))</f>
        <v/>
      </c>
      <c r="N733" s="49" t="n"/>
      <c r="O733" s="27">
        <f>IF($N733="","",IFERROR(INDEX(CONFIG!$G$4:$G$43,MATCH($N733,CONFIG!$F$4:$F$43,0)),"Por definir"))</f>
        <v/>
      </c>
      <c r="P733" s="27">
        <f>IF($N733="","",IFERROR(INDEX(CONFIG!$H$4:$H$43,MATCH($N733,CONFIG!$F$4:$F$43,0)),"Por definir"))</f>
        <v/>
      </c>
      <c r="Q733" s="50" t="n"/>
      <c r="R733" s="51" t="n"/>
      <c r="S733" s="49" t="n"/>
      <c r="T733" s="49" t="n"/>
      <c r="U733" s="48">
        <f>IF(OR($B733="",$K733=""),"",WORKDAY($B733,IFERROR(INDEX(CONFIG!$C$4:$C$43,MATCH($K733,CONFIG!$A$4:$A$43,0)),3)))</f>
        <v/>
      </c>
      <c r="V733" s="46" t="n"/>
      <c r="W733" s="23">
        <f>IF($B733="","",IF($V733&lt;&gt;"",$V733-$B733,TODAY()-$B733))</f>
        <v/>
      </c>
      <c r="X733" s="27">
        <f>IF($C733="","",IF(IFERROR(INDEX(CONFIG!$K$4:$K$43,MATCH($S733,CONFIG!$J$4:$J$43,0)),"NO")="SÍ",IF(OR($V733="",$U733=""),"Resuelta",IF($V733&gt;$U733,"Resuelta tarde","Resuelta a tiempo")),IF($U733="","Sin clasificar",IF(TODAY()&gt;$U733,"Vencida",IF(TODAY()&gt;=$U733-1,"Por vencer","En plazo")))))</f>
        <v/>
      </c>
      <c r="Y733" s="49" t="n"/>
      <c r="Z733" s="49" t="n"/>
    </row>
    <row r="734" ht="16" customHeight="1">
      <c r="A734" s="27">
        <f>IF($C734="","","N-"&amp;TEXT(ROW()-3,"0000"))</f>
        <v/>
      </c>
      <c r="B734" s="46" t="n"/>
      <c r="C734" s="47" t="n"/>
      <c r="D734" s="27">
        <f>IF($C734="","",IF(COUNTIFS(ENVIOS!$A$4:$A$3003,$C734)=0,"NO EXISTE",IF(COUNTIFS(ENVIOS!$A$4:$A$3003,$C734)&gt;1,"DUPLICADA","OK")))</f>
        <v/>
      </c>
      <c r="E734" s="22">
        <f>IF($C734="","",IFERROR(INDEX(ENVIOS!$C$4:$C$3003,MATCH($C734,ENVIOS!$A$4:$A$3003,0)),"—"))</f>
        <v/>
      </c>
      <c r="F734" s="22">
        <f>IF($C734="","",IFERROR(INDEX(ENVIOS!$D$4:$D$3003,MATCH($C734,ENVIOS!$A$4:$A$3003,0)),"—"))</f>
        <v/>
      </c>
      <c r="G734" s="22">
        <f>IF($C734="","",IFERROR(INDEX(ENVIOS!$E$4:$E$3003,MATCH($C734,ENVIOS!$A$4:$A$3003,0)),"—"))</f>
        <v/>
      </c>
      <c r="H734" s="22">
        <f>IF($C734="","",IFERROR(INDEX(ENVIOS!$F$4:$F$3003,MATCH($C734,ENVIOS!$A$4:$A$3003,0)),"—"))</f>
        <v/>
      </c>
      <c r="I734" s="27">
        <f>IF($C734="","",IFERROR(INDEX(ENVIOS!$G$4:$G$3003,MATCH($C734,ENVIOS!$A$4:$A$3003,0)),"—"))</f>
        <v/>
      </c>
      <c r="J734" s="48">
        <f>IF($C734="","",IFERROR(INDEX(ENVIOS!$B$4:$B$3003,MATCH($C734,ENVIOS!$A$4:$A$3003,0)),""))</f>
        <v/>
      </c>
      <c r="K734" s="49" t="n"/>
      <c r="L734" s="27">
        <f>IF($K734="","",IFERROR(INDEX(CONFIG!$B$4:$B$43,MATCH($K734,CONFIG!$A$4:$A$43,0)),"Media"))</f>
        <v/>
      </c>
      <c r="M734" s="27">
        <f>IF($K734="","",IFERROR(INDEX(CONFIG!$D$4:$D$43,MATCH($K734,CONFIG!$A$4:$A$43,0)),"NO"))</f>
        <v/>
      </c>
      <c r="N734" s="49" t="n"/>
      <c r="O734" s="27">
        <f>IF($N734="","",IFERROR(INDEX(CONFIG!$G$4:$G$43,MATCH($N734,CONFIG!$F$4:$F$43,0)),"Por definir"))</f>
        <v/>
      </c>
      <c r="P734" s="27">
        <f>IF($N734="","",IFERROR(INDEX(CONFIG!$H$4:$H$43,MATCH($N734,CONFIG!$F$4:$F$43,0)),"Por definir"))</f>
        <v/>
      </c>
      <c r="Q734" s="50" t="n"/>
      <c r="R734" s="51" t="n"/>
      <c r="S734" s="49" t="n"/>
      <c r="T734" s="49" t="n"/>
      <c r="U734" s="48">
        <f>IF(OR($B734="",$K734=""),"",WORKDAY($B734,IFERROR(INDEX(CONFIG!$C$4:$C$43,MATCH($K734,CONFIG!$A$4:$A$43,0)),3)))</f>
        <v/>
      </c>
      <c r="V734" s="46" t="n"/>
      <c r="W734" s="23">
        <f>IF($B734="","",IF($V734&lt;&gt;"",$V734-$B734,TODAY()-$B734))</f>
        <v/>
      </c>
      <c r="X734" s="27">
        <f>IF($C734="","",IF(IFERROR(INDEX(CONFIG!$K$4:$K$43,MATCH($S734,CONFIG!$J$4:$J$43,0)),"NO")="SÍ",IF(OR($V734="",$U734=""),"Resuelta",IF($V734&gt;$U734,"Resuelta tarde","Resuelta a tiempo")),IF($U734="","Sin clasificar",IF(TODAY()&gt;$U734,"Vencida",IF(TODAY()&gt;=$U734-1,"Por vencer","En plazo")))))</f>
        <v/>
      </c>
      <c r="Y734" s="49" t="n"/>
      <c r="Z734" s="49" t="n"/>
    </row>
    <row r="735" ht="16" customHeight="1">
      <c r="A735" s="27">
        <f>IF($C735="","","N-"&amp;TEXT(ROW()-3,"0000"))</f>
        <v/>
      </c>
      <c r="B735" s="46" t="n"/>
      <c r="C735" s="47" t="n"/>
      <c r="D735" s="27">
        <f>IF($C735="","",IF(COUNTIFS(ENVIOS!$A$4:$A$3003,$C735)=0,"NO EXISTE",IF(COUNTIFS(ENVIOS!$A$4:$A$3003,$C735)&gt;1,"DUPLICADA","OK")))</f>
        <v/>
      </c>
      <c r="E735" s="22">
        <f>IF($C735="","",IFERROR(INDEX(ENVIOS!$C$4:$C$3003,MATCH($C735,ENVIOS!$A$4:$A$3003,0)),"—"))</f>
        <v/>
      </c>
      <c r="F735" s="22">
        <f>IF($C735="","",IFERROR(INDEX(ENVIOS!$D$4:$D$3003,MATCH($C735,ENVIOS!$A$4:$A$3003,0)),"—"))</f>
        <v/>
      </c>
      <c r="G735" s="22">
        <f>IF($C735="","",IFERROR(INDEX(ENVIOS!$E$4:$E$3003,MATCH($C735,ENVIOS!$A$4:$A$3003,0)),"—"))</f>
        <v/>
      </c>
      <c r="H735" s="22">
        <f>IF($C735="","",IFERROR(INDEX(ENVIOS!$F$4:$F$3003,MATCH($C735,ENVIOS!$A$4:$A$3003,0)),"—"))</f>
        <v/>
      </c>
      <c r="I735" s="27">
        <f>IF($C735="","",IFERROR(INDEX(ENVIOS!$G$4:$G$3003,MATCH($C735,ENVIOS!$A$4:$A$3003,0)),"—"))</f>
        <v/>
      </c>
      <c r="J735" s="48">
        <f>IF($C735="","",IFERROR(INDEX(ENVIOS!$B$4:$B$3003,MATCH($C735,ENVIOS!$A$4:$A$3003,0)),""))</f>
        <v/>
      </c>
      <c r="K735" s="49" t="n"/>
      <c r="L735" s="27">
        <f>IF($K735="","",IFERROR(INDEX(CONFIG!$B$4:$B$43,MATCH($K735,CONFIG!$A$4:$A$43,0)),"Media"))</f>
        <v/>
      </c>
      <c r="M735" s="27">
        <f>IF($K735="","",IFERROR(INDEX(CONFIG!$D$4:$D$43,MATCH($K735,CONFIG!$A$4:$A$43,0)),"NO"))</f>
        <v/>
      </c>
      <c r="N735" s="49" t="n"/>
      <c r="O735" s="27">
        <f>IF($N735="","",IFERROR(INDEX(CONFIG!$G$4:$G$43,MATCH($N735,CONFIG!$F$4:$F$43,0)),"Por definir"))</f>
        <v/>
      </c>
      <c r="P735" s="27">
        <f>IF($N735="","",IFERROR(INDEX(CONFIG!$H$4:$H$43,MATCH($N735,CONFIG!$F$4:$F$43,0)),"Por definir"))</f>
        <v/>
      </c>
      <c r="Q735" s="50" t="n"/>
      <c r="R735" s="51" t="n"/>
      <c r="S735" s="49" t="n"/>
      <c r="T735" s="49" t="n"/>
      <c r="U735" s="48">
        <f>IF(OR($B735="",$K735=""),"",WORKDAY($B735,IFERROR(INDEX(CONFIG!$C$4:$C$43,MATCH($K735,CONFIG!$A$4:$A$43,0)),3)))</f>
        <v/>
      </c>
      <c r="V735" s="46" t="n"/>
      <c r="W735" s="23">
        <f>IF($B735="","",IF($V735&lt;&gt;"",$V735-$B735,TODAY()-$B735))</f>
        <v/>
      </c>
      <c r="X735" s="27">
        <f>IF($C735="","",IF(IFERROR(INDEX(CONFIG!$K$4:$K$43,MATCH($S735,CONFIG!$J$4:$J$43,0)),"NO")="SÍ",IF(OR($V735="",$U735=""),"Resuelta",IF($V735&gt;$U735,"Resuelta tarde","Resuelta a tiempo")),IF($U735="","Sin clasificar",IF(TODAY()&gt;$U735,"Vencida",IF(TODAY()&gt;=$U735-1,"Por vencer","En plazo")))))</f>
        <v/>
      </c>
      <c r="Y735" s="49" t="n"/>
      <c r="Z735" s="49" t="n"/>
    </row>
    <row r="736" ht="16" customHeight="1">
      <c r="A736" s="27">
        <f>IF($C736="","","N-"&amp;TEXT(ROW()-3,"0000"))</f>
        <v/>
      </c>
      <c r="B736" s="46" t="n"/>
      <c r="C736" s="47" t="n"/>
      <c r="D736" s="27">
        <f>IF($C736="","",IF(COUNTIFS(ENVIOS!$A$4:$A$3003,$C736)=0,"NO EXISTE",IF(COUNTIFS(ENVIOS!$A$4:$A$3003,$C736)&gt;1,"DUPLICADA","OK")))</f>
        <v/>
      </c>
      <c r="E736" s="22">
        <f>IF($C736="","",IFERROR(INDEX(ENVIOS!$C$4:$C$3003,MATCH($C736,ENVIOS!$A$4:$A$3003,0)),"—"))</f>
        <v/>
      </c>
      <c r="F736" s="22">
        <f>IF($C736="","",IFERROR(INDEX(ENVIOS!$D$4:$D$3003,MATCH($C736,ENVIOS!$A$4:$A$3003,0)),"—"))</f>
        <v/>
      </c>
      <c r="G736" s="22">
        <f>IF($C736="","",IFERROR(INDEX(ENVIOS!$E$4:$E$3003,MATCH($C736,ENVIOS!$A$4:$A$3003,0)),"—"))</f>
        <v/>
      </c>
      <c r="H736" s="22">
        <f>IF($C736="","",IFERROR(INDEX(ENVIOS!$F$4:$F$3003,MATCH($C736,ENVIOS!$A$4:$A$3003,0)),"—"))</f>
        <v/>
      </c>
      <c r="I736" s="27">
        <f>IF($C736="","",IFERROR(INDEX(ENVIOS!$G$4:$G$3003,MATCH($C736,ENVIOS!$A$4:$A$3003,0)),"—"))</f>
        <v/>
      </c>
      <c r="J736" s="48">
        <f>IF($C736="","",IFERROR(INDEX(ENVIOS!$B$4:$B$3003,MATCH($C736,ENVIOS!$A$4:$A$3003,0)),""))</f>
        <v/>
      </c>
      <c r="K736" s="49" t="n"/>
      <c r="L736" s="27">
        <f>IF($K736="","",IFERROR(INDEX(CONFIG!$B$4:$B$43,MATCH($K736,CONFIG!$A$4:$A$43,0)),"Media"))</f>
        <v/>
      </c>
      <c r="M736" s="27">
        <f>IF($K736="","",IFERROR(INDEX(CONFIG!$D$4:$D$43,MATCH($K736,CONFIG!$A$4:$A$43,0)),"NO"))</f>
        <v/>
      </c>
      <c r="N736" s="49" t="n"/>
      <c r="O736" s="27">
        <f>IF($N736="","",IFERROR(INDEX(CONFIG!$G$4:$G$43,MATCH($N736,CONFIG!$F$4:$F$43,0)),"Por definir"))</f>
        <v/>
      </c>
      <c r="P736" s="27">
        <f>IF($N736="","",IFERROR(INDEX(CONFIG!$H$4:$H$43,MATCH($N736,CONFIG!$F$4:$F$43,0)),"Por definir"))</f>
        <v/>
      </c>
      <c r="Q736" s="50" t="n"/>
      <c r="R736" s="51" t="n"/>
      <c r="S736" s="49" t="n"/>
      <c r="T736" s="49" t="n"/>
      <c r="U736" s="48">
        <f>IF(OR($B736="",$K736=""),"",WORKDAY($B736,IFERROR(INDEX(CONFIG!$C$4:$C$43,MATCH($K736,CONFIG!$A$4:$A$43,0)),3)))</f>
        <v/>
      </c>
      <c r="V736" s="46" t="n"/>
      <c r="W736" s="23">
        <f>IF($B736="","",IF($V736&lt;&gt;"",$V736-$B736,TODAY()-$B736))</f>
        <v/>
      </c>
      <c r="X736" s="27">
        <f>IF($C736="","",IF(IFERROR(INDEX(CONFIG!$K$4:$K$43,MATCH($S736,CONFIG!$J$4:$J$43,0)),"NO")="SÍ",IF(OR($V736="",$U736=""),"Resuelta",IF($V736&gt;$U736,"Resuelta tarde","Resuelta a tiempo")),IF($U736="","Sin clasificar",IF(TODAY()&gt;$U736,"Vencida",IF(TODAY()&gt;=$U736-1,"Por vencer","En plazo")))))</f>
        <v/>
      </c>
      <c r="Y736" s="49" t="n"/>
      <c r="Z736" s="49" t="n"/>
    </row>
    <row r="737" ht="16" customHeight="1">
      <c r="A737" s="27">
        <f>IF($C737="","","N-"&amp;TEXT(ROW()-3,"0000"))</f>
        <v/>
      </c>
      <c r="B737" s="46" t="n"/>
      <c r="C737" s="47" t="n"/>
      <c r="D737" s="27">
        <f>IF($C737="","",IF(COUNTIFS(ENVIOS!$A$4:$A$3003,$C737)=0,"NO EXISTE",IF(COUNTIFS(ENVIOS!$A$4:$A$3003,$C737)&gt;1,"DUPLICADA","OK")))</f>
        <v/>
      </c>
      <c r="E737" s="22">
        <f>IF($C737="","",IFERROR(INDEX(ENVIOS!$C$4:$C$3003,MATCH($C737,ENVIOS!$A$4:$A$3003,0)),"—"))</f>
        <v/>
      </c>
      <c r="F737" s="22">
        <f>IF($C737="","",IFERROR(INDEX(ENVIOS!$D$4:$D$3003,MATCH($C737,ENVIOS!$A$4:$A$3003,0)),"—"))</f>
        <v/>
      </c>
      <c r="G737" s="22">
        <f>IF($C737="","",IFERROR(INDEX(ENVIOS!$E$4:$E$3003,MATCH($C737,ENVIOS!$A$4:$A$3003,0)),"—"))</f>
        <v/>
      </c>
      <c r="H737" s="22">
        <f>IF($C737="","",IFERROR(INDEX(ENVIOS!$F$4:$F$3003,MATCH($C737,ENVIOS!$A$4:$A$3003,0)),"—"))</f>
        <v/>
      </c>
      <c r="I737" s="27">
        <f>IF($C737="","",IFERROR(INDEX(ENVIOS!$G$4:$G$3003,MATCH($C737,ENVIOS!$A$4:$A$3003,0)),"—"))</f>
        <v/>
      </c>
      <c r="J737" s="48">
        <f>IF($C737="","",IFERROR(INDEX(ENVIOS!$B$4:$B$3003,MATCH($C737,ENVIOS!$A$4:$A$3003,0)),""))</f>
        <v/>
      </c>
      <c r="K737" s="49" t="n"/>
      <c r="L737" s="27">
        <f>IF($K737="","",IFERROR(INDEX(CONFIG!$B$4:$B$43,MATCH($K737,CONFIG!$A$4:$A$43,0)),"Media"))</f>
        <v/>
      </c>
      <c r="M737" s="27">
        <f>IF($K737="","",IFERROR(INDEX(CONFIG!$D$4:$D$43,MATCH($K737,CONFIG!$A$4:$A$43,0)),"NO"))</f>
        <v/>
      </c>
      <c r="N737" s="49" t="n"/>
      <c r="O737" s="27">
        <f>IF($N737="","",IFERROR(INDEX(CONFIG!$G$4:$G$43,MATCH($N737,CONFIG!$F$4:$F$43,0)),"Por definir"))</f>
        <v/>
      </c>
      <c r="P737" s="27">
        <f>IF($N737="","",IFERROR(INDEX(CONFIG!$H$4:$H$43,MATCH($N737,CONFIG!$F$4:$F$43,0)),"Por definir"))</f>
        <v/>
      </c>
      <c r="Q737" s="50" t="n"/>
      <c r="R737" s="51" t="n"/>
      <c r="S737" s="49" t="n"/>
      <c r="T737" s="49" t="n"/>
      <c r="U737" s="48">
        <f>IF(OR($B737="",$K737=""),"",WORKDAY($B737,IFERROR(INDEX(CONFIG!$C$4:$C$43,MATCH($K737,CONFIG!$A$4:$A$43,0)),3)))</f>
        <v/>
      </c>
      <c r="V737" s="46" t="n"/>
      <c r="W737" s="23">
        <f>IF($B737="","",IF($V737&lt;&gt;"",$V737-$B737,TODAY()-$B737))</f>
        <v/>
      </c>
      <c r="X737" s="27">
        <f>IF($C737="","",IF(IFERROR(INDEX(CONFIG!$K$4:$K$43,MATCH($S737,CONFIG!$J$4:$J$43,0)),"NO")="SÍ",IF(OR($V737="",$U737=""),"Resuelta",IF($V737&gt;$U737,"Resuelta tarde","Resuelta a tiempo")),IF($U737="","Sin clasificar",IF(TODAY()&gt;$U737,"Vencida",IF(TODAY()&gt;=$U737-1,"Por vencer","En plazo")))))</f>
        <v/>
      </c>
      <c r="Y737" s="49" t="n"/>
      <c r="Z737" s="49" t="n"/>
    </row>
    <row r="738" ht="16" customHeight="1">
      <c r="A738" s="27">
        <f>IF($C738="","","N-"&amp;TEXT(ROW()-3,"0000"))</f>
        <v/>
      </c>
      <c r="B738" s="46" t="n"/>
      <c r="C738" s="47" t="n"/>
      <c r="D738" s="27">
        <f>IF($C738="","",IF(COUNTIFS(ENVIOS!$A$4:$A$3003,$C738)=0,"NO EXISTE",IF(COUNTIFS(ENVIOS!$A$4:$A$3003,$C738)&gt;1,"DUPLICADA","OK")))</f>
        <v/>
      </c>
      <c r="E738" s="22">
        <f>IF($C738="","",IFERROR(INDEX(ENVIOS!$C$4:$C$3003,MATCH($C738,ENVIOS!$A$4:$A$3003,0)),"—"))</f>
        <v/>
      </c>
      <c r="F738" s="22">
        <f>IF($C738="","",IFERROR(INDEX(ENVIOS!$D$4:$D$3003,MATCH($C738,ENVIOS!$A$4:$A$3003,0)),"—"))</f>
        <v/>
      </c>
      <c r="G738" s="22">
        <f>IF($C738="","",IFERROR(INDEX(ENVIOS!$E$4:$E$3003,MATCH($C738,ENVIOS!$A$4:$A$3003,0)),"—"))</f>
        <v/>
      </c>
      <c r="H738" s="22">
        <f>IF($C738="","",IFERROR(INDEX(ENVIOS!$F$4:$F$3003,MATCH($C738,ENVIOS!$A$4:$A$3003,0)),"—"))</f>
        <v/>
      </c>
      <c r="I738" s="27">
        <f>IF($C738="","",IFERROR(INDEX(ENVIOS!$G$4:$G$3003,MATCH($C738,ENVIOS!$A$4:$A$3003,0)),"—"))</f>
        <v/>
      </c>
      <c r="J738" s="48">
        <f>IF($C738="","",IFERROR(INDEX(ENVIOS!$B$4:$B$3003,MATCH($C738,ENVIOS!$A$4:$A$3003,0)),""))</f>
        <v/>
      </c>
      <c r="K738" s="49" t="n"/>
      <c r="L738" s="27">
        <f>IF($K738="","",IFERROR(INDEX(CONFIG!$B$4:$B$43,MATCH($K738,CONFIG!$A$4:$A$43,0)),"Media"))</f>
        <v/>
      </c>
      <c r="M738" s="27">
        <f>IF($K738="","",IFERROR(INDEX(CONFIG!$D$4:$D$43,MATCH($K738,CONFIG!$A$4:$A$43,0)),"NO"))</f>
        <v/>
      </c>
      <c r="N738" s="49" t="n"/>
      <c r="O738" s="27">
        <f>IF($N738="","",IFERROR(INDEX(CONFIG!$G$4:$G$43,MATCH($N738,CONFIG!$F$4:$F$43,0)),"Por definir"))</f>
        <v/>
      </c>
      <c r="P738" s="27">
        <f>IF($N738="","",IFERROR(INDEX(CONFIG!$H$4:$H$43,MATCH($N738,CONFIG!$F$4:$F$43,0)),"Por definir"))</f>
        <v/>
      </c>
      <c r="Q738" s="50" t="n"/>
      <c r="R738" s="51" t="n"/>
      <c r="S738" s="49" t="n"/>
      <c r="T738" s="49" t="n"/>
      <c r="U738" s="48">
        <f>IF(OR($B738="",$K738=""),"",WORKDAY($B738,IFERROR(INDEX(CONFIG!$C$4:$C$43,MATCH($K738,CONFIG!$A$4:$A$43,0)),3)))</f>
        <v/>
      </c>
      <c r="V738" s="46" t="n"/>
      <c r="W738" s="23">
        <f>IF($B738="","",IF($V738&lt;&gt;"",$V738-$B738,TODAY()-$B738))</f>
        <v/>
      </c>
      <c r="X738" s="27">
        <f>IF($C738="","",IF(IFERROR(INDEX(CONFIG!$K$4:$K$43,MATCH($S738,CONFIG!$J$4:$J$43,0)),"NO")="SÍ",IF(OR($V738="",$U738=""),"Resuelta",IF($V738&gt;$U738,"Resuelta tarde","Resuelta a tiempo")),IF($U738="","Sin clasificar",IF(TODAY()&gt;$U738,"Vencida",IF(TODAY()&gt;=$U738-1,"Por vencer","En plazo")))))</f>
        <v/>
      </c>
      <c r="Y738" s="49" t="n"/>
      <c r="Z738" s="49" t="n"/>
    </row>
    <row r="739" ht="16" customHeight="1">
      <c r="A739" s="27">
        <f>IF($C739="","","N-"&amp;TEXT(ROW()-3,"0000"))</f>
        <v/>
      </c>
      <c r="B739" s="46" t="n"/>
      <c r="C739" s="47" t="n"/>
      <c r="D739" s="27">
        <f>IF($C739="","",IF(COUNTIFS(ENVIOS!$A$4:$A$3003,$C739)=0,"NO EXISTE",IF(COUNTIFS(ENVIOS!$A$4:$A$3003,$C739)&gt;1,"DUPLICADA","OK")))</f>
        <v/>
      </c>
      <c r="E739" s="22">
        <f>IF($C739="","",IFERROR(INDEX(ENVIOS!$C$4:$C$3003,MATCH($C739,ENVIOS!$A$4:$A$3003,0)),"—"))</f>
        <v/>
      </c>
      <c r="F739" s="22">
        <f>IF($C739="","",IFERROR(INDEX(ENVIOS!$D$4:$D$3003,MATCH($C739,ENVIOS!$A$4:$A$3003,0)),"—"))</f>
        <v/>
      </c>
      <c r="G739" s="22">
        <f>IF($C739="","",IFERROR(INDEX(ENVIOS!$E$4:$E$3003,MATCH($C739,ENVIOS!$A$4:$A$3003,0)),"—"))</f>
        <v/>
      </c>
      <c r="H739" s="22">
        <f>IF($C739="","",IFERROR(INDEX(ENVIOS!$F$4:$F$3003,MATCH($C739,ENVIOS!$A$4:$A$3003,0)),"—"))</f>
        <v/>
      </c>
      <c r="I739" s="27">
        <f>IF($C739="","",IFERROR(INDEX(ENVIOS!$G$4:$G$3003,MATCH($C739,ENVIOS!$A$4:$A$3003,0)),"—"))</f>
        <v/>
      </c>
      <c r="J739" s="48">
        <f>IF($C739="","",IFERROR(INDEX(ENVIOS!$B$4:$B$3003,MATCH($C739,ENVIOS!$A$4:$A$3003,0)),""))</f>
        <v/>
      </c>
      <c r="K739" s="49" t="n"/>
      <c r="L739" s="27">
        <f>IF($K739="","",IFERROR(INDEX(CONFIG!$B$4:$B$43,MATCH($K739,CONFIG!$A$4:$A$43,0)),"Media"))</f>
        <v/>
      </c>
      <c r="M739" s="27">
        <f>IF($K739="","",IFERROR(INDEX(CONFIG!$D$4:$D$43,MATCH($K739,CONFIG!$A$4:$A$43,0)),"NO"))</f>
        <v/>
      </c>
      <c r="N739" s="49" t="n"/>
      <c r="O739" s="27">
        <f>IF($N739="","",IFERROR(INDEX(CONFIG!$G$4:$G$43,MATCH($N739,CONFIG!$F$4:$F$43,0)),"Por definir"))</f>
        <v/>
      </c>
      <c r="P739" s="27">
        <f>IF($N739="","",IFERROR(INDEX(CONFIG!$H$4:$H$43,MATCH($N739,CONFIG!$F$4:$F$43,0)),"Por definir"))</f>
        <v/>
      </c>
      <c r="Q739" s="50" t="n"/>
      <c r="R739" s="51" t="n"/>
      <c r="S739" s="49" t="n"/>
      <c r="T739" s="49" t="n"/>
      <c r="U739" s="48">
        <f>IF(OR($B739="",$K739=""),"",WORKDAY($B739,IFERROR(INDEX(CONFIG!$C$4:$C$43,MATCH($K739,CONFIG!$A$4:$A$43,0)),3)))</f>
        <v/>
      </c>
      <c r="V739" s="46" t="n"/>
      <c r="W739" s="23">
        <f>IF($B739="","",IF($V739&lt;&gt;"",$V739-$B739,TODAY()-$B739))</f>
        <v/>
      </c>
      <c r="X739" s="27">
        <f>IF($C739="","",IF(IFERROR(INDEX(CONFIG!$K$4:$K$43,MATCH($S739,CONFIG!$J$4:$J$43,0)),"NO")="SÍ",IF(OR($V739="",$U739=""),"Resuelta",IF($V739&gt;$U739,"Resuelta tarde","Resuelta a tiempo")),IF($U739="","Sin clasificar",IF(TODAY()&gt;$U739,"Vencida",IF(TODAY()&gt;=$U739-1,"Por vencer","En plazo")))))</f>
        <v/>
      </c>
      <c r="Y739" s="49" t="n"/>
      <c r="Z739" s="49" t="n"/>
    </row>
    <row r="740" ht="16" customHeight="1">
      <c r="A740" s="27">
        <f>IF($C740="","","N-"&amp;TEXT(ROW()-3,"0000"))</f>
        <v/>
      </c>
      <c r="B740" s="46" t="n"/>
      <c r="C740" s="47" t="n"/>
      <c r="D740" s="27">
        <f>IF($C740="","",IF(COUNTIFS(ENVIOS!$A$4:$A$3003,$C740)=0,"NO EXISTE",IF(COUNTIFS(ENVIOS!$A$4:$A$3003,$C740)&gt;1,"DUPLICADA","OK")))</f>
        <v/>
      </c>
      <c r="E740" s="22">
        <f>IF($C740="","",IFERROR(INDEX(ENVIOS!$C$4:$C$3003,MATCH($C740,ENVIOS!$A$4:$A$3003,0)),"—"))</f>
        <v/>
      </c>
      <c r="F740" s="22">
        <f>IF($C740="","",IFERROR(INDEX(ENVIOS!$D$4:$D$3003,MATCH($C740,ENVIOS!$A$4:$A$3003,0)),"—"))</f>
        <v/>
      </c>
      <c r="G740" s="22">
        <f>IF($C740="","",IFERROR(INDEX(ENVIOS!$E$4:$E$3003,MATCH($C740,ENVIOS!$A$4:$A$3003,0)),"—"))</f>
        <v/>
      </c>
      <c r="H740" s="22">
        <f>IF($C740="","",IFERROR(INDEX(ENVIOS!$F$4:$F$3003,MATCH($C740,ENVIOS!$A$4:$A$3003,0)),"—"))</f>
        <v/>
      </c>
      <c r="I740" s="27">
        <f>IF($C740="","",IFERROR(INDEX(ENVIOS!$G$4:$G$3003,MATCH($C740,ENVIOS!$A$4:$A$3003,0)),"—"))</f>
        <v/>
      </c>
      <c r="J740" s="48">
        <f>IF($C740="","",IFERROR(INDEX(ENVIOS!$B$4:$B$3003,MATCH($C740,ENVIOS!$A$4:$A$3003,0)),""))</f>
        <v/>
      </c>
      <c r="K740" s="49" t="n"/>
      <c r="L740" s="27">
        <f>IF($K740="","",IFERROR(INDEX(CONFIG!$B$4:$B$43,MATCH($K740,CONFIG!$A$4:$A$43,0)),"Media"))</f>
        <v/>
      </c>
      <c r="M740" s="27">
        <f>IF($K740="","",IFERROR(INDEX(CONFIG!$D$4:$D$43,MATCH($K740,CONFIG!$A$4:$A$43,0)),"NO"))</f>
        <v/>
      </c>
      <c r="N740" s="49" t="n"/>
      <c r="O740" s="27">
        <f>IF($N740="","",IFERROR(INDEX(CONFIG!$G$4:$G$43,MATCH($N740,CONFIG!$F$4:$F$43,0)),"Por definir"))</f>
        <v/>
      </c>
      <c r="P740" s="27">
        <f>IF($N740="","",IFERROR(INDEX(CONFIG!$H$4:$H$43,MATCH($N740,CONFIG!$F$4:$F$43,0)),"Por definir"))</f>
        <v/>
      </c>
      <c r="Q740" s="50" t="n"/>
      <c r="R740" s="51" t="n"/>
      <c r="S740" s="49" t="n"/>
      <c r="T740" s="49" t="n"/>
      <c r="U740" s="48">
        <f>IF(OR($B740="",$K740=""),"",WORKDAY($B740,IFERROR(INDEX(CONFIG!$C$4:$C$43,MATCH($K740,CONFIG!$A$4:$A$43,0)),3)))</f>
        <v/>
      </c>
      <c r="V740" s="46" t="n"/>
      <c r="W740" s="23">
        <f>IF($B740="","",IF($V740&lt;&gt;"",$V740-$B740,TODAY()-$B740))</f>
        <v/>
      </c>
      <c r="X740" s="27">
        <f>IF($C740="","",IF(IFERROR(INDEX(CONFIG!$K$4:$K$43,MATCH($S740,CONFIG!$J$4:$J$43,0)),"NO")="SÍ",IF(OR($V740="",$U740=""),"Resuelta",IF($V740&gt;$U740,"Resuelta tarde","Resuelta a tiempo")),IF($U740="","Sin clasificar",IF(TODAY()&gt;$U740,"Vencida",IF(TODAY()&gt;=$U740-1,"Por vencer","En plazo")))))</f>
        <v/>
      </c>
      <c r="Y740" s="49" t="n"/>
      <c r="Z740" s="49" t="n"/>
    </row>
    <row r="741" ht="16" customHeight="1">
      <c r="A741" s="27">
        <f>IF($C741="","","N-"&amp;TEXT(ROW()-3,"0000"))</f>
        <v/>
      </c>
      <c r="B741" s="46" t="n"/>
      <c r="C741" s="47" t="n"/>
      <c r="D741" s="27">
        <f>IF($C741="","",IF(COUNTIFS(ENVIOS!$A$4:$A$3003,$C741)=0,"NO EXISTE",IF(COUNTIFS(ENVIOS!$A$4:$A$3003,$C741)&gt;1,"DUPLICADA","OK")))</f>
        <v/>
      </c>
      <c r="E741" s="22">
        <f>IF($C741="","",IFERROR(INDEX(ENVIOS!$C$4:$C$3003,MATCH($C741,ENVIOS!$A$4:$A$3003,0)),"—"))</f>
        <v/>
      </c>
      <c r="F741" s="22">
        <f>IF($C741="","",IFERROR(INDEX(ENVIOS!$D$4:$D$3003,MATCH($C741,ENVIOS!$A$4:$A$3003,0)),"—"))</f>
        <v/>
      </c>
      <c r="G741" s="22">
        <f>IF($C741="","",IFERROR(INDEX(ENVIOS!$E$4:$E$3003,MATCH($C741,ENVIOS!$A$4:$A$3003,0)),"—"))</f>
        <v/>
      </c>
      <c r="H741" s="22">
        <f>IF($C741="","",IFERROR(INDEX(ENVIOS!$F$4:$F$3003,MATCH($C741,ENVIOS!$A$4:$A$3003,0)),"—"))</f>
        <v/>
      </c>
      <c r="I741" s="27">
        <f>IF($C741="","",IFERROR(INDEX(ENVIOS!$G$4:$G$3003,MATCH($C741,ENVIOS!$A$4:$A$3003,0)),"—"))</f>
        <v/>
      </c>
      <c r="J741" s="48">
        <f>IF($C741="","",IFERROR(INDEX(ENVIOS!$B$4:$B$3003,MATCH($C741,ENVIOS!$A$4:$A$3003,0)),""))</f>
        <v/>
      </c>
      <c r="K741" s="49" t="n"/>
      <c r="L741" s="27">
        <f>IF($K741="","",IFERROR(INDEX(CONFIG!$B$4:$B$43,MATCH($K741,CONFIG!$A$4:$A$43,0)),"Media"))</f>
        <v/>
      </c>
      <c r="M741" s="27">
        <f>IF($K741="","",IFERROR(INDEX(CONFIG!$D$4:$D$43,MATCH($K741,CONFIG!$A$4:$A$43,0)),"NO"))</f>
        <v/>
      </c>
      <c r="N741" s="49" t="n"/>
      <c r="O741" s="27">
        <f>IF($N741="","",IFERROR(INDEX(CONFIG!$G$4:$G$43,MATCH($N741,CONFIG!$F$4:$F$43,0)),"Por definir"))</f>
        <v/>
      </c>
      <c r="P741" s="27">
        <f>IF($N741="","",IFERROR(INDEX(CONFIG!$H$4:$H$43,MATCH($N741,CONFIG!$F$4:$F$43,0)),"Por definir"))</f>
        <v/>
      </c>
      <c r="Q741" s="50" t="n"/>
      <c r="R741" s="51" t="n"/>
      <c r="S741" s="49" t="n"/>
      <c r="T741" s="49" t="n"/>
      <c r="U741" s="48">
        <f>IF(OR($B741="",$K741=""),"",WORKDAY($B741,IFERROR(INDEX(CONFIG!$C$4:$C$43,MATCH($K741,CONFIG!$A$4:$A$43,0)),3)))</f>
        <v/>
      </c>
      <c r="V741" s="46" t="n"/>
      <c r="W741" s="23">
        <f>IF($B741="","",IF($V741&lt;&gt;"",$V741-$B741,TODAY()-$B741))</f>
        <v/>
      </c>
      <c r="X741" s="27">
        <f>IF($C741="","",IF(IFERROR(INDEX(CONFIG!$K$4:$K$43,MATCH($S741,CONFIG!$J$4:$J$43,0)),"NO")="SÍ",IF(OR($V741="",$U741=""),"Resuelta",IF($V741&gt;$U741,"Resuelta tarde","Resuelta a tiempo")),IF($U741="","Sin clasificar",IF(TODAY()&gt;$U741,"Vencida",IF(TODAY()&gt;=$U741-1,"Por vencer","En plazo")))))</f>
        <v/>
      </c>
      <c r="Y741" s="49" t="n"/>
      <c r="Z741" s="49" t="n"/>
    </row>
    <row r="742" ht="16" customHeight="1">
      <c r="A742" s="27">
        <f>IF($C742="","","N-"&amp;TEXT(ROW()-3,"0000"))</f>
        <v/>
      </c>
      <c r="B742" s="46" t="n"/>
      <c r="C742" s="47" t="n"/>
      <c r="D742" s="27">
        <f>IF($C742="","",IF(COUNTIFS(ENVIOS!$A$4:$A$3003,$C742)=0,"NO EXISTE",IF(COUNTIFS(ENVIOS!$A$4:$A$3003,$C742)&gt;1,"DUPLICADA","OK")))</f>
        <v/>
      </c>
      <c r="E742" s="22">
        <f>IF($C742="","",IFERROR(INDEX(ENVIOS!$C$4:$C$3003,MATCH($C742,ENVIOS!$A$4:$A$3003,0)),"—"))</f>
        <v/>
      </c>
      <c r="F742" s="22">
        <f>IF($C742="","",IFERROR(INDEX(ENVIOS!$D$4:$D$3003,MATCH($C742,ENVIOS!$A$4:$A$3003,0)),"—"))</f>
        <v/>
      </c>
      <c r="G742" s="22">
        <f>IF($C742="","",IFERROR(INDEX(ENVIOS!$E$4:$E$3003,MATCH($C742,ENVIOS!$A$4:$A$3003,0)),"—"))</f>
        <v/>
      </c>
      <c r="H742" s="22">
        <f>IF($C742="","",IFERROR(INDEX(ENVIOS!$F$4:$F$3003,MATCH($C742,ENVIOS!$A$4:$A$3003,0)),"—"))</f>
        <v/>
      </c>
      <c r="I742" s="27">
        <f>IF($C742="","",IFERROR(INDEX(ENVIOS!$G$4:$G$3003,MATCH($C742,ENVIOS!$A$4:$A$3003,0)),"—"))</f>
        <v/>
      </c>
      <c r="J742" s="48">
        <f>IF($C742="","",IFERROR(INDEX(ENVIOS!$B$4:$B$3003,MATCH($C742,ENVIOS!$A$4:$A$3003,0)),""))</f>
        <v/>
      </c>
      <c r="K742" s="49" t="n"/>
      <c r="L742" s="27">
        <f>IF($K742="","",IFERROR(INDEX(CONFIG!$B$4:$B$43,MATCH($K742,CONFIG!$A$4:$A$43,0)),"Media"))</f>
        <v/>
      </c>
      <c r="M742" s="27">
        <f>IF($K742="","",IFERROR(INDEX(CONFIG!$D$4:$D$43,MATCH($K742,CONFIG!$A$4:$A$43,0)),"NO"))</f>
        <v/>
      </c>
      <c r="N742" s="49" t="n"/>
      <c r="O742" s="27">
        <f>IF($N742="","",IFERROR(INDEX(CONFIG!$G$4:$G$43,MATCH($N742,CONFIG!$F$4:$F$43,0)),"Por definir"))</f>
        <v/>
      </c>
      <c r="P742" s="27">
        <f>IF($N742="","",IFERROR(INDEX(CONFIG!$H$4:$H$43,MATCH($N742,CONFIG!$F$4:$F$43,0)),"Por definir"))</f>
        <v/>
      </c>
      <c r="Q742" s="50" t="n"/>
      <c r="R742" s="51" t="n"/>
      <c r="S742" s="49" t="n"/>
      <c r="T742" s="49" t="n"/>
      <c r="U742" s="48">
        <f>IF(OR($B742="",$K742=""),"",WORKDAY($B742,IFERROR(INDEX(CONFIG!$C$4:$C$43,MATCH($K742,CONFIG!$A$4:$A$43,0)),3)))</f>
        <v/>
      </c>
      <c r="V742" s="46" t="n"/>
      <c r="W742" s="23">
        <f>IF($B742="","",IF($V742&lt;&gt;"",$V742-$B742,TODAY()-$B742))</f>
        <v/>
      </c>
      <c r="X742" s="27">
        <f>IF($C742="","",IF(IFERROR(INDEX(CONFIG!$K$4:$K$43,MATCH($S742,CONFIG!$J$4:$J$43,0)),"NO")="SÍ",IF(OR($V742="",$U742=""),"Resuelta",IF($V742&gt;$U742,"Resuelta tarde","Resuelta a tiempo")),IF($U742="","Sin clasificar",IF(TODAY()&gt;$U742,"Vencida",IF(TODAY()&gt;=$U742-1,"Por vencer","En plazo")))))</f>
        <v/>
      </c>
      <c r="Y742" s="49" t="n"/>
      <c r="Z742" s="49" t="n"/>
    </row>
    <row r="743" ht="16" customHeight="1">
      <c r="A743" s="27">
        <f>IF($C743="","","N-"&amp;TEXT(ROW()-3,"0000"))</f>
        <v/>
      </c>
      <c r="B743" s="46" t="n"/>
      <c r="C743" s="47" t="n"/>
      <c r="D743" s="27">
        <f>IF($C743="","",IF(COUNTIFS(ENVIOS!$A$4:$A$3003,$C743)=0,"NO EXISTE",IF(COUNTIFS(ENVIOS!$A$4:$A$3003,$C743)&gt;1,"DUPLICADA","OK")))</f>
        <v/>
      </c>
      <c r="E743" s="22">
        <f>IF($C743="","",IFERROR(INDEX(ENVIOS!$C$4:$C$3003,MATCH($C743,ENVIOS!$A$4:$A$3003,0)),"—"))</f>
        <v/>
      </c>
      <c r="F743" s="22">
        <f>IF($C743="","",IFERROR(INDEX(ENVIOS!$D$4:$D$3003,MATCH($C743,ENVIOS!$A$4:$A$3003,0)),"—"))</f>
        <v/>
      </c>
      <c r="G743" s="22">
        <f>IF($C743="","",IFERROR(INDEX(ENVIOS!$E$4:$E$3003,MATCH($C743,ENVIOS!$A$4:$A$3003,0)),"—"))</f>
        <v/>
      </c>
      <c r="H743" s="22">
        <f>IF($C743="","",IFERROR(INDEX(ENVIOS!$F$4:$F$3003,MATCH($C743,ENVIOS!$A$4:$A$3003,0)),"—"))</f>
        <v/>
      </c>
      <c r="I743" s="27">
        <f>IF($C743="","",IFERROR(INDEX(ENVIOS!$G$4:$G$3003,MATCH($C743,ENVIOS!$A$4:$A$3003,0)),"—"))</f>
        <v/>
      </c>
      <c r="J743" s="48">
        <f>IF($C743="","",IFERROR(INDEX(ENVIOS!$B$4:$B$3003,MATCH($C743,ENVIOS!$A$4:$A$3003,0)),""))</f>
        <v/>
      </c>
      <c r="K743" s="49" t="n"/>
      <c r="L743" s="27">
        <f>IF($K743="","",IFERROR(INDEX(CONFIG!$B$4:$B$43,MATCH($K743,CONFIG!$A$4:$A$43,0)),"Media"))</f>
        <v/>
      </c>
      <c r="M743" s="27">
        <f>IF($K743="","",IFERROR(INDEX(CONFIG!$D$4:$D$43,MATCH($K743,CONFIG!$A$4:$A$43,0)),"NO"))</f>
        <v/>
      </c>
      <c r="N743" s="49" t="n"/>
      <c r="O743" s="27">
        <f>IF($N743="","",IFERROR(INDEX(CONFIG!$G$4:$G$43,MATCH($N743,CONFIG!$F$4:$F$43,0)),"Por definir"))</f>
        <v/>
      </c>
      <c r="P743" s="27">
        <f>IF($N743="","",IFERROR(INDEX(CONFIG!$H$4:$H$43,MATCH($N743,CONFIG!$F$4:$F$43,0)),"Por definir"))</f>
        <v/>
      </c>
      <c r="Q743" s="50" t="n"/>
      <c r="R743" s="51" t="n"/>
      <c r="S743" s="49" t="n"/>
      <c r="T743" s="49" t="n"/>
      <c r="U743" s="48">
        <f>IF(OR($B743="",$K743=""),"",WORKDAY($B743,IFERROR(INDEX(CONFIG!$C$4:$C$43,MATCH($K743,CONFIG!$A$4:$A$43,0)),3)))</f>
        <v/>
      </c>
      <c r="V743" s="46" t="n"/>
      <c r="W743" s="23">
        <f>IF($B743="","",IF($V743&lt;&gt;"",$V743-$B743,TODAY()-$B743))</f>
        <v/>
      </c>
      <c r="X743" s="27">
        <f>IF($C743="","",IF(IFERROR(INDEX(CONFIG!$K$4:$K$43,MATCH($S743,CONFIG!$J$4:$J$43,0)),"NO")="SÍ",IF(OR($V743="",$U743=""),"Resuelta",IF($V743&gt;$U743,"Resuelta tarde","Resuelta a tiempo")),IF($U743="","Sin clasificar",IF(TODAY()&gt;$U743,"Vencida",IF(TODAY()&gt;=$U743-1,"Por vencer","En plazo")))))</f>
        <v/>
      </c>
      <c r="Y743" s="49" t="n"/>
      <c r="Z743" s="49" t="n"/>
    </row>
    <row r="744" ht="16" customHeight="1">
      <c r="A744" s="27">
        <f>IF($C744="","","N-"&amp;TEXT(ROW()-3,"0000"))</f>
        <v/>
      </c>
      <c r="B744" s="46" t="n"/>
      <c r="C744" s="47" t="n"/>
      <c r="D744" s="27">
        <f>IF($C744="","",IF(COUNTIFS(ENVIOS!$A$4:$A$3003,$C744)=0,"NO EXISTE",IF(COUNTIFS(ENVIOS!$A$4:$A$3003,$C744)&gt;1,"DUPLICADA","OK")))</f>
        <v/>
      </c>
      <c r="E744" s="22">
        <f>IF($C744="","",IFERROR(INDEX(ENVIOS!$C$4:$C$3003,MATCH($C744,ENVIOS!$A$4:$A$3003,0)),"—"))</f>
        <v/>
      </c>
      <c r="F744" s="22">
        <f>IF($C744="","",IFERROR(INDEX(ENVIOS!$D$4:$D$3003,MATCH($C744,ENVIOS!$A$4:$A$3003,0)),"—"))</f>
        <v/>
      </c>
      <c r="G744" s="22">
        <f>IF($C744="","",IFERROR(INDEX(ENVIOS!$E$4:$E$3003,MATCH($C744,ENVIOS!$A$4:$A$3003,0)),"—"))</f>
        <v/>
      </c>
      <c r="H744" s="22">
        <f>IF($C744="","",IFERROR(INDEX(ENVIOS!$F$4:$F$3003,MATCH($C744,ENVIOS!$A$4:$A$3003,0)),"—"))</f>
        <v/>
      </c>
      <c r="I744" s="27">
        <f>IF($C744="","",IFERROR(INDEX(ENVIOS!$G$4:$G$3003,MATCH($C744,ENVIOS!$A$4:$A$3003,0)),"—"))</f>
        <v/>
      </c>
      <c r="J744" s="48">
        <f>IF($C744="","",IFERROR(INDEX(ENVIOS!$B$4:$B$3003,MATCH($C744,ENVIOS!$A$4:$A$3003,0)),""))</f>
        <v/>
      </c>
      <c r="K744" s="49" t="n"/>
      <c r="L744" s="27">
        <f>IF($K744="","",IFERROR(INDEX(CONFIG!$B$4:$B$43,MATCH($K744,CONFIG!$A$4:$A$43,0)),"Media"))</f>
        <v/>
      </c>
      <c r="M744" s="27">
        <f>IF($K744="","",IFERROR(INDEX(CONFIG!$D$4:$D$43,MATCH($K744,CONFIG!$A$4:$A$43,0)),"NO"))</f>
        <v/>
      </c>
      <c r="N744" s="49" t="n"/>
      <c r="O744" s="27">
        <f>IF($N744="","",IFERROR(INDEX(CONFIG!$G$4:$G$43,MATCH($N744,CONFIG!$F$4:$F$43,0)),"Por definir"))</f>
        <v/>
      </c>
      <c r="P744" s="27">
        <f>IF($N744="","",IFERROR(INDEX(CONFIG!$H$4:$H$43,MATCH($N744,CONFIG!$F$4:$F$43,0)),"Por definir"))</f>
        <v/>
      </c>
      <c r="Q744" s="50" t="n"/>
      <c r="R744" s="51" t="n"/>
      <c r="S744" s="49" t="n"/>
      <c r="T744" s="49" t="n"/>
      <c r="U744" s="48">
        <f>IF(OR($B744="",$K744=""),"",WORKDAY($B744,IFERROR(INDEX(CONFIG!$C$4:$C$43,MATCH($K744,CONFIG!$A$4:$A$43,0)),3)))</f>
        <v/>
      </c>
      <c r="V744" s="46" t="n"/>
      <c r="W744" s="23">
        <f>IF($B744="","",IF($V744&lt;&gt;"",$V744-$B744,TODAY()-$B744))</f>
        <v/>
      </c>
      <c r="X744" s="27">
        <f>IF($C744="","",IF(IFERROR(INDEX(CONFIG!$K$4:$K$43,MATCH($S744,CONFIG!$J$4:$J$43,0)),"NO")="SÍ",IF(OR($V744="",$U744=""),"Resuelta",IF($V744&gt;$U744,"Resuelta tarde","Resuelta a tiempo")),IF($U744="","Sin clasificar",IF(TODAY()&gt;$U744,"Vencida",IF(TODAY()&gt;=$U744-1,"Por vencer","En plazo")))))</f>
        <v/>
      </c>
      <c r="Y744" s="49" t="n"/>
      <c r="Z744" s="49" t="n"/>
    </row>
    <row r="745" ht="16" customHeight="1">
      <c r="A745" s="27">
        <f>IF($C745="","","N-"&amp;TEXT(ROW()-3,"0000"))</f>
        <v/>
      </c>
      <c r="B745" s="46" t="n"/>
      <c r="C745" s="47" t="n"/>
      <c r="D745" s="27">
        <f>IF($C745="","",IF(COUNTIFS(ENVIOS!$A$4:$A$3003,$C745)=0,"NO EXISTE",IF(COUNTIFS(ENVIOS!$A$4:$A$3003,$C745)&gt;1,"DUPLICADA","OK")))</f>
        <v/>
      </c>
      <c r="E745" s="22">
        <f>IF($C745="","",IFERROR(INDEX(ENVIOS!$C$4:$C$3003,MATCH($C745,ENVIOS!$A$4:$A$3003,0)),"—"))</f>
        <v/>
      </c>
      <c r="F745" s="22">
        <f>IF($C745="","",IFERROR(INDEX(ENVIOS!$D$4:$D$3003,MATCH($C745,ENVIOS!$A$4:$A$3003,0)),"—"))</f>
        <v/>
      </c>
      <c r="G745" s="22">
        <f>IF($C745="","",IFERROR(INDEX(ENVIOS!$E$4:$E$3003,MATCH($C745,ENVIOS!$A$4:$A$3003,0)),"—"))</f>
        <v/>
      </c>
      <c r="H745" s="22">
        <f>IF($C745="","",IFERROR(INDEX(ENVIOS!$F$4:$F$3003,MATCH($C745,ENVIOS!$A$4:$A$3003,0)),"—"))</f>
        <v/>
      </c>
      <c r="I745" s="27">
        <f>IF($C745="","",IFERROR(INDEX(ENVIOS!$G$4:$G$3003,MATCH($C745,ENVIOS!$A$4:$A$3003,0)),"—"))</f>
        <v/>
      </c>
      <c r="J745" s="48">
        <f>IF($C745="","",IFERROR(INDEX(ENVIOS!$B$4:$B$3003,MATCH($C745,ENVIOS!$A$4:$A$3003,0)),""))</f>
        <v/>
      </c>
      <c r="K745" s="49" t="n"/>
      <c r="L745" s="27">
        <f>IF($K745="","",IFERROR(INDEX(CONFIG!$B$4:$B$43,MATCH($K745,CONFIG!$A$4:$A$43,0)),"Media"))</f>
        <v/>
      </c>
      <c r="M745" s="27">
        <f>IF($K745="","",IFERROR(INDEX(CONFIG!$D$4:$D$43,MATCH($K745,CONFIG!$A$4:$A$43,0)),"NO"))</f>
        <v/>
      </c>
      <c r="N745" s="49" t="n"/>
      <c r="O745" s="27">
        <f>IF($N745="","",IFERROR(INDEX(CONFIG!$G$4:$G$43,MATCH($N745,CONFIG!$F$4:$F$43,0)),"Por definir"))</f>
        <v/>
      </c>
      <c r="P745" s="27">
        <f>IF($N745="","",IFERROR(INDEX(CONFIG!$H$4:$H$43,MATCH($N745,CONFIG!$F$4:$F$43,0)),"Por definir"))</f>
        <v/>
      </c>
      <c r="Q745" s="50" t="n"/>
      <c r="R745" s="51" t="n"/>
      <c r="S745" s="49" t="n"/>
      <c r="T745" s="49" t="n"/>
      <c r="U745" s="48">
        <f>IF(OR($B745="",$K745=""),"",WORKDAY($B745,IFERROR(INDEX(CONFIG!$C$4:$C$43,MATCH($K745,CONFIG!$A$4:$A$43,0)),3)))</f>
        <v/>
      </c>
      <c r="V745" s="46" t="n"/>
      <c r="W745" s="23">
        <f>IF($B745="","",IF($V745&lt;&gt;"",$V745-$B745,TODAY()-$B745))</f>
        <v/>
      </c>
      <c r="X745" s="27">
        <f>IF($C745="","",IF(IFERROR(INDEX(CONFIG!$K$4:$K$43,MATCH($S745,CONFIG!$J$4:$J$43,0)),"NO")="SÍ",IF(OR($V745="",$U745=""),"Resuelta",IF($V745&gt;$U745,"Resuelta tarde","Resuelta a tiempo")),IF($U745="","Sin clasificar",IF(TODAY()&gt;$U745,"Vencida",IF(TODAY()&gt;=$U745-1,"Por vencer","En plazo")))))</f>
        <v/>
      </c>
      <c r="Y745" s="49" t="n"/>
      <c r="Z745" s="49" t="n"/>
    </row>
    <row r="746" ht="16" customHeight="1">
      <c r="A746" s="27">
        <f>IF($C746="","","N-"&amp;TEXT(ROW()-3,"0000"))</f>
        <v/>
      </c>
      <c r="B746" s="46" t="n"/>
      <c r="C746" s="47" t="n"/>
      <c r="D746" s="27">
        <f>IF($C746="","",IF(COUNTIFS(ENVIOS!$A$4:$A$3003,$C746)=0,"NO EXISTE",IF(COUNTIFS(ENVIOS!$A$4:$A$3003,$C746)&gt;1,"DUPLICADA","OK")))</f>
        <v/>
      </c>
      <c r="E746" s="22">
        <f>IF($C746="","",IFERROR(INDEX(ENVIOS!$C$4:$C$3003,MATCH($C746,ENVIOS!$A$4:$A$3003,0)),"—"))</f>
        <v/>
      </c>
      <c r="F746" s="22">
        <f>IF($C746="","",IFERROR(INDEX(ENVIOS!$D$4:$D$3003,MATCH($C746,ENVIOS!$A$4:$A$3003,0)),"—"))</f>
        <v/>
      </c>
      <c r="G746" s="22">
        <f>IF($C746="","",IFERROR(INDEX(ENVIOS!$E$4:$E$3003,MATCH($C746,ENVIOS!$A$4:$A$3003,0)),"—"))</f>
        <v/>
      </c>
      <c r="H746" s="22">
        <f>IF($C746="","",IFERROR(INDEX(ENVIOS!$F$4:$F$3003,MATCH($C746,ENVIOS!$A$4:$A$3003,0)),"—"))</f>
        <v/>
      </c>
      <c r="I746" s="27">
        <f>IF($C746="","",IFERROR(INDEX(ENVIOS!$G$4:$G$3003,MATCH($C746,ENVIOS!$A$4:$A$3003,0)),"—"))</f>
        <v/>
      </c>
      <c r="J746" s="48">
        <f>IF($C746="","",IFERROR(INDEX(ENVIOS!$B$4:$B$3003,MATCH($C746,ENVIOS!$A$4:$A$3003,0)),""))</f>
        <v/>
      </c>
      <c r="K746" s="49" t="n"/>
      <c r="L746" s="27">
        <f>IF($K746="","",IFERROR(INDEX(CONFIG!$B$4:$B$43,MATCH($K746,CONFIG!$A$4:$A$43,0)),"Media"))</f>
        <v/>
      </c>
      <c r="M746" s="27">
        <f>IF($K746="","",IFERROR(INDEX(CONFIG!$D$4:$D$43,MATCH($K746,CONFIG!$A$4:$A$43,0)),"NO"))</f>
        <v/>
      </c>
      <c r="N746" s="49" t="n"/>
      <c r="O746" s="27">
        <f>IF($N746="","",IFERROR(INDEX(CONFIG!$G$4:$G$43,MATCH($N746,CONFIG!$F$4:$F$43,0)),"Por definir"))</f>
        <v/>
      </c>
      <c r="P746" s="27">
        <f>IF($N746="","",IFERROR(INDEX(CONFIG!$H$4:$H$43,MATCH($N746,CONFIG!$F$4:$F$43,0)),"Por definir"))</f>
        <v/>
      </c>
      <c r="Q746" s="50" t="n"/>
      <c r="R746" s="51" t="n"/>
      <c r="S746" s="49" t="n"/>
      <c r="T746" s="49" t="n"/>
      <c r="U746" s="48">
        <f>IF(OR($B746="",$K746=""),"",WORKDAY($B746,IFERROR(INDEX(CONFIG!$C$4:$C$43,MATCH($K746,CONFIG!$A$4:$A$43,0)),3)))</f>
        <v/>
      </c>
      <c r="V746" s="46" t="n"/>
      <c r="W746" s="23">
        <f>IF($B746="","",IF($V746&lt;&gt;"",$V746-$B746,TODAY()-$B746))</f>
        <v/>
      </c>
      <c r="X746" s="27">
        <f>IF($C746="","",IF(IFERROR(INDEX(CONFIG!$K$4:$K$43,MATCH($S746,CONFIG!$J$4:$J$43,0)),"NO")="SÍ",IF(OR($V746="",$U746=""),"Resuelta",IF($V746&gt;$U746,"Resuelta tarde","Resuelta a tiempo")),IF($U746="","Sin clasificar",IF(TODAY()&gt;$U746,"Vencida",IF(TODAY()&gt;=$U746-1,"Por vencer","En plazo")))))</f>
        <v/>
      </c>
      <c r="Y746" s="49" t="n"/>
      <c r="Z746" s="49" t="n"/>
    </row>
    <row r="747" ht="16" customHeight="1">
      <c r="A747" s="27">
        <f>IF($C747="","","N-"&amp;TEXT(ROW()-3,"0000"))</f>
        <v/>
      </c>
      <c r="B747" s="46" t="n"/>
      <c r="C747" s="47" t="n"/>
      <c r="D747" s="27">
        <f>IF($C747="","",IF(COUNTIFS(ENVIOS!$A$4:$A$3003,$C747)=0,"NO EXISTE",IF(COUNTIFS(ENVIOS!$A$4:$A$3003,$C747)&gt;1,"DUPLICADA","OK")))</f>
        <v/>
      </c>
      <c r="E747" s="22">
        <f>IF($C747="","",IFERROR(INDEX(ENVIOS!$C$4:$C$3003,MATCH($C747,ENVIOS!$A$4:$A$3003,0)),"—"))</f>
        <v/>
      </c>
      <c r="F747" s="22">
        <f>IF($C747="","",IFERROR(INDEX(ENVIOS!$D$4:$D$3003,MATCH($C747,ENVIOS!$A$4:$A$3003,0)),"—"))</f>
        <v/>
      </c>
      <c r="G747" s="22">
        <f>IF($C747="","",IFERROR(INDEX(ENVIOS!$E$4:$E$3003,MATCH($C747,ENVIOS!$A$4:$A$3003,0)),"—"))</f>
        <v/>
      </c>
      <c r="H747" s="22">
        <f>IF($C747="","",IFERROR(INDEX(ENVIOS!$F$4:$F$3003,MATCH($C747,ENVIOS!$A$4:$A$3003,0)),"—"))</f>
        <v/>
      </c>
      <c r="I747" s="27">
        <f>IF($C747="","",IFERROR(INDEX(ENVIOS!$G$4:$G$3003,MATCH($C747,ENVIOS!$A$4:$A$3003,0)),"—"))</f>
        <v/>
      </c>
      <c r="J747" s="48">
        <f>IF($C747="","",IFERROR(INDEX(ENVIOS!$B$4:$B$3003,MATCH($C747,ENVIOS!$A$4:$A$3003,0)),""))</f>
        <v/>
      </c>
      <c r="K747" s="49" t="n"/>
      <c r="L747" s="27">
        <f>IF($K747="","",IFERROR(INDEX(CONFIG!$B$4:$B$43,MATCH($K747,CONFIG!$A$4:$A$43,0)),"Media"))</f>
        <v/>
      </c>
      <c r="M747" s="27">
        <f>IF($K747="","",IFERROR(INDEX(CONFIG!$D$4:$D$43,MATCH($K747,CONFIG!$A$4:$A$43,0)),"NO"))</f>
        <v/>
      </c>
      <c r="N747" s="49" t="n"/>
      <c r="O747" s="27">
        <f>IF($N747="","",IFERROR(INDEX(CONFIG!$G$4:$G$43,MATCH($N747,CONFIG!$F$4:$F$43,0)),"Por definir"))</f>
        <v/>
      </c>
      <c r="P747" s="27">
        <f>IF($N747="","",IFERROR(INDEX(CONFIG!$H$4:$H$43,MATCH($N747,CONFIG!$F$4:$F$43,0)),"Por definir"))</f>
        <v/>
      </c>
      <c r="Q747" s="50" t="n"/>
      <c r="R747" s="51" t="n"/>
      <c r="S747" s="49" t="n"/>
      <c r="T747" s="49" t="n"/>
      <c r="U747" s="48">
        <f>IF(OR($B747="",$K747=""),"",WORKDAY($B747,IFERROR(INDEX(CONFIG!$C$4:$C$43,MATCH($K747,CONFIG!$A$4:$A$43,0)),3)))</f>
        <v/>
      </c>
      <c r="V747" s="46" t="n"/>
      <c r="W747" s="23">
        <f>IF($B747="","",IF($V747&lt;&gt;"",$V747-$B747,TODAY()-$B747))</f>
        <v/>
      </c>
      <c r="X747" s="27">
        <f>IF($C747="","",IF(IFERROR(INDEX(CONFIG!$K$4:$K$43,MATCH($S747,CONFIG!$J$4:$J$43,0)),"NO")="SÍ",IF(OR($V747="",$U747=""),"Resuelta",IF($V747&gt;$U747,"Resuelta tarde","Resuelta a tiempo")),IF($U747="","Sin clasificar",IF(TODAY()&gt;$U747,"Vencida",IF(TODAY()&gt;=$U747-1,"Por vencer","En plazo")))))</f>
        <v/>
      </c>
      <c r="Y747" s="49" t="n"/>
      <c r="Z747" s="49" t="n"/>
    </row>
    <row r="748" ht="16" customHeight="1">
      <c r="A748" s="27">
        <f>IF($C748="","","N-"&amp;TEXT(ROW()-3,"0000"))</f>
        <v/>
      </c>
      <c r="B748" s="46" t="n"/>
      <c r="C748" s="47" t="n"/>
      <c r="D748" s="27">
        <f>IF($C748="","",IF(COUNTIFS(ENVIOS!$A$4:$A$3003,$C748)=0,"NO EXISTE",IF(COUNTIFS(ENVIOS!$A$4:$A$3003,$C748)&gt;1,"DUPLICADA","OK")))</f>
        <v/>
      </c>
      <c r="E748" s="22">
        <f>IF($C748="","",IFERROR(INDEX(ENVIOS!$C$4:$C$3003,MATCH($C748,ENVIOS!$A$4:$A$3003,0)),"—"))</f>
        <v/>
      </c>
      <c r="F748" s="22">
        <f>IF($C748="","",IFERROR(INDEX(ENVIOS!$D$4:$D$3003,MATCH($C748,ENVIOS!$A$4:$A$3003,0)),"—"))</f>
        <v/>
      </c>
      <c r="G748" s="22">
        <f>IF($C748="","",IFERROR(INDEX(ENVIOS!$E$4:$E$3003,MATCH($C748,ENVIOS!$A$4:$A$3003,0)),"—"))</f>
        <v/>
      </c>
      <c r="H748" s="22">
        <f>IF($C748="","",IFERROR(INDEX(ENVIOS!$F$4:$F$3003,MATCH($C748,ENVIOS!$A$4:$A$3003,0)),"—"))</f>
        <v/>
      </c>
      <c r="I748" s="27">
        <f>IF($C748="","",IFERROR(INDEX(ENVIOS!$G$4:$G$3003,MATCH($C748,ENVIOS!$A$4:$A$3003,0)),"—"))</f>
        <v/>
      </c>
      <c r="J748" s="48">
        <f>IF($C748="","",IFERROR(INDEX(ENVIOS!$B$4:$B$3003,MATCH($C748,ENVIOS!$A$4:$A$3003,0)),""))</f>
        <v/>
      </c>
      <c r="K748" s="49" t="n"/>
      <c r="L748" s="27">
        <f>IF($K748="","",IFERROR(INDEX(CONFIG!$B$4:$B$43,MATCH($K748,CONFIG!$A$4:$A$43,0)),"Media"))</f>
        <v/>
      </c>
      <c r="M748" s="27">
        <f>IF($K748="","",IFERROR(INDEX(CONFIG!$D$4:$D$43,MATCH($K748,CONFIG!$A$4:$A$43,0)),"NO"))</f>
        <v/>
      </c>
      <c r="N748" s="49" t="n"/>
      <c r="O748" s="27">
        <f>IF($N748="","",IFERROR(INDEX(CONFIG!$G$4:$G$43,MATCH($N748,CONFIG!$F$4:$F$43,0)),"Por definir"))</f>
        <v/>
      </c>
      <c r="P748" s="27">
        <f>IF($N748="","",IFERROR(INDEX(CONFIG!$H$4:$H$43,MATCH($N748,CONFIG!$F$4:$F$43,0)),"Por definir"))</f>
        <v/>
      </c>
      <c r="Q748" s="50" t="n"/>
      <c r="R748" s="51" t="n"/>
      <c r="S748" s="49" t="n"/>
      <c r="T748" s="49" t="n"/>
      <c r="U748" s="48">
        <f>IF(OR($B748="",$K748=""),"",WORKDAY($B748,IFERROR(INDEX(CONFIG!$C$4:$C$43,MATCH($K748,CONFIG!$A$4:$A$43,0)),3)))</f>
        <v/>
      </c>
      <c r="V748" s="46" t="n"/>
      <c r="W748" s="23">
        <f>IF($B748="","",IF($V748&lt;&gt;"",$V748-$B748,TODAY()-$B748))</f>
        <v/>
      </c>
      <c r="X748" s="27">
        <f>IF($C748="","",IF(IFERROR(INDEX(CONFIG!$K$4:$K$43,MATCH($S748,CONFIG!$J$4:$J$43,0)),"NO")="SÍ",IF(OR($V748="",$U748=""),"Resuelta",IF($V748&gt;$U748,"Resuelta tarde","Resuelta a tiempo")),IF($U748="","Sin clasificar",IF(TODAY()&gt;$U748,"Vencida",IF(TODAY()&gt;=$U748-1,"Por vencer","En plazo")))))</f>
        <v/>
      </c>
      <c r="Y748" s="49" t="n"/>
      <c r="Z748" s="49" t="n"/>
    </row>
    <row r="749" ht="16" customHeight="1">
      <c r="A749" s="27">
        <f>IF($C749="","","N-"&amp;TEXT(ROW()-3,"0000"))</f>
        <v/>
      </c>
      <c r="B749" s="46" t="n"/>
      <c r="C749" s="47" t="n"/>
      <c r="D749" s="27">
        <f>IF($C749="","",IF(COUNTIFS(ENVIOS!$A$4:$A$3003,$C749)=0,"NO EXISTE",IF(COUNTIFS(ENVIOS!$A$4:$A$3003,$C749)&gt;1,"DUPLICADA","OK")))</f>
        <v/>
      </c>
      <c r="E749" s="22">
        <f>IF($C749="","",IFERROR(INDEX(ENVIOS!$C$4:$C$3003,MATCH($C749,ENVIOS!$A$4:$A$3003,0)),"—"))</f>
        <v/>
      </c>
      <c r="F749" s="22">
        <f>IF($C749="","",IFERROR(INDEX(ENVIOS!$D$4:$D$3003,MATCH($C749,ENVIOS!$A$4:$A$3003,0)),"—"))</f>
        <v/>
      </c>
      <c r="G749" s="22">
        <f>IF($C749="","",IFERROR(INDEX(ENVIOS!$E$4:$E$3003,MATCH($C749,ENVIOS!$A$4:$A$3003,0)),"—"))</f>
        <v/>
      </c>
      <c r="H749" s="22">
        <f>IF($C749="","",IFERROR(INDEX(ENVIOS!$F$4:$F$3003,MATCH($C749,ENVIOS!$A$4:$A$3003,0)),"—"))</f>
        <v/>
      </c>
      <c r="I749" s="27">
        <f>IF($C749="","",IFERROR(INDEX(ENVIOS!$G$4:$G$3003,MATCH($C749,ENVIOS!$A$4:$A$3003,0)),"—"))</f>
        <v/>
      </c>
      <c r="J749" s="48">
        <f>IF($C749="","",IFERROR(INDEX(ENVIOS!$B$4:$B$3003,MATCH($C749,ENVIOS!$A$4:$A$3003,0)),""))</f>
        <v/>
      </c>
      <c r="K749" s="49" t="n"/>
      <c r="L749" s="27">
        <f>IF($K749="","",IFERROR(INDEX(CONFIG!$B$4:$B$43,MATCH($K749,CONFIG!$A$4:$A$43,0)),"Media"))</f>
        <v/>
      </c>
      <c r="M749" s="27">
        <f>IF($K749="","",IFERROR(INDEX(CONFIG!$D$4:$D$43,MATCH($K749,CONFIG!$A$4:$A$43,0)),"NO"))</f>
        <v/>
      </c>
      <c r="N749" s="49" t="n"/>
      <c r="O749" s="27">
        <f>IF($N749="","",IFERROR(INDEX(CONFIG!$G$4:$G$43,MATCH($N749,CONFIG!$F$4:$F$43,0)),"Por definir"))</f>
        <v/>
      </c>
      <c r="P749" s="27">
        <f>IF($N749="","",IFERROR(INDEX(CONFIG!$H$4:$H$43,MATCH($N749,CONFIG!$F$4:$F$43,0)),"Por definir"))</f>
        <v/>
      </c>
      <c r="Q749" s="50" t="n"/>
      <c r="R749" s="51" t="n"/>
      <c r="S749" s="49" t="n"/>
      <c r="T749" s="49" t="n"/>
      <c r="U749" s="48">
        <f>IF(OR($B749="",$K749=""),"",WORKDAY($B749,IFERROR(INDEX(CONFIG!$C$4:$C$43,MATCH($K749,CONFIG!$A$4:$A$43,0)),3)))</f>
        <v/>
      </c>
      <c r="V749" s="46" t="n"/>
      <c r="W749" s="23">
        <f>IF($B749="","",IF($V749&lt;&gt;"",$V749-$B749,TODAY()-$B749))</f>
        <v/>
      </c>
      <c r="X749" s="27">
        <f>IF($C749="","",IF(IFERROR(INDEX(CONFIG!$K$4:$K$43,MATCH($S749,CONFIG!$J$4:$J$43,0)),"NO")="SÍ",IF(OR($V749="",$U749=""),"Resuelta",IF($V749&gt;$U749,"Resuelta tarde","Resuelta a tiempo")),IF($U749="","Sin clasificar",IF(TODAY()&gt;$U749,"Vencida",IF(TODAY()&gt;=$U749-1,"Por vencer","En plazo")))))</f>
        <v/>
      </c>
      <c r="Y749" s="49" t="n"/>
      <c r="Z749" s="49" t="n"/>
    </row>
    <row r="750" ht="16" customHeight="1">
      <c r="A750" s="27">
        <f>IF($C750="","","N-"&amp;TEXT(ROW()-3,"0000"))</f>
        <v/>
      </c>
      <c r="B750" s="46" t="n"/>
      <c r="C750" s="47" t="n"/>
      <c r="D750" s="27">
        <f>IF($C750="","",IF(COUNTIFS(ENVIOS!$A$4:$A$3003,$C750)=0,"NO EXISTE",IF(COUNTIFS(ENVIOS!$A$4:$A$3003,$C750)&gt;1,"DUPLICADA","OK")))</f>
        <v/>
      </c>
      <c r="E750" s="22">
        <f>IF($C750="","",IFERROR(INDEX(ENVIOS!$C$4:$C$3003,MATCH($C750,ENVIOS!$A$4:$A$3003,0)),"—"))</f>
        <v/>
      </c>
      <c r="F750" s="22">
        <f>IF($C750="","",IFERROR(INDEX(ENVIOS!$D$4:$D$3003,MATCH($C750,ENVIOS!$A$4:$A$3003,0)),"—"))</f>
        <v/>
      </c>
      <c r="G750" s="22">
        <f>IF($C750="","",IFERROR(INDEX(ENVIOS!$E$4:$E$3003,MATCH($C750,ENVIOS!$A$4:$A$3003,0)),"—"))</f>
        <v/>
      </c>
      <c r="H750" s="22">
        <f>IF($C750="","",IFERROR(INDEX(ENVIOS!$F$4:$F$3003,MATCH($C750,ENVIOS!$A$4:$A$3003,0)),"—"))</f>
        <v/>
      </c>
      <c r="I750" s="27">
        <f>IF($C750="","",IFERROR(INDEX(ENVIOS!$G$4:$G$3003,MATCH($C750,ENVIOS!$A$4:$A$3003,0)),"—"))</f>
        <v/>
      </c>
      <c r="J750" s="48">
        <f>IF($C750="","",IFERROR(INDEX(ENVIOS!$B$4:$B$3003,MATCH($C750,ENVIOS!$A$4:$A$3003,0)),""))</f>
        <v/>
      </c>
      <c r="K750" s="49" t="n"/>
      <c r="L750" s="27">
        <f>IF($K750="","",IFERROR(INDEX(CONFIG!$B$4:$B$43,MATCH($K750,CONFIG!$A$4:$A$43,0)),"Media"))</f>
        <v/>
      </c>
      <c r="M750" s="27">
        <f>IF($K750="","",IFERROR(INDEX(CONFIG!$D$4:$D$43,MATCH($K750,CONFIG!$A$4:$A$43,0)),"NO"))</f>
        <v/>
      </c>
      <c r="N750" s="49" t="n"/>
      <c r="O750" s="27">
        <f>IF($N750="","",IFERROR(INDEX(CONFIG!$G$4:$G$43,MATCH($N750,CONFIG!$F$4:$F$43,0)),"Por definir"))</f>
        <v/>
      </c>
      <c r="P750" s="27">
        <f>IF($N750="","",IFERROR(INDEX(CONFIG!$H$4:$H$43,MATCH($N750,CONFIG!$F$4:$F$43,0)),"Por definir"))</f>
        <v/>
      </c>
      <c r="Q750" s="50" t="n"/>
      <c r="R750" s="51" t="n"/>
      <c r="S750" s="49" t="n"/>
      <c r="T750" s="49" t="n"/>
      <c r="U750" s="48">
        <f>IF(OR($B750="",$K750=""),"",WORKDAY($B750,IFERROR(INDEX(CONFIG!$C$4:$C$43,MATCH($K750,CONFIG!$A$4:$A$43,0)),3)))</f>
        <v/>
      </c>
      <c r="V750" s="46" t="n"/>
      <c r="W750" s="23">
        <f>IF($B750="","",IF($V750&lt;&gt;"",$V750-$B750,TODAY()-$B750))</f>
        <v/>
      </c>
      <c r="X750" s="27">
        <f>IF($C750="","",IF(IFERROR(INDEX(CONFIG!$K$4:$K$43,MATCH($S750,CONFIG!$J$4:$J$43,0)),"NO")="SÍ",IF(OR($V750="",$U750=""),"Resuelta",IF($V750&gt;$U750,"Resuelta tarde","Resuelta a tiempo")),IF($U750="","Sin clasificar",IF(TODAY()&gt;$U750,"Vencida",IF(TODAY()&gt;=$U750-1,"Por vencer","En plazo")))))</f>
        <v/>
      </c>
      <c r="Y750" s="49" t="n"/>
      <c r="Z750" s="49" t="n"/>
    </row>
    <row r="751" ht="16" customHeight="1">
      <c r="A751" s="27">
        <f>IF($C751="","","N-"&amp;TEXT(ROW()-3,"0000"))</f>
        <v/>
      </c>
      <c r="B751" s="46" t="n"/>
      <c r="C751" s="47" t="n"/>
      <c r="D751" s="27">
        <f>IF($C751="","",IF(COUNTIFS(ENVIOS!$A$4:$A$3003,$C751)=0,"NO EXISTE",IF(COUNTIFS(ENVIOS!$A$4:$A$3003,$C751)&gt;1,"DUPLICADA","OK")))</f>
        <v/>
      </c>
      <c r="E751" s="22">
        <f>IF($C751="","",IFERROR(INDEX(ENVIOS!$C$4:$C$3003,MATCH($C751,ENVIOS!$A$4:$A$3003,0)),"—"))</f>
        <v/>
      </c>
      <c r="F751" s="22">
        <f>IF($C751="","",IFERROR(INDEX(ENVIOS!$D$4:$D$3003,MATCH($C751,ENVIOS!$A$4:$A$3003,0)),"—"))</f>
        <v/>
      </c>
      <c r="G751" s="22">
        <f>IF($C751="","",IFERROR(INDEX(ENVIOS!$E$4:$E$3003,MATCH($C751,ENVIOS!$A$4:$A$3003,0)),"—"))</f>
        <v/>
      </c>
      <c r="H751" s="22">
        <f>IF($C751="","",IFERROR(INDEX(ENVIOS!$F$4:$F$3003,MATCH($C751,ENVIOS!$A$4:$A$3003,0)),"—"))</f>
        <v/>
      </c>
      <c r="I751" s="27">
        <f>IF($C751="","",IFERROR(INDEX(ENVIOS!$G$4:$G$3003,MATCH($C751,ENVIOS!$A$4:$A$3003,0)),"—"))</f>
        <v/>
      </c>
      <c r="J751" s="48">
        <f>IF($C751="","",IFERROR(INDEX(ENVIOS!$B$4:$B$3003,MATCH($C751,ENVIOS!$A$4:$A$3003,0)),""))</f>
        <v/>
      </c>
      <c r="K751" s="49" t="n"/>
      <c r="L751" s="27">
        <f>IF($K751="","",IFERROR(INDEX(CONFIG!$B$4:$B$43,MATCH($K751,CONFIG!$A$4:$A$43,0)),"Media"))</f>
        <v/>
      </c>
      <c r="M751" s="27">
        <f>IF($K751="","",IFERROR(INDEX(CONFIG!$D$4:$D$43,MATCH($K751,CONFIG!$A$4:$A$43,0)),"NO"))</f>
        <v/>
      </c>
      <c r="N751" s="49" t="n"/>
      <c r="O751" s="27">
        <f>IF($N751="","",IFERROR(INDEX(CONFIG!$G$4:$G$43,MATCH($N751,CONFIG!$F$4:$F$43,0)),"Por definir"))</f>
        <v/>
      </c>
      <c r="P751" s="27">
        <f>IF($N751="","",IFERROR(INDEX(CONFIG!$H$4:$H$43,MATCH($N751,CONFIG!$F$4:$F$43,0)),"Por definir"))</f>
        <v/>
      </c>
      <c r="Q751" s="50" t="n"/>
      <c r="R751" s="51" t="n"/>
      <c r="S751" s="49" t="n"/>
      <c r="T751" s="49" t="n"/>
      <c r="U751" s="48">
        <f>IF(OR($B751="",$K751=""),"",WORKDAY($B751,IFERROR(INDEX(CONFIG!$C$4:$C$43,MATCH($K751,CONFIG!$A$4:$A$43,0)),3)))</f>
        <v/>
      </c>
      <c r="V751" s="46" t="n"/>
      <c r="W751" s="23">
        <f>IF($B751="","",IF($V751&lt;&gt;"",$V751-$B751,TODAY()-$B751))</f>
        <v/>
      </c>
      <c r="X751" s="27">
        <f>IF($C751="","",IF(IFERROR(INDEX(CONFIG!$K$4:$K$43,MATCH($S751,CONFIG!$J$4:$J$43,0)),"NO")="SÍ",IF(OR($V751="",$U751=""),"Resuelta",IF($V751&gt;$U751,"Resuelta tarde","Resuelta a tiempo")),IF($U751="","Sin clasificar",IF(TODAY()&gt;$U751,"Vencida",IF(TODAY()&gt;=$U751-1,"Por vencer","En plazo")))))</f>
        <v/>
      </c>
      <c r="Y751" s="49" t="n"/>
      <c r="Z751" s="49" t="n"/>
    </row>
    <row r="752" ht="16" customHeight="1">
      <c r="A752" s="27">
        <f>IF($C752="","","N-"&amp;TEXT(ROW()-3,"0000"))</f>
        <v/>
      </c>
      <c r="B752" s="46" t="n"/>
      <c r="C752" s="47" t="n"/>
      <c r="D752" s="27">
        <f>IF($C752="","",IF(COUNTIFS(ENVIOS!$A$4:$A$3003,$C752)=0,"NO EXISTE",IF(COUNTIFS(ENVIOS!$A$4:$A$3003,$C752)&gt;1,"DUPLICADA","OK")))</f>
        <v/>
      </c>
      <c r="E752" s="22">
        <f>IF($C752="","",IFERROR(INDEX(ENVIOS!$C$4:$C$3003,MATCH($C752,ENVIOS!$A$4:$A$3003,0)),"—"))</f>
        <v/>
      </c>
      <c r="F752" s="22">
        <f>IF($C752="","",IFERROR(INDEX(ENVIOS!$D$4:$D$3003,MATCH($C752,ENVIOS!$A$4:$A$3003,0)),"—"))</f>
        <v/>
      </c>
      <c r="G752" s="22">
        <f>IF($C752="","",IFERROR(INDEX(ENVIOS!$E$4:$E$3003,MATCH($C752,ENVIOS!$A$4:$A$3003,0)),"—"))</f>
        <v/>
      </c>
      <c r="H752" s="22">
        <f>IF($C752="","",IFERROR(INDEX(ENVIOS!$F$4:$F$3003,MATCH($C752,ENVIOS!$A$4:$A$3003,0)),"—"))</f>
        <v/>
      </c>
      <c r="I752" s="27">
        <f>IF($C752="","",IFERROR(INDEX(ENVIOS!$G$4:$G$3003,MATCH($C752,ENVIOS!$A$4:$A$3003,0)),"—"))</f>
        <v/>
      </c>
      <c r="J752" s="48">
        <f>IF($C752="","",IFERROR(INDEX(ENVIOS!$B$4:$B$3003,MATCH($C752,ENVIOS!$A$4:$A$3003,0)),""))</f>
        <v/>
      </c>
      <c r="K752" s="49" t="n"/>
      <c r="L752" s="27">
        <f>IF($K752="","",IFERROR(INDEX(CONFIG!$B$4:$B$43,MATCH($K752,CONFIG!$A$4:$A$43,0)),"Media"))</f>
        <v/>
      </c>
      <c r="M752" s="27">
        <f>IF($K752="","",IFERROR(INDEX(CONFIG!$D$4:$D$43,MATCH($K752,CONFIG!$A$4:$A$43,0)),"NO"))</f>
        <v/>
      </c>
      <c r="N752" s="49" t="n"/>
      <c r="O752" s="27">
        <f>IF($N752="","",IFERROR(INDEX(CONFIG!$G$4:$G$43,MATCH($N752,CONFIG!$F$4:$F$43,0)),"Por definir"))</f>
        <v/>
      </c>
      <c r="P752" s="27">
        <f>IF($N752="","",IFERROR(INDEX(CONFIG!$H$4:$H$43,MATCH($N752,CONFIG!$F$4:$F$43,0)),"Por definir"))</f>
        <v/>
      </c>
      <c r="Q752" s="50" t="n"/>
      <c r="R752" s="51" t="n"/>
      <c r="S752" s="49" t="n"/>
      <c r="T752" s="49" t="n"/>
      <c r="U752" s="48">
        <f>IF(OR($B752="",$K752=""),"",WORKDAY($B752,IFERROR(INDEX(CONFIG!$C$4:$C$43,MATCH($K752,CONFIG!$A$4:$A$43,0)),3)))</f>
        <v/>
      </c>
      <c r="V752" s="46" t="n"/>
      <c r="W752" s="23">
        <f>IF($B752="","",IF($V752&lt;&gt;"",$V752-$B752,TODAY()-$B752))</f>
        <v/>
      </c>
      <c r="X752" s="27">
        <f>IF($C752="","",IF(IFERROR(INDEX(CONFIG!$K$4:$K$43,MATCH($S752,CONFIG!$J$4:$J$43,0)),"NO")="SÍ",IF(OR($V752="",$U752=""),"Resuelta",IF($V752&gt;$U752,"Resuelta tarde","Resuelta a tiempo")),IF($U752="","Sin clasificar",IF(TODAY()&gt;$U752,"Vencida",IF(TODAY()&gt;=$U752-1,"Por vencer","En plazo")))))</f>
        <v/>
      </c>
      <c r="Y752" s="49" t="n"/>
      <c r="Z752" s="49" t="n"/>
    </row>
    <row r="753" ht="16" customHeight="1">
      <c r="A753" s="27">
        <f>IF($C753="","","N-"&amp;TEXT(ROW()-3,"0000"))</f>
        <v/>
      </c>
      <c r="B753" s="46" t="n"/>
      <c r="C753" s="47" t="n"/>
      <c r="D753" s="27">
        <f>IF($C753="","",IF(COUNTIFS(ENVIOS!$A$4:$A$3003,$C753)=0,"NO EXISTE",IF(COUNTIFS(ENVIOS!$A$4:$A$3003,$C753)&gt;1,"DUPLICADA","OK")))</f>
        <v/>
      </c>
      <c r="E753" s="22">
        <f>IF($C753="","",IFERROR(INDEX(ENVIOS!$C$4:$C$3003,MATCH($C753,ENVIOS!$A$4:$A$3003,0)),"—"))</f>
        <v/>
      </c>
      <c r="F753" s="22">
        <f>IF($C753="","",IFERROR(INDEX(ENVIOS!$D$4:$D$3003,MATCH($C753,ENVIOS!$A$4:$A$3003,0)),"—"))</f>
        <v/>
      </c>
      <c r="G753" s="22">
        <f>IF($C753="","",IFERROR(INDEX(ENVIOS!$E$4:$E$3003,MATCH($C753,ENVIOS!$A$4:$A$3003,0)),"—"))</f>
        <v/>
      </c>
      <c r="H753" s="22">
        <f>IF($C753="","",IFERROR(INDEX(ENVIOS!$F$4:$F$3003,MATCH($C753,ENVIOS!$A$4:$A$3003,0)),"—"))</f>
        <v/>
      </c>
      <c r="I753" s="27">
        <f>IF($C753="","",IFERROR(INDEX(ENVIOS!$G$4:$G$3003,MATCH($C753,ENVIOS!$A$4:$A$3003,0)),"—"))</f>
        <v/>
      </c>
      <c r="J753" s="48">
        <f>IF($C753="","",IFERROR(INDEX(ENVIOS!$B$4:$B$3003,MATCH($C753,ENVIOS!$A$4:$A$3003,0)),""))</f>
        <v/>
      </c>
      <c r="K753" s="49" t="n"/>
      <c r="L753" s="27">
        <f>IF($K753="","",IFERROR(INDEX(CONFIG!$B$4:$B$43,MATCH($K753,CONFIG!$A$4:$A$43,0)),"Media"))</f>
        <v/>
      </c>
      <c r="M753" s="27">
        <f>IF($K753="","",IFERROR(INDEX(CONFIG!$D$4:$D$43,MATCH($K753,CONFIG!$A$4:$A$43,0)),"NO"))</f>
        <v/>
      </c>
      <c r="N753" s="49" t="n"/>
      <c r="O753" s="27">
        <f>IF($N753="","",IFERROR(INDEX(CONFIG!$G$4:$G$43,MATCH($N753,CONFIG!$F$4:$F$43,0)),"Por definir"))</f>
        <v/>
      </c>
      <c r="P753" s="27">
        <f>IF($N753="","",IFERROR(INDEX(CONFIG!$H$4:$H$43,MATCH($N753,CONFIG!$F$4:$F$43,0)),"Por definir"))</f>
        <v/>
      </c>
      <c r="Q753" s="50" t="n"/>
      <c r="R753" s="51" t="n"/>
      <c r="S753" s="49" t="n"/>
      <c r="T753" s="49" t="n"/>
      <c r="U753" s="48">
        <f>IF(OR($B753="",$K753=""),"",WORKDAY($B753,IFERROR(INDEX(CONFIG!$C$4:$C$43,MATCH($K753,CONFIG!$A$4:$A$43,0)),3)))</f>
        <v/>
      </c>
      <c r="V753" s="46" t="n"/>
      <c r="W753" s="23">
        <f>IF($B753="","",IF($V753&lt;&gt;"",$V753-$B753,TODAY()-$B753))</f>
        <v/>
      </c>
      <c r="X753" s="27">
        <f>IF($C753="","",IF(IFERROR(INDEX(CONFIG!$K$4:$K$43,MATCH($S753,CONFIG!$J$4:$J$43,0)),"NO")="SÍ",IF(OR($V753="",$U753=""),"Resuelta",IF($V753&gt;$U753,"Resuelta tarde","Resuelta a tiempo")),IF($U753="","Sin clasificar",IF(TODAY()&gt;$U753,"Vencida",IF(TODAY()&gt;=$U753-1,"Por vencer","En plazo")))))</f>
        <v/>
      </c>
      <c r="Y753" s="49" t="n"/>
      <c r="Z753" s="49" t="n"/>
    </row>
    <row r="754" ht="16" customHeight="1">
      <c r="A754" s="27">
        <f>IF($C754="","","N-"&amp;TEXT(ROW()-3,"0000"))</f>
        <v/>
      </c>
      <c r="B754" s="46" t="n"/>
      <c r="C754" s="47" t="n"/>
      <c r="D754" s="27">
        <f>IF($C754="","",IF(COUNTIFS(ENVIOS!$A$4:$A$3003,$C754)=0,"NO EXISTE",IF(COUNTIFS(ENVIOS!$A$4:$A$3003,$C754)&gt;1,"DUPLICADA","OK")))</f>
        <v/>
      </c>
      <c r="E754" s="22">
        <f>IF($C754="","",IFERROR(INDEX(ENVIOS!$C$4:$C$3003,MATCH($C754,ENVIOS!$A$4:$A$3003,0)),"—"))</f>
        <v/>
      </c>
      <c r="F754" s="22">
        <f>IF($C754="","",IFERROR(INDEX(ENVIOS!$D$4:$D$3003,MATCH($C754,ENVIOS!$A$4:$A$3003,0)),"—"))</f>
        <v/>
      </c>
      <c r="G754" s="22">
        <f>IF($C754="","",IFERROR(INDEX(ENVIOS!$E$4:$E$3003,MATCH($C754,ENVIOS!$A$4:$A$3003,0)),"—"))</f>
        <v/>
      </c>
      <c r="H754" s="22">
        <f>IF($C754="","",IFERROR(INDEX(ENVIOS!$F$4:$F$3003,MATCH($C754,ENVIOS!$A$4:$A$3003,0)),"—"))</f>
        <v/>
      </c>
      <c r="I754" s="27">
        <f>IF($C754="","",IFERROR(INDEX(ENVIOS!$G$4:$G$3003,MATCH($C754,ENVIOS!$A$4:$A$3003,0)),"—"))</f>
        <v/>
      </c>
      <c r="J754" s="48">
        <f>IF($C754="","",IFERROR(INDEX(ENVIOS!$B$4:$B$3003,MATCH($C754,ENVIOS!$A$4:$A$3003,0)),""))</f>
        <v/>
      </c>
      <c r="K754" s="49" t="n"/>
      <c r="L754" s="27">
        <f>IF($K754="","",IFERROR(INDEX(CONFIG!$B$4:$B$43,MATCH($K754,CONFIG!$A$4:$A$43,0)),"Media"))</f>
        <v/>
      </c>
      <c r="M754" s="27">
        <f>IF($K754="","",IFERROR(INDEX(CONFIG!$D$4:$D$43,MATCH($K754,CONFIG!$A$4:$A$43,0)),"NO"))</f>
        <v/>
      </c>
      <c r="N754" s="49" t="n"/>
      <c r="O754" s="27">
        <f>IF($N754="","",IFERROR(INDEX(CONFIG!$G$4:$G$43,MATCH($N754,CONFIG!$F$4:$F$43,0)),"Por definir"))</f>
        <v/>
      </c>
      <c r="P754" s="27">
        <f>IF($N754="","",IFERROR(INDEX(CONFIG!$H$4:$H$43,MATCH($N754,CONFIG!$F$4:$F$43,0)),"Por definir"))</f>
        <v/>
      </c>
      <c r="Q754" s="50" t="n"/>
      <c r="R754" s="51" t="n"/>
      <c r="S754" s="49" t="n"/>
      <c r="T754" s="49" t="n"/>
      <c r="U754" s="48">
        <f>IF(OR($B754="",$K754=""),"",WORKDAY($B754,IFERROR(INDEX(CONFIG!$C$4:$C$43,MATCH($K754,CONFIG!$A$4:$A$43,0)),3)))</f>
        <v/>
      </c>
      <c r="V754" s="46" t="n"/>
      <c r="W754" s="23">
        <f>IF($B754="","",IF($V754&lt;&gt;"",$V754-$B754,TODAY()-$B754))</f>
        <v/>
      </c>
      <c r="X754" s="27">
        <f>IF($C754="","",IF(IFERROR(INDEX(CONFIG!$K$4:$K$43,MATCH($S754,CONFIG!$J$4:$J$43,0)),"NO")="SÍ",IF(OR($V754="",$U754=""),"Resuelta",IF($V754&gt;$U754,"Resuelta tarde","Resuelta a tiempo")),IF($U754="","Sin clasificar",IF(TODAY()&gt;$U754,"Vencida",IF(TODAY()&gt;=$U754-1,"Por vencer","En plazo")))))</f>
        <v/>
      </c>
      <c r="Y754" s="49" t="n"/>
      <c r="Z754" s="49" t="n"/>
    </row>
    <row r="755" ht="16" customHeight="1">
      <c r="A755" s="27">
        <f>IF($C755="","","N-"&amp;TEXT(ROW()-3,"0000"))</f>
        <v/>
      </c>
      <c r="B755" s="46" t="n"/>
      <c r="C755" s="47" t="n"/>
      <c r="D755" s="27">
        <f>IF($C755="","",IF(COUNTIFS(ENVIOS!$A$4:$A$3003,$C755)=0,"NO EXISTE",IF(COUNTIFS(ENVIOS!$A$4:$A$3003,$C755)&gt;1,"DUPLICADA","OK")))</f>
        <v/>
      </c>
      <c r="E755" s="22">
        <f>IF($C755="","",IFERROR(INDEX(ENVIOS!$C$4:$C$3003,MATCH($C755,ENVIOS!$A$4:$A$3003,0)),"—"))</f>
        <v/>
      </c>
      <c r="F755" s="22">
        <f>IF($C755="","",IFERROR(INDEX(ENVIOS!$D$4:$D$3003,MATCH($C755,ENVIOS!$A$4:$A$3003,0)),"—"))</f>
        <v/>
      </c>
      <c r="G755" s="22">
        <f>IF($C755="","",IFERROR(INDEX(ENVIOS!$E$4:$E$3003,MATCH($C755,ENVIOS!$A$4:$A$3003,0)),"—"))</f>
        <v/>
      </c>
      <c r="H755" s="22">
        <f>IF($C755="","",IFERROR(INDEX(ENVIOS!$F$4:$F$3003,MATCH($C755,ENVIOS!$A$4:$A$3003,0)),"—"))</f>
        <v/>
      </c>
      <c r="I755" s="27">
        <f>IF($C755="","",IFERROR(INDEX(ENVIOS!$G$4:$G$3003,MATCH($C755,ENVIOS!$A$4:$A$3003,0)),"—"))</f>
        <v/>
      </c>
      <c r="J755" s="48">
        <f>IF($C755="","",IFERROR(INDEX(ENVIOS!$B$4:$B$3003,MATCH($C755,ENVIOS!$A$4:$A$3003,0)),""))</f>
        <v/>
      </c>
      <c r="K755" s="49" t="n"/>
      <c r="L755" s="27">
        <f>IF($K755="","",IFERROR(INDEX(CONFIG!$B$4:$B$43,MATCH($K755,CONFIG!$A$4:$A$43,0)),"Media"))</f>
        <v/>
      </c>
      <c r="M755" s="27">
        <f>IF($K755="","",IFERROR(INDEX(CONFIG!$D$4:$D$43,MATCH($K755,CONFIG!$A$4:$A$43,0)),"NO"))</f>
        <v/>
      </c>
      <c r="N755" s="49" t="n"/>
      <c r="O755" s="27">
        <f>IF($N755="","",IFERROR(INDEX(CONFIG!$G$4:$G$43,MATCH($N755,CONFIG!$F$4:$F$43,0)),"Por definir"))</f>
        <v/>
      </c>
      <c r="P755" s="27">
        <f>IF($N755="","",IFERROR(INDEX(CONFIG!$H$4:$H$43,MATCH($N755,CONFIG!$F$4:$F$43,0)),"Por definir"))</f>
        <v/>
      </c>
      <c r="Q755" s="50" t="n"/>
      <c r="R755" s="51" t="n"/>
      <c r="S755" s="49" t="n"/>
      <c r="T755" s="49" t="n"/>
      <c r="U755" s="48">
        <f>IF(OR($B755="",$K755=""),"",WORKDAY($B755,IFERROR(INDEX(CONFIG!$C$4:$C$43,MATCH($K755,CONFIG!$A$4:$A$43,0)),3)))</f>
        <v/>
      </c>
      <c r="V755" s="46" t="n"/>
      <c r="W755" s="23">
        <f>IF($B755="","",IF($V755&lt;&gt;"",$V755-$B755,TODAY()-$B755))</f>
        <v/>
      </c>
      <c r="X755" s="27">
        <f>IF($C755="","",IF(IFERROR(INDEX(CONFIG!$K$4:$K$43,MATCH($S755,CONFIG!$J$4:$J$43,0)),"NO")="SÍ",IF(OR($V755="",$U755=""),"Resuelta",IF($V755&gt;$U755,"Resuelta tarde","Resuelta a tiempo")),IF($U755="","Sin clasificar",IF(TODAY()&gt;$U755,"Vencida",IF(TODAY()&gt;=$U755-1,"Por vencer","En plazo")))))</f>
        <v/>
      </c>
      <c r="Y755" s="49" t="n"/>
      <c r="Z755" s="49" t="n"/>
    </row>
    <row r="756" ht="16" customHeight="1">
      <c r="A756" s="27">
        <f>IF($C756="","","N-"&amp;TEXT(ROW()-3,"0000"))</f>
        <v/>
      </c>
      <c r="B756" s="46" t="n"/>
      <c r="C756" s="47" t="n"/>
      <c r="D756" s="27">
        <f>IF($C756="","",IF(COUNTIFS(ENVIOS!$A$4:$A$3003,$C756)=0,"NO EXISTE",IF(COUNTIFS(ENVIOS!$A$4:$A$3003,$C756)&gt;1,"DUPLICADA","OK")))</f>
        <v/>
      </c>
      <c r="E756" s="22">
        <f>IF($C756="","",IFERROR(INDEX(ENVIOS!$C$4:$C$3003,MATCH($C756,ENVIOS!$A$4:$A$3003,0)),"—"))</f>
        <v/>
      </c>
      <c r="F756" s="22">
        <f>IF($C756="","",IFERROR(INDEX(ENVIOS!$D$4:$D$3003,MATCH($C756,ENVIOS!$A$4:$A$3003,0)),"—"))</f>
        <v/>
      </c>
      <c r="G756" s="22">
        <f>IF($C756="","",IFERROR(INDEX(ENVIOS!$E$4:$E$3003,MATCH($C756,ENVIOS!$A$4:$A$3003,0)),"—"))</f>
        <v/>
      </c>
      <c r="H756" s="22">
        <f>IF($C756="","",IFERROR(INDEX(ENVIOS!$F$4:$F$3003,MATCH($C756,ENVIOS!$A$4:$A$3003,0)),"—"))</f>
        <v/>
      </c>
      <c r="I756" s="27">
        <f>IF($C756="","",IFERROR(INDEX(ENVIOS!$G$4:$G$3003,MATCH($C756,ENVIOS!$A$4:$A$3003,0)),"—"))</f>
        <v/>
      </c>
      <c r="J756" s="48">
        <f>IF($C756="","",IFERROR(INDEX(ENVIOS!$B$4:$B$3003,MATCH($C756,ENVIOS!$A$4:$A$3003,0)),""))</f>
        <v/>
      </c>
      <c r="K756" s="49" t="n"/>
      <c r="L756" s="27">
        <f>IF($K756="","",IFERROR(INDEX(CONFIG!$B$4:$B$43,MATCH($K756,CONFIG!$A$4:$A$43,0)),"Media"))</f>
        <v/>
      </c>
      <c r="M756" s="27">
        <f>IF($K756="","",IFERROR(INDEX(CONFIG!$D$4:$D$43,MATCH($K756,CONFIG!$A$4:$A$43,0)),"NO"))</f>
        <v/>
      </c>
      <c r="N756" s="49" t="n"/>
      <c r="O756" s="27">
        <f>IF($N756="","",IFERROR(INDEX(CONFIG!$G$4:$G$43,MATCH($N756,CONFIG!$F$4:$F$43,0)),"Por definir"))</f>
        <v/>
      </c>
      <c r="P756" s="27">
        <f>IF($N756="","",IFERROR(INDEX(CONFIG!$H$4:$H$43,MATCH($N756,CONFIG!$F$4:$F$43,0)),"Por definir"))</f>
        <v/>
      </c>
      <c r="Q756" s="50" t="n"/>
      <c r="R756" s="51" t="n"/>
      <c r="S756" s="49" t="n"/>
      <c r="T756" s="49" t="n"/>
      <c r="U756" s="48">
        <f>IF(OR($B756="",$K756=""),"",WORKDAY($B756,IFERROR(INDEX(CONFIG!$C$4:$C$43,MATCH($K756,CONFIG!$A$4:$A$43,0)),3)))</f>
        <v/>
      </c>
      <c r="V756" s="46" t="n"/>
      <c r="W756" s="23">
        <f>IF($B756="","",IF($V756&lt;&gt;"",$V756-$B756,TODAY()-$B756))</f>
        <v/>
      </c>
      <c r="X756" s="27">
        <f>IF($C756="","",IF(IFERROR(INDEX(CONFIG!$K$4:$K$43,MATCH($S756,CONFIG!$J$4:$J$43,0)),"NO")="SÍ",IF(OR($V756="",$U756=""),"Resuelta",IF($V756&gt;$U756,"Resuelta tarde","Resuelta a tiempo")),IF($U756="","Sin clasificar",IF(TODAY()&gt;$U756,"Vencida",IF(TODAY()&gt;=$U756-1,"Por vencer","En plazo")))))</f>
        <v/>
      </c>
      <c r="Y756" s="49" t="n"/>
      <c r="Z756" s="49" t="n"/>
    </row>
    <row r="757" ht="16" customHeight="1">
      <c r="A757" s="27">
        <f>IF($C757="","","N-"&amp;TEXT(ROW()-3,"0000"))</f>
        <v/>
      </c>
      <c r="B757" s="46" t="n"/>
      <c r="C757" s="47" t="n"/>
      <c r="D757" s="27">
        <f>IF($C757="","",IF(COUNTIFS(ENVIOS!$A$4:$A$3003,$C757)=0,"NO EXISTE",IF(COUNTIFS(ENVIOS!$A$4:$A$3003,$C757)&gt;1,"DUPLICADA","OK")))</f>
        <v/>
      </c>
      <c r="E757" s="22">
        <f>IF($C757="","",IFERROR(INDEX(ENVIOS!$C$4:$C$3003,MATCH($C757,ENVIOS!$A$4:$A$3003,0)),"—"))</f>
        <v/>
      </c>
      <c r="F757" s="22">
        <f>IF($C757="","",IFERROR(INDEX(ENVIOS!$D$4:$D$3003,MATCH($C757,ENVIOS!$A$4:$A$3003,0)),"—"))</f>
        <v/>
      </c>
      <c r="G757" s="22">
        <f>IF($C757="","",IFERROR(INDEX(ENVIOS!$E$4:$E$3003,MATCH($C757,ENVIOS!$A$4:$A$3003,0)),"—"))</f>
        <v/>
      </c>
      <c r="H757" s="22">
        <f>IF($C757="","",IFERROR(INDEX(ENVIOS!$F$4:$F$3003,MATCH($C757,ENVIOS!$A$4:$A$3003,0)),"—"))</f>
        <v/>
      </c>
      <c r="I757" s="27">
        <f>IF($C757="","",IFERROR(INDEX(ENVIOS!$G$4:$G$3003,MATCH($C757,ENVIOS!$A$4:$A$3003,0)),"—"))</f>
        <v/>
      </c>
      <c r="J757" s="48">
        <f>IF($C757="","",IFERROR(INDEX(ENVIOS!$B$4:$B$3003,MATCH($C757,ENVIOS!$A$4:$A$3003,0)),""))</f>
        <v/>
      </c>
      <c r="K757" s="49" t="n"/>
      <c r="L757" s="27">
        <f>IF($K757="","",IFERROR(INDEX(CONFIG!$B$4:$B$43,MATCH($K757,CONFIG!$A$4:$A$43,0)),"Media"))</f>
        <v/>
      </c>
      <c r="M757" s="27">
        <f>IF($K757="","",IFERROR(INDEX(CONFIG!$D$4:$D$43,MATCH($K757,CONFIG!$A$4:$A$43,0)),"NO"))</f>
        <v/>
      </c>
      <c r="N757" s="49" t="n"/>
      <c r="O757" s="27">
        <f>IF($N757="","",IFERROR(INDEX(CONFIG!$G$4:$G$43,MATCH($N757,CONFIG!$F$4:$F$43,0)),"Por definir"))</f>
        <v/>
      </c>
      <c r="P757" s="27">
        <f>IF($N757="","",IFERROR(INDEX(CONFIG!$H$4:$H$43,MATCH($N757,CONFIG!$F$4:$F$43,0)),"Por definir"))</f>
        <v/>
      </c>
      <c r="Q757" s="50" t="n"/>
      <c r="R757" s="51" t="n"/>
      <c r="S757" s="49" t="n"/>
      <c r="T757" s="49" t="n"/>
      <c r="U757" s="48">
        <f>IF(OR($B757="",$K757=""),"",WORKDAY($B757,IFERROR(INDEX(CONFIG!$C$4:$C$43,MATCH($K757,CONFIG!$A$4:$A$43,0)),3)))</f>
        <v/>
      </c>
      <c r="V757" s="46" t="n"/>
      <c r="W757" s="23">
        <f>IF($B757="","",IF($V757&lt;&gt;"",$V757-$B757,TODAY()-$B757))</f>
        <v/>
      </c>
      <c r="X757" s="27">
        <f>IF($C757="","",IF(IFERROR(INDEX(CONFIG!$K$4:$K$43,MATCH($S757,CONFIG!$J$4:$J$43,0)),"NO")="SÍ",IF(OR($V757="",$U757=""),"Resuelta",IF($V757&gt;$U757,"Resuelta tarde","Resuelta a tiempo")),IF($U757="","Sin clasificar",IF(TODAY()&gt;$U757,"Vencida",IF(TODAY()&gt;=$U757-1,"Por vencer","En plazo")))))</f>
        <v/>
      </c>
      <c r="Y757" s="49" t="n"/>
      <c r="Z757" s="49" t="n"/>
    </row>
    <row r="758" ht="16" customHeight="1">
      <c r="A758" s="27">
        <f>IF($C758="","","N-"&amp;TEXT(ROW()-3,"0000"))</f>
        <v/>
      </c>
      <c r="B758" s="46" t="n"/>
      <c r="C758" s="47" t="n"/>
      <c r="D758" s="27">
        <f>IF($C758="","",IF(COUNTIFS(ENVIOS!$A$4:$A$3003,$C758)=0,"NO EXISTE",IF(COUNTIFS(ENVIOS!$A$4:$A$3003,$C758)&gt;1,"DUPLICADA","OK")))</f>
        <v/>
      </c>
      <c r="E758" s="22">
        <f>IF($C758="","",IFERROR(INDEX(ENVIOS!$C$4:$C$3003,MATCH($C758,ENVIOS!$A$4:$A$3003,0)),"—"))</f>
        <v/>
      </c>
      <c r="F758" s="22">
        <f>IF($C758="","",IFERROR(INDEX(ENVIOS!$D$4:$D$3003,MATCH($C758,ENVIOS!$A$4:$A$3003,0)),"—"))</f>
        <v/>
      </c>
      <c r="G758" s="22">
        <f>IF($C758="","",IFERROR(INDEX(ENVIOS!$E$4:$E$3003,MATCH($C758,ENVIOS!$A$4:$A$3003,0)),"—"))</f>
        <v/>
      </c>
      <c r="H758" s="22">
        <f>IF($C758="","",IFERROR(INDEX(ENVIOS!$F$4:$F$3003,MATCH($C758,ENVIOS!$A$4:$A$3003,0)),"—"))</f>
        <v/>
      </c>
      <c r="I758" s="27">
        <f>IF($C758="","",IFERROR(INDEX(ENVIOS!$G$4:$G$3003,MATCH($C758,ENVIOS!$A$4:$A$3003,0)),"—"))</f>
        <v/>
      </c>
      <c r="J758" s="48">
        <f>IF($C758="","",IFERROR(INDEX(ENVIOS!$B$4:$B$3003,MATCH($C758,ENVIOS!$A$4:$A$3003,0)),""))</f>
        <v/>
      </c>
      <c r="K758" s="49" t="n"/>
      <c r="L758" s="27">
        <f>IF($K758="","",IFERROR(INDEX(CONFIG!$B$4:$B$43,MATCH($K758,CONFIG!$A$4:$A$43,0)),"Media"))</f>
        <v/>
      </c>
      <c r="M758" s="27">
        <f>IF($K758="","",IFERROR(INDEX(CONFIG!$D$4:$D$43,MATCH($K758,CONFIG!$A$4:$A$43,0)),"NO"))</f>
        <v/>
      </c>
      <c r="N758" s="49" t="n"/>
      <c r="O758" s="27">
        <f>IF($N758="","",IFERROR(INDEX(CONFIG!$G$4:$G$43,MATCH($N758,CONFIG!$F$4:$F$43,0)),"Por definir"))</f>
        <v/>
      </c>
      <c r="P758" s="27">
        <f>IF($N758="","",IFERROR(INDEX(CONFIG!$H$4:$H$43,MATCH($N758,CONFIG!$F$4:$F$43,0)),"Por definir"))</f>
        <v/>
      </c>
      <c r="Q758" s="50" t="n"/>
      <c r="R758" s="51" t="n"/>
      <c r="S758" s="49" t="n"/>
      <c r="T758" s="49" t="n"/>
      <c r="U758" s="48">
        <f>IF(OR($B758="",$K758=""),"",WORKDAY($B758,IFERROR(INDEX(CONFIG!$C$4:$C$43,MATCH($K758,CONFIG!$A$4:$A$43,0)),3)))</f>
        <v/>
      </c>
      <c r="V758" s="46" t="n"/>
      <c r="W758" s="23">
        <f>IF($B758="","",IF($V758&lt;&gt;"",$V758-$B758,TODAY()-$B758))</f>
        <v/>
      </c>
      <c r="X758" s="27">
        <f>IF($C758="","",IF(IFERROR(INDEX(CONFIG!$K$4:$K$43,MATCH($S758,CONFIG!$J$4:$J$43,0)),"NO")="SÍ",IF(OR($V758="",$U758=""),"Resuelta",IF($V758&gt;$U758,"Resuelta tarde","Resuelta a tiempo")),IF($U758="","Sin clasificar",IF(TODAY()&gt;$U758,"Vencida",IF(TODAY()&gt;=$U758-1,"Por vencer","En plazo")))))</f>
        <v/>
      </c>
      <c r="Y758" s="49" t="n"/>
      <c r="Z758" s="49" t="n"/>
    </row>
    <row r="759" ht="16" customHeight="1">
      <c r="A759" s="27">
        <f>IF($C759="","","N-"&amp;TEXT(ROW()-3,"0000"))</f>
        <v/>
      </c>
      <c r="B759" s="46" t="n"/>
      <c r="C759" s="47" t="n"/>
      <c r="D759" s="27">
        <f>IF($C759="","",IF(COUNTIFS(ENVIOS!$A$4:$A$3003,$C759)=0,"NO EXISTE",IF(COUNTIFS(ENVIOS!$A$4:$A$3003,$C759)&gt;1,"DUPLICADA","OK")))</f>
        <v/>
      </c>
      <c r="E759" s="22">
        <f>IF($C759="","",IFERROR(INDEX(ENVIOS!$C$4:$C$3003,MATCH($C759,ENVIOS!$A$4:$A$3003,0)),"—"))</f>
        <v/>
      </c>
      <c r="F759" s="22">
        <f>IF($C759="","",IFERROR(INDEX(ENVIOS!$D$4:$D$3003,MATCH($C759,ENVIOS!$A$4:$A$3003,0)),"—"))</f>
        <v/>
      </c>
      <c r="G759" s="22">
        <f>IF($C759="","",IFERROR(INDEX(ENVIOS!$E$4:$E$3003,MATCH($C759,ENVIOS!$A$4:$A$3003,0)),"—"))</f>
        <v/>
      </c>
      <c r="H759" s="22">
        <f>IF($C759="","",IFERROR(INDEX(ENVIOS!$F$4:$F$3003,MATCH($C759,ENVIOS!$A$4:$A$3003,0)),"—"))</f>
        <v/>
      </c>
      <c r="I759" s="27">
        <f>IF($C759="","",IFERROR(INDEX(ENVIOS!$G$4:$G$3003,MATCH($C759,ENVIOS!$A$4:$A$3003,0)),"—"))</f>
        <v/>
      </c>
      <c r="J759" s="48">
        <f>IF($C759="","",IFERROR(INDEX(ENVIOS!$B$4:$B$3003,MATCH($C759,ENVIOS!$A$4:$A$3003,0)),""))</f>
        <v/>
      </c>
      <c r="K759" s="49" t="n"/>
      <c r="L759" s="27">
        <f>IF($K759="","",IFERROR(INDEX(CONFIG!$B$4:$B$43,MATCH($K759,CONFIG!$A$4:$A$43,0)),"Media"))</f>
        <v/>
      </c>
      <c r="M759" s="27">
        <f>IF($K759="","",IFERROR(INDEX(CONFIG!$D$4:$D$43,MATCH($K759,CONFIG!$A$4:$A$43,0)),"NO"))</f>
        <v/>
      </c>
      <c r="N759" s="49" t="n"/>
      <c r="O759" s="27">
        <f>IF($N759="","",IFERROR(INDEX(CONFIG!$G$4:$G$43,MATCH($N759,CONFIG!$F$4:$F$43,0)),"Por definir"))</f>
        <v/>
      </c>
      <c r="P759" s="27">
        <f>IF($N759="","",IFERROR(INDEX(CONFIG!$H$4:$H$43,MATCH($N759,CONFIG!$F$4:$F$43,0)),"Por definir"))</f>
        <v/>
      </c>
      <c r="Q759" s="50" t="n"/>
      <c r="R759" s="51" t="n"/>
      <c r="S759" s="49" t="n"/>
      <c r="T759" s="49" t="n"/>
      <c r="U759" s="48">
        <f>IF(OR($B759="",$K759=""),"",WORKDAY($B759,IFERROR(INDEX(CONFIG!$C$4:$C$43,MATCH($K759,CONFIG!$A$4:$A$43,0)),3)))</f>
        <v/>
      </c>
      <c r="V759" s="46" t="n"/>
      <c r="W759" s="23">
        <f>IF($B759="","",IF($V759&lt;&gt;"",$V759-$B759,TODAY()-$B759))</f>
        <v/>
      </c>
      <c r="X759" s="27">
        <f>IF($C759="","",IF(IFERROR(INDEX(CONFIG!$K$4:$K$43,MATCH($S759,CONFIG!$J$4:$J$43,0)),"NO")="SÍ",IF(OR($V759="",$U759=""),"Resuelta",IF($V759&gt;$U759,"Resuelta tarde","Resuelta a tiempo")),IF($U759="","Sin clasificar",IF(TODAY()&gt;$U759,"Vencida",IF(TODAY()&gt;=$U759-1,"Por vencer","En plazo")))))</f>
        <v/>
      </c>
      <c r="Y759" s="49" t="n"/>
      <c r="Z759" s="49" t="n"/>
    </row>
    <row r="760" ht="16" customHeight="1">
      <c r="A760" s="27">
        <f>IF($C760="","","N-"&amp;TEXT(ROW()-3,"0000"))</f>
        <v/>
      </c>
      <c r="B760" s="46" t="n"/>
      <c r="C760" s="47" t="n"/>
      <c r="D760" s="27">
        <f>IF($C760="","",IF(COUNTIFS(ENVIOS!$A$4:$A$3003,$C760)=0,"NO EXISTE",IF(COUNTIFS(ENVIOS!$A$4:$A$3003,$C760)&gt;1,"DUPLICADA","OK")))</f>
        <v/>
      </c>
      <c r="E760" s="22">
        <f>IF($C760="","",IFERROR(INDEX(ENVIOS!$C$4:$C$3003,MATCH($C760,ENVIOS!$A$4:$A$3003,0)),"—"))</f>
        <v/>
      </c>
      <c r="F760" s="22">
        <f>IF($C760="","",IFERROR(INDEX(ENVIOS!$D$4:$D$3003,MATCH($C760,ENVIOS!$A$4:$A$3003,0)),"—"))</f>
        <v/>
      </c>
      <c r="G760" s="22">
        <f>IF($C760="","",IFERROR(INDEX(ENVIOS!$E$4:$E$3003,MATCH($C760,ENVIOS!$A$4:$A$3003,0)),"—"))</f>
        <v/>
      </c>
      <c r="H760" s="22">
        <f>IF($C760="","",IFERROR(INDEX(ENVIOS!$F$4:$F$3003,MATCH($C760,ENVIOS!$A$4:$A$3003,0)),"—"))</f>
        <v/>
      </c>
      <c r="I760" s="27">
        <f>IF($C760="","",IFERROR(INDEX(ENVIOS!$G$4:$G$3003,MATCH($C760,ENVIOS!$A$4:$A$3003,0)),"—"))</f>
        <v/>
      </c>
      <c r="J760" s="48">
        <f>IF($C760="","",IFERROR(INDEX(ENVIOS!$B$4:$B$3003,MATCH($C760,ENVIOS!$A$4:$A$3003,0)),""))</f>
        <v/>
      </c>
      <c r="K760" s="49" t="n"/>
      <c r="L760" s="27">
        <f>IF($K760="","",IFERROR(INDEX(CONFIG!$B$4:$B$43,MATCH($K760,CONFIG!$A$4:$A$43,0)),"Media"))</f>
        <v/>
      </c>
      <c r="M760" s="27">
        <f>IF($K760="","",IFERROR(INDEX(CONFIG!$D$4:$D$43,MATCH($K760,CONFIG!$A$4:$A$43,0)),"NO"))</f>
        <v/>
      </c>
      <c r="N760" s="49" t="n"/>
      <c r="O760" s="27">
        <f>IF($N760="","",IFERROR(INDEX(CONFIG!$G$4:$G$43,MATCH($N760,CONFIG!$F$4:$F$43,0)),"Por definir"))</f>
        <v/>
      </c>
      <c r="P760" s="27">
        <f>IF($N760="","",IFERROR(INDEX(CONFIG!$H$4:$H$43,MATCH($N760,CONFIG!$F$4:$F$43,0)),"Por definir"))</f>
        <v/>
      </c>
      <c r="Q760" s="50" t="n"/>
      <c r="R760" s="51" t="n"/>
      <c r="S760" s="49" t="n"/>
      <c r="T760" s="49" t="n"/>
      <c r="U760" s="48">
        <f>IF(OR($B760="",$K760=""),"",WORKDAY($B760,IFERROR(INDEX(CONFIG!$C$4:$C$43,MATCH($K760,CONFIG!$A$4:$A$43,0)),3)))</f>
        <v/>
      </c>
      <c r="V760" s="46" t="n"/>
      <c r="W760" s="23">
        <f>IF($B760="","",IF($V760&lt;&gt;"",$V760-$B760,TODAY()-$B760))</f>
        <v/>
      </c>
      <c r="X760" s="27">
        <f>IF($C760="","",IF(IFERROR(INDEX(CONFIG!$K$4:$K$43,MATCH($S760,CONFIG!$J$4:$J$43,0)),"NO")="SÍ",IF(OR($V760="",$U760=""),"Resuelta",IF($V760&gt;$U760,"Resuelta tarde","Resuelta a tiempo")),IF($U760="","Sin clasificar",IF(TODAY()&gt;$U760,"Vencida",IF(TODAY()&gt;=$U760-1,"Por vencer","En plazo")))))</f>
        <v/>
      </c>
      <c r="Y760" s="49" t="n"/>
      <c r="Z760" s="49" t="n"/>
    </row>
    <row r="761" ht="16" customHeight="1">
      <c r="A761" s="27">
        <f>IF($C761="","","N-"&amp;TEXT(ROW()-3,"0000"))</f>
        <v/>
      </c>
      <c r="B761" s="46" t="n"/>
      <c r="C761" s="47" t="n"/>
      <c r="D761" s="27">
        <f>IF($C761="","",IF(COUNTIFS(ENVIOS!$A$4:$A$3003,$C761)=0,"NO EXISTE",IF(COUNTIFS(ENVIOS!$A$4:$A$3003,$C761)&gt;1,"DUPLICADA","OK")))</f>
        <v/>
      </c>
      <c r="E761" s="22">
        <f>IF($C761="","",IFERROR(INDEX(ENVIOS!$C$4:$C$3003,MATCH($C761,ENVIOS!$A$4:$A$3003,0)),"—"))</f>
        <v/>
      </c>
      <c r="F761" s="22">
        <f>IF($C761="","",IFERROR(INDEX(ENVIOS!$D$4:$D$3003,MATCH($C761,ENVIOS!$A$4:$A$3003,0)),"—"))</f>
        <v/>
      </c>
      <c r="G761" s="22">
        <f>IF($C761="","",IFERROR(INDEX(ENVIOS!$E$4:$E$3003,MATCH($C761,ENVIOS!$A$4:$A$3003,0)),"—"))</f>
        <v/>
      </c>
      <c r="H761" s="22">
        <f>IF($C761="","",IFERROR(INDEX(ENVIOS!$F$4:$F$3003,MATCH($C761,ENVIOS!$A$4:$A$3003,0)),"—"))</f>
        <v/>
      </c>
      <c r="I761" s="27">
        <f>IF($C761="","",IFERROR(INDEX(ENVIOS!$G$4:$G$3003,MATCH($C761,ENVIOS!$A$4:$A$3003,0)),"—"))</f>
        <v/>
      </c>
      <c r="J761" s="48">
        <f>IF($C761="","",IFERROR(INDEX(ENVIOS!$B$4:$B$3003,MATCH($C761,ENVIOS!$A$4:$A$3003,0)),""))</f>
        <v/>
      </c>
      <c r="K761" s="49" t="n"/>
      <c r="L761" s="27">
        <f>IF($K761="","",IFERROR(INDEX(CONFIG!$B$4:$B$43,MATCH($K761,CONFIG!$A$4:$A$43,0)),"Media"))</f>
        <v/>
      </c>
      <c r="M761" s="27">
        <f>IF($K761="","",IFERROR(INDEX(CONFIG!$D$4:$D$43,MATCH($K761,CONFIG!$A$4:$A$43,0)),"NO"))</f>
        <v/>
      </c>
      <c r="N761" s="49" t="n"/>
      <c r="O761" s="27">
        <f>IF($N761="","",IFERROR(INDEX(CONFIG!$G$4:$G$43,MATCH($N761,CONFIG!$F$4:$F$43,0)),"Por definir"))</f>
        <v/>
      </c>
      <c r="P761" s="27">
        <f>IF($N761="","",IFERROR(INDEX(CONFIG!$H$4:$H$43,MATCH($N761,CONFIG!$F$4:$F$43,0)),"Por definir"))</f>
        <v/>
      </c>
      <c r="Q761" s="50" t="n"/>
      <c r="R761" s="51" t="n"/>
      <c r="S761" s="49" t="n"/>
      <c r="T761" s="49" t="n"/>
      <c r="U761" s="48">
        <f>IF(OR($B761="",$K761=""),"",WORKDAY($B761,IFERROR(INDEX(CONFIG!$C$4:$C$43,MATCH($K761,CONFIG!$A$4:$A$43,0)),3)))</f>
        <v/>
      </c>
      <c r="V761" s="46" t="n"/>
      <c r="W761" s="23">
        <f>IF($B761="","",IF($V761&lt;&gt;"",$V761-$B761,TODAY()-$B761))</f>
        <v/>
      </c>
      <c r="X761" s="27">
        <f>IF($C761="","",IF(IFERROR(INDEX(CONFIG!$K$4:$K$43,MATCH($S761,CONFIG!$J$4:$J$43,0)),"NO")="SÍ",IF(OR($V761="",$U761=""),"Resuelta",IF($V761&gt;$U761,"Resuelta tarde","Resuelta a tiempo")),IF($U761="","Sin clasificar",IF(TODAY()&gt;$U761,"Vencida",IF(TODAY()&gt;=$U761-1,"Por vencer","En plazo")))))</f>
        <v/>
      </c>
      <c r="Y761" s="49" t="n"/>
      <c r="Z761" s="49" t="n"/>
    </row>
    <row r="762" ht="16" customHeight="1">
      <c r="A762" s="27">
        <f>IF($C762="","","N-"&amp;TEXT(ROW()-3,"0000"))</f>
        <v/>
      </c>
      <c r="B762" s="46" t="n"/>
      <c r="C762" s="47" t="n"/>
      <c r="D762" s="27">
        <f>IF($C762="","",IF(COUNTIFS(ENVIOS!$A$4:$A$3003,$C762)=0,"NO EXISTE",IF(COUNTIFS(ENVIOS!$A$4:$A$3003,$C762)&gt;1,"DUPLICADA","OK")))</f>
        <v/>
      </c>
      <c r="E762" s="22">
        <f>IF($C762="","",IFERROR(INDEX(ENVIOS!$C$4:$C$3003,MATCH($C762,ENVIOS!$A$4:$A$3003,0)),"—"))</f>
        <v/>
      </c>
      <c r="F762" s="22">
        <f>IF($C762="","",IFERROR(INDEX(ENVIOS!$D$4:$D$3003,MATCH($C762,ENVIOS!$A$4:$A$3003,0)),"—"))</f>
        <v/>
      </c>
      <c r="G762" s="22">
        <f>IF($C762="","",IFERROR(INDEX(ENVIOS!$E$4:$E$3003,MATCH($C762,ENVIOS!$A$4:$A$3003,0)),"—"))</f>
        <v/>
      </c>
      <c r="H762" s="22">
        <f>IF($C762="","",IFERROR(INDEX(ENVIOS!$F$4:$F$3003,MATCH($C762,ENVIOS!$A$4:$A$3003,0)),"—"))</f>
        <v/>
      </c>
      <c r="I762" s="27">
        <f>IF($C762="","",IFERROR(INDEX(ENVIOS!$G$4:$G$3003,MATCH($C762,ENVIOS!$A$4:$A$3003,0)),"—"))</f>
        <v/>
      </c>
      <c r="J762" s="48">
        <f>IF($C762="","",IFERROR(INDEX(ENVIOS!$B$4:$B$3003,MATCH($C762,ENVIOS!$A$4:$A$3003,0)),""))</f>
        <v/>
      </c>
      <c r="K762" s="49" t="n"/>
      <c r="L762" s="27">
        <f>IF($K762="","",IFERROR(INDEX(CONFIG!$B$4:$B$43,MATCH($K762,CONFIG!$A$4:$A$43,0)),"Media"))</f>
        <v/>
      </c>
      <c r="M762" s="27">
        <f>IF($K762="","",IFERROR(INDEX(CONFIG!$D$4:$D$43,MATCH($K762,CONFIG!$A$4:$A$43,0)),"NO"))</f>
        <v/>
      </c>
      <c r="N762" s="49" t="n"/>
      <c r="O762" s="27">
        <f>IF($N762="","",IFERROR(INDEX(CONFIG!$G$4:$G$43,MATCH($N762,CONFIG!$F$4:$F$43,0)),"Por definir"))</f>
        <v/>
      </c>
      <c r="P762" s="27">
        <f>IF($N762="","",IFERROR(INDEX(CONFIG!$H$4:$H$43,MATCH($N762,CONFIG!$F$4:$F$43,0)),"Por definir"))</f>
        <v/>
      </c>
      <c r="Q762" s="50" t="n"/>
      <c r="R762" s="51" t="n"/>
      <c r="S762" s="49" t="n"/>
      <c r="T762" s="49" t="n"/>
      <c r="U762" s="48">
        <f>IF(OR($B762="",$K762=""),"",WORKDAY($B762,IFERROR(INDEX(CONFIG!$C$4:$C$43,MATCH($K762,CONFIG!$A$4:$A$43,0)),3)))</f>
        <v/>
      </c>
      <c r="V762" s="46" t="n"/>
      <c r="W762" s="23">
        <f>IF($B762="","",IF($V762&lt;&gt;"",$V762-$B762,TODAY()-$B762))</f>
        <v/>
      </c>
      <c r="X762" s="27">
        <f>IF($C762="","",IF(IFERROR(INDEX(CONFIG!$K$4:$K$43,MATCH($S762,CONFIG!$J$4:$J$43,0)),"NO")="SÍ",IF(OR($V762="",$U762=""),"Resuelta",IF($V762&gt;$U762,"Resuelta tarde","Resuelta a tiempo")),IF($U762="","Sin clasificar",IF(TODAY()&gt;$U762,"Vencida",IF(TODAY()&gt;=$U762-1,"Por vencer","En plazo")))))</f>
        <v/>
      </c>
      <c r="Y762" s="49" t="n"/>
      <c r="Z762" s="49" t="n"/>
    </row>
    <row r="763" ht="16" customHeight="1">
      <c r="A763" s="27">
        <f>IF($C763="","","N-"&amp;TEXT(ROW()-3,"0000"))</f>
        <v/>
      </c>
      <c r="B763" s="46" t="n"/>
      <c r="C763" s="47" t="n"/>
      <c r="D763" s="27">
        <f>IF($C763="","",IF(COUNTIFS(ENVIOS!$A$4:$A$3003,$C763)=0,"NO EXISTE",IF(COUNTIFS(ENVIOS!$A$4:$A$3003,$C763)&gt;1,"DUPLICADA","OK")))</f>
        <v/>
      </c>
      <c r="E763" s="22">
        <f>IF($C763="","",IFERROR(INDEX(ENVIOS!$C$4:$C$3003,MATCH($C763,ENVIOS!$A$4:$A$3003,0)),"—"))</f>
        <v/>
      </c>
      <c r="F763" s="22">
        <f>IF($C763="","",IFERROR(INDEX(ENVIOS!$D$4:$D$3003,MATCH($C763,ENVIOS!$A$4:$A$3003,0)),"—"))</f>
        <v/>
      </c>
      <c r="G763" s="22">
        <f>IF($C763="","",IFERROR(INDEX(ENVIOS!$E$4:$E$3003,MATCH($C763,ENVIOS!$A$4:$A$3003,0)),"—"))</f>
        <v/>
      </c>
      <c r="H763" s="22">
        <f>IF($C763="","",IFERROR(INDEX(ENVIOS!$F$4:$F$3003,MATCH($C763,ENVIOS!$A$4:$A$3003,0)),"—"))</f>
        <v/>
      </c>
      <c r="I763" s="27">
        <f>IF($C763="","",IFERROR(INDEX(ENVIOS!$G$4:$G$3003,MATCH($C763,ENVIOS!$A$4:$A$3003,0)),"—"))</f>
        <v/>
      </c>
      <c r="J763" s="48">
        <f>IF($C763="","",IFERROR(INDEX(ENVIOS!$B$4:$B$3003,MATCH($C763,ENVIOS!$A$4:$A$3003,0)),""))</f>
        <v/>
      </c>
      <c r="K763" s="49" t="n"/>
      <c r="L763" s="27">
        <f>IF($K763="","",IFERROR(INDEX(CONFIG!$B$4:$B$43,MATCH($K763,CONFIG!$A$4:$A$43,0)),"Media"))</f>
        <v/>
      </c>
      <c r="M763" s="27">
        <f>IF($K763="","",IFERROR(INDEX(CONFIG!$D$4:$D$43,MATCH($K763,CONFIG!$A$4:$A$43,0)),"NO"))</f>
        <v/>
      </c>
      <c r="N763" s="49" t="n"/>
      <c r="O763" s="27">
        <f>IF($N763="","",IFERROR(INDEX(CONFIG!$G$4:$G$43,MATCH($N763,CONFIG!$F$4:$F$43,0)),"Por definir"))</f>
        <v/>
      </c>
      <c r="P763" s="27">
        <f>IF($N763="","",IFERROR(INDEX(CONFIG!$H$4:$H$43,MATCH($N763,CONFIG!$F$4:$F$43,0)),"Por definir"))</f>
        <v/>
      </c>
      <c r="Q763" s="50" t="n"/>
      <c r="R763" s="51" t="n"/>
      <c r="S763" s="49" t="n"/>
      <c r="T763" s="49" t="n"/>
      <c r="U763" s="48">
        <f>IF(OR($B763="",$K763=""),"",WORKDAY($B763,IFERROR(INDEX(CONFIG!$C$4:$C$43,MATCH($K763,CONFIG!$A$4:$A$43,0)),3)))</f>
        <v/>
      </c>
      <c r="V763" s="46" t="n"/>
      <c r="W763" s="23">
        <f>IF($B763="","",IF($V763&lt;&gt;"",$V763-$B763,TODAY()-$B763))</f>
        <v/>
      </c>
      <c r="X763" s="27">
        <f>IF($C763="","",IF(IFERROR(INDEX(CONFIG!$K$4:$K$43,MATCH($S763,CONFIG!$J$4:$J$43,0)),"NO")="SÍ",IF(OR($V763="",$U763=""),"Resuelta",IF($V763&gt;$U763,"Resuelta tarde","Resuelta a tiempo")),IF($U763="","Sin clasificar",IF(TODAY()&gt;$U763,"Vencida",IF(TODAY()&gt;=$U763-1,"Por vencer","En plazo")))))</f>
        <v/>
      </c>
      <c r="Y763" s="49" t="n"/>
      <c r="Z763" s="49" t="n"/>
    </row>
    <row r="764" ht="16" customHeight="1">
      <c r="A764" s="27">
        <f>IF($C764="","","N-"&amp;TEXT(ROW()-3,"0000"))</f>
        <v/>
      </c>
      <c r="B764" s="46" t="n"/>
      <c r="C764" s="47" t="n"/>
      <c r="D764" s="27">
        <f>IF($C764="","",IF(COUNTIFS(ENVIOS!$A$4:$A$3003,$C764)=0,"NO EXISTE",IF(COUNTIFS(ENVIOS!$A$4:$A$3003,$C764)&gt;1,"DUPLICADA","OK")))</f>
        <v/>
      </c>
      <c r="E764" s="22">
        <f>IF($C764="","",IFERROR(INDEX(ENVIOS!$C$4:$C$3003,MATCH($C764,ENVIOS!$A$4:$A$3003,0)),"—"))</f>
        <v/>
      </c>
      <c r="F764" s="22">
        <f>IF($C764="","",IFERROR(INDEX(ENVIOS!$D$4:$D$3003,MATCH($C764,ENVIOS!$A$4:$A$3003,0)),"—"))</f>
        <v/>
      </c>
      <c r="G764" s="22">
        <f>IF($C764="","",IFERROR(INDEX(ENVIOS!$E$4:$E$3003,MATCH($C764,ENVIOS!$A$4:$A$3003,0)),"—"))</f>
        <v/>
      </c>
      <c r="H764" s="22">
        <f>IF($C764="","",IFERROR(INDEX(ENVIOS!$F$4:$F$3003,MATCH($C764,ENVIOS!$A$4:$A$3003,0)),"—"))</f>
        <v/>
      </c>
      <c r="I764" s="27">
        <f>IF($C764="","",IFERROR(INDEX(ENVIOS!$G$4:$G$3003,MATCH($C764,ENVIOS!$A$4:$A$3003,0)),"—"))</f>
        <v/>
      </c>
      <c r="J764" s="48">
        <f>IF($C764="","",IFERROR(INDEX(ENVIOS!$B$4:$B$3003,MATCH($C764,ENVIOS!$A$4:$A$3003,0)),""))</f>
        <v/>
      </c>
      <c r="K764" s="49" t="n"/>
      <c r="L764" s="27">
        <f>IF($K764="","",IFERROR(INDEX(CONFIG!$B$4:$B$43,MATCH($K764,CONFIG!$A$4:$A$43,0)),"Media"))</f>
        <v/>
      </c>
      <c r="M764" s="27">
        <f>IF($K764="","",IFERROR(INDEX(CONFIG!$D$4:$D$43,MATCH($K764,CONFIG!$A$4:$A$43,0)),"NO"))</f>
        <v/>
      </c>
      <c r="N764" s="49" t="n"/>
      <c r="O764" s="27">
        <f>IF($N764="","",IFERROR(INDEX(CONFIG!$G$4:$G$43,MATCH($N764,CONFIG!$F$4:$F$43,0)),"Por definir"))</f>
        <v/>
      </c>
      <c r="P764" s="27">
        <f>IF($N764="","",IFERROR(INDEX(CONFIG!$H$4:$H$43,MATCH($N764,CONFIG!$F$4:$F$43,0)),"Por definir"))</f>
        <v/>
      </c>
      <c r="Q764" s="50" t="n"/>
      <c r="R764" s="51" t="n"/>
      <c r="S764" s="49" t="n"/>
      <c r="T764" s="49" t="n"/>
      <c r="U764" s="48">
        <f>IF(OR($B764="",$K764=""),"",WORKDAY($B764,IFERROR(INDEX(CONFIG!$C$4:$C$43,MATCH($K764,CONFIG!$A$4:$A$43,0)),3)))</f>
        <v/>
      </c>
      <c r="V764" s="46" t="n"/>
      <c r="W764" s="23">
        <f>IF($B764="","",IF($V764&lt;&gt;"",$V764-$B764,TODAY()-$B764))</f>
        <v/>
      </c>
      <c r="X764" s="27">
        <f>IF($C764="","",IF(IFERROR(INDEX(CONFIG!$K$4:$K$43,MATCH($S764,CONFIG!$J$4:$J$43,0)),"NO")="SÍ",IF(OR($V764="",$U764=""),"Resuelta",IF($V764&gt;$U764,"Resuelta tarde","Resuelta a tiempo")),IF($U764="","Sin clasificar",IF(TODAY()&gt;$U764,"Vencida",IF(TODAY()&gt;=$U764-1,"Por vencer","En plazo")))))</f>
        <v/>
      </c>
      <c r="Y764" s="49" t="n"/>
      <c r="Z764" s="49" t="n"/>
    </row>
    <row r="765" ht="16" customHeight="1">
      <c r="A765" s="27">
        <f>IF($C765="","","N-"&amp;TEXT(ROW()-3,"0000"))</f>
        <v/>
      </c>
      <c r="B765" s="46" t="n"/>
      <c r="C765" s="47" t="n"/>
      <c r="D765" s="27">
        <f>IF($C765="","",IF(COUNTIFS(ENVIOS!$A$4:$A$3003,$C765)=0,"NO EXISTE",IF(COUNTIFS(ENVIOS!$A$4:$A$3003,$C765)&gt;1,"DUPLICADA","OK")))</f>
        <v/>
      </c>
      <c r="E765" s="22">
        <f>IF($C765="","",IFERROR(INDEX(ENVIOS!$C$4:$C$3003,MATCH($C765,ENVIOS!$A$4:$A$3003,0)),"—"))</f>
        <v/>
      </c>
      <c r="F765" s="22">
        <f>IF($C765="","",IFERROR(INDEX(ENVIOS!$D$4:$D$3003,MATCH($C765,ENVIOS!$A$4:$A$3003,0)),"—"))</f>
        <v/>
      </c>
      <c r="G765" s="22">
        <f>IF($C765="","",IFERROR(INDEX(ENVIOS!$E$4:$E$3003,MATCH($C765,ENVIOS!$A$4:$A$3003,0)),"—"))</f>
        <v/>
      </c>
      <c r="H765" s="22">
        <f>IF($C765="","",IFERROR(INDEX(ENVIOS!$F$4:$F$3003,MATCH($C765,ENVIOS!$A$4:$A$3003,0)),"—"))</f>
        <v/>
      </c>
      <c r="I765" s="27">
        <f>IF($C765="","",IFERROR(INDEX(ENVIOS!$G$4:$G$3003,MATCH($C765,ENVIOS!$A$4:$A$3003,0)),"—"))</f>
        <v/>
      </c>
      <c r="J765" s="48">
        <f>IF($C765="","",IFERROR(INDEX(ENVIOS!$B$4:$B$3003,MATCH($C765,ENVIOS!$A$4:$A$3003,0)),""))</f>
        <v/>
      </c>
      <c r="K765" s="49" t="n"/>
      <c r="L765" s="27">
        <f>IF($K765="","",IFERROR(INDEX(CONFIG!$B$4:$B$43,MATCH($K765,CONFIG!$A$4:$A$43,0)),"Media"))</f>
        <v/>
      </c>
      <c r="M765" s="27">
        <f>IF($K765="","",IFERROR(INDEX(CONFIG!$D$4:$D$43,MATCH($K765,CONFIG!$A$4:$A$43,0)),"NO"))</f>
        <v/>
      </c>
      <c r="N765" s="49" t="n"/>
      <c r="O765" s="27">
        <f>IF($N765="","",IFERROR(INDEX(CONFIG!$G$4:$G$43,MATCH($N765,CONFIG!$F$4:$F$43,0)),"Por definir"))</f>
        <v/>
      </c>
      <c r="P765" s="27">
        <f>IF($N765="","",IFERROR(INDEX(CONFIG!$H$4:$H$43,MATCH($N765,CONFIG!$F$4:$F$43,0)),"Por definir"))</f>
        <v/>
      </c>
      <c r="Q765" s="50" t="n"/>
      <c r="R765" s="51" t="n"/>
      <c r="S765" s="49" t="n"/>
      <c r="T765" s="49" t="n"/>
      <c r="U765" s="48">
        <f>IF(OR($B765="",$K765=""),"",WORKDAY($B765,IFERROR(INDEX(CONFIG!$C$4:$C$43,MATCH($K765,CONFIG!$A$4:$A$43,0)),3)))</f>
        <v/>
      </c>
      <c r="V765" s="46" t="n"/>
      <c r="W765" s="23">
        <f>IF($B765="","",IF($V765&lt;&gt;"",$V765-$B765,TODAY()-$B765))</f>
        <v/>
      </c>
      <c r="X765" s="27">
        <f>IF($C765="","",IF(IFERROR(INDEX(CONFIG!$K$4:$K$43,MATCH($S765,CONFIG!$J$4:$J$43,0)),"NO")="SÍ",IF(OR($V765="",$U765=""),"Resuelta",IF($V765&gt;$U765,"Resuelta tarde","Resuelta a tiempo")),IF($U765="","Sin clasificar",IF(TODAY()&gt;$U765,"Vencida",IF(TODAY()&gt;=$U765-1,"Por vencer","En plazo")))))</f>
        <v/>
      </c>
      <c r="Y765" s="49" t="n"/>
      <c r="Z765" s="49" t="n"/>
    </row>
    <row r="766" ht="16" customHeight="1">
      <c r="A766" s="27">
        <f>IF($C766="","","N-"&amp;TEXT(ROW()-3,"0000"))</f>
        <v/>
      </c>
      <c r="B766" s="46" t="n"/>
      <c r="C766" s="47" t="n"/>
      <c r="D766" s="27">
        <f>IF($C766="","",IF(COUNTIFS(ENVIOS!$A$4:$A$3003,$C766)=0,"NO EXISTE",IF(COUNTIFS(ENVIOS!$A$4:$A$3003,$C766)&gt;1,"DUPLICADA","OK")))</f>
        <v/>
      </c>
      <c r="E766" s="22">
        <f>IF($C766="","",IFERROR(INDEX(ENVIOS!$C$4:$C$3003,MATCH($C766,ENVIOS!$A$4:$A$3003,0)),"—"))</f>
        <v/>
      </c>
      <c r="F766" s="22">
        <f>IF($C766="","",IFERROR(INDEX(ENVIOS!$D$4:$D$3003,MATCH($C766,ENVIOS!$A$4:$A$3003,0)),"—"))</f>
        <v/>
      </c>
      <c r="G766" s="22">
        <f>IF($C766="","",IFERROR(INDEX(ENVIOS!$E$4:$E$3003,MATCH($C766,ENVIOS!$A$4:$A$3003,0)),"—"))</f>
        <v/>
      </c>
      <c r="H766" s="22">
        <f>IF($C766="","",IFERROR(INDEX(ENVIOS!$F$4:$F$3003,MATCH($C766,ENVIOS!$A$4:$A$3003,0)),"—"))</f>
        <v/>
      </c>
      <c r="I766" s="27">
        <f>IF($C766="","",IFERROR(INDEX(ENVIOS!$G$4:$G$3003,MATCH($C766,ENVIOS!$A$4:$A$3003,0)),"—"))</f>
        <v/>
      </c>
      <c r="J766" s="48">
        <f>IF($C766="","",IFERROR(INDEX(ENVIOS!$B$4:$B$3003,MATCH($C766,ENVIOS!$A$4:$A$3003,0)),""))</f>
        <v/>
      </c>
      <c r="K766" s="49" t="n"/>
      <c r="L766" s="27">
        <f>IF($K766="","",IFERROR(INDEX(CONFIG!$B$4:$B$43,MATCH($K766,CONFIG!$A$4:$A$43,0)),"Media"))</f>
        <v/>
      </c>
      <c r="M766" s="27">
        <f>IF($K766="","",IFERROR(INDEX(CONFIG!$D$4:$D$43,MATCH($K766,CONFIG!$A$4:$A$43,0)),"NO"))</f>
        <v/>
      </c>
      <c r="N766" s="49" t="n"/>
      <c r="O766" s="27">
        <f>IF($N766="","",IFERROR(INDEX(CONFIG!$G$4:$G$43,MATCH($N766,CONFIG!$F$4:$F$43,0)),"Por definir"))</f>
        <v/>
      </c>
      <c r="P766" s="27">
        <f>IF($N766="","",IFERROR(INDEX(CONFIG!$H$4:$H$43,MATCH($N766,CONFIG!$F$4:$F$43,0)),"Por definir"))</f>
        <v/>
      </c>
      <c r="Q766" s="50" t="n"/>
      <c r="R766" s="51" t="n"/>
      <c r="S766" s="49" t="n"/>
      <c r="T766" s="49" t="n"/>
      <c r="U766" s="48">
        <f>IF(OR($B766="",$K766=""),"",WORKDAY($B766,IFERROR(INDEX(CONFIG!$C$4:$C$43,MATCH($K766,CONFIG!$A$4:$A$43,0)),3)))</f>
        <v/>
      </c>
      <c r="V766" s="46" t="n"/>
      <c r="W766" s="23">
        <f>IF($B766="","",IF($V766&lt;&gt;"",$V766-$B766,TODAY()-$B766))</f>
        <v/>
      </c>
      <c r="X766" s="27">
        <f>IF($C766="","",IF(IFERROR(INDEX(CONFIG!$K$4:$K$43,MATCH($S766,CONFIG!$J$4:$J$43,0)),"NO")="SÍ",IF(OR($V766="",$U766=""),"Resuelta",IF($V766&gt;$U766,"Resuelta tarde","Resuelta a tiempo")),IF($U766="","Sin clasificar",IF(TODAY()&gt;$U766,"Vencida",IF(TODAY()&gt;=$U766-1,"Por vencer","En plazo")))))</f>
        <v/>
      </c>
      <c r="Y766" s="49" t="n"/>
      <c r="Z766" s="49" t="n"/>
    </row>
    <row r="767" ht="16" customHeight="1">
      <c r="A767" s="27">
        <f>IF($C767="","","N-"&amp;TEXT(ROW()-3,"0000"))</f>
        <v/>
      </c>
      <c r="B767" s="46" t="n"/>
      <c r="C767" s="47" t="n"/>
      <c r="D767" s="27">
        <f>IF($C767="","",IF(COUNTIFS(ENVIOS!$A$4:$A$3003,$C767)=0,"NO EXISTE",IF(COUNTIFS(ENVIOS!$A$4:$A$3003,$C767)&gt;1,"DUPLICADA","OK")))</f>
        <v/>
      </c>
      <c r="E767" s="22">
        <f>IF($C767="","",IFERROR(INDEX(ENVIOS!$C$4:$C$3003,MATCH($C767,ENVIOS!$A$4:$A$3003,0)),"—"))</f>
        <v/>
      </c>
      <c r="F767" s="22">
        <f>IF($C767="","",IFERROR(INDEX(ENVIOS!$D$4:$D$3003,MATCH($C767,ENVIOS!$A$4:$A$3003,0)),"—"))</f>
        <v/>
      </c>
      <c r="G767" s="22">
        <f>IF($C767="","",IFERROR(INDEX(ENVIOS!$E$4:$E$3003,MATCH($C767,ENVIOS!$A$4:$A$3003,0)),"—"))</f>
        <v/>
      </c>
      <c r="H767" s="22">
        <f>IF($C767="","",IFERROR(INDEX(ENVIOS!$F$4:$F$3003,MATCH($C767,ENVIOS!$A$4:$A$3003,0)),"—"))</f>
        <v/>
      </c>
      <c r="I767" s="27">
        <f>IF($C767="","",IFERROR(INDEX(ENVIOS!$G$4:$G$3003,MATCH($C767,ENVIOS!$A$4:$A$3003,0)),"—"))</f>
        <v/>
      </c>
      <c r="J767" s="48">
        <f>IF($C767="","",IFERROR(INDEX(ENVIOS!$B$4:$B$3003,MATCH($C767,ENVIOS!$A$4:$A$3003,0)),""))</f>
        <v/>
      </c>
      <c r="K767" s="49" t="n"/>
      <c r="L767" s="27">
        <f>IF($K767="","",IFERROR(INDEX(CONFIG!$B$4:$B$43,MATCH($K767,CONFIG!$A$4:$A$43,0)),"Media"))</f>
        <v/>
      </c>
      <c r="M767" s="27">
        <f>IF($K767="","",IFERROR(INDEX(CONFIG!$D$4:$D$43,MATCH($K767,CONFIG!$A$4:$A$43,0)),"NO"))</f>
        <v/>
      </c>
      <c r="N767" s="49" t="n"/>
      <c r="O767" s="27">
        <f>IF($N767="","",IFERROR(INDEX(CONFIG!$G$4:$G$43,MATCH($N767,CONFIG!$F$4:$F$43,0)),"Por definir"))</f>
        <v/>
      </c>
      <c r="P767" s="27">
        <f>IF($N767="","",IFERROR(INDEX(CONFIG!$H$4:$H$43,MATCH($N767,CONFIG!$F$4:$F$43,0)),"Por definir"))</f>
        <v/>
      </c>
      <c r="Q767" s="50" t="n"/>
      <c r="R767" s="51" t="n"/>
      <c r="S767" s="49" t="n"/>
      <c r="T767" s="49" t="n"/>
      <c r="U767" s="48">
        <f>IF(OR($B767="",$K767=""),"",WORKDAY($B767,IFERROR(INDEX(CONFIG!$C$4:$C$43,MATCH($K767,CONFIG!$A$4:$A$43,0)),3)))</f>
        <v/>
      </c>
      <c r="V767" s="46" t="n"/>
      <c r="W767" s="23">
        <f>IF($B767="","",IF($V767&lt;&gt;"",$V767-$B767,TODAY()-$B767))</f>
        <v/>
      </c>
      <c r="X767" s="27">
        <f>IF($C767="","",IF(IFERROR(INDEX(CONFIG!$K$4:$K$43,MATCH($S767,CONFIG!$J$4:$J$43,0)),"NO")="SÍ",IF(OR($V767="",$U767=""),"Resuelta",IF($V767&gt;$U767,"Resuelta tarde","Resuelta a tiempo")),IF($U767="","Sin clasificar",IF(TODAY()&gt;$U767,"Vencida",IF(TODAY()&gt;=$U767-1,"Por vencer","En plazo")))))</f>
        <v/>
      </c>
      <c r="Y767" s="49" t="n"/>
      <c r="Z767" s="49" t="n"/>
    </row>
    <row r="768" ht="16" customHeight="1">
      <c r="A768" s="27">
        <f>IF($C768="","","N-"&amp;TEXT(ROW()-3,"0000"))</f>
        <v/>
      </c>
      <c r="B768" s="46" t="n"/>
      <c r="C768" s="47" t="n"/>
      <c r="D768" s="27">
        <f>IF($C768="","",IF(COUNTIFS(ENVIOS!$A$4:$A$3003,$C768)=0,"NO EXISTE",IF(COUNTIFS(ENVIOS!$A$4:$A$3003,$C768)&gt;1,"DUPLICADA","OK")))</f>
        <v/>
      </c>
      <c r="E768" s="22">
        <f>IF($C768="","",IFERROR(INDEX(ENVIOS!$C$4:$C$3003,MATCH($C768,ENVIOS!$A$4:$A$3003,0)),"—"))</f>
        <v/>
      </c>
      <c r="F768" s="22">
        <f>IF($C768="","",IFERROR(INDEX(ENVIOS!$D$4:$D$3003,MATCH($C768,ENVIOS!$A$4:$A$3003,0)),"—"))</f>
        <v/>
      </c>
      <c r="G768" s="22">
        <f>IF($C768="","",IFERROR(INDEX(ENVIOS!$E$4:$E$3003,MATCH($C768,ENVIOS!$A$4:$A$3003,0)),"—"))</f>
        <v/>
      </c>
      <c r="H768" s="22">
        <f>IF($C768="","",IFERROR(INDEX(ENVIOS!$F$4:$F$3003,MATCH($C768,ENVIOS!$A$4:$A$3003,0)),"—"))</f>
        <v/>
      </c>
      <c r="I768" s="27">
        <f>IF($C768="","",IFERROR(INDEX(ENVIOS!$G$4:$G$3003,MATCH($C768,ENVIOS!$A$4:$A$3003,0)),"—"))</f>
        <v/>
      </c>
      <c r="J768" s="48">
        <f>IF($C768="","",IFERROR(INDEX(ENVIOS!$B$4:$B$3003,MATCH($C768,ENVIOS!$A$4:$A$3003,0)),""))</f>
        <v/>
      </c>
      <c r="K768" s="49" t="n"/>
      <c r="L768" s="27">
        <f>IF($K768="","",IFERROR(INDEX(CONFIG!$B$4:$B$43,MATCH($K768,CONFIG!$A$4:$A$43,0)),"Media"))</f>
        <v/>
      </c>
      <c r="M768" s="27">
        <f>IF($K768="","",IFERROR(INDEX(CONFIG!$D$4:$D$43,MATCH($K768,CONFIG!$A$4:$A$43,0)),"NO"))</f>
        <v/>
      </c>
      <c r="N768" s="49" t="n"/>
      <c r="O768" s="27">
        <f>IF($N768="","",IFERROR(INDEX(CONFIG!$G$4:$G$43,MATCH($N768,CONFIG!$F$4:$F$43,0)),"Por definir"))</f>
        <v/>
      </c>
      <c r="P768" s="27">
        <f>IF($N768="","",IFERROR(INDEX(CONFIG!$H$4:$H$43,MATCH($N768,CONFIG!$F$4:$F$43,0)),"Por definir"))</f>
        <v/>
      </c>
      <c r="Q768" s="50" t="n"/>
      <c r="R768" s="51" t="n"/>
      <c r="S768" s="49" t="n"/>
      <c r="T768" s="49" t="n"/>
      <c r="U768" s="48">
        <f>IF(OR($B768="",$K768=""),"",WORKDAY($B768,IFERROR(INDEX(CONFIG!$C$4:$C$43,MATCH($K768,CONFIG!$A$4:$A$43,0)),3)))</f>
        <v/>
      </c>
      <c r="V768" s="46" t="n"/>
      <c r="W768" s="23">
        <f>IF($B768="","",IF($V768&lt;&gt;"",$V768-$B768,TODAY()-$B768))</f>
        <v/>
      </c>
      <c r="X768" s="27">
        <f>IF($C768="","",IF(IFERROR(INDEX(CONFIG!$K$4:$K$43,MATCH($S768,CONFIG!$J$4:$J$43,0)),"NO")="SÍ",IF(OR($V768="",$U768=""),"Resuelta",IF($V768&gt;$U768,"Resuelta tarde","Resuelta a tiempo")),IF($U768="","Sin clasificar",IF(TODAY()&gt;$U768,"Vencida",IF(TODAY()&gt;=$U768-1,"Por vencer","En plazo")))))</f>
        <v/>
      </c>
      <c r="Y768" s="49" t="n"/>
      <c r="Z768" s="49" t="n"/>
    </row>
    <row r="769" ht="16" customHeight="1">
      <c r="A769" s="27">
        <f>IF($C769="","","N-"&amp;TEXT(ROW()-3,"0000"))</f>
        <v/>
      </c>
      <c r="B769" s="46" t="n"/>
      <c r="C769" s="47" t="n"/>
      <c r="D769" s="27">
        <f>IF($C769="","",IF(COUNTIFS(ENVIOS!$A$4:$A$3003,$C769)=0,"NO EXISTE",IF(COUNTIFS(ENVIOS!$A$4:$A$3003,$C769)&gt;1,"DUPLICADA","OK")))</f>
        <v/>
      </c>
      <c r="E769" s="22">
        <f>IF($C769="","",IFERROR(INDEX(ENVIOS!$C$4:$C$3003,MATCH($C769,ENVIOS!$A$4:$A$3003,0)),"—"))</f>
        <v/>
      </c>
      <c r="F769" s="22">
        <f>IF($C769="","",IFERROR(INDEX(ENVIOS!$D$4:$D$3003,MATCH($C769,ENVIOS!$A$4:$A$3003,0)),"—"))</f>
        <v/>
      </c>
      <c r="G769" s="22">
        <f>IF($C769="","",IFERROR(INDEX(ENVIOS!$E$4:$E$3003,MATCH($C769,ENVIOS!$A$4:$A$3003,0)),"—"))</f>
        <v/>
      </c>
      <c r="H769" s="22">
        <f>IF($C769="","",IFERROR(INDEX(ENVIOS!$F$4:$F$3003,MATCH($C769,ENVIOS!$A$4:$A$3003,0)),"—"))</f>
        <v/>
      </c>
      <c r="I769" s="27">
        <f>IF($C769="","",IFERROR(INDEX(ENVIOS!$G$4:$G$3003,MATCH($C769,ENVIOS!$A$4:$A$3003,0)),"—"))</f>
        <v/>
      </c>
      <c r="J769" s="48">
        <f>IF($C769="","",IFERROR(INDEX(ENVIOS!$B$4:$B$3003,MATCH($C769,ENVIOS!$A$4:$A$3003,0)),""))</f>
        <v/>
      </c>
      <c r="K769" s="49" t="n"/>
      <c r="L769" s="27">
        <f>IF($K769="","",IFERROR(INDEX(CONFIG!$B$4:$B$43,MATCH($K769,CONFIG!$A$4:$A$43,0)),"Media"))</f>
        <v/>
      </c>
      <c r="M769" s="27">
        <f>IF($K769="","",IFERROR(INDEX(CONFIG!$D$4:$D$43,MATCH($K769,CONFIG!$A$4:$A$43,0)),"NO"))</f>
        <v/>
      </c>
      <c r="N769" s="49" t="n"/>
      <c r="O769" s="27">
        <f>IF($N769="","",IFERROR(INDEX(CONFIG!$G$4:$G$43,MATCH($N769,CONFIG!$F$4:$F$43,0)),"Por definir"))</f>
        <v/>
      </c>
      <c r="P769" s="27">
        <f>IF($N769="","",IFERROR(INDEX(CONFIG!$H$4:$H$43,MATCH($N769,CONFIG!$F$4:$F$43,0)),"Por definir"))</f>
        <v/>
      </c>
      <c r="Q769" s="50" t="n"/>
      <c r="R769" s="51" t="n"/>
      <c r="S769" s="49" t="n"/>
      <c r="T769" s="49" t="n"/>
      <c r="U769" s="48">
        <f>IF(OR($B769="",$K769=""),"",WORKDAY($B769,IFERROR(INDEX(CONFIG!$C$4:$C$43,MATCH($K769,CONFIG!$A$4:$A$43,0)),3)))</f>
        <v/>
      </c>
      <c r="V769" s="46" t="n"/>
      <c r="W769" s="23">
        <f>IF($B769="","",IF($V769&lt;&gt;"",$V769-$B769,TODAY()-$B769))</f>
        <v/>
      </c>
      <c r="X769" s="27">
        <f>IF($C769="","",IF(IFERROR(INDEX(CONFIG!$K$4:$K$43,MATCH($S769,CONFIG!$J$4:$J$43,0)),"NO")="SÍ",IF(OR($V769="",$U769=""),"Resuelta",IF($V769&gt;$U769,"Resuelta tarde","Resuelta a tiempo")),IF($U769="","Sin clasificar",IF(TODAY()&gt;$U769,"Vencida",IF(TODAY()&gt;=$U769-1,"Por vencer","En plazo")))))</f>
        <v/>
      </c>
      <c r="Y769" s="49" t="n"/>
      <c r="Z769" s="49" t="n"/>
    </row>
    <row r="770" ht="16" customHeight="1">
      <c r="A770" s="27">
        <f>IF($C770="","","N-"&amp;TEXT(ROW()-3,"0000"))</f>
        <v/>
      </c>
      <c r="B770" s="46" t="n"/>
      <c r="C770" s="47" t="n"/>
      <c r="D770" s="27">
        <f>IF($C770="","",IF(COUNTIFS(ENVIOS!$A$4:$A$3003,$C770)=0,"NO EXISTE",IF(COUNTIFS(ENVIOS!$A$4:$A$3003,$C770)&gt;1,"DUPLICADA","OK")))</f>
        <v/>
      </c>
      <c r="E770" s="22">
        <f>IF($C770="","",IFERROR(INDEX(ENVIOS!$C$4:$C$3003,MATCH($C770,ENVIOS!$A$4:$A$3003,0)),"—"))</f>
        <v/>
      </c>
      <c r="F770" s="22">
        <f>IF($C770="","",IFERROR(INDEX(ENVIOS!$D$4:$D$3003,MATCH($C770,ENVIOS!$A$4:$A$3003,0)),"—"))</f>
        <v/>
      </c>
      <c r="G770" s="22">
        <f>IF($C770="","",IFERROR(INDEX(ENVIOS!$E$4:$E$3003,MATCH($C770,ENVIOS!$A$4:$A$3003,0)),"—"))</f>
        <v/>
      </c>
      <c r="H770" s="22">
        <f>IF($C770="","",IFERROR(INDEX(ENVIOS!$F$4:$F$3003,MATCH($C770,ENVIOS!$A$4:$A$3003,0)),"—"))</f>
        <v/>
      </c>
      <c r="I770" s="27">
        <f>IF($C770="","",IFERROR(INDEX(ENVIOS!$G$4:$G$3003,MATCH($C770,ENVIOS!$A$4:$A$3003,0)),"—"))</f>
        <v/>
      </c>
      <c r="J770" s="48">
        <f>IF($C770="","",IFERROR(INDEX(ENVIOS!$B$4:$B$3003,MATCH($C770,ENVIOS!$A$4:$A$3003,0)),""))</f>
        <v/>
      </c>
      <c r="K770" s="49" t="n"/>
      <c r="L770" s="27">
        <f>IF($K770="","",IFERROR(INDEX(CONFIG!$B$4:$B$43,MATCH($K770,CONFIG!$A$4:$A$43,0)),"Media"))</f>
        <v/>
      </c>
      <c r="M770" s="27">
        <f>IF($K770="","",IFERROR(INDEX(CONFIG!$D$4:$D$43,MATCH($K770,CONFIG!$A$4:$A$43,0)),"NO"))</f>
        <v/>
      </c>
      <c r="N770" s="49" t="n"/>
      <c r="O770" s="27">
        <f>IF($N770="","",IFERROR(INDEX(CONFIG!$G$4:$G$43,MATCH($N770,CONFIG!$F$4:$F$43,0)),"Por definir"))</f>
        <v/>
      </c>
      <c r="P770" s="27">
        <f>IF($N770="","",IFERROR(INDEX(CONFIG!$H$4:$H$43,MATCH($N770,CONFIG!$F$4:$F$43,0)),"Por definir"))</f>
        <v/>
      </c>
      <c r="Q770" s="50" t="n"/>
      <c r="R770" s="51" t="n"/>
      <c r="S770" s="49" t="n"/>
      <c r="T770" s="49" t="n"/>
      <c r="U770" s="48">
        <f>IF(OR($B770="",$K770=""),"",WORKDAY($B770,IFERROR(INDEX(CONFIG!$C$4:$C$43,MATCH($K770,CONFIG!$A$4:$A$43,0)),3)))</f>
        <v/>
      </c>
      <c r="V770" s="46" t="n"/>
      <c r="W770" s="23">
        <f>IF($B770="","",IF($V770&lt;&gt;"",$V770-$B770,TODAY()-$B770))</f>
        <v/>
      </c>
      <c r="X770" s="27">
        <f>IF($C770="","",IF(IFERROR(INDEX(CONFIG!$K$4:$K$43,MATCH($S770,CONFIG!$J$4:$J$43,0)),"NO")="SÍ",IF(OR($V770="",$U770=""),"Resuelta",IF($V770&gt;$U770,"Resuelta tarde","Resuelta a tiempo")),IF($U770="","Sin clasificar",IF(TODAY()&gt;$U770,"Vencida",IF(TODAY()&gt;=$U770-1,"Por vencer","En plazo")))))</f>
        <v/>
      </c>
      <c r="Y770" s="49" t="n"/>
      <c r="Z770" s="49" t="n"/>
    </row>
    <row r="771" ht="16" customHeight="1">
      <c r="A771" s="27">
        <f>IF($C771="","","N-"&amp;TEXT(ROW()-3,"0000"))</f>
        <v/>
      </c>
      <c r="B771" s="46" t="n"/>
      <c r="C771" s="47" t="n"/>
      <c r="D771" s="27">
        <f>IF($C771="","",IF(COUNTIFS(ENVIOS!$A$4:$A$3003,$C771)=0,"NO EXISTE",IF(COUNTIFS(ENVIOS!$A$4:$A$3003,$C771)&gt;1,"DUPLICADA","OK")))</f>
        <v/>
      </c>
      <c r="E771" s="22">
        <f>IF($C771="","",IFERROR(INDEX(ENVIOS!$C$4:$C$3003,MATCH($C771,ENVIOS!$A$4:$A$3003,0)),"—"))</f>
        <v/>
      </c>
      <c r="F771" s="22">
        <f>IF($C771="","",IFERROR(INDEX(ENVIOS!$D$4:$D$3003,MATCH($C771,ENVIOS!$A$4:$A$3003,0)),"—"))</f>
        <v/>
      </c>
      <c r="G771" s="22">
        <f>IF($C771="","",IFERROR(INDEX(ENVIOS!$E$4:$E$3003,MATCH($C771,ENVIOS!$A$4:$A$3003,0)),"—"))</f>
        <v/>
      </c>
      <c r="H771" s="22">
        <f>IF($C771="","",IFERROR(INDEX(ENVIOS!$F$4:$F$3003,MATCH($C771,ENVIOS!$A$4:$A$3003,0)),"—"))</f>
        <v/>
      </c>
      <c r="I771" s="27">
        <f>IF($C771="","",IFERROR(INDEX(ENVIOS!$G$4:$G$3003,MATCH($C771,ENVIOS!$A$4:$A$3003,0)),"—"))</f>
        <v/>
      </c>
      <c r="J771" s="48">
        <f>IF($C771="","",IFERROR(INDEX(ENVIOS!$B$4:$B$3003,MATCH($C771,ENVIOS!$A$4:$A$3003,0)),""))</f>
        <v/>
      </c>
      <c r="K771" s="49" t="n"/>
      <c r="L771" s="27">
        <f>IF($K771="","",IFERROR(INDEX(CONFIG!$B$4:$B$43,MATCH($K771,CONFIG!$A$4:$A$43,0)),"Media"))</f>
        <v/>
      </c>
      <c r="M771" s="27">
        <f>IF($K771="","",IFERROR(INDEX(CONFIG!$D$4:$D$43,MATCH($K771,CONFIG!$A$4:$A$43,0)),"NO"))</f>
        <v/>
      </c>
      <c r="N771" s="49" t="n"/>
      <c r="O771" s="27">
        <f>IF($N771="","",IFERROR(INDEX(CONFIG!$G$4:$G$43,MATCH($N771,CONFIG!$F$4:$F$43,0)),"Por definir"))</f>
        <v/>
      </c>
      <c r="P771" s="27">
        <f>IF($N771="","",IFERROR(INDEX(CONFIG!$H$4:$H$43,MATCH($N771,CONFIG!$F$4:$F$43,0)),"Por definir"))</f>
        <v/>
      </c>
      <c r="Q771" s="50" t="n"/>
      <c r="R771" s="51" t="n"/>
      <c r="S771" s="49" t="n"/>
      <c r="T771" s="49" t="n"/>
      <c r="U771" s="48">
        <f>IF(OR($B771="",$K771=""),"",WORKDAY($B771,IFERROR(INDEX(CONFIG!$C$4:$C$43,MATCH($K771,CONFIG!$A$4:$A$43,0)),3)))</f>
        <v/>
      </c>
      <c r="V771" s="46" t="n"/>
      <c r="W771" s="23">
        <f>IF($B771="","",IF($V771&lt;&gt;"",$V771-$B771,TODAY()-$B771))</f>
        <v/>
      </c>
      <c r="X771" s="27">
        <f>IF($C771="","",IF(IFERROR(INDEX(CONFIG!$K$4:$K$43,MATCH($S771,CONFIG!$J$4:$J$43,0)),"NO")="SÍ",IF(OR($V771="",$U771=""),"Resuelta",IF($V771&gt;$U771,"Resuelta tarde","Resuelta a tiempo")),IF($U771="","Sin clasificar",IF(TODAY()&gt;$U771,"Vencida",IF(TODAY()&gt;=$U771-1,"Por vencer","En plazo")))))</f>
        <v/>
      </c>
      <c r="Y771" s="49" t="n"/>
      <c r="Z771" s="49" t="n"/>
    </row>
    <row r="772" ht="16" customHeight="1">
      <c r="A772" s="27">
        <f>IF($C772="","","N-"&amp;TEXT(ROW()-3,"0000"))</f>
        <v/>
      </c>
      <c r="B772" s="46" t="n"/>
      <c r="C772" s="47" t="n"/>
      <c r="D772" s="27">
        <f>IF($C772="","",IF(COUNTIFS(ENVIOS!$A$4:$A$3003,$C772)=0,"NO EXISTE",IF(COUNTIFS(ENVIOS!$A$4:$A$3003,$C772)&gt;1,"DUPLICADA","OK")))</f>
        <v/>
      </c>
      <c r="E772" s="22">
        <f>IF($C772="","",IFERROR(INDEX(ENVIOS!$C$4:$C$3003,MATCH($C772,ENVIOS!$A$4:$A$3003,0)),"—"))</f>
        <v/>
      </c>
      <c r="F772" s="22">
        <f>IF($C772="","",IFERROR(INDEX(ENVIOS!$D$4:$D$3003,MATCH($C772,ENVIOS!$A$4:$A$3003,0)),"—"))</f>
        <v/>
      </c>
      <c r="G772" s="22">
        <f>IF($C772="","",IFERROR(INDEX(ENVIOS!$E$4:$E$3003,MATCH($C772,ENVIOS!$A$4:$A$3003,0)),"—"))</f>
        <v/>
      </c>
      <c r="H772" s="22">
        <f>IF($C772="","",IFERROR(INDEX(ENVIOS!$F$4:$F$3003,MATCH($C772,ENVIOS!$A$4:$A$3003,0)),"—"))</f>
        <v/>
      </c>
      <c r="I772" s="27">
        <f>IF($C772="","",IFERROR(INDEX(ENVIOS!$G$4:$G$3003,MATCH($C772,ENVIOS!$A$4:$A$3003,0)),"—"))</f>
        <v/>
      </c>
      <c r="J772" s="48">
        <f>IF($C772="","",IFERROR(INDEX(ENVIOS!$B$4:$B$3003,MATCH($C772,ENVIOS!$A$4:$A$3003,0)),""))</f>
        <v/>
      </c>
      <c r="K772" s="49" t="n"/>
      <c r="L772" s="27">
        <f>IF($K772="","",IFERROR(INDEX(CONFIG!$B$4:$B$43,MATCH($K772,CONFIG!$A$4:$A$43,0)),"Media"))</f>
        <v/>
      </c>
      <c r="M772" s="27">
        <f>IF($K772="","",IFERROR(INDEX(CONFIG!$D$4:$D$43,MATCH($K772,CONFIG!$A$4:$A$43,0)),"NO"))</f>
        <v/>
      </c>
      <c r="N772" s="49" t="n"/>
      <c r="O772" s="27">
        <f>IF($N772="","",IFERROR(INDEX(CONFIG!$G$4:$G$43,MATCH($N772,CONFIG!$F$4:$F$43,0)),"Por definir"))</f>
        <v/>
      </c>
      <c r="P772" s="27">
        <f>IF($N772="","",IFERROR(INDEX(CONFIG!$H$4:$H$43,MATCH($N772,CONFIG!$F$4:$F$43,0)),"Por definir"))</f>
        <v/>
      </c>
      <c r="Q772" s="50" t="n"/>
      <c r="R772" s="51" t="n"/>
      <c r="S772" s="49" t="n"/>
      <c r="T772" s="49" t="n"/>
      <c r="U772" s="48">
        <f>IF(OR($B772="",$K772=""),"",WORKDAY($B772,IFERROR(INDEX(CONFIG!$C$4:$C$43,MATCH($K772,CONFIG!$A$4:$A$43,0)),3)))</f>
        <v/>
      </c>
      <c r="V772" s="46" t="n"/>
      <c r="W772" s="23">
        <f>IF($B772="","",IF($V772&lt;&gt;"",$V772-$B772,TODAY()-$B772))</f>
        <v/>
      </c>
      <c r="X772" s="27">
        <f>IF($C772="","",IF(IFERROR(INDEX(CONFIG!$K$4:$K$43,MATCH($S772,CONFIG!$J$4:$J$43,0)),"NO")="SÍ",IF(OR($V772="",$U772=""),"Resuelta",IF($V772&gt;$U772,"Resuelta tarde","Resuelta a tiempo")),IF($U772="","Sin clasificar",IF(TODAY()&gt;$U772,"Vencida",IF(TODAY()&gt;=$U772-1,"Por vencer","En plazo")))))</f>
        <v/>
      </c>
      <c r="Y772" s="49" t="n"/>
      <c r="Z772" s="49" t="n"/>
    </row>
    <row r="773" ht="16" customHeight="1">
      <c r="A773" s="27">
        <f>IF($C773="","","N-"&amp;TEXT(ROW()-3,"0000"))</f>
        <v/>
      </c>
      <c r="B773" s="46" t="n"/>
      <c r="C773" s="47" t="n"/>
      <c r="D773" s="27">
        <f>IF($C773="","",IF(COUNTIFS(ENVIOS!$A$4:$A$3003,$C773)=0,"NO EXISTE",IF(COUNTIFS(ENVIOS!$A$4:$A$3003,$C773)&gt;1,"DUPLICADA","OK")))</f>
        <v/>
      </c>
      <c r="E773" s="22">
        <f>IF($C773="","",IFERROR(INDEX(ENVIOS!$C$4:$C$3003,MATCH($C773,ENVIOS!$A$4:$A$3003,0)),"—"))</f>
        <v/>
      </c>
      <c r="F773" s="22">
        <f>IF($C773="","",IFERROR(INDEX(ENVIOS!$D$4:$D$3003,MATCH($C773,ENVIOS!$A$4:$A$3003,0)),"—"))</f>
        <v/>
      </c>
      <c r="G773" s="22">
        <f>IF($C773="","",IFERROR(INDEX(ENVIOS!$E$4:$E$3003,MATCH($C773,ENVIOS!$A$4:$A$3003,0)),"—"))</f>
        <v/>
      </c>
      <c r="H773" s="22">
        <f>IF($C773="","",IFERROR(INDEX(ENVIOS!$F$4:$F$3003,MATCH($C773,ENVIOS!$A$4:$A$3003,0)),"—"))</f>
        <v/>
      </c>
      <c r="I773" s="27">
        <f>IF($C773="","",IFERROR(INDEX(ENVIOS!$G$4:$G$3003,MATCH($C773,ENVIOS!$A$4:$A$3003,0)),"—"))</f>
        <v/>
      </c>
      <c r="J773" s="48">
        <f>IF($C773="","",IFERROR(INDEX(ENVIOS!$B$4:$B$3003,MATCH($C773,ENVIOS!$A$4:$A$3003,0)),""))</f>
        <v/>
      </c>
      <c r="K773" s="49" t="n"/>
      <c r="L773" s="27">
        <f>IF($K773="","",IFERROR(INDEX(CONFIG!$B$4:$B$43,MATCH($K773,CONFIG!$A$4:$A$43,0)),"Media"))</f>
        <v/>
      </c>
      <c r="M773" s="27">
        <f>IF($K773="","",IFERROR(INDEX(CONFIG!$D$4:$D$43,MATCH($K773,CONFIG!$A$4:$A$43,0)),"NO"))</f>
        <v/>
      </c>
      <c r="N773" s="49" t="n"/>
      <c r="O773" s="27">
        <f>IF($N773="","",IFERROR(INDEX(CONFIG!$G$4:$G$43,MATCH($N773,CONFIG!$F$4:$F$43,0)),"Por definir"))</f>
        <v/>
      </c>
      <c r="P773" s="27">
        <f>IF($N773="","",IFERROR(INDEX(CONFIG!$H$4:$H$43,MATCH($N773,CONFIG!$F$4:$F$43,0)),"Por definir"))</f>
        <v/>
      </c>
      <c r="Q773" s="50" t="n"/>
      <c r="R773" s="51" t="n"/>
      <c r="S773" s="49" t="n"/>
      <c r="T773" s="49" t="n"/>
      <c r="U773" s="48">
        <f>IF(OR($B773="",$K773=""),"",WORKDAY($B773,IFERROR(INDEX(CONFIG!$C$4:$C$43,MATCH($K773,CONFIG!$A$4:$A$43,0)),3)))</f>
        <v/>
      </c>
      <c r="V773" s="46" t="n"/>
      <c r="W773" s="23">
        <f>IF($B773="","",IF($V773&lt;&gt;"",$V773-$B773,TODAY()-$B773))</f>
        <v/>
      </c>
      <c r="X773" s="27">
        <f>IF($C773="","",IF(IFERROR(INDEX(CONFIG!$K$4:$K$43,MATCH($S773,CONFIG!$J$4:$J$43,0)),"NO")="SÍ",IF(OR($V773="",$U773=""),"Resuelta",IF($V773&gt;$U773,"Resuelta tarde","Resuelta a tiempo")),IF($U773="","Sin clasificar",IF(TODAY()&gt;$U773,"Vencida",IF(TODAY()&gt;=$U773-1,"Por vencer","En plazo")))))</f>
        <v/>
      </c>
      <c r="Y773" s="49" t="n"/>
      <c r="Z773" s="49" t="n"/>
    </row>
    <row r="774" ht="16" customHeight="1">
      <c r="A774" s="27">
        <f>IF($C774="","","N-"&amp;TEXT(ROW()-3,"0000"))</f>
        <v/>
      </c>
      <c r="B774" s="46" t="n"/>
      <c r="C774" s="47" t="n"/>
      <c r="D774" s="27">
        <f>IF($C774="","",IF(COUNTIFS(ENVIOS!$A$4:$A$3003,$C774)=0,"NO EXISTE",IF(COUNTIFS(ENVIOS!$A$4:$A$3003,$C774)&gt;1,"DUPLICADA","OK")))</f>
        <v/>
      </c>
      <c r="E774" s="22">
        <f>IF($C774="","",IFERROR(INDEX(ENVIOS!$C$4:$C$3003,MATCH($C774,ENVIOS!$A$4:$A$3003,0)),"—"))</f>
        <v/>
      </c>
      <c r="F774" s="22">
        <f>IF($C774="","",IFERROR(INDEX(ENVIOS!$D$4:$D$3003,MATCH($C774,ENVIOS!$A$4:$A$3003,0)),"—"))</f>
        <v/>
      </c>
      <c r="G774" s="22">
        <f>IF($C774="","",IFERROR(INDEX(ENVIOS!$E$4:$E$3003,MATCH($C774,ENVIOS!$A$4:$A$3003,0)),"—"))</f>
        <v/>
      </c>
      <c r="H774" s="22">
        <f>IF($C774="","",IFERROR(INDEX(ENVIOS!$F$4:$F$3003,MATCH($C774,ENVIOS!$A$4:$A$3003,0)),"—"))</f>
        <v/>
      </c>
      <c r="I774" s="27">
        <f>IF($C774="","",IFERROR(INDEX(ENVIOS!$G$4:$G$3003,MATCH($C774,ENVIOS!$A$4:$A$3003,0)),"—"))</f>
        <v/>
      </c>
      <c r="J774" s="48">
        <f>IF($C774="","",IFERROR(INDEX(ENVIOS!$B$4:$B$3003,MATCH($C774,ENVIOS!$A$4:$A$3003,0)),""))</f>
        <v/>
      </c>
      <c r="K774" s="49" t="n"/>
      <c r="L774" s="27">
        <f>IF($K774="","",IFERROR(INDEX(CONFIG!$B$4:$B$43,MATCH($K774,CONFIG!$A$4:$A$43,0)),"Media"))</f>
        <v/>
      </c>
      <c r="M774" s="27">
        <f>IF($K774="","",IFERROR(INDEX(CONFIG!$D$4:$D$43,MATCH($K774,CONFIG!$A$4:$A$43,0)),"NO"))</f>
        <v/>
      </c>
      <c r="N774" s="49" t="n"/>
      <c r="O774" s="27">
        <f>IF($N774="","",IFERROR(INDEX(CONFIG!$G$4:$G$43,MATCH($N774,CONFIG!$F$4:$F$43,0)),"Por definir"))</f>
        <v/>
      </c>
      <c r="P774" s="27">
        <f>IF($N774="","",IFERROR(INDEX(CONFIG!$H$4:$H$43,MATCH($N774,CONFIG!$F$4:$F$43,0)),"Por definir"))</f>
        <v/>
      </c>
      <c r="Q774" s="50" t="n"/>
      <c r="R774" s="51" t="n"/>
      <c r="S774" s="49" t="n"/>
      <c r="T774" s="49" t="n"/>
      <c r="U774" s="48">
        <f>IF(OR($B774="",$K774=""),"",WORKDAY($B774,IFERROR(INDEX(CONFIG!$C$4:$C$43,MATCH($K774,CONFIG!$A$4:$A$43,0)),3)))</f>
        <v/>
      </c>
      <c r="V774" s="46" t="n"/>
      <c r="W774" s="23">
        <f>IF($B774="","",IF($V774&lt;&gt;"",$V774-$B774,TODAY()-$B774))</f>
        <v/>
      </c>
      <c r="X774" s="27">
        <f>IF($C774="","",IF(IFERROR(INDEX(CONFIG!$K$4:$K$43,MATCH($S774,CONFIG!$J$4:$J$43,0)),"NO")="SÍ",IF(OR($V774="",$U774=""),"Resuelta",IF($V774&gt;$U774,"Resuelta tarde","Resuelta a tiempo")),IF($U774="","Sin clasificar",IF(TODAY()&gt;$U774,"Vencida",IF(TODAY()&gt;=$U774-1,"Por vencer","En plazo")))))</f>
        <v/>
      </c>
      <c r="Y774" s="49" t="n"/>
      <c r="Z774" s="49" t="n"/>
    </row>
    <row r="775" ht="16" customHeight="1">
      <c r="A775" s="27">
        <f>IF($C775="","","N-"&amp;TEXT(ROW()-3,"0000"))</f>
        <v/>
      </c>
      <c r="B775" s="46" t="n"/>
      <c r="C775" s="47" t="n"/>
      <c r="D775" s="27">
        <f>IF($C775="","",IF(COUNTIFS(ENVIOS!$A$4:$A$3003,$C775)=0,"NO EXISTE",IF(COUNTIFS(ENVIOS!$A$4:$A$3003,$C775)&gt;1,"DUPLICADA","OK")))</f>
        <v/>
      </c>
      <c r="E775" s="22">
        <f>IF($C775="","",IFERROR(INDEX(ENVIOS!$C$4:$C$3003,MATCH($C775,ENVIOS!$A$4:$A$3003,0)),"—"))</f>
        <v/>
      </c>
      <c r="F775" s="22">
        <f>IF($C775="","",IFERROR(INDEX(ENVIOS!$D$4:$D$3003,MATCH($C775,ENVIOS!$A$4:$A$3003,0)),"—"))</f>
        <v/>
      </c>
      <c r="G775" s="22">
        <f>IF($C775="","",IFERROR(INDEX(ENVIOS!$E$4:$E$3003,MATCH($C775,ENVIOS!$A$4:$A$3003,0)),"—"))</f>
        <v/>
      </c>
      <c r="H775" s="22">
        <f>IF($C775="","",IFERROR(INDEX(ENVIOS!$F$4:$F$3003,MATCH($C775,ENVIOS!$A$4:$A$3003,0)),"—"))</f>
        <v/>
      </c>
      <c r="I775" s="27">
        <f>IF($C775="","",IFERROR(INDEX(ENVIOS!$G$4:$G$3003,MATCH($C775,ENVIOS!$A$4:$A$3003,0)),"—"))</f>
        <v/>
      </c>
      <c r="J775" s="48">
        <f>IF($C775="","",IFERROR(INDEX(ENVIOS!$B$4:$B$3003,MATCH($C775,ENVIOS!$A$4:$A$3003,0)),""))</f>
        <v/>
      </c>
      <c r="K775" s="49" t="n"/>
      <c r="L775" s="27">
        <f>IF($K775="","",IFERROR(INDEX(CONFIG!$B$4:$B$43,MATCH($K775,CONFIG!$A$4:$A$43,0)),"Media"))</f>
        <v/>
      </c>
      <c r="M775" s="27">
        <f>IF($K775="","",IFERROR(INDEX(CONFIG!$D$4:$D$43,MATCH($K775,CONFIG!$A$4:$A$43,0)),"NO"))</f>
        <v/>
      </c>
      <c r="N775" s="49" t="n"/>
      <c r="O775" s="27">
        <f>IF($N775="","",IFERROR(INDEX(CONFIG!$G$4:$G$43,MATCH($N775,CONFIG!$F$4:$F$43,0)),"Por definir"))</f>
        <v/>
      </c>
      <c r="P775" s="27">
        <f>IF($N775="","",IFERROR(INDEX(CONFIG!$H$4:$H$43,MATCH($N775,CONFIG!$F$4:$F$43,0)),"Por definir"))</f>
        <v/>
      </c>
      <c r="Q775" s="50" t="n"/>
      <c r="R775" s="51" t="n"/>
      <c r="S775" s="49" t="n"/>
      <c r="T775" s="49" t="n"/>
      <c r="U775" s="48">
        <f>IF(OR($B775="",$K775=""),"",WORKDAY($B775,IFERROR(INDEX(CONFIG!$C$4:$C$43,MATCH($K775,CONFIG!$A$4:$A$43,0)),3)))</f>
        <v/>
      </c>
      <c r="V775" s="46" t="n"/>
      <c r="W775" s="23">
        <f>IF($B775="","",IF($V775&lt;&gt;"",$V775-$B775,TODAY()-$B775))</f>
        <v/>
      </c>
      <c r="X775" s="27">
        <f>IF($C775="","",IF(IFERROR(INDEX(CONFIG!$K$4:$K$43,MATCH($S775,CONFIG!$J$4:$J$43,0)),"NO")="SÍ",IF(OR($V775="",$U775=""),"Resuelta",IF($V775&gt;$U775,"Resuelta tarde","Resuelta a tiempo")),IF($U775="","Sin clasificar",IF(TODAY()&gt;$U775,"Vencida",IF(TODAY()&gt;=$U775-1,"Por vencer","En plazo")))))</f>
        <v/>
      </c>
      <c r="Y775" s="49" t="n"/>
      <c r="Z775" s="49" t="n"/>
    </row>
    <row r="776" ht="16" customHeight="1">
      <c r="A776" s="27">
        <f>IF($C776="","","N-"&amp;TEXT(ROW()-3,"0000"))</f>
        <v/>
      </c>
      <c r="B776" s="46" t="n"/>
      <c r="C776" s="47" t="n"/>
      <c r="D776" s="27">
        <f>IF($C776="","",IF(COUNTIFS(ENVIOS!$A$4:$A$3003,$C776)=0,"NO EXISTE",IF(COUNTIFS(ENVIOS!$A$4:$A$3003,$C776)&gt;1,"DUPLICADA","OK")))</f>
        <v/>
      </c>
      <c r="E776" s="22">
        <f>IF($C776="","",IFERROR(INDEX(ENVIOS!$C$4:$C$3003,MATCH($C776,ENVIOS!$A$4:$A$3003,0)),"—"))</f>
        <v/>
      </c>
      <c r="F776" s="22">
        <f>IF($C776="","",IFERROR(INDEX(ENVIOS!$D$4:$D$3003,MATCH($C776,ENVIOS!$A$4:$A$3003,0)),"—"))</f>
        <v/>
      </c>
      <c r="G776" s="22">
        <f>IF($C776="","",IFERROR(INDEX(ENVIOS!$E$4:$E$3003,MATCH($C776,ENVIOS!$A$4:$A$3003,0)),"—"))</f>
        <v/>
      </c>
      <c r="H776" s="22">
        <f>IF($C776="","",IFERROR(INDEX(ENVIOS!$F$4:$F$3003,MATCH($C776,ENVIOS!$A$4:$A$3003,0)),"—"))</f>
        <v/>
      </c>
      <c r="I776" s="27">
        <f>IF($C776="","",IFERROR(INDEX(ENVIOS!$G$4:$G$3003,MATCH($C776,ENVIOS!$A$4:$A$3003,0)),"—"))</f>
        <v/>
      </c>
      <c r="J776" s="48">
        <f>IF($C776="","",IFERROR(INDEX(ENVIOS!$B$4:$B$3003,MATCH($C776,ENVIOS!$A$4:$A$3003,0)),""))</f>
        <v/>
      </c>
      <c r="K776" s="49" t="n"/>
      <c r="L776" s="27">
        <f>IF($K776="","",IFERROR(INDEX(CONFIG!$B$4:$B$43,MATCH($K776,CONFIG!$A$4:$A$43,0)),"Media"))</f>
        <v/>
      </c>
      <c r="M776" s="27">
        <f>IF($K776="","",IFERROR(INDEX(CONFIG!$D$4:$D$43,MATCH($K776,CONFIG!$A$4:$A$43,0)),"NO"))</f>
        <v/>
      </c>
      <c r="N776" s="49" t="n"/>
      <c r="O776" s="27">
        <f>IF($N776="","",IFERROR(INDEX(CONFIG!$G$4:$G$43,MATCH($N776,CONFIG!$F$4:$F$43,0)),"Por definir"))</f>
        <v/>
      </c>
      <c r="P776" s="27">
        <f>IF($N776="","",IFERROR(INDEX(CONFIG!$H$4:$H$43,MATCH($N776,CONFIG!$F$4:$F$43,0)),"Por definir"))</f>
        <v/>
      </c>
      <c r="Q776" s="50" t="n"/>
      <c r="R776" s="51" t="n"/>
      <c r="S776" s="49" t="n"/>
      <c r="T776" s="49" t="n"/>
      <c r="U776" s="48">
        <f>IF(OR($B776="",$K776=""),"",WORKDAY($B776,IFERROR(INDEX(CONFIG!$C$4:$C$43,MATCH($K776,CONFIG!$A$4:$A$43,0)),3)))</f>
        <v/>
      </c>
      <c r="V776" s="46" t="n"/>
      <c r="W776" s="23">
        <f>IF($B776="","",IF($V776&lt;&gt;"",$V776-$B776,TODAY()-$B776))</f>
        <v/>
      </c>
      <c r="X776" s="27">
        <f>IF($C776="","",IF(IFERROR(INDEX(CONFIG!$K$4:$K$43,MATCH($S776,CONFIG!$J$4:$J$43,0)),"NO")="SÍ",IF(OR($V776="",$U776=""),"Resuelta",IF($V776&gt;$U776,"Resuelta tarde","Resuelta a tiempo")),IF($U776="","Sin clasificar",IF(TODAY()&gt;$U776,"Vencida",IF(TODAY()&gt;=$U776-1,"Por vencer","En plazo")))))</f>
        <v/>
      </c>
      <c r="Y776" s="49" t="n"/>
      <c r="Z776" s="49" t="n"/>
    </row>
    <row r="777" ht="16" customHeight="1">
      <c r="A777" s="27">
        <f>IF($C777="","","N-"&amp;TEXT(ROW()-3,"0000"))</f>
        <v/>
      </c>
      <c r="B777" s="46" t="n"/>
      <c r="C777" s="47" t="n"/>
      <c r="D777" s="27">
        <f>IF($C777="","",IF(COUNTIFS(ENVIOS!$A$4:$A$3003,$C777)=0,"NO EXISTE",IF(COUNTIFS(ENVIOS!$A$4:$A$3003,$C777)&gt;1,"DUPLICADA","OK")))</f>
        <v/>
      </c>
      <c r="E777" s="22">
        <f>IF($C777="","",IFERROR(INDEX(ENVIOS!$C$4:$C$3003,MATCH($C777,ENVIOS!$A$4:$A$3003,0)),"—"))</f>
        <v/>
      </c>
      <c r="F777" s="22">
        <f>IF($C777="","",IFERROR(INDEX(ENVIOS!$D$4:$D$3003,MATCH($C777,ENVIOS!$A$4:$A$3003,0)),"—"))</f>
        <v/>
      </c>
      <c r="G777" s="22">
        <f>IF($C777="","",IFERROR(INDEX(ENVIOS!$E$4:$E$3003,MATCH($C777,ENVIOS!$A$4:$A$3003,0)),"—"))</f>
        <v/>
      </c>
      <c r="H777" s="22">
        <f>IF($C777="","",IFERROR(INDEX(ENVIOS!$F$4:$F$3003,MATCH($C777,ENVIOS!$A$4:$A$3003,0)),"—"))</f>
        <v/>
      </c>
      <c r="I777" s="27">
        <f>IF($C777="","",IFERROR(INDEX(ENVIOS!$G$4:$G$3003,MATCH($C777,ENVIOS!$A$4:$A$3003,0)),"—"))</f>
        <v/>
      </c>
      <c r="J777" s="48">
        <f>IF($C777="","",IFERROR(INDEX(ENVIOS!$B$4:$B$3003,MATCH($C777,ENVIOS!$A$4:$A$3003,0)),""))</f>
        <v/>
      </c>
      <c r="K777" s="49" t="n"/>
      <c r="L777" s="27">
        <f>IF($K777="","",IFERROR(INDEX(CONFIG!$B$4:$B$43,MATCH($K777,CONFIG!$A$4:$A$43,0)),"Media"))</f>
        <v/>
      </c>
      <c r="M777" s="27">
        <f>IF($K777="","",IFERROR(INDEX(CONFIG!$D$4:$D$43,MATCH($K777,CONFIG!$A$4:$A$43,0)),"NO"))</f>
        <v/>
      </c>
      <c r="N777" s="49" t="n"/>
      <c r="O777" s="27">
        <f>IF($N777="","",IFERROR(INDEX(CONFIG!$G$4:$G$43,MATCH($N777,CONFIG!$F$4:$F$43,0)),"Por definir"))</f>
        <v/>
      </c>
      <c r="P777" s="27">
        <f>IF($N777="","",IFERROR(INDEX(CONFIG!$H$4:$H$43,MATCH($N777,CONFIG!$F$4:$F$43,0)),"Por definir"))</f>
        <v/>
      </c>
      <c r="Q777" s="50" t="n"/>
      <c r="R777" s="51" t="n"/>
      <c r="S777" s="49" t="n"/>
      <c r="T777" s="49" t="n"/>
      <c r="U777" s="48">
        <f>IF(OR($B777="",$K777=""),"",WORKDAY($B777,IFERROR(INDEX(CONFIG!$C$4:$C$43,MATCH($K777,CONFIG!$A$4:$A$43,0)),3)))</f>
        <v/>
      </c>
      <c r="V777" s="46" t="n"/>
      <c r="W777" s="23">
        <f>IF($B777="","",IF($V777&lt;&gt;"",$V777-$B777,TODAY()-$B777))</f>
        <v/>
      </c>
      <c r="X777" s="27">
        <f>IF($C777="","",IF(IFERROR(INDEX(CONFIG!$K$4:$K$43,MATCH($S777,CONFIG!$J$4:$J$43,0)),"NO")="SÍ",IF(OR($V777="",$U777=""),"Resuelta",IF($V777&gt;$U777,"Resuelta tarde","Resuelta a tiempo")),IF($U777="","Sin clasificar",IF(TODAY()&gt;$U777,"Vencida",IF(TODAY()&gt;=$U777-1,"Por vencer","En plazo")))))</f>
        <v/>
      </c>
      <c r="Y777" s="49" t="n"/>
      <c r="Z777" s="49" t="n"/>
    </row>
    <row r="778" ht="16" customHeight="1">
      <c r="A778" s="27">
        <f>IF($C778="","","N-"&amp;TEXT(ROW()-3,"0000"))</f>
        <v/>
      </c>
      <c r="B778" s="46" t="n"/>
      <c r="C778" s="47" t="n"/>
      <c r="D778" s="27">
        <f>IF($C778="","",IF(COUNTIFS(ENVIOS!$A$4:$A$3003,$C778)=0,"NO EXISTE",IF(COUNTIFS(ENVIOS!$A$4:$A$3003,$C778)&gt;1,"DUPLICADA","OK")))</f>
        <v/>
      </c>
      <c r="E778" s="22">
        <f>IF($C778="","",IFERROR(INDEX(ENVIOS!$C$4:$C$3003,MATCH($C778,ENVIOS!$A$4:$A$3003,0)),"—"))</f>
        <v/>
      </c>
      <c r="F778" s="22">
        <f>IF($C778="","",IFERROR(INDEX(ENVIOS!$D$4:$D$3003,MATCH($C778,ENVIOS!$A$4:$A$3003,0)),"—"))</f>
        <v/>
      </c>
      <c r="G778" s="22">
        <f>IF($C778="","",IFERROR(INDEX(ENVIOS!$E$4:$E$3003,MATCH($C778,ENVIOS!$A$4:$A$3003,0)),"—"))</f>
        <v/>
      </c>
      <c r="H778" s="22">
        <f>IF($C778="","",IFERROR(INDEX(ENVIOS!$F$4:$F$3003,MATCH($C778,ENVIOS!$A$4:$A$3003,0)),"—"))</f>
        <v/>
      </c>
      <c r="I778" s="27">
        <f>IF($C778="","",IFERROR(INDEX(ENVIOS!$G$4:$G$3003,MATCH($C778,ENVIOS!$A$4:$A$3003,0)),"—"))</f>
        <v/>
      </c>
      <c r="J778" s="48">
        <f>IF($C778="","",IFERROR(INDEX(ENVIOS!$B$4:$B$3003,MATCH($C778,ENVIOS!$A$4:$A$3003,0)),""))</f>
        <v/>
      </c>
      <c r="K778" s="49" t="n"/>
      <c r="L778" s="27">
        <f>IF($K778="","",IFERROR(INDEX(CONFIG!$B$4:$B$43,MATCH($K778,CONFIG!$A$4:$A$43,0)),"Media"))</f>
        <v/>
      </c>
      <c r="M778" s="27">
        <f>IF($K778="","",IFERROR(INDEX(CONFIG!$D$4:$D$43,MATCH($K778,CONFIG!$A$4:$A$43,0)),"NO"))</f>
        <v/>
      </c>
      <c r="N778" s="49" t="n"/>
      <c r="O778" s="27">
        <f>IF($N778="","",IFERROR(INDEX(CONFIG!$G$4:$G$43,MATCH($N778,CONFIG!$F$4:$F$43,0)),"Por definir"))</f>
        <v/>
      </c>
      <c r="P778" s="27">
        <f>IF($N778="","",IFERROR(INDEX(CONFIG!$H$4:$H$43,MATCH($N778,CONFIG!$F$4:$F$43,0)),"Por definir"))</f>
        <v/>
      </c>
      <c r="Q778" s="50" t="n"/>
      <c r="R778" s="51" t="n"/>
      <c r="S778" s="49" t="n"/>
      <c r="T778" s="49" t="n"/>
      <c r="U778" s="48">
        <f>IF(OR($B778="",$K778=""),"",WORKDAY($B778,IFERROR(INDEX(CONFIG!$C$4:$C$43,MATCH($K778,CONFIG!$A$4:$A$43,0)),3)))</f>
        <v/>
      </c>
      <c r="V778" s="46" t="n"/>
      <c r="W778" s="23">
        <f>IF($B778="","",IF($V778&lt;&gt;"",$V778-$B778,TODAY()-$B778))</f>
        <v/>
      </c>
      <c r="X778" s="27">
        <f>IF($C778="","",IF(IFERROR(INDEX(CONFIG!$K$4:$K$43,MATCH($S778,CONFIG!$J$4:$J$43,0)),"NO")="SÍ",IF(OR($V778="",$U778=""),"Resuelta",IF($V778&gt;$U778,"Resuelta tarde","Resuelta a tiempo")),IF($U778="","Sin clasificar",IF(TODAY()&gt;$U778,"Vencida",IF(TODAY()&gt;=$U778-1,"Por vencer","En plazo")))))</f>
        <v/>
      </c>
      <c r="Y778" s="49" t="n"/>
      <c r="Z778" s="49" t="n"/>
    </row>
    <row r="779" ht="16" customHeight="1">
      <c r="A779" s="27">
        <f>IF($C779="","","N-"&amp;TEXT(ROW()-3,"0000"))</f>
        <v/>
      </c>
      <c r="B779" s="46" t="n"/>
      <c r="C779" s="47" t="n"/>
      <c r="D779" s="27">
        <f>IF($C779="","",IF(COUNTIFS(ENVIOS!$A$4:$A$3003,$C779)=0,"NO EXISTE",IF(COUNTIFS(ENVIOS!$A$4:$A$3003,$C779)&gt;1,"DUPLICADA","OK")))</f>
        <v/>
      </c>
      <c r="E779" s="22">
        <f>IF($C779="","",IFERROR(INDEX(ENVIOS!$C$4:$C$3003,MATCH($C779,ENVIOS!$A$4:$A$3003,0)),"—"))</f>
        <v/>
      </c>
      <c r="F779" s="22">
        <f>IF($C779="","",IFERROR(INDEX(ENVIOS!$D$4:$D$3003,MATCH($C779,ENVIOS!$A$4:$A$3003,0)),"—"))</f>
        <v/>
      </c>
      <c r="G779" s="22">
        <f>IF($C779="","",IFERROR(INDEX(ENVIOS!$E$4:$E$3003,MATCH($C779,ENVIOS!$A$4:$A$3003,0)),"—"))</f>
        <v/>
      </c>
      <c r="H779" s="22">
        <f>IF($C779="","",IFERROR(INDEX(ENVIOS!$F$4:$F$3003,MATCH($C779,ENVIOS!$A$4:$A$3003,0)),"—"))</f>
        <v/>
      </c>
      <c r="I779" s="27">
        <f>IF($C779="","",IFERROR(INDEX(ENVIOS!$G$4:$G$3003,MATCH($C779,ENVIOS!$A$4:$A$3003,0)),"—"))</f>
        <v/>
      </c>
      <c r="J779" s="48">
        <f>IF($C779="","",IFERROR(INDEX(ENVIOS!$B$4:$B$3003,MATCH($C779,ENVIOS!$A$4:$A$3003,0)),""))</f>
        <v/>
      </c>
      <c r="K779" s="49" t="n"/>
      <c r="L779" s="27">
        <f>IF($K779="","",IFERROR(INDEX(CONFIG!$B$4:$B$43,MATCH($K779,CONFIG!$A$4:$A$43,0)),"Media"))</f>
        <v/>
      </c>
      <c r="M779" s="27">
        <f>IF($K779="","",IFERROR(INDEX(CONFIG!$D$4:$D$43,MATCH($K779,CONFIG!$A$4:$A$43,0)),"NO"))</f>
        <v/>
      </c>
      <c r="N779" s="49" t="n"/>
      <c r="O779" s="27">
        <f>IF($N779="","",IFERROR(INDEX(CONFIG!$G$4:$G$43,MATCH($N779,CONFIG!$F$4:$F$43,0)),"Por definir"))</f>
        <v/>
      </c>
      <c r="P779" s="27">
        <f>IF($N779="","",IFERROR(INDEX(CONFIG!$H$4:$H$43,MATCH($N779,CONFIG!$F$4:$F$43,0)),"Por definir"))</f>
        <v/>
      </c>
      <c r="Q779" s="50" t="n"/>
      <c r="R779" s="51" t="n"/>
      <c r="S779" s="49" t="n"/>
      <c r="T779" s="49" t="n"/>
      <c r="U779" s="48">
        <f>IF(OR($B779="",$K779=""),"",WORKDAY($B779,IFERROR(INDEX(CONFIG!$C$4:$C$43,MATCH($K779,CONFIG!$A$4:$A$43,0)),3)))</f>
        <v/>
      </c>
      <c r="V779" s="46" t="n"/>
      <c r="W779" s="23">
        <f>IF($B779="","",IF($V779&lt;&gt;"",$V779-$B779,TODAY()-$B779))</f>
        <v/>
      </c>
      <c r="X779" s="27">
        <f>IF($C779="","",IF(IFERROR(INDEX(CONFIG!$K$4:$K$43,MATCH($S779,CONFIG!$J$4:$J$43,0)),"NO")="SÍ",IF(OR($V779="",$U779=""),"Resuelta",IF($V779&gt;$U779,"Resuelta tarde","Resuelta a tiempo")),IF($U779="","Sin clasificar",IF(TODAY()&gt;$U779,"Vencida",IF(TODAY()&gt;=$U779-1,"Por vencer","En plazo")))))</f>
        <v/>
      </c>
      <c r="Y779" s="49" t="n"/>
      <c r="Z779" s="49" t="n"/>
    </row>
    <row r="780" ht="16" customHeight="1">
      <c r="A780" s="27">
        <f>IF($C780="","","N-"&amp;TEXT(ROW()-3,"0000"))</f>
        <v/>
      </c>
      <c r="B780" s="46" t="n"/>
      <c r="C780" s="47" t="n"/>
      <c r="D780" s="27">
        <f>IF($C780="","",IF(COUNTIFS(ENVIOS!$A$4:$A$3003,$C780)=0,"NO EXISTE",IF(COUNTIFS(ENVIOS!$A$4:$A$3003,$C780)&gt;1,"DUPLICADA","OK")))</f>
        <v/>
      </c>
      <c r="E780" s="22">
        <f>IF($C780="","",IFERROR(INDEX(ENVIOS!$C$4:$C$3003,MATCH($C780,ENVIOS!$A$4:$A$3003,0)),"—"))</f>
        <v/>
      </c>
      <c r="F780" s="22">
        <f>IF($C780="","",IFERROR(INDEX(ENVIOS!$D$4:$D$3003,MATCH($C780,ENVIOS!$A$4:$A$3003,0)),"—"))</f>
        <v/>
      </c>
      <c r="G780" s="22">
        <f>IF($C780="","",IFERROR(INDEX(ENVIOS!$E$4:$E$3003,MATCH($C780,ENVIOS!$A$4:$A$3003,0)),"—"))</f>
        <v/>
      </c>
      <c r="H780" s="22">
        <f>IF($C780="","",IFERROR(INDEX(ENVIOS!$F$4:$F$3003,MATCH($C780,ENVIOS!$A$4:$A$3003,0)),"—"))</f>
        <v/>
      </c>
      <c r="I780" s="27">
        <f>IF($C780="","",IFERROR(INDEX(ENVIOS!$G$4:$G$3003,MATCH($C780,ENVIOS!$A$4:$A$3003,0)),"—"))</f>
        <v/>
      </c>
      <c r="J780" s="48">
        <f>IF($C780="","",IFERROR(INDEX(ENVIOS!$B$4:$B$3003,MATCH($C780,ENVIOS!$A$4:$A$3003,0)),""))</f>
        <v/>
      </c>
      <c r="K780" s="49" t="n"/>
      <c r="L780" s="27">
        <f>IF($K780="","",IFERROR(INDEX(CONFIG!$B$4:$B$43,MATCH($K780,CONFIG!$A$4:$A$43,0)),"Media"))</f>
        <v/>
      </c>
      <c r="M780" s="27">
        <f>IF($K780="","",IFERROR(INDEX(CONFIG!$D$4:$D$43,MATCH($K780,CONFIG!$A$4:$A$43,0)),"NO"))</f>
        <v/>
      </c>
      <c r="N780" s="49" t="n"/>
      <c r="O780" s="27">
        <f>IF($N780="","",IFERROR(INDEX(CONFIG!$G$4:$G$43,MATCH($N780,CONFIG!$F$4:$F$43,0)),"Por definir"))</f>
        <v/>
      </c>
      <c r="P780" s="27">
        <f>IF($N780="","",IFERROR(INDEX(CONFIG!$H$4:$H$43,MATCH($N780,CONFIG!$F$4:$F$43,0)),"Por definir"))</f>
        <v/>
      </c>
      <c r="Q780" s="50" t="n"/>
      <c r="R780" s="51" t="n"/>
      <c r="S780" s="49" t="n"/>
      <c r="T780" s="49" t="n"/>
      <c r="U780" s="48">
        <f>IF(OR($B780="",$K780=""),"",WORKDAY($B780,IFERROR(INDEX(CONFIG!$C$4:$C$43,MATCH($K780,CONFIG!$A$4:$A$43,0)),3)))</f>
        <v/>
      </c>
      <c r="V780" s="46" t="n"/>
      <c r="W780" s="23">
        <f>IF($B780="","",IF($V780&lt;&gt;"",$V780-$B780,TODAY()-$B780))</f>
        <v/>
      </c>
      <c r="X780" s="27">
        <f>IF($C780="","",IF(IFERROR(INDEX(CONFIG!$K$4:$K$43,MATCH($S780,CONFIG!$J$4:$J$43,0)),"NO")="SÍ",IF(OR($V780="",$U780=""),"Resuelta",IF($V780&gt;$U780,"Resuelta tarde","Resuelta a tiempo")),IF($U780="","Sin clasificar",IF(TODAY()&gt;$U780,"Vencida",IF(TODAY()&gt;=$U780-1,"Por vencer","En plazo")))))</f>
        <v/>
      </c>
      <c r="Y780" s="49" t="n"/>
      <c r="Z780" s="49" t="n"/>
    </row>
    <row r="781" ht="16" customHeight="1">
      <c r="A781" s="27">
        <f>IF($C781="","","N-"&amp;TEXT(ROW()-3,"0000"))</f>
        <v/>
      </c>
      <c r="B781" s="46" t="n"/>
      <c r="C781" s="47" t="n"/>
      <c r="D781" s="27">
        <f>IF($C781="","",IF(COUNTIFS(ENVIOS!$A$4:$A$3003,$C781)=0,"NO EXISTE",IF(COUNTIFS(ENVIOS!$A$4:$A$3003,$C781)&gt;1,"DUPLICADA","OK")))</f>
        <v/>
      </c>
      <c r="E781" s="22">
        <f>IF($C781="","",IFERROR(INDEX(ENVIOS!$C$4:$C$3003,MATCH($C781,ENVIOS!$A$4:$A$3003,0)),"—"))</f>
        <v/>
      </c>
      <c r="F781" s="22">
        <f>IF($C781="","",IFERROR(INDEX(ENVIOS!$D$4:$D$3003,MATCH($C781,ENVIOS!$A$4:$A$3003,0)),"—"))</f>
        <v/>
      </c>
      <c r="G781" s="22">
        <f>IF($C781="","",IFERROR(INDEX(ENVIOS!$E$4:$E$3003,MATCH($C781,ENVIOS!$A$4:$A$3003,0)),"—"))</f>
        <v/>
      </c>
      <c r="H781" s="22">
        <f>IF($C781="","",IFERROR(INDEX(ENVIOS!$F$4:$F$3003,MATCH($C781,ENVIOS!$A$4:$A$3003,0)),"—"))</f>
        <v/>
      </c>
      <c r="I781" s="27">
        <f>IF($C781="","",IFERROR(INDEX(ENVIOS!$G$4:$G$3003,MATCH($C781,ENVIOS!$A$4:$A$3003,0)),"—"))</f>
        <v/>
      </c>
      <c r="J781" s="48">
        <f>IF($C781="","",IFERROR(INDEX(ENVIOS!$B$4:$B$3003,MATCH($C781,ENVIOS!$A$4:$A$3003,0)),""))</f>
        <v/>
      </c>
      <c r="K781" s="49" t="n"/>
      <c r="L781" s="27">
        <f>IF($K781="","",IFERROR(INDEX(CONFIG!$B$4:$B$43,MATCH($K781,CONFIG!$A$4:$A$43,0)),"Media"))</f>
        <v/>
      </c>
      <c r="M781" s="27">
        <f>IF($K781="","",IFERROR(INDEX(CONFIG!$D$4:$D$43,MATCH($K781,CONFIG!$A$4:$A$43,0)),"NO"))</f>
        <v/>
      </c>
      <c r="N781" s="49" t="n"/>
      <c r="O781" s="27">
        <f>IF($N781="","",IFERROR(INDEX(CONFIG!$G$4:$G$43,MATCH($N781,CONFIG!$F$4:$F$43,0)),"Por definir"))</f>
        <v/>
      </c>
      <c r="P781" s="27">
        <f>IF($N781="","",IFERROR(INDEX(CONFIG!$H$4:$H$43,MATCH($N781,CONFIG!$F$4:$F$43,0)),"Por definir"))</f>
        <v/>
      </c>
      <c r="Q781" s="50" t="n"/>
      <c r="R781" s="51" t="n"/>
      <c r="S781" s="49" t="n"/>
      <c r="T781" s="49" t="n"/>
      <c r="U781" s="48">
        <f>IF(OR($B781="",$K781=""),"",WORKDAY($B781,IFERROR(INDEX(CONFIG!$C$4:$C$43,MATCH($K781,CONFIG!$A$4:$A$43,0)),3)))</f>
        <v/>
      </c>
      <c r="V781" s="46" t="n"/>
      <c r="W781" s="23">
        <f>IF($B781="","",IF($V781&lt;&gt;"",$V781-$B781,TODAY()-$B781))</f>
        <v/>
      </c>
      <c r="X781" s="27">
        <f>IF($C781="","",IF(IFERROR(INDEX(CONFIG!$K$4:$K$43,MATCH($S781,CONFIG!$J$4:$J$43,0)),"NO")="SÍ",IF(OR($V781="",$U781=""),"Resuelta",IF($V781&gt;$U781,"Resuelta tarde","Resuelta a tiempo")),IF($U781="","Sin clasificar",IF(TODAY()&gt;$U781,"Vencida",IF(TODAY()&gt;=$U781-1,"Por vencer","En plazo")))))</f>
        <v/>
      </c>
      <c r="Y781" s="49" t="n"/>
      <c r="Z781" s="49" t="n"/>
    </row>
    <row r="782" ht="16" customHeight="1">
      <c r="A782" s="27">
        <f>IF($C782="","","N-"&amp;TEXT(ROW()-3,"0000"))</f>
        <v/>
      </c>
      <c r="B782" s="46" t="n"/>
      <c r="C782" s="47" t="n"/>
      <c r="D782" s="27">
        <f>IF($C782="","",IF(COUNTIFS(ENVIOS!$A$4:$A$3003,$C782)=0,"NO EXISTE",IF(COUNTIFS(ENVIOS!$A$4:$A$3003,$C782)&gt;1,"DUPLICADA","OK")))</f>
        <v/>
      </c>
      <c r="E782" s="22">
        <f>IF($C782="","",IFERROR(INDEX(ENVIOS!$C$4:$C$3003,MATCH($C782,ENVIOS!$A$4:$A$3003,0)),"—"))</f>
        <v/>
      </c>
      <c r="F782" s="22">
        <f>IF($C782="","",IFERROR(INDEX(ENVIOS!$D$4:$D$3003,MATCH($C782,ENVIOS!$A$4:$A$3003,0)),"—"))</f>
        <v/>
      </c>
      <c r="G782" s="22">
        <f>IF($C782="","",IFERROR(INDEX(ENVIOS!$E$4:$E$3003,MATCH($C782,ENVIOS!$A$4:$A$3003,0)),"—"))</f>
        <v/>
      </c>
      <c r="H782" s="22">
        <f>IF($C782="","",IFERROR(INDEX(ENVIOS!$F$4:$F$3003,MATCH($C782,ENVIOS!$A$4:$A$3003,0)),"—"))</f>
        <v/>
      </c>
      <c r="I782" s="27">
        <f>IF($C782="","",IFERROR(INDEX(ENVIOS!$G$4:$G$3003,MATCH($C782,ENVIOS!$A$4:$A$3003,0)),"—"))</f>
        <v/>
      </c>
      <c r="J782" s="48">
        <f>IF($C782="","",IFERROR(INDEX(ENVIOS!$B$4:$B$3003,MATCH($C782,ENVIOS!$A$4:$A$3003,0)),""))</f>
        <v/>
      </c>
      <c r="K782" s="49" t="n"/>
      <c r="L782" s="27">
        <f>IF($K782="","",IFERROR(INDEX(CONFIG!$B$4:$B$43,MATCH($K782,CONFIG!$A$4:$A$43,0)),"Media"))</f>
        <v/>
      </c>
      <c r="M782" s="27">
        <f>IF($K782="","",IFERROR(INDEX(CONFIG!$D$4:$D$43,MATCH($K782,CONFIG!$A$4:$A$43,0)),"NO"))</f>
        <v/>
      </c>
      <c r="N782" s="49" t="n"/>
      <c r="O782" s="27">
        <f>IF($N782="","",IFERROR(INDEX(CONFIG!$G$4:$G$43,MATCH($N782,CONFIG!$F$4:$F$43,0)),"Por definir"))</f>
        <v/>
      </c>
      <c r="P782" s="27">
        <f>IF($N782="","",IFERROR(INDEX(CONFIG!$H$4:$H$43,MATCH($N782,CONFIG!$F$4:$F$43,0)),"Por definir"))</f>
        <v/>
      </c>
      <c r="Q782" s="50" t="n"/>
      <c r="R782" s="51" t="n"/>
      <c r="S782" s="49" t="n"/>
      <c r="T782" s="49" t="n"/>
      <c r="U782" s="48">
        <f>IF(OR($B782="",$K782=""),"",WORKDAY($B782,IFERROR(INDEX(CONFIG!$C$4:$C$43,MATCH($K782,CONFIG!$A$4:$A$43,0)),3)))</f>
        <v/>
      </c>
      <c r="V782" s="46" t="n"/>
      <c r="W782" s="23">
        <f>IF($B782="","",IF($V782&lt;&gt;"",$V782-$B782,TODAY()-$B782))</f>
        <v/>
      </c>
      <c r="X782" s="27">
        <f>IF($C782="","",IF(IFERROR(INDEX(CONFIG!$K$4:$K$43,MATCH($S782,CONFIG!$J$4:$J$43,0)),"NO")="SÍ",IF(OR($V782="",$U782=""),"Resuelta",IF($V782&gt;$U782,"Resuelta tarde","Resuelta a tiempo")),IF($U782="","Sin clasificar",IF(TODAY()&gt;$U782,"Vencida",IF(TODAY()&gt;=$U782-1,"Por vencer","En plazo")))))</f>
        <v/>
      </c>
      <c r="Y782" s="49" t="n"/>
      <c r="Z782" s="49" t="n"/>
    </row>
    <row r="783" ht="16" customHeight="1">
      <c r="A783" s="27">
        <f>IF($C783="","","N-"&amp;TEXT(ROW()-3,"0000"))</f>
        <v/>
      </c>
      <c r="B783" s="46" t="n"/>
      <c r="C783" s="47" t="n"/>
      <c r="D783" s="27">
        <f>IF($C783="","",IF(COUNTIFS(ENVIOS!$A$4:$A$3003,$C783)=0,"NO EXISTE",IF(COUNTIFS(ENVIOS!$A$4:$A$3003,$C783)&gt;1,"DUPLICADA","OK")))</f>
        <v/>
      </c>
      <c r="E783" s="22">
        <f>IF($C783="","",IFERROR(INDEX(ENVIOS!$C$4:$C$3003,MATCH($C783,ENVIOS!$A$4:$A$3003,0)),"—"))</f>
        <v/>
      </c>
      <c r="F783" s="22">
        <f>IF($C783="","",IFERROR(INDEX(ENVIOS!$D$4:$D$3003,MATCH($C783,ENVIOS!$A$4:$A$3003,0)),"—"))</f>
        <v/>
      </c>
      <c r="G783" s="22">
        <f>IF($C783="","",IFERROR(INDEX(ENVIOS!$E$4:$E$3003,MATCH($C783,ENVIOS!$A$4:$A$3003,0)),"—"))</f>
        <v/>
      </c>
      <c r="H783" s="22">
        <f>IF($C783="","",IFERROR(INDEX(ENVIOS!$F$4:$F$3003,MATCH($C783,ENVIOS!$A$4:$A$3003,0)),"—"))</f>
        <v/>
      </c>
      <c r="I783" s="27">
        <f>IF($C783="","",IFERROR(INDEX(ENVIOS!$G$4:$G$3003,MATCH($C783,ENVIOS!$A$4:$A$3003,0)),"—"))</f>
        <v/>
      </c>
      <c r="J783" s="48">
        <f>IF($C783="","",IFERROR(INDEX(ENVIOS!$B$4:$B$3003,MATCH($C783,ENVIOS!$A$4:$A$3003,0)),""))</f>
        <v/>
      </c>
      <c r="K783" s="49" t="n"/>
      <c r="L783" s="27">
        <f>IF($K783="","",IFERROR(INDEX(CONFIG!$B$4:$B$43,MATCH($K783,CONFIG!$A$4:$A$43,0)),"Media"))</f>
        <v/>
      </c>
      <c r="M783" s="27">
        <f>IF($K783="","",IFERROR(INDEX(CONFIG!$D$4:$D$43,MATCH($K783,CONFIG!$A$4:$A$43,0)),"NO"))</f>
        <v/>
      </c>
      <c r="N783" s="49" t="n"/>
      <c r="O783" s="27">
        <f>IF($N783="","",IFERROR(INDEX(CONFIG!$G$4:$G$43,MATCH($N783,CONFIG!$F$4:$F$43,0)),"Por definir"))</f>
        <v/>
      </c>
      <c r="P783" s="27">
        <f>IF($N783="","",IFERROR(INDEX(CONFIG!$H$4:$H$43,MATCH($N783,CONFIG!$F$4:$F$43,0)),"Por definir"))</f>
        <v/>
      </c>
      <c r="Q783" s="50" t="n"/>
      <c r="R783" s="51" t="n"/>
      <c r="S783" s="49" t="n"/>
      <c r="T783" s="49" t="n"/>
      <c r="U783" s="48">
        <f>IF(OR($B783="",$K783=""),"",WORKDAY($B783,IFERROR(INDEX(CONFIG!$C$4:$C$43,MATCH($K783,CONFIG!$A$4:$A$43,0)),3)))</f>
        <v/>
      </c>
      <c r="V783" s="46" t="n"/>
      <c r="W783" s="23">
        <f>IF($B783="","",IF($V783&lt;&gt;"",$V783-$B783,TODAY()-$B783))</f>
        <v/>
      </c>
      <c r="X783" s="27">
        <f>IF($C783="","",IF(IFERROR(INDEX(CONFIG!$K$4:$K$43,MATCH($S783,CONFIG!$J$4:$J$43,0)),"NO")="SÍ",IF(OR($V783="",$U783=""),"Resuelta",IF($V783&gt;$U783,"Resuelta tarde","Resuelta a tiempo")),IF($U783="","Sin clasificar",IF(TODAY()&gt;$U783,"Vencida",IF(TODAY()&gt;=$U783-1,"Por vencer","En plazo")))))</f>
        <v/>
      </c>
      <c r="Y783" s="49" t="n"/>
      <c r="Z783" s="49" t="n"/>
    </row>
    <row r="784" ht="16" customHeight="1">
      <c r="A784" s="27">
        <f>IF($C784="","","N-"&amp;TEXT(ROW()-3,"0000"))</f>
        <v/>
      </c>
      <c r="B784" s="46" t="n"/>
      <c r="C784" s="47" t="n"/>
      <c r="D784" s="27">
        <f>IF($C784="","",IF(COUNTIFS(ENVIOS!$A$4:$A$3003,$C784)=0,"NO EXISTE",IF(COUNTIFS(ENVIOS!$A$4:$A$3003,$C784)&gt;1,"DUPLICADA","OK")))</f>
        <v/>
      </c>
      <c r="E784" s="22">
        <f>IF($C784="","",IFERROR(INDEX(ENVIOS!$C$4:$C$3003,MATCH($C784,ENVIOS!$A$4:$A$3003,0)),"—"))</f>
        <v/>
      </c>
      <c r="F784" s="22">
        <f>IF($C784="","",IFERROR(INDEX(ENVIOS!$D$4:$D$3003,MATCH($C784,ENVIOS!$A$4:$A$3003,0)),"—"))</f>
        <v/>
      </c>
      <c r="G784" s="22">
        <f>IF($C784="","",IFERROR(INDEX(ENVIOS!$E$4:$E$3003,MATCH($C784,ENVIOS!$A$4:$A$3003,0)),"—"))</f>
        <v/>
      </c>
      <c r="H784" s="22">
        <f>IF($C784="","",IFERROR(INDEX(ENVIOS!$F$4:$F$3003,MATCH($C784,ENVIOS!$A$4:$A$3003,0)),"—"))</f>
        <v/>
      </c>
      <c r="I784" s="27">
        <f>IF($C784="","",IFERROR(INDEX(ENVIOS!$G$4:$G$3003,MATCH($C784,ENVIOS!$A$4:$A$3003,0)),"—"))</f>
        <v/>
      </c>
      <c r="J784" s="48">
        <f>IF($C784="","",IFERROR(INDEX(ENVIOS!$B$4:$B$3003,MATCH($C784,ENVIOS!$A$4:$A$3003,0)),""))</f>
        <v/>
      </c>
      <c r="K784" s="49" t="n"/>
      <c r="L784" s="27">
        <f>IF($K784="","",IFERROR(INDEX(CONFIG!$B$4:$B$43,MATCH($K784,CONFIG!$A$4:$A$43,0)),"Media"))</f>
        <v/>
      </c>
      <c r="M784" s="27">
        <f>IF($K784="","",IFERROR(INDEX(CONFIG!$D$4:$D$43,MATCH($K784,CONFIG!$A$4:$A$43,0)),"NO"))</f>
        <v/>
      </c>
      <c r="N784" s="49" t="n"/>
      <c r="O784" s="27">
        <f>IF($N784="","",IFERROR(INDEX(CONFIG!$G$4:$G$43,MATCH($N784,CONFIG!$F$4:$F$43,0)),"Por definir"))</f>
        <v/>
      </c>
      <c r="P784" s="27">
        <f>IF($N784="","",IFERROR(INDEX(CONFIG!$H$4:$H$43,MATCH($N784,CONFIG!$F$4:$F$43,0)),"Por definir"))</f>
        <v/>
      </c>
      <c r="Q784" s="50" t="n"/>
      <c r="R784" s="51" t="n"/>
      <c r="S784" s="49" t="n"/>
      <c r="T784" s="49" t="n"/>
      <c r="U784" s="48">
        <f>IF(OR($B784="",$K784=""),"",WORKDAY($B784,IFERROR(INDEX(CONFIG!$C$4:$C$43,MATCH($K784,CONFIG!$A$4:$A$43,0)),3)))</f>
        <v/>
      </c>
      <c r="V784" s="46" t="n"/>
      <c r="W784" s="23">
        <f>IF($B784="","",IF($V784&lt;&gt;"",$V784-$B784,TODAY()-$B784))</f>
        <v/>
      </c>
      <c r="X784" s="27">
        <f>IF($C784="","",IF(IFERROR(INDEX(CONFIG!$K$4:$K$43,MATCH($S784,CONFIG!$J$4:$J$43,0)),"NO")="SÍ",IF(OR($V784="",$U784=""),"Resuelta",IF($V784&gt;$U784,"Resuelta tarde","Resuelta a tiempo")),IF($U784="","Sin clasificar",IF(TODAY()&gt;$U784,"Vencida",IF(TODAY()&gt;=$U784-1,"Por vencer","En plazo")))))</f>
        <v/>
      </c>
      <c r="Y784" s="49" t="n"/>
      <c r="Z784" s="49" t="n"/>
    </row>
    <row r="785" ht="16" customHeight="1">
      <c r="A785" s="27">
        <f>IF($C785="","","N-"&amp;TEXT(ROW()-3,"0000"))</f>
        <v/>
      </c>
      <c r="B785" s="46" t="n"/>
      <c r="C785" s="47" t="n"/>
      <c r="D785" s="27">
        <f>IF($C785="","",IF(COUNTIFS(ENVIOS!$A$4:$A$3003,$C785)=0,"NO EXISTE",IF(COUNTIFS(ENVIOS!$A$4:$A$3003,$C785)&gt;1,"DUPLICADA","OK")))</f>
        <v/>
      </c>
      <c r="E785" s="22">
        <f>IF($C785="","",IFERROR(INDEX(ENVIOS!$C$4:$C$3003,MATCH($C785,ENVIOS!$A$4:$A$3003,0)),"—"))</f>
        <v/>
      </c>
      <c r="F785" s="22">
        <f>IF($C785="","",IFERROR(INDEX(ENVIOS!$D$4:$D$3003,MATCH($C785,ENVIOS!$A$4:$A$3003,0)),"—"))</f>
        <v/>
      </c>
      <c r="G785" s="22">
        <f>IF($C785="","",IFERROR(INDEX(ENVIOS!$E$4:$E$3003,MATCH($C785,ENVIOS!$A$4:$A$3003,0)),"—"))</f>
        <v/>
      </c>
      <c r="H785" s="22">
        <f>IF($C785="","",IFERROR(INDEX(ENVIOS!$F$4:$F$3003,MATCH($C785,ENVIOS!$A$4:$A$3003,0)),"—"))</f>
        <v/>
      </c>
      <c r="I785" s="27">
        <f>IF($C785="","",IFERROR(INDEX(ENVIOS!$G$4:$G$3003,MATCH($C785,ENVIOS!$A$4:$A$3003,0)),"—"))</f>
        <v/>
      </c>
      <c r="J785" s="48">
        <f>IF($C785="","",IFERROR(INDEX(ENVIOS!$B$4:$B$3003,MATCH($C785,ENVIOS!$A$4:$A$3003,0)),""))</f>
        <v/>
      </c>
      <c r="K785" s="49" t="n"/>
      <c r="L785" s="27">
        <f>IF($K785="","",IFERROR(INDEX(CONFIG!$B$4:$B$43,MATCH($K785,CONFIG!$A$4:$A$43,0)),"Media"))</f>
        <v/>
      </c>
      <c r="M785" s="27">
        <f>IF($K785="","",IFERROR(INDEX(CONFIG!$D$4:$D$43,MATCH($K785,CONFIG!$A$4:$A$43,0)),"NO"))</f>
        <v/>
      </c>
      <c r="N785" s="49" t="n"/>
      <c r="O785" s="27">
        <f>IF($N785="","",IFERROR(INDEX(CONFIG!$G$4:$G$43,MATCH($N785,CONFIG!$F$4:$F$43,0)),"Por definir"))</f>
        <v/>
      </c>
      <c r="P785" s="27">
        <f>IF($N785="","",IFERROR(INDEX(CONFIG!$H$4:$H$43,MATCH($N785,CONFIG!$F$4:$F$43,0)),"Por definir"))</f>
        <v/>
      </c>
      <c r="Q785" s="50" t="n"/>
      <c r="R785" s="51" t="n"/>
      <c r="S785" s="49" t="n"/>
      <c r="T785" s="49" t="n"/>
      <c r="U785" s="48">
        <f>IF(OR($B785="",$K785=""),"",WORKDAY($B785,IFERROR(INDEX(CONFIG!$C$4:$C$43,MATCH($K785,CONFIG!$A$4:$A$43,0)),3)))</f>
        <v/>
      </c>
      <c r="V785" s="46" t="n"/>
      <c r="W785" s="23">
        <f>IF($B785="","",IF($V785&lt;&gt;"",$V785-$B785,TODAY()-$B785))</f>
        <v/>
      </c>
      <c r="X785" s="27">
        <f>IF($C785="","",IF(IFERROR(INDEX(CONFIG!$K$4:$K$43,MATCH($S785,CONFIG!$J$4:$J$43,0)),"NO")="SÍ",IF(OR($V785="",$U785=""),"Resuelta",IF($V785&gt;$U785,"Resuelta tarde","Resuelta a tiempo")),IF($U785="","Sin clasificar",IF(TODAY()&gt;$U785,"Vencida",IF(TODAY()&gt;=$U785-1,"Por vencer","En plazo")))))</f>
        <v/>
      </c>
      <c r="Y785" s="49" t="n"/>
      <c r="Z785" s="49" t="n"/>
    </row>
    <row r="786" ht="16" customHeight="1">
      <c r="A786" s="27">
        <f>IF($C786="","","N-"&amp;TEXT(ROW()-3,"0000"))</f>
        <v/>
      </c>
      <c r="B786" s="46" t="n"/>
      <c r="C786" s="47" t="n"/>
      <c r="D786" s="27">
        <f>IF($C786="","",IF(COUNTIFS(ENVIOS!$A$4:$A$3003,$C786)=0,"NO EXISTE",IF(COUNTIFS(ENVIOS!$A$4:$A$3003,$C786)&gt;1,"DUPLICADA","OK")))</f>
        <v/>
      </c>
      <c r="E786" s="22">
        <f>IF($C786="","",IFERROR(INDEX(ENVIOS!$C$4:$C$3003,MATCH($C786,ENVIOS!$A$4:$A$3003,0)),"—"))</f>
        <v/>
      </c>
      <c r="F786" s="22">
        <f>IF($C786="","",IFERROR(INDEX(ENVIOS!$D$4:$D$3003,MATCH($C786,ENVIOS!$A$4:$A$3003,0)),"—"))</f>
        <v/>
      </c>
      <c r="G786" s="22">
        <f>IF($C786="","",IFERROR(INDEX(ENVIOS!$E$4:$E$3003,MATCH($C786,ENVIOS!$A$4:$A$3003,0)),"—"))</f>
        <v/>
      </c>
      <c r="H786" s="22">
        <f>IF($C786="","",IFERROR(INDEX(ENVIOS!$F$4:$F$3003,MATCH($C786,ENVIOS!$A$4:$A$3003,0)),"—"))</f>
        <v/>
      </c>
      <c r="I786" s="27">
        <f>IF($C786="","",IFERROR(INDEX(ENVIOS!$G$4:$G$3003,MATCH($C786,ENVIOS!$A$4:$A$3003,0)),"—"))</f>
        <v/>
      </c>
      <c r="J786" s="48">
        <f>IF($C786="","",IFERROR(INDEX(ENVIOS!$B$4:$B$3003,MATCH($C786,ENVIOS!$A$4:$A$3003,0)),""))</f>
        <v/>
      </c>
      <c r="K786" s="49" t="n"/>
      <c r="L786" s="27">
        <f>IF($K786="","",IFERROR(INDEX(CONFIG!$B$4:$B$43,MATCH($K786,CONFIG!$A$4:$A$43,0)),"Media"))</f>
        <v/>
      </c>
      <c r="M786" s="27">
        <f>IF($K786="","",IFERROR(INDEX(CONFIG!$D$4:$D$43,MATCH($K786,CONFIG!$A$4:$A$43,0)),"NO"))</f>
        <v/>
      </c>
      <c r="N786" s="49" t="n"/>
      <c r="O786" s="27">
        <f>IF($N786="","",IFERROR(INDEX(CONFIG!$G$4:$G$43,MATCH($N786,CONFIG!$F$4:$F$43,0)),"Por definir"))</f>
        <v/>
      </c>
      <c r="P786" s="27">
        <f>IF($N786="","",IFERROR(INDEX(CONFIG!$H$4:$H$43,MATCH($N786,CONFIG!$F$4:$F$43,0)),"Por definir"))</f>
        <v/>
      </c>
      <c r="Q786" s="50" t="n"/>
      <c r="R786" s="51" t="n"/>
      <c r="S786" s="49" t="n"/>
      <c r="T786" s="49" t="n"/>
      <c r="U786" s="48">
        <f>IF(OR($B786="",$K786=""),"",WORKDAY($B786,IFERROR(INDEX(CONFIG!$C$4:$C$43,MATCH($K786,CONFIG!$A$4:$A$43,0)),3)))</f>
        <v/>
      </c>
      <c r="V786" s="46" t="n"/>
      <c r="W786" s="23">
        <f>IF($B786="","",IF($V786&lt;&gt;"",$V786-$B786,TODAY()-$B786))</f>
        <v/>
      </c>
      <c r="X786" s="27">
        <f>IF($C786="","",IF(IFERROR(INDEX(CONFIG!$K$4:$K$43,MATCH($S786,CONFIG!$J$4:$J$43,0)),"NO")="SÍ",IF(OR($V786="",$U786=""),"Resuelta",IF($V786&gt;$U786,"Resuelta tarde","Resuelta a tiempo")),IF($U786="","Sin clasificar",IF(TODAY()&gt;$U786,"Vencida",IF(TODAY()&gt;=$U786-1,"Por vencer","En plazo")))))</f>
        <v/>
      </c>
      <c r="Y786" s="49" t="n"/>
      <c r="Z786" s="49" t="n"/>
    </row>
    <row r="787" ht="16" customHeight="1">
      <c r="A787" s="27">
        <f>IF($C787="","","N-"&amp;TEXT(ROW()-3,"0000"))</f>
        <v/>
      </c>
      <c r="B787" s="46" t="n"/>
      <c r="C787" s="47" t="n"/>
      <c r="D787" s="27">
        <f>IF($C787="","",IF(COUNTIFS(ENVIOS!$A$4:$A$3003,$C787)=0,"NO EXISTE",IF(COUNTIFS(ENVIOS!$A$4:$A$3003,$C787)&gt;1,"DUPLICADA","OK")))</f>
        <v/>
      </c>
      <c r="E787" s="22">
        <f>IF($C787="","",IFERROR(INDEX(ENVIOS!$C$4:$C$3003,MATCH($C787,ENVIOS!$A$4:$A$3003,0)),"—"))</f>
        <v/>
      </c>
      <c r="F787" s="22">
        <f>IF($C787="","",IFERROR(INDEX(ENVIOS!$D$4:$D$3003,MATCH($C787,ENVIOS!$A$4:$A$3003,0)),"—"))</f>
        <v/>
      </c>
      <c r="G787" s="22">
        <f>IF($C787="","",IFERROR(INDEX(ENVIOS!$E$4:$E$3003,MATCH($C787,ENVIOS!$A$4:$A$3003,0)),"—"))</f>
        <v/>
      </c>
      <c r="H787" s="22">
        <f>IF($C787="","",IFERROR(INDEX(ENVIOS!$F$4:$F$3003,MATCH($C787,ENVIOS!$A$4:$A$3003,0)),"—"))</f>
        <v/>
      </c>
      <c r="I787" s="27">
        <f>IF($C787="","",IFERROR(INDEX(ENVIOS!$G$4:$G$3003,MATCH($C787,ENVIOS!$A$4:$A$3003,0)),"—"))</f>
        <v/>
      </c>
      <c r="J787" s="48">
        <f>IF($C787="","",IFERROR(INDEX(ENVIOS!$B$4:$B$3003,MATCH($C787,ENVIOS!$A$4:$A$3003,0)),""))</f>
        <v/>
      </c>
      <c r="K787" s="49" t="n"/>
      <c r="L787" s="27">
        <f>IF($K787="","",IFERROR(INDEX(CONFIG!$B$4:$B$43,MATCH($K787,CONFIG!$A$4:$A$43,0)),"Media"))</f>
        <v/>
      </c>
      <c r="M787" s="27">
        <f>IF($K787="","",IFERROR(INDEX(CONFIG!$D$4:$D$43,MATCH($K787,CONFIG!$A$4:$A$43,0)),"NO"))</f>
        <v/>
      </c>
      <c r="N787" s="49" t="n"/>
      <c r="O787" s="27">
        <f>IF($N787="","",IFERROR(INDEX(CONFIG!$G$4:$G$43,MATCH($N787,CONFIG!$F$4:$F$43,0)),"Por definir"))</f>
        <v/>
      </c>
      <c r="P787" s="27">
        <f>IF($N787="","",IFERROR(INDEX(CONFIG!$H$4:$H$43,MATCH($N787,CONFIG!$F$4:$F$43,0)),"Por definir"))</f>
        <v/>
      </c>
      <c r="Q787" s="50" t="n"/>
      <c r="R787" s="51" t="n"/>
      <c r="S787" s="49" t="n"/>
      <c r="T787" s="49" t="n"/>
      <c r="U787" s="48">
        <f>IF(OR($B787="",$K787=""),"",WORKDAY($B787,IFERROR(INDEX(CONFIG!$C$4:$C$43,MATCH($K787,CONFIG!$A$4:$A$43,0)),3)))</f>
        <v/>
      </c>
      <c r="V787" s="46" t="n"/>
      <c r="W787" s="23">
        <f>IF($B787="","",IF($V787&lt;&gt;"",$V787-$B787,TODAY()-$B787))</f>
        <v/>
      </c>
      <c r="X787" s="27">
        <f>IF($C787="","",IF(IFERROR(INDEX(CONFIG!$K$4:$K$43,MATCH($S787,CONFIG!$J$4:$J$43,0)),"NO")="SÍ",IF(OR($V787="",$U787=""),"Resuelta",IF($V787&gt;$U787,"Resuelta tarde","Resuelta a tiempo")),IF($U787="","Sin clasificar",IF(TODAY()&gt;$U787,"Vencida",IF(TODAY()&gt;=$U787-1,"Por vencer","En plazo")))))</f>
        <v/>
      </c>
      <c r="Y787" s="49" t="n"/>
      <c r="Z787" s="49" t="n"/>
    </row>
    <row r="788" ht="16" customHeight="1">
      <c r="A788" s="27">
        <f>IF($C788="","","N-"&amp;TEXT(ROW()-3,"0000"))</f>
        <v/>
      </c>
      <c r="B788" s="46" t="n"/>
      <c r="C788" s="47" t="n"/>
      <c r="D788" s="27">
        <f>IF($C788="","",IF(COUNTIFS(ENVIOS!$A$4:$A$3003,$C788)=0,"NO EXISTE",IF(COUNTIFS(ENVIOS!$A$4:$A$3003,$C788)&gt;1,"DUPLICADA","OK")))</f>
        <v/>
      </c>
      <c r="E788" s="22">
        <f>IF($C788="","",IFERROR(INDEX(ENVIOS!$C$4:$C$3003,MATCH($C788,ENVIOS!$A$4:$A$3003,0)),"—"))</f>
        <v/>
      </c>
      <c r="F788" s="22">
        <f>IF($C788="","",IFERROR(INDEX(ENVIOS!$D$4:$D$3003,MATCH($C788,ENVIOS!$A$4:$A$3003,0)),"—"))</f>
        <v/>
      </c>
      <c r="G788" s="22">
        <f>IF($C788="","",IFERROR(INDEX(ENVIOS!$E$4:$E$3003,MATCH($C788,ENVIOS!$A$4:$A$3003,0)),"—"))</f>
        <v/>
      </c>
      <c r="H788" s="22">
        <f>IF($C788="","",IFERROR(INDEX(ENVIOS!$F$4:$F$3003,MATCH($C788,ENVIOS!$A$4:$A$3003,0)),"—"))</f>
        <v/>
      </c>
      <c r="I788" s="27">
        <f>IF($C788="","",IFERROR(INDEX(ENVIOS!$G$4:$G$3003,MATCH($C788,ENVIOS!$A$4:$A$3003,0)),"—"))</f>
        <v/>
      </c>
      <c r="J788" s="48">
        <f>IF($C788="","",IFERROR(INDEX(ENVIOS!$B$4:$B$3003,MATCH($C788,ENVIOS!$A$4:$A$3003,0)),""))</f>
        <v/>
      </c>
      <c r="K788" s="49" t="n"/>
      <c r="L788" s="27">
        <f>IF($K788="","",IFERROR(INDEX(CONFIG!$B$4:$B$43,MATCH($K788,CONFIG!$A$4:$A$43,0)),"Media"))</f>
        <v/>
      </c>
      <c r="M788" s="27">
        <f>IF($K788="","",IFERROR(INDEX(CONFIG!$D$4:$D$43,MATCH($K788,CONFIG!$A$4:$A$43,0)),"NO"))</f>
        <v/>
      </c>
      <c r="N788" s="49" t="n"/>
      <c r="O788" s="27">
        <f>IF($N788="","",IFERROR(INDEX(CONFIG!$G$4:$G$43,MATCH($N788,CONFIG!$F$4:$F$43,0)),"Por definir"))</f>
        <v/>
      </c>
      <c r="P788" s="27">
        <f>IF($N788="","",IFERROR(INDEX(CONFIG!$H$4:$H$43,MATCH($N788,CONFIG!$F$4:$F$43,0)),"Por definir"))</f>
        <v/>
      </c>
      <c r="Q788" s="50" t="n"/>
      <c r="R788" s="51" t="n"/>
      <c r="S788" s="49" t="n"/>
      <c r="T788" s="49" t="n"/>
      <c r="U788" s="48">
        <f>IF(OR($B788="",$K788=""),"",WORKDAY($B788,IFERROR(INDEX(CONFIG!$C$4:$C$43,MATCH($K788,CONFIG!$A$4:$A$43,0)),3)))</f>
        <v/>
      </c>
      <c r="V788" s="46" t="n"/>
      <c r="W788" s="23">
        <f>IF($B788="","",IF($V788&lt;&gt;"",$V788-$B788,TODAY()-$B788))</f>
        <v/>
      </c>
      <c r="X788" s="27">
        <f>IF($C788="","",IF(IFERROR(INDEX(CONFIG!$K$4:$K$43,MATCH($S788,CONFIG!$J$4:$J$43,0)),"NO")="SÍ",IF(OR($V788="",$U788=""),"Resuelta",IF($V788&gt;$U788,"Resuelta tarde","Resuelta a tiempo")),IF($U788="","Sin clasificar",IF(TODAY()&gt;$U788,"Vencida",IF(TODAY()&gt;=$U788-1,"Por vencer","En plazo")))))</f>
        <v/>
      </c>
      <c r="Y788" s="49" t="n"/>
      <c r="Z788" s="49" t="n"/>
    </row>
    <row r="789" ht="16" customHeight="1">
      <c r="A789" s="27">
        <f>IF($C789="","","N-"&amp;TEXT(ROW()-3,"0000"))</f>
        <v/>
      </c>
      <c r="B789" s="46" t="n"/>
      <c r="C789" s="47" t="n"/>
      <c r="D789" s="27">
        <f>IF($C789="","",IF(COUNTIFS(ENVIOS!$A$4:$A$3003,$C789)=0,"NO EXISTE",IF(COUNTIFS(ENVIOS!$A$4:$A$3003,$C789)&gt;1,"DUPLICADA","OK")))</f>
        <v/>
      </c>
      <c r="E789" s="22">
        <f>IF($C789="","",IFERROR(INDEX(ENVIOS!$C$4:$C$3003,MATCH($C789,ENVIOS!$A$4:$A$3003,0)),"—"))</f>
        <v/>
      </c>
      <c r="F789" s="22">
        <f>IF($C789="","",IFERROR(INDEX(ENVIOS!$D$4:$D$3003,MATCH($C789,ENVIOS!$A$4:$A$3003,0)),"—"))</f>
        <v/>
      </c>
      <c r="G789" s="22">
        <f>IF($C789="","",IFERROR(INDEX(ENVIOS!$E$4:$E$3003,MATCH($C789,ENVIOS!$A$4:$A$3003,0)),"—"))</f>
        <v/>
      </c>
      <c r="H789" s="22">
        <f>IF($C789="","",IFERROR(INDEX(ENVIOS!$F$4:$F$3003,MATCH($C789,ENVIOS!$A$4:$A$3003,0)),"—"))</f>
        <v/>
      </c>
      <c r="I789" s="27">
        <f>IF($C789="","",IFERROR(INDEX(ENVIOS!$G$4:$G$3003,MATCH($C789,ENVIOS!$A$4:$A$3003,0)),"—"))</f>
        <v/>
      </c>
      <c r="J789" s="48">
        <f>IF($C789="","",IFERROR(INDEX(ENVIOS!$B$4:$B$3003,MATCH($C789,ENVIOS!$A$4:$A$3003,0)),""))</f>
        <v/>
      </c>
      <c r="K789" s="49" t="n"/>
      <c r="L789" s="27">
        <f>IF($K789="","",IFERROR(INDEX(CONFIG!$B$4:$B$43,MATCH($K789,CONFIG!$A$4:$A$43,0)),"Media"))</f>
        <v/>
      </c>
      <c r="M789" s="27">
        <f>IF($K789="","",IFERROR(INDEX(CONFIG!$D$4:$D$43,MATCH($K789,CONFIG!$A$4:$A$43,0)),"NO"))</f>
        <v/>
      </c>
      <c r="N789" s="49" t="n"/>
      <c r="O789" s="27">
        <f>IF($N789="","",IFERROR(INDEX(CONFIG!$G$4:$G$43,MATCH($N789,CONFIG!$F$4:$F$43,0)),"Por definir"))</f>
        <v/>
      </c>
      <c r="P789" s="27">
        <f>IF($N789="","",IFERROR(INDEX(CONFIG!$H$4:$H$43,MATCH($N789,CONFIG!$F$4:$F$43,0)),"Por definir"))</f>
        <v/>
      </c>
      <c r="Q789" s="50" t="n"/>
      <c r="R789" s="51" t="n"/>
      <c r="S789" s="49" t="n"/>
      <c r="T789" s="49" t="n"/>
      <c r="U789" s="48">
        <f>IF(OR($B789="",$K789=""),"",WORKDAY($B789,IFERROR(INDEX(CONFIG!$C$4:$C$43,MATCH($K789,CONFIG!$A$4:$A$43,0)),3)))</f>
        <v/>
      </c>
      <c r="V789" s="46" t="n"/>
      <c r="W789" s="23">
        <f>IF($B789="","",IF($V789&lt;&gt;"",$V789-$B789,TODAY()-$B789))</f>
        <v/>
      </c>
      <c r="X789" s="27">
        <f>IF($C789="","",IF(IFERROR(INDEX(CONFIG!$K$4:$K$43,MATCH($S789,CONFIG!$J$4:$J$43,0)),"NO")="SÍ",IF(OR($V789="",$U789=""),"Resuelta",IF($V789&gt;$U789,"Resuelta tarde","Resuelta a tiempo")),IF($U789="","Sin clasificar",IF(TODAY()&gt;$U789,"Vencida",IF(TODAY()&gt;=$U789-1,"Por vencer","En plazo")))))</f>
        <v/>
      </c>
      <c r="Y789" s="49" t="n"/>
      <c r="Z789" s="49" t="n"/>
    </row>
    <row r="790" ht="16" customHeight="1">
      <c r="A790" s="27">
        <f>IF($C790="","","N-"&amp;TEXT(ROW()-3,"0000"))</f>
        <v/>
      </c>
      <c r="B790" s="46" t="n"/>
      <c r="C790" s="47" t="n"/>
      <c r="D790" s="27">
        <f>IF($C790="","",IF(COUNTIFS(ENVIOS!$A$4:$A$3003,$C790)=0,"NO EXISTE",IF(COUNTIFS(ENVIOS!$A$4:$A$3003,$C790)&gt;1,"DUPLICADA","OK")))</f>
        <v/>
      </c>
      <c r="E790" s="22">
        <f>IF($C790="","",IFERROR(INDEX(ENVIOS!$C$4:$C$3003,MATCH($C790,ENVIOS!$A$4:$A$3003,0)),"—"))</f>
        <v/>
      </c>
      <c r="F790" s="22">
        <f>IF($C790="","",IFERROR(INDEX(ENVIOS!$D$4:$D$3003,MATCH($C790,ENVIOS!$A$4:$A$3003,0)),"—"))</f>
        <v/>
      </c>
      <c r="G790" s="22">
        <f>IF($C790="","",IFERROR(INDEX(ENVIOS!$E$4:$E$3003,MATCH($C790,ENVIOS!$A$4:$A$3003,0)),"—"))</f>
        <v/>
      </c>
      <c r="H790" s="22">
        <f>IF($C790="","",IFERROR(INDEX(ENVIOS!$F$4:$F$3003,MATCH($C790,ENVIOS!$A$4:$A$3003,0)),"—"))</f>
        <v/>
      </c>
      <c r="I790" s="27">
        <f>IF($C790="","",IFERROR(INDEX(ENVIOS!$G$4:$G$3003,MATCH($C790,ENVIOS!$A$4:$A$3003,0)),"—"))</f>
        <v/>
      </c>
      <c r="J790" s="48">
        <f>IF($C790="","",IFERROR(INDEX(ENVIOS!$B$4:$B$3003,MATCH($C790,ENVIOS!$A$4:$A$3003,0)),""))</f>
        <v/>
      </c>
      <c r="K790" s="49" t="n"/>
      <c r="L790" s="27">
        <f>IF($K790="","",IFERROR(INDEX(CONFIG!$B$4:$B$43,MATCH($K790,CONFIG!$A$4:$A$43,0)),"Media"))</f>
        <v/>
      </c>
      <c r="M790" s="27">
        <f>IF($K790="","",IFERROR(INDEX(CONFIG!$D$4:$D$43,MATCH($K790,CONFIG!$A$4:$A$43,0)),"NO"))</f>
        <v/>
      </c>
      <c r="N790" s="49" t="n"/>
      <c r="O790" s="27">
        <f>IF($N790="","",IFERROR(INDEX(CONFIG!$G$4:$G$43,MATCH($N790,CONFIG!$F$4:$F$43,0)),"Por definir"))</f>
        <v/>
      </c>
      <c r="P790" s="27">
        <f>IF($N790="","",IFERROR(INDEX(CONFIG!$H$4:$H$43,MATCH($N790,CONFIG!$F$4:$F$43,0)),"Por definir"))</f>
        <v/>
      </c>
      <c r="Q790" s="50" t="n"/>
      <c r="R790" s="51" t="n"/>
      <c r="S790" s="49" t="n"/>
      <c r="T790" s="49" t="n"/>
      <c r="U790" s="48">
        <f>IF(OR($B790="",$K790=""),"",WORKDAY($B790,IFERROR(INDEX(CONFIG!$C$4:$C$43,MATCH($K790,CONFIG!$A$4:$A$43,0)),3)))</f>
        <v/>
      </c>
      <c r="V790" s="46" t="n"/>
      <c r="W790" s="23">
        <f>IF($B790="","",IF($V790&lt;&gt;"",$V790-$B790,TODAY()-$B790))</f>
        <v/>
      </c>
      <c r="X790" s="27">
        <f>IF($C790="","",IF(IFERROR(INDEX(CONFIG!$K$4:$K$43,MATCH($S790,CONFIG!$J$4:$J$43,0)),"NO")="SÍ",IF(OR($V790="",$U790=""),"Resuelta",IF($V790&gt;$U790,"Resuelta tarde","Resuelta a tiempo")),IF($U790="","Sin clasificar",IF(TODAY()&gt;$U790,"Vencida",IF(TODAY()&gt;=$U790-1,"Por vencer","En plazo")))))</f>
        <v/>
      </c>
      <c r="Y790" s="49" t="n"/>
      <c r="Z790" s="49" t="n"/>
    </row>
    <row r="791" ht="16" customHeight="1">
      <c r="A791" s="27">
        <f>IF($C791="","","N-"&amp;TEXT(ROW()-3,"0000"))</f>
        <v/>
      </c>
      <c r="B791" s="46" t="n"/>
      <c r="C791" s="47" t="n"/>
      <c r="D791" s="27">
        <f>IF($C791="","",IF(COUNTIFS(ENVIOS!$A$4:$A$3003,$C791)=0,"NO EXISTE",IF(COUNTIFS(ENVIOS!$A$4:$A$3003,$C791)&gt;1,"DUPLICADA","OK")))</f>
        <v/>
      </c>
      <c r="E791" s="22">
        <f>IF($C791="","",IFERROR(INDEX(ENVIOS!$C$4:$C$3003,MATCH($C791,ENVIOS!$A$4:$A$3003,0)),"—"))</f>
        <v/>
      </c>
      <c r="F791" s="22">
        <f>IF($C791="","",IFERROR(INDEX(ENVIOS!$D$4:$D$3003,MATCH($C791,ENVIOS!$A$4:$A$3003,0)),"—"))</f>
        <v/>
      </c>
      <c r="G791" s="22">
        <f>IF($C791="","",IFERROR(INDEX(ENVIOS!$E$4:$E$3003,MATCH($C791,ENVIOS!$A$4:$A$3003,0)),"—"))</f>
        <v/>
      </c>
      <c r="H791" s="22">
        <f>IF($C791="","",IFERROR(INDEX(ENVIOS!$F$4:$F$3003,MATCH($C791,ENVIOS!$A$4:$A$3003,0)),"—"))</f>
        <v/>
      </c>
      <c r="I791" s="27">
        <f>IF($C791="","",IFERROR(INDEX(ENVIOS!$G$4:$G$3003,MATCH($C791,ENVIOS!$A$4:$A$3003,0)),"—"))</f>
        <v/>
      </c>
      <c r="J791" s="48">
        <f>IF($C791="","",IFERROR(INDEX(ENVIOS!$B$4:$B$3003,MATCH($C791,ENVIOS!$A$4:$A$3003,0)),""))</f>
        <v/>
      </c>
      <c r="K791" s="49" t="n"/>
      <c r="L791" s="27">
        <f>IF($K791="","",IFERROR(INDEX(CONFIG!$B$4:$B$43,MATCH($K791,CONFIG!$A$4:$A$43,0)),"Media"))</f>
        <v/>
      </c>
      <c r="M791" s="27">
        <f>IF($K791="","",IFERROR(INDEX(CONFIG!$D$4:$D$43,MATCH($K791,CONFIG!$A$4:$A$43,0)),"NO"))</f>
        <v/>
      </c>
      <c r="N791" s="49" t="n"/>
      <c r="O791" s="27">
        <f>IF($N791="","",IFERROR(INDEX(CONFIG!$G$4:$G$43,MATCH($N791,CONFIG!$F$4:$F$43,0)),"Por definir"))</f>
        <v/>
      </c>
      <c r="P791" s="27">
        <f>IF($N791="","",IFERROR(INDEX(CONFIG!$H$4:$H$43,MATCH($N791,CONFIG!$F$4:$F$43,0)),"Por definir"))</f>
        <v/>
      </c>
      <c r="Q791" s="50" t="n"/>
      <c r="R791" s="51" t="n"/>
      <c r="S791" s="49" t="n"/>
      <c r="T791" s="49" t="n"/>
      <c r="U791" s="48">
        <f>IF(OR($B791="",$K791=""),"",WORKDAY($B791,IFERROR(INDEX(CONFIG!$C$4:$C$43,MATCH($K791,CONFIG!$A$4:$A$43,0)),3)))</f>
        <v/>
      </c>
      <c r="V791" s="46" t="n"/>
      <c r="W791" s="23">
        <f>IF($B791="","",IF($V791&lt;&gt;"",$V791-$B791,TODAY()-$B791))</f>
        <v/>
      </c>
      <c r="X791" s="27">
        <f>IF($C791="","",IF(IFERROR(INDEX(CONFIG!$K$4:$K$43,MATCH($S791,CONFIG!$J$4:$J$43,0)),"NO")="SÍ",IF(OR($V791="",$U791=""),"Resuelta",IF($V791&gt;$U791,"Resuelta tarde","Resuelta a tiempo")),IF($U791="","Sin clasificar",IF(TODAY()&gt;$U791,"Vencida",IF(TODAY()&gt;=$U791-1,"Por vencer","En plazo")))))</f>
        <v/>
      </c>
      <c r="Y791" s="49" t="n"/>
      <c r="Z791" s="49" t="n"/>
    </row>
    <row r="792" ht="16" customHeight="1">
      <c r="A792" s="27">
        <f>IF($C792="","","N-"&amp;TEXT(ROW()-3,"0000"))</f>
        <v/>
      </c>
      <c r="B792" s="46" t="n"/>
      <c r="C792" s="47" t="n"/>
      <c r="D792" s="27">
        <f>IF($C792="","",IF(COUNTIFS(ENVIOS!$A$4:$A$3003,$C792)=0,"NO EXISTE",IF(COUNTIFS(ENVIOS!$A$4:$A$3003,$C792)&gt;1,"DUPLICADA","OK")))</f>
        <v/>
      </c>
      <c r="E792" s="22">
        <f>IF($C792="","",IFERROR(INDEX(ENVIOS!$C$4:$C$3003,MATCH($C792,ENVIOS!$A$4:$A$3003,0)),"—"))</f>
        <v/>
      </c>
      <c r="F792" s="22">
        <f>IF($C792="","",IFERROR(INDEX(ENVIOS!$D$4:$D$3003,MATCH($C792,ENVIOS!$A$4:$A$3003,0)),"—"))</f>
        <v/>
      </c>
      <c r="G792" s="22">
        <f>IF($C792="","",IFERROR(INDEX(ENVIOS!$E$4:$E$3003,MATCH($C792,ENVIOS!$A$4:$A$3003,0)),"—"))</f>
        <v/>
      </c>
      <c r="H792" s="22">
        <f>IF($C792="","",IFERROR(INDEX(ENVIOS!$F$4:$F$3003,MATCH($C792,ENVIOS!$A$4:$A$3003,0)),"—"))</f>
        <v/>
      </c>
      <c r="I792" s="27">
        <f>IF($C792="","",IFERROR(INDEX(ENVIOS!$G$4:$G$3003,MATCH($C792,ENVIOS!$A$4:$A$3003,0)),"—"))</f>
        <v/>
      </c>
      <c r="J792" s="48">
        <f>IF($C792="","",IFERROR(INDEX(ENVIOS!$B$4:$B$3003,MATCH($C792,ENVIOS!$A$4:$A$3003,0)),""))</f>
        <v/>
      </c>
      <c r="K792" s="49" t="n"/>
      <c r="L792" s="27">
        <f>IF($K792="","",IFERROR(INDEX(CONFIG!$B$4:$B$43,MATCH($K792,CONFIG!$A$4:$A$43,0)),"Media"))</f>
        <v/>
      </c>
      <c r="M792" s="27">
        <f>IF($K792="","",IFERROR(INDEX(CONFIG!$D$4:$D$43,MATCH($K792,CONFIG!$A$4:$A$43,0)),"NO"))</f>
        <v/>
      </c>
      <c r="N792" s="49" t="n"/>
      <c r="O792" s="27">
        <f>IF($N792="","",IFERROR(INDEX(CONFIG!$G$4:$G$43,MATCH($N792,CONFIG!$F$4:$F$43,0)),"Por definir"))</f>
        <v/>
      </c>
      <c r="P792" s="27">
        <f>IF($N792="","",IFERROR(INDEX(CONFIG!$H$4:$H$43,MATCH($N792,CONFIG!$F$4:$F$43,0)),"Por definir"))</f>
        <v/>
      </c>
      <c r="Q792" s="50" t="n"/>
      <c r="R792" s="51" t="n"/>
      <c r="S792" s="49" t="n"/>
      <c r="T792" s="49" t="n"/>
      <c r="U792" s="48">
        <f>IF(OR($B792="",$K792=""),"",WORKDAY($B792,IFERROR(INDEX(CONFIG!$C$4:$C$43,MATCH($K792,CONFIG!$A$4:$A$43,0)),3)))</f>
        <v/>
      </c>
      <c r="V792" s="46" t="n"/>
      <c r="W792" s="23">
        <f>IF($B792="","",IF($V792&lt;&gt;"",$V792-$B792,TODAY()-$B792))</f>
        <v/>
      </c>
      <c r="X792" s="27">
        <f>IF($C792="","",IF(IFERROR(INDEX(CONFIG!$K$4:$K$43,MATCH($S792,CONFIG!$J$4:$J$43,0)),"NO")="SÍ",IF(OR($V792="",$U792=""),"Resuelta",IF($V792&gt;$U792,"Resuelta tarde","Resuelta a tiempo")),IF($U792="","Sin clasificar",IF(TODAY()&gt;$U792,"Vencida",IF(TODAY()&gt;=$U792-1,"Por vencer","En plazo")))))</f>
        <v/>
      </c>
      <c r="Y792" s="49" t="n"/>
      <c r="Z792" s="49" t="n"/>
    </row>
    <row r="793" ht="16" customHeight="1">
      <c r="A793" s="27">
        <f>IF($C793="","","N-"&amp;TEXT(ROW()-3,"0000"))</f>
        <v/>
      </c>
      <c r="B793" s="46" t="n"/>
      <c r="C793" s="47" t="n"/>
      <c r="D793" s="27">
        <f>IF($C793="","",IF(COUNTIFS(ENVIOS!$A$4:$A$3003,$C793)=0,"NO EXISTE",IF(COUNTIFS(ENVIOS!$A$4:$A$3003,$C793)&gt;1,"DUPLICADA","OK")))</f>
        <v/>
      </c>
      <c r="E793" s="22">
        <f>IF($C793="","",IFERROR(INDEX(ENVIOS!$C$4:$C$3003,MATCH($C793,ENVIOS!$A$4:$A$3003,0)),"—"))</f>
        <v/>
      </c>
      <c r="F793" s="22">
        <f>IF($C793="","",IFERROR(INDEX(ENVIOS!$D$4:$D$3003,MATCH($C793,ENVIOS!$A$4:$A$3003,0)),"—"))</f>
        <v/>
      </c>
      <c r="G793" s="22">
        <f>IF($C793="","",IFERROR(INDEX(ENVIOS!$E$4:$E$3003,MATCH($C793,ENVIOS!$A$4:$A$3003,0)),"—"))</f>
        <v/>
      </c>
      <c r="H793" s="22">
        <f>IF($C793="","",IFERROR(INDEX(ENVIOS!$F$4:$F$3003,MATCH($C793,ENVIOS!$A$4:$A$3003,0)),"—"))</f>
        <v/>
      </c>
      <c r="I793" s="27">
        <f>IF($C793="","",IFERROR(INDEX(ENVIOS!$G$4:$G$3003,MATCH($C793,ENVIOS!$A$4:$A$3003,0)),"—"))</f>
        <v/>
      </c>
      <c r="J793" s="48">
        <f>IF($C793="","",IFERROR(INDEX(ENVIOS!$B$4:$B$3003,MATCH($C793,ENVIOS!$A$4:$A$3003,0)),""))</f>
        <v/>
      </c>
      <c r="K793" s="49" t="n"/>
      <c r="L793" s="27">
        <f>IF($K793="","",IFERROR(INDEX(CONFIG!$B$4:$B$43,MATCH($K793,CONFIG!$A$4:$A$43,0)),"Media"))</f>
        <v/>
      </c>
      <c r="M793" s="27">
        <f>IF($K793="","",IFERROR(INDEX(CONFIG!$D$4:$D$43,MATCH($K793,CONFIG!$A$4:$A$43,0)),"NO"))</f>
        <v/>
      </c>
      <c r="N793" s="49" t="n"/>
      <c r="O793" s="27">
        <f>IF($N793="","",IFERROR(INDEX(CONFIG!$G$4:$G$43,MATCH($N793,CONFIG!$F$4:$F$43,0)),"Por definir"))</f>
        <v/>
      </c>
      <c r="P793" s="27">
        <f>IF($N793="","",IFERROR(INDEX(CONFIG!$H$4:$H$43,MATCH($N793,CONFIG!$F$4:$F$43,0)),"Por definir"))</f>
        <v/>
      </c>
      <c r="Q793" s="50" t="n"/>
      <c r="R793" s="51" t="n"/>
      <c r="S793" s="49" t="n"/>
      <c r="T793" s="49" t="n"/>
      <c r="U793" s="48">
        <f>IF(OR($B793="",$K793=""),"",WORKDAY($B793,IFERROR(INDEX(CONFIG!$C$4:$C$43,MATCH($K793,CONFIG!$A$4:$A$43,0)),3)))</f>
        <v/>
      </c>
      <c r="V793" s="46" t="n"/>
      <c r="W793" s="23">
        <f>IF($B793="","",IF($V793&lt;&gt;"",$V793-$B793,TODAY()-$B793))</f>
        <v/>
      </c>
      <c r="X793" s="27">
        <f>IF($C793="","",IF(IFERROR(INDEX(CONFIG!$K$4:$K$43,MATCH($S793,CONFIG!$J$4:$J$43,0)),"NO")="SÍ",IF(OR($V793="",$U793=""),"Resuelta",IF($V793&gt;$U793,"Resuelta tarde","Resuelta a tiempo")),IF($U793="","Sin clasificar",IF(TODAY()&gt;$U793,"Vencida",IF(TODAY()&gt;=$U793-1,"Por vencer","En plazo")))))</f>
        <v/>
      </c>
      <c r="Y793" s="49" t="n"/>
      <c r="Z793" s="49" t="n"/>
    </row>
    <row r="794" ht="16" customHeight="1">
      <c r="A794" s="27">
        <f>IF($C794="","","N-"&amp;TEXT(ROW()-3,"0000"))</f>
        <v/>
      </c>
      <c r="B794" s="46" t="n"/>
      <c r="C794" s="47" t="n"/>
      <c r="D794" s="27">
        <f>IF($C794="","",IF(COUNTIFS(ENVIOS!$A$4:$A$3003,$C794)=0,"NO EXISTE",IF(COUNTIFS(ENVIOS!$A$4:$A$3003,$C794)&gt;1,"DUPLICADA","OK")))</f>
        <v/>
      </c>
      <c r="E794" s="22">
        <f>IF($C794="","",IFERROR(INDEX(ENVIOS!$C$4:$C$3003,MATCH($C794,ENVIOS!$A$4:$A$3003,0)),"—"))</f>
        <v/>
      </c>
      <c r="F794" s="22">
        <f>IF($C794="","",IFERROR(INDEX(ENVIOS!$D$4:$D$3003,MATCH($C794,ENVIOS!$A$4:$A$3003,0)),"—"))</f>
        <v/>
      </c>
      <c r="G794" s="22">
        <f>IF($C794="","",IFERROR(INDEX(ENVIOS!$E$4:$E$3003,MATCH($C794,ENVIOS!$A$4:$A$3003,0)),"—"))</f>
        <v/>
      </c>
      <c r="H794" s="22">
        <f>IF($C794="","",IFERROR(INDEX(ENVIOS!$F$4:$F$3003,MATCH($C794,ENVIOS!$A$4:$A$3003,0)),"—"))</f>
        <v/>
      </c>
      <c r="I794" s="27">
        <f>IF($C794="","",IFERROR(INDEX(ENVIOS!$G$4:$G$3003,MATCH($C794,ENVIOS!$A$4:$A$3003,0)),"—"))</f>
        <v/>
      </c>
      <c r="J794" s="48">
        <f>IF($C794="","",IFERROR(INDEX(ENVIOS!$B$4:$B$3003,MATCH($C794,ENVIOS!$A$4:$A$3003,0)),""))</f>
        <v/>
      </c>
      <c r="K794" s="49" t="n"/>
      <c r="L794" s="27">
        <f>IF($K794="","",IFERROR(INDEX(CONFIG!$B$4:$B$43,MATCH($K794,CONFIG!$A$4:$A$43,0)),"Media"))</f>
        <v/>
      </c>
      <c r="M794" s="27">
        <f>IF($K794="","",IFERROR(INDEX(CONFIG!$D$4:$D$43,MATCH($K794,CONFIG!$A$4:$A$43,0)),"NO"))</f>
        <v/>
      </c>
      <c r="N794" s="49" t="n"/>
      <c r="O794" s="27">
        <f>IF($N794="","",IFERROR(INDEX(CONFIG!$G$4:$G$43,MATCH($N794,CONFIG!$F$4:$F$43,0)),"Por definir"))</f>
        <v/>
      </c>
      <c r="P794" s="27">
        <f>IF($N794="","",IFERROR(INDEX(CONFIG!$H$4:$H$43,MATCH($N794,CONFIG!$F$4:$F$43,0)),"Por definir"))</f>
        <v/>
      </c>
      <c r="Q794" s="50" t="n"/>
      <c r="R794" s="51" t="n"/>
      <c r="S794" s="49" t="n"/>
      <c r="T794" s="49" t="n"/>
      <c r="U794" s="48">
        <f>IF(OR($B794="",$K794=""),"",WORKDAY($B794,IFERROR(INDEX(CONFIG!$C$4:$C$43,MATCH($K794,CONFIG!$A$4:$A$43,0)),3)))</f>
        <v/>
      </c>
      <c r="V794" s="46" t="n"/>
      <c r="W794" s="23">
        <f>IF($B794="","",IF($V794&lt;&gt;"",$V794-$B794,TODAY()-$B794))</f>
        <v/>
      </c>
      <c r="X794" s="27">
        <f>IF($C794="","",IF(IFERROR(INDEX(CONFIG!$K$4:$K$43,MATCH($S794,CONFIG!$J$4:$J$43,0)),"NO")="SÍ",IF(OR($V794="",$U794=""),"Resuelta",IF($V794&gt;$U794,"Resuelta tarde","Resuelta a tiempo")),IF($U794="","Sin clasificar",IF(TODAY()&gt;$U794,"Vencida",IF(TODAY()&gt;=$U794-1,"Por vencer","En plazo")))))</f>
        <v/>
      </c>
      <c r="Y794" s="49" t="n"/>
      <c r="Z794" s="49" t="n"/>
    </row>
    <row r="795" ht="16" customHeight="1">
      <c r="A795" s="27">
        <f>IF($C795="","","N-"&amp;TEXT(ROW()-3,"0000"))</f>
        <v/>
      </c>
      <c r="B795" s="46" t="n"/>
      <c r="C795" s="47" t="n"/>
      <c r="D795" s="27">
        <f>IF($C795="","",IF(COUNTIFS(ENVIOS!$A$4:$A$3003,$C795)=0,"NO EXISTE",IF(COUNTIFS(ENVIOS!$A$4:$A$3003,$C795)&gt;1,"DUPLICADA","OK")))</f>
        <v/>
      </c>
      <c r="E795" s="22">
        <f>IF($C795="","",IFERROR(INDEX(ENVIOS!$C$4:$C$3003,MATCH($C795,ENVIOS!$A$4:$A$3003,0)),"—"))</f>
        <v/>
      </c>
      <c r="F795" s="22">
        <f>IF($C795="","",IFERROR(INDEX(ENVIOS!$D$4:$D$3003,MATCH($C795,ENVIOS!$A$4:$A$3003,0)),"—"))</f>
        <v/>
      </c>
      <c r="G795" s="22">
        <f>IF($C795="","",IFERROR(INDEX(ENVIOS!$E$4:$E$3003,MATCH($C795,ENVIOS!$A$4:$A$3003,0)),"—"))</f>
        <v/>
      </c>
      <c r="H795" s="22">
        <f>IF($C795="","",IFERROR(INDEX(ENVIOS!$F$4:$F$3003,MATCH($C795,ENVIOS!$A$4:$A$3003,0)),"—"))</f>
        <v/>
      </c>
      <c r="I795" s="27">
        <f>IF($C795="","",IFERROR(INDEX(ENVIOS!$G$4:$G$3003,MATCH($C795,ENVIOS!$A$4:$A$3003,0)),"—"))</f>
        <v/>
      </c>
      <c r="J795" s="48">
        <f>IF($C795="","",IFERROR(INDEX(ENVIOS!$B$4:$B$3003,MATCH($C795,ENVIOS!$A$4:$A$3003,0)),""))</f>
        <v/>
      </c>
      <c r="K795" s="49" t="n"/>
      <c r="L795" s="27">
        <f>IF($K795="","",IFERROR(INDEX(CONFIG!$B$4:$B$43,MATCH($K795,CONFIG!$A$4:$A$43,0)),"Media"))</f>
        <v/>
      </c>
      <c r="M795" s="27">
        <f>IF($K795="","",IFERROR(INDEX(CONFIG!$D$4:$D$43,MATCH($K795,CONFIG!$A$4:$A$43,0)),"NO"))</f>
        <v/>
      </c>
      <c r="N795" s="49" t="n"/>
      <c r="O795" s="27">
        <f>IF($N795="","",IFERROR(INDEX(CONFIG!$G$4:$G$43,MATCH($N795,CONFIG!$F$4:$F$43,0)),"Por definir"))</f>
        <v/>
      </c>
      <c r="P795" s="27">
        <f>IF($N795="","",IFERROR(INDEX(CONFIG!$H$4:$H$43,MATCH($N795,CONFIG!$F$4:$F$43,0)),"Por definir"))</f>
        <v/>
      </c>
      <c r="Q795" s="50" t="n"/>
      <c r="R795" s="51" t="n"/>
      <c r="S795" s="49" t="n"/>
      <c r="T795" s="49" t="n"/>
      <c r="U795" s="48">
        <f>IF(OR($B795="",$K795=""),"",WORKDAY($B795,IFERROR(INDEX(CONFIG!$C$4:$C$43,MATCH($K795,CONFIG!$A$4:$A$43,0)),3)))</f>
        <v/>
      </c>
      <c r="V795" s="46" t="n"/>
      <c r="W795" s="23">
        <f>IF($B795="","",IF($V795&lt;&gt;"",$V795-$B795,TODAY()-$B795))</f>
        <v/>
      </c>
      <c r="X795" s="27">
        <f>IF($C795="","",IF(IFERROR(INDEX(CONFIG!$K$4:$K$43,MATCH($S795,CONFIG!$J$4:$J$43,0)),"NO")="SÍ",IF(OR($V795="",$U795=""),"Resuelta",IF($V795&gt;$U795,"Resuelta tarde","Resuelta a tiempo")),IF($U795="","Sin clasificar",IF(TODAY()&gt;$U795,"Vencida",IF(TODAY()&gt;=$U795-1,"Por vencer","En plazo")))))</f>
        <v/>
      </c>
      <c r="Y795" s="49" t="n"/>
      <c r="Z795" s="49" t="n"/>
    </row>
    <row r="796" ht="16" customHeight="1">
      <c r="A796" s="27">
        <f>IF($C796="","","N-"&amp;TEXT(ROW()-3,"0000"))</f>
        <v/>
      </c>
      <c r="B796" s="46" t="n"/>
      <c r="C796" s="47" t="n"/>
      <c r="D796" s="27">
        <f>IF($C796="","",IF(COUNTIFS(ENVIOS!$A$4:$A$3003,$C796)=0,"NO EXISTE",IF(COUNTIFS(ENVIOS!$A$4:$A$3003,$C796)&gt;1,"DUPLICADA","OK")))</f>
        <v/>
      </c>
      <c r="E796" s="22">
        <f>IF($C796="","",IFERROR(INDEX(ENVIOS!$C$4:$C$3003,MATCH($C796,ENVIOS!$A$4:$A$3003,0)),"—"))</f>
        <v/>
      </c>
      <c r="F796" s="22">
        <f>IF($C796="","",IFERROR(INDEX(ENVIOS!$D$4:$D$3003,MATCH($C796,ENVIOS!$A$4:$A$3003,0)),"—"))</f>
        <v/>
      </c>
      <c r="G796" s="22">
        <f>IF($C796="","",IFERROR(INDEX(ENVIOS!$E$4:$E$3003,MATCH($C796,ENVIOS!$A$4:$A$3003,0)),"—"))</f>
        <v/>
      </c>
      <c r="H796" s="22">
        <f>IF($C796="","",IFERROR(INDEX(ENVIOS!$F$4:$F$3003,MATCH($C796,ENVIOS!$A$4:$A$3003,0)),"—"))</f>
        <v/>
      </c>
      <c r="I796" s="27">
        <f>IF($C796="","",IFERROR(INDEX(ENVIOS!$G$4:$G$3003,MATCH($C796,ENVIOS!$A$4:$A$3003,0)),"—"))</f>
        <v/>
      </c>
      <c r="J796" s="48">
        <f>IF($C796="","",IFERROR(INDEX(ENVIOS!$B$4:$B$3003,MATCH($C796,ENVIOS!$A$4:$A$3003,0)),""))</f>
        <v/>
      </c>
      <c r="K796" s="49" t="n"/>
      <c r="L796" s="27">
        <f>IF($K796="","",IFERROR(INDEX(CONFIG!$B$4:$B$43,MATCH($K796,CONFIG!$A$4:$A$43,0)),"Media"))</f>
        <v/>
      </c>
      <c r="M796" s="27">
        <f>IF($K796="","",IFERROR(INDEX(CONFIG!$D$4:$D$43,MATCH($K796,CONFIG!$A$4:$A$43,0)),"NO"))</f>
        <v/>
      </c>
      <c r="N796" s="49" t="n"/>
      <c r="O796" s="27">
        <f>IF($N796="","",IFERROR(INDEX(CONFIG!$G$4:$G$43,MATCH($N796,CONFIG!$F$4:$F$43,0)),"Por definir"))</f>
        <v/>
      </c>
      <c r="P796" s="27">
        <f>IF($N796="","",IFERROR(INDEX(CONFIG!$H$4:$H$43,MATCH($N796,CONFIG!$F$4:$F$43,0)),"Por definir"))</f>
        <v/>
      </c>
      <c r="Q796" s="50" t="n"/>
      <c r="R796" s="51" t="n"/>
      <c r="S796" s="49" t="n"/>
      <c r="T796" s="49" t="n"/>
      <c r="U796" s="48">
        <f>IF(OR($B796="",$K796=""),"",WORKDAY($B796,IFERROR(INDEX(CONFIG!$C$4:$C$43,MATCH($K796,CONFIG!$A$4:$A$43,0)),3)))</f>
        <v/>
      </c>
      <c r="V796" s="46" t="n"/>
      <c r="W796" s="23">
        <f>IF($B796="","",IF($V796&lt;&gt;"",$V796-$B796,TODAY()-$B796))</f>
        <v/>
      </c>
      <c r="X796" s="27">
        <f>IF($C796="","",IF(IFERROR(INDEX(CONFIG!$K$4:$K$43,MATCH($S796,CONFIG!$J$4:$J$43,0)),"NO")="SÍ",IF(OR($V796="",$U796=""),"Resuelta",IF($V796&gt;$U796,"Resuelta tarde","Resuelta a tiempo")),IF($U796="","Sin clasificar",IF(TODAY()&gt;$U796,"Vencida",IF(TODAY()&gt;=$U796-1,"Por vencer","En plazo")))))</f>
        <v/>
      </c>
      <c r="Y796" s="49" t="n"/>
      <c r="Z796" s="49" t="n"/>
    </row>
    <row r="797" ht="16" customHeight="1">
      <c r="A797" s="27">
        <f>IF($C797="","","N-"&amp;TEXT(ROW()-3,"0000"))</f>
        <v/>
      </c>
      <c r="B797" s="46" t="n"/>
      <c r="C797" s="47" t="n"/>
      <c r="D797" s="27">
        <f>IF($C797="","",IF(COUNTIFS(ENVIOS!$A$4:$A$3003,$C797)=0,"NO EXISTE",IF(COUNTIFS(ENVIOS!$A$4:$A$3003,$C797)&gt;1,"DUPLICADA","OK")))</f>
        <v/>
      </c>
      <c r="E797" s="22">
        <f>IF($C797="","",IFERROR(INDEX(ENVIOS!$C$4:$C$3003,MATCH($C797,ENVIOS!$A$4:$A$3003,0)),"—"))</f>
        <v/>
      </c>
      <c r="F797" s="22">
        <f>IF($C797="","",IFERROR(INDEX(ENVIOS!$D$4:$D$3003,MATCH($C797,ENVIOS!$A$4:$A$3003,0)),"—"))</f>
        <v/>
      </c>
      <c r="G797" s="22">
        <f>IF($C797="","",IFERROR(INDEX(ENVIOS!$E$4:$E$3003,MATCH($C797,ENVIOS!$A$4:$A$3003,0)),"—"))</f>
        <v/>
      </c>
      <c r="H797" s="22">
        <f>IF($C797="","",IFERROR(INDEX(ENVIOS!$F$4:$F$3003,MATCH($C797,ENVIOS!$A$4:$A$3003,0)),"—"))</f>
        <v/>
      </c>
      <c r="I797" s="27">
        <f>IF($C797="","",IFERROR(INDEX(ENVIOS!$G$4:$G$3003,MATCH($C797,ENVIOS!$A$4:$A$3003,0)),"—"))</f>
        <v/>
      </c>
      <c r="J797" s="48">
        <f>IF($C797="","",IFERROR(INDEX(ENVIOS!$B$4:$B$3003,MATCH($C797,ENVIOS!$A$4:$A$3003,0)),""))</f>
        <v/>
      </c>
      <c r="K797" s="49" t="n"/>
      <c r="L797" s="27">
        <f>IF($K797="","",IFERROR(INDEX(CONFIG!$B$4:$B$43,MATCH($K797,CONFIG!$A$4:$A$43,0)),"Media"))</f>
        <v/>
      </c>
      <c r="M797" s="27">
        <f>IF($K797="","",IFERROR(INDEX(CONFIG!$D$4:$D$43,MATCH($K797,CONFIG!$A$4:$A$43,0)),"NO"))</f>
        <v/>
      </c>
      <c r="N797" s="49" t="n"/>
      <c r="O797" s="27">
        <f>IF($N797="","",IFERROR(INDEX(CONFIG!$G$4:$G$43,MATCH($N797,CONFIG!$F$4:$F$43,0)),"Por definir"))</f>
        <v/>
      </c>
      <c r="P797" s="27">
        <f>IF($N797="","",IFERROR(INDEX(CONFIG!$H$4:$H$43,MATCH($N797,CONFIG!$F$4:$F$43,0)),"Por definir"))</f>
        <v/>
      </c>
      <c r="Q797" s="50" t="n"/>
      <c r="R797" s="51" t="n"/>
      <c r="S797" s="49" t="n"/>
      <c r="T797" s="49" t="n"/>
      <c r="U797" s="48">
        <f>IF(OR($B797="",$K797=""),"",WORKDAY($B797,IFERROR(INDEX(CONFIG!$C$4:$C$43,MATCH($K797,CONFIG!$A$4:$A$43,0)),3)))</f>
        <v/>
      </c>
      <c r="V797" s="46" t="n"/>
      <c r="W797" s="23">
        <f>IF($B797="","",IF($V797&lt;&gt;"",$V797-$B797,TODAY()-$B797))</f>
        <v/>
      </c>
      <c r="X797" s="27">
        <f>IF($C797="","",IF(IFERROR(INDEX(CONFIG!$K$4:$K$43,MATCH($S797,CONFIG!$J$4:$J$43,0)),"NO")="SÍ",IF(OR($V797="",$U797=""),"Resuelta",IF($V797&gt;$U797,"Resuelta tarde","Resuelta a tiempo")),IF($U797="","Sin clasificar",IF(TODAY()&gt;$U797,"Vencida",IF(TODAY()&gt;=$U797-1,"Por vencer","En plazo")))))</f>
        <v/>
      </c>
      <c r="Y797" s="49" t="n"/>
      <c r="Z797" s="49" t="n"/>
    </row>
    <row r="798" ht="16" customHeight="1">
      <c r="A798" s="27">
        <f>IF($C798="","","N-"&amp;TEXT(ROW()-3,"0000"))</f>
        <v/>
      </c>
      <c r="B798" s="46" t="n"/>
      <c r="C798" s="47" t="n"/>
      <c r="D798" s="27">
        <f>IF($C798="","",IF(COUNTIFS(ENVIOS!$A$4:$A$3003,$C798)=0,"NO EXISTE",IF(COUNTIFS(ENVIOS!$A$4:$A$3003,$C798)&gt;1,"DUPLICADA","OK")))</f>
        <v/>
      </c>
      <c r="E798" s="22">
        <f>IF($C798="","",IFERROR(INDEX(ENVIOS!$C$4:$C$3003,MATCH($C798,ENVIOS!$A$4:$A$3003,0)),"—"))</f>
        <v/>
      </c>
      <c r="F798" s="22">
        <f>IF($C798="","",IFERROR(INDEX(ENVIOS!$D$4:$D$3003,MATCH($C798,ENVIOS!$A$4:$A$3003,0)),"—"))</f>
        <v/>
      </c>
      <c r="G798" s="22">
        <f>IF($C798="","",IFERROR(INDEX(ENVIOS!$E$4:$E$3003,MATCH($C798,ENVIOS!$A$4:$A$3003,0)),"—"))</f>
        <v/>
      </c>
      <c r="H798" s="22">
        <f>IF($C798="","",IFERROR(INDEX(ENVIOS!$F$4:$F$3003,MATCH($C798,ENVIOS!$A$4:$A$3003,0)),"—"))</f>
        <v/>
      </c>
      <c r="I798" s="27">
        <f>IF($C798="","",IFERROR(INDEX(ENVIOS!$G$4:$G$3003,MATCH($C798,ENVIOS!$A$4:$A$3003,0)),"—"))</f>
        <v/>
      </c>
      <c r="J798" s="48">
        <f>IF($C798="","",IFERROR(INDEX(ENVIOS!$B$4:$B$3003,MATCH($C798,ENVIOS!$A$4:$A$3003,0)),""))</f>
        <v/>
      </c>
      <c r="K798" s="49" t="n"/>
      <c r="L798" s="27">
        <f>IF($K798="","",IFERROR(INDEX(CONFIG!$B$4:$B$43,MATCH($K798,CONFIG!$A$4:$A$43,0)),"Media"))</f>
        <v/>
      </c>
      <c r="M798" s="27">
        <f>IF($K798="","",IFERROR(INDEX(CONFIG!$D$4:$D$43,MATCH($K798,CONFIG!$A$4:$A$43,0)),"NO"))</f>
        <v/>
      </c>
      <c r="N798" s="49" t="n"/>
      <c r="O798" s="27">
        <f>IF($N798="","",IFERROR(INDEX(CONFIG!$G$4:$G$43,MATCH($N798,CONFIG!$F$4:$F$43,0)),"Por definir"))</f>
        <v/>
      </c>
      <c r="P798" s="27">
        <f>IF($N798="","",IFERROR(INDEX(CONFIG!$H$4:$H$43,MATCH($N798,CONFIG!$F$4:$F$43,0)),"Por definir"))</f>
        <v/>
      </c>
      <c r="Q798" s="50" t="n"/>
      <c r="R798" s="51" t="n"/>
      <c r="S798" s="49" t="n"/>
      <c r="T798" s="49" t="n"/>
      <c r="U798" s="48">
        <f>IF(OR($B798="",$K798=""),"",WORKDAY($B798,IFERROR(INDEX(CONFIG!$C$4:$C$43,MATCH($K798,CONFIG!$A$4:$A$43,0)),3)))</f>
        <v/>
      </c>
      <c r="V798" s="46" t="n"/>
      <c r="W798" s="23">
        <f>IF($B798="","",IF($V798&lt;&gt;"",$V798-$B798,TODAY()-$B798))</f>
        <v/>
      </c>
      <c r="X798" s="27">
        <f>IF($C798="","",IF(IFERROR(INDEX(CONFIG!$K$4:$K$43,MATCH($S798,CONFIG!$J$4:$J$43,0)),"NO")="SÍ",IF(OR($V798="",$U798=""),"Resuelta",IF($V798&gt;$U798,"Resuelta tarde","Resuelta a tiempo")),IF($U798="","Sin clasificar",IF(TODAY()&gt;$U798,"Vencida",IF(TODAY()&gt;=$U798-1,"Por vencer","En plazo")))))</f>
        <v/>
      </c>
      <c r="Y798" s="49" t="n"/>
      <c r="Z798" s="49" t="n"/>
    </row>
    <row r="799" ht="16" customHeight="1">
      <c r="A799" s="27">
        <f>IF($C799="","","N-"&amp;TEXT(ROW()-3,"0000"))</f>
        <v/>
      </c>
      <c r="B799" s="46" t="n"/>
      <c r="C799" s="47" t="n"/>
      <c r="D799" s="27">
        <f>IF($C799="","",IF(COUNTIFS(ENVIOS!$A$4:$A$3003,$C799)=0,"NO EXISTE",IF(COUNTIFS(ENVIOS!$A$4:$A$3003,$C799)&gt;1,"DUPLICADA","OK")))</f>
        <v/>
      </c>
      <c r="E799" s="22">
        <f>IF($C799="","",IFERROR(INDEX(ENVIOS!$C$4:$C$3003,MATCH($C799,ENVIOS!$A$4:$A$3003,0)),"—"))</f>
        <v/>
      </c>
      <c r="F799" s="22">
        <f>IF($C799="","",IFERROR(INDEX(ENVIOS!$D$4:$D$3003,MATCH($C799,ENVIOS!$A$4:$A$3003,0)),"—"))</f>
        <v/>
      </c>
      <c r="G799" s="22">
        <f>IF($C799="","",IFERROR(INDEX(ENVIOS!$E$4:$E$3003,MATCH($C799,ENVIOS!$A$4:$A$3003,0)),"—"))</f>
        <v/>
      </c>
      <c r="H799" s="22">
        <f>IF($C799="","",IFERROR(INDEX(ENVIOS!$F$4:$F$3003,MATCH($C799,ENVIOS!$A$4:$A$3003,0)),"—"))</f>
        <v/>
      </c>
      <c r="I799" s="27">
        <f>IF($C799="","",IFERROR(INDEX(ENVIOS!$G$4:$G$3003,MATCH($C799,ENVIOS!$A$4:$A$3003,0)),"—"))</f>
        <v/>
      </c>
      <c r="J799" s="48">
        <f>IF($C799="","",IFERROR(INDEX(ENVIOS!$B$4:$B$3003,MATCH($C799,ENVIOS!$A$4:$A$3003,0)),""))</f>
        <v/>
      </c>
      <c r="K799" s="49" t="n"/>
      <c r="L799" s="27">
        <f>IF($K799="","",IFERROR(INDEX(CONFIG!$B$4:$B$43,MATCH($K799,CONFIG!$A$4:$A$43,0)),"Media"))</f>
        <v/>
      </c>
      <c r="M799" s="27">
        <f>IF($K799="","",IFERROR(INDEX(CONFIG!$D$4:$D$43,MATCH($K799,CONFIG!$A$4:$A$43,0)),"NO"))</f>
        <v/>
      </c>
      <c r="N799" s="49" t="n"/>
      <c r="O799" s="27">
        <f>IF($N799="","",IFERROR(INDEX(CONFIG!$G$4:$G$43,MATCH($N799,CONFIG!$F$4:$F$43,0)),"Por definir"))</f>
        <v/>
      </c>
      <c r="P799" s="27">
        <f>IF($N799="","",IFERROR(INDEX(CONFIG!$H$4:$H$43,MATCH($N799,CONFIG!$F$4:$F$43,0)),"Por definir"))</f>
        <v/>
      </c>
      <c r="Q799" s="50" t="n"/>
      <c r="R799" s="51" t="n"/>
      <c r="S799" s="49" t="n"/>
      <c r="T799" s="49" t="n"/>
      <c r="U799" s="48">
        <f>IF(OR($B799="",$K799=""),"",WORKDAY($B799,IFERROR(INDEX(CONFIG!$C$4:$C$43,MATCH($K799,CONFIG!$A$4:$A$43,0)),3)))</f>
        <v/>
      </c>
      <c r="V799" s="46" t="n"/>
      <c r="W799" s="23">
        <f>IF($B799="","",IF($V799&lt;&gt;"",$V799-$B799,TODAY()-$B799))</f>
        <v/>
      </c>
      <c r="X799" s="27">
        <f>IF($C799="","",IF(IFERROR(INDEX(CONFIG!$K$4:$K$43,MATCH($S799,CONFIG!$J$4:$J$43,0)),"NO")="SÍ",IF(OR($V799="",$U799=""),"Resuelta",IF($V799&gt;$U799,"Resuelta tarde","Resuelta a tiempo")),IF($U799="","Sin clasificar",IF(TODAY()&gt;$U799,"Vencida",IF(TODAY()&gt;=$U799-1,"Por vencer","En plazo")))))</f>
        <v/>
      </c>
      <c r="Y799" s="49" t="n"/>
      <c r="Z799" s="49" t="n"/>
    </row>
    <row r="800" ht="16" customHeight="1">
      <c r="A800" s="27">
        <f>IF($C800="","","N-"&amp;TEXT(ROW()-3,"0000"))</f>
        <v/>
      </c>
      <c r="B800" s="46" t="n"/>
      <c r="C800" s="47" t="n"/>
      <c r="D800" s="27">
        <f>IF($C800="","",IF(COUNTIFS(ENVIOS!$A$4:$A$3003,$C800)=0,"NO EXISTE",IF(COUNTIFS(ENVIOS!$A$4:$A$3003,$C800)&gt;1,"DUPLICADA","OK")))</f>
        <v/>
      </c>
      <c r="E800" s="22">
        <f>IF($C800="","",IFERROR(INDEX(ENVIOS!$C$4:$C$3003,MATCH($C800,ENVIOS!$A$4:$A$3003,0)),"—"))</f>
        <v/>
      </c>
      <c r="F800" s="22">
        <f>IF($C800="","",IFERROR(INDEX(ENVIOS!$D$4:$D$3003,MATCH($C800,ENVIOS!$A$4:$A$3003,0)),"—"))</f>
        <v/>
      </c>
      <c r="G800" s="22">
        <f>IF($C800="","",IFERROR(INDEX(ENVIOS!$E$4:$E$3003,MATCH($C800,ENVIOS!$A$4:$A$3003,0)),"—"))</f>
        <v/>
      </c>
      <c r="H800" s="22">
        <f>IF($C800="","",IFERROR(INDEX(ENVIOS!$F$4:$F$3003,MATCH($C800,ENVIOS!$A$4:$A$3003,0)),"—"))</f>
        <v/>
      </c>
      <c r="I800" s="27">
        <f>IF($C800="","",IFERROR(INDEX(ENVIOS!$G$4:$G$3003,MATCH($C800,ENVIOS!$A$4:$A$3003,0)),"—"))</f>
        <v/>
      </c>
      <c r="J800" s="48">
        <f>IF($C800="","",IFERROR(INDEX(ENVIOS!$B$4:$B$3003,MATCH($C800,ENVIOS!$A$4:$A$3003,0)),""))</f>
        <v/>
      </c>
      <c r="K800" s="49" t="n"/>
      <c r="L800" s="27">
        <f>IF($K800="","",IFERROR(INDEX(CONFIG!$B$4:$B$43,MATCH($K800,CONFIG!$A$4:$A$43,0)),"Media"))</f>
        <v/>
      </c>
      <c r="M800" s="27">
        <f>IF($K800="","",IFERROR(INDEX(CONFIG!$D$4:$D$43,MATCH($K800,CONFIG!$A$4:$A$43,0)),"NO"))</f>
        <v/>
      </c>
      <c r="N800" s="49" t="n"/>
      <c r="O800" s="27">
        <f>IF($N800="","",IFERROR(INDEX(CONFIG!$G$4:$G$43,MATCH($N800,CONFIG!$F$4:$F$43,0)),"Por definir"))</f>
        <v/>
      </c>
      <c r="P800" s="27">
        <f>IF($N800="","",IFERROR(INDEX(CONFIG!$H$4:$H$43,MATCH($N800,CONFIG!$F$4:$F$43,0)),"Por definir"))</f>
        <v/>
      </c>
      <c r="Q800" s="50" t="n"/>
      <c r="R800" s="51" t="n"/>
      <c r="S800" s="49" t="n"/>
      <c r="T800" s="49" t="n"/>
      <c r="U800" s="48">
        <f>IF(OR($B800="",$K800=""),"",WORKDAY($B800,IFERROR(INDEX(CONFIG!$C$4:$C$43,MATCH($K800,CONFIG!$A$4:$A$43,0)),3)))</f>
        <v/>
      </c>
      <c r="V800" s="46" t="n"/>
      <c r="W800" s="23">
        <f>IF($B800="","",IF($V800&lt;&gt;"",$V800-$B800,TODAY()-$B800))</f>
        <v/>
      </c>
      <c r="X800" s="27">
        <f>IF($C800="","",IF(IFERROR(INDEX(CONFIG!$K$4:$K$43,MATCH($S800,CONFIG!$J$4:$J$43,0)),"NO")="SÍ",IF(OR($V800="",$U800=""),"Resuelta",IF($V800&gt;$U800,"Resuelta tarde","Resuelta a tiempo")),IF($U800="","Sin clasificar",IF(TODAY()&gt;$U800,"Vencida",IF(TODAY()&gt;=$U800-1,"Por vencer","En plazo")))))</f>
        <v/>
      </c>
      <c r="Y800" s="49" t="n"/>
      <c r="Z800" s="49" t="n"/>
    </row>
    <row r="801" ht="16" customHeight="1">
      <c r="A801" s="27">
        <f>IF($C801="","","N-"&amp;TEXT(ROW()-3,"0000"))</f>
        <v/>
      </c>
      <c r="B801" s="46" t="n"/>
      <c r="C801" s="47" t="n"/>
      <c r="D801" s="27">
        <f>IF($C801="","",IF(COUNTIFS(ENVIOS!$A$4:$A$3003,$C801)=0,"NO EXISTE",IF(COUNTIFS(ENVIOS!$A$4:$A$3003,$C801)&gt;1,"DUPLICADA","OK")))</f>
        <v/>
      </c>
      <c r="E801" s="22">
        <f>IF($C801="","",IFERROR(INDEX(ENVIOS!$C$4:$C$3003,MATCH($C801,ENVIOS!$A$4:$A$3003,0)),"—"))</f>
        <v/>
      </c>
      <c r="F801" s="22">
        <f>IF($C801="","",IFERROR(INDEX(ENVIOS!$D$4:$D$3003,MATCH($C801,ENVIOS!$A$4:$A$3003,0)),"—"))</f>
        <v/>
      </c>
      <c r="G801" s="22">
        <f>IF($C801="","",IFERROR(INDEX(ENVIOS!$E$4:$E$3003,MATCH($C801,ENVIOS!$A$4:$A$3003,0)),"—"))</f>
        <v/>
      </c>
      <c r="H801" s="22">
        <f>IF($C801="","",IFERROR(INDEX(ENVIOS!$F$4:$F$3003,MATCH($C801,ENVIOS!$A$4:$A$3003,0)),"—"))</f>
        <v/>
      </c>
      <c r="I801" s="27">
        <f>IF($C801="","",IFERROR(INDEX(ENVIOS!$G$4:$G$3003,MATCH($C801,ENVIOS!$A$4:$A$3003,0)),"—"))</f>
        <v/>
      </c>
      <c r="J801" s="48">
        <f>IF($C801="","",IFERROR(INDEX(ENVIOS!$B$4:$B$3003,MATCH($C801,ENVIOS!$A$4:$A$3003,0)),""))</f>
        <v/>
      </c>
      <c r="K801" s="49" t="n"/>
      <c r="L801" s="27">
        <f>IF($K801="","",IFERROR(INDEX(CONFIG!$B$4:$B$43,MATCH($K801,CONFIG!$A$4:$A$43,0)),"Media"))</f>
        <v/>
      </c>
      <c r="M801" s="27">
        <f>IF($K801="","",IFERROR(INDEX(CONFIG!$D$4:$D$43,MATCH($K801,CONFIG!$A$4:$A$43,0)),"NO"))</f>
        <v/>
      </c>
      <c r="N801" s="49" t="n"/>
      <c r="O801" s="27">
        <f>IF($N801="","",IFERROR(INDEX(CONFIG!$G$4:$G$43,MATCH($N801,CONFIG!$F$4:$F$43,0)),"Por definir"))</f>
        <v/>
      </c>
      <c r="P801" s="27">
        <f>IF($N801="","",IFERROR(INDEX(CONFIG!$H$4:$H$43,MATCH($N801,CONFIG!$F$4:$F$43,0)),"Por definir"))</f>
        <v/>
      </c>
      <c r="Q801" s="50" t="n"/>
      <c r="R801" s="51" t="n"/>
      <c r="S801" s="49" t="n"/>
      <c r="T801" s="49" t="n"/>
      <c r="U801" s="48">
        <f>IF(OR($B801="",$K801=""),"",WORKDAY($B801,IFERROR(INDEX(CONFIG!$C$4:$C$43,MATCH($K801,CONFIG!$A$4:$A$43,0)),3)))</f>
        <v/>
      </c>
      <c r="V801" s="46" t="n"/>
      <c r="W801" s="23">
        <f>IF($B801="","",IF($V801&lt;&gt;"",$V801-$B801,TODAY()-$B801))</f>
        <v/>
      </c>
      <c r="X801" s="27">
        <f>IF($C801="","",IF(IFERROR(INDEX(CONFIG!$K$4:$K$43,MATCH($S801,CONFIG!$J$4:$J$43,0)),"NO")="SÍ",IF(OR($V801="",$U801=""),"Resuelta",IF($V801&gt;$U801,"Resuelta tarde","Resuelta a tiempo")),IF($U801="","Sin clasificar",IF(TODAY()&gt;$U801,"Vencida",IF(TODAY()&gt;=$U801-1,"Por vencer","En plazo")))))</f>
        <v/>
      </c>
      <c r="Y801" s="49" t="n"/>
      <c r="Z801" s="49" t="n"/>
    </row>
    <row r="802" ht="16" customHeight="1">
      <c r="A802" s="27">
        <f>IF($C802="","","N-"&amp;TEXT(ROW()-3,"0000"))</f>
        <v/>
      </c>
      <c r="B802" s="46" t="n"/>
      <c r="C802" s="47" t="n"/>
      <c r="D802" s="27">
        <f>IF($C802="","",IF(COUNTIFS(ENVIOS!$A$4:$A$3003,$C802)=0,"NO EXISTE",IF(COUNTIFS(ENVIOS!$A$4:$A$3003,$C802)&gt;1,"DUPLICADA","OK")))</f>
        <v/>
      </c>
      <c r="E802" s="22">
        <f>IF($C802="","",IFERROR(INDEX(ENVIOS!$C$4:$C$3003,MATCH($C802,ENVIOS!$A$4:$A$3003,0)),"—"))</f>
        <v/>
      </c>
      <c r="F802" s="22">
        <f>IF($C802="","",IFERROR(INDEX(ENVIOS!$D$4:$D$3003,MATCH($C802,ENVIOS!$A$4:$A$3003,0)),"—"))</f>
        <v/>
      </c>
      <c r="G802" s="22">
        <f>IF($C802="","",IFERROR(INDEX(ENVIOS!$E$4:$E$3003,MATCH($C802,ENVIOS!$A$4:$A$3003,0)),"—"))</f>
        <v/>
      </c>
      <c r="H802" s="22">
        <f>IF($C802="","",IFERROR(INDEX(ENVIOS!$F$4:$F$3003,MATCH($C802,ENVIOS!$A$4:$A$3003,0)),"—"))</f>
        <v/>
      </c>
      <c r="I802" s="27">
        <f>IF($C802="","",IFERROR(INDEX(ENVIOS!$G$4:$G$3003,MATCH($C802,ENVIOS!$A$4:$A$3003,0)),"—"))</f>
        <v/>
      </c>
      <c r="J802" s="48">
        <f>IF($C802="","",IFERROR(INDEX(ENVIOS!$B$4:$B$3003,MATCH($C802,ENVIOS!$A$4:$A$3003,0)),""))</f>
        <v/>
      </c>
      <c r="K802" s="49" t="n"/>
      <c r="L802" s="27">
        <f>IF($K802="","",IFERROR(INDEX(CONFIG!$B$4:$B$43,MATCH($K802,CONFIG!$A$4:$A$43,0)),"Media"))</f>
        <v/>
      </c>
      <c r="M802" s="27">
        <f>IF($K802="","",IFERROR(INDEX(CONFIG!$D$4:$D$43,MATCH($K802,CONFIG!$A$4:$A$43,0)),"NO"))</f>
        <v/>
      </c>
      <c r="N802" s="49" t="n"/>
      <c r="O802" s="27">
        <f>IF($N802="","",IFERROR(INDEX(CONFIG!$G$4:$G$43,MATCH($N802,CONFIG!$F$4:$F$43,0)),"Por definir"))</f>
        <v/>
      </c>
      <c r="P802" s="27">
        <f>IF($N802="","",IFERROR(INDEX(CONFIG!$H$4:$H$43,MATCH($N802,CONFIG!$F$4:$F$43,0)),"Por definir"))</f>
        <v/>
      </c>
      <c r="Q802" s="50" t="n"/>
      <c r="R802" s="51" t="n"/>
      <c r="S802" s="49" t="n"/>
      <c r="T802" s="49" t="n"/>
      <c r="U802" s="48">
        <f>IF(OR($B802="",$K802=""),"",WORKDAY($B802,IFERROR(INDEX(CONFIG!$C$4:$C$43,MATCH($K802,CONFIG!$A$4:$A$43,0)),3)))</f>
        <v/>
      </c>
      <c r="V802" s="46" t="n"/>
      <c r="W802" s="23">
        <f>IF($B802="","",IF($V802&lt;&gt;"",$V802-$B802,TODAY()-$B802))</f>
        <v/>
      </c>
      <c r="X802" s="27">
        <f>IF($C802="","",IF(IFERROR(INDEX(CONFIG!$K$4:$K$43,MATCH($S802,CONFIG!$J$4:$J$43,0)),"NO")="SÍ",IF(OR($V802="",$U802=""),"Resuelta",IF($V802&gt;$U802,"Resuelta tarde","Resuelta a tiempo")),IF($U802="","Sin clasificar",IF(TODAY()&gt;$U802,"Vencida",IF(TODAY()&gt;=$U802-1,"Por vencer","En plazo")))))</f>
        <v/>
      </c>
      <c r="Y802" s="49" t="n"/>
      <c r="Z802" s="49" t="n"/>
    </row>
    <row r="803" ht="16" customHeight="1">
      <c r="A803" s="27">
        <f>IF($C803="","","N-"&amp;TEXT(ROW()-3,"0000"))</f>
        <v/>
      </c>
      <c r="B803" s="46" t="n"/>
      <c r="C803" s="47" t="n"/>
      <c r="D803" s="27">
        <f>IF($C803="","",IF(COUNTIFS(ENVIOS!$A$4:$A$3003,$C803)=0,"NO EXISTE",IF(COUNTIFS(ENVIOS!$A$4:$A$3003,$C803)&gt;1,"DUPLICADA","OK")))</f>
        <v/>
      </c>
      <c r="E803" s="22">
        <f>IF($C803="","",IFERROR(INDEX(ENVIOS!$C$4:$C$3003,MATCH($C803,ENVIOS!$A$4:$A$3003,0)),"—"))</f>
        <v/>
      </c>
      <c r="F803" s="22">
        <f>IF($C803="","",IFERROR(INDEX(ENVIOS!$D$4:$D$3003,MATCH($C803,ENVIOS!$A$4:$A$3003,0)),"—"))</f>
        <v/>
      </c>
      <c r="G803" s="22">
        <f>IF($C803="","",IFERROR(INDEX(ENVIOS!$E$4:$E$3003,MATCH($C803,ENVIOS!$A$4:$A$3003,0)),"—"))</f>
        <v/>
      </c>
      <c r="H803" s="22">
        <f>IF($C803="","",IFERROR(INDEX(ENVIOS!$F$4:$F$3003,MATCH($C803,ENVIOS!$A$4:$A$3003,0)),"—"))</f>
        <v/>
      </c>
      <c r="I803" s="27">
        <f>IF($C803="","",IFERROR(INDEX(ENVIOS!$G$4:$G$3003,MATCH($C803,ENVIOS!$A$4:$A$3003,0)),"—"))</f>
        <v/>
      </c>
      <c r="J803" s="48">
        <f>IF($C803="","",IFERROR(INDEX(ENVIOS!$B$4:$B$3003,MATCH($C803,ENVIOS!$A$4:$A$3003,0)),""))</f>
        <v/>
      </c>
      <c r="K803" s="49" t="n"/>
      <c r="L803" s="27">
        <f>IF($K803="","",IFERROR(INDEX(CONFIG!$B$4:$B$43,MATCH($K803,CONFIG!$A$4:$A$43,0)),"Media"))</f>
        <v/>
      </c>
      <c r="M803" s="27">
        <f>IF($K803="","",IFERROR(INDEX(CONFIG!$D$4:$D$43,MATCH($K803,CONFIG!$A$4:$A$43,0)),"NO"))</f>
        <v/>
      </c>
      <c r="N803" s="49" t="n"/>
      <c r="O803" s="27">
        <f>IF($N803="","",IFERROR(INDEX(CONFIG!$G$4:$G$43,MATCH($N803,CONFIG!$F$4:$F$43,0)),"Por definir"))</f>
        <v/>
      </c>
      <c r="P803" s="27">
        <f>IF($N803="","",IFERROR(INDEX(CONFIG!$H$4:$H$43,MATCH($N803,CONFIG!$F$4:$F$43,0)),"Por definir"))</f>
        <v/>
      </c>
      <c r="Q803" s="50" t="n"/>
      <c r="R803" s="51" t="n"/>
      <c r="S803" s="49" t="n"/>
      <c r="T803" s="49" t="n"/>
      <c r="U803" s="48">
        <f>IF(OR($B803="",$K803=""),"",WORKDAY($B803,IFERROR(INDEX(CONFIG!$C$4:$C$43,MATCH($K803,CONFIG!$A$4:$A$43,0)),3)))</f>
        <v/>
      </c>
      <c r="V803" s="46" t="n"/>
      <c r="W803" s="23">
        <f>IF($B803="","",IF($V803&lt;&gt;"",$V803-$B803,TODAY()-$B803))</f>
        <v/>
      </c>
      <c r="X803" s="27">
        <f>IF($C803="","",IF(IFERROR(INDEX(CONFIG!$K$4:$K$43,MATCH($S803,CONFIG!$J$4:$J$43,0)),"NO")="SÍ",IF(OR($V803="",$U803=""),"Resuelta",IF($V803&gt;$U803,"Resuelta tarde","Resuelta a tiempo")),IF($U803="","Sin clasificar",IF(TODAY()&gt;$U803,"Vencida",IF(TODAY()&gt;=$U803-1,"Por vencer","En plazo")))))</f>
        <v/>
      </c>
      <c r="Y803" s="49" t="n"/>
      <c r="Z803" s="49" t="n"/>
    </row>
    <row r="804" ht="16" customHeight="1">
      <c r="A804" s="27">
        <f>IF($C804="","","N-"&amp;TEXT(ROW()-3,"0000"))</f>
        <v/>
      </c>
      <c r="B804" s="46" t="n"/>
      <c r="C804" s="47" t="n"/>
      <c r="D804" s="27">
        <f>IF($C804="","",IF(COUNTIFS(ENVIOS!$A$4:$A$3003,$C804)=0,"NO EXISTE",IF(COUNTIFS(ENVIOS!$A$4:$A$3003,$C804)&gt;1,"DUPLICADA","OK")))</f>
        <v/>
      </c>
      <c r="E804" s="22">
        <f>IF($C804="","",IFERROR(INDEX(ENVIOS!$C$4:$C$3003,MATCH($C804,ENVIOS!$A$4:$A$3003,0)),"—"))</f>
        <v/>
      </c>
      <c r="F804" s="22">
        <f>IF($C804="","",IFERROR(INDEX(ENVIOS!$D$4:$D$3003,MATCH($C804,ENVIOS!$A$4:$A$3003,0)),"—"))</f>
        <v/>
      </c>
      <c r="G804" s="22">
        <f>IF($C804="","",IFERROR(INDEX(ENVIOS!$E$4:$E$3003,MATCH($C804,ENVIOS!$A$4:$A$3003,0)),"—"))</f>
        <v/>
      </c>
      <c r="H804" s="22">
        <f>IF($C804="","",IFERROR(INDEX(ENVIOS!$F$4:$F$3003,MATCH($C804,ENVIOS!$A$4:$A$3003,0)),"—"))</f>
        <v/>
      </c>
      <c r="I804" s="27">
        <f>IF($C804="","",IFERROR(INDEX(ENVIOS!$G$4:$G$3003,MATCH($C804,ENVIOS!$A$4:$A$3003,0)),"—"))</f>
        <v/>
      </c>
      <c r="J804" s="48">
        <f>IF($C804="","",IFERROR(INDEX(ENVIOS!$B$4:$B$3003,MATCH($C804,ENVIOS!$A$4:$A$3003,0)),""))</f>
        <v/>
      </c>
      <c r="K804" s="49" t="n"/>
      <c r="L804" s="27">
        <f>IF($K804="","",IFERROR(INDEX(CONFIG!$B$4:$B$43,MATCH($K804,CONFIG!$A$4:$A$43,0)),"Media"))</f>
        <v/>
      </c>
      <c r="M804" s="27">
        <f>IF($K804="","",IFERROR(INDEX(CONFIG!$D$4:$D$43,MATCH($K804,CONFIG!$A$4:$A$43,0)),"NO"))</f>
        <v/>
      </c>
      <c r="N804" s="49" t="n"/>
      <c r="O804" s="27">
        <f>IF($N804="","",IFERROR(INDEX(CONFIG!$G$4:$G$43,MATCH($N804,CONFIG!$F$4:$F$43,0)),"Por definir"))</f>
        <v/>
      </c>
      <c r="P804" s="27">
        <f>IF($N804="","",IFERROR(INDEX(CONFIG!$H$4:$H$43,MATCH($N804,CONFIG!$F$4:$F$43,0)),"Por definir"))</f>
        <v/>
      </c>
      <c r="Q804" s="50" t="n"/>
      <c r="R804" s="51" t="n"/>
      <c r="S804" s="49" t="n"/>
      <c r="T804" s="49" t="n"/>
      <c r="U804" s="48">
        <f>IF(OR($B804="",$K804=""),"",WORKDAY($B804,IFERROR(INDEX(CONFIG!$C$4:$C$43,MATCH($K804,CONFIG!$A$4:$A$43,0)),3)))</f>
        <v/>
      </c>
      <c r="V804" s="46" t="n"/>
      <c r="W804" s="23">
        <f>IF($B804="","",IF($V804&lt;&gt;"",$V804-$B804,TODAY()-$B804))</f>
        <v/>
      </c>
      <c r="X804" s="27">
        <f>IF($C804="","",IF(IFERROR(INDEX(CONFIG!$K$4:$K$43,MATCH($S804,CONFIG!$J$4:$J$43,0)),"NO")="SÍ",IF(OR($V804="",$U804=""),"Resuelta",IF($V804&gt;$U804,"Resuelta tarde","Resuelta a tiempo")),IF($U804="","Sin clasificar",IF(TODAY()&gt;$U804,"Vencida",IF(TODAY()&gt;=$U804-1,"Por vencer","En plazo")))))</f>
        <v/>
      </c>
      <c r="Y804" s="49" t="n"/>
      <c r="Z804" s="49" t="n"/>
    </row>
    <row r="805" ht="16" customHeight="1">
      <c r="A805" s="27">
        <f>IF($C805="","","N-"&amp;TEXT(ROW()-3,"0000"))</f>
        <v/>
      </c>
      <c r="B805" s="46" t="n"/>
      <c r="C805" s="47" t="n"/>
      <c r="D805" s="27">
        <f>IF($C805="","",IF(COUNTIFS(ENVIOS!$A$4:$A$3003,$C805)=0,"NO EXISTE",IF(COUNTIFS(ENVIOS!$A$4:$A$3003,$C805)&gt;1,"DUPLICADA","OK")))</f>
        <v/>
      </c>
      <c r="E805" s="22">
        <f>IF($C805="","",IFERROR(INDEX(ENVIOS!$C$4:$C$3003,MATCH($C805,ENVIOS!$A$4:$A$3003,0)),"—"))</f>
        <v/>
      </c>
      <c r="F805" s="22">
        <f>IF($C805="","",IFERROR(INDEX(ENVIOS!$D$4:$D$3003,MATCH($C805,ENVIOS!$A$4:$A$3003,0)),"—"))</f>
        <v/>
      </c>
      <c r="G805" s="22">
        <f>IF($C805="","",IFERROR(INDEX(ENVIOS!$E$4:$E$3003,MATCH($C805,ENVIOS!$A$4:$A$3003,0)),"—"))</f>
        <v/>
      </c>
      <c r="H805" s="22">
        <f>IF($C805="","",IFERROR(INDEX(ENVIOS!$F$4:$F$3003,MATCH($C805,ENVIOS!$A$4:$A$3003,0)),"—"))</f>
        <v/>
      </c>
      <c r="I805" s="27">
        <f>IF($C805="","",IFERROR(INDEX(ENVIOS!$G$4:$G$3003,MATCH($C805,ENVIOS!$A$4:$A$3003,0)),"—"))</f>
        <v/>
      </c>
      <c r="J805" s="48">
        <f>IF($C805="","",IFERROR(INDEX(ENVIOS!$B$4:$B$3003,MATCH($C805,ENVIOS!$A$4:$A$3003,0)),""))</f>
        <v/>
      </c>
      <c r="K805" s="49" t="n"/>
      <c r="L805" s="27">
        <f>IF($K805="","",IFERROR(INDEX(CONFIG!$B$4:$B$43,MATCH($K805,CONFIG!$A$4:$A$43,0)),"Media"))</f>
        <v/>
      </c>
      <c r="M805" s="27">
        <f>IF($K805="","",IFERROR(INDEX(CONFIG!$D$4:$D$43,MATCH($K805,CONFIG!$A$4:$A$43,0)),"NO"))</f>
        <v/>
      </c>
      <c r="N805" s="49" t="n"/>
      <c r="O805" s="27">
        <f>IF($N805="","",IFERROR(INDEX(CONFIG!$G$4:$G$43,MATCH($N805,CONFIG!$F$4:$F$43,0)),"Por definir"))</f>
        <v/>
      </c>
      <c r="P805" s="27">
        <f>IF($N805="","",IFERROR(INDEX(CONFIG!$H$4:$H$43,MATCH($N805,CONFIG!$F$4:$F$43,0)),"Por definir"))</f>
        <v/>
      </c>
      <c r="Q805" s="50" t="n"/>
      <c r="R805" s="51" t="n"/>
      <c r="S805" s="49" t="n"/>
      <c r="T805" s="49" t="n"/>
      <c r="U805" s="48">
        <f>IF(OR($B805="",$K805=""),"",WORKDAY($B805,IFERROR(INDEX(CONFIG!$C$4:$C$43,MATCH($K805,CONFIG!$A$4:$A$43,0)),3)))</f>
        <v/>
      </c>
      <c r="V805" s="46" t="n"/>
      <c r="W805" s="23">
        <f>IF($B805="","",IF($V805&lt;&gt;"",$V805-$B805,TODAY()-$B805))</f>
        <v/>
      </c>
      <c r="X805" s="27">
        <f>IF($C805="","",IF(IFERROR(INDEX(CONFIG!$K$4:$K$43,MATCH($S805,CONFIG!$J$4:$J$43,0)),"NO")="SÍ",IF(OR($V805="",$U805=""),"Resuelta",IF($V805&gt;$U805,"Resuelta tarde","Resuelta a tiempo")),IF($U805="","Sin clasificar",IF(TODAY()&gt;$U805,"Vencida",IF(TODAY()&gt;=$U805-1,"Por vencer","En plazo")))))</f>
        <v/>
      </c>
      <c r="Y805" s="49" t="n"/>
      <c r="Z805" s="49" t="n"/>
    </row>
    <row r="806" ht="16" customHeight="1">
      <c r="A806" s="27">
        <f>IF($C806="","","N-"&amp;TEXT(ROW()-3,"0000"))</f>
        <v/>
      </c>
      <c r="B806" s="46" t="n"/>
      <c r="C806" s="47" t="n"/>
      <c r="D806" s="27">
        <f>IF($C806="","",IF(COUNTIFS(ENVIOS!$A$4:$A$3003,$C806)=0,"NO EXISTE",IF(COUNTIFS(ENVIOS!$A$4:$A$3003,$C806)&gt;1,"DUPLICADA","OK")))</f>
        <v/>
      </c>
      <c r="E806" s="22">
        <f>IF($C806="","",IFERROR(INDEX(ENVIOS!$C$4:$C$3003,MATCH($C806,ENVIOS!$A$4:$A$3003,0)),"—"))</f>
        <v/>
      </c>
      <c r="F806" s="22">
        <f>IF($C806="","",IFERROR(INDEX(ENVIOS!$D$4:$D$3003,MATCH($C806,ENVIOS!$A$4:$A$3003,0)),"—"))</f>
        <v/>
      </c>
      <c r="G806" s="22">
        <f>IF($C806="","",IFERROR(INDEX(ENVIOS!$E$4:$E$3003,MATCH($C806,ENVIOS!$A$4:$A$3003,0)),"—"))</f>
        <v/>
      </c>
      <c r="H806" s="22">
        <f>IF($C806="","",IFERROR(INDEX(ENVIOS!$F$4:$F$3003,MATCH($C806,ENVIOS!$A$4:$A$3003,0)),"—"))</f>
        <v/>
      </c>
      <c r="I806" s="27">
        <f>IF($C806="","",IFERROR(INDEX(ENVIOS!$G$4:$G$3003,MATCH($C806,ENVIOS!$A$4:$A$3003,0)),"—"))</f>
        <v/>
      </c>
      <c r="J806" s="48">
        <f>IF($C806="","",IFERROR(INDEX(ENVIOS!$B$4:$B$3003,MATCH($C806,ENVIOS!$A$4:$A$3003,0)),""))</f>
        <v/>
      </c>
      <c r="K806" s="49" t="n"/>
      <c r="L806" s="27">
        <f>IF($K806="","",IFERROR(INDEX(CONFIG!$B$4:$B$43,MATCH($K806,CONFIG!$A$4:$A$43,0)),"Media"))</f>
        <v/>
      </c>
      <c r="M806" s="27">
        <f>IF($K806="","",IFERROR(INDEX(CONFIG!$D$4:$D$43,MATCH($K806,CONFIG!$A$4:$A$43,0)),"NO"))</f>
        <v/>
      </c>
      <c r="N806" s="49" t="n"/>
      <c r="O806" s="27">
        <f>IF($N806="","",IFERROR(INDEX(CONFIG!$G$4:$G$43,MATCH($N806,CONFIG!$F$4:$F$43,0)),"Por definir"))</f>
        <v/>
      </c>
      <c r="P806" s="27">
        <f>IF($N806="","",IFERROR(INDEX(CONFIG!$H$4:$H$43,MATCH($N806,CONFIG!$F$4:$F$43,0)),"Por definir"))</f>
        <v/>
      </c>
      <c r="Q806" s="50" t="n"/>
      <c r="R806" s="51" t="n"/>
      <c r="S806" s="49" t="n"/>
      <c r="T806" s="49" t="n"/>
      <c r="U806" s="48">
        <f>IF(OR($B806="",$K806=""),"",WORKDAY($B806,IFERROR(INDEX(CONFIG!$C$4:$C$43,MATCH($K806,CONFIG!$A$4:$A$43,0)),3)))</f>
        <v/>
      </c>
      <c r="V806" s="46" t="n"/>
      <c r="W806" s="23">
        <f>IF($B806="","",IF($V806&lt;&gt;"",$V806-$B806,TODAY()-$B806))</f>
        <v/>
      </c>
      <c r="X806" s="27">
        <f>IF($C806="","",IF(IFERROR(INDEX(CONFIG!$K$4:$K$43,MATCH($S806,CONFIG!$J$4:$J$43,0)),"NO")="SÍ",IF(OR($V806="",$U806=""),"Resuelta",IF($V806&gt;$U806,"Resuelta tarde","Resuelta a tiempo")),IF($U806="","Sin clasificar",IF(TODAY()&gt;$U806,"Vencida",IF(TODAY()&gt;=$U806-1,"Por vencer","En plazo")))))</f>
        <v/>
      </c>
      <c r="Y806" s="49" t="n"/>
      <c r="Z806" s="49" t="n"/>
    </row>
    <row r="807" ht="16" customHeight="1">
      <c r="A807" s="27">
        <f>IF($C807="","","N-"&amp;TEXT(ROW()-3,"0000"))</f>
        <v/>
      </c>
      <c r="B807" s="46" t="n"/>
      <c r="C807" s="47" t="n"/>
      <c r="D807" s="27">
        <f>IF($C807="","",IF(COUNTIFS(ENVIOS!$A$4:$A$3003,$C807)=0,"NO EXISTE",IF(COUNTIFS(ENVIOS!$A$4:$A$3003,$C807)&gt;1,"DUPLICADA","OK")))</f>
        <v/>
      </c>
      <c r="E807" s="22">
        <f>IF($C807="","",IFERROR(INDEX(ENVIOS!$C$4:$C$3003,MATCH($C807,ENVIOS!$A$4:$A$3003,0)),"—"))</f>
        <v/>
      </c>
      <c r="F807" s="22">
        <f>IF($C807="","",IFERROR(INDEX(ENVIOS!$D$4:$D$3003,MATCH($C807,ENVIOS!$A$4:$A$3003,0)),"—"))</f>
        <v/>
      </c>
      <c r="G807" s="22">
        <f>IF($C807="","",IFERROR(INDEX(ENVIOS!$E$4:$E$3003,MATCH($C807,ENVIOS!$A$4:$A$3003,0)),"—"))</f>
        <v/>
      </c>
      <c r="H807" s="22">
        <f>IF($C807="","",IFERROR(INDEX(ENVIOS!$F$4:$F$3003,MATCH($C807,ENVIOS!$A$4:$A$3003,0)),"—"))</f>
        <v/>
      </c>
      <c r="I807" s="27">
        <f>IF($C807="","",IFERROR(INDEX(ENVIOS!$G$4:$G$3003,MATCH($C807,ENVIOS!$A$4:$A$3003,0)),"—"))</f>
        <v/>
      </c>
      <c r="J807" s="48">
        <f>IF($C807="","",IFERROR(INDEX(ENVIOS!$B$4:$B$3003,MATCH($C807,ENVIOS!$A$4:$A$3003,0)),""))</f>
        <v/>
      </c>
      <c r="K807" s="49" t="n"/>
      <c r="L807" s="27">
        <f>IF($K807="","",IFERROR(INDEX(CONFIG!$B$4:$B$43,MATCH($K807,CONFIG!$A$4:$A$43,0)),"Media"))</f>
        <v/>
      </c>
      <c r="M807" s="27">
        <f>IF($K807="","",IFERROR(INDEX(CONFIG!$D$4:$D$43,MATCH($K807,CONFIG!$A$4:$A$43,0)),"NO"))</f>
        <v/>
      </c>
      <c r="N807" s="49" t="n"/>
      <c r="O807" s="27">
        <f>IF($N807="","",IFERROR(INDEX(CONFIG!$G$4:$G$43,MATCH($N807,CONFIG!$F$4:$F$43,0)),"Por definir"))</f>
        <v/>
      </c>
      <c r="P807" s="27">
        <f>IF($N807="","",IFERROR(INDEX(CONFIG!$H$4:$H$43,MATCH($N807,CONFIG!$F$4:$F$43,0)),"Por definir"))</f>
        <v/>
      </c>
      <c r="Q807" s="50" t="n"/>
      <c r="R807" s="51" t="n"/>
      <c r="S807" s="49" t="n"/>
      <c r="T807" s="49" t="n"/>
      <c r="U807" s="48">
        <f>IF(OR($B807="",$K807=""),"",WORKDAY($B807,IFERROR(INDEX(CONFIG!$C$4:$C$43,MATCH($K807,CONFIG!$A$4:$A$43,0)),3)))</f>
        <v/>
      </c>
      <c r="V807" s="46" t="n"/>
      <c r="W807" s="23">
        <f>IF($B807="","",IF($V807&lt;&gt;"",$V807-$B807,TODAY()-$B807))</f>
        <v/>
      </c>
      <c r="X807" s="27">
        <f>IF($C807="","",IF(IFERROR(INDEX(CONFIG!$K$4:$K$43,MATCH($S807,CONFIG!$J$4:$J$43,0)),"NO")="SÍ",IF(OR($V807="",$U807=""),"Resuelta",IF($V807&gt;$U807,"Resuelta tarde","Resuelta a tiempo")),IF($U807="","Sin clasificar",IF(TODAY()&gt;$U807,"Vencida",IF(TODAY()&gt;=$U807-1,"Por vencer","En plazo")))))</f>
        <v/>
      </c>
      <c r="Y807" s="49" t="n"/>
      <c r="Z807" s="49" t="n"/>
    </row>
    <row r="808" ht="16" customHeight="1">
      <c r="A808" s="27">
        <f>IF($C808="","","N-"&amp;TEXT(ROW()-3,"0000"))</f>
        <v/>
      </c>
      <c r="B808" s="46" t="n"/>
      <c r="C808" s="47" t="n"/>
      <c r="D808" s="27">
        <f>IF($C808="","",IF(COUNTIFS(ENVIOS!$A$4:$A$3003,$C808)=0,"NO EXISTE",IF(COUNTIFS(ENVIOS!$A$4:$A$3003,$C808)&gt;1,"DUPLICADA","OK")))</f>
        <v/>
      </c>
      <c r="E808" s="22">
        <f>IF($C808="","",IFERROR(INDEX(ENVIOS!$C$4:$C$3003,MATCH($C808,ENVIOS!$A$4:$A$3003,0)),"—"))</f>
        <v/>
      </c>
      <c r="F808" s="22">
        <f>IF($C808="","",IFERROR(INDEX(ENVIOS!$D$4:$D$3003,MATCH($C808,ENVIOS!$A$4:$A$3003,0)),"—"))</f>
        <v/>
      </c>
      <c r="G808" s="22">
        <f>IF($C808="","",IFERROR(INDEX(ENVIOS!$E$4:$E$3003,MATCH($C808,ENVIOS!$A$4:$A$3003,0)),"—"))</f>
        <v/>
      </c>
      <c r="H808" s="22">
        <f>IF($C808="","",IFERROR(INDEX(ENVIOS!$F$4:$F$3003,MATCH($C808,ENVIOS!$A$4:$A$3003,0)),"—"))</f>
        <v/>
      </c>
      <c r="I808" s="27">
        <f>IF($C808="","",IFERROR(INDEX(ENVIOS!$G$4:$G$3003,MATCH($C808,ENVIOS!$A$4:$A$3003,0)),"—"))</f>
        <v/>
      </c>
      <c r="J808" s="48">
        <f>IF($C808="","",IFERROR(INDEX(ENVIOS!$B$4:$B$3003,MATCH($C808,ENVIOS!$A$4:$A$3003,0)),""))</f>
        <v/>
      </c>
      <c r="K808" s="49" t="n"/>
      <c r="L808" s="27">
        <f>IF($K808="","",IFERROR(INDEX(CONFIG!$B$4:$B$43,MATCH($K808,CONFIG!$A$4:$A$43,0)),"Media"))</f>
        <v/>
      </c>
      <c r="M808" s="27">
        <f>IF($K808="","",IFERROR(INDEX(CONFIG!$D$4:$D$43,MATCH($K808,CONFIG!$A$4:$A$43,0)),"NO"))</f>
        <v/>
      </c>
      <c r="N808" s="49" t="n"/>
      <c r="O808" s="27">
        <f>IF($N808="","",IFERROR(INDEX(CONFIG!$G$4:$G$43,MATCH($N808,CONFIG!$F$4:$F$43,0)),"Por definir"))</f>
        <v/>
      </c>
      <c r="P808" s="27">
        <f>IF($N808="","",IFERROR(INDEX(CONFIG!$H$4:$H$43,MATCH($N808,CONFIG!$F$4:$F$43,0)),"Por definir"))</f>
        <v/>
      </c>
      <c r="Q808" s="50" t="n"/>
      <c r="R808" s="51" t="n"/>
      <c r="S808" s="49" t="n"/>
      <c r="T808" s="49" t="n"/>
      <c r="U808" s="48">
        <f>IF(OR($B808="",$K808=""),"",WORKDAY($B808,IFERROR(INDEX(CONFIG!$C$4:$C$43,MATCH($K808,CONFIG!$A$4:$A$43,0)),3)))</f>
        <v/>
      </c>
      <c r="V808" s="46" t="n"/>
      <c r="W808" s="23">
        <f>IF($B808="","",IF($V808&lt;&gt;"",$V808-$B808,TODAY()-$B808))</f>
        <v/>
      </c>
      <c r="X808" s="27">
        <f>IF($C808="","",IF(IFERROR(INDEX(CONFIG!$K$4:$K$43,MATCH($S808,CONFIG!$J$4:$J$43,0)),"NO")="SÍ",IF(OR($V808="",$U808=""),"Resuelta",IF($V808&gt;$U808,"Resuelta tarde","Resuelta a tiempo")),IF($U808="","Sin clasificar",IF(TODAY()&gt;$U808,"Vencida",IF(TODAY()&gt;=$U808-1,"Por vencer","En plazo")))))</f>
        <v/>
      </c>
      <c r="Y808" s="49" t="n"/>
      <c r="Z808" s="49" t="n"/>
    </row>
    <row r="809" ht="16" customHeight="1">
      <c r="A809" s="27">
        <f>IF($C809="","","N-"&amp;TEXT(ROW()-3,"0000"))</f>
        <v/>
      </c>
      <c r="B809" s="46" t="n"/>
      <c r="C809" s="47" t="n"/>
      <c r="D809" s="27">
        <f>IF($C809="","",IF(COUNTIFS(ENVIOS!$A$4:$A$3003,$C809)=0,"NO EXISTE",IF(COUNTIFS(ENVIOS!$A$4:$A$3003,$C809)&gt;1,"DUPLICADA","OK")))</f>
        <v/>
      </c>
      <c r="E809" s="22">
        <f>IF($C809="","",IFERROR(INDEX(ENVIOS!$C$4:$C$3003,MATCH($C809,ENVIOS!$A$4:$A$3003,0)),"—"))</f>
        <v/>
      </c>
      <c r="F809" s="22">
        <f>IF($C809="","",IFERROR(INDEX(ENVIOS!$D$4:$D$3003,MATCH($C809,ENVIOS!$A$4:$A$3003,0)),"—"))</f>
        <v/>
      </c>
      <c r="G809" s="22">
        <f>IF($C809="","",IFERROR(INDEX(ENVIOS!$E$4:$E$3003,MATCH($C809,ENVIOS!$A$4:$A$3003,0)),"—"))</f>
        <v/>
      </c>
      <c r="H809" s="22">
        <f>IF($C809="","",IFERROR(INDEX(ENVIOS!$F$4:$F$3003,MATCH($C809,ENVIOS!$A$4:$A$3003,0)),"—"))</f>
        <v/>
      </c>
      <c r="I809" s="27">
        <f>IF($C809="","",IFERROR(INDEX(ENVIOS!$G$4:$G$3003,MATCH($C809,ENVIOS!$A$4:$A$3003,0)),"—"))</f>
        <v/>
      </c>
      <c r="J809" s="48">
        <f>IF($C809="","",IFERROR(INDEX(ENVIOS!$B$4:$B$3003,MATCH($C809,ENVIOS!$A$4:$A$3003,0)),""))</f>
        <v/>
      </c>
      <c r="K809" s="49" t="n"/>
      <c r="L809" s="27">
        <f>IF($K809="","",IFERROR(INDEX(CONFIG!$B$4:$B$43,MATCH($K809,CONFIG!$A$4:$A$43,0)),"Media"))</f>
        <v/>
      </c>
      <c r="M809" s="27">
        <f>IF($K809="","",IFERROR(INDEX(CONFIG!$D$4:$D$43,MATCH($K809,CONFIG!$A$4:$A$43,0)),"NO"))</f>
        <v/>
      </c>
      <c r="N809" s="49" t="n"/>
      <c r="O809" s="27">
        <f>IF($N809="","",IFERROR(INDEX(CONFIG!$G$4:$G$43,MATCH($N809,CONFIG!$F$4:$F$43,0)),"Por definir"))</f>
        <v/>
      </c>
      <c r="P809" s="27">
        <f>IF($N809="","",IFERROR(INDEX(CONFIG!$H$4:$H$43,MATCH($N809,CONFIG!$F$4:$F$43,0)),"Por definir"))</f>
        <v/>
      </c>
      <c r="Q809" s="50" t="n"/>
      <c r="R809" s="51" t="n"/>
      <c r="S809" s="49" t="n"/>
      <c r="T809" s="49" t="n"/>
      <c r="U809" s="48">
        <f>IF(OR($B809="",$K809=""),"",WORKDAY($B809,IFERROR(INDEX(CONFIG!$C$4:$C$43,MATCH($K809,CONFIG!$A$4:$A$43,0)),3)))</f>
        <v/>
      </c>
      <c r="V809" s="46" t="n"/>
      <c r="W809" s="23">
        <f>IF($B809="","",IF($V809&lt;&gt;"",$V809-$B809,TODAY()-$B809))</f>
        <v/>
      </c>
      <c r="X809" s="27">
        <f>IF($C809="","",IF(IFERROR(INDEX(CONFIG!$K$4:$K$43,MATCH($S809,CONFIG!$J$4:$J$43,0)),"NO")="SÍ",IF(OR($V809="",$U809=""),"Resuelta",IF($V809&gt;$U809,"Resuelta tarde","Resuelta a tiempo")),IF($U809="","Sin clasificar",IF(TODAY()&gt;$U809,"Vencida",IF(TODAY()&gt;=$U809-1,"Por vencer","En plazo")))))</f>
        <v/>
      </c>
      <c r="Y809" s="49" t="n"/>
      <c r="Z809" s="49" t="n"/>
    </row>
    <row r="810" ht="16" customHeight="1">
      <c r="A810" s="27">
        <f>IF($C810="","","N-"&amp;TEXT(ROW()-3,"0000"))</f>
        <v/>
      </c>
      <c r="B810" s="46" t="n"/>
      <c r="C810" s="47" t="n"/>
      <c r="D810" s="27">
        <f>IF($C810="","",IF(COUNTIFS(ENVIOS!$A$4:$A$3003,$C810)=0,"NO EXISTE",IF(COUNTIFS(ENVIOS!$A$4:$A$3003,$C810)&gt;1,"DUPLICADA","OK")))</f>
        <v/>
      </c>
      <c r="E810" s="22">
        <f>IF($C810="","",IFERROR(INDEX(ENVIOS!$C$4:$C$3003,MATCH($C810,ENVIOS!$A$4:$A$3003,0)),"—"))</f>
        <v/>
      </c>
      <c r="F810" s="22">
        <f>IF($C810="","",IFERROR(INDEX(ENVIOS!$D$4:$D$3003,MATCH($C810,ENVIOS!$A$4:$A$3003,0)),"—"))</f>
        <v/>
      </c>
      <c r="G810" s="22">
        <f>IF($C810="","",IFERROR(INDEX(ENVIOS!$E$4:$E$3003,MATCH($C810,ENVIOS!$A$4:$A$3003,0)),"—"))</f>
        <v/>
      </c>
      <c r="H810" s="22">
        <f>IF($C810="","",IFERROR(INDEX(ENVIOS!$F$4:$F$3003,MATCH($C810,ENVIOS!$A$4:$A$3003,0)),"—"))</f>
        <v/>
      </c>
      <c r="I810" s="27">
        <f>IF($C810="","",IFERROR(INDEX(ENVIOS!$G$4:$G$3003,MATCH($C810,ENVIOS!$A$4:$A$3003,0)),"—"))</f>
        <v/>
      </c>
      <c r="J810" s="48">
        <f>IF($C810="","",IFERROR(INDEX(ENVIOS!$B$4:$B$3003,MATCH($C810,ENVIOS!$A$4:$A$3003,0)),""))</f>
        <v/>
      </c>
      <c r="K810" s="49" t="n"/>
      <c r="L810" s="27">
        <f>IF($K810="","",IFERROR(INDEX(CONFIG!$B$4:$B$43,MATCH($K810,CONFIG!$A$4:$A$43,0)),"Media"))</f>
        <v/>
      </c>
      <c r="M810" s="27">
        <f>IF($K810="","",IFERROR(INDEX(CONFIG!$D$4:$D$43,MATCH($K810,CONFIG!$A$4:$A$43,0)),"NO"))</f>
        <v/>
      </c>
      <c r="N810" s="49" t="n"/>
      <c r="O810" s="27">
        <f>IF($N810="","",IFERROR(INDEX(CONFIG!$G$4:$G$43,MATCH($N810,CONFIG!$F$4:$F$43,0)),"Por definir"))</f>
        <v/>
      </c>
      <c r="P810" s="27">
        <f>IF($N810="","",IFERROR(INDEX(CONFIG!$H$4:$H$43,MATCH($N810,CONFIG!$F$4:$F$43,0)),"Por definir"))</f>
        <v/>
      </c>
      <c r="Q810" s="50" t="n"/>
      <c r="R810" s="51" t="n"/>
      <c r="S810" s="49" t="n"/>
      <c r="T810" s="49" t="n"/>
      <c r="U810" s="48">
        <f>IF(OR($B810="",$K810=""),"",WORKDAY($B810,IFERROR(INDEX(CONFIG!$C$4:$C$43,MATCH($K810,CONFIG!$A$4:$A$43,0)),3)))</f>
        <v/>
      </c>
      <c r="V810" s="46" t="n"/>
      <c r="W810" s="23">
        <f>IF($B810="","",IF($V810&lt;&gt;"",$V810-$B810,TODAY()-$B810))</f>
        <v/>
      </c>
      <c r="X810" s="27">
        <f>IF($C810="","",IF(IFERROR(INDEX(CONFIG!$K$4:$K$43,MATCH($S810,CONFIG!$J$4:$J$43,0)),"NO")="SÍ",IF(OR($V810="",$U810=""),"Resuelta",IF($V810&gt;$U810,"Resuelta tarde","Resuelta a tiempo")),IF($U810="","Sin clasificar",IF(TODAY()&gt;$U810,"Vencida",IF(TODAY()&gt;=$U810-1,"Por vencer","En plazo")))))</f>
        <v/>
      </c>
      <c r="Y810" s="49" t="n"/>
      <c r="Z810" s="49" t="n"/>
    </row>
    <row r="811" ht="16" customHeight="1">
      <c r="A811" s="27">
        <f>IF($C811="","","N-"&amp;TEXT(ROW()-3,"0000"))</f>
        <v/>
      </c>
      <c r="B811" s="46" t="n"/>
      <c r="C811" s="47" t="n"/>
      <c r="D811" s="27">
        <f>IF($C811="","",IF(COUNTIFS(ENVIOS!$A$4:$A$3003,$C811)=0,"NO EXISTE",IF(COUNTIFS(ENVIOS!$A$4:$A$3003,$C811)&gt;1,"DUPLICADA","OK")))</f>
        <v/>
      </c>
      <c r="E811" s="22">
        <f>IF($C811="","",IFERROR(INDEX(ENVIOS!$C$4:$C$3003,MATCH($C811,ENVIOS!$A$4:$A$3003,0)),"—"))</f>
        <v/>
      </c>
      <c r="F811" s="22">
        <f>IF($C811="","",IFERROR(INDEX(ENVIOS!$D$4:$D$3003,MATCH($C811,ENVIOS!$A$4:$A$3003,0)),"—"))</f>
        <v/>
      </c>
      <c r="G811" s="22">
        <f>IF($C811="","",IFERROR(INDEX(ENVIOS!$E$4:$E$3003,MATCH($C811,ENVIOS!$A$4:$A$3003,0)),"—"))</f>
        <v/>
      </c>
      <c r="H811" s="22">
        <f>IF($C811="","",IFERROR(INDEX(ENVIOS!$F$4:$F$3003,MATCH($C811,ENVIOS!$A$4:$A$3003,0)),"—"))</f>
        <v/>
      </c>
      <c r="I811" s="27">
        <f>IF($C811="","",IFERROR(INDEX(ENVIOS!$G$4:$G$3003,MATCH($C811,ENVIOS!$A$4:$A$3003,0)),"—"))</f>
        <v/>
      </c>
      <c r="J811" s="48">
        <f>IF($C811="","",IFERROR(INDEX(ENVIOS!$B$4:$B$3003,MATCH($C811,ENVIOS!$A$4:$A$3003,0)),""))</f>
        <v/>
      </c>
      <c r="K811" s="49" t="n"/>
      <c r="L811" s="27">
        <f>IF($K811="","",IFERROR(INDEX(CONFIG!$B$4:$B$43,MATCH($K811,CONFIG!$A$4:$A$43,0)),"Media"))</f>
        <v/>
      </c>
      <c r="M811" s="27">
        <f>IF($K811="","",IFERROR(INDEX(CONFIG!$D$4:$D$43,MATCH($K811,CONFIG!$A$4:$A$43,0)),"NO"))</f>
        <v/>
      </c>
      <c r="N811" s="49" t="n"/>
      <c r="O811" s="27">
        <f>IF($N811="","",IFERROR(INDEX(CONFIG!$G$4:$G$43,MATCH($N811,CONFIG!$F$4:$F$43,0)),"Por definir"))</f>
        <v/>
      </c>
      <c r="P811" s="27">
        <f>IF($N811="","",IFERROR(INDEX(CONFIG!$H$4:$H$43,MATCH($N811,CONFIG!$F$4:$F$43,0)),"Por definir"))</f>
        <v/>
      </c>
      <c r="Q811" s="50" t="n"/>
      <c r="R811" s="51" t="n"/>
      <c r="S811" s="49" t="n"/>
      <c r="T811" s="49" t="n"/>
      <c r="U811" s="48">
        <f>IF(OR($B811="",$K811=""),"",WORKDAY($B811,IFERROR(INDEX(CONFIG!$C$4:$C$43,MATCH($K811,CONFIG!$A$4:$A$43,0)),3)))</f>
        <v/>
      </c>
      <c r="V811" s="46" t="n"/>
      <c r="W811" s="23">
        <f>IF($B811="","",IF($V811&lt;&gt;"",$V811-$B811,TODAY()-$B811))</f>
        <v/>
      </c>
      <c r="X811" s="27">
        <f>IF($C811="","",IF(IFERROR(INDEX(CONFIG!$K$4:$K$43,MATCH($S811,CONFIG!$J$4:$J$43,0)),"NO")="SÍ",IF(OR($V811="",$U811=""),"Resuelta",IF($V811&gt;$U811,"Resuelta tarde","Resuelta a tiempo")),IF($U811="","Sin clasificar",IF(TODAY()&gt;$U811,"Vencida",IF(TODAY()&gt;=$U811-1,"Por vencer","En plazo")))))</f>
        <v/>
      </c>
      <c r="Y811" s="49" t="n"/>
      <c r="Z811" s="49" t="n"/>
    </row>
    <row r="812" ht="16" customHeight="1">
      <c r="A812" s="27">
        <f>IF($C812="","","N-"&amp;TEXT(ROW()-3,"0000"))</f>
        <v/>
      </c>
      <c r="B812" s="46" t="n"/>
      <c r="C812" s="47" t="n"/>
      <c r="D812" s="27">
        <f>IF($C812="","",IF(COUNTIFS(ENVIOS!$A$4:$A$3003,$C812)=0,"NO EXISTE",IF(COUNTIFS(ENVIOS!$A$4:$A$3003,$C812)&gt;1,"DUPLICADA","OK")))</f>
        <v/>
      </c>
      <c r="E812" s="22">
        <f>IF($C812="","",IFERROR(INDEX(ENVIOS!$C$4:$C$3003,MATCH($C812,ENVIOS!$A$4:$A$3003,0)),"—"))</f>
        <v/>
      </c>
      <c r="F812" s="22">
        <f>IF($C812="","",IFERROR(INDEX(ENVIOS!$D$4:$D$3003,MATCH($C812,ENVIOS!$A$4:$A$3003,0)),"—"))</f>
        <v/>
      </c>
      <c r="G812" s="22">
        <f>IF($C812="","",IFERROR(INDEX(ENVIOS!$E$4:$E$3003,MATCH($C812,ENVIOS!$A$4:$A$3003,0)),"—"))</f>
        <v/>
      </c>
      <c r="H812" s="22">
        <f>IF($C812="","",IFERROR(INDEX(ENVIOS!$F$4:$F$3003,MATCH($C812,ENVIOS!$A$4:$A$3003,0)),"—"))</f>
        <v/>
      </c>
      <c r="I812" s="27">
        <f>IF($C812="","",IFERROR(INDEX(ENVIOS!$G$4:$G$3003,MATCH($C812,ENVIOS!$A$4:$A$3003,0)),"—"))</f>
        <v/>
      </c>
      <c r="J812" s="48">
        <f>IF($C812="","",IFERROR(INDEX(ENVIOS!$B$4:$B$3003,MATCH($C812,ENVIOS!$A$4:$A$3003,0)),""))</f>
        <v/>
      </c>
      <c r="K812" s="49" t="n"/>
      <c r="L812" s="27">
        <f>IF($K812="","",IFERROR(INDEX(CONFIG!$B$4:$B$43,MATCH($K812,CONFIG!$A$4:$A$43,0)),"Media"))</f>
        <v/>
      </c>
      <c r="M812" s="27">
        <f>IF($K812="","",IFERROR(INDEX(CONFIG!$D$4:$D$43,MATCH($K812,CONFIG!$A$4:$A$43,0)),"NO"))</f>
        <v/>
      </c>
      <c r="N812" s="49" t="n"/>
      <c r="O812" s="27">
        <f>IF($N812="","",IFERROR(INDEX(CONFIG!$G$4:$G$43,MATCH($N812,CONFIG!$F$4:$F$43,0)),"Por definir"))</f>
        <v/>
      </c>
      <c r="P812" s="27">
        <f>IF($N812="","",IFERROR(INDEX(CONFIG!$H$4:$H$43,MATCH($N812,CONFIG!$F$4:$F$43,0)),"Por definir"))</f>
        <v/>
      </c>
      <c r="Q812" s="50" t="n"/>
      <c r="R812" s="51" t="n"/>
      <c r="S812" s="49" t="n"/>
      <c r="T812" s="49" t="n"/>
      <c r="U812" s="48">
        <f>IF(OR($B812="",$K812=""),"",WORKDAY($B812,IFERROR(INDEX(CONFIG!$C$4:$C$43,MATCH($K812,CONFIG!$A$4:$A$43,0)),3)))</f>
        <v/>
      </c>
      <c r="V812" s="46" t="n"/>
      <c r="W812" s="23">
        <f>IF($B812="","",IF($V812&lt;&gt;"",$V812-$B812,TODAY()-$B812))</f>
        <v/>
      </c>
      <c r="X812" s="27">
        <f>IF($C812="","",IF(IFERROR(INDEX(CONFIG!$K$4:$K$43,MATCH($S812,CONFIG!$J$4:$J$43,0)),"NO")="SÍ",IF(OR($V812="",$U812=""),"Resuelta",IF($V812&gt;$U812,"Resuelta tarde","Resuelta a tiempo")),IF($U812="","Sin clasificar",IF(TODAY()&gt;$U812,"Vencida",IF(TODAY()&gt;=$U812-1,"Por vencer","En plazo")))))</f>
        <v/>
      </c>
      <c r="Y812" s="49" t="n"/>
      <c r="Z812" s="49" t="n"/>
    </row>
    <row r="813" ht="16" customHeight="1">
      <c r="A813" s="27">
        <f>IF($C813="","","N-"&amp;TEXT(ROW()-3,"0000"))</f>
        <v/>
      </c>
      <c r="B813" s="46" t="n"/>
      <c r="C813" s="47" t="n"/>
      <c r="D813" s="27">
        <f>IF($C813="","",IF(COUNTIFS(ENVIOS!$A$4:$A$3003,$C813)=0,"NO EXISTE",IF(COUNTIFS(ENVIOS!$A$4:$A$3003,$C813)&gt;1,"DUPLICADA","OK")))</f>
        <v/>
      </c>
      <c r="E813" s="22">
        <f>IF($C813="","",IFERROR(INDEX(ENVIOS!$C$4:$C$3003,MATCH($C813,ENVIOS!$A$4:$A$3003,0)),"—"))</f>
        <v/>
      </c>
      <c r="F813" s="22">
        <f>IF($C813="","",IFERROR(INDEX(ENVIOS!$D$4:$D$3003,MATCH($C813,ENVIOS!$A$4:$A$3003,0)),"—"))</f>
        <v/>
      </c>
      <c r="G813" s="22">
        <f>IF($C813="","",IFERROR(INDEX(ENVIOS!$E$4:$E$3003,MATCH($C813,ENVIOS!$A$4:$A$3003,0)),"—"))</f>
        <v/>
      </c>
      <c r="H813" s="22">
        <f>IF($C813="","",IFERROR(INDEX(ENVIOS!$F$4:$F$3003,MATCH($C813,ENVIOS!$A$4:$A$3003,0)),"—"))</f>
        <v/>
      </c>
      <c r="I813" s="27">
        <f>IF($C813="","",IFERROR(INDEX(ENVIOS!$G$4:$G$3003,MATCH($C813,ENVIOS!$A$4:$A$3003,0)),"—"))</f>
        <v/>
      </c>
      <c r="J813" s="48">
        <f>IF($C813="","",IFERROR(INDEX(ENVIOS!$B$4:$B$3003,MATCH($C813,ENVIOS!$A$4:$A$3003,0)),""))</f>
        <v/>
      </c>
      <c r="K813" s="49" t="n"/>
      <c r="L813" s="27">
        <f>IF($K813="","",IFERROR(INDEX(CONFIG!$B$4:$B$43,MATCH($K813,CONFIG!$A$4:$A$43,0)),"Media"))</f>
        <v/>
      </c>
      <c r="M813" s="27">
        <f>IF($K813="","",IFERROR(INDEX(CONFIG!$D$4:$D$43,MATCH($K813,CONFIG!$A$4:$A$43,0)),"NO"))</f>
        <v/>
      </c>
      <c r="N813" s="49" t="n"/>
      <c r="O813" s="27">
        <f>IF($N813="","",IFERROR(INDEX(CONFIG!$G$4:$G$43,MATCH($N813,CONFIG!$F$4:$F$43,0)),"Por definir"))</f>
        <v/>
      </c>
      <c r="P813" s="27">
        <f>IF($N813="","",IFERROR(INDEX(CONFIG!$H$4:$H$43,MATCH($N813,CONFIG!$F$4:$F$43,0)),"Por definir"))</f>
        <v/>
      </c>
      <c r="Q813" s="50" t="n"/>
      <c r="R813" s="51" t="n"/>
      <c r="S813" s="49" t="n"/>
      <c r="T813" s="49" t="n"/>
      <c r="U813" s="48">
        <f>IF(OR($B813="",$K813=""),"",WORKDAY($B813,IFERROR(INDEX(CONFIG!$C$4:$C$43,MATCH($K813,CONFIG!$A$4:$A$43,0)),3)))</f>
        <v/>
      </c>
      <c r="V813" s="46" t="n"/>
      <c r="W813" s="23">
        <f>IF($B813="","",IF($V813&lt;&gt;"",$V813-$B813,TODAY()-$B813))</f>
        <v/>
      </c>
      <c r="X813" s="27">
        <f>IF($C813="","",IF(IFERROR(INDEX(CONFIG!$K$4:$K$43,MATCH($S813,CONFIG!$J$4:$J$43,0)),"NO")="SÍ",IF(OR($V813="",$U813=""),"Resuelta",IF($V813&gt;$U813,"Resuelta tarde","Resuelta a tiempo")),IF($U813="","Sin clasificar",IF(TODAY()&gt;$U813,"Vencida",IF(TODAY()&gt;=$U813-1,"Por vencer","En plazo")))))</f>
        <v/>
      </c>
      <c r="Y813" s="49" t="n"/>
      <c r="Z813" s="49" t="n"/>
    </row>
    <row r="814" ht="16" customHeight="1">
      <c r="A814" s="27">
        <f>IF($C814="","","N-"&amp;TEXT(ROW()-3,"0000"))</f>
        <v/>
      </c>
      <c r="B814" s="46" t="n"/>
      <c r="C814" s="47" t="n"/>
      <c r="D814" s="27">
        <f>IF($C814="","",IF(COUNTIFS(ENVIOS!$A$4:$A$3003,$C814)=0,"NO EXISTE",IF(COUNTIFS(ENVIOS!$A$4:$A$3003,$C814)&gt;1,"DUPLICADA","OK")))</f>
        <v/>
      </c>
      <c r="E814" s="22">
        <f>IF($C814="","",IFERROR(INDEX(ENVIOS!$C$4:$C$3003,MATCH($C814,ENVIOS!$A$4:$A$3003,0)),"—"))</f>
        <v/>
      </c>
      <c r="F814" s="22">
        <f>IF($C814="","",IFERROR(INDEX(ENVIOS!$D$4:$D$3003,MATCH($C814,ENVIOS!$A$4:$A$3003,0)),"—"))</f>
        <v/>
      </c>
      <c r="G814" s="22">
        <f>IF($C814="","",IFERROR(INDEX(ENVIOS!$E$4:$E$3003,MATCH($C814,ENVIOS!$A$4:$A$3003,0)),"—"))</f>
        <v/>
      </c>
      <c r="H814" s="22">
        <f>IF($C814="","",IFERROR(INDEX(ENVIOS!$F$4:$F$3003,MATCH($C814,ENVIOS!$A$4:$A$3003,0)),"—"))</f>
        <v/>
      </c>
      <c r="I814" s="27">
        <f>IF($C814="","",IFERROR(INDEX(ENVIOS!$G$4:$G$3003,MATCH($C814,ENVIOS!$A$4:$A$3003,0)),"—"))</f>
        <v/>
      </c>
      <c r="J814" s="48">
        <f>IF($C814="","",IFERROR(INDEX(ENVIOS!$B$4:$B$3003,MATCH($C814,ENVIOS!$A$4:$A$3003,0)),""))</f>
        <v/>
      </c>
      <c r="K814" s="49" t="n"/>
      <c r="L814" s="27">
        <f>IF($K814="","",IFERROR(INDEX(CONFIG!$B$4:$B$43,MATCH($K814,CONFIG!$A$4:$A$43,0)),"Media"))</f>
        <v/>
      </c>
      <c r="M814" s="27">
        <f>IF($K814="","",IFERROR(INDEX(CONFIG!$D$4:$D$43,MATCH($K814,CONFIG!$A$4:$A$43,0)),"NO"))</f>
        <v/>
      </c>
      <c r="N814" s="49" t="n"/>
      <c r="O814" s="27">
        <f>IF($N814="","",IFERROR(INDEX(CONFIG!$G$4:$G$43,MATCH($N814,CONFIG!$F$4:$F$43,0)),"Por definir"))</f>
        <v/>
      </c>
      <c r="P814" s="27">
        <f>IF($N814="","",IFERROR(INDEX(CONFIG!$H$4:$H$43,MATCH($N814,CONFIG!$F$4:$F$43,0)),"Por definir"))</f>
        <v/>
      </c>
      <c r="Q814" s="50" t="n"/>
      <c r="R814" s="51" t="n"/>
      <c r="S814" s="49" t="n"/>
      <c r="T814" s="49" t="n"/>
      <c r="U814" s="48">
        <f>IF(OR($B814="",$K814=""),"",WORKDAY($B814,IFERROR(INDEX(CONFIG!$C$4:$C$43,MATCH($K814,CONFIG!$A$4:$A$43,0)),3)))</f>
        <v/>
      </c>
      <c r="V814" s="46" t="n"/>
      <c r="W814" s="23">
        <f>IF($B814="","",IF($V814&lt;&gt;"",$V814-$B814,TODAY()-$B814))</f>
        <v/>
      </c>
      <c r="X814" s="27">
        <f>IF($C814="","",IF(IFERROR(INDEX(CONFIG!$K$4:$K$43,MATCH($S814,CONFIG!$J$4:$J$43,0)),"NO")="SÍ",IF(OR($V814="",$U814=""),"Resuelta",IF($V814&gt;$U814,"Resuelta tarde","Resuelta a tiempo")),IF($U814="","Sin clasificar",IF(TODAY()&gt;$U814,"Vencida",IF(TODAY()&gt;=$U814-1,"Por vencer","En plazo")))))</f>
        <v/>
      </c>
      <c r="Y814" s="49" t="n"/>
      <c r="Z814" s="49" t="n"/>
    </row>
    <row r="815" ht="16" customHeight="1">
      <c r="A815" s="27">
        <f>IF($C815="","","N-"&amp;TEXT(ROW()-3,"0000"))</f>
        <v/>
      </c>
      <c r="B815" s="46" t="n"/>
      <c r="C815" s="47" t="n"/>
      <c r="D815" s="27">
        <f>IF($C815="","",IF(COUNTIFS(ENVIOS!$A$4:$A$3003,$C815)=0,"NO EXISTE",IF(COUNTIFS(ENVIOS!$A$4:$A$3003,$C815)&gt;1,"DUPLICADA","OK")))</f>
        <v/>
      </c>
      <c r="E815" s="22">
        <f>IF($C815="","",IFERROR(INDEX(ENVIOS!$C$4:$C$3003,MATCH($C815,ENVIOS!$A$4:$A$3003,0)),"—"))</f>
        <v/>
      </c>
      <c r="F815" s="22">
        <f>IF($C815="","",IFERROR(INDEX(ENVIOS!$D$4:$D$3003,MATCH($C815,ENVIOS!$A$4:$A$3003,0)),"—"))</f>
        <v/>
      </c>
      <c r="G815" s="22">
        <f>IF($C815="","",IFERROR(INDEX(ENVIOS!$E$4:$E$3003,MATCH($C815,ENVIOS!$A$4:$A$3003,0)),"—"))</f>
        <v/>
      </c>
      <c r="H815" s="22">
        <f>IF($C815="","",IFERROR(INDEX(ENVIOS!$F$4:$F$3003,MATCH($C815,ENVIOS!$A$4:$A$3003,0)),"—"))</f>
        <v/>
      </c>
      <c r="I815" s="27">
        <f>IF($C815="","",IFERROR(INDEX(ENVIOS!$G$4:$G$3003,MATCH($C815,ENVIOS!$A$4:$A$3003,0)),"—"))</f>
        <v/>
      </c>
      <c r="J815" s="48">
        <f>IF($C815="","",IFERROR(INDEX(ENVIOS!$B$4:$B$3003,MATCH($C815,ENVIOS!$A$4:$A$3003,0)),""))</f>
        <v/>
      </c>
      <c r="K815" s="49" t="n"/>
      <c r="L815" s="27">
        <f>IF($K815="","",IFERROR(INDEX(CONFIG!$B$4:$B$43,MATCH($K815,CONFIG!$A$4:$A$43,0)),"Media"))</f>
        <v/>
      </c>
      <c r="M815" s="27">
        <f>IF($K815="","",IFERROR(INDEX(CONFIG!$D$4:$D$43,MATCH($K815,CONFIG!$A$4:$A$43,0)),"NO"))</f>
        <v/>
      </c>
      <c r="N815" s="49" t="n"/>
      <c r="O815" s="27">
        <f>IF($N815="","",IFERROR(INDEX(CONFIG!$G$4:$G$43,MATCH($N815,CONFIG!$F$4:$F$43,0)),"Por definir"))</f>
        <v/>
      </c>
      <c r="P815" s="27">
        <f>IF($N815="","",IFERROR(INDEX(CONFIG!$H$4:$H$43,MATCH($N815,CONFIG!$F$4:$F$43,0)),"Por definir"))</f>
        <v/>
      </c>
      <c r="Q815" s="50" t="n"/>
      <c r="R815" s="51" t="n"/>
      <c r="S815" s="49" t="n"/>
      <c r="T815" s="49" t="n"/>
      <c r="U815" s="48">
        <f>IF(OR($B815="",$K815=""),"",WORKDAY($B815,IFERROR(INDEX(CONFIG!$C$4:$C$43,MATCH($K815,CONFIG!$A$4:$A$43,0)),3)))</f>
        <v/>
      </c>
      <c r="V815" s="46" t="n"/>
      <c r="W815" s="23">
        <f>IF($B815="","",IF($V815&lt;&gt;"",$V815-$B815,TODAY()-$B815))</f>
        <v/>
      </c>
      <c r="X815" s="27">
        <f>IF($C815="","",IF(IFERROR(INDEX(CONFIG!$K$4:$K$43,MATCH($S815,CONFIG!$J$4:$J$43,0)),"NO")="SÍ",IF(OR($V815="",$U815=""),"Resuelta",IF($V815&gt;$U815,"Resuelta tarde","Resuelta a tiempo")),IF($U815="","Sin clasificar",IF(TODAY()&gt;$U815,"Vencida",IF(TODAY()&gt;=$U815-1,"Por vencer","En plazo")))))</f>
        <v/>
      </c>
      <c r="Y815" s="49" t="n"/>
      <c r="Z815" s="49" t="n"/>
    </row>
    <row r="816" ht="16" customHeight="1">
      <c r="A816" s="27">
        <f>IF($C816="","","N-"&amp;TEXT(ROW()-3,"0000"))</f>
        <v/>
      </c>
      <c r="B816" s="46" t="n"/>
      <c r="C816" s="47" t="n"/>
      <c r="D816" s="27">
        <f>IF($C816="","",IF(COUNTIFS(ENVIOS!$A$4:$A$3003,$C816)=0,"NO EXISTE",IF(COUNTIFS(ENVIOS!$A$4:$A$3003,$C816)&gt;1,"DUPLICADA","OK")))</f>
        <v/>
      </c>
      <c r="E816" s="22">
        <f>IF($C816="","",IFERROR(INDEX(ENVIOS!$C$4:$C$3003,MATCH($C816,ENVIOS!$A$4:$A$3003,0)),"—"))</f>
        <v/>
      </c>
      <c r="F816" s="22">
        <f>IF($C816="","",IFERROR(INDEX(ENVIOS!$D$4:$D$3003,MATCH($C816,ENVIOS!$A$4:$A$3003,0)),"—"))</f>
        <v/>
      </c>
      <c r="G816" s="22">
        <f>IF($C816="","",IFERROR(INDEX(ENVIOS!$E$4:$E$3003,MATCH($C816,ENVIOS!$A$4:$A$3003,0)),"—"))</f>
        <v/>
      </c>
      <c r="H816" s="22">
        <f>IF($C816="","",IFERROR(INDEX(ENVIOS!$F$4:$F$3003,MATCH($C816,ENVIOS!$A$4:$A$3003,0)),"—"))</f>
        <v/>
      </c>
      <c r="I816" s="27">
        <f>IF($C816="","",IFERROR(INDEX(ENVIOS!$G$4:$G$3003,MATCH($C816,ENVIOS!$A$4:$A$3003,0)),"—"))</f>
        <v/>
      </c>
      <c r="J816" s="48">
        <f>IF($C816="","",IFERROR(INDEX(ENVIOS!$B$4:$B$3003,MATCH($C816,ENVIOS!$A$4:$A$3003,0)),""))</f>
        <v/>
      </c>
      <c r="K816" s="49" t="n"/>
      <c r="L816" s="27">
        <f>IF($K816="","",IFERROR(INDEX(CONFIG!$B$4:$B$43,MATCH($K816,CONFIG!$A$4:$A$43,0)),"Media"))</f>
        <v/>
      </c>
      <c r="M816" s="27">
        <f>IF($K816="","",IFERROR(INDEX(CONFIG!$D$4:$D$43,MATCH($K816,CONFIG!$A$4:$A$43,0)),"NO"))</f>
        <v/>
      </c>
      <c r="N816" s="49" t="n"/>
      <c r="O816" s="27">
        <f>IF($N816="","",IFERROR(INDEX(CONFIG!$G$4:$G$43,MATCH($N816,CONFIG!$F$4:$F$43,0)),"Por definir"))</f>
        <v/>
      </c>
      <c r="P816" s="27">
        <f>IF($N816="","",IFERROR(INDEX(CONFIG!$H$4:$H$43,MATCH($N816,CONFIG!$F$4:$F$43,0)),"Por definir"))</f>
        <v/>
      </c>
      <c r="Q816" s="50" t="n"/>
      <c r="R816" s="51" t="n"/>
      <c r="S816" s="49" t="n"/>
      <c r="T816" s="49" t="n"/>
      <c r="U816" s="48">
        <f>IF(OR($B816="",$K816=""),"",WORKDAY($B816,IFERROR(INDEX(CONFIG!$C$4:$C$43,MATCH($K816,CONFIG!$A$4:$A$43,0)),3)))</f>
        <v/>
      </c>
      <c r="V816" s="46" t="n"/>
      <c r="W816" s="23">
        <f>IF($B816="","",IF($V816&lt;&gt;"",$V816-$B816,TODAY()-$B816))</f>
        <v/>
      </c>
      <c r="X816" s="27">
        <f>IF($C816="","",IF(IFERROR(INDEX(CONFIG!$K$4:$K$43,MATCH($S816,CONFIG!$J$4:$J$43,0)),"NO")="SÍ",IF(OR($V816="",$U816=""),"Resuelta",IF($V816&gt;$U816,"Resuelta tarde","Resuelta a tiempo")),IF($U816="","Sin clasificar",IF(TODAY()&gt;$U816,"Vencida",IF(TODAY()&gt;=$U816-1,"Por vencer","En plazo")))))</f>
        <v/>
      </c>
      <c r="Y816" s="49" t="n"/>
      <c r="Z816" s="49" t="n"/>
    </row>
    <row r="817" ht="16" customHeight="1">
      <c r="A817" s="27">
        <f>IF($C817="","","N-"&amp;TEXT(ROW()-3,"0000"))</f>
        <v/>
      </c>
      <c r="B817" s="46" t="n"/>
      <c r="C817" s="47" t="n"/>
      <c r="D817" s="27">
        <f>IF($C817="","",IF(COUNTIFS(ENVIOS!$A$4:$A$3003,$C817)=0,"NO EXISTE",IF(COUNTIFS(ENVIOS!$A$4:$A$3003,$C817)&gt;1,"DUPLICADA","OK")))</f>
        <v/>
      </c>
      <c r="E817" s="22">
        <f>IF($C817="","",IFERROR(INDEX(ENVIOS!$C$4:$C$3003,MATCH($C817,ENVIOS!$A$4:$A$3003,0)),"—"))</f>
        <v/>
      </c>
      <c r="F817" s="22">
        <f>IF($C817="","",IFERROR(INDEX(ENVIOS!$D$4:$D$3003,MATCH($C817,ENVIOS!$A$4:$A$3003,0)),"—"))</f>
        <v/>
      </c>
      <c r="G817" s="22">
        <f>IF($C817="","",IFERROR(INDEX(ENVIOS!$E$4:$E$3003,MATCH($C817,ENVIOS!$A$4:$A$3003,0)),"—"))</f>
        <v/>
      </c>
      <c r="H817" s="22">
        <f>IF($C817="","",IFERROR(INDEX(ENVIOS!$F$4:$F$3003,MATCH($C817,ENVIOS!$A$4:$A$3003,0)),"—"))</f>
        <v/>
      </c>
      <c r="I817" s="27">
        <f>IF($C817="","",IFERROR(INDEX(ENVIOS!$G$4:$G$3003,MATCH($C817,ENVIOS!$A$4:$A$3003,0)),"—"))</f>
        <v/>
      </c>
      <c r="J817" s="48">
        <f>IF($C817="","",IFERROR(INDEX(ENVIOS!$B$4:$B$3003,MATCH($C817,ENVIOS!$A$4:$A$3003,0)),""))</f>
        <v/>
      </c>
      <c r="K817" s="49" t="n"/>
      <c r="L817" s="27">
        <f>IF($K817="","",IFERROR(INDEX(CONFIG!$B$4:$B$43,MATCH($K817,CONFIG!$A$4:$A$43,0)),"Media"))</f>
        <v/>
      </c>
      <c r="M817" s="27">
        <f>IF($K817="","",IFERROR(INDEX(CONFIG!$D$4:$D$43,MATCH($K817,CONFIG!$A$4:$A$43,0)),"NO"))</f>
        <v/>
      </c>
      <c r="N817" s="49" t="n"/>
      <c r="O817" s="27">
        <f>IF($N817="","",IFERROR(INDEX(CONFIG!$G$4:$G$43,MATCH($N817,CONFIG!$F$4:$F$43,0)),"Por definir"))</f>
        <v/>
      </c>
      <c r="P817" s="27">
        <f>IF($N817="","",IFERROR(INDEX(CONFIG!$H$4:$H$43,MATCH($N817,CONFIG!$F$4:$F$43,0)),"Por definir"))</f>
        <v/>
      </c>
      <c r="Q817" s="50" t="n"/>
      <c r="R817" s="51" t="n"/>
      <c r="S817" s="49" t="n"/>
      <c r="T817" s="49" t="n"/>
      <c r="U817" s="48">
        <f>IF(OR($B817="",$K817=""),"",WORKDAY($B817,IFERROR(INDEX(CONFIG!$C$4:$C$43,MATCH($K817,CONFIG!$A$4:$A$43,0)),3)))</f>
        <v/>
      </c>
      <c r="V817" s="46" t="n"/>
      <c r="W817" s="23">
        <f>IF($B817="","",IF($V817&lt;&gt;"",$V817-$B817,TODAY()-$B817))</f>
        <v/>
      </c>
      <c r="X817" s="27">
        <f>IF($C817="","",IF(IFERROR(INDEX(CONFIG!$K$4:$K$43,MATCH($S817,CONFIG!$J$4:$J$43,0)),"NO")="SÍ",IF(OR($V817="",$U817=""),"Resuelta",IF($V817&gt;$U817,"Resuelta tarde","Resuelta a tiempo")),IF($U817="","Sin clasificar",IF(TODAY()&gt;$U817,"Vencida",IF(TODAY()&gt;=$U817-1,"Por vencer","En plazo")))))</f>
        <v/>
      </c>
      <c r="Y817" s="49" t="n"/>
      <c r="Z817" s="49" t="n"/>
    </row>
    <row r="818" ht="16" customHeight="1">
      <c r="A818" s="27">
        <f>IF($C818="","","N-"&amp;TEXT(ROW()-3,"0000"))</f>
        <v/>
      </c>
      <c r="B818" s="46" t="n"/>
      <c r="C818" s="47" t="n"/>
      <c r="D818" s="27">
        <f>IF($C818="","",IF(COUNTIFS(ENVIOS!$A$4:$A$3003,$C818)=0,"NO EXISTE",IF(COUNTIFS(ENVIOS!$A$4:$A$3003,$C818)&gt;1,"DUPLICADA","OK")))</f>
        <v/>
      </c>
      <c r="E818" s="22">
        <f>IF($C818="","",IFERROR(INDEX(ENVIOS!$C$4:$C$3003,MATCH($C818,ENVIOS!$A$4:$A$3003,0)),"—"))</f>
        <v/>
      </c>
      <c r="F818" s="22">
        <f>IF($C818="","",IFERROR(INDEX(ENVIOS!$D$4:$D$3003,MATCH($C818,ENVIOS!$A$4:$A$3003,0)),"—"))</f>
        <v/>
      </c>
      <c r="G818" s="22">
        <f>IF($C818="","",IFERROR(INDEX(ENVIOS!$E$4:$E$3003,MATCH($C818,ENVIOS!$A$4:$A$3003,0)),"—"))</f>
        <v/>
      </c>
      <c r="H818" s="22">
        <f>IF($C818="","",IFERROR(INDEX(ENVIOS!$F$4:$F$3003,MATCH($C818,ENVIOS!$A$4:$A$3003,0)),"—"))</f>
        <v/>
      </c>
      <c r="I818" s="27">
        <f>IF($C818="","",IFERROR(INDEX(ENVIOS!$G$4:$G$3003,MATCH($C818,ENVIOS!$A$4:$A$3003,0)),"—"))</f>
        <v/>
      </c>
      <c r="J818" s="48">
        <f>IF($C818="","",IFERROR(INDEX(ENVIOS!$B$4:$B$3003,MATCH($C818,ENVIOS!$A$4:$A$3003,0)),""))</f>
        <v/>
      </c>
      <c r="K818" s="49" t="n"/>
      <c r="L818" s="27">
        <f>IF($K818="","",IFERROR(INDEX(CONFIG!$B$4:$B$43,MATCH($K818,CONFIG!$A$4:$A$43,0)),"Media"))</f>
        <v/>
      </c>
      <c r="M818" s="27">
        <f>IF($K818="","",IFERROR(INDEX(CONFIG!$D$4:$D$43,MATCH($K818,CONFIG!$A$4:$A$43,0)),"NO"))</f>
        <v/>
      </c>
      <c r="N818" s="49" t="n"/>
      <c r="O818" s="27">
        <f>IF($N818="","",IFERROR(INDEX(CONFIG!$G$4:$G$43,MATCH($N818,CONFIG!$F$4:$F$43,0)),"Por definir"))</f>
        <v/>
      </c>
      <c r="P818" s="27">
        <f>IF($N818="","",IFERROR(INDEX(CONFIG!$H$4:$H$43,MATCH($N818,CONFIG!$F$4:$F$43,0)),"Por definir"))</f>
        <v/>
      </c>
      <c r="Q818" s="50" t="n"/>
      <c r="R818" s="51" t="n"/>
      <c r="S818" s="49" t="n"/>
      <c r="T818" s="49" t="n"/>
      <c r="U818" s="48">
        <f>IF(OR($B818="",$K818=""),"",WORKDAY($B818,IFERROR(INDEX(CONFIG!$C$4:$C$43,MATCH($K818,CONFIG!$A$4:$A$43,0)),3)))</f>
        <v/>
      </c>
      <c r="V818" s="46" t="n"/>
      <c r="W818" s="23">
        <f>IF($B818="","",IF($V818&lt;&gt;"",$V818-$B818,TODAY()-$B818))</f>
        <v/>
      </c>
      <c r="X818" s="27">
        <f>IF($C818="","",IF(IFERROR(INDEX(CONFIG!$K$4:$K$43,MATCH($S818,CONFIG!$J$4:$J$43,0)),"NO")="SÍ",IF(OR($V818="",$U818=""),"Resuelta",IF($V818&gt;$U818,"Resuelta tarde","Resuelta a tiempo")),IF($U818="","Sin clasificar",IF(TODAY()&gt;$U818,"Vencida",IF(TODAY()&gt;=$U818-1,"Por vencer","En plazo")))))</f>
        <v/>
      </c>
      <c r="Y818" s="49" t="n"/>
      <c r="Z818" s="49" t="n"/>
    </row>
    <row r="819" ht="16" customHeight="1">
      <c r="A819" s="27">
        <f>IF($C819="","","N-"&amp;TEXT(ROW()-3,"0000"))</f>
        <v/>
      </c>
      <c r="B819" s="46" t="n"/>
      <c r="C819" s="47" t="n"/>
      <c r="D819" s="27">
        <f>IF($C819="","",IF(COUNTIFS(ENVIOS!$A$4:$A$3003,$C819)=0,"NO EXISTE",IF(COUNTIFS(ENVIOS!$A$4:$A$3003,$C819)&gt;1,"DUPLICADA","OK")))</f>
        <v/>
      </c>
      <c r="E819" s="22">
        <f>IF($C819="","",IFERROR(INDEX(ENVIOS!$C$4:$C$3003,MATCH($C819,ENVIOS!$A$4:$A$3003,0)),"—"))</f>
        <v/>
      </c>
      <c r="F819" s="22">
        <f>IF($C819="","",IFERROR(INDEX(ENVIOS!$D$4:$D$3003,MATCH($C819,ENVIOS!$A$4:$A$3003,0)),"—"))</f>
        <v/>
      </c>
      <c r="G819" s="22">
        <f>IF($C819="","",IFERROR(INDEX(ENVIOS!$E$4:$E$3003,MATCH($C819,ENVIOS!$A$4:$A$3003,0)),"—"))</f>
        <v/>
      </c>
      <c r="H819" s="22">
        <f>IF($C819="","",IFERROR(INDEX(ENVIOS!$F$4:$F$3003,MATCH($C819,ENVIOS!$A$4:$A$3003,0)),"—"))</f>
        <v/>
      </c>
      <c r="I819" s="27">
        <f>IF($C819="","",IFERROR(INDEX(ENVIOS!$G$4:$G$3003,MATCH($C819,ENVIOS!$A$4:$A$3003,0)),"—"))</f>
        <v/>
      </c>
      <c r="J819" s="48">
        <f>IF($C819="","",IFERROR(INDEX(ENVIOS!$B$4:$B$3003,MATCH($C819,ENVIOS!$A$4:$A$3003,0)),""))</f>
        <v/>
      </c>
      <c r="K819" s="49" t="n"/>
      <c r="L819" s="27">
        <f>IF($K819="","",IFERROR(INDEX(CONFIG!$B$4:$B$43,MATCH($K819,CONFIG!$A$4:$A$43,0)),"Media"))</f>
        <v/>
      </c>
      <c r="M819" s="27">
        <f>IF($K819="","",IFERROR(INDEX(CONFIG!$D$4:$D$43,MATCH($K819,CONFIG!$A$4:$A$43,0)),"NO"))</f>
        <v/>
      </c>
      <c r="N819" s="49" t="n"/>
      <c r="O819" s="27">
        <f>IF($N819="","",IFERROR(INDEX(CONFIG!$G$4:$G$43,MATCH($N819,CONFIG!$F$4:$F$43,0)),"Por definir"))</f>
        <v/>
      </c>
      <c r="P819" s="27">
        <f>IF($N819="","",IFERROR(INDEX(CONFIG!$H$4:$H$43,MATCH($N819,CONFIG!$F$4:$F$43,0)),"Por definir"))</f>
        <v/>
      </c>
      <c r="Q819" s="50" t="n"/>
      <c r="R819" s="51" t="n"/>
      <c r="S819" s="49" t="n"/>
      <c r="T819" s="49" t="n"/>
      <c r="U819" s="48">
        <f>IF(OR($B819="",$K819=""),"",WORKDAY($B819,IFERROR(INDEX(CONFIG!$C$4:$C$43,MATCH($K819,CONFIG!$A$4:$A$43,0)),3)))</f>
        <v/>
      </c>
      <c r="V819" s="46" t="n"/>
      <c r="W819" s="23">
        <f>IF($B819="","",IF($V819&lt;&gt;"",$V819-$B819,TODAY()-$B819))</f>
        <v/>
      </c>
      <c r="X819" s="27">
        <f>IF($C819="","",IF(IFERROR(INDEX(CONFIG!$K$4:$K$43,MATCH($S819,CONFIG!$J$4:$J$43,0)),"NO")="SÍ",IF(OR($V819="",$U819=""),"Resuelta",IF($V819&gt;$U819,"Resuelta tarde","Resuelta a tiempo")),IF($U819="","Sin clasificar",IF(TODAY()&gt;$U819,"Vencida",IF(TODAY()&gt;=$U819-1,"Por vencer","En plazo")))))</f>
        <v/>
      </c>
      <c r="Y819" s="49" t="n"/>
      <c r="Z819" s="49" t="n"/>
    </row>
    <row r="820" ht="16" customHeight="1">
      <c r="A820" s="27">
        <f>IF($C820="","","N-"&amp;TEXT(ROW()-3,"0000"))</f>
        <v/>
      </c>
      <c r="B820" s="46" t="n"/>
      <c r="C820" s="47" t="n"/>
      <c r="D820" s="27">
        <f>IF($C820="","",IF(COUNTIFS(ENVIOS!$A$4:$A$3003,$C820)=0,"NO EXISTE",IF(COUNTIFS(ENVIOS!$A$4:$A$3003,$C820)&gt;1,"DUPLICADA","OK")))</f>
        <v/>
      </c>
      <c r="E820" s="22">
        <f>IF($C820="","",IFERROR(INDEX(ENVIOS!$C$4:$C$3003,MATCH($C820,ENVIOS!$A$4:$A$3003,0)),"—"))</f>
        <v/>
      </c>
      <c r="F820" s="22">
        <f>IF($C820="","",IFERROR(INDEX(ENVIOS!$D$4:$D$3003,MATCH($C820,ENVIOS!$A$4:$A$3003,0)),"—"))</f>
        <v/>
      </c>
      <c r="G820" s="22">
        <f>IF($C820="","",IFERROR(INDEX(ENVIOS!$E$4:$E$3003,MATCH($C820,ENVIOS!$A$4:$A$3003,0)),"—"))</f>
        <v/>
      </c>
      <c r="H820" s="22">
        <f>IF($C820="","",IFERROR(INDEX(ENVIOS!$F$4:$F$3003,MATCH($C820,ENVIOS!$A$4:$A$3003,0)),"—"))</f>
        <v/>
      </c>
      <c r="I820" s="27">
        <f>IF($C820="","",IFERROR(INDEX(ENVIOS!$G$4:$G$3003,MATCH($C820,ENVIOS!$A$4:$A$3003,0)),"—"))</f>
        <v/>
      </c>
      <c r="J820" s="48">
        <f>IF($C820="","",IFERROR(INDEX(ENVIOS!$B$4:$B$3003,MATCH($C820,ENVIOS!$A$4:$A$3003,0)),""))</f>
        <v/>
      </c>
      <c r="K820" s="49" t="n"/>
      <c r="L820" s="27">
        <f>IF($K820="","",IFERROR(INDEX(CONFIG!$B$4:$B$43,MATCH($K820,CONFIG!$A$4:$A$43,0)),"Media"))</f>
        <v/>
      </c>
      <c r="M820" s="27">
        <f>IF($K820="","",IFERROR(INDEX(CONFIG!$D$4:$D$43,MATCH($K820,CONFIG!$A$4:$A$43,0)),"NO"))</f>
        <v/>
      </c>
      <c r="N820" s="49" t="n"/>
      <c r="O820" s="27">
        <f>IF($N820="","",IFERROR(INDEX(CONFIG!$G$4:$G$43,MATCH($N820,CONFIG!$F$4:$F$43,0)),"Por definir"))</f>
        <v/>
      </c>
      <c r="P820" s="27">
        <f>IF($N820="","",IFERROR(INDEX(CONFIG!$H$4:$H$43,MATCH($N820,CONFIG!$F$4:$F$43,0)),"Por definir"))</f>
        <v/>
      </c>
      <c r="Q820" s="50" t="n"/>
      <c r="R820" s="51" t="n"/>
      <c r="S820" s="49" t="n"/>
      <c r="T820" s="49" t="n"/>
      <c r="U820" s="48">
        <f>IF(OR($B820="",$K820=""),"",WORKDAY($B820,IFERROR(INDEX(CONFIG!$C$4:$C$43,MATCH($K820,CONFIG!$A$4:$A$43,0)),3)))</f>
        <v/>
      </c>
      <c r="V820" s="46" t="n"/>
      <c r="W820" s="23">
        <f>IF($B820="","",IF($V820&lt;&gt;"",$V820-$B820,TODAY()-$B820))</f>
        <v/>
      </c>
      <c r="X820" s="27">
        <f>IF($C820="","",IF(IFERROR(INDEX(CONFIG!$K$4:$K$43,MATCH($S820,CONFIG!$J$4:$J$43,0)),"NO")="SÍ",IF(OR($V820="",$U820=""),"Resuelta",IF($V820&gt;$U820,"Resuelta tarde","Resuelta a tiempo")),IF($U820="","Sin clasificar",IF(TODAY()&gt;$U820,"Vencida",IF(TODAY()&gt;=$U820-1,"Por vencer","En plazo")))))</f>
        <v/>
      </c>
      <c r="Y820" s="49" t="n"/>
      <c r="Z820" s="49" t="n"/>
    </row>
    <row r="821" ht="16" customHeight="1">
      <c r="A821" s="27">
        <f>IF($C821="","","N-"&amp;TEXT(ROW()-3,"0000"))</f>
        <v/>
      </c>
      <c r="B821" s="46" t="n"/>
      <c r="C821" s="47" t="n"/>
      <c r="D821" s="27">
        <f>IF($C821="","",IF(COUNTIFS(ENVIOS!$A$4:$A$3003,$C821)=0,"NO EXISTE",IF(COUNTIFS(ENVIOS!$A$4:$A$3003,$C821)&gt;1,"DUPLICADA","OK")))</f>
        <v/>
      </c>
      <c r="E821" s="22">
        <f>IF($C821="","",IFERROR(INDEX(ENVIOS!$C$4:$C$3003,MATCH($C821,ENVIOS!$A$4:$A$3003,0)),"—"))</f>
        <v/>
      </c>
      <c r="F821" s="22">
        <f>IF($C821="","",IFERROR(INDEX(ENVIOS!$D$4:$D$3003,MATCH($C821,ENVIOS!$A$4:$A$3003,0)),"—"))</f>
        <v/>
      </c>
      <c r="G821" s="22">
        <f>IF($C821="","",IFERROR(INDEX(ENVIOS!$E$4:$E$3003,MATCH($C821,ENVIOS!$A$4:$A$3003,0)),"—"))</f>
        <v/>
      </c>
      <c r="H821" s="22">
        <f>IF($C821="","",IFERROR(INDEX(ENVIOS!$F$4:$F$3003,MATCH($C821,ENVIOS!$A$4:$A$3003,0)),"—"))</f>
        <v/>
      </c>
      <c r="I821" s="27">
        <f>IF($C821="","",IFERROR(INDEX(ENVIOS!$G$4:$G$3003,MATCH($C821,ENVIOS!$A$4:$A$3003,0)),"—"))</f>
        <v/>
      </c>
      <c r="J821" s="48">
        <f>IF($C821="","",IFERROR(INDEX(ENVIOS!$B$4:$B$3003,MATCH($C821,ENVIOS!$A$4:$A$3003,0)),""))</f>
        <v/>
      </c>
      <c r="K821" s="49" t="n"/>
      <c r="L821" s="27">
        <f>IF($K821="","",IFERROR(INDEX(CONFIG!$B$4:$B$43,MATCH($K821,CONFIG!$A$4:$A$43,0)),"Media"))</f>
        <v/>
      </c>
      <c r="M821" s="27">
        <f>IF($K821="","",IFERROR(INDEX(CONFIG!$D$4:$D$43,MATCH($K821,CONFIG!$A$4:$A$43,0)),"NO"))</f>
        <v/>
      </c>
      <c r="N821" s="49" t="n"/>
      <c r="O821" s="27">
        <f>IF($N821="","",IFERROR(INDEX(CONFIG!$G$4:$G$43,MATCH($N821,CONFIG!$F$4:$F$43,0)),"Por definir"))</f>
        <v/>
      </c>
      <c r="P821" s="27">
        <f>IF($N821="","",IFERROR(INDEX(CONFIG!$H$4:$H$43,MATCH($N821,CONFIG!$F$4:$F$43,0)),"Por definir"))</f>
        <v/>
      </c>
      <c r="Q821" s="50" t="n"/>
      <c r="R821" s="51" t="n"/>
      <c r="S821" s="49" t="n"/>
      <c r="T821" s="49" t="n"/>
      <c r="U821" s="48">
        <f>IF(OR($B821="",$K821=""),"",WORKDAY($B821,IFERROR(INDEX(CONFIG!$C$4:$C$43,MATCH($K821,CONFIG!$A$4:$A$43,0)),3)))</f>
        <v/>
      </c>
      <c r="V821" s="46" t="n"/>
      <c r="W821" s="23">
        <f>IF($B821="","",IF($V821&lt;&gt;"",$V821-$B821,TODAY()-$B821))</f>
        <v/>
      </c>
      <c r="X821" s="27">
        <f>IF($C821="","",IF(IFERROR(INDEX(CONFIG!$K$4:$K$43,MATCH($S821,CONFIG!$J$4:$J$43,0)),"NO")="SÍ",IF(OR($V821="",$U821=""),"Resuelta",IF($V821&gt;$U821,"Resuelta tarde","Resuelta a tiempo")),IF($U821="","Sin clasificar",IF(TODAY()&gt;$U821,"Vencida",IF(TODAY()&gt;=$U821-1,"Por vencer","En plazo")))))</f>
        <v/>
      </c>
      <c r="Y821" s="49" t="n"/>
      <c r="Z821" s="49" t="n"/>
    </row>
    <row r="822" ht="16" customHeight="1">
      <c r="A822" s="27">
        <f>IF($C822="","","N-"&amp;TEXT(ROW()-3,"0000"))</f>
        <v/>
      </c>
      <c r="B822" s="46" t="n"/>
      <c r="C822" s="47" t="n"/>
      <c r="D822" s="27">
        <f>IF($C822="","",IF(COUNTIFS(ENVIOS!$A$4:$A$3003,$C822)=0,"NO EXISTE",IF(COUNTIFS(ENVIOS!$A$4:$A$3003,$C822)&gt;1,"DUPLICADA","OK")))</f>
        <v/>
      </c>
      <c r="E822" s="22">
        <f>IF($C822="","",IFERROR(INDEX(ENVIOS!$C$4:$C$3003,MATCH($C822,ENVIOS!$A$4:$A$3003,0)),"—"))</f>
        <v/>
      </c>
      <c r="F822" s="22">
        <f>IF($C822="","",IFERROR(INDEX(ENVIOS!$D$4:$D$3003,MATCH($C822,ENVIOS!$A$4:$A$3003,0)),"—"))</f>
        <v/>
      </c>
      <c r="G822" s="22">
        <f>IF($C822="","",IFERROR(INDEX(ENVIOS!$E$4:$E$3003,MATCH($C822,ENVIOS!$A$4:$A$3003,0)),"—"))</f>
        <v/>
      </c>
      <c r="H822" s="22">
        <f>IF($C822="","",IFERROR(INDEX(ENVIOS!$F$4:$F$3003,MATCH($C822,ENVIOS!$A$4:$A$3003,0)),"—"))</f>
        <v/>
      </c>
      <c r="I822" s="27">
        <f>IF($C822="","",IFERROR(INDEX(ENVIOS!$G$4:$G$3003,MATCH($C822,ENVIOS!$A$4:$A$3003,0)),"—"))</f>
        <v/>
      </c>
      <c r="J822" s="48">
        <f>IF($C822="","",IFERROR(INDEX(ENVIOS!$B$4:$B$3003,MATCH($C822,ENVIOS!$A$4:$A$3003,0)),""))</f>
        <v/>
      </c>
      <c r="K822" s="49" t="n"/>
      <c r="L822" s="27">
        <f>IF($K822="","",IFERROR(INDEX(CONFIG!$B$4:$B$43,MATCH($K822,CONFIG!$A$4:$A$43,0)),"Media"))</f>
        <v/>
      </c>
      <c r="M822" s="27">
        <f>IF($K822="","",IFERROR(INDEX(CONFIG!$D$4:$D$43,MATCH($K822,CONFIG!$A$4:$A$43,0)),"NO"))</f>
        <v/>
      </c>
      <c r="N822" s="49" t="n"/>
      <c r="O822" s="27">
        <f>IF($N822="","",IFERROR(INDEX(CONFIG!$G$4:$G$43,MATCH($N822,CONFIG!$F$4:$F$43,0)),"Por definir"))</f>
        <v/>
      </c>
      <c r="P822" s="27">
        <f>IF($N822="","",IFERROR(INDEX(CONFIG!$H$4:$H$43,MATCH($N822,CONFIG!$F$4:$F$43,0)),"Por definir"))</f>
        <v/>
      </c>
      <c r="Q822" s="50" t="n"/>
      <c r="R822" s="51" t="n"/>
      <c r="S822" s="49" t="n"/>
      <c r="T822" s="49" t="n"/>
      <c r="U822" s="48">
        <f>IF(OR($B822="",$K822=""),"",WORKDAY($B822,IFERROR(INDEX(CONFIG!$C$4:$C$43,MATCH($K822,CONFIG!$A$4:$A$43,0)),3)))</f>
        <v/>
      </c>
      <c r="V822" s="46" t="n"/>
      <c r="W822" s="23">
        <f>IF($B822="","",IF($V822&lt;&gt;"",$V822-$B822,TODAY()-$B822))</f>
        <v/>
      </c>
      <c r="X822" s="27">
        <f>IF($C822="","",IF(IFERROR(INDEX(CONFIG!$K$4:$K$43,MATCH($S822,CONFIG!$J$4:$J$43,0)),"NO")="SÍ",IF(OR($V822="",$U822=""),"Resuelta",IF($V822&gt;$U822,"Resuelta tarde","Resuelta a tiempo")),IF($U822="","Sin clasificar",IF(TODAY()&gt;$U822,"Vencida",IF(TODAY()&gt;=$U822-1,"Por vencer","En plazo")))))</f>
        <v/>
      </c>
      <c r="Y822" s="49" t="n"/>
      <c r="Z822" s="49" t="n"/>
    </row>
    <row r="823" ht="16" customHeight="1">
      <c r="A823" s="27">
        <f>IF($C823="","","N-"&amp;TEXT(ROW()-3,"0000"))</f>
        <v/>
      </c>
      <c r="B823" s="46" t="n"/>
      <c r="C823" s="47" t="n"/>
      <c r="D823" s="27">
        <f>IF($C823="","",IF(COUNTIFS(ENVIOS!$A$4:$A$3003,$C823)=0,"NO EXISTE",IF(COUNTIFS(ENVIOS!$A$4:$A$3003,$C823)&gt;1,"DUPLICADA","OK")))</f>
        <v/>
      </c>
      <c r="E823" s="22">
        <f>IF($C823="","",IFERROR(INDEX(ENVIOS!$C$4:$C$3003,MATCH($C823,ENVIOS!$A$4:$A$3003,0)),"—"))</f>
        <v/>
      </c>
      <c r="F823" s="22">
        <f>IF($C823="","",IFERROR(INDEX(ENVIOS!$D$4:$D$3003,MATCH($C823,ENVIOS!$A$4:$A$3003,0)),"—"))</f>
        <v/>
      </c>
      <c r="G823" s="22">
        <f>IF($C823="","",IFERROR(INDEX(ENVIOS!$E$4:$E$3003,MATCH($C823,ENVIOS!$A$4:$A$3003,0)),"—"))</f>
        <v/>
      </c>
      <c r="H823" s="22">
        <f>IF($C823="","",IFERROR(INDEX(ENVIOS!$F$4:$F$3003,MATCH($C823,ENVIOS!$A$4:$A$3003,0)),"—"))</f>
        <v/>
      </c>
      <c r="I823" s="27">
        <f>IF($C823="","",IFERROR(INDEX(ENVIOS!$G$4:$G$3003,MATCH($C823,ENVIOS!$A$4:$A$3003,0)),"—"))</f>
        <v/>
      </c>
      <c r="J823" s="48">
        <f>IF($C823="","",IFERROR(INDEX(ENVIOS!$B$4:$B$3003,MATCH($C823,ENVIOS!$A$4:$A$3003,0)),""))</f>
        <v/>
      </c>
      <c r="K823" s="49" t="n"/>
      <c r="L823" s="27">
        <f>IF($K823="","",IFERROR(INDEX(CONFIG!$B$4:$B$43,MATCH($K823,CONFIG!$A$4:$A$43,0)),"Media"))</f>
        <v/>
      </c>
      <c r="M823" s="27">
        <f>IF($K823="","",IFERROR(INDEX(CONFIG!$D$4:$D$43,MATCH($K823,CONFIG!$A$4:$A$43,0)),"NO"))</f>
        <v/>
      </c>
      <c r="N823" s="49" t="n"/>
      <c r="O823" s="27">
        <f>IF($N823="","",IFERROR(INDEX(CONFIG!$G$4:$G$43,MATCH($N823,CONFIG!$F$4:$F$43,0)),"Por definir"))</f>
        <v/>
      </c>
      <c r="P823" s="27">
        <f>IF($N823="","",IFERROR(INDEX(CONFIG!$H$4:$H$43,MATCH($N823,CONFIG!$F$4:$F$43,0)),"Por definir"))</f>
        <v/>
      </c>
      <c r="Q823" s="50" t="n"/>
      <c r="R823" s="51" t="n"/>
      <c r="S823" s="49" t="n"/>
      <c r="T823" s="49" t="n"/>
      <c r="U823" s="48">
        <f>IF(OR($B823="",$K823=""),"",WORKDAY($B823,IFERROR(INDEX(CONFIG!$C$4:$C$43,MATCH($K823,CONFIG!$A$4:$A$43,0)),3)))</f>
        <v/>
      </c>
      <c r="V823" s="46" t="n"/>
      <c r="W823" s="23">
        <f>IF($B823="","",IF($V823&lt;&gt;"",$V823-$B823,TODAY()-$B823))</f>
        <v/>
      </c>
      <c r="X823" s="27">
        <f>IF($C823="","",IF(IFERROR(INDEX(CONFIG!$K$4:$K$43,MATCH($S823,CONFIG!$J$4:$J$43,0)),"NO")="SÍ",IF(OR($V823="",$U823=""),"Resuelta",IF($V823&gt;$U823,"Resuelta tarde","Resuelta a tiempo")),IF($U823="","Sin clasificar",IF(TODAY()&gt;$U823,"Vencida",IF(TODAY()&gt;=$U823-1,"Por vencer","En plazo")))))</f>
        <v/>
      </c>
      <c r="Y823" s="49" t="n"/>
      <c r="Z823" s="49" t="n"/>
    </row>
    <row r="824" ht="16" customHeight="1">
      <c r="A824" s="27">
        <f>IF($C824="","","N-"&amp;TEXT(ROW()-3,"0000"))</f>
        <v/>
      </c>
      <c r="B824" s="46" t="n"/>
      <c r="C824" s="47" t="n"/>
      <c r="D824" s="27">
        <f>IF($C824="","",IF(COUNTIFS(ENVIOS!$A$4:$A$3003,$C824)=0,"NO EXISTE",IF(COUNTIFS(ENVIOS!$A$4:$A$3003,$C824)&gt;1,"DUPLICADA","OK")))</f>
        <v/>
      </c>
      <c r="E824" s="22">
        <f>IF($C824="","",IFERROR(INDEX(ENVIOS!$C$4:$C$3003,MATCH($C824,ENVIOS!$A$4:$A$3003,0)),"—"))</f>
        <v/>
      </c>
      <c r="F824" s="22">
        <f>IF($C824="","",IFERROR(INDEX(ENVIOS!$D$4:$D$3003,MATCH($C824,ENVIOS!$A$4:$A$3003,0)),"—"))</f>
        <v/>
      </c>
      <c r="G824" s="22">
        <f>IF($C824="","",IFERROR(INDEX(ENVIOS!$E$4:$E$3003,MATCH($C824,ENVIOS!$A$4:$A$3003,0)),"—"))</f>
        <v/>
      </c>
      <c r="H824" s="22">
        <f>IF($C824="","",IFERROR(INDEX(ENVIOS!$F$4:$F$3003,MATCH($C824,ENVIOS!$A$4:$A$3003,0)),"—"))</f>
        <v/>
      </c>
      <c r="I824" s="27">
        <f>IF($C824="","",IFERROR(INDEX(ENVIOS!$G$4:$G$3003,MATCH($C824,ENVIOS!$A$4:$A$3003,0)),"—"))</f>
        <v/>
      </c>
      <c r="J824" s="48">
        <f>IF($C824="","",IFERROR(INDEX(ENVIOS!$B$4:$B$3003,MATCH($C824,ENVIOS!$A$4:$A$3003,0)),""))</f>
        <v/>
      </c>
      <c r="K824" s="49" t="n"/>
      <c r="L824" s="27">
        <f>IF($K824="","",IFERROR(INDEX(CONFIG!$B$4:$B$43,MATCH($K824,CONFIG!$A$4:$A$43,0)),"Media"))</f>
        <v/>
      </c>
      <c r="M824" s="27">
        <f>IF($K824="","",IFERROR(INDEX(CONFIG!$D$4:$D$43,MATCH($K824,CONFIG!$A$4:$A$43,0)),"NO"))</f>
        <v/>
      </c>
      <c r="N824" s="49" t="n"/>
      <c r="O824" s="27">
        <f>IF($N824="","",IFERROR(INDEX(CONFIG!$G$4:$G$43,MATCH($N824,CONFIG!$F$4:$F$43,0)),"Por definir"))</f>
        <v/>
      </c>
      <c r="P824" s="27">
        <f>IF($N824="","",IFERROR(INDEX(CONFIG!$H$4:$H$43,MATCH($N824,CONFIG!$F$4:$F$43,0)),"Por definir"))</f>
        <v/>
      </c>
      <c r="Q824" s="50" t="n"/>
      <c r="R824" s="51" t="n"/>
      <c r="S824" s="49" t="n"/>
      <c r="T824" s="49" t="n"/>
      <c r="U824" s="48">
        <f>IF(OR($B824="",$K824=""),"",WORKDAY($B824,IFERROR(INDEX(CONFIG!$C$4:$C$43,MATCH($K824,CONFIG!$A$4:$A$43,0)),3)))</f>
        <v/>
      </c>
      <c r="V824" s="46" t="n"/>
      <c r="W824" s="23">
        <f>IF($B824="","",IF($V824&lt;&gt;"",$V824-$B824,TODAY()-$B824))</f>
        <v/>
      </c>
      <c r="X824" s="27">
        <f>IF($C824="","",IF(IFERROR(INDEX(CONFIG!$K$4:$K$43,MATCH($S824,CONFIG!$J$4:$J$43,0)),"NO")="SÍ",IF(OR($V824="",$U824=""),"Resuelta",IF($V824&gt;$U824,"Resuelta tarde","Resuelta a tiempo")),IF($U824="","Sin clasificar",IF(TODAY()&gt;$U824,"Vencida",IF(TODAY()&gt;=$U824-1,"Por vencer","En plazo")))))</f>
        <v/>
      </c>
      <c r="Y824" s="49" t="n"/>
      <c r="Z824" s="49" t="n"/>
    </row>
    <row r="825" ht="16" customHeight="1">
      <c r="A825" s="27">
        <f>IF($C825="","","N-"&amp;TEXT(ROW()-3,"0000"))</f>
        <v/>
      </c>
      <c r="B825" s="46" t="n"/>
      <c r="C825" s="47" t="n"/>
      <c r="D825" s="27">
        <f>IF($C825="","",IF(COUNTIFS(ENVIOS!$A$4:$A$3003,$C825)=0,"NO EXISTE",IF(COUNTIFS(ENVIOS!$A$4:$A$3003,$C825)&gt;1,"DUPLICADA","OK")))</f>
        <v/>
      </c>
      <c r="E825" s="22">
        <f>IF($C825="","",IFERROR(INDEX(ENVIOS!$C$4:$C$3003,MATCH($C825,ENVIOS!$A$4:$A$3003,0)),"—"))</f>
        <v/>
      </c>
      <c r="F825" s="22">
        <f>IF($C825="","",IFERROR(INDEX(ENVIOS!$D$4:$D$3003,MATCH($C825,ENVIOS!$A$4:$A$3003,0)),"—"))</f>
        <v/>
      </c>
      <c r="G825" s="22">
        <f>IF($C825="","",IFERROR(INDEX(ENVIOS!$E$4:$E$3003,MATCH($C825,ENVIOS!$A$4:$A$3003,0)),"—"))</f>
        <v/>
      </c>
      <c r="H825" s="22">
        <f>IF($C825="","",IFERROR(INDEX(ENVIOS!$F$4:$F$3003,MATCH($C825,ENVIOS!$A$4:$A$3003,0)),"—"))</f>
        <v/>
      </c>
      <c r="I825" s="27">
        <f>IF($C825="","",IFERROR(INDEX(ENVIOS!$G$4:$G$3003,MATCH($C825,ENVIOS!$A$4:$A$3003,0)),"—"))</f>
        <v/>
      </c>
      <c r="J825" s="48">
        <f>IF($C825="","",IFERROR(INDEX(ENVIOS!$B$4:$B$3003,MATCH($C825,ENVIOS!$A$4:$A$3003,0)),""))</f>
        <v/>
      </c>
      <c r="K825" s="49" t="n"/>
      <c r="L825" s="27">
        <f>IF($K825="","",IFERROR(INDEX(CONFIG!$B$4:$B$43,MATCH($K825,CONFIG!$A$4:$A$43,0)),"Media"))</f>
        <v/>
      </c>
      <c r="M825" s="27">
        <f>IF($K825="","",IFERROR(INDEX(CONFIG!$D$4:$D$43,MATCH($K825,CONFIG!$A$4:$A$43,0)),"NO"))</f>
        <v/>
      </c>
      <c r="N825" s="49" t="n"/>
      <c r="O825" s="27">
        <f>IF($N825="","",IFERROR(INDEX(CONFIG!$G$4:$G$43,MATCH($N825,CONFIG!$F$4:$F$43,0)),"Por definir"))</f>
        <v/>
      </c>
      <c r="P825" s="27">
        <f>IF($N825="","",IFERROR(INDEX(CONFIG!$H$4:$H$43,MATCH($N825,CONFIG!$F$4:$F$43,0)),"Por definir"))</f>
        <v/>
      </c>
      <c r="Q825" s="50" t="n"/>
      <c r="R825" s="51" t="n"/>
      <c r="S825" s="49" t="n"/>
      <c r="T825" s="49" t="n"/>
      <c r="U825" s="48">
        <f>IF(OR($B825="",$K825=""),"",WORKDAY($B825,IFERROR(INDEX(CONFIG!$C$4:$C$43,MATCH($K825,CONFIG!$A$4:$A$43,0)),3)))</f>
        <v/>
      </c>
      <c r="V825" s="46" t="n"/>
      <c r="W825" s="23">
        <f>IF($B825="","",IF($V825&lt;&gt;"",$V825-$B825,TODAY()-$B825))</f>
        <v/>
      </c>
      <c r="X825" s="27">
        <f>IF($C825="","",IF(IFERROR(INDEX(CONFIG!$K$4:$K$43,MATCH($S825,CONFIG!$J$4:$J$43,0)),"NO")="SÍ",IF(OR($V825="",$U825=""),"Resuelta",IF($V825&gt;$U825,"Resuelta tarde","Resuelta a tiempo")),IF($U825="","Sin clasificar",IF(TODAY()&gt;$U825,"Vencida",IF(TODAY()&gt;=$U825-1,"Por vencer","En plazo")))))</f>
        <v/>
      </c>
      <c r="Y825" s="49" t="n"/>
      <c r="Z825" s="49" t="n"/>
    </row>
    <row r="826" ht="16" customHeight="1">
      <c r="A826" s="27">
        <f>IF($C826="","","N-"&amp;TEXT(ROW()-3,"0000"))</f>
        <v/>
      </c>
      <c r="B826" s="46" t="n"/>
      <c r="C826" s="47" t="n"/>
      <c r="D826" s="27">
        <f>IF($C826="","",IF(COUNTIFS(ENVIOS!$A$4:$A$3003,$C826)=0,"NO EXISTE",IF(COUNTIFS(ENVIOS!$A$4:$A$3003,$C826)&gt;1,"DUPLICADA","OK")))</f>
        <v/>
      </c>
      <c r="E826" s="22">
        <f>IF($C826="","",IFERROR(INDEX(ENVIOS!$C$4:$C$3003,MATCH($C826,ENVIOS!$A$4:$A$3003,0)),"—"))</f>
        <v/>
      </c>
      <c r="F826" s="22">
        <f>IF($C826="","",IFERROR(INDEX(ENVIOS!$D$4:$D$3003,MATCH($C826,ENVIOS!$A$4:$A$3003,0)),"—"))</f>
        <v/>
      </c>
      <c r="G826" s="22">
        <f>IF($C826="","",IFERROR(INDEX(ENVIOS!$E$4:$E$3003,MATCH($C826,ENVIOS!$A$4:$A$3003,0)),"—"))</f>
        <v/>
      </c>
      <c r="H826" s="22">
        <f>IF($C826="","",IFERROR(INDEX(ENVIOS!$F$4:$F$3003,MATCH($C826,ENVIOS!$A$4:$A$3003,0)),"—"))</f>
        <v/>
      </c>
      <c r="I826" s="27">
        <f>IF($C826="","",IFERROR(INDEX(ENVIOS!$G$4:$G$3003,MATCH($C826,ENVIOS!$A$4:$A$3003,0)),"—"))</f>
        <v/>
      </c>
      <c r="J826" s="48">
        <f>IF($C826="","",IFERROR(INDEX(ENVIOS!$B$4:$B$3003,MATCH($C826,ENVIOS!$A$4:$A$3003,0)),""))</f>
        <v/>
      </c>
      <c r="K826" s="49" t="n"/>
      <c r="L826" s="27">
        <f>IF($K826="","",IFERROR(INDEX(CONFIG!$B$4:$B$43,MATCH($K826,CONFIG!$A$4:$A$43,0)),"Media"))</f>
        <v/>
      </c>
      <c r="M826" s="27">
        <f>IF($K826="","",IFERROR(INDEX(CONFIG!$D$4:$D$43,MATCH($K826,CONFIG!$A$4:$A$43,0)),"NO"))</f>
        <v/>
      </c>
      <c r="N826" s="49" t="n"/>
      <c r="O826" s="27">
        <f>IF($N826="","",IFERROR(INDEX(CONFIG!$G$4:$G$43,MATCH($N826,CONFIG!$F$4:$F$43,0)),"Por definir"))</f>
        <v/>
      </c>
      <c r="P826" s="27">
        <f>IF($N826="","",IFERROR(INDEX(CONFIG!$H$4:$H$43,MATCH($N826,CONFIG!$F$4:$F$43,0)),"Por definir"))</f>
        <v/>
      </c>
      <c r="Q826" s="50" t="n"/>
      <c r="R826" s="51" t="n"/>
      <c r="S826" s="49" t="n"/>
      <c r="T826" s="49" t="n"/>
      <c r="U826" s="48">
        <f>IF(OR($B826="",$K826=""),"",WORKDAY($B826,IFERROR(INDEX(CONFIG!$C$4:$C$43,MATCH($K826,CONFIG!$A$4:$A$43,0)),3)))</f>
        <v/>
      </c>
      <c r="V826" s="46" t="n"/>
      <c r="W826" s="23">
        <f>IF($B826="","",IF($V826&lt;&gt;"",$V826-$B826,TODAY()-$B826))</f>
        <v/>
      </c>
      <c r="X826" s="27">
        <f>IF($C826="","",IF(IFERROR(INDEX(CONFIG!$K$4:$K$43,MATCH($S826,CONFIG!$J$4:$J$43,0)),"NO")="SÍ",IF(OR($V826="",$U826=""),"Resuelta",IF($V826&gt;$U826,"Resuelta tarde","Resuelta a tiempo")),IF($U826="","Sin clasificar",IF(TODAY()&gt;$U826,"Vencida",IF(TODAY()&gt;=$U826-1,"Por vencer","En plazo")))))</f>
        <v/>
      </c>
      <c r="Y826" s="49" t="n"/>
      <c r="Z826" s="49" t="n"/>
    </row>
    <row r="827" ht="16" customHeight="1">
      <c r="A827" s="27">
        <f>IF($C827="","","N-"&amp;TEXT(ROW()-3,"0000"))</f>
        <v/>
      </c>
      <c r="B827" s="46" t="n"/>
      <c r="C827" s="47" t="n"/>
      <c r="D827" s="27">
        <f>IF($C827="","",IF(COUNTIFS(ENVIOS!$A$4:$A$3003,$C827)=0,"NO EXISTE",IF(COUNTIFS(ENVIOS!$A$4:$A$3003,$C827)&gt;1,"DUPLICADA","OK")))</f>
        <v/>
      </c>
      <c r="E827" s="22">
        <f>IF($C827="","",IFERROR(INDEX(ENVIOS!$C$4:$C$3003,MATCH($C827,ENVIOS!$A$4:$A$3003,0)),"—"))</f>
        <v/>
      </c>
      <c r="F827" s="22">
        <f>IF($C827="","",IFERROR(INDEX(ENVIOS!$D$4:$D$3003,MATCH($C827,ENVIOS!$A$4:$A$3003,0)),"—"))</f>
        <v/>
      </c>
      <c r="G827" s="22">
        <f>IF($C827="","",IFERROR(INDEX(ENVIOS!$E$4:$E$3003,MATCH($C827,ENVIOS!$A$4:$A$3003,0)),"—"))</f>
        <v/>
      </c>
      <c r="H827" s="22">
        <f>IF($C827="","",IFERROR(INDEX(ENVIOS!$F$4:$F$3003,MATCH($C827,ENVIOS!$A$4:$A$3003,0)),"—"))</f>
        <v/>
      </c>
      <c r="I827" s="27">
        <f>IF($C827="","",IFERROR(INDEX(ENVIOS!$G$4:$G$3003,MATCH($C827,ENVIOS!$A$4:$A$3003,0)),"—"))</f>
        <v/>
      </c>
      <c r="J827" s="48">
        <f>IF($C827="","",IFERROR(INDEX(ENVIOS!$B$4:$B$3003,MATCH($C827,ENVIOS!$A$4:$A$3003,0)),""))</f>
        <v/>
      </c>
      <c r="K827" s="49" t="n"/>
      <c r="L827" s="27">
        <f>IF($K827="","",IFERROR(INDEX(CONFIG!$B$4:$B$43,MATCH($K827,CONFIG!$A$4:$A$43,0)),"Media"))</f>
        <v/>
      </c>
      <c r="M827" s="27">
        <f>IF($K827="","",IFERROR(INDEX(CONFIG!$D$4:$D$43,MATCH($K827,CONFIG!$A$4:$A$43,0)),"NO"))</f>
        <v/>
      </c>
      <c r="N827" s="49" t="n"/>
      <c r="O827" s="27">
        <f>IF($N827="","",IFERROR(INDEX(CONFIG!$G$4:$G$43,MATCH($N827,CONFIG!$F$4:$F$43,0)),"Por definir"))</f>
        <v/>
      </c>
      <c r="P827" s="27">
        <f>IF($N827="","",IFERROR(INDEX(CONFIG!$H$4:$H$43,MATCH($N827,CONFIG!$F$4:$F$43,0)),"Por definir"))</f>
        <v/>
      </c>
      <c r="Q827" s="50" t="n"/>
      <c r="R827" s="51" t="n"/>
      <c r="S827" s="49" t="n"/>
      <c r="T827" s="49" t="n"/>
      <c r="U827" s="48">
        <f>IF(OR($B827="",$K827=""),"",WORKDAY($B827,IFERROR(INDEX(CONFIG!$C$4:$C$43,MATCH($K827,CONFIG!$A$4:$A$43,0)),3)))</f>
        <v/>
      </c>
      <c r="V827" s="46" t="n"/>
      <c r="W827" s="23">
        <f>IF($B827="","",IF($V827&lt;&gt;"",$V827-$B827,TODAY()-$B827))</f>
        <v/>
      </c>
      <c r="X827" s="27">
        <f>IF($C827="","",IF(IFERROR(INDEX(CONFIG!$K$4:$K$43,MATCH($S827,CONFIG!$J$4:$J$43,0)),"NO")="SÍ",IF(OR($V827="",$U827=""),"Resuelta",IF($V827&gt;$U827,"Resuelta tarde","Resuelta a tiempo")),IF($U827="","Sin clasificar",IF(TODAY()&gt;$U827,"Vencida",IF(TODAY()&gt;=$U827-1,"Por vencer","En plazo")))))</f>
        <v/>
      </c>
      <c r="Y827" s="49" t="n"/>
      <c r="Z827" s="49" t="n"/>
    </row>
    <row r="828" ht="16" customHeight="1">
      <c r="A828" s="27">
        <f>IF($C828="","","N-"&amp;TEXT(ROW()-3,"0000"))</f>
        <v/>
      </c>
      <c r="B828" s="46" t="n"/>
      <c r="C828" s="47" t="n"/>
      <c r="D828" s="27">
        <f>IF($C828="","",IF(COUNTIFS(ENVIOS!$A$4:$A$3003,$C828)=0,"NO EXISTE",IF(COUNTIFS(ENVIOS!$A$4:$A$3003,$C828)&gt;1,"DUPLICADA","OK")))</f>
        <v/>
      </c>
      <c r="E828" s="22">
        <f>IF($C828="","",IFERROR(INDEX(ENVIOS!$C$4:$C$3003,MATCH($C828,ENVIOS!$A$4:$A$3003,0)),"—"))</f>
        <v/>
      </c>
      <c r="F828" s="22">
        <f>IF($C828="","",IFERROR(INDEX(ENVIOS!$D$4:$D$3003,MATCH($C828,ENVIOS!$A$4:$A$3003,0)),"—"))</f>
        <v/>
      </c>
      <c r="G828" s="22">
        <f>IF($C828="","",IFERROR(INDEX(ENVIOS!$E$4:$E$3003,MATCH($C828,ENVIOS!$A$4:$A$3003,0)),"—"))</f>
        <v/>
      </c>
      <c r="H828" s="22">
        <f>IF($C828="","",IFERROR(INDEX(ENVIOS!$F$4:$F$3003,MATCH($C828,ENVIOS!$A$4:$A$3003,0)),"—"))</f>
        <v/>
      </c>
      <c r="I828" s="27">
        <f>IF($C828="","",IFERROR(INDEX(ENVIOS!$G$4:$G$3003,MATCH($C828,ENVIOS!$A$4:$A$3003,0)),"—"))</f>
        <v/>
      </c>
      <c r="J828" s="48">
        <f>IF($C828="","",IFERROR(INDEX(ENVIOS!$B$4:$B$3003,MATCH($C828,ENVIOS!$A$4:$A$3003,0)),""))</f>
        <v/>
      </c>
      <c r="K828" s="49" t="n"/>
      <c r="L828" s="27">
        <f>IF($K828="","",IFERROR(INDEX(CONFIG!$B$4:$B$43,MATCH($K828,CONFIG!$A$4:$A$43,0)),"Media"))</f>
        <v/>
      </c>
      <c r="M828" s="27">
        <f>IF($K828="","",IFERROR(INDEX(CONFIG!$D$4:$D$43,MATCH($K828,CONFIG!$A$4:$A$43,0)),"NO"))</f>
        <v/>
      </c>
      <c r="N828" s="49" t="n"/>
      <c r="O828" s="27">
        <f>IF($N828="","",IFERROR(INDEX(CONFIG!$G$4:$G$43,MATCH($N828,CONFIG!$F$4:$F$43,0)),"Por definir"))</f>
        <v/>
      </c>
      <c r="P828" s="27">
        <f>IF($N828="","",IFERROR(INDEX(CONFIG!$H$4:$H$43,MATCH($N828,CONFIG!$F$4:$F$43,0)),"Por definir"))</f>
        <v/>
      </c>
      <c r="Q828" s="50" t="n"/>
      <c r="R828" s="51" t="n"/>
      <c r="S828" s="49" t="n"/>
      <c r="T828" s="49" t="n"/>
      <c r="U828" s="48">
        <f>IF(OR($B828="",$K828=""),"",WORKDAY($B828,IFERROR(INDEX(CONFIG!$C$4:$C$43,MATCH($K828,CONFIG!$A$4:$A$43,0)),3)))</f>
        <v/>
      </c>
      <c r="V828" s="46" t="n"/>
      <c r="W828" s="23">
        <f>IF($B828="","",IF($V828&lt;&gt;"",$V828-$B828,TODAY()-$B828))</f>
        <v/>
      </c>
      <c r="X828" s="27">
        <f>IF($C828="","",IF(IFERROR(INDEX(CONFIG!$K$4:$K$43,MATCH($S828,CONFIG!$J$4:$J$43,0)),"NO")="SÍ",IF(OR($V828="",$U828=""),"Resuelta",IF($V828&gt;$U828,"Resuelta tarde","Resuelta a tiempo")),IF($U828="","Sin clasificar",IF(TODAY()&gt;$U828,"Vencida",IF(TODAY()&gt;=$U828-1,"Por vencer","En plazo")))))</f>
        <v/>
      </c>
      <c r="Y828" s="49" t="n"/>
      <c r="Z828" s="49" t="n"/>
    </row>
    <row r="829" ht="16" customHeight="1">
      <c r="A829" s="27">
        <f>IF($C829="","","N-"&amp;TEXT(ROW()-3,"0000"))</f>
        <v/>
      </c>
      <c r="B829" s="46" t="n"/>
      <c r="C829" s="47" t="n"/>
      <c r="D829" s="27">
        <f>IF($C829="","",IF(COUNTIFS(ENVIOS!$A$4:$A$3003,$C829)=0,"NO EXISTE",IF(COUNTIFS(ENVIOS!$A$4:$A$3003,$C829)&gt;1,"DUPLICADA","OK")))</f>
        <v/>
      </c>
      <c r="E829" s="22">
        <f>IF($C829="","",IFERROR(INDEX(ENVIOS!$C$4:$C$3003,MATCH($C829,ENVIOS!$A$4:$A$3003,0)),"—"))</f>
        <v/>
      </c>
      <c r="F829" s="22">
        <f>IF($C829="","",IFERROR(INDEX(ENVIOS!$D$4:$D$3003,MATCH($C829,ENVIOS!$A$4:$A$3003,0)),"—"))</f>
        <v/>
      </c>
      <c r="G829" s="22">
        <f>IF($C829="","",IFERROR(INDEX(ENVIOS!$E$4:$E$3003,MATCH($C829,ENVIOS!$A$4:$A$3003,0)),"—"))</f>
        <v/>
      </c>
      <c r="H829" s="22">
        <f>IF($C829="","",IFERROR(INDEX(ENVIOS!$F$4:$F$3003,MATCH($C829,ENVIOS!$A$4:$A$3003,0)),"—"))</f>
        <v/>
      </c>
      <c r="I829" s="27">
        <f>IF($C829="","",IFERROR(INDEX(ENVIOS!$G$4:$G$3003,MATCH($C829,ENVIOS!$A$4:$A$3003,0)),"—"))</f>
        <v/>
      </c>
      <c r="J829" s="48">
        <f>IF($C829="","",IFERROR(INDEX(ENVIOS!$B$4:$B$3003,MATCH($C829,ENVIOS!$A$4:$A$3003,0)),""))</f>
        <v/>
      </c>
      <c r="K829" s="49" t="n"/>
      <c r="L829" s="27">
        <f>IF($K829="","",IFERROR(INDEX(CONFIG!$B$4:$B$43,MATCH($K829,CONFIG!$A$4:$A$43,0)),"Media"))</f>
        <v/>
      </c>
      <c r="M829" s="27">
        <f>IF($K829="","",IFERROR(INDEX(CONFIG!$D$4:$D$43,MATCH($K829,CONFIG!$A$4:$A$43,0)),"NO"))</f>
        <v/>
      </c>
      <c r="N829" s="49" t="n"/>
      <c r="O829" s="27">
        <f>IF($N829="","",IFERROR(INDEX(CONFIG!$G$4:$G$43,MATCH($N829,CONFIG!$F$4:$F$43,0)),"Por definir"))</f>
        <v/>
      </c>
      <c r="P829" s="27">
        <f>IF($N829="","",IFERROR(INDEX(CONFIG!$H$4:$H$43,MATCH($N829,CONFIG!$F$4:$F$43,0)),"Por definir"))</f>
        <v/>
      </c>
      <c r="Q829" s="50" t="n"/>
      <c r="R829" s="51" t="n"/>
      <c r="S829" s="49" t="n"/>
      <c r="T829" s="49" t="n"/>
      <c r="U829" s="48">
        <f>IF(OR($B829="",$K829=""),"",WORKDAY($B829,IFERROR(INDEX(CONFIG!$C$4:$C$43,MATCH($K829,CONFIG!$A$4:$A$43,0)),3)))</f>
        <v/>
      </c>
      <c r="V829" s="46" t="n"/>
      <c r="W829" s="23">
        <f>IF($B829="","",IF($V829&lt;&gt;"",$V829-$B829,TODAY()-$B829))</f>
        <v/>
      </c>
      <c r="X829" s="27">
        <f>IF($C829="","",IF(IFERROR(INDEX(CONFIG!$K$4:$K$43,MATCH($S829,CONFIG!$J$4:$J$43,0)),"NO")="SÍ",IF(OR($V829="",$U829=""),"Resuelta",IF($V829&gt;$U829,"Resuelta tarde","Resuelta a tiempo")),IF($U829="","Sin clasificar",IF(TODAY()&gt;$U829,"Vencida",IF(TODAY()&gt;=$U829-1,"Por vencer","En plazo")))))</f>
        <v/>
      </c>
      <c r="Y829" s="49" t="n"/>
      <c r="Z829" s="49" t="n"/>
    </row>
    <row r="830" ht="16" customHeight="1">
      <c r="A830" s="27">
        <f>IF($C830="","","N-"&amp;TEXT(ROW()-3,"0000"))</f>
        <v/>
      </c>
      <c r="B830" s="46" t="n"/>
      <c r="C830" s="47" t="n"/>
      <c r="D830" s="27">
        <f>IF($C830="","",IF(COUNTIFS(ENVIOS!$A$4:$A$3003,$C830)=0,"NO EXISTE",IF(COUNTIFS(ENVIOS!$A$4:$A$3003,$C830)&gt;1,"DUPLICADA","OK")))</f>
        <v/>
      </c>
      <c r="E830" s="22">
        <f>IF($C830="","",IFERROR(INDEX(ENVIOS!$C$4:$C$3003,MATCH($C830,ENVIOS!$A$4:$A$3003,0)),"—"))</f>
        <v/>
      </c>
      <c r="F830" s="22">
        <f>IF($C830="","",IFERROR(INDEX(ENVIOS!$D$4:$D$3003,MATCH($C830,ENVIOS!$A$4:$A$3003,0)),"—"))</f>
        <v/>
      </c>
      <c r="G830" s="22">
        <f>IF($C830="","",IFERROR(INDEX(ENVIOS!$E$4:$E$3003,MATCH($C830,ENVIOS!$A$4:$A$3003,0)),"—"))</f>
        <v/>
      </c>
      <c r="H830" s="22">
        <f>IF($C830="","",IFERROR(INDEX(ENVIOS!$F$4:$F$3003,MATCH($C830,ENVIOS!$A$4:$A$3003,0)),"—"))</f>
        <v/>
      </c>
      <c r="I830" s="27">
        <f>IF($C830="","",IFERROR(INDEX(ENVIOS!$G$4:$G$3003,MATCH($C830,ENVIOS!$A$4:$A$3003,0)),"—"))</f>
        <v/>
      </c>
      <c r="J830" s="48">
        <f>IF($C830="","",IFERROR(INDEX(ENVIOS!$B$4:$B$3003,MATCH($C830,ENVIOS!$A$4:$A$3003,0)),""))</f>
        <v/>
      </c>
      <c r="K830" s="49" t="n"/>
      <c r="L830" s="27">
        <f>IF($K830="","",IFERROR(INDEX(CONFIG!$B$4:$B$43,MATCH($K830,CONFIG!$A$4:$A$43,0)),"Media"))</f>
        <v/>
      </c>
      <c r="M830" s="27">
        <f>IF($K830="","",IFERROR(INDEX(CONFIG!$D$4:$D$43,MATCH($K830,CONFIG!$A$4:$A$43,0)),"NO"))</f>
        <v/>
      </c>
      <c r="N830" s="49" t="n"/>
      <c r="O830" s="27">
        <f>IF($N830="","",IFERROR(INDEX(CONFIG!$G$4:$G$43,MATCH($N830,CONFIG!$F$4:$F$43,0)),"Por definir"))</f>
        <v/>
      </c>
      <c r="P830" s="27">
        <f>IF($N830="","",IFERROR(INDEX(CONFIG!$H$4:$H$43,MATCH($N830,CONFIG!$F$4:$F$43,0)),"Por definir"))</f>
        <v/>
      </c>
      <c r="Q830" s="50" t="n"/>
      <c r="R830" s="51" t="n"/>
      <c r="S830" s="49" t="n"/>
      <c r="T830" s="49" t="n"/>
      <c r="U830" s="48">
        <f>IF(OR($B830="",$K830=""),"",WORKDAY($B830,IFERROR(INDEX(CONFIG!$C$4:$C$43,MATCH($K830,CONFIG!$A$4:$A$43,0)),3)))</f>
        <v/>
      </c>
      <c r="V830" s="46" t="n"/>
      <c r="W830" s="23">
        <f>IF($B830="","",IF($V830&lt;&gt;"",$V830-$B830,TODAY()-$B830))</f>
        <v/>
      </c>
      <c r="X830" s="27">
        <f>IF($C830="","",IF(IFERROR(INDEX(CONFIG!$K$4:$K$43,MATCH($S830,CONFIG!$J$4:$J$43,0)),"NO")="SÍ",IF(OR($V830="",$U830=""),"Resuelta",IF($V830&gt;$U830,"Resuelta tarde","Resuelta a tiempo")),IF($U830="","Sin clasificar",IF(TODAY()&gt;$U830,"Vencida",IF(TODAY()&gt;=$U830-1,"Por vencer","En plazo")))))</f>
        <v/>
      </c>
      <c r="Y830" s="49" t="n"/>
      <c r="Z830" s="49" t="n"/>
    </row>
    <row r="831" ht="16" customHeight="1">
      <c r="A831" s="27">
        <f>IF($C831="","","N-"&amp;TEXT(ROW()-3,"0000"))</f>
        <v/>
      </c>
      <c r="B831" s="46" t="n"/>
      <c r="C831" s="47" t="n"/>
      <c r="D831" s="27">
        <f>IF($C831="","",IF(COUNTIFS(ENVIOS!$A$4:$A$3003,$C831)=0,"NO EXISTE",IF(COUNTIFS(ENVIOS!$A$4:$A$3003,$C831)&gt;1,"DUPLICADA","OK")))</f>
        <v/>
      </c>
      <c r="E831" s="22">
        <f>IF($C831="","",IFERROR(INDEX(ENVIOS!$C$4:$C$3003,MATCH($C831,ENVIOS!$A$4:$A$3003,0)),"—"))</f>
        <v/>
      </c>
      <c r="F831" s="22">
        <f>IF($C831="","",IFERROR(INDEX(ENVIOS!$D$4:$D$3003,MATCH($C831,ENVIOS!$A$4:$A$3003,0)),"—"))</f>
        <v/>
      </c>
      <c r="G831" s="22">
        <f>IF($C831="","",IFERROR(INDEX(ENVIOS!$E$4:$E$3003,MATCH($C831,ENVIOS!$A$4:$A$3003,0)),"—"))</f>
        <v/>
      </c>
      <c r="H831" s="22">
        <f>IF($C831="","",IFERROR(INDEX(ENVIOS!$F$4:$F$3003,MATCH($C831,ENVIOS!$A$4:$A$3003,0)),"—"))</f>
        <v/>
      </c>
      <c r="I831" s="27">
        <f>IF($C831="","",IFERROR(INDEX(ENVIOS!$G$4:$G$3003,MATCH($C831,ENVIOS!$A$4:$A$3003,0)),"—"))</f>
        <v/>
      </c>
      <c r="J831" s="48">
        <f>IF($C831="","",IFERROR(INDEX(ENVIOS!$B$4:$B$3003,MATCH($C831,ENVIOS!$A$4:$A$3003,0)),""))</f>
        <v/>
      </c>
      <c r="K831" s="49" t="n"/>
      <c r="L831" s="27">
        <f>IF($K831="","",IFERROR(INDEX(CONFIG!$B$4:$B$43,MATCH($K831,CONFIG!$A$4:$A$43,0)),"Media"))</f>
        <v/>
      </c>
      <c r="M831" s="27">
        <f>IF($K831="","",IFERROR(INDEX(CONFIG!$D$4:$D$43,MATCH($K831,CONFIG!$A$4:$A$43,0)),"NO"))</f>
        <v/>
      </c>
      <c r="N831" s="49" t="n"/>
      <c r="O831" s="27">
        <f>IF($N831="","",IFERROR(INDEX(CONFIG!$G$4:$G$43,MATCH($N831,CONFIG!$F$4:$F$43,0)),"Por definir"))</f>
        <v/>
      </c>
      <c r="P831" s="27">
        <f>IF($N831="","",IFERROR(INDEX(CONFIG!$H$4:$H$43,MATCH($N831,CONFIG!$F$4:$F$43,0)),"Por definir"))</f>
        <v/>
      </c>
      <c r="Q831" s="50" t="n"/>
      <c r="R831" s="51" t="n"/>
      <c r="S831" s="49" t="n"/>
      <c r="T831" s="49" t="n"/>
      <c r="U831" s="48">
        <f>IF(OR($B831="",$K831=""),"",WORKDAY($B831,IFERROR(INDEX(CONFIG!$C$4:$C$43,MATCH($K831,CONFIG!$A$4:$A$43,0)),3)))</f>
        <v/>
      </c>
      <c r="V831" s="46" t="n"/>
      <c r="W831" s="23">
        <f>IF($B831="","",IF($V831&lt;&gt;"",$V831-$B831,TODAY()-$B831))</f>
        <v/>
      </c>
      <c r="X831" s="27">
        <f>IF($C831="","",IF(IFERROR(INDEX(CONFIG!$K$4:$K$43,MATCH($S831,CONFIG!$J$4:$J$43,0)),"NO")="SÍ",IF(OR($V831="",$U831=""),"Resuelta",IF($V831&gt;$U831,"Resuelta tarde","Resuelta a tiempo")),IF($U831="","Sin clasificar",IF(TODAY()&gt;$U831,"Vencida",IF(TODAY()&gt;=$U831-1,"Por vencer","En plazo")))))</f>
        <v/>
      </c>
      <c r="Y831" s="49" t="n"/>
      <c r="Z831" s="49" t="n"/>
    </row>
    <row r="832" ht="16" customHeight="1">
      <c r="A832" s="27">
        <f>IF($C832="","","N-"&amp;TEXT(ROW()-3,"0000"))</f>
        <v/>
      </c>
      <c r="B832" s="46" t="n"/>
      <c r="C832" s="47" t="n"/>
      <c r="D832" s="27">
        <f>IF($C832="","",IF(COUNTIFS(ENVIOS!$A$4:$A$3003,$C832)=0,"NO EXISTE",IF(COUNTIFS(ENVIOS!$A$4:$A$3003,$C832)&gt;1,"DUPLICADA","OK")))</f>
        <v/>
      </c>
      <c r="E832" s="22">
        <f>IF($C832="","",IFERROR(INDEX(ENVIOS!$C$4:$C$3003,MATCH($C832,ENVIOS!$A$4:$A$3003,0)),"—"))</f>
        <v/>
      </c>
      <c r="F832" s="22">
        <f>IF($C832="","",IFERROR(INDEX(ENVIOS!$D$4:$D$3003,MATCH($C832,ENVIOS!$A$4:$A$3003,0)),"—"))</f>
        <v/>
      </c>
      <c r="G832" s="22">
        <f>IF($C832="","",IFERROR(INDEX(ENVIOS!$E$4:$E$3003,MATCH($C832,ENVIOS!$A$4:$A$3003,0)),"—"))</f>
        <v/>
      </c>
      <c r="H832" s="22">
        <f>IF($C832="","",IFERROR(INDEX(ENVIOS!$F$4:$F$3003,MATCH($C832,ENVIOS!$A$4:$A$3003,0)),"—"))</f>
        <v/>
      </c>
      <c r="I832" s="27">
        <f>IF($C832="","",IFERROR(INDEX(ENVIOS!$G$4:$G$3003,MATCH($C832,ENVIOS!$A$4:$A$3003,0)),"—"))</f>
        <v/>
      </c>
      <c r="J832" s="48">
        <f>IF($C832="","",IFERROR(INDEX(ENVIOS!$B$4:$B$3003,MATCH($C832,ENVIOS!$A$4:$A$3003,0)),""))</f>
        <v/>
      </c>
      <c r="K832" s="49" t="n"/>
      <c r="L832" s="27">
        <f>IF($K832="","",IFERROR(INDEX(CONFIG!$B$4:$B$43,MATCH($K832,CONFIG!$A$4:$A$43,0)),"Media"))</f>
        <v/>
      </c>
      <c r="M832" s="27">
        <f>IF($K832="","",IFERROR(INDEX(CONFIG!$D$4:$D$43,MATCH($K832,CONFIG!$A$4:$A$43,0)),"NO"))</f>
        <v/>
      </c>
      <c r="N832" s="49" t="n"/>
      <c r="O832" s="27">
        <f>IF($N832="","",IFERROR(INDEX(CONFIG!$G$4:$G$43,MATCH($N832,CONFIG!$F$4:$F$43,0)),"Por definir"))</f>
        <v/>
      </c>
      <c r="P832" s="27">
        <f>IF($N832="","",IFERROR(INDEX(CONFIG!$H$4:$H$43,MATCH($N832,CONFIG!$F$4:$F$43,0)),"Por definir"))</f>
        <v/>
      </c>
      <c r="Q832" s="50" t="n"/>
      <c r="R832" s="51" t="n"/>
      <c r="S832" s="49" t="n"/>
      <c r="T832" s="49" t="n"/>
      <c r="U832" s="48">
        <f>IF(OR($B832="",$K832=""),"",WORKDAY($B832,IFERROR(INDEX(CONFIG!$C$4:$C$43,MATCH($K832,CONFIG!$A$4:$A$43,0)),3)))</f>
        <v/>
      </c>
      <c r="V832" s="46" t="n"/>
      <c r="W832" s="23">
        <f>IF($B832="","",IF($V832&lt;&gt;"",$V832-$B832,TODAY()-$B832))</f>
        <v/>
      </c>
      <c r="X832" s="27">
        <f>IF($C832="","",IF(IFERROR(INDEX(CONFIG!$K$4:$K$43,MATCH($S832,CONFIG!$J$4:$J$43,0)),"NO")="SÍ",IF(OR($V832="",$U832=""),"Resuelta",IF($V832&gt;$U832,"Resuelta tarde","Resuelta a tiempo")),IF($U832="","Sin clasificar",IF(TODAY()&gt;$U832,"Vencida",IF(TODAY()&gt;=$U832-1,"Por vencer","En plazo")))))</f>
        <v/>
      </c>
      <c r="Y832" s="49" t="n"/>
      <c r="Z832" s="49" t="n"/>
    </row>
    <row r="833" ht="16" customHeight="1">
      <c r="A833" s="27">
        <f>IF($C833="","","N-"&amp;TEXT(ROW()-3,"0000"))</f>
        <v/>
      </c>
      <c r="B833" s="46" t="n"/>
      <c r="C833" s="47" t="n"/>
      <c r="D833" s="27">
        <f>IF($C833="","",IF(COUNTIFS(ENVIOS!$A$4:$A$3003,$C833)=0,"NO EXISTE",IF(COUNTIFS(ENVIOS!$A$4:$A$3003,$C833)&gt;1,"DUPLICADA","OK")))</f>
        <v/>
      </c>
      <c r="E833" s="22">
        <f>IF($C833="","",IFERROR(INDEX(ENVIOS!$C$4:$C$3003,MATCH($C833,ENVIOS!$A$4:$A$3003,0)),"—"))</f>
        <v/>
      </c>
      <c r="F833" s="22">
        <f>IF($C833="","",IFERROR(INDEX(ENVIOS!$D$4:$D$3003,MATCH($C833,ENVIOS!$A$4:$A$3003,0)),"—"))</f>
        <v/>
      </c>
      <c r="G833" s="22">
        <f>IF($C833="","",IFERROR(INDEX(ENVIOS!$E$4:$E$3003,MATCH($C833,ENVIOS!$A$4:$A$3003,0)),"—"))</f>
        <v/>
      </c>
      <c r="H833" s="22">
        <f>IF($C833="","",IFERROR(INDEX(ENVIOS!$F$4:$F$3003,MATCH($C833,ENVIOS!$A$4:$A$3003,0)),"—"))</f>
        <v/>
      </c>
      <c r="I833" s="27">
        <f>IF($C833="","",IFERROR(INDEX(ENVIOS!$G$4:$G$3003,MATCH($C833,ENVIOS!$A$4:$A$3003,0)),"—"))</f>
        <v/>
      </c>
      <c r="J833" s="48">
        <f>IF($C833="","",IFERROR(INDEX(ENVIOS!$B$4:$B$3003,MATCH($C833,ENVIOS!$A$4:$A$3003,0)),""))</f>
        <v/>
      </c>
      <c r="K833" s="49" t="n"/>
      <c r="L833" s="27">
        <f>IF($K833="","",IFERROR(INDEX(CONFIG!$B$4:$B$43,MATCH($K833,CONFIG!$A$4:$A$43,0)),"Media"))</f>
        <v/>
      </c>
      <c r="M833" s="27">
        <f>IF($K833="","",IFERROR(INDEX(CONFIG!$D$4:$D$43,MATCH($K833,CONFIG!$A$4:$A$43,0)),"NO"))</f>
        <v/>
      </c>
      <c r="N833" s="49" t="n"/>
      <c r="O833" s="27">
        <f>IF($N833="","",IFERROR(INDEX(CONFIG!$G$4:$G$43,MATCH($N833,CONFIG!$F$4:$F$43,0)),"Por definir"))</f>
        <v/>
      </c>
      <c r="P833" s="27">
        <f>IF($N833="","",IFERROR(INDEX(CONFIG!$H$4:$H$43,MATCH($N833,CONFIG!$F$4:$F$43,0)),"Por definir"))</f>
        <v/>
      </c>
      <c r="Q833" s="50" t="n"/>
      <c r="R833" s="51" t="n"/>
      <c r="S833" s="49" t="n"/>
      <c r="T833" s="49" t="n"/>
      <c r="U833" s="48">
        <f>IF(OR($B833="",$K833=""),"",WORKDAY($B833,IFERROR(INDEX(CONFIG!$C$4:$C$43,MATCH($K833,CONFIG!$A$4:$A$43,0)),3)))</f>
        <v/>
      </c>
      <c r="V833" s="46" t="n"/>
      <c r="W833" s="23">
        <f>IF($B833="","",IF($V833&lt;&gt;"",$V833-$B833,TODAY()-$B833))</f>
        <v/>
      </c>
      <c r="X833" s="27">
        <f>IF($C833="","",IF(IFERROR(INDEX(CONFIG!$K$4:$K$43,MATCH($S833,CONFIG!$J$4:$J$43,0)),"NO")="SÍ",IF(OR($V833="",$U833=""),"Resuelta",IF($V833&gt;$U833,"Resuelta tarde","Resuelta a tiempo")),IF($U833="","Sin clasificar",IF(TODAY()&gt;$U833,"Vencida",IF(TODAY()&gt;=$U833-1,"Por vencer","En plazo")))))</f>
        <v/>
      </c>
      <c r="Y833" s="49" t="n"/>
      <c r="Z833" s="49" t="n"/>
    </row>
    <row r="834" ht="16" customHeight="1">
      <c r="A834" s="27">
        <f>IF($C834="","","N-"&amp;TEXT(ROW()-3,"0000"))</f>
        <v/>
      </c>
      <c r="B834" s="46" t="n"/>
      <c r="C834" s="47" t="n"/>
      <c r="D834" s="27">
        <f>IF($C834="","",IF(COUNTIFS(ENVIOS!$A$4:$A$3003,$C834)=0,"NO EXISTE",IF(COUNTIFS(ENVIOS!$A$4:$A$3003,$C834)&gt;1,"DUPLICADA","OK")))</f>
        <v/>
      </c>
      <c r="E834" s="22">
        <f>IF($C834="","",IFERROR(INDEX(ENVIOS!$C$4:$C$3003,MATCH($C834,ENVIOS!$A$4:$A$3003,0)),"—"))</f>
        <v/>
      </c>
      <c r="F834" s="22">
        <f>IF($C834="","",IFERROR(INDEX(ENVIOS!$D$4:$D$3003,MATCH($C834,ENVIOS!$A$4:$A$3003,0)),"—"))</f>
        <v/>
      </c>
      <c r="G834" s="22">
        <f>IF($C834="","",IFERROR(INDEX(ENVIOS!$E$4:$E$3003,MATCH($C834,ENVIOS!$A$4:$A$3003,0)),"—"))</f>
        <v/>
      </c>
      <c r="H834" s="22">
        <f>IF($C834="","",IFERROR(INDEX(ENVIOS!$F$4:$F$3003,MATCH($C834,ENVIOS!$A$4:$A$3003,0)),"—"))</f>
        <v/>
      </c>
      <c r="I834" s="27">
        <f>IF($C834="","",IFERROR(INDEX(ENVIOS!$G$4:$G$3003,MATCH($C834,ENVIOS!$A$4:$A$3003,0)),"—"))</f>
        <v/>
      </c>
      <c r="J834" s="48">
        <f>IF($C834="","",IFERROR(INDEX(ENVIOS!$B$4:$B$3003,MATCH($C834,ENVIOS!$A$4:$A$3003,0)),""))</f>
        <v/>
      </c>
      <c r="K834" s="49" t="n"/>
      <c r="L834" s="27">
        <f>IF($K834="","",IFERROR(INDEX(CONFIG!$B$4:$B$43,MATCH($K834,CONFIG!$A$4:$A$43,0)),"Media"))</f>
        <v/>
      </c>
      <c r="M834" s="27">
        <f>IF($K834="","",IFERROR(INDEX(CONFIG!$D$4:$D$43,MATCH($K834,CONFIG!$A$4:$A$43,0)),"NO"))</f>
        <v/>
      </c>
      <c r="N834" s="49" t="n"/>
      <c r="O834" s="27">
        <f>IF($N834="","",IFERROR(INDEX(CONFIG!$G$4:$G$43,MATCH($N834,CONFIG!$F$4:$F$43,0)),"Por definir"))</f>
        <v/>
      </c>
      <c r="P834" s="27">
        <f>IF($N834="","",IFERROR(INDEX(CONFIG!$H$4:$H$43,MATCH($N834,CONFIG!$F$4:$F$43,0)),"Por definir"))</f>
        <v/>
      </c>
      <c r="Q834" s="50" t="n"/>
      <c r="R834" s="51" t="n"/>
      <c r="S834" s="49" t="n"/>
      <c r="T834" s="49" t="n"/>
      <c r="U834" s="48">
        <f>IF(OR($B834="",$K834=""),"",WORKDAY($B834,IFERROR(INDEX(CONFIG!$C$4:$C$43,MATCH($K834,CONFIG!$A$4:$A$43,0)),3)))</f>
        <v/>
      </c>
      <c r="V834" s="46" t="n"/>
      <c r="W834" s="23">
        <f>IF($B834="","",IF($V834&lt;&gt;"",$V834-$B834,TODAY()-$B834))</f>
        <v/>
      </c>
      <c r="X834" s="27">
        <f>IF($C834="","",IF(IFERROR(INDEX(CONFIG!$K$4:$K$43,MATCH($S834,CONFIG!$J$4:$J$43,0)),"NO")="SÍ",IF(OR($V834="",$U834=""),"Resuelta",IF($V834&gt;$U834,"Resuelta tarde","Resuelta a tiempo")),IF($U834="","Sin clasificar",IF(TODAY()&gt;$U834,"Vencida",IF(TODAY()&gt;=$U834-1,"Por vencer","En plazo")))))</f>
        <v/>
      </c>
      <c r="Y834" s="49" t="n"/>
      <c r="Z834" s="49" t="n"/>
    </row>
    <row r="835" ht="16" customHeight="1">
      <c r="A835" s="27">
        <f>IF($C835="","","N-"&amp;TEXT(ROW()-3,"0000"))</f>
        <v/>
      </c>
      <c r="B835" s="46" t="n"/>
      <c r="C835" s="47" t="n"/>
      <c r="D835" s="27">
        <f>IF($C835="","",IF(COUNTIFS(ENVIOS!$A$4:$A$3003,$C835)=0,"NO EXISTE",IF(COUNTIFS(ENVIOS!$A$4:$A$3003,$C835)&gt;1,"DUPLICADA","OK")))</f>
        <v/>
      </c>
      <c r="E835" s="22">
        <f>IF($C835="","",IFERROR(INDEX(ENVIOS!$C$4:$C$3003,MATCH($C835,ENVIOS!$A$4:$A$3003,0)),"—"))</f>
        <v/>
      </c>
      <c r="F835" s="22">
        <f>IF($C835="","",IFERROR(INDEX(ENVIOS!$D$4:$D$3003,MATCH($C835,ENVIOS!$A$4:$A$3003,0)),"—"))</f>
        <v/>
      </c>
      <c r="G835" s="22">
        <f>IF($C835="","",IFERROR(INDEX(ENVIOS!$E$4:$E$3003,MATCH($C835,ENVIOS!$A$4:$A$3003,0)),"—"))</f>
        <v/>
      </c>
      <c r="H835" s="22">
        <f>IF($C835="","",IFERROR(INDEX(ENVIOS!$F$4:$F$3003,MATCH($C835,ENVIOS!$A$4:$A$3003,0)),"—"))</f>
        <v/>
      </c>
      <c r="I835" s="27">
        <f>IF($C835="","",IFERROR(INDEX(ENVIOS!$G$4:$G$3003,MATCH($C835,ENVIOS!$A$4:$A$3003,0)),"—"))</f>
        <v/>
      </c>
      <c r="J835" s="48">
        <f>IF($C835="","",IFERROR(INDEX(ENVIOS!$B$4:$B$3003,MATCH($C835,ENVIOS!$A$4:$A$3003,0)),""))</f>
        <v/>
      </c>
      <c r="K835" s="49" t="n"/>
      <c r="L835" s="27">
        <f>IF($K835="","",IFERROR(INDEX(CONFIG!$B$4:$B$43,MATCH($K835,CONFIG!$A$4:$A$43,0)),"Media"))</f>
        <v/>
      </c>
      <c r="M835" s="27">
        <f>IF($K835="","",IFERROR(INDEX(CONFIG!$D$4:$D$43,MATCH($K835,CONFIG!$A$4:$A$43,0)),"NO"))</f>
        <v/>
      </c>
      <c r="N835" s="49" t="n"/>
      <c r="O835" s="27">
        <f>IF($N835="","",IFERROR(INDEX(CONFIG!$G$4:$G$43,MATCH($N835,CONFIG!$F$4:$F$43,0)),"Por definir"))</f>
        <v/>
      </c>
      <c r="P835" s="27">
        <f>IF($N835="","",IFERROR(INDEX(CONFIG!$H$4:$H$43,MATCH($N835,CONFIG!$F$4:$F$43,0)),"Por definir"))</f>
        <v/>
      </c>
      <c r="Q835" s="50" t="n"/>
      <c r="R835" s="51" t="n"/>
      <c r="S835" s="49" t="n"/>
      <c r="T835" s="49" t="n"/>
      <c r="U835" s="48">
        <f>IF(OR($B835="",$K835=""),"",WORKDAY($B835,IFERROR(INDEX(CONFIG!$C$4:$C$43,MATCH($K835,CONFIG!$A$4:$A$43,0)),3)))</f>
        <v/>
      </c>
      <c r="V835" s="46" t="n"/>
      <c r="W835" s="23">
        <f>IF($B835="","",IF($V835&lt;&gt;"",$V835-$B835,TODAY()-$B835))</f>
        <v/>
      </c>
      <c r="X835" s="27">
        <f>IF($C835="","",IF(IFERROR(INDEX(CONFIG!$K$4:$K$43,MATCH($S835,CONFIG!$J$4:$J$43,0)),"NO")="SÍ",IF(OR($V835="",$U835=""),"Resuelta",IF($V835&gt;$U835,"Resuelta tarde","Resuelta a tiempo")),IF($U835="","Sin clasificar",IF(TODAY()&gt;$U835,"Vencida",IF(TODAY()&gt;=$U835-1,"Por vencer","En plazo")))))</f>
        <v/>
      </c>
      <c r="Y835" s="49" t="n"/>
      <c r="Z835" s="49" t="n"/>
    </row>
    <row r="836" ht="16" customHeight="1">
      <c r="A836" s="27">
        <f>IF($C836="","","N-"&amp;TEXT(ROW()-3,"0000"))</f>
        <v/>
      </c>
      <c r="B836" s="46" t="n"/>
      <c r="C836" s="47" t="n"/>
      <c r="D836" s="27">
        <f>IF($C836="","",IF(COUNTIFS(ENVIOS!$A$4:$A$3003,$C836)=0,"NO EXISTE",IF(COUNTIFS(ENVIOS!$A$4:$A$3003,$C836)&gt;1,"DUPLICADA","OK")))</f>
        <v/>
      </c>
      <c r="E836" s="22">
        <f>IF($C836="","",IFERROR(INDEX(ENVIOS!$C$4:$C$3003,MATCH($C836,ENVIOS!$A$4:$A$3003,0)),"—"))</f>
        <v/>
      </c>
      <c r="F836" s="22">
        <f>IF($C836="","",IFERROR(INDEX(ENVIOS!$D$4:$D$3003,MATCH($C836,ENVIOS!$A$4:$A$3003,0)),"—"))</f>
        <v/>
      </c>
      <c r="G836" s="22">
        <f>IF($C836="","",IFERROR(INDEX(ENVIOS!$E$4:$E$3003,MATCH($C836,ENVIOS!$A$4:$A$3003,0)),"—"))</f>
        <v/>
      </c>
      <c r="H836" s="22">
        <f>IF($C836="","",IFERROR(INDEX(ENVIOS!$F$4:$F$3003,MATCH($C836,ENVIOS!$A$4:$A$3003,0)),"—"))</f>
        <v/>
      </c>
      <c r="I836" s="27">
        <f>IF($C836="","",IFERROR(INDEX(ENVIOS!$G$4:$G$3003,MATCH($C836,ENVIOS!$A$4:$A$3003,0)),"—"))</f>
        <v/>
      </c>
      <c r="J836" s="48">
        <f>IF($C836="","",IFERROR(INDEX(ENVIOS!$B$4:$B$3003,MATCH($C836,ENVIOS!$A$4:$A$3003,0)),""))</f>
        <v/>
      </c>
      <c r="K836" s="49" t="n"/>
      <c r="L836" s="27">
        <f>IF($K836="","",IFERROR(INDEX(CONFIG!$B$4:$B$43,MATCH($K836,CONFIG!$A$4:$A$43,0)),"Media"))</f>
        <v/>
      </c>
      <c r="M836" s="27">
        <f>IF($K836="","",IFERROR(INDEX(CONFIG!$D$4:$D$43,MATCH($K836,CONFIG!$A$4:$A$43,0)),"NO"))</f>
        <v/>
      </c>
      <c r="N836" s="49" t="n"/>
      <c r="O836" s="27">
        <f>IF($N836="","",IFERROR(INDEX(CONFIG!$G$4:$G$43,MATCH($N836,CONFIG!$F$4:$F$43,0)),"Por definir"))</f>
        <v/>
      </c>
      <c r="P836" s="27">
        <f>IF($N836="","",IFERROR(INDEX(CONFIG!$H$4:$H$43,MATCH($N836,CONFIG!$F$4:$F$43,0)),"Por definir"))</f>
        <v/>
      </c>
      <c r="Q836" s="50" t="n"/>
      <c r="R836" s="51" t="n"/>
      <c r="S836" s="49" t="n"/>
      <c r="T836" s="49" t="n"/>
      <c r="U836" s="48">
        <f>IF(OR($B836="",$K836=""),"",WORKDAY($B836,IFERROR(INDEX(CONFIG!$C$4:$C$43,MATCH($K836,CONFIG!$A$4:$A$43,0)),3)))</f>
        <v/>
      </c>
      <c r="V836" s="46" t="n"/>
      <c r="W836" s="23">
        <f>IF($B836="","",IF($V836&lt;&gt;"",$V836-$B836,TODAY()-$B836))</f>
        <v/>
      </c>
      <c r="X836" s="27">
        <f>IF($C836="","",IF(IFERROR(INDEX(CONFIG!$K$4:$K$43,MATCH($S836,CONFIG!$J$4:$J$43,0)),"NO")="SÍ",IF(OR($V836="",$U836=""),"Resuelta",IF($V836&gt;$U836,"Resuelta tarde","Resuelta a tiempo")),IF($U836="","Sin clasificar",IF(TODAY()&gt;$U836,"Vencida",IF(TODAY()&gt;=$U836-1,"Por vencer","En plazo")))))</f>
        <v/>
      </c>
      <c r="Y836" s="49" t="n"/>
      <c r="Z836" s="49" t="n"/>
    </row>
    <row r="837" ht="16" customHeight="1">
      <c r="A837" s="27">
        <f>IF($C837="","","N-"&amp;TEXT(ROW()-3,"0000"))</f>
        <v/>
      </c>
      <c r="B837" s="46" t="n"/>
      <c r="C837" s="47" t="n"/>
      <c r="D837" s="27">
        <f>IF($C837="","",IF(COUNTIFS(ENVIOS!$A$4:$A$3003,$C837)=0,"NO EXISTE",IF(COUNTIFS(ENVIOS!$A$4:$A$3003,$C837)&gt;1,"DUPLICADA","OK")))</f>
        <v/>
      </c>
      <c r="E837" s="22">
        <f>IF($C837="","",IFERROR(INDEX(ENVIOS!$C$4:$C$3003,MATCH($C837,ENVIOS!$A$4:$A$3003,0)),"—"))</f>
        <v/>
      </c>
      <c r="F837" s="22">
        <f>IF($C837="","",IFERROR(INDEX(ENVIOS!$D$4:$D$3003,MATCH($C837,ENVIOS!$A$4:$A$3003,0)),"—"))</f>
        <v/>
      </c>
      <c r="G837" s="22">
        <f>IF($C837="","",IFERROR(INDEX(ENVIOS!$E$4:$E$3003,MATCH($C837,ENVIOS!$A$4:$A$3003,0)),"—"))</f>
        <v/>
      </c>
      <c r="H837" s="22">
        <f>IF($C837="","",IFERROR(INDEX(ENVIOS!$F$4:$F$3003,MATCH($C837,ENVIOS!$A$4:$A$3003,0)),"—"))</f>
        <v/>
      </c>
      <c r="I837" s="27">
        <f>IF($C837="","",IFERROR(INDEX(ENVIOS!$G$4:$G$3003,MATCH($C837,ENVIOS!$A$4:$A$3003,0)),"—"))</f>
        <v/>
      </c>
      <c r="J837" s="48">
        <f>IF($C837="","",IFERROR(INDEX(ENVIOS!$B$4:$B$3003,MATCH($C837,ENVIOS!$A$4:$A$3003,0)),""))</f>
        <v/>
      </c>
      <c r="K837" s="49" t="n"/>
      <c r="L837" s="27">
        <f>IF($K837="","",IFERROR(INDEX(CONFIG!$B$4:$B$43,MATCH($K837,CONFIG!$A$4:$A$43,0)),"Media"))</f>
        <v/>
      </c>
      <c r="M837" s="27">
        <f>IF($K837="","",IFERROR(INDEX(CONFIG!$D$4:$D$43,MATCH($K837,CONFIG!$A$4:$A$43,0)),"NO"))</f>
        <v/>
      </c>
      <c r="N837" s="49" t="n"/>
      <c r="O837" s="27">
        <f>IF($N837="","",IFERROR(INDEX(CONFIG!$G$4:$G$43,MATCH($N837,CONFIG!$F$4:$F$43,0)),"Por definir"))</f>
        <v/>
      </c>
      <c r="P837" s="27">
        <f>IF($N837="","",IFERROR(INDEX(CONFIG!$H$4:$H$43,MATCH($N837,CONFIG!$F$4:$F$43,0)),"Por definir"))</f>
        <v/>
      </c>
      <c r="Q837" s="50" t="n"/>
      <c r="R837" s="51" t="n"/>
      <c r="S837" s="49" t="n"/>
      <c r="T837" s="49" t="n"/>
      <c r="U837" s="48">
        <f>IF(OR($B837="",$K837=""),"",WORKDAY($B837,IFERROR(INDEX(CONFIG!$C$4:$C$43,MATCH($K837,CONFIG!$A$4:$A$43,0)),3)))</f>
        <v/>
      </c>
      <c r="V837" s="46" t="n"/>
      <c r="W837" s="23">
        <f>IF($B837="","",IF($V837&lt;&gt;"",$V837-$B837,TODAY()-$B837))</f>
        <v/>
      </c>
      <c r="X837" s="27">
        <f>IF($C837="","",IF(IFERROR(INDEX(CONFIG!$K$4:$K$43,MATCH($S837,CONFIG!$J$4:$J$43,0)),"NO")="SÍ",IF(OR($V837="",$U837=""),"Resuelta",IF($V837&gt;$U837,"Resuelta tarde","Resuelta a tiempo")),IF($U837="","Sin clasificar",IF(TODAY()&gt;$U837,"Vencida",IF(TODAY()&gt;=$U837-1,"Por vencer","En plazo")))))</f>
        <v/>
      </c>
      <c r="Y837" s="49" t="n"/>
      <c r="Z837" s="49" t="n"/>
    </row>
    <row r="838" ht="16" customHeight="1">
      <c r="A838" s="27">
        <f>IF($C838="","","N-"&amp;TEXT(ROW()-3,"0000"))</f>
        <v/>
      </c>
      <c r="B838" s="46" t="n"/>
      <c r="C838" s="47" t="n"/>
      <c r="D838" s="27">
        <f>IF($C838="","",IF(COUNTIFS(ENVIOS!$A$4:$A$3003,$C838)=0,"NO EXISTE",IF(COUNTIFS(ENVIOS!$A$4:$A$3003,$C838)&gt;1,"DUPLICADA","OK")))</f>
        <v/>
      </c>
      <c r="E838" s="22">
        <f>IF($C838="","",IFERROR(INDEX(ENVIOS!$C$4:$C$3003,MATCH($C838,ENVIOS!$A$4:$A$3003,0)),"—"))</f>
        <v/>
      </c>
      <c r="F838" s="22">
        <f>IF($C838="","",IFERROR(INDEX(ENVIOS!$D$4:$D$3003,MATCH($C838,ENVIOS!$A$4:$A$3003,0)),"—"))</f>
        <v/>
      </c>
      <c r="G838" s="22">
        <f>IF($C838="","",IFERROR(INDEX(ENVIOS!$E$4:$E$3003,MATCH($C838,ENVIOS!$A$4:$A$3003,0)),"—"))</f>
        <v/>
      </c>
      <c r="H838" s="22">
        <f>IF($C838="","",IFERROR(INDEX(ENVIOS!$F$4:$F$3003,MATCH($C838,ENVIOS!$A$4:$A$3003,0)),"—"))</f>
        <v/>
      </c>
      <c r="I838" s="27">
        <f>IF($C838="","",IFERROR(INDEX(ENVIOS!$G$4:$G$3003,MATCH($C838,ENVIOS!$A$4:$A$3003,0)),"—"))</f>
        <v/>
      </c>
      <c r="J838" s="48">
        <f>IF($C838="","",IFERROR(INDEX(ENVIOS!$B$4:$B$3003,MATCH($C838,ENVIOS!$A$4:$A$3003,0)),""))</f>
        <v/>
      </c>
      <c r="K838" s="49" t="n"/>
      <c r="L838" s="27">
        <f>IF($K838="","",IFERROR(INDEX(CONFIG!$B$4:$B$43,MATCH($K838,CONFIG!$A$4:$A$43,0)),"Media"))</f>
        <v/>
      </c>
      <c r="M838" s="27">
        <f>IF($K838="","",IFERROR(INDEX(CONFIG!$D$4:$D$43,MATCH($K838,CONFIG!$A$4:$A$43,0)),"NO"))</f>
        <v/>
      </c>
      <c r="N838" s="49" t="n"/>
      <c r="O838" s="27">
        <f>IF($N838="","",IFERROR(INDEX(CONFIG!$G$4:$G$43,MATCH($N838,CONFIG!$F$4:$F$43,0)),"Por definir"))</f>
        <v/>
      </c>
      <c r="P838" s="27">
        <f>IF($N838="","",IFERROR(INDEX(CONFIG!$H$4:$H$43,MATCH($N838,CONFIG!$F$4:$F$43,0)),"Por definir"))</f>
        <v/>
      </c>
      <c r="Q838" s="50" t="n"/>
      <c r="R838" s="51" t="n"/>
      <c r="S838" s="49" t="n"/>
      <c r="T838" s="49" t="n"/>
      <c r="U838" s="48">
        <f>IF(OR($B838="",$K838=""),"",WORKDAY($B838,IFERROR(INDEX(CONFIG!$C$4:$C$43,MATCH($K838,CONFIG!$A$4:$A$43,0)),3)))</f>
        <v/>
      </c>
      <c r="V838" s="46" t="n"/>
      <c r="W838" s="23">
        <f>IF($B838="","",IF($V838&lt;&gt;"",$V838-$B838,TODAY()-$B838))</f>
        <v/>
      </c>
      <c r="X838" s="27">
        <f>IF($C838="","",IF(IFERROR(INDEX(CONFIG!$K$4:$K$43,MATCH($S838,CONFIG!$J$4:$J$43,0)),"NO")="SÍ",IF(OR($V838="",$U838=""),"Resuelta",IF($V838&gt;$U838,"Resuelta tarde","Resuelta a tiempo")),IF($U838="","Sin clasificar",IF(TODAY()&gt;$U838,"Vencida",IF(TODAY()&gt;=$U838-1,"Por vencer","En plazo")))))</f>
        <v/>
      </c>
      <c r="Y838" s="49" t="n"/>
      <c r="Z838" s="49" t="n"/>
    </row>
    <row r="839" ht="16" customHeight="1">
      <c r="A839" s="27">
        <f>IF($C839="","","N-"&amp;TEXT(ROW()-3,"0000"))</f>
        <v/>
      </c>
      <c r="B839" s="46" t="n"/>
      <c r="C839" s="47" t="n"/>
      <c r="D839" s="27">
        <f>IF($C839="","",IF(COUNTIFS(ENVIOS!$A$4:$A$3003,$C839)=0,"NO EXISTE",IF(COUNTIFS(ENVIOS!$A$4:$A$3003,$C839)&gt;1,"DUPLICADA","OK")))</f>
        <v/>
      </c>
      <c r="E839" s="22">
        <f>IF($C839="","",IFERROR(INDEX(ENVIOS!$C$4:$C$3003,MATCH($C839,ENVIOS!$A$4:$A$3003,0)),"—"))</f>
        <v/>
      </c>
      <c r="F839" s="22">
        <f>IF($C839="","",IFERROR(INDEX(ENVIOS!$D$4:$D$3003,MATCH($C839,ENVIOS!$A$4:$A$3003,0)),"—"))</f>
        <v/>
      </c>
      <c r="G839" s="22">
        <f>IF($C839="","",IFERROR(INDEX(ENVIOS!$E$4:$E$3003,MATCH($C839,ENVIOS!$A$4:$A$3003,0)),"—"))</f>
        <v/>
      </c>
      <c r="H839" s="22">
        <f>IF($C839="","",IFERROR(INDEX(ENVIOS!$F$4:$F$3003,MATCH($C839,ENVIOS!$A$4:$A$3003,0)),"—"))</f>
        <v/>
      </c>
      <c r="I839" s="27">
        <f>IF($C839="","",IFERROR(INDEX(ENVIOS!$G$4:$G$3003,MATCH($C839,ENVIOS!$A$4:$A$3003,0)),"—"))</f>
        <v/>
      </c>
      <c r="J839" s="48">
        <f>IF($C839="","",IFERROR(INDEX(ENVIOS!$B$4:$B$3003,MATCH($C839,ENVIOS!$A$4:$A$3003,0)),""))</f>
        <v/>
      </c>
      <c r="K839" s="49" t="n"/>
      <c r="L839" s="27">
        <f>IF($K839="","",IFERROR(INDEX(CONFIG!$B$4:$B$43,MATCH($K839,CONFIG!$A$4:$A$43,0)),"Media"))</f>
        <v/>
      </c>
      <c r="M839" s="27">
        <f>IF($K839="","",IFERROR(INDEX(CONFIG!$D$4:$D$43,MATCH($K839,CONFIG!$A$4:$A$43,0)),"NO"))</f>
        <v/>
      </c>
      <c r="N839" s="49" t="n"/>
      <c r="O839" s="27">
        <f>IF($N839="","",IFERROR(INDEX(CONFIG!$G$4:$G$43,MATCH($N839,CONFIG!$F$4:$F$43,0)),"Por definir"))</f>
        <v/>
      </c>
      <c r="P839" s="27">
        <f>IF($N839="","",IFERROR(INDEX(CONFIG!$H$4:$H$43,MATCH($N839,CONFIG!$F$4:$F$43,0)),"Por definir"))</f>
        <v/>
      </c>
      <c r="Q839" s="50" t="n"/>
      <c r="R839" s="51" t="n"/>
      <c r="S839" s="49" t="n"/>
      <c r="T839" s="49" t="n"/>
      <c r="U839" s="48">
        <f>IF(OR($B839="",$K839=""),"",WORKDAY($B839,IFERROR(INDEX(CONFIG!$C$4:$C$43,MATCH($K839,CONFIG!$A$4:$A$43,0)),3)))</f>
        <v/>
      </c>
      <c r="V839" s="46" t="n"/>
      <c r="W839" s="23">
        <f>IF($B839="","",IF($V839&lt;&gt;"",$V839-$B839,TODAY()-$B839))</f>
        <v/>
      </c>
      <c r="X839" s="27">
        <f>IF($C839="","",IF(IFERROR(INDEX(CONFIG!$K$4:$K$43,MATCH($S839,CONFIG!$J$4:$J$43,0)),"NO")="SÍ",IF(OR($V839="",$U839=""),"Resuelta",IF($V839&gt;$U839,"Resuelta tarde","Resuelta a tiempo")),IF($U839="","Sin clasificar",IF(TODAY()&gt;$U839,"Vencida",IF(TODAY()&gt;=$U839-1,"Por vencer","En plazo")))))</f>
        <v/>
      </c>
      <c r="Y839" s="49" t="n"/>
      <c r="Z839" s="49" t="n"/>
    </row>
    <row r="840" ht="16" customHeight="1">
      <c r="A840" s="27">
        <f>IF($C840="","","N-"&amp;TEXT(ROW()-3,"0000"))</f>
        <v/>
      </c>
      <c r="B840" s="46" t="n"/>
      <c r="C840" s="47" t="n"/>
      <c r="D840" s="27">
        <f>IF($C840="","",IF(COUNTIFS(ENVIOS!$A$4:$A$3003,$C840)=0,"NO EXISTE",IF(COUNTIFS(ENVIOS!$A$4:$A$3003,$C840)&gt;1,"DUPLICADA","OK")))</f>
        <v/>
      </c>
      <c r="E840" s="22">
        <f>IF($C840="","",IFERROR(INDEX(ENVIOS!$C$4:$C$3003,MATCH($C840,ENVIOS!$A$4:$A$3003,0)),"—"))</f>
        <v/>
      </c>
      <c r="F840" s="22">
        <f>IF($C840="","",IFERROR(INDEX(ENVIOS!$D$4:$D$3003,MATCH($C840,ENVIOS!$A$4:$A$3003,0)),"—"))</f>
        <v/>
      </c>
      <c r="G840" s="22">
        <f>IF($C840="","",IFERROR(INDEX(ENVIOS!$E$4:$E$3003,MATCH($C840,ENVIOS!$A$4:$A$3003,0)),"—"))</f>
        <v/>
      </c>
      <c r="H840" s="22">
        <f>IF($C840="","",IFERROR(INDEX(ENVIOS!$F$4:$F$3003,MATCH($C840,ENVIOS!$A$4:$A$3003,0)),"—"))</f>
        <v/>
      </c>
      <c r="I840" s="27">
        <f>IF($C840="","",IFERROR(INDEX(ENVIOS!$G$4:$G$3003,MATCH($C840,ENVIOS!$A$4:$A$3003,0)),"—"))</f>
        <v/>
      </c>
      <c r="J840" s="48">
        <f>IF($C840="","",IFERROR(INDEX(ENVIOS!$B$4:$B$3003,MATCH($C840,ENVIOS!$A$4:$A$3003,0)),""))</f>
        <v/>
      </c>
      <c r="K840" s="49" t="n"/>
      <c r="L840" s="27">
        <f>IF($K840="","",IFERROR(INDEX(CONFIG!$B$4:$B$43,MATCH($K840,CONFIG!$A$4:$A$43,0)),"Media"))</f>
        <v/>
      </c>
      <c r="M840" s="27">
        <f>IF($K840="","",IFERROR(INDEX(CONFIG!$D$4:$D$43,MATCH($K840,CONFIG!$A$4:$A$43,0)),"NO"))</f>
        <v/>
      </c>
      <c r="N840" s="49" t="n"/>
      <c r="O840" s="27">
        <f>IF($N840="","",IFERROR(INDEX(CONFIG!$G$4:$G$43,MATCH($N840,CONFIG!$F$4:$F$43,0)),"Por definir"))</f>
        <v/>
      </c>
      <c r="P840" s="27">
        <f>IF($N840="","",IFERROR(INDEX(CONFIG!$H$4:$H$43,MATCH($N840,CONFIG!$F$4:$F$43,0)),"Por definir"))</f>
        <v/>
      </c>
      <c r="Q840" s="50" t="n"/>
      <c r="R840" s="51" t="n"/>
      <c r="S840" s="49" t="n"/>
      <c r="T840" s="49" t="n"/>
      <c r="U840" s="48">
        <f>IF(OR($B840="",$K840=""),"",WORKDAY($B840,IFERROR(INDEX(CONFIG!$C$4:$C$43,MATCH($K840,CONFIG!$A$4:$A$43,0)),3)))</f>
        <v/>
      </c>
      <c r="V840" s="46" t="n"/>
      <c r="W840" s="23">
        <f>IF($B840="","",IF($V840&lt;&gt;"",$V840-$B840,TODAY()-$B840))</f>
        <v/>
      </c>
      <c r="X840" s="27">
        <f>IF($C840="","",IF(IFERROR(INDEX(CONFIG!$K$4:$K$43,MATCH($S840,CONFIG!$J$4:$J$43,0)),"NO")="SÍ",IF(OR($V840="",$U840=""),"Resuelta",IF($V840&gt;$U840,"Resuelta tarde","Resuelta a tiempo")),IF($U840="","Sin clasificar",IF(TODAY()&gt;$U840,"Vencida",IF(TODAY()&gt;=$U840-1,"Por vencer","En plazo")))))</f>
        <v/>
      </c>
      <c r="Y840" s="49" t="n"/>
      <c r="Z840" s="49" t="n"/>
    </row>
    <row r="841" ht="16" customHeight="1">
      <c r="A841" s="27">
        <f>IF($C841="","","N-"&amp;TEXT(ROW()-3,"0000"))</f>
        <v/>
      </c>
      <c r="B841" s="46" t="n"/>
      <c r="C841" s="47" t="n"/>
      <c r="D841" s="27">
        <f>IF($C841="","",IF(COUNTIFS(ENVIOS!$A$4:$A$3003,$C841)=0,"NO EXISTE",IF(COUNTIFS(ENVIOS!$A$4:$A$3003,$C841)&gt;1,"DUPLICADA","OK")))</f>
        <v/>
      </c>
      <c r="E841" s="22">
        <f>IF($C841="","",IFERROR(INDEX(ENVIOS!$C$4:$C$3003,MATCH($C841,ENVIOS!$A$4:$A$3003,0)),"—"))</f>
        <v/>
      </c>
      <c r="F841" s="22">
        <f>IF($C841="","",IFERROR(INDEX(ENVIOS!$D$4:$D$3003,MATCH($C841,ENVIOS!$A$4:$A$3003,0)),"—"))</f>
        <v/>
      </c>
      <c r="G841" s="22">
        <f>IF($C841="","",IFERROR(INDEX(ENVIOS!$E$4:$E$3003,MATCH($C841,ENVIOS!$A$4:$A$3003,0)),"—"))</f>
        <v/>
      </c>
      <c r="H841" s="22">
        <f>IF($C841="","",IFERROR(INDEX(ENVIOS!$F$4:$F$3003,MATCH($C841,ENVIOS!$A$4:$A$3003,0)),"—"))</f>
        <v/>
      </c>
      <c r="I841" s="27">
        <f>IF($C841="","",IFERROR(INDEX(ENVIOS!$G$4:$G$3003,MATCH($C841,ENVIOS!$A$4:$A$3003,0)),"—"))</f>
        <v/>
      </c>
      <c r="J841" s="48">
        <f>IF($C841="","",IFERROR(INDEX(ENVIOS!$B$4:$B$3003,MATCH($C841,ENVIOS!$A$4:$A$3003,0)),""))</f>
        <v/>
      </c>
      <c r="K841" s="49" t="n"/>
      <c r="L841" s="27">
        <f>IF($K841="","",IFERROR(INDEX(CONFIG!$B$4:$B$43,MATCH($K841,CONFIG!$A$4:$A$43,0)),"Media"))</f>
        <v/>
      </c>
      <c r="M841" s="27">
        <f>IF($K841="","",IFERROR(INDEX(CONFIG!$D$4:$D$43,MATCH($K841,CONFIG!$A$4:$A$43,0)),"NO"))</f>
        <v/>
      </c>
      <c r="N841" s="49" t="n"/>
      <c r="O841" s="27">
        <f>IF($N841="","",IFERROR(INDEX(CONFIG!$G$4:$G$43,MATCH($N841,CONFIG!$F$4:$F$43,0)),"Por definir"))</f>
        <v/>
      </c>
      <c r="P841" s="27">
        <f>IF($N841="","",IFERROR(INDEX(CONFIG!$H$4:$H$43,MATCH($N841,CONFIG!$F$4:$F$43,0)),"Por definir"))</f>
        <v/>
      </c>
      <c r="Q841" s="50" t="n"/>
      <c r="R841" s="51" t="n"/>
      <c r="S841" s="49" t="n"/>
      <c r="T841" s="49" t="n"/>
      <c r="U841" s="48">
        <f>IF(OR($B841="",$K841=""),"",WORKDAY($B841,IFERROR(INDEX(CONFIG!$C$4:$C$43,MATCH($K841,CONFIG!$A$4:$A$43,0)),3)))</f>
        <v/>
      </c>
      <c r="V841" s="46" t="n"/>
      <c r="W841" s="23">
        <f>IF($B841="","",IF($V841&lt;&gt;"",$V841-$B841,TODAY()-$B841))</f>
        <v/>
      </c>
      <c r="X841" s="27">
        <f>IF($C841="","",IF(IFERROR(INDEX(CONFIG!$K$4:$K$43,MATCH($S841,CONFIG!$J$4:$J$43,0)),"NO")="SÍ",IF(OR($V841="",$U841=""),"Resuelta",IF($V841&gt;$U841,"Resuelta tarde","Resuelta a tiempo")),IF($U841="","Sin clasificar",IF(TODAY()&gt;$U841,"Vencida",IF(TODAY()&gt;=$U841-1,"Por vencer","En plazo")))))</f>
        <v/>
      </c>
      <c r="Y841" s="49" t="n"/>
      <c r="Z841" s="49" t="n"/>
    </row>
    <row r="842" ht="16" customHeight="1">
      <c r="A842" s="27">
        <f>IF($C842="","","N-"&amp;TEXT(ROW()-3,"0000"))</f>
        <v/>
      </c>
      <c r="B842" s="46" t="n"/>
      <c r="C842" s="47" t="n"/>
      <c r="D842" s="27">
        <f>IF($C842="","",IF(COUNTIFS(ENVIOS!$A$4:$A$3003,$C842)=0,"NO EXISTE",IF(COUNTIFS(ENVIOS!$A$4:$A$3003,$C842)&gt;1,"DUPLICADA","OK")))</f>
        <v/>
      </c>
      <c r="E842" s="22">
        <f>IF($C842="","",IFERROR(INDEX(ENVIOS!$C$4:$C$3003,MATCH($C842,ENVIOS!$A$4:$A$3003,0)),"—"))</f>
        <v/>
      </c>
      <c r="F842" s="22">
        <f>IF($C842="","",IFERROR(INDEX(ENVIOS!$D$4:$D$3003,MATCH($C842,ENVIOS!$A$4:$A$3003,0)),"—"))</f>
        <v/>
      </c>
      <c r="G842" s="22">
        <f>IF($C842="","",IFERROR(INDEX(ENVIOS!$E$4:$E$3003,MATCH($C842,ENVIOS!$A$4:$A$3003,0)),"—"))</f>
        <v/>
      </c>
      <c r="H842" s="22">
        <f>IF($C842="","",IFERROR(INDEX(ENVIOS!$F$4:$F$3003,MATCH($C842,ENVIOS!$A$4:$A$3003,0)),"—"))</f>
        <v/>
      </c>
      <c r="I842" s="27">
        <f>IF($C842="","",IFERROR(INDEX(ENVIOS!$G$4:$G$3003,MATCH($C842,ENVIOS!$A$4:$A$3003,0)),"—"))</f>
        <v/>
      </c>
      <c r="J842" s="48">
        <f>IF($C842="","",IFERROR(INDEX(ENVIOS!$B$4:$B$3003,MATCH($C842,ENVIOS!$A$4:$A$3003,0)),""))</f>
        <v/>
      </c>
      <c r="K842" s="49" t="n"/>
      <c r="L842" s="27">
        <f>IF($K842="","",IFERROR(INDEX(CONFIG!$B$4:$B$43,MATCH($K842,CONFIG!$A$4:$A$43,0)),"Media"))</f>
        <v/>
      </c>
      <c r="M842" s="27">
        <f>IF($K842="","",IFERROR(INDEX(CONFIG!$D$4:$D$43,MATCH($K842,CONFIG!$A$4:$A$43,0)),"NO"))</f>
        <v/>
      </c>
      <c r="N842" s="49" t="n"/>
      <c r="O842" s="27">
        <f>IF($N842="","",IFERROR(INDEX(CONFIG!$G$4:$G$43,MATCH($N842,CONFIG!$F$4:$F$43,0)),"Por definir"))</f>
        <v/>
      </c>
      <c r="P842" s="27">
        <f>IF($N842="","",IFERROR(INDEX(CONFIG!$H$4:$H$43,MATCH($N842,CONFIG!$F$4:$F$43,0)),"Por definir"))</f>
        <v/>
      </c>
      <c r="Q842" s="50" t="n"/>
      <c r="R842" s="51" t="n"/>
      <c r="S842" s="49" t="n"/>
      <c r="T842" s="49" t="n"/>
      <c r="U842" s="48">
        <f>IF(OR($B842="",$K842=""),"",WORKDAY($B842,IFERROR(INDEX(CONFIG!$C$4:$C$43,MATCH($K842,CONFIG!$A$4:$A$43,0)),3)))</f>
        <v/>
      </c>
      <c r="V842" s="46" t="n"/>
      <c r="W842" s="23">
        <f>IF($B842="","",IF($V842&lt;&gt;"",$V842-$B842,TODAY()-$B842))</f>
        <v/>
      </c>
      <c r="X842" s="27">
        <f>IF($C842="","",IF(IFERROR(INDEX(CONFIG!$K$4:$K$43,MATCH($S842,CONFIG!$J$4:$J$43,0)),"NO")="SÍ",IF(OR($V842="",$U842=""),"Resuelta",IF($V842&gt;$U842,"Resuelta tarde","Resuelta a tiempo")),IF($U842="","Sin clasificar",IF(TODAY()&gt;$U842,"Vencida",IF(TODAY()&gt;=$U842-1,"Por vencer","En plazo")))))</f>
        <v/>
      </c>
      <c r="Y842" s="49" t="n"/>
      <c r="Z842" s="49" t="n"/>
    </row>
    <row r="843" ht="16" customHeight="1">
      <c r="A843" s="27">
        <f>IF($C843="","","N-"&amp;TEXT(ROW()-3,"0000"))</f>
        <v/>
      </c>
      <c r="B843" s="46" t="n"/>
      <c r="C843" s="47" t="n"/>
      <c r="D843" s="27">
        <f>IF($C843="","",IF(COUNTIFS(ENVIOS!$A$4:$A$3003,$C843)=0,"NO EXISTE",IF(COUNTIFS(ENVIOS!$A$4:$A$3003,$C843)&gt;1,"DUPLICADA","OK")))</f>
        <v/>
      </c>
      <c r="E843" s="22">
        <f>IF($C843="","",IFERROR(INDEX(ENVIOS!$C$4:$C$3003,MATCH($C843,ENVIOS!$A$4:$A$3003,0)),"—"))</f>
        <v/>
      </c>
      <c r="F843" s="22">
        <f>IF($C843="","",IFERROR(INDEX(ENVIOS!$D$4:$D$3003,MATCH($C843,ENVIOS!$A$4:$A$3003,0)),"—"))</f>
        <v/>
      </c>
      <c r="G843" s="22">
        <f>IF($C843="","",IFERROR(INDEX(ENVIOS!$E$4:$E$3003,MATCH($C843,ENVIOS!$A$4:$A$3003,0)),"—"))</f>
        <v/>
      </c>
      <c r="H843" s="22">
        <f>IF($C843="","",IFERROR(INDEX(ENVIOS!$F$4:$F$3003,MATCH($C843,ENVIOS!$A$4:$A$3003,0)),"—"))</f>
        <v/>
      </c>
      <c r="I843" s="27">
        <f>IF($C843="","",IFERROR(INDEX(ENVIOS!$G$4:$G$3003,MATCH($C843,ENVIOS!$A$4:$A$3003,0)),"—"))</f>
        <v/>
      </c>
      <c r="J843" s="48">
        <f>IF($C843="","",IFERROR(INDEX(ENVIOS!$B$4:$B$3003,MATCH($C843,ENVIOS!$A$4:$A$3003,0)),""))</f>
        <v/>
      </c>
      <c r="K843" s="49" t="n"/>
      <c r="L843" s="27">
        <f>IF($K843="","",IFERROR(INDEX(CONFIG!$B$4:$B$43,MATCH($K843,CONFIG!$A$4:$A$43,0)),"Media"))</f>
        <v/>
      </c>
      <c r="M843" s="27">
        <f>IF($K843="","",IFERROR(INDEX(CONFIG!$D$4:$D$43,MATCH($K843,CONFIG!$A$4:$A$43,0)),"NO"))</f>
        <v/>
      </c>
      <c r="N843" s="49" t="n"/>
      <c r="O843" s="27">
        <f>IF($N843="","",IFERROR(INDEX(CONFIG!$G$4:$G$43,MATCH($N843,CONFIG!$F$4:$F$43,0)),"Por definir"))</f>
        <v/>
      </c>
      <c r="P843" s="27">
        <f>IF($N843="","",IFERROR(INDEX(CONFIG!$H$4:$H$43,MATCH($N843,CONFIG!$F$4:$F$43,0)),"Por definir"))</f>
        <v/>
      </c>
      <c r="Q843" s="50" t="n"/>
      <c r="R843" s="51" t="n"/>
      <c r="S843" s="49" t="n"/>
      <c r="T843" s="49" t="n"/>
      <c r="U843" s="48">
        <f>IF(OR($B843="",$K843=""),"",WORKDAY($B843,IFERROR(INDEX(CONFIG!$C$4:$C$43,MATCH($K843,CONFIG!$A$4:$A$43,0)),3)))</f>
        <v/>
      </c>
      <c r="V843" s="46" t="n"/>
      <c r="W843" s="23">
        <f>IF($B843="","",IF($V843&lt;&gt;"",$V843-$B843,TODAY()-$B843))</f>
        <v/>
      </c>
      <c r="X843" s="27">
        <f>IF($C843="","",IF(IFERROR(INDEX(CONFIG!$K$4:$K$43,MATCH($S843,CONFIG!$J$4:$J$43,0)),"NO")="SÍ",IF(OR($V843="",$U843=""),"Resuelta",IF($V843&gt;$U843,"Resuelta tarde","Resuelta a tiempo")),IF($U843="","Sin clasificar",IF(TODAY()&gt;$U843,"Vencida",IF(TODAY()&gt;=$U843-1,"Por vencer","En plazo")))))</f>
        <v/>
      </c>
      <c r="Y843" s="49" t="n"/>
      <c r="Z843" s="49" t="n"/>
    </row>
    <row r="844" ht="16" customHeight="1">
      <c r="A844" s="27">
        <f>IF($C844="","","N-"&amp;TEXT(ROW()-3,"0000"))</f>
        <v/>
      </c>
      <c r="B844" s="46" t="n"/>
      <c r="C844" s="47" t="n"/>
      <c r="D844" s="27">
        <f>IF($C844="","",IF(COUNTIFS(ENVIOS!$A$4:$A$3003,$C844)=0,"NO EXISTE",IF(COUNTIFS(ENVIOS!$A$4:$A$3003,$C844)&gt;1,"DUPLICADA","OK")))</f>
        <v/>
      </c>
      <c r="E844" s="22">
        <f>IF($C844="","",IFERROR(INDEX(ENVIOS!$C$4:$C$3003,MATCH($C844,ENVIOS!$A$4:$A$3003,0)),"—"))</f>
        <v/>
      </c>
      <c r="F844" s="22">
        <f>IF($C844="","",IFERROR(INDEX(ENVIOS!$D$4:$D$3003,MATCH($C844,ENVIOS!$A$4:$A$3003,0)),"—"))</f>
        <v/>
      </c>
      <c r="G844" s="22">
        <f>IF($C844="","",IFERROR(INDEX(ENVIOS!$E$4:$E$3003,MATCH($C844,ENVIOS!$A$4:$A$3003,0)),"—"))</f>
        <v/>
      </c>
      <c r="H844" s="22">
        <f>IF($C844="","",IFERROR(INDEX(ENVIOS!$F$4:$F$3003,MATCH($C844,ENVIOS!$A$4:$A$3003,0)),"—"))</f>
        <v/>
      </c>
      <c r="I844" s="27">
        <f>IF($C844="","",IFERROR(INDEX(ENVIOS!$G$4:$G$3003,MATCH($C844,ENVIOS!$A$4:$A$3003,0)),"—"))</f>
        <v/>
      </c>
      <c r="J844" s="48">
        <f>IF($C844="","",IFERROR(INDEX(ENVIOS!$B$4:$B$3003,MATCH($C844,ENVIOS!$A$4:$A$3003,0)),""))</f>
        <v/>
      </c>
      <c r="K844" s="49" t="n"/>
      <c r="L844" s="27">
        <f>IF($K844="","",IFERROR(INDEX(CONFIG!$B$4:$B$43,MATCH($K844,CONFIG!$A$4:$A$43,0)),"Media"))</f>
        <v/>
      </c>
      <c r="M844" s="27">
        <f>IF($K844="","",IFERROR(INDEX(CONFIG!$D$4:$D$43,MATCH($K844,CONFIG!$A$4:$A$43,0)),"NO"))</f>
        <v/>
      </c>
      <c r="N844" s="49" t="n"/>
      <c r="O844" s="27">
        <f>IF($N844="","",IFERROR(INDEX(CONFIG!$G$4:$G$43,MATCH($N844,CONFIG!$F$4:$F$43,0)),"Por definir"))</f>
        <v/>
      </c>
      <c r="P844" s="27">
        <f>IF($N844="","",IFERROR(INDEX(CONFIG!$H$4:$H$43,MATCH($N844,CONFIG!$F$4:$F$43,0)),"Por definir"))</f>
        <v/>
      </c>
      <c r="Q844" s="50" t="n"/>
      <c r="R844" s="51" t="n"/>
      <c r="S844" s="49" t="n"/>
      <c r="T844" s="49" t="n"/>
      <c r="U844" s="48">
        <f>IF(OR($B844="",$K844=""),"",WORKDAY($B844,IFERROR(INDEX(CONFIG!$C$4:$C$43,MATCH($K844,CONFIG!$A$4:$A$43,0)),3)))</f>
        <v/>
      </c>
      <c r="V844" s="46" t="n"/>
      <c r="W844" s="23">
        <f>IF($B844="","",IF($V844&lt;&gt;"",$V844-$B844,TODAY()-$B844))</f>
        <v/>
      </c>
      <c r="X844" s="27">
        <f>IF($C844="","",IF(IFERROR(INDEX(CONFIG!$K$4:$K$43,MATCH($S844,CONFIG!$J$4:$J$43,0)),"NO")="SÍ",IF(OR($V844="",$U844=""),"Resuelta",IF($V844&gt;$U844,"Resuelta tarde","Resuelta a tiempo")),IF($U844="","Sin clasificar",IF(TODAY()&gt;$U844,"Vencida",IF(TODAY()&gt;=$U844-1,"Por vencer","En plazo")))))</f>
        <v/>
      </c>
      <c r="Y844" s="49" t="n"/>
      <c r="Z844" s="49" t="n"/>
    </row>
    <row r="845" ht="16" customHeight="1">
      <c r="A845" s="27">
        <f>IF($C845="","","N-"&amp;TEXT(ROW()-3,"0000"))</f>
        <v/>
      </c>
      <c r="B845" s="46" t="n"/>
      <c r="C845" s="47" t="n"/>
      <c r="D845" s="27">
        <f>IF($C845="","",IF(COUNTIFS(ENVIOS!$A$4:$A$3003,$C845)=0,"NO EXISTE",IF(COUNTIFS(ENVIOS!$A$4:$A$3003,$C845)&gt;1,"DUPLICADA","OK")))</f>
        <v/>
      </c>
      <c r="E845" s="22">
        <f>IF($C845="","",IFERROR(INDEX(ENVIOS!$C$4:$C$3003,MATCH($C845,ENVIOS!$A$4:$A$3003,0)),"—"))</f>
        <v/>
      </c>
      <c r="F845" s="22">
        <f>IF($C845="","",IFERROR(INDEX(ENVIOS!$D$4:$D$3003,MATCH($C845,ENVIOS!$A$4:$A$3003,0)),"—"))</f>
        <v/>
      </c>
      <c r="G845" s="22">
        <f>IF($C845="","",IFERROR(INDEX(ENVIOS!$E$4:$E$3003,MATCH($C845,ENVIOS!$A$4:$A$3003,0)),"—"))</f>
        <v/>
      </c>
      <c r="H845" s="22">
        <f>IF($C845="","",IFERROR(INDEX(ENVIOS!$F$4:$F$3003,MATCH($C845,ENVIOS!$A$4:$A$3003,0)),"—"))</f>
        <v/>
      </c>
      <c r="I845" s="27">
        <f>IF($C845="","",IFERROR(INDEX(ENVIOS!$G$4:$G$3003,MATCH($C845,ENVIOS!$A$4:$A$3003,0)),"—"))</f>
        <v/>
      </c>
      <c r="J845" s="48">
        <f>IF($C845="","",IFERROR(INDEX(ENVIOS!$B$4:$B$3003,MATCH($C845,ENVIOS!$A$4:$A$3003,0)),""))</f>
        <v/>
      </c>
      <c r="K845" s="49" t="n"/>
      <c r="L845" s="27">
        <f>IF($K845="","",IFERROR(INDEX(CONFIG!$B$4:$B$43,MATCH($K845,CONFIG!$A$4:$A$43,0)),"Media"))</f>
        <v/>
      </c>
      <c r="M845" s="27">
        <f>IF($K845="","",IFERROR(INDEX(CONFIG!$D$4:$D$43,MATCH($K845,CONFIG!$A$4:$A$43,0)),"NO"))</f>
        <v/>
      </c>
      <c r="N845" s="49" t="n"/>
      <c r="O845" s="27">
        <f>IF($N845="","",IFERROR(INDEX(CONFIG!$G$4:$G$43,MATCH($N845,CONFIG!$F$4:$F$43,0)),"Por definir"))</f>
        <v/>
      </c>
      <c r="P845" s="27">
        <f>IF($N845="","",IFERROR(INDEX(CONFIG!$H$4:$H$43,MATCH($N845,CONFIG!$F$4:$F$43,0)),"Por definir"))</f>
        <v/>
      </c>
      <c r="Q845" s="50" t="n"/>
      <c r="R845" s="51" t="n"/>
      <c r="S845" s="49" t="n"/>
      <c r="T845" s="49" t="n"/>
      <c r="U845" s="48">
        <f>IF(OR($B845="",$K845=""),"",WORKDAY($B845,IFERROR(INDEX(CONFIG!$C$4:$C$43,MATCH($K845,CONFIG!$A$4:$A$43,0)),3)))</f>
        <v/>
      </c>
      <c r="V845" s="46" t="n"/>
      <c r="W845" s="23">
        <f>IF($B845="","",IF($V845&lt;&gt;"",$V845-$B845,TODAY()-$B845))</f>
        <v/>
      </c>
      <c r="X845" s="27">
        <f>IF($C845="","",IF(IFERROR(INDEX(CONFIG!$K$4:$K$43,MATCH($S845,CONFIG!$J$4:$J$43,0)),"NO")="SÍ",IF(OR($V845="",$U845=""),"Resuelta",IF($V845&gt;$U845,"Resuelta tarde","Resuelta a tiempo")),IF($U845="","Sin clasificar",IF(TODAY()&gt;$U845,"Vencida",IF(TODAY()&gt;=$U845-1,"Por vencer","En plazo")))))</f>
        <v/>
      </c>
      <c r="Y845" s="49" t="n"/>
      <c r="Z845" s="49" t="n"/>
    </row>
    <row r="846" ht="16" customHeight="1">
      <c r="A846" s="27">
        <f>IF($C846="","","N-"&amp;TEXT(ROW()-3,"0000"))</f>
        <v/>
      </c>
      <c r="B846" s="46" t="n"/>
      <c r="C846" s="47" t="n"/>
      <c r="D846" s="27">
        <f>IF($C846="","",IF(COUNTIFS(ENVIOS!$A$4:$A$3003,$C846)=0,"NO EXISTE",IF(COUNTIFS(ENVIOS!$A$4:$A$3003,$C846)&gt;1,"DUPLICADA","OK")))</f>
        <v/>
      </c>
      <c r="E846" s="22">
        <f>IF($C846="","",IFERROR(INDEX(ENVIOS!$C$4:$C$3003,MATCH($C846,ENVIOS!$A$4:$A$3003,0)),"—"))</f>
        <v/>
      </c>
      <c r="F846" s="22">
        <f>IF($C846="","",IFERROR(INDEX(ENVIOS!$D$4:$D$3003,MATCH($C846,ENVIOS!$A$4:$A$3003,0)),"—"))</f>
        <v/>
      </c>
      <c r="G846" s="22">
        <f>IF($C846="","",IFERROR(INDEX(ENVIOS!$E$4:$E$3003,MATCH($C846,ENVIOS!$A$4:$A$3003,0)),"—"))</f>
        <v/>
      </c>
      <c r="H846" s="22">
        <f>IF($C846="","",IFERROR(INDEX(ENVIOS!$F$4:$F$3003,MATCH($C846,ENVIOS!$A$4:$A$3003,0)),"—"))</f>
        <v/>
      </c>
      <c r="I846" s="27">
        <f>IF($C846="","",IFERROR(INDEX(ENVIOS!$G$4:$G$3003,MATCH($C846,ENVIOS!$A$4:$A$3003,0)),"—"))</f>
        <v/>
      </c>
      <c r="J846" s="48">
        <f>IF($C846="","",IFERROR(INDEX(ENVIOS!$B$4:$B$3003,MATCH($C846,ENVIOS!$A$4:$A$3003,0)),""))</f>
        <v/>
      </c>
      <c r="K846" s="49" t="n"/>
      <c r="L846" s="27">
        <f>IF($K846="","",IFERROR(INDEX(CONFIG!$B$4:$B$43,MATCH($K846,CONFIG!$A$4:$A$43,0)),"Media"))</f>
        <v/>
      </c>
      <c r="M846" s="27">
        <f>IF($K846="","",IFERROR(INDEX(CONFIG!$D$4:$D$43,MATCH($K846,CONFIG!$A$4:$A$43,0)),"NO"))</f>
        <v/>
      </c>
      <c r="N846" s="49" t="n"/>
      <c r="O846" s="27">
        <f>IF($N846="","",IFERROR(INDEX(CONFIG!$G$4:$G$43,MATCH($N846,CONFIG!$F$4:$F$43,0)),"Por definir"))</f>
        <v/>
      </c>
      <c r="P846" s="27">
        <f>IF($N846="","",IFERROR(INDEX(CONFIG!$H$4:$H$43,MATCH($N846,CONFIG!$F$4:$F$43,0)),"Por definir"))</f>
        <v/>
      </c>
      <c r="Q846" s="50" t="n"/>
      <c r="R846" s="51" t="n"/>
      <c r="S846" s="49" t="n"/>
      <c r="T846" s="49" t="n"/>
      <c r="U846" s="48">
        <f>IF(OR($B846="",$K846=""),"",WORKDAY($B846,IFERROR(INDEX(CONFIG!$C$4:$C$43,MATCH($K846,CONFIG!$A$4:$A$43,0)),3)))</f>
        <v/>
      </c>
      <c r="V846" s="46" t="n"/>
      <c r="W846" s="23">
        <f>IF($B846="","",IF($V846&lt;&gt;"",$V846-$B846,TODAY()-$B846))</f>
        <v/>
      </c>
      <c r="X846" s="27">
        <f>IF($C846="","",IF(IFERROR(INDEX(CONFIG!$K$4:$K$43,MATCH($S846,CONFIG!$J$4:$J$43,0)),"NO")="SÍ",IF(OR($V846="",$U846=""),"Resuelta",IF($V846&gt;$U846,"Resuelta tarde","Resuelta a tiempo")),IF($U846="","Sin clasificar",IF(TODAY()&gt;$U846,"Vencida",IF(TODAY()&gt;=$U846-1,"Por vencer","En plazo")))))</f>
        <v/>
      </c>
      <c r="Y846" s="49" t="n"/>
      <c r="Z846" s="49" t="n"/>
    </row>
    <row r="847" ht="16" customHeight="1">
      <c r="A847" s="27">
        <f>IF($C847="","","N-"&amp;TEXT(ROW()-3,"0000"))</f>
        <v/>
      </c>
      <c r="B847" s="46" t="n"/>
      <c r="C847" s="47" t="n"/>
      <c r="D847" s="27">
        <f>IF($C847="","",IF(COUNTIFS(ENVIOS!$A$4:$A$3003,$C847)=0,"NO EXISTE",IF(COUNTIFS(ENVIOS!$A$4:$A$3003,$C847)&gt;1,"DUPLICADA","OK")))</f>
        <v/>
      </c>
      <c r="E847" s="22">
        <f>IF($C847="","",IFERROR(INDEX(ENVIOS!$C$4:$C$3003,MATCH($C847,ENVIOS!$A$4:$A$3003,0)),"—"))</f>
        <v/>
      </c>
      <c r="F847" s="22">
        <f>IF($C847="","",IFERROR(INDEX(ENVIOS!$D$4:$D$3003,MATCH($C847,ENVIOS!$A$4:$A$3003,0)),"—"))</f>
        <v/>
      </c>
      <c r="G847" s="22">
        <f>IF($C847="","",IFERROR(INDEX(ENVIOS!$E$4:$E$3003,MATCH($C847,ENVIOS!$A$4:$A$3003,0)),"—"))</f>
        <v/>
      </c>
      <c r="H847" s="22">
        <f>IF($C847="","",IFERROR(INDEX(ENVIOS!$F$4:$F$3003,MATCH($C847,ENVIOS!$A$4:$A$3003,0)),"—"))</f>
        <v/>
      </c>
      <c r="I847" s="27">
        <f>IF($C847="","",IFERROR(INDEX(ENVIOS!$G$4:$G$3003,MATCH($C847,ENVIOS!$A$4:$A$3003,0)),"—"))</f>
        <v/>
      </c>
      <c r="J847" s="48">
        <f>IF($C847="","",IFERROR(INDEX(ENVIOS!$B$4:$B$3003,MATCH($C847,ENVIOS!$A$4:$A$3003,0)),""))</f>
        <v/>
      </c>
      <c r="K847" s="49" t="n"/>
      <c r="L847" s="27">
        <f>IF($K847="","",IFERROR(INDEX(CONFIG!$B$4:$B$43,MATCH($K847,CONFIG!$A$4:$A$43,0)),"Media"))</f>
        <v/>
      </c>
      <c r="M847" s="27">
        <f>IF($K847="","",IFERROR(INDEX(CONFIG!$D$4:$D$43,MATCH($K847,CONFIG!$A$4:$A$43,0)),"NO"))</f>
        <v/>
      </c>
      <c r="N847" s="49" t="n"/>
      <c r="O847" s="27">
        <f>IF($N847="","",IFERROR(INDEX(CONFIG!$G$4:$G$43,MATCH($N847,CONFIG!$F$4:$F$43,0)),"Por definir"))</f>
        <v/>
      </c>
      <c r="P847" s="27">
        <f>IF($N847="","",IFERROR(INDEX(CONFIG!$H$4:$H$43,MATCH($N847,CONFIG!$F$4:$F$43,0)),"Por definir"))</f>
        <v/>
      </c>
      <c r="Q847" s="50" t="n"/>
      <c r="R847" s="51" t="n"/>
      <c r="S847" s="49" t="n"/>
      <c r="T847" s="49" t="n"/>
      <c r="U847" s="48">
        <f>IF(OR($B847="",$K847=""),"",WORKDAY($B847,IFERROR(INDEX(CONFIG!$C$4:$C$43,MATCH($K847,CONFIG!$A$4:$A$43,0)),3)))</f>
        <v/>
      </c>
      <c r="V847" s="46" t="n"/>
      <c r="W847" s="23">
        <f>IF($B847="","",IF($V847&lt;&gt;"",$V847-$B847,TODAY()-$B847))</f>
        <v/>
      </c>
      <c r="X847" s="27">
        <f>IF($C847="","",IF(IFERROR(INDEX(CONFIG!$K$4:$K$43,MATCH($S847,CONFIG!$J$4:$J$43,0)),"NO")="SÍ",IF(OR($V847="",$U847=""),"Resuelta",IF($V847&gt;$U847,"Resuelta tarde","Resuelta a tiempo")),IF($U847="","Sin clasificar",IF(TODAY()&gt;$U847,"Vencida",IF(TODAY()&gt;=$U847-1,"Por vencer","En plazo")))))</f>
        <v/>
      </c>
      <c r="Y847" s="49" t="n"/>
      <c r="Z847" s="49" t="n"/>
    </row>
    <row r="848" ht="16" customHeight="1">
      <c r="A848" s="27">
        <f>IF($C848="","","N-"&amp;TEXT(ROW()-3,"0000"))</f>
        <v/>
      </c>
      <c r="B848" s="46" t="n"/>
      <c r="C848" s="47" t="n"/>
      <c r="D848" s="27">
        <f>IF($C848="","",IF(COUNTIFS(ENVIOS!$A$4:$A$3003,$C848)=0,"NO EXISTE",IF(COUNTIFS(ENVIOS!$A$4:$A$3003,$C848)&gt;1,"DUPLICADA","OK")))</f>
        <v/>
      </c>
      <c r="E848" s="22">
        <f>IF($C848="","",IFERROR(INDEX(ENVIOS!$C$4:$C$3003,MATCH($C848,ENVIOS!$A$4:$A$3003,0)),"—"))</f>
        <v/>
      </c>
      <c r="F848" s="22">
        <f>IF($C848="","",IFERROR(INDEX(ENVIOS!$D$4:$D$3003,MATCH($C848,ENVIOS!$A$4:$A$3003,0)),"—"))</f>
        <v/>
      </c>
      <c r="G848" s="22">
        <f>IF($C848="","",IFERROR(INDEX(ENVIOS!$E$4:$E$3003,MATCH($C848,ENVIOS!$A$4:$A$3003,0)),"—"))</f>
        <v/>
      </c>
      <c r="H848" s="22">
        <f>IF($C848="","",IFERROR(INDEX(ENVIOS!$F$4:$F$3003,MATCH($C848,ENVIOS!$A$4:$A$3003,0)),"—"))</f>
        <v/>
      </c>
      <c r="I848" s="27">
        <f>IF($C848="","",IFERROR(INDEX(ENVIOS!$G$4:$G$3003,MATCH($C848,ENVIOS!$A$4:$A$3003,0)),"—"))</f>
        <v/>
      </c>
      <c r="J848" s="48">
        <f>IF($C848="","",IFERROR(INDEX(ENVIOS!$B$4:$B$3003,MATCH($C848,ENVIOS!$A$4:$A$3003,0)),""))</f>
        <v/>
      </c>
      <c r="K848" s="49" t="n"/>
      <c r="L848" s="27">
        <f>IF($K848="","",IFERROR(INDEX(CONFIG!$B$4:$B$43,MATCH($K848,CONFIG!$A$4:$A$43,0)),"Media"))</f>
        <v/>
      </c>
      <c r="M848" s="27">
        <f>IF($K848="","",IFERROR(INDEX(CONFIG!$D$4:$D$43,MATCH($K848,CONFIG!$A$4:$A$43,0)),"NO"))</f>
        <v/>
      </c>
      <c r="N848" s="49" t="n"/>
      <c r="O848" s="27">
        <f>IF($N848="","",IFERROR(INDEX(CONFIG!$G$4:$G$43,MATCH($N848,CONFIG!$F$4:$F$43,0)),"Por definir"))</f>
        <v/>
      </c>
      <c r="P848" s="27">
        <f>IF($N848="","",IFERROR(INDEX(CONFIG!$H$4:$H$43,MATCH($N848,CONFIG!$F$4:$F$43,0)),"Por definir"))</f>
        <v/>
      </c>
      <c r="Q848" s="50" t="n"/>
      <c r="R848" s="51" t="n"/>
      <c r="S848" s="49" t="n"/>
      <c r="T848" s="49" t="n"/>
      <c r="U848" s="48">
        <f>IF(OR($B848="",$K848=""),"",WORKDAY($B848,IFERROR(INDEX(CONFIG!$C$4:$C$43,MATCH($K848,CONFIG!$A$4:$A$43,0)),3)))</f>
        <v/>
      </c>
      <c r="V848" s="46" t="n"/>
      <c r="W848" s="23">
        <f>IF($B848="","",IF($V848&lt;&gt;"",$V848-$B848,TODAY()-$B848))</f>
        <v/>
      </c>
      <c r="X848" s="27">
        <f>IF($C848="","",IF(IFERROR(INDEX(CONFIG!$K$4:$K$43,MATCH($S848,CONFIG!$J$4:$J$43,0)),"NO")="SÍ",IF(OR($V848="",$U848=""),"Resuelta",IF($V848&gt;$U848,"Resuelta tarde","Resuelta a tiempo")),IF($U848="","Sin clasificar",IF(TODAY()&gt;$U848,"Vencida",IF(TODAY()&gt;=$U848-1,"Por vencer","En plazo")))))</f>
        <v/>
      </c>
      <c r="Y848" s="49" t="n"/>
      <c r="Z848" s="49" t="n"/>
    </row>
    <row r="849" ht="16" customHeight="1">
      <c r="A849" s="27">
        <f>IF($C849="","","N-"&amp;TEXT(ROW()-3,"0000"))</f>
        <v/>
      </c>
      <c r="B849" s="46" t="n"/>
      <c r="C849" s="47" t="n"/>
      <c r="D849" s="27">
        <f>IF($C849="","",IF(COUNTIFS(ENVIOS!$A$4:$A$3003,$C849)=0,"NO EXISTE",IF(COUNTIFS(ENVIOS!$A$4:$A$3003,$C849)&gt;1,"DUPLICADA","OK")))</f>
        <v/>
      </c>
      <c r="E849" s="22">
        <f>IF($C849="","",IFERROR(INDEX(ENVIOS!$C$4:$C$3003,MATCH($C849,ENVIOS!$A$4:$A$3003,0)),"—"))</f>
        <v/>
      </c>
      <c r="F849" s="22">
        <f>IF($C849="","",IFERROR(INDEX(ENVIOS!$D$4:$D$3003,MATCH($C849,ENVIOS!$A$4:$A$3003,0)),"—"))</f>
        <v/>
      </c>
      <c r="G849" s="22">
        <f>IF($C849="","",IFERROR(INDEX(ENVIOS!$E$4:$E$3003,MATCH($C849,ENVIOS!$A$4:$A$3003,0)),"—"))</f>
        <v/>
      </c>
      <c r="H849" s="22">
        <f>IF($C849="","",IFERROR(INDEX(ENVIOS!$F$4:$F$3003,MATCH($C849,ENVIOS!$A$4:$A$3003,0)),"—"))</f>
        <v/>
      </c>
      <c r="I849" s="27">
        <f>IF($C849="","",IFERROR(INDEX(ENVIOS!$G$4:$G$3003,MATCH($C849,ENVIOS!$A$4:$A$3003,0)),"—"))</f>
        <v/>
      </c>
      <c r="J849" s="48">
        <f>IF($C849="","",IFERROR(INDEX(ENVIOS!$B$4:$B$3003,MATCH($C849,ENVIOS!$A$4:$A$3003,0)),""))</f>
        <v/>
      </c>
      <c r="K849" s="49" t="n"/>
      <c r="L849" s="27">
        <f>IF($K849="","",IFERROR(INDEX(CONFIG!$B$4:$B$43,MATCH($K849,CONFIG!$A$4:$A$43,0)),"Media"))</f>
        <v/>
      </c>
      <c r="M849" s="27">
        <f>IF($K849="","",IFERROR(INDEX(CONFIG!$D$4:$D$43,MATCH($K849,CONFIG!$A$4:$A$43,0)),"NO"))</f>
        <v/>
      </c>
      <c r="N849" s="49" t="n"/>
      <c r="O849" s="27">
        <f>IF($N849="","",IFERROR(INDEX(CONFIG!$G$4:$G$43,MATCH($N849,CONFIG!$F$4:$F$43,0)),"Por definir"))</f>
        <v/>
      </c>
      <c r="P849" s="27">
        <f>IF($N849="","",IFERROR(INDEX(CONFIG!$H$4:$H$43,MATCH($N849,CONFIG!$F$4:$F$43,0)),"Por definir"))</f>
        <v/>
      </c>
      <c r="Q849" s="50" t="n"/>
      <c r="R849" s="51" t="n"/>
      <c r="S849" s="49" t="n"/>
      <c r="T849" s="49" t="n"/>
      <c r="U849" s="48">
        <f>IF(OR($B849="",$K849=""),"",WORKDAY($B849,IFERROR(INDEX(CONFIG!$C$4:$C$43,MATCH($K849,CONFIG!$A$4:$A$43,0)),3)))</f>
        <v/>
      </c>
      <c r="V849" s="46" t="n"/>
      <c r="W849" s="23">
        <f>IF($B849="","",IF($V849&lt;&gt;"",$V849-$B849,TODAY()-$B849))</f>
        <v/>
      </c>
      <c r="X849" s="27">
        <f>IF($C849="","",IF(IFERROR(INDEX(CONFIG!$K$4:$K$43,MATCH($S849,CONFIG!$J$4:$J$43,0)),"NO")="SÍ",IF(OR($V849="",$U849=""),"Resuelta",IF($V849&gt;$U849,"Resuelta tarde","Resuelta a tiempo")),IF($U849="","Sin clasificar",IF(TODAY()&gt;$U849,"Vencida",IF(TODAY()&gt;=$U849-1,"Por vencer","En plazo")))))</f>
        <v/>
      </c>
      <c r="Y849" s="49" t="n"/>
      <c r="Z849" s="49" t="n"/>
    </row>
    <row r="850" ht="16" customHeight="1">
      <c r="A850" s="27">
        <f>IF($C850="","","N-"&amp;TEXT(ROW()-3,"0000"))</f>
        <v/>
      </c>
      <c r="B850" s="46" t="n"/>
      <c r="C850" s="47" t="n"/>
      <c r="D850" s="27">
        <f>IF($C850="","",IF(COUNTIFS(ENVIOS!$A$4:$A$3003,$C850)=0,"NO EXISTE",IF(COUNTIFS(ENVIOS!$A$4:$A$3003,$C850)&gt;1,"DUPLICADA","OK")))</f>
        <v/>
      </c>
      <c r="E850" s="22">
        <f>IF($C850="","",IFERROR(INDEX(ENVIOS!$C$4:$C$3003,MATCH($C850,ENVIOS!$A$4:$A$3003,0)),"—"))</f>
        <v/>
      </c>
      <c r="F850" s="22">
        <f>IF($C850="","",IFERROR(INDEX(ENVIOS!$D$4:$D$3003,MATCH($C850,ENVIOS!$A$4:$A$3003,0)),"—"))</f>
        <v/>
      </c>
      <c r="G850" s="22">
        <f>IF($C850="","",IFERROR(INDEX(ENVIOS!$E$4:$E$3003,MATCH($C850,ENVIOS!$A$4:$A$3003,0)),"—"))</f>
        <v/>
      </c>
      <c r="H850" s="22">
        <f>IF($C850="","",IFERROR(INDEX(ENVIOS!$F$4:$F$3003,MATCH($C850,ENVIOS!$A$4:$A$3003,0)),"—"))</f>
        <v/>
      </c>
      <c r="I850" s="27">
        <f>IF($C850="","",IFERROR(INDEX(ENVIOS!$G$4:$G$3003,MATCH($C850,ENVIOS!$A$4:$A$3003,0)),"—"))</f>
        <v/>
      </c>
      <c r="J850" s="48">
        <f>IF($C850="","",IFERROR(INDEX(ENVIOS!$B$4:$B$3003,MATCH($C850,ENVIOS!$A$4:$A$3003,0)),""))</f>
        <v/>
      </c>
      <c r="K850" s="49" t="n"/>
      <c r="L850" s="27">
        <f>IF($K850="","",IFERROR(INDEX(CONFIG!$B$4:$B$43,MATCH($K850,CONFIG!$A$4:$A$43,0)),"Media"))</f>
        <v/>
      </c>
      <c r="M850" s="27">
        <f>IF($K850="","",IFERROR(INDEX(CONFIG!$D$4:$D$43,MATCH($K850,CONFIG!$A$4:$A$43,0)),"NO"))</f>
        <v/>
      </c>
      <c r="N850" s="49" t="n"/>
      <c r="O850" s="27">
        <f>IF($N850="","",IFERROR(INDEX(CONFIG!$G$4:$G$43,MATCH($N850,CONFIG!$F$4:$F$43,0)),"Por definir"))</f>
        <v/>
      </c>
      <c r="P850" s="27">
        <f>IF($N850="","",IFERROR(INDEX(CONFIG!$H$4:$H$43,MATCH($N850,CONFIG!$F$4:$F$43,0)),"Por definir"))</f>
        <v/>
      </c>
      <c r="Q850" s="50" t="n"/>
      <c r="R850" s="51" t="n"/>
      <c r="S850" s="49" t="n"/>
      <c r="T850" s="49" t="n"/>
      <c r="U850" s="48">
        <f>IF(OR($B850="",$K850=""),"",WORKDAY($B850,IFERROR(INDEX(CONFIG!$C$4:$C$43,MATCH($K850,CONFIG!$A$4:$A$43,0)),3)))</f>
        <v/>
      </c>
      <c r="V850" s="46" t="n"/>
      <c r="W850" s="23">
        <f>IF($B850="","",IF($V850&lt;&gt;"",$V850-$B850,TODAY()-$B850))</f>
        <v/>
      </c>
      <c r="X850" s="27">
        <f>IF($C850="","",IF(IFERROR(INDEX(CONFIG!$K$4:$K$43,MATCH($S850,CONFIG!$J$4:$J$43,0)),"NO")="SÍ",IF(OR($V850="",$U850=""),"Resuelta",IF($V850&gt;$U850,"Resuelta tarde","Resuelta a tiempo")),IF($U850="","Sin clasificar",IF(TODAY()&gt;$U850,"Vencida",IF(TODAY()&gt;=$U850-1,"Por vencer","En plazo")))))</f>
        <v/>
      </c>
      <c r="Y850" s="49" t="n"/>
      <c r="Z850" s="49" t="n"/>
    </row>
    <row r="851" ht="16" customHeight="1">
      <c r="A851" s="27">
        <f>IF($C851="","","N-"&amp;TEXT(ROW()-3,"0000"))</f>
        <v/>
      </c>
      <c r="B851" s="46" t="n"/>
      <c r="C851" s="47" t="n"/>
      <c r="D851" s="27">
        <f>IF($C851="","",IF(COUNTIFS(ENVIOS!$A$4:$A$3003,$C851)=0,"NO EXISTE",IF(COUNTIFS(ENVIOS!$A$4:$A$3003,$C851)&gt;1,"DUPLICADA","OK")))</f>
        <v/>
      </c>
      <c r="E851" s="22">
        <f>IF($C851="","",IFERROR(INDEX(ENVIOS!$C$4:$C$3003,MATCH($C851,ENVIOS!$A$4:$A$3003,0)),"—"))</f>
        <v/>
      </c>
      <c r="F851" s="22">
        <f>IF($C851="","",IFERROR(INDEX(ENVIOS!$D$4:$D$3003,MATCH($C851,ENVIOS!$A$4:$A$3003,0)),"—"))</f>
        <v/>
      </c>
      <c r="G851" s="22">
        <f>IF($C851="","",IFERROR(INDEX(ENVIOS!$E$4:$E$3003,MATCH($C851,ENVIOS!$A$4:$A$3003,0)),"—"))</f>
        <v/>
      </c>
      <c r="H851" s="22">
        <f>IF($C851="","",IFERROR(INDEX(ENVIOS!$F$4:$F$3003,MATCH($C851,ENVIOS!$A$4:$A$3003,0)),"—"))</f>
        <v/>
      </c>
      <c r="I851" s="27">
        <f>IF($C851="","",IFERROR(INDEX(ENVIOS!$G$4:$G$3003,MATCH($C851,ENVIOS!$A$4:$A$3003,0)),"—"))</f>
        <v/>
      </c>
      <c r="J851" s="48">
        <f>IF($C851="","",IFERROR(INDEX(ENVIOS!$B$4:$B$3003,MATCH($C851,ENVIOS!$A$4:$A$3003,0)),""))</f>
        <v/>
      </c>
      <c r="K851" s="49" t="n"/>
      <c r="L851" s="27">
        <f>IF($K851="","",IFERROR(INDEX(CONFIG!$B$4:$B$43,MATCH($K851,CONFIG!$A$4:$A$43,0)),"Media"))</f>
        <v/>
      </c>
      <c r="M851" s="27">
        <f>IF($K851="","",IFERROR(INDEX(CONFIG!$D$4:$D$43,MATCH($K851,CONFIG!$A$4:$A$43,0)),"NO"))</f>
        <v/>
      </c>
      <c r="N851" s="49" t="n"/>
      <c r="O851" s="27">
        <f>IF($N851="","",IFERROR(INDEX(CONFIG!$G$4:$G$43,MATCH($N851,CONFIG!$F$4:$F$43,0)),"Por definir"))</f>
        <v/>
      </c>
      <c r="P851" s="27">
        <f>IF($N851="","",IFERROR(INDEX(CONFIG!$H$4:$H$43,MATCH($N851,CONFIG!$F$4:$F$43,0)),"Por definir"))</f>
        <v/>
      </c>
      <c r="Q851" s="50" t="n"/>
      <c r="R851" s="51" t="n"/>
      <c r="S851" s="49" t="n"/>
      <c r="T851" s="49" t="n"/>
      <c r="U851" s="48">
        <f>IF(OR($B851="",$K851=""),"",WORKDAY($B851,IFERROR(INDEX(CONFIG!$C$4:$C$43,MATCH($K851,CONFIG!$A$4:$A$43,0)),3)))</f>
        <v/>
      </c>
      <c r="V851" s="46" t="n"/>
      <c r="W851" s="23">
        <f>IF($B851="","",IF($V851&lt;&gt;"",$V851-$B851,TODAY()-$B851))</f>
        <v/>
      </c>
      <c r="X851" s="27">
        <f>IF($C851="","",IF(IFERROR(INDEX(CONFIG!$K$4:$K$43,MATCH($S851,CONFIG!$J$4:$J$43,0)),"NO")="SÍ",IF(OR($V851="",$U851=""),"Resuelta",IF($V851&gt;$U851,"Resuelta tarde","Resuelta a tiempo")),IF($U851="","Sin clasificar",IF(TODAY()&gt;$U851,"Vencida",IF(TODAY()&gt;=$U851-1,"Por vencer","En plazo")))))</f>
        <v/>
      </c>
      <c r="Y851" s="49" t="n"/>
      <c r="Z851" s="49" t="n"/>
    </row>
    <row r="852" ht="16" customHeight="1">
      <c r="A852" s="27">
        <f>IF($C852="","","N-"&amp;TEXT(ROW()-3,"0000"))</f>
        <v/>
      </c>
      <c r="B852" s="46" t="n"/>
      <c r="C852" s="47" t="n"/>
      <c r="D852" s="27">
        <f>IF($C852="","",IF(COUNTIFS(ENVIOS!$A$4:$A$3003,$C852)=0,"NO EXISTE",IF(COUNTIFS(ENVIOS!$A$4:$A$3003,$C852)&gt;1,"DUPLICADA","OK")))</f>
        <v/>
      </c>
      <c r="E852" s="22">
        <f>IF($C852="","",IFERROR(INDEX(ENVIOS!$C$4:$C$3003,MATCH($C852,ENVIOS!$A$4:$A$3003,0)),"—"))</f>
        <v/>
      </c>
      <c r="F852" s="22">
        <f>IF($C852="","",IFERROR(INDEX(ENVIOS!$D$4:$D$3003,MATCH($C852,ENVIOS!$A$4:$A$3003,0)),"—"))</f>
        <v/>
      </c>
      <c r="G852" s="22">
        <f>IF($C852="","",IFERROR(INDEX(ENVIOS!$E$4:$E$3003,MATCH($C852,ENVIOS!$A$4:$A$3003,0)),"—"))</f>
        <v/>
      </c>
      <c r="H852" s="22">
        <f>IF($C852="","",IFERROR(INDEX(ENVIOS!$F$4:$F$3003,MATCH($C852,ENVIOS!$A$4:$A$3003,0)),"—"))</f>
        <v/>
      </c>
      <c r="I852" s="27">
        <f>IF($C852="","",IFERROR(INDEX(ENVIOS!$G$4:$G$3003,MATCH($C852,ENVIOS!$A$4:$A$3003,0)),"—"))</f>
        <v/>
      </c>
      <c r="J852" s="48">
        <f>IF($C852="","",IFERROR(INDEX(ENVIOS!$B$4:$B$3003,MATCH($C852,ENVIOS!$A$4:$A$3003,0)),""))</f>
        <v/>
      </c>
      <c r="K852" s="49" t="n"/>
      <c r="L852" s="27">
        <f>IF($K852="","",IFERROR(INDEX(CONFIG!$B$4:$B$43,MATCH($K852,CONFIG!$A$4:$A$43,0)),"Media"))</f>
        <v/>
      </c>
      <c r="M852" s="27">
        <f>IF($K852="","",IFERROR(INDEX(CONFIG!$D$4:$D$43,MATCH($K852,CONFIG!$A$4:$A$43,0)),"NO"))</f>
        <v/>
      </c>
      <c r="N852" s="49" t="n"/>
      <c r="O852" s="27">
        <f>IF($N852="","",IFERROR(INDEX(CONFIG!$G$4:$G$43,MATCH($N852,CONFIG!$F$4:$F$43,0)),"Por definir"))</f>
        <v/>
      </c>
      <c r="P852" s="27">
        <f>IF($N852="","",IFERROR(INDEX(CONFIG!$H$4:$H$43,MATCH($N852,CONFIG!$F$4:$F$43,0)),"Por definir"))</f>
        <v/>
      </c>
      <c r="Q852" s="50" t="n"/>
      <c r="R852" s="51" t="n"/>
      <c r="S852" s="49" t="n"/>
      <c r="T852" s="49" t="n"/>
      <c r="U852" s="48">
        <f>IF(OR($B852="",$K852=""),"",WORKDAY($B852,IFERROR(INDEX(CONFIG!$C$4:$C$43,MATCH($K852,CONFIG!$A$4:$A$43,0)),3)))</f>
        <v/>
      </c>
      <c r="V852" s="46" t="n"/>
      <c r="W852" s="23">
        <f>IF($B852="","",IF($V852&lt;&gt;"",$V852-$B852,TODAY()-$B852))</f>
        <v/>
      </c>
      <c r="X852" s="27">
        <f>IF($C852="","",IF(IFERROR(INDEX(CONFIG!$K$4:$K$43,MATCH($S852,CONFIG!$J$4:$J$43,0)),"NO")="SÍ",IF(OR($V852="",$U852=""),"Resuelta",IF($V852&gt;$U852,"Resuelta tarde","Resuelta a tiempo")),IF($U852="","Sin clasificar",IF(TODAY()&gt;$U852,"Vencida",IF(TODAY()&gt;=$U852-1,"Por vencer","En plazo")))))</f>
        <v/>
      </c>
      <c r="Y852" s="49" t="n"/>
      <c r="Z852" s="49" t="n"/>
    </row>
    <row r="853" ht="16" customHeight="1">
      <c r="A853" s="27">
        <f>IF($C853="","","N-"&amp;TEXT(ROW()-3,"0000"))</f>
        <v/>
      </c>
      <c r="B853" s="46" t="n"/>
      <c r="C853" s="47" t="n"/>
      <c r="D853" s="27">
        <f>IF($C853="","",IF(COUNTIFS(ENVIOS!$A$4:$A$3003,$C853)=0,"NO EXISTE",IF(COUNTIFS(ENVIOS!$A$4:$A$3003,$C853)&gt;1,"DUPLICADA","OK")))</f>
        <v/>
      </c>
      <c r="E853" s="22">
        <f>IF($C853="","",IFERROR(INDEX(ENVIOS!$C$4:$C$3003,MATCH($C853,ENVIOS!$A$4:$A$3003,0)),"—"))</f>
        <v/>
      </c>
      <c r="F853" s="22">
        <f>IF($C853="","",IFERROR(INDEX(ENVIOS!$D$4:$D$3003,MATCH($C853,ENVIOS!$A$4:$A$3003,0)),"—"))</f>
        <v/>
      </c>
      <c r="G853" s="22">
        <f>IF($C853="","",IFERROR(INDEX(ENVIOS!$E$4:$E$3003,MATCH($C853,ENVIOS!$A$4:$A$3003,0)),"—"))</f>
        <v/>
      </c>
      <c r="H853" s="22">
        <f>IF($C853="","",IFERROR(INDEX(ENVIOS!$F$4:$F$3003,MATCH($C853,ENVIOS!$A$4:$A$3003,0)),"—"))</f>
        <v/>
      </c>
      <c r="I853" s="27">
        <f>IF($C853="","",IFERROR(INDEX(ENVIOS!$G$4:$G$3003,MATCH($C853,ENVIOS!$A$4:$A$3003,0)),"—"))</f>
        <v/>
      </c>
      <c r="J853" s="48">
        <f>IF($C853="","",IFERROR(INDEX(ENVIOS!$B$4:$B$3003,MATCH($C853,ENVIOS!$A$4:$A$3003,0)),""))</f>
        <v/>
      </c>
      <c r="K853" s="49" t="n"/>
      <c r="L853" s="27">
        <f>IF($K853="","",IFERROR(INDEX(CONFIG!$B$4:$B$43,MATCH($K853,CONFIG!$A$4:$A$43,0)),"Media"))</f>
        <v/>
      </c>
      <c r="M853" s="27">
        <f>IF($K853="","",IFERROR(INDEX(CONFIG!$D$4:$D$43,MATCH($K853,CONFIG!$A$4:$A$43,0)),"NO"))</f>
        <v/>
      </c>
      <c r="N853" s="49" t="n"/>
      <c r="O853" s="27">
        <f>IF($N853="","",IFERROR(INDEX(CONFIG!$G$4:$G$43,MATCH($N853,CONFIG!$F$4:$F$43,0)),"Por definir"))</f>
        <v/>
      </c>
      <c r="P853" s="27">
        <f>IF($N853="","",IFERROR(INDEX(CONFIG!$H$4:$H$43,MATCH($N853,CONFIG!$F$4:$F$43,0)),"Por definir"))</f>
        <v/>
      </c>
      <c r="Q853" s="50" t="n"/>
      <c r="R853" s="51" t="n"/>
      <c r="S853" s="49" t="n"/>
      <c r="T853" s="49" t="n"/>
      <c r="U853" s="48">
        <f>IF(OR($B853="",$K853=""),"",WORKDAY($B853,IFERROR(INDEX(CONFIG!$C$4:$C$43,MATCH($K853,CONFIG!$A$4:$A$43,0)),3)))</f>
        <v/>
      </c>
      <c r="V853" s="46" t="n"/>
      <c r="W853" s="23">
        <f>IF($B853="","",IF($V853&lt;&gt;"",$V853-$B853,TODAY()-$B853))</f>
        <v/>
      </c>
      <c r="X853" s="27">
        <f>IF($C853="","",IF(IFERROR(INDEX(CONFIG!$K$4:$K$43,MATCH($S853,CONFIG!$J$4:$J$43,0)),"NO")="SÍ",IF(OR($V853="",$U853=""),"Resuelta",IF($V853&gt;$U853,"Resuelta tarde","Resuelta a tiempo")),IF($U853="","Sin clasificar",IF(TODAY()&gt;$U853,"Vencida",IF(TODAY()&gt;=$U853-1,"Por vencer","En plazo")))))</f>
        <v/>
      </c>
      <c r="Y853" s="49" t="n"/>
      <c r="Z853" s="49" t="n"/>
    </row>
    <row r="854" ht="16" customHeight="1">
      <c r="A854" s="27">
        <f>IF($C854="","","N-"&amp;TEXT(ROW()-3,"0000"))</f>
        <v/>
      </c>
      <c r="B854" s="46" t="n"/>
      <c r="C854" s="47" t="n"/>
      <c r="D854" s="27">
        <f>IF($C854="","",IF(COUNTIFS(ENVIOS!$A$4:$A$3003,$C854)=0,"NO EXISTE",IF(COUNTIFS(ENVIOS!$A$4:$A$3003,$C854)&gt;1,"DUPLICADA","OK")))</f>
        <v/>
      </c>
      <c r="E854" s="22">
        <f>IF($C854="","",IFERROR(INDEX(ENVIOS!$C$4:$C$3003,MATCH($C854,ENVIOS!$A$4:$A$3003,0)),"—"))</f>
        <v/>
      </c>
      <c r="F854" s="22">
        <f>IF($C854="","",IFERROR(INDEX(ENVIOS!$D$4:$D$3003,MATCH($C854,ENVIOS!$A$4:$A$3003,0)),"—"))</f>
        <v/>
      </c>
      <c r="G854" s="22">
        <f>IF($C854="","",IFERROR(INDEX(ENVIOS!$E$4:$E$3003,MATCH($C854,ENVIOS!$A$4:$A$3003,0)),"—"))</f>
        <v/>
      </c>
      <c r="H854" s="22">
        <f>IF($C854="","",IFERROR(INDEX(ENVIOS!$F$4:$F$3003,MATCH($C854,ENVIOS!$A$4:$A$3003,0)),"—"))</f>
        <v/>
      </c>
      <c r="I854" s="27">
        <f>IF($C854="","",IFERROR(INDEX(ENVIOS!$G$4:$G$3003,MATCH($C854,ENVIOS!$A$4:$A$3003,0)),"—"))</f>
        <v/>
      </c>
      <c r="J854" s="48">
        <f>IF($C854="","",IFERROR(INDEX(ENVIOS!$B$4:$B$3003,MATCH($C854,ENVIOS!$A$4:$A$3003,0)),""))</f>
        <v/>
      </c>
      <c r="K854" s="49" t="n"/>
      <c r="L854" s="27">
        <f>IF($K854="","",IFERROR(INDEX(CONFIG!$B$4:$B$43,MATCH($K854,CONFIG!$A$4:$A$43,0)),"Media"))</f>
        <v/>
      </c>
      <c r="M854" s="27">
        <f>IF($K854="","",IFERROR(INDEX(CONFIG!$D$4:$D$43,MATCH($K854,CONFIG!$A$4:$A$43,0)),"NO"))</f>
        <v/>
      </c>
      <c r="N854" s="49" t="n"/>
      <c r="O854" s="27">
        <f>IF($N854="","",IFERROR(INDEX(CONFIG!$G$4:$G$43,MATCH($N854,CONFIG!$F$4:$F$43,0)),"Por definir"))</f>
        <v/>
      </c>
      <c r="P854" s="27">
        <f>IF($N854="","",IFERROR(INDEX(CONFIG!$H$4:$H$43,MATCH($N854,CONFIG!$F$4:$F$43,0)),"Por definir"))</f>
        <v/>
      </c>
      <c r="Q854" s="50" t="n"/>
      <c r="R854" s="51" t="n"/>
      <c r="S854" s="49" t="n"/>
      <c r="T854" s="49" t="n"/>
      <c r="U854" s="48">
        <f>IF(OR($B854="",$K854=""),"",WORKDAY($B854,IFERROR(INDEX(CONFIG!$C$4:$C$43,MATCH($K854,CONFIG!$A$4:$A$43,0)),3)))</f>
        <v/>
      </c>
      <c r="V854" s="46" t="n"/>
      <c r="W854" s="23">
        <f>IF($B854="","",IF($V854&lt;&gt;"",$V854-$B854,TODAY()-$B854))</f>
        <v/>
      </c>
      <c r="X854" s="27">
        <f>IF($C854="","",IF(IFERROR(INDEX(CONFIG!$K$4:$K$43,MATCH($S854,CONFIG!$J$4:$J$43,0)),"NO")="SÍ",IF(OR($V854="",$U854=""),"Resuelta",IF($V854&gt;$U854,"Resuelta tarde","Resuelta a tiempo")),IF($U854="","Sin clasificar",IF(TODAY()&gt;$U854,"Vencida",IF(TODAY()&gt;=$U854-1,"Por vencer","En plazo")))))</f>
        <v/>
      </c>
      <c r="Y854" s="49" t="n"/>
      <c r="Z854" s="49" t="n"/>
    </row>
    <row r="855" ht="16" customHeight="1">
      <c r="A855" s="27">
        <f>IF($C855="","","N-"&amp;TEXT(ROW()-3,"0000"))</f>
        <v/>
      </c>
      <c r="B855" s="46" t="n"/>
      <c r="C855" s="47" t="n"/>
      <c r="D855" s="27">
        <f>IF($C855="","",IF(COUNTIFS(ENVIOS!$A$4:$A$3003,$C855)=0,"NO EXISTE",IF(COUNTIFS(ENVIOS!$A$4:$A$3003,$C855)&gt;1,"DUPLICADA","OK")))</f>
        <v/>
      </c>
      <c r="E855" s="22">
        <f>IF($C855="","",IFERROR(INDEX(ENVIOS!$C$4:$C$3003,MATCH($C855,ENVIOS!$A$4:$A$3003,0)),"—"))</f>
        <v/>
      </c>
      <c r="F855" s="22">
        <f>IF($C855="","",IFERROR(INDEX(ENVIOS!$D$4:$D$3003,MATCH($C855,ENVIOS!$A$4:$A$3003,0)),"—"))</f>
        <v/>
      </c>
      <c r="G855" s="22">
        <f>IF($C855="","",IFERROR(INDEX(ENVIOS!$E$4:$E$3003,MATCH($C855,ENVIOS!$A$4:$A$3003,0)),"—"))</f>
        <v/>
      </c>
      <c r="H855" s="22">
        <f>IF($C855="","",IFERROR(INDEX(ENVIOS!$F$4:$F$3003,MATCH($C855,ENVIOS!$A$4:$A$3003,0)),"—"))</f>
        <v/>
      </c>
      <c r="I855" s="27">
        <f>IF($C855="","",IFERROR(INDEX(ENVIOS!$G$4:$G$3003,MATCH($C855,ENVIOS!$A$4:$A$3003,0)),"—"))</f>
        <v/>
      </c>
      <c r="J855" s="48">
        <f>IF($C855="","",IFERROR(INDEX(ENVIOS!$B$4:$B$3003,MATCH($C855,ENVIOS!$A$4:$A$3003,0)),""))</f>
        <v/>
      </c>
      <c r="K855" s="49" t="n"/>
      <c r="L855" s="27">
        <f>IF($K855="","",IFERROR(INDEX(CONFIG!$B$4:$B$43,MATCH($K855,CONFIG!$A$4:$A$43,0)),"Media"))</f>
        <v/>
      </c>
      <c r="M855" s="27">
        <f>IF($K855="","",IFERROR(INDEX(CONFIG!$D$4:$D$43,MATCH($K855,CONFIG!$A$4:$A$43,0)),"NO"))</f>
        <v/>
      </c>
      <c r="N855" s="49" t="n"/>
      <c r="O855" s="27">
        <f>IF($N855="","",IFERROR(INDEX(CONFIG!$G$4:$G$43,MATCH($N855,CONFIG!$F$4:$F$43,0)),"Por definir"))</f>
        <v/>
      </c>
      <c r="P855" s="27">
        <f>IF($N855="","",IFERROR(INDEX(CONFIG!$H$4:$H$43,MATCH($N855,CONFIG!$F$4:$F$43,0)),"Por definir"))</f>
        <v/>
      </c>
      <c r="Q855" s="50" t="n"/>
      <c r="R855" s="51" t="n"/>
      <c r="S855" s="49" t="n"/>
      <c r="T855" s="49" t="n"/>
      <c r="U855" s="48">
        <f>IF(OR($B855="",$K855=""),"",WORKDAY($B855,IFERROR(INDEX(CONFIG!$C$4:$C$43,MATCH($K855,CONFIG!$A$4:$A$43,0)),3)))</f>
        <v/>
      </c>
      <c r="V855" s="46" t="n"/>
      <c r="W855" s="23">
        <f>IF($B855="","",IF($V855&lt;&gt;"",$V855-$B855,TODAY()-$B855))</f>
        <v/>
      </c>
      <c r="X855" s="27">
        <f>IF($C855="","",IF(IFERROR(INDEX(CONFIG!$K$4:$K$43,MATCH($S855,CONFIG!$J$4:$J$43,0)),"NO")="SÍ",IF(OR($V855="",$U855=""),"Resuelta",IF($V855&gt;$U855,"Resuelta tarde","Resuelta a tiempo")),IF($U855="","Sin clasificar",IF(TODAY()&gt;$U855,"Vencida",IF(TODAY()&gt;=$U855-1,"Por vencer","En plazo")))))</f>
        <v/>
      </c>
      <c r="Y855" s="49" t="n"/>
      <c r="Z855" s="49" t="n"/>
    </row>
    <row r="856" ht="16" customHeight="1">
      <c r="A856" s="27">
        <f>IF($C856="","","N-"&amp;TEXT(ROW()-3,"0000"))</f>
        <v/>
      </c>
      <c r="B856" s="46" t="n"/>
      <c r="C856" s="47" t="n"/>
      <c r="D856" s="27">
        <f>IF($C856="","",IF(COUNTIFS(ENVIOS!$A$4:$A$3003,$C856)=0,"NO EXISTE",IF(COUNTIFS(ENVIOS!$A$4:$A$3003,$C856)&gt;1,"DUPLICADA","OK")))</f>
        <v/>
      </c>
      <c r="E856" s="22">
        <f>IF($C856="","",IFERROR(INDEX(ENVIOS!$C$4:$C$3003,MATCH($C856,ENVIOS!$A$4:$A$3003,0)),"—"))</f>
        <v/>
      </c>
      <c r="F856" s="22">
        <f>IF($C856="","",IFERROR(INDEX(ENVIOS!$D$4:$D$3003,MATCH($C856,ENVIOS!$A$4:$A$3003,0)),"—"))</f>
        <v/>
      </c>
      <c r="G856" s="22">
        <f>IF($C856="","",IFERROR(INDEX(ENVIOS!$E$4:$E$3003,MATCH($C856,ENVIOS!$A$4:$A$3003,0)),"—"))</f>
        <v/>
      </c>
      <c r="H856" s="22">
        <f>IF($C856="","",IFERROR(INDEX(ENVIOS!$F$4:$F$3003,MATCH($C856,ENVIOS!$A$4:$A$3003,0)),"—"))</f>
        <v/>
      </c>
      <c r="I856" s="27">
        <f>IF($C856="","",IFERROR(INDEX(ENVIOS!$G$4:$G$3003,MATCH($C856,ENVIOS!$A$4:$A$3003,0)),"—"))</f>
        <v/>
      </c>
      <c r="J856" s="48">
        <f>IF($C856="","",IFERROR(INDEX(ENVIOS!$B$4:$B$3003,MATCH($C856,ENVIOS!$A$4:$A$3003,0)),""))</f>
        <v/>
      </c>
      <c r="K856" s="49" t="n"/>
      <c r="L856" s="27">
        <f>IF($K856="","",IFERROR(INDEX(CONFIG!$B$4:$B$43,MATCH($K856,CONFIG!$A$4:$A$43,0)),"Media"))</f>
        <v/>
      </c>
      <c r="M856" s="27">
        <f>IF($K856="","",IFERROR(INDEX(CONFIG!$D$4:$D$43,MATCH($K856,CONFIG!$A$4:$A$43,0)),"NO"))</f>
        <v/>
      </c>
      <c r="N856" s="49" t="n"/>
      <c r="O856" s="27">
        <f>IF($N856="","",IFERROR(INDEX(CONFIG!$G$4:$G$43,MATCH($N856,CONFIG!$F$4:$F$43,0)),"Por definir"))</f>
        <v/>
      </c>
      <c r="P856" s="27">
        <f>IF($N856="","",IFERROR(INDEX(CONFIG!$H$4:$H$43,MATCH($N856,CONFIG!$F$4:$F$43,0)),"Por definir"))</f>
        <v/>
      </c>
      <c r="Q856" s="50" t="n"/>
      <c r="R856" s="51" t="n"/>
      <c r="S856" s="49" t="n"/>
      <c r="T856" s="49" t="n"/>
      <c r="U856" s="48">
        <f>IF(OR($B856="",$K856=""),"",WORKDAY($B856,IFERROR(INDEX(CONFIG!$C$4:$C$43,MATCH($K856,CONFIG!$A$4:$A$43,0)),3)))</f>
        <v/>
      </c>
      <c r="V856" s="46" t="n"/>
      <c r="W856" s="23">
        <f>IF($B856="","",IF($V856&lt;&gt;"",$V856-$B856,TODAY()-$B856))</f>
        <v/>
      </c>
      <c r="X856" s="27">
        <f>IF($C856="","",IF(IFERROR(INDEX(CONFIG!$K$4:$K$43,MATCH($S856,CONFIG!$J$4:$J$43,0)),"NO")="SÍ",IF(OR($V856="",$U856=""),"Resuelta",IF($V856&gt;$U856,"Resuelta tarde","Resuelta a tiempo")),IF($U856="","Sin clasificar",IF(TODAY()&gt;$U856,"Vencida",IF(TODAY()&gt;=$U856-1,"Por vencer","En plazo")))))</f>
        <v/>
      </c>
      <c r="Y856" s="49" t="n"/>
      <c r="Z856" s="49" t="n"/>
    </row>
    <row r="857" ht="16" customHeight="1">
      <c r="A857" s="27">
        <f>IF($C857="","","N-"&amp;TEXT(ROW()-3,"0000"))</f>
        <v/>
      </c>
      <c r="B857" s="46" t="n"/>
      <c r="C857" s="47" t="n"/>
      <c r="D857" s="27">
        <f>IF($C857="","",IF(COUNTIFS(ENVIOS!$A$4:$A$3003,$C857)=0,"NO EXISTE",IF(COUNTIFS(ENVIOS!$A$4:$A$3003,$C857)&gt;1,"DUPLICADA","OK")))</f>
        <v/>
      </c>
      <c r="E857" s="22">
        <f>IF($C857="","",IFERROR(INDEX(ENVIOS!$C$4:$C$3003,MATCH($C857,ENVIOS!$A$4:$A$3003,0)),"—"))</f>
        <v/>
      </c>
      <c r="F857" s="22">
        <f>IF($C857="","",IFERROR(INDEX(ENVIOS!$D$4:$D$3003,MATCH($C857,ENVIOS!$A$4:$A$3003,0)),"—"))</f>
        <v/>
      </c>
      <c r="G857" s="22">
        <f>IF($C857="","",IFERROR(INDEX(ENVIOS!$E$4:$E$3003,MATCH($C857,ENVIOS!$A$4:$A$3003,0)),"—"))</f>
        <v/>
      </c>
      <c r="H857" s="22">
        <f>IF($C857="","",IFERROR(INDEX(ENVIOS!$F$4:$F$3003,MATCH($C857,ENVIOS!$A$4:$A$3003,0)),"—"))</f>
        <v/>
      </c>
      <c r="I857" s="27">
        <f>IF($C857="","",IFERROR(INDEX(ENVIOS!$G$4:$G$3003,MATCH($C857,ENVIOS!$A$4:$A$3003,0)),"—"))</f>
        <v/>
      </c>
      <c r="J857" s="48">
        <f>IF($C857="","",IFERROR(INDEX(ENVIOS!$B$4:$B$3003,MATCH($C857,ENVIOS!$A$4:$A$3003,0)),""))</f>
        <v/>
      </c>
      <c r="K857" s="49" t="n"/>
      <c r="L857" s="27">
        <f>IF($K857="","",IFERROR(INDEX(CONFIG!$B$4:$B$43,MATCH($K857,CONFIG!$A$4:$A$43,0)),"Media"))</f>
        <v/>
      </c>
      <c r="M857" s="27">
        <f>IF($K857="","",IFERROR(INDEX(CONFIG!$D$4:$D$43,MATCH($K857,CONFIG!$A$4:$A$43,0)),"NO"))</f>
        <v/>
      </c>
      <c r="N857" s="49" t="n"/>
      <c r="O857" s="27">
        <f>IF($N857="","",IFERROR(INDEX(CONFIG!$G$4:$G$43,MATCH($N857,CONFIG!$F$4:$F$43,0)),"Por definir"))</f>
        <v/>
      </c>
      <c r="P857" s="27">
        <f>IF($N857="","",IFERROR(INDEX(CONFIG!$H$4:$H$43,MATCH($N857,CONFIG!$F$4:$F$43,0)),"Por definir"))</f>
        <v/>
      </c>
      <c r="Q857" s="50" t="n"/>
      <c r="R857" s="51" t="n"/>
      <c r="S857" s="49" t="n"/>
      <c r="T857" s="49" t="n"/>
      <c r="U857" s="48">
        <f>IF(OR($B857="",$K857=""),"",WORKDAY($B857,IFERROR(INDEX(CONFIG!$C$4:$C$43,MATCH($K857,CONFIG!$A$4:$A$43,0)),3)))</f>
        <v/>
      </c>
      <c r="V857" s="46" t="n"/>
      <c r="W857" s="23">
        <f>IF($B857="","",IF($V857&lt;&gt;"",$V857-$B857,TODAY()-$B857))</f>
        <v/>
      </c>
      <c r="X857" s="27">
        <f>IF($C857="","",IF(IFERROR(INDEX(CONFIG!$K$4:$K$43,MATCH($S857,CONFIG!$J$4:$J$43,0)),"NO")="SÍ",IF(OR($V857="",$U857=""),"Resuelta",IF($V857&gt;$U857,"Resuelta tarde","Resuelta a tiempo")),IF($U857="","Sin clasificar",IF(TODAY()&gt;$U857,"Vencida",IF(TODAY()&gt;=$U857-1,"Por vencer","En plazo")))))</f>
        <v/>
      </c>
      <c r="Y857" s="49" t="n"/>
      <c r="Z857" s="49" t="n"/>
    </row>
    <row r="858" ht="16" customHeight="1">
      <c r="A858" s="27">
        <f>IF($C858="","","N-"&amp;TEXT(ROW()-3,"0000"))</f>
        <v/>
      </c>
      <c r="B858" s="46" t="n"/>
      <c r="C858" s="47" t="n"/>
      <c r="D858" s="27">
        <f>IF($C858="","",IF(COUNTIFS(ENVIOS!$A$4:$A$3003,$C858)=0,"NO EXISTE",IF(COUNTIFS(ENVIOS!$A$4:$A$3003,$C858)&gt;1,"DUPLICADA","OK")))</f>
        <v/>
      </c>
      <c r="E858" s="22">
        <f>IF($C858="","",IFERROR(INDEX(ENVIOS!$C$4:$C$3003,MATCH($C858,ENVIOS!$A$4:$A$3003,0)),"—"))</f>
        <v/>
      </c>
      <c r="F858" s="22">
        <f>IF($C858="","",IFERROR(INDEX(ENVIOS!$D$4:$D$3003,MATCH($C858,ENVIOS!$A$4:$A$3003,0)),"—"))</f>
        <v/>
      </c>
      <c r="G858" s="22">
        <f>IF($C858="","",IFERROR(INDEX(ENVIOS!$E$4:$E$3003,MATCH($C858,ENVIOS!$A$4:$A$3003,0)),"—"))</f>
        <v/>
      </c>
      <c r="H858" s="22">
        <f>IF($C858="","",IFERROR(INDEX(ENVIOS!$F$4:$F$3003,MATCH($C858,ENVIOS!$A$4:$A$3003,0)),"—"))</f>
        <v/>
      </c>
      <c r="I858" s="27">
        <f>IF($C858="","",IFERROR(INDEX(ENVIOS!$G$4:$G$3003,MATCH($C858,ENVIOS!$A$4:$A$3003,0)),"—"))</f>
        <v/>
      </c>
      <c r="J858" s="48">
        <f>IF($C858="","",IFERROR(INDEX(ENVIOS!$B$4:$B$3003,MATCH($C858,ENVIOS!$A$4:$A$3003,0)),""))</f>
        <v/>
      </c>
      <c r="K858" s="49" t="n"/>
      <c r="L858" s="27">
        <f>IF($K858="","",IFERROR(INDEX(CONFIG!$B$4:$B$43,MATCH($K858,CONFIG!$A$4:$A$43,0)),"Media"))</f>
        <v/>
      </c>
      <c r="M858" s="27">
        <f>IF($K858="","",IFERROR(INDEX(CONFIG!$D$4:$D$43,MATCH($K858,CONFIG!$A$4:$A$43,0)),"NO"))</f>
        <v/>
      </c>
      <c r="N858" s="49" t="n"/>
      <c r="O858" s="27">
        <f>IF($N858="","",IFERROR(INDEX(CONFIG!$G$4:$G$43,MATCH($N858,CONFIG!$F$4:$F$43,0)),"Por definir"))</f>
        <v/>
      </c>
      <c r="P858" s="27">
        <f>IF($N858="","",IFERROR(INDEX(CONFIG!$H$4:$H$43,MATCH($N858,CONFIG!$F$4:$F$43,0)),"Por definir"))</f>
        <v/>
      </c>
      <c r="Q858" s="50" t="n"/>
      <c r="R858" s="51" t="n"/>
      <c r="S858" s="49" t="n"/>
      <c r="T858" s="49" t="n"/>
      <c r="U858" s="48">
        <f>IF(OR($B858="",$K858=""),"",WORKDAY($B858,IFERROR(INDEX(CONFIG!$C$4:$C$43,MATCH($K858,CONFIG!$A$4:$A$43,0)),3)))</f>
        <v/>
      </c>
      <c r="V858" s="46" t="n"/>
      <c r="W858" s="23">
        <f>IF($B858="","",IF($V858&lt;&gt;"",$V858-$B858,TODAY()-$B858))</f>
        <v/>
      </c>
      <c r="X858" s="27">
        <f>IF($C858="","",IF(IFERROR(INDEX(CONFIG!$K$4:$K$43,MATCH($S858,CONFIG!$J$4:$J$43,0)),"NO")="SÍ",IF(OR($V858="",$U858=""),"Resuelta",IF($V858&gt;$U858,"Resuelta tarde","Resuelta a tiempo")),IF($U858="","Sin clasificar",IF(TODAY()&gt;$U858,"Vencida",IF(TODAY()&gt;=$U858-1,"Por vencer","En plazo")))))</f>
        <v/>
      </c>
      <c r="Y858" s="49" t="n"/>
      <c r="Z858" s="49" t="n"/>
    </row>
    <row r="859" ht="16" customHeight="1">
      <c r="A859" s="27">
        <f>IF($C859="","","N-"&amp;TEXT(ROW()-3,"0000"))</f>
        <v/>
      </c>
      <c r="B859" s="46" t="n"/>
      <c r="C859" s="47" t="n"/>
      <c r="D859" s="27">
        <f>IF($C859="","",IF(COUNTIFS(ENVIOS!$A$4:$A$3003,$C859)=0,"NO EXISTE",IF(COUNTIFS(ENVIOS!$A$4:$A$3003,$C859)&gt;1,"DUPLICADA","OK")))</f>
        <v/>
      </c>
      <c r="E859" s="22">
        <f>IF($C859="","",IFERROR(INDEX(ENVIOS!$C$4:$C$3003,MATCH($C859,ENVIOS!$A$4:$A$3003,0)),"—"))</f>
        <v/>
      </c>
      <c r="F859" s="22">
        <f>IF($C859="","",IFERROR(INDEX(ENVIOS!$D$4:$D$3003,MATCH($C859,ENVIOS!$A$4:$A$3003,0)),"—"))</f>
        <v/>
      </c>
      <c r="G859" s="22">
        <f>IF($C859="","",IFERROR(INDEX(ENVIOS!$E$4:$E$3003,MATCH($C859,ENVIOS!$A$4:$A$3003,0)),"—"))</f>
        <v/>
      </c>
      <c r="H859" s="22">
        <f>IF($C859="","",IFERROR(INDEX(ENVIOS!$F$4:$F$3003,MATCH($C859,ENVIOS!$A$4:$A$3003,0)),"—"))</f>
        <v/>
      </c>
      <c r="I859" s="27">
        <f>IF($C859="","",IFERROR(INDEX(ENVIOS!$G$4:$G$3003,MATCH($C859,ENVIOS!$A$4:$A$3003,0)),"—"))</f>
        <v/>
      </c>
      <c r="J859" s="48">
        <f>IF($C859="","",IFERROR(INDEX(ENVIOS!$B$4:$B$3003,MATCH($C859,ENVIOS!$A$4:$A$3003,0)),""))</f>
        <v/>
      </c>
      <c r="K859" s="49" t="n"/>
      <c r="L859" s="27">
        <f>IF($K859="","",IFERROR(INDEX(CONFIG!$B$4:$B$43,MATCH($K859,CONFIG!$A$4:$A$43,0)),"Media"))</f>
        <v/>
      </c>
      <c r="M859" s="27">
        <f>IF($K859="","",IFERROR(INDEX(CONFIG!$D$4:$D$43,MATCH($K859,CONFIG!$A$4:$A$43,0)),"NO"))</f>
        <v/>
      </c>
      <c r="N859" s="49" t="n"/>
      <c r="O859" s="27">
        <f>IF($N859="","",IFERROR(INDEX(CONFIG!$G$4:$G$43,MATCH($N859,CONFIG!$F$4:$F$43,0)),"Por definir"))</f>
        <v/>
      </c>
      <c r="P859" s="27">
        <f>IF($N859="","",IFERROR(INDEX(CONFIG!$H$4:$H$43,MATCH($N859,CONFIG!$F$4:$F$43,0)),"Por definir"))</f>
        <v/>
      </c>
      <c r="Q859" s="50" t="n"/>
      <c r="R859" s="51" t="n"/>
      <c r="S859" s="49" t="n"/>
      <c r="T859" s="49" t="n"/>
      <c r="U859" s="48">
        <f>IF(OR($B859="",$K859=""),"",WORKDAY($B859,IFERROR(INDEX(CONFIG!$C$4:$C$43,MATCH($K859,CONFIG!$A$4:$A$43,0)),3)))</f>
        <v/>
      </c>
      <c r="V859" s="46" t="n"/>
      <c r="W859" s="23">
        <f>IF($B859="","",IF($V859&lt;&gt;"",$V859-$B859,TODAY()-$B859))</f>
        <v/>
      </c>
      <c r="X859" s="27">
        <f>IF($C859="","",IF(IFERROR(INDEX(CONFIG!$K$4:$K$43,MATCH($S859,CONFIG!$J$4:$J$43,0)),"NO")="SÍ",IF(OR($V859="",$U859=""),"Resuelta",IF($V859&gt;$U859,"Resuelta tarde","Resuelta a tiempo")),IF($U859="","Sin clasificar",IF(TODAY()&gt;$U859,"Vencida",IF(TODAY()&gt;=$U859-1,"Por vencer","En plazo")))))</f>
        <v/>
      </c>
      <c r="Y859" s="49" t="n"/>
      <c r="Z859" s="49" t="n"/>
    </row>
    <row r="860" ht="16" customHeight="1">
      <c r="A860" s="27">
        <f>IF($C860="","","N-"&amp;TEXT(ROW()-3,"0000"))</f>
        <v/>
      </c>
      <c r="B860" s="46" t="n"/>
      <c r="C860" s="47" t="n"/>
      <c r="D860" s="27">
        <f>IF($C860="","",IF(COUNTIFS(ENVIOS!$A$4:$A$3003,$C860)=0,"NO EXISTE",IF(COUNTIFS(ENVIOS!$A$4:$A$3003,$C860)&gt;1,"DUPLICADA","OK")))</f>
        <v/>
      </c>
      <c r="E860" s="22">
        <f>IF($C860="","",IFERROR(INDEX(ENVIOS!$C$4:$C$3003,MATCH($C860,ENVIOS!$A$4:$A$3003,0)),"—"))</f>
        <v/>
      </c>
      <c r="F860" s="22">
        <f>IF($C860="","",IFERROR(INDEX(ENVIOS!$D$4:$D$3003,MATCH($C860,ENVIOS!$A$4:$A$3003,0)),"—"))</f>
        <v/>
      </c>
      <c r="G860" s="22">
        <f>IF($C860="","",IFERROR(INDEX(ENVIOS!$E$4:$E$3003,MATCH($C860,ENVIOS!$A$4:$A$3003,0)),"—"))</f>
        <v/>
      </c>
      <c r="H860" s="22">
        <f>IF($C860="","",IFERROR(INDEX(ENVIOS!$F$4:$F$3003,MATCH($C860,ENVIOS!$A$4:$A$3003,0)),"—"))</f>
        <v/>
      </c>
      <c r="I860" s="27">
        <f>IF($C860="","",IFERROR(INDEX(ENVIOS!$G$4:$G$3003,MATCH($C860,ENVIOS!$A$4:$A$3003,0)),"—"))</f>
        <v/>
      </c>
      <c r="J860" s="48">
        <f>IF($C860="","",IFERROR(INDEX(ENVIOS!$B$4:$B$3003,MATCH($C860,ENVIOS!$A$4:$A$3003,0)),""))</f>
        <v/>
      </c>
      <c r="K860" s="49" t="n"/>
      <c r="L860" s="27">
        <f>IF($K860="","",IFERROR(INDEX(CONFIG!$B$4:$B$43,MATCH($K860,CONFIG!$A$4:$A$43,0)),"Media"))</f>
        <v/>
      </c>
      <c r="M860" s="27">
        <f>IF($K860="","",IFERROR(INDEX(CONFIG!$D$4:$D$43,MATCH($K860,CONFIG!$A$4:$A$43,0)),"NO"))</f>
        <v/>
      </c>
      <c r="N860" s="49" t="n"/>
      <c r="O860" s="27">
        <f>IF($N860="","",IFERROR(INDEX(CONFIG!$G$4:$G$43,MATCH($N860,CONFIG!$F$4:$F$43,0)),"Por definir"))</f>
        <v/>
      </c>
      <c r="P860" s="27">
        <f>IF($N860="","",IFERROR(INDEX(CONFIG!$H$4:$H$43,MATCH($N860,CONFIG!$F$4:$F$43,0)),"Por definir"))</f>
        <v/>
      </c>
      <c r="Q860" s="50" t="n"/>
      <c r="R860" s="51" t="n"/>
      <c r="S860" s="49" t="n"/>
      <c r="T860" s="49" t="n"/>
      <c r="U860" s="48">
        <f>IF(OR($B860="",$K860=""),"",WORKDAY($B860,IFERROR(INDEX(CONFIG!$C$4:$C$43,MATCH($K860,CONFIG!$A$4:$A$43,0)),3)))</f>
        <v/>
      </c>
      <c r="V860" s="46" t="n"/>
      <c r="W860" s="23">
        <f>IF($B860="","",IF($V860&lt;&gt;"",$V860-$B860,TODAY()-$B860))</f>
        <v/>
      </c>
      <c r="X860" s="27">
        <f>IF($C860="","",IF(IFERROR(INDEX(CONFIG!$K$4:$K$43,MATCH($S860,CONFIG!$J$4:$J$43,0)),"NO")="SÍ",IF(OR($V860="",$U860=""),"Resuelta",IF($V860&gt;$U860,"Resuelta tarde","Resuelta a tiempo")),IF($U860="","Sin clasificar",IF(TODAY()&gt;$U860,"Vencida",IF(TODAY()&gt;=$U860-1,"Por vencer","En plazo")))))</f>
        <v/>
      </c>
      <c r="Y860" s="49" t="n"/>
      <c r="Z860" s="49" t="n"/>
    </row>
    <row r="861" ht="16" customHeight="1">
      <c r="A861" s="27">
        <f>IF($C861="","","N-"&amp;TEXT(ROW()-3,"0000"))</f>
        <v/>
      </c>
      <c r="B861" s="46" t="n"/>
      <c r="C861" s="47" t="n"/>
      <c r="D861" s="27">
        <f>IF($C861="","",IF(COUNTIFS(ENVIOS!$A$4:$A$3003,$C861)=0,"NO EXISTE",IF(COUNTIFS(ENVIOS!$A$4:$A$3003,$C861)&gt;1,"DUPLICADA","OK")))</f>
        <v/>
      </c>
      <c r="E861" s="22">
        <f>IF($C861="","",IFERROR(INDEX(ENVIOS!$C$4:$C$3003,MATCH($C861,ENVIOS!$A$4:$A$3003,0)),"—"))</f>
        <v/>
      </c>
      <c r="F861" s="22">
        <f>IF($C861="","",IFERROR(INDEX(ENVIOS!$D$4:$D$3003,MATCH($C861,ENVIOS!$A$4:$A$3003,0)),"—"))</f>
        <v/>
      </c>
      <c r="G861" s="22">
        <f>IF($C861="","",IFERROR(INDEX(ENVIOS!$E$4:$E$3003,MATCH($C861,ENVIOS!$A$4:$A$3003,0)),"—"))</f>
        <v/>
      </c>
      <c r="H861" s="22">
        <f>IF($C861="","",IFERROR(INDEX(ENVIOS!$F$4:$F$3003,MATCH($C861,ENVIOS!$A$4:$A$3003,0)),"—"))</f>
        <v/>
      </c>
      <c r="I861" s="27">
        <f>IF($C861="","",IFERROR(INDEX(ENVIOS!$G$4:$G$3003,MATCH($C861,ENVIOS!$A$4:$A$3003,0)),"—"))</f>
        <v/>
      </c>
      <c r="J861" s="48">
        <f>IF($C861="","",IFERROR(INDEX(ENVIOS!$B$4:$B$3003,MATCH($C861,ENVIOS!$A$4:$A$3003,0)),""))</f>
        <v/>
      </c>
      <c r="K861" s="49" t="n"/>
      <c r="L861" s="27">
        <f>IF($K861="","",IFERROR(INDEX(CONFIG!$B$4:$B$43,MATCH($K861,CONFIG!$A$4:$A$43,0)),"Media"))</f>
        <v/>
      </c>
      <c r="M861" s="27">
        <f>IF($K861="","",IFERROR(INDEX(CONFIG!$D$4:$D$43,MATCH($K861,CONFIG!$A$4:$A$43,0)),"NO"))</f>
        <v/>
      </c>
      <c r="N861" s="49" t="n"/>
      <c r="O861" s="27">
        <f>IF($N861="","",IFERROR(INDEX(CONFIG!$G$4:$G$43,MATCH($N861,CONFIG!$F$4:$F$43,0)),"Por definir"))</f>
        <v/>
      </c>
      <c r="P861" s="27">
        <f>IF($N861="","",IFERROR(INDEX(CONFIG!$H$4:$H$43,MATCH($N861,CONFIG!$F$4:$F$43,0)),"Por definir"))</f>
        <v/>
      </c>
      <c r="Q861" s="50" t="n"/>
      <c r="R861" s="51" t="n"/>
      <c r="S861" s="49" t="n"/>
      <c r="T861" s="49" t="n"/>
      <c r="U861" s="48">
        <f>IF(OR($B861="",$K861=""),"",WORKDAY($B861,IFERROR(INDEX(CONFIG!$C$4:$C$43,MATCH($K861,CONFIG!$A$4:$A$43,0)),3)))</f>
        <v/>
      </c>
      <c r="V861" s="46" t="n"/>
      <c r="W861" s="23">
        <f>IF($B861="","",IF($V861&lt;&gt;"",$V861-$B861,TODAY()-$B861))</f>
        <v/>
      </c>
      <c r="X861" s="27">
        <f>IF($C861="","",IF(IFERROR(INDEX(CONFIG!$K$4:$K$43,MATCH($S861,CONFIG!$J$4:$J$43,0)),"NO")="SÍ",IF(OR($V861="",$U861=""),"Resuelta",IF($V861&gt;$U861,"Resuelta tarde","Resuelta a tiempo")),IF($U861="","Sin clasificar",IF(TODAY()&gt;$U861,"Vencida",IF(TODAY()&gt;=$U861-1,"Por vencer","En plazo")))))</f>
        <v/>
      </c>
      <c r="Y861" s="49" t="n"/>
      <c r="Z861" s="49" t="n"/>
    </row>
    <row r="862" ht="16" customHeight="1">
      <c r="A862" s="27">
        <f>IF($C862="","","N-"&amp;TEXT(ROW()-3,"0000"))</f>
        <v/>
      </c>
      <c r="B862" s="46" t="n"/>
      <c r="C862" s="47" t="n"/>
      <c r="D862" s="27">
        <f>IF($C862="","",IF(COUNTIFS(ENVIOS!$A$4:$A$3003,$C862)=0,"NO EXISTE",IF(COUNTIFS(ENVIOS!$A$4:$A$3003,$C862)&gt;1,"DUPLICADA","OK")))</f>
        <v/>
      </c>
      <c r="E862" s="22">
        <f>IF($C862="","",IFERROR(INDEX(ENVIOS!$C$4:$C$3003,MATCH($C862,ENVIOS!$A$4:$A$3003,0)),"—"))</f>
        <v/>
      </c>
      <c r="F862" s="22">
        <f>IF($C862="","",IFERROR(INDEX(ENVIOS!$D$4:$D$3003,MATCH($C862,ENVIOS!$A$4:$A$3003,0)),"—"))</f>
        <v/>
      </c>
      <c r="G862" s="22">
        <f>IF($C862="","",IFERROR(INDEX(ENVIOS!$E$4:$E$3003,MATCH($C862,ENVIOS!$A$4:$A$3003,0)),"—"))</f>
        <v/>
      </c>
      <c r="H862" s="22">
        <f>IF($C862="","",IFERROR(INDEX(ENVIOS!$F$4:$F$3003,MATCH($C862,ENVIOS!$A$4:$A$3003,0)),"—"))</f>
        <v/>
      </c>
      <c r="I862" s="27">
        <f>IF($C862="","",IFERROR(INDEX(ENVIOS!$G$4:$G$3003,MATCH($C862,ENVIOS!$A$4:$A$3003,0)),"—"))</f>
        <v/>
      </c>
      <c r="J862" s="48">
        <f>IF($C862="","",IFERROR(INDEX(ENVIOS!$B$4:$B$3003,MATCH($C862,ENVIOS!$A$4:$A$3003,0)),""))</f>
        <v/>
      </c>
      <c r="K862" s="49" t="n"/>
      <c r="L862" s="27">
        <f>IF($K862="","",IFERROR(INDEX(CONFIG!$B$4:$B$43,MATCH($K862,CONFIG!$A$4:$A$43,0)),"Media"))</f>
        <v/>
      </c>
      <c r="M862" s="27">
        <f>IF($K862="","",IFERROR(INDEX(CONFIG!$D$4:$D$43,MATCH($K862,CONFIG!$A$4:$A$43,0)),"NO"))</f>
        <v/>
      </c>
      <c r="N862" s="49" t="n"/>
      <c r="O862" s="27">
        <f>IF($N862="","",IFERROR(INDEX(CONFIG!$G$4:$G$43,MATCH($N862,CONFIG!$F$4:$F$43,0)),"Por definir"))</f>
        <v/>
      </c>
      <c r="P862" s="27">
        <f>IF($N862="","",IFERROR(INDEX(CONFIG!$H$4:$H$43,MATCH($N862,CONFIG!$F$4:$F$43,0)),"Por definir"))</f>
        <v/>
      </c>
      <c r="Q862" s="50" t="n"/>
      <c r="R862" s="51" t="n"/>
      <c r="S862" s="49" t="n"/>
      <c r="T862" s="49" t="n"/>
      <c r="U862" s="48">
        <f>IF(OR($B862="",$K862=""),"",WORKDAY($B862,IFERROR(INDEX(CONFIG!$C$4:$C$43,MATCH($K862,CONFIG!$A$4:$A$43,0)),3)))</f>
        <v/>
      </c>
      <c r="V862" s="46" t="n"/>
      <c r="W862" s="23">
        <f>IF($B862="","",IF($V862&lt;&gt;"",$V862-$B862,TODAY()-$B862))</f>
        <v/>
      </c>
      <c r="X862" s="27">
        <f>IF($C862="","",IF(IFERROR(INDEX(CONFIG!$K$4:$K$43,MATCH($S862,CONFIG!$J$4:$J$43,0)),"NO")="SÍ",IF(OR($V862="",$U862=""),"Resuelta",IF($V862&gt;$U862,"Resuelta tarde","Resuelta a tiempo")),IF($U862="","Sin clasificar",IF(TODAY()&gt;$U862,"Vencida",IF(TODAY()&gt;=$U862-1,"Por vencer","En plazo")))))</f>
        <v/>
      </c>
      <c r="Y862" s="49" t="n"/>
      <c r="Z862" s="49" t="n"/>
    </row>
    <row r="863" ht="16" customHeight="1">
      <c r="A863" s="27">
        <f>IF($C863="","","N-"&amp;TEXT(ROW()-3,"0000"))</f>
        <v/>
      </c>
      <c r="B863" s="46" t="n"/>
      <c r="C863" s="47" t="n"/>
      <c r="D863" s="27">
        <f>IF($C863="","",IF(COUNTIFS(ENVIOS!$A$4:$A$3003,$C863)=0,"NO EXISTE",IF(COUNTIFS(ENVIOS!$A$4:$A$3003,$C863)&gt;1,"DUPLICADA","OK")))</f>
        <v/>
      </c>
      <c r="E863" s="22">
        <f>IF($C863="","",IFERROR(INDEX(ENVIOS!$C$4:$C$3003,MATCH($C863,ENVIOS!$A$4:$A$3003,0)),"—"))</f>
        <v/>
      </c>
      <c r="F863" s="22">
        <f>IF($C863="","",IFERROR(INDEX(ENVIOS!$D$4:$D$3003,MATCH($C863,ENVIOS!$A$4:$A$3003,0)),"—"))</f>
        <v/>
      </c>
      <c r="G863" s="22">
        <f>IF($C863="","",IFERROR(INDEX(ENVIOS!$E$4:$E$3003,MATCH($C863,ENVIOS!$A$4:$A$3003,0)),"—"))</f>
        <v/>
      </c>
      <c r="H863" s="22">
        <f>IF($C863="","",IFERROR(INDEX(ENVIOS!$F$4:$F$3003,MATCH($C863,ENVIOS!$A$4:$A$3003,0)),"—"))</f>
        <v/>
      </c>
      <c r="I863" s="27">
        <f>IF($C863="","",IFERROR(INDEX(ENVIOS!$G$4:$G$3003,MATCH($C863,ENVIOS!$A$4:$A$3003,0)),"—"))</f>
        <v/>
      </c>
      <c r="J863" s="48">
        <f>IF($C863="","",IFERROR(INDEX(ENVIOS!$B$4:$B$3003,MATCH($C863,ENVIOS!$A$4:$A$3003,0)),""))</f>
        <v/>
      </c>
      <c r="K863" s="49" t="n"/>
      <c r="L863" s="27">
        <f>IF($K863="","",IFERROR(INDEX(CONFIG!$B$4:$B$43,MATCH($K863,CONFIG!$A$4:$A$43,0)),"Media"))</f>
        <v/>
      </c>
      <c r="M863" s="27">
        <f>IF($K863="","",IFERROR(INDEX(CONFIG!$D$4:$D$43,MATCH($K863,CONFIG!$A$4:$A$43,0)),"NO"))</f>
        <v/>
      </c>
      <c r="N863" s="49" t="n"/>
      <c r="O863" s="27">
        <f>IF($N863="","",IFERROR(INDEX(CONFIG!$G$4:$G$43,MATCH($N863,CONFIG!$F$4:$F$43,0)),"Por definir"))</f>
        <v/>
      </c>
      <c r="P863" s="27">
        <f>IF($N863="","",IFERROR(INDEX(CONFIG!$H$4:$H$43,MATCH($N863,CONFIG!$F$4:$F$43,0)),"Por definir"))</f>
        <v/>
      </c>
      <c r="Q863" s="50" t="n"/>
      <c r="R863" s="51" t="n"/>
      <c r="S863" s="49" t="n"/>
      <c r="T863" s="49" t="n"/>
      <c r="U863" s="48">
        <f>IF(OR($B863="",$K863=""),"",WORKDAY($B863,IFERROR(INDEX(CONFIG!$C$4:$C$43,MATCH($K863,CONFIG!$A$4:$A$43,0)),3)))</f>
        <v/>
      </c>
      <c r="V863" s="46" t="n"/>
      <c r="W863" s="23">
        <f>IF($B863="","",IF($V863&lt;&gt;"",$V863-$B863,TODAY()-$B863))</f>
        <v/>
      </c>
      <c r="X863" s="27">
        <f>IF($C863="","",IF(IFERROR(INDEX(CONFIG!$K$4:$K$43,MATCH($S863,CONFIG!$J$4:$J$43,0)),"NO")="SÍ",IF(OR($V863="",$U863=""),"Resuelta",IF($V863&gt;$U863,"Resuelta tarde","Resuelta a tiempo")),IF($U863="","Sin clasificar",IF(TODAY()&gt;$U863,"Vencida",IF(TODAY()&gt;=$U863-1,"Por vencer","En plazo")))))</f>
        <v/>
      </c>
      <c r="Y863" s="49" t="n"/>
      <c r="Z863" s="49" t="n"/>
    </row>
    <row r="864" ht="16" customHeight="1">
      <c r="A864" s="27">
        <f>IF($C864="","","N-"&amp;TEXT(ROW()-3,"0000"))</f>
        <v/>
      </c>
      <c r="B864" s="46" t="n"/>
      <c r="C864" s="47" t="n"/>
      <c r="D864" s="27">
        <f>IF($C864="","",IF(COUNTIFS(ENVIOS!$A$4:$A$3003,$C864)=0,"NO EXISTE",IF(COUNTIFS(ENVIOS!$A$4:$A$3003,$C864)&gt;1,"DUPLICADA","OK")))</f>
        <v/>
      </c>
      <c r="E864" s="22">
        <f>IF($C864="","",IFERROR(INDEX(ENVIOS!$C$4:$C$3003,MATCH($C864,ENVIOS!$A$4:$A$3003,0)),"—"))</f>
        <v/>
      </c>
      <c r="F864" s="22">
        <f>IF($C864="","",IFERROR(INDEX(ENVIOS!$D$4:$D$3003,MATCH($C864,ENVIOS!$A$4:$A$3003,0)),"—"))</f>
        <v/>
      </c>
      <c r="G864" s="22">
        <f>IF($C864="","",IFERROR(INDEX(ENVIOS!$E$4:$E$3003,MATCH($C864,ENVIOS!$A$4:$A$3003,0)),"—"))</f>
        <v/>
      </c>
      <c r="H864" s="22">
        <f>IF($C864="","",IFERROR(INDEX(ENVIOS!$F$4:$F$3003,MATCH($C864,ENVIOS!$A$4:$A$3003,0)),"—"))</f>
        <v/>
      </c>
      <c r="I864" s="27">
        <f>IF($C864="","",IFERROR(INDEX(ENVIOS!$G$4:$G$3003,MATCH($C864,ENVIOS!$A$4:$A$3003,0)),"—"))</f>
        <v/>
      </c>
      <c r="J864" s="48">
        <f>IF($C864="","",IFERROR(INDEX(ENVIOS!$B$4:$B$3003,MATCH($C864,ENVIOS!$A$4:$A$3003,0)),""))</f>
        <v/>
      </c>
      <c r="K864" s="49" t="n"/>
      <c r="L864" s="27">
        <f>IF($K864="","",IFERROR(INDEX(CONFIG!$B$4:$B$43,MATCH($K864,CONFIG!$A$4:$A$43,0)),"Media"))</f>
        <v/>
      </c>
      <c r="M864" s="27">
        <f>IF($K864="","",IFERROR(INDEX(CONFIG!$D$4:$D$43,MATCH($K864,CONFIG!$A$4:$A$43,0)),"NO"))</f>
        <v/>
      </c>
      <c r="N864" s="49" t="n"/>
      <c r="O864" s="27">
        <f>IF($N864="","",IFERROR(INDEX(CONFIG!$G$4:$G$43,MATCH($N864,CONFIG!$F$4:$F$43,0)),"Por definir"))</f>
        <v/>
      </c>
      <c r="P864" s="27">
        <f>IF($N864="","",IFERROR(INDEX(CONFIG!$H$4:$H$43,MATCH($N864,CONFIG!$F$4:$F$43,0)),"Por definir"))</f>
        <v/>
      </c>
      <c r="Q864" s="50" t="n"/>
      <c r="R864" s="51" t="n"/>
      <c r="S864" s="49" t="n"/>
      <c r="T864" s="49" t="n"/>
      <c r="U864" s="48">
        <f>IF(OR($B864="",$K864=""),"",WORKDAY($B864,IFERROR(INDEX(CONFIG!$C$4:$C$43,MATCH($K864,CONFIG!$A$4:$A$43,0)),3)))</f>
        <v/>
      </c>
      <c r="V864" s="46" t="n"/>
      <c r="W864" s="23">
        <f>IF($B864="","",IF($V864&lt;&gt;"",$V864-$B864,TODAY()-$B864))</f>
        <v/>
      </c>
      <c r="X864" s="27">
        <f>IF($C864="","",IF(IFERROR(INDEX(CONFIG!$K$4:$K$43,MATCH($S864,CONFIG!$J$4:$J$43,0)),"NO")="SÍ",IF(OR($V864="",$U864=""),"Resuelta",IF($V864&gt;$U864,"Resuelta tarde","Resuelta a tiempo")),IF($U864="","Sin clasificar",IF(TODAY()&gt;$U864,"Vencida",IF(TODAY()&gt;=$U864-1,"Por vencer","En plazo")))))</f>
        <v/>
      </c>
      <c r="Y864" s="49" t="n"/>
      <c r="Z864" s="49" t="n"/>
    </row>
    <row r="865" ht="16" customHeight="1">
      <c r="A865" s="27">
        <f>IF($C865="","","N-"&amp;TEXT(ROW()-3,"0000"))</f>
        <v/>
      </c>
      <c r="B865" s="46" t="n"/>
      <c r="C865" s="47" t="n"/>
      <c r="D865" s="27">
        <f>IF($C865="","",IF(COUNTIFS(ENVIOS!$A$4:$A$3003,$C865)=0,"NO EXISTE",IF(COUNTIFS(ENVIOS!$A$4:$A$3003,$C865)&gt;1,"DUPLICADA","OK")))</f>
        <v/>
      </c>
      <c r="E865" s="22">
        <f>IF($C865="","",IFERROR(INDEX(ENVIOS!$C$4:$C$3003,MATCH($C865,ENVIOS!$A$4:$A$3003,0)),"—"))</f>
        <v/>
      </c>
      <c r="F865" s="22">
        <f>IF($C865="","",IFERROR(INDEX(ENVIOS!$D$4:$D$3003,MATCH($C865,ENVIOS!$A$4:$A$3003,0)),"—"))</f>
        <v/>
      </c>
      <c r="G865" s="22">
        <f>IF($C865="","",IFERROR(INDEX(ENVIOS!$E$4:$E$3003,MATCH($C865,ENVIOS!$A$4:$A$3003,0)),"—"))</f>
        <v/>
      </c>
      <c r="H865" s="22">
        <f>IF($C865="","",IFERROR(INDEX(ENVIOS!$F$4:$F$3003,MATCH($C865,ENVIOS!$A$4:$A$3003,0)),"—"))</f>
        <v/>
      </c>
      <c r="I865" s="27">
        <f>IF($C865="","",IFERROR(INDEX(ENVIOS!$G$4:$G$3003,MATCH($C865,ENVIOS!$A$4:$A$3003,0)),"—"))</f>
        <v/>
      </c>
      <c r="J865" s="48">
        <f>IF($C865="","",IFERROR(INDEX(ENVIOS!$B$4:$B$3003,MATCH($C865,ENVIOS!$A$4:$A$3003,0)),""))</f>
        <v/>
      </c>
      <c r="K865" s="49" t="n"/>
      <c r="L865" s="27">
        <f>IF($K865="","",IFERROR(INDEX(CONFIG!$B$4:$B$43,MATCH($K865,CONFIG!$A$4:$A$43,0)),"Media"))</f>
        <v/>
      </c>
      <c r="M865" s="27">
        <f>IF($K865="","",IFERROR(INDEX(CONFIG!$D$4:$D$43,MATCH($K865,CONFIG!$A$4:$A$43,0)),"NO"))</f>
        <v/>
      </c>
      <c r="N865" s="49" t="n"/>
      <c r="O865" s="27">
        <f>IF($N865="","",IFERROR(INDEX(CONFIG!$G$4:$G$43,MATCH($N865,CONFIG!$F$4:$F$43,0)),"Por definir"))</f>
        <v/>
      </c>
      <c r="P865" s="27">
        <f>IF($N865="","",IFERROR(INDEX(CONFIG!$H$4:$H$43,MATCH($N865,CONFIG!$F$4:$F$43,0)),"Por definir"))</f>
        <v/>
      </c>
      <c r="Q865" s="50" t="n"/>
      <c r="R865" s="51" t="n"/>
      <c r="S865" s="49" t="n"/>
      <c r="T865" s="49" t="n"/>
      <c r="U865" s="48">
        <f>IF(OR($B865="",$K865=""),"",WORKDAY($B865,IFERROR(INDEX(CONFIG!$C$4:$C$43,MATCH($K865,CONFIG!$A$4:$A$43,0)),3)))</f>
        <v/>
      </c>
      <c r="V865" s="46" t="n"/>
      <c r="W865" s="23">
        <f>IF($B865="","",IF($V865&lt;&gt;"",$V865-$B865,TODAY()-$B865))</f>
        <v/>
      </c>
      <c r="X865" s="27">
        <f>IF($C865="","",IF(IFERROR(INDEX(CONFIG!$K$4:$K$43,MATCH($S865,CONFIG!$J$4:$J$43,0)),"NO")="SÍ",IF(OR($V865="",$U865=""),"Resuelta",IF($V865&gt;$U865,"Resuelta tarde","Resuelta a tiempo")),IF($U865="","Sin clasificar",IF(TODAY()&gt;$U865,"Vencida",IF(TODAY()&gt;=$U865-1,"Por vencer","En plazo")))))</f>
        <v/>
      </c>
      <c r="Y865" s="49" t="n"/>
      <c r="Z865" s="49" t="n"/>
    </row>
    <row r="866" ht="16" customHeight="1">
      <c r="A866" s="27">
        <f>IF($C866="","","N-"&amp;TEXT(ROW()-3,"0000"))</f>
        <v/>
      </c>
      <c r="B866" s="46" t="n"/>
      <c r="C866" s="47" t="n"/>
      <c r="D866" s="27">
        <f>IF($C866="","",IF(COUNTIFS(ENVIOS!$A$4:$A$3003,$C866)=0,"NO EXISTE",IF(COUNTIFS(ENVIOS!$A$4:$A$3003,$C866)&gt;1,"DUPLICADA","OK")))</f>
        <v/>
      </c>
      <c r="E866" s="22">
        <f>IF($C866="","",IFERROR(INDEX(ENVIOS!$C$4:$C$3003,MATCH($C866,ENVIOS!$A$4:$A$3003,0)),"—"))</f>
        <v/>
      </c>
      <c r="F866" s="22">
        <f>IF($C866="","",IFERROR(INDEX(ENVIOS!$D$4:$D$3003,MATCH($C866,ENVIOS!$A$4:$A$3003,0)),"—"))</f>
        <v/>
      </c>
      <c r="G866" s="22">
        <f>IF($C866="","",IFERROR(INDEX(ENVIOS!$E$4:$E$3003,MATCH($C866,ENVIOS!$A$4:$A$3003,0)),"—"))</f>
        <v/>
      </c>
      <c r="H866" s="22">
        <f>IF($C866="","",IFERROR(INDEX(ENVIOS!$F$4:$F$3003,MATCH($C866,ENVIOS!$A$4:$A$3003,0)),"—"))</f>
        <v/>
      </c>
      <c r="I866" s="27">
        <f>IF($C866="","",IFERROR(INDEX(ENVIOS!$G$4:$G$3003,MATCH($C866,ENVIOS!$A$4:$A$3003,0)),"—"))</f>
        <v/>
      </c>
      <c r="J866" s="48">
        <f>IF($C866="","",IFERROR(INDEX(ENVIOS!$B$4:$B$3003,MATCH($C866,ENVIOS!$A$4:$A$3003,0)),""))</f>
        <v/>
      </c>
      <c r="K866" s="49" t="n"/>
      <c r="L866" s="27">
        <f>IF($K866="","",IFERROR(INDEX(CONFIG!$B$4:$B$43,MATCH($K866,CONFIG!$A$4:$A$43,0)),"Media"))</f>
        <v/>
      </c>
      <c r="M866" s="27">
        <f>IF($K866="","",IFERROR(INDEX(CONFIG!$D$4:$D$43,MATCH($K866,CONFIG!$A$4:$A$43,0)),"NO"))</f>
        <v/>
      </c>
      <c r="N866" s="49" t="n"/>
      <c r="O866" s="27">
        <f>IF($N866="","",IFERROR(INDEX(CONFIG!$G$4:$G$43,MATCH($N866,CONFIG!$F$4:$F$43,0)),"Por definir"))</f>
        <v/>
      </c>
      <c r="P866" s="27">
        <f>IF($N866="","",IFERROR(INDEX(CONFIG!$H$4:$H$43,MATCH($N866,CONFIG!$F$4:$F$43,0)),"Por definir"))</f>
        <v/>
      </c>
      <c r="Q866" s="50" t="n"/>
      <c r="R866" s="51" t="n"/>
      <c r="S866" s="49" t="n"/>
      <c r="T866" s="49" t="n"/>
      <c r="U866" s="48">
        <f>IF(OR($B866="",$K866=""),"",WORKDAY($B866,IFERROR(INDEX(CONFIG!$C$4:$C$43,MATCH($K866,CONFIG!$A$4:$A$43,0)),3)))</f>
        <v/>
      </c>
      <c r="V866" s="46" t="n"/>
      <c r="W866" s="23">
        <f>IF($B866="","",IF($V866&lt;&gt;"",$V866-$B866,TODAY()-$B866))</f>
        <v/>
      </c>
      <c r="X866" s="27">
        <f>IF($C866="","",IF(IFERROR(INDEX(CONFIG!$K$4:$K$43,MATCH($S866,CONFIG!$J$4:$J$43,0)),"NO")="SÍ",IF(OR($V866="",$U866=""),"Resuelta",IF($V866&gt;$U866,"Resuelta tarde","Resuelta a tiempo")),IF($U866="","Sin clasificar",IF(TODAY()&gt;$U866,"Vencida",IF(TODAY()&gt;=$U866-1,"Por vencer","En plazo")))))</f>
        <v/>
      </c>
      <c r="Y866" s="49" t="n"/>
      <c r="Z866" s="49" t="n"/>
    </row>
    <row r="867" ht="16" customHeight="1">
      <c r="A867" s="27">
        <f>IF($C867="","","N-"&amp;TEXT(ROW()-3,"0000"))</f>
        <v/>
      </c>
      <c r="B867" s="46" t="n"/>
      <c r="C867" s="47" t="n"/>
      <c r="D867" s="27">
        <f>IF($C867="","",IF(COUNTIFS(ENVIOS!$A$4:$A$3003,$C867)=0,"NO EXISTE",IF(COUNTIFS(ENVIOS!$A$4:$A$3003,$C867)&gt;1,"DUPLICADA","OK")))</f>
        <v/>
      </c>
      <c r="E867" s="22">
        <f>IF($C867="","",IFERROR(INDEX(ENVIOS!$C$4:$C$3003,MATCH($C867,ENVIOS!$A$4:$A$3003,0)),"—"))</f>
        <v/>
      </c>
      <c r="F867" s="22">
        <f>IF($C867="","",IFERROR(INDEX(ENVIOS!$D$4:$D$3003,MATCH($C867,ENVIOS!$A$4:$A$3003,0)),"—"))</f>
        <v/>
      </c>
      <c r="G867" s="22">
        <f>IF($C867="","",IFERROR(INDEX(ENVIOS!$E$4:$E$3003,MATCH($C867,ENVIOS!$A$4:$A$3003,0)),"—"))</f>
        <v/>
      </c>
      <c r="H867" s="22">
        <f>IF($C867="","",IFERROR(INDEX(ENVIOS!$F$4:$F$3003,MATCH($C867,ENVIOS!$A$4:$A$3003,0)),"—"))</f>
        <v/>
      </c>
      <c r="I867" s="27">
        <f>IF($C867="","",IFERROR(INDEX(ENVIOS!$G$4:$G$3003,MATCH($C867,ENVIOS!$A$4:$A$3003,0)),"—"))</f>
        <v/>
      </c>
      <c r="J867" s="48">
        <f>IF($C867="","",IFERROR(INDEX(ENVIOS!$B$4:$B$3003,MATCH($C867,ENVIOS!$A$4:$A$3003,0)),""))</f>
        <v/>
      </c>
      <c r="K867" s="49" t="n"/>
      <c r="L867" s="27">
        <f>IF($K867="","",IFERROR(INDEX(CONFIG!$B$4:$B$43,MATCH($K867,CONFIG!$A$4:$A$43,0)),"Media"))</f>
        <v/>
      </c>
      <c r="M867" s="27">
        <f>IF($K867="","",IFERROR(INDEX(CONFIG!$D$4:$D$43,MATCH($K867,CONFIG!$A$4:$A$43,0)),"NO"))</f>
        <v/>
      </c>
      <c r="N867" s="49" t="n"/>
      <c r="O867" s="27">
        <f>IF($N867="","",IFERROR(INDEX(CONFIG!$G$4:$G$43,MATCH($N867,CONFIG!$F$4:$F$43,0)),"Por definir"))</f>
        <v/>
      </c>
      <c r="P867" s="27">
        <f>IF($N867="","",IFERROR(INDEX(CONFIG!$H$4:$H$43,MATCH($N867,CONFIG!$F$4:$F$43,0)),"Por definir"))</f>
        <v/>
      </c>
      <c r="Q867" s="50" t="n"/>
      <c r="R867" s="51" t="n"/>
      <c r="S867" s="49" t="n"/>
      <c r="T867" s="49" t="n"/>
      <c r="U867" s="48">
        <f>IF(OR($B867="",$K867=""),"",WORKDAY($B867,IFERROR(INDEX(CONFIG!$C$4:$C$43,MATCH($K867,CONFIG!$A$4:$A$43,0)),3)))</f>
        <v/>
      </c>
      <c r="V867" s="46" t="n"/>
      <c r="W867" s="23">
        <f>IF($B867="","",IF($V867&lt;&gt;"",$V867-$B867,TODAY()-$B867))</f>
        <v/>
      </c>
      <c r="X867" s="27">
        <f>IF($C867="","",IF(IFERROR(INDEX(CONFIG!$K$4:$K$43,MATCH($S867,CONFIG!$J$4:$J$43,0)),"NO")="SÍ",IF(OR($V867="",$U867=""),"Resuelta",IF($V867&gt;$U867,"Resuelta tarde","Resuelta a tiempo")),IF($U867="","Sin clasificar",IF(TODAY()&gt;$U867,"Vencida",IF(TODAY()&gt;=$U867-1,"Por vencer","En plazo")))))</f>
        <v/>
      </c>
      <c r="Y867" s="49" t="n"/>
      <c r="Z867" s="49" t="n"/>
    </row>
    <row r="868" ht="16" customHeight="1">
      <c r="A868" s="27">
        <f>IF($C868="","","N-"&amp;TEXT(ROW()-3,"0000"))</f>
        <v/>
      </c>
      <c r="B868" s="46" t="n"/>
      <c r="C868" s="47" t="n"/>
      <c r="D868" s="27">
        <f>IF($C868="","",IF(COUNTIFS(ENVIOS!$A$4:$A$3003,$C868)=0,"NO EXISTE",IF(COUNTIFS(ENVIOS!$A$4:$A$3003,$C868)&gt;1,"DUPLICADA","OK")))</f>
        <v/>
      </c>
      <c r="E868" s="22">
        <f>IF($C868="","",IFERROR(INDEX(ENVIOS!$C$4:$C$3003,MATCH($C868,ENVIOS!$A$4:$A$3003,0)),"—"))</f>
        <v/>
      </c>
      <c r="F868" s="22">
        <f>IF($C868="","",IFERROR(INDEX(ENVIOS!$D$4:$D$3003,MATCH($C868,ENVIOS!$A$4:$A$3003,0)),"—"))</f>
        <v/>
      </c>
      <c r="G868" s="22">
        <f>IF($C868="","",IFERROR(INDEX(ENVIOS!$E$4:$E$3003,MATCH($C868,ENVIOS!$A$4:$A$3003,0)),"—"))</f>
        <v/>
      </c>
      <c r="H868" s="22">
        <f>IF($C868="","",IFERROR(INDEX(ENVIOS!$F$4:$F$3003,MATCH($C868,ENVIOS!$A$4:$A$3003,0)),"—"))</f>
        <v/>
      </c>
      <c r="I868" s="27">
        <f>IF($C868="","",IFERROR(INDEX(ENVIOS!$G$4:$G$3003,MATCH($C868,ENVIOS!$A$4:$A$3003,0)),"—"))</f>
        <v/>
      </c>
      <c r="J868" s="48">
        <f>IF($C868="","",IFERROR(INDEX(ENVIOS!$B$4:$B$3003,MATCH($C868,ENVIOS!$A$4:$A$3003,0)),""))</f>
        <v/>
      </c>
      <c r="K868" s="49" t="n"/>
      <c r="L868" s="27">
        <f>IF($K868="","",IFERROR(INDEX(CONFIG!$B$4:$B$43,MATCH($K868,CONFIG!$A$4:$A$43,0)),"Media"))</f>
        <v/>
      </c>
      <c r="M868" s="27">
        <f>IF($K868="","",IFERROR(INDEX(CONFIG!$D$4:$D$43,MATCH($K868,CONFIG!$A$4:$A$43,0)),"NO"))</f>
        <v/>
      </c>
      <c r="N868" s="49" t="n"/>
      <c r="O868" s="27">
        <f>IF($N868="","",IFERROR(INDEX(CONFIG!$G$4:$G$43,MATCH($N868,CONFIG!$F$4:$F$43,0)),"Por definir"))</f>
        <v/>
      </c>
      <c r="P868" s="27">
        <f>IF($N868="","",IFERROR(INDEX(CONFIG!$H$4:$H$43,MATCH($N868,CONFIG!$F$4:$F$43,0)),"Por definir"))</f>
        <v/>
      </c>
      <c r="Q868" s="50" t="n"/>
      <c r="R868" s="51" t="n"/>
      <c r="S868" s="49" t="n"/>
      <c r="T868" s="49" t="n"/>
      <c r="U868" s="48">
        <f>IF(OR($B868="",$K868=""),"",WORKDAY($B868,IFERROR(INDEX(CONFIG!$C$4:$C$43,MATCH($K868,CONFIG!$A$4:$A$43,0)),3)))</f>
        <v/>
      </c>
      <c r="V868" s="46" t="n"/>
      <c r="W868" s="23">
        <f>IF($B868="","",IF($V868&lt;&gt;"",$V868-$B868,TODAY()-$B868))</f>
        <v/>
      </c>
      <c r="X868" s="27">
        <f>IF($C868="","",IF(IFERROR(INDEX(CONFIG!$K$4:$K$43,MATCH($S868,CONFIG!$J$4:$J$43,0)),"NO")="SÍ",IF(OR($V868="",$U868=""),"Resuelta",IF($V868&gt;$U868,"Resuelta tarde","Resuelta a tiempo")),IF($U868="","Sin clasificar",IF(TODAY()&gt;$U868,"Vencida",IF(TODAY()&gt;=$U868-1,"Por vencer","En plazo")))))</f>
        <v/>
      </c>
      <c r="Y868" s="49" t="n"/>
      <c r="Z868" s="49" t="n"/>
    </row>
    <row r="869" ht="16" customHeight="1">
      <c r="A869" s="27">
        <f>IF($C869="","","N-"&amp;TEXT(ROW()-3,"0000"))</f>
        <v/>
      </c>
      <c r="B869" s="46" t="n"/>
      <c r="C869" s="47" t="n"/>
      <c r="D869" s="27">
        <f>IF($C869="","",IF(COUNTIFS(ENVIOS!$A$4:$A$3003,$C869)=0,"NO EXISTE",IF(COUNTIFS(ENVIOS!$A$4:$A$3003,$C869)&gt;1,"DUPLICADA","OK")))</f>
        <v/>
      </c>
      <c r="E869" s="22">
        <f>IF($C869="","",IFERROR(INDEX(ENVIOS!$C$4:$C$3003,MATCH($C869,ENVIOS!$A$4:$A$3003,0)),"—"))</f>
        <v/>
      </c>
      <c r="F869" s="22">
        <f>IF($C869="","",IFERROR(INDEX(ENVIOS!$D$4:$D$3003,MATCH($C869,ENVIOS!$A$4:$A$3003,0)),"—"))</f>
        <v/>
      </c>
      <c r="G869" s="22">
        <f>IF($C869="","",IFERROR(INDEX(ENVIOS!$E$4:$E$3003,MATCH($C869,ENVIOS!$A$4:$A$3003,0)),"—"))</f>
        <v/>
      </c>
      <c r="H869" s="22">
        <f>IF($C869="","",IFERROR(INDEX(ENVIOS!$F$4:$F$3003,MATCH($C869,ENVIOS!$A$4:$A$3003,0)),"—"))</f>
        <v/>
      </c>
      <c r="I869" s="27">
        <f>IF($C869="","",IFERROR(INDEX(ENVIOS!$G$4:$G$3003,MATCH($C869,ENVIOS!$A$4:$A$3003,0)),"—"))</f>
        <v/>
      </c>
      <c r="J869" s="48">
        <f>IF($C869="","",IFERROR(INDEX(ENVIOS!$B$4:$B$3003,MATCH($C869,ENVIOS!$A$4:$A$3003,0)),""))</f>
        <v/>
      </c>
      <c r="K869" s="49" t="n"/>
      <c r="L869" s="27">
        <f>IF($K869="","",IFERROR(INDEX(CONFIG!$B$4:$B$43,MATCH($K869,CONFIG!$A$4:$A$43,0)),"Media"))</f>
        <v/>
      </c>
      <c r="M869" s="27">
        <f>IF($K869="","",IFERROR(INDEX(CONFIG!$D$4:$D$43,MATCH($K869,CONFIG!$A$4:$A$43,0)),"NO"))</f>
        <v/>
      </c>
      <c r="N869" s="49" t="n"/>
      <c r="O869" s="27">
        <f>IF($N869="","",IFERROR(INDEX(CONFIG!$G$4:$G$43,MATCH($N869,CONFIG!$F$4:$F$43,0)),"Por definir"))</f>
        <v/>
      </c>
      <c r="P869" s="27">
        <f>IF($N869="","",IFERROR(INDEX(CONFIG!$H$4:$H$43,MATCH($N869,CONFIG!$F$4:$F$43,0)),"Por definir"))</f>
        <v/>
      </c>
      <c r="Q869" s="50" t="n"/>
      <c r="R869" s="51" t="n"/>
      <c r="S869" s="49" t="n"/>
      <c r="T869" s="49" t="n"/>
      <c r="U869" s="48">
        <f>IF(OR($B869="",$K869=""),"",WORKDAY($B869,IFERROR(INDEX(CONFIG!$C$4:$C$43,MATCH($K869,CONFIG!$A$4:$A$43,0)),3)))</f>
        <v/>
      </c>
      <c r="V869" s="46" t="n"/>
      <c r="W869" s="23">
        <f>IF($B869="","",IF($V869&lt;&gt;"",$V869-$B869,TODAY()-$B869))</f>
        <v/>
      </c>
      <c r="X869" s="27">
        <f>IF($C869="","",IF(IFERROR(INDEX(CONFIG!$K$4:$K$43,MATCH($S869,CONFIG!$J$4:$J$43,0)),"NO")="SÍ",IF(OR($V869="",$U869=""),"Resuelta",IF($V869&gt;$U869,"Resuelta tarde","Resuelta a tiempo")),IF($U869="","Sin clasificar",IF(TODAY()&gt;$U869,"Vencida",IF(TODAY()&gt;=$U869-1,"Por vencer","En plazo")))))</f>
        <v/>
      </c>
      <c r="Y869" s="49" t="n"/>
      <c r="Z869" s="49" t="n"/>
    </row>
    <row r="870" ht="16" customHeight="1">
      <c r="A870" s="27">
        <f>IF($C870="","","N-"&amp;TEXT(ROW()-3,"0000"))</f>
        <v/>
      </c>
      <c r="B870" s="46" t="n"/>
      <c r="C870" s="47" t="n"/>
      <c r="D870" s="27">
        <f>IF($C870="","",IF(COUNTIFS(ENVIOS!$A$4:$A$3003,$C870)=0,"NO EXISTE",IF(COUNTIFS(ENVIOS!$A$4:$A$3003,$C870)&gt;1,"DUPLICADA","OK")))</f>
        <v/>
      </c>
      <c r="E870" s="22">
        <f>IF($C870="","",IFERROR(INDEX(ENVIOS!$C$4:$C$3003,MATCH($C870,ENVIOS!$A$4:$A$3003,0)),"—"))</f>
        <v/>
      </c>
      <c r="F870" s="22">
        <f>IF($C870="","",IFERROR(INDEX(ENVIOS!$D$4:$D$3003,MATCH($C870,ENVIOS!$A$4:$A$3003,0)),"—"))</f>
        <v/>
      </c>
      <c r="G870" s="22">
        <f>IF($C870="","",IFERROR(INDEX(ENVIOS!$E$4:$E$3003,MATCH($C870,ENVIOS!$A$4:$A$3003,0)),"—"))</f>
        <v/>
      </c>
      <c r="H870" s="22">
        <f>IF($C870="","",IFERROR(INDEX(ENVIOS!$F$4:$F$3003,MATCH($C870,ENVIOS!$A$4:$A$3003,0)),"—"))</f>
        <v/>
      </c>
      <c r="I870" s="27">
        <f>IF($C870="","",IFERROR(INDEX(ENVIOS!$G$4:$G$3003,MATCH($C870,ENVIOS!$A$4:$A$3003,0)),"—"))</f>
        <v/>
      </c>
      <c r="J870" s="48">
        <f>IF($C870="","",IFERROR(INDEX(ENVIOS!$B$4:$B$3003,MATCH($C870,ENVIOS!$A$4:$A$3003,0)),""))</f>
        <v/>
      </c>
      <c r="K870" s="49" t="n"/>
      <c r="L870" s="27">
        <f>IF($K870="","",IFERROR(INDEX(CONFIG!$B$4:$B$43,MATCH($K870,CONFIG!$A$4:$A$43,0)),"Media"))</f>
        <v/>
      </c>
      <c r="M870" s="27">
        <f>IF($K870="","",IFERROR(INDEX(CONFIG!$D$4:$D$43,MATCH($K870,CONFIG!$A$4:$A$43,0)),"NO"))</f>
        <v/>
      </c>
      <c r="N870" s="49" t="n"/>
      <c r="O870" s="27">
        <f>IF($N870="","",IFERROR(INDEX(CONFIG!$G$4:$G$43,MATCH($N870,CONFIG!$F$4:$F$43,0)),"Por definir"))</f>
        <v/>
      </c>
      <c r="P870" s="27">
        <f>IF($N870="","",IFERROR(INDEX(CONFIG!$H$4:$H$43,MATCH($N870,CONFIG!$F$4:$F$43,0)),"Por definir"))</f>
        <v/>
      </c>
      <c r="Q870" s="50" t="n"/>
      <c r="R870" s="51" t="n"/>
      <c r="S870" s="49" t="n"/>
      <c r="T870" s="49" t="n"/>
      <c r="U870" s="48">
        <f>IF(OR($B870="",$K870=""),"",WORKDAY($B870,IFERROR(INDEX(CONFIG!$C$4:$C$43,MATCH($K870,CONFIG!$A$4:$A$43,0)),3)))</f>
        <v/>
      </c>
      <c r="V870" s="46" t="n"/>
      <c r="W870" s="23">
        <f>IF($B870="","",IF($V870&lt;&gt;"",$V870-$B870,TODAY()-$B870))</f>
        <v/>
      </c>
      <c r="X870" s="27">
        <f>IF($C870="","",IF(IFERROR(INDEX(CONFIG!$K$4:$K$43,MATCH($S870,CONFIG!$J$4:$J$43,0)),"NO")="SÍ",IF(OR($V870="",$U870=""),"Resuelta",IF($V870&gt;$U870,"Resuelta tarde","Resuelta a tiempo")),IF($U870="","Sin clasificar",IF(TODAY()&gt;$U870,"Vencida",IF(TODAY()&gt;=$U870-1,"Por vencer","En plazo")))))</f>
        <v/>
      </c>
      <c r="Y870" s="49" t="n"/>
      <c r="Z870" s="49" t="n"/>
    </row>
    <row r="871" ht="16" customHeight="1">
      <c r="A871" s="27">
        <f>IF($C871="","","N-"&amp;TEXT(ROW()-3,"0000"))</f>
        <v/>
      </c>
      <c r="B871" s="46" t="n"/>
      <c r="C871" s="47" t="n"/>
      <c r="D871" s="27">
        <f>IF($C871="","",IF(COUNTIFS(ENVIOS!$A$4:$A$3003,$C871)=0,"NO EXISTE",IF(COUNTIFS(ENVIOS!$A$4:$A$3003,$C871)&gt;1,"DUPLICADA","OK")))</f>
        <v/>
      </c>
      <c r="E871" s="22">
        <f>IF($C871="","",IFERROR(INDEX(ENVIOS!$C$4:$C$3003,MATCH($C871,ENVIOS!$A$4:$A$3003,0)),"—"))</f>
        <v/>
      </c>
      <c r="F871" s="22">
        <f>IF($C871="","",IFERROR(INDEX(ENVIOS!$D$4:$D$3003,MATCH($C871,ENVIOS!$A$4:$A$3003,0)),"—"))</f>
        <v/>
      </c>
      <c r="G871" s="22">
        <f>IF($C871="","",IFERROR(INDEX(ENVIOS!$E$4:$E$3003,MATCH($C871,ENVIOS!$A$4:$A$3003,0)),"—"))</f>
        <v/>
      </c>
      <c r="H871" s="22">
        <f>IF($C871="","",IFERROR(INDEX(ENVIOS!$F$4:$F$3003,MATCH($C871,ENVIOS!$A$4:$A$3003,0)),"—"))</f>
        <v/>
      </c>
      <c r="I871" s="27">
        <f>IF($C871="","",IFERROR(INDEX(ENVIOS!$G$4:$G$3003,MATCH($C871,ENVIOS!$A$4:$A$3003,0)),"—"))</f>
        <v/>
      </c>
      <c r="J871" s="48">
        <f>IF($C871="","",IFERROR(INDEX(ENVIOS!$B$4:$B$3003,MATCH($C871,ENVIOS!$A$4:$A$3003,0)),""))</f>
        <v/>
      </c>
      <c r="K871" s="49" t="n"/>
      <c r="L871" s="27">
        <f>IF($K871="","",IFERROR(INDEX(CONFIG!$B$4:$B$43,MATCH($K871,CONFIG!$A$4:$A$43,0)),"Media"))</f>
        <v/>
      </c>
      <c r="M871" s="27">
        <f>IF($K871="","",IFERROR(INDEX(CONFIG!$D$4:$D$43,MATCH($K871,CONFIG!$A$4:$A$43,0)),"NO"))</f>
        <v/>
      </c>
      <c r="N871" s="49" t="n"/>
      <c r="O871" s="27">
        <f>IF($N871="","",IFERROR(INDEX(CONFIG!$G$4:$G$43,MATCH($N871,CONFIG!$F$4:$F$43,0)),"Por definir"))</f>
        <v/>
      </c>
      <c r="P871" s="27">
        <f>IF($N871="","",IFERROR(INDEX(CONFIG!$H$4:$H$43,MATCH($N871,CONFIG!$F$4:$F$43,0)),"Por definir"))</f>
        <v/>
      </c>
      <c r="Q871" s="50" t="n"/>
      <c r="R871" s="51" t="n"/>
      <c r="S871" s="49" t="n"/>
      <c r="T871" s="49" t="n"/>
      <c r="U871" s="48">
        <f>IF(OR($B871="",$K871=""),"",WORKDAY($B871,IFERROR(INDEX(CONFIG!$C$4:$C$43,MATCH($K871,CONFIG!$A$4:$A$43,0)),3)))</f>
        <v/>
      </c>
      <c r="V871" s="46" t="n"/>
      <c r="W871" s="23">
        <f>IF($B871="","",IF($V871&lt;&gt;"",$V871-$B871,TODAY()-$B871))</f>
        <v/>
      </c>
      <c r="X871" s="27">
        <f>IF($C871="","",IF(IFERROR(INDEX(CONFIG!$K$4:$K$43,MATCH($S871,CONFIG!$J$4:$J$43,0)),"NO")="SÍ",IF(OR($V871="",$U871=""),"Resuelta",IF($V871&gt;$U871,"Resuelta tarde","Resuelta a tiempo")),IF($U871="","Sin clasificar",IF(TODAY()&gt;$U871,"Vencida",IF(TODAY()&gt;=$U871-1,"Por vencer","En plazo")))))</f>
        <v/>
      </c>
      <c r="Y871" s="49" t="n"/>
      <c r="Z871" s="49" t="n"/>
    </row>
    <row r="872" ht="16" customHeight="1">
      <c r="A872" s="27">
        <f>IF($C872="","","N-"&amp;TEXT(ROW()-3,"0000"))</f>
        <v/>
      </c>
      <c r="B872" s="46" t="n"/>
      <c r="C872" s="47" t="n"/>
      <c r="D872" s="27">
        <f>IF($C872="","",IF(COUNTIFS(ENVIOS!$A$4:$A$3003,$C872)=0,"NO EXISTE",IF(COUNTIFS(ENVIOS!$A$4:$A$3003,$C872)&gt;1,"DUPLICADA","OK")))</f>
        <v/>
      </c>
      <c r="E872" s="22">
        <f>IF($C872="","",IFERROR(INDEX(ENVIOS!$C$4:$C$3003,MATCH($C872,ENVIOS!$A$4:$A$3003,0)),"—"))</f>
        <v/>
      </c>
      <c r="F872" s="22">
        <f>IF($C872="","",IFERROR(INDEX(ENVIOS!$D$4:$D$3003,MATCH($C872,ENVIOS!$A$4:$A$3003,0)),"—"))</f>
        <v/>
      </c>
      <c r="G872" s="22">
        <f>IF($C872="","",IFERROR(INDEX(ENVIOS!$E$4:$E$3003,MATCH($C872,ENVIOS!$A$4:$A$3003,0)),"—"))</f>
        <v/>
      </c>
      <c r="H872" s="22">
        <f>IF($C872="","",IFERROR(INDEX(ENVIOS!$F$4:$F$3003,MATCH($C872,ENVIOS!$A$4:$A$3003,0)),"—"))</f>
        <v/>
      </c>
      <c r="I872" s="27">
        <f>IF($C872="","",IFERROR(INDEX(ENVIOS!$G$4:$G$3003,MATCH($C872,ENVIOS!$A$4:$A$3003,0)),"—"))</f>
        <v/>
      </c>
      <c r="J872" s="48">
        <f>IF($C872="","",IFERROR(INDEX(ENVIOS!$B$4:$B$3003,MATCH($C872,ENVIOS!$A$4:$A$3003,0)),""))</f>
        <v/>
      </c>
      <c r="K872" s="49" t="n"/>
      <c r="L872" s="27">
        <f>IF($K872="","",IFERROR(INDEX(CONFIG!$B$4:$B$43,MATCH($K872,CONFIG!$A$4:$A$43,0)),"Media"))</f>
        <v/>
      </c>
      <c r="M872" s="27">
        <f>IF($K872="","",IFERROR(INDEX(CONFIG!$D$4:$D$43,MATCH($K872,CONFIG!$A$4:$A$43,0)),"NO"))</f>
        <v/>
      </c>
      <c r="N872" s="49" t="n"/>
      <c r="O872" s="27">
        <f>IF($N872="","",IFERROR(INDEX(CONFIG!$G$4:$G$43,MATCH($N872,CONFIG!$F$4:$F$43,0)),"Por definir"))</f>
        <v/>
      </c>
      <c r="P872" s="27">
        <f>IF($N872="","",IFERROR(INDEX(CONFIG!$H$4:$H$43,MATCH($N872,CONFIG!$F$4:$F$43,0)),"Por definir"))</f>
        <v/>
      </c>
      <c r="Q872" s="50" t="n"/>
      <c r="R872" s="51" t="n"/>
      <c r="S872" s="49" t="n"/>
      <c r="T872" s="49" t="n"/>
      <c r="U872" s="48">
        <f>IF(OR($B872="",$K872=""),"",WORKDAY($B872,IFERROR(INDEX(CONFIG!$C$4:$C$43,MATCH($K872,CONFIG!$A$4:$A$43,0)),3)))</f>
        <v/>
      </c>
      <c r="V872" s="46" t="n"/>
      <c r="W872" s="23">
        <f>IF($B872="","",IF($V872&lt;&gt;"",$V872-$B872,TODAY()-$B872))</f>
        <v/>
      </c>
      <c r="X872" s="27">
        <f>IF($C872="","",IF(IFERROR(INDEX(CONFIG!$K$4:$K$43,MATCH($S872,CONFIG!$J$4:$J$43,0)),"NO")="SÍ",IF(OR($V872="",$U872=""),"Resuelta",IF($V872&gt;$U872,"Resuelta tarde","Resuelta a tiempo")),IF($U872="","Sin clasificar",IF(TODAY()&gt;$U872,"Vencida",IF(TODAY()&gt;=$U872-1,"Por vencer","En plazo")))))</f>
        <v/>
      </c>
      <c r="Y872" s="49" t="n"/>
      <c r="Z872" s="49" t="n"/>
    </row>
    <row r="873" ht="16" customHeight="1">
      <c r="A873" s="27">
        <f>IF($C873="","","N-"&amp;TEXT(ROW()-3,"0000"))</f>
        <v/>
      </c>
      <c r="B873" s="46" t="n"/>
      <c r="C873" s="47" t="n"/>
      <c r="D873" s="27">
        <f>IF($C873="","",IF(COUNTIFS(ENVIOS!$A$4:$A$3003,$C873)=0,"NO EXISTE",IF(COUNTIFS(ENVIOS!$A$4:$A$3003,$C873)&gt;1,"DUPLICADA","OK")))</f>
        <v/>
      </c>
      <c r="E873" s="22">
        <f>IF($C873="","",IFERROR(INDEX(ENVIOS!$C$4:$C$3003,MATCH($C873,ENVIOS!$A$4:$A$3003,0)),"—"))</f>
        <v/>
      </c>
      <c r="F873" s="22">
        <f>IF($C873="","",IFERROR(INDEX(ENVIOS!$D$4:$D$3003,MATCH($C873,ENVIOS!$A$4:$A$3003,0)),"—"))</f>
        <v/>
      </c>
      <c r="G873" s="22">
        <f>IF($C873="","",IFERROR(INDEX(ENVIOS!$E$4:$E$3003,MATCH($C873,ENVIOS!$A$4:$A$3003,0)),"—"))</f>
        <v/>
      </c>
      <c r="H873" s="22">
        <f>IF($C873="","",IFERROR(INDEX(ENVIOS!$F$4:$F$3003,MATCH($C873,ENVIOS!$A$4:$A$3003,0)),"—"))</f>
        <v/>
      </c>
      <c r="I873" s="27">
        <f>IF($C873="","",IFERROR(INDEX(ENVIOS!$G$4:$G$3003,MATCH($C873,ENVIOS!$A$4:$A$3003,0)),"—"))</f>
        <v/>
      </c>
      <c r="J873" s="48">
        <f>IF($C873="","",IFERROR(INDEX(ENVIOS!$B$4:$B$3003,MATCH($C873,ENVIOS!$A$4:$A$3003,0)),""))</f>
        <v/>
      </c>
      <c r="K873" s="49" t="n"/>
      <c r="L873" s="27">
        <f>IF($K873="","",IFERROR(INDEX(CONFIG!$B$4:$B$43,MATCH($K873,CONFIG!$A$4:$A$43,0)),"Media"))</f>
        <v/>
      </c>
      <c r="M873" s="27">
        <f>IF($K873="","",IFERROR(INDEX(CONFIG!$D$4:$D$43,MATCH($K873,CONFIG!$A$4:$A$43,0)),"NO"))</f>
        <v/>
      </c>
      <c r="N873" s="49" t="n"/>
      <c r="O873" s="27">
        <f>IF($N873="","",IFERROR(INDEX(CONFIG!$G$4:$G$43,MATCH($N873,CONFIG!$F$4:$F$43,0)),"Por definir"))</f>
        <v/>
      </c>
      <c r="P873" s="27">
        <f>IF($N873="","",IFERROR(INDEX(CONFIG!$H$4:$H$43,MATCH($N873,CONFIG!$F$4:$F$43,0)),"Por definir"))</f>
        <v/>
      </c>
      <c r="Q873" s="50" t="n"/>
      <c r="R873" s="51" t="n"/>
      <c r="S873" s="49" t="n"/>
      <c r="T873" s="49" t="n"/>
      <c r="U873" s="48">
        <f>IF(OR($B873="",$K873=""),"",WORKDAY($B873,IFERROR(INDEX(CONFIG!$C$4:$C$43,MATCH($K873,CONFIG!$A$4:$A$43,0)),3)))</f>
        <v/>
      </c>
      <c r="V873" s="46" t="n"/>
      <c r="W873" s="23">
        <f>IF($B873="","",IF($V873&lt;&gt;"",$V873-$B873,TODAY()-$B873))</f>
        <v/>
      </c>
      <c r="X873" s="27">
        <f>IF($C873="","",IF(IFERROR(INDEX(CONFIG!$K$4:$K$43,MATCH($S873,CONFIG!$J$4:$J$43,0)),"NO")="SÍ",IF(OR($V873="",$U873=""),"Resuelta",IF($V873&gt;$U873,"Resuelta tarde","Resuelta a tiempo")),IF($U873="","Sin clasificar",IF(TODAY()&gt;$U873,"Vencida",IF(TODAY()&gt;=$U873-1,"Por vencer","En plazo")))))</f>
        <v/>
      </c>
      <c r="Y873" s="49" t="n"/>
      <c r="Z873" s="49" t="n"/>
    </row>
    <row r="874" ht="16" customHeight="1">
      <c r="A874" s="27">
        <f>IF($C874="","","N-"&amp;TEXT(ROW()-3,"0000"))</f>
        <v/>
      </c>
      <c r="B874" s="46" t="n"/>
      <c r="C874" s="47" t="n"/>
      <c r="D874" s="27">
        <f>IF($C874="","",IF(COUNTIFS(ENVIOS!$A$4:$A$3003,$C874)=0,"NO EXISTE",IF(COUNTIFS(ENVIOS!$A$4:$A$3003,$C874)&gt;1,"DUPLICADA","OK")))</f>
        <v/>
      </c>
      <c r="E874" s="22">
        <f>IF($C874="","",IFERROR(INDEX(ENVIOS!$C$4:$C$3003,MATCH($C874,ENVIOS!$A$4:$A$3003,0)),"—"))</f>
        <v/>
      </c>
      <c r="F874" s="22">
        <f>IF($C874="","",IFERROR(INDEX(ENVIOS!$D$4:$D$3003,MATCH($C874,ENVIOS!$A$4:$A$3003,0)),"—"))</f>
        <v/>
      </c>
      <c r="G874" s="22">
        <f>IF($C874="","",IFERROR(INDEX(ENVIOS!$E$4:$E$3003,MATCH($C874,ENVIOS!$A$4:$A$3003,0)),"—"))</f>
        <v/>
      </c>
      <c r="H874" s="22">
        <f>IF($C874="","",IFERROR(INDEX(ENVIOS!$F$4:$F$3003,MATCH($C874,ENVIOS!$A$4:$A$3003,0)),"—"))</f>
        <v/>
      </c>
      <c r="I874" s="27">
        <f>IF($C874="","",IFERROR(INDEX(ENVIOS!$G$4:$G$3003,MATCH($C874,ENVIOS!$A$4:$A$3003,0)),"—"))</f>
        <v/>
      </c>
      <c r="J874" s="48">
        <f>IF($C874="","",IFERROR(INDEX(ENVIOS!$B$4:$B$3003,MATCH($C874,ENVIOS!$A$4:$A$3003,0)),""))</f>
        <v/>
      </c>
      <c r="K874" s="49" t="n"/>
      <c r="L874" s="27">
        <f>IF($K874="","",IFERROR(INDEX(CONFIG!$B$4:$B$43,MATCH($K874,CONFIG!$A$4:$A$43,0)),"Media"))</f>
        <v/>
      </c>
      <c r="M874" s="27">
        <f>IF($K874="","",IFERROR(INDEX(CONFIG!$D$4:$D$43,MATCH($K874,CONFIG!$A$4:$A$43,0)),"NO"))</f>
        <v/>
      </c>
      <c r="N874" s="49" t="n"/>
      <c r="O874" s="27">
        <f>IF($N874="","",IFERROR(INDEX(CONFIG!$G$4:$G$43,MATCH($N874,CONFIG!$F$4:$F$43,0)),"Por definir"))</f>
        <v/>
      </c>
      <c r="P874" s="27">
        <f>IF($N874="","",IFERROR(INDEX(CONFIG!$H$4:$H$43,MATCH($N874,CONFIG!$F$4:$F$43,0)),"Por definir"))</f>
        <v/>
      </c>
      <c r="Q874" s="50" t="n"/>
      <c r="R874" s="51" t="n"/>
      <c r="S874" s="49" t="n"/>
      <c r="T874" s="49" t="n"/>
      <c r="U874" s="48">
        <f>IF(OR($B874="",$K874=""),"",WORKDAY($B874,IFERROR(INDEX(CONFIG!$C$4:$C$43,MATCH($K874,CONFIG!$A$4:$A$43,0)),3)))</f>
        <v/>
      </c>
      <c r="V874" s="46" t="n"/>
      <c r="W874" s="23">
        <f>IF($B874="","",IF($V874&lt;&gt;"",$V874-$B874,TODAY()-$B874))</f>
        <v/>
      </c>
      <c r="X874" s="27">
        <f>IF($C874="","",IF(IFERROR(INDEX(CONFIG!$K$4:$K$43,MATCH($S874,CONFIG!$J$4:$J$43,0)),"NO")="SÍ",IF(OR($V874="",$U874=""),"Resuelta",IF($V874&gt;$U874,"Resuelta tarde","Resuelta a tiempo")),IF($U874="","Sin clasificar",IF(TODAY()&gt;$U874,"Vencida",IF(TODAY()&gt;=$U874-1,"Por vencer","En plazo")))))</f>
        <v/>
      </c>
      <c r="Y874" s="49" t="n"/>
      <c r="Z874" s="49" t="n"/>
    </row>
    <row r="875" ht="16" customHeight="1">
      <c r="A875" s="27">
        <f>IF($C875="","","N-"&amp;TEXT(ROW()-3,"0000"))</f>
        <v/>
      </c>
      <c r="B875" s="46" t="n"/>
      <c r="C875" s="47" t="n"/>
      <c r="D875" s="27">
        <f>IF($C875="","",IF(COUNTIFS(ENVIOS!$A$4:$A$3003,$C875)=0,"NO EXISTE",IF(COUNTIFS(ENVIOS!$A$4:$A$3003,$C875)&gt;1,"DUPLICADA","OK")))</f>
        <v/>
      </c>
      <c r="E875" s="22">
        <f>IF($C875="","",IFERROR(INDEX(ENVIOS!$C$4:$C$3003,MATCH($C875,ENVIOS!$A$4:$A$3003,0)),"—"))</f>
        <v/>
      </c>
      <c r="F875" s="22">
        <f>IF($C875="","",IFERROR(INDEX(ENVIOS!$D$4:$D$3003,MATCH($C875,ENVIOS!$A$4:$A$3003,0)),"—"))</f>
        <v/>
      </c>
      <c r="G875" s="22">
        <f>IF($C875="","",IFERROR(INDEX(ENVIOS!$E$4:$E$3003,MATCH($C875,ENVIOS!$A$4:$A$3003,0)),"—"))</f>
        <v/>
      </c>
      <c r="H875" s="22">
        <f>IF($C875="","",IFERROR(INDEX(ENVIOS!$F$4:$F$3003,MATCH($C875,ENVIOS!$A$4:$A$3003,0)),"—"))</f>
        <v/>
      </c>
      <c r="I875" s="27">
        <f>IF($C875="","",IFERROR(INDEX(ENVIOS!$G$4:$G$3003,MATCH($C875,ENVIOS!$A$4:$A$3003,0)),"—"))</f>
        <v/>
      </c>
      <c r="J875" s="48">
        <f>IF($C875="","",IFERROR(INDEX(ENVIOS!$B$4:$B$3003,MATCH($C875,ENVIOS!$A$4:$A$3003,0)),""))</f>
        <v/>
      </c>
      <c r="K875" s="49" t="n"/>
      <c r="L875" s="27">
        <f>IF($K875="","",IFERROR(INDEX(CONFIG!$B$4:$B$43,MATCH($K875,CONFIG!$A$4:$A$43,0)),"Media"))</f>
        <v/>
      </c>
      <c r="M875" s="27">
        <f>IF($K875="","",IFERROR(INDEX(CONFIG!$D$4:$D$43,MATCH($K875,CONFIG!$A$4:$A$43,0)),"NO"))</f>
        <v/>
      </c>
      <c r="N875" s="49" t="n"/>
      <c r="O875" s="27">
        <f>IF($N875="","",IFERROR(INDEX(CONFIG!$G$4:$G$43,MATCH($N875,CONFIG!$F$4:$F$43,0)),"Por definir"))</f>
        <v/>
      </c>
      <c r="P875" s="27">
        <f>IF($N875="","",IFERROR(INDEX(CONFIG!$H$4:$H$43,MATCH($N875,CONFIG!$F$4:$F$43,0)),"Por definir"))</f>
        <v/>
      </c>
      <c r="Q875" s="50" t="n"/>
      <c r="R875" s="51" t="n"/>
      <c r="S875" s="49" t="n"/>
      <c r="T875" s="49" t="n"/>
      <c r="U875" s="48">
        <f>IF(OR($B875="",$K875=""),"",WORKDAY($B875,IFERROR(INDEX(CONFIG!$C$4:$C$43,MATCH($K875,CONFIG!$A$4:$A$43,0)),3)))</f>
        <v/>
      </c>
      <c r="V875" s="46" t="n"/>
      <c r="W875" s="23">
        <f>IF($B875="","",IF($V875&lt;&gt;"",$V875-$B875,TODAY()-$B875))</f>
        <v/>
      </c>
      <c r="X875" s="27">
        <f>IF($C875="","",IF(IFERROR(INDEX(CONFIG!$K$4:$K$43,MATCH($S875,CONFIG!$J$4:$J$43,0)),"NO")="SÍ",IF(OR($V875="",$U875=""),"Resuelta",IF($V875&gt;$U875,"Resuelta tarde","Resuelta a tiempo")),IF($U875="","Sin clasificar",IF(TODAY()&gt;$U875,"Vencida",IF(TODAY()&gt;=$U875-1,"Por vencer","En plazo")))))</f>
        <v/>
      </c>
      <c r="Y875" s="49" t="n"/>
      <c r="Z875" s="49" t="n"/>
    </row>
    <row r="876" ht="16" customHeight="1">
      <c r="A876" s="27">
        <f>IF($C876="","","N-"&amp;TEXT(ROW()-3,"0000"))</f>
        <v/>
      </c>
      <c r="B876" s="46" t="n"/>
      <c r="C876" s="47" t="n"/>
      <c r="D876" s="27">
        <f>IF($C876="","",IF(COUNTIFS(ENVIOS!$A$4:$A$3003,$C876)=0,"NO EXISTE",IF(COUNTIFS(ENVIOS!$A$4:$A$3003,$C876)&gt;1,"DUPLICADA","OK")))</f>
        <v/>
      </c>
      <c r="E876" s="22">
        <f>IF($C876="","",IFERROR(INDEX(ENVIOS!$C$4:$C$3003,MATCH($C876,ENVIOS!$A$4:$A$3003,0)),"—"))</f>
        <v/>
      </c>
      <c r="F876" s="22">
        <f>IF($C876="","",IFERROR(INDEX(ENVIOS!$D$4:$D$3003,MATCH($C876,ENVIOS!$A$4:$A$3003,0)),"—"))</f>
        <v/>
      </c>
      <c r="G876" s="22">
        <f>IF($C876="","",IFERROR(INDEX(ENVIOS!$E$4:$E$3003,MATCH($C876,ENVIOS!$A$4:$A$3003,0)),"—"))</f>
        <v/>
      </c>
      <c r="H876" s="22">
        <f>IF($C876="","",IFERROR(INDEX(ENVIOS!$F$4:$F$3003,MATCH($C876,ENVIOS!$A$4:$A$3003,0)),"—"))</f>
        <v/>
      </c>
      <c r="I876" s="27">
        <f>IF($C876="","",IFERROR(INDEX(ENVIOS!$G$4:$G$3003,MATCH($C876,ENVIOS!$A$4:$A$3003,0)),"—"))</f>
        <v/>
      </c>
      <c r="J876" s="48">
        <f>IF($C876="","",IFERROR(INDEX(ENVIOS!$B$4:$B$3003,MATCH($C876,ENVIOS!$A$4:$A$3003,0)),""))</f>
        <v/>
      </c>
      <c r="K876" s="49" t="n"/>
      <c r="L876" s="27">
        <f>IF($K876="","",IFERROR(INDEX(CONFIG!$B$4:$B$43,MATCH($K876,CONFIG!$A$4:$A$43,0)),"Media"))</f>
        <v/>
      </c>
      <c r="M876" s="27">
        <f>IF($K876="","",IFERROR(INDEX(CONFIG!$D$4:$D$43,MATCH($K876,CONFIG!$A$4:$A$43,0)),"NO"))</f>
        <v/>
      </c>
      <c r="N876" s="49" t="n"/>
      <c r="O876" s="27">
        <f>IF($N876="","",IFERROR(INDEX(CONFIG!$G$4:$G$43,MATCH($N876,CONFIG!$F$4:$F$43,0)),"Por definir"))</f>
        <v/>
      </c>
      <c r="P876" s="27">
        <f>IF($N876="","",IFERROR(INDEX(CONFIG!$H$4:$H$43,MATCH($N876,CONFIG!$F$4:$F$43,0)),"Por definir"))</f>
        <v/>
      </c>
      <c r="Q876" s="50" t="n"/>
      <c r="R876" s="51" t="n"/>
      <c r="S876" s="49" t="n"/>
      <c r="T876" s="49" t="n"/>
      <c r="U876" s="48">
        <f>IF(OR($B876="",$K876=""),"",WORKDAY($B876,IFERROR(INDEX(CONFIG!$C$4:$C$43,MATCH($K876,CONFIG!$A$4:$A$43,0)),3)))</f>
        <v/>
      </c>
      <c r="V876" s="46" t="n"/>
      <c r="W876" s="23">
        <f>IF($B876="","",IF($V876&lt;&gt;"",$V876-$B876,TODAY()-$B876))</f>
        <v/>
      </c>
      <c r="X876" s="27">
        <f>IF($C876="","",IF(IFERROR(INDEX(CONFIG!$K$4:$K$43,MATCH($S876,CONFIG!$J$4:$J$43,0)),"NO")="SÍ",IF(OR($V876="",$U876=""),"Resuelta",IF($V876&gt;$U876,"Resuelta tarde","Resuelta a tiempo")),IF($U876="","Sin clasificar",IF(TODAY()&gt;$U876,"Vencida",IF(TODAY()&gt;=$U876-1,"Por vencer","En plazo")))))</f>
        <v/>
      </c>
      <c r="Y876" s="49" t="n"/>
      <c r="Z876" s="49" t="n"/>
    </row>
    <row r="877" ht="16" customHeight="1">
      <c r="A877" s="27">
        <f>IF($C877="","","N-"&amp;TEXT(ROW()-3,"0000"))</f>
        <v/>
      </c>
      <c r="B877" s="46" t="n"/>
      <c r="C877" s="47" t="n"/>
      <c r="D877" s="27">
        <f>IF($C877="","",IF(COUNTIFS(ENVIOS!$A$4:$A$3003,$C877)=0,"NO EXISTE",IF(COUNTIFS(ENVIOS!$A$4:$A$3003,$C877)&gt;1,"DUPLICADA","OK")))</f>
        <v/>
      </c>
      <c r="E877" s="22">
        <f>IF($C877="","",IFERROR(INDEX(ENVIOS!$C$4:$C$3003,MATCH($C877,ENVIOS!$A$4:$A$3003,0)),"—"))</f>
        <v/>
      </c>
      <c r="F877" s="22">
        <f>IF($C877="","",IFERROR(INDEX(ENVIOS!$D$4:$D$3003,MATCH($C877,ENVIOS!$A$4:$A$3003,0)),"—"))</f>
        <v/>
      </c>
      <c r="G877" s="22">
        <f>IF($C877="","",IFERROR(INDEX(ENVIOS!$E$4:$E$3003,MATCH($C877,ENVIOS!$A$4:$A$3003,0)),"—"))</f>
        <v/>
      </c>
      <c r="H877" s="22">
        <f>IF($C877="","",IFERROR(INDEX(ENVIOS!$F$4:$F$3003,MATCH($C877,ENVIOS!$A$4:$A$3003,0)),"—"))</f>
        <v/>
      </c>
      <c r="I877" s="27">
        <f>IF($C877="","",IFERROR(INDEX(ENVIOS!$G$4:$G$3003,MATCH($C877,ENVIOS!$A$4:$A$3003,0)),"—"))</f>
        <v/>
      </c>
      <c r="J877" s="48">
        <f>IF($C877="","",IFERROR(INDEX(ENVIOS!$B$4:$B$3003,MATCH($C877,ENVIOS!$A$4:$A$3003,0)),""))</f>
        <v/>
      </c>
      <c r="K877" s="49" t="n"/>
      <c r="L877" s="27">
        <f>IF($K877="","",IFERROR(INDEX(CONFIG!$B$4:$B$43,MATCH($K877,CONFIG!$A$4:$A$43,0)),"Media"))</f>
        <v/>
      </c>
      <c r="M877" s="27">
        <f>IF($K877="","",IFERROR(INDEX(CONFIG!$D$4:$D$43,MATCH($K877,CONFIG!$A$4:$A$43,0)),"NO"))</f>
        <v/>
      </c>
      <c r="N877" s="49" t="n"/>
      <c r="O877" s="27">
        <f>IF($N877="","",IFERROR(INDEX(CONFIG!$G$4:$G$43,MATCH($N877,CONFIG!$F$4:$F$43,0)),"Por definir"))</f>
        <v/>
      </c>
      <c r="P877" s="27">
        <f>IF($N877="","",IFERROR(INDEX(CONFIG!$H$4:$H$43,MATCH($N877,CONFIG!$F$4:$F$43,0)),"Por definir"))</f>
        <v/>
      </c>
      <c r="Q877" s="50" t="n"/>
      <c r="R877" s="51" t="n"/>
      <c r="S877" s="49" t="n"/>
      <c r="T877" s="49" t="n"/>
      <c r="U877" s="48">
        <f>IF(OR($B877="",$K877=""),"",WORKDAY($B877,IFERROR(INDEX(CONFIG!$C$4:$C$43,MATCH($K877,CONFIG!$A$4:$A$43,0)),3)))</f>
        <v/>
      </c>
      <c r="V877" s="46" t="n"/>
      <c r="W877" s="23">
        <f>IF($B877="","",IF($V877&lt;&gt;"",$V877-$B877,TODAY()-$B877))</f>
        <v/>
      </c>
      <c r="X877" s="27">
        <f>IF($C877="","",IF(IFERROR(INDEX(CONFIG!$K$4:$K$43,MATCH($S877,CONFIG!$J$4:$J$43,0)),"NO")="SÍ",IF(OR($V877="",$U877=""),"Resuelta",IF($V877&gt;$U877,"Resuelta tarde","Resuelta a tiempo")),IF($U877="","Sin clasificar",IF(TODAY()&gt;$U877,"Vencida",IF(TODAY()&gt;=$U877-1,"Por vencer","En plazo")))))</f>
        <v/>
      </c>
      <c r="Y877" s="49" t="n"/>
      <c r="Z877" s="49" t="n"/>
    </row>
    <row r="878" ht="16" customHeight="1">
      <c r="A878" s="27">
        <f>IF($C878="","","N-"&amp;TEXT(ROW()-3,"0000"))</f>
        <v/>
      </c>
      <c r="B878" s="46" t="n"/>
      <c r="C878" s="47" t="n"/>
      <c r="D878" s="27">
        <f>IF($C878="","",IF(COUNTIFS(ENVIOS!$A$4:$A$3003,$C878)=0,"NO EXISTE",IF(COUNTIFS(ENVIOS!$A$4:$A$3003,$C878)&gt;1,"DUPLICADA","OK")))</f>
        <v/>
      </c>
      <c r="E878" s="22">
        <f>IF($C878="","",IFERROR(INDEX(ENVIOS!$C$4:$C$3003,MATCH($C878,ENVIOS!$A$4:$A$3003,0)),"—"))</f>
        <v/>
      </c>
      <c r="F878" s="22">
        <f>IF($C878="","",IFERROR(INDEX(ENVIOS!$D$4:$D$3003,MATCH($C878,ENVIOS!$A$4:$A$3003,0)),"—"))</f>
        <v/>
      </c>
      <c r="G878" s="22">
        <f>IF($C878="","",IFERROR(INDEX(ENVIOS!$E$4:$E$3003,MATCH($C878,ENVIOS!$A$4:$A$3003,0)),"—"))</f>
        <v/>
      </c>
      <c r="H878" s="22">
        <f>IF($C878="","",IFERROR(INDEX(ENVIOS!$F$4:$F$3003,MATCH($C878,ENVIOS!$A$4:$A$3003,0)),"—"))</f>
        <v/>
      </c>
      <c r="I878" s="27">
        <f>IF($C878="","",IFERROR(INDEX(ENVIOS!$G$4:$G$3003,MATCH($C878,ENVIOS!$A$4:$A$3003,0)),"—"))</f>
        <v/>
      </c>
      <c r="J878" s="48">
        <f>IF($C878="","",IFERROR(INDEX(ENVIOS!$B$4:$B$3003,MATCH($C878,ENVIOS!$A$4:$A$3003,0)),""))</f>
        <v/>
      </c>
      <c r="K878" s="49" t="n"/>
      <c r="L878" s="27">
        <f>IF($K878="","",IFERROR(INDEX(CONFIG!$B$4:$B$43,MATCH($K878,CONFIG!$A$4:$A$43,0)),"Media"))</f>
        <v/>
      </c>
      <c r="M878" s="27">
        <f>IF($K878="","",IFERROR(INDEX(CONFIG!$D$4:$D$43,MATCH($K878,CONFIG!$A$4:$A$43,0)),"NO"))</f>
        <v/>
      </c>
      <c r="N878" s="49" t="n"/>
      <c r="O878" s="27">
        <f>IF($N878="","",IFERROR(INDEX(CONFIG!$G$4:$G$43,MATCH($N878,CONFIG!$F$4:$F$43,0)),"Por definir"))</f>
        <v/>
      </c>
      <c r="P878" s="27">
        <f>IF($N878="","",IFERROR(INDEX(CONFIG!$H$4:$H$43,MATCH($N878,CONFIG!$F$4:$F$43,0)),"Por definir"))</f>
        <v/>
      </c>
      <c r="Q878" s="50" t="n"/>
      <c r="R878" s="51" t="n"/>
      <c r="S878" s="49" t="n"/>
      <c r="T878" s="49" t="n"/>
      <c r="U878" s="48">
        <f>IF(OR($B878="",$K878=""),"",WORKDAY($B878,IFERROR(INDEX(CONFIG!$C$4:$C$43,MATCH($K878,CONFIG!$A$4:$A$43,0)),3)))</f>
        <v/>
      </c>
      <c r="V878" s="46" t="n"/>
      <c r="W878" s="23">
        <f>IF($B878="","",IF($V878&lt;&gt;"",$V878-$B878,TODAY()-$B878))</f>
        <v/>
      </c>
      <c r="X878" s="27">
        <f>IF($C878="","",IF(IFERROR(INDEX(CONFIG!$K$4:$K$43,MATCH($S878,CONFIG!$J$4:$J$43,0)),"NO")="SÍ",IF(OR($V878="",$U878=""),"Resuelta",IF($V878&gt;$U878,"Resuelta tarde","Resuelta a tiempo")),IF($U878="","Sin clasificar",IF(TODAY()&gt;$U878,"Vencida",IF(TODAY()&gt;=$U878-1,"Por vencer","En plazo")))))</f>
        <v/>
      </c>
      <c r="Y878" s="49" t="n"/>
      <c r="Z878" s="49" t="n"/>
    </row>
    <row r="879" ht="16" customHeight="1">
      <c r="A879" s="27">
        <f>IF($C879="","","N-"&amp;TEXT(ROW()-3,"0000"))</f>
        <v/>
      </c>
      <c r="B879" s="46" t="n"/>
      <c r="C879" s="47" t="n"/>
      <c r="D879" s="27">
        <f>IF($C879="","",IF(COUNTIFS(ENVIOS!$A$4:$A$3003,$C879)=0,"NO EXISTE",IF(COUNTIFS(ENVIOS!$A$4:$A$3003,$C879)&gt;1,"DUPLICADA","OK")))</f>
        <v/>
      </c>
      <c r="E879" s="22">
        <f>IF($C879="","",IFERROR(INDEX(ENVIOS!$C$4:$C$3003,MATCH($C879,ENVIOS!$A$4:$A$3003,0)),"—"))</f>
        <v/>
      </c>
      <c r="F879" s="22">
        <f>IF($C879="","",IFERROR(INDEX(ENVIOS!$D$4:$D$3003,MATCH($C879,ENVIOS!$A$4:$A$3003,0)),"—"))</f>
        <v/>
      </c>
      <c r="G879" s="22">
        <f>IF($C879="","",IFERROR(INDEX(ENVIOS!$E$4:$E$3003,MATCH($C879,ENVIOS!$A$4:$A$3003,0)),"—"))</f>
        <v/>
      </c>
      <c r="H879" s="22">
        <f>IF($C879="","",IFERROR(INDEX(ENVIOS!$F$4:$F$3003,MATCH($C879,ENVIOS!$A$4:$A$3003,0)),"—"))</f>
        <v/>
      </c>
      <c r="I879" s="27">
        <f>IF($C879="","",IFERROR(INDEX(ENVIOS!$G$4:$G$3003,MATCH($C879,ENVIOS!$A$4:$A$3003,0)),"—"))</f>
        <v/>
      </c>
      <c r="J879" s="48">
        <f>IF($C879="","",IFERROR(INDEX(ENVIOS!$B$4:$B$3003,MATCH($C879,ENVIOS!$A$4:$A$3003,0)),""))</f>
        <v/>
      </c>
      <c r="K879" s="49" t="n"/>
      <c r="L879" s="27">
        <f>IF($K879="","",IFERROR(INDEX(CONFIG!$B$4:$B$43,MATCH($K879,CONFIG!$A$4:$A$43,0)),"Media"))</f>
        <v/>
      </c>
      <c r="M879" s="27">
        <f>IF($K879="","",IFERROR(INDEX(CONFIG!$D$4:$D$43,MATCH($K879,CONFIG!$A$4:$A$43,0)),"NO"))</f>
        <v/>
      </c>
      <c r="N879" s="49" t="n"/>
      <c r="O879" s="27">
        <f>IF($N879="","",IFERROR(INDEX(CONFIG!$G$4:$G$43,MATCH($N879,CONFIG!$F$4:$F$43,0)),"Por definir"))</f>
        <v/>
      </c>
      <c r="P879" s="27">
        <f>IF($N879="","",IFERROR(INDEX(CONFIG!$H$4:$H$43,MATCH($N879,CONFIG!$F$4:$F$43,0)),"Por definir"))</f>
        <v/>
      </c>
      <c r="Q879" s="50" t="n"/>
      <c r="R879" s="51" t="n"/>
      <c r="S879" s="49" t="n"/>
      <c r="T879" s="49" t="n"/>
      <c r="U879" s="48">
        <f>IF(OR($B879="",$K879=""),"",WORKDAY($B879,IFERROR(INDEX(CONFIG!$C$4:$C$43,MATCH($K879,CONFIG!$A$4:$A$43,0)),3)))</f>
        <v/>
      </c>
      <c r="V879" s="46" t="n"/>
      <c r="W879" s="23">
        <f>IF($B879="","",IF($V879&lt;&gt;"",$V879-$B879,TODAY()-$B879))</f>
        <v/>
      </c>
      <c r="X879" s="27">
        <f>IF($C879="","",IF(IFERROR(INDEX(CONFIG!$K$4:$K$43,MATCH($S879,CONFIG!$J$4:$J$43,0)),"NO")="SÍ",IF(OR($V879="",$U879=""),"Resuelta",IF($V879&gt;$U879,"Resuelta tarde","Resuelta a tiempo")),IF($U879="","Sin clasificar",IF(TODAY()&gt;$U879,"Vencida",IF(TODAY()&gt;=$U879-1,"Por vencer","En plazo")))))</f>
        <v/>
      </c>
      <c r="Y879" s="49" t="n"/>
      <c r="Z879" s="49" t="n"/>
    </row>
    <row r="880" ht="16" customHeight="1">
      <c r="A880" s="27">
        <f>IF($C880="","","N-"&amp;TEXT(ROW()-3,"0000"))</f>
        <v/>
      </c>
      <c r="B880" s="46" t="n"/>
      <c r="C880" s="47" t="n"/>
      <c r="D880" s="27">
        <f>IF($C880="","",IF(COUNTIFS(ENVIOS!$A$4:$A$3003,$C880)=0,"NO EXISTE",IF(COUNTIFS(ENVIOS!$A$4:$A$3003,$C880)&gt;1,"DUPLICADA","OK")))</f>
        <v/>
      </c>
      <c r="E880" s="22">
        <f>IF($C880="","",IFERROR(INDEX(ENVIOS!$C$4:$C$3003,MATCH($C880,ENVIOS!$A$4:$A$3003,0)),"—"))</f>
        <v/>
      </c>
      <c r="F880" s="22">
        <f>IF($C880="","",IFERROR(INDEX(ENVIOS!$D$4:$D$3003,MATCH($C880,ENVIOS!$A$4:$A$3003,0)),"—"))</f>
        <v/>
      </c>
      <c r="G880" s="22">
        <f>IF($C880="","",IFERROR(INDEX(ENVIOS!$E$4:$E$3003,MATCH($C880,ENVIOS!$A$4:$A$3003,0)),"—"))</f>
        <v/>
      </c>
      <c r="H880" s="22">
        <f>IF($C880="","",IFERROR(INDEX(ENVIOS!$F$4:$F$3003,MATCH($C880,ENVIOS!$A$4:$A$3003,0)),"—"))</f>
        <v/>
      </c>
      <c r="I880" s="27">
        <f>IF($C880="","",IFERROR(INDEX(ENVIOS!$G$4:$G$3003,MATCH($C880,ENVIOS!$A$4:$A$3003,0)),"—"))</f>
        <v/>
      </c>
      <c r="J880" s="48">
        <f>IF($C880="","",IFERROR(INDEX(ENVIOS!$B$4:$B$3003,MATCH($C880,ENVIOS!$A$4:$A$3003,0)),""))</f>
        <v/>
      </c>
      <c r="K880" s="49" t="n"/>
      <c r="L880" s="27">
        <f>IF($K880="","",IFERROR(INDEX(CONFIG!$B$4:$B$43,MATCH($K880,CONFIG!$A$4:$A$43,0)),"Media"))</f>
        <v/>
      </c>
      <c r="M880" s="27">
        <f>IF($K880="","",IFERROR(INDEX(CONFIG!$D$4:$D$43,MATCH($K880,CONFIG!$A$4:$A$43,0)),"NO"))</f>
        <v/>
      </c>
      <c r="N880" s="49" t="n"/>
      <c r="O880" s="27">
        <f>IF($N880="","",IFERROR(INDEX(CONFIG!$G$4:$G$43,MATCH($N880,CONFIG!$F$4:$F$43,0)),"Por definir"))</f>
        <v/>
      </c>
      <c r="P880" s="27">
        <f>IF($N880="","",IFERROR(INDEX(CONFIG!$H$4:$H$43,MATCH($N880,CONFIG!$F$4:$F$43,0)),"Por definir"))</f>
        <v/>
      </c>
      <c r="Q880" s="50" t="n"/>
      <c r="R880" s="51" t="n"/>
      <c r="S880" s="49" t="n"/>
      <c r="T880" s="49" t="n"/>
      <c r="U880" s="48">
        <f>IF(OR($B880="",$K880=""),"",WORKDAY($B880,IFERROR(INDEX(CONFIG!$C$4:$C$43,MATCH($K880,CONFIG!$A$4:$A$43,0)),3)))</f>
        <v/>
      </c>
      <c r="V880" s="46" t="n"/>
      <c r="W880" s="23">
        <f>IF($B880="","",IF($V880&lt;&gt;"",$V880-$B880,TODAY()-$B880))</f>
        <v/>
      </c>
      <c r="X880" s="27">
        <f>IF($C880="","",IF(IFERROR(INDEX(CONFIG!$K$4:$K$43,MATCH($S880,CONFIG!$J$4:$J$43,0)),"NO")="SÍ",IF(OR($V880="",$U880=""),"Resuelta",IF($V880&gt;$U880,"Resuelta tarde","Resuelta a tiempo")),IF($U880="","Sin clasificar",IF(TODAY()&gt;$U880,"Vencida",IF(TODAY()&gt;=$U880-1,"Por vencer","En plazo")))))</f>
        <v/>
      </c>
      <c r="Y880" s="49" t="n"/>
      <c r="Z880" s="49" t="n"/>
    </row>
    <row r="881" ht="16" customHeight="1">
      <c r="A881" s="27">
        <f>IF($C881="","","N-"&amp;TEXT(ROW()-3,"0000"))</f>
        <v/>
      </c>
      <c r="B881" s="46" t="n"/>
      <c r="C881" s="47" t="n"/>
      <c r="D881" s="27">
        <f>IF($C881="","",IF(COUNTIFS(ENVIOS!$A$4:$A$3003,$C881)=0,"NO EXISTE",IF(COUNTIFS(ENVIOS!$A$4:$A$3003,$C881)&gt;1,"DUPLICADA","OK")))</f>
        <v/>
      </c>
      <c r="E881" s="22">
        <f>IF($C881="","",IFERROR(INDEX(ENVIOS!$C$4:$C$3003,MATCH($C881,ENVIOS!$A$4:$A$3003,0)),"—"))</f>
        <v/>
      </c>
      <c r="F881" s="22">
        <f>IF($C881="","",IFERROR(INDEX(ENVIOS!$D$4:$D$3003,MATCH($C881,ENVIOS!$A$4:$A$3003,0)),"—"))</f>
        <v/>
      </c>
      <c r="G881" s="22">
        <f>IF($C881="","",IFERROR(INDEX(ENVIOS!$E$4:$E$3003,MATCH($C881,ENVIOS!$A$4:$A$3003,0)),"—"))</f>
        <v/>
      </c>
      <c r="H881" s="22">
        <f>IF($C881="","",IFERROR(INDEX(ENVIOS!$F$4:$F$3003,MATCH($C881,ENVIOS!$A$4:$A$3003,0)),"—"))</f>
        <v/>
      </c>
      <c r="I881" s="27">
        <f>IF($C881="","",IFERROR(INDEX(ENVIOS!$G$4:$G$3003,MATCH($C881,ENVIOS!$A$4:$A$3003,0)),"—"))</f>
        <v/>
      </c>
      <c r="J881" s="48">
        <f>IF($C881="","",IFERROR(INDEX(ENVIOS!$B$4:$B$3003,MATCH($C881,ENVIOS!$A$4:$A$3003,0)),""))</f>
        <v/>
      </c>
      <c r="K881" s="49" t="n"/>
      <c r="L881" s="27">
        <f>IF($K881="","",IFERROR(INDEX(CONFIG!$B$4:$B$43,MATCH($K881,CONFIG!$A$4:$A$43,0)),"Media"))</f>
        <v/>
      </c>
      <c r="M881" s="27">
        <f>IF($K881="","",IFERROR(INDEX(CONFIG!$D$4:$D$43,MATCH($K881,CONFIG!$A$4:$A$43,0)),"NO"))</f>
        <v/>
      </c>
      <c r="N881" s="49" t="n"/>
      <c r="O881" s="27">
        <f>IF($N881="","",IFERROR(INDEX(CONFIG!$G$4:$G$43,MATCH($N881,CONFIG!$F$4:$F$43,0)),"Por definir"))</f>
        <v/>
      </c>
      <c r="P881" s="27">
        <f>IF($N881="","",IFERROR(INDEX(CONFIG!$H$4:$H$43,MATCH($N881,CONFIG!$F$4:$F$43,0)),"Por definir"))</f>
        <v/>
      </c>
      <c r="Q881" s="50" t="n"/>
      <c r="R881" s="51" t="n"/>
      <c r="S881" s="49" t="n"/>
      <c r="T881" s="49" t="n"/>
      <c r="U881" s="48">
        <f>IF(OR($B881="",$K881=""),"",WORKDAY($B881,IFERROR(INDEX(CONFIG!$C$4:$C$43,MATCH($K881,CONFIG!$A$4:$A$43,0)),3)))</f>
        <v/>
      </c>
      <c r="V881" s="46" t="n"/>
      <c r="W881" s="23">
        <f>IF($B881="","",IF($V881&lt;&gt;"",$V881-$B881,TODAY()-$B881))</f>
        <v/>
      </c>
      <c r="X881" s="27">
        <f>IF($C881="","",IF(IFERROR(INDEX(CONFIG!$K$4:$K$43,MATCH($S881,CONFIG!$J$4:$J$43,0)),"NO")="SÍ",IF(OR($V881="",$U881=""),"Resuelta",IF($V881&gt;$U881,"Resuelta tarde","Resuelta a tiempo")),IF($U881="","Sin clasificar",IF(TODAY()&gt;$U881,"Vencida",IF(TODAY()&gt;=$U881-1,"Por vencer","En plazo")))))</f>
        <v/>
      </c>
      <c r="Y881" s="49" t="n"/>
      <c r="Z881" s="49" t="n"/>
    </row>
    <row r="882" ht="16" customHeight="1">
      <c r="A882" s="27">
        <f>IF($C882="","","N-"&amp;TEXT(ROW()-3,"0000"))</f>
        <v/>
      </c>
      <c r="B882" s="46" t="n"/>
      <c r="C882" s="47" t="n"/>
      <c r="D882" s="27">
        <f>IF($C882="","",IF(COUNTIFS(ENVIOS!$A$4:$A$3003,$C882)=0,"NO EXISTE",IF(COUNTIFS(ENVIOS!$A$4:$A$3003,$C882)&gt;1,"DUPLICADA","OK")))</f>
        <v/>
      </c>
      <c r="E882" s="22">
        <f>IF($C882="","",IFERROR(INDEX(ENVIOS!$C$4:$C$3003,MATCH($C882,ENVIOS!$A$4:$A$3003,0)),"—"))</f>
        <v/>
      </c>
      <c r="F882" s="22">
        <f>IF($C882="","",IFERROR(INDEX(ENVIOS!$D$4:$D$3003,MATCH($C882,ENVIOS!$A$4:$A$3003,0)),"—"))</f>
        <v/>
      </c>
      <c r="G882" s="22">
        <f>IF($C882="","",IFERROR(INDEX(ENVIOS!$E$4:$E$3003,MATCH($C882,ENVIOS!$A$4:$A$3003,0)),"—"))</f>
        <v/>
      </c>
      <c r="H882" s="22">
        <f>IF($C882="","",IFERROR(INDEX(ENVIOS!$F$4:$F$3003,MATCH($C882,ENVIOS!$A$4:$A$3003,0)),"—"))</f>
        <v/>
      </c>
      <c r="I882" s="27">
        <f>IF($C882="","",IFERROR(INDEX(ENVIOS!$G$4:$G$3003,MATCH($C882,ENVIOS!$A$4:$A$3003,0)),"—"))</f>
        <v/>
      </c>
      <c r="J882" s="48">
        <f>IF($C882="","",IFERROR(INDEX(ENVIOS!$B$4:$B$3003,MATCH($C882,ENVIOS!$A$4:$A$3003,0)),""))</f>
        <v/>
      </c>
      <c r="K882" s="49" t="n"/>
      <c r="L882" s="27">
        <f>IF($K882="","",IFERROR(INDEX(CONFIG!$B$4:$B$43,MATCH($K882,CONFIG!$A$4:$A$43,0)),"Media"))</f>
        <v/>
      </c>
      <c r="M882" s="27">
        <f>IF($K882="","",IFERROR(INDEX(CONFIG!$D$4:$D$43,MATCH($K882,CONFIG!$A$4:$A$43,0)),"NO"))</f>
        <v/>
      </c>
      <c r="N882" s="49" t="n"/>
      <c r="O882" s="27">
        <f>IF($N882="","",IFERROR(INDEX(CONFIG!$G$4:$G$43,MATCH($N882,CONFIG!$F$4:$F$43,0)),"Por definir"))</f>
        <v/>
      </c>
      <c r="P882" s="27">
        <f>IF($N882="","",IFERROR(INDEX(CONFIG!$H$4:$H$43,MATCH($N882,CONFIG!$F$4:$F$43,0)),"Por definir"))</f>
        <v/>
      </c>
      <c r="Q882" s="50" t="n"/>
      <c r="R882" s="51" t="n"/>
      <c r="S882" s="49" t="n"/>
      <c r="T882" s="49" t="n"/>
      <c r="U882" s="48">
        <f>IF(OR($B882="",$K882=""),"",WORKDAY($B882,IFERROR(INDEX(CONFIG!$C$4:$C$43,MATCH($K882,CONFIG!$A$4:$A$43,0)),3)))</f>
        <v/>
      </c>
      <c r="V882" s="46" t="n"/>
      <c r="W882" s="23">
        <f>IF($B882="","",IF($V882&lt;&gt;"",$V882-$B882,TODAY()-$B882))</f>
        <v/>
      </c>
      <c r="X882" s="27">
        <f>IF($C882="","",IF(IFERROR(INDEX(CONFIG!$K$4:$K$43,MATCH($S882,CONFIG!$J$4:$J$43,0)),"NO")="SÍ",IF(OR($V882="",$U882=""),"Resuelta",IF($V882&gt;$U882,"Resuelta tarde","Resuelta a tiempo")),IF($U882="","Sin clasificar",IF(TODAY()&gt;$U882,"Vencida",IF(TODAY()&gt;=$U882-1,"Por vencer","En plazo")))))</f>
        <v/>
      </c>
      <c r="Y882" s="49" t="n"/>
      <c r="Z882" s="49" t="n"/>
    </row>
    <row r="883" ht="16" customHeight="1">
      <c r="A883" s="27">
        <f>IF($C883="","","N-"&amp;TEXT(ROW()-3,"0000"))</f>
        <v/>
      </c>
      <c r="B883" s="46" t="n"/>
      <c r="C883" s="47" t="n"/>
      <c r="D883" s="27">
        <f>IF($C883="","",IF(COUNTIFS(ENVIOS!$A$4:$A$3003,$C883)=0,"NO EXISTE",IF(COUNTIFS(ENVIOS!$A$4:$A$3003,$C883)&gt;1,"DUPLICADA","OK")))</f>
        <v/>
      </c>
      <c r="E883" s="22">
        <f>IF($C883="","",IFERROR(INDEX(ENVIOS!$C$4:$C$3003,MATCH($C883,ENVIOS!$A$4:$A$3003,0)),"—"))</f>
        <v/>
      </c>
      <c r="F883" s="22">
        <f>IF($C883="","",IFERROR(INDEX(ENVIOS!$D$4:$D$3003,MATCH($C883,ENVIOS!$A$4:$A$3003,0)),"—"))</f>
        <v/>
      </c>
      <c r="G883" s="22">
        <f>IF($C883="","",IFERROR(INDEX(ENVIOS!$E$4:$E$3003,MATCH($C883,ENVIOS!$A$4:$A$3003,0)),"—"))</f>
        <v/>
      </c>
      <c r="H883" s="22">
        <f>IF($C883="","",IFERROR(INDEX(ENVIOS!$F$4:$F$3003,MATCH($C883,ENVIOS!$A$4:$A$3003,0)),"—"))</f>
        <v/>
      </c>
      <c r="I883" s="27">
        <f>IF($C883="","",IFERROR(INDEX(ENVIOS!$G$4:$G$3003,MATCH($C883,ENVIOS!$A$4:$A$3003,0)),"—"))</f>
        <v/>
      </c>
      <c r="J883" s="48">
        <f>IF($C883="","",IFERROR(INDEX(ENVIOS!$B$4:$B$3003,MATCH($C883,ENVIOS!$A$4:$A$3003,0)),""))</f>
        <v/>
      </c>
      <c r="K883" s="49" t="n"/>
      <c r="L883" s="27">
        <f>IF($K883="","",IFERROR(INDEX(CONFIG!$B$4:$B$43,MATCH($K883,CONFIG!$A$4:$A$43,0)),"Media"))</f>
        <v/>
      </c>
      <c r="M883" s="27">
        <f>IF($K883="","",IFERROR(INDEX(CONFIG!$D$4:$D$43,MATCH($K883,CONFIG!$A$4:$A$43,0)),"NO"))</f>
        <v/>
      </c>
      <c r="N883" s="49" t="n"/>
      <c r="O883" s="27">
        <f>IF($N883="","",IFERROR(INDEX(CONFIG!$G$4:$G$43,MATCH($N883,CONFIG!$F$4:$F$43,0)),"Por definir"))</f>
        <v/>
      </c>
      <c r="P883" s="27">
        <f>IF($N883="","",IFERROR(INDEX(CONFIG!$H$4:$H$43,MATCH($N883,CONFIG!$F$4:$F$43,0)),"Por definir"))</f>
        <v/>
      </c>
      <c r="Q883" s="50" t="n"/>
      <c r="R883" s="51" t="n"/>
      <c r="S883" s="49" t="n"/>
      <c r="T883" s="49" t="n"/>
      <c r="U883" s="48">
        <f>IF(OR($B883="",$K883=""),"",WORKDAY($B883,IFERROR(INDEX(CONFIG!$C$4:$C$43,MATCH($K883,CONFIG!$A$4:$A$43,0)),3)))</f>
        <v/>
      </c>
      <c r="V883" s="46" t="n"/>
      <c r="W883" s="23">
        <f>IF($B883="","",IF($V883&lt;&gt;"",$V883-$B883,TODAY()-$B883))</f>
        <v/>
      </c>
      <c r="X883" s="27">
        <f>IF($C883="","",IF(IFERROR(INDEX(CONFIG!$K$4:$K$43,MATCH($S883,CONFIG!$J$4:$J$43,0)),"NO")="SÍ",IF(OR($V883="",$U883=""),"Resuelta",IF($V883&gt;$U883,"Resuelta tarde","Resuelta a tiempo")),IF($U883="","Sin clasificar",IF(TODAY()&gt;$U883,"Vencida",IF(TODAY()&gt;=$U883-1,"Por vencer","En plazo")))))</f>
        <v/>
      </c>
      <c r="Y883" s="49" t="n"/>
      <c r="Z883" s="49" t="n"/>
    </row>
    <row r="884" ht="16" customHeight="1">
      <c r="A884" s="27">
        <f>IF($C884="","","N-"&amp;TEXT(ROW()-3,"0000"))</f>
        <v/>
      </c>
      <c r="B884" s="46" t="n"/>
      <c r="C884" s="47" t="n"/>
      <c r="D884" s="27">
        <f>IF($C884="","",IF(COUNTIFS(ENVIOS!$A$4:$A$3003,$C884)=0,"NO EXISTE",IF(COUNTIFS(ENVIOS!$A$4:$A$3003,$C884)&gt;1,"DUPLICADA","OK")))</f>
        <v/>
      </c>
      <c r="E884" s="22">
        <f>IF($C884="","",IFERROR(INDEX(ENVIOS!$C$4:$C$3003,MATCH($C884,ENVIOS!$A$4:$A$3003,0)),"—"))</f>
        <v/>
      </c>
      <c r="F884" s="22">
        <f>IF($C884="","",IFERROR(INDEX(ENVIOS!$D$4:$D$3003,MATCH($C884,ENVIOS!$A$4:$A$3003,0)),"—"))</f>
        <v/>
      </c>
      <c r="G884" s="22">
        <f>IF($C884="","",IFERROR(INDEX(ENVIOS!$E$4:$E$3003,MATCH($C884,ENVIOS!$A$4:$A$3003,0)),"—"))</f>
        <v/>
      </c>
      <c r="H884" s="22">
        <f>IF($C884="","",IFERROR(INDEX(ENVIOS!$F$4:$F$3003,MATCH($C884,ENVIOS!$A$4:$A$3003,0)),"—"))</f>
        <v/>
      </c>
      <c r="I884" s="27">
        <f>IF($C884="","",IFERROR(INDEX(ENVIOS!$G$4:$G$3003,MATCH($C884,ENVIOS!$A$4:$A$3003,0)),"—"))</f>
        <v/>
      </c>
      <c r="J884" s="48">
        <f>IF($C884="","",IFERROR(INDEX(ENVIOS!$B$4:$B$3003,MATCH($C884,ENVIOS!$A$4:$A$3003,0)),""))</f>
        <v/>
      </c>
      <c r="K884" s="49" t="n"/>
      <c r="L884" s="27">
        <f>IF($K884="","",IFERROR(INDEX(CONFIG!$B$4:$B$43,MATCH($K884,CONFIG!$A$4:$A$43,0)),"Media"))</f>
        <v/>
      </c>
      <c r="M884" s="27">
        <f>IF($K884="","",IFERROR(INDEX(CONFIG!$D$4:$D$43,MATCH($K884,CONFIG!$A$4:$A$43,0)),"NO"))</f>
        <v/>
      </c>
      <c r="N884" s="49" t="n"/>
      <c r="O884" s="27">
        <f>IF($N884="","",IFERROR(INDEX(CONFIG!$G$4:$G$43,MATCH($N884,CONFIG!$F$4:$F$43,0)),"Por definir"))</f>
        <v/>
      </c>
      <c r="P884" s="27">
        <f>IF($N884="","",IFERROR(INDEX(CONFIG!$H$4:$H$43,MATCH($N884,CONFIG!$F$4:$F$43,0)),"Por definir"))</f>
        <v/>
      </c>
      <c r="Q884" s="50" t="n"/>
      <c r="R884" s="51" t="n"/>
      <c r="S884" s="49" t="n"/>
      <c r="T884" s="49" t="n"/>
      <c r="U884" s="48">
        <f>IF(OR($B884="",$K884=""),"",WORKDAY($B884,IFERROR(INDEX(CONFIG!$C$4:$C$43,MATCH($K884,CONFIG!$A$4:$A$43,0)),3)))</f>
        <v/>
      </c>
      <c r="V884" s="46" t="n"/>
      <c r="W884" s="23">
        <f>IF($B884="","",IF($V884&lt;&gt;"",$V884-$B884,TODAY()-$B884))</f>
        <v/>
      </c>
      <c r="X884" s="27">
        <f>IF($C884="","",IF(IFERROR(INDEX(CONFIG!$K$4:$K$43,MATCH($S884,CONFIG!$J$4:$J$43,0)),"NO")="SÍ",IF(OR($V884="",$U884=""),"Resuelta",IF($V884&gt;$U884,"Resuelta tarde","Resuelta a tiempo")),IF($U884="","Sin clasificar",IF(TODAY()&gt;$U884,"Vencida",IF(TODAY()&gt;=$U884-1,"Por vencer","En plazo")))))</f>
        <v/>
      </c>
      <c r="Y884" s="49" t="n"/>
      <c r="Z884" s="49" t="n"/>
    </row>
    <row r="885" ht="16" customHeight="1">
      <c r="A885" s="27">
        <f>IF($C885="","","N-"&amp;TEXT(ROW()-3,"0000"))</f>
        <v/>
      </c>
      <c r="B885" s="46" t="n"/>
      <c r="C885" s="47" t="n"/>
      <c r="D885" s="27">
        <f>IF($C885="","",IF(COUNTIFS(ENVIOS!$A$4:$A$3003,$C885)=0,"NO EXISTE",IF(COUNTIFS(ENVIOS!$A$4:$A$3003,$C885)&gt;1,"DUPLICADA","OK")))</f>
        <v/>
      </c>
      <c r="E885" s="22">
        <f>IF($C885="","",IFERROR(INDEX(ENVIOS!$C$4:$C$3003,MATCH($C885,ENVIOS!$A$4:$A$3003,0)),"—"))</f>
        <v/>
      </c>
      <c r="F885" s="22">
        <f>IF($C885="","",IFERROR(INDEX(ENVIOS!$D$4:$D$3003,MATCH($C885,ENVIOS!$A$4:$A$3003,0)),"—"))</f>
        <v/>
      </c>
      <c r="G885" s="22">
        <f>IF($C885="","",IFERROR(INDEX(ENVIOS!$E$4:$E$3003,MATCH($C885,ENVIOS!$A$4:$A$3003,0)),"—"))</f>
        <v/>
      </c>
      <c r="H885" s="22">
        <f>IF($C885="","",IFERROR(INDEX(ENVIOS!$F$4:$F$3003,MATCH($C885,ENVIOS!$A$4:$A$3003,0)),"—"))</f>
        <v/>
      </c>
      <c r="I885" s="27">
        <f>IF($C885="","",IFERROR(INDEX(ENVIOS!$G$4:$G$3003,MATCH($C885,ENVIOS!$A$4:$A$3003,0)),"—"))</f>
        <v/>
      </c>
      <c r="J885" s="48">
        <f>IF($C885="","",IFERROR(INDEX(ENVIOS!$B$4:$B$3003,MATCH($C885,ENVIOS!$A$4:$A$3003,0)),""))</f>
        <v/>
      </c>
      <c r="K885" s="49" t="n"/>
      <c r="L885" s="27">
        <f>IF($K885="","",IFERROR(INDEX(CONFIG!$B$4:$B$43,MATCH($K885,CONFIG!$A$4:$A$43,0)),"Media"))</f>
        <v/>
      </c>
      <c r="M885" s="27">
        <f>IF($K885="","",IFERROR(INDEX(CONFIG!$D$4:$D$43,MATCH($K885,CONFIG!$A$4:$A$43,0)),"NO"))</f>
        <v/>
      </c>
      <c r="N885" s="49" t="n"/>
      <c r="O885" s="27">
        <f>IF($N885="","",IFERROR(INDEX(CONFIG!$G$4:$G$43,MATCH($N885,CONFIG!$F$4:$F$43,0)),"Por definir"))</f>
        <v/>
      </c>
      <c r="P885" s="27">
        <f>IF($N885="","",IFERROR(INDEX(CONFIG!$H$4:$H$43,MATCH($N885,CONFIG!$F$4:$F$43,0)),"Por definir"))</f>
        <v/>
      </c>
      <c r="Q885" s="50" t="n"/>
      <c r="R885" s="51" t="n"/>
      <c r="S885" s="49" t="n"/>
      <c r="T885" s="49" t="n"/>
      <c r="U885" s="48">
        <f>IF(OR($B885="",$K885=""),"",WORKDAY($B885,IFERROR(INDEX(CONFIG!$C$4:$C$43,MATCH($K885,CONFIG!$A$4:$A$43,0)),3)))</f>
        <v/>
      </c>
      <c r="V885" s="46" t="n"/>
      <c r="W885" s="23">
        <f>IF($B885="","",IF($V885&lt;&gt;"",$V885-$B885,TODAY()-$B885))</f>
        <v/>
      </c>
      <c r="X885" s="27">
        <f>IF($C885="","",IF(IFERROR(INDEX(CONFIG!$K$4:$K$43,MATCH($S885,CONFIG!$J$4:$J$43,0)),"NO")="SÍ",IF(OR($V885="",$U885=""),"Resuelta",IF($V885&gt;$U885,"Resuelta tarde","Resuelta a tiempo")),IF($U885="","Sin clasificar",IF(TODAY()&gt;$U885,"Vencida",IF(TODAY()&gt;=$U885-1,"Por vencer","En plazo")))))</f>
        <v/>
      </c>
      <c r="Y885" s="49" t="n"/>
      <c r="Z885" s="49" t="n"/>
    </row>
    <row r="886" ht="16" customHeight="1">
      <c r="A886" s="27">
        <f>IF($C886="","","N-"&amp;TEXT(ROW()-3,"0000"))</f>
        <v/>
      </c>
      <c r="B886" s="46" t="n"/>
      <c r="C886" s="47" t="n"/>
      <c r="D886" s="27">
        <f>IF($C886="","",IF(COUNTIFS(ENVIOS!$A$4:$A$3003,$C886)=0,"NO EXISTE",IF(COUNTIFS(ENVIOS!$A$4:$A$3003,$C886)&gt;1,"DUPLICADA","OK")))</f>
        <v/>
      </c>
      <c r="E886" s="22">
        <f>IF($C886="","",IFERROR(INDEX(ENVIOS!$C$4:$C$3003,MATCH($C886,ENVIOS!$A$4:$A$3003,0)),"—"))</f>
        <v/>
      </c>
      <c r="F886" s="22">
        <f>IF($C886="","",IFERROR(INDEX(ENVIOS!$D$4:$D$3003,MATCH($C886,ENVIOS!$A$4:$A$3003,0)),"—"))</f>
        <v/>
      </c>
      <c r="G886" s="22">
        <f>IF($C886="","",IFERROR(INDEX(ENVIOS!$E$4:$E$3003,MATCH($C886,ENVIOS!$A$4:$A$3003,0)),"—"))</f>
        <v/>
      </c>
      <c r="H886" s="22">
        <f>IF($C886="","",IFERROR(INDEX(ENVIOS!$F$4:$F$3003,MATCH($C886,ENVIOS!$A$4:$A$3003,0)),"—"))</f>
        <v/>
      </c>
      <c r="I886" s="27">
        <f>IF($C886="","",IFERROR(INDEX(ENVIOS!$G$4:$G$3003,MATCH($C886,ENVIOS!$A$4:$A$3003,0)),"—"))</f>
        <v/>
      </c>
      <c r="J886" s="48">
        <f>IF($C886="","",IFERROR(INDEX(ENVIOS!$B$4:$B$3003,MATCH($C886,ENVIOS!$A$4:$A$3003,0)),""))</f>
        <v/>
      </c>
      <c r="K886" s="49" t="n"/>
      <c r="L886" s="27">
        <f>IF($K886="","",IFERROR(INDEX(CONFIG!$B$4:$B$43,MATCH($K886,CONFIG!$A$4:$A$43,0)),"Media"))</f>
        <v/>
      </c>
      <c r="M886" s="27">
        <f>IF($K886="","",IFERROR(INDEX(CONFIG!$D$4:$D$43,MATCH($K886,CONFIG!$A$4:$A$43,0)),"NO"))</f>
        <v/>
      </c>
      <c r="N886" s="49" t="n"/>
      <c r="O886" s="27">
        <f>IF($N886="","",IFERROR(INDEX(CONFIG!$G$4:$G$43,MATCH($N886,CONFIG!$F$4:$F$43,0)),"Por definir"))</f>
        <v/>
      </c>
      <c r="P886" s="27">
        <f>IF($N886="","",IFERROR(INDEX(CONFIG!$H$4:$H$43,MATCH($N886,CONFIG!$F$4:$F$43,0)),"Por definir"))</f>
        <v/>
      </c>
      <c r="Q886" s="50" t="n"/>
      <c r="R886" s="51" t="n"/>
      <c r="S886" s="49" t="n"/>
      <c r="T886" s="49" t="n"/>
      <c r="U886" s="48">
        <f>IF(OR($B886="",$K886=""),"",WORKDAY($B886,IFERROR(INDEX(CONFIG!$C$4:$C$43,MATCH($K886,CONFIG!$A$4:$A$43,0)),3)))</f>
        <v/>
      </c>
      <c r="V886" s="46" t="n"/>
      <c r="W886" s="23">
        <f>IF($B886="","",IF($V886&lt;&gt;"",$V886-$B886,TODAY()-$B886))</f>
        <v/>
      </c>
      <c r="X886" s="27">
        <f>IF($C886="","",IF(IFERROR(INDEX(CONFIG!$K$4:$K$43,MATCH($S886,CONFIG!$J$4:$J$43,0)),"NO")="SÍ",IF(OR($V886="",$U886=""),"Resuelta",IF($V886&gt;$U886,"Resuelta tarde","Resuelta a tiempo")),IF($U886="","Sin clasificar",IF(TODAY()&gt;$U886,"Vencida",IF(TODAY()&gt;=$U886-1,"Por vencer","En plazo")))))</f>
        <v/>
      </c>
      <c r="Y886" s="49" t="n"/>
      <c r="Z886" s="49" t="n"/>
    </row>
    <row r="887" ht="16" customHeight="1">
      <c r="A887" s="27">
        <f>IF($C887="","","N-"&amp;TEXT(ROW()-3,"0000"))</f>
        <v/>
      </c>
      <c r="B887" s="46" t="n"/>
      <c r="C887" s="47" t="n"/>
      <c r="D887" s="27">
        <f>IF($C887="","",IF(COUNTIFS(ENVIOS!$A$4:$A$3003,$C887)=0,"NO EXISTE",IF(COUNTIFS(ENVIOS!$A$4:$A$3003,$C887)&gt;1,"DUPLICADA","OK")))</f>
        <v/>
      </c>
      <c r="E887" s="22">
        <f>IF($C887="","",IFERROR(INDEX(ENVIOS!$C$4:$C$3003,MATCH($C887,ENVIOS!$A$4:$A$3003,0)),"—"))</f>
        <v/>
      </c>
      <c r="F887" s="22">
        <f>IF($C887="","",IFERROR(INDEX(ENVIOS!$D$4:$D$3003,MATCH($C887,ENVIOS!$A$4:$A$3003,0)),"—"))</f>
        <v/>
      </c>
      <c r="G887" s="22">
        <f>IF($C887="","",IFERROR(INDEX(ENVIOS!$E$4:$E$3003,MATCH($C887,ENVIOS!$A$4:$A$3003,0)),"—"))</f>
        <v/>
      </c>
      <c r="H887" s="22">
        <f>IF($C887="","",IFERROR(INDEX(ENVIOS!$F$4:$F$3003,MATCH($C887,ENVIOS!$A$4:$A$3003,0)),"—"))</f>
        <v/>
      </c>
      <c r="I887" s="27">
        <f>IF($C887="","",IFERROR(INDEX(ENVIOS!$G$4:$G$3003,MATCH($C887,ENVIOS!$A$4:$A$3003,0)),"—"))</f>
        <v/>
      </c>
      <c r="J887" s="48">
        <f>IF($C887="","",IFERROR(INDEX(ENVIOS!$B$4:$B$3003,MATCH($C887,ENVIOS!$A$4:$A$3003,0)),""))</f>
        <v/>
      </c>
      <c r="K887" s="49" t="n"/>
      <c r="L887" s="27">
        <f>IF($K887="","",IFERROR(INDEX(CONFIG!$B$4:$B$43,MATCH($K887,CONFIG!$A$4:$A$43,0)),"Media"))</f>
        <v/>
      </c>
      <c r="M887" s="27">
        <f>IF($K887="","",IFERROR(INDEX(CONFIG!$D$4:$D$43,MATCH($K887,CONFIG!$A$4:$A$43,0)),"NO"))</f>
        <v/>
      </c>
      <c r="N887" s="49" t="n"/>
      <c r="O887" s="27">
        <f>IF($N887="","",IFERROR(INDEX(CONFIG!$G$4:$G$43,MATCH($N887,CONFIG!$F$4:$F$43,0)),"Por definir"))</f>
        <v/>
      </c>
      <c r="P887" s="27">
        <f>IF($N887="","",IFERROR(INDEX(CONFIG!$H$4:$H$43,MATCH($N887,CONFIG!$F$4:$F$43,0)),"Por definir"))</f>
        <v/>
      </c>
      <c r="Q887" s="50" t="n"/>
      <c r="R887" s="51" t="n"/>
      <c r="S887" s="49" t="n"/>
      <c r="T887" s="49" t="n"/>
      <c r="U887" s="48">
        <f>IF(OR($B887="",$K887=""),"",WORKDAY($B887,IFERROR(INDEX(CONFIG!$C$4:$C$43,MATCH($K887,CONFIG!$A$4:$A$43,0)),3)))</f>
        <v/>
      </c>
      <c r="V887" s="46" t="n"/>
      <c r="W887" s="23">
        <f>IF($B887="","",IF($V887&lt;&gt;"",$V887-$B887,TODAY()-$B887))</f>
        <v/>
      </c>
      <c r="X887" s="27">
        <f>IF($C887="","",IF(IFERROR(INDEX(CONFIG!$K$4:$K$43,MATCH($S887,CONFIG!$J$4:$J$43,0)),"NO")="SÍ",IF(OR($V887="",$U887=""),"Resuelta",IF($V887&gt;$U887,"Resuelta tarde","Resuelta a tiempo")),IF($U887="","Sin clasificar",IF(TODAY()&gt;$U887,"Vencida",IF(TODAY()&gt;=$U887-1,"Por vencer","En plazo")))))</f>
        <v/>
      </c>
      <c r="Y887" s="49" t="n"/>
      <c r="Z887" s="49" t="n"/>
    </row>
    <row r="888" ht="16" customHeight="1">
      <c r="A888" s="27">
        <f>IF($C888="","","N-"&amp;TEXT(ROW()-3,"0000"))</f>
        <v/>
      </c>
      <c r="B888" s="46" t="n"/>
      <c r="C888" s="47" t="n"/>
      <c r="D888" s="27">
        <f>IF($C888="","",IF(COUNTIFS(ENVIOS!$A$4:$A$3003,$C888)=0,"NO EXISTE",IF(COUNTIFS(ENVIOS!$A$4:$A$3003,$C888)&gt;1,"DUPLICADA","OK")))</f>
        <v/>
      </c>
      <c r="E888" s="22">
        <f>IF($C888="","",IFERROR(INDEX(ENVIOS!$C$4:$C$3003,MATCH($C888,ENVIOS!$A$4:$A$3003,0)),"—"))</f>
        <v/>
      </c>
      <c r="F888" s="22">
        <f>IF($C888="","",IFERROR(INDEX(ENVIOS!$D$4:$D$3003,MATCH($C888,ENVIOS!$A$4:$A$3003,0)),"—"))</f>
        <v/>
      </c>
      <c r="G888" s="22">
        <f>IF($C888="","",IFERROR(INDEX(ENVIOS!$E$4:$E$3003,MATCH($C888,ENVIOS!$A$4:$A$3003,0)),"—"))</f>
        <v/>
      </c>
      <c r="H888" s="22">
        <f>IF($C888="","",IFERROR(INDEX(ENVIOS!$F$4:$F$3003,MATCH($C888,ENVIOS!$A$4:$A$3003,0)),"—"))</f>
        <v/>
      </c>
      <c r="I888" s="27">
        <f>IF($C888="","",IFERROR(INDEX(ENVIOS!$G$4:$G$3003,MATCH($C888,ENVIOS!$A$4:$A$3003,0)),"—"))</f>
        <v/>
      </c>
      <c r="J888" s="48">
        <f>IF($C888="","",IFERROR(INDEX(ENVIOS!$B$4:$B$3003,MATCH($C888,ENVIOS!$A$4:$A$3003,0)),""))</f>
        <v/>
      </c>
      <c r="K888" s="49" t="n"/>
      <c r="L888" s="27">
        <f>IF($K888="","",IFERROR(INDEX(CONFIG!$B$4:$B$43,MATCH($K888,CONFIG!$A$4:$A$43,0)),"Media"))</f>
        <v/>
      </c>
      <c r="M888" s="27">
        <f>IF($K888="","",IFERROR(INDEX(CONFIG!$D$4:$D$43,MATCH($K888,CONFIG!$A$4:$A$43,0)),"NO"))</f>
        <v/>
      </c>
      <c r="N888" s="49" t="n"/>
      <c r="O888" s="27">
        <f>IF($N888="","",IFERROR(INDEX(CONFIG!$G$4:$G$43,MATCH($N888,CONFIG!$F$4:$F$43,0)),"Por definir"))</f>
        <v/>
      </c>
      <c r="P888" s="27">
        <f>IF($N888="","",IFERROR(INDEX(CONFIG!$H$4:$H$43,MATCH($N888,CONFIG!$F$4:$F$43,0)),"Por definir"))</f>
        <v/>
      </c>
      <c r="Q888" s="50" t="n"/>
      <c r="R888" s="51" t="n"/>
      <c r="S888" s="49" t="n"/>
      <c r="T888" s="49" t="n"/>
      <c r="U888" s="48">
        <f>IF(OR($B888="",$K888=""),"",WORKDAY($B888,IFERROR(INDEX(CONFIG!$C$4:$C$43,MATCH($K888,CONFIG!$A$4:$A$43,0)),3)))</f>
        <v/>
      </c>
      <c r="V888" s="46" t="n"/>
      <c r="W888" s="23">
        <f>IF($B888="","",IF($V888&lt;&gt;"",$V888-$B888,TODAY()-$B888))</f>
        <v/>
      </c>
      <c r="X888" s="27">
        <f>IF($C888="","",IF(IFERROR(INDEX(CONFIG!$K$4:$K$43,MATCH($S888,CONFIG!$J$4:$J$43,0)),"NO")="SÍ",IF(OR($V888="",$U888=""),"Resuelta",IF($V888&gt;$U888,"Resuelta tarde","Resuelta a tiempo")),IF($U888="","Sin clasificar",IF(TODAY()&gt;$U888,"Vencida",IF(TODAY()&gt;=$U888-1,"Por vencer","En plazo")))))</f>
        <v/>
      </c>
      <c r="Y888" s="49" t="n"/>
      <c r="Z888" s="49" t="n"/>
    </row>
    <row r="889" ht="16" customHeight="1">
      <c r="A889" s="27">
        <f>IF($C889="","","N-"&amp;TEXT(ROW()-3,"0000"))</f>
        <v/>
      </c>
      <c r="B889" s="46" t="n"/>
      <c r="C889" s="47" t="n"/>
      <c r="D889" s="27">
        <f>IF($C889="","",IF(COUNTIFS(ENVIOS!$A$4:$A$3003,$C889)=0,"NO EXISTE",IF(COUNTIFS(ENVIOS!$A$4:$A$3003,$C889)&gt;1,"DUPLICADA","OK")))</f>
        <v/>
      </c>
      <c r="E889" s="22">
        <f>IF($C889="","",IFERROR(INDEX(ENVIOS!$C$4:$C$3003,MATCH($C889,ENVIOS!$A$4:$A$3003,0)),"—"))</f>
        <v/>
      </c>
      <c r="F889" s="22">
        <f>IF($C889="","",IFERROR(INDEX(ENVIOS!$D$4:$D$3003,MATCH($C889,ENVIOS!$A$4:$A$3003,0)),"—"))</f>
        <v/>
      </c>
      <c r="G889" s="22">
        <f>IF($C889="","",IFERROR(INDEX(ENVIOS!$E$4:$E$3003,MATCH($C889,ENVIOS!$A$4:$A$3003,0)),"—"))</f>
        <v/>
      </c>
      <c r="H889" s="22">
        <f>IF($C889="","",IFERROR(INDEX(ENVIOS!$F$4:$F$3003,MATCH($C889,ENVIOS!$A$4:$A$3003,0)),"—"))</f>
        <v/>
      </c>
      <c r="I889" s="27">
        <f>IF($C889="","",IFERROR(INDEX(ENVIOS!$G$4:$G$3003,MATCH($C889,ENVIOS!$A$4:$A$3003,0)),"—"))</f>
        <v/>
      </c>
      <c r="J889" s="48">
        <f>IF($C889="","",IFERROR(INDEX(ENVIOS!$B$4:$B$3003,MATCH($C889,ENVIOS!$A$4:$A$3003,0)),""))</f>
        <v/>
      </c>
      <c r="K889" s="49" t="n"/>
      <c r="L889" s="27">
        <f>IF($K889="","",IFERROR(INDEX(CONFIG!$B$4:$B$43,MATCH($K889,CONFIG!$A$4:$A$43,0)),"Media"))</f>
        <v/>
      </c>
      <c r="M889" s="27">
        <f>IF($K889="","",IFERROR(INDEX(CONFIG!$D$4:$D$43,MATCH($K889,CONFIG!$A$4:$A$43,0)),"NO"))</f>
        <v/>
      </c>
      <c r="N889" s="49" t="n"/>
      <c r="O889" s="27">
        <f>IF($N889="","",IFERROR(INDEX(CONFIG!$G$4:$G$43,MATCH($N889,CONFIG!$F$4:$F$43,0)),"Por definir"))</f>
        <v/>
      </c>
      <c r="P889" s="27">
        <f>IF($N889="","",IFERROR(INDEX(CONFIG!$H$4:$H$43,MATCH($N889,CONFIG!$F$4:$F$43,0)),"Por definir"))</f>
        <v/>
      </c>
      <c r="Q889" s="50" t="n"/>
      <c r="R889" s="51" t="n"/>
      <c r="S889" s="49" t="n"/>
      <c r="T889" s="49" t="n"/>
      <c r="U889" s="48">
        <f>IF(OR($B889="",$K889=""),"",WORKDAY($B889,IFERROR(INDEX(CONFIG!$C$4:$C$43,MATCH($K889,CONFIG!$A$4:$A$43,0)),3)))</f>
        <v/>
      </c>
      <c r="V889" s="46" t="n"/>
      <c r="W889" s="23">
        <f>IF($B889="","",IF($V889&lt;&gt;"",$V889-$B889,TODAY()-$B889))</f>
        <v/>
      </c>
      <c r="X889" s="27">
        <f>IF($C889="","",IF(IFERROR(INDEX(CONFIG!$K$4:$K$43,MATCH($S889,CONFIG!$J$4:$J$43,0)),"NO")="SÍ",IF(OR($V889="",$U889=""),"Resuelta",IF($V889&gt;$U889,"Resuelta tarde","Resuelta a tiempo")),IF($U889="","Sin clasificar",IF(TODAY()&gt;$U889,"Vencida",IF(TODAY()&gt;=$U889-1,"Por vencer","En plazo")))))</f>
        <v/>
      </c>
      <c r="Y889" s="49" t="n"/>
      <c r="Z889" s="49" t="n"/>
    </row>
    <row r="890" ht="16" customHeight="1">
      <c r="A890" s="27">
        <f>IF($C890="","","N-"&amp;TEXT(ROW()-3,"0000"))</f>
        <v/>
      </c>
      <c r="B890" s="46" t="n"/>
      <c r="C890" s="47" t="n"/>
      <c r="D890" s="27">
        <f>IF($C890="","",IF(COUNTIFS(ENVIOS!$A$4:$A$3003,$C890)=0,"NO EXISTE",IF(COUNTIFS(ENVIOS!$A$4:$A$3003,$C890)&gt;1,"DUPLICADA","OK")))</f>
        <v/>
      </c>
      <c r="E890" s="22">
        <f>IF($C890="","",IFERROR(INDEX(ENVIOS!$C$4:$C$3003,MATCH($C890,ENVIOS!$A$4:$A$3003,0)),"—"))</f>
        <v/>
      </c>
      <c r="F890" s="22">
        <f>IF($C890="","",IFERROR(INDEX(ENVIOS!$D$4:$D$3003,MATCH($C890,ENVIOS!$A$4:$A$3003,0)),"—"))</f>
        <v/>
      </c>
      <c r="G890" s="22">
        <f>IF($C890="","",IFERROR(INDEX(ENVIOS!$E$4:$E$3003,MATCH($C890,ENVIOS!$A$4:$A$3003,0)),"—"))</f>
        <v/>
      </c>
      <c r="H890" s="22">
        <f>IF($C890="","",IFERROR(INDEX(ENVIOS!$F$4:$F$3003,MATCH($C890,ENVIOS!$A$4:$A$3003,0)),"—"))</f>
        <v/>
      </c>
      <c r="I890" s="27">
        <f>IF($C890="","",IFERROR(INDEX(ENVIOS!$G$4:$G$3003,MATCH($C890,ENVIOS!$A$4:$A$3003,0)),"—"))</f>
        <v/>
      </c>
      <c r="J890" s="48">
        <f>IF($C890="","",IFERROR(INDEX(ENVIOS!$B$4:$B$3003,MATCH($C890,ENVIOS!$A$4:$A$3003,0)),""))</f>
        <v/>
      </c>
      <c r="K890" s="49" t="n"/>
      <c r="L890" s="27">
        <f>IF($K890="","",IFERROR(INDEX(CONFIG!$B$4:$B$43,MATCH($K890,CONFIG!$A$4:$A$43,0)),"Media"))</f>
        <v/>
      </c>
      <c r="M890" s="27">
        <f>IF($K890="","",IFERROR(INDEX(CONFIG!$D$4:$D$43,MATCH($K890,CONFIG!$A$4:$A$43,0)),"NO"))</f>
        <v/>
      </c>
      <c r="N890" s="49" t="n"/>
      <c r="O890" s="27">
        <f>IF($N890="","",IFERROR(INDEX(CONFIG!$G$4:$G$43,MATCH($N890,CONFIG!$F$4:$F$43,0)),"Por definir"))</f>
        <v/>
      </c>
      <c r="P890" s="27">
        <f>IF($N890="","",IFERROR(INDEX(CONFIG!$H$4:$H$43,MATCH($N890,CONFIG!$F$4:$F$43,0)),"Por definir"))</f>
        <v/>
      </c>
      <c r="Q890" s="50" t="n"/>
      <c r="R890" s="51" t="n"/>
      <c r="S890" s="49" t="n"/>
      <c r="T890" s="49" t="n"/>
      <c r="U890" s="48">
        <f>IF(OR($B890="",$K890=""),"",WORKDAY($B890,IFERROR(INDEX(CONFIG!$C$4:$C$43,MATCH($K890,CONFIG!$A$4:$A$43,0)),3)))</f>
        <v/>
      </c>
      <c r="V890" s="46" t="n"/>
      <c r="W890" s="23">
        <f>IF($B890="","",IF($V890&lt;&gt;"",$V890-$B890,TODAY()-$B890))</f>
        <v/>
      </c>
      <c r="X890" s="27">
        <f>IF($C890="","",IF(IFERROR(INDEX(CONFIG!$K$4:$K$43,MATCH($S890,CONFIG!$J$4:$J$43,0)),"NO")="SÍ",IF(OR($V890="",$U890=""),"Resuelta",IF($V890&gt;$U890,"Resuelta tarde","Resuelta a tiempo")),IF($U890="","Sin clasificar",IF(TODAY()&gt;$U890,"Vencida",IF(TODAY()&gt;=$U890-1,"Por vencer","En plazo")))))</f>
        <v/>
      </c>
      <c r="Y890" s="49" t="n"/>
      <c r="Z890" s="49" t="n"/>
    </row>
    <row r="891" ht="16" customHeight="1">
      <c r="A891" s="27">
        <f>IF($C891="","","N-"&amp;TEXT(ROW()-3,"0000"))</f>
        <v/>
      </c>
      <c r="B891" s="46" t="n"/>
      <c r="C891" s="47" t="n"/>
      <c r="D891" s="27">
        <f>IF($C891="","",IF(COUNTIFS(ENVIOS!$A$4:$A$3003,$C891)=0,"NO EXISTE",IF(COUNTIFS(ENVIOS!$A$4:$A$3003,$C891)&gt;1,"DUPLICADA","OK")))</f>
        <v/>
      </c>
      <c r="E891" s="22">
        <f>IF($C891="","",IFERROR(INDEX(ENVIOS!$C$4:$C$3003,MATCH($C891,ENVIOS!$A$4:$A$3003,0)),"—"))</f>
        <v/>
      </c>
      <c r="F891" s="22">
        <f>IF($C891="","",IFERROR(INDEX(ENVIOS!$D$4:$D$3003,MATCH($C891,ENVIOS!$A$4:$A$3003,0)),"—"))</f>
        <v/>
      </c>
      <c r="G891" s="22">
        <f>IF($C891="","",IFERROR(INDEX(ENVIOS!$E$4:$E$3003,MATCH($C891,ENVIOS!$A$4:$A$3003,0)),"—"))</f>
        <v/>
      </c>
      <c r="H891" s="22">
        <f>IF($C891="","",IFERROR(INDEX(ENVIOS!$F$4:$F$3003,MATCH($C891,ENVIOS!$A$4:$A$3003,0)),"—"))</f>
        <v/>
      </c>
      <c r="I891" s="27">
        <f>IF($C891="","",IFERROR(INDEX(ENVIOS!$G$4:$G$3003,MATCH($C891,ENVIOS!$A$4:$A$3003,0)),"—"))</f>
        <v/>
      </c>
      <c r="J891" s="48">
        <f>IF($C891="","",IFERROR(INDEX(ENVIOS!$B$4:$B$3003,MATCH($C891,ENVIOS!$A$4:$A$3003,0)),""))</f>
        <v/>
      </c>
      <c r="K891" s="49" t="n"/>
      <c r="L891" s="27">
        <f>IF($K891="","",IFERROR(INDEX(CONFIG!$B$4:$B$43,MATCH($K891,CONFIG!$A$4:$A$43,0)),"Media"))</f>
        <v/>
      </c>
      <c r="M891" s="27">
        <f>IF($K891="","",IFERROR(INDEX(CONFIG!$D$4:$D$43,MATCH($K891,CONFIG!$A$4:$A$43,0)),"NO"))</f>
        <v/>
      </c>
      <c r="N891" s="49" t="n"/>
      <c r="O891" s="27">
        <f>IF($N891="","",IFERROR(INDEX(CONFIG!$G$4:$G$43,MATCH($N891,CONFIG!$F$4:$F$43,0)),"Por definir"))</f>
        <v/>
      </c>
      <c r="P891" s="27">
        <f>IF($N891="","",IFERROR(INDEX(CONFIG!$H$4:$H$43,MATCH($N891,CONFIG!$F$4:$F$43,0)),"Por definir"))</f>
        <v/>
      </c>
      <c r="Q891" s="50" t="n"/>
      <c r="R891" s="51" t="n"/>
      <c r="S891" s="49" t="n"/>
      <c r="T891" s="49" t="n"/>
      <c r="U891" s="48">
        <f>IF(OR($B891="",$K891=""),"",WORKDAY($B891,IFERROR(INDEX(CONFIG!$C$4:$C$43,MATCH($K891,CONFIG!$A$4:$A$43,0)),3)))</f>
        <v/>
      </c>
      <c r="V891" s="46" t="n"/>
      <c r="W891" s="23">
        <f>IF($B891="","",IF($V891&lt;&gt;"",$V891-$B891,TODAY()-$B891))</f>
        <v/>
      </c>
      <c r="X891" s="27">
        <f>IF($C891="","",IF(IFERROR(INDEX(CONFIG!$K$4:$K$43,MATCH($S891,CONFIG!$J$4:$J$43,0)),"NO")="SÍ",IF(OR($V891="",$U891=""),"Resuelta",IF($V891&gt;$U891,"Resuelta tarde","Resuelta a tiempo")),IF($U891="","Sin clasificar",IF(TODAY()&gt;$U891,"Vencida",IF(TODAY()&gt;=$U891-1,"Por vencer","En plazo")))))</f>
        <v/>
      </c>
      <c r="Y891" s="49" t="n"/>
      <c r="Z891" s="49" t="n"/>
    </row>
    <row r="892" ht="16" customHeight="1">
      <c r="A892" s="27">
        <f>IF($C892="","","N-"&amp;TEXT(ROW()-3,"0000"))</f>
        <v/>
      </c>
      <c r="B892" s="46" t="n"/>
      <c r="C892" s="47" t="n"/>
      <c r="D892" s="27">
        <f>IF($C892="","",IF(COUNTIFS(ENVIOS!$A$4:$A$3003,$C892)=0,"NO EXISTE",IF(COUNTIFS(ENVIOS!$A$4:$A$3003,$C892)&gt;1,"DUPLICADA","OK")))</f>
        <v/>
      </c>
      <c r="E892" s="22">
        <f>IF($C892="","",IFERROR(INDEX(ENVIOS!$C$4:$C$3003,MATCH($C892,ENVIOS!$A$4:$A$3003,0)),"—"))</f>
        <v/>
      </c>
      <c r="F892" s="22">
        <f>IF($C892="","",IFERROR(INDEX(ENVIOS!$D$4:$D$3003,MATCH($C892,ENVIOS!$A$4:$A$3003,0)),"—"))</f>
        <v/>
      </c>
      <c r="G892" s="22">
        <f>IF($C892="","",IFERROR(INDEX(ENVIOS!$E$4:$E$3003,MATCH($C892,ENVIOS!$A$4:$A$3003,0)),"—"))</f>
        <v/>
      </c>
      <c r="H892" s="22">
        <f>IF($C892="","",IFERROR(INDEX(ENVIOS!$F$4:$F$3003,MATCH($C892,ENVIOS!$A$4:$A$3003,0)),"—"))</f>
        <v/>
      </c>
      <c r="I892" s="27">
        <f>IF($C892="","",IFERROR(INDEX(ENVIOS!$G$4:$G$3003,MATCH($C892,ENVIOS!$A$4:$A$3003,0)),"—"))</f>
        <v/>
      </c>
      <c r="J892" s="48">
        <f>IF($C892="","",IFERROR(INDEX(ENVIOS!$B$4:$B$3003,MATCH($C892,ENVIOS!$A$4:$A$3003,0)),""))</f>
        <v/>
      </c>
      <c r="K892" s="49" t="n"/>
      <c r="L892" s="27">
        <f>IF($K892="","",IFERROR(INDEX(CONFIG!$B$4:$B$43,MATCH($K892,CONFIG!$A$4:$A$43,0)),"Media"))</f>
        <v/>
      </c>
      <c r="M892" s="27">
        <f>IF($K892="","",IFERROR(INDEX(CONFIG!$D$4:$D$43,MATCH($K892,CONFIG!$A$4:$A$43,0)),"NO"))</f>
        <v/>
      </c>
      <c r="N892" s="49" t="n"/>
      <c r="O892" s="27">
        <f>IF($N892="","",IFERROR(INDEX(CONFIG!$G$4:$G$43,MATCH($N892,CONFIG!$F$4:$F$43,0)),"Por definir"))</f>
        <v/>
      </c>
      <c r="P892" s="27">
        <f>IF($N892="","",IFERROR(INDEX(CONFIG!$H$4:$H$43,MATCH($N892,CONFIG!$F$4:$F$43,0)),"Por definir"))</f>
        <v/>
      </c>
      <c r="Q892" s="50" t="n"/>
      <c r="R892" s="51" t="n"/>
      <c r="S892" s="49" t="n"/>
      <c r="T892" s="49" t="n"/>
      <c r="U892" s="48">
        <f>IF(OR($B892="",$K892=""),"",WORKDAY($B892,IFERROR(INDEX(CONFIG!$C$4:$C$43,MATCH($K892,CONFIG!$A$4:$A$43,0)),3)))</f>
        <v/>
      </c>
      <c r="V892" s="46" t="n"/>
      <c r="W892" s="23">
        <f>IF($B892="","",IF($V892&lt;&gt;"",$V892-$B892,TODAY()-$B892))</f>
        <v/>
      </c>
      <c r="X892" s="27">
        <f>IF($C892="","",IF(IFERROR(INDEX(CONFIG!$K$4:$K$43,MATCH($S892,CONFIG!$J$4:$J$43,0)),"NO")="SÍ",IF(OR($V892="",$U892=""),"Resuelta",IF($V892&gt;$U892,"Resuelta tarde","Resuelta a tiempo")),IF($U892="","Sin clasificar",IF(TODAY()&gt;$U892,"Vencida",IF(TODAY()&gt;=$U892-1,"Por vencer","En plazo")))))</f>
        <v/>
      </c>
      <c r="Y892" s="49" t="n"/>
      <c r="Z892" s="49" t="n"/>
    </row>
    <row r="893" ht="16" customHeight="1">
      <c r="A893" s="27">
        <f>IF($C893="","","N-"&amp;TEXT(ROW()-3,"0000"))</f>
        <v/>
      </c>
      <c r="B893" s="46" t="n"/>
      <c r="C893" s="47" t="n"/>
      <c r="D893" s="27">
        <f>IF($C893="","",IF(COUNTIFS(ENVIOS!$A$4:$A$3003,$C893)=0,"NO EXISTE",IF(COUNTIFS(ENVIOS!$A$4:$A$3003,$C893)&gt;1,"DUPLICADA","OK")))</f>
        <v/>
      </c>
      <c r="E893" s="22">
        <f>IF($C893="","",IFERROR(INDEX(ENVIOS!$C$4:$C$3003,MATCH($C893,ENVIOS!$A$4:$A$3003,0)),"—"))</f>
        <v/>
      </c>
      <c r="F893" s="22">
        <f>IF($C893="","",IFERROR(INDEX(ENVIOS!$D$4:$D$3003,MATCH($C893,ENVIOS!$A$4:$A$3003,0)),"—"))</f>
        <v/>
      </c>
      <c r="G893" s="22">
        <f>IF($C893="","",IFERROR(INDEX(ENVIOS!$E$4:$E$3003,MATCH($C893,ENVIOS!$A$4:$A$3003,0)),"—"))</f>
        <v/>
      </c>
      <c r="H893" s="22">
        <f>IF($C893="","",IFERROR(INDEX(ENVIOS!$F$4:$F$3003,MATCH($C893,ENVIOS!$A$4:$A$3003,0)),"—"))</f>
        <v/>
      </c>
      <c r="I893" s="27">
        <f>IF($C893="","",IFERROR(INDEX(ENVIOS!$G$4:$G$3003,MATCH($C893,ENVIOS!$A$4:$A$3003,0)),"—"))</f>
        <v/>
      </c>
      <c r="J893" s="48">
        <f>IF($C893="","",IFERROR(INDEX(ENVIOS!$B$4:$B$3003,MATCH($C893,ENVIOS!$A$4:$A$3003,0)),""))</f>
        <v/>
      </c>
      <c r="K893" s="49" t="n"/>
      <c r="L893" s="27">
        <f>IF($K893="","",IFERROR(INDEX(CONFIG!$B$4:$B$43,MATCH($K893,CONFIG!$A$4:$A$43,0)),"Media"))</f>
        <v/>
      </c>
      <c r="M893" s="27">
        <f>IF($K893="","",IFERROR(INDEX(CONFIG!$D$4:$D$43,MATCH($K893,CONFIG!$A$4:$A$43,0)),"NO"))</f>
        <v/>
      </c>
      <c r="N893" s="49" t="n"/>
      <c r="O893" s="27">
        <f>IF($N893="","",IFERROR(INDEX(CONFIG!$G$4:$G$43,MATCH($N893,CONFIG!$F$4:$F$43,0)),"Por definir"))</f>
        <v/>
      </c>
      <c r="P893" s="27">
        <f>IF($N893="","",IFERROR(INDEX(CONFIG!$H$4:$H$43,MATCH($N893,CONFIG!$F$4:$F$43,0)),"Por definir"))</f>
        <v/>
      </c>
      <c r="Q893" s="50" t="n"/>
      <c r="R893" s="51" t="n"/>
      <c r="S893" s="49" t="n"/>
      <c r="T893" s="49" t="n"/>
      <c r="U893" s="48">
        <f>IF(OR($B893="",$K893=""),"",WORKDAY($B893,IFERROR(INDEX(CONFIG!$C$4:$C$43,MATCH($K893,CONFIG!$A$4:$A$43,0)),3)))</f>
        <v/>
      </c>
      <c r="V893" s="46" t="n"/>
      <c r="W893" s="23">
        <f>IF($B893="","",IF($V893&lt;&gt;"",$V893-$B893,TODAY()-$B893))</f>
        <v/>
      </c>
      <c r="X893" s="27">
        <f>IF($C893="","",IF(IFERROR(INDEX(CONFIG!$K$4:$K$43,MATCH($S893,CONFIG!$J$4:$J$43,0)),"NO")="SÍ",IF(OR($V893="",$U893=""),"Resuelta",IF($V893&gt;$U893,"Resuelta tarde","Resuelta a tiempo")),IF($U893="","Sin clasificar",IF(TODAY()&gt;$U893,"Vencida",IF(TODAY()&gt;=$U893-1,"Por vencer","En plazo")))))</f>
        <v/>
      </c>
      <c r="Y893" s="49" t="n"/>
      <c r="Z893" s="49" t="n"/>
    </row>
    <row r="894" ht="16" customHeight="1">
      <c r="A894" s="27">
        <f>IF($C894="","","N-"&amp;TEXT(ROW()-3,"0000"))</f>
        <v/>
      </c>
      <c r="B894" s="46" t="n"/>
      <c r="C894" s="47" t="n"/>
      <c r="D894" s="27">
        <f>IF($C894="","",IF(COUNTIFS(ENVIOS!$A$4:$A$3003,$C894)=0,"NO EXISTE",IF(COUNTIFS(ENVIOS!$A$4:$A$3003,$C894)&gt;1,"DUPLICADA","OK")))</f>
        <v/>
      </c>
      <c r="E894" s="22">
        <f>IF($C894="","",IFERROR(INDEX(ENVIOS!$C$4:$C$3003,MATCH($C894,ENVIOS!$A$4:$A$3003,0)),"—"))</f>
        <v/>
      </c>
      <c r="F894" s="22">
        <f>IF($C894="","",IFERROR(INDEX(ENVIOS!$D$4:$D$3003,MATCH($C894,ENVIOS!$A$4:$A$3003,0)),"—"))</f>
        <v/>
      </c>
      <c r="G894" s="22">
        <f>IF($C894="","",IFERROR(INDEX(ENVIOS!$E$4:$E$3003,MATCH($C894,ENVIOS!$A$4:$A$3003,0)),"—"))</f>
        <v/>
      </c>
      <c r="H894" s="22">
        <f>IF($C894="","",IFERROR(INDEX(ENVIOS!$F$4:$F$3003,MATCH($C894,ENVIOS!$A$4:$A$3003,0)),"—"))</f>
        <v/>
      </c>
      <c r="I894" s="27">
        <f>IF($C894="","",IFERROR(INDEX(ENVIOS!$G$4:$G$3003,MATCH($C894,ENVIOS!$A$4:$A$3003,0)),"—"))</f>
        <v/>
      </c>
      <c r="J894" s="48">
        <f>IF($C894="","",IFERROR(INDEX(ENVIOS!$B$4:$B$3003,MATCH($C894,ENVIOS!$A$4:$A$3003,0)),""))</f>
        <v/>
      </c>
      <c r="K894" s="49" t="n"/>
      <c r="L894" s="27">
        <f>IF($K894="","",IFERROR(INDEX(CONFIG!$B$4:$B$43,MATCH($K894,CONFIG!$A$4:$A$43,0)),"Media"))</f>
        <v/>
      </c>
      <c r="M894" s="27">
        <f>IF($K894="","",IFERROR(INDEX(CONFIG!$D$4:$D$43,MATCH($K894,CONFIG!$A$4:$A$43,0)),"NO"))</f>
        <v/>
      </c>
      <c r="N894" s="49" t="n"/>
      <c r="O894" s="27">
        <f>IF($N894="","",IFERROR(INDEX(CONFIG!$G$4:$G$43,MATCH($N894,CONFIG!$F$4:$F$43,0)),"Por definir"))</f>
        <v/>
      </c>
      <c r="P894" s="27">
        <f>IF($N894="","",IFERROR(INDEX(CONFIG!$H$4:$H$43,MATCH($N894,CONFIG!$F$4:$F$43,0)),"Por definir"))</f>
        <v/>
      </c>
      <c r="Q894" s="50" t="n"/>
      <c r="R894" s="51" t="n"/>
      <c r="S894" s="49" t="n"/>
      <c r="T894" s="49" t="n"/>
      <c r="U894" s="48">
        <f>IF(OR($B894="",$K894=""),"",WORKDAY($B894,IFERROR(INDEX(CONFIG!$C$4:$C$43,MATCH($K894,CONFIG!$A$4:$A$43,0)),3)))</f>
        <v/>
      </c>
      <c r="V894" s="46" t="n"/>
      <c r="W894" s="23">
        <f>IF($B894="","",IF($V894&lt;&gt;"",$V894-$B894,TODAY()-$B894))</f>
        <v/>
      </c>
      <c r="X894" s="27">
        <f>IF($C894="","",IF(IFERROR(INDEX(CONFIG!$K$4:$K$43,MATCH($S894,CONFIG!$J$4:$J$43,0)),"NO")="SÍ",IF(OR($V894="",$U894=""),"Resuelta",IF($V894&gt;$U894,"Resuelta tarde","Resuelta a tiempo")),IF($U894="","Sin clasificar",IF(TODAY()&gt;$U894,"Vencida",IF(TODAY()&gt;=$U894-1,"Por vencer","En plazo")))))</f>
        <v/>
      </c>
      <c r="Y894" s="49" t="n"/>
      <c r="Z894" s="49" t="n"/>
    </row>
    <row r="895" ht="16" customHeight="1">
      <c r="A895" s="27">
        <f>IF($C895="","","N-"&amp;TEXT(ROW()-3,"0000"))</f>
        <v/>
      </c>
      <c r="B895" s="46" t="n"/>
      <c r="C895" s="47" t="n"/>
      <c r="D895" s="27">
        <f>IF($C895="","",IF(COUNTIFS(ENVIOS!$A$4:$A$3003,$C895)=0,"NO EXISTE",IF(COUNTIFS(ENVIOS!$A$4:$A$3003,$C895)&gt;1,"DUPLICADA","OK")))</f>
        <v/>
      </c>
      <c r="E895" s="22">
        <f>IF($C895="","",IFERROR(INDEX(ENVIOS!$C$4:$C$3003,MATCH($C895,ENVIOS!$A$4:$A$3003,0)),"—"))</f>
        <v/>
      </c>
      <c r="F895" s="22">
        <f>IF($C895="","",IFERROR(INDEX(ENVIOS!$D$4:$D$3003,MATCH($C895,ENVIOS!$A$4:$A$3003,0)),"—"))</f>
        <v/>
      </c>
      <c r="G895" s="22">
        <f>IF($C895="","",IFERROR(INDEX(ENVIOS!$E$4:$E$3003,MATCH($C895,ENVIOS!$A$4:$A$3003,0)),"—"))</f>
        <v/>
      </c>
      <c r="H895" s="22">
        <f>IF($C895="","",IFERROR(INDEX(ENVIOS!$F$4:$F$3003,MATCH($C895,ENVIOS!$A$4:$A$3003,0)),"—"))</f>
        <v/>
      </c>
      <c r="I895" s="27">
        <f>IF($C895="","",IFERROR(INDEX(ENVIOS!$G$4:$G$3003,MATCH($C895,ENVIOS!$A$4:$A$3003,0)),"—"))</f>
        <v/>
      </c>
      <c r="J895" s="48">
        <f>IF($C895="","",IFERROR(INDEX(ENVIOS!$B$4:$B$3003,MATCH($C895,ENVIOS!$A$4:$A$3003,0)),""))</f>
        <v/>
      </c>
      <c r="K895" s="49" t="n"/>
      <c r="L895" s="27">
        <f>IF($K895="","",IFERROR(INDEX(CONFIG!$B$4:$B$43,MATCH($K895,CONFIG!$A$4:$A$43,0)),"Media"))</f>
        <v/>
      </c>
      <c r="M895" s="27">
        <f>IF($K895="","",IFERROR(INDEX(CONFIG!$D$4:$D$43,MATCH($K895,CONFIG!$A$4:$A$43,0)),"NO"))</f>
        <v/>
      </c>
      <c r="N895" s="49" t="n"/>
      <c r="O895" s="27">
        <f>IF($N895="","",IFERROR(INDEX(CONFIG!$G$4:$G$43,MATCH($N895,CONFIG!$F$4:$F$43,0)),"Por definir"))</f>
        <v/>
      </c>
      <c r="P895" s="27">
        <f>IF($N895="","",IFERROR(INDEX(CONFIG!$H$4:$H$43,MATCH($N895,CONFIG!$F$4:$F$43,0)),"Por definir"))</f>
        <v/>
      </c>
      <c r="Q895" s="50" t="n"/>
      <c r="R895" s="51" t="n"/>
      <c r="S895" s="49" t="n"/>
      <c r="T895" s="49" t="n"/>
      <c r="U895" s="48">
        <f>IF(OR($B895="",$K895=""),"",WORKDAY($B895,IFERROR(INDEX(CONFIG!$C$4:$C$43,MATCH($K895,CONFIG!$A$4:$A$43,0)),3)))</f>
        <v/>
      </c>
      <c r="V895" s="46" t="n"/>
      <c r="W895" s="23">
        <f>IF($B895="","",IF($V895&lt;&gt;"",$V895-$B895,TODAY()-$B895))</f>
        <v/>
      </c>
      <c r="X895" s="27">
        <f>IF($C895="","",IF(IFERROR(INDEX(CONFIG!$K$4:$K$43,MATCH($S895,CONFIG!$J$4:$J$43,0)),"NO")="SÍ",IF(OR($V895="",$U895=""),"Resuelta",IF($V895&gt;$U895,"Resuelta tarde","Resuelta a tiempo")),IF($U895="","Sin clasificar",IF(TODAY()&gt;$U895,"Vencida",IF(TODAY()&gt;=$U895-1,"Por vencer","En plazo")))))</f>
        <v/>
      </c>
      <c r="Y895" s="49" t="n"/>
      <c r="Z895" s="49" t="n"/>
    </row>
    <row r="896" ht="16" customHeight="1">
      <c r="A896" s="27">
        <f>IF($C896="","","N-"&amp;TEXT(ROW()-3,"0000"))</f>
        <v/>
      </c>
      <c r="B896" s="46" t="n"/>
      <c r="C896" s="47" t="n"/>
      <c r="D896" s="27">
        <f>IF($C896="","",IF(COUNTIFS(ENVIOS!$A$4:$A$3003,$C896)=0,"NO EXISTE",IF(COUNTIFS(ENVIOS!$A$4:$A$3003,$C896)&gt;1,"DUPLICADA","OK")))</f>
        <v/>
      </c>
      <c r="E896" s="22">
        <f>IF($C896="","",IFERROR(INDEX(ENVIOS!$C$4:$C$3003,MATCH($C896,ENVIOS!$A$4:$A$3003,0)),"—"))</f>
        <v/>
      </c>
      <c r="F896" s="22">
        <f>IF($C896="","",IFERROR(INDEX(ENVIOS!$D$4:$D$3003,MATCH($C896,ENVIOS!$A$4:$A$3003,0)),"—"))</f>
        <v/>
      </c>
      <c r="G896" s="22">
        <f>IF($C896="","",IFERROR(INDEX(ENVIOS!$E$4:$E$3003,MATCH($C896,ENVIOS!$A$4:$A$3003,0)),"—"))</f>
        <v/>
      </c>
      <c r="H896" s="22">
        <f>IF($C896="","",IFERROR(INDEX(ENVIOS!$F$4:$F$3003,MATCH($C896,ENVIOS!$A$4:$A$3003,0)),"—"))</f>
        <v/>
      </c>
      <c r="I896" s="27">
        <f>IF($C896="","",IFERROR(INDEX(ENVIOS!$G$4:$G$3003,MATCH($C896,ENVIOS!$A$4:$A$3003,0)),"—"))</f>
        <v/>
      </c>
      <c r="J896" s="48">
        <f>IF($C896="","",IFERROR(INDEX(ENVIOS!$B$4:$B$3003,MATCH($C896,ENVIOS!$A$4:$A$3003,0)),""))</f>
        <v/>
      </c>
      <c r="K896" s="49" t="n"/>
      <c r="L896" s="27">
        <f>IF($K896="","",IFERROR(INDEX(CONFIG!$B$4:$B$43,MATCH($K896,CONFIG!$A$4:$A$43,0)),"Media"))</f>
        <v/>
      </c>
      <c r="M896" s="27">
        <f>IF($K896="","",IFERROR(INDEX(CONFIG!$D$4:$D$43,MATCH($K896,CONFIG!$A$4:$A$43,0)),"NO"))</f>
        <v/>
      </c>
      <c r="N896" s="49" t="n"/>
      <c r="O896" s="27">
        <f>IF($N896="","",IFERROR(INDEX(CONFIG!$G$4:$G$43,MATCH($N896,CONFIG!$F$4:$F$43,0)),"Por definir"))</f>
        <v/>
      </c>
      <c r="P896" s="27">
        <f>IF($N896="","",IFERROR(INDEX(CONFIG!$H$4:$H$43,MATCH($N896,CONFIG!$F$4:$F$43,0)),"Por definir"))</f>
        <v/>
      </c>
      <c r="Q896" s="50" t="n"/>
      <c r="R896" s="51" t="n"/>
      <c r="S896" s="49" t="n"/>
      <c r="T896" s="49" t="n"/>
      <c r="U896" s="48">
        <f>IF(OR($B896="",$K896=""),"",WORKDAY($B896,IFERROR(INDEX(CONFIG!$C$4:$C$43,MATCH($K896,CONFIG!$A$4:$A$43,0)),3)))</f>
        <v/>
      </c>
      <c r="V896" s="46" t="n"/>
      <c r="W896" s="23">
        <f>IF($B896="","",IF($V896&lt;&gt;"",$V896-$B896,TODAY()-$B896))</f>
        <v/>
      </c>
      <c r="X896" s="27">
        <f>IF($C896="","",IF(IFERROR(INDEX(CONFIG!$K$4:$K$43,MATCH($S896,CONFIG!$J$4:$J$43,0)),"NO")="SÍ",IF(OR($V896="",$U896=""),"Resuelta",IF($V896&gt;$U896,"Resuelta tarde","Resuelta a tiempo")),IF($U896="","Sin clasificar",IF(TODAY()&gt;$U896,"Vencida",IF(TODAY()&gt;=$U896-1,"Por vencer","En plazo")))))</f>
        <v/>
      </c>
      <c r="Y896" s="49" t="n"/>
      <c r="Z896" s="49" t="n"/>
    </row>
    <row r="897" ht="16" customHeight="1">
      <c r="A897" s="27">
        <f>IF($C897="","","N-"&amp;TEXT(ROW()-3,"0000"))</f>
        <v/>
      </c>
      <c r="B897" s="46" t="n"/>
      <c r="C897" s="47" t="n"/>
      <c r="D897" s="27">
        <f>IF($C897="","",IF(COUNTIFS(ENVIOS!$A$4:$A$3003,$C897)=0,"NO EXISTE",IF(COUNTIFS(ENVIOS!$A$4:$A$3003,$C897)&gt;1,"DUPLICADA","OK")))</f>
        <v/>
      </c>
      <c r="E897" s="22">
        <f>IF($C897="","",IFERROR(INDEX(ENVIOS!$C$4:$C$3003,MATCH($C897,ENVIOS!$A$4:$A$3003,0)),"—"))</f>
        <v/>
      </c>
      <c r="F897" s="22">
        <f>IF($C897="","",IFERROR(INDEX(ENVIOS!$D$4:$D$3003,MATCH($C897,ENVIOS!$A$4:$A$3003,0)),"—"))</f>
        <v/>
      </c>
      <c r="G897" s="22">
        <f>IF($C897="","",IFERROR(INDEX(ENVIOS!$E$4:$E$3003,MATCH($C897,ENVIOS!$A$4:$A$3003,0)),"—"))</f>
        <v/>
      </c>
      <c r="H897" s="22">
        <f>IF($C897="","",IFERROR(INDEX(ENVIOS!$F$4:$F$3003,MATCH($C897,ENVIOS!$A$4:$A$3003,0)),"—"))</f>
        <v/>
      </c>
      <c r="I897" s="27">
        <f>IF($C897="","",IFERROR(INDEX(ENVIOS!$G$4:$G$3003,MATCH($C897,ENVIOS!$A$4:$A$3003,0)),"—"))</f>
        <v/>
      </c>
      <c r="J897" s="48">
        <f>IF($C897="","",IFERROR(INDEX(ENVIOS!$B$4:$B$3003,MATCH($C897,ENVIOS!$A$4:$A$3003,0)),""))</f>
        <v/>
      </c>
      <c r="K897" s="49" t="n"/>
      <c r="L897" s="27">
        <f>IF($K897="","",IFERROR(INDEX(CONFIG!$B$4:$B$43,MATCH($K897,CONFIG!$A$4:$A$43,0)),"Media"))</f>
        <v/>
      </c>
      <c r="M897" s="27">
        <f>IF($K897="","",IFERROR(INDEX(CONFIG!$D$4:$D$43,MATCH($K897,CONFIG!$A$4:$A$43,0)),"NO"))</f>
        <v/>
      </c>
      <c r="N897" s="49" t="n"/>
      <c r="O897" s="27">
        <f>IF($N897="","",IFERROR(INDEX(CONFIG!$G$4:$G$43,MATCH($N897,CONFIG!$F$4:$F$43,0)),"Por definir"))</f>
        <v/>
      </c>
      <c r="P897" s="27">
        <f>IF($N897="","",IFERROR(INDEX(CONFIG!$H$4:$H$43,MATCH($N897,CONFIG!$F$4:$F$43,0)),"Por definir"))</f>
        <v/>
      </c>
      <c r="Q897" s="50" t="n"/>
      <c r="R897" s="51" t="n"/>
      <c r="S897" s="49" t="n"/>
      <c r="T897" s="49" t="n"/>
      <c r="U897" s="48">
        <f>IF(OR($B897="",$K897=""),"",WORKDAY($B897,IFERROR(INDEX(CONFIG!$C$4:$C$43,MATCH($K897,CONFIG!$A$4:$A$43,0)),3)))</f>
        <v/>
      </c>
      <c r="V897" s="46" t="n"/>
      <c r="W897" s="23">
        <f>IF($B897="","",IF($V897&lt;&gt;"",$V897-$B897,TODAY()-$B897))</f>
        <v/>
      </c>
      <c r="X897" s="27">
        <f>IF($C897="","",IF(IFERROR(INDEX(CONFIG!$K$4:$K$43,MATCH($S897,CONFIG!$J$4:$J$43,0)),"NO")="SÍ",IF(OR($V897="",$U897=""),"Resuelta",IF($V897&gt;$U897,"Resuelta tarde","Resuelta a tiempo")),IF($U897="","Sin clasificar",IF(TODAY()&gt;$U897,"Vencida",IF(TODAY()&gt;=$U897-1,"Por vencer","En plazo")))))</f>
        <v/>
      </c>
      <c r="Y897" s="49" t="n"/>
      <c r="Z897" s="49" t="n"/>
    </row>
    <row r="898" ht="16" customHeight="1">
      <c r="A898" s="27">
        <f>IF($C898="","","N-"&amp;TEXT(ROW()-3,"0000"))</f>
        <v/>
      </c>
      <c r="B898" s="46" t="n"/>
      <c r="C898" s="47" t="n"/>
      <c r="D898" s="27">
        <f>IF($C898="","",IF(COUNTIFS(ENVIOS!$A$4:$A$3003,$C898)=0,"NO EXISTE",IF(COUNTIFS(ENVIOS!$A$4:$A$3003,$C898)&gt;1,"DUPLICADA","OK")))</f>
        <v/>
      </c>
      <c r="E898" s="22">
        <f>IF($C898="","",IFERROR(INDEX(ENVIOS!$C$4:$C$3003,MATCH($C898,ENVIOS!$A$4:$A$3003,0)),"—"))</f>
        <v/>
      </c>
      <c r="F898" s="22">
        <f>IF($C898="","",IFERROR(INDEX(ENVIOS!$D$4:$D$3003,MATCH($C898,ENVIOS!$A$4:$A$3003,0)),"—"))</f>
        <v/>
      </c>
      <c r="G898" s="22">
        <f>IF($C898="","",IFERROR(INDEX(ENVIOS!$E$4:$E$3003,MATCH($C898,ENVIOS!$A$4:$A$3003,0)),"—"))</f>
        <v/>
      </c>
      <c r="H898" s="22">
        <f>IF($C898="","",IFERROR(INDEX(ENVIOS!$F$4:$F$3003,MATCH($C898,ENVIOS!$A$4:$A$3003,0)),"—"))</f>
        <v/>
      </c>
      <c r="I898" s="27">
        <f>IF($C898="","",IFERROR(INDEX(ENVIOS!$G$4:$G$3003,MATCH($C898,ENVIOS!$A$4:$A$3003,0)),"—"))</f>
        <v/>
      </c>
      <c r="J898" s="48">
        <f>IF($C898="","",IFERROR(INDEX(ENVIOS!$B$4:$B$3003,MATCH($C898,ENVIOS!$A$4:$A$3003,0)),""))</f>
        <v/>
      </c>
      <c r="K898" s="49" t="n"/>
      <c r="L898" s="27">
        <f>IF($K898="","",IFERROR(INDEX(CONFIG!$B$4:$B$43,MATCH($K898,CONFIG!$A$4:$A$43,0)),"Media"))</f>
        <v/>
      </c>
      <c r="M898" s="27">
        <f>IF($K898="","",IFERROR(INDEX(CONFIG!$D$4:$D$43,MATCH($K898,CONFIG!$A$4:$A$43,0)),"NO"))</f>
        <v/>
      </c>
      <c r="N898" s="49" t="n"/>
      <c r="O898" s="27">
        <f>IF($N898="","",IFERROR(INDEX(CONFIG!$G$4:$G$43,MATCH($N898,CONFIG!$F$4:$F$43,0)),"Por definir"))</f>
        <v/>
      </c>
      <c r="P898" s="27">
        <f>IF($N898="","",IFERROR(INDEX(CONFIG!$H$4:$H$43,MATCH($N898,CONFIG!$F$4:$F$43,0)),"Por definir"))</f>
        <v/>
      </c>
      <c r="Q898" s="50" t="n"/>
      <c r="R898" s="51" t="n"/>
      <c r="S898" s="49" t="n"/>
      <c r="T898" s="49" t="n"/>
      <c r="U898" s="48">
        <f>IF(OR($B898="",$K898=""),"",WORKDAY($B898,IFERROR(INDEX(CONFIG!$C$4:$C$43,MATCH($K898,CONFIG!$A$4:$A$43,0)),3)))</f>
        <v/>
      </c>
      <c r="V898" s="46" t="n"/>
      <c r="W898" s="23">
        <f>IF($B898="","",IF($V898&lt;&gt;"",$V898-$B898,TODAY()-$B898))</f>
        <v/>
      </c>
      <c r="X898" s="27">
        <f>IF($C898="","",IF(IFERROR(INDEX(CONFIG!$K$4:$K$43,MATCH($S898,CONFIG!$J$4:$J$43,0)),"NO")="SÍ",IF(OR($V898="",$U898=""),"Resuelta",IF($V898&gt;$U898,"Resuelta tarde","Resuelta a tiempo")),IF($U898="","Sin clasificar",IF(TODAY()&gt;$U898,"Vencida",IF(TODAY()&gt;=$U898-1,"Por vencer","En plazo")))))</f>
        <v/>
      </c>
      <c r="Y898" s="49" t="n"/>
      <c r="Z898" s="49" t="n"/>
    </row>
    <row r="899" ht="16" customHeight="1">
      <c r="A899" s="27">
        <f>IF($C899="","","N-"&amp;TEXT(ROW()-3,"0000"))</f>
        <v/>
      </c>
      <c r="B899" s="46" t="n"/>
      <c r="C899" s="47" t="n"/>
      <c r="D899" s="27">
        <f>IF($C899="","",IF(COUNTIFS(ENVIOS!$A$4:$A$3003,$C899)=0,"NO EXISTE",IF(COUNTIFS(ENVIOS!$A$4:$A$3003,$C899)&gt;1,"DUPLICADA","OK")))</f>
        <v/>
      </c>
      <c r="E899" s="22">
        <f>IF($C899="","",IFERROR(INDEX(ENVIOS!$C$4:$C$3003,MATCH($C899,ENVIOS!$A$4:$A$3003,0)),"—"))</f>
        <v/>
      </c>
      <c r="F899" s="22">
        <f>IF($C899="","",IFERROR(INDEX(ENVIOS!$D$4:$D$3003,MATCH($C899,ENVIOS!$A$4:$A$3003,0)),"—"))</f>
        <v/>
      </c>
      <c r="G899" s="22">
        <f>IF($C899="","",IFERROR(INDEX(ENVIOS!$E$4:$E$3003,MATCH($C899,ENVIOS!$A$4:$A$3003,0)),"—"))</f>
        <v/>
      </c>
      <c r="H899" s="22">
        <f>IF($C899="","",IFERROR(INDEX(ENVIOS!$F$4:$F$3003,MATCH($C899,ENVIOS!$A$4:$A$3003,0)),"—"))</f>
        <v/>
      </c>
      <c r="I899" s="27">
        <f>IF($C899="","",IFERROR(INDEX(ENVIOS!$G$4:$G$3003,MATCH($C899,ENVIOS!$A$4:$A$3003,0)),"—"))</f>
        <v/>
      </c>
      <c r="J899" s="48">
        <f>IF($C899="","",IFERROR(INDEX(ENVIOS!$B$4:$B$3003,MATCH($C899,ENVIOS!$A$4:$A$3003,0)),""))</f>
        <v/>
      </c>
      <c r="K899" s="49" t="n"/>
      <c r="L899" s="27">
        <f>IF($K899="","",IFERROR(INDEX(CONFIG!$B$4:$B$43,MATCH($K899,CONFIG!$A$4:$A$43,0)),"Media"))</f>
        <v/>
      </c>
      <c r="M899" s="27">
        <f>IF($K899="","",IFERROR(INDEX(CONFIG!$D$4:$D$43,MATCH($K899,CONFIG!$A$4:$A$43,0)),"NO"))</f>
        <v/>
      </c>
      <c r="N899" s="49" t="n"/>
      <c r="O899" s="27">
        <f>IF($N899="","",IFERROR(INDEX(CONFIG!$G$4:$G$43,MATCH($N899,CONFIG!$F$4:$F$43,0)),"Por definir"))</f>
        <v/>
      </c>
      <c r="P899" s="27">
        <f>IF($N899="","",IFERROR(INDEX(CONFIG!$H$4:$H$43,MATCH($N899,CONFIG!$F$4:$F$43,0)),"Por definir"))</f>
        <v/>
      </c>
      <c r="Q899" s="50" t="n"/>
      <c r="R899" s="51" t="n"/>
      <c r="S899" s="49" t="n"/>
      <c r="T899" s="49" t="n"/>
      <c r="U899" s="48">
        <f>IF(OR($B899="",$K899=""),"",WORKDAY($B899,IFERROR(INDEX(CONFIG!$C$4:$C$43,MATCH($K899,CONFIG!$A$4:$A$43,0)),3)))</f>
        <v/>
      </c>
      <c r="V899" s="46" t="n"/>
      <c r="W899" s="23">
        <f>IF($B899="","",IF($V899&lt;&gt;"",$V899-$B899,TODAY()-$B899))</f>
        <v/>
      </c>
      <c r="X899" s="27">
        <f>IF($C899="","",IF(IFERROR(INDEX(CONFIG!$K$4:$K$43,MATCH($S899,CONFIG!$J$4:$J$43,0)),"NO")="SÍ",IF(OR($V899="",$U899=""),"Resuelta",IF($V899&gt;$U899,"Resuelta tarde","Resuelta a tiempo")),IF($U899="","Sin clasificar",IF(TODAY()&gt;$U899,"Vencida",IF(TODAY()&gt;=$U899-1,"Por vencer","En plazo")))))</f>
        <v/>
      </c>
      <c r="Y899" s="49" t="n"/>
      <c r="Z899" s="49" t="n"/>
    </row>
    <row r="900" ht="16" customHeight="1">
      <c r="A900" s="27">
        <f>IF($C900="","","N-"&amp;TEXT(ROW()-3,"0000"))</f>
        <v/>
      </c>
      <c r="B900" s="46" t="n"/>
      <c r="C900" s="47" t="n"/>
      <c r="D900" s="27">
        <f>IF($C900="","",IF(COUNTIFS(ENVIOS!$A$4:$A$3003,$C900)=0,"NO EXISTE",IF(COUNTIFS(ENVIOS!$A$4:$A$3003,$C900)&gt;1,"DUPLICADA","OK")))</f>
        <v/>
      </c>
      <c r="E900" s="22">
        <f>IF($C900="","",IFERROR(INDEX(ENVIOS!$C$4:$C$3003,MATCH($C900,ENVIOS!$A$4:$A$3003,0)),"—"))</f>
        <v/>
      </c>
      <c r="F900" s="22">
        <f>IF($C900="","",IFERROR(INDEX(ENVIOS!$D$4:$D$3003,MATCH($C900,ENVIOS!$A$4:$A$3003,0)),"—"))</f>
        <v/>
      </c>
      <c r="G900" s="22">
        <f>IF($C900="","",IFERROR(INDEX(ENVIOS!$E$4:$E$3003,MATCH($C900,ENVIOS!$A$4:$A$3003,0)),"—"))</f>
        <v/>
      </c>
      <c r="H900" s="22">
        <f>IF($C900="","",IFERROR(INDEX(ENVIOS!$F$4:$F$3003,MATCH($C900,ENVIOS!$A$4:$A$3003,0)),"—"))</f>
        <v/>
      </c>
      <c r="I900" s="27">
        <f>IF($C900="","",IFERROR(INDEX(ENVIOS!$G$4:$G$3003,MATCH($C900,ENVIOS!$A$4:$A$3003,0)),"—"))</f>
        <v/>
      </c>
      <c r="J900" s="48">
        <f>IF($C900="","",IFERROR(INDEX(ENVIOS!$B$4:$B$3003,MATCH($C900,ENVIOS!$A$4:$A$3003,0)),""))</f>
        <v/>
      </c>
      <c r="K900" s="49" t="n"/>
      <c r="L900" s="27">
        <f>IF($K900="","",IFERROR(INDEX(CONFIG!$B$4:$B$43,MATCH($K900,CONFIG!$A$4:$A$43,0)),"Media"))</f>
        <v/>
      </c>
      <c r="M900" s="27">
        <f>IF($K900="","",IFERROR(INDEX(CONFIG!$D$4:$D$43,MATCH($K900,CONFIG!$A$4:$A$43,0)),"NO"))</f>
        <v/>
      </c>
      <c r="N900" s="49" t="n"/>
      <c r="O900" s="27">
        <f>IF($N900="","",IFERROR(INDEX(CONFIG!$G$4:$G$43,MATCH($N900,CONFIG!$F$4:$F$43,0)),"Por definir"))</f>
        <v/>
      </c>
      <c r="P900" s="27">
        <f>IF($N900="","",IFERROR(INDEX(CONFIG!$H$4:$H$43,MATCH($N900,CONFIG!$F$4:$F$43,0)),"Por definir"))</f>
        <v/>
      </c>
      <c r="Q900" s="50" t="n"/>
      <c r="R900" s="51" t="n"/>
      <c r="S900" s="49" t="n"/>
      <c r="T900" s="49" t="n"/>
      <c r="U900" s="48">
        <f>IF(OR($B900="",$K900=""),"",WORKDAY($B900,IFERROR(INDEX(CONFIG!$C$4:$C$43,MATCH($K900,CONFIG!$A$4:$A$43,0)),3)))</f>
        <v/>
      </c>
      <c r="V900" s="46" t="n"/>
      <c r="W900" s="23">
        <f>IF($B900="","",IF($V900&lt;&gt;"",$V900-$B900,TODAY()-$B900))</f>
        <v/>
      </c>
      <c r="X900" s="27">
        <f>IF($C900="","",IF(IFERROR(INDEX(CONFIG!$K$4:$K$43,MATCH($S900,CONFIG!$J$4:$J$43,0)),"NO")="SÍ",IF(OR($V900="",$U900=""),"Resuelta",IF($V900&gt;$U900,"Resuelta tarde","Resuelta a tiempo")),IF($U900="","Sin clasificar",IF(TODAY()&gt;$U900,"Vencida",IF(TODAY()&gt;=$U900-1,"Por vencer","En plazo")))))</f>
        <v/>
      </c>
      <c r="Y900" s="49" t="n"/>
      <c r="Z900" s="49" t="n"/>
    </row>
    <row r="901" ht="16" customHeight="1">
      <c r="A901" s="27">
        <f>IF($C901="","","N-"&amp;TEXT(ROW()-3,"0000"))</f>
        <v/>
      </c>
      <c r="B901" s="46" t="n"/>
      <c r="C901" s="47" t="n"/>
      <c r="D901" s="27">
        <f>IF($C901="","",IF(COUNTIFS(ENVIOS!$A$4:$A$3003,$C901)=0,"NO EXISTE",IF(COUNTIFS(ENVIOS!$A$4:$A$3003,$C901)&gt;1,"DUPLICADA","OK")))</f>
        <v/>
      </c>
      <c r="E901" s="22">
        <f>IF($C901="","",IFERROR(INDEX(ENVIOS!$C$4:$C$3003,MATCH($C901,ENVIOS!$A$4:$A$3003,0)),"—"))</f>
        <v/>
      </c>
      <c r="F901" s="22">
        <f>IF($C901="","",IFERROR(INDEX(ENVIOS!$D$4:$D$3003,MATCH($C901,ENVIOS!$A$4:$A$3003,0)),"—"))</f>
        <v/>
      </c>
      <c r="G901" s="22">
        <f>IF($C901="","",IFERROR(INDEX(ENVIOS!$E$4:$E$3003,MATCH($C901,ENVIOS!$A$4:$A$3003,0)),"—"))</f>
        <v/>
      </c>
      <c r="H901" s="22">
        <f>IF($C901="","",IFERROR(INDEX(ENVIOS!$F$4:$F$3003,MATCH($C901,ENVIOS!$A$4:$A$3003,0)),"—"))</f>
        <v/>
      </c>
      <c r="I901" s="27">
        <f>IF($C901="","",IFERROR(INDEX(ENVIOS!$G$4:$G$3003,MATCH($C901,ENVIOS!$A$4:$A$3003,0)),"—"))</f>
        <v/>
      </c>
      <c r="J901" s="48">
        <f>IF($C901="","",IFERROR(INDEX(ENVIOS!$B$4:$B$3003,MATCH($C901,ENVIOS!$A$4:$A$3003,0)),""))</f>
        <v/>
      </c>
      <c r="K901" s="49" t="n"/>
      <c r="L901" s="27">
        <f>IF($K901="","",IFERROR(INDEX(CONFIG!$B$4:$B$43,MATCH($K901,CONFIG!$A$4:$A$43,0)),"Media"))</f>
        <v/>
      </c>
      <c r="M901" s="27">
        <f>IF($K901="","",IFERROR(INDEX(CONFIG!$D$4:$D$43,MATCH($K901,CONFIG!$A$4:$A$43,0)),"NO"))</f>
        <v/>
      </c>
      <c r="N901" s="49" t="n"/>
      <c r="O901" s="27">
        <f>IF($N901="","",IFERROR(INDEX(CONFIG!$G$4:$G$43,MATCH($N901,CONFIG!$F$4:$F$43,0)),"Por definir"))</f>
        <v/>
      </c>
      <c r="P901" s="27">
        <f>IF($N901="","",IFERROR(INDEX(CONFIG!$H$4:$H$43,MATCH($N901,CONFIG!$F$4:$F$43,0)),"Por definir"))</f>
        <v/>
      </c>
      <c r="Q901" s="50" t="n"/>
      <c r="R901" s="51" t="n"/>
      <c r="S901" s="49" t="n"/>
      <c r="T901" s="49" t="n"/>
      <c r="U901" s="48">
        <f>IF(OR($B901="",$K901=""),"",WORKDAY($B901,IFERROR(INDEX(CONFIG!$C$4:$C$43,MATCH($K901,CONFIG!$A$4:$A$43,0)),3)))</f>
        <v/>
      </c>
      <c r="V901" s="46" t="n"/>
      <c r="W901" s="23">
        <f>IF($B901="","",IF($V901&lt;&gt;"",$V901-$B901,TODAY()-$B901))</f>
        <v/>
      </c>
      <c r="X901" s="27">
        <f>IF($C901="","",IF(IFERROR(INDEX(CONFIG!$K$4:$K$43,MATCH($S901,CONFIG!$J$4:$J$43,0)),"NO")="SÍ",IF(OR($V901="",$U901=""),"Resuelta",IF($V901&gt;$U901,"Resuelta tarde","Resuelta a tiempo")),IF($U901="","Sin clasificar",IF(TODAY()&gt;$U901,"Vencida",IF(TODAY()&gt;=$U901-1,"Por vencer","En plazo")))))</f>
        <v/>
      </c>
      <c r="Y901" s="49" t="n"/>
      <c r="Z901" s="49" t="n"/>
    </row>
    <row r="902" ht="16" customHeight="1">
      <c r="A902" s="27">
        <f>IF($C902="","","N-"&amp;TEXT(ROW()-3,"0000"))</f>
        <v/>
      </c>
      <c r="B902" s="46" t="n"/>
      <c r="C902" s="47" t="n"/>
      <c r="D902" s="27">
        <f>IF($C902="","",IF(COUNTIFS(ENVIOS!$A$4:$A$3003,$C902)=0,"NO EXISTE",IF(COUNTIFS(ENVIOS!$A$4:$A$3003,$C902)&gt;1,"DUPLICADA","OK")))</f>
        <v/>
      </c>
      <c r="E902" s="22">
        <f>IF($C902="","",IFERROR(INDEX(ENVIOS!$C$4:$C$3003,MATCH($C902,ENVIOS!$A$4:$A$3003,0)),"—"))</f>
        <v/>
      </c>
      <c r="F902" s="22">
        <f>IF($C902="","",IFERROR(INDEX(ENVIOS!$D$4:$D$3003,MATCH($C902,ENVIOS!$A$4:$A$3003,0)),"—"))</f>
        <v/>
      </c>
      <c r="G902" s="22">
        <f>IF($C902="","",IFERROR(INDEX(ENVIOS!$E$4:$E$3003,MATCH($C902,ENVIOS!$A$4:$A$3003,0)),"—"))</f>
        <v/>
      </c>
      <c r="H902" s="22">
        <f>IF($C902="","",IFERROR(INDEX(ENVIOS!$F$4:$F$3003,MATCH($C902,ENVIOS!$A$4:$A$3003,0)),"—"))</f>
        <v/>
      </c>
      <c r="I902" s="27">
        <f>IF($C902="","",IFERROR(INDEX(ENVIOS!$G$4:$G$3003,MATCH($C902,ENVIOS!$A$4:$A$3003,0)),"—"))</f>
        <v/>
      </c>
      <c r="J902" s="48">
        <f>IF($C902="","",IFERROR(INDEX(ENVIOS!$B$4:$B$3003,MATCH($C902,ENVIOS!$A$4:$A$3003,0)),""))</f>
        <v/>
      </c>
      <c r="K902" s="49" t="n"/>
      <c r="L902" s="27">
        <f>IF($K902="","",IFERROR(INDEX(CONFIG!$B$4:$B$43,MATCH($K902,CONFIG!$A$4:$A$43,0)),"Media"))</f>
        <v/>
      </c>
      <c r="M902" s="27">
        <f>IF($K902="","",IFERROR(INDEX(CONFIG!$D$4:$D$43,MATCH($K902,CONFIG!$A$4:$A$43,0)),"NO"))</f>
        <v/>
      </c>
      <c r="N902" s="49" t="n"/>
      <c r="O902" s="27">
        <f>IF($N902="","",IFERROR(INDEX(CONFIG!$G$4:$G$43,MATCH($N902,CONFIG!$F$4:$F$43,0)),"Por definir"))</f>
        <v/>
      </c>
      <c r="P902" s="27">
        <f>IF($N902="","",IFERROR(INDEX(CONFIG!$H$4:$H$43,MATCH($N902,CONFIG!$F$4:$F$43,0)),"Por definir"))</f>
        <v/>
      </c>
      <c r="Q902" s="50" t="n"/>
      <c r="R902" s="51" t="n"/>
      <c r="S902" s="49" t="n"/>
      <c r="T902" s="49" t="n"/>
      <c r="U902" s="48">
        <f>IF(OR($B902="",$K902=""),"",WORKDAY($B902,IFERROR(INDEX(CONFIG!$C$4:$C$43,MATCH($K902,CONFIG!$A$4:$A$43,0)),3)))</f>
        <v/>
      </c>
      <c r="V902" s="46" t="n"/>
      <c r="W902" s="23">
        <f>IF($B902="","",IF($V902&lt;&gt;"",$V902-$B902,TODAY()-$B902))</f>
        <v/>
      </c>
      <c r="X902" s="27">
        <f>IF($C902="","",IF(IFERROR(INDEX(CONFIG!$K$4:$K$43,MATCH($S902,CONFIG!$J$4:$J$43,0)),"NO")="SÍ",IF(OR($V902="",$U902=""),"Resuelta",IF($V902&gt;$U902,"Resuelta tarde","Resuelta a tiempo")),IF($U902="","Sin clasificar",IF(TODAY()&gt;$U902,"Vencida",IF(TODAY()&gt;=$U902-1,"Por vencer","En plazo")))))</f>
        <v/>
      </c>
      <c r="Y902" s="49" t="n"/>
      <c r="Z902" s="49" t="n"/>
    </row>
    <row r="903" ht="16" customHeight="1">
      <c r="A903" s="27">
        <f>IF($C903="","","N-"&amp;TEXT(ROW()-3,"0000"))</f>
        <v/>
      </c>
      <c r="B903" s="46" t="n"/>
      <c r="C903" s="47" t="n"/>
      <c r="D903" s="27">
        <f>IF($C903="","",IF(COUNTIFS(ENVIOS!$A$4:$A$3003,$C903)=0,"NO EXISTE",IF(COUNTIFS(ENVIOS!$A$4:$A$3003,$C903)&gt;1,"DUPLICADA","OK")))</f>
        <v/>
      </c>
      <c r="E903" s="22">
        <f>IF($C903="","",IFERROR(INDEX(ENVIOS!$C$4:$C$3003,MATCH($C903,ENVIOS!$A$4:$A$3003,0)),"—"))</f>
        <v/>
      </c>
      <c r="F903" s="22">
        <f>IF($C903="","",IFERROR(INDEX(ENVIOS!$D$4:$D$3003,MATCH($C903,ENVIOS!$A$4:$A$3003,0)),"—"))</f>
        <v/>
      </c>
      <c r="G903" s="22">
        <f>IF($C903="","",IFERROR(INDEX(ENVIOS!$E$4:$E$3003,MATCH($C903,ENVIOS!$A$4:$A$3003,0)),"—"))</f>
        <v/>
      </c>
      <c r="H903" s="22">
        <f>IF($C903="","",IFERROR(INDEX(ENVIOS!$F$4:$F$3003,MATCH($C903,ENVIOS!$A$4:$A$3003,0)),"—"))</f>
        <v/>
      </c>
      <c r="I903" s="27">
        <f>IF($C903="","",IFERROR(INDEX(ENVIOS!$G$4:$G$3003,MATCH($C903,ENVIOS!$A$4:$A$3003,0)),"—"))</f>
        <v/>
      </c>
      <c r="J903" s="48">
        <f>IF($C903="","",IFERROR(INDEX(ENVIOS!$B$4:$B$3003,MATCH($C903,ENVIOS!$A$4:$A$3003,0)),""))</f>
        <v/>
      </c>
      <c r="K903" s="49" t="n"/>
      <c r="L903" s="27">
        <f>IF($K903="","",IFERROR(INDEX(CONFIG!$B$4:$B$43,MATCH($K903,CONFIG!$A$4:$A$43,0)),"Media"))</f>
        <v/>
      </c>
      <c r="M903" s="27">
        <f>IF($K903="","",IFERROR(INDEX(CONFIG!$D$4:$D$43,MATCH($K903,CONFIG!$A$4:$A$43,0)),"NO"))</f>
        <v/>
      </c>
      <c r="N903" s="49" t="n"/>
      <c r="O903" s="27">
        <f>IF($N903="","",IFERROR(INDEX(CONFIG!$G$4:$G$43,MATCH($N903,CONFIG!$F$4:$F$43,0)),"Por definir"))</f>
        <v/>
      </c>
      <c r="P903" s="27">
        <f>IF($N903="","",IFERROR(INDEX(CONFIG!$H$4:$H$43,MATCH($N903,CONFIG!$F$4:$F$43,0)),"Por definir"))</f>
        <v/>
      </c>
      <c r="Q903" s="50" t="n"/>
      <c r="R903" s="51" t="n"/>
      <c r="S903" s="49" t="n"/>
      <c r="T903" s="49" t="n"/>
      <c r="U903" s="48">
        <f>IF(OR($B903="",$K903=""),"",WORKDAY($B903,IFERROR(INDEX(CONFIG!$C$4:$C$43,MATCH($K903,CONFIG!$A$4:$A$43,0)),3)))</f>
        <v/>
      </c>
      <c r="V903" s="46" t="n"/>
      <c r="W903" s="23">
        <f>IF($B903="","",IF($V903&lt;&gt;"",$V903-$B903,TODAY()-$B903))</f>
        <v/>
      </c>
      <c r="X903" s="27">
        <f>IF($C903="","",IF(IFERROR(INDEX(CONFIG!$K$4:$K$43,MATCH($S903,CONFIG!$J$4:$J$43,0)),"NO")="SÍ",IF(OR($V903="",$U903=""),"Resuelta",IF($V903&gt;$U903,"Resuelta tarde","Resuelta a tiempo")),IF($U903="","Sin clasificar",IF(TODAY()&gt;$U903,"Vencida",IF(TODAY()&gt;=$U903-1,"Por vencer","En plazo")))))</f>
        <v/>
      </c>
      <c r="Y903" s="49" t="n"/>
      <c r="Z903" s="49" t="n"/>
    </row>
    <row r="904" ht="16" customHeight="1">
      <c r="A904" s="27">
        <f>IF($C904="","","N-"&amp;TEXT(ROW()-3,"0000"))</f>
        <v/>
      </c>
      <c r="B904" s="46" t="n"/>
      <c r="C904" s="47" t="n"/>
      <c r="D904" s="27">
        <f>IF($C904="","",IF(COUNTIFS(ENVIOS!$A$4:$A$3003,$C904)=0,"NO EXISTE",IF(COUNTIFS(ENVIOS!$A$4:$A$3003,$C904)&gt;1,"DUPLICADA","OK")))</f>
        <v/>
      </c>
      <c r="E904" s="22">
        <f>IF($C904="","",IFERROR(INDEX(ENVIOS!$C$4:$C$3003,MATCH($C904,ENVIOS!$A$4:$A$3003,0)),"—"))</f>
        <v/>
      </c>
      <c r="F904" s="22">
        <f>IF($C904="","",IFERROR(INDEX(ENVIOS!$D$4:$D$3003,MATCH($C904,ENVIOS!$A$4:$A$3003,0)),"—"))</f>
        <v/>
      </c>
      <c r="G904" s="22">
        <f>IF($C904="","",IFERROR(INDEX(ENVIOS!$E$4:$E$3003,MATCH($C904,ENVIOS!$A$4:$A$3003,0)),"—"))</f>
        <v/>
      </c>
      <c r="H904" s="22">
        <f>IF($C904="","",IFERROR(INDEX(ENVIOS!$F$4:$F$3003,MATCH($C904,ENVIOS!$A$4:$A$3003,0)),"—"))</f>
        <v/>
      </c>
      <c r="I904" s="27">
        <f>IF($C904="","",IFERROR(INDEX(ENVIOS!$G$4:$G$3003,MATCH($C904,ENVIOS!$A$4:$A$3003,0)),"—"))</f>
        <v/>
      </c>
      <c r="J904" s="48">
        <f>IF($C904="","",IFERROR(INDEX(ENVIOS!$B$4:$B$3003,MATCH($C904,ENVIOS!$A$4:$A$3003,0)),""))</f>
        <v/>
      </c>
      <c r="K904" s="49" t="n"/>
      <c r="L904" s="27">
        <f>IF($K904="","",IFERROR(INDEX(CONFIG!$B$4:$B$43,MATCH($K904,CONFIG!$A$4:$A$43,0)),"Media"))</f>
        <v/>
      </c>
      <c r="M904" s="27">
        <f>IF($K904="","",IFERROR(INDEX(CONFIG!$D$4:$D$43,MATCH($K904,CONFIG!$A$4:$A$43,0)),"NO"))</f>
        <v/>
      </c>
      <c r="N904" s="49" t="n"/>
      <c r="O904" s="27">
        <f>IF($N904="","",IFERROR(INDEX(CONFIG!$G$4:$G$43,MATCH($N904,CONFIG!$F$4:$F$43,0)),"Por definir"))</f>
        <v/>
      </c>
      <c r="P904" s="27">
        <f>IF($N904="","",IFERROR(INDEX(CONFIG!$H$4:$H$43,MATCH($N904,CONFIG!$F$4:$F$43,0)),"Por definir"))</f>
        <v/>
      </c>
      <c r="Q904" s="50" t="n"/>
      <c r="R904" s="51" t="n"/>
      <c r="S904" s="49" t="n"/>
      <c r="T904" s="49" t="n"/>
      <c r="U904" s="48">
        <f>IF(OR($B904="",$K904=""),"",WORKDAY($B904,IFERROR(INDEX(CONFIG!$C$4:$C$43,MATCH($K904,CONFIG!$A$4:$A$43,0)),3)))</f>
        <v/>
      </c>
      <c r="V904" s="46" t="n"/>
      <c r="W904" s="23">
        <f>IF($B904="","",IF($V904&lt;&gt;"",$V904-$B904,TODAY()-$B904))</f>
        <v/>
      </c>
      <c r="X904" s="27">
        <f>IF($C904="","",IF(IFERROR(INDEX(CONFIG!$K$4:$K$43,MATCH($S904,CONFIG!$J$4:$J$43,0)),"NO")="SÍ",IF(OR($V904="",$U904=""),"Resuelta",IF($V904&gt;$U904,"Resuelta tarde","Resuelta a tiempo")),IF($U904="","Sin clasificar",IF(TODAY()&gt;$U904,"Vencida",IF(TODAY()&gt;=$U904-1,"Por vencer","En plazo")))))</f>
        <v/>
      </c>
      <c r="Y904" s="49" t="n"/>
      <c r="Z904" s="49" t="n"/>
    </row>
    <row r="905" ht="16" customHeight="1">
      <c r="A905" s="27">
        <f>IF($C905="","","N-"&amp;TEXT(ROW()-3,"0000"))</f>
        <v/>
      </c>
      <c r="B905" s="46" t="n"/>
      <c r="C905" s="47" t="n"/>
      <c r="D905" s="27">
        <f>IF($C905="","",IF(COUNTIFS(ENVIOS!$A$4:$A$3003,$C905)=0,"NO EXISTE",IF(COUNTIFS(ENVIOS!$A$4:$A$3003,$C905)&gt;1,"DUPLICADA","OK")))</f>
        <v/>
      </c>
      <c r="E905" s="22">
        <f>IF($C905="","",IFERROR(INDEX(ENVIOS!$C$4:$C$3003,MATCH($C905,ENVIOS!$A$4:$A$3003,0)),"—"))</f>
        <v/>
      </c>
      <c r="F905" s="22">
        <f>IF($C905="","",IFERROR(INDEX(ENVIOS!$D$4:$D$3003,MATCH($C905,ENVIOS!$A$4:$A$3003,0)),"—"))</f>
        <v/>
      </c>
      <c r="G905" s="22">
        <f>IF($C905="","",IFERROR(INDEX(ENVIOS!$E$4:$E$3003,MATCH($C905,ENVIOS!$A$4:$A$3003,0)),"—"))</f>
        <v/>
      </c>
      <c r="H905" s="22">
        <f>IF($C905="","",IFERROR(INDEX(ENVIOS!$F$4:$F$3003,MATCH($C905,ENVIOS!$A$4:$A$3003,0)),"—"))</f>
        <v/>
      </c>
      <c r="I905" s="27">
        <f>IF($C905="","",IFERROR(INDEX(ENVIOS!$G$4:$G$3003,MATCH($C905,ENVIOS!$A$4:$A$3003,0)),"—"))</f>
        <v/>
      </c>
      <c r="J905" s="48">
        <f>IF($C905="","",IFERROR(INDEX(ENVIOS!$B$4:$B$3003,MATCH($C905,ENVIOS!$A$4:$A$3003,0)),""))</f>
        <v/>
      </c>
      <c r="K905" s="49" t="n"/>
      <c r="L905" s="27">
        <f>IF($K905="","",IFERROR(INDEX(CONFIG!$B$4:$B$43,MATCH($K905,CONFIG!$A$4:$A$43,0)),"Media"))</f>
        <v/>
      </c>
      <c r="M905" s="27">
        <f>IF($K905="","",IFERROR(INDEX(CONFIG!$D$4:$D$43,MATCH($K905,CONFIG!$A$4:$A$43,0)),"NO"))</f>
        <v/>
      </c>
      <c r="N905" s="49" t="n"/>
      <c r="O905" s="27">
        <f>IF($N905="","",IFERROR(INDEX(CONFIG!$G$4:$G$43,MATCH($N905,CONFIG!$F$4:$F$43,0)),"Por definir"))</f>
        <v/>
      </c>
      <c r="P905" s="27">
        <f>IF($N905="","",IFERROR(INDEX(CONFIG!$H$4:$H$43,MATCH($N905,CONFIG!$F$4:$F$43,0)),"Por definir"))</f>
        <v/>
      </c>
      <c r="Q905" s="50" t="n"/>
      <c r="R905" s="51" t="n"/>
      <c r="S905" s="49" t="n"/>
      <c r="T905" s="49" t="n"/>
      <c r="U905" s="48">
        <f>IF(OR($B905="",$K905=""),"",WORKDAY($B905,IFERROR(INDEX(CONFIG!$C$4:$C$43,MATCH($K905,CONFIG!$A$4:$A$43,0)),3)))</f>
        <v/>
      </c>
      <c r="V905" s="46" t="n"/>
      <c r="W905" s="23">
        <f>IF($B905="","",IF($V905&lt;&gt;"",$V905-$B905,TODAY()-$B905))</f>
        <v/>
      </c>
      <c r="X905" s="27">
        <f>IF($C905="","",IF(IFERROR(INDEX(CONFIG!$K$4:$K$43,MATCH($S905,CONFIG!$J$4:$J$43,0)),"NO")="SÍ",IF(OR($V905="",$U905=""),"Resuelta",IF($V905&gt;$U905,"Resuelta tarde","Resuelta a tiempo")),IF($U905="","Sin clasificar",IF(TODAY()&gt;$U905,"Vencida",IF(TODAY()&gt;=$U905-1,"Por vencer","En plazo")))))</f>
        <v/>
      </c>
      <c r="Y905" s="49" t="n"/>
      <c r="Z905" s="49" t="n"/>
    </row>
    <row r="906" ht="16" customHeight="1">
      <c r="A906" s="27">
        <f>IF($C906="","","N-"&amp;TEXT(ROW()-3,"0000"))</f>
        <v/>
      </c>
      <c r="B906" s="46" t="n"/>
      <c r="C906" s="47" t="n"/>
      <c r="D906" s="27">
        <f>IF($C906="","",IF(COUNTIFS(ENVIOS!$A$4:$A$3003,$C906)=0,"NO EXISTE",IF(COUNTIFS(ENVIOS!$A$4:$A$3003,$C906)&gt;1,"DUPLICADA","OK")))</f>
        <v/>
      </c>
      <c r="E906" s="22">
        <f>IF($C906="","",IFERROR(INDEX(ENVIOS!$C$4:$C$3003,MATCH($C906,ENVIOS!$A$4:$A$3003,0)),"—"))</f>
        <v/>
      </c>
      <c r="F906" s="22">
        <f>IF($C906="","",IFERROR(INDEX(ENVIOS!$D$4:$D$3003,MATCH($C906,ENVIOS!$A$4:$A$3003,0)),"—"))</f>
        <v/>
      </c>
      <c r="G906" s="22">
        <f>IF($C906="","",IFERROR(INDEX(ENVIOS!$E$4:$E$3003,MATCH($C906,ENVIOS!$A$4:$A$3003,0)),"—"))</f>
        <v/>
      </c>
      <c r="H906" s="22">
        <f>IF($C906="","",IFERROR(INDEX(ENVIOS!$F$4:$F$3003,MATCH($C906,ENVIOS!$A$4:$A$3003,0)),"—"))</f>
        <v/>
      </c>
      <c r="I906" s="27">
        <f>IF($C906="","",IFERROR(INDEX(ENVIOS!$G$4:$G$3003,MATCH($C906,ENVIOS!$A$4:$A$3003,0)),"—"))</f>
        <v/>
      </c>
      <c r="J906" s="48">
        <f>IF($C906="","",IFERROR(INDEX(ENVIOS!$B$4:$B$3003,MATCH($C906,ENVIOS!$A$4:$A$3003,0)),""))</f>
        <v/>
      </c>
      <c r="K906" s="49" t="n"/>
      <c r="L906" s="27">
        <f>IF($K906="","",IFERROR(INDEX(CONFIG!$B$4:$B$43,MATCH($K906,CONFIG!$A$4:$A$43,0)),"Media"))</f>
        <v/>
      </c>
      <c r="M906" s="27">
        <f>IF($K906="","",IFERROR(INDEX(CONFIG!$D$4:$D$43,MATCH($K906,CONFIG!$A$4:$A$43,0)),"NO"))</f>
        <v/>
      </c>
      <c r="N906" s="49" t="n"/>
      <c r="O906" s="27">
        <f>IF($N906="","",IFERROR(INDEX(CONFIG!$G$4:$G$43,MATCH($N906,CONFIG!$F$4:$F$43,0)),"Por definir"))</f>
        <v/>
      </c>
      <c r="P906" s="27">
        <f>IF($N906="","",IFERROR(INDEX(CONFIG!$H$4:$H$43,MATCH($N906,CONFIG!$F$4:$F$43,0)),"Por definir"))</f>
        <v/>
      </c>
      <c r="Q906" s="50" t="n"/>
      <c r="R906" s="51" t="n"/>
      <c r="S906" s="49" t="n"/>
      <c r="T906" s="49" t="n"/>
      <c r="U906" s="48">
        <f>IF(OR($B906="",$K906=""),"",WORKDAY($B906,IFERROR(INDEX(CONFIG!$C$4:$C$43,MATCH($K906,CONFIG!$A$4:$A$43,0)),3)))</f>
        <v/>
      </c>
      <c r="V906" s="46" t="n"/>
      <c r="W906" s="23">
        <f>IF($B906="","",IF($V906&lt;&gt;"",$V906-$B906,TODAY()-$B906))</f>
        <v/>
      </c>
      <c r="X906" s="27">
        <f>IF($C906="","",IF(IFERROR(INDEX(CONFIG!$K$4:$K$43,MATCH($S906,CONFIG!$J$4:$J$43,0)),"NO")="SÍ",IF(OR($V906="",$U906=""),"Resuelta",IF($V906&gt;$U906,"Resuelta tarde","Resuelta a tiempo")),IF($U906="","Sin clasificar",IF(TODAY()&gt;$U906,"Vencida",IF(TODAY()&gt;=$U906-1,"Por vencer","En plazo")))))</f>
        <v/>
      </c>
      <c r="Y906" s="49" t="n"/>
      <c r="Z906" s="49" t="n"/>
    </row>
    <row r="907" ht="16" customHeight="1">
      <c r="A907" s="27">
        <f>IF($C907="","","N-"&amp;TEXT(ROW()-3,"0000"))</f>
        <v/>
      </c>
      <c r="B907" s="46" t="n"/>
      <c r="C907" s="47" t="n"/>
      <c r="D907" s="27">
        <f>IF($C907="","",IF(COUNTIFS(ENVIOS!$A$4:$A$3003,$C907)=0,"NO EXISTE",IF(COUNTIFS(ENVIOS!$A$4:$A$3003,$C907)&gt;1,"DUPLICADA","OK")))</f>
        <v/>
      </c>
      <c r="E907" s="22">
        <f>IF($C907="","",IFERROR(INDEX(ENVIOS!$C$4:$C$3003,MATCH($C907,ENVIOS!$A$4:$A$3003,0)),"—"))</f>
        <v/>
      </c>
      <c r="F907" s="22">
        <f>IF($C907="","",IFERROR(INDEX(ENVIOS!$D$4:$D$3003,MATCH($C907,ENVIOS!$A$4:$A$3003,0)),"—"))</f>
        <v/>
      </c>
      <c r="G907" s="22">
        <f>IF($C907="","",IFERROR(INDEX(ENVIOS!$E$4:$E$3003,MATCH($C907,ENVIOS!$A$4:$A$3003,0)),"—"))</f>
        <v/>
      </c>
      <c r="H907" s="22">
        <f>IF($C907="","",IFERROR(INDEX(ENVIOS!$F$4:$F$3003,MATCH($C907,ENVIOS!$A$4:$A$3003,0)),"—"))</f>
        <v/>
      </c>
      <c r="I907" s="27">
        <f>IF($C907="","",IFERROR(INDEX(ENVIOS!$G$4:$G$3003,MATCH($C907,ENVIOS!$A$4:$A$3003,0)),"—"))</f>
        <v/>
      </c>
      <c r="J907" s="48">
        <f>IF($C907="","",IFERROR(INDEX(ENVIOS!$B$4:$B$3003,MATCH($C907,ENVIOS!$A$4:$A$3003,0)),""))</f>
        <v/>
      </c>
      <c r="K907" s="49" t="n"/>
      <c r="L907" s="27">
        <f>IF($K907="","",IFERROR(INDEX(CONFIG!$B$4:$B$43,MATCH($K907,CONFIG!$A$4:$A$43,0)),"Media"))</f>
        <v/>
      </c>
      <c r="M907" s="27">
        <f>IF($K907="","",IFERROR(INDEX(CONFIG!$D$4:$D$43,MATCH($K907,CONFIG!$A$4:$A$43,0)),"NO"))</f>
        <v/>
      </c>
      <c r="N907" s="49" t="n"/>
      <c r="O907" s="27">
        <f>IF($N907="","",IFERROR(INDEX(CONFIG!$G$4:$G$43,MATCH($N907,CONFIG!$F$4:$F$43,0)),"Por definir"))</f>
        <v/>
      </c>
      <c r="P907" s="27">
        <f>IF($N907="","",IFERROR(INDEX(CONFIG!$H$4:$H$43,MATCH($N907,CONFIG!$F$4:$F$43,0)),"Por definir"))</f>
        <v/>
      </c>
      <c r="Q907" s="50" t="n"/>
      <c r="R907" s="51" t="n"/>
      <c r="S907" s="49" t="n"/>
      <c r="T907" s="49" t="n"/>
      <c r="U907" s="48">
        <f>IF(OR($B907="",$K907=""),"",WORKDAY($B907,IFERROR(INDEX(CONFIG!$C$4:$C$43,MATCH($K907,CONFIG!$A$4:$A$43,0)),3)))</f>
        <v/>
      </c>
      <c r="V907" s="46" t="n"/>
      <c r="W907" s="23">
        <f>IF($B907="","",IF($V907&lt;&gt;"",$V907-$B907,TODAY()-$B907))</f>
        <v/>
      </c>
      <c r="X907" s="27">
        <f>IF($C907="","",IF(IFERROR(INDEX(CONFIG!$K$4:$K$43,MATCH($S907,CONFIG!$J$4:$J$43,0)),"NO")="SÍ",IF(OR($V907="",$U907=""),"Resuelta",IF($V907&gt;$U907,"Resuelta tarde","Resuelta a tiempo")),IF($U907="","Sin clasificar",IF(TODAY()&gt;$U907,"Vencida",IF(TODAY()&gt;=$U907-1,"Por vencer","En plazo")))))</f>
        <v/>
      </c>
      <c r="Y907" s="49" t="n"/>
      <c r="Z907" s="49" t="n"/>
    </row>
    <row r="908" ht="16" customHeight="1">
      <c r="A908" s="27">
        <f>IF($C908="","","N-"&amp;TEXT(ROW()-3,"0000"))</f>
        <v/>
      </c>
      <c r="B908" s="46" t="n"/>
      <c r="C908" s="47" t="n"/>
      <c r="D908" s="27">
        <f>IF($C908="","",IF(COUNTIFS(ENVIOS!$A$4:$A$3003,$C908)=0,"NO EXISTE",IF(COUNTIFS(ENVIOS!$A$4:$A$3003,$C908)&gt;1,"DUPLICADA","OK")))</f>
        <v/>
      </c>
      <c r="E908" s="22">
        <f>IF($C908="","",IFERROR(INDEX(ENVIOS!$C$4:$C$3003,MATCH($C908,ENVIOS!$A$4:$A$3003,0)),"—"))</f>
        <v/>
      </c>
      <c r="F908" s="22">
        <f>IF($C908="","",IFERROR(INDEX(ENVIOS!$D$4:$D$3003,MATCH($C908,ENVIOS!$A$4:$A$3003,0)),"—"))</f>
        <v/>
      </c>
      <c r="G908" s="22">
        <f>IF($C908="","",IFERROR(INDEX(ENVIOS!$E$4:$E$3003,MATCH($C908,ENVIOS!$A$4:$A$3003,0)),"—"))</f>
        <v/>
      </c>
      <c r="H908" s="22">
        <f>IF($C908="","",IFERROR(INDEX(ENVIOS!$F$4:$F$3003,MATCH($C908,ENVIOS!$A$4:$A$3003,0)),"—"))</f>
        <v/>
      </c>
      <c r="I908" s="27">
        <f>IF($C908="","",IFERROR(INDEX(ENVIOS!$G$4:$G$3003,MATCH($C908,ENVIOS!$A$4:$A$3003,0)),"—"))</f>
        <v/>
      </c>
      <c r="J908" s="48">
        <f>IF($C908="","",IFERROR(INDEX(ENVIOS!$B$4:$B$3003,MATCH($C908,ENVIOS!$A$4:$A$3003,0)),""))</f>
        <v/>
      </c>
      <c r="K908" s="49" t="n"/>
      <c r="L908" s="27">
        <f>IF($K908="","",IFERROR(INDEX(CONFIG!$B$4:$B$43,MATCH($K908,CONFIG!$A$4:$A$43,0)),"Media"))</f>
        <v/>
      </c>
      <c r="M908" s="27">
        <f>IF($K908="","",IFERROR(INDEX(CONFIG!$D$4:$D$43,MATCH($K908,CONFIG!$A$4:$A$43,0)),"NO"))</f>
        <v/>
      </c>
      <c r="N908" s="49" t="n"/>
      <c r="O908" s="27">
        <f>IF($N908="","",IFERROR(INDEX(CONFIG!$G$4:$G$43,MATCH($N908,CONFIG!$F$4:$F$43,0)),"Por definir"))</f>
        <v/>
      </c>
      <c r="P908" s="27">
        <f>IF($N908="","",IFERROR(INDEX(CONFIG!$H$4:$H$43,MATCH($N908,CONFIG!$F$4:$F$43,0)),"Por definir"))</f>
        <v/>
      </c>
      <c r="Q908" s="50" t="n"/>
      <c r="R908" s="51" t="n"/>
      <c r="S908" s="49" t="n"/>
      <c r="T908" s="49" t="n"/>
      <c r="U908" s="48">
        <f>IF(OR($B908="",$K908=""),"",WORKDAY($B908,IFERROR(INDEX(CONFIG!$C$4:$C$43,MATCH($K908,CONFIG!$A$4:$A$43,0)),3)))</f>
        <v/>
      </c>
      <c r="V908" s="46" t="n"/>
      <c r="W908" s="23">
        <f>IF($B908="","",IF($V908&lt;&gt;"",$V908-$B908,TODAY()-$B908))</f>
        <v/>
      </c>
      <c r="X908" s="27">
        <f>IF($C908="","",IF(IFERROR(INDEX(CONFIG!$K$4:$K$43,MATCH($S908,CONFIG!$J$4:$J$43,0)),"NO")="SÍ",IF(OR($V908="",$U908=""),"Resuelta",IF($V908&gt;$U908,"Resuelta tarde","Resuelta a tiempo")),IF($U908="","Sin clasificar",IF(TODAY()&gt;$U908,"Vencida",IF(TODAY()&gt;=$U908-1,"Por vencer","En plazo")))))</f>
        <v/>
      </c>
      <c r="Y908" s="49" t="n"/>
      <c r="Z908" s="49" t="n"/>
    </row>
    <row r="909" ht="16" customHeight="1">
      <c r="A909" s="27">
        <f>IF($C909="","","N-"&amp;TEXT(ROW()-3,"0000"))</f>
        <v/>
      </c>
      <c r="B909" s="46" t="n"/>
      <c r="C909" s="47" t="n"/>
      <c r="D909" s="27">
        <f>IF($C909="","",IF(COUNTIFS(ENVIOS!$A$4:$A$3003,$C909)=0,"NO EXISTE",IF(COUNTIFS(ENVIOS!$A$4:$A$3003,$C909)&gt;1,"DUPLICADA","OK")))</f>
        <v/>
      </c>
      <c r="E909" s="22">
        <f>IF($C909="","",IFERROR(INDEX(ENVIOS!$C$4:$C$3003,MATCH($C909,ENVIOS!$A$4:$A$3003,0)),"—"))</f>
        <v/>
      </c>
      <c r="F909" s="22">
        <f>IF($C909="","",IFERROR(INDEX(ENVIOS!$D$4:$D$3003,MATCH($C909,ENVIOS!$A$4:$A$3003,0)),"—"))</f>
        <v/>
      </c>
      <c r="G909" s="22">
        <f>IF($C909="","",IFERROR(INDEX(ENVIOS!$E$4:$E$3003,MATCH($C909,ENVIOS!$A$4:$A$3003,0)),"—"))</f>
        <v/>
      </c>
      <c r="H909" s="22">
        <f>IF($C909="","",IFERROR(INDEX(ENVIOS!$F$4:$F$3003,MATCH($C909,ENVIOS!$A$4:$A$3003,0)),"—"))</f>
        <v/>
      </c>
      <c r="I909" s="27">
        <f>IF($C909="","",IFERROR(INDEX(ENVIOS!$G$4:$G$3003,MATCH($C909,ENVIOS!$A$4:$A$3003,0)),"—"))</f>
        <v/>
      </c>
      <c r="J909" s="48">
        <f>IF($C909="","",IFERROR(INDEX(ENVIOS!$B$4:$B$3003,MATCH($C909,ENVIOS!$A$4:$A$3003,0)),""))</f>
        <v/>
      </c>
      <c r="K909" s="49" t="n"/>
      <c r="L909" s="27">
        <f>IF($K909="","",IFERROR(INDEX(CONFIG!$B$4:$B$43,MATCH($K909,CONFIG!$A$4:$A$43,0)),"Media"))</f>
        <v/>
      </c>
      <c r="M909" s="27">
        <f>IF($K909="","",IFERROR(INDEX(CONFIG!$D$4:$D$43,MATCH($K909,CONFIG!$A$4:$A$43,0)),"NO"))</f>
        <v/>
      </c>
      <c r="N909" s="49" t="n"/>
      <c r="O909" s="27">
        <f>IF($N909="","",IFERROR(INDEX(CONFIG!$G$4:$G$43,MATCH($N909,CONFIG!$F$4:$F$43,0)),"Por definir"))</f>
        <v/>
      </c>
      <c r="P909" s="27">
        <f>IF($N909="","",IFERROR(INDEX(CONFIG!$H$4:$H$43,MATCH($N909,CONFIG!$F$4:$F$43,0)),"Por definir"))</f>
        <v/>
      </c>
      <c r="Q909" s="50" t="n"/>
      <c r="R909" s="51" t="n"/>
      <c r="S909" s="49" t="n"/>
      <c r="T909" s="49" t="n"/>
      <c r="U909" s="48">
        <f>IF(OR($B909="",$K909=""),"",WORKDAY($B909,IFERROR(INDEX(CONFIG!$C$4:$C$43,MATCH($K909,CONFIG!$A$4:$A$43,0)),3)))</f>
        <v/>
      </c>
      <c r="V909" s="46" t="n"/>
      <c r="W909" s="23">
        <f>IF($B909="","",IF($V909&lt;&gt;"",$V909-$B909,TODAY()-$B909))</f>
        <v/>
      </c>
      <c r="X909" s="27">
        <f>IF($C909="","",IF(IFERROR(INDEX(CONFIG!$K$4:$K$43,MATCH($S909,CONFIG!$J$4:$J$43,0)),"NO")="SÍ",IF(OR($V909="",$U909=""),"Resuelta",IF($V909&gt;$U909,"Resuelta tarde","Resuelta a tiempo")),IF($U909="","Sin clasificar",IF(TODAY()&gt;$U909,"Vencida",IF(TODAY()&gt;=$U909-1,"Por vencer","En plazo")))))</f>
        <v/>
      </c>
      <c r="Y909" s="49" t="n"/>
      <c r="Z909" s="49" t="n"/>
    </row>
    <row r="910" ht="16" customHeight="1">
      <c r="A910" s="27">
        <f>IF($C910="","","N-"&amp;TEXT(ROW()-3,"0000"))</f>
        <v/>
      </c>
      <c r="B910" s="46" t="n"/>
      <c r="C910" s="47" t="n"/>
      <c r="D910" s="27">
        <f>IF($C910="","",IF(COUNTIFS(ENVIOS!$A$4:$A$3003,$C910)=0,"NO EXISTE",IF(COUNTIFS(ENVIOS!$A$4:$A$3003,$C910)&gt;1,"DUPLICADA","OK")))</f>
        <v/>
      </c>
      <c r="E910" s="22">
        <f>IF($C910="","",IFERROR(INDEX(ENVIOS!$C$4:$C$3003,MATCH($C910,ENVIOS!$A$4:$A$3003,0)),"—"))</f>
        <v/>
      </c>
      <c r="F910" s="22">
        <f>IF($C910="","",IFERROR(INDEX(ENVIOS!$D$4:$D$3003,MATCH($C910,ENVIOS!$A$4:$A$3003,0)),"—"))</f>
        <v/>
      </c>
      <c r="G910" s="22">
        <f>IF($C910="","",IFERROR(INDEX(ENVIOS!$E$4:$E$3003,MATCH($C910,ENVIOS!$A$4:$A$3003,0)),"—"))</f>
        <v/>
      </c>
      <c r="H910" s="22">
        <f>IF($C910="","",IFERROR(INDEX(ENVIOS!$F$4:$F$3003,MATCH($C910,ENVIOS!$A$4:$A$3003,0)),"—"))</f>
        <v/>
      </c>
      <c r="I910" s="27">
        <f>IF($C910="","",IFERROR(INDEX(ENVIOS!$G$4:$G$3003,MATCH($C910,ENVIOS!$A$4:$A$3003,0)),"—"))</f>
        <v/>
      </c>
      <c r="J910" s="48">
        <f>IF($C910="","",IFERROR(INDEX(ENVIOS!$B$4:$B$3003,MATCH($C910,ENVIOS!$A$4:$A$3003,0)),""))</f>
        <v/>
      </c>
      <c r="K910" s="49" t="n"/>
      <c r="L910" s="27">
        <f>IF($K910="","",IFERROR(INDEX(CONFIG!$B$4:$B$43,MATCH($K910,CONFIG!$A$4:$A$43,0)),"Media"))</f>
        <v/>
      </c>
      <c r="M910" s="27">
        <f>IF($K910="","",IFERROR(INDEX(CONFIG!$D$4:$D$43,MATCH($K910,CONFIG!$A$4:$A$43,0)),"NO"))</f>
        <v/>
      </c>
      <c r="N910" s="49" t="n"/>
      <c r="O910" s="27">
        <f>IF($N910="","",IFERROR(INDEX(CONFIG!$G$4:$G$43,MATCH($N910,CONFIG!$F$4:$F$43,0)),"Por definir"))</f>
        <v/>
      </c>
      <c r="P910" s="27">
        <f>IF($N910="","",IFERROR(INDEX(CONFIG!$H$4:$H$43,MATCH($N910,CONFIG!$F$4:$F$43,0)),"Por definir"))</f>
        <v/>
      </c>
      <c r="Q910" s="50" t="n"/>
      <c r="R910" s="51" t="n"/>
      <c r="S910" s="49" t="n"/>
      <c r="T910" s="49" t="n"/>
      <c r="U910" s="48">
        <f>IF(OR($B910="",$K910=""),"",WORKDAY($B910,IFERROR(INDEX(CONFIG!$C$4:$C$43,MATCH($K910,CONFIG!$A$4:$A$43,0)),3)))</f>
        <v/>
      </c>
      <c r="V910" s="46" t="n"/>
      <c r="W910" s="23">
        <f>IF($B910="","",IF($V910&lt;&gt;"",$V910-$B910,TODAY()-$B910))</f>
        <v/>
      </c>
      <c r="X910" s="27">
        <f>IF($C910="","",IF(IFERROR(INDEX(CONFIG!$K$4:$K$43,MATCH($S910,CONFIG!$J$4:$J$43,0)),"NO")="SÍ",IF(OR($V910="",$U910=""),"Resuelta",IF($V910&gt;$U910,"Resuelta tarde","Resuelta a tiempo")),IF($U910="","Sin clasificar",IF(TODAY()&gt;$U910,"Vencida",IF(TODAY()&gt;=$U910-1,"Por vencer","En plazo")))))</f>
        <v/>
      </c>
      <c r="Y910" s="49" t="n"/>
      <c r="Z910" s="49" t="n"/>
    </row>
    <row r="911" ht="16" customHeight="1">
      <c r="A911" s="27">
        <f>IF($C911="","","N-"&amp;TEXT(ROW()-3,"0000"))</f>
        <v/>
      </c>
      <c r="B911" s="46" t="n"/>
      <c r="C911" s="47" t="n"/>
      <c r="D911" s="27">
        <f>IF($C911="","",IF(COUNTIFS(ENVIOS!$A$4:$A$3003,$C911)=0,"NO EXISTE",IF(COUNTIFS(ENVIOS!$A$4:$A$3003,$C911)&gt;1,"DUPLICADA","OK")))</f>
        <v/>
      </c>
      <c r="E911" s="22">
        <f>IF($C911="","",IFERROR(INDEX(ENVIOS!$C$4:$C$3003,MATCH($C911,ENVIOS!$A$4:$A$3003,0)),"—"))</f>
        <v/>
      </c>
      <c r="F911" s="22">
        <f>IF($C911="","",IFERROR(INDEX(ENVIOS!$D$4:$D$3003,MATCH($C911,ENVIOS!$A$4:$A$3003,0)),"—"))</f>
        <v/>
      </c>
      <c r="G911" s="22">
        <f>IF($C911="","",IFERROR(INDEX(ENVIOS!$E$4:$E$3003,MATCH($C911,ENVIOS!$A$4:$A$3003,0)),"—"))</f>
        <v/>
      </c>
      <c r="H911" s="22">
        <f>IF($C911="","",IFERROR(INDEX(ENVIOS!$F$4:$F$3003,MATCH($C911,ENVIOS!$A$4:$A$3003,0)),"—"))</f>
        <v/>
      </c>
      <c r="I911" s="27">
        <f>IF($C911="","",IFERROR(INDEX(ENVIOS!$G$4:$G$3003,MATCH($C911,ENVIOS!$A$4:$A$3003,0)),"—"))</f>
        <v/>
      </c>
      <c r="J911" s="48">
        <f>IF($C911="","",IFERROR(INDEX(ENVIOS!$B$4:$B$3003,MATCH($C911,ENVIOS!$A$4:$A$3003,0)),""))</f>
        <v/>
      </c>
      <c r="K911" s="49" t="n"/>
      <c r="L911" s="27">
        <f>IF($K911="","",IFERROR(INDEX(CONFIG!$B$4:$B$43,MATCH($K911,CONFIG!$A$4:$A$43,0)),"Media"))</f>
        <v/>
      </c>
      <c r="M911" s="27">
        <f>IF($K911="","",IFERROR(INDEX(CONFIG!$D$4:$D$43,MATCH($K911,CONFIG!$A$4:$A$43,0)),"NO"))</f>
        <v/>
      </c>
      <c r="N911" s="49" t="n"/>
      <c r="O911" s="27">
        <f>IF($N911="","",IFERROR(INDEX(CONFIG!$G$4:$G$43,MATCH($N911,CONFIG!$F$4:$F$43,0)),"Por definir"))</f>
        <v/>
      </c>
      <c r="P911" s="27">
        <f>IF($N911="","",IFERROR(INDEX(CONFIG!$H$4:$H$43,MATCH($N911,CONFIG!$F$4:$F$43,0)),"Por definir"))</f>
        <v/>
      </c>
      <c r="Q911" s="50" t="n"/>
      <c r="R911" s="51" t="n"/>
      <c r="S911" s="49" t="n"/>
      <c r="T911" s="49" t="n"/>
      <c r="U911" s="48">
        <f>IF(OR($B911="",$K911=""),"",WORKDAY($B911,IFERROR(INDEX(CONFIG!$C$4:$C$43,MATCH($K911,CONFIG!$A$4:$A$43,0)),3)))</f>
        <v/>
      </c>
      <c r="V911" s="46" t="n"/>
      <c r="W911" s="23">
        <f>IF($B911="","",IF($V911&lt;&gt;"",$V911-$B911,TODAY()-$B911))</f>
        <v/>
      </c>
      <c r="X911" s="27">
        <f>IF($C911="","",IF(IFERROR(INDEX(CONFIG!$K$4:$K$43,MATCH($S911,CONFIG!$J$4:$J$43,0)),"NO")="SÍ",IF(OR($V911="",$U911=""),"Resuelta",IF($V911&gt;$U911,"Resuelta tarde","Resuelta a tiempo")),IF($U911="","Sin clasificar",IF(TODAY()&gt;$U911,"Vencida",IF(TODAY()&gt;=$U911-1,"Por vencer","En plazo")))))</f>
        <v/>
      </c>
      <c r="Y911" s="49" t="n"/>
      <c r="Z911" s="49" t="n"/>
    </row>
    <row r="912" ht="16" customHeight="1">
      <c r="A912" s="27">
        <f>IF($C912="","","N-"&amp;TEXT(ROW()-3,"0000"))</f>
        <v/>
      </c>
      <c r="B912" s="46" t="n"/>
      <c r="C912" s="47" t="n"/>
      <c r="D912" s="27">
        <f>IF($C912="","",IF(COUNTIFS(ENVIOS!$A$4:$A$3003,$C912)=0,"NO EXISTE",IF(COUNTIFS(ENVIOS!$A$4:$A$3003,$C912)&gt;1,"DUPLICADA","OK")))</f>
        <v/>
      </c>
      <c r="E912" s="22">
        <f>IF($C912="","",IFERROR(INDEX(ENVIOS!$C$4:$C$3003,MATCH($C912,ENVIOS!$A$4:$A$3003,0)),"—"))</f>
        <v/>
      </c>
      <c r="F912" s="22">
        <f>IF($C912="","",IFERROR(INDEX(ENVIOS!$D$4:$D$3003,MATCH($C912,ENVIOS!$A$4:$A$3003,0)),"—"))</f>
        <v/>
      </c>
      <c r="G912" s="22">
        <f>IF($C912="","",IFERROR(INDEX(ENVIOS!$E$4:$E$3003,MATCH($C912,ENVIOS!$A$4:$A$3003,0)),"—"))</f>
        <v/>
      </c>
      <c r="H912" s="22">
        <f>IF($C912="","",IFERROR(INDEX(ENVIOS!$F$4:$F$3003,MATCH($C912,ENVIOS!$A$4:$A$3003,0)),"—"))</f>
        <v/>
      </c>
      <c r="I912" s="27">
        <f>IF($C912="","",IFERROR(INDEX(ENVIOS!$G$4:$G$3003,MATCH($C912,ENVIOS!$A$4:$A$3003,0)),"—"))</f>
        <v/>
      </c>
      <c r="J912" s="48">
        <f>IF($C912="","",IFERROR(INDEX(ENVIOS!$B$4:$B$3003,MATCH($C912,ENVIOS!$A$4:$A$3003,0)),""))</f>
        <v/>
      </c>
      <c r="K912" s="49" t="n"/>
      <c r="L912" s="27">
        <f>IF($K912="","",IFERROR(INDEX(CONFIG!$B$4:$B$43,MATCH($K912,CONFIG!$A$4:$A$43,0)),"Media"))</f>
        <v/>
      </c>
      <c r="M912" s="27">
        <f>IF($K912="","",IFERROR(INDEX(CONFIG!$D$4:$D$43,MATCH($K912,CONFIG!$A$4:$A$43,0)),"NO"))</f>
        <v/>
      </c>
      <c r="N912" s="49" t="n"/>
      <c r="O912" s="27">
        <f>IF($N912="","",IFERROR(INDEX(CONFIG!$G$4:$G$43,MATCH($N912,CONFIG!$F$4:$F$43,0)),"Por definir"))</f>
        <v/>
      </c>
      <c r="P912" s="27">
        <f>IF($N912="","",IFERROR(INDEX(CONFIG!$H$4:$H$43,MATCH($N912,CONFIG!$F$4:$F$43,0)),"Por definir"))</f>
        <v/>
      </c>
      <c r="Q912" s="50" t="n"/>
      <c r="R912" s="51" t="n"/>
      <c r="S912" s="49" t="n"/>
      <c r="T912" s="49" t="n"/>
      <c r="U912" s="48">
        <f>IF(OR($B912="",$K912=""),"",WORKDAY($B912,IFERROR(INDEX(CONFIG!$C$4:$C$43,MATCH($K912,CONFIG!$A$4:$A$43,0)),3)))</f>
        <v/>
      </c>
      <c r="V912" s="46" t="n"/>
      <c r="W912" s="23">
        <f>IF($B912="","",IF($V912&lt;&gt;"",$V912-$B912,TODAY()-$B912))</f>
        <v/>
      </c>
      <c r="X912" s="27">
        <f>IF($C912="","",IF(IFERROR(INDEX(CONFIG!$K$4:$K$43,MATCH($S912,CONFIG!$J$4:$J$43,0)),"NO")="SÍ",IF(OR($V912="",$U912=""),"Resuelta",IF($V912&gt;$U912,"Resuelta tarde","Resuelta a tiempo")),IF($U912="","Sin clasificar",IF(TODAY()&gt;$U912,"Vencida",IF(TODAY()&gt;=$U912-1,"Por vencer","En plazo")))))</f>
        <v/>
      </c>
      <c r="Y912" s="49" t="n"/>
      <c r="Z912" s="49" t="n"/>
    </row>
    <row r="913" ht="16" customHeight="1">
      <c r="A913" s="27">
        <f>IF($C913="","","N-"&amp;TEXT(ROW()-3,"0000"))</f>
        <v/>
      </c>
      <c r="B913" s="46" t="n"/>
      <c r="C913" s="47" t="n"/>
      <c r="D913" s="27">
        <f>IF($C913="","",IF(COUNTIFS(ENVIOS!$A$4:$A$3003,$C913)=0,"NO EXISTE",IF(COUNTIFS(ENVIOS!$A$4:$A$3003,$C913)&gt;1,"DUPLICADA","OK")))</f>
        <v/>
      </c>
      <c r="E913" s="22">
        <f>IF($C913="","",IFERROR(INDEX(ENVIOS!$C$4:$C$3003,MATCH($C913,ENVIOS!$A$4:$A$3003,0)),"—"))</f>
        <v/>
      </c>
      <c r="F913" s="22">
        <f>IF($C913="","",IFERROR(INDEX(ENVIOS!$D$4:$D$3003,MATCH($C913,ENVIOS!$A$4:$A$3003,0)),"—"))</f>
        <v/>
      </c>
      <c r="G913" s="22">
        <f>IF($C913="","",IFERROR(INDEX(ENVIOS!$E$4:$E$3003,MATCH($C913,ENVIOS!$A$4:$A$3003,0)),"—"))</f>
        <v/>
      </c>
      <c r="H913" s="22">
        <f>IF($C913="","",IFERROR(INDEX(ENVIOS!$F$4:$F$3003,MATCH($C913,ENVIOS!$A$4:$A$3003,0)),"—"))</f>
        <v/>
      </c>
      <c r="I913" s="27">
        <f>IF($C913="","",IFERROR(INDEX(ENVIOS!$G$4:$G$3003,MATCH($C913,ENVIOS!$A$4:$A$3003,0)),"—"))</f>
        <v/>
      </c>
      <c r="J913" s="48">
        <f>IF($C913="","",IFERROR(INDEX(ENVIOS!$B$4:$B$3003,MATCH($C913,ENVIOS!$A$4:$A$3003,0)),""))</f>
        <v/>
      </c>
      <c r="K913" s="49" t="n"/>
      <c r="L913" s="27">
        <f>IF($K913="","",IFERROR(INDEX(CONFIG!$B$4:$B$43,MATCH($K913,CONFIG!$A$4:$A$43,0)),"Media"))</f>
        <v/>
      </c>
      <c r="M913" s="27">
        <f>IF($K913="","",IFERROR(INDEX(CONFIG!$D$4:$D$43,MATCH($K913,CONFIG!$A$4:$A$43,0)),"NO"))</f>
        <v/>
      </c>
      <c r="N913" s="49" t="n"/>
      <c r="O913" s="27">
        <f>IF($N913="","",IFERROR(INDEX(CONFIG!$G$4:$G$43,MATCH($N913,CONFIG!$F$4:$F$43,0)),"Por definir"))</f>
        <v/>
      </c>
      <c r="P913" s="27">
        <f>IF($N913="","",IFERROR(INDEX(CONFIG!$H$4:$H$43,MATCH($N913,CONFIG!$F$4:$F$43,0)),"Por definir"))</f>
        <v/>
      </c>
      <c r="Q913" s="50" t="n"/>
      <c r="R913" s="51" t="n"/>
      <c r="S913" s="49" t="n"/>
      <c r="T913" s="49" t="n"/>
      <c r="U913" s="48">
        <f>IF(OR($B913="",$K913=""),"",WORKDAY($B913,IFERROR(INDEX(CONFIG!$C$4:$C$43,MATCH($K913,CONFIG!$A$4:$A$43,0)),3)))</f>
        <v/>
      </c>
      <c r="V913" s="46" t="n"/>
      <c r="W913" s="23">
        <f>IF($B913="","",IF($V913&lt;&gt;"",$V913-$B913,TODAY()-$B913))</f>
        <v/>
      </c>
      <c r="X913" s="27">
        <f>IF($C913="","",IF(IFERROR(INDEX(CONFIG!$K$4:$K$43,MATCH($S913,CONFIG!$J$4:$J$43,0)),"NO")="SÍ",IF(OR($V913="",$U913=""),"Resuelta",IF($V913&gt;$U913,"Resuelta tarde","Resuelta a tiempo")),IF($U913="","Sin clasificar",IF(TODAY()&gt;$U913,"Vencida",IF(TODAY()&gt;=$U913-1,"Por vencer","En plazo")))))</f>
        <v/>
      </c>
      <c r="Y913" s="49" t="n"/>
      <c r="Z913" s="49" t="n"/>
    </row>
    <row r="914" ht="16" customHeight="1">
      <c r="A914" s="27">
        <f>IF($C914="","","N-"&amp;TEXT(ROW()-3,"0000"))</f>
        <v/>
      </c>
      <c r="B914" s="46" t="n"/>
      <c r="C914" s="47" t="n"/>
      <c r="D914" s="27">
        <f>IF($C914="","",IF(COUNTIFS(ENVIOS!$A$4:$A$3003,$C914)=0,"NO EXISTE",IF(COUNTIFS(ENVIOS!$A$4:$A$3003,$C914)&gt;1,"DUPLICADA","OK")))</f>
        <v/>
      </c>
      <c r="E914" s="22">
        <f>IF($C914="","",IFERROR(INDEX(ENVIOS!$C$4:$C$3003,MATCH($C914,ENVIOS!$A$4:$A$3003,0)),"—"))</f>
        <v/>
      </c>
      <c r="F914" s="22">
        <f>IF($C914="","",IFERROR(INDEX(ENVIOS!$D$4:$D$3003,MATCH($C914,ENVIOS!$A$4:$A$3003,0)),"—"))</f>
        <v/>
      </c>
      <c r="G914" s="22">
        <f>IF($C914="","",IFERROR(INDEX(ENVIOS!$E$4:$E$3003,MATCH($C914,ENVIOS!$A$4:$A$3003,0)),"—"))</f>
        <v/>
      </c>
      <c r="H914" s="22">
        <f>IF($C914="","",IFERROR(INDEX(ENVIOS!$F$4:$F$3003,MATCH($C914,ENVIOS!$A$4:$A$3003,0)),"—"))</f>
        <v/>
      </c>
      <c r="I914" s="27">
        <f>IF($C914="","",IFERROR(INDEX(ENVIOS!$G$4:$G$3003,MATCH($C914,ENVIOS!$A$4:$A$3003,0)),"—"))</f>
        <v/>
      </c>
      <c r="J914" s="48">
        <f>IF($C914="","",IFERROR(INDEX(ENVIOS!$B$4:$B$3003,MATCH($C914,ENVIOS!$A$4:$A$3003,0)),""))</f>
        <v/>
      </c>
      <c r="K914" s="49" t="n"/>
      <c r="L914" s="27">
        <f>IF($K914="","",IFERROR(INDEX(CONFIG!$B$4:$B$43,MATCH($K914,CONFIG!$A$4:$A$43,0)),"Media"))</f>
        <v/>
      </c>
      <c r="M914" s="27">
        <f>IF($K914="","",IFERROR(INDEX(CONFIG!$D$4:$D$43,MATCH($K914,CONFIG!$A$4:$A$43,0)),"NO"))</f>
        <v/>
      </c>
      <c r="N914" s="49" t="n"/>
      <c r="O914" s="27">
        <f>IF($N914="","",IFERROR(INDEX(CONFIG!$G$4:$G$43,MATCH($N914,CONFIG!$F$4:$F$43,0)),"Por definir"))</f>
        <v/>
      </c>
      <c r="P914" s="27">
        <f>IF($N914="","",IFERROR(INDEX(CONFIG!$H$4:$H$43,MATCH($N914,CONFIG!$F$4:$F$43,0)),"Por definir"))</f>
        <v/>
      </c>
      <c r="Q914" s="50" t="n"/>
      <c r="R914" s="51" t="n"/>
      <c r="S914" s="49" t="n"/>
      <c r="T914" s="49" t="n"/>
      <c r="U914" s="48">
        <f>IF(OR($B914="",$K914=""),"",WORKDAY($B914,IFERROR(INDEX(CONFIG!$C$4:$C$43,MATCH($K914,CONFIG!$A$4:$A$43,0)),3)))</f>
        <v/>
      </c>
      <c r="V914" s="46" t="n"/>
      <c r="W914" s="23">
        <f>IF($B914="","",IF($V914&lt;&gt;"",$V914-$B914,TODAY()-$B914))</f>
        <v/>
      </c>
      <c r="X914" s="27">
        <f>IF($C914="","",IF(IFERROR(INDEX(CONFIG!$K$4:$K$43,MATCH($S914,CONFIG!$J$4:$J$43,0)),"NO")="SÍ",IF(OR($V914="",$U914=""),"Resuelta",IF($V914&gt;$U914,"Resuelta tarde","Resuelta a tiempo")),IF($U914="","Sin clasificar",IF(TODAY()&gt;$U914,"Vencida",IF(TODAY()&gt;=$U914-1,"Por vencer","En plazo")))))</f>
        <v/>
      </c>
      <c r="Y914" s="49" t="n"/>
      <c r="Z914" s="49" t="n"/>
    </row>
    <row r="915" ht="16" customHeight="1">
      <c r="A915" s="27">
        <f>IF($C915="","","N-"&amp;TEXT(ROW()-3,"0000"))</f>
        <v/>
      </c>
      <c r="B915" s="46" t="n"/>
      <c r="C915" s="47" t="n"/>
      <c r="D915" s="27">
        <f>IF($C915="","",IF(COUNTIFS(ENVIOS!$A$4:$A$3003,$C915)=0,"NO EXISTE",IF(COUNTIFS(ENVIOS!$A$4:$A$3003,$C915)&gt;1,"DUPLICADA","OK")))</f>
        <v/>
      </c>
      <c r="E915" s="22">
        <f>IF($C915="","",IFERROR(INDEX(ENVIOS!$C$4:$C$3003,MATCH($C915,ENVIOS!$A$4:$A$3003,0)),"—"))</f>
        <v/>
      </c>
      <c r="F915" s="22">
        <f>IF($C915="","",IFERROR(INDEX(ENVIOS!$D$4:$D$3003,MATCH($C915,ENVIOS!$A$4:$A$3003,0)),"—"))</f>
        <v/>
      </c>
      <c r="G915" s="22">
        <f>IF($C915="","",IFERROR(INDEX(ENVIOS!$E$4:$E$3003,MATCH($C915,ENVIOS!$A$4:$A$3003,0)),"—"))</f>
        <v/>
      </c>
      <c r="H915" s="22">
        <f>IF($C915="","",IFERROR(INDEX(ENVIOS!$F$4:$F$3003,MATCH($C915,ENVIOS!$A$4:$A$3003,0)),"—"))</f>
        <v/>
      </c>
      <c r="I915" s="27">
        <f>IF($C915="","",IFERROR(INDEX(ENVIOS!$G$4:$G$3003,MATCH($C915,ENVIOS!$A$4:$A$3003,0)),"—"))</f>
        <v/>
      </c>
      <c r="J915" s="48">
        <f>IF($C915="","",IFERROR(INDEX(ENVIOS!$B$4:$B$3003,MATCH($C915,ENVIOS!$A$4:$A$3003,0)),""))</f>
        <v/>
      </c>
      <c r="K915" s="49" t="n"/>
      <c r="L915" s="27">
        <f>IF($K915="","",IFERROR(INDEX(CONFIG!$B$4:$B$43,MATCH($K915,CONFIG!$A$4:$A$43,0)),"Media"))</f>
        <v/>
      </c>
      <c r="M915" s="27">
        <f>IF($K915="","",IFERROR(INDEX(CONFIG!$D$4:$D$43,MATCH($K915,CONFIG!$A$4:$A$43,0)),"NO"))</f>
        <v/>
      </c>
      <c r="N915" s="49" t="n"/>
      <c r="O915" s="27">
        <f>IF($N915="","",IFERROR(INDEX(CONFIG!$G$4:$G$43,MATCH($N915,CONFIG!$F$4:$F$43,0)),"Por definir"))</f>
        <v/>
      </c>
      <c r="P915" s="27">
        <f>IF($N915="","",IFERROR(INDEX(CONFIG!$H$4:$H$43,MATCH($N915,CONFIG!$F$4:$F$43,0)),"Por definir"))</f>
        <v/>
      </c>
      <c r="Q915" s="50" t="n"/>
      <c r="R915" s="51" t="n"/>
      <c r="S915" s="49" t="n"/>
      <c r="T915" s="49" t="n"/>
      <c r="U915" s="48">
        <f>IF(OR($B915="",$K915=""),"",WORKDAY($B915,IFERROR(INDEX(CONFIG!$C$4:$C$43,MATCH($K915,CONFIG!$A$4:$A$43,0)),3)))</f>
        <v/>
      </c>
      <c r="V915" s="46" t="n"/>
      <c r="W915" s="23">
        <f>IF($B915="","",IF($V915&lt;&gt;"",$V915-$B915,TODAY()-$B915))</f>
        <v/>
      </c>
      <c r="X915" s="27">
        <f>IF($C915="","",IF(IFERROR(INDEX(CONFIG!$K$4:$K$43,MATCH($S915,CONFIG!$J$4:$J$43,0)),"NO")="SÍ",IF(OR($V915="",$U915=""),"Resuelta",IF($V915&gt;$U915,"Resuelta tarde","Resuelta a tiempo")),IF($U915="","Sin clasificar",IF(TODAY()&gt;$U915,"Vencida",IF(TODAY()&gt;=$U915-1,"Por vencer","En plazo")))))</f>
        <v/>
      </c>
      <c r="Y915" s="49" t="n"/>
      <c r="Z915" s="49" t="n"/>
    </row>
    <row r="916" ht="16" customHeight="1">
      <c r="A916" s="27">
        <f>IF($C916="","","N-"&amp;TEXT(ROW()-3,"0000"))</f>
        <v/>
      </c>
      <c r="B916" s="46" t="n"/>
      <c r="C916" s="47" t="n"/>
      <c r="D916" s="27">
        <f>IF($C916="","",IF(COUNTIFS(ENVIOS!$A$4:$A$3003,$C916)=0,"NO EXISTE",IF(COUNTIFS(ENVIOS!$A$4:$A$3003,$C916)&gt;1,"DUPLICADA","OK")))</f>
        <v/>
      </c>
      <c r="E916" s="22">
        <f>IF($C916="","",IFERROR(INDEX(ENVIOS!$C$4:$C$3003,MATCH($C916,ENVIOS!$A$4:$A$3003,0)),"—"))</f>
        <v/>
      </c>
      <c r="F916" s="22">
        <f>IF($C916="","",IFERROR(INDEX(ENVIOS!$D$4:$D$3003,MATCH($C916,ENVIOS!$A$4:$A$3003,0)),"—"))</f>
        <v/>
      </c>
      <c r="G916" s="22">
        <f>IF($C916="","",IFERROR(INDEX(ENVIOS!$E$4:$E$3003,MATCH($C916,ENVIOS!$A$4:$A$3003,0)),"—"))</f>
        <v/>
      </c>
      <c r="H916" s="22">
        <f>IF($C916="","",IFERROR(INDEX(ENVIOS!$F$4:$F$3003,MATCH($C916,ENVIOS!$A$4:$A$3003,0)),"—"))</f>
        <v/>
      </c>
      <c r="I916" s="27">
        <f>IF($C916="","",IFERROR(INDEX(ENVIOS!$G$4:$G$3003,MATCH($C916,ENVIOS!$A$4:$A$3003,0)),"—"))</f>
        <v/>
      </c>
      <c r="J916" s="48">
        <f>IF($C916="","",IFERROR(INDEX(ENVIOS!$B$4:$B$3003,MATCH($C916,ENVIOS!$A$4:$A$3003,0)),""))</f>
        <v/>
      </c>
      <c r="K916" s="49" t="n"/>
      <c r="L916" s="27">
        <f>IF($K916="","",IFERROR(INDEX(CONFIG!$B$4:$B$43,MATCH($K916,CONFIG!$A$4:$A$43,0)),"Media"))</f>
        <v/>
      </c>
      <c r="M916" s="27">
        <f>IF($K916="","",IFERROR(INDEX(CONFIG!$D$4:$D$43,MATCH($K916,CONFIG!$A$4:$A$43,0)),"NO"))</f>
        <v/>
      </c>
      <c r="N916" s="49" t="n"/>
      <c r="O916" s="27">
        <f>IF($N916="","",IFERROR(INDEX(CONFIG!$G$4:$G$43,MATCH($N916,CONFIG!$F$4:$F$43,0)),"Por definir"))</f>
        <v/>
      </c>
      <c r="P916" s="27">
        <f>IF($N916="","",IFERROR(INDEX(CONFIG!$H$4:$H$43,MATCH($N916,CONFIG!$F$4:$F$43,0)),"Por definir"))</f>
        <v/>
      </c>
      <c r="Q916" s="50" t="n"/>
      <c r="R916" s="51" t="n"/>
      <c r="S916" s="49" t="n"/>
      <c r="T916" s="49" t="n"/>
      <c r="U916" s="48">
        <f>IF(OR($B916="",$K916=""),"",WORKDAY($B916,IFERROR(INDEX(CONFIG!$C$4:$C$43,MATCH($K916,CONFIG!$A$4:$A$43,0)),3)))</f>
        <v/>
      </c>
      <c r="V916" s="46" t="n"/>
      <c r="W916" s="23">
        <f>IF($B916="","",IF($V916&lt;&gt;"",$V916-$B916,TODAY()-$B916))</f>
        <v/>
      </c>
      <c r="X916" s="27">
        <f>IF($C916="","",IF(IFERROR(INDEX(CONFIG!$K$4:$K$43,MATCH($S916,CONFIG!$J$4:$J$43,0)),"NO")="SÍ",IF(OR($V916="",$U916=""),"Resuelta",IF($V916&gt;$U916,"Resuelta tarde","Resuelta a tiempo")),IF($U916="","Sin clasificar",IF(TODAY()&gt;$U916,"Vencida",IF(TODAY()&gt;=$U916-1,"Por vencer","En plazo")))))</f>
        <v/>
      </c>
      <c r="Y916" s="49" t="n"/>
      <c r="Z916" s="49" t="n"/>
    </row>
    <row r="917" ht="16" customHeight="1">
      <c r="A917" s="27">
        <f>IF($C917="","","N-"&amp;TEXT(ROW()-3,"0000"))</f>
        <v/>
      </c>
      <c r="B917" s="46" t="n"/>
      <c r="C917" s="47" t="n"/>
      <c r="D917" s="27">
        <f>IF($C917="","",IF(COUNTIFS(ENVIOS!$A$4:$A$3003,$C917)=0,"NO EXISTE",IF(COUNTIFS(ENVIOS!$A$4:$A$3003,$C917)&gt;1,"DUPLICADA","OK")))</f>
        <v/>
      </c>
      <c r="E917" s="22">
        <f>IF($C917="","",IFERROR(INDEX(ENVIOS!$C$4:$C$3003,MATCH($C917,ENVIOS!$A$4:$A$3003,0)),"—"))</f>
        <v/>
      </c>
      <c r="F917" s="22">
        <f>IF($C917="","",IFERROR(INDEX(ENVIOS!$D$4:$D$3003,MATCH($C917,ENVIOS!$A$4:$A$3003,0)),"—"))</f>
        <v/>
      </c>
      <c r="G917" s="22">
        <f>IF($C917="","",IFERROR(INDEX(ENVIOS!$E$4:$E$3003,MATCH($C917,ENVIOS!$A$4:$A$3003,0)),"—"))</f>
        <v/>
      </c>
      <c r="H917" s="22">
        <f>IF($C917="","",IFERROR(INDEX(ENVIOS!$F$4:$F$3003,MATCH($C917,ENVIOS!$A$4:$A$3003,0)),"—"))</f>
        <v/>
      </c>
      <c r="I917" s="27">
        <f>IF($C917="","",IFERROR(INDEX(ENVIOS!$G$4:$G$3003,MATCH($C917,ENVIOS!$A$4:$A$3003,0)),"—"))</f>
        <v/>
      </c>
      <c r="J917" s="48">
        <f>IF($C917="","",IFERROR(INDEX(ENVIOS!$B$4:$B$3003,MATCH($C917,ENVIOS!$A$4:$A$3003,0)),""))</f>
        <v/>
      </c>
      <c r="K917" s="49" t="n"/>
      <c r="L917" s="27">
        <f>IF($K917="","",IFERROR(INDEX(CONFIG!$B$4:$B$43,MATCH($K917,CONFIG!$A$4:$A$43,0)),"Media"))</f>
        <v/>
      </c>
      <c r="M917" s="27">
        <f>IF($K917="","",IFERROR(INDEX(CONFIG!$D$4:$D$43,MATCH($K917,CONFIG!$A$4:$A$43,0)),"NO"))</f>
        <v/>
      </c>
      <c r="N917" s="49" t="n"/>
      <c r="O917" s="27">
        <f>IF($N917="","",IFERROR(INDEX(CONFIG!$G$4:$G$43,MATCH($N917,CONFIG!$F$4:$F$43,0)),"Por definir"))</f>
        <v/>
      </c>
      <c r="P917" s="27">
        <f>IF($N917="","",IFERROR(INDEX(CONFIG!$H$4:$H$43,MATCH($N917,CONFIG!$F$4:$F$43,0)),"Por definir"))</f>
        <v/>
      </c>
      <c r="Q917" s="50" t="n"/>
      <c r="R917" s="51" t="n"/>
      <c r="S917" s="49" t="n"/>
      <c r="T917" s="49" t="n"/>
      <c r="U917" s="48">
        <f>IF(OR($B917="",$K917=""),"",WORKDAY($B917,IFERROR(INDEX(CONFIG!$C$4:$C$43,MATCH($K917,CONFIG!$A$4:$A$43,0)),3)))</f>
        <v/>
      </c>
      <c r="V917" s="46" t="n"/>
      <c r="W917" s="23">
        <f>IF($B917="","",IF($V917&lt;&gt;"",$V917-$B917,TODAY()-$B917))</f>
        <v/>
      </c>
      <c r="X917" s="27">
        <f>IF($C917="","",IF(IFERROR(INDEX(CONFIG!$K$4:$K$43,MATCH($S917,CONFIG!$J$4:$J$43,0)),"NO")="SÍ",IF(OR($V917="",$U917=""),"Resuelta",IF($V917&gt;$U917,"Resuelta tarde","Resuelta a tiempo")),IF($U917="","Sin clasificar",IF(TODAY()&gt;$U917,"Vencida",IF(TODAY()&gt;=$U917-1,"Por vencer","En plazo")))))</f>
        <v/>
      </c>
      <c r="Y917" s="49" t="n"/>
      <c r="Z917" s="49" t="n"/>
    </row>
    <row r="918" ht="16" customHeight="1">
      <c r="A918" s="27">
        <f>IF($C918="","","N-"&amp;TEXT(ROW()-3,"0000"))</f>
        <v/>
      </c>
      <c r="B918" s="46" t="n"/>
      <c r="C918" s="47" t="n"/>
      <c r="D918" s="27">
        <f>IF($C918="","",IF(COUNTIFS(ENVIOS!$A$4:$A$3003,$C918)=0,"NO EXISTE",IF(COUNTIFS(ENVIOS!$A$4:$A$3003,$C918)&gt;1,"DUPLICADA","OK")))</f>
        <v/>
      </c>
      <c r="E918" s="22">
        <f>IF($C918="","",IFERROR(INDEX(ENVIOS!$C$4:$C$3003,MATCH($C918,ENVIOS!$A$4:$A$3003,0)),"—"))</f>
        <v/>
      </c>
      <c r="F918" s="22">
        <f>IF($C918="","",IFERROR(INDEX(ENVIOS!$D$4:$D$3003,MATCH($C918,ENVIOS!$A$4:$A$3003,0)),"—"))</f>
        <v/>
      </c>
      <c r="G918" s="22">
        <f>IF($C918="","",IFERROR(INDEX(ENVIOS!$E$4:$E$3003,MATCH($C918,ENVIOS!$A$4:$A$3003,0)),"—"))</f>
        <v/>
      </c>
      <c r="H918" s="22">
        <f>IF($C918="","",IFERROR(INDEX(ENVIOS!$F$4:$F$3003,MATCH($C918,ENVIOS!$A$4:$A$3003,0)),"—"))</f>
        <v/>
      </c>
      <c r="I918" s="27">
        <f>IF($C918="","",IFERROR(INDEX(ENVIOS!$G$4:$G$3003,MATCH($C918,ENVIOS!$A$4:$A$3003,0)),"—"))</f>
        <v/>
      </c>
      <c r="J918" s="48">
        <f>IF($C918="","",IFERROR(INDEX(ENVIOS!$B$4:$B$3003,MATCH($C918,ENVIOS!$A$4:$A$3003,0)),""))</f>
        <v/>
      </c>
      <c r="K918" s="49" t="n"/>
      <c r="L918" s="27">
        <f>IF($K918="","",IFERROR(INDEX(CONFIG!$B$4:$B$43,MATCH($K918,CONFIG!$A$4:$A$43,0)),"Media"))</f>
        <v/>
      </c>
      <c r="M918" s="27">
        <f>IF($K918="","",IFERROR(INDEX(CONFIG!$D$4:$D$43,MATCH($K918,CONFIG!$A$4:$A$43,0)),"NO"))</f>
        <v/>
      </c>
      <c r="N918" s="49" t="n"/>
      <c r="O918" s="27">
        <f>IF($N918="","",IFERROR(INDEX(CONFIG!$G$4:$G$43,MATCH($N918,CONFIG!$F$4:$F$43,0)),"Por definir"))</f>
        <v/>
      </c>
      <c r="P918" s="27">
        <f>IF($N918="","",IFERROR(INDEX(CONFIG!$H$4:$H$43,MATCH($N918,CONFIG!$F$4:$F$43,0)),"Por definir"))</f>
        <v/>
      </c>
      <c r="Q918" s="50" t="n"/>
      <c r="R918" s="51" t="n"/>
      <c r="S918" s="49" t="n"/>
      <c r="T918" s="49" t="n"/>
      <c r="U918" s="48">
        <f>IF(OR($B918="",$K918=""),"",WORKDAY($B918,IFERROR(INDEX(CONFIG!$C$4:$C$43,MATCH($K918,CONFIG!$A$4:$A$43,0)),3)))</f>
        <v/>
      </c>
      <c r="V918" s="46" t="n"/>
      <c r="W918" s="23">
        <f>IF($B918="","",IF($V918&lt;&gt;"",$V918-$B918,TODAY()-$B918))</f>
        <v/>
      </c>
      <c r="X918" s="27">
        <f>IF($C918="","",IF(IFERROR(INDEX(CONFIG!$K$4:$K$43,MATCH($S918,CONFIG!$J$4:$J$43,0)),"NO")="SÍ",IF(OR($V918="",$U918=""),"Resuelta",IF($V918&gt;$U918,"Resuelta tarde","Resuelta a tiempo")),IF($U918="","Sin clasificar",IF(TODAY()&gt;$U918,"Vencida",IF(TODAY()&gt;=$U918-1,"Por vencer","En plazo")))))</f>
        <v/>
      </c>
      <c r="Y918" s="49" t="n"/>
      <c r="Z918" s="49" t="n"/>
    </row>
    <row r="919" ht="16" customHeight="1">
      <c r="A919" s="27">
        <f>IF($C919="","","N-"&amp;TEXT(ROW()-3,"0000"))</f>
        <v/>
      </c>
      <c r="B919" s="46" t="n"/>
      <c r="C919" s="47" t="n"/>
      <c r="D919" s="27">
        <f>IF($C919="","",IF(COUNTIFS(ENVIOS!$A$4:$A$3003,$C919)=0,"NO EXISTE",IF(COUNTIFS(ENVIOS!$A$4:$A$3003,$C919)&gt;1,"DUPLICADA","OK")))</f>
        <v/>
      </c>
      <c r="E919" s="22">
        <f>IF($C919="","",IFERROR(INDEX(ENVIOS!$C$4:$C$3003,MATCH($C919,ENVIOS!$A$4:$A$3003,0)),"—"))</f>
        <v/>
      </c>
      <c r="F919" s="22">
        <f>IF($C919="","",IFERROR(INDEX(ENVIOS!$D$4:$D$3003,MATCH($C919,ENVIOS!$A$4:$A$3003,0)),"—"))</f>
        <v/>
      </c>
      <c r="G919" s="22">
        <f>IF($C919="","",IFERROR(INDEX(ENVIOS!$E$4:$E$3003,MATCH($C919,ENVIOS!$A$4:$A$3003,0)),"—"))</f>
        <v/>
      </c>
      <c r="H919" s="22">
        <f>IF($C919="","",IFERROR(INDEX(ENVIOS!$F$4:$F$3003,MATCH($C919,ENVIOS!$A$4:$A$3003,0)),"—"))</f>
        <v/>
      </c>
      <c r="I919" s="27">
        <f>IF($C919="","",IFERROR(INDEX(ENVIOS!$G$4:$G$3003,MATCH($C919,ENVIOS!$A$4:$A$3003,0)),"—"))</f>
        <v/>
      </c>
      <c r="J919" s="48">
        <f>IF($C919="","",IFERROR(INDEX(ENVIOS!$B$4:$B$3003,MATCH($C919,ENVIOS!$A$4:$A$3003,0)),""))</f>
        <v/>
      </c>
      <c r="K919" s="49" t="n"/>
      <c r="L919" s="27">
        <f>IF($K919="","",IFERROR(INDEX(CONFIG!$B$4:$B$43,MATCH($K919,CONFIG!$A$4:$A$43,0)),"Media"))</f>
        <v/>
      </c>
      <c r="M919" s="27">
        <f>IF($K919="","",IFERROR(INDEX(CONFIG!$D$4:$D$43,MATCH($K919,CONFIG!$A$4:$A$43,0)),"NO"))</f>
        <v/>
      </c>
      <c r="N919" s="49" t="n"/>
      <c r="O919" s="27">
        <f>IF($N919="","",IFERROR(INDEX(CONFIG!$G$4:$G$43,MATCH($N919,CONFIG!$F$4:$F$43,0)),"Por definir"))</f>
        <v/>
      </c>
      <c r="P919" s="27">
        <f>IF($N919="","",IFERROR(INDEX(CONFIG!$H$4:$H$43,MATCH($N919,CONFIG!$F$4:$F$43,0)),"Por definir"))</f>
        <v/>
      </c>
      <c r="Q919" s="50" t="n"/>
      <c r="R919" s="51" t="n"/>
      <c r="S919" s="49" t="n"/>
      <c r="T919" s="49" t="n"/>
      <c r="U919" s="48">
        <f>IF(OR($B919="",$K919=""),"",WORKDAY($B919,IFERROR(INDEX(CONFIG!$C$4:$C$43,MATCH($K919,CONFIG!$A$4:$A$43,0)),3)))</f>
        <v/>
      </c>
      <c r="V919" s="46" t="n"/>
      <c r="W919" s="23">
        <f>IF($B919="","",IF($V919&lt;&gt;"",$V919-$B919,TODAY()-$B919))</f>
        <v/>
      </c>
      <c r="X919" s="27">
        <f>IF($C919="","",IF(IFERROR(INDEX(CONFIG!$K$4:$K$43,MATCH($S919,CONFIG!$J$4:$J$43,0)),"NO")="SÍ",IF(OR($V919="",$U919=""),"Resuelta",IF($V919&gt;$U919,"Resuelta tarde","Resuelta a tiempo")),IF($U919="","Sin clasificar",IF(TODAY()&gt;$U919,"Vencida",IF(TODAY()&gt;=$U919-1,"Por vencer","En plazo")))))</f>
        <v/>
      </c>
      <c r="Y919" s="49" t="n"/>
      <c r="Z919" s="49" t="n"/>
    </row>
    <row r="920" ht="16" customHeight="1">
      <c r="A920" s="27">
        <f>IF($C920="","","N-"&amp;TEXT(ROW()-3,"0000"))</f>
        <v/>
      </c>
      <c r="B920" s="46" t="n"/>
      <c r="C920" s="47" t="n"/>
      <c r="D920" s="27">
        <f>IF($C920="","",IF(COUNTIFS(ENVIOS!$A$4:$A$3003,$C920)=0,"NO EXISTE",IF(COUNTIFS(ENVIOS!$A$4:$A$3003,$C920)&gt;1,"DUPLICADA","OK")))</f>
        <v/>
      </c>
      <c r="E920" s="22">
        <f>IF($C920="","",IFERROR(INDEX(ENVIOS!$C$4:$C$3003,MATCH($C920,ENVIOS!$A$4:$A$3003,0)),"—"))</f>
        <v/>
      </c>
      <c r="F920" s="22">
        <f>IF($C920="","",IFERROR(INDEX(ENVIOS!$D$4:$D$3003,MATCH($C920,ENVIOS!$A$4:$A$3003,0)),"—"))</f>
        <v/>
      </c>
      <c r="G920" s="22">
        <f>IF($C920="","",IFERROR(INDEX(ENVIOS!$E$4:$E$3003,MATCH($C920,ENVIOS!$A$4:$A$3003,0)),"—"))</f>
        <v/>
      </c>
      <c r="H920" s="22">
        <f>IF($C920="","",IFERROR(INDEX(ENVIOS!$F$4:$F$3003,MATCH($C920,ENVIOS!$A$4:$A$3003,0)),"—"))</f>
        <v/>
      </c>
      <c r="I920" s="27">
        <f>IF($C920="","",IFERROR(INDEX(ENVIOS!$G$4:$G$3003,MATCH($C920,ENVIOS!$A$4:$A$3003,0)),"—"))</f>
        <v/>
      </c>
      <c r="J920" s="48">
        <f>IF($C920="","",IFERROR(INDEX(ENVIOS!$B$4:$B$3003,MATCH($C920,ENVIOS!$A$4:$A$3003,0)),""))</f>
        <v/>
      </c>
      <c r="K920" s="49" t="n"/>
      <c r="L920" s="27">
        <f>IF($K920="","",IFERROR(INDEX(CONFIG!$B$4:$B$43,MATCH($K920,CONFIG!$A$4:$A$43,0)),"Media"))</f>
        <v/>
      </c>
      <c r="M920" s="27">
        <f>IF($K920="","",IFERROR(INDEX(CONFIG!$D$4:$D$43,MATCH($K920,CONFIG!$A$4:$A$43,0)),"NO"))</f>
        <v/>
      </c>
      <c r="N920" s="49" t="n"/>
      <c r="O920" s="27">
        <f>IF($N920="","",IFERROR(INDEX(CONFIG!$G$4:$G$43,MATCH($N920,CONFIG!$F$4:$F$43,0)),"Por definir"))</f>
        <v/>
      </c>
      <c r="P920" s="27">
        <f>IF($N920="","",IFERROR(INDEX(CONFIG!$H$4:$H$43,MATCH($N920,CONFIG!$F$4:$F$43,0)),"Por definir"))</f>
        <v/>
      </c>
      <c r="Q920" s="50" t="n"/>
      <c r="R920" s="51" t="n"/>
      <c r="S920" s="49" t="n"/>
      <c r="T920" s="49" t="n"/>
      <c r="U920" s="48">
        <f>IF(OR($B920="",$K920=""),"",WORKDAY($B920,IFERROR(INDEX(CONFIG!$C$4:$C$43,MATCH($K920,CONFIG!$A$4:$A$43,0)),3)))</f>
        <v/>
      </c>
      <c r="V920" s="46" t="n"/>
      <c r="W920" s="23">
        <f>IF($B920="","",IF($V920&lt;&gt;"",$V920-$B920,TODAY()-$B920))</f>
        <v/>
      </c>
      <c r="X920" s="27">
        <f>IF($C920="","",IF(IFERROR(INDEX(CONFIG!$K$4:$K$43,MATCH($S920,CONFIG!$J$4:$J$43,0)),"NO")="SÍ",IF(OR($V920="",$U920=""),"Resuelta",IF($V920&gt;$U920,"Resuelta tarde","Resuelta a tiempo")),IF($U920="","Sin clasificar",IF(TODAY()&gt;$U920,"Vencida",IF(TODAY()&gt;=$U920-1,"Por vencer","En plazo")))))</f>
        <v/>
      </c>
      <c r="Y920" s="49" t="n"/>
      <c r="Z920" s="49" t="n"/>
    </row>
    <row r="921" ht="16" customHeight="1">
      <c r="A921" s="27">
        <f>IF($C921="","","N-"&amp;TEXT(ROW()-3,"0000"))</f>
        <v/>
      </c>
      <c r="B921" s="46" t="n"/>
      <c r="C921" s="47" t="n"/>
      <c r="D921" s="27">
        <f>IF($C921="","",IF(COUNTIFS(ENVIOS!$A$4:$A$3003,$C921)=0,"NO EXISTE",IF(COUNTIFS(ENVIOS!$A$4:$A$3003,$C921)&gt;1,"DUPLICADA","OK")))</f>
        <v/>
      </c>
      <c r="E921" s="22">
        <f>IF($C921="","",IFERROR(INDEX(ENVIOS!$C$4:$C$3003,MATCH($C921,ENVIOS!$A$4:$A$3003,0)),"—"))</f>
        <v/>
      </c>
      <c r="F921" s="22">
        <f>IF($C921="","",IFERROR(INDEX(ENVIOS!$D$4:$D$3003,MATCH($C921,ENVIOS!$A$4:$A$3003,0)),"—"))</f>
        <v/>
      </c>
      <c r="G921" s="22">
        <f>IF($C921="","",IFERROR(INDEX(ENVIOS!$E$4:$E$3003,MATCH($C921,ENVIOS!$A$4:$A$3003,0)),"—"))</f>
        <v/>
      </c>
      <c r="H921" s="22">
        <f>IF($C921="","",IFERROR(INDEX(ENVIOS!$F$4:$F$3003,MATCH($C921,ENVIOS!$A$4:$A$3003,0)),"—"))</f>
        <v/>
      </c>
      <c r="I921" s="27">
        <f>IF($C921="","",IFERROR(INDEX(ENVIOS!$G$4:$G$3003,MATCH($C921,ENVIOS!$A$4:$A$3003,0)),"—"))</f>
        <v/>
      </c>
      <c r="J921" s="48">
        <f>IF($C921="","",IFERROR(INDEX(ENVIOS!$B$4:$B$3003,MATCH($C921,ENVIOS!$A$4:$A$3003,0)),""))</f>
        <v/>
      </c>
      <c r="K921" s="49" t="n"/>
      <c r="L921" s="27">
        <f>IF($K921="","",IFERROR(INDEX(CONFIG!$B$4:$B$43,MATCH($K921,CONFIG!$A$4:$A$43,0)),"Media"))</f>
        <v/>
      </c>
      <c r="M921" s="27">
        <f>IF($K921="","",IFERROR(INDEX(CONFIG!$D$4:$D$43,MATCH($K921,CONFIG!$A$4:$A$43,0)),"NO"))</f>
        <v/>
      </c>
      <c r="N921" s="49" t="n"/>
      <c r="O921" s="27">
        <f>IF($N921="","",IFERROR(INDEX(CONFIG!$G$4:$G$43,MATCH($N921,CONFIG!$F$4:$F$43,0)),"Por definir"))</f>
        <v/>
      </c>
      <c r="P921" s="27">
        <f>IF($N921="","",IFERROR(INDEX(CONFIG!$H$4:$H$43,MATCH($N921,CONFIG!$F$4:$F$43,0)),"Por definir"))</f>
        <v/>
      </c>
      <c r="Q921" s="50" t="n"/>
      <c r="R921" s="51" t="n"/>
      <c r="S921" s="49" t="n"/>
      <c r="T921" s="49" t="n"/>
      <c r="U921" s="48">
        <f>IF(OR($B921="",$K921=""),"",WORKDAY($B921,IFERROR(INDEX(CONFIG!$C$4:$C$43,MATCH($K921,CONFIG!$A$4:$A$43,0)),3)))</f>
        <v/>
      </c>
      <c r="V921" s="46" t="n"/>
      <c r="W921" s="23">
        <f>IF($B921="","",IF($V921&lt;&gt;"",$V921-$B921,TODAY()-$B921))</f>
        <v/>
      </c>
      <c r="X921" s="27">
        <f>IF($C921="","",IF(IFERROR(INDEX(CONFIG!$K$4:$K$43,MATCH($S921,CONFIG!$J$4:$J$43,0)),"NO")="SÍ",IF(OR($V921="",$U921=""),"Resuelta",IF($V921&gt;$U921,"Resuelta tarde","Resuelta a tiempo")),IF($U921="","Sin clasificar",IF(TODAY()&gt;$U921,"Vencida",IF(TODAY()&gt;=$U921-1,"Por vencer","En plazo")))))</f>
        <v/>
      </c>
      <c r="Y921" s="49" t="n"/>
      <c r="Z921" s="49" t="n"/>
    </row>
    <row r="922" ht="16" customHeight="1">
      <c r="A922" s="27">
        <f>IF($C922="","","N-"&amp;TEXT(ROW()-3,"0000"))</f>
        <v/>
      </c>
      <c r="B922" s="46" t="n"/>
      <c r="C922" s="47" t="n"/>
      <c r="D922" s="27">
        <f>IF($C922="","",IF(COUNTIFS(ENVIOS!$A$4:$A$3003,$C922)=0,"NO EXISTE",IF(COUNTIFS(ENVIOS!$A$4:$A$3003,$C922)&gt;1,"DUPLICADA","OK")))</f>
        <v/>
      </c>
      <c r="E922" s="22">
        <f>IF($C922="","",IFERROR(INDEX(ENVIOS!$C$4:$C$3003,MATCH($C922,ENVIOS!$A$4:$A$3003,0)),"—"))</f>
        <v/>
      </c>
      <c r="F922" s="22">
        <f>IF($C922="","",IFERROR(INDEX(ENVIOS!$D$4:$D$3003,MATCH($C922,ENVIOS!$A$4:$A$3003,0)),"—"))</f>
        <v/>
      </c>
      <c r="G922" s="22">
        <f>IF($C922="","",IFERROR(INDEX(ENVIOS!$E$4:$E$3003,MATCH($C922,ENVIOS!$A$4:$A$3003,0)),"—"))</f>
        <v/>
      </c>
      <c r="H922" s="22">
        <f>IF($C922="","",IFERROR(INDEX(ENVIOS!$F$4:$F$3003,MATCH($C922,ENVIOS!$A$4:$A$3003,0)),"—"))</f>
        <v/>
      </c>
      <c r="I922" s="27">
        <f>IF($C922="","",IFERROR(INDEX(ENVIOS!$G$4:$G$3003,MATCH($C922,ENVIOS!$A$4:$A$3003,0)),"—"))</f>
        <v/>
      </c>
      <c r="J922" s="48">
        <f>IF($C922="","",IFERROR(INDEX(ENVIOS!$B$4:$B$3003,MATCH($C922,ENVIOS!$A$4:$A$3003,0)),""))</f>
        <v/>
      </c>
      <c r="K922" s="49" t="n"/>
      <c r="L922" s="27">
        <f>IF($K922="","",IFERROR(INDEX(CONFIG!$B$4:$B$43,MATCH($K922,CONFIG!$A$4:$A$43,0)),"Media"))</f>
        <v/>
      </c>
      <c r="M922" s="27">
        <f>IF($K922="","",IFERROR(INDEX(CONFIG!$D$4:$D$43,MATCH($K922,CONFIG!$A$4:$A$43,0)),"NO"))</f>
        <v/>
      </c>
      <c r="N922" s="49" t="n"/>
      <c r="O922" s="27">
        <f>IF($N922="","",IFERROR(INDEX(CONFIG!$G$4:$G$43,MATCH($N922,CONFIG!$F$4:$F$43,0)),"Por definir"))</f>
        <v/>
      </c>
      <c r="P922" s="27">
        <f>IF($N922="","",IFERROR(INDEX(CONFIG!$H$4:$H$43,MATCH($N922,CONFIG!$F$4:$F$43,0)),"Por definir"))</f>
        <v/>
      </c>
      <c r="Q922" s="50" t="n"/>
      <c r="R922" s="51" t="n"/>
      <c r="S922" s="49" t="n"/>
      <c r="T922" s="49" t="n"/>
      <c r="U922" s="48">
        <f>IF(OR($B922="",$K922=""),"",WORKDAY($B922,IFERROR(INDEX(CONFIG!$C$4:$C$43,MATCH($K922,CONFIG!$A$4:$A$43,0)),3)))</f>
        <v/>
      </c>
      <c r="V922" s="46" t="n"/>
      <c r="W922" s="23">
        <f>IF($B922="","",IF($V922&lt;&gt;"",$V922-$B922,TODAY()-$B922))</f>
        <v/>
      </c>
      <c r="X922" s="27">
        <f>IF($C922="","",IF(IFERROR(INDEX(CONFIG!$K$4:$K$43,MATCH($S922,CONFIG!$J$4:$J$43,0)),"NO")="SÍ",IF(OR($V922="",$U922=""),"Resuelta",IF($V922&gt;$U922,"Resuelta tarde","Resuelta a tiempo")),IF($U922="","Sin clasificar",IF(TODAY()&gt;$U922,"Vencida",IF(TODAY()&gt;=$U922-1,"Por vencer","En plazo")))))</f>
        <v/>
      </c>
      <c r="Y922" s="49" t="n"/>
      <c r="Z922" s="49" t="n"/>
    </row>
    <row r="923" ht="16" customHeight="1">
      <c r="A923" s="27">
        <f>IF($C923="","","N-"&amp;TEXT(ROW()-3,"0000"))</f>
        <v/>
      </c>
      <c r="B923" s="46" t="n"/>
      <c r="C923" s="47" t="n"/>
      <c r="D923" s="27">
        <f>IF($C923="","",IF(COUNTIFS(ENVIOS!$A$4:$A$3003,$C923)=0,"NO EXISTE",IF(COUNTIFS(ENVIOS!$A$4:$A$3003,$C923)&gt;1,"DUPLICADA","OK")))</f>
        <v/>
      </c>
      <c r="E923" s="22">
        <f>IF($C923="","",IFERROR(INDEX(ENVIOS!$C$4:$C$3003,MATCH($C923,ENVIOS!$A$4:$A$3003,0)),"—"))</f>
        <v/>
      </c>
      <c r="F923" s="22">
        <f>IF($C923="","",IFERROR(INDEX(ENVIOS!$D$4:$D$3003,MATCH($C923,ENVIOS!$A$4:$A$3003,0)),"—"))</f>
        <v/>
      </c>
      <c r="G923" s="22">
        <f>IF($C923="","",IFERROR(INDEX(ENVIOS!$E$4:$E$3003,MATCH($C923,ENVIOS!$A$4:$A$3003,0)),"—"))</f>
        <v/>
      </c>
      <c r="H923" s="22">
        <f>IF($C923="","",IFERROR(INDEX(ENVIOS!$F$4:$F$3003,MATCH($C923,ENVIOS!$A$4:$A$3003,0)),"—"))</f>
        <v/>
      </c>
      <c r="I923" s="27">
        <f>IF($C923="","",IFERROR(INDEX(ENVIOS!$G$4:$G$3003,MATCH($C923,ENVIOS!$A$4:$A$3003,0)),"—"))</f>
        <v/>
      </c>
      <c r="J923" s="48">
        <f>IF($C923="","",IFERROR(INDEX(ENVIOS!$B$4:$B$3003,MATCH($C923,ENVIOS!$A$4:$A$3003,0)),""))</f>
        <v/>
      </c>
      <c r="K923" s="49" t="n"/>
      <c r="L923" s="27">
        <f>IF($K923="","",IFERROR(INDEX(CONFIG!$B$4:$B$43,MATCH($K923,CONFIG!$A$4:$A$43,0)),"Media"))</f>
        <v/>
      </c>
      <c r="M923" s="27">
        <f>IF($K923="","",IFERROR(INDEX(CONFIG!$D$4:$D$43,MATCH($K923,CONFIG!$A$4:$A$43,0)),"NO"))</f>
        <v/>
      </c>
      <c r="N923" s="49" t="n"/>
      <c r="O923" s="27">
        <f>IF($N923="","",IFERROR(INDEX(CONFIG!$G$4:$G$43,MATCH($N923,CONFIG!$F$4:$F$43,0)),"Por definir"))</f>
        <v/>
      </c>
      <c r="P923" s="27">
        <f>IF($N923="","",IFERROR(INDEX(CONFIG!$H$4:$H$43,MATCH($N923,CONFIG!$F$4:$F$43,0)),"Por definir"))</f>
        <v/>
      </c>
      <c r="Q923" s="50" t="n"/>
      <c r="R923" s="51" t="n"/>
      <c r="S923" s="49" t="n"/>
      <c r="T923" s="49" t="n"/>
      <c r="U923" s="48">
        <f>IF(OR($B923="",$K923=""),"",WORKDAY($B923,IFERROR(INDEX(CONFIG!$C$4:$C$43,MATCH($K923,CONFIG!$A$4:$A$43,0)),3)))</f>
        <v/>
      </c>
      <c r="V923" s="46" t="n"/>
      <c r="W923" s="23">
        <f>IF($B923="","",IF($V923&lt;&gt;"",$V923-$B923,TODAY()-$B923))</f>
        <v/>
      </c>
      <c r="X923" s="27">
        <f>IF($C923="","",IF(IFERROR(INDEX(CONFIG!$K$4:$K$43,MATCH($S923,CONFIG!$J$4:$J$43,0)),"NO")="SÍ",IF(OR($V923="",$U923=""),"Resuelta",IF($V923&gt;$U923,"Resuelta tarde","Resuelta a tiempo")),IF($U923="","Sin clasificar",IF(TODAY()&gt;$U923,"Vencida",IF(TODAY()&gt;=$U923-1,"Por vencer","En plazo")))))</f>
        <v/>
      </c>
      <c r="Y923" s="49" t="n"/>
      <c r="Z923" s="49" t="n"/>
    </row>
    <row r="924" ht="16" customHeight="1">
      <c r="A924" s="27">
        <f>IF($C924="","","N-"&amp;TEXT(ROW()-3,"0000"))</f>
        <v/>
      </c>
      <c r="B924" s="46" t="n"/>
      <c r="C924" s="47" t="n"/>
      <c r="D924" s="27">
        <f>IF($C924="","",IF(COUNTIFS(ENVIOS!$A$4:$A$3003,$C924)=0,"NO EXISTE",IF(COUNTIFS(ENVIOS!$A$4:$A$3003,$C924)&gt;1,"DUPLICADA","OK")))</f>
        <v/>
      </c>
      <c r="E924" s="22">
        <f>IF($C924="","",IFERROR(INDEX(ENVIOS!$C$4:$C$3003,MATCH($C924,ENVIOS!$A$4:$A$3003,0)),"—"))</f>
        <v/>
      </c>
      <c r="F924" s="22">
        <f>IF($C924="","",IFERROR(INDEX(ENVIOS!$D$4:$D$3003,MATCH($C924,ENVIOS!$A$4:$A$3003,0)),"—"))</f>
        <v/>
      </c>
      <c r="G924" s="22">
        <f>IF($C924="","",IFERROR(INDEX(ENVIOS!$E$4:$E$3003,MATCH($C924,ENVIOS!$A$4:$A$3003,0)),"—"))</f>
        <v/>
      </c>
      <c r="H924" s="22">
        <f>IF($C924="","",IFERROR(INDEX(ENVIOS!$F$4:$F$3003,MATCH($C924,ENVIOS!$A$4:$A$3003,0)),"—"))</f>
        <v/>
      </c>
      <c r="I924" s="27">
        <f>IF($C924="","",IFERROR(INDEX(ENVIOS!$G$4:$G$3003,MATCH($C924,ENVIOS!$A$4:$A$3003,0)),"—"))</f>
        <v/>
      </c>
      <c r="J924" s="48">
        <f>IF($C924="","",IFERROR(INDEX(ENVIOS!$B$4:$B$3003,MATCH($C924,ENVIOS!$A$4:$A$3003,0)),""))</f>
        <v/>
      </c>
      <c r="K924" s="49" t="n"/>
      <c r="L924" s="27">
        <f>IF($K924="","",IFERROR(INDEX(CONFIG!$B$4:$B$43,MATCH($K924,CONFIG!$A$4:$A$43,0)),"Media"))</f>
        <v/>
      </c>
      <c r="M924" s="27">
        <f>IF($K924="","",IFERROR(INDEX(CONFIG!$D$4:$D$43,MATCH($K924,CONFIG!$A$4:$A$43,0)),"NO"))</f>
        <v/>
      </c>
      <c r="N924" s="49" t="n"/>
      <c r="O924" s="27">
        <f>IF($N924="","",IFERROR(INDEX(CONFIG!$G$4:$G$43,MATCH($N924,CONFIG!$F$4:$F$43,0)),"Por definir"))</f>
        <v/>
      </c>
      <c r="P924" s="27">
        <f>IF($N924="","",IFERROR(INDEX(CONFIG!$H$4:$H$43,MATCH($N924,CONFIG!$F$4:$F$43,0)),"Por definir"))</f>
        <v/>
      </c>
      <c r="Q924" s="50" t="n"/>
      <c r="R924" s="51" t="n"/>
      <c r="S924" s="49" t="n"/>
      <c r="T924" s="49" t="n"/>
      <c r="U924" s="48">
        <f>IF(OR($B924="",$K924=""),"",WORKDAY($B924,IFERROR(INDEX(CONFIG!$C$4:$C$43,MATCH($K924,CONFIG!$A$4:$A$43,0)),3)))</f>
        <v/>
      </c>
      <c r="V924" s="46" t="n"/>
      <c r="W924" s="23">
        <f>IF($B924="","",IF($V924&lt;&gt;"",$V924-$B924,TODAY()-$B924))</f>
        <v/>
      </c>
      <c r="X924" s="27">
        <f>IF($C924="","",IF(IFERROR(INDEX(CONFIG!$K$4:$K$43,MATCH($S924,CONFIG!$J$4:$J$43,0)),"NO")="SÍ",IF(OR($V924="",$U924=""),"Resuelta",IF($V924&gt;$U924,"Resuelta tarde","Resuelta a tiempo")),IF($U924="","Sin clasificar",IF(TODAY()&gt;$U924,"Vencida",IF(TODAY()&gt;=$U924-1,"Por vencer","En plazo")))))</f>
        <v/>
      </c>
      <c r="Y924" s="49" t="n"/>
      <c r="Z924" s="49" t="n"/>
    </row>
    <row r="925" ht="16" customHeight="1">
      <c r="A925" s="27">
        <f>IF($C925="","","N-"&amp;TEXT(ROW()-3,"0000"))</f>
        <v/>
      </c>
      <c r="B925" s="46" t="n"/>
      <c r="C925" s="47" t="n"/>
      <c r="D925" s="27">
        <f>IF($C925="","",IF(COUNTIFS(ENVIOS!$A$4:$A$3003,$C925)=0,"NO EXISTE",IF(COUNTIFS(ENVIOS!$A$4:$A$3003,$C925)&gt;1,"DUPLICADA","OK")))</f>
        <v/>
      </c>
      <c r="E925" s="22">
        <f>IF($C925="","",IFERROR(INDEX(ENVIOS!$C$4:$C$3003,MATCH($C925,ENVIOS!$A$4:$A$3003,0)),"—"))</f>
        <v/>
      </c>
      <c r="F925" s="22">
        <f>IF($C925="","",IFERROR(INDEX(ENVIOS!$D$4:$D$3003,MATCH($C925,ENVIOS!$A$4:$A$3003,0)),"—"))</f>
        <v/>
      </c>
      <c r="G925" s="22">
        <f>IF($C925="","",IFERROR(INDEX(ENVIOS!$E$4:$E$3003,MATCH($C925,ENVIOS!$A$4:$A$3003,0)),"—"))</f>
        <v/>
      </c>
      <c r="H925" s="22">
        <f>IF($C925="","",IFERROR(INDEX(ENVIOS!$F$4:$F$3003,MATCH($C925,ENVIOS!$A$4:$A$3003,0)),"—"))</f>
        <v/>
      </c>
      <c r="I925" s="27">
        <f>IF($C925="","",IFERROR(INDEX(ENVIOS!$G$4:$G$3003,MATCH($C925,ENVIOS!$A$4:$A$3003,0)),"—"))</f>
        <v/>
      </c>
      <c r="J925" s="48">
        <f>IF($C925="","",IFERROR(INDEX(ENVIOS!$B$4:$B$3003,MATCH($C925,ENVIOS!$A$4:$A$3003,0)),""))</f>
        <v/>
      </c>
      <c r="K925" s="49" t="n"/>
      <c r="L925" s="27">
        <f>IF($K925="","",IFERROR(INDEX(CONFIG!$B$4:$B$43,MATCH($K925,CONFIG!$A$4:$A$43,0)),"Media"))</f>
        <v/>
      </c>
      <c r="M925" s="27">
        <f>IF($K925="","",IFERROR(INDEX(CONFIG!$D$4:$D$43,MATCH($K925,CONFIG!$A$4:$A$43,0)),"NO"))</f>
        <v/>
      </c>
      <c r="N925" s="49" t="n"/>
      <c r="O925" s="27">
        <f>IF($N925="","",IFERROR(INDEX(CONFIG!$G$4:$G$43,MATCH($N925,CONFIG!$F$4:$F$43,0)),"Por definir"))</f>
        <v/>
      </c>
      <c r="P925" s="27">
        <f>IF($N925="","",IFERROR(INDEX(CONFIG!$H$4:$H$43,MATCH($N925,CONFIG!$F$4:$F$43,0)),"Por definir"))</f>
        <v/>
      </c>
      <c r="Q925" s="50" t="n"/>
      <c r="R925" s="51" t="n"/>
      <c r="S925" s="49" t="n"/>
      <c r="T925" s="49" t="n"/>
      <c r="U925" s="48">
        <f>IF(OR($B925="",$K925=""),"",WORKDAY($B925,IFERROR(INDEX(CONFIG!$C$4:$C$43,MATCH($K925,CONFIG!$A$4:$A$43,0)),3)))</f>
        <v/>
      </c>
      <c r="V925" s="46" t="n"/>
      <c r="W925" s="23">
        <f>IF($B925="","",IF($V925&lt;&gt;"",$V925-$B925,TODAY()-$B925))</f>
        <v/>
      </c>
      <c r="X925" s="27">
        <f>IF($C925="","",IF(IFERROR(INDEX(CONFIG!$K$4:$K$43,MATCH($S925,CONFIG!$J$4:$J$43,0)),"NO")="SÍ",IF(OR($V925="",$U925=""),"Resuelta",IF($V925&gt;$U925,"Resuelta tarde","Resuelta a tiempo")),IF($U925="","Sin clasificar",IF(TODAY()&gt;$U925,"Vencida",IF(TODAY()&gt;=$U925-1,"Por vencer","En plazo")))))</f>
        <v/>
      </c>
      <c r="Y925" s="49" t="n"/>
      <c r="Z925" s="49" t="n"/>
    </row>
    <row r="926" ht="16" customHeight="1">
      <c r="A926" s="27">
        <f>IF($C926="","","N-"&amp;TEXT(ROW()-3,"0000"))</f>
        <v/>
      </c>
      <c r="B926" s="46" t="n"/>
      <c r="C926" s="47" t="n"/>
      <c r="D926" s="27">
        <f>IF($C926="","",IF(COUNTIFS(ENVIOS!$A$4:$A$3003,$C926)=0,"NO EXISTE",IF(COUNTIFS(ENVIOS!$A$4:$A$3003,$C926)&gt;1,"DUPLICADA","OK")))</f>
        <v/>
      </c>
      <c r="E926" s="22">
        <f>IF($C926="","",IFERROR(INDEX(ENVIOS!$C$4:$C$3003,MATCH($C926,ENVIOS!$A$4:$A$3003,0)),"—"))</f>
        <v/>
      </c>
      <c r="F926" s="22">
        <f>IF($C926="","",IFERROR(INDEX(ENVIOS!$D$4:$D$3003,MATCH($C926,ENVIOS!$A$4:$A$3003,0)),"—"))</f>
        <v/>
      </c>
      <c r="G926" s="22">
        <f>IF($C926="","",IFERROR(INDEX(ENVIOS!$E$4:$E$3003,MATCH($C926,ENVIOS!$A$4:$A$3003,0)),"—"))</f>
        <v/>
      </c>
      <c r="H926" s="22">
        <f>IF($C926="","",IFERROR(INDEX(ENVIOS!$F$4:$F$3003,MATCH($C926,ENVIOS!$A$4:$A$3003,0)),"—"))</f>
        <v/>
      </c>
      <c r="I926" s="27">
        <f>IF($C926="","",IFERROR(INDEX(ENVIOS!$G$4:$G$3003,MATCH($C926,ENVIOS!$A$4:$A$3003,0)),"—"))</f>
        <v/>
      </c>
      <c r="J926" s="48">
        <f>IF($C926="","",IFERROR(INDEX(ENVIOS!$B$4:$B$3003,MATCH($C926,ENVIOS!$A$4:$A$3003,0)),""))</f>
        <v/>
      </c>
      <c r="K926" s="49" t="n"/>
      <c r="L926" s="27">
        <f>IF($K926="","",IFERROR(INDEX(CONFIG!$B$4:$B$43,MATCH($K926,CONFIG!$A$4:$A$43,0)),"Media"))</f>
        <v/>
      </c>
      <c r="M926" s="27">
        <f>IF($K926="","",IFERROR(INDEX(CONFIG!$D$4:$D$43,MATCH($K926,CONFIG!$A$4:$A$43,0)),"NO"))</f>
        <v/>
      </c>
      <c r="N926" s="49" t="n"/>
      <c r="O926" s="27">
        <f>IF($N926="","",IFERROR(INDEX(CONFIG!$G$4:$G$43,MATCH($N926,CONFIG!$F$4:$F$43,0)),"Por definir"))</f>
        <v/>
      </c>
      <c r="P926" s="27">
        <f>IF($N926="","",IFERROR(INDEX(CONFIG!$H$4:$H$43,MATCH($N926,CONFIG!$F$4:$F$43,0)),"Por definir"))</f>
        <v/>
      </c>
      <c r="Q926" s="50" t="n"/>
      <c r="R926" s="51" t="n"/>
      <c r="S926" s="49" t="n"/>
      <c r="T926" s="49" t="n"/>
      <c r="U926" s="48">
        <f>IF(OR($B926="",$K926=""),"",WORKDAY($B926,IFERROR(INDEX(CONFIG!$C$4:$C$43,MATCH($K926,CONFIG!$A$4:$A$43,0)),3)))</f>
        <v/>
      </c>
      <c r="V926" s="46" t="n"/>
      <c r="W926" s="23">
        <f>IF($B926="","",IF($V926&lt;&gt;"",$V926-$B926,TODAY()-$B926))</f>
        <v/>
      </c>
      <c r="X926" s="27">
        <f>IF($C926="","",IF(IFERROR(INDEX(CONFIG!$K$4:$K$43,MATCH($S926,CONFIG!$J$4:$J$43,0)),"NO")="SÍ",IF(OR($V926="",$U926=""),"Resuelta",IF($V926&gt;$U926,"Resuelta tarde","Resuelta a tiempo")),IF($U926="","Sin clasificar",IF(TODAY()&gt;$U926,"Vencida",IF(TODAY()&gt;=$U926-1,"Por vencer","En plazo")))))</f>
        <v/>
      </c>
      <c r="Y926" s="49" t="n"/>
      <c r="Z926" s="49" t="n"/>
    </row>
    <row r="927" ht="16" customHeight="1">
      <c r="A927" s="27">
        <f>IF($C927="","","N-"&amp;TEXT(ROW()-3,"0000"))</f>
        <v/>
      </c>
      <c r="B927" s="46" t="n"/>
      <c r="C927" s="47" t="n"/>
      <c r="D927" s="27">
        <f>IF($C927="","",IF(COUNTIFS(ENVIOS!$A$4:$A$3003,$C927)=0,"NO EXISTE",IF(COUNTIFS(ENVIOS!$A$4:$A$3003,$C927)&gt;1,"DUPLICADA","OK")))</f>
        <v/>
      </c>
      <c r="E927" s="22">
        <f>IF($C927="","",IFERROR(INDEX(ENVIOS!$C$4:$C$3003,MATCH($C927,ENVIOS!$A$4:$A$3003,0)),"—"))</f>
        <v/>
      </c>
      <c r="F927" s="22">
        <f>IF($C927="","",IFERROR(INDEX(ENVIOS!$D$4:$D$3003,MATCH($C927,ENVIOS!$A$4:$A$3003,0)),"—"))</f>
        <v/>
      </c>
      <c r="G927" s="22">
        <f>IF($C927="","",IFERROR(INDEX(ENVIOS!$E$4:$E$3003,MATCH($C927,ENVIOS!$A$4:$A$3003,0)),"—"))</f>
        <v/>
      </c>
      <c r="H927" s="22">
        <f>IF($C927="","",IFERROR(INDEX(ENVIOS!$F$4:$F$3003,MATCH($C927,ENVIOS!$A$4:$A$3003,0)),"—"))</f>
        <v/>
      </c>
      <c r="I927" s="27">
        <f>IF($C927="","",IFERROR(INDEX(ENVIOS!$G$4:$G$3003,MATCH($C927,ENVIOS!$A$4:$A$3003,0)),"—"))</f>
        <v/>
      </c>
      <c r="J927" s="48">
        <f>IF($C927="","",IFERROR(INDEX(ENVIOS!$B$4:$B$3003,MATCH($C927,ENVIOS!$A$4:$A$3003,0)),""))</f>
        <v/>
      </c>
      <c r="K927" s="49" t="n"/>
      <c r="L927" s="27">
        <f>IF($K927="","",IFERROR(INDEX(CONFIG!$B$4:$B$43,MATCH($K927,CONFIG!$A$4:$A$43,0)),"Media"))</f>
        <v/>
      </c>
      <c r="M927" s="27">
        <f>IF($K927="","",IFERROR(INDEX(CONFIG!$D$4:$D$43,MATCH($K927,CONFIG!$A$4:$A$43,0)),"NO"))</f>
        <v/>
      </c>
      <c r="N927" s="49" t="n"/>
      <c r="O927" s="27">
        <f>IF($N927="","",IFERROR(INDEX(CONFIG!$G$4:$G$43,MATCH($N927,CONFIG!$F$4:$F$43,0)),"Por definir"))</f>
        <v/>
      </c>
      <c r="P927" s="27">
        <f>IF($N927="","",IFERROR(INDEX(CONFIG!$H$4:$H$43,MATCH($N927,CONFIG!$F$4:$F$43,0)),"Por definir"))</f>
        <v/>
      </c>
      <c r="Q927" s="50" t="n"/>
      <c r="R927" s="51" t="n"/>
      <c r="S927" s="49" t="n"/>
      <c r="T927" s="49" t="n"/>
      <c r="U927" s="48">
        <f>IF(OR($B927="",$K927=""),"",WORKDAY($B927,IFERROR(INDEX(CONFIG!$C$4:$C$43,MATCH($K927,CONFIG!$A$4:$A$43,0)),3)))</f>
        <v/>
      </c>
      <c r="V927" s="46" t="n"/>
      <c r="W927" s="23">
        <f>IF($B927="","",IF($V927&lt;&gt;"",$V927-$B927,TODAY()-$B927))</f>
        <v/>
      </c>
      <c r="X927" s="27">
        <f>IF($C927="","",IF(IFERROR(INDEX(CONFIG!$K$4:$K$43,MATCH($S927,CONFIG!$J$4:$J$43,0)),"NO")="SÍ",IF(OR($V927="",$U927=""),"Resuelta",IF($V927&gt;$U927,"Resuelta tarde","Resuelta a tiempo")),IF($U927="","Sin clasificar",IF(TODAY()&gt;$U927,"Vencida",IF(TODAY()&gt;=$U927-1,"Por vencer","En plazo")))))</f>
        <v/>
      </c>
      <c r="Y927" s="49" t="n"/>
      <c r="Z927" s="49" t="n"/>
    </row>
    <row r="928" ht="16" customHeight="1">
      <c r="A928" s="27">
        <f>IF($C928="","","N-"&amp;TEXT(ROW()-3,"0000"))</f>
        <v/>
      </c>
      <c r="B928" s="46" t="n"/>
      <c r="C928" s="47" t="n"/>
      <c r="D928" s="27">
        <f>IF($C928="","",IF(COUNTIFS(ENVIOS!$A$4:$A$3003,$C928)=0,"NO EXISTE",IF(COUNTIFS(ENVIOS!$A$4:$A$3003,$C928)&gt;1,"DUPLICADA","OK")))</f>
        <v/>
      </c>
      <c r="E928" s="22">
        <f>IF($C928="","",IFERROR(INDEX(ENVIOS!$C$4:$C$3003,MATCH($C928,ENVIOS!$A$4:$A$3003,0)),"—"))</f>
        <v/>
      </c>
      <c r="F928" s="22">
        <f>IF($C928="","",IFERROR(INDEX(ENVIOS!$D$4:$D$3003,MATCH($C928,ENVIOS!$A$4:$A$3003,0)),"—"))</f>
        <v/>
      </c>
      <c r="G928" s="22">
        <f>IF($C928="","",IFERROR(INDEX(ENVIOS!$E$4:$E$3003,MATCH($C928,ENVIOS!$A$4:$A$3003,0)),"—"))</f>
        <v/>
      </c>
      <c r="H928" s="22">
        <f>IF($C928="","",IFERROR(INDEX(ENVIOS!$F$4:$F$3003,MATCH($C928,ENVIOS!$A$4:$A$3003,0)),"—"))</f>
        <v/>
      </c>
      <c r="I928" s="27">
        <f>IF($C928="","",IFERROR(INDEX(ENVIOS!$G$4:$G$3003,MATCH($C928,ENVIOS!$A$4:$A$3003,0)),"—"))</f>
        <v/>
      </c>
      <c r="J928" s="48">
        <f>IF($C928="","",IFERROR(INDEX(ENVIOS!$B$4:$B$3003,MATCH($C928,ENVIOS!$A$4:$A$3003,0)),""))</f>
        <v/>
      </c>
      <c r="K928" s="49" t="n"/>
      <c r="L928" s="27">
        <f>IF($K928="","",IFERROR(INDEX(CONFIG!$B$4:$B$43,MATCH($K928,CONFIG!$A$4:$A$43,0)),"Media"))</f>
        <v/>
      </c>
      <c r="M928" s="27">
        <f>IF($K928="","",IFERROR(INDEX(CONFIG!$D$4:$D$43,MATCH($K928,CONFIG!$A$4:$A$43,0)),"NO"))</f>
        <v/>
      </c>
      <c r="N928" s="49" t="n"/>
      <c r="O928" s="27">
        <f>IF($N928="","",IFERROR(INDEX(CONFIG!$G$4:$G$43,MATCH($N928,CONFIG!$F$4:$F$43,0)),"Por definir"))</f>
        <v/>
      </c>
      <c r="P928" s="27">
        <f>IF($N928="","",IFERROR(INDEX(CONFIG!$H$4:$H$43,MATCH($N928,CONFIG!$F$4:$F$43,0)),"Por definir"))</f>
        <v/>
      </c>
      <c r="Q928" s="50" t="n"/>
      <c r="R928" s="51" t="n"/>
      <c r="S928" s="49" t="n"/>
      <c r="T928" s="49" t="n"/>
      <c r="U928" s="48">
        <f>IF(OR($B928="",$K928=""),"",WORKDAY($B928,IFERROR(INDEX(CONFIG!$C$4:$C$43,MATCH($K928,CONFIG!$A$4:$A$43,0)),3)))</f>
        <v/>
      </c>
      <c r="V928" s="46" t="n"/>
      <c r="W928" s="23">
        <f>IF($B928="","",IF($V928&lt;&gt;"",$V928-$B928,TODAY()-$B928))</f>
        <v/>
      </c>
      <c r="X928" s="27">
        <f>IF($C928="","",IF(IFERROR(INDEX(CONFIG!$K$4:$K$43,MATCH($S928,CONFIG!$J$4:$J$43,0)),"NO")="SÍ",IF(OR($V928="",$U928=""),"Resuelta",IF($V928&gt;$U928,"Resuelta tarde","Resuelta a tiempo")),IF($U928="","Sin clasificar",IF(TODAY()&gt;$U928,"Vencida",IF(TODAY()&gt;=$U928-1,"Por vencer","En plazo")))))</f>
        <v/>
      </c>
      <c r="Y928" s="49" t="n"/>
      <c r="Z928" s="49" t="n"/>
    </row>
    <row r="929" ht="16" customHeight="1">
      <c r="A929" s="27">
        <f>IF($C929="","","N-"&amp;TEXT(ROW()-3,"0000"))</f>
        <v/>
      </c>
      <c r="B929" s="46" t="n"/>
      <c r="C929" s="47" t="n"/>
      <c r="D929" s="27">
        <f>IF($C929="","",IF(COUNTIFS(ENVIOS!$A$4:$A$3003,$C929)=0,"NO EXISTE",IF(COUNTIFS(ENVIOS!$A$4:$A$3003,$C929)&gt;1,"DUPLICADA","OK")))</f>
        <v/>
      </c>
      <c r="E929" s="22">
        <f>IF($C929="","",IFERROR(INDEX(ENVIOS!$C$4:$C$3003,MATCH($C929,ENVIOS!$A$4:$A$3003,0)),"—"))</f>
        <v/>
      </c>
      <c r="F929" s="22">
        <f>IF($C929="","",IFERROR(INDEX(ENVIOS!$D$4:$D$3003,MATCH($C929,ENVIOS!$A$4:$A$3003,0)),"—"))</f>
        <v/>
      </c>
      <c r="G929" s="22">
        <f>IF($C929="","",IFERROR(INDEX(ENVIOS!$E$4:$E$3003,MATCH($C929,ENVIOS!$A$4:$A$3003,0)),"—"))</f>
        <v/>
      </c>
      <c r="H929" s="22">
        <f>IF($C929="","",IFERROR(INDEX(ENVIOS!$F$4:$F$3003,MATCH($C929,ENVIOS!$A$4:$A$3003,0)),"—"))</f>
        <v/>
      </c>
      <c r="I929" s="27">
        <f>IF($C929="","",IFERROR(INDEX(ENVIOS!$G$4:$G$3003,MATCH($C929,ENVIOS!$A$4:$A$3003,0)),"—"))</f>
        <v/>
      </c>
      <c r="J929" s="48">
        <f>IF($C929="","",IFERROR(INDEX(ENVIOS!$B$4:$B$3003,MATCH($C929,ENVIOS!$A$4:$A$3003,0)),""))</f>
        <v/>
      </c>
      <c r="K929" s="49" t="n"/>
      <c r="L929" s="27">
        <f>IF($K929="","",IFERROR(INDEX(CONFIG!$B$4:$B$43,MATCH($K929,CONFIG!$A$4:$A$43,0)),"Media"))</f>
        <v/>
      </c>
      <c r="M929" s="27">
        <f>IF($K929="","",IFERROR(INDEX(CONFIG!$D$4:$D$43,MATCH($K929,CONFIG!$A$4:$A$43,0)),"NO"))</f>
        <v/>
      </c>
      <c r="N929" s="49" t="n"/>
      <c r="O929" s="27">
        <f>IF($N929="","",IFERROR(INDEX(CONFIG!$G$4:$G$43,MATCH($N929,CONFIG!$F$4:$F$43,0)),"Por definir"))</f>
        <v/>
      </c>
      <c r="P929" s="27">
        <f>IF($N929="","",IFERROR(INDEX(CONFIG!$H$4:$H$43,MATCH($N929,CONFIG!$F$4:$F$43,0)),"Por definir"))</f>
        <v/>
      </c>
      <c r="Q929" s="50" t="n"/>
      <c r="R929" s="51" t="n"/>
      <c r="S929" s="49" t="n"/>
      <c r="T929" s="49" t="n"/>
      <c r="U929" s="48">
        <f>IF(OR($B929="",$K929=""),"",WORKDAY($B929,IFERROR(INDEX(CONFIG!$C$4:$C$43,MATCH($K929,CONFIG!$A$4:$A$43,0)),3)))</f>
        <v/>
      </c>
      <c r="V929" s="46" t="n"/>
      <c r="W929" s="23">
        <f>IF($B929="","",IF($V929&lt;&gt;"",$V929-$B929,TODAY()-$B929))</f>
        <v/>
      </c>
      <c r="X929" s="27">
        <f>IF($C929="","",IF(IFERROR(INDEX(CONFIG!$K$4:$K$43,MATCH($S929,CONFIG!$J$4:$J$43,0)),"NO")="SÍ",IF(OR($V929="",$U929=""),"Resuelta",IF($V929&gt;$U929,"Resuelta tarde","Resuelta a tiempo")),IF($U929="","Sin clasificar",IF(TODAY()&gt;$U929,"Vencida",IF(TODAY()&gt;=$U929-1,"Por vencer","En plazo")))))</f>
        <v/>
      </c>
      <c r="Y929" s="49" t="n"/>
      <c r="Z929" s="49" t="n"/>
    </row>
    <row r="930" ht="16" customHeight="1">
      <c r="A930" s="27">
        <f>IF($C930="","","N-"&amp;TEXT(ROW()-3,"0000"))</f>
        <v/>
      </c>
      <c r="B930" s="46" t="n"/>
      <c r="C930" s="47" t="n"/>
      <c r="D930" s="27">
        <f>IF($C930="","",IF(COUNTIFS(ENVIOS!$A$4:$A$3003,$C930)=0,"NO EXISTE",IF(COUNTIFS(ENVIOS!$A$4:$A$3003,$C930)&gt;1,"DUPLICADA","OK")))</f>
        <v/>
      </c>
      <c r="E930" s="22">
        <f>IF($C930="","",IFERROR(INDEX(ENVIOS!$C$4:$C$3003,MATCH($C930,ENVIOS!$A$4:$A$3003,0)),"—"))</f>
        <v/>
      </c>
      <c r="F930" s="22">
        <f>IF($C930="","",IFERROR(INDEX(ENVIOS!$D$4:$D$3003,MATCH($C930,ENVIOS!$A$4:$A$3003,0)),"—"))</f>
        <v/>
      </c>
      <c r="G930" s="22">
        <f>IF($C930="","",IFERROR(INDEX(ENVIOS!$E$4:$E$3003,MATCH($C930,ENVIOS!$A$4:$A$3003,0)),"—"))</f>
        <v/>
      </c>
      <c r="H930" s="22">
        <f>IF($C930="","",IFERROR(INDEX(ENVIOS!$F$4:$F$3003,MATCH($C930,ENVIOS!$A$4:$A$3003,0)),"—"))</f>
        <v/>
      </c>
      <c r="I930" s="27">
        <f>IF($C930="","",IFERROR(INDEX(ENVIOS!$G$4:$G$3003,MATCH($C930,ENVIOS!$A$4:$A$3003,0)),"—"))</f>
        <v/>
      </c>
      <c r="J930" s="48">
        <f>IF($C930="","",IFERROR(INDEX(ENVIOS!$B$4:$B$3003,MATCH($C930,ENVIOS!$A$4:$A$3003,0)),""))</f>
        <v/>
      </c>
      <c r="K930" s="49" t="n"/>
      <c r="L930" s="27">
        <f>IF($K930="","",IFERROR(INDEX(CONFIG!$B$4:$B$43,MATCH($K930,CONFIG!$A$4:$A$43,0)),"Media"))</f>
        <v/>
      </c>
      <c r="M930" s="27">
        <f>IF($K930="","",IFERROR(INDEX(CONFIG!$D$4:$D$43,MATCH($K930,CONFIG!$A$4:$A$43,0)),"NO"))</f>
        <v/>
      </c>
      <c r="N930" s="49" t="n"/>
      <c r="O930" s="27">
        <f>IF($N930="","",IFERROR(INDEX(CONFIG!$G$4:$G$43,MATCH($N930,CONFIG!$F$4:$F$43,0)),"Por definir"))</f>
        <v/>
      </c>
      <c r="P930" s="27">
        <f>IF($N930="","",IFERROR(INDEX(CONFIG!$H$4:$H$43,MATCH($N930,CONFIG!$F$4:$F$43,0)),"Por definir"))</f>
        <v/>
      </c>
      <c r="Q930" s="50" t="n"/>
      <c r="R930" s="51" t="n"/>
      <c r="S930" s="49" t="n"/>
      <c r="T930" s="49" t="n"/>
      <c r="U930" s="48">
        <f>IF(OR($B930="",$K930=""),"",WORKDAY($B930,IFERROR(INDEX(CONFIG!$C$4:$C$43,MATCH($K930,CONFIG!$A$4:$A$43,0)),3)))</f>
        <v/>
      </c>
      <c r="V930" s="46" t="n"/>
      <c r="W930" s="23">
        <f>IF($B930="","",IF($V930&lt;&gt;"",$V930-$B930,TODAY()-$B930))</f>
        <v/>
      </c>
      <c r="X930" s="27">
        <f>IF($C930="","",IF(IFERROR(INDEX(CONFIG!$K$4:$K$43,MATCH($S930,CONFIG!$J$4:$J$43,0)),"NO")="SÍ",IF(OR($V930="",$U930=""),"Resuelta",IF($V930&gt;$U930,"Resuelta tarde","Resuelta a tiempo")),IF($U930="","Sin clasificar",IF(TODAY()&gt;$U930,"Vencida",IF(TODAY()&gt;=$U930-1,"Por vencer","En plazo")))))</f>
        <v/>
      </c>
      <c r="Y930" s="49" t="n"/>
      <c r="Z930" s="49" t="n"/>
    </row>
    <row r="931" ht="16" customHeight="1">
      <c r="A931" s="27">
        <f>IF($C931="","","N-"&amp;TEXT(ROW()-3,"0000"))</f>
        <v/>
      </c>
      <c r="B931" s="46" t="n"/>
      <c r="C931" s="47" t="n"/>
      <c r="D931" s="27">
        <f>IF($C931="","",IF(COUNTIFS(ENVIOS!$A$4:$A$3003,$C931)=0,"NO EXISTE",IF(COUNTIFS(ENVIOS!$A$4:$A$3003,$C931)&gt;1,"DUPLICADA","OK")))</f>
        <v/>
      </c>
      <c r="E931" s="22">
        <f>IF($C931="","",IFERROR(INDEX(ENVIOS!$C$4:$C$3003,MATCH($C931,ENVIOS!$A$4:$A$3003,0)),"—"))</f>
        <v/>
      </c>
      <c r="F931" s="22">
        <f>IF($C931="","",IFERROR(INDEX(ENVIOS!$D$4:$D$3003,MATCH($C931,ENVIOS!$A$4:$A$3003,0)),"—"))</f>
        <v/>
      </c>
      <c r="G931" s="22">
        <f>IF($C931="","",IFERROR(INDEX(ENVIOS!$E$4:$E$3003,MATCH($C931,ENVIOS!$A$4:$A$3003,0)),"—"))</f>
        <v/>
      </c>
      <c r="H931" s="22">
        <f>IF($C931="","",IFERROR(INDEX(ENVIOS!$F$4:$F$3003,MATCH($C931,ENVIOS!$A$4:$A$3003,0)),"—"))</f>
        <v/>
      </c>
      <c r="I931" s="27">
        <f>IF($C931="","",IFERROR(INDEX(ENVIOS!$G$4:$G$3003,MATCH($C931,ENVIOS!$A$4:$A$3003,0)),"—"))</f>
        <v/>
      </c>
      <c r="J931" s="48">
        <f>IF($C931="","",IFERROR(INDEX(ENVIOS!$B$4:$B$3003,MATCH($C931,ENVIOS!$A$4:$A$3003,0)),""))</f>
        <v/>
      </c>
      <c r="K931" s="49" t="n"/>
      <c r="L931" s="27">
        <f>IF($K931="","",IFERROR(INDEX(CONFIG!$B$4:$B$43,MATCH($K931,CONFIG!$A$4:$A$43,0)),"Media"))</f>
        <v/>
      </c>
      <c r="M931" s="27">
        <f>IF($K931="","",IFERROR(INDEX(CONFIG!$D$4:$D$43,MATCH($K931,CONFIG!$A$4:$A$43,0)),"NO"))</f>
        <v/>
      </c>
      <c r="N931" s="49" t="n"/>
      <c r="O931" s="27">
        <f>IF($N931="","",IFERROR(INDEX(CONFIG!$G$4:$G$43,MATCH($N931,CONFIG!$F$4:$F$43,0)),"Por definir"))</f>
        <v/>
      </c>
      <c r="P931" s="27">
        <f>IF($N931="","",IFERROR(INDEX(CONFIG!$H$4:$H$43,MATCH($N931,CONFIG!$F$4:$F$43,0)),"Por definir"))</f>
        <v/>
      </c>
      <c r="Q931" s="50" t="n"/>
      <c r="R931" s="51" t="n"/>
      <c r="S931" s="49" t="n"/>
      <c r="T931" s="49" t="n"/>
      <c r="U931" s="48">
        <f>IF(OR($B931="",$K931=""),"",WORKDAY($B931,IFERROR(INDEX(CONFIG!$C$4:$C$43,MATCH($K931,CONFIG!$A$4:$A$43,0)),3)))</f>
        <v/>
      </c>
      <c r="V931" s="46" t="n"/>
      <c r="W931" s="23">
        <f>IF($B931="","",IF($V931&lt;&gt;"",$V931-$B931,TODAY()-$B931))</f>
        <v/>
      </c>
      <c r="X931" s="27">
        <f>IF($C931="","",IF(IFERROR(INDEX(CONFIG!$K$4:$K$43,MATCH($S931,CONFIG!$J$4:$J$43,0)),"NO")="SÍ",IF(OR($V931="",$U931=""),"Resuelta",IF($V931&gt;$U931,"Resuelta tarde","Resuelta a tiempo")),IF($U931="","Sin clasificar",IF(TODAY()&gt;$U931,"Vencida",IF(TODAY()&gt;=$U931-1,"Por vencer","En plazo")))))</f>
        <v/>
      </c>
      <c r="Y931" s="49" t="n"/>
      <c r="Z931" s="49" t="n"/>
    </row>
    <row r="932" ht="16" customHeight="1">
      <c r="A932" s="27">
        <f>IF($C932="","","N-"&amp;TEXT(ROW()-3,"0000"))</f>
        <v/>
      </c>
      <c r="B932" s="46" t="n"/>
      <c r="C932" s="47" t="n"/>
      <c r="D932" s="27">
        <f>IF($C932="","",IF(COUNTIFS(ENVIOS!$A$4:$A$3003,$C932)=0,"NO EXISTE",IF(COUNTIFS(ENVIOS!$A$4:$A$3003,$C932)&gt;1,"DUPLICADA","OK")))</f>
        <v/>
      </c>
      <c r="E932" s="22">
        <f>IF($C932="","",IFERROR(INDEX(ENVIOS!$C$4:$C$3003,MATCH($C932,ENVIOS!$A$4:$A$3003,0)),"—"))</f>
        <v/>
      </c>
      <c r="F932" s="22">
        <f>IF($C932="","",IFERROR(INDEX(ENVIOS!$D$4:$D$3003,MATCH($C932,ENVIOS!$A$4:$A$3003,0)),"—"))</f>
        <v/>
      </c>
      <c r="G932" s="22">
        <f>IF($C932="","",IFERROR(INDEX(ENVIOS!$E$4:$E$3003,MATCH($C932,ENVIOS!$A$4:$A$3003,0)),"—"))</f>
        <v/>
      </c>
      <c r="H932" s="22">
        <f>IF($C932="","",IFERROR(INDEX(ENVIOS!$F$4:$F$3003,MATCH($C932,ENVIOS!$A$4:$A$3003,0)),"—"))</f>
        <v/>
      </c>
      <c r="I932" s="27">
        <f>IF($C932="","",IFERROR(INDEX(ENVIOS!$G$4:$G$3003,MATCH($C932,ENVIOS!$A$4:$A$3003,0)),"—"))</f>
        <v/>
      </c>
      <c r="J932" s="48">
        <f>IF($C932="","",IFERROR(INDEX(ENVIOS!$B$4:$B$3003,MATCH($C932,ENVIOS!$A$4:$A$3003,0)),""))</f>
        <v/>
      </c>
      <c r="K932" s="49" t="n"/>
      <c r="L932" s="27">
        <f>IF($K932="","",IFERROR(INDEX(CONFIG!$B$4:$B$43,MATCH($K932,CONFIG!$A$4:$A$43,0)),"Media"))</f>
        <v/>
      </c>
      <c r="M932" s="27">
        <f>IF($K932="","",IFERROR(INDEX(CONFIG!$D$4:$D$43,MATCH($K932,CONFIG!$A$4:$A$43,0)),"NO"))</f>
        <v/>
      </c>
      <c r="N932" s="49" t="n"/>
      <c r="O932" s="27">
        <f>IF($N932="","",IFERROR(INDEX(CONFIG!$G$4:$G$43,MATCH($N932,CONFIG!$F$4:$F$43,0)),"Por definir"))</f>
        <v/>
      </c>
      <c r="P932" s="27">
        <f>IF($N932="","",IFERROR(INDEX(CONFIG!$H$4:$H$43,MATCH($N932,CONFIG!$F$4:$F$43,0)),"Por definir"))</f>
        <v/>
      </c>
      <c r="Q932" s="50" t="n"/>
      <c r="R932" s="51" t="n"/>
      <c r="S932" s="49" t="n"/>
      <c r="T932" s="49" t="n"/>
      <c r="U932" s="48">
        <f>IF(OR($B932="",$K932=""),"",WORKDAY($B932,IFERROR(INDEX(CONFIG!$C$4:$C$43,MATCH($K932,CONFIG!$A$4:$A$43,0)),3)))</f>
        <v/>
      </c>
      <c r="V932" s="46" t="n"/>
      <c r="W932" s="23">
        <f>IF($B932="","",IF($V932&lt;&gt;"",$V932-$B932,TODAY()-$B932))</f>
        <v/>
      </c>
      <c r="X932" s="27">
        <f>IF($C932="","",IF(IFERROR(INDEX(CONFIG!$K$4:$K$43,MATCH($S932,CONFIG!$J$4:$J$43,0)),"NO")="SÍ",IF(OR($V932="",$U932=""),"Resuelta",IF($V932&gt;$U932,"Resuelta tarde","Resuelta a tiempo")),IF($U932="","Sin clasificar",IF(TODAY()&gt;$U932,"Vencida",IF(TODAY()&gt;=$U932-1,"Por vencer","En plazo")))))</f>
        <v/>
      </c>
      <c r="Y932" s="49" t="n"/>
      <c r="Z932" s="49" t="n"/>
    </row>
    <row r="933" ht="16" customHeight="1">
      <c r="A933" s="27">
        <f>IF($C933="","","N-"&amp;TEXT(ROW()-3,"0000"))</f>
        <v/>
      </c>
      <c r="B933" s="46" t="n"/>
      <c r="C933" s="47" t="n"/>
      <c r="D933" s="27">
        <f>IF($C933="","",IF(COUNTIFS(ENVIOS!$A$4:$A$3003,$C933)=0,"NO EXISTE",IF(COUNTIFS(ENVIOS!$A$4:$A$3003,$C933)&gt;1,"DUPLICADA","OK")))</f>
        <v/>
      </c>
      <c r="E933" s="22">
        <f>IF($C933="","",IFERROR(INDEX(ENVIOS!$C$4:$C$3003,MATCH($C933,ENVIOS!$A$4:$A$3003,0)),"—"))</f>
        <v/>
      </c>
      <c r="F933" s="22">
        <f>IF($C933="","",IFERROR(INDEX(ENVIOS!$D$4:$D$3003,MATCH($C933,ENVIOS!$A$4:$A$3003,0)),"—"))</f>
        <v/>
      </c>
      <c r="G933" s="22">
        <f>IF($C933="","",IFERROR(INDEX(ENVIOS!$E$4:$E$3003,MATCH($C933,ENVIOS!$A$4:$A$3003,0)),"—"))</f>
        <v/>
      </c>
      <c r="H933" s="22">
        <f>IF($C933="","",IFERROR(INDEX(ENVIOS!$F$4:$F$3003,MATCH($C933,ENVIOS!$A$4:$A$3003,0)),"—"))</f>
        <v/>
      </c>
      <c r="I933" s="27">
        <f>IF($C933="","",IFERROR(INDEX(ENVIOS!$G$4:$G$3003,MATCH($C933,ENVIOS!$A$4:$A$3003,0)),"—"))</f>
        <v/>
      </c>
      <c r="J933" s="48">
        <f>IF($C933="","",IFERROR(INDEX(ENVIOS!$B$4:$B$3003,MATCH($C933,ENVIOS!$A$4:$A$3003,0)),""))</f>
        <v/>
      </c>
      <c r="K933" s="49" t="n"/>
      <c r="L933" s="27">
        <f>IF($K933="","",IFERROR(INDEX(CONFIG!$B$4:$B$43,MATCH($K933,CONFIG!$A$4:$A$43,0)),"Media"))</f>
        <v/>
      </c>
      <c r="M933" s="27">
        <f>IF($K933="","",IFERROR(INDEX(CONFIG!$D$4:$D$43,MATCH($K933,CONFIG!$A$4:$A$43,0)),"NO"))</f>
        <v/>
      </c>
      <c r="N933" s="49" t="n"/>
      <c r="O933" s="27">
        <f>IF($N933="","",IFERROR(INDEX(CONFIG!$G$4:$G$43,MATCH($N933,CONFIG!$F$4:$F$43,0)),"Por definir"))</f>
        <v/>
      </c>
      <c r="P933" s="27">
        <f>IF($N933="","",IFERROR(INDEX(CONFIG!$H$4:$H$43,MATCH($N933,CONFIG!$F$4:$F$43,0)),"Por definir"))</f>
        <v/>
      </c>
      <c r="Q933" s="50" t="n"/>
      <c r="R933" s="51" t="n"/>
      <c r="S933" s="49" t="n"/>
      <c r="T933" s="49" t="n"/>
      <c r="U933" s="48">
        <f>IF(OR($B933="",$K933=""),"",WORKDAY($B933,IFERROR(INDEX(CONFIG!$C$4:$C$43,MATCH($K933,CONFIG!$A$4:$A$43,0)),3)))</f>
        <v/>
      </c>
      <c r="V933" s="46" t="n"/>
      <c r="W933" s="23">
        <f>IF($B933="","",IF($V933&lt;&gt;"",$V933-$B933,TODAY()-$B933))</f>
        <v/>
      </c>
      <c r="X933" s="27">
        <f>IF($C933="","",IF(IFERROR(INDEX(CONFIG!$K$4:$K$43,MATCH($S933,CONFIG!$J$4:$J$43,0)),"NO")="SÍ",IF(OR($V933="",$U933=""),"Resuelta",IF($V933&gt;$U933,"Resuelta tarde","Resuelta a tiempo")),IF($U933="","Sin clasificar",IF(TODAY()&gt;$U933,"Vencida",IF(TODAY()&gt;=$U933-1,"Por vencer","En plazo")))))</f>
        <v/>
      </c>
      <c r="Y933" s="49" t="n"/>
      <c r="Z933" s="49" t="n"/>
    </row>
    <row r="934" ht="16" customHeight="1">
      <c r="A934" s="27">
        <f>IF($C934="","","N-"&amp;TEXT(ROW()-3,"0000"))</f>
        <v/>
      </c>
      <c r="B934" s="46" t="n"/>
      <c r="C934" s="47" t="n"/>
      <c r="D934" s="27">
        <f>IF($C934="","",IF(COUNTIFS(ENVIOS!$A$4:$A$3003,$C934)=0,"NO EXISTE",IF(COUNTIFS(ENVIOS!$A$4:$A$3003,$C934)&gt;1,"DUPLICADA","OK")))</f>
        <v/>
      </c>
      <c r="E934" s="22">
        <f>IF($C934="","",IFERROR(INDEX(ENVIOS!$C$4:$C$3003,MATCH($C934,ENVIOS!$A$4:$A$3003,0)),"—"))</f>
        <v/>
      </c>
      <c r="F934" s="22">
        <f>IF($C934="","",IFERROR(INDEX(ENVIOS!$D$4:$D$3003,MATCH($C934,ENVIOS!$A$4:$A$3003,0)),"—"))</f>
        <v/>
      </c>
      <c r="G934" s="22">
        <f>IF($C934="","",IFERROR(INDEX(ENVIOS!$E$4:$E$3003,MATCH($C934,ENVIOS!$A$4:$A$3003,0)),"—"))</f>
        <v/>
      </c>
      <c r="H934" s="22">
        <f>IF($C934="","",IFERROR(INDEX(ENVIOS!$F$4:$F$3003,MATCH($C934,ENVIOS!$A$4:$A$3003,0)),"—"))</f>
        <v/>
      </c>
      <c r="I934" s="27">
        <f>IF($C934="","",IFERROR(INDEX(ENVIOS!$G$4:$G$3003,MATCH($C934,ENVIOS!$A$4:$A$3003,0)),"—"))</f>
        <v/>
      </c>
      <c r="J934" s="48">
        <f>IF($C934="","",IFERROR(INDEX(ENVIOS!$B$4:$B$3003,MATCH($C934,ENVIOS!$A$4:$A$3003,0)),""))</f>
        <v/>
      </c>
      <c r="K934" s="49" t="n"/>
      <c r="L934" s="27">
        <f>IF($K934="","",IFERROR(INDEX(CONFIG!$B$4:$B$43,MATCH($K934,CONFIG!$A$4:$A$43,0)),"Media"))</f>
        <v/>
      </c>
      <c r="M934" s="27">
        <f>IF($K934="","",IFERROR(INDEX(CONFIG!$D$4:$D$43,MATCH($K934,CONFIG!$A$4:$A$43,0)),"NO"))</f>
        <v/>
      </c>
      <c r="N934" s="49" t="n"/>
      <c r="O934" s="27">
        <f>IF($N934="","",IFERROR(INDEX(CONFIG!$G$4:$G$43,MATCH($N934,CONFIG!$F$4:$F$43,0)),"Por definir"))</f>
        <v/>
      </c>
      <c r="P934" s="27">
        <f>IF($N934="","",IFERROR(INDEX(CONFIG!$H$4:$H$43,MATCH($N934,CONFIG!$F$4:$F$43,0)),"Por definir"))</f>
        <v/>
      </c>
      <c r="Q934" s="50" t="n"/>
      <c r="R934" s="51" t="n"/>
      <c r="S934" s="49" t="n"/>
      <c r="T934" s="49" t="n"/>
      <c r="U934" s="48">
        <f>IF(OR($B934="",$K934=""),"",WORKDAY($B934,IFERROR(INDEX(CONFIG!$C$4:$C$43,MATCH($K934,CONFIG!$A$4:$A$43,0)),3)))</f>
        <v/>
      </c>
      <c r="V934" s="46" t="n"/>
      <c r="W934" s="23">
        <f>IF($B934="","",IF($V934&lt;&gt;"",$V934-$B934,TODAY()-$B934))</f>
        <v/>
      </c>
      <c r="X934" s="27">
        <f>IF($C934="","",IF(IFERROR(INDEX(CONFIG!$K$4:$K$43,MATCH($S934,CONFIG!$J$4:$J$43,0)),"NO")="SÍ",IF(OR($V934="",$U934=""),"Resuelta",IF($V934&gt;$U934,"Resuelta tarde","Resuelta a tiempo")),IF($U934="","Sin clasificar",IF(TODAY()&gt;$U934,"Vencida",IF(TODAY()&gt;=$U934-1,"Por vencer","En plazo")))))</f>
        <v/>
      </c>
      <c r="Y934" s="49" t="n"/>
      <c r="Z934" s="49" t="n"/>
    </row>
    <row r="935" ht="16" customHeight="1">
      <c r="A935" s="27">
        <f>IF($C935="","","N-"&amp;TEXT(ROW()-3,"0000"))</f>
        <v/>
      </c>
      <c r="B935" s="46" t="n"/>
      <c r="C935" s="47" t="n"/>
      <c r="D935" s="27">
        <f>IF($C935="","",IF(COUNTIFS(ENVIOS!$A$4:$A$3003,$C935)=0,"NO EXISTE",IF(COUNTIFS(ENVIOS!$A$4:$A$3003,$C935)&gt;1,"DUPLICADA","OK")))</f>
        <v/>
      </c>
      <c r="E935" s="22">
        <f>IF($C935="","",IFERROR(INDEX(ENVIOS!$C$4:$C$3003,MATCH($C935,ENVIOS!$A$4:$A$3003,0)),"—"))</f>
        <v/>
      </c>
      <c r="F935" s="22">
        <f>IF($C935="","",IFERROR(INDEX(ENVIOS!$D$4:$D$3003,MATCH($C935,ENVIOS!$A$4:$A$3003,0)),"—"))</f>
        <v/>
      </c>
      <c r="G935" s="22">
        <f>IF($C935="","",IFERROR(INDEX(ENVIOS!$E$4:$E$3003,MATCH($C935,ENVIOS!$A$4:$A$3003,0)),"—"))</f>
        <v/>
      </c>
      <c r="H935" s="22">
        <f>IF($C935="","",IFERROR(INDEX(ENVIOS!$F$4:$F$3003,MATCH($C935,ENVIOS!$A$4:$A$3003,0)),"—"))</f>
        <v/>
      </c>
      <c r="I935" s="27">
        <f>IF($C935="","",IFERROR(INDEX(ENVIOS!$G$4:$G$3003,MATCH($C935,ENVIOS!$A$4:$A$3003,0)),"—"))</f>
        <v/>
      </c>
      <c r="J935" s="48">
        <f>IF($C935="","",IFERROR(INDEX(ENVIOS!$B$4:$B$3003,MATCH($C935,ENVIOS!$A$4:$A$3003,0)),""))</f>
        <v/>
      </c>
      <c r="K935" s="49" t="n"/>
      <c r="L935" s="27">
        <f>IF($K935="","",IFERROR(INDEX(CONFIG!$B$4:$B$43,MATCH($K935,CONFIG!$A$4:$A$43,0)),"Media"))</f>
        <v/>
      </c>
      <c r="M935" s="27">
        <f>IF($K935="","",IFERROR(INDEX(CONFIG!$D$4:$D$43,MATCH($K935,CONFIG!$A$4:$A$43,0)),"NO"))</f>
        <v/>
      </c>
      <c r="N935" s="49" t="n"/>
      <c r="O935" s="27">
        <f>IF($N935="","",IFERROR(INDEX(CONFIG!$G$4:$G$43,MATCH($N935,CONFIG!$F$4:$F$43,0)),"Por definir"))</f>
        <v/>
      </c>
      <c r="P935" s="27">
        <f>IF($N935="","",IFERROR(INDEX(CONFIG!$H$4:$H$43,MATCH($N935,CONFIG!$F$4:$F$43,0)),"Por definir"))</f>
        <v/>
      </c>
      <c r="Q935" s="50" t="n"/>
      <c r="R935" s="51" t="n"/>
      <c r="S935" s="49" t="n"/>
      <c r="T935" s="49" t="n"/>
      <c r="U935" s="48">
        <f>IF(OR($B935="",$K935=""),"",WORKDAY($B935,IFERROR(INDEX(CONFIG!$C$4:$C$43,MATCH($K935,CONFIG!$A$4:$A$43,0)),3)))</f>
        <v/>
      </c>
      <c r="V935" s="46" t="n"/>
      <c r="W935" s="23">
        <f>IF($B935="","",IF($V935&lt;&gt;"",$V935-$B935,TODAY()-$B935))</f>
        <v/>
      </c>
      <c r="X935" s="27">
        <f>IF($C935="","",IF(IFERROR(INDEX(CONFIG!$K$4:$K$43,MATCH($S935,CONFIG!$J$4:$J$43,0)),"NO")="SÍ",IF(OR($V935="",$U935=""),"Resuelta",IF($V935&gt;$U935,"Resuelta tarde","Resuelta a tiempo")),IF($U935="","Sin clasificar",IF(TODAY()&gt;$U935,"Vencida",IF(TODAY()&gt;=$U935-1,"Por vencer","En plazo")))))</f>
        <v/>
      </c>
      <c r="Y935" s="49" t="n"/>
      <c r="Z935" s="49" t="n"/>
    </row>
    <row r="936" ht="16" customHeight="1">
      <c r="A936" s="27">
        <f>IF($C936="","","N-"&amp;TEXT(ROW()-3,"0000"))</f>
        <v/>
      </c>
      <c r="B936" s="46" t="n"/>
      <c r="C936" s="47" t="n"/>
      <c r="D936" s="27">
        <f>IF($C936="","",IF(COUNTIFS(ENVIOS!$A$4:$A$3003,$C936)=0,"NO EXISTE",IF(COUNTIFS(ENVIOS!$A$4:$A$3003,$C936)&gt;1,"DUPLICADA","OK")))</f>
        <v/>
      </c>
      <c r="E936" s="22">
        <f>IF($C936="","",IFERROR(INDEX(ENVIOS!$C$4:$C$3003,MATCH($C936,ENVIOS!$A$4:$A$3003,0)),"—"))</f>
        <v/>
      </c>
      <c r="F936" s="22">
        <f>IF($C936="","",IFERROR(INDEX(ENVIOS!$D$4:$D$3003,MATCH($C936,ENVIOS!$A$4:$A$3003,0)),"—"))</f>
        <v/>
      </c>
      <c r="G936" s="22">
        <f>IF($C936="","",IFERROR(INDEX(ENVIOS!$E$4:$E$3003,MATCH($C936,ENVIOS!$A$4:$A$3003,0)),"—"))</f>
        <v/>
      </c>
      <c r="H936" s="22">
        <f>IF($C936="","",IFERROR(INDEX(ENVIOS!$F$4:$F$3003,MATCH($C936,ENVIOS!$A$4:$A$3003,0)),"—"))</f>
        <v/>
      </c>
      <c r="I936" s="27">
        <f>IF($C936="","",IFERROR(INDEX(ENVIOS!$G$4:$G$3003,MATCH($C936,ENVIOS!$A$4:$A$3003,0)),"—"))</f>
        <v/>
      </c>
      <c r="J936" s="48">
        <f>IF($C936="","",IFERROR(INDEX(ENVIOS!$B$4:$B$3003,MATCH($C936,ENVIOS!$A$4:$A$3003,0)),""))</f>
        <v/>
      </c>
      <c r="K936" s="49" t="n"/>
      <c r="L936" s="27">
        <f>IF($K936="","",IFERROR(INDEX(CONFIG!$B$4:$B$43,MATCH($K936,CONFIG!$A$4:$A$43,0)),"Media"))</f>
        <v/>
      </c>
      <c r="M936" s="27">
        <f>IF($K936="","",IFERROR(INDEX(CONFIG!$D$4:$D$43,MATCH($K936,CONFIG!$A$4:$A$43,0)),"NO"))</f>
        <v/>
      </c>
      <c r="N936" s="49" t="n"/>
      <c r="O936" s="27">
        <f>IF($N936="","",IFERROR(INDEX(CONFIG!$G$4:$G$43,MATCH($N936,CONFIG!$F$4:$F$43,0)),"Por definir"))</f>
        <v/>
      </c>
      <c r="P936" s="27">
        <f>IF($N936="","",IFERROR(INDEX(CONFIG!$H$4:$H$43,MATCH($N936,CONFIG!$F$4:$F$43,0)),"Por definir"))</f>
        <v/>
      </c>
      <c r="Q936" s="50" t="n"/>
      <c r="R936" s="51" t="n"/>
      <c r="S936" s="49" t="n"/>
      <c r="T936" s="49" t="n"/>
      <c r="U936" s="48">
        <f>IF(OR($B936="",$K936=""),"",WORKDAY($B936,IFERROR(INDEX(CONFIG!$C$4:$C$43,MATCH($K936,CONFIG!$A$4:$A$43,0)),3)))</f>
        <v/>
      </c>
      <c r="V936" s="46" t="n"/>
      <c r="W936" s="23">
        <f>IF($B936="","",IF($V936&lt;&gt;"",$V936-$B936,TODAY()-$B936))</f>
        <v/>
      </c>
      <c r="X936" s="27">
        <f>IF($C936="","",IF(IFERROR(INDEX(CONFIG!$K$4:$K$43,MATCH($S936,CONFIG!$J$4:$J$43,0)),"NO")="SÍ",IF(OR($V936="",$U936=""),"Resuelta",IF($V936&gt;$U936,"Resuelta tarde","Resuelta a tiempo")),IF($U936="","Sin clasificar",IF(TODAY()&gt;$U936,"Vencida",IF(TODAY()&gt;=$U936-1,"Por vencer","En plazo")))))</f>
        <v/>
      </c>
      <c r="Y936" s="49" t="n"/>
      <c r="Z936" s="49" t="n"/>
    </row>
    <row r="937" ht="16" customHeight="1">
      <c r="A937" s="27">
        <f>IF($C937="","","N-"&amp;TEXT(ROW()-3,"0000"))</f>
        <v/>
      </c>
      <c r="B937" s="46" t="n"/>
      <c r="C937" s="47" t="n"/>
      <c r="D937" s="27">
        <f>IF($C937="","",IF(COUNTIFS(ENVIOS!$A$4:$A$3003,$C937)=0,"NO EXISTE",IF(COUNTIFS(ENVIOS!$A$4:$A$3003,$C937)&gt;1,"DUPLICADA","OK")))</f>
        <v/>
      </c>
      <c r="E937" s="22">
        <f>IF($C937="","",IFERROR(INDEX(ENVIOS!$C$4:$C$3003,MATCH($C937,ENVIOS!$A$4:$A$3003,0)),"—"))</f>
        <v/>
      </c>
      <c r="F937" s="22">
        <f>IF($C937="","",IFERROR(INDEX(ENVIOS!$D$4:$D$3003,MATCH($C937,ENVIOS!$A$4:$A$3003,0)),"—"))</f>
        <v/>
      </c>
      <c r="G937" s="22">
        <f>IF($C937="","",IFERROR(INDEX(ENVIOS!$E$4:$E$3003,MATCH($C937,ENVIOS!$A$4:$A$3003,0)),"—"))</f>
        <v/>
      </c>
      <c r="H937" s="22">
        <f>IF($C937="","",IFERROR(INDEX(ENVIOS!$F$4:$F$3003,MATCH($C937,ENVIOS!$A$4:$A$3003,0)),"—"))</f>
        <v/>
      </c>
      <c r="I937" s="27">
        <f>IF($C937="","",IFERROR(INDEX(ENVIOS!$G$4:$G$3003,MATCH($C937,ENVIOS!$A$4:$A$3003,0)),"—"))</f>
        <v/>
      </c>
      <c r="J937" s="48">
        <f>IF($C937="","",IFERROR(INDEX(ENVIOS!$B$4:$B$3003,MATCH($C937,ENVIOS!$A$4:$A$3003,0)),""))</f>
        <v/>
      </c>
      <c r="K937" s="49" t="n"/>
      <c r="L937" s="27">
        <f>IF($K937="","",IFERROR(INDEX(CONFIG!$B$4:$B$43,MATCH($K937,CONFIG!$A$4:$A$43,0)),"Media"))</f>
        <v/>
      </c>
      <c r="M937" s="27">
        <f>IF($K937="","",IFERROR(INDEX(CONFIG!$D$4:$D$43,MATCH($K937,CONFIG!$A$4:$A$43,0)),"NO"))</f>
        <v/>
      </c>
      <c r="N937" s="49" t="n"/>
      <c r="O937" s="27">
        <f>IF($N937="","",IFERROR(INDEX(CONFIG!$G$4:$G$43,MATCH($N937,CONFIG!$F$4:$F$43,0)),"Por definir"))</f>
        <v/>
      </c>
      <c r="P937" s="27">
        <f>IF($N937="","",IFERROR(INDEX(CONFIG!$H$4:$H$43,MATCH($N937,CONFIG!$F$4:$F$43,0)),"Por definir"))</f>
        <v/>
      </c>
      <c r="Q937" s="50" t="n"/>
      <c r="R937" s="51" t="n"/>
      <c r="S937" s="49" t="n"/>
      <c r="T937" s="49" t="n"/>
      <c r="U937" s="48">
        <f>IF(OR($B937="",$K937=""),"",WORKDAY($B937,IFERROR(INDEX(CONFIG!$C$4:$C$43,MATCH($K937,CONFIG!$A$4:$A$43,0)),3)))</f>
        <v/>
      </c>
      <c r="V937" s="46" t="n"/>
      <c r="W937" s="23">
        <f>IF($B937="","",IF($V937&lt;&gt;"",$V937-$B937,TODAY()-$B937))</f>
        <v/>
      </c>
      <c r="X937" s="27">
        <f>IF($C937="","",IF(IFERROR(INDEX(CONFIG!$K$4:$K$43,MATCH($S937,CONFIG!$J$4:$J$43,0)),"NO")="SÍ",IF(OR($V937="",$U937=""),"Resuelta",IF($V937&gt;$U937,"Resuelta tarde","Resuelta a tiempo")),IF($U937="","Sin clasificar",IF(TODAY()&gt;$U937,"Vencida",IF(TODAY()&gt;=$U937-1,"Por vencer","En plazo")))))</f>
        <v/>
      </c>
      <c r="Y937" s="49" t="n"/>
      <c r="Z937" s="49" t="n"/>
    </row>
    <row r="938" ht="16" customHeight="1">
      <c r="A938" s="27">
        <f>IF($C938="","","N-"&amp;TEXT(ROW()-3,"0000"))</f>
        <v/>
      </c>
      <c r="B938" s="46" t="n"/>
      <c r="C938" s="47" t="n"/>
      <c r="D938" s="27">
        <f>IF($C938="","",IF(COUNTIFS(ENVIOS!$A$4:$A$3003,$C938)=0,"NO EXISTE",IF(COUNTIFS(ENVIOS!$A$4:$A$3003,$C938)&gt;1,"DUPLICADA","OK")))</f>
        <v/>
      </c>
      <c r="E938" s="22">
        <f>IF($C938="","",IFERROR(INDEX(ENVIOS!$C$4:$C$3003,MATCH($C938,ENVIOS!$A$4:$A$3003,0)),"—"))</f>
        <v/>
      </c>
      <c r="F938" s="22">
        <f>IF($C938="","",IFERROR(INDEX(ENVIOS!$D$4:$D$3003,MATCH($C938,ENVIOS!$A$4:$A$3003,0)),"—"))</f>
        <v/>
      </c>
      <c r="G938" s="22">
        <f>IF($C938="","",IFERROR(INDEX(ENVIOS!$E$4:$E$3003,MATCH($C938,ENVIOS!$A$4:$A$3003,0)),"—"))</f>
        <v/>
      </c>
      <c r="H938" s="22">
        <f>IF($C938="","",IFERROR(INDEX(ENVIOS!$F$4:$F$3003,MATCH($C938,ENVIOS!$A$4:$A$3003,0)),"—"))</f>
        <v/>
      </c>
      <c r="I938" s="27">
        <f>IF($C938="","",IFERROR(INDEX(ENVIOS!$G$4:$G$3003,MATCH($C938,ENVIOS!$A$4:$A$3003,0)),"—"))</f>
        <v/>
      </c>
      <c r="J938" s="48">
        <f>IF($C938="","",IFERROR(INDEX(ENVIOS!$B$4:$B$3003,MATCH($C938,ENVIOS!$A$4:$A$3003,0)),""))</f>
        <v/>
      </c>
      <c r="K938" s="49" t="n"/>
      <c r="L938" s="27">
        <f>IF($K938="","",IFERROR(INDEX(CONFIG!$B$4:$B$43,MATCH($K938,CONFIG!$A$4:$A$43,0)),"Media"))</f>
        <v/>
      </c>
      <c r="M938" s="27">
        <f>IF($K938="","",IFERROR(INDEX(CONFIG!$D$4:$D$43,MATCH($K938,CONFIG!$A$4:$A$43,0)),"NO"))</f>
        <v/>
      </c>
      <c r="N938" s="49" t="n"/>
      <c r="O938" s="27">
        <f>IF($N938="","",IFERROR(INDEX(CONFIG!$G$4:$G$43,MATCH($N938,CONFIG!$F$4:$F$43,0)),"Por definir"))</f>
        <v/>
      </c>
      <c r="P938" s="27">
        <f>IF($N938="","",IFERROR(INDEX(CONFIG!$H$4:$H$43,MATCH($N938,CONFIG!$F$4:$F$43,0)),"Por definir"))</f>
        <v/>
      </c>
      <c r="Q938" s="50" t="n"/>
      <c r="R938" s="51" t="n"/>
      <c r="S938" s="49" t="n"/>
      <c r="T938" s="49" t="n"/>
      <c r="U938" s="48">
        <f>IF(OR($B938="",$K938=""),"",WORKDAY($B938,IFERROR(INDEX(CONFIG!$C$4:$C$43,MATCH($K938,CONFIG!$A$4:$A$43,0)),3)))</f>
        <v/>
      </c>
      <c r="V938" s="46" t="n"/>
      <c r="W938" s="23">
        <f>IF($B938="","",IF($V938&lt;&gt;"",$V938-$B938,TODAY()-$B938))</f>
        <v/>
      </c>
      <c r="X938" s="27">
        <f>IF($C938="","",IF(IFERROR(INDEX(CONFIG!$K$4:$K$43,MATCH($S938,CONFIG!$J$4:$J$43,0)),"NO")="SÍ",IF(OR($V938="",$U938=""),"Resuelta",IF($V938&gt;$U938,"Resuelta tarde","Resuelta a tiempo")),IF($U938="","Sin clasificar",IF(TODAY()&gt;$U938,"Vencida",IF(TODAY()&gt;=$U938-1,"Por vencer","En plazo")))))</f>
        <v/>
      </c>
      <c r="Y938" s="49" t="n"/>
      <c r="Z938" s="49" t="n"/>
    </row>
    <row r="939" ht="16" customHeight="1">
      <c r="A939" s="27">
        <f>IF($C939="","","N-"&amp;TEXT(ROW()-3,"0000"))</f>
        <v/>
      </c>
      <c r="B939" s="46" t="n"/>
      <c r="C939" s="47" t="n"/>
      <c r="D939" s="27">
        <f>IF($C939="","",IF(COUNTIFS(ENVIOS!$A$4:$A$3003,$C939)=0,"NO EXISTE",IF(COUNTIFS(ENVIOS!$A$4:$A$3003,$C939)&gt;1,"DUPLICADA","OK")))</f>
        <v/>
      </c>
      <c r="E939" s="22">
        <f>IF($C939="","",IFERROR(INDEX(ENVIOS!$C$4:$C$3003,MATCH($C939,ENVIOS!$A$4:$A$3003,0)),"—"))</f>
        <v/>
      </c>
      <c r="F939" s="22">
        <f>IF($C939="","",IFERROR(INDEX(ENVIOS!$D$4:$D$3003,MATCH($C939,ENVIOS!$A$4:$A$3003,0)),"—"))</f>
        <v/>
      </c>
      <c r="G939" s="22">
        <f>IF($C939="","",IFERROR(INDEX(ENVIOS!$E$4:$E$3003,MATCH($C939,ENVIOS!$A$4:$A$3003,0)),"—"))</f>
        <v/>
      </c>
      <c r="H939" s="22">
        <f>IF($C939="","",IFERROR(INDEX(ENVIOS!$F$4:$F$3003,MATCH($C939,ENVIOS!$A$4:$A$3003,0)),"—"))</f>
        <v/>
      </c>
      <c r="I939" s="27">
        <f>IF($C939="","",IFERROR(INDEX(ENVIOS!$G$4:$G$3003,MATCH($C939,ENVIOS!$A$4:$A$3003,0)),"—"))</f>
        <v/>
      </c>
      <c r="J939" s="48">
        <f>IF($C939="","",IFERROR(INDEX(ENVIOS!$B$4:$B$3003,MATCH($C939,ENVIOS!$A$4:$A$3003,0)),""))</f>
        <v/>
      </c>
      <c r="K939" s="49" t="n"/>
      <c r="L939" s="27">
        <f>IF($K939="","",IFERROR(INDEX(CONFIG!$B$4:$B$43,MATCH($K939,CONFIG!$A$4:$A$43,0)),"Media"))</f>
        <v/>
      </c>
      <c r="M939" s="27">
        <f>IF($K939="","",IFERROR(INDEX(CONFIG!$D$4:$D$43,MATCH($K939,CONFIG!$A$4:$A$43,0)),"NO"))</f>
        <v/>
      </c>
      <c r="N939" s="49" t="n"/>
      <c r="O939" s="27">
        <f>IF($N939="","",IFERROR(INDEX(CONFIG!$G$4:$G$43,MATCH($N939,CONFIG!$F$4:$F$43,0)),"Por definir"))</f>
        <v/>
      </c>
      <c r="P939" s="27">
        <f>IF($N939="","",IFERROR(INDEX(CONFIG!$H$4:$H$43,MATCH($N939,CONFIG!$F$4:$F$43,0)),"Por definir"))</f>
        <v/>
      </c>
      <c r="Q939" s="50" t="n"/>
      <c r="R939" s="51" t="n"/>
      <c r="S939" s="49" t="n"/>
      <c r="T939" s="49" t="n"/>
      <c r="U939" s="48">
        <f>IF(OR($B939="",$K939=""),"",WORKDAY($B939,IFERROR(INDEX(CONFIG!$C$4:$C$43,MATCH($K939,CONFIG!$A$4:$A$43,0)),3)))</f>
        <v/>
      </c>
      <c r="V939" s="46" t="n"/>
      <c r="W939" s="23">
        <f>IF($B939="","",IF($V939&lt;&gt;"",$V939-$B939,TODAY()-$B939))</f>
        <v/>
      </c>
      <c r="X939" s="27">
        <f>IF($C939="","",IF(IFERROR(INDEX(CONFIG!$K$4:$K$43,MATCH($S939,CONFIG!$J$4:$J$43,0)),"NO")="SÍ",IF(OR($V939="",$U939=""),"Resuelta",IF($V939&gt;$U939,"Resuelta tarde","Resuelta a tiempo")),IF($U939="","Sin clasificar",IF(TODAY()&gt;$U939,"Vencida",IF(TODAY()&gt;=$U939-1,"Por vencer","En plazo")))))</f>
        <v/>
      </c>
      <c r="Y939" s="49" t="n"/>
      <c r="Z939" s="49" t="n"/>
    </row>
    <row r="940" ht="16" customHeight="1">
      <c r="A940" s="27">
        <f>IF($C940="","","N-"&amp;TEXT(ROW()-3,"0000"))</f>
        <v/>
      </c>
      <c r="B940" s="46" t="n"/>
      <c r="C940" s="47" t="n"/>
      <c r="D940" s="27">
        <f>IF($C940="","",IF(COUNTIFS(ENVIOS!$A$4:$A$3003,$C940)=0,"NO EXISTE",IF(COUNTIFS(ENVIOS!$A$4:$A$3003,$C940)&gt;1,"DUPLICADA","OK")))</f>
        <v/>
      </c>
      <c r="E940" s="22">
        <f>IF($C940="","",IFERROR(INDEX(ENVIOS!$C$4:$C$3003,MATCH($C940,ENVIOS!$A$4:$A$3003,0)),"—"))</f>
        <v/>
      </c>
      <c r="F940" s="22">
        <f>IF($C940="","",IFERROR(INDEX(ENVIOS!$D$4:$D$3003,MATCH($C940,ENVIOS!$A$4:$A$3003,0)),"—"))</f>
        <v/>
      </c>
      <c r="G940" s="22">
        <f>IF($C940="","",IFERROR(INDEX(ENVIOS!$E$4:$E$3003,MATCH($C940,ENVIOS!$A$4:$A$3003,0)),"—"))</f>
        <v/>
      </c>
      <c r="H940" s="22">
        <f>IF($C940="","",IFERROR(INDEX(ENVIOS!$F$4:$F$3003,MATCH($C940,ENVIOS!$A$4:$A$3003,0)),"—"))</f>
        <v/>
      </c>
      <c r="I940" s="27">
        <f>IF($C940="","",IFERROR(INDEX(ENVIOS!$G$4:$G$3003,MATCH($C940,ENVIOS!$A$4:$A$3003,0)),"—"))</f>
        <v/>
      </c>
      <c r="J940" s="48">
        <f>IF($C940="","",IFERROR(INDEX(ENVIOS!$B$4:$B$3003,MATCH($C940,ENVIOS!$A$4:$A$3003,0)),""))</f>
        <v/>
      </c>
      <c r="K940" s="49" t="n"/>
      <c r="L940" s="27">
        <f>IF($K940="","",IFERROR(INDEX(CONFIG!$B$4:$B$43,MATCH($K940,CONFIG!$A$4:$A$43,0)),"Media"))</f>
        <v/>
      </c>
      <c r="M940" s="27">
        <f>IF($K940="","",IFERROR(INDEX(CONFIG!$D$4:$D$43,MATCH($K940,CONFIG!$A$4:$A$43,0)),"NO"))</f>
        <v/>
      </c>
      <c r="N940" s="49" t="n"/>
      <c r="O940" s="27">
        <f>IF($N940="","",IFERROR(INDEX(CONFIG!$G$4:$G$43,MATCH($N940,CONFIG!$F$4:$F$43,0)),"Por definir"))</f>
        <v/>
      </c>
      <c r="P940" s="27">
        <f>IF($N940="","",IFERROR(INDEX(CONFIG!$H$4:$H$43,MATCH($N940,CONFIG!$F$4:$F$43,0)),"Por definir"))</f>
        <v/>
      </c>
      <c r="Q940" s="50" t="n"/>
      <c r="R940" s="51" t="n"/>
      <c r="S940" s="49" t="n"/>
      <c r="T940" s="49" t="n"/>
      <c r="U940" s="48">
        <f>IF(OR($B940="",$K940=""),"",WORKDAY($B940,IFERROR(INDEX(CONFIG!$C$4:$C$43,MATCH($K940,CONFIG!$A$4:$A$43,0)),3)))</f>
        <v/>
      </c>
      <c r="V940" s="46" t="n"/>
      <c r="W940" s="23">
        <f>IF($B940="","",IF($V940&lt;&gt;"",$V940-$B940,TODAY()-$B940))</f>
        <v/>
      </c>
      <c r="X940" s="27">
        <f>IF($C940="","",IF(IFERROR(INDEX(CONFIG!$K$4:$K$43,MATCH($S940,CONFIG!$J$4:$J$43,0)),"NO")="SÍ",IF(OR($V940="",$U940=""),"Resuelta",IF($V940&gt;$U940,"Resuelta tarde","Resuelta a tiempo")),IF($U940="","Sin clasificar",IF(TODAY()&gt;$U940,"Vencida",IF(TODAY()&gt;=$U940-1,"Por vencer","En plazo")))))</f>
        <v/>
      </c>
      <c r="Y940" s="49" t="n"/>
      <c r="Z940" s="49" t="n"/>
    </row>
    <row r="941" ht="16" customHeight="1">
      <c r="A941" s="27">
        <f>IF($C941="","","N-"&amp;TEXT(ROW()-3,"0000"))</f>
        <v/>
      </c>
      <c r="B941" s="46" t="n"/>
      <c r="C941" s="47" t="n"/>
      <c r="D941" s="27">
        <f>IF($C941="","",IF(COUNTIFS(ENVIOS!$A$4:$A$3003,$C941)=0,"NO EXISTE",IF(COUNTIFS(ENVIOS!$A$4:$A$3003,$C941)&gt;1,"DUPLICADA","OK")))</f>
        <v/>
      </c>
      <c r="E941" s="22">
        <f>IF($C941="","",IFERROR(INDEX(ENVIOS!$C$4:$C$3003,MATCH($C941,ENVIOS!$A$4:$A$3003,0)),"—"))</f>
        <v/>
      </c>
      <c r="F941" s="22">
        <f>IF($C941="","",IFERROR(INDEX(ENVIOS!$D$4:$D$3003,MATCH($C941,ENVIOS!$A$4:$A$3003,0)),"—"))</f>
        <v/>
      </c>
      <c r="G941" s="22">
        <f>IF($C941="","",IFERROR(INDEX(ENVIOS!$E$4:$E$3003,MATCH($C941,ENVIOS!$A$4:$A$3003,0)),"—"))</f>
        <v/>
      </c>
      <c r="H941" s="22">
        <f>IF($C941="","",IFERROR(INDEX(ENVIOS!$F$4:$F$3003,MATCH($C941,ENVIOS!$A$4:$A$3003,0)),"—"))</f>
        <v/>
      </c>
      <c r="I941" s="27">
        <f>IF($C941="","",IFERROR(INDEX(ENVIOS!$G$4:$G$3003,MATCH($C941,ENVIOS!$A$4:$A$3003,0)),"—"))</f>
        <v/>
      </c>
      <c r="J941" s="48">
        <f>IF($C941="","",IFERROR(INDEX(ENVIOS!$B$4:$B$3003,MATCH($C941,ENVIOS!$A$4:$A$3003,0)),""))</f>
        <v/>
      </c>
      <c r="K941" s="49" t="n"/>
      <c r="L941" s="27">
        <f>IF($K941="","",IFERROR(INDEX(CONFIG!$B$4:$B$43,MATCH($K941,CONFIG!$A$4:$A$43,0)),"Media"))</f>
        <v/>
      </c>
      <c r="M941" s="27">
        <f>IF($K941="","",IFERROR(INDEX(CONFIG!$D$4:$D$43,MATCH($K941,CONFIG!$A$4:$A$43,0)),"NO"))</f>
        <v/>
      </c>
      <c r="N941" s="49" t="n"/>
      <c r="O941" s="27">
        <f>IF($N941="","",IFERROR(INDEX(CONFIG!$G$4:$G$43,MATCH($N941,CONFIG!$F$4:$F$43,0)),"Por definir"))</f>
        <v/>
      </c>
      <c r="P941" s="27">
        <f>IF($N941="","",IFERROR(INDEX(CONFIG!$H$4:$H$43,MATCH($N941,CONFIG!$F$4:$F$43,0)),"Por definir"))</f>
        <v/>
      </c>
      <c r="Q941" s="50" t="n"/>
      <c r="R941" s="51" t="n"/>
      <c r="S941" s="49" t="n"/>
      <c r="T941" s="49" t="n"/>
      <c r="U941" s="48">
        <f>IF(OR($B941="",$K941=""),"",WORKDAY($B941,IFERROR(INDEX(CONFIG!$C$4:$C$43,MATCH($K941,CONFIG!$A$4:$A$43,0)),3)))</f>
        <v/>
      </c>
      <c r="V941" s="46" t="n"/>
      <c r="W941" s="23">
        <f>IF($B941="","",IF($V941&lt;&gt;"",$V941-$B941,TODAY()-$B941))</f>
        <v/>
      </c>
      <c r="X941" s="27">
        <f>IF($C941="","",IF(IFERROR(INDEX(CONFIG!$K$4:$K$43,MATCH($S941,CONFIG!$J$4:$J$43,0)),"NO")="SÍ",IF(OR($V941="",$U941=""),"Resuelta",IF($V941&gt;$U941,"Resuelta tarde","Resuelta a tiempo")),IF($U941="","Sin clasificar",IF(TODAY()&gt;$U941,"Vencida",IF(TODAY()&gt;=$U941-1,"Por vencer","En plazo")))))</f>
        <v/>
      </c>
      <c r="Y941" s="49" t="n"/>
      <c r="Z941" s="49" t="n"/>
    </row>
    <row r="942" ht="16" customHeight="1">
      <c r="A942" s="27">
        <f>IF($C942="","","N-"&amp;TEXT(ROW()-3,"0000"))</f>
        <v/>
      </c>
      <c r="B942" s="46" t="n"/>
      <c r="C942" s="47" t="n"/>
      <c r="D942" s="27">
        <f>IF($C942="","",IF(COUNTIFS(ENVIOS!$A$4:$A$3003,$C942)=0,"NO EXISTE",IF(COUNTIFS(ENVIOS!$A$4:$A$3003,$C942)&gt;1,"DUPLICADA","OK")))</f>
        <v/>
      </c>
      <c r="E942" s="22">
        <f>IF($C942="","",IFERROR(INDEX(ENVIOS!$C$4:$C$3003,MATCH($C942,ENVIOS!$A$4:$A$3003,0)),"—"))</f>
        <v/>
      </c>
      <c r="F942" s="22">
        <f>IF($C942="","",IFERROR(INDEX(ENVIOS!$D$4:$D$3003,MATCH($C942,ENVIOS!$A$4:$A$3003,0)),"—"))</f>
        <v/>
      </c>
      <c r="G942" s="22">
        <f>IF($C942="","",IFERROR(INDEX(ENVIOS!$E$4:$E$3003,MATCH($C942,ENVIOS!$A$4:$A$3003,0)),"—"))</f>
        <v/>
      </c>
      <c r="H942" s="22">
        <f>IF($C942="","",IFERROR(INDEX(ENVIOS!$F$4:$F$3003,MATCH($C942,ENVIOS!$A$4:$A$3003,0)),"—"))</f>
        <v/>
      </c>
      <c r="I942" s="27">
        <f>IF($C942="","",IFERROR(INDEX(ENVIOS!$G$4:$G$3003,MATCH($C942,ENVIOS!$A$4:$A$3003,0)),"—"))</f>
        <v/>
      </c>
      <c r="J942" s="48">
        <f>IF($C942="","",IFERROR(INDEX(ENVIOS!$B$4:$B$3003,MATCH($C942,ENVIOS!$A$4:$A$3003,0)),""))</f>
        <v/>
      </c>
      <c r="K942" s="49" t="n"/>
      <c r="L942" s="27">
        <f>IF($K942="","",IFERROR(INDEX(CONFIG!$B$4:$B$43,MATCH($K942,CONFIG!$A$4:$A$43,0)),"Media"))</f>
        <v/>
      </c>
      <c r="M942" s="27">
        <f>IF($K942="","",IFERROR(INDEX(CONFIG!$D$4:$D$43,MATCH($K942,CONFIG!$A$4:$A$43,0)),"NO"))</f>
        <v/>
      </c>
      <c r="N942" s="49" t="n"/>
      <c r="O942" s="27">
        <f>IF($N942="","",IFERROR(INDEX(CONFIG!$G$4:$G$43,MATCH($N942,CONFIG!$F$4:$F$43,0)),"Por definir"))</f>
        <v/>
      </c>
      <c r="P942" s="27">
        <f>IF($N942="","",IFERROR(INDEX(CONFIG!$H$4:$H$43,MATCH($N942,CONFIG!$F$4:$F$43,0)),"Por definir"))</f>
        <v/>
      </c>
      <c r="Q942" s="50" t="n"/>
      <c r="R942" s="51" t="n"/>
      <c r="S942" s="49" t="n"/>
      <c r="T942" s="49" t="n"/>
      <c r="U942" s="48">
        <f>IF(OR($B942="",$K942=""),"",WORKDAY($B942,IFERROR(INDEX(CONFIG!$C$4:$C$43,MATCH($K942,CONFIG!$A$4:$A$43,0)),3)))</f>
        <v/>
      </c>
      <c r="V942" s="46" t="n"/>
      <c r="W942" s="23">
        <f>IF($B942="","",IF($V942&lt;&gt;"",$V942-$B942,TODAY()-$B942))</f>
        <v/>
      </c>
      <c r="X942" s="27">
        <f>IF($C942="","",IF(IFERROR(INDEX(CONFIG!$K$4:$K$43,MATCH($S942,CONFIG!$J$4:$J$43,0)),"NO")="SÍ",IF(OR($V942="",$U942=""),"Resuelta",IF($V942&gt;$U942,"Resuelta tarde","Resuelta a tiempo")),IF($U942="","Sin clasificar",IF(TODAY()&gt;$U942,"Vencida",IF(TODAY()&gt;=$U942-1,"Por vencer","En plazo")))))</f>
        <v/>
      </c>
      <c r="Y942" s="49" t="n"/>
      <c r="Z942" s="49" t="n"/>
    </row>
    <row r="943" ht="16" customHeight="1">
      <c r="A943" s="27">
        <f>IF($C943="","","N-"&amp;TEXT(ROW()-3,"0000"))</f>
        <v/>
      </c>
      <c r="B943" s="46" t="n"/>
      <c r="C943" s="47" t="n"/>
      <c r="D943" s="27">
        <f>IF($C943="","",IF(COUNTIFS(ENVIOS!$A$4:$A$3003,$C943)=0,"NO EXISTE",IF(COUNTIFS(ENVIOS!$A$4:$A$3003,$C943)&gt;1,"DUPLICADA","OK")))</f>
        <v/>
      </c>
      <c r="E943" s="22">
        <f>IF($C943="","",IFERROR(INDEX(ENVIOS!$C$4:$C$3003,MATCH($C943,ENVIOS!$A$4:$A$3003,0)),"—"))</f>
        <v/>
      </c>
      <c r="F943" s="22">
        <f>IF($C943="","",IFERROR(INDEX(ENVIOS!$D$4:$D$3003,MATCH($C943,ENVIOS!$A$4:$A$3003,0)),"—"))</f>
        <v/>
      </c>
      <c r="G943" s="22">
        <f>IF($C943="","",IFERROR(INDEX(ENVIOS!$E$4:$E$3003,MATCH($C943,ENVIOS!$A$4:$A$3003,0)),"—"))</f>
        <v/>
      </c>
      <c r="H943" s="22">
        <f>IF($C943="","",IFERROR(INDEX(ENVIOS!$F$4:$F$3003,MATCH($C943,ENVIOS!$A$4:$A$3003,0)),"—"))</f>
        <v/>
      </c>
      <c r="I943" s="27">
        <f>IF($C943="","",IFERROR(INDEX(ENVIOS!$G$4:$G$3003,MATCH($C943,ENVIOS!$A$4:$A$3003,0)),"—"))</f>
        <v/>
      </c>
      <c r="J943" s="48">
        <f>IF($C943="","",IFERROR(INDEX(ENVIOS!$B$4:$B$3003,MATCH($C943,ENVIOS!$A$4:$A$3003,0)),""))</f>
        <v/>
      </c>
      <c r="K943" s="49" t="n"/>
      <c r="L943" s="27">
        <f>IF($K943="","",IFERROR(INDEX(CONFIG!$B$4:$B$43,MATCH($K943,CONFIG!$A$4:$A$43,0)),"Media"))</f>
        <v/>
      </c>
      <c r="M943" s="27">
        <f>IF($K943="","",IFERROR(INDEX(CONFIG!$D$4:$D$43,MATCH($K943,CONFIG!$A$4:$A$43,0)),"NO"))</f>
        <v/>
      </c>
      <c r="N943" s="49" t="n"/>
      <c r="O943" s="27">
        <f>IF($N943="","",IFERROR(INDEX(CONFIG!$G$4:$G$43,MATCH($N943,CONFIG!$F$4:$F$43,0)),"Por definir"))</f>
        <v/>
      </c>
      <c r="P943" s="27">
        <f>IF($N943="","",IFERROR(INDEX(CONFIG!$H$4:$H$43,MATCH($N943,CONFIG!$F$4:$F$43,0)),"Por definir"))</f>
        <v/>
      </c>
      <c r="Q943" s="50" t="n"/>
      <c r="R943" s="51" t="n"/>
      <c r="S943" s="49" t="n"/>
      <c r="T943" s="49" t="n"/>
      <c r="U943" s="48">
        <f>IF(OR($B943="",$K943=""),"",WORKDAY($B943,IFERROR(INDEX(CONFIG!$C$4:$C$43,MATCH($K943,CONFIG!$A$4:$A$43,0)),3)))</f>
        <v/>
      </c>
      <c r="V943" s="46" t="n"/>
      <c r="W943" s="23">
        <f>IF($B943="","",IF($V943&lt;&gt;"",$V943-$B943,TODAY()-$B943))</f>
        <v/>
      </c>
      <c r="X943" s="27">
        <f>IF($C943="","",IF(IFERROR(INDEX(CONFIG!$K$4:$K$43,MATCH($S943,CONFIG!$J$4:$J$43,0)),"NO")="SÍ",IF(OR($V943="",$U943=""),"Resuelta",IF($V943&gt;$U943,"Resuelta tarde","Resuelta a tiempo")),IF($U943="","Sin clasificar",IF(TODAY()&gt;$U943,"Vencida",IF(TODAY()&gt;=$U943-1,"Por vencer","En plazo")))))</f>
        <v/>
      </c>
      <c r="Y943" s="49" t="n"/>
      <c r="Z943" s="49" t="n"/>
    </row>
    <row r="944" ht="16" customHeight="1">
      <c r="A944" s="27">
        <f>IF($C944="","","N-"&amp;TEXT(ROW()-3,"0000"))</f>
        <v/>
      </c>
      <c r="B944" s="46" t="n"/>
      <c r="C944" s="47" t="n"/>
      <c r="D944" s="27">
        <f>IF($C944="","",IF(COUNTIFS(ENVIOS!$A$4:$A$3003,$C944)=0,"NO EXISTE",IF(COUNTIFS(ENVIOS!$A$4:$A$3003,$C944)&gt;1,"DUPLICADA","OK")))</f>
        <v/>
      </c>
      <c r="E944" s="22">
        <f>IF($C944="","",IFERROR(INDEX(ENVIOS!$C$4:$C$3003,MATCH($C944,ENVIOS!$A$4:$A$3003,0)),"—"))</f>
        <v/>
      </c>
      <c r="F944" s="22">
        <f>IF($C944="","",IFERROR(INDEX(ENVIOS!$D$4:$D$3003,MATCH($C944,ENVIOS!$A$4:$A$3003,0)),"—"))</f>
        <v/>
      </c>
      <c r="G944" s="22">
        <f>IF($C944="","",IFERROR(INDEX(ENVIOS!$E$4:$E$3003,MATCH($C944,ENVIOS!$A$4:$A$3003,0)),"—"))</f>
        <v/>
      </c>
      <c r="H944" s="22">
        <f>IF($C944="","",IFERROR(INDEX(ENVIOS!$F$4:$F$3003,MATCH($C944,ENVIOS!$A$4:$A$3003,0)),"—"))</f>
        <v/>
      </c>
      <c r="I944" s="27">
        <f>IF($C944="","",IFERROR(INDEX(ENVIOS!$G$4:$G$3003,MATCH($C944,ENVIOS!$A$4:$A$3003,0)),"—"))</f>
        <v/>
      </c>
      <c r="J944" s="48">
        <f>IF($C944="","",IFERROR(INDEX(ENVIOS!$B$4:$B$3003,MATCH($C944,ENVIOS!$A$4:$A$3003,0)),""))</f>
        <v/>
      </c>
      <c r="K944" s="49" t="n"/>
      <c r="L944" s="27">
        <f>IF($K944="","",IFERROR(INDEX(CONFIG!$B$4:$B$43,MATCH($K944,CONFIG!$A$4:$A$43,0)),"Media"))</f>
        <v/>
      </c>
      <c r="M944" s="27">
        <f>IF($K944="","",IFERROR(INDEX(CONFIG!$D$4:$D$43,MATCH($K944,CONFIG!$A$4:$A$43,0)),"NO"))</f>
        <v/>
      </c>
      <c r="N944" s="49" t="n"/>
      <c r="O944" s="27">
        <f>IF($N944="","",IFERROR(INDEX(CONFIG!$G$4:$G$43,MATCH($N944,CONFIG!$F$4:$F$43,0)),"Por definir"))</f>
        <v/>
      </c>
      <c r="P944" s="27">
        <f>IF($N944="","",IFERROR(INDEX(CONFIG!$H$4:$H$43,MATCH($N944,CONFIG!$F$4:$F$43,0)),"Por definir"))</f>
        <v/>
      </c>
      <c r="Q944" s="50" t="n"/>
      <c r="R944" s="51" t="n"/>
      <c r="S944" s="49" t="n"/>
      <c r="T944" s="49" t="n"/>
      <c r="U944" s="48">
        <f>IF(OR($B944="",$K944=""),"",WORKDAY($B944,IFERROR(INDEX(CONFIG!$C$4:$C$43,MATCH($K944,CONFIG!$A$4:$A$43,0)),3)))</f>
        <v/>
      </c>
      <c r="V944" s="46" t="n"/>
      <c r="W944" s="23">
        <f>IF($B944="","",IF($V944&lt;&gt;"",$V944-$B944,TODAY()-$B944))</f>
        <v/>
      </c>
      <c r="X944" s="27">
        <f>IF($C944="","",IF(IFERROR(INDEX(CONFIG!$K$4:$K$43,MATCH($S944,CONFIG!$J$4:$J$43,0)),"NO")="SÍ",IF(OR($V944="",$U944=""),"Resuelta",IF($V944&gt;$U944,"Resuelta tarde","Resuelta a tiempo")),IF($U944="","Sin clasificar",IF(TODAY()&gt;$U944,"Vencida",IF(TODAY()&gt;=$U944-1,"Por vencer","En plazo")))))</f>
        <v/>
      </c>
      <c r="Y944" s="49" t="n"/>
      <c r="Z944" s="49" t="n"/>
    </row>
    <row r="945" ht="16" customHeight="1">
      <c r="A945" s="27">
        <f>IF($C945="","","N-"&amp;TEXT(ROW()-3,"0000"))</f>
        <v/>
      </c>
      <c r="B945" s="46" t="n"/>
      <c r="C945" s="47" t="n"/>
      <c r="D945" s="27">
        <f>IF($C945="","",IF(COUNTIFS(ENVIOS!$A$4:$A$3003,$C945)=0,"NO EXISTE",IF(COUNTIFS(ENVIOS!$A$4:$A$3003,$C945)&gt;1,"DUPLICADA","OK")))</f>
        <v/>
      </c>
      <c r="E945" s="22">
        <f>IF($C945="","",IFERROR(INDEX(ENVIOS!$C$4:$C$3003,MATCH($C945,ENVIOS!$A$4:$A$3003,0)),"—"))</f>
        <v/>
      </c>
      <c r="F945" s="22">
        <f>IF($C945="","",IFERROR(INDEX(ENVIOS!$D$4:$D$3003,MATCH($C945,ENVIOS!$A$4:$A$3003,0)),"—"))</f>
        <v/>
      </c>
      <c r="G945" s="22">
        <f>IF($C945="","",IFERROR(INDEX(ENVIOS!$E$4:$E$3003,MATCH($C945,ENVIOS!$A$4:$A$3003,0)),"—"))</f>
        <v/>
      </c>
      <c r="H945" s="22">
        <f>IF($C945="","",IFERROR(INDEX(ENVIOS!$F$4:$F$3003,MATCH($C945,ENVIOS!$A$4:$A$3003,0)),"—"))</f>
        <v/>
      </c>
      <c r="I945" s="27">
        <f>IF($C945="","",IFERROR(INDEX(ENVIOS!$G$4:$G$3003,MATCH($C945,ENVIOS!$A$4:$A$3003,0)),"—"))</f>
        <v/>
      </c>
      <c r="J945" s="48">
        <f>IF($C945="","",IFERROR(INDEX(ENVIOS!$B$4:$B$3003,MATCH($C945,ENVIOS!$A$4:$A$3003,0)),""))</f>
        <v/>
      </c>
      <c r="K945" s="49" t="n"/>
      <c r="L945" s="27">
        <f>IF($K945="","",IFERROR(INDEX(CONFIG!$B$4:$B$43,MATCH($K945,CONFIG!$A$4:$A$43,0)),"Media"))</f>
        <v/>
      </c>
      <c r="M945" s="27">
        <f>IF($K945="","",IFERROR(INDEX(CONFIG!$D$4:$D$43,MATCH($K945,CONFIG!$A$4:$A$43,0)),"NO"))</f>
        <v/>
      </c>
      <c r="N945" s="49" t="n"/>
      <c r="O945" s="27">
        <f>IF($N945="","",IFERROR(INDEX(CONFIG!$G$4:$G$43,MATCH($N945,CONFIG!$F$4:$F$43,0)),"Por definir"))</f>
        <v/>
      </c>
      <c r="P945" s="27">
        <f>IF($N945="","",IFERROR(INDEX(CONFIG!$H$4:$H$43,MATCH($N945,CONFIG!$F$4:$F$43,0)),"Por definir"))</f>
        <v/>
      </c>
      <c r="Q945" s="50" t="n"/>
      <c r="R945" s="51" t="n"/>
      <c r="S945" s="49" t="n"/>
      <c r="T945" s="49" t="n"/>
      <c r="U945" s="48">
        <f>IF(OR($B945="",$K945=""),"",WORKDAY($B945,IFERROR(INDEX(CONFIG!$C$4:$C$43,MATCH($K945,CONFIG!$A$4:$A$43,0)),3)))</f>
        <v/>
      </c>
      <c r="V945" s="46" t="n"/>
      <c r="W945" s="23">
        <f>IF($B945="","",IF($V945&lt;&gt;"",$V945-$B945,TODAY()-$B945))</f>
        <v/>
      </c>
      <c r="X945" s="27">
        <f>IF($C945="","",IF(IFERROR(INDEX(CONFIG!$K$4:$K$43,MATCH($S945,CONFIG!$J$4:$J$43,0)),"NO")="SÍ",IF(OR($V945="",$U945=""),"Resuelta",IF($V945&gt;$U945,"Resuelta tarde","Resuelta a tiempo")),IF($U945="","Sin clasificar",IF(TODAY()&gt;$U945,"Vencida",IF(TODAY()&gt;=$U945-1,"Por vencer","En plazo")))))</f>
        <v/>
      </c>
      <c r="Y945" s="49" t="n"/>
      <c r="Z945" s="49" t="n"/>
    </row>
    <row r="946" ht="16" customHeight="1">
      <c r="A946" s="27">
        <f>IF($C946="","","N-"&amp;TEXT(ROW()-3,"0000"))</f>
        <v/>
      </c>
      <c r="B946" s="46" t="n"/>
      <c r="C946" s="47" t="n"/>
      <c r="D946" s="27">
        <f>IF($C946="","",IF(COUNTIFS(ENVIOS!$A$4:$A$3003,$C946)=0,"NO EXISTE",IF(COUNTIFS(ENVIOS!$A$4:$A$3003,$C946)&gt;1,"DUPLICADA","OK")))</f>
        <v/>
      </c>
      <c r="E946" s="22">
        <f>IF($C946="","",IFERROR(INDEX(ENVIOS!$C$4:$C$3003,MATCH($C946,ENVIOS!$A$4:$A$3003,0)),"—"))</f>
        <v/>
      </c>
      <c r="F946" s="22">
        <f>IF($C946="","",IFERROR(INDEX(ENVIOS!$D$4:$D$3003,MATCH($C946,ENVIOS!$A$4:$A$3003,0)),"—"))</f>
        <v/>
      </c>
      <c r="G946" s="22">
        <f>IF($C946="","",IFERROR(INDEX(ENVIOS!$E$4:$E$3003,MATCH($C946,ENVIOS!$A$4:$A$3003,0)),"—"))</f>
        <v/>
      </c>
      <c r="H946" s="22">
        <f>IF($C946="","",IFERROR(INDEX(ENVIOS!$F$4:$F$3003,MATCH($C946,ENVIOS!$A$4:$A$3003,0)),"—"))</f>
        <v/>
      </c>
      <c r="I946" s="27">
        <f>IF($C946="","",IFERROR(INDEX(ENVIOS!$G$4:$G$3003,MATCH($C946,ENVIOS!$A$4:$A$3003,0)),"—"))</f>
        <v/>
      </c>
      <c r="J946" s="48">
        <f>IF($C946="","",IFERROR(INDEX(ENVIOS!$B$4:$B$3003,MATCH($C946,ENVIOS!$A$4:$A$3003,0)),""))</f>
        <v/>
      </c>
      <c r="K946" s="49" t="n"/>
      <c r="L946" s="27">
        <f>IF($K946="","",IFERROR(INDEX(CONFIG!$B$4:$B$43,MATCH($K946,CONFIG!$A$4:$A$43,0)),"Media"))</f>
        <v/>
      </c>
      <c r="M946" s="27">
        <f>IF($K946="","",IFERROR(INDEX(CONFIG!$D$4:$D$43,MATCH($K946,CONFIG!$A$4:$A$43,0)),"NO"))</f>
        <v/>
      </c>
      <c r="N946" s="49" t="n"/>
      <c r="O946" s="27">
        <f>IF($N946="","",IFERROR(INDEX(CONFIG!$G$4:$G$43,MATCH($N946,CONFIG!$F$4:$F$43,0)),"Por definir"))</f>
        <v/>
      </c>
      <c r="P946" s="27">
        <f>IF($N946="","",IFERROR(INDEX(CONFIG!$H$4:$H$43,MATCH($N946,CONFIG!$F$4:$F$43,0)),"Por definir"))</f>
        <v/>
      </c>
      <c r="Q946" s="50" t="n"/>
      <c r="R946" s="51" t="n"/>
      <c r="S946" s="49" t="n"/>
      <c r="T946" s="49" t="n"/>
      <c r="U946" s="48">
        <f>IF(OR($B946="",$K946=""),"",WORKDAY($B946,IFERROR(INDEX(CONFIG!$C$4:$C$43,MATCH($K946,CONFIG!$A$4:$A$43,0)),3)))</f>
        <v/>
      </c>
      <c r="V946" s="46" t="n"/>
      <c r="W946" s="23">
        <f>IF($B946="","",IF($V946&lt;&gt;"",$V946-$B946,TODAY()-$B946))</f>
        <v/>
      </c>
      <c r="X946" s="27">
        <f>IF($C946="","",IF(IFERROR(INDEX(CONFIG!$K$4:$K$43,MATCH($S946,CONFIG!$J$4:$J$43,0)),"NO")="SÍ",IF(OR($V946="",$U946=""),"Resuelta",IF($V946&gt;$U946,"Resuelta tarde","Resuelta a tiempo")),IF($U946="","Sin clasificar",IF(TODAY()&gt;$U946,"Vencida",IF(TODAY()&gt;=$U946-1,"Por vencer","En plazo")))))</f>
        <v/>
      </c>
      <c r="Y946" s="49" t="n"/>
      <c r="Z946" s="49" t="n"/>
    </row>
    <row r="947" ht="16" customHeight="1">
      <c r="A947" s="27">
        <f>IF($C947="","","N-"&amp;TEXT(ROW()-3,"0000"))</f>
        <v/>
      </c>
      <c r="B947" s="46" t="n"/>
      <c r="C947" s="47" t="n"/>
      <c r="D947" s="27">
        <f>IF($C947="","",IF(COUNTIFS(ENVIOS!$A$4:$A$3003,$C947)=0,"NO EXISTE",IF(COUNTIFS(ENVIOS!$A$4:$A$3003,$C947)&gt;1,"DUPLICADA","OK")))</f>
        <v/>
      </c>
      <c r="E947" s="22">
        <f>IF($C947="","",IFERROR(INDEX(ENVIOS!$C$4:$C$3003,MATCH($C947,ENVIOS!$A$4:$A$3003,0)),"—"))</f>
        <v/>
      </c>
      <c r="F947" s="22">
        <f>IF($C947="","",IFERROR(INDEX(ENVIOS!$D$4:$D$3003,MATCH($C947,ENVIOS!$A$4:$A$3003,0)),"—"))</f>
        <v/>
      </c>
      <c r="G947" s="22">
        <f>IF($C947="","",IFERROR(INDEX(ENVIOS!$E$4:$E$3003,MATCH($C947,ENVIOS!$A$4:$A$3003,0)),"—"))</f>
        <v/>
      </c>
      <c r="H947" s="22">
        <f>IF($C947="","",IFERROR(INDEX(ENVIOS!$F$4:$F$3003,MATCH($C947,ENVIOS!$A$4:$A$3003,0)),"—"))</f>
        <v/>
      </c>
      <c r="I947" s="27">
        <f>IF($C947="","",IFERROR(INDEX(ENVIOS!$G$4:$G$3003,MATCH($C947,ENVIOS!$A$4:$A$3003,0)),"—"))</f>
        <v/>
      </c>
      <c r="J947" s="48">
        <f>IF($C947="","",IFERROR(INDEX(ENVIOS!$B$4:$B$3003,MATCH($C947,ENVIOS!$A$4:$A$3003,0)),""))</f>
        <v/>
      </c>
      <c r="K947" s="49" t="n"/>
      <c r="L947" s="27">
        <f>IF($K947="","",IFERROR(INDEX(CONFIG!$B$4:$B$43,MATCH($K947,CONFIG!$A$4:$A$43,0)),"Media"))</f>
        <v/>
      </c>
      <c r="M947" s="27">
        <f>IF($K947="","",IFERROR(INDEX(CONFIG!$D$4:$D$43,MATCH($K947,CONFIG!$A$4:$A$43,0)),"NO"))</f>
        <v/>
      </c>
      <c r="N947" s="49" t="n"/>
      <c r="O947" s="27">
        <f>IF($N947="","",IFERROR(INDEX(CONFIG!$G$4:$G$43,MATCH($N947,CONFIG!$F$4:$F$43,0)),"Por definir"))</f>
        <v/>
      </c>
      <c r="P947" s="27">
        <f>IF($N947="","",IFERROR(INDEX(CONFIG!$H$4:$H$43,MATCH($N947,CONFIG!$F$4:$F$43,0)),"Por definir"))</f>
        <v/>
      </c>
      <c r="Q947" s="50" t="n"/>
      <c r="R947" s="51" t="n"/>
      <c r="S947" s="49" t="n"/>
      <c r="T947" s="49" t="n"/>
      <c r="U947" s="48">
        <f>IF(OR($B947="",$K947=""),"",WORKDAY($B947,IFERROR(INDEX(CONFIG!$C$4:$C$43,MATCH($K947,CONFIG!$A$4:$A$43,0)),3)))</f>
        <v/>
      </c>
      <c r="V947" s="46" t="n"/>
      <c r="W947" s="23">
        <f>IF($B947="","",IF($V947&lt;&gt;"",$V947-$B947,TODAY()-$B947))</f>
        <v/>
      </c>
      <c r="X947" s="27">
        <f>IF($C947="","",IF(IFERROR(INDEX(CONFIG!$K$4:$K$43,MATCH($S947,CONFIG!$J$4:$J$43,0)),"NO")="SÍ",IF(OR($V947="",$U947=""),"Resuelta",IF($V947&gt;$U947,"Resuelta tarde","Resuelta a tiempo")),IF($U947="","Sin clasificar",IF(TODAY()&gt;$U947,"Vencida",IF(TODAY()&gt;=$U947-1,"Por vencer","En plazo")))))</f>
        <v/>
      </c>
      <c r="Y947" s="49" t="n"/>
      <c r="Z947" s="49" t="n"/>
    </row>
    <row r="948" ht="16" customHeight="1">
      <c r="A948" s="27">
        <f>IF($C948="","","N-"&amp;TEXT(ROW()-3,"0000"))</f>
        <v/>
      </c>
      <c r="B948" s="46" t="n"/>
      <c r="C948" s="47" t="n"/>
      <c r="D948" s="27">
        <f>IF($C948="","",IF(COUNTIFS(ENVIOS!$A$4:$A$3003,$C948)=0,"NO EXISTE",IF(COUNTIFS(ENVIOS!$A$4:$A$3003,$C948)&gt;1,"DUPLICADA","OK")))</f>
        <v/>
      </c>
      <c r="E948" s="22">
        <f>IF($C948="","",IFERROR(INDEX(ENVIOS!$C$4:$C$3003,MATCH($C948,ENVIOS!$A$4:$A$3003,0)),"—"))</f>
        <v/>
      </c>
      <c r="F948" s="22">
        <f>IF($C948="","",IFERROR(INDEX(ENVIOS!$D$4:$D$3003,MATCH($C948,ENVIOS!$A$4:$A$3003,0)),"—"))</f>
        <v/>
      </c>
      <c r="G948" s="22">
        <f>IF($C948="","",IFERROR(INDEX(ENVIOS!$E$4:$E$3003,MATCH($C948,ENVIOS!$A$4:$A$3003,0)),"—"))</f>
        <v/>
      </c>
      <c r="H948" s="22">
        <f>IF($C948="","",IFERROR(INDEX(ENVIOS!$F$4:$F$3003,MATCH($C948,ENVIOS!$A$4:$A$3003,0)),"—"))</f>
        <v/>
      </c>
      <c r="I948" s="27">
        <f>IF($C948="","",IFERROR(INDEX(ENVIOS!$G$4:$G$3003,MATCH($C948,ENVIOS!$A$4:$A$3003,0)),"—"))</f>
        <v/>
      </c>
      <c r="J948" s="48">
        <f>IF($C948="","",IFERROR(INDEX(ENVIOS!$B$4:$B$3003,MATCH($C948,ENVIOS!$A$4:$A$3003,0)),""))</f>
        <v/>
      </c>
      <c r="K948" s="49" t="n"/>
      <c r="L948" s="27">
        <f>IF($K948="","",IFERROR(INDEX(CONFIG!$B$4:$B$43,MATCH($K948,CONFIG!$A$4:$A$43,0)),"Media"))</f>
        <v/>
      </c>
      <c r="M948" s="27">
        <f>IF($K948="","",IFERROR(INDEX(CONFIG!$D$4:$D$43,MATCH($K948,CONFIG!$A$4:$A$43,0)),"NO"))</f>
        <v/>
      </c>
      <c r="N948" s="49" t="n"/>
      <c r="O948" s="27">
        <f>IF($N948="","",IFERROR(INDEX(CONFIG!$G$4:$G$43,MATCH($N948,CONFIG!$F$4:$F$43,0)),"Por definir"))</f>
        <v/>
      </c>
      <c r="P948" s="27">
        <f>IF($N948="","",IFERROR(INDEX(CONFIG!$H$4:$H$43,MATCH($N948,CONFIG!$F$4:$F$43,0)),"Por definir"))</f>
        <v/>
      </c>
      <c r="Q948" s="50" t="n"/>
      <c r="R948" s="51" t="n"/>
      <c r="S948" s="49" t="n"/>
      <c r="T948" s="49" t="n"/>
      <c r="U948" s="48">
        <f>IF(OR($B948="",$K948=""),"",WORKDAY($B948,IFERROR(INDEX(CONFIG!$C$4:$C$43,MATCH($K948,CONFIG!$A$4:$A$43,0)),3)))</f>
        <v/>
      </c>
      <c r="V948" s="46" t="n"/>
      <c r="W948" s="23">
        <f>IF($B948="","",IF($V948&lt;&gt;"",$V948-$B948,TODAY()-$B948))</f>
        <v/>
      </c>
      <c r="X948" s="27">
        <f>IF($C948="","",IF(IFERROR(INDEX(CONFIG!$K$4:$K$43,MATCH($S948,CONFIG!$J$4:$J$43,0)),"NO")="SÍ",IF(OR($V948="",$U948=""),"Resuelta",IF($V948&gt;$U948,"Resuelta tarde","Resuelta a tiempo")),IF($U948="","Sin clasificar",IF(TODAY()&gt;$U948,"Vencida",IF(TODAY()&gt;=$U948-1,"Por vencer","En plazo")))))</f>
        <v/>
      </c>
      <c r="Y948" s="49" t="n"/>
      <c r="Z948" s="49" t="n"/>
    </row>
    <row r="949" ht="16" customHeight="1">
      <c r="A949" s="27">
        <f>IF($C949="","","N-"&amp;TEXT(ROW()-3,"0000"))</f>
        <v/>
      </c>
      <c r="B949" s="46" t="n"/>
      <c r="C949" s="47" t="n"/>
      <c r="D949" s="27">
        <f>IF($C949="","",IF(COUNTIFS(ENVIOS!$A$4:$A$3003,$C949)=0,"NO EXISTE",IF(COUNTIFS(ENVIOS!$A$4:$A$3003,$C949)&gt;1,"DUPLICADA","OK")))</f>
        <v/>
      </c>
      <c r="E949" s="22">
        <f>IF($C949="","",IFERROR(INDEX(ENVIOS!$C$4:$C$3003,MATCH($C949,ENVIOS!$A$4:$A$3003,0)),"—"))</f>
        <v/>
      </c>
      <c r="F949" s="22">
        <f>IF($C949="","",IFERROR(INDEX(ENVIOS!$D$4:$D$3003,MATCH($C949,ENVIOS!$A$4:$A$3003,0)),"—"))</f>
        <v/>
      </c>
      <c r="G949" s="22">
        <f>IF($C949="","",IFERROR(INDEX(ENVIOS!$E$4:$E$3003,MATCH($C949,ENVIOS!$A$4:$A$3003,0)),"—"))</f>
        <v/>
      </c>
      <c r="H949" s="22">
        <f>IF($C949="","",IFERROR(INDEX(ENVIOS!$F$4:$F$3003,MATCH($C949,ENVIOS!$A$4:$A$3003,0)),"—"))</f>
        <v/>
      </c>
      <c r="I949" s="27">
        <f>IF($C949="","",IFERROR(INDEX(ENVIOS!$G$4:$G$3003,MATCH($C949,ENVIOS!$A$4:$A$3003,0)),"—"))</f>
        <v/>
      </c>
      <c r="J949" s="48">
        <f>IF($C949="","",IFERROR(INDEX(ENVIOS!$B$4:$B$3003,MATCH($C949,ENVIOS!$A$4:$A$3003,0)),""))</f>
        <v/>
      </c>
      <c r="K949" s="49" t="n"/>
      <c r="L949" s="27">
        <f>IF($K949="","",IFERROR(INDEX(CONFIG!$B$4:$B$43,MATCH($K949,CONFIG!$A$4:$A$43,0)),"Media"))</f>
        <v/>
      </c>
      <c r="M949" s="27">
        <f>IF($K949="","",IFERROR(INDEX(CONFIG!$D$4:$D$43,MATCH($K949,CONFIG!$A$4:$A$43,0)),"NO"))</f>
        <v/>
      </c>
      <c r="N949" s="49" t="n"/>
      <c r="O949" s="27">
        <f>IF($N949="","",IFERROR(INDEX(CONFIG!$G$4:$G$43,MATCH($N949,CONFIG!$F$4:$F$43,0)),"Por definir"))</f>
        <v/>
      </c>
      <c r="P949" s="27">
        <f>IF($N949="","",IFERROR(INDEX(CONFIG!$H$4:$H$43,MATCH($N949,CONFIG!$F$4:$F$43,0)),"Por definir"))</f>
        <v/>
      </c>
      <c r="Q949" s="50" t="n"/>
      <c r="R949" s="51" t="n"/>
      <c r="S949" s="49" t="n"/>
      <c r="T949" s="49" t="n"/>
      <c r="U949" s="48">
        <f>IF(OR($B949="",$K949=""),"",WORKDAY($B949,IFERROR(INDEX(CONFIG!$C$4:$C$43,MATCH($K949,CONFIG!$A$4:$A$43,0)),3)))</f>
        <v/>
      </c>
      <c r="V949" s="46" t="n"/>
      <c r="W949" s="23">
        <f>IF($B949="","",IF($V949&lt;&gt;"",$V949-$B949,TODAY()-$B949))</f>
        <v/>
      </c>
      <c r="X949" s="27">
        <f>IF($C949="","",IF(IFERROR(INDEX(CONFIG!$K$4:$K$43,MATCH($S949,CONFIG!$J$4:$J$43,0)),"NO")="SÍ",IF(OR($V949="",$U949=""),"Resuelta",IF($V949&gt;$U949,"Resuelta tarde","Resuelta a tiempo")),IF($U949="","Sin clasificar",IF(TODAY()&gt;$U949,"Vencida",IF(TODAY()&gt;=$U949-1,"Por vencer","En plazo")))))</f>
        <v/>
      </c>
      <c r="Y949" s="49" t="n"/>
      <c r="Z949" s="49" t="n"/>
    </row>
    <row r="950" ht="16" customHeight="1">
      <c r="A950" s="27">
        <f>IF($C950="","","N-"&amp;TEXT(ROW()-3,"0000"))</f>
        <v/>
      </c>
      <c r="B950" s="46" t="n"/>
      <c r="C950" s="47" t="n"/>
      <c r="D950" s="27">
        <f>IF($C950="","",IF(COUNTIFS(ENVIOS!$A$4:$A$3003,$C950)=0,"NO EXISTE",IF(COUNTIFS(ENVIOS!$A$4:$A$3003,$C950)&gt;1,"DUPLICADA","OK")))</f>
        <v/>
      </c>
      <c r="E950" s="22">
        <f>IF($C950="","",IFERROR(INDEX(ENVIOS!$C$4:$C$3003,MATCH($C950,ENVIOS!$A$4:$A$3003,0)),"—"))</f>
        <v/>
      </c>
      <c r="F950" s="22">
        <f>IF($C950="","",IFERROR(INDEX(ENVIOS!$D$4:$D$3003,MATCH($C950,ENVIOS!$A$4:$A$3003,0)),"—"))</f>
        <v/>
      </c>
      <c r="G950" s="22">
        <f>IF($C950="","",IFERROR(INDEX(ENVIOS!$E$4:$E$3003,MATCH($C950,ENVIOS!$A$4:$A$3003,0)),"—"))</f>
        <v/>
      </c>
      <c r="H950" s="22">
        <f>IF($C950="","",IFERROR(INDEX(ENVIOS!$F$4:$F$3003,MATCH($C950,ENVIOS!$A$4:$A$3003,0)),"—"))</f>
        <v/>
      </c>
      <c r="I950" s="27">
        <f>IF($C950="","",IFERROR(INDEX(ENVIOS!$G$4:$G$3003,MATCH($C950,ENVIOS!$A$4:$A$3003,0)),"—"))</f>
        <v/>
      </c>
      <c r="J950" s="48">
        <f>IF($C950="","",IFERROR(INDEX(ENVIOS!$B$4:$B$3003,MATCH($C950,ENVIOS!$A$4:$A$3003,0)),""))</f>
        <v/>
      </c>
      <c r="K950" s="49" t="n"/>
      <c r="L950" s="27">
        <f>IF($K950="","",IFERROR(INDEX(CONFIG!$B$4:$B$43,MATCH($K950,CONFIG!$A$4:$A$43,0)),"Media"))</f>
        <v/>
      </c>
      <c r="M950" s="27">
        <f>IF($K950="","",IFERROR(INDEX(CONFIG!$D$4:$D$43,MATCH($K950,CONFIG!$A$4:$A$43,0)),"NO"))</f>
        <v/>
      </c>
      <c r="N950" s="49" t="n"/>
      <c r="O950" s="27">
        <f>IF($N950="","",IFERROR(INDEX(CONFIG!$G$4:$G$43,MATCH($N950,CONFIG!$F$4:$F$43,0)),"Por definir"))</f>
        <v/>
      </c>
      <c r="P950" s="27">
        <f>IF($N950="","",IFERROR(INDEX(CONFIG!$H$4:$H$43,MATCH($N950,CONFIG!$F$4:$F$43,0)),"Por definir"))</f>
        <v/>
      </c>
      <c r="Q950" s="50" t="n"/>
      <c r="R950" s="51" t="n"/>
      <c r="S950" s="49" t="n"/>
      <c r="T950" s="49" t="n"/>
      <c r="U950" s="48">
        <f>IF(OR($B950="",$K950=""),"",WORKDAY($B950,IFERROR(INDEX(CONFIG!$C$4:$C$43,MATCH($K950,CONFIG!$A$4:$A$43,0)),3)))</f>
        <v/>
      </c>
      <c r="V950" s="46" t="n"/>
      <c r="W950" s="23">
        <f>IF($B950="","",IF($V950&lt;&gt;"",$V950-$B950,TODAY()-$B950))</f>
        <v/>
      </c>
      <c r="X950" s="27">
        <f>IF($C950="","",IF(IFERROR(INDEX(CONFIG!$K$4:$K$43,MATCH($S950,CONFIG!$J$4:$J$43,0)),"NO")="SÍ",IF(OR($V950="",$U950=""),"Resuelta",IF($V950&gt;$U950,"Resuelta tarde","Resuelta a tiempo")),IF($U950="","Sin clasificar",IF(TODAY()&gt;$U950,"Vencida",IF(TODAY()&gt;=$U950-1,"Por vencer","En plazo")))))</f>
        <v/>
      </c>
      <c r="Y950" s="49" t="n"/>
      <c r="Z950" s="49" t="n"/>
    </row>
    <row r="951" ht="16" customHeight="1">
      <c r="A951" s="27">
        <f>IF($C951="","","N-"&amp;TEXT(ROW()-3,"0000"))</f>
        <v/>
      </c>
      <c r="B951" s="46" t="n"/>
      <c r="C951" s="47" t="n"/>
      <c r="D951" s="27">
        <f>IF($C951="","",IF(COUNTIFS(ENVIOS!$A$4:$A$3003,$C951)=0,"NO EXISTE",IF(COUNTIFS(ENVIOS!$A$4:$A$3003,$C951)&gt;1,"DUPLICADA","OK")))</f>
        <v/>
      </c>
      <c r="E951" s="22">
        <f>IF($C951="","",IFERROR(INDEX(ENVIOS!$C$4:$C$3003,MATCH($C951,ENVIOS!$A$4:$A$3003,0)),"—"))</f>
        <v/>
      </c>
      <c r="F951" s="22">
        <f>IF($C951="","",IFERROR(INDEX(ENVIOS!$D$4:$D$3003,MATCH($C951,ENVIOS!$A$4:$A$3003,0)),"—"))</f>
        <v/>
      </c>
      <c r="G951" s="22">
        <f>IF($C951="","",IFERROR(INDEX(ENVIOS!$E$4:$E$3003,MATCH($C951,ENVIOS!$A$4:$A$3003,0)),"—"))</f>
        <v/>
      </c>
      <c r="H951" s="22">
        <f>IF($C951="","",IFERROR(INDEX(ENVIOS!$F$4:$F$3003,MATCH($C951,ENVIOS!$A$4:$A$3003,0)),"—"))</f>
        <v/>
      </c>
      <c r="I951" s="27">
        <f>IF($C951="","",IFERROR(INDEX(ENVIOS!$G$4:$G$3003,MATCH($C951,ENVIOS!$A$4:$A$3003,0)),"—"))</f>
        <v/>
      </c>
      <c r="J951" s="48">
        <f>IF($C951="","",IFERROR(INDEX(ENVIOS!$B$4:$B$3003,MATCH($C951,ENVIOS!$A$4:$A$3003,0)),""))</f>
        <v/>
      </c>
      <c r="K951" s="49" t="n"/>
      <c r="L951" s="27">
        <f>IF($K951="","",IFERROR(INDEX(CONFIG!$B$4:$B$43,MATCH($K951,CONFIG!$A$4:$A$43,0)),"Media"))</f>
        <v/>
      </c>
      <c r="M951" s="27">
        <f>IF($K951="","",IFERROR(INDEX(CONFIG!$D$4:$D$43,MATCH($K951,CONFIG!$A$4:$A$43,0)),"NO"))</f>
        <v/>
      </c>
      <c r="N951" s="49" t="n"/>
      <c r="O951" s="27">
        <f>IF($N951="","",IFERROR(INDEX(CONFIG!$G$4:$G$43,MATCH($N951,CONFIG!$F$4:$F$43,0)),"Por definir"))</f>
        <v/>
      </c>
      <c r="P951" s="27">
        <f>IF($N951="","",IFERROR(INDEX(CONFIG!$H$4:$H$43,MATCH($N951,CONFIG!$F$4:$F$43,0)),"Por definir"))</f>
        <v/>
      </c>
      <c r="Q951" s="50" t="n"/>
      <c r="R951" s="51" t="n"/>
      <c r="S951" s="49" t="n"/>
      <c r="T951" s="49" t="n"/>
      <c r="U951" s="48">
        <f>IF(OR($B951="",$K951=""),"",WORKDAY($B951,IFERROR(INDEX(CONFIG!$C$4:$C$43,MATCH($K951,CONFIG!$A$4:$A$43,0)),3)))</f>
        <v/>
      </c>
      <c r="V951" s="46" t="n"/>
      <c r="W951" s="23">
        <f>IF($B951="","",IF($V951&lt;&gt;"",$V951-$B951,TODAY()-$B951))</f>
        <v/>
      </c>
      <c r="X951" s="27">
        <f>IF($C951="","",IF(IFERROR(INDEX(CONFIG!$K$4:$K$43,MATCH($S951,CONFIG!$J$4:$J$43,0)),"NO")="SÍ",IF(OR($V951="",$U951=""),"Resuelta",IF($V951&gt;$U951,"Resuelta tarde","Resuelta a tiempo")),IF($U951="","Sin clasificar",IF(TODAY()&gt;$U951,"Vencida",IF(TODAY()&gt;=$U951-1,"Por vencer","En plazo")))))</f>
        <v/>
      </c>
      <c r="Y951" s="49" t="n"/>
      <c r="Z951" s="49" t="n"/>
    </row>
    <row r="952" ht="16" customHeight="1">
      <c r="A952" s="27">
        <f>IF($C952="","","N-"&amp;TEXT(ROW()-3,"0000"))</f>
        <v/>
      </c>
      <c r="B952" s="46" t="n"/>
      <c r="C952" s="47" t="n"/>
      <c r="D952" s="27">
        <f>IF($C952="","",IF(COUNTIFS(ENVIOS!$A$4:$A$3003,$C952)=0,"NO EXISTE",IF(COUNTIFS(ENVIOS!$A$4:$A$3003,$C952)&gt;1,"DUPLICADA","OK")))</f>
        <v/>
      </c>
      <c r="E952" s="22">
        <f>IF($C952="","",IFERROR(INDEX(ENVIOS!$C$4:$C$3003,MATCH($C952,ENVIOS!$A$4:$A$3003,0)),"—"))</f>
        <v/>
      </c>
      <c r="F952" s="22">
        <f>IF($C952="","",IFERROR(INDEX(ENVIOS!$D$4:$D$3003,MATCH($C952,ENVIOS!$A$4:$A$3003,0)),"—"))</f>
        <v/>
      </c>
      <c r="G952" s="22">
        <f>IF($C952="","",IFERROR(INDEX(ENVIOS!$E$4:$E$3003,MATCH($C952,ENVIOS!$A$4:$A$3003,0)),"—"))</f>
        <v/>
      </c>
      <c r="H952" s="22">
        <f>IF($C952="","",IFERROR(INDEX(ENVIOS!$F$4:$F$3003,MATCH($C952,ENVIOS!$A$4:$A$3003,0)),"—"))</f>
        <v/>
      </c>
      <c r="I952" s="27">
        <f>IF($C952="","",IFERROR(INDEX(ENVIOS!$G$4:$G$3003,MATCH($C952,ENVIOS!$A$4:$A$3003,0)),"—"))</f>
        <v/>
      </c>
      <c r="J952" s="48">
        <f>IF($C952="","",IFERROR(INDEX(ENVIOS!$B$4:$B$3003,MATCH($C952,ENVIOS!$A$4:$A$3003,0)),""))</f>
        <v/>
      </c>
      <c r="K952" s="49" t="n"/>
      <c r="L952" s="27">
        <f>IF($K952="","",IFERROR(INDEX(CONFIG!$B$4:$B$43,MATCH($K952,CONFIG!$A$4:$A$43,0)),"Media"))</f>
        <v/>
      </c>
      <c r="M952" s="27">
        <f>IF($K952="","",IFERROR(INDEX(CONFIG!$D$4:$D$43,MATCH($K952,CONFIG!$A$4:$A$43,0)),"NO"))</f>
        <v/>
      </c>
      <c r="N952" s="49" t="n"/>
      <c r="O952" s="27">
        <f>IF($N952="","",IFERROR(INDEX(CONFIG!$G$4:$G$43,MATCH($N952,CONFIG!$F$4:$F$43,0)),"Por definir"))</f>
        <v/>
      </c>
      <c r="P952" s="27">
        <f>IF($N952="","",IFERROR(INDEX(CONFIG!$H$4:$H$43,MATCH($N952,CONFIG!$F$4:$F$43,0)),"Por definir"))</f>
        <v/>
      </c>
      <c r="Q952" s="50" t="n"/>
      <c r="R952" s="51" t="n"/>
      <c r="S952" s="49" t="n"/>
      <c r="T952" s="49" t="n"/>
      <c r="U952" s="48">
        <f>IF(OR($B952="",$K952=""),"",WORKDAY($B952,IFERROR(INDEX(CONFIG!$C$4:$C$43,MATCH($K952,CONFIG!$A$4:$A$43,0)),3)))</f>
        <v/>
      </c>
      <c r="V952" s="46" t="n"/>
      <c r="W952" s="23">
        <f>IF($B952="","",IF($V952&lt;&gt;"",$V952-$B952,TODAY()-$B952))</f>
        <v/>
      </c>
      <c r="X952" s="27">
        <f>IF($C952="","",IF(IFERROR(INDEX(CONFIG!$K$4:$K$43,MATCH($S952,CONFIG!$J$4:$J$43,0)),"NO")="SÍ",IF(OR($V952="",$U952=""),"Resuelta",IF($V952&gt;$U952,"Resuelta tarde","Resuelta a tiempo")),IF($U952="","Sin clasificar",IF(TODAY()&gt;$U952,"Vencida",IF(TODAY()&gt;=$U952-1,"Por vencer","En plazo")))))</f>
        <v/>
      </c>
      <c r="Y952" s="49" t="n"/>
      <c r="Z952" s="49" t="n"/>
    </row>
    <row r="953" ht="16" customHeight="1">
      <c r="A953" s="27">
        <f>IF($C953="","","N-"&amp;TEXT(ROW()-3,"0000"))</f>
        <v/>
      </c>
      <c r="B953" s="46" t="n"/>
      <c r="C953" s="47" t="n"/>
      <c r="D953" s="27">
        <f>IF($C953="","",IF(COUNTIFS(ENVIOS!$A$4:$A$3003,$C953)=0,"NO EXISTE",IF(COUNTIFS(ENVIOS!$A$4:$A$3003,$C953)&gt;1,"DUPLICADA","OK")))</f>
        <v/>
      </c>
      <c r="E953" s="22">
        <f>IF($C953="","",IFERROR(INDEX(ENVIOS!$C$4:$C$3003,MATCH($C953,ENVIOS!$A$4:$A$3003,0)),"—"))</f>
        <v/>
      </c>
      <c r="F953" s="22">
        <f>IF($C953="","",IFERROR(INDEX(ENVIOS!$D$4:$D$3003,MATCH($C953,ENVIOS!$A$4:$A$3003,0)),"—"))</f>
        <v/>
      </c>
      <c r="G953" s="22">
        <f>IF($C953="","",IFERROR(INDEX(ENVIOS!$E$4:$E$3003,MATCH($C953,ENVIOS!$A$4:$A$3003,0)),"—"))</f>
        <v/>
      </c>
      <c r="H953" s="22">
        <f>IF($C953="","",IFERROR(INDEX(ENVIOS!$F$4:$F$3003,MATCH($C953,ENVIOS!$A$4:$A$3003,0)),"—"))</f>
        <v/>
      </c>
      <c r="I953" s="27">
        <f>IF($C953="","",IFERROR(INDEX(ENVIOS!$G$4:$G$3003,MATCH($C953,ENVIOS!$A$4:$A$3003,0)),"—"))</f>
        <v/>
      </c>
      <c r="J953" s="48">
        <f>IF($C953="","",IFERROR(INDEX(ENVIOS!$B$4:$B$3003,MATCH($C953,ENVIOS!$A$4:$A$3003,0)),""))</f>
        <v/>
      </c>
      <c r="K953" s="49" t="n"/>
      <c r="L953" s="27">
        <f>IF($K953="","",IFERROR(INDEX(CONFIG!$B$4:$B$43,MATCH($K953,CONFIG!$A$4:$A$43,0)),"Media"))</f>
        <v/>
      </c>
      <c r="M953" s="27">
        <f>IF($K953="","",IFERROR(INDEX(CONFIG!$D$4:$D$43,MATCH($K953,CONFIG!$A$4:$A$43,0)),"NO"))</f>
        <v/>
      </c>
      <c r="N953" s="49" t="n"/>
      <c r="O953" s="27">
        <f>IF($N953="","",IFERROR(INDEX(CONFIG!$G$4:$G$43,MATCH($N953,CONFIG!$F$4:$F$43,0)),"Por definir"))</f>
        <v/>
      </c>
      <c r="P953" s="27">
        <f>IF($N953="","",IFERROR(INDEX(CONFIG!$H$4:$H$43,MATCH($N953,CONFIG!$F$4:$F$43,0)),"Por definir"))</f>
        <v/>
      </c>
      <c r="Q953" s="50" t="n"/>
      <c r="R953" s="51" t="n"/>
      <c r="S953" s="49" t="n"/>
      <c r="T953" s="49" t="n"/>
      <c r="U953" s="48">
        <f>IF(OR($B953="",$K953=""),"",WORKDAY($B953,IFERROR(INDEX(CONFIG!$C$4:$C$43,MATCH($K953,CONFIG!$A$4:$A$43,0)),3)))</f>
        <v/>
      </c>
      <c r="V953" s="46" t="n"/>
      <c r="W953" s="23">
        <f>IF($B953="","",IF($V953&lt;&gt;"",$V953-$B953,TODAY()-$B953))</f>
        <v/>
      </c>
      <c r="X953" s="27">
        <f>IF($C953="","",IF(IFERROR(INDEX(CONFIG!$K$4:$K$43,MATCH($S953,CONFIG!$J$4:$J$43,0)),"NO")="SÍ",IF(OR($V953="",$U953=""),"Resuelta",IF($V953&gt;$U953,"Resuelta tarde","Resuelta a tiempo")),IF($U953="","Sin clasificar",IF(TODAY()&gt;$U953,"Vencida",IF(TODAY()&gt;=$U953-1,"Por vencer","En plazo")))))</f>
        <v/>
      </c>
      <c r="Y953" s="49" t="n"/>
      <c r="Z953" s="49" t="n"/>
    </row>
    <row r="954" ht="16" customHeight="1">
      <c r="A954" s="27">
        <f>IF($C954="","","N-"&amp;TEXT(ROW()-3,"0000"))</f>
        <v/>
      </c>
      <c r="B954" s="46" t="n"/>
      <c r="C954" s="47" t="n"/>
      <c r="D954" s="27">
        <f>IF($C954="","",IF(COUNTIFS(ENVIOS!$A$4:$A$3003,$C954)=0,"NO EXISTE",IF(COUNTIFS(ENVIOS!$A$4:$A$3003,$C954)&gt;1,"DUPLICADA","OK")))</f>
        <v/>
      </c>
      <c r="E954" s="22">
        <f>IF($C954="","",IFERROR(INDEX(ENVIOS!$C$4:$C$3003,MATCH($C954,ENVIOS!$A$4:$A$3003,0)),"—"))</f>
        <v/>
      </c>
      <c r="F954" s="22">
        <f>IF($C954="","",IFERROR(INDEX(ENVIOS!$D$4:$D$3003,MATCH($C954,ENVIOS!$A$4:$A$3003,0)),"—"))</f>
        <v/>
      </c>
      <c r="G954" s="22">
        <f>IF($C954="","",IFERROR(INDEX(ENVIOS!$E$4:$E$3003,MATCH($C954,ENVIOS!$A$4:$A$3003,0)),"—"))</f>
        <v/>
      </c>
      <c r="H954" s="22">
        <f>IF($C954="","",IFERROR(INDEX(ENVIOS!$F$4:$F$3003,MATCH($C954,ENVIOS!$A$4:$A$3003,0)),"—"))</f>
        <v/>
      </c>
      <c r="I954" s="27">
        <f>IF($C954="","",IFERROR(INDEX(ENVIOS!$G$4:$G$3003,MATCH($C954,ENVIOS!$A$4:$A$3003,0)),"—"))</f>
        <v/>
      </c>
      <c r="J954" s="48">
        <f>IF($C954="","",IFERROR(INDEX(ENVIOS!$B$4:$B$3003,MATCH($C954,ENVIOS!$A$4:$A$3003,0)),""))</f>
        <v/>
      </c>
      <c r="K954" s="49" t="n"/>
      <c r="L954" s="27">
        <f>IF($K954="","",IFERROR(INDEX(CONFIG!$B$4:$B$43,MATCH($K954,CONFIG!$A$4:$A$43,0)),"Media"))</f>
        <v/>
      </c>
      <c r="M954" s="27">
        <f>IF($K954="","",IFERROR(INDEX(CONFIG!$D$4:$D$43,MATCH($K954,CONFIG!$A$4:$A$43,0)),"NO"))</f>
        <v/>
      </c>
      <c r="N954" s="49" t="n"/>
      <c r="O954" s="27">
        <f>IF($N954="","",IFERROR(INDEX(CONFIG!$G$4:$G$43,MATCH($N954,CONFIG!$F$4:$F$43,0)),"Por definir"))</f>
        <v/>
      </c>
      <c r="P954" s="27">
        <f>IF($N954="","",IFERROR(INDEX(CONFIG!$H$4:$H$43,MATCH($N954,CONFIG!$F$4:$F$43,0)),"Por definir"))</f>
        <v/>
      </c>
      <c r="Q954" s="50" t="n"/>
      <c r="R954" s="51" t="n"/>
      <c r="S954" s="49" t="n"/>
      <c r="T954" s="49" t="n"/>
      <c r="U954" s="48">
        <f>IF(OR($B954="",$K954=""),"",WORKDAY($B954,IFERROR(INDEX(CONFIG!$C$4:$C$43,MATCH($K954,CONFIG!$A$4:$A$43,0)),3)))</f>
        <v/>
      </c>
      <c r="V954" s="46" t="n"/>
      <c r="W954" s="23">
        <f>IF($B954="","",IF($V954&lt;&gt;"",$V954-$B954,TODAY()-$B954))</f>
        <v/>
      </c>
      <c r="X954" s="27">
        <f>IF($C954="","",IF(IFERROR(INDEX(CONFIG!$K$4:$K$43,MATCH($S954,CONFIG!$J$4:$J$43,0)),"NO")="SÍ",IF(OR($V954="",$U954=""),"Resuelta",IF($V954&gt;$U954,"Resuelta tarde","Resuelta a tiempo")),IF($U954="","Sin clasificar",IF(TODAY()&gt;$U954,"Vencida",IF(TODAY()&gt;=$U954-1,"Por vencer","En plazo")))))</f>
        <v/>
      </c>
      <c r="Y954" s="49" t="n"/>
      <c r="Z954" s="49" t="n"/>
    </row>
    <row r="955" ht="16" customHeight="1">
      <c r="A955" s="27">
        <f>IF($C955="","","N-"&amp;TEXT(ROW()-3,"0000"))</f>
        <v/>
      </c>
      <c r="B955" s="46" t="n"/>
      <c r="C955" s="47" t="n"/>
      <c r="D955" s="27">
        <f>IF($C955="","",IF(COUNTIFS(ENVIOS!$A$4:$A$3003,$C955)=0,"NO EXISTE",IF(COUNTIFS(ENVIOS!$A$4:$A$3003,$C955)&gt;1,"DUPLICADA","OK")))</f>
        <v/>
      </c>
      <c r="E955" s="22">
        <f>IF($C955="","",IFERROR(INDEX(ENVIOS!$C$4:$C$3003,MATCH($C955,ENVIOS!$A$4:$A$3003,0)),"—"))</f>
        <v/>
      </c>
      <c r="F955" s="22">
        <f>IF($C955="","",IFERROR(INDEX(ENVIOS!$D$4:$D$3003,MATCH($C955,ENVIOS!$A$4:$A$3003,0)),"—"))</f>
        <v/>
      </c>
      <c r="G955" s="22">
        <f>IF($C955="","",IFERROR(INDEX(ENVIOS!$E$4:$E$3003,MATCH($C955,ENVIOS!$A$4:$A$3003,0)),"—"))</f>
        <v/>
      </c>
      <c r="H955" s="22">
        <f>IF($C955="","",IFERROR(INDEX(ENVIOS!$F$4:$F$3003,MATCH($C955,ENVIOS!$A$4:$A$3003,0)),"—"))</f>
        <v/>
      </c>
      <c r="I955" s="27">
        <f>IF($C955="","",IFERROR(INDEX(ENVIOS!$G$4:$G$3003,MATCH($C955,ENVIOS!$A$4:$A$3003,0)),"—"))</f>
        <v/>
      </c>
      <c r="J955" s="48">
        <f>IF($C955="","",IFERROR(INDEX(ENVIOS!$B$4:$B$3003,MATCH($C955,ENVIOS!$A$4:$A$3003,0)),""))</f>
        <v/>
      </c>
      <c r="K955" s="49" t="n"/>
      <c r="L955" s="27">
        <f>IF($K955="","",IFERROR(INDEX(CONFIG!$B$4:$B$43,MATCH($K955,CONFIG!$A$4:$A$43,0)),"Media"))</f>
        <v/>
      </c>
      <c r="M955" s="27">
        <f>IF($K955="","",IFERROR(INDEX(CONFIG!$D$4:$D$43,MATCH($K955,CONFIG!$A$4:$A$43,0)),"NO"))</f>
        <v/>
      </c>
      <c r="N955" s="49" t="n"/>
      <c r="O955" s="27">
        <f>IF($N955="","",IFERROR(INDEX(CONFIG!$G$4:$G$43,MATCH($N955,CONFIG!$F$4:$F$43,0)),"Por definir"))</f>
        <v/>
      </c>
      <c r="P955" s="27">
        <f>IF($N955="","",IFERROR(INDEX(CONFIG!$H$4:$H$43,MATCH($N955,CONFIG!$F$4:$F$43,0)),"Por definir"))</f>
        <v/>
      </c>
      <c r="Q955" s="50" t="n"/>
      <c r="R955" s="51" t="n"/>
      <c r="S955" s="49" t="n"/>
      <c r="T955" s="49" t="n"/>
      <c r="U955" s="48">
        <f>IF(OR($B955="",$K955=""),"",WORKDAY($B955,IFERROR(INDEX(CONFIG!$C$4:$C$43,MATCH($K955,CONFIG!$A$4:$A$43,0)),3)))</f>
        <v/>
      </c>
      <c r="V955" s="46" t="n"/>
      <c r="W955" s="23">
        <f>IF($B955="","",IF($V955&lt;&gt;"",$V955-$B955,TODAY()-$B955))</f>
        <v/>
      </c>
      <c r="X955" s="27">
        <f>IF($C955="","",IF(IFERROR(INDEX(CONFIG!$K$4:$K$43,MATCH($S955,CONFIG!$J$4:$J$43,0)),"NO")="SÍ",IF(OR($V955="",$U955=""),"Resuelta",IF($V955&gt;$U955,"Resuelta tarde","Resuelta a tiempo")),IF($U955="","Sin clasificar",IF(TODAY()&gt;$U955,"Vencida",IF(TODAY()&gt;=$U955-1,"Por vencer","En plazo")))))</f>
        <v/>
      </c>
      <c r="Y955" s="49" t="n"/>
      <c r="Z955" s="49" t="n"/>
    </row>
    <row r="956" ht="16" customHeight="1">
      <c r="A956" s="27">
        <f>IF($C956="","","N-"&amp;TEXT(ROW()-3,"0000"))</f>
        <v/>
      </c>
      <c r="B956" s="46" t="n"/>
      <c r="C956" s="47" t="n"/>
      <c r="D956" s="27">
        <f>IF($C956="","",IF(COUNTIFS(ENVIOS!$A$4:$A$3003,$C956)=0,"NO EXISTE",IF(COUNTIFS(ENVIOS!$A$4:$A$3003,$C956)&gt;1,"DUPLICADA","OK")))</f>
        <v/>
      </c>
      <c r="E956" s="22">
        <f>IF($C956="","",IFERROR(INDEX(ENVIOS!$C$4:$C$3003,MATCH($C956,ENVIOS!$A$4:$A$3003,0)),"—"))</f>
        <v/>
      </c>
      <c r="F956" s="22">
        <f>IF($C956="","",IFERROR(INDEX(ENVIOS!$D$4:$D$3003,MATCH($C956,ENVIOS!$A$4:$A$3003,0)),"—"))</f>
        <v/>
      </c>
      <c r="G956" s="22">
        <f>IF($C956="","",IFERROR(INDEX(ENVIOS!$E$4:$E$3003,MATCH($C956,ENVIOS!$A$4:$A$3003,0)),"—"))</f>
        <v/>
      </c>
      <c r="H956" s="22">
        <f>IF($C956="","",IFERROR(INDEX(ENVIOS!$F$4:$F$3003,MATCH($C956,ENVIOS!$A$4:$A$3003,0)),"—"))</f>
        <v/>
      </c>
      <c r="I956" s="27">
        <f>IF($C956="","",IFERROR(INDEX(ENVIOS!$G$4:$G$3003,MATCH($C956,ENVIOS!$A$4:$A$3003,0)),"—"))</f>
        <v/>
      </c>
      <c r="J956" s="48">
        <f>IF($C956="","",IFERROR(INDEX(ENVIOS!$B$4:$B$3003,MATCH($C956,ENVIOS!$A$4:$A$3003,0)),""))</f>
        <v/>
      </c>
      <c r="K956" s="49" t="n"/>
      <c r="L956" s="27">
        <f>IF($K956="","",IFERROR(INDEX(CONFIG!$B$4:$B$43,MATCH($K956,CONFIG!$A$4:$A$43,0)),"Media"))</f>
        <v/>
      </c>
      <c r="M956" s="27">
        <f>IF($K956="","",IFERROR(INDEX(CONFIG!$D$4:$D$43,MATCH($K956,CONFIG!$A$4:$A$43,0)),"NO"))</f>
        <v/>
      </c>
      <c r="N956" s="49" t="n"/>
      <c r="O956" s="27">
        <f>IF($N956="","",IFERROR(INDEX(CONFIG!$G$4:$G$43,MATCH($N956,CONFIG!$F$4:$F$43,0)),"Por definir"))</f>
        <v/>
      </c>
      <c r="P956" s="27">
        <f>IF($N956="","",IFERROR(INDEX(CONFIG!$H$4:$H$43,MATCH($N956,CONFIG!$F$4:$F$43,0)),"Por definir"))</f>
        <v/>
      </c>
      <c r="Q956" s="50" t="n"/>
      <c r="R956" s="51" t="n"/>
      <c r="S956" s="49" t="n"/>
      <c r="T956" s="49" t="n"/>
      <c r="U956" s="48">
        <f>IF(OR($B956="",$K956=""),"",WORKDAY($B956,IFERROR(INDEX(CONFIG!$C$4:$C$43,MATCH($K956,CONFIG!$A$4:$A$43,0)),3)))</f>
        <v/>
      </c>
      <c r="V956" s="46" t="n"/>
      <c r="W956" s="23">
        <f>IF($B956="","",IF($V956&lt;&gt;"",$V956-$B956,TODAY()-$B956))</f>
        <v/>
      </c>
      <c r="X956" s="27">
        <f>IF($C956="","",IF(IFERROR(INDEX(CONFIG!$K$4:$K$43,MATCH($S956,CONFIG!$J$4:$J$43,0)),"NO")="SÍ",IF(OR($V956="",$U956=""),"Resuelta",IF($V956&gt;$U956,"Resuelta tarde","Resuelta a tiempo")),IF($U956="","Sin clasificar",IF(TODAY()&gt;$U956,"Vencida",IF(TODAY()&gt;=$U956-1,"Por vencer","En plazo")))))</f>
        <v/>
      </c>
      <c r="Y956" s="49" t="n"/>
      <c r="Z956" s="49" t="n"/>
    </row>
    <row r="957" ht="16" customHeight="1">
      <c r="A957" s="27">
        <f>IF($C957="","","N-"&amp;TEXT(ROW()-3,"0000"))</f>
        <v/>
      </c>
      <c r="B957" s="46" t="n"/>
      <c r="C957" s="47" t="n"/>
      <c r="D957" s="27">
        <f>IF($C957="","",IF(COUNTIFS(ENVIOS!$A$4:$A$3003,$C957)=0,"NO EXISTE",IF(COUNTIFS(ENVIOS!$A$4:$A$3003,$C957)&gt;1,"DUPLICADA","OK")))</f>
        <v/>
      </c>
      <c r="E957" s="22">
        <f>IF($C957="","",IFERROR(INDEX(ENVIOS!$C$4:$C$3003,MATCH($C957,ENVIOS!$A$4:$A$3003,0)),"—"))</f>
        <v/>
      </c>
      <c r="F957" s="22">
        <f>IF($C957="","",IFERROR(INDEX(ENVIOS!$D$4:$D$3003,MATCH($C957,ENVIOS!$A$4:$A$3003,0)),"—"))</f>
        <v/>
      </c>
      <c r="G957" s="22">
        <f>IF($C957="","",IFERROR(INDEX(ENVIOS!$E$4:$E$3003,MATCH($C957,ENVIOS!$A$4:$A$3003,0)),"—"))</f>
        <v/>
      </c>
      <c r="H957" s="22">
        <f>IF($C957="","",IFERROR(INDEX(ENVIOS!$F$4:$F$3003,MATCH($C957,ENVIOS!$A$4:$A$3003,0)),"—"))</f>
        <v/>
      </c>
      <c r="I957" s="27">
        <f>IF($C957="","",IFERROR(INDEX(ENVIOS!$G$4:$G$3003,MATCH($C957,ENVIOS!$A$4:$A$3003,0)),"—"))</f>
        <v/>
      </c>
      <c r="J957" s="48">
        <f>IF($C957="","",IFERROR(INDEX(ENVIOS!$B$4:$B$3003,MATCH($C957,ENVIOS!$A$4:$A$3003,0)),""))</f>
        <v/>
      </c>
      <c r="K957" s="49" t="n"/>
      <c r="L957" s="27">
        <f>IF($K957="","",IFERROR(INDEX(CONFIG!$B$4:$B$43,MATCH($K957,CONFIG!$A$4:$A$43,0)),"Media"))</f>
        <v/>
      </c>
      <c r="M957" s="27">
        <f>IF($K957="","",IFERROR(INDEX(CONFIG!$D$4:$D$43,MATCH($K957,CONFIG!$A$4:$A$43,0)),"NO"))</f>
        <v/>
      </c>
      <c r="N957" s="49" t="n"/>
      <c r="O957" s="27">
        <f>IF($N957="","",IFERROR(INDEX(CONFIG!$G$4:$G$43,MATCH($N957,CONFIG!$F$4:$F$43,0)),"Por definir"))</f>
        <v/>
      </c>
      <c r="P957" s="27">
        <f>IF($N957="","",IFERROR(INDEX(CONFIG!$H$4:$H$43,MATCH($N957,CONFIG!$F$4:$F$43,0)),"Por definir"))</f>
        <v/>
      </c>
      <c r="Q957" s="50" t="n"/>
      <c r="R957" s="51" t="n"/>
      <c r="S957" s="49" t="n"/>
      <c r="T957" s="49" t="n"/>
      <c r="U957" s="48">
        <f>IF(OR($B957="",$K957=""),"",WORKDAY($B957,IFERROR(INDEX(CONFIG!$C$4:$C$43,MATCH($K957,CONFIG!$A$4:$A$43,0)),3)))</f>
        <v/>
      </c>
      <c r="V957" s="46" t="n"/>
      <c r="W957" s="23">
        <f>IF($B957="","",IF($V957&lt;&gt;"",$V957-$B957,TODAY()-$B957))</f>
        <v/>
      </c>
      <c r="X957" s="27">
        <f>IF($C957="","",IF(IFERROR(INDEX(CONFIG!$K$4:$K$43,MATCH($S957,CONFIG!$J$4:$J$43,0)),"NO")="SÍ",IF(OR($V957="",$U957=""),"Resuelta",IF($V957&gt;$U957,"Resuelta tarde","Resuelta a tiempo")),IF($U957="","Sin clasificar",IF(TODAY()&gt;$U957,"Vencida",IF(TODAY()&gt;=$U957-1,"Por vencer","En plazo")))))</f>
        <v/>
      </c>
      <c r="Y957" s="49" t="n"/>
      <c r="Z957" s="49" t="n"/>
    </row>
    <row r="958" ht="16" customHeight="1">
      <c r="A958" s="27">
        <f>IF($C958="","","N-"&amp;TEXT(ROW()-3,"0000"))</f>
        <v/>
      </c>
      <c r="B958" s="46" t="n"/>
      <c r="C958" s="47" t="n"/>
      <c r="D958" s="27">
        <f>IF($C958="","",IF(COUNTIFS(ENVIOS!$A$4:$A$3003,$C958)=0,"NO EXISTE",IF(COUNTIFS(ENVIOS!$A$4:$A$3003,$C958)&gt;1,"DUPLICADA","OK")))</f>
        <v/>
      </c>
      <c r="E958" s="22">
        <f>IF($C958="","",IFERROR(INDEX(ENVIOS!$C$4:$C$3003,MATCH($C958,ENVIOS!$A$4:$A$3003,0)),"—"))</f>
        <v/>
      </c>
      <c r="F958" s="22">
        <f>IF($C958="","",IFERROR(INDEX(ENVIOS!$D$4:$D$3003,MATCH($C958,ENVIOS!$A$4:$A$3003,0)),"—"))</f>
        <v/>
      </c>
      <c r="G958" s="22">
        <f>IF($C958="","",IFERROR(INDEX(ENVIOS!$E$4:$E$3003,MATCH($C958,ENVIOS!$A$4:$A$3003,0)),"—"))</f>
        <v/>
      </c>
      <c r="H958" s="22">
        <f>IF($C958="","",IFERROR(INDEX(ENVIOS!$F$4:$F$3003,MATCH($C958,ENVIOS!$A$4:$A$3003,0)),"—"))</f>
        <v/>
      </c>
      <c r="I958" s="27">
        <f>IF($C958="","",IFERROR(INDEX(ENVIOS!$G$4:$G$3003,MATCH($C958,ENVIOS!$A$4:$A$3003,0)),"—"))</f>
        <v/>
      </c>
      <c r="J958" s="48">
        <f>IF($C958="","",IFERROR(INDEX(ENVIOS!$B$4:$B$3003,MATCH($C958,ENVIOS!$A$4:$A$3003,0)),""))</f>
        <v/>
      </c>
      <c r="K958" s="49" t="n"/>
      <c r="L958" s="27">
        <f>IF($K958="","",IFERROR(INDEX(CONFIG!$B$4:$B$43,MATCH($K958,CONFIG!$A$4:$A$43,0)),"Media"))</f>
        <v/>
      </c>
      <c r="M958" s="27">
        <f>IF($K958="","",IFERROR(INDEX(CONFIG!$D$4:$D$43,MATCH($K958,CONFIG!$A$4:$A$43,0)),"NO"))</f>
        <v/>
      </c>
      <c r="N958" s="49" t="n"/>
      <c r="O958" s="27">
        <f>IF($N958="","",IFERROR(INDEX(CONFIG!$G$4:$G$43,MATCH($N958,CONFIG!$F$4:$F$43,0)),"Por definir"))</f>
        <v/>
      </c>
      <c r="P958" s="27">
        <f>IF($N958="","",IFERROR(INDEX(CONFIG!$H$4:$H$43,MATCH($N958,CONFIG!$F$4:$F$43,0)),"Por definir"))</f>
        <v/>
      </c>
      <c r="Q958" s="50" t="n"/>
      <c r="R958" s="51" t="n"/>
      <c r="S958" s="49" t="n"/>
      <c r="T958" s="49" t="n"/>
      <c r="U958" s="48">
        <f>IF(OR($B958="",$K958=""),"",WORKDAY($B958,IFERROR(INDEX(CONFIG!$C$4:$C$43,MATCH($K958,CONFIG!$A$4:$A$43,0)),3)))</f>
        <v/>
      </c>
      <c r="V958" s="46" t="n"/>
      <c r="W958" s="23">
        <f>IF($B958="","",IF($V958&lt;&gt;"",$V958-$B958,TODAY()-$B958))</f>
        <v/>
      </c>
      <c r="X958" s="27">
        <f>IF($C958="","",IF(IFERROR(INDEX(CONFIG!$K$4:$K$43,MATCH($S958,CONFIG!$J$4:$J$43,0)),"NO")="SÍ",IF(OR($V958="",$U958=""),"Resuelta",IF($V958&gt;$U958,"Resuelta tarde","Resuelta a tiempo")),IF($U958="","Sin clasificar",IF(TODAY()&gt;$U958,"Vencida",IF(TODAY()&gt;=$U958-1,"Por vencer","En plazo")))))</f>
        <v/>
      </c>
      <c r="Y958" s="49" t="n"/>
      <c r="Z958" s="49" t="n"/>
    </row>
    <row r="959" ht="16" customHeight="1">
      <c r="A959" s="27">
        <f>IF($C959="","","N-"&amp;TEXT(ROW()-3,"0000"))</f>
        <v/>
      </c>
      <c r="B959" s="46" t="n"/>
      <c r="C959" s="47" t="n"/>
      <c r="D959" s="27">
        <f>IF($C959="","",IF(COUNTIFS(ENVIOS!$A$4:$A$3003,$C959)=0,"NO EXISTE",IF(COUNTIFS(ENVIOS!$A$4:$A$3003,$C959)&gt;1,"DUPLICADA","OK")))</f>
        <v/>
      </c>
      <c r="E959" s="22">
        <f>IF($C959="","",IFERROR(INDEX(ENVIOS!$C$4:$C$3003,MATCH($C959,ENVIOS!$A$4:$A$3003,0)),"—"))</f>
        <v/>
      </c>
      <c r="F959" s="22">
        <f>IF($C959="","",IFERROR(INDEX(ENVIOS!$D$4:$D$3003,MATCH($C959,ENVIOS!$A$4:$A$3003,0)),"—"))</f>
        <v/>
      </c>
      <c r="G959" s="22">
        <f>IF($C959="","",IFERROR(INDEX(ENVIOS!$E$4:$E$3003,MATCH($C959,ENVIOS!$A$4:$A$3003,0)),"—"))</f>
        <v/>
      </c>
      <c r="H959" s="22">
        <f>IF($C959="","",IFERROR(INDEX(ENVIOS!$F$4:$F$3003,MATCH($C959,ENVIOS!$A$4:$A$3003,0)),"—"))</f>
        <v/>
      </c>
      <c r="I959" s="27">
        <f>IF($C959="","",IFERROR(INDEX(ENVIOS!$G$4:$G$3003,MATCH($C959,ENVIOS!$A$4:$A$3003,0)),"—"))</f>
        <v/>
      </c>
      <c r="J959" s="48">
        <f>IF($C959="","",IFERROR(INDEX(ENVIOS!$B$4:$B$3003,MATCH($C959,ENVIOS!$A$4:$A$3003,0)),""))</f>
        <v/>
      </c>
      <c r="K959" s="49" t="n"/>
      <c r="L959" s="27">
        <f>IF($K959="","",IFERROR(INDEX(CONFIG!$B$4:$B$43,MATCH($K959,CONFIG!$A$4:$A$43,0)),"Media"))</f>
        <v/>
      </c>
      <c r="M959" s="27">
        <f>IF($K959="","",IFERROR(INDEX(CONFIG!$D$4:$D$43,MATCH($K959,CONFIG!$A$4:$A$43,0)),"NO"))</f>
        <v/>
      </c>
      <c r="N959" s="49" t="n"/>
      <c r="O959" s="27">
        <f>IF($N959="","",IFERROR(INDEX(CONFIG!$G$4:$G$43,MATCH($N959,CONFIG!$F$4:$F$43,0)),"Por definir"))</f>
        <v/>
      </c>
      <c r="P959" s="27">
        <f>IF($N959="","",IFERROR(INDEX(CONFIG!$H$4:$H$43,MATCH($N959,CONFIG!$F$4:$F$43,0)),"Por definir"))</f>
        <v/>
      </c>
      <c r="Q959" s="50" t="n"/>
      <c r="R959" s="51" t="n"/>
      <c r="S959" s="49" t="n"/>
      <c r="T959" s="49" t="n"/>
      <c r="U959" s="48">
        <f>IF(OR($B959="",$K959=""),"",WORKDAY($B959,IFERROR(INDEX(CONFIG!$C$4:$C$43,MATCH($K959,CONFIG!$A$4:$A$43,0)),3)))</f>
        <v/>
      </c>
      <c r="V959" s="46" t="n"/>
      <c r="W959" s="23">
        <f>IF($B959="","",IF($V959&lt;&gt;"",$V959-$B959,TODAY()-$B959))</f>
        <v/>
      </c>
      <c r="X959" s="27">
        <f>IF($C959="","",IF(IFERROR(INDEX(CONFIG!$K$4:$K$43,MATCH($S959,CONFIG!$J$4:$J$43,0)),"NO")="SÍ",IF(OR($V959="",$U959=""),"Resuelta",IF($V959&gt;$U959,"Resuelta tarde","Resuelta a tiempo")),IF($U959="","Sin clasificar",IF(TODAY()&gt;$U959,"Vencida",IF(TODAY()&gt;=$U959-1,"Por vencer","En plazo")))))</f>
        <v/>
      </c>
      <c r="Y959" s="49" t="n"/>
      <c r="Z959" s="49" t="n"/>
    </row>
    <row r="960" ht="16" customHeight="1">
      <c r="A960" s="27">
        <f>IF($C960="","","N-"&amp;TEXT(ROW()-3,"0000"))</f>
        <v/>
      </c>
      <c r="B960" s="46" t="n"/>
      <c r="C960" s="47" t="n"/>
      <c r="D960" s="27">
        <f>IF($C960="","",IF(COUNTIFS(ENVIOS!$A$4:$A$3003,$C960)=0,"NO EXISTE",IF(COUNTIFS(ENVIOS!$A$4:$A$3003,$C960)&gt;1,"DUPLICADA","OK")))</f>
        <v/>
      </c>
      <c r="E960" s="22">
        <f>IF($C960="","",IFERROR(INDEX(ENVIOS!$C$4:$C$3003,MATCH($C960,ENVIOS!$A$4:$A$3003,0)),"—"))</f>
        <v/>
      </c>
      <c r="F960" s="22">
        <f>IF($C960="","",IFERROR(INDEX(ENVIOS!$D$4:$D$3003,MATCH($C960,ENVIOS!$A$4:$A$3003,0)),"—"))</f>
        <v/>
      </c>
      <c r="G960" s="22">
        <f>IF($C960="","",IFERROR(INDEX(ENVIOS!$E$4:$E$3003,MATCH($C960,ENVIOS!$A$4:$A$3003,0)),"—"))</f>
        <v/>
      </c>
      <c r="H960" s="22">
        <f>IF($C960="","",IFERROR(INDEX(ENVIOS!$F$4:$F$3003,MATCH($C960,ENVIOS!$A$4:$A$3003,0)),"—"))</f>
        <v/>
      </c>
      <c r="I960" s="27">
        <f>IF($C960="","",IFERROR(INDEX(ENVIOS!$G$4:$G$3003,MATCH($C960,ENVIOS!$A$4:$A$3003,0)),"—"))</f>
        <v/>
      </c>
      <c r="J960" s="48">
        <f>IF($C960="","",IFERROR(INDEX(ENVIOS!$B$4:$B$3003,MATCH($C960,ENVIOS!$A$4:$A$3003,0)),""))</f>
        <v/>
      </c>
      <c r="K960" s="49" t="n"/>
      <c r="L960" s="27">
        <f>IF($K960="","",IFERROR(INDEX(CONFIG!$B$4:$B$43,MATCH($K960,CONFIG!$A$4:$A$43,0)),"Media"))</f>
        <v/>
      </c>
      <c r="M960" s="27">
        <f>IF($K960="","",IFERROR(INDEX(CONFIG!$D$4:$D$43,MATCH($K960,CONFIG!$A$4:$A$43,0)),"NO"))</f>
        <v/>
      </c>
      <c r="N960" s="49" t="n"/>
      <c r="O960" s="27">
        <f>IF($N960="","",IFERROR(INDEX(CONFIG!$G$4:$G$43,MATCH($N960,CONFIG!$F$4:$F$43,0)),"Por definir"))</f>
        <v/>
      </c>
      <c r="P960" s="27">
        <f>IF($N960="","",IFERROR(INDEX(CONFIG!$H$4:$H$43,MATCH($N960,CONFIG!$F$4:$F$43,0)),"Por definir"))</f>
        <v/>
      </c>
      <c r="Q960" s="50" t="n"/>
      <c r="R960" s="51" t="n"/>
      <c r="S960" s="49" t="n"/>
      <c r="T960" s="49" t="n"/>
      <c r="U960" s="48">
        <f>IF(OR($B960="",$K960=""),"",WORKDAY($B960,IFERROR(INDEX(CONFIG!$C$4:$C$43,MATCH($K960,CONFIG!$A$4:$A$43,0)),3)))</f>
        <v/>
      </c>
      <c r="V960" s="46" t="n"/>
      <c r="W960" s="23">
        <f>IF($B960="","",IF($V960&lt;&gt;"",$V960-$B960,TODAY()-$B960))</f>
        <v/>
      </c>
      <c r="X960" s="27">
        <f>IF($C960="","",IF(IFERROR(INDEX(CONFIG!$K$4:$K$43,MATCH($S960,CONFIG!$J$4:$J$43,0)),"NO")="SÍ",IF(OR($V960="",$U960=""),"Resuelta",IF($V960&gt;$U960,"Resuelta tarde","Resuelta a tiempo")),IF($U960="","Sin clasificar",IF(TODAY()&gt;$U960,"Vencida",IF(TODAY()&gt;=$U960-1,"Por vencer","En plazo")))))</f>
        <v/>
      </c>
      <c r="Y960" s="49" t="n"/>
      <c r="Z960" s="49" t="n"/>
    </row>
    <row r="961" ht="16" customHeight="1">
      <c r="A961" s="27">
        <f>IF($C961="","","N-"&amp;TEXT(ROW()-3,"0000"))</f>
        <v/>
      </c>
      <c r="B961" s="46" t="n"/>
      <c r="C961" s="47" t="n"/>
      <c r="D961" s="27">
        <f>IF($C961="","",IF(COUNTIFS(ENVIOS!$A$4:$A$3003,$C961)=0,"NO EXISTE",IF(COUNTIFS(ENVIOS!$A$4:$A$3003,$C961)&gt;1,"DUPLICADA","OK")))</f>
        <v/>
      </c>
      <c r="E961" s="22">
        <f>IF($C961="","",IFERROR(INDEX(ENVIOS!$C$4:$C$3003,MATCH($C961,ENVIOS!$A$4:$A$3003,0)),"—"))</f>
        <v/>
      </c>
      <c r="F961" s="22">
        <f>IF($C961="","",IFERROR(INDEX(ENVIOS!$D$4:$D$3003,MATCH($C961,ENVIOS!$A$4:$A$3003,0)),"—"))</f>
        <v/>
      </c>
      <c r="G961" s="22">
        <f>IF($C961="","",IFERROR(INDEX(ENVIOS!$E$4:$E$3003,MATCH($C961,ENVIOS!$A$4:$A$3003,0)),"—"))</f>
        <v/>
      </c>
      <c r="H961" s="22">
        <f>IF($C961="","",IFERROR(INDEX(ENVIOS!$F$4:$F$3003,MATCH($C961,ENVIOS!$A$4:$A$3003,0)),"—"))</f>
        <v/>
      </c>
      <c r="I961" s="27">
        <f>IF($C961="","",IFERROR(INDEX(ENVIOS!$G$4:$G$3003,MATCH($C961,ENVIOS!$A$4:$A$3003,0)),"—"))</f>
        <v/>
      </c>
      <c r="J961" s="48">
        <f>IF($C961="","",IFERROR(INDEX(ENVIOS!$B$4:$B$3003,MATCH($C961,ENVIOS!$A$4:$A$3003,0)),""))</f>
        <v/>
      </c>
      <c r="K961" s="49" t="n"/>
      <c r="L961" s="27">
        <f>IF($K961="","",IFERROR(INDEX(CONFIG!$B$4:$B$43,MATCH($K961,CONFIG!$A$4:$A$43,0)),"Media"))</f>
        <v/>
      </c>
      <c r="M961" s="27">
        <f>IF($K961="","",IFERROR(INDEX(CONFIG!$D$4:$D$43,MATCH($K961,CONFIG!$A$4:$A$43,0)),"NO"))</f>
        <v/>
      </c>
      <c r="N961" s="49" t="n"/>
      <c r="O961" s="27">
        <f>IF($N961="","",IFERROR(INDEX(CONFIG!$G$4:$G$43,MATCH($N961,CONFIG!$F$4:$F$43,0)),"Por definir"))</f>
        <v/>
      </c>
      <c r="P961" s="27">
        <f>IF($N961="","",IFERROR(INDEX(CONFIG!$H$4:$H$43,MATCH($N961,CONFIG!$F$4:$F$43,0)),"Por definir"))</f>
        <v/>
      </c>
      <c r="Q961" s="50" t="n"/>
      <c r="R961" s="51" t="n"/>
      <c r="S961" s="49" t="n"/>
      <c r="T961" s="49" t="n"/>
      <c r="U961" s="48">
        <f>IF(OR($B961="",$K961=""),"",WORKDAY($B961,IFERROR(INDEX(CONFIG!$C$4:$C$43,MATCH($K961,CONFIG!$A$4:$A$43,0)),3)))</f>
        <v/>
      </c>
      <c r="V961" s="46" t="n"/>
      <c r="W961" s="23">
        <f>IF($B961="","",IF($V961&lt;&gt;"",$V961-$B961,TODAY()-$B961))</f>
        <v/>
      </c>
      <c r="X961" s="27">
        <f>IF($C961="","",IF(IFERROR(INDEX(CONFIG!$K$4:$K$43,MATCH($S961,CONFIG!$J$4:$J$43,0)),"NO")="SÍ",IF(OR($V961="",$U961=""),"Resuelta",IF($V961&gt;$U961,"Resuelta tarde","Resuelta a tiempo")),IF($U961="","Sin clasificar",IF(TODAY()&gt;$U961,"Vencida",IF(TODAY()&gt;=$U961-1,"Por vencer","En plazo")))))</f>
        <v/>
      </c>
      <c r="Y961" s="49" t="n"/>
      <c r="Z961" s="49" t="n"/>
    </row>
    <row r="962" ht="16" customHeight="1">
      <c r="A962" s="27">
        <f>IF($C962="","","N-"&amp;TEXT(ROW()-3,"0000"))</f>
        <v/>
      </c>
      <c r="B962" s="46" t="n"/>
      <c r="C962" s="47" t="n"/>
      <c r="D962" s="27">
        <f>IF($C962="","",IF(COUNTIFS(ENVIOS!$A$4:$A$3003,$C962)=0,"NO EXISTE",IF(COUNTIFS(ENVIOS!$A$4:$A$3003,$C962)&gt;1,"DUPLICADA","OK")))</f>
        <v/>
      </c>
      <c r="E962" s="22">
        <f>IF($C962="","",IFERROR(INDEX(ENVIOS!$C$4:$C$3003,MATCH($C962,ENVIOS!$A$4:$A$3003,0)),"—"))</f>
        <v/>
      </c>
      <c r="F962" s="22">
        <f>IF($C962="","",IFERROR(INDEX(ENVIOS!$D$4:$D$3003,MATCH($C962,ENVIOS!$A$4:$A$3003,0)),"—"))</f>
        <v/>
      </c>
      <c r="G962" s="22">
        <f>IF($C962="","",IFERROR(INDEX(ENVIOS!$E$4:$E$3003,MATCH($C962,ENVIOS!$A$4:$A$3003,0)),"—"))</f>
        <v/>
      </c>
      <c r="H962" s="22">
        <f>IF($C962="","",IFERROR(INDEX(ENVIOS!$F$4:$F$3003,MATCH($C962,ENVIOS!$A$4:$A$3003,0)),"—"))</f>
        <v/>
      </c>
      <c r="I962" s="27">
        <f>IF($C962="","",IFERROR(INDEX(ENVIOS!$G$4:$G$3003,MATCH($C962,ENVIOS!$A$4:$A$3003,0)),"—"))</f>
        <v/>
      </c>
      <c r="J962" s="48">
        <f>IF($C962="","",IFERROR(INDEX(ENVIOS!$B$4:$B$3003,MATCH($C962,ENVIOS!$A$4:$A$3003,0)),""))</f>
        <v/>
      </c>
      <c r="K962" s="49" t="n"/>
      <c r="L962" s="27">
        <f>IF($K962="","",IFERROR(INDEX(CONFIG!$B$4:$B$43,MATCH($K962,CONFIG!$A$4:$A$43,0)),"Media"))</f>
        <v/>
      </c>
      <c r="M962" s="27">
        <f>IF($K962="","",IFERROR(INDEX(CONFIG!$D$4:$D$43,MATCH($K962,CONFIG!$A$4:$A$43,0)),"NO"))</f>
        <v/>
      </c>
      <c r="N962" s="49" t="n"/>
      <c r="O962" s="27">
        <f>IF($N962="","",IFERROR(INDEX(CONFIG!$G$4:$G$43,MATCH($N962,CONFIG!$F$4:$F$43,0)),"Por definir"))</f>
        <v/>
      </c>
      <c r="P962" s="27">
        <f>IF($N962="","",IFERROR(INDEX(CONFIG!$H$4:$H$43,MATCH($N962,CONFIG!$F$4:$F$43,0)),"Por definir"))</f>
        <v/>
      </c>
      <c r="Q962" s="50" t="n"/>
      <c r="R962" s="51" t="n"/>
      <c r="S962" s="49" t="n"/>
      <c r="T962" s="49" t="n"/>
      <c r="U962" s="48">
        <f>IF(OR($B962="",$K962=""),"",WORKDAY($B962,IFERROR(INDEX(CONFIG!$C$4:$C$43,MATCH($K962,CONFIG!$A$4:$A$43,0)),3)))</f>
        <v/>
      </c>
      <c r="V962" s="46" t="n"/>
      <c r="W962" s="23">
        <f>IF($B962="","",IF($V962&lt;&gt;"",$V962-$B962,TODAY()-$B962))</f>
        <v/>
      </c>
      <c r="X962" s="27">
        <f>IF($C962="","",IF(IFERROR(INDEX(CONFIG!$K$4:$K$43,MATCH($S962,CONFIG!$J$4:$J$43,0)),"NO")="SÍ",IF(OR($V962="",$U962=""),"Resuelta",IF($V962&gt;$U962,"Resuelta tarde","Resuelta a tiempo")),IF($U962="","Sin clasificar",IF(TODAY()&gt;$U962,"Vencida",IF(TODAY()&gt;=$U962-1,"Por vencer","En plazo")))))</f>
        <v/>
      </c>
      <c r="Y962" s="49" t="n"/>
      <c r="Z962" s="49" t="n"/>
    </row>
    <row r="963" ht="16" customHeight="1">
      <c r="A963" s="27">
        <f>IF($C963="","","N-"&amp;TEXT(ROW()-3,"0000"))</f>
        <v/>
      </c>
      <c r="B963" s="46" t="n"/>
      <c r="C963" s="47" t="n"/>
      <c r="D963" s="27">
        <f>IF($C963="","",IF(COUNTIFS(ENVIOS!$A$4:$A$3003,$C963)=0,"NO EXISTE",IF(COUNTIFS(ENVIOS!$A$4:$A$3003,$C963)&gt;1,"DUPLICADA","OK")))</f>
        <v/>
      </c>
      <c r="E963" s="22">
        <f>IF($C963="","",IFERROR(INDEX(ENVIOS!$C$4:$C$3003,MATCH($C963,ENVIOS!$A$4:$A$3003,0)),"—"))</f>
        <v/>
      </c>
      <c r="F963" s="22">
        <f>IF($C963="","",IFERROR(INDEX(ENVIOS!$D$4:$D$3003,MATCH($C963,ENVIOS!$A$4:$A$3003,0)),"—"))</f>
        <v/>
      </c>
      <c r="G963" s="22">
        <f>IF($C963="","",IFERROR(INDEX(ENVIOS!$E$4:$E$3003,MATCH($C963,ENVIOS!$A$4:$A$3003,0)),"—"))</f>
        <v/>
      </c>
      <c r="H963" s="22">
        <f>IF($C963="","",IFERROR(INDEX(ENVIOS!$F$4:$F$3003,MATCH($C963,ENVIOS!$A$4:$A$3003,0)),"—"))</f>
        <v/>
      </c>
      <c r="I963" s="27">
        <f>IF($C963="","",IFERROR(INDEX(ENVIOS!$G$4:$G$3003,MATCH($C963,ENVIOS!$A$4:$A$3003,0)),"—"))</f>
        <v/>
      </c>
      <c r="J963" s="48">
        <f>IF($C963="","",IFERROR(INDEX(ENVIOS!$B$4:$B$3003,MATCH($C963,ENVIOS!$A$4:$A$3003,0)),""))</f>
        <v/>
      </c>
      <c r="K963" s="49" t="n"/>
      <c r="L963" s="27">
        <f>IF($K963="","",IFERROR(INDEX(CONFIG!$B$4:$B$43,MATCH($K963,CONFIG!$A$4:$A$43,0)),"Media"))</f>
        <v/>
      </c>
      <c r="M963" s="27">
        <f>IF($K963="","",IFERROR(INDEX(CONFIG!$D$4:$D$43,MATCH($K963,CONFIG!$A$4:$A$43,0)),"NO"))</f>
        <v/>
      </c>
      <c r="N963" s="49" t="n"/>
      <c r="O963" s="27">
        <f>IF($N963="","",IFERROR(INDEX(CONFIG!$G$4:$G$43,MATCH($N963,CONFIG!$F$4:$F$43,0)),"Por definir"))</f>
        <v/>
      </c>
      <c r="P963" s="27">
        <f>IF($N963="","",IFERROR(INDEX(CONFIG!$H$4:$H$43,MATCH($N963,CONFIG!$F$4:$F$43,0)),"Por definir"))</f>
        <v/>
      </c>
      <c r="Q963" s="50" t="n"/>
      <c r="R963" s="51" t="n"/>
      <c r="S963" s="49" t="n"/>
      <c r="T963" s="49" t="n"/>
      <c r="U963" s="48">
        <f>IF(OR($B963="",$K963=""),"",WORKDAY($B963,IFERROR(INDEX(CONFIG!$C$4:$C$43,MATCH($K963,CONFIG!$A$4:$A$43,0)),3)))</f>
        <v/>
      </c>
      <c r="V963" s="46" t="n"/>
      <c r="W963" s="23">
        <f>IF($B963="","",IF($V963&lt;&gt;"",$V963-$B963,TODAY()-$B963))</f>
        <v/>
      </c>
      <c r="X963" s="27">
        <f>IF($C963="","",IF(IFERROR(INDEX(CONFIG!$K$4:$K$43,MATCH($S963,CONFIG!$J$4:$J$43,0)),"NO")="SÍ",IF(OR($V963="",$U963=""),"Resuelta",IF($V963&gt;$U963,"Resuelta tarde","Resuelta a tiempo")),IF($U963="","Sin clasificar",IF(TODAY()&gt;$U963,"Vencida",IF(TODAY()&gt;=$U963-1,"Por vencer","En plazo")))))</f>
        <v/>
      </c>
      <c r="Y963" s="49" t="n"/>
      <c r="Z963" s="49" t="n"/>
    </row>
    <row r="964" ht="16" customHeight="1">
      <c r="A964" s="27">
        <f>IF($C964="","","N-"&amp;TEXT(ROW()-3,"0000"))</f>
        <v/>
      </c>
      <c r="B964" s="46" t="n"/>
      <c r="C964" s="47" t="n"/>
      <c r="D964" s="27">
        <f>IF($C964="","",IF(COUNTIFS(ENVIOS!$A$4:$A$3003,$C964)=0,"NO EXISTE",IF(COUNTIFS(ENVIOS!$A$4:$A$3003,$C964)&gt;1,"DUPLICADA","OK")))</f>
        <v/>
      </c>
      <c r="E964" s="22">
        <f>IF($C964="","",IFERROR(INDEX(ENVIOS!$C$4:$C$3003,MATCH($C964,ENVIOS!$A$4:$A$3003,0)),"—"))</f>
        <v/>
      </c>
      <c r="F964" s="22">
        <f>IF($C964="","",IFERROR(INDEX(ENVIOS!$D$4:$D$3003,MATCH($C964,ENVIOS!$A$4:$A$3003,0)),"—"))</f>
        <v/>
      </c>
      <c r="G964" s="22">
        <f>IF($C964="","",IFERROR(INDEX(ENVIOS!$E$4:$E$3003,MATCH($C964,ENVIOS!$A$4:$A$3003,0)),"—"))</f>
        <v/>
      </c>
      <c r="H964" s="22">
        <f>IF($C964="","",IFERROR(INDEX(ENVIOS!$F$4:$F$3003,MATCH($C964,ENVIOS!$A$4:$A$3003,0)),"—"))</f>
        <v/>
      </c>
      <c r="I964" s="27">
        <f>IF($C964="","",IFERROR(INDEX(ENVIOS!$G$4:$G$3003,MATCH($C964,ENVIOS!$A$4:$A$3003,0)),"—"))</f>
        <v/>
      </c>
      <c r="J964" s="48">
        <f>IF($C964="","",IFERROR(INDEX(ENVIOS!$B$4:$B$3003,MATCH($C964,ENVIOS!$A$4:$A$3003,0)),""))</f>
        <v/>
      </c>
      <c r="K964" s="49" t="n"/>
      <c r="L964" s="27">
        <f>IF($K964="","",IFERROR(INDEX(CONFIG!$B$4:$B$43,MATCH($K964,CONFIG!$A$4:$A$43,0)),"Media"))</f>
        <v/>
      </c>
      <c r="M964" s="27">
        <f>IF($K964="","",IFERROR(INDEX(CONFIG!$D$4:$D$43,MATCH($K964,CONFIG!$A$4:$A$43,0)),"NO"))</f>
        <v/>
      </c>
      <c r="N964" s="49" t="n"/>
      <c r="O964" s="27">
        <f>IF($N964="","",IFERROR(INDEX(CONFIG!$G$4:$G$43,MATCH($N964,CONFIG!$F$4:$F$43,0)),"Por definir"))</f>
        <v/>
      </c>
      <c r="P964" s="27">
        <f>IF($N964="","",IFERROR(INDEX(CONFIG!$H$4:$H$43,MATCH($N964,CONFIG!$F$4:$F$43,0)),"Por definir"))</f>
        <v/>
      </c>
      <c r="Q964" s="50" t="n"/>
      <c r="R964" s="51" t="n"/>
      <c r="S964" s="49" t="n"/>
      <c r="T964" s="49" t="n"/>
      <c r="U964" s="48">
        <f>IF(OR($B964="",$K964=""),"",WORKDAY($B964,IFERROR(INDEX(CONFIG!$C$4:$C$43,MATCH($K964,CONFIG!$A$4:$A$43,0)),3)))</f>
        <v/>
      </c>
      <c r="V964" s="46" t="n"/>
      <c r="W964" s="23">
        <f>IF($B964="","",IF($V964&lt;&gt;"",$V964-$B964,TODAY()-$B964))</f>
        <v/>
      </c>
      <c r="X964" s="27">
        <f>IF($C964="","",IF(IFERROR(INDEX(CONFIG!$K$4:$K$43,MATCH($S964,CONFIG!$J$4:$J$43,0)),"NO")="SÍ",IF(OR($V964="",$U964=""),"Resuelta",IF($V964&gt;$U964,"Resuelta tarde","Resuelta a tiempo")),IF($U964="","Sin clasificar",IF(TODAY()&gt;$U964,"Vencida",IF(TODAY()&gt;=$U964-1,"Por vencer","En plazo")))))</f>
        <v/>
      </c>
      <c r="Y964" s="49" t="n"/>
      <c r="Z964" s="49" t="n"/>
    </row>
    <row r="965" ht="16" customHeight="1">
      <c r="A965" s="27">
        <f>IF($C965="","","N-"&amp;TEXT(ROW()-3,"0000"))</f>
        <v/>
      </c>
      <c r="B965" s="46" t="n"/>
      <c r="C965" s="47" t="n"/>
      <c r="D965" s="27">
        <f>IF($C965="","",IF(COUNTIFS(ENVIOS!$A$4:$A$3003,$C965)=0,"NO EXISTE",IF(COUNTIFS(ENVIOS!$A$4:$A$3003,$C965)&gt;1,"DUPLICADA","OK")))</f>
        <v/>
      </c>
      <c r="E965" s="22">
        <f>IF($C965="","",IFERROR(INDEX(ENVIOS!$C$4:$C$3003,MATCH($C965,ENVIOS!$A$4:$A$3003,0)),"—"))</f>
        <v/>
      </c>
      <c r="F965" s="22">
        <f>IF($C965="","",IFERROR(INDEX(ENVIOS!$D$4:$D$3003,MATCH($C965,ENVIOS!$A$4:$A$3003,0)),"—"))</f>
        <v/>
      </c>
      <c r="G965" s="22">
        <f>IF($C965="","",IFERROR(INDEX(ENVIOS!$E$4:$E$3003,MATCH($C965,ENVIOS!$A$4:$A$3003,0)),"—"))</f>
        <v/>
      </c>
      <c r="H965" s="22">
        <f>IF($C965="","",IFERROR(INDEX(ENVIOS!$F$4:$F$3003,MATCH($C965,ENVIOS!$A$4:$A$3003,0)),"—"))</f>
        <v/>
      </c>
      <c r="I965" s="27">
        <f>IF($C965="","",IFERROR(INDEX(ENVIOS!$G$4:$G$3003,MATCH($C965,ENVIOS!$A$4:$A$3003,0)),"—"))</f>
        <v/>
      </c>
      <c r="J965" s="48">
        <f>IF($C965="","",IFERROR(INDEX(ENVIOS!$B$4:$B$3003,MATCH($C965,ENVIOS!$A$4:$A$3003,0)),""))</f>
        <v/>
      </c>
      <c r="K965" s="49" t="n"/>
      <c r="L965" s="27">
        <f>IF($K965="","",IFERROR(INDEX(CONFIG!$B$4:$B$43,MATCH($K965,CONFIG!$A$4:$A$43,0)),"Media"))</f>
        <v/>
      </c>
      <c r="M965" s="27">
        <f>IF($K965="","",IFERROR(INDEX(CONFIG!$D$4:$D$43,MATCH($K965,CONFIG!$A$4:$A$43,0)),"NO"))</f>
        <v/>
      </c>
      <c r="N965" s="49" t="n"/>
      <c r="O965" s="27">
        <f>IF($N965="","",IFERROR(INDEX(CONFIG!$G$4:$G$43,MATCH($N965,CONFIG!$F$4:$F$43,0)),"Por definir"))</f>
        <v/>
      </c>
      <c r="P965" s="27">
        <f>IF($N965="","",IFERROR(INDEX(CONFIG!$H$4:$H$43,MATCH($N965,CONFIG!$F$4:$F$43,0)),"Por definir"))</f>
        <v/>
      </c>
      <c r="Q965" s="50" t="n"/>
      <c r="R965" s="51" t="n"/>
      <c r="S965" s="49" t="n"/>
      <c r="T965" s="49" t="n"/>
      <c r="U965" s="48">
        <f>IF(OR($B965="",$K965=""),"",WORKDAY($B965,IFERROR(INDEX(CONFIG!$C$4:$C$43,MATCH($K965,CONFIG!$A$4:$A$43,0)),3)))</f>
        <v/>
      </c>
      <c r="V965" s="46" t="n"/>
      <c r="W965" s="23">
        <f>IF($B965="","",IF($V965&lt;&gt;"",$V965-$B965,TODAY()-$B965))</f>
        <v/>
      </c>
      <c r="X965" s="27">
        <f>IF($C965="","",IF(IFERROR(INDEX(CONFIG!$K$4:$K$43,MATCH($S965,CONFIG!$J$4:$J$43,0)),"NO")="SÍ",IF(OR($V965="",$U965=""),"Resuelta",IF($V965&gt;$U965,"Resuelta tarde","Resuelta a tiempo")),IF($U965="","Sin clasificar",IF(TODAY()&gt;$U965,"Vencida",IF(TODAY()&gt;=$U965-1,"Por vencer","En plazo")))))</f>
        <v/>
      </c>
      <c r="Y965" s="49" t="n"/>
      <c r="Z965" s="49" t="n"/>
    </row>
    <row r="966" ht="16" customHeight="1">
      <c r="A966" s="27">
        <f>IF($C966="","","N-"&amp;TEXT(ROW()-3,"0000"))</f>
        <v/>
      </c>
      <c r="B966" s="46" t="n"/>
      <c r="C966" s="47" t="n"/>
      <c r="D966" s="27">
        <f>IF($C966="","",IF(COUNTIFS(ENVIOS!$A$4:$A$3003,$C966)=0,"NO EXISTE",IF(COUNTIFS(ENVIOS!$A$4:$A$3003,$C966)&gt;1,"DUPLICADA","OK")))</f>
        <v/>
      </c>
      <c r="E966" s="22">
        <f>IF($C966="","",IFERROR(INDEX(ENVIOS!$C$4:$C$3003,MATCH($C966,ENVIOS!$A$4:$A$3003,0)),"—"))</f>
        <v/>
      </c>
      <c r="F966" s="22">
        <f>IF($C966="","",IFERROR(INDEX(ENVIOS!$D$4:$D$3003,MATCH($C966,ENVIOS!$A$4:$A$3003,0)),"—"))</f>
        <v/>
      </c>
      <c r="G966" s="22">
        <f>IF($C966="","",IFERROR(INDEX(ENVIOS!$E$4:$E$3003,MATCH($C966,ENVIOS!$A$4:$A$3003,0)),"—"))</f>
        <v/>
      </c>
      <c r="H966" s="22">
        <f>IF($C966="","",IFERROR(INDEX(ENVIOS!$F$4:$F$3003,MATCH($C966,ENVIOS!$A$4:$A$3003,0)),"—"))</f>
        <v/>
      </c>
      <c r="I966" s="27">
        <f>IF($C966="","",IFERROR(INDEX(ENVIOS!$G$4:$G$3003,MATCH($C966,ENVIOS!$A$4:$A$3003,0)),"—"))</f>
        <v/>
      </c>
      <c r="J966" s="48">
        <f>IF($C966="","",IFERROR(INDEX(ENVIOS!$B$4:$B$3003,MATCH($C966,ENVIOS!$A$4:$A$3003,0)),""))</f>
        <v/>
      </c>
      <c r="K966" s="49" t="n"/>
      <c r="L966" s="27">
        <f>IF($K966="","",IFERROR(INDEX(CONFIG!$B$4:$B$43,MATCH($K966,CONFIG!$A$4:$A$43,0)),"Media"))</f>
        <v/>
      </c>
      <c r="M966" s="27">
        <f>IF($K966="","",IFERROR(INDEX(CONFIG!$D$4:$D$43,MATCH($K966,CONFIG!$A$4:$A$43,0)),"NO"))</f>
        <v/>
      </c>
      <c r="N966" s="49" t="n"/>
      <c r="O966" s="27">
        <f>IF($N966="","",IFERROR(INDEX(CONFIG!$G$4:$G$43,MATCH($N966,CONFIG!$F$4:$F$43,0)),"Por definir"))</f>
        <v/>
      </c>
      <c r="P966" s="27">
        <f>IF($N966="","",IFERROR(INDEX(CONFIG!$H$4:$H$43,MATCH($N966,CONFIG!$F$4:$F$43,0)),"Por definir"))</f>
        <v/>
      </c>
      <c r="Q966" s="50" t="n"/>
      <c r="R966" s="51" t="n"/>
      <c r="S966" s="49" t="n"/>
      <c r="T966" s="49" t="n"/>
      <c r="U966" s="48">
        <f>IF(OR($B966="",$K966=""),"",WORKDAY($B966,IFERROR(INDEX(CONFIG!$C$4:$C$43,MATCH($K966,CONFIG!$A$4:$A$43,0)),3)))</f>
        <v/>
      </c>
      <c r="V966" s="46" t="n"/>
      <c r="W966" s="23">
        <f>IF($B966="","",IF($V966&lt;&gt;"",$V966-$B966,TODAY()-$B966))</f>
        <v/>
      </c>
      <c r="X966" s="27">
        <f>IF($C966="","",IF(IFERROR(INDEX(CONFIG!$K$4:$K$43,MATCH($S966,CONFIG!$J$4:$J$43,0)),"NO")="SÍ",IF(OR($V966="",$U966=""),"Resuelta",IF($V966&gt;$U966,"Resuelta tarde","Resuelta a tiempo")),IF($U966="","Sin clasificar",IF(TODAY()&gt;$U966,"Vencida",IF(TODAY()&gt;=$U966-1,"Por vencer","En plazo")))))</f>
        <v/>
      </c>
      <c r="Y966" s="49" t="n"/>
      <c r="Z966" s="49" t="n"/>
    </row>
    <row r="967" ht="16" customHeight="1">
      <c r="A967" s="27">
        <f>IF($C967="","","N-"&amp;TEXT(ROW()-3,"0000"))</f>
        <v/>
      </c>
      <c r="B967" s="46" t="n"/>
      <c r="C967" s="47" t="n"/>
      <c r="D967" s="27">
        <f>IF($C967="","",IF(COUNTIFS(ENVIOS!$A$4:$A$3003,$C967)=0,"NO EXISTE",IF(COUNTIFS(ENVIOS!$A$4:$A$3003,$C967)&gt;1,"DUPLICADA","OK")))</f>
        <v/>
      </c>
      <c r="E967" s="22">
        <f>IF($C967="","",IFERROR(INDEX(ENVIOS!$C$4:$C$3003,MATCH($C967,ENVIOS!$A$4:$A$3003,0)),"—"))</f>
        <v/>
      </c>
      <c r="F967" s="22">
        <f>IF($C967="","",IFERROR(INDEX(ENVIOS!$D$4:$D$3003,MATCH($C967,ENVIOS!$A$4:$A$3003,0)),"—"))</f>
        <v/>
      </c>
      <c r="G967" s="22">
        <f>IF($C967="","",IFERROR(INDEX(ENVIOS!$E$4:$E$3003,MATCH($C967,ENVIOS!$A$4:$A$3003,0)),"—"))</f>
        <v/>
      </c>
      <c r="H967" s="22">
        <f>IF($C967="","",IFERROR(INDEX(ENVIOS!$F$4:$F$3003,MATCH($C967,ENVIOS!$A$4:$A$3003,0)),"—"))</f>
        <v/>
      </c>
      <c r="I967" s="27">
        <f>IF($C967="","",IFERROR(INDEX(ENVIOS!$G$4:$G$3003,MATCH($C967,ENVIOS!$A$4:$A$3003,0)),"—"))</f>
        <v/>
      </c>
      <c r="J967" s="48">
        <f>IF($C967="","",IFERROR(INDEX(ENVIOS!$B$4:$B$3003,MATCH($C967,ENVIOS!$A$4:$A$3003,0)),""))</f>
        <v/>
      </c>
      <c r="K967" s="49" t="n"/>
      <c r="L967" s="27">
        <f>IF($K967="","",IFERROR(INDEX(CONFIG!$B$4:$B$43,MATCH($K967,CONFIG!$A$4:$A$43,0)),"Media"))</f>
        <v/>
      </c>
      <c r="M967" s="27">
        <f>IF($K967="","",IFERROR(INDEX(CONFIG!$D$4:$D$43,MATCH($K967,CONFIG!$A$4:$A$43,0)),"NO"))</f>
        <v/>
      </c>
      <c r="N967" s="49" t="n"/>
      <c r="O967" s="27">
        <f>IF($N967="","",IFERROR(INDEX(CONFIG!$G$4:$G$43,MATCH($N967,CONFIG!$F$4:$F$43,0)),"Por definir"))</f>
        <v/>
      </c>
      <c r="P967" s="27">
        <f>IF($N967="","",IFERROR(INDEX(CONFIG!$H$4:$H$43,MATCH($N967,CONFIG!$F$4:$F$43,0)),"Por definir"))</f>
        <v/>
      </c>
      <c r="Q967" s="50" t="n"/>
      <c r="R967" s="51" t="n"/>
      <c r="S967" s="49" t="n"/>
      <c r="T967" s="49" t="n"/>
      <c r="U967" s="48">
        <f>IF(OR($B967="",$K967=""),"",WORKDAY($B967,IFERROR(INDEX(CONFIG!$C$4:$C$43,MATCH($K967,CONFIG!$A$4:$A$43,0)),3)))</f>
        <v/>
      </c>
      <c r="V967" s="46" t="n"/>
      <c r="W967" s="23">
        <f>IF($B967="","",IF($V967&lt;&gt;"",$V967-$B967,TODAY()-$B967))</f>
        <v/>
      </c>
      <c r="X967" s="27">
        <f>IF($C967="","",IF(IFERROR(INDEX(CONFIG!$K$4:$K$43,MATCH($S967,CONFIG!$J$4:$J$43,0)),"NO")="SÍ",IF(OR($V967="",$U967=""),"Resuelta",IF($V967&gt;$U967,"Resuelta tarde","Resuelta a tiempo")),IF($U967="","Sin clasificar",IF(TODAY()&gt;$U967,"Vencida",IF(TODAY()&gt;=$U967-1,"Por vencer","En plazo")))))</f>
        <v/>
      </c>
      <c r="Y967" s="49" t="n"/>
      <c r="Z967" s="49" t="n"/>
    </row>
    <row r="968" ht="16" customHeight="1">
      <c r="A968" s="27">
        <f>IF($C968="","","N-"&amp;TEXT(ROW()-3,"0000"))</f>
        <v/>
      </c>
      <c r="B968" s="46" t="n"/>
      <c r="C968" s="47" t="n"/>
      <c r="D968" s="27">
        <f>IF($C968="","",IF(COUNTIFS(ENVIOS!$A$4:$A$3003,$C968)=0,"NO EXISTE",IF(COUNTIFS(ENVIOS!$A$4:$A$3003,$C968)&gt;1,"DUPLICADA","OK")))</f>
        <v/>
      </c>
      <c r="E968" s="22">
        <f>IF($C968="","",IFERROR(INDEX(ENVIOS!$C$4:$C$3003,MATCH($C968,ENVIOS!$A$4:$A$3003,0)),"—"))</f>
        <v/>
      </c>
      <c r="F968" s="22">
        <f>IF($C968="","",IFERROR(INDEX(ENVIOS!$D$4:$D$3003,MATCH($C968,ENVIOS!$A$4:$A$3003,0)),"—"))</f>
        <v/>
      </c>
      <c r="G968" s="22">
        <f>IF($C968="","",IFERROR(INDEX(ENVIOS!$E$4:$E$3003,MATCH($C968,ENVIOS!$A$4:$A$3003,0)),"—"))</f>
        <v/>
      </c>
      <c r="H968" s="22">
        <f>IF($C968="","",IFERROR(INDEX(ENVIOS!$F$4:$F$3003,MATCH($C968,ENVIOS!$A$4:$A$3003,0)),"—"))</f>
        <v/>
      </c>
      <c r="I968" s="27">
        <f>IF($C968="","",IFERROR(INDEX(ENVIOS!$G$4:$G$3003,MATCH($C968,ENVIOS!$A$4:$A$3003,0)),"—"))</f>
        <v/>
      </c>
      <c r="J968" s="48">
        <f>IF($C968="","",IFERROR(INDEX(ENVIOS!$B$4:$B$3003,MATCH($C968,ENVIOS!$A$4:$A$3003,0)),""))</f>
        <v/>
      </c>
      <c r="K968" s="49" t="n"/>
      <c r="L968" s="27">
        <f>IF($K968="","",IFERROR(INDEX(CONFIG!$B$4:$B$43,MATCH($K968,CONFIG!$A$4:$A$43,0)),"Media"))</f>
        <v/>
      </c>
      <c r="M968" s="27">
        <f>IF($K968="","",IFERROR(INDEX(CONFIG!$D$4:$D$43,MATCH($K968,CONFIG!$A$4:$A$43,0)),"NO"))</f>
        <v/>
      </c>
      <c r="N968" s="49" t="n"/>
      <c r="O968" s="27">
        <f>IF($N968="","",IFERROR(INDEX(CONFIG!$G$4:$G$43,MATCH($N968,CONFIG!$F$4:$F$43,0)),"Por definir"))</f>
        <v/>
      </c>
      <c r="P968" s="27">
        <f>IF($N968="","",IFERROR(INDEX(CONFIG!$H$4:$H$43,MATCH($N968,CONFIG!$F$4:$F$43,0)),"Por definir"))</f>
        <v/>
      </c>
      <c r="Q968" s="50" t="n"/>
      <c r="R968" s="51" t="n"/>
      <c r="S968" s="49" t="n"/>
      <c r="T968" s="49" t="n"/>
      <c r="U968" s="48">
        <f>IF(OR($B968="",$K968=""),"",WORKDAY($B968,IFERROR(INDEX(CONFIG!$C$4:$C$43,MATCH($K968,CONFIG!$A$4:$A$43,0)),3)))</f>
        <v/>
      </c>
      <c r="V968" s="46" t="n"/>
      <c r="W968" s="23">
        <f>IF($B968="","",IF($V968&lt;&gt;"",$V968-$B968,TODAY()-$B968))</f>
        <v/>
      </c>
      <c r="X968" s="27">
        <f>IF($C968="","",IF(IFERROR(INDEX(CONFIG!$K$4:$K$43,MATCH($S968,CONFIG!$J$4:$J$43,0)),"NO")="SÍ",IF(OR($V968="",$U968=""),"Resuelta",IF($V968&gt;$U968,"Resuelta tarde","Resuelta a tiempo")),IF($U968="","Sin clasificar",IF(TODAY()&gt;$U968,"Vencida",IF(TODAY()&gt;=$U968-1,"Por vencer","En plazo")))))</f>
        <v/>
      </c>
      <c r="Y968" s="49" t="n"/>
      <c r="Z968" s="49" t="n"/>
    </row>
    <row r="969" ht="16" customHeight="1">
      <c r="A969" s="27">
        <f>IF($C969="","","N-"&amp;TEXT(ROW()-3,"0000"))</f>
        <v/>
      </c>
      <c r="B969" s="46" t="n"/>
      <c r="C969" s="47" t="n"/>
      <c r="D969" s="27">
        <f>IF($C969="","",IF(COUNTIFS(ENVIOS!$A$4:$A$3003,$C969)=0,"NO EXISTE",IF(COUNTIFS(ENVIOS!$A$4:$A$3003,$C969)&gt;1,"DUPLICADA","OK")))</f>
        <v/>
      </c>
      <c r="E969" s="22">
        <f>IF($C969="","",IFERROR(INDEX(ENVIOS!$C$4:$C$3003,MATCH($C969,ENVIOS!$A$4:$A$3003,0)),"—"))</f>
        <v/>
      </c>
      <c r="F969" s="22">
        <f>IF($C969="","",IFERROR(INDEX(ENVIOS!$D$4:$D$3003,MATCH($C969,ENVIOS!$A$4:$A$3003,0)),"—"))</f>
        <v/>
      </c>
      <c r="G969" s="22">
        <f>IF($C969="","",IFERROR(INDEX(ENVIOS!$E$4:$E$3003,MATCH($C969,ENVIOS!$A$4:$A$3003,0)),"—"))</f>
        <v/>
      </c>
      <c r="H969" s="22">
        <f>IF($C969="","",IFERROR(INDEX(ENVIOS!$F$4:$F$3003,MATCH($C969,ENVIOS!$A$4:$A$3003,0)),"—"))</f>
        <v/>
      </c>
      <c r="I969" s="27">
        <f>IF($C969="","",IFERROR(INDEX(ENVIOS!$G$4:$G$3003,MATCH($C969,ENVIOS!$A$4:$A$3003,0)),"—"))</f>
        <v/>
      </c>
      <c r="J969" s="48">
        <f>IF($C969="","",IFERROR(INDEX(ENVIOS!$B$4:$B$3003,MATCH($C969,ENVIOS!$A$4:$A$3003,0)),""))</f>
        <v/>
      </c>
      <c r="K969" s="49" t="n"/>
      <c r="L969" s="27">
        <f>IF($K969="","",IFERROR(INDEX(CONFIG!$B$4:$B$43,MATCH($K969,CONFIG!$A$4:$A$43,0)),"Media"))</f>
        <v/>
      </c>
      <c r="M969" s="27">
        <f>IF($K969="","",IFERROR(INDEX(CONFIG!$D$4:$D$43,MATCH($K969,CONFIG!$A$4:$A$43,0)),"NO"))</f>
        <v/>
      </c>
      <c r="N969" s="49" t="n"/>
      <c r="O969" s="27">
        <f>IF($N969="","",IFERROR(INDEX(CONFIG!$G$4:$G$43,MATCH($N969,CONFIG!$F$4:$F$43,0)),"Por definir"))</f>
        <v/>
      </c>
      <c r="P969" s="27">
        <f>IF($N969="","",IFERROR(INDEX(CONFIG!$H$4:$H$43,MATCH($N969,CONFIG!$F$4:$F$43,0)),"Por definir"))</f>
        <v/>
      </c>
      <c r="Q969" s="50" t="n"/>
      <c r="R969" s="51" t="n"/>
      <c r="S969" s="49" t="n"/>
      <c r="T969" s="49" t="n"/>
      <c r="U969" s="48">
        <f>IF(OR($B969="",$K969=""),"",WORKDAY($B969,IFERROR(INDEX(CONFIG!$C$4:$C$43,MATCH($K969,CONFIG!$A$4:$A$43,0)),3)))</f>
        <v/>
      </c>
      <c r="V969" s="46" t="n"/>
      <c r="W969" s="23">
        <f>IF($B969="","",IF($V969&lt;&gt;"",$V969-$B969,TODAY()-$B969))</f>
        <v/>
      </c>
      <c r="X969" s="27">
        <f>IF($C969="","",IF(IFERROR(INDEX(CONFIG!$K$4:$K$43,MATCH($S969,CONFIG!$J$4:$J$43,0)),"NO")="SÍ",IF(OR($V969="",$U969=""),"Resuelta",IF($V969&gt;$U969,"Resuelta tarde","Resuelta a tiempo")),IF($U969="","Sin clasificar",IF(TODAY()&gt;$U969,"Vencida",IF(TODAY()&gt;=$U969-1,"Por vencer","En plazo")))))</f>
        <v/>
      </c>
      <c r="Y969" s="49" t="n"/>
      <c r="Z969" s="49" t="n"/>
    </row>
    <row r="970" ht="16" customHeight="1">
      <c r="A970" s="27">
        <f>IF($C970="","","N-"&amp;TEXT(ROW()-3,"0000"))</f>
        <v/>
      </c>
      <c r="B970" s="46" t="n"/>
      <c r="C970" s="47" t="n"/>
      <c r="D970" s="27">
        <f>IF($C970="","",IF(COUNTIFS(ENVIOS!$A$4:$A$3003,$C970)=0,"NO EXISTE",IF(COUNTIFS(ENVIOS!$A$4:$A$3003,$C970)&gt;1,"DUPLICADA","OK")))</f>
        <v/>
      </c>
      <c r="E970" s="22">
        <f>IF($C970="","",IFERROR(INDEX(ENVIOS!$C$4:$C$3003,MATCH($C970,ENVIOS!$A$4:$A$3003,0)),"—"))</f>
        <v/>
      </c>
      <c r="F970" s="22">
        <f>IF($C970="","",IFERROR(INDEX(ENVIOS!$D$4:$D$3003,MATCH($C970,ENVIOS!$A$4:$A$3003,0)),"—"))</f>
        <v/>
      </c>
      <c r="G970" s="22">
        <f>IF($C970="","",IFERROR(INDEX(ENVIOS!$E$4:$E$3003,MATCH($C970,ENVIOS!$A$4:$A$3003,0)),"—"))</f>
        <v/>
      </c>
      <c r="H970" s="22">
        <f>IF($C970="","",IFERROR(INDEX(ENVIOS!$F$4:$F$3003,MATCH($C970,ENVIOS!$A$4:$A$3003,0)),"—"))</f>
        <v/>
      </c>
      <c r="I970" s="27">
        <f>IF($C970="","",IFERROR(INDEX(ENVIOS!$G$4:$G$3003,MATCH($C970,ENVIOS!$A$4:$A$3003,0)),"—"))</f>
        <v/>
      </c>
      <c r="J970" s="48">
        <f>IF($C970="","",IFERROR(INDEX(ENVIOS!$B$4:$B$3003,MATCH($C970,ENVIOS!$A$4:$A$3003,0)),""))</f>
        <v/>
      </c>
      <c r="K970" s="49" t="n"/>
      <c r="L970" s="27">
        <f>IF($K970="","",IFERROR(INDEX(CONFIG!$B$4:$B$43,MATCH($K970,CONFIG!$A$4:$A$43,0)),"Media"))</f>
        <v/>
      </c>
      <c r="M970" s="27">
        <f>IF($K970="","",IFERROR(INDEX(CONFIG!$D$4:$D$43,MATCH($K970,CONFIG!$A$4:$A$43,0)),"NO"))</f>
        <v/>
      </c>
      <c r="N970" s="49" t="n"/>
      <c r="O970" s="27">
        <f>IF($N970="","",IFERROR(INDEX(CONFIG!$G$4:$G$43,MATCH($N970,CONFIG!$F$4:$F$43,0)),"Por definir"))</f>
        <v/>
      </c>
      <c r="P970" s="27">
        <f>IF($N970="","",IFERROR(INDEX(CONFIG!$H$4:$H$43,MATCH($N970,CONFIG!$F$4:$F$43,0)),"Por definir"))</f>
        <v/>
      </c>
      <c r="Q970" s="50" t="n"/>
      <c r="R970" s="51" t="n"/>
      <c r="S970" s="49" t="n"/>
      <c r="T970" s="49" t="n"/>
      <c r="U970" s="48">
        <f>IF(OR($B970="",$K970=""),"",WORKDAY($B970,IFERROR(INDEX(CONFIG!$C$4:$C$43,MATCH($K970,CONFIG!$A$4:$A$43,0)),3)))</f>
        <v/>
      </c>
      <c r="V970" s="46" t="n"/>
      <c r="W970" s="23">
        <f>IF($B970="","",IF($V970&lt;&gt;"",$V970-$B970,TODAY()-$B970))</f>
        <v/>
      </c>
      <c r="X970" s="27">
        <f>IF($C970="","",IF(IFERROR(INDEX(CONFIG!$K$4:$K$43,MATCH($S970,CONFIG!$J$4:$J$43,0)),"NO")="SÍ",IF(OR($V970="",$U970=""),"Resuelta",IF($V970&gt;$U970,"Resuelta tarde","Resuelta a tiempo")),IF($U970="","Sin clasificar",IF(TODAY()&gt;$U970,"Vencida",IF(TODAY()&gt;=$U970-1,"Por vencer","En plazo")))))</f>
        <v/>
      </c>
      <c r="Y970" s="49" t="n"/>
      <c r="Z970" s="49" t="n"/>
    </row>
    <row r="971" ht="16" customHeight="1">
      <c r="A971" s="27">
        <f>IF($C971="","","N-"&amp;TEXT(ROW()-3,"0000"))</f>
        <v/>
      </c>
      <c r="B971" s="46" t="n"/>
      <c r="C971" s="47" t="n"/>
      <c r="D971" s="27">
        <f>IF($C971="","",IF(COUNTIFS(ENVIOS!$A$4:$A$3003,$C971)=0,"NO EXISTE",IF(COUNTIFS(ENVIOS!$A$4:$A$3003,$C971)&gt;1,"DUPLICADA","OK")))</f>
        <v/>
      </c>
      <c r="E971" s="22">
        <f>IF($C971="","",IFERROR(INDEX(ENVIOS!$C$4:$C$3003,MATCH($C971,ENVIOS!$A$4:$A$3003,0)),"—"))</f>
        <v/>
      </c>
      <c r="F971" s="22">
        <f>IF($C971="","",IFERROR(INDEX(ENVIOS!$D$4:$D$3003,MATCH($C971,ENVIOS!$A$4:$A$3003,0)),"—"))</f>
        <v/>
      </c>
      <c r="G971" s="22">
        <f>IF($C971="","",IFERROR(INDEX(ENVIOS!$E$4:$E$3003,MATCH($C971,ENVIOS!$A$4:$A$3003,0)),"—"))</f>
        <v/>
      </c>
      <c r="H971" s="22">
        <f>IF($C971="","",IFERROR(INDEX(ENVIOS!$F$4:$F$3003,MATCH($C971,ENVIOS!$A$4:$A$3003,0)),"—"))</f>
        <v/>
      </c>
      <c r="I971" s="27">
        <f>IF($C971="","",IFERROR(INDEX(ENVIOS!$G$4:$G$3003,MATCH($C971,ENVIOS!$A$4:$A$3003,0)),"—"))</f>
        <v/>
      </c>
      <c r="J971" s="48">
        <f>IF($C971="","",IFERROR(INDEX(ENVIOS!$B$4:$B$3003,MATCH($C971,ENVIOS!$A$4:$A$3003,0)),""))</f>
        <v/>
      </c>
      <c r="K971" s="49" t="n"/>
      <c r="L971" s="27">
        <f>IF($K971="","",IFERROR(INDEX(CONFIG!$B$4:$B$43,MATCH($K971,CONFIG!$A$4:$A$43,0)),"Media"))</f>
        <v/>
      </c>
      <c r="M971" s="27">
        <f>IF($K971="","",IFERROR(INDEX(CONFIG!$D$4:$D$43,MATCH($K971,CONFIG!$A$4:$A$43,0)),"NO"))</f>
        <v/>
      </c>
      <c r="N971" s="49" t="n"/>
      <c r="O971" s="27">
        <f>IF($N971="","",IFERROR(INDEX(CONFIG!$G$4:$G$43,MATCH($N971,CONFIG!$F$4:$F$43,0)),"Por definir"))</f>
        <v/>
      </c>
      <c r="P971" s="27">
        <f>IF($N971="","",IFERROR(INDEX(CONFIG!$H$4:$H$43,MATCH($N971,CONFIG!$F$4:$F$43,0)),"Por definir"))</f>
        <v/>
      </c>
      <c r="Q971" s="50" t="n"/>
      <c r="R971" s="51" t="n"/>
      <c r="S971" s="49" t="n"/>
      <c r="T971" s="49" t="n"/>
      <c r="U971" s="48">
        <f>IF(OR($B971="",$K971=""),"",WORKDAY($B971,IFERROR(INDEX(CONFIG!$C$4:$C$43,MATCH($K971,CONFIG!$A$4:$A$43,0)),3)))</f>
        <v/>
      </c>
      <c r="V971" s="46" t="n"/>
      <c r="W971" s="23">
        <f>IF($B971="","",IF($V971&lt;&gt;"",$V971-$B971,TODAY()-$B971))</f>
        <v/>
      </c>
      <c r="X971" s="27">
        <f>IF($C971="","",IF(IFERROR(INDEX(CONFIG!$K$4:$K$43,MATCH($S971,CONFIG!$J$4:$J$43,0)),"NO")="SÍ",IF(OR($V971="",$U971=""),"Resuelta",IF($V971&gt;$U971,"Resuelta tarde","Resuelta a tiempo")),IF($U971="","Sin clasificar",IF(TODAY()&gt;$U971,"Vencida",IF(TODAY()&gt;=$U971-1,"Por vencer","En plazo")))))</f>
        <v/>
      </c>
      <c r="Y971" s="49" t="n"/>
      <c r="Z971" s="49" t="n"/>
    </row>
    <row r="972" ht="16" customHeight="1">
      <c r="A972" s="27">
        <f>IF($C972="","","N-"&amp;TEXT(ROW()-3,"0000"))</f>
        <v/>
      </c>
      <c r="B972" s="46" t="n"/>
      <c r="C972" s="47" t="n"/>
      <c r="D972" s="27">
        <f>IF($C972="","",IF(COUNTIFS(ENVIOS!$A$4:$A$3003,$C972)=0,"NO EXISTE",IF(COUNTIFS(ENVIOS!$A$4:$A$3003,$C972)&gt;1,"DUPLICADA","OK")))</f>
        <v/>
      </c>
      <c r="E972" s="22">
        <f>IF($C972="","",IFERROR(INDEX(ENVIOS!$C$4:$C$3003,MATCH($C972,ENVIOS!$A$4:$A$3003,0)),"—"))</f>
        <v/>
      </c>
      <c r="F972" s="22">
        <f>IF($C972="","",IFERROR(INDEX(ENVIOS!$D$4:$D$3003,MATCH($C972,ENVIOS!$A$4:$A$3003,0)),"—"))</f>
        <v/>
      </c>
      <c r="G972" s="22">
        <f>IF($C972="","",IFERROR(INDEX(ENVIOS!$E$4:$E$3003,MATCH($C972,ENVIOS!$A$4:$A$3003,0)),"—"))</f>
        <v/>
      </c>
      <c r="H972" s="22">
        <f>IF($C972="","",IFERROR(INDEX(ENVIOS!$F$4:$F$3003,MATCH($C972,ENVIOS!$A$4:$A$3003,0)),"—"))</f>
        <v/>
      </c>
      <c r="I972" s="27">
        <f>IF($C972="","",IFERROR(INDEX(ENVIOS!$G$4:$G$3003,MATCH($C972,ENVIOS!$A$4:$A$3003,0)),"—"))</f>
        <v/>
      </c>
      <c r="J972" s="48">
        <f>IF($C972="","",IFERROR(INDEX(ENVIOS!$B$4:$B$3003,MATCH($C972,ENVIOS!$A$4:$A$3003,0)),""))</f>
        <v/>
      </c>
      <c r="K972" s="49" t="n"/>
      <c r="L972" s="27">
        <f>IF($K972="","",IFERROR(INDEX(CONFIG!$B$4:$B$43,MATCH($K972,CONFIG!$A$4:$A$43,0)),"Media"))</f>
        <v/>
      </c>
      <c r="M972" s="27">
        <f>IF($K972="","",IFERROR(INDEX(CONFIG!$D$4:$D$43,MATCH($K972,CONFIG!$A$4:$A$43,0)),"NO"))</f>
        <v/>
      </c>
      <c r="N972" s="49" t="n"/>
      <c r="O972" s="27">
        <f>IF($N972="","",IFERROR(INDEX(CONFIG!$G$4:$G$43,MATCH($N972,CONFIG!$F$4:$F$43,0)),"Por definir"))</f>
        <v/>
      </c>
      <c r="P972" s="27">
        <f>IF($N972="","",IFERROR(INDEX(CONFIG!$H$4:$H$43,MATCH($N972,CONFIG!$F$4:$F$43,0)),"Por definir"))</f>
        <v/>
      </c>
      <c r="Q972" s="50" t="n"/>
      <c r="R972" s="51" t="n"/>
      <c r="S972" s="49" t="n"/>
      <c r="T972" s="49" t="n"/>
      <c r="U972" s="48">
        <f>IF(OR($B972="",$K972=""),"",WORKDAY($B972,IFERROR(INDEX(CONFIG!$C$4:$C$43,MATCH($K972,CONFIG!$A$4:$A$43,0)),3)))</f>
        <v/>
      </c>
      <c r="V972" s="46" t="n"/>
      <c r="W972" s="23">
        <f>IF($B972="","",IF($V972&lt;&gt;"",$V972-$B972,TODAY()-$B972))</f>
        <v/>
      </c>
      <c r="X972" s="27">
        <f>IF($C972="","",IF(IFERROR(INDEX(CONFIG!$K$4:$K$43,MATCH($S972,CONFIG!$J$4:$J$43,0)),"NO")="SÍ",IF(OR($V972="",$U972=""),"Resuelta",IF($V972&gt;$U972,"Resuelta tarde","Resuelta a tiempo")),IF($U972="","Sin clasificar",IF(TODAY()&gt;$U972,"Vencida",IF(TODAY()&gt;=$U972-1,"Por vencer","En plazo")))))</f>
        <v/>
      </c>
      <c r="Y972" s="49" t="n"/>
      <c r="Z972" s="49" t="n"/>
    </row>
    <row r="973" ht="16" customHeight="1">
      <c r="A973" s="27">
        <f>IF($C973="","","N-"&amp;TEXT(ROW()-3,"0000"))</f>
        <v/>
      </c>
      <c r="B973" s="46" t="n"/>
      <c r="C973" s="47" t="n"/>
      <c r="D973" s="27">
        <f>IF($C973="","",IF(COUNTIFS(ENVIOS!$A$4:$A$3003,$C973)=0,"NO EXISTE",IF(COUNTIFS(ENVIOS!$A$4:$A$3003,$C973)&gt;1,"DUPLICADA","OK")))</f>
        <v/>
      </c>
      <c r="E973" s="22">
        <f>IF($C973="","",IFERROR(INDEX(ENVIOS!$C$4:$C$3003,MATCH($C973,ENVIOS!$A$4:$A$3003,0)),"—"))</f>
        <v/>
      </c>
      <c r="F973" s="22">
        <f>IF($C973="","",IFERROR(INDEX(ENVIOS!$D$4:$D$3003,MATCH($C973,ENVIOS!$A$4:$A$3003,0)),"—"))</f>
        <v/>
      </c>
      <c r="G973" s="22">
        <f>IF($C973="","",IFERROR(INDEX(ENVIOS!$E$4:$E$3003,MATCH($C973,ENVIOS!$A$4:$A$3003,0)),"—"))</f>
        <v/>
      </c>
      <c r="H973" s="22">
        <f>IF($C973="","",IFERROR(INDEX(ENVIOS!$F$4:$F$3003,MATCH($C973,ENVIOS!$A$4:$A$3003,0)),"—"))</f>
        <v/>
      </c>
      <c r="I973" s="27">
        <f>IF($C973="","",IFERROR(INDEX(ENVIOS!$G$4:$G$3003,MATCH($C973,ENVIOS!$A$4:$A$3003,0)),"—"))</f>
        <v/>
      </c>
      <c r="J973" s="48">
        <f>IF($C973="","",IFERROR(INDEX(ENVIOS!$B$4:$B$3003,MATCH($C973,ENVIOS!$A$4:$A$3003,0)),""))</f>
        <v/>
      </c>
      <c r="K973" s="49" t="n"/>
      <c r="L973" s="27">
        <f>IF($K973="","",IFERROR(INDEX(CONFIG!$B$4:$B$43,MATCH($K973,CONFIG!$A$4:$A$43,0)),"Media"))</f>
        <v/>
      </c>
      <c r="M973" s="27">
        <f>IF($K973="","",IFERROR(INDEX(CONFIG!$D$4:$D$43,MATCH($K973,CONFIG!$A$4:$A$43,0)),"NO"))</f>
        <v/>
      </c>
      <c r="N973" s="49" t="n"/>
      <c r="O973" s="27">
        <f>IF($N973="","",IFERROR(INDEX(CONFIG!$G$4:$G$43,MATCH($N973,CONFIG!$F$4:$F$43,0)),"Por definir"))</f>
        <v/>
      </c>
      <c r="P973" s="27">
        <f>IF($N973="","",IFERROR(INDEX(CONFIG!$H$4:$H$43,MATCH($N973,CONFIG!$F$4:$F$43,0)),"Por definir"))</f>
        <v/>
      </c>
      <c r="Q973" s="50" t="n"/>
      <c r="R973" s="51" t="n"/>
      <c r="S973" s="49" t="n"/>
      <c r="T973" s="49" t="n"/>
      <c r="U973" s="48">
        <f>IF(OR($B973="",$K973=""),"",WORKDAY($B973,IFERROR(INDEX(CONFIG!$C$4:$C$43,MATCH($K973,CONFIG!$A$4:$A$43,0)),3)))</f>
        <v/>
      </c>
      <c r="V973" s="46" t="n"/>
      <c r="W973" s="23">
        <f>IF($B973="","",IF($V973&lt;&gt;"",$V973-$B973,TODAY()-$B973))</f>
        <v/>
      </c>
      <c r="X973" s="27">
        <f>IF($C973="","",IF(IFERROR(INDEX(CONFIG!$K$4:$K$43,MATCH($S973,CONFIG!$J$4:$J$43,0)),"NO")="SÍ",IF(OR($V973="",$U973=""),"Resuelta",IF($V973&gt;$U973,"Resuelta tarde","Resuelta a tiempo")),IF($U973="","Sin clasificar",IF(TODAY()&gt;$U973,"Vencida",IF(TODAY()&gt;=$U973-1,"Por vencer","En plazo")))))</f>
        <v/>
      </c>
      <c r="Y973" s="49" t="n"/>
      <c r="Z973" s="49" t="n"/>
    </row>
    <row r="974" ht="16" customHeight="1">
      <c r="A974" s="27">
        <f>IF($C974="","","N-"&amp;TEXT(ROW()-3,"0000"))</f>
        <v/>
      </c>
      <c r="B974" s="46" t="n"/>
      <c r="C974" s="47" t="n"/>
      <c r="D974" s="27">
        <f>IF($C974="","",IF(COUNTIFS(ENVIOS!$A$4:$A$3003,$C974)=0,"NO EXISTE",IF(COUNTIFS(ENVIOS!$A$4:$A$3003,$C974)&gt;1,"DUPLICADA","OK")))</f>
        <v/>
      </c>
      <c r="E974" s="22">
        <f>IF($C974="","",IFERROR(INDEX(ENVIOS!$C$4:$C$3003,MATCH($C974,ENVIOS!$A$4:$A$3003,0)),"—"))</f>
        <v/>
      </c>
      <c r="F974" s="22">
        <f>IF($C974="","",IFERROR(INDEX(ENVIOS!$D$4:$D$3003,MATCH($C974,ENVIOS!$A$4:$A$3003,0)),"—"))</f>
        <v/>
      </c>
      <c r="G974" s="22">
        <f>IF($C974="","",IFERROR(INDEX(ENVIOS!$E$4:$E$3003,MATCH($C974,ENVIOS!$A$4:$A$3003,0)),"—"))</f>
        <v/>
      </c>
      <c r="H974" s="22">
        <f>IF($C974="","",IFERROR(INDEX(ENVIOS!$F$4:$F$3003,MATCH($C974,ENVIOS!$A$4:$A$3003,0)),"—"))</f>
        <v/>
      </c>
      <c r="I974" s="27">
        <f>IF($C974="","",IFERROR(INDEX(ENVIOS!$G$4:$G$3003,MATCH($C974,ENVIOS!$A$4:$A$3003,0)),"—"))</f>
        <v/>
      </c>
      <c r="J974" s="48">
        <f>IF($C974="","",IFERROR(INDEX(ENVIOS!$B$4:$B$3003,MATCH($C974,ENVIOS!$A$4:$A$3003,0)),""))</f>
        <v/>
      </c>
      <c r="K974" s="49" t="n"/>
      <c r="L974" s="27">
        <f>IF($K974="","",IFERROR(INDEX(CONFIG!$B$4:$B$43,MATCH($K974,CONFIG!$A$4:$A$43,0)),"Media"))</f>
        <v/>
      </c>
      <c r="M974" s="27">
        <f>IF($K974="","",IFERROR(INDEX(CONFIG!$D$4:$D$43,MATCH($K974,CONFIG!$A$4:$A$43,0)),"NO"))</f>
        <v/>
      </c>
      <c r="N974" s="49" t="n"/>
      <c r="O974" s="27">
        <f>IF($N974="","",IFERROR(INDEX(CONFIG!$G$4:$G$43,MATCH($N974,CONFIG!$F$4:$F$43,0)),"Por definir"))</f>
        <v/>
      </c>
      <c r="P974" s="27">
        <f>IF($N974="","",IFERROR(INDEX(CONFIG!$H$4:$H$43,MATCH($N974,CONFIG!$F$4:$F$43,0)),"Por definir"))</f>
        <v/>
      </c>
      <c r="Q974" s="50" t="n"/>
      <c r="R974" s="51" t="n"/>
      <c r="S974" s="49" t="n"/>
      <c r="T974" s="49" t="n"/>
      <c r="U974" s="48">
        <f>IF(OR($B974="",$K974=""),"",WORKDAY($B974,IFERROR(INDEX(CONFIG!$C$4:$C$43,MATCH($K974,CONFIG!$A$4:$A$43,0)),3)))</f>
        <v/>
      </c>
      <c r="V974" s="46" t="n"/>
      <c r="W974" s="23">
        <f>IF($B974="","",IF($V974&lt;&gt;"",$V974-$B974,TODAY()-$B974))</f>
        <v/>
      </c>
      <c r="X974" s="27">
        <f>IF($C974="","",IF(IFERROR(INDEX(CONFIG!$K$4:$K$43,MATCH($S974,CONFIG!$J$4:$J$43,0)),"NO")="SÍ",IF(OR($V974="",$U974=""),"Resuelta",IF($V974&gt;$U974,"Resuelta tarde","Resuelta a tiempo")),IF($U974="","Sin clasificar",IF(TODAY()&gt;$U974,"Vencida",IF(TODAY()&gt;=$U974-1,"Por vencer","En plazo")))))</f>
        <v/>
      </c>
      <c r="Y974" s="49" t="n"/>
      <c r="Z974" s="49" t="n"/>
    </row>
    <row r="975" ht="16" customHeight="1">
      <c r="A975" s="27">
        <f>IF($C975="","","N-"&amp;TEXT(ROW()-3,"0000"))</f>
        <v/>
      </c>
      <c r="B975" s="46" t="n"/>
      <c r="C975" s="47" t="n"/>
      <c r="D975" s="27">
        <f>IF($C975="","",IF(COUNTIFS(ENVIOS!$A$4:$A$3003,$C975)=0,"NO EXISTE",IF(COUNTIFS(ENVIOS!$A$4:$A$3003,$C975)&gt;1,"DUPLICADA","OK")))</f>
        <v/>
      </c>
      <c r="E975" s="22">
        <f>IF($C975="","",IFERROR(INDEX(ENVIOS!$C$4:$C$3003,MATCH($C975,ENVIOS!$A$4:$A$3003,0)),"—"))</f>
        <v/>
      </c>
      <c r="F975" s="22">
        <f>IF($C975="","",IFERROR(INDEX(ENVIOS!$D$4:$D$3003,MATCH($C975,ENVIOS!$A$4:$A$3003,0)),"—"))</f>
        <v/>
      </c>
      <c r="G975" s="22">
        <f>IF($C975="","",IFERROR(INDEX(ENVIOS!$E$4:$E$3003,MATCH($C975,ENVIOS!$A$4:$A$3003,0)),"—"))</f>
        <v/>
      </c>
      <c r="H975" s="22">
        <f>IF($C975="","",IFERROR(INDEX(ENVIOS!$F$4:$F$3003,MATCH($C975,ENVIOS!$A$4:$A$3003,0)),"—"))</f>
        <v/>
      </c>
      <c r="I975" s="27">
        <f>IF($C975="","",IFERROR(INDEX(ENVIOS!$G$4:$G$3003,MATCH($C975,ENVIOS!$A$4:$A$3003,0)),"—"))</f>
        <v/>
      </c>
      <c r="J975" s="48">
        <f>IF($C975="","",IFERROR(INDEX(ENVIOS!$B$4:$B$3003,MATCH($C975,ENVIOS!$A$4:$A$3003,0)),""))</f>
        <v/>
      </c>
      <c r="K975" s="49" t="n"/>
      <c r="L975" s="27">
        <f>IF($K975="","",IFERROR(INDEX(CONFIG!$B$4:$B$43,MATCH($K975,CONFIG!$A$4:$A$43,0)),"Media"))</f>
        <v/>
      </c>
      <c r="M975" s="27">
        <f>IF($K975="","",IFERROR(INDEX(CONFIG!$D$4:$D$43,MATCH($K975,CONFIG!$A$4:$A$43,0)),"NO"))</f>
        <v/>
      </c>
      <c r="N975" s="49" t="n"/>
      <c r="O975" s="27">
        <f>IF($N975="","",IFERROR(INDEX(CONFIG!$G$4:$G$43,MATCH($N975,CONFIG!$F$4:$F$43,0)),"Por definir"))</f>
        <v/>
      </c>
      <c r="P975" s="27">
        <f>IF($N975="","",IFERROR(INDEX(CONFIG!$H$4:$H$43,MATCH($N975,CONFIG!$F$4:$F$43,0)),"Por definir"))</f>
        <v/>
      </c>
      <c r="Q975" s="50" t="n"/>
      <c r="R975" s="51" t="n"/>
      <c r="S975" s="49" t="n"/>
      <c r="T975" s="49" t="n"/>
      <c r="U975" s="48">
        <f>IF(OR($B975="",$K975=""),"",WORKDAY($B975,IFERROR(INDEX(CONFIG!$C$4:$C$43,MATCH($K975,CONFIG!$A$4:$A$43,0)),3)))</f>
        <v/>
      </c>
      <c r="V975" s="46" t="n"/>
      <c r="W975" s="23">
        <f>IF($B975="","",IF($V975&lt;&gt;"",$V975-$B975,TODAY()-$B975))</f>
        <v/>
      </c>
      <c r="X975" s="27">
        <f>IF($C975="","",IF(IFERROR(INDEX(CONFIG!$K$4:$K$43,MATCH($S975,CONFIG!$J$4:$J$43,0)),"NO")="SÍ",IF(OR($V975="",$U975=""),"Resuelta",IF($V975&gt;$U975,"Resuelta tarde","Resuelta a tiempo")),IF($U975="","Sin clasificar",IF(TODAY()&gt;$U975,"Vencida",IF(TODAY()&gt;=$U975-1,"Por vencer","En plazo")))))</f>
        <v/>
      </c>
      <c r="Y975" s="49" t="n"/>
      <c r="Z975" s="49" t="n"/>
    </row>
    <row r="976" ht="16" customHeight="1">
      <c r="A976" s="27">
        <f>IF($C976="","","N-"&amp;TEXT(ROW()-3,"0000"))</f>
        <v/>
      </c>
      <c r="B976" s="46" t="n"/>
      <c r="C976" s="47" t="n"/>
      <c r="D976" s="27">
        <f>IF($C976="","",IF(COUNTIFS(ENVIOS!$A$4:$A$3003,$C976)=0,"NO EXISTE",IF(COUNTIFS(ENVIOS!$A$4:$A$3003,$C976)&gt;1,"DUPLICADA","OK")))</f>
        <v/>
      </c>
      <c r="E976" s="22">
        <f>IF($C976="","",IFERROR(INDEX(ENVIOS!$C$4:$C$3003,MATCH($C976,ENVIOS!$A$4:$A$3003,0)),"—"))</f>
        <v/>
      </c>
      <c r="F976" s="22">
        <f>IF($C976="","",IFERROR(INDEX(ENVIOS!$D$4:$D$3003,MATCH($C976,ENVIOS!$A$4:$A$3003,0)),"—"))</f>
        <v/>
      </c>
      <c r="G976" s="22">
        <f>IF($C976="","",IFERROR(INDEX(ENVIOS!$E$4:$E$3003,MATCH($C976,ENVIOS!$A$4:$A$3003,0)),"—"))</f>
        <v/>
      </c>
      <c r="H976" s="22">
        <f>IF($C976="","",IFERROR(INDEX(ENVIOS!$F$4:$F$3003,MATCH($C976,ENVIOS!$A$4:$A$3003,0)),"—"))</f>
        <v/>
      </c>
      <c r="I976" s="27">
        <f>IF($C976="","",IFERROR(INDEX(ENVIOS!$G$4:$G$3003,MATCH($C976,ENVIOS!$A$4:$A$3003,0)),"—"))</f>
        <v/>
      </c>
      <c r="J976" s="48">
        <f>IF($C976="","",IFERROR(INDEX(ENVIOS!$B$4:$B$3003,MATCH($C976,ENVIOS!$A$4:$A$3003,0)),""))</f>
        <v/>
      </c>
      <c r="K976" s="49" t="n"/>
      <c r="L976" s="27">
        <f>IF($K976="","",IFERROR(INDEX(CONFIG!$B$4:$B$43,MATCH($K976,CONFIG!$A$4:$A$43,0)),"Media"))</f>
        <v/>
      </c>
      <c r="M976" s="27">
        <f>IF($K976="","",IFERROR(INDEX(CONFIG!$D$4:$D$43,MATCH($K976,CONFIG!$A$4:$A$43,0)),"NO"))</f>
        <v/>
      </c>
      <c r="N976" s="49" t="n"/>
      <c r="O976" s="27">
        <f>IF($N976="","",IFERROR(INDEX(CONFIG!$G$4:$G$43,MATCH($N976,CONFIG!$F$4:$F$43,0)),"Por definir"))</f>
        <v/>
      </c>
      <c r="P976" s="27">
        <f>IF($N976="","",IFERROR(INDEX(CONFIG!$H$4:$H$43,MATCH($N976,CONFIG!$F$4:$F$43,0)),"Por definir"))</f>
        <v/>
      </c>
      <c r="Q976" s="50" t="n"/>
      <c r="R976" s="51" t="n"/>
      <c r="S976" s="49" t="n"/>
      <c r="T976" s="49" t="n"/>
      <c r="U976" s="48">
        <f>IF(OR($B976="",$K976=""),"",WORKDAY($B976,IFERROR(INDEX(CONFIG!$C$4:$C$43,MATCH($K976,CONFIG!$A$4:$A$43,0)),3)))</f>
        <v/>
      </c>
      <c r="V976" s="46" t="n"/>
      <c r="W976" s="23">
        <f>IF($B976="","",IF($V976&lt;&gt;"",$V976-$B976,TODAY()-$B976))</f>
        <v/>
      </c>
      <c r="X976" s="27">
        <f>IF($C976="","",IF(IFERROR(INDEX(CONFIG!$K$4:$K$43,MATCH($S976,CONFIG!$J$4:$J$43,0)),"NO")="SÍ",IF(OR($V976="",$U976=""),"Resuelta",IF($V976&gt;$U976,"Resuelta tarde","Resuelta a tiempo")),IF($U976="","Sin clasificar",IF(TODAY()&gt;$U976,"Vencida",IF(TODAY()&gt;=$U976-1,"Por vencer","En plazo")))))</f>
        <v/>
      </c>
      <c r="Y976" s="49" t="n"/>
      <c r="Z976" s="49" t="n"/>
    </row>
    <row r="977" ht="16" customHeight="1">
      <c r="A977" s="27">
        <f>IF($C977="","","N-"&amp;TEXT(ROW()-3,"0000"))</f>
        <v/>
      </c>
      <c r="B977" s="46" t="n"/>
      <c r="C977" s="47" t="n"/>
      <c r="D977" s="27">
        <f>IF($C977="","",IF(COUNTIFS(ENVIOS!$A$4:$A$3003,$C977)=0,"NO EXISTE",IF(COUNTIFS(ENVIOS!$A$4:$A$3003,$C977)&gt;1,"DUPLICADA","OK")))</f>
        <v/>
      </c>
      <c r="E977" s="22">
        <f>IF($C977="","",IFERROR(INDEX(ENVIOS!$C$4:$C$3003,MATCH($C977,ENVIOS!$A$4:$A$3003,0)),"—"))</f>
        <v/>
      </c>
      <c r="F977" s="22">
        <f>IF($C977="","",IFERROR(INDEX(ENVIOS!$D$4:$D$3003,MATCH($C977,ENVIOS!$A$4:$A$3003,0)),"—"))</f>
        <v/>
      </c>
      <c r="G977" s="22">
        <f>IF($C977="","",IFERROR(INDEX(ENVIOS!$E$4:$E$3003,MATCH($C977,ENVIOS!$A$4:$A$3003,0)),"—"))</f>
        <v/>
      </c>
      <c r="H977" s="22">
        <f>IF($C977="","",IFERROR(INDEX(ENVIOS!$F$4:$F$3003,MATCH($C977,ENVIOS!$A$4:$A$3003,0)),"—"))</f>
        <v/>
      </c>
      <c r="I977" s="27">
        <f>IF($C977="","",IFERROR(INDEX(ENVIOS!$G$4:$G$3003,MATCH($C977,ENVIOS!$A$4:$A$3003,0)),"—"))</f>
        <v/>
      </c>
      <c r="J977" s="48">
        <f>IF($C977="","",IFERROR(INDEX(ENVIOS!$B$4:$B$3003,MATCH($C977,ENVIOS!$A$4:$A$3003,0)),""))</f>
        <v/>
      </c>
      <c r="K977" s="49" t="n"/>
      <c r="L977" s="27">
        <f>IF($K977="","",IFERROR(INDEX(CONFIG!$B$4:$B$43,MATCH($K977,CONFIG!$A$4:$A$43,0)),"Media"))</f>
        <v/>
      </c>
      <c r="M977" s="27">
        <f>IF($K977="","",IFERROR(INDEX(CONFIG!$D$4:$D$43,MATCH($K977,CONFIG!$A$4:$A$43,0)),"NO"))</f>
        <v/>
      </c>
      <c r="N977" s="49" t="n"/>
      <c r="O977" s="27">
        <f>IF($N977="","",IFERROR(INDEX(CONFIG!$G$4:$G$43,MATCH($N977,CONFIG!$F$4:$F$43,0)),"Por definir"))</f>
        <v/>
      </c>
      <c r="P977" s="27">
        <f>IF($N977="","",IFERROR(INDEX(CONFIG!$H$4:$H$43,MATCH($N977,CONFIG!$F$4:$F$43,0)),"Por definir"))</f>
        <v/>
      </c>
      <c r="Q977" s="50" t="n"/>
      <c r="R977" s="51" t="n"/>
      <c r="S977" s="49" t="n"/>
      <c r="T977" s="49" t="n"/>
      <c r="U977" s="48">
        <f>IF(OR($B977="",$K977=""),"",WORKDAY($B977,IFERROR(INDEX(CONFIG!$C$4:$C$43,MATCH($K977,CONFIG!$A$4:$A$43,0)),3)))</f>
        <v/>
      </c>
      <c r="V977" s="46" t="n"/>
      <c r="W977" s="23">
        <f>IF($B977="","",IF($V977&lt;&gt;"",$V977-$B977,TODAY()-$B977))</f>
        <v/>
      </c>
      <c r="X977" s="27">
        <f>IF($C977="","",IF(IFERROR(INDEX(CONFIG!$K$4:$K$43,MATCH($S977,CONFIG!$J$4:$J$43,0)),"NO")="SÍ",IF(OR($V977="",$U977=""),"Resuelta",IF($V977&gt;$U977,"Resuelta tarde","Resuelta a tiempo")),IF($U977="","Sin clasificar",IF(TODAY()&gt;$U977,"Vencida",IF(TODAY()&gt;=$U977-1,"Por vencer","En plazo")))))</f>
        <v/>
      </c>
      <c r="Y977" s="49" t="n"/>
      <c r="Z977" s="49" t="n"/>
    </row>
    <row r="978" ht="16" customHeight="1">
      <c r="A978" s="27">
        <f>IF($C978="","","N-"&amp;TEXT(ROW()-3,"0000"))</f>
        <v/>
      </c>
      <c r="B978" s="46" t="n"/>
      <c r="C978" s="47" t="n"/>
      <c r="D978" s="27">
        <f>IF($C978="","",IF(COUNTIFS(ENVIOS!$A$4:$A$3003,$C978)=0,"NO EXISTE",IF(COUNTIFS(ENVIOS!$A$4:$A$3003,$C978)&gt;1,"DUPLICADA","OK")))</f>
        <v/>
      </c>
      <c r="E978" s="22">
        <f>IF($C978="","",IFERROR(INDEX(ENVIOS!$C$4:$C$3003,MATCH($C978,ENVIOS!$A$4:$A$3003,0)),"—"))</f>
        <v/>
      </c>
      <c r="F978" s="22">
        <f>IF($C978="","",IFERROR(INDEX(ENVIOS!$D$4:$D$3003,MATCH($C978,ENVIOS!$A$4:$A$3003,0)),"—"))</f>
        <v/>
      </c>
      <c r="G978" s="22">
        <f>IF($C978="","",IFERROR(INDEX(ENVIOS!$E$4:$E$3003,MATCH($C978,ENVIOS!$A$4:$A$3003,0)),"—"))</f>
        <v/>
      </c>
      <c r="H978" s="22">
        <f>IF($C978="","",IFERROR(INDEX(ENVIOS!$F$4:$F$3003,MATCH($C978,ENVIOS!$A$4:$A$3003,0)),"—"))</f>
        <v/>
      </c>
      <c r="I978" s="27">
        <f>IF($C978="","",IFERROR(INDEX(ENVIOS!$G$4:$G$3003,MATCH($C978,ENVIOS!$A$4:$A$3003,0)),"—"))</f>
        <v/>
      </c>
      <c r="J978" s="48">
        <f>IF($C978="","",IFERROR(INDEX(ENVIOS!$B$4:$B$3003,MATCH($C978,ENVIOS!$A$4:$A$3003,0)),""))</f>
        <v/>
      </c>
      <c r="K978" s="49" t="n"/>
      <c r="L978" s="27">
        <f>IF($K978="","",IFERROR(INDEX(CONFIG!$B$4:$B$43,MATCH($K978,CONFIG!$A$4:$A$43,0)),"Media"))</f>
        <v/>
      </c>
      <c r="M978" s="27">
        <f>IF($K978="","",IFERROR(INDEX(CONFIG!$D$4:$D$43,MATCH($K978,CONFIG!$A$4:$A$43,0)),"NO"))</f>
        <v/>
      </c>
      <c r="N978" s="49" t="n"/>
      <c r="O978" s="27">
        <f>IF($N978="","",IFERROR(INDEX(CONFIG!$G$4:$G$43,MATCH($N978,CONFIG!$F$4:$F$43,0)),"Por definir"))</f>
        <v/>
      </c>
      <c r="P978" s="27">
        <f>IF($N978="","",IFERROR(INDEX(CONFIG!$H$4:$H$43,MATCH($N978,CONFIG!$F$4:$F$43,0)),"Por definir"))</f>
        <v/>
      </c>
      <c r="Q978" s="50" t="n"/>
      <c r="R978" s="51" t="n"/>
      <c r="S978" s="49" t="n"/>
      <c r="T978" s="49" t="n"/>
      <c r="U978" s="48">
        <f>IF(OR($B978="",$K978=""),"",WORKDAY($B978,IFERROR(INDEX(CONFIG!$C$4:$C$43,MATCH($K978,CONFIG!$A$4:$A$43,0)),3)))</f>
        <v/>
      </c>
      <c r="V978" s="46" t="n"/>
      <c r="W978" s="23">
        <f>IF($B978="","",IF($V978&lt;&gt;"",$V978-$B978,TODAY()-$B978))</f>
        <v/>
      </c>
      <c r="X978" s="27">
        <f>IF($C978="","",IF(IFERROR(INDEX(CONFIG!$K$4:$K$43,MATCH($S978,CONFIG!$J$4:$J$43,0)),"NO")="SÍ",IF(OR($V978="",$U978=""),"Resuelta",IF($V978&gt;$U978,"Resuelta tarde","Resuelta a tiempo")),IF($U978="","Sin clasificar",IF(TODAY()&gt;$U978,"Vencida",IF(TODAY()&gt;=$U978-1,"Por vencer","En plazo")))))</f>
        <v/>
      </c>
      <c r="Y978" s="49" t="n"/>
      <c r="Z978" s="49" t="n"/>
    </row>
    <row r="979" ht="16" customHeight="1">
      <c r="A979" s="27">
        <f>IF($C979="","","N-"&amp;TEXT(ROW()-3,"0000"))</f>
        <v/>
      </c>
      <c r="B979" s="46" t="n"/>
      <c r="C979" s="47" t="n"/>
      <c r="D979" s="27">
        <f>IF($C979="","",IF(COUNTIFS(ENVIOS!$A$4:$A$3003,$C979)=0,"NO EXISTE",IF(COUNTIFS(ENVIOS!$A$4:$A$3003,$C979)&gt;1,"DUPLICADA","OK")))</f>
        <v/>
      </c>
      <c r="E979" s="22">
        <f>IF($C979="","",IFERROR(INDEX(ENVIOS!$C$4:$C$3003,MATCH($C979,ENVIOS!$A$4:$A$3003,0)),"—"))</f>
        <v/>
      </c>
      <c r="F979" s="22">
        <f>IF($C979="","",IFERROR(INDEX(ENVIOS!$D$4:$D$3003,MATCH($C979,ENVIOS!$A$4:$A$3003,0)),"—"))</f>
        <v/>
      </c>
      <c r="G979" s="22">
        <f>IF($C979="","",IFERROR(INDEX(ENVIOS!$E$4:$E$3003,MATCH($C979,ENVIOS!$A$4:$A$3003,0)),"—"))</f>
        <v/>
      </c>
      <c r="H979" s="22">
        <f>IF($C979="","",IFERROR(INDEX(ENVIOS!$F$4:$F$3003,MATCH($C979,ENVIOS!$A$4:$A$3003,0)),"—"))</f>
        <v/>
      </c>
      <c r="I979" s="27">
        <f>IF($C979="","",IFERROR(INDEX(ENVIOS!$G$4:$G$3003,MATCH($C979,ENVIOS!$A$4:$A$3003,0)),"—"))</f>
        <v/>
      </c>
      <c r="J979" s="48">
        <f>IF($C979="","",IFERROR(INDEX(ENVIOS!$B$4:$B$3003,MATCH($C979,ENVIOS!$A$4:$A$3003,0)),""))</f>
        <v/>
      </c>
      <c r="K979" s="49" t="n"/>
      <c r="L979" s="27">
        <f>IF($K979="","",IFERROR(INDEX(CONFIG!$B$4:$B$43,MATCH($K979,CONFIG!$A$4:$A$43,0)),"Media"))</f>
        <v/>
      </c>
      <c r="M979" s="27">
        <f>IF($K979="","",IFERROR(INDEX(CONFIG!$D$4:$D$43,MATCH($K979,CONFIG!$A$4:$A$43,0)),"NO"))</f>
        <v/>
      </c>
      <c r="N979" s="49" t="n"/>
      <c r="O979" s="27">
        <f>IF($N979="","",IFERROR(INDEX(CONFIG!$G$4:$G$43,MATCH($N979,CONFIG!$F$4:$F$43,0)),"Por definir"))</f>
        <v/>
      </c>
      <c r="P979" s="27">
        <f>IF($N979="","",IFERROR(INDEX(CONFIG!$H$4:$H$43,MATCH($N979,CONFIG!$F$4:$F$43,0)),"Por definir"))</f>
        <v/>
      </c>
      <c r="Q979" s="50" t="n"/>
      <c r="R979" s="51" t="n"/>
      <c r="S979" s="49" t="n"/>
      <c r="T979" s="49" t="n"/>
      <c r="U979" s="48">
        <f>IF(OR($B979="",$K979=""),"",WORKDAY($B979,IFERROR(INDEX(CONFIG!$C$4:$C$43,MATCH($K979,CONFIG!$A$4:$A$43,0)),3)))</f>
        <v/>
      </c>
      <c r="V979" s="46" t="n"/>
      <c r="W979" s="23">
        <f>IF($B979="","",IF($V979&lt;&gt;"",$V979-$B979,TODAY()-$B979))</f>
        <v/>
      </c>
      <c r="X979" s="27">
        <f>IF($C979="","",IF(IFERROR(INDEX(CONFIG!$K$4:$K$43,MATCH($S979,CONFIG!$J$4:$J$43,0)),"NO")="SÍ",IF(OR($V979="",$U979=""),"Resuelta",IF($V979&gt;$U979,"Resuelta tarde","Resuelta a tiempo")),IF($U979="","Sin clasificar",IF(TODAY()&gt;$U979,"Vencida",IF(TODAY()&gt;=$U979-1,"Por vencer","En plazo")))))</f>
        <v/>
      </c>
      <c r="Y979" s="49" t="n"/>
      <c r="Z979" s="49" t="n"/>
    </row>
    <row r="980" ht="16" customHeight="1">
      <c r="A980" s="27">
        <f>IF($C980="","","N-"&amp;TEXT(ROW()-3,"0000"))</f>
        <v/>
      </c>
      <c r="B980" s="46" t="n"/>
      <c r="C980" s="47" t="n"/>
      <c r="D980" s="27">
        <f>IF($C980="","",IF(COUNTIFS(ENVIOS!$A$4:$A$3003,$C980)=0,"NO EXISTE",IF(COUNTIFS(ENVIOS!$A$4:$A$3003,$C980)&gt;1,"DUPLICADA","OK")))</f>
        <v/>
      </c>
      <c r="E980" s="22">
        <f>IF($C980="","",IFERROR(INDEX(ENVIOS!$C$4:$C$3003,MATCH($C980,ENVIOS!$A$4:$A$3003,0)),"—"))</f>
        <v/>
      </c>
      <c r="F980" s="22">
        <f>IF($C980="","",IFERROR(INDEX(ENVIOS!$D$4:$D$3003,MATCH($C980,ENVIOS!$A$4:$A$3003,0)),"—"))</f>
        <v/>
      </c>
      <c r="G980" s="22">
        <f>IF($C980="","",IFERROR(INDEX(ENVIOS!$E$4:$E$3003,MATCH($C980,ENVIOS!$A$4:$A$3003,0)),"—"))</f>
        <v/>
      </c>
      <c r="H980" s="22">
        <f>IF($C980="","",IFERROR(INDEX(ENVIOS!$F$4:$F$3003,MATCH($C980,ENVIOS!$A$4:$A$3003,0)),"—"))</f>
        <v/>
      </c>
      <c r="I980" s="27">
        <f>IF($C980="","",IFERROR(INDEX(ENVIOS!$G$4:$G$3003,MATCH($C980,ENVIOS!$A$4:$A$3003,0)),"—"))</f>
        <v/>
      </c>
      <c r="J980" s="48">
        <f>IF($C980="","",IFERROR(INDEX(ENVIOS!$B$4:$B$3003,MATCH($C980,ENVIOS!$A$4:$A$3003,0)),""))</f>
        <v/>
      </c>
      <c r="K980" s="49" t="n"/>
      <c r="L980" s="27">
        <f>IF($K980="","",IFERROR(INDEX(CONFIG!$B$4:$B$43,MATCH($K980,CONFIG!$A$4:$A$43,0)),"Media"))</f>
        <v/>
      </c>
      <c r="M980" s="27">
        <f>IF($K980="","",IFERROR(INDEX(CONFIG!$D$4:$D$43,MATCH($K980,CONFIG!$A$4:$A$43,0)),"NO"))</f>
        <v/>
      </c>
      <c r="N980" s="49" t="n"/>
      <c r="O980" s="27">
        <f>IF($N980="","",IFERROR(INDEX(CONFIG!$G$4:$G$43,MATCH($N980,CONFIG!$F$4:$F$43,0)),"Por definir"))</f>
        <v/>
      </c>
      <c r="P980" s="27">
        <f>IF($N980="","",IFERROR(INDEX(CONFIG!$H$4:$H$43,MATCH($N980,CONFIG!$F$4:$F$43,0)),"Por definir"))</f>
        <v/>
      </c>
      <c r="Q980" s="50" t="n"/>
      <c r="R980" s="51" t="n"/>
      <c r="S980" s="49" t="n"/>
      <c r="T980" s="49" t="n"/>
      <c r="U980" s="48">
        <f>IF(OR($B980="",$K980=""),"",WORKDAY($B980,IFERROR(INDEX(CONFIG!$C$4:$C$43,MATCH($K980,CONFIG!$A$4:$A$43,0)),3)))</f>
        <v/>
      </c>
      <c r="V980" s="46" t="n"/>
      <c r="W980" s="23">
        <f>IF($B980="","",IF($V980&lt;&gt;"",$V980-$B980,TODAY()-$B980))</f>
        <v/>
      </c>
      <c r="X980" s="27">
        <f>IF($C980="","",IF(IFERROR(INDEX(CONFIG!$K$4:$K$43,MATCH($S980,CONFIG!$J$4:$J$43,0)),"NO")="SÍ",IF(OR($V980="",$U980=""),"Resuelta",IF($V980&gt;$U980,"Resuelta tarde","Resuelta a tiempo")),IF($U980="","Sin clasificar",IF(TODAY()&gt;$U980,"Vencida",IF(TODAY()&gt;=$U980-1,"Por vencer","En plazo")))))</f>
        <v/>
      </c>
      <c r="Y980" s="49" t="n"/>
      <c r="Z980" s="49" t="n"/>
    </row>
    <row r="981" ht="16" customHeight="1">
      <c r="A981" s="27">
        <f>IF($C981="","","N-"&amp;TEXT(ROW()-3,"0000"))</f>
        <v/>
      </c>
      <c r="B981" s="46" t="n"/>
      <c r="C981" s="47" t="n"/>
      <c r="D981" s="27">
        <f>IF($C981="","",IF(COUNTIFS(ENVIOS!$A$4:$A$3003,$C981)=0,"NO EXISTE",IF(COUNTIFS(ENVIOS!$A$4:$A$3003,$C981)&gt;1,"DUPLICADA","OK")))</f>
        <v/>
      </c>
      <c r="E981" s="22">
        <f>IF($C981="","",IFERROR(INDEX(ENVIOS!$C$4:$C$3003,MATCH($C981,ENVIOS!$A$4:$A$3003,0)),"—"))</f>
        <v/>
      </c>
      <c r="F981" s="22">
        <f>IF($C981="","",IFERROR(INDEX(ENVIOS!$D$4:$D$3003,MATCH($C981,ENVIOS!$A$4:$A$3003,0)),"—"))</f>
        <v/>
      </c>
      <c r="G981" s="22">
        <f>IF($C981="","",IFERROR(INDEX(ENVIOS!$E$4:$E$3003,MATCH($C981,ENVIOS!$A$4:$A$3003,0)),"—"))</f>
        <v/>
      </c>
      <c r="H981" s="22">
        <f>IF($C981="","",IFERROR(INDEX(ENVIOS!$F$4:$F$3003,MATCH($C981,ENVIOS!$A$4:$A$3003,0)),"—"))</f>
        <v/>
      </c>
      <c r="I981" s="27">
        <f>IF($C981="","",IFERROR(INDEX(ENVIOS!$G$4:$G$3003,MATCH($C981,ENVIOS!$A$4:$A$3003,0)),"—"))</f>
        <v/>
      </c>
      <c r="J981" s="48">
        <f>IF($C981="","",IFERROR(INDEX(ENVIOS!$B$4:$B$3003,MATCH($C981,ENVIOS!$A$4:$A$3003,0)),""))</f>
        <v/>
      </c>
      <c r="K981" s="49" t="n"/>
      <c r="L981" s="27">
        <f>IF($K981="","",IFERROR(INDEX(CONFIG!$B$4:$B$43,MATCH($K981,CONFIG!$A$4:$A$43,0)),"Media"))</f>
        <v/>
      </c>
      <c r="M981" s="27">
        <f>IF($K981="","",IFERROR(INDEX(CONFIG!$D$4:$D$43,MATCH($K981,CONFIG!$A$4:$A$43,0)),"NO"))</f>
        <v/>
      </c>
      <c r="N981" s="49" t="n"/>
      <c r="O981" s="27">
        <f>IF($N981="","",IFERROR(INDEX(CONFIG!$G$4:$G$43,MATCH($N981,CONFIG!$F$4:$F$43,0)),"Por definir"))</f>
        <v/>
      </c>
      <c r="P981" s="27">
        <f>IF($N981="","",IFERROR(INDEX(CONFIG!$H$4:$H$43,MATCH($N981,CONFIG!$F$4:$F$43,0)),"Por definir"))</f>
        <v/>
      </c>
      <c r="Q981" s="50" t="n"/>
      <c r="R981" s="51" t="n"/>
      <c r="S981" s="49" t="n"/>
      <c r="T981" s="49" t="n"/>
      <c r="U981" s="48">
        <f>IF(OR($B981="",$K981=""),"",WORKDAY($B981,IFERROR(INDEX(CONFIG!$C$4:$C$43,MATCH($K981,CONFIG!$A$4:$A$43,0)),3)))</f>
        <v/>
      </c>
      <c r="V981" s="46" t="n"/>
      <c r="W981" s="23">
        <f>IF($B981="","",IF($V981&lt;&gt;"",$V981-$B981,TODAY()-$B981))</f>
        <v/>
      </c>
      <c r="X981" s="27">
        <f>IF($C981="","",IF(IFERROR(INDEX(CONFIG!$K$4:$K$43,MATCH($S981,CONFIG!$J$4:$J$43,0)),"NO")="SÍ",IF(OR($V981="",$U981=""),"Resuelta",IF($V981&gt;$U981,"Resuelta tarde","Resuelta a tiempo")),IF($U981="","Sin clasificar",IF(TODAY()&gt;$U981,"Vencida",IF(TODAY()&gt;=$U981-1,"Por vencer","En plazo")))))</f>
        <v/>
      </c>
      <c r="Y981" s="49" t="n"/>
      <c r="Z981" s="49" t="n"/>
    </row>
    <row r="982" ht="16" customHeight="1">
      <c r="A982" s="27">
        <f>IF($C982="","","N-"&amp;TEXT(ROW()-3,"0000"))</f>
        <v/>
      </c>
      <c r="B982" s="46" t="n"/>
      <c r="C982" s="47" t="n"/>
      <c r="D982" s="27">
        <f>IF($C982="","",IF(COUNTIFS(ENVIOS!$A$4:$A$3003,$C982)=0,"NO EXISTE",IF(COUNTIFS(ENVIOS!$A$4:$A$3003,$C982)&gt;1,"DUPLICADA","OK")))</f>
        <v/>
      </c>
      <c r="E982" s="22">
        <f>IF($C982="","",IFERROR(INDEX(ENVIOS!$C$4:$C$3003,MATCH($C982,ENVIOS!$A$4:$A$3003,0)),"—"))</f>
        <v/>
      </c>
      <c r="F982" s="22">
        <f>IF($C982="","",IFERROR(INDEX(ENVIOS!$D$4:$D$3003,MATCH($C982,ENVIOS!$A$4:$A$3003,0)),"—"))</f>
        <v/>
      </c>
      <c r="G982" s="22">
        <f>IF($C982="","",IFERROR(INDEX(ENVIOS!$E$4:$E$3003,MATCH($C982,ENVIOS!$A$4:$A$3003,0)),"—"))</f>
        <v/>
      </c>
      <c r="H982" s="22">
        <f>IF($C982="","",IFERROR(INDEX(ENVIOS!$F$4:$F$3003,MATCH($C982,ENVIOS!$A$4:$A$3003,0)),"—"))</f>
        <v/>
      </c>
      <c r="I982" s="27">
        <f>IF($C982="","",IFERROR(INDEX(ENVIOS!$G$4:$G$3003,MATCH($C982,ENVIOS!$A$4:$A$3003,0)),"—"))</f>
        <v/>
      </c>
      <c r="J982" s="48">
        <f>IF($C982="","",IFERROR(INDEX(ENVIOS!$B$4:$B$3003,MATCH($C982,ENVIOS!$A$4:$A$3003,0)),""))</f>
        <v/>
      </c>
      <c r="K982" s="49" t="n"/>
      <c r="L982" s="27">
        <f>IF($K982="","",IFERROR(INDEX(CONFIG!$B$4:$B$43,MATCH($K982,CONFIG!$A$4:$A$43,0)),"Media"))</f>
        <v/>
      </c>
      <c r="M982" s="27">
        <f>IF($K982="","",IFERROR(INDEX(CONFIG!$D$4:$D$43,MATCH($K982,CONFIG!$A$4:$A$43,0)),"NO"))</f>
        <v/>
      </c>
      <c r="N982" s="49" t="n"/>
      <c r="O982" s="27">
        <f>IF($N982="","",IFERROR(INDEX(CONFIG!$G$4:$G$43,MATCH($N982,CONFIG!$F$4:$F$43,0)),"Por definir"))</f>
        <v/>
      </c>
      <c r="P982" s="27">
        <f>IF($N982="","",IFERROR(INDEX(CONFIG!$H$4:$H$43,MATCH($N982,CONFIG!$F$4:$F$43,0)),"Por definir"))</f>
        <v/>
      </c>
      <c r="Q982" s="50" t="n"/>
      <c r="R982" s="51" t="n"/>
      <c r="S982" s="49" t="n"/>
      <c r="T982" s="49" t="n"/>
      <c r="U982" s="48">
        <f>IF(OR($B982="",$K982=""),"",WORKDAY($B982,IFERROR(INDEX(CONFIG!$C$4:$C$43,MATCH($K982,CONFIG!$A$4:$A$43,0)),3)))</f>
        <v/>
      </c>
      <c r="V982" s="46" t="n"/>
      <c r="W982" s="23">
        <f>IF($B982="","",IF($V982&lt;&gt;"",$V982-$B982,TODAY()-$B982))</f>
        <v/>
      </c>
      <c r="X982" s="27">
        <f>IF($C982="","",IF(IFERROR(INDEX(CONFIG!$K$4:$K$43,MATCH($S982,CONFIG!$J$4:$J$43,0)),"NO")="SÍ",IF(OR($V982="",$U982=""),"Resuelta",IF($V982&gt;$U982,"Resuelta tarde","Resuelta a tiempo")),IF($U982="","Sin clasificar",IF(TODAY()&gt;$U982,"Vencida",IF(TODAY()&gt;=$U982-1,"Por vencer","En plazo")))))</f>
        <v/>
      </c>
      <c r="Y982" s="49" t="n"/>
      <c r="Z982" s="49" t="n"/>
    </row>
    <row r="983" ht="16" customHeight="1">
      <c r="A983" s="27">
        <f>IF($C983="","","N-"&amp;TEXT(ROW()-3,"0000"))</f>
        <v/>
      </c>
      <c r="B983" s="46" t="n"/>
      <c r="C983" s="47" t="n"/>
      <c r="D983" s="27">
        <f>IF($C983="","",IF(COUNTIFS(ENVIOS!$A$4:$A$3003,$C983)=0,"NO EXISTE",IF(COUNTIFS(ENVIOS!$A$4:$A$3003,$C983)&gt;1,"DUPLICADA","OK")))</f>
        <v/>
      </c>
      <c r="E983" s="22">
        <f>IF($C983="","",IFERROR(INDEX(ENVIOS!$C$4:$C$3003,MATCH($C983,ENVIOS!$A$4:$A$3003,0)),"—"))</f>
        <v/>
      </c>
      <c r="F983" s="22">
        <f>IF($C983="","",IFERROR(INDEX(ENVIOS!$D$4:$D$3003,MATCH($C983,ENVIOS!$A$4:$A$3003,0)),"—"))</f>
        <v/>
      </c>
      <c r="G983" s="22">
        <f>IF($C983="","",IFERROR(INDEX(ENVIOS!$E$4:$E$3003,MATCH($C983,ENVIOS!$A$4:$A$3003,0)),"—"))</f>
        <v/>
      </c>
      <c r="H983" s="22">
        <f>IF($C983="","",IFERROR(INDEX(ENVIOS!$F$4:$F$3003,MATCH($C983,ENVIOS!$A$4:$A$3003,0)),"—"))</f>
        <v/>
      </c>
      <c r="I983" s="27">
        <f>IF($C983="","",IFERROR(INDEX(ENVIOS!$G$4:$G$3003,MATCH($C983,ENVIOS!$A$4:$A$3003,0)),"—"))</f>
        <v/>
      </c>
      <c r="J983" s="48">
        <f>IF($C983="","",IFERROR(INDEX(ENVIOS!$B$4:$B$3003,MATCH($C983,ENVIOS!$A$4:$A$3003,0)),""))</f>
        <v/>
      </c>
      <c r="K983" s="49" t="n"/>
      <c r="L983" s="27">
        <f>IF($K983="","",IFERROR(INDEX(CONFIG!$B$4:$B$43,MATCH($K983,CONFIG!$A$4:$A$43,0)),"Media"))</f>
        <v/>
      </c>
      <c r="M983" s="27">
        <f>IF($K983="","",IFERROR(INDEX(CONFIG!$D$4:$D$43,MATCH($K983,CONFIG!$A$4:$A$43,0)),"NO"))</f>
        <v/>
      </c>
      <c r="N983" s="49" t="n"/>
      <c r="O983" s="27">
        <f>IF($N983="","",IFERROR(INDEX(CONFIG!$G$4:$G$43,MATCH($N983,CONFIG!$F$4:$F$43,0)),"Por definir"))</f>
        <v/>
      </c>
      <c r="P983" s="27">
        <f>IF($N983="","",IFERROR(INDEX(CONFIG!$H$4:$H$43,MATCH($N983,CONFIG!$F$4:$F$43,0)),"Por definir"))</f>
        <v/>
      </c>
      <c r="Q983" s="50" t="n"/>
      <c r="R983" s="51" t="n"/>
      <c r="S983" s="49" t="n"/>
      <c r="T983" s="49" t="n"/>
      <c r="U983" s="48">
        <f>IF(OR($B983="",$K983=""),"",WORKDAY($B983,IFERROR(INDEX(CONFIG!$C$4:$C$43,MATCH($K983,CONFIG!$A$4:$A$43,0)),3)))</f>
        <v/>
      </c>
      <c r="V983" s="46" t="n"/>
      <c r="W983" s="23">
        <f>IF($B983="","",IF($V983&lt;&gt;"",$V983-$B983,TODAY()-$B983))</f>
        <v/>
      </c>
      <c r="X983" s="27">
        <f>IF($C983="","",IF(IFERROR(INDEX(CONFIG!$K$4:$K$43,MATCH($S983,CONFIG!$J$4:$J$43,0)),"NO")="SÍ",IF(OR($V983="",$U983=""),"Resuelta",IF($V983&gt;$U983,"Resuelta tarde","Resuelta a tiempo")),IF($U983="","Sin clasificar",IF(TODAY()&gt;$U983,"Vencida",IF(TODAY()&gt;=$U983-1,"Por vencer","En plazo")))))</f>
        <v/>
      </c>
      <c r="Y983" s="49" t="n"/>
      <c r="Z983" s="49" t="n"/>
    </row>
    <row r="984" ht="16" customHeight="1">
      <c r="A984" s="27">
        <f>IF($C984="","","N-"&amp;TEXT(ROW()-3,"0000"))</f>
        <v/>
      </c>
      <c r="B984" s="46" t="n"/>
      <c r="C984" s="47" t="n"/>
      <c r="D984" s="27">
        <f>IF($C984="","",IF(COUNTIFS(ENVIOS!$A$4:$A$3003,$C984)=0,"NO EXISTE",IF(COUNTIFS(ENVIOS!$A$4:$A$3003,$C984)&gt;1,"DUPLICADA","OK")))</f>
        <v/>
      </c>
      <c r="E984" s="22">
        <f>IF($C984="","",IFERROR(INDEX(ENVIOS!$C$4:$C$3003,MATCH($C984,ENVIOS!$A$4:$A$3003,0)),"—"))</f>
        <v/>
      </c>
      <c r="F984" s="22">
        <f>IF($C984="","",IFERROR(INDEX(ENVIOS!$D$4:$D$3003,MATCH($C984,ENVIOS!$A$4:$A$3003,0)),"—"))</f>
        <v/>
      </c>
      <c r="G984" s="22">
        <f>IF($C984="","",IFERROR(INDEX(ENVIOS!$E$4:$E$3003,MATCH($C984,ENVIOS!$A$4:$A$3003,0)),"—"))</f>
        <v/>
      </c>
      <c r="H984" s="22">
        <f>IF($C984="","",IFERROR(INDEX(ENVIOS!$F$4:$F$3003,MATCH($C984,ENVIOS!$A$4:$A$3003,0)),"—"))</f>
        <v/>
      </c>
      <c r="I984" s="27">
        <f>IF($C984="","",IFERROR(INDEX(ENVIOS!$G$4:$G$3003,MATCH($C984,ENVIOS!$A$4:$A$3003,0)),"—"))</f>
        <v/>
      </c>
      <c r="J984" s="48">
        <f>IF($C984="","",IFERROR(INDEX(ENVIOS!$B$4:$B$3003,MATCH($C984,ENVIOS!$A$4:$A$3003,0)),""))</f>
        <v/>
      </c>
      <c r="K984" s="49" t="n"/>
      <c r="L984" s="27">
        <f>IF($K984="","",IFERROR(INDEX(CONFIG!$B$4:$B$43,MATCH($K984,CONFIG!$A$4:$A$43,0)),"Media"))</f>
        <v/>
      </c>
      <c r="M984" s="27">
        <f>IF($K984="","",IFERROR(INDEX(CONFIG!$D$4:$D$43,MATCH($K984,CONFIG!$A$4:$A$43,0)),"NO"))</f>
        <v/>
      </c>
      <c r="N984" s="49" t="n"/>
      <c r="O984" s="27">
        <f>IF($N984="","",IFERROR(INDEX(CONFIG!$G$4:$G$43,MATCH($N984,CONFIG!$F$4:$F$43,0)),"Por definir"))</f>
        <v/>
      </c>
      <c r="P984" s="27">
        <f>IF($N984="","",IFERROR(INDEX(CONFIG!$H$4:$H$43,MATCH($N984,CONFIG!$F$4:$F$43,0)),"Por definir"))</f>
        <v/>
      </c>
      <c r="Q984" s="50" t="n"/>
      <c r="R984" s="51" t="n"/>
      <c r="S984" s="49" t="n"/>
      <c r="T984" s="49" t="n"/>
      <c r="U984" s="48">
        <f>IF(OR($B984="",$K984=""),"",WORKDAY($B984,IFERROR(INDEX(CONFIG!$C$4:$C$43,MATCH($K984,CONFIG!$A$4:$A$43,0)),3)))</f>
        <v/>
      </c>
      <c r="V984" s="46" t="n"/>
      <c r="W984" s="23">
        <f>IF($B984="","",IF($V984&lt;&gt;"",$V984-$B984,TODAY()-$B984))</f>
        <v/>
      </c>
      <c r="X984" s="27">
        <f>IF($C984="","",IF(IFERROR(INDEX(CONFIG!$K$4:$K$43,MATCH($S984,CONFIG!$J$4:$J$43,0)),"NO")="SÍ",IF(OR($V984="",$U984=""),"Resuelta",IF($V984&gt;$U984,"Resuelta tarde","Resuelta a tiempo")),IF($U984="","Sin clasificar",IF(TODAY()&gt;$U984,"Vencida",IF(TODAY()&gt;=$U984-1,"Por vencer","En plazo")))))</f>
        <v/>
      </c>
      <c r="Y984" s="49" t="n"/>
      <c r="Z984" s="49" t="n"/>
    </row>
    <row r="985" ht="16" customHeight="1">
      <c r="A985" s="27">
        <f>IF($C985="","","N-"&amp;TEXT(ROW()-3,"0000"))</f>
        <v/>
      </c>
      <c r="B985" s="46" t="n"/>
      <c r="C985" s="47" t="n"/>
      <c r="D985" s="27">
        <f>IF($C985="","",IF(COUNTIFS(ENVIOS!$A$4:$A$3003,$C985)=0,"NO EXISTE",IF(COUNTIFS(ENVIOS!$A$4:$A$3003,$C985)&gt;1,"DUPLICADA","OK")))</f>
        <v/>
      </c>
      <c r="E985" s="22">
        <f>IF($C985="","",IFERROR(INDEX(ENVIOS!$C$4:$C$3003,MATCH($C985,ENVIOS!$A$4:$A$3003,0)),"—"))</f>
        <v/>
      </c>
      <c r="F985" s="22">
        <f>IF($C985="","",IFERROR(INDEX(ENVIOS!$D$4:$D$3003,MATCH($C985,ENVIOS!$A$4:$A$3003,0)),"—"))</f>
        <v/>
      </c>
      <c r="G985" s="22">
        <f>IF($C985="","",IFERROR(INDEX(ENVIOS!$E$4:$E$3003,MATCH($C985,ENVIOS!$A$4:$A$3003,0)),"—"))</f>
        <v/>
      </c>
      <c r="H985" s="22">
        <f>IF($C985="","",IFERROR(INDEX(ENVIOS!$F$4:$F$3003,MATCH($C985,ENVIOS!$A$4:$A$3003,0)),"—"))</f>
        <v/>
      </c>
      <c r="I985" s="27">
        <f>IF($C985="","",IFERROR(INDEX(ENVIOS!$G$4:$G$3003,MATCH($C985,ENVIOS!$A$4:$A$3003,0)),"—"))</f>
        <v/>
      </c>
      <c r="J985" s="48">
        <f>IF($C985="","",IFERROR(INDEX(ENVIOS!$B$4:$B$3003,MATCH($C985,ENVIOS!$A$4:$A$3003,0)),""))</f>
        <v/>
      </c>
      <c r="K985" s="49" t="n"/>
      <c r="L985" s="27">
        <f>IF($K985="","",IFERROR(INDEX(CONFIG!$B$4:$B$43,MATCH($K985,CONFIG!$A$4:$A$43,0)),"Media"))</f>
        <v/>
      </c>
      <c r="M985" s="27">
        <f>IF($K985="","",IFERROR(INDEX(CONFIG!$D$4:$D$43,MATCH($K985,CONFIG!$A$4:$A$43,0)),"NO"))</f>
        <v/>
      </c>
      <c r="N985" s="49" t="n"/>
      <c r="O985" s="27">
        <f>IF($N985="","",IFERROR(INDEX(CONFIG!$G$4:$G$43,MATCH($N985,CONFIG!$F$4:$F$43,0)),"Por definir"))</f>
        <v/>
      </c>
      <c r="P985" s="27">
        <f>IF($N985="","",IFERROR(INDEX(CONFIG!$H$4:$H$43,MATCH($N985,CONFIG!$F$4:$F$43,0)),"Por definir"))</f>
        <v/>
      </c>
      <c r="Q985" s="50" t="n"/>
      <c r="R985" s="51" t="n"/>
      <c r="S985" s="49" t="n"/>
      <c r="T985" s="49" t="n"/>
      <c r="U985" s="48">
        <f>IF(OR($B985="",$K985=""),"",WORKDAY($B985,IFERROR(INDEX(CONFIG!$C$4:$C$43,MATCH($K985,CONFIG!$A$4:$A$43,0)),3)))</f>
        <v/>
      </c>
      <c r="V985" s="46" t="n"/>
      <c r="W985" s="23">
        <f>IF($B985="","",IF($V985&lt;&gt;"",$V985-$B985,TODAY()-$B985))</f>
        <v/>
      </c>
      <c r="X985" s="27">
        <f>IF($C985="","",IF(IFERROR(INDEX(CONFIG!$K$4:$K$43,MATCH($S985,CONFIG!$J$4:$J$43,0)),"NO")="SÍ",IF(OR($V985="",$U985=""),"Resuelta",IF($V985&gt;$U985,"Resuelta tarde","Resuelta a tiempo")),IF($U985="","Sin clasificar",IF(TODAY()&gt;$U985,"Vencida",IF(TODAY()&gt;=$U985-1,"Por vencer","En plazo")))))</f>
        <v/>
      </c>
      <c r="Y985" s="49" t="n"/>
      <c r="Z985" s="49" t="n"/>
    </row>
    <row r="986" ht="16" customHeight="1">
      <c r="A986" s="27">
        <f>IF($C986="","","N-"&amp;TEXT(ROW()-3,"0000"))</f>
        <v/>
      </c>
      <c r="B986" s="46" t="n"/>
      <c r="C986" s="47" t="n"/>
      <c r="D986" s="27">
        <f>IF($C986="","",IF(COUNTIFS(ENVIOS!$A$4:$A$3003,$C986)=0,"NO EXISTE",IF(COUNTIFS(ENVIOS!$A$4:$A$3003,$C986)&gt;1,"DUPLICADA","OK")))</f>
        <v/>
      </c>
      <c r="E986" s="22">
        <f>IF($C986="","",IFERROR(INDEX(ENVIOS!$C$4:$C$3003,MATCH($C986,ENVIOS!$A$4:$A$3003,0)),"—"))</f>
        <v/>
      </c>
      <c r="F986" s="22">
        <f>IF($C986="","",IFERROR(INDEX(ENVIOS!$D$4:$D$3003,MATCH($C986,ENVIOS!$A$4:$A$3003,0)),"—"))</f>
        <v/>
      </c>
      <c r="G986" s="22">
        <f>IF($C986="","",IFERROR(INDEX(ENVIOS!$E$4:$E$3003,MATCH($C986,ENVIOS!$A$4:$A$3003,0)),"—"))</f>
        <v/>
      </c>
      <c r="H986" s="22">
        <f>IF($C986="","",IFERROR(INDEX(ENVIOS!$F$4:$F$3003,MATCH($C986,ENVIOS!$A$4:$A$3003,0)),"—"))</f>
        <v/>
      </c>
      <c r="I986" s="27">
        <f>IF($C986="","",IFERROR(INDEX(ENVIOS!$G$4:$G$3003,MATCH($C986,ENVIOS!$A$4:$A$3003,0)),"—"))</f>
        <v/>
      </c>
      <c r="J986" s="48">
        <f>IF($C986="","",IFERROR(INDEX(ENVIOS!$B$4:$B$3003,MATCH($C986,ENVIOS!$A$4:$A$3003,0)),""))</f>
        <v/>
      </c>
      <c r="K986" s="49" t="n"/>
      <c r="L986" s="27">
        <f>IF($K986="","",IFERROR(INDEX(CONFIG!$B$4:$B$43,MATCH($K986,CONFIG!$A$4:$A$43,0)),"Media"))</f>
        <v/>
      </c>
      <c r="M986" s="27">
        <f>IF($K986="","",IFERROR(INDEX(CONFIG!$D$4:$D$43,MATCH($K986,CONFIG!$A$4:$A$43,0)),"NO"))</f>
        <v/>
      </c>
      <c r="N986" s="49" t="n"/>
      <c r="O986" s="27">
        <f>IF($N986="","",IFERROR(INDEX(CONFIG!$G$4:$G$43,MATCH($N986,CONFIG!$F$4:$F$43,0)),"Por definir"))</f>
        <v/>
      </c>
      <c r="P986" s="27">
        <f>IF($N986="","",IFERROR(INDEX(CONFIG!$H$4:$H$43,MATCH($N986,CONFIG!$F$4:$F$43,0)),"Por definir"))</f>
        <v/>
      </c>
      <c r="Q986" s="50" t="n"/>
      <c r="R986" s="51" t="n"/>
      <c r="S986" s="49" t="n"/>
      <c r="T986" s="49" t="n"/>
      <c r="U986" s="48">
        <f>IF(OR($B986="",$K986=""),"",WORKDAY($B986,IFERROR(INDEX(CONFIG!$C$4:$C$43,MATCH($K986,CONFIG!$A$4:$A$43,0)),3)))</f>
        <v/>
      </c>
      <c r="V986" s="46" t="n"/>
      <c r="W986" s="23">
        <f>IF($B986="","",IF($V986&lt;&gt;"",$V986-$B986,TODAY()-$B986))</f>
        <v/>
      </c>
      <c r="X986" s="27">
        <f>IF($C986="","",IF(IFERROR(INDEX(CONFIG!$K$4:$K$43,MATCH($S986,CONFIG!$J$4:$J$43,0)),"NO")="SÍ",IF(OR($V986="",$U986=""),"Resuelta",IF($V986&gt;$U986,"Resuelta tarde","Resuelta a tiempo")),IF($U986="","Sin clasificar",IF(TODAY()&gt;$U986,"Vencida",IF(TODAY()&gt;=$U986-1,"Por vencer","En plazo")))))</f>
        <v/>
      </c>
      <c r="Y986" s="49" t="n"/>
      <c r="Z986" s="49" t="n"/>
    </row>
    <row r="987" ht="16" customHeight="1">
      <c r="A987" s="27">
        <f>IF($C987="","","N-"&amp;TEXT(ROW()-3,"0000"))</f>
        <v/>
      </c>
      <c r="B987" s="46" t="n"/>
      <c r="C987" s="47" t="n"/>
      <c r="D987" s="27">
        <f>IF($C987="","",IF(COUNTIFS(ENVIOS!$A$4:$A$3003,$C987)=0,"NO EXISTE",IF(COUNTIFS(ENVIOS!$A$4:$A$3003,$C987)&gt;1,"DUPLICADA","OK")))</f>
        <v/>
      </c>
      <c r="E987" s="22">
        <f>IF($C987="","",IFERROR(INDEX(ENVIOS!$C$4:$C$3003,MATCH($C987,ENVIOS!$A$4:$A$3003,0)),"—"))</f>
        <v/>
      </c>
      <c r="F987" s="22">
        <f>IF($C987="","",IFERROR(INDEX(ENVIOS!$D$4:$D$3003,MATCH($C987,ENVIOS!$A$4:$A$3003,0)),"—"))</f>
        <v/>
      </c>
      <c r="G987" s="22">
        <f>IF($C987="","",IFERROR(INDEX(ENVIOS!$E$4:$E$3003,MATCH($C987,ENVIOS!$A$4:$A$3003,0)),"—"))</f>
        <v/>
      </c>
      <c r="H987" s="22">
        <f>IF($C987="","",IFERROR(INDEX(ENVIOS!$F$4:$F$3003,MATCH($C987,ENVIOS!$A$4:$A$3003,0)),"—"))</f>
        <v/>
      </c>
      <c r="I987" s="27">
        <f>IF($C987="","",IFERROR(INDEX(ENVIOS!$G$4:$G$3003,MATCH($C987,ENVIOS!$A$4:$A$3003,0)),"—"))</f>
        <v/>
      </c>
      <c r="J987" s="48">
        <f>IF($C987="","",IFERROR(INDEX(ENVIOS!$B$4:$B$3003,MATCH($C987,ENVIOS!$A$4:$A$3003,0)),""))</f>
        <v/>
      </c>
      <c r="K987" s="49" t="n"/>
      <c r="L987" s="27">
        <f>IF($K987="","",IFERROR(INDEX(CONFIG!$B$4:$B$43,MATCH($K987,CONFIG!$A$4:$A$43,0)),"Media"))</f>
        <v/>
      </c>
      <c r="M987" s="27">
        <f>IF($K987="","",IFERROR(INDEX(CONFIG!$D$4:$D$43,MATCH($K987,CONFIG!$A$4:$A$43,0)),"NO"))</f>
        <v/>
      </c>
      <c r="N987" s="49" t="n"/>
      <c r="O987" s="27">
        <f>IF($N987="","",IFERROR(INDEX(CONFIG!$G$4:$G$43,MATCH($N987,CONFIG!$F$4:$F$43,0)),"Por definir"))</f>
        <v/>
      </c>
      <c r="P987" s="27">
        <f>IF($N987="","",IFERROR(INDEX(CONFIG!$H$4:$H$43,MATCH($N987,CONFIG!$F$4:$F$43,0)),"Por definir"))</f>
        <v/>
      </c>
      <c r="Q987" s="50" t="n"/>
      <c r="R987" s="51" t="n"/>
      <c r="S987" s="49" t="n"/>
      <c r="T987" s="49" t="n"/>
      <c r="U987" s="48">
        <f>IF(OR($B987="",$K987=""),"",WORKDAY($B987,IFERROR(INDEX(CONFIG!$C$4:$C$43,MATCH($K987,CONFIG!$A$4:$A$43,0)),3)))</f>
        <v/>
      </c>
      <c r="V987" s="46" t="n"/>
      <c r="W987" s="23">
        <f>IF($B987="","",IF($V987&lt;&gt;"",$V987-$B987,TODAY()-$B987))</f>
        <v/>
      </c>
      <c r="X987" s="27">
        <f>IF($C987="","",IF(IFERROR(INDEX(CONFIG!$K$4:$K$43,MATCH($S987,CONFIG!$J$4:$J$43,0)),"NO")="SÍ",IF(OR($V987="",$U987=""),"Resuelta",IF($V987&gt;$U987,"Resuelta tarde","Resuelta a tiempo")),IF($U987="","Sin clasificar",IF(TODAY()&gt;$U987,"Vencida",IF(TODAY()&gt;=$U987-1,"Por vencer","En plazo")))))</f>
        <v/>
      </c>
      <c r="Y987" s="49" t="n"/>
      <c r="Z987" s="49" t="n"/>
    </row>
    <row r="988" ht="16" customHeight="1">
      <c r="A988" s="27">
        <f>IF($C988="","","N-"&amp;TEXT(ROW()-3,"0000"))</f>
        <v/>
      </c>
      <c r="B988" s="46" t="n"/>
      <c r="C988" s="47" t="n"/>
      <c r="D988" s="27">
        <f>IF($C988="","",IF(COUNTIFS(ENVIOS!$A$4:$A$3003,$C988)=0,"NO EXISTE",IF(COUNTIFS(ENVIOS!$A$4:$A$3003,$C988)&gt;1,"DUPLICADA","OK")))</f>
        <v/>
      </c>
      <c r="E988" s="22">
        <f>IF($C988="","",IFERROR(INDEX(ENVIOS!$C$4:$C$3003,MATCH($C988,ENVIOS!$A$4:$A$3003,0)),"—"))</f>
        <v/>
      </c>
      <c r="F988" s="22">
        <f>IF($C988="","",IFERROR(INDEX(ENVIOS!$D$4:$D$3003,MATCH($C988,ENVIOS!$A$4:$A$3003,0)),"—"))</f>
        <v/>
      </c>
      <c r="G988" s="22">
        <f>IF($C988="","",IFERROR(INDEX(ENVIOS!$E$4:$E$3003,MATCH($C988,ENVIOS!$A$4:$A$3003,0)),"—"))</f>
        <v/>
      </c>
      <c r="H988" s="22">
        <f>IF($C988="","",IFERROR(INDEX(ENVIOS!$F$4:$F$3003,MATCH($C988,ENVIOS!$A$4:$A$3003,0)),"—"))</f>
        <v/>
      </c>
      <c r="I988" s="27">
        <f>IF($C988="","",IFERROR(INDEX(ENVIOS!$G$4:$G$3003,MATCH($C988,ENVIOS!$A$4:$A$3003,0)),"—"))</f>
        <v/>
      </c>
      <c r="J988" s="48">
        <f>IF($C988="","",IFERROR(INDEX(ENVIOS!$B$4:$B$3003,MATCH($C988,ENVIOS!$A$4:$A$3003,0)),""))</f>
        <v/>
      </c>
      <c r="K988" s="49" t="n"/>
      <c r="L988" s="27">
        <f>IF($K988="","",IFERROR(INDEX(CONFIG!$B$4:$B$43,MATCH($K988,CONFIG!$A$4:$A$43,0)),"Media"))</f>
        <v/>
      </c>
      <c r="M988" s="27">
        <f>IF($K988="","",IFERROR(INDEX(CONFIG!$D$4:$D$43,MATCH($K988,CONFIG!$A$4:$A$43,0)),"NO"))</f>
        <v/>
      </c>
      <c r="N988" s="49" t="n"/>
      <c r="O988" s="27">
        <f>IF($N988="","",IFERROR(INDEX(CONFIG!$G$4:$G$43,MATCH($N988,CONFIG!$F$4:$F$43,0)),"Por definir"))</f>
        <v/>
      </c>
      <c r="P988" s="27">
        <f>IF($N988="","",IFERROR(INDEX(CONFIG!$H$4:$H$43,MATCH($N988,CONFIG!$F$4:$F$43,0)),"Por definir"))</f>
        <v/>
      </c>
      <c r="Q988" s="50" t="n"/>
      <c r="R988" s="51" t="n"/>
      <c r="S988" s="49" t="n"/>
      <c r="T988" s="49" t="n"/>
      <c r="U988" s="48">
        <f>IF(OR($B988="",$K988=""),"",WORKDAY($B988,IFERROR(INDEX(CONFIG!$C$4:$C$43,MATCH($K988,CONFIG!$A$4:$A$43,0)),3)))</f>
        <v/>
      </c>
      <c r="V988" s="46" t="n"/>
      <c r="W988" s="23">
        <f>IF($B988="","",IF($V988&lt;&gt;"",$V988-$B988,TODAY()-$B988))</f>
        <v/>
      </c>
      <c r="X988" s="27">
        <f>IF($C988="","",IF(IFERROR(INDEX(CONFIG!$K$4:$K$43,MATCH($S988,CONFIG!$J$4:$J$43,0)),"NO")="SÍ",IF(OR($V988="",$U988=""),"Resuelta",IF($V988&gt;$U988,"Resuelta tarde","Resuelta a tiempo")),IF($U988="","Sin clasificar",IF(TODAY()&gt;$U988,"Vencida",IF(TODAY()&gt;=$U988-1,"Por vencer","En plazo")))))</f>
        <v/>
      </c>
      <c r="Y988" s="49" t="n"/>
      <c r="Z988" s="49" t="n"/>
    </row>
    <row r="989" ht="16" customHeight="1">
      <c r="A989" s="27">
        <f>IF($C989="","","N-"&amp;TEXT(ROW()-3,"0000"))</f>
        <v/>
      </c>
      <c r="B989" s="46" t="n"/>
      <c r="C989" s="47" t="n"/>
      <c r="D989" s="27">
        <f>IF($C989="","",IF(COUNTIFS(ENVIOS!$A$4:$A$3003,$C989)=0,"NO EXISTE",IF(COUNTIFS(ENVIOS!$A$4:$A$3003,$C989)&gt;1,"DUPLICADA","OK")))</f>
        <v/>
      </c>
      <c r="E989" s="22">
        <f>IF($C989="","",IFERROR(INDEX(ENVIOS!$C$4:$C$3003,MATCH($C989,ENVIOS!$A$4:$A$3003,0)),"—"))</f>
        <v/>
      </c>
      <c r="F989" s="22">
        <f>IF($C989="","",IFERROR(INDEX(ENVIOS!$D$4:$D$3003,MATCH($C989,ENVIOS!$A$4:$A$3003,0)),"—"))</f>
        <v/>
      </c>
      <c r="G989" s="22">
        <f>IF($C989="","",IFERROR(INDEX(ENVIOS!$E$4:$E$3003,MATCH($C989,ENVIOS!$A$4:$A$3003,0)),"—"))</f>
        <v/>
      </c>
      <c r="H989" s="22">
        <f>IF($C989="","",IFERROR(INDEX(ENVIOS!$F$4:$F$3003,MATCH($C989,ENVIOS!$A$4:$A$3003,0)),"—"))</f>
        <v/>
      </c>
      <c r="I989" s="27">
        <f>IF($C989="","",IFERROR(INDEX(ENVIOS!$G$4:$G$3003,MATCH($C989,ENVIOS!$A$4:$A$3003,0)),"—"))</f>
        <v/>
      </c>
      <c r="J989" s="48">
        <f>IF($C989="","",IFERROR(INDEX(ENVIOS!$B$4:$B$3003,MATCH($C989,ENVIOS!$A$4:$A$3003,0)),""))</f>
        <v/>
      </c>
      <c r="K989" s="49" t="n"/>
      <c r="L989" s="27">
        <f>IF($K989="","",IFERROR(INDEX(CONFIG!$B$4:$B$43,MATCH($K989,CONFIG!$A$4:$A$43,0)),"Media"))</f>
        <v/>
      </c>
      <c r="M989" s="27">
        <f>IF($K989="","",IFERROR(INDEX(CONFIG!$D$4:$D$43,MATCH($K989,CONFIG!$A$4:$A$43,0)),"NO"))</f>
        <v/>
      </c>
      <c r="N989" s="49" t="n"/>
      <c r="O989" s="27">
        <f>IF($N989="","",IFERROR(INDEX(CONFIG!$G$4:$G$43,MATCH($N989,CONFIG!$F$4:$F$43,0)),"Por definir"))</f>
        <v/>
      </c>
      <c r="P989" s="27">
        <f>IF($N989="","",IFERROR(INDEX(CONFIG!$H$4:$H$43,MATCH($N989,CONFIG!$F$4:$F$43,0)),"Por definir"))</f>
        <v/>
      </c>
      <c r="Q989" s="50" t="n"/>
      <c r="R989" s="51" t="n"/>
      <c r="S989" s="49" t="n"/>
      <c r="T989" s="49" t="n"/>
      <c r="U989" s="48">
        <f>IF(OR($B989="",$K989=""),"",WORKDAY($B989,IFERROR(INDEX(CONFIG!$C$4:$C$43,MATCH($K989,CONFIG!$A$4:$A$43,0)),3)))</f>
        <v/>
      </c>
      <c r="V989" s="46" t="n"/>
      <c r="W989" s="23">
        <f>IF($B989="","",IF($V989&lt;&gt;"",$V989-$B989,TODAY()-$B989))</f>
        <v/>
      </c>
      <c r="X989" s="27">
        <f>IF($C989="","",IF(IFERROR(INDEX(CONFIG!$K$4:$K$43,MATCH($S989,CONFIG!$J$4:$J$43,0)),"NO")="SÍ",IF(OR($V989="",$U989=""),"Resuelta",IF($V989&gt;$U989,"Resuelta tarde","Resuelta a tiempo")),IF($U989="","Sin clasificar",IF(TODAY()&gt;$U989,"Vencida",IF(TODAY()&gt;=$U989-1,"Por vencer","En plazo")))))</f>
        <v/>
      </c>
      <c r="Y989" s="49" t="n"/>
      <c r="Z989" s="49" t="n"/>
    </row>
    <row r="990" ht="16" customHeight="1">
      <c r="A990" s="27">
        <f>IF($C990="","","N-"&amp;TEXT(ROW()-3,"0000"))</f>
        <v/>
      </c>
      <c r="B990" s="46" t="n"/>
      <c r="C990" s="47" t="n"/>
      <c r="D990" s="27">
        <f>IF($C990="","",IF(COUNTIFS(ENVIOS!$A$4:$A$3003,$C990)=0,"NO EXISTE",IF(COUNTIFS(ENVIOS!$A$4:$A$3003,$C990)&gt;1,"DUPLICADA","OK")))</f>
        <v/>
      </c>
      <c r="E990" s="22">
        <f>IF($C990="","",IFERROR(INDEX(ENVIOS!$C$4:$C$3003,MATCH($C990,ENVIOS!$A$4:$A$3003,0)),"—"))</f>
        <v/>
      </c>
      <c r="F990" s="22">
        <f>IF($C990="","",IFERROR(INDEX(ENVIOS!$D$4:$D$3003,MATCH($C990,ENVIOS!$A$4:$A$3003,0)),"—"))</f>
        <v/>
      </c>
      <c r="G990" s="22">
        <f>IF($C990="","",IFERROR(INDEX(ENVIOS!$E$4:$E$3003,MATCH($C990,ENVIOS!$A$4:$A$3003,0)),"—"))</f>
        <v/>
      </c>
      <c r="H990" s="22">
        <f>IF($C990="","",IFERROR(INDEX(ENVIOS!$F$4:$F$3003,MATCH($C990,ENVIOS!$A$4:$A$3003,0)),"—"))</f>
        <v/>
      </c>
      <c r="I990" s="27">
        <f>IF($C990="","",IFERROR(INDEX(ENVIOS!$G$4:$G$3003,MATCH($C990,ENVIOS!$A$4:$A$3003,0)),"—"))</f>
        <v/>
      </c>
      <c r="J990" s="48">
        <f>IF($C990="","",IFERROR(INDEX(ENVIOS!$B$4:$B$3003,MATCH($C990,ENVIOS!$A$4:$A$3003,0)),""))</f>
        <v/>
      </c>
      <c r="K990" s="49" t="n"/>
      <c r="L990" s="27">
        <f>IF($K990="","",IFERROR(INDEX(CONFIG!$B$4:$B$43,MATCH($K990,CONFIG!$A$4:$A$43,0)),"Media"))</f>
        <v/>
      </c>
      <c r="M990" s="27">
        <f>IF($K990="","",IFERROR(INDEX(CONFIG!$D$4:$D$43,MATCH($K990,CONFIG!$A$4:$A$43,0)),"NO"))</f>
        <v/>
      </c>
      <c r="N990" s="49" t="n"/>
      <c r="O990" s="27">
        <f>IF($N990="","",IFERROR(INDEX(CONFIG!$G$4:$G$43,MATCH($N990,CONFIG!$F$4:$F$43,0)),"Por definir"))</f>
        <v/>
      </c>
      <c r="P990" s="27">
        <f>IF($N990="","",IFERROR(INDEX(CONFIG!$H$4:$H$43,MATCH($N990,CONFIG!$F$4:$F$43,0)),"Por definir"))</f>
        <v/>
      </c>
      <c r="Q990" s="50" t="n"/>
      <c r="R990" s="51" t="n"/>
      <c r="S990" s="49" t="n"/>
      <c r="T990" s="49" t="n"/>
      <c r="U990" s="48">
        <f>IF(OR($B990="",$K990=""),"",WORKDAY($B990,IFERROR(INDEX(CONFIG!$C$4:$C$43,MATCH($K990,CONFIG!$A$4:$A$43,0)),3)))</f>
        <v/>
      </c>
      <c r="V990" s="46" t="n"/>
      <c r="W990" s="23">
        <f>IF($B990="","",IF($V990&lt;&gt;"",$V990-$B990,TODAY()-$B990))</f>
        <v/>
      </c>
      <c r="X990" s="27">
        <f>IF($C990="","",IF(IFERROR(INDEX(CONFIG!$K$4:$K$43,MATCH($S990,CONFIG!$J$4:$J$43,0)),"NO")="SÍ",IF(OR($V990="",$U990=""),"Resuelta",IF($V990&gt;$U990,"Resuelta tarde","Resuelta a tiempo")),IF($U990="","Sin clasificar",IF(TODAY()&gt;$U990,"Vencida",IF(TODAY()&gt;=$U990-1,"Por vencer","En plazo")))))</f>
        <v/>
      </c>
      <c r="Y990" s="49" t="n"/>
      <c r="Z990" s="49" t="n"/>
    </row>
    <row r="991" ht="16" customHeight="1">
      <c r="A991" s="27">
        <f>IF($C991="","","N-"&amp;TEXT(ROW()-3,"0000"))</f>
        <v/>
      </c>
      <c r="B991" s="46" t="n"/>
      <c r="C991" s="47" t="n"/>
      <c r="D991" s="27">
        <f>IF($C991="","",IF(COUNTIFS(ENVIOS!$A$4:$A$3003,$C991)=0,"NO EXISTE",IF(COUNTIFS(ENVIOS!$A$4:$A$3003,$C991)&gt;1,"DUPLICADA","OK")))</f>
        <v/>
      </c>
      <c r="E991" s="22">
        <f>IF($C991="","",IFERROR(INDEX(ENVIOS!$C$4:$C$3003,MATCH($C991,ENVIOS!$A$4:$A$3003,0)),"—"))</f>
        <v/>
      </c>
      <c r="F991" s="22">
        <f>IF($C991="","",IFERROR(INDEX(ENVIOS!$D$4:$D$3003,MATCH($C991,ENVIOS!$A$4:$A$3003,0)),"—"))</f>
        <v/>
      </c>
      <c r="G991" s="22">
        <f>IF($C991="","",IFERROR(INDEX(ENVIOS!$E$4:$E$3003,MATCH($C991,ENVIOS!$A$4:$A$3003,0)),"—"))</f>
        <v/>
      </c>
      <c r="H991" s="22">
        <f>IF($C991="","",IFERROR(INDEX(ENVIOS!$F$4:$F$3003,MATCH($C991,ENVIOS!$A$4:$A$3003,0)),"—"))</f>
        <v/>
      </c>
      <c r="I991" s="27">
        <f>IF($C991="","",IFERROR(INDEX(ENVIOS!$G$4:$G$3003,MATCH($C991,ENVIOS!$A$4:$A$3003,0)),"—"))</f>
        <v/>
      </c>
      <c r="J991" s="48">
        <f>IF($C991="","",IFERROR(INDEX(ENVIOS!$B$4:$B$3003,MATCH($C991,ENVIOS!$A$4:$A$3003,0)),""))</f>
        <v/>
      </c>
      <c r="K991" s="49" t="n"/>
      <c r="L991" s="27">
        <f>IF($K991="","",IFERROR(INDEX(CONFIG!$B$4:$B$43,MATCH($K991,CONFIG!$A$4:$A$43,0)),"Media"))</f>
        <v/>
      </c>
      <c r="M991" s="27">
        <f>IF($K991="","",IFERROR(INDEX(CONFIG!$D$4:$D$43,MATCH($K991,CONFIG!$A$4:$A$43,0)),"NO"))</f>
        <v/>
      </c>
      <c r="N991" s="49" t="n"/>
      <c r="O991" s="27">
        <f>IF($N991="","",IFERROR(INDEX(CONFIG!$G$4:$G$43,MATCH($N991,CONFIG!$F$4:$F$43,0)),"Por definir"))</f>
        <v/>
      </c>
      <c r="P991" s="27">
        <f>IF($N991="","",IFERROR(INDEX(CONFIG!$H$4:$H$43,MATCH($N991,CONFIG!$F$4:$F$43,0)),"Por definir"))</f>
        <v/>
      </c>
      <c r="Q991" s="50" t="n"/>
      <c r="R991" s="51" t="n"/>
      <c r="S991" s="49" t="n"/>
      <c r="T991" s="49" t="n"/>
      <c r="U991" s="48">
        <f>IF(OR($B991="",$K991=""),"",WORKDAY($B991,IFERROR(INDEX(CONFIG!$C$4:$C$43,MATCH($K991,CONFIG!$A$4:$A$43,0)),3)))</f>
        <v/>
      </c>
      <c r="V991" s="46" t="n"/>
      <c r="W991" s="23">
        <f>IF($B991="","",IF($V991&lt;&gt;"",$V991-$B991,TODAY()-$B991))</f>
        <v/>
      </c>
      <c r="X991" s="27">
        <f>IF($C991="","",IF(IFERROR(INDEX(CONFIG!$K$4:$K$43,MATCH($S991,CONFIG!$J$4:$J$43,0)),"NO")="SÍ",IF(OR($V991="",$U991=""),"Resuelta",IF($V991&gt;$U991,"Resuelta tarde","Resuelta a tiempo")),IF($U991="","Sin clasificar",IF(TODAY()&gt;$U991,"Vencida",IF(TODAY()&gt;=$U991-1,"Por vencer","En plazo")))))</f>
        <v/>
      </c>
      <c r="Y991" s="49" t="n"/>
      <c r="Z991" s="49" t="n"/>
    </row>
    <row r="992" ht="16" customHeight="1">
      <c r="A992" s="27">
        <f>IF($C992="","","N-"&amp;TEXT(ROW()-3,"0000"))</f>
        <v/>
      </c>
      <c r="B992" s="46" t="n"/>
      <c r="C992" s="47" t="n"/>
      <c r="D992" s="27">
        <f>IF($C992="","",IF(COUNTIFS(ENVIOS!$A$4:$A$3003,$C992)=0,"NO EXISTE",IF(COUNTIFS(ENVIOS!$A$4:$A$3003,$C992)&gt;1,"DUPLICADA","OK")))</f>
        <v/>
      </c>
      <c r="E992" s="22">
        <f>IF($C992="","",IFERROR(INDEX(ENVIOS!$C$4:$C$3003,MATCH($C992,ENVIOS!$A$4:$A$3003,0)),"—"))</f>
        <v/>
      </c>
      <c r="F992" s="22">
        <f>IF($C992="","",IFERROR(INDEX(ENVIOS!$D$4:$D$3003,MATCH($C992,ENVIOS!$A$4:$A$3003,0)),"—"))</f>
        <v/>
      </c>
      <c r="G992" s="22">
        <f>IF($C992="","",IFERROR(INDEX(ENVIOS!$E$4:$E$3003,MATCH($C992,ENVIOS!$A$4:$A$3003,0)),"—"))</f>
        <v/>
      </c>
      <c r="H992" s="22">
        <f>IF($C992="","",IFERROR(INDEX(ENVIOS!$F$4:$F$3003,MATCH($C992,ENVIOS!$A$4:$A$3003,0)),"—"))</f>
        <v/>
      </c>
      <c r="I992" s="27">
        <f>IF($C992="","",IFERROR(INDEX(ENVIOS!$G$4:$G$3003,MATCH($C992,ENVIOS!$A$4:$A$3003,0)),"—"))</f>
        <v/>
      </c>
      <c r="J992" s="48">
        <f>IF($C992="","",IFERROR(INDEX(ENVIOS!$B$4:$B$3003,MATCH($C992,ENVIOS!$A$4:$A$3003,0)),""))</f>
        <v/>
      </c>
      <c r="K992" s="49" t="n"/>
      <c r="L992" s="27">
        <f>IF($K992="","",IFERROR(INDEX(CONFIG!$B$4:$B$43,MATCH($K992,CONFIG!$A$4:$A$43,0)),"Media"))</f>
        <v/>
      </c>
      <c r="M992" s="27">
        <f>IF($K992="","",IFERROR(INDEX(CONFIG!$D$4:$D$43,MATCH($K992,CONFIG!$A$4:$A$43,0)),"NO"))</f>
        <v/>
      </c>
      <c r="N992" s="49" t="n"/>
      <c r="O992" s="27">
        <f>IF($N992="","",IFERROR(INDEX(CONFIG!$G$4:$G$43,MATCH($N992,CONFIG!$F$4:$F$43,0)),"Por definir"))</f>
        <v/>
      </c>
      <c r="P992" s="27">
        <f>IF($N992="","",IFERROR(INDEX(CONFIG!$H$4:$H$43,MATCH($N992,CONFIG!$F$4:$F$43,0)),"Por definir"))</f>
        <v/>
      </c>
      <c r="Q992" s="50" t="n"/>
      <c r="R992" s="51" t="n"/>
      <c r="S992" s="49" t="n"/>
      <c r="T992" s="49" t="n"/>
      <c r="U992" s="48">
        <f>IF(OR($B992="",$K992=""),"",WORKDAY($B992,IFERROR(INDEX(CONFIG!$C$4:$C$43,MATCH($K992,CONFIG!$A$4:$A$43,0)),3)))</f>
        <v/>
      </c>
      <c r="V992" s="46" t="n"/>
      <c r="W992" s="23">
        <f>IF($B992="","",IF($V992&lt;&gt;"",$V992-$B992,TODAY()-$B992))</f>
        <v/>
      </c>
      <c r="X992" s="27">
        <f>IF($C992="","",IF(IFERROR(INDEX(CONFIG!$K$4:$K$43,MATCH($S992,CONFIG!$J$4:$J$43,0)),"NO")="SÍ",IF(OR($V992="",$U992=""),"Resuelta",IF($V992&gt;$U992,"Resuelta tarde","Resuelta a tiempo")),IF($U992="","Sin clasificar",IF(TODAY()&gt;$U992,"Vencida",IF(TODAY()&gt;=$U992-1,"Por vencer","En plazo")))))</f>
        <v/>
      </c>
      <c r="Y992" s="49" t="n"/>
      <c r="Z992" s="49" t="n"/>
    </row>
    <row r="993" ht="16" customHeight="1">
      <c r="A993" s="27">
        <f>IF($C993="","","N-"&amp;TEXT(ROW()-3,"0000"))</f>
        <v/>
      </c>
      <c r="B993" s="46" t="n"/>
      <c r="C993" s="47" t="n"/>
      <c r="D993" s="27">
        <f>IF($C993="","",IF(COUNTIFS(ENVIOS!$A$4:$A$3003,$C993)=0,"NO EXISTE",IF(COUNTIFS(ENVIOS!$A$4:$A$3003,$C993)&gt;1,"DUPLICADA","OK")))</f>
        <v/>
      </c>
      <c r="E993" s="22">
        <f>IF($C993="","",IFERROR(INDEX(ENVIOS!$C$4:$C$3003,MATCH($C993,ENVIOS!$A$4:$A$3003,0)),"—"))</f>
        <v/>
      </c>
      <c r="F993" s="22">
        <f>IF($C993="","",IFERROR(INDEX(ENVIOS!$D$4:$D$3003,MATCH($C993,ENVIOS!$A$4:$A$3003,0)),"—"))</f>
        <v/>
      </c>
      <c r="G993" s="22">
        <f>IF($C993="","",IFERROR(INDEX(ENVIOS!$E$4:$E$3003,MATCH($C993,ENVIOS!$A$4:$A$3003,0)),"—"))</f>
        <v/>
      </c>
      <c r="H993" s="22">
        <f>IF($C993="","",IFERROR(INDEX(ENVIOS!$F$4:$F$3003,MATCH($C993,ENVIOS!$A$4:$A$3003,0)),"—"))</f>
        <v/>
      </c>
      <c r="I993" s="27">
        <f>IF($C993="","",IFERROR(INDEX(ENVIOS!$G$4:$G$3003,MATCH($C993,ENVIOS!$A$4:$A$3003,0)),"—"))</f>
        <v/>
      </c>
      <c r="J993" s="48">
        <f>IF($C993="","",IFERROR(INDEX(ENVIOS!$B$4:$B$3003,MATCH($C993,ENVIOS!$A$4:$A$3003,0)),""))</f>
        <v/>
      </c>
      <c r="K993" s="49" t="n"/>
      <c r="L993" s="27">
        <f>IF($K993="","",IFERROR(INDEX(CONFIG!$B$4:$B$43,MATCH($K993,CONFIG!$A$4:$A$43,0)),"Media"))</f>
        <v/>
      </c>
      <c r="M993" s="27">
        <f>IF($K993="","",IFERROR(INDEX(CONFIG!$D$4:$D$43,MATCH($K993,CONFIG!$A$4:$A$43,0)),"NO"))</f>
        <v/>
      </c>
      <c r="N993" s="49" t="n"/>
      <c r="O993" s="27">
        <f>IF($N993="","",IFERROR(INDEX(CONFIG!$G$4:$G$43,MATCH($N993,CONFIG!$F$4:$F$43,0)),"Por definir"))</f>
        <v/>
      </c>
      <c r="P993" s="27">
        <f>IF($N993="","",IFERROR(INDEX(CONFIG!$H$4:$H$43,MATCH($N993,CONFIG!$F$4:$F$43,0)),"Por definir"))</f>
        <v/>
      </c>
      <c r="Q993" s="50" t="n"/>
      <c r="R993" s="51" t="n"/>
      <c r="S993" s="49" t="n"/>
      <c r="T993" s="49" t="n"/>
      <c r="U993" s="48">
        <f>IF(OR($B993="",$K993=""),"",WORKDAY($B993,IFERROR(INDEX(CONFIG!$C$4:$C$43,MATCH($K993,CONFIG!$A$4:$A$43,0)),3)))</f>
        <v/>
      </c>
      <c r="V993" s="46" t="n"/>
      <c r="W993" s="23">
        <f>IF($B993="","",IF($V993&lt;&gt;"",$V993-$B993,TODAY()-$B993))</f>
        <v/>
      </c>
      <c r="X993" s="27">
        <f>IF($C993="","",IF(IFERROR(INDEX(CONFIG!$K$4:$K$43,MATCH($S993,CONFIG!$J$4:$J$43,0)),"NO")="SÍ",IF(OR($V993="",$U993=""),"Resuelta",IF($V993&gt;$U993,"Resuelta tarde","Resuelta a tiempo")),IF($U993="","Sin clasificar",IF(TODAY()&gt;$U993,"Vencida",IF(TODAY()&gt;=$U993-1,"Por vencer","En plazo")))))</f>
        <v/>
      </c>
      <c r="Y993" s="49" t="n"/>
      <c r="Z993" s="49" t="n"/>
    </row>
    <row r="994" ht="16" customHeight="1">
      <c r="A994" s="27">
        <f>IF($C994="","","N-"&amp;TEXT(ROW()-3,"0000"))</f>
        <v/>
      </c>
      <c r="B994" s="46" t="n"/>
      <c r="C994" s="47" t="n"/>
      <c r="D994" s="27">
        <f>IF($C994="","",IF(COUNTIFS(ENVIOS!$A$4:$A$3003,$C994)=0,"NO EXISTE",IF(COUNTIFS(ENVIOS!$A$4:$A$3003,$C994)&gt;1,"DUPLICADA","OK")))</f>
        <v/>
      </c>
      <c r="E994" s="22">
        <f>IF($C994="","",IFERROR(INDEX(ENVIOS!$C$4:$C$3003,MATCH($C994,ENVIOS!$A$4:$A$3003,0)),"—"))</f>
        <v/>
      </c>
      <c r="F994" s="22">
        <f>IF($C994="","",IFERROR(INDEX(ENVIOS!$D$4:$D$3003,MATCH($C994,ENVIOS!$A$4:$A$3003,0)),"—"))</f>
        <v/>
      </c>
      <c r="G994" s="22">
        <f>IF($C994="","",IFERROR(INDEX(ENVIOS!$E$4:$E$3003,MATCH($C994,ENVIOS!$A$4:$A$3003,0)),"—"))</f>
        <v/>
      </c>
      <c r="H994" s="22">
        <f>IF($C994="","",IFERROR(INDEX(ENVIOS!$F$4:$F$3003,MATCH($C994,ENVIOS!$A$4:$A$3003,0)),"—"))</f>
        <v/>
      </c>
      <c r="I994" s="27">
        <f>IF($C994="","",IFERROR(INDEX(ENVIOS!$G$4:$G$3003,MATCH($C994,ENVIOS!$A$4:$A$3003,0)),"—"))</f>
        <v/>
      </c>
      <c r="J994" s="48">
        <f>IF($C994="","",IFERROR(INDEX(ENVIOS!$B$4:$B$3003,MATCH($C994,ENVIOS!$A$4:$A$3003,0)),""))</f>
        <v/>
      </c>
      <c r="K994" s="49" t="n"/>
      <c r="L994" s="27">
        <f>IF($K994="","",IFERROR(INDEX(CONFIG!$B$4:$B$43,MATCH($K994,CONFIG!$A$4:$A$43,0)),"Media"))</f>
        <v/>
      </c>
      <c r="M994" s="27">
        <f>IF($K994="","",IFERROR(INDEX(CONFIG!$D$4:$D$43,MATCH($K994,CONFIG!$A$4:$A$43,0)),"NO"))</f>
        <v/>
      </c>
      <c r="N994" s="49" t="n"/>
      <c r="O994" s="27">
        <f>IF($N994="","",IFERROR(INDEX(CONFIG!$G$4:$G$43,MATCH($N994,CONFIG!$F$4:$F$43,0)),"Por definir"))</f>
        <v/>
      </c>
      <c r="P994" s="27">
        <f>IF($N994="","",IFERROR(INDEX(CONFIG!$H$4:$H$43,MATCH($N994,CONFIG!$F$4:$F$43,0)),"Por definir"))</f>
        <v/>
      </c>
      <c r="Q994" s="50" t="n"/>
      <c r="R994" s="51" t="n"/>
      <c r="S994" s="49" t="n"/>
      <c r="T994" s="49" t="n"/>
      <c r="U994" s="48">
        <f>IF(OR($B994="",$K994=""),"",WORKDAY($B994,IFERROR(INDEX(CONFIG!$C$4:$C$43,MATCH($K994,CONFIG!$A$4:$A$43,0)),3)))</f>
        <v/>
      </c>
      <c r="V994" s="46" t="n"/>
      <c r="W994" s="23">
        <f>IF($B994="","",IF($V994&lt;&gt;"",$V994-$B994,TODAY()-$B994))</f>
        <v/>
      </c>
      <c r="X994" s="27">
        <f>IF($C994="","",IF(IFERROR(INDEX(CONFIG!$K$4:$K$43,MATCH($S994,CONFIG!$J$4:$J$43,0)),"NO")="SÍ",IF(OR($V994="",$U994=""),"Resuelta",IF($V994&gt;$U994,"Resuelta tarde","Resuelta a tiempo")),IF($U994="","Sin clasificar",IF(TODAY()&gt;$U994,"Vencida",IF(TODAY()&gt;=$U994-1,"Por vencer","En plazo")))))</f>
        <v/>
      </c>
      <c r="Y994" s="49" t="n"/>
      <c r="Z994" s="49" t="n"/>
    </row>
    <row r="995" ht="16" customHeight="1">
      <c r="A995" s="27">
        <f>IF($C995="","","N-"&amp;TEXT(ROW()-3,"0000"))</f>
        <v/>
      </c>
      <c r="B995" s="46" t="n"/>
      <c r="C995" s="47" t="n"/>
      <c r="D995" s="27">
        <f>IF($C995="","",IF(COUNTIFS(ENVIOS!$A$4:$A$3003,$C995)=0,"NO EXISTE",IF(COUNTIFS(ENVIOS!$A$4:$A$3003,$C995)&gt;1,"DUPLICADA","OK")))</f>
        <v/>
      </c>
      <c r="E995" s="22">
        <f>IF($C995="","",IFERROR(INDEX(ENVIOS!$C$4:$C$3003,MATCH($C995,ENVIOS!$A$4:$A$3003,0)),"—"))</f>
        <v/>
      </c>
      <c r="F995" s="22">
        <f>IF($C995="","",IFERROR(INDEX(ENVIOS!$D$4:$D$3003,MATCH($C995,ENVIOS!$A$4:$A$3003,0)),"—"))</f>
        <v/>
      </c>
      <c r="G995" s="22">
        <f>IF($C995="","",IFERROR(INDEX(ENVIOS!$E$4:$E$3003,MATCH($C995,ENVIOS!$A$4:$A$3003,0)),"—"))</f>
        <v/>
      </c>
      <c r="H995" s="22">
        <f>IF($C995="","",IFERROR(INDEX(ENVIOS!$F$4:$F$3003,MATCH($C995,ENVIOS!$A$4:$A$3003,0)),"—"))</f>
        <v/>
      </c>
      <c r="I995" s="27">
        <f>IF($C995="","",IFERROR(INDEX(ENVIOS!$G$4:$G$3003,MATCH($C995,ENVIOS!$A$4:$A$3003,0)),"—"))</f>
        <v/>
      </c>
      <c r="J995" s="48">
        <f>IF($C995="","",IFERROR(INDEX(ENVIOS!$B$4:$B$3003,MATCH($C995,ENVIOS!$A$4:$A$3003,0)),""))</f>
        <v/>
      </c>
      <c r="K995" s="49" t="n"/>
      <c r="L995" s="27">
        <f>IF($K995="","",IFERROR(INDEX(CONFIG!$B$4:$B$43,MATCH($K995,CONFIG!$A$4:$A$43,0)),"Media"))</f>
        <v/>
      </c>
      <c r="M995" s="27">
        <f>IF($K995="","",IFERROR(INDEX(CONFIG!$D$4:$D$43,MATCH($K995,CONFIG!$A$4:$A$43,0)),"NO"))</f>
        <v/>
      </c>
      <c r="N995" s="49" t="n"/>
      <c r="O995" s="27">
        <f>IF($N995="","",IFERROR(INDEX(CONFIG!$G$4:$G$43,MATCH($N995,CONFIG!$F$4:$F$43,0)),"Por definir"))</f>
        <v/>
      </c>
      <c r="P995" s="27">
        <f>IF($N995="","",IFERROR(INDEX(CONFIG!$H$4:$H$43,MATCH($N995,CONFIG!$F$4:$F$43,0)),"Por definir"))</f>
        <v/>
      </c>
      <c r="Q995" s="50" t="n"/>
      <c r="R995" s="51" t="n"/>
      <c r="S995" s="49" t="n"/>
      <c r="T995" s="49" t="n"/>
      <c r="U995" s="48">
        <f>IF(OR($B995="",$K995=""),"",WORKDAY($B995,IFERROR(INDEX(CONFIG!$C$4:$C$43,MATCH($K995,CONFIG!$A$4:$A$43,0)),3)))</f>
        <v/>
      </c>
      <c r="V995" s="46" t="n"/>
      <c r="W995" s="23">
        <f>IF($B995="","",IF($V995&lt;&gt;"",$V995-$B995,TODAY()-$B995))</f>
        <v/>
      </c>
      <c r="X995" s="27">
        <f>IF($C995="","",IF(IFERROR(INDEX(CONFIG!$K$4:$K$43,MATCH($S995,CONFIG!$J$4:$J$43,0)),"NO")="SÍ",IF(OR($V995="",$U995=""),"Resuelta",IF($V995&gt;$U995,"Resuelta tarde","Resuelta a tiempo")),IF($U995="","Sin clasificar",IF(TODAY()&gt;$U995,"Vencida",IF(TODAY()&gt;=$U995-1,"Por vencer","En plazo")))))</f>
        <v/>
      </c>
      <c r="Y995" s="49" t="n"/>
      <c r="Z995" s="49" t="n"/>
    </row>
    <row r="996" ht="16" customHeight="1">
      <c r="A996" s="27">
        <f>IF($C996="","","N-"&amp;TEXT(ROW()-3,"0000"))</f>
        <v/>
      </c>
      <c r="B996" s="46" t="n"/>
      <c r="C996" s="47" t="n"/>
      <c r="D996" s="27">
        <f>IF($C996="","",IF(COUNTIFS(ENVIOS!$A$4:$A$3003,$C996)=0,"NO EXISTE",IF(COUNTIFS(ENVIOS!$A$4:$A$3003,$C996)&gt;1,"DUPLICADA","OK")))</f>
        <v/>
      </c>
      <c r="E996" s="22">
        <f>IF($C996="","",IFERROR(INDEX(ENVIOS!$C$4:$C$3003,MATCH($C996,ENVIOS!$A$4:$A$3003,0)),"—"))</f>
        <v/>
      </c>
      <c r="F996" s="22">
        <f>IF($C996="","",IFERROR(INDEX(ENVIOS!$D$4:$D$3003,MATCH($C996,ENVIOS!$A$4:$A$3003,0)),"—"))</f>
        <v/>
      </c>
      <c r="G996" s="22">
        <f>IF($C996="","",IFERROR(INDEX(ENVIOS!$E$4:$E$3003,MATCH($C996,ENVIOS!$A$4:$A$3003,0)),"—"))</f>
        <v/>
      </c>
      <c r="H996" s="22">
        <f>IF($C996="","",IFERROR(INDEX(ENVIOS!$F$4:$F$3003,MATCH($C996,ENVIOS!$A$4:$A$3003,0)),"—"))</f>
        <v/>
      </c>
      <c r="I996" s="27">
        <f>IF($C996="","",IFERROR(INDEX(ENVIOS!$G$4:$G$3003,MATCH($C996,ENVIOS!$A$4:$A$3003,0)),"—"))</f>
        <v/>
      </c>
      <c r="J996" s="48">
        <f>IF($C996="","",IFERROR(INDEX(ENVIOS!$B$4:$B$3003,MATCH($C996,ENVIOS!$A$4:$A$3003,0)),""))</f>
        <v/>
      </c>
      <c r="K996" s="49" t="n"/>
      <c r="L996" s="27">
        <f>IF($K996="","",IFERROR(INDEX(CONFIG!$B$4:$B$43,MATCH($K996,CONFIG!$A$4:$A$43,0)),"Media"))</f>
        <v/>
      </c>
      <c r="M996" s="27">
        <f>IF($K996="","",IFERROR(INDEX(CONFIG!$D$4:$D$43,MATCH($K996,CONFIG!$A$4:$A$43,0)),"NO"))</f>
        <v/>
      </c>
      <c r="N996" s="49" t="n"/>
      <c r="O996" s="27">
        <f>IF($N996="","",IFERROR(INDEX(CONFIG!$G$4:$G$43,MATCH($N996,CONFIG!$F$4:$F$43,0)),"Por definir"))</f>
        <v/>
      </c>
      <c r="P996" s="27">
        <f>IF($N996="","",IFERROR(INDEX(CONFIG!$H$4:$H$43,MATCH($N996,CONFIG!$F$4:$F$43,0)),"Por definir"))</f>
        <v/>
      </c>
      <c r="Q996" s="50" t="n"/>
      <c r="R996" s="51" t="n"/>
      <c r="S996" s="49" t="n"/>
      <c r="T996" s="49" t="n"/>
      <c r="U996" s="48">
        <f>IF(OR($B996="",$K996=""),"",WORKDAY($B996,IFERROR(INDEX(CONFIG!$C$4:$C$43,MATCH($K996,CONFIG!$A$4:$A$43,0)),3)))</f>
        <v/>
      </c>
      <c r="V996" s="46" t="n"/>
      <c r="W996" s="23">
        <f>IF($B996="","",IF($V996&lt;&gt;"",$V996-$B996,TODAY()-$B996))</f>
        <v/>
      </c>
      <c r="X996" s="27">
        <f>IF($C996="","",IF(IFERROR(INDEX(CONFIG!$K$4:$K$43,MATCH($S996,CONFIG!$J$4:$J$43,0)),"NO")="SÍ",IF(OR($V996="",$U996=""),"Resuelta",IF($V996&gt;$U996,"Resuelta tarde","Resuelta a tiempo")),IF($U996="","Sin clasificar",IF(TODAY()&gt;$U996,"Vencida",IF(TODAY()&gt;=$U996-1,"Por vencer","En plazo")))))</f>
        <v/>
      </c>
      <c r="Y996" s="49" t="n"/>
      <c r="Z996" s="49" t="n"/>
    </row>
    <row r="997" ht="16" customHeight="1">
      <c r="A997" s="27">
        <f>IF($C997="","","N-"&amp;TEXT(ROW()-3,"0000"))</f>
        <v/>
      </c>
      <c r="B997" s="46" t="n"/>
      <c r="C997" s="47" t="n"/>
      <c r="D997" s="27">
        <f>IF($C997="","",IF(COUNTIFS(ENVIOS!$A$4:$A$3003,$C997)=0,"NO EXISTE",IF(COUNTIFS(ENVIOS!$A$4:$A$3003,$C997)&gt;1,"DUPLICADA","OK")))</f>
        <v/>
      </c>
      <c r="E997" s="22">
        <f>IF($C997="","",IFERROR(INDEX(ENVIOS!$C$4:$C$3003,MATCH($C997,ENVIOS!$A$4:$A$3003,0)),"—"))</f>
        <v/>
      </c>
      <c r="F997" s="22">
        <f>IF($C997="","",IFERROR(INDEX(ENVIOS!$D$4:$D$3003,MATCH($C997,ENVIOS!$A$4:$A$3003,0)),"—"))</f>
        <v/>
      </c>
      <c r="G997" s="22">
        <f>IF($C997="","",IFERROR(INDEX(ENVIOS!$E$4:$E$3003,MATCH($C997,ENVIOS!$A$4:$A$3003,0)),"—"))</f>
        <v/>
      </c>
      <c r="H997" s="22">
        <f>IF($C997="","",IFERROR(INDEX(ENVIOS!$F$4:$F$3003,MATCH($C997,ENVIOS!$A$4:$A$3003,0)),"—"))</f>
        <v/>
      </c>
      <c r="I997" s="27">
        <f>IF($C997="","",IFERROR(INDEX(ENVIOS!$G$4:$G$3003,MATCH($C997,ENVIOS!$A$4:$A$3003,0)),"—"))</f>
        <v/>
      </c>
      <c r="J997" s="48">
        <f>IF($C997="","",IFERROR(INDEX(ENVIOS!$B$4:$B$3003,MATCH($C997,ENVIOS!$A$4:$A$3003,0)),""))</f>
        <v/>
      </c>
      <c r="K997" s="49" t="n"/>
      <c r="L997" s="27">
        <f>IF($K997="","",IFERROR(INDEX(CONFIG!$B$4:$B$43,MATCH($K997,CONFIG!$A$4:$A$43,0)),"Media"))</f>
        <v/>
      </c>
      <c r="M997" s="27">
        <f>IF($K997="","",IFERROR(INDEX(CONFIG!$D$4:$D$43,MATCH($K997,CONFIG!$A$4:$A$43,0)),"NO"))</f>
        <v/>
      </c>
      <c r="N997" s="49" t="n"/>
      <c r="O997" s="27">
        <f>IF($N997="","",IFERROR(INDEX(CONFIG!$G$4:$G$43,MATCH($N997,CONFIG!$F$4:$F$43,0)),"Por definir"))</f>
        <v/>
      </c>
      <c r="P997" s="27">
        <f>IF($N997="","",IFERROR(INDEX(CONFIG!$H$4:$H$43,MATCH($N997,CONFIG!$F$4:$F$43,0)),"Por definir"))</f>
        <v/>
      </c>
      <c r="Q997" s="50" t="n"/>
      <c r="R997" s="51" t="n"/>
      <c r="S997" s="49" t="n"/>
      <c r="T997" s="49" t="n"/>
      <c r="U997" s="48">
        <f>IF(OR($B997="",$K997=""),"",WORKDAY($B997,IFERROR(INDEX(CONFIG!$C$4:$C$43,MATCH($K997,CONFIG!$A$4:$A$43,0)),3)))</f>
        <v/>
      </c>
      <c r="V997" s="46" t="n"/>
      <c r="W997" s="23">
        <f>IF($B997="","",IF($V997&lt;&gt;"",$V997-$B997,TODAY()-$B997))</f>
        <v/>
      </c>
      <c r="X997" s="27">
        <f>IF($C997="","",IF(IFERROR(INDEX(CONFIG!$K$4:$K$43,MATCH($S997,CONFIG!$J$4:$J$43,0)),"NO")="SÍ",IF(OR($V997="",$U997=""),"Resuelta",IF($V997&gt;$U997,"Resuelta tarde","Resuelta a tiempo")),IF($U997="","Sin clasificar",IF(TODAY()&gt;$U997,"Vencida",IF(TODAY()&gt;=$U997-1,"Por vencer","En plazo")))))</f>
        <v/>
      </c>
      <c r="Y997" s="49" t="n"/>
      <c r="Z997" s="49" t="n"/>
    </row>
    <row r="998" ht="16" customHeight="1">
      <c r="A998" s="27">
        <f>IF($C998="","","N-"&amp;TEXT(ROW()-3,"0000"))</f>
        <v/>
      </c>
      <c r="B998" s="46" t="n"/>
      <c r="C998" s="47" t="n"/>
      <c r="D998" s="27">
        <f>IF($C998="","",IF(COUNTIFS(ENVIOS!$A$4:$A$3003,$C998)=0,"NO EXISTE",IF(COUNTIFS(ENVIOS!$A$4:$A$3003,$C998)&gt;1,"DUPLICADA","OK")))</f>
        <v/>
      </c>
      <c r="E998" s="22">
        <f>IF($C998="","",IFERROR(INDEX(ENVIOS!$C$4:$C$3003,MATCH($C998,ENVIOS!$A$4:$A$3003,0)),"—"))</f>
        <v/>
      </c>
      <c r="F998" s="22">
        <f>IF($C998="","",IFERROR(INDEX(ENVIOS!$D$4:$D$3003,MATCH($C998,ENVIOS!$A$4:$A$3003,0)),"—"))</f>
        <v/>
      </c>
      <c r="G998" s="22">
        <f>IF($C998="","",IFERROR(INDEX(ENVIOS!$E$4:$E$3003,MATCH($C998,ENVIOS!$A$4:$A$3003,0)),"—"))</f>
        <v/>
      </c>
      <c r="H998" s="22">
        <f>IF($C998="","",IFERROR(INDEX(ENVIOS!$F$4:$F$3003,MATCH($C998,ENVIOS!$A$4:$A$3003,0)),"—"))</f>
        <v/>
      </c>
      <c r="I998" s="27">
        <f>IF($C998="","",IFERROR(INDEX(ENVIOS!$G$4:$G$3003,MATCH($C998,ENVIOS!$A$4:$A$3003,0)),"—"))</f>
        <v/>
      </c>
      <c r="J998" s="48">
        <f>IF($C998="","",IFERROR(INDEX(ENVIOS!$B$4:$B$3003,MATCH($C998,ENVIOS!$A$4:$A$3003,0)),""))</f>
        <v/>
      </c>
      <c r="K998" s="49" t="n"/>
      <c r="L998" s="27">
        <f>IF($K998="","",IFERROR(INDEX(CONFIG!$B$4:$B$43,MATCH($K998,CONFIG!$A$4:$A$43,0)),"Media"))</f>
        <v/>
      </c>
      <c r="M998" s="27">
        <f>IF($K998="","",IFERROR(INDEX(CONFIG!$D$4:$D$43,MATCH($K998,CONFIG!$A$4:$A$43,0)),"NO"))</f>
        <v/>
      </c>
      <c r="N998" s="49" t="n"/>
      <c r="O998" s="27">
        <f>IF($N998="","",IFERROR(INDEX(CONFIG!$G$4:$G$43,MATCH($N998,CONFIG!$F$4:$F$43,0)),"Por definir"))</f>
        <v/>
      </c>
      <c r="P998" s="27">
        <f>IF($N998="","",IFERROR(INDEX(CONFIG!$H$4:$H$43,MATCH($N998,CONFIG!$F$4:$F$43,0)),"Por definir"))</f>
        <v/>
      </c>
      <c r="Q998" s="50" t="n"/>
      <c r="R998" s="51" t="n"/>
      <c r="S998" s="49" t="n"/>
      <c r="T998" s="49" t="n"/>
      <c r="U998" s="48">
        <f>IF(OR($B998="",$K998=""),"",WORKDAY($B998,IFERROR(INDEX(CONFIG!$C$4:$C$43,MATCH($K998,CONFIG!$A$4:$A$43,0)),3)))</f>
        <v/>
      </c>
      <c r="V998" s="46" t="n"/>
      <c r="W998" s="23">
        <f>IF($B998="","",IF($V998&lt;&gt;"",$V998-$B998,TODAY()-$B998))</f>
        <v/>
      </c>
      <c r="X998" s="27">
        <f>IF($C998="","",IF(IFERROR(INDEX(CONFIG!$K$4:$K$43,MATCH($S998,CONFIG!$J$4:$J$43,0)),"NO")="SÍ",IF(OR($V998="",$U998=""),"Resuelta",IF($V998&gt;$U998,"Resuelta tarde","Resuelta a tiempo")),IF($U998="","Sin clasificar",IF(TODAY()&gt;$U998,"Vencida",IF(TODAY()&gt;=$U998-1,"Por vencer","En plazo")))))</f>
        <v/>
      </c>
      <c r="Y998" s="49" t="n"/>
      <c r="Z998" s="49" t="n"/>
    </row>
    <row r="999" ht="16" customHeight="1">
      <c r="A999" s="27">
        <f>IF($C999="","","N-"&amp;TEXT(ROW()-3,"0000"))</f>
        <v/>
      </c>
      <c r="B999" s="46" t="n"/>
      <c r="C999" s="47" t="n"/>
      <c r="D999" s="27">
        <f>IF($C999="","",IF(COUNTIFS(ENVIOS!$A$4:$A$3003,$C999)=0,"NO EXISTE",IF(COUNTIFS(ENVIOS!$A$4:$A$3003,$C999)&gt;1,"DUPLICADA","OK")))</f>
        <v/>
      </c>
      <c r="E999" s="22">
        <f>IF($C999="","",IFERROR(INDEX(ENVIOS!$C$4:$C$3003,MATCH($C999,ENVIOS!$A$4:$A$3003,0)),"—"))</f>
        <v/>
      </c>
      <c r="F999" s="22">
        <f>IF($C999="","",IFERROR(INDEX(ENVIOS!$D$4:$D$3003,MATCH($C999,ENVIOS!$A$4:$A$3003,0)),"—"))</f>
        <v/>
      </c>
      <c r="G999" s="22">
        <f>IF($C999="","",IFERROR(INDEX(ENVIOS!$E$4:$E$3003,MATCH($C999,ENVIOS!$A$4:$A$3003,0)),"—"))</f>
        <v/>
      </c>
      <c r="H999" s="22">
        <f>IF($C999="","",IFERROR(INDEX(ENVIOS!$F$4:$F$3003,MATCH($C999,ENVIOS!$A$4:$A$3003,0)),"—"))</f>
        <v/>
      </c>
      <c r="I999" s="27">
        <f>IF($C999="","",IFERROR(INDEX(ENVIOS!$G$4:$G$3003,MATCH($C999,ENVIOS!$A$4:$A$3003,0)),"—"))</f>
        <v/>
      </c>
      <c r="J999" s="48">
        <f>IF($C999="","",IFERROR(INDEX(ENVIOS!$B$4:$B$3003,MATCH($C999,ENVIOS!$A$4:$A$3003,0)),""))</f>
        <v/>
      </c>
      <c r="K999" s="49" t="n"/>
      <c r="L999" s="27">
        <f>IF($K999="","",IFERROR(INDEX(CONFIG!$B$4:$B$43,MATCH($K999,CONFIG!$A$4:$A$43,0)),"Media"))</f>
        <v/>
      </c>
      <c r="M999" s="27">
        <f>IF($K999="","",IFERROR(INDEX(CONFIG!$D$4:$D$43,MATCH($K999,CONFIG!$A$4:$A$43,0)),"NO"))</f>
        <v/>
      </c>
      <c r="N999" s="49" t="n"/>
      <c r="O999" s="27">
        <f>IF($N999="","",IFERROR(INDEX(CONFIG!$G$4:$G$43,MATCH($N999,CONFIG!$F$4:$F$43,0)),"Por definir"))</f>
        <v/>
      </c>
      <c r="P999" s="27">
        <f>IF($N999="","",IFERROR(INDEX(CONFIG!$H$4:$H$43,MATCH($N999,CONFIG!$F$4:$F$43,0)),"Por definir"))</f>
        <v/>
      </c>
      <c r="Q999" s="50" t="n"/>
      <c r="R999" s="51" t="n"/>
      <c r="S999" s="49" t="n"/>
      <c r="T999" s="49" t="n"/>
      <c r="U999" s="48">
        <f>IF(OR($B999="",$K999=""),"",WORKDAY($B999,IFERROR(INDEX(CONFIG!$C$4:$C$43,MATCH($K999,CONFIG!$A$4:$A$43,0)),3)))</f>
        <v/>
      </c>
      <c r="V999" s="46" t="n"/>
      <c r="W999" s="23">
        <f>IF($B999="","",IF($V999&lt;&gt;"",$V999-$B999,TODAY()-$B999))</f>
        <v/>
      </c>
      <c r="X999" s="27">
        <f>IF($C999="","",IF(IFERROR(INDEX(CONFIG!$K$4:$K$43,MATCH($S999,CONFIG!$J$4:$J$43,0)),"NO")="SÍ",IF(OR($V999="",$U999=""),"Resuelta",IF($V999&gt;$U999,"Resuelta tarde","Resuelta a tiempo")),IF($U999="","Sin clasificar",IF(TODAY()&gt;$U999,"Vencida",IF(TODAY()&gt;=$U999-1,"Por vencer","En plazo")))))</f>
        <v/>
      </c>
      <c r="Y999" s="49" t="n"/>
      <c r="Z999" s="49" t="n"/>
    </row>
    <row r="1000" ht="16" customHeight="1">
      <c r="A1000" s="27">
        <f>IF($C1000="","","N-"&amp;TEXT(ROW()-3,"0000"))</f>
        <v/>
      </c>
      <c r="B1000" s="46" t="n"/>
      <c r="C1000" s="47" t="n"/>
      <c r="D1000" s="27">
        <f>IF($C1000="","",IF(COUNTIFS(ENVIOS!$A$4:$A$3003,$C1000)=0,"NO EXISTE",IF(COUNTIFS(ENVIOS!$A$4:$A$3003,$C1000)&gt;1,"DUPLICADA","OK")))</f>
        <v/>
      </c>
      <c r="E1000" s="22">
        <f>IF($C1000="","",IFERROR(INDEX(ENVIOS!$C$4:$C$3003,MATCH($C1000,ENVIOS!$A$4:$A$3003,0)),"—"))</f>
        <v/>
      </c>
      <c r="F1000" s="22">
        <f>IF($C1000="","",IFERROR(INDEX(ENVIOS!$D$4:$D$3003,MATCH($C1000,ENVIOS!$A$4:$A$3003,0)),"—"))</f>
        <v/>
      </c>
      <c r="G1000" s="22">
        <f>IF($C1000="","",IFERROR(INDEX(ENVIOS!$E$4:$E$3003,MATCH($C1000,ENVIOS!$A$4:$A$3003,0)),"—"))</f>
        <v/>
      </c>
      <c r="H1000" s="22">
        <f>IF($C1000="","",IFERROR(INDEX(ENVIOS!$F$4:$F$3003,MATCH($C1000,ENVIOS!$A$4:$A$3003,0)),"—"))</f>
        <v/>
      </c>
      <c r="I1000" s="27">
        <f>IF($C1000="","",IFERROR(INDEX(ENVIOS!$G$4:$G$3003,MATCH($C1000,ENVIOS!$A$4:$A$3003,0)),"—"))</f>
        <v/>
      </c>
      <c r="J1000" s="48">
        <f>IF($C1000="","",IFERROR(INDEX(ENVIOS!$B$4:$B$3003,MATCH($C1000,ENVIOS!$A$4:$A$3003,0)),""))</f>
        <v/>
      </c>
      <c r="K1000" s="49" t="n"/>
      <c r="L1000" s="27">
        <f>IF($K1000="","",IFERROR(INDEX(CONFIG!$B$4:$B$43,MATCH($K1000,CONFIG!$A$4:$A$43,0)),"Media"))</f>
        <v/>
      </c>
      <c r="M1000" s="27">
        <f>IF($K1000="","",IFERROR(INDEX(CONFIG!$D$4:$D$43,MATCH($K1000,CONFIG!$A$4:$A$43,0)),"NO"))</f>
        <v/>
      </c>
      <c r="N1000" s="49" t="n"/>
      <c r="O1000" s="27">
        <f>IF($N1000="","",IFERROR(INDEX(CONFIG!$G$4:$G$43,MATCH($N1000,CONFIG!$F$4:$F$43,0)),"Por definir"))</f>
        <v/>
      </c>
      <c r="P1000" s="27">
        <f>IF($N1000="","",IFERROR(INDEX(CONFIG!$H$4:$H$43,MATCH($N1000,CONFIG!$F$4:$F$43,0)),"Por definir"))</f>
        <v/>
      </c>
      <c r="Q1000" s="50" t="n"/>
      <c r="R1000" s="51" t="n"/>
      <c r="S1000" s="49" t="n"/>
      <c r="T1000" s="49" t="n"/>
      <c r="U1000" s="48">
        <f>IF(OR($B1000="",$K1000=""),"",WORKDAY($B1000,IFERROR(INDEX(CONFIG!$C$4:$C$43,MATCH($K1000,CONFIG!$A$4:$A$43,0)),3)))</f>
        <v/>
      </c>
      <c r="V1000" s="46" t="n"/>
      <c r="W1000" s="23">
        <f>IF($B1000="","",IF($V1000&lt;&gt;"",$V1000-$B1000,TODAY()-$B1000))</f>
        <v/>
      </c>
      <c r="X1000" s="27">
        <f>IF($C1000="","",IF(IFERROR(INDEX(CONFIG!$K$4:$K$43,MATCH($S1000,CONFIG!$J$4:$J$43,0)),"NO")="SÍ",IF(OR($V1000="",$U1000=""),"Resuelta",IF($V1000&gt;$U1000,"Resuelta tarde","Resuelta a tiempo")),IF($U1000="","Sin clasificar",IF(TODAY()&gt;$U1000,"Vencida",IF(TODAY()&gt;=$U1000-1,"Por vencer","En plazo")))))</f>
        <v/>
      </c>
      <c r="Y1000" s="49" t="n"/>
      <c r="Z1000" s="49" t="n"/>
    </row>
    <row r="1001" ht="16" customHeight="1">
      <c r="A1001" s="27">
        <f>IF($C1001="","","N-"&amp;TEXT(ROW()-3,"0000"))</f>
        <v/>
      </c>
      <c r="B1001" s="46" t="n"/>
      <c r="C1001" s="47" t="n"/>
      <c r="D1001" s="27">
        <f>IF($C1001="","",IF(COUNTIFS(ENVIOS!$A$4:$A$3003,$C1001)=0,"NO EXISTE",IF(COUNTIFS(ENVIOS!$A$4:$A$3003,$C1001)&gt;1,"DUPLICADA","OK")))</f>
        <v/>
      </c>
      <c r="E1001" s="22">
        <f>IF($C1001="","",IFERROR(INDEX(ENVIOS!$C$4:$C$3003,MATCH($C1001,ENVIOS!$A$4:$A$3003,0)),"—"))</f>
        <v/>
      </c>
      <c r="F1001" s="22">
        <f>IF($C1001="","",IFERROR(INDEX(ENVIOS!$D$4:$D$3003,MATCH($C1001,ENVIOS!$A$4:$A$3003,0)),"—"))</f>
        <v/>
      </c>
      <c r="G1001" s="22">
        <f>IF($C1001="","",IFERROR(INDEX(ENVIOS!$E$4:$E$3003,MATCH($C1001,ENVIOS!$A$4:$A$3003,0)),"—"))</f>
        <v/>
      </c>
      <c r="H1001" s="22">
        <f>IF($C1001="","",IFERROR(INDEX(ENVIOS!$F$4:$F$3003,MATCH($C1001,ENVIOS!$A$4:$A$3003,0)),"—"))</f>
        <v/>
      </c>
      <c r="I1001" s="27">
        <f>IF($C1001="","",IFERROR(INDEX(ENVIOS!$G$4:$G$3003,MATCH($C1001,ENVIOS!$A$4:$A$3003,0)),"—"))</f>
        <v/>
      </c>
      <c r="J1001" s="48">
        <f>IF($C1001="","",IFERROR(INDEX(ENVIOS!$B$4:$B$3003,MATCH($C1001,ENVIOS!$A$4:$A$3003,0)),""))</f>
        <v/>
      </c>
      <c r="K1001" s="49" t="n"/>
      <c r="L1001" s="27">
        <f>IF($K1001="","",IFERROR(INDEX(CONFIG!$B$4:$B$43,MATCH($K1001,CONFIG!$A$4:$A$43,0)),"Media"))</f>
        <v/>
      </c>
      <c r="M1001" s="27">
        <f>IF($K1001="","",IFERROR(INDEX(CONFIG!$D$4:$D$43,MATCH($K1001,CONFIG!$A$4:$A$43,0)),"NO"))</f>
        <v/>
      </c>
      <c r="N1001" s="49" t="n"/>
      <c r="O1001" s="27">
        <f>IF($N1001="","",IFERROR(INDEX(CONFIG!$G$4:$G$43,MATCH($N1001,CONFIG!$F$4:$F$43,0)),"Por definir"))</f>
        <v/>
      </c>
      <c r="P1001" s="27">
        <f>IF($N1001="","",IFERROR(INDEX(CONFIG!$H$4:$H$43,MATCH($N1001,CONFIG!$F$4:$F$43,0)),"Por definir"))</f>
        <v/>
      </c>
      <c r="Q1001" s="50" t="n"/>
      <c r="R1001" s="51" t="n"/>
      <c r="S1001" s="49" t="n"/>
      <c r="T1001" s="49" t="n"/>
      <c r="U1001" s="48">
        <f>IF(OR($B1001="",$K1001=""),"",WORKDAY($B1001,IFERROR(INDEX(CONFIG!$C$4:$C$43,MATCH($K1001,CONFIG!$A$4:$A$43,0)),3)))</f>
        <v/>
      </c>
      <c r="V1001" s="46" t="n"/>
      <c r="W1001" s="23">
        <f>IF($B1001="","",IF($V1001&lt;&gt;"",$V1001-$B1001,TODAY()-$B1001))</f>
        <v/>
      </c>
      <c r="X1001" s="27">
        <f>IF($C1001="","",IF(IFERROR(INDEX(CONFIG!$K$4:$K$43,MATCH($S1001,CONFIG!$J$4:$J$43,0)),"NO")="SÍ",IF(OR($V1001="",$U1001=""),"Resuelta",IF($V1001&gt;$U1001,"Resuelta tarde","Resuelta a tiempo")),IF($U1001="","Sin clasificar",IF(TODAY()&gt;$U1001,"Vencida",IF(TODAY()&gt;=$U1001-1,"Por vencer","En plazo")))))</f>
        <v/>
      </c>
      <c r="Y1001" s="49" t="n"/>
      <c r="Z1001" s="49" t="n"/>
    </row>
    <row r="1002" ht="16" customHeight="1">
      <c r="A1002" s="27">
        <f>IF($C1002="","","N-"&amp;TEXT(ROW()-3,"0000"))</f>
        <v/>
      </c>
      <c r="B1002" s="46" t="n"/>
      <c r="C1002" s="47" t="n"/>
      <c r="D1002" s="27">
        <f>IF($C1002="","",IF(COUNTIFS(ENVIOS!$A$4:$A$3003,$C1002)=0,"NO EXISTE",IF(COUNTIFS(ENVIOS!$A$4:$A$3003,$C1002)&gt;1,"DUPLICADA","OK")))</f>
        <v/>
      </c>
      <c r="E1002" s="22">
        <f>IF($C1002="","",IFERROR(INDEX(ENVIOS!$C$4:$C$3003,MATCH($C1002,ENVIOS!$A$4:$A$3003,0)),"—"))</f>
        <v/>
      </c>
      <c r="F1002" s="22">
        <f>IF($C1002="","",IFERROR(INDEX(ENVIOS!$D$4:$D$3003,MATCH($C1002,ENVIOS!$A$4:$A$3003,0)),"—"))</f>
        <v/>
      </c>
      <c r="G1002" s="22">
        <f>IF($C1002="","",IFERROR(INDEX(ENVIOS!$E$4:$E$3003,MATCH($C1002,ENVIOS!$A$4:$A$3003,0)),"—"))</f>
        <v/>
      </c>
      <c r="H1002" s="22">
        <f>IF($C1002="","",IFERROR(INDEX(ENVIOS!$F$4:$F$3003,MATCH($C1002,ENVIOS!$A$4:$A$3003,0)),"—"))</f>
        <v/>
      </c>
      <c r="I1002" s="27">
        <f>IF($C1002="","",IFERROR(INDEX(ENVIOS!$G$4:$G$3003,MATCH($C1002,ENVIOS!$A$4:$A$3003,0)),"—"))</f>
        <v/>
      </c>
      <c r="J1002" s="48">
        <f>IF($C1002="","",IFERROR(INDEX(ENVIOS!$B$4:$B$3003,MATCH($C1002,ENVIOS!$A$4:$A$3003,0)),""))</f>
        <v/>
      </c>
      <c r="K1002" s="49" t="n"/>
      <c r="L1002" s="27">
        <f>IF($K1002="","",IFERROR(INDEX(CONFIG!$B$4:$B$43,MATCH($K1002,CONFIG!$A$4:$A$43,0)),"Media"))</f>
        <v/>
      </c>
      <c r="M1002" s="27">
        <f>IF($K1002="","",IFERROR(INDEX(CONFIG!$D$4:$D$43,MATCH($K1002,CONFIG!$A$4:$A$43,0)),"NO"))</f>
        <v/>
      </c>
      <c r="N1002" s="49" t="n"/>
      <c r="O1002" s="27">
        <f>IF($N1002="","",IFERROR(INDEX(CONFIG!$G$4:$G$43,MATCH($N1002,CONFIG!$F$4:$F$43,0)),"Por definir"))</f>
        <v/>
      </c>
      <c r="P1002" s="27">
        <f>IF($N1002="","",IFERROR(INDEX(CONFIG!$H$4:$H$43,MATCH($N1002,CONFIG!$F$4:$F$43,0)),"Por definir"))</f>
        <v/>
      </c>
      <c r="Q1002" s="50" t="n"/>
      <c r="R1002" s="51" t="n"/>
      <c r="S1002" s="49" t="n"/>
      <c r="T1002" s="49" t="n"/>
      <c r="U1002" s="48">
        <f>IF(OR($B1002="",$K1002=""),"",WORKDAY($B1002,IFERROR(INDEX(CONFIG!$C$4:$C$43,MATCH($K1002,CONFIG!$A$4:$A$43,0)),3)))</f>
        <v/>
      </c>
      <c r="V1002" s="46" t="n"/>
      <c r="W1002" s="23">
        <f>IF($B1002="","",IF($V1002&lt;&gt;"",$V1002-$B1002,TODAY()-$B1002))</f>
        <v/>
      </c>
      <c r="X1002" s="27">
        <f>IF($C1002="","",IF(IFERROR(INDEX(CONFIG!$K$4:$K$43,MATCH($S1002,CONFIG!$J$4:$J$43,0)),"NO")="SÍ",IF(OR($V1002="",$U1002=""),"Resuelta",IF($V1002&gt;$U1002,"Resuelta tarde","Resuelta a tiempo")),IF($U1002="","Sin clasificar",IF(TODAY()&gt;$U1002,"Vencida",IF(TODAY()&gt;=$U1002-1,"Por vencer","En plazo")))))</f>
        <v/>
      </c>
      <c r="Y1002" s="49" t="n"/>
      <c r="Z1002" s="49" t="n"/>
    </row>
    <row r="1003" ht="16" customHeight="1">
      <c r="A1003" s="27">
        <f>IF($C1003="","","N-"&amp;TEXT(ROW()-3,"0000"))</f>
        <v/>
      </c>
      <c r="B1003" s="46" t="n"/>
      <c r="C1003" s="47" t="n"/>
      <c r="D1003" s="27">
        <f>IF($C1003="","",IF(COUNTIFS(ENVIOS!$A$4:$A$3003,$C1003)=0,"NO EXISTE",IF(COUNTIFS(ENVIOS!$A$4:$A$3003,$C1003)&gt;1,"DUPLICADA","OK")))</f>
        <v/>
      </c>
      <c r="E1003" s="22">
        <f>IF($C1003="","",IFERROR(INDEX(ENVIOS!$C$4:$C$3003,MATCH($C1003,ENVIOS!$A$4:$A$3003,0)),"—"))</f>
        <v/>
      </c>
      <c r="F1003" s="22">
        <f>IF($C1003="","",IFERROR(INDEX(ENVIOS!$D$4:$D$3003,MATCH($C1003,ENVIOS!$A$4:$A$3003,0)),"—"))</f>
        <v/>
      </c>
      <c r="G1003" s="22">
        <f>IF($C1003="","",IFERROR(INDEX(ENVIOS!$E$4:$E$3003,MATCH($C1003,ENVIOS!$A$4:$A$3003,0)),"—"))</f>
        <v/>
      </c>
      <c r="H1003" s="22">
        <f>IF($C1003="","",IFERROR(INDEX(ENVIOS!$F$4:$F$3003,MATCH($C1003,ENVIOS!$A$4:$A$3003,0)),"—"))</f>
        <v/>
      </c>
      <c r="I1003" s="27">
        <f>IF($C1003="","",IFERROR(INDEX(ENVIOS!$G$4:$G$3003,MATCH($C1003,ENVIOS!$A$4:$A$3003,0)),"—"))</f>
        <v/>
      </c>
      <c r="J1003" s="48">
        <f>IF($C1003="","",IFERROR(INDEX(ENVIOS!$B$4:$B$3003,MATCH($C1003,ENVIOS!$A$4:$A$3003,0)),""))</f>
        <v/>
      </c>
      <c r="K1003" s="49" t="n"/>
      <c r="L1003" s="27">
        <f>IF($K1003="","",IFERROR(INDEX(CONFIG!$B$4:$B$43,MATCH($K1003,CONFIG!$A$4:$A$43,0)),"Media"))</f>
        <v/>
      </c>
      <c r="M1003" s="27">
        <f>IF($K1003="","",IFERROR(INDEX(CONFIG!$D$4:$D$43,MATCH($K1003,CONFIG!$A$4:$A$43,0)),"NO"))</f>
        <v/>
      </c>
      <c r="N1003" s="49" t="n"/>
      <c r="O1003" s="27">
        <f>IF($N1003="","",IFERROR(INDEX(CONFIG!$G$4:$G$43,MATCH($N1003,CONFIG!$F$4:$F$43,0)),"Por definir"))</f>
        <v/>
      </c>
      <c r="P1003" s="27">
        <f>IF($N1003="","",IFERROR(INDEX(CONFIG!$H$4:$H$43,MATCH($N1003,CONFIG!$F$4:$F$43,0)),"Por definir"))</f>
        <v/>
      </c>
      <c r="Q1003" s="50" t="n"/>
      <c r="R1003" s="51" t="n"/>
      <c r="S1003" s="49" t="n"/>
      <c r="T1003" s="49" t="n"/>
      <c r="U1003" s="48">
        <f>IF(OR($B1003="",$K1003=""),"",WORKDAY($B1003,IFERROR(INDEX(CONFIG!$C$4:$C$43,MATCH($K1003,CONFIG!$A$4:$A$43,0)),3)))</f>
        <v/>
      </c>
      <c r="V1003" s="46" t="n"/>
      <c r="W1003" s="23">
        <f>IF($B1003="","",IF($V1003&lt;&gt;"",$V1003-$B1003,TODAY()-$B1003))</f>
        <v/>
      </c>
      <c r="X1003" s="27">
        <f>IF($C1003="","",IF(IFERROR(INDEX(CONFIG!$K$4:$K$43,MATCH($S1003,CONFIG!$J$4:$J$43,0)),"NO")="SÍ",IF(OR($V1003="",$U1003=""),"Resuelta",IF($V1003&gt;$U1003,"Resuelta tarde","Resuelta a tiempo")),IF($U1003="","Sin clasificar",IF(TODAY()&gt;$U1003,"Vencida",IF(TODAY()&gt;=$U1003-1,"Por vencer","En plazo")))))</f>
        <v/>
      </c>
      <c r="Y1003" s="49" t="n"/>
      <c r="Z1003" s="49" t="n"/>
    </row>
    <row r="1004" ht="16" customHeight="1">
      <c r="A1004" s="27">
        <f>IF($C1004="","","N-"&amp;TEXT(ROW()-3,"0000"))</f>
        <v/>
      </c>
      <c r="B1004" s="46" t="n"/>
      <c r="C1004" s="47" t="n"/>
      <c r="D1004" s="27">
        <f>IF($C1004="","",IF(COUNTIFS(ENVIOS!$A$4:$A$3003,$C1004)=0,"NO EXISTE",IF(COUNTIFS(ENVIOS!$A$4:$A$3003,$C1004)&gt;1,"DUPLICADA","OK")))</f>
        <v/>
      </c>
      <c r="E1004" s="22">
        <f>IF($C1004="","",IFERROR(INDEX(ENVIOS!$C$4:$C$3003,MATCH($C1004,ENVIOS!$A$4:$A$3003,0)),"—"))</f>
        <v/>
      </c>
      <c r="F1004" s="22">
        <f>IF($C1004="","",IFERROR(INDEX(ENVIOS!$D$4:$D$3003,MATCH($C1004,ENVIOS!$A$4:$A$3003,0)),"—"))</f>
        <v/>
      </c>
      <c r="G1004" s="22">
        <f>IF($C1004="","",IFERROR(INDEX(ENVIOS!$E$4:$E$3003,MATCH($C1004,ENVIOS!$A$4:$A$3003,0)),"—"))</f>
        <v/>
      </c>
      <c r="H1004" s="22">
        <f>IF($C1004="","",IFERROR(INDEX(ENVIOS!$F$4:$F$3003,MATCH($C1004,ENVIOS!$A$4:$A$3003,0)),"—"))</f>
        <v/>
      </c>
      <c r="I1004" s="27">
        <f>IF($C1004="","",IFERROR(INDEX(ENVIOS!$G$4:$G$3003,MATCH($C1004,ENVIOS!$A$4:$A$3003,0)),"—"))</f>
        <v/>
      </c>
      <c r="J1004" s="48">
        <f>IF($C1004="","",IFERROR(INDEX(ENVIOS!$B$4:$B$3003,MATCH($C1004,ENVIOS!$A$4:$A$3003,0)),""))</f>
        <v/>
      </c>
      <c r="K1004" s="49" t="n"/>
      <c r="L1004" s="27">
        <f>IF($K1004="","",IFERROR(INDEX(CONFIG!$B$4:$B$43,MATCH($K1004,CONFIG!$A$4:$A$43,0)),"Media"))</f>
        <v/>
      </c>
      <c r="M1004" s="27">
        <f>IF($K1004="","",IFERROR(INDEX(CONFIG!$D$4:$D$43,MATCH($K1004,CONFIG!$A$4:$A$43,0)),"NO"))</f>
        <v/>
      </c>
      <c r="N1004" s="49" t="n"/>
      <c r="O1004" s="27">
        <f>IF($N1004="","",IFERROR(INDEX(CONFIG!$G$4:$G$43,MATCH($N1004,CONFIG!$F$4:$F$43,0)),"Por definir"))</f>
        <v/>
      </c>
      <c r="P1004" s="27">
        <f>IF($N1004="","",IFERROR(INDEX(CONFIG!$H$4:$H$43,MATCH($N1004,CONFIG!$F$4:$F$43,0)),"Por definir"))</f>
        <v/>
      </c>
      <c r="Q1004" s="50" t="n"/>
      <c r="R1004" s="51" t="n"/>
      <c r="S1004" s="49" t="n"/>
      <c r="T1004" s="49" t="n"/>
      <c r="U1004" s="48">
        <f>IF(OR($B1004="",$K1004=""),"",WORKDAY($B1004,IFERROR(INDEX(CONFIG!$C$4:$C$43,MATCH($K1004,CONFIG!$A$4:$A$43,0)),3)))</f>
        <v/>
      </c>
      <c r="V1004" s="46" t="n"/>
      <c r="W1004" s="23">
        <f>IF($B1004="","",IF($V1004&lt;&gt;"",$V1004-$B1004,TODAY()-$B1004))</f>
        <v/>
      </c>
      <c r="X1004" s="27">
        <f>IF($C1004="","",IF(IFERROR(INDEX(CONFIG!$K$4:$K$43,MATCH($S1004,CONFIG!$J$4:$J$43,0)),"NO")="SÍ",IF(OR($V1004="",$U1004=""),"Resuelta",IF($V1004&gt;$U1004,"Resuelta tarde","Resuelta a tiempo")),IF($U1004="","Sin clasificar",IF(TODAY()&gt;$U1004,"Vencida",IF(TODAY()&gt;=$U1004-1,"Por vencer","En plazo")))))</f>
        <v/>
      </c>
      <c r="Y1004" s="49" t="n"/>
      <c r="Z1004" s="49" t="n"/>
    </row>
    <row r="1005" ht="16" customHeight="1">
      <c r="A1005" s="27">
        <f>IF($C1005="","","N-"&amp;TEXT(ROW()-3,"0000"))</f>
        <v/>
      </c>
      <c r="B1005" s="46" t="n"/>
      <c r="C1005" s="47" t="n"/>
      <c r="D1005" s="27">
        <f>IF($C1005="","",IF(COUNTIFS(ENVIOS!$A$4:$A$3003,$C1005)=0,"NO EXISTE",IF(COUNTIFS(ENVIOS!$A$4:$A$3003,$C1005)&gt;1,"DUPLICADA","OK")))</f>
        <v/>
      </c>
      <c r="E1005" s="22">
        <f>IF($C1005="","",IFERROR(INDEX(ENVIOS!$C$4:$C$3003,MATCH($C1005,ENVIOS!$A$4:$A$3003,0)),"—"))</f>
        <v/>
      </c>
      <c r="F1005" s="22">
        <f>IF($C1005="","",IFERROR(INDEX(ENVIOS!$D$4:$D$3003,MATCH($C1005,ENVIOS!$A$4:$A$3003,0)),"—"))</f>
        <v/>
      </c>
      <c r="G1005" s="22">
        <f>IF($C1005="","",IFERROR(INDEX(ENVIOS!$E$4:$E$3003,MATCH($C1005,ENVIOS!$A$4:$A$3003,0)),"—"))</f>
        <v/>
      </c>
      <c r="H1005" s="22">
        <f>IF($C1005="","",IFERROR(INDEX(ENVIOS!$F$4:$F$3003,MATCH($C1005,ENVIOS!$A$4:$A$3003,0)),"—"))</f>
        <v/>
      </c>
      <c r="I1005" s="27">
        <f>IF($C1005="","",IFERROR(INDEX(ENVIOS!$G$4:$G$3003,MATCH($C1005,ENVIOS!$A$4:$A$3003,0)),"—"))</f>
        <v/>
      </c>
      <c r="J1005" s="48">
        <f>IF($C1005="","",IFERROR(INDEX(ENVIOS!$B$4:$B$3003,MATCH($C1005,ENVIOS!$A$4:$A$3003,0)),""))</f>
        <v/>
      </c>
      <c r="K1005" s="49" t="n"/>
      <c r="L1005" s="27">
        <f>IF($K1005="","",IFERROR(INDEX(CONFIG!$B$4:$B$43,MATCH($K1005,CONFIG!$A$4:$A$43,0)),"Media"))</f>
        <v/>
      </c>
      <c r="M1005" s="27">
        <f>IF($K1005="","",IFERROR(INDEX(CONFIG!$D$4:$D$43,MATCH($K1005,CONFIG!$A$4:$A$43,0)),"NO"))</f>
        <v/>
      </c>
      <c r="N1005" s="49" t="n"/>
      <c r="O1005" s="27">
        <f>IF($N1005="","",IFERROR(INDEX(CONFIG!$G$4:$G$43,MATCH($N1005,CONFIG!$F$4:$F$43,0)),"Por definir"))</f>
        <v/>
      </c>
      <c r="P1005" s="27">
        <f>IF($N1005="","",IFERROR(INDEX(CONFIG!$H$4:$H$43,MATCH($N1005,CONFIG!$F$4:$F$43,0)),"Por definir"))</f>
        <v/>
      </c>
      <c r="Q1005" s="50" t="n"/>
      <c r="R1005" s="51" t="n"/>
      <c r="S1005" s="49" t="n"/>
      <c r="T1005" s="49" t="n"/>
      <c r="U1005" s="48">
        <f>IF(OR($B1005="",$K1005=""),"",WORKDAY($B1005,IFERROR(INDEX(CONFIG!$C$4:$C$43,MATCH($K1005,CONFIG!$A$4:$A$43,0)),3)))</f>
        <v/>
      </c>
      <c r="V1005" s="46" t="n"/>
      <c r="W1005" s="23">
        <f>IF($B1005="","",IF($V1005&lt;&gt;"",$V1005-$B1005,TODAY()-$B1005))</f>
        <v/>
      </c>
      <c r="X1005" s="27">
        <f>IF($C1005="","",IF(IFERROR(INDEX(CONFIG!$K$4:$K$43,MATCH($S1005,CONFIG!$J$4:$J$43,0)),"NO")="SÍ",IF(OR($V1005="",$U1005=""),"Resuelta",IF($V1005&gt;$U1005,"Resuelta tarde","Resuelta a tiempo")),IF($U1005="","Sin clasificar",IF(TODAY()&gt;$U1005,"Vencida",IF(TODAY()&gt;=$U1005-1,"Por vencer","En plazo")))))</f>
        <v/>
      </c>
      <c r="Y1005" s="49" t="n"/>
      <c r="Z1005" s="49" t="n"/>
    </row>
    <row r="1006" ht="16" customHeight="1">
      <c r="A1006" s="27">
        <f>IF($C1006="","","N-"&amp;TEXT(ROW()-3,"0000"))</f>
        <v/>
      </c>
      <c r="B1006" s="46" t="n"/>
      <c r="C1006" s="47" t="n"/>
      <c r="D1006" s="27">
        <f>IF($C1006="","",IF(COUNTIFS(ENVIOS!$A$4:$A$3003,$C1006)=0,"NO EXISTE",IF(COUNTIFS(ENVIOS!$A$4:$A$3003,$C1006)&gt;1,"DUPLICADA","OK")))</f>
        <v/>
      </c>
      <c r="E1006" s="22">
        <f>IF($C1006="","",IFERROR(INDEX(ENVIOS!$C$4:$C$3003,MATCH($C1006,ENVIOS!$A$4:$A$3003,0)),"—"))</f>
        <v/>
      </c>
      <c r="F1006" s="22">
        <f>IF($C1006="","",IFERROR(INDEX(ENVIOS!$D$4:$D$3003,MATCH($C1006,ENVIOS!$A$4:$A$3003,0)),"—"))</f>
        <v/>
      </c>
      <c r="G1006" s="22">
        <f>IF($C1006="","",IFERROR(INDEX(ENVIOS!$E$4:$E$3003,MATCH($C1006,ENVIOS!$A$4:$A$3003,0)),"—"))</f>
        <v/>
      </c>
      <c r="H1006" s="22">
        <f>IF($C1006="","",IFERROR(INDEX(ENVIOS!$F$4:$F$3003,MATCH($C1006,ENVIOS!$A$4:$A$3003,0)),"—"))</f>
        <v/>
      </c>
      <c r="I1006" s="27">
        <f>IF($C1006="","",IFERROR(INDEX(ENVIOS!$G$4:$G$3003,MATCH($C1006,ENVIOS!$A$4:$A$3003,0)),"—"))</f>
        <v/>
      </c>
      <c r="J1006" s="48">
        <f>IF($C1006="","",IFERROR(INDEX(ENVIOS!$B$4:$B$3003,MATCH($C1006,ENVIOS!$A$4:$A$3003,0)),""))</f>
        <v/>
      </c>
      <c r="K1006" s="49" t="n"/>
      <c r="L1006" s="27">
        <f>IF($K1006="","",IFERROR(INDEX(CONFIG!$B$4:$B$43,MATCH($K1006,CONFIG!$A$4:$A$43,0)),"Media"))</f>
        <v/>
      </c>
      <c r="M1006" s="27">
        <f>IF($K1006="","",IFERROR(INDEX(CONFIG!$D$4:$D$43,MATCH($K1006,CONFIG!$A$4:$A$43,0)),"NO"))</f>
        <v/>
      </c>
      <c r="N1006" s="49" t="n"/>
      <c r="O1006" s="27">
        <f>IF($N1006="","",IFERROR(INDEX(CONFIG!$G$4:$G$43,MATCH($N1006,CONFIG!$F$4:$F$43,0)),"Por definir"))</f>
        <v/>
      </c>
      <c r="P1006" s="27">
        <f>IF($N1006="","",IFERROR(INDEX(CONFIG!$H$4:$H$43,MATCH($N1006,CONFIG!$F$4:$F$43,0)),"Por definir"))</f>
        <v/>
      </c>
      <c r="Q1006" s="50" t="n"/>
      <c r="R1006" s="51" t="n"/>
      <c r="S1006" s="49" t="n"/>
      <c r="T1006" s="49" t="n"/>
      <c r="U1006" s="48">
        <f>IF(OR($B1006="",$K1006=""),"",WORKDAY($B1006,IFERROR(INDEX(CONFIG!$C$4:$C$43,MATCH($K1006,CONFIG!$A$4:$A$43,0)),3)))</f>
        <v/>
      </c>
      <c r="V1006" s="46" t="n"/>
      <c r="W1006" s="23">
        <f>IF($B1006="","",IF($V1006&lt;&gt;"",$V1006-$B1006,TODAY()-$B1006))</f>
        <v/>
      </c>
      <c r="X1006" s="27">
        <f>IF($C1006="","",IF(IFERROR(INDEX(CONFIG!$K$4:$K$43,MATCH($S1006,CONFIG!$J$4:$J$43,0)),"NO")="SÍ",IF(OR($V1006="",$U1006=""),"Resuelta",IF($V1006&gt;$U1006,"Resuelta tarde","Resuelta a tiempo")),IF($U1006="","Sin clasificar",IF(TODAY()&gt;$U1006,"Vencida",IF(TODAY()&gt;=$U1006-1,"Por vencer","En plazo")))))</f>
        <v/>
      </c>
      <c r="Y1006" s="49" t="n"/>
      <c r="Z1006" s="49" t="n"/>
    </row>
    <row r="1007" ht="16" customHeight="1">
      <c r="A1007" s="27">
        <f>IF($C1007="","","N-"&amp;TEXT(ROW()-3,"0000"))</f>
        <v/>
      </c>
      <c r="B1007" s="46" t="n"/>
      <c r="C1007" s="47" t="n"/>
      <c r="D1007" s="27">
        <f>IF($C1007="","",IF(COUNTIFS(ENVIOS!$A$4:$A$3003,$C1007)=0,"NO EXISTE",IF(COUNTIFS(ENVIOS!$A$4:$A$3003,$C1007)&gt;1,"DUPLICADA","OK")))</f>
        <v/>
      </c>
      <c r="E1007" s="22">
        <f>IF($C1007="","",IFERROR(INDEX(ENVIOS!$C$4:$C$3003,MATCH($C1007,ENVIOS!$A$4:$A$3003,0)),"—"))</f>
        <v/>
      </c>
      <c r="F1007" s="22">
        <f>IF($C1007="","",IFERROR(INDEX(ENVIOS!$D$4:$D$3003,MATCH($C1007,ENVIOS!$A$4:$A$3003,0)),"—"))</f>
        <v/>
      </c>
      <c r="G1007" s="22">
        <f>IF($C1007="","",IFERROR(INDEX(ENVIOS!$E$4:$E$3003,MATCH($C1007,ENVIOS!$A$4:$A$3003,0)),"—"))</f>
        <v/>
      </c>
      <c r="H1007" s="22">
        <f>IF($C1007="","",IFERROR(INDEX(ENVIOS!$F$4:$F$3003,MATCH($C1007,ENVIOS!$A$4:$A$3003,0)),"—"))</f>
        <v/>
      </c>
      <c r="I1007" s="27">
        <f>IF($C1007="","",IFERROR(INDEX(ENVIOS!$G$4:$G$3003,MATCH($C1007,ENVIOS!$A$4:$A$3003,0)),"—"))</f>
        <v/>
      </c>
      <c r="J1007" s="48">
        <f>IF($C1007="","",IFERROR(INDEX(ENVIOS!$B$4:$B$3003,MATCH($C1007,ENVIOS!$A$4:$A$3003,0)),""))</f>
        <v/>
      </c>
      <c r="K1007" s="49" t="n"/>
      <c r="L1007" s="27">
        <f>IF($K1007="","",IFERROR(INDEX(CONFIG!$B$4:$B$43,MATCH($K1007,CONFIG!$A$4:$A$43,0)),"Media"))</f>
        <v/>
      </c>
      <c r="M1007" s="27">
        <f>IF($K1007="","",IFERROR(INDEX(CONFIG!$D$4:$D$43,MATCH($K1007,CONFIG!$A$4:$A$43,0)),"NO"))</f>
        <v/>
      </c>
      <c r="N1007" s="49" t="n"/>
      <c r="O1007" s="27">
        <f>IF($N1007="","",IFERROR(INDEX(CONFIG!$G$4:$G$43,MATCH($N1007,CONFIG!$F$4:$F$43,0)),"Por definir"))</f>
        <v/>
      </c>
      <c r="P1007" s="27">
        <f>IF($N1007="","",IFERROR(INDEX(CONFIG!$H$4:$H$43,MATCH($N1007,CONFIG!$F$4:$F$43,0)),"Por definir"))</f>
        <v/>
      </c>
      <c r="Q1007" s="50" t="n"/>
      <c r="R1007" s="51" t="n"/>
      <c r="S1007" s="49" t="n"/>
      <c r="T1007" s="49" t="n"/>
      <c r="U1007" s="48">
        <f>IF(OR($B1007="",$K1007=""),"",WORKDAY($B1007,IFERROR(INDEX(CONFIG!$C$4:$C$43,MATCH($K1007,CONFIG!$A$4:$A$43,0)),3)))</f>
        <v/>
      </c>
      <c r="V1007" s="46" t="n"/>
      <c r="W1007" s="23">
        <f>IF($B1007="","",IF($V1007&lt;&gt;"",$V1007-$B1007,TODAY()-$B1007))</f>
        <v/>
      </c>
      <c r="X1007" s="27">
        <f>IF($C1007="","",IF(IFERROR(INDEX(CONFIG!$K$4:$K$43,MATCH($S1007,CONFIG!$J$4:$J$43,0)),"NO")="SÍ",IF(OR($V1007="",$U1007=""),"Resuelta",IF($V1007&gt;$U1007,"Resuelta tarde","Resuelta a tiempo")),IF($U1007="","Sin clasificar",IF(TODAY()&gt;$U1007,"Vencida",IF(TODAY()&gt;=$U1007-1,"Por vencer","En plazo")))))</f>
        <v/>
      </c>
      <c r="Y1007" s="49" t="n"/>
      <c r="Z1007" s="49" t="n"/>
    </row>
    <row r="1008" ht="16" customHeight="1">
      <c r="A1008" s="27">
        <f>IF($C1008="","","N-"&amp;TEXT(ROW()-3,"0000"))</f>
        <v/>
      </c>
      <c r="B1008" s="46" t="n"/>
      <c r="C1008" s="47" t="n"/>
      <c r="D1008" s="27">
        <f>IF($C1008="","",IF(COUNTIFS(ENVIOS!$A$4:$A$3003,$C1008)=0,"NO EXISTE",IF(COUNTIFS(ENVIOS!$A$4:$A$3003,$C1008)&gt;1,"DUPLICADA","OK")))</f>
        <v/>
      </c>
      <c r="E1008" s="22">
        <f>IF($C1008="","",IFERROR(INDEX(ENVIOS!$C$4:$C$3003,MATCH($C1008,ENVIOS!$A$4:$A$3003,0)),"—"))</f>
        <v/>
      </c>
      <c r="F1008" s="22">
        <f>IF($C1008="","",IFERROR(INDEX(ENVIOS!$D$4:$D$3003,MATCH($C1008,ENVIOS!$A$4:$A$3003,0)),"—"))</f>
        <v/>
      </c>
      <c r="G1008" s="22">
        <f>IF($C1008="","",IFERROR(INDEX(ENVIOS!$E$4:$E$3003,MATCH($C1008,ENVIOS!$A$4:$A$3003,0)),"—"))</f>
        <v/>
      </c>
      <c r="H1008" s="22">
        <f>IF($C1008="","",IFERROR(INDEX(ENVIOS!$F$4:$F$3003,MATCH($C1008,ENVIOS!$A$4:$A$3003,0)),"—"))</f>
        <v/>
      </c>
      <c r="I1008" s="27">
        <f>IF($C1008="","",IFERROR(INDEX(ENVIOS!$G$4:$G$3003,MATCH($C1008,ENVIOS!$A$4:$A$3003,0)),"—"))</f>
        <v/>
      </c>
      <c r="J1008" s="48">
        <f>IF($C1008="","",IFERROR(INDEX(ENVIOS!$B$4:$B$3003,MATCH($C1008,ENVIOS!$A$4:$A$3003,0)),""))</f>
        <v/>
      </c>
      <c r="K1008" s="49" t="n"/>
      <c r="L1008" s="27">
        <f>IF($K1008="","",IFERROR(INDEX(CONFIG!$B$4:$B$43,MATCH($K1008,CONFIG!$A$4:$A$43,0)),"Media"))</f>
        <v/>
      </c>
      <c r="M1008" s="27">
        <f>IF($K1008="","",IFERROR(INDEX(CONFIG!$D$4:$D$43,MATCH($K1008,CONFIG!$A$4:$A$43,0)),"NO"))</f>
        <v/>
      </c>
      <c r="N1008" s="49" t="n"/>
      <c r="O1008" s="27">
        <f>IF($N1008="","",IFERROR(INDEX(CONFIG!$G$4:$G$43,MATCH($N1008,CONFIG!$F$4:$F$43,0)),"Por definir"))</f>
        <v/>
      </c>
      <c r="P1008" s="27">
        <f>IF($N1008="","",IFERROR(INDEX(CONFIG!$H$4:$H$43,MATCH($N1008,CONFIG!$F$4:$F$43,0)),"Por definir"))</f>
        <v/>
      </c>
      <c r="Q1008" s="50" t="n"/>
      <c r="R1008" s="51" t="n"/>
      <c r="S1008" s="49" t="n"/>
      <c r="T1008" s="49" t="n"/>
      <c r="U1008" s="48">
        <f>IF(OR($B1008="",$K1008=""),"",WORKDAY($B1008,IFERROR(INDEX(CONFIG!$C$4:$C$43,MATCH($K1008,CONFIG!$A$4:$A$43,0)),3)))</f>
        <v/>
      </c>
      <c r="V1008" s="46" t="n"/>
      <c r="W1008" s="23">
        <f>IF($B1008="","",IF($V1008&lt;&gt;"",$V1008-$B1008,TODAY()-$B1008))</f>
        <v/>
      </c>
      <c r="X1008" s="27">
        <f>IF($C1008="","",IF(IFERROR(INDEX(CONFIG!$K$4:$K$43,MATCH($S1008,CONFIG!$J$4:$J$43,0)),"NO")="SÍ",IF(OR($V1008="",$U1008=""),"Resuelta",IF($V1008&gt;$U1008,"Resuelta tarde","Resuelta a tiempo")),IF($U1008="","Sin clasificar",IF(TODAY()&gt;$U1008,"Vencida",IF(TODAY()&gt;=$U1008-1,"Por vencer","En plazo")))))</f>
        <v/>
      </c>
      <c r="Y1008" s="49" t="n"/>
      <c r="Z1008" s="49" t="n"/>
    </row>
    <row r="1009" ht="16" customHeight="1">
      <c r="A1009" s="27">
        <f>IF($C1009="","","N-"&amp;TEXT(ROW()-3,"0000"))</f>
        <v/>
      </c>
      <c r="B1009" s="46" t="n"/>
      <c r="C1009" s="47" t="n"/>
      <c r="D1009" s="27">
        <f>IF($C1009="","",IF(COUNTIFS(ENVIOS!$A$4:$A$3003,$C1009)=0,"NO EXISTE",IF(COUNTIFS(ENVIOS!$A$4:$A$3003,$C1009)&gt;1,"DUPLICADA","OK")))</f>
        <v/>
      </c>
      <c r="E1009" s="22">
        <f>IF($C1009="","",IFERROR(INDEX(ENVIOS!$C$4:$C$3003,MATCH($C1009,ENVIOS!$A$4:$A$3003,0)),"—"))</f>
        <v/>
      </c>
      <c r="F1009" s="22">
        <f>IF($C1009="","",IFERROR(INDEX(ENVIOS!$D$4:$D$3003,MATCH($C1009,ENVIOS!$A$4:$A$3003,0)),"—"))</f>
        <v/>
      </c>
      <c r="G1009" s="22">
        <f>IF($C1009="","",IFERROR(INDEX(ENVIOS!$E$4:$E$3003,MATCH($C1009,ENVIOS!$A$4:$A$3003,0)),"—"))</f>
        <v/>
      </c>
      <c r="H1009" s="22">
        <f>IF($C1009="","",IFERROR(INDEX(ENVIOS!$F$4:$F$3003,MATCH($C1009,ENVIOS!$A$4:$A$3003,0)),"—"))</f>
        <v/>
      </c>
      <c r="I1009" s="27">
        <f>IF($C1009="","",IFERROR(INDEX(ENVIOS!$G$4:$G$3003,MATCH($C1009,ENVIOS!$A$4:$A$3003,0)),"—"))</f>
        <v/>
      </c>
      <c r="J1009" s="48">
        <f>IF($C1009="","",IFERROR(INDEX(ENVIOS!$B$4:$B$3003,MATCH($C1009,ENVIOS!$A$4:$A$3003,0)),""))</f>
        <v/>
      </c>
      <c r="K1009" s="49" t="n"/>
      <c r="L1009" s="27">
        <f>IF($K1009="","",IFERROR(INDEX(CONFIG!$B$4:$B$43,MATCH($K1009,CONFIG!$A$4:$A$43,0)),"Media"))</f>
        <v/>
      </c>
      <c r="M1009" s="27">
        <f>IF($K1009="","",IFERROR(INDEX(CONFIG!$D$4:$D$43,MATCH($K1009,CONFIG!$A$4:$A$43,0)),"NO"))</f>
        <v/>
      </c>
      <c r="N1009" s="49" t="n"/>
      <c r="O1009" s="27">
        <f>IF($N1009="","",IFERROR(INDEX(CONFIG!$G$4:$G$43,MATCH($N1009,CONFIG!$F$4:$F$43,0)),"Por definir"))</f>
        <v/>
      </c>
      <c r="P1009" s="27">
        <f>IF($N1009="","",IFERROR(INDEX(CONFIG!$H$4:$H$43,MATCH($N1009,CONFIG!$F$4:$F$43,0)),"Por definir"))</f>
        <v/>
      </c>
      <c r="Q1009" s="50" t="n"/>
      <c r="R1009" s="51" t="n"/>
      <c r="S1009" s="49" t="n"/>
      <c r="T1009" s="49" t="n"/>
      <c r="U1009" s="48">
        <f>IF(OR($B1009="",$K1009=""),"",WORKDAY($B1009,IFERROR(INDEX(CONFIG!$C$4:$C$43,MATCH($K1009,CONFIG!$A$4:$A$43,0)),3)))</f>
        <v/>
      </c>
      <c r="V1009" s="46" t="n"/>
      <c r="W1009" s="23">
        <f>IF($B1009="","",IF($V1009&lt;&gt;"",$V1009-$B1009,TODAY()-$B1009))</f>
        <v/>
      </c>
      <c r="X1009" s="27">
        <f>IF($C1009="","",IF(IFERROR(INDEX(CONFIG!$K$4:$K$43,MATCH($S1009,CONFIG!$J$4:$J$43,0)),"NO")="SÍ",IF(OR($V1009="",$U1009=""),"Resuelta",IF($V1009&gt;$U1009,"Resuelta tarde","Resuelta a tiempo")),IF($U1009="","Sin clasificar",IF(TODAY()&gt;$U1009,"Vencida",IF(TODAY()&gt;=$U1009-1,"Por vencer","En plazo")))))</f>
        <v/>
      </c>
      <c r="Y1009" s="49" t="n"/>
      <c r="Z1009" s="49" t="n"/>
    </row>
    <row r="1010" ht="16" customHeight="1">
      <c r="A1010" s="27">
        <f>IF($C1010="","","N-"&amp;TEXT(ROW()-3,"0000"))</f>
        <v/>
      </c>
      <c r="B1010" s="46" t="n"/>
      <c r="C1010" s="47" t="n"/>
      <c r="D1010" s="27">
        <f>IF($C1010="","",IF(COUNTIFS(ENVIOS!$A$4:$A$3003,$C1010)=0,"NO EXISTE",IF(COUNTIFS(ENVIOS!$A$4:$A$3003,$C1010)&gt;1,"DUPLICADA","OK")))</f>
        <v/>
      </c>
      <c r="E1010" s="22">
        <f>IF($C1010="","",IFERROR(INDEX(ENVIOS!$C$4:$C$3003,MATCH($C1010,ENVIOS!$A$4:$A$3003,0)),"—"))</f>
        <v/>
      </c>
      <c r="F1010" s="22">
        <f>IF($C1010="","",IFERROR(INDEX(ENVIOS!$D$4:$D$3003,MATCH($C1010,ENVIOS!$A$4:$A$3003,0)),"—"))</f>
        <v/>
      </c>
      <c r="G1010" s="22">
        <f>IF($C1010="","",IFERROR(INDEX(ENVIOS!$E$4:$E$3003,MATCH($C1010,ENVIOS!$A$4:$A$3003,0)),"—"))</f>
        <v/>
      </c>
      <c r="H1010" s="22">
        <f>IF($C1010="","",IFERROR(INDEX(ENVIOS!$F$4:$F$3003,MATCH($C1010,ENVIOS!$A$4:$A$3003,0)),"—"))</f>
        <v/>
      </c>
      <c r="I1010" s="27">
        <f>IF($C1010="","",IFERROR(INDEX(ENVIOS!$G$4:$G$3003,MATCH($C1010,ENVIOS!$A$4:$A$3003,0)),"—"))</f>
        <v/>
      </c>
      <c r="J1010" s="48">
        <f>IF($C1010="","",IFERROR(INDEX(ENVIOS!$B$4:$B$3003,MATCH($C1010,ENVIOS!$A$4:$A$3003,0)),""))</f>
        <v/>
      </c>
      <c r="K1010" s="49" t="n"/>
      <c r="L1010" s="27">
        <f>IF($K1010="","",IFERROR(INDEX(CONFIG!$B$4:$B$43,MATCH($K1010,CONFIG!$A$4:$A$43,0)),"Media"))</f>
        <v/>
      </c>
      <c r="M1010" s="27">
        <f>IF($K1010="","",IFERROR(INDEX(CONFIG!$D$4:$D$43,MATCH($K1010,CONFIG!$A$4:$A$43,0)),"NO"))</f>
        <v/>
      </c>
      <c r="N1010" s="49" t="n"/>
      <c r="O1010" s="27">
        <f>IF($N1010="","",IFERROR(INDEX(CONFIG!$G$4:$G$43,MATCH($N1010,CONFIG!$F$4:$F$43,0)),"Por definir"))</f>
        <v/>
      </c>
      <c r="P1010" s="27">
        <f>IF($N1010="","",IFERROR(INDEX(CONFIG!$H$4:$H$43,MATCH($N1010,CONFIG!$F$4:$F$43,0)),"Por definir"))</f>
        <v/>
      </c>
      <c r="Q1010" s="50" t="n"/>
      <c r="R1010" s="51" t="n"/>
      <c r="S1010" s="49" t="n"/>
      <c r="T1010" s="49" t="n"/>
      <c r="U1010" s="48">
        <f>IF(OR($B1010="",$K1010=""),"",WORKDAY($B1010,IFERROR(INDEX(CONFIG!$C$4:$C$43,MATCH($K1010,CONFIG!$A$4:$A$43,0)),3)))</f>
        <v/>
      </c>
      <c r="V1010" s="46" t="n"/>
      <c r="W1010" s="23">
        <f>IF($B1010="","",IF($V1010&lt;&gt;"",$V1010-$B1010,TODAY()-$B1010))</f>
        <v/>
      </c>
      <c r="X1010" s="27">
        <f>IF($C1010="","",IF(IFERROR(INDEX(CONFIG!$K$4:$K$43,MATCH($S1010,CONFIG!$J$4:$J$43,0)),"NO")="SÍ",IF(OR($V1010="",$U1010=""),"Resuelta",IF($V1010&gt;$U1010,"Resuelta tarde","Resuelta a tiempo")),IF($U1010="","Sin clasificar",IF(TODAY()&gt;$U1010,"Vencida",IF(TODAY()&gt;=$U1010-1,"Por vencer","En plazo")))))</f>
        <v/>
      </c>
      <c r="Y1010" s="49" t="n"/>
      <c r="Z1010" s="49" t="n"/>
    </row>
    <row r="1011" ht="16" customHeight="1">
      <c r="A1011" s="27">
        <f>IF($C1011="","","N-"&amp;TEXT(ROW()-3,"0000"))</f>
        <v/>
      </c>
      <c r="B1011" s="46" t="n"/>
      <c r="C1011" s="47" t="n"/>
      <c r="D1011" s="27">
        <f>IF($C1011="","",IF(COUNTIFS(ENVIOS!$A$4:$A$3003,$C1011)=0,"NO EXISTE",IF(COUNTIFS(ENVIOS!$A$4:$A$3003,$C1011)&gt;1,"DUPLICADA","OK")))</f>
        <v/>
      </c>
      <c r="E1011" s="22">
        <f>IF($C1011="","",IFERROR(INDEX(ENVIOS!$C$4:$C$3003,MATCH($C1011,ENVIOS!$A$4:$A$3003,0)),"—"))</f>
        <v/>
      </c>
      <c r="F1011" s="22">
        <f>IF($C1011="","",IFERROR(INDEX(ENVIOS!$D$4:$D$3003,MATCH($C1011,ENVIOS!$A$4:$A$3003,0)),"—"))</f>
        <v/>
      </c>
      <c r="G1011" s="22">
        <f>IF($C1011="","",IFERROR(INDEX(ENVIOS!$E$4:$E$3003,MATCH($C1011,ENVIOS!$A$4:$A$3003,0)),"—"))</f>
        <v/>
      </c>
      <c r="H1011" s="22">
        <f>IF($C1011="","",IFERROR(INDEX(ENVIOS!$F$4:$F$3003,MATCH($C1011,ENVIOS!$A$4:$A$3003,0)),"—"))</f>
        <v/>
      </c>
      <c r="I1011" s="27">
        <f>IF($C1011="","",IFERROR(INDEX(ENVIOS!$G$4:$G$3003,MATCH($C1011,ENVIOS!$A$4:$A$3003,0)),"—"))</f>
        <v/>
      </c>
      <c r="J1011" s="48">
        <f>IF($C1011="","",IFERROR(INDEX(ENVIOS!$B$4:$B$3003,MATCH($C1011,ENVIOS!$A$4:$A$3003,0)),""))</f>
        <v/>
      </c>
      <c r="K1011" s="49" t="n"/>
      <c r="L1011" s="27">
        <f>IF($K1011="","",IFERROR(INDEX(CONFIG!$B$4:$B$43,MATCH($K1011,CONFIG!$A$4:$A$43,0)),"Media"))</f>
        <v/>
      </c>
      <c r="M1011" s="27">
        <f>IF($K1011="","",IFERROR(INDEX(CONFIG!$D$4:$D$43,MATCH($K1011,CONFIG!$A$4:$A$43,0)),"NO"))</f>
        <v/>
      </c>
      <c r="N1011" s="49" t="n"/>
      <c r="O1011" s="27">
        <f>IF($N1011="","",IFERROR(INDEX(CONFIG!$G$4:$G$43,MATCH($N1011,CONFIG!$F$4:$F$43,0)),"Por definir"))</f>
        <v/>
      </c>
      <c r="P1011" s="27">
        <f>IF($N1011="","",IFERROR(INDEX(CONFIG!$H$4:$H$43,MATCH($N1011,CONFIG!$F$4:$F$43,0)),"Por definir"))</f>
        <v/>
      </c>
      <c r="Q1011" s="50" t="n"/>
      <c r="R1011" s="51" t="n"/>
      <c r="S1011" s="49" t="n"/>
      <c r="T1011" s="49" t="n"/>
      <c r="U1011" s="48">
        <f>IF(OR($B1011="",$K1011=""),"",WORKDAY($B1011,IFERROR(INDEX(CONFIG!$C$4:$C$43,MATCH($K1011,CONFIG!$A$4:$A$43,0)),3)))</f>
        <v/>
      </c>
      <c r="V1011" s="46" t="n"/>
      <c r="W1011" s="23">
        <f>IF($B1011="","",IF($V1011&lt;&gt;"",$V1011-$B1011,TODAY()-$B1011))</f>
        <v/>
      </c>
      <c r="X1011" s="27">
        <f>IF($C1011="","",IF(IFERROR(INDEX(CONFIG!$K$4:$K$43,MATCH($S1011,CONFIG!$J$4:$J$43,0)),"NO")="SÍ",IF(OR($V1011="",$U1011=""),"Resuelta",IF($V1011&gt;$U1011,"Resuelta tarde","Resuelta a tiempo")),IF($U1011="","Sin clasificar",IF(TODAY()&gt;$U1011,"Vencida",IF(TODAY()&gt;=$U1011-1,"Por vencer","En plazo")))))</f>
        <v/>
      </c>
      <c r="Y1011" s="49" t="n"/>
      <c r="Z1011" s="49" t="n"/>
    </row>
    <row r="1012" ht="16" customHeight="1">
      <c r="A1012" s="27">
        <f>IF($C1012="","","N-"&amp;TEXT(ROW()-3,"0000"))</f>
        <v/>
      </c>
      <c r="B1012" s="46" t="n"/>
      <c r="C1012" s="47" t="n"/>
      <c r="D1012" s="27">
        <f>IF($C1012="","",IF(COUNTIFS(ENVIOS!$A$4:$A$3003,$C1012)=0,"NO EXISTE",IF(COUNTIFS(ENVIOS!$A$4:$A$3003,$C1012)&gt;1,"DUPLICADA","OK")))</f>
        <v/>
      </c>
      <c r="E1012" s="22">
        <f>IF($C1012="","",IFERROR(INDEX(ENVIOS!$C$4:$C$3003,MATCH($C1012,ENVIOS!$A$4:$A$3003,0)),"—"))</f>
        <v/>
      </c>
      <c r="F1012" s="22">
        <f>IF($C1012="","",IFERROR(INDEX(ENVIOS!$D$4:$D$3003,MATCH($C1012,ENVIOS!$A$4:$A$3003,0)),"—"))</f>
        <v/>
      </c>
      <c r="G1012" s="22">
        <f>IF($C1012="","",IFERROR(INDEX(ENVIOS!$E$4:$E$3003,MATCH($C1012,ENVIOS!$A$4:$A$3003,0)),"—"))</f>
        <v/>
      </c>
      <c r="H1012" s="22">
        <f>IF($C1012="","",IFERROR(INDEX(ENVIOS!$F$4:$F$3003,MATCH($C1012,ENVIOS!$A$4:$A$3003,0)),"—"))</f>
        <v/>
      </c>
      <c r="I1012" s="27">
        <f>IF($C1012="","",IFERROR(INDEX(ENVIOS!$G$4:$G$3003,MATCH($C1012,ENVIOS!$A$4:$A$3003,0)),"—"))</f>
        <v/>
      </c>
      <c r="J1012" s="48">
        <f>IF($C1012="","",IFERROR(INDEX(ENVIOS!$B$4:$B$3003,MATCH($C1012,ENVIOS!$A$4:$A$3003,0)),""))</f>
        <v/>
      </c>
      <c r="K1012" s="49" t="n"/>
      <c r="L1012" s="27">
        <f>IF($K1012="","",IFERROR(INDEX(CONFIG!$B$4:$B$43,MATCH($K1012,CONFIG!$A$4:$A$43,0)),"Media"))</f>
        <v/>
      </c>
      <c r="M1012" s="27">
        <f>IF($K1012="","",IFERROR(INDEX(CONFIG!$D$4:$D$43,MATCH($K1012,CONFIG!$A$4:$A$43,0)),"NO"))</f>
        <v/>
      </c>
      <c r="N1012" s="49" t="n"/>
      <c r="O1012" s="27">
        <f>IF($N1012="","",IFERROR(INDEX(CONFIG!$G$4:$G$43,MATCH($N1012,CONFIG!$F$4:$F$43,0)),"Por definir"))</f>
        <v/>
      </c>
      <c r="P1012" s="27">
        <f>IF($N1012="","",IFERROR(INDEX(CONFIG!$H$4:$H$43,MATCH($N1012,CONFIG!$F$4:$F$43,0)),"Por definir"))</f>
        <v/>
      </c>
      <c r="Q1012" s="50" t="n"/>
      <c r="R1012" s="51" t="n"/>
      <c r="S1012" s="49" t="n"/>
      <c r="T1012" s="49" t="n"/>
      <c r="U1012" s="48">
        <f>IF(OR($B1012="",$K1012=""),"",WORKDAY($B1012,IFERROR(INDEX(CONFIG!$C$4:$C$43,MATCH($K1012,CONFIG!$A$4:$A$43,0)),3)))</f>
        <v/>
      </c>
      <c r="V1012" s="46" t="n"/>
      <c r="W1012" s="23">
        <f>IF($B1012="","",IF($V1012&lt;&gt;"",$V1012-$B1012,TODAY()-$B1012))</f>
        <v/>
      </c>
      <c r="X1012" s="27">
        <f>IF($C1012="","",IF(IFERROR(INDEX(CONFIG!$K$4:$K$43,MATCH($S1012,CONFIG!$J$4:$J$43,0)),"NO")="SÍ",IF(OR($V1012="",$U1012=""),"Resuelta",IF($V1012&gt;$U1012,"Resuelta tarde","Resuelta a tiempo")),IF($U1012="","Sin clasificar",IF(TODAY()&gt;$U1012,"Vencida",IF(TODAY()&gt;=$U1012-1,"Por vencer","En plazo")))))</f>
        <v/>
      </c>
      <c r="Y1012" s="49" t="n"/>
      <c r="Z1012" s="49" t="n"/>
    </row>
    <row r="1013" ht="16" customHeight="1">
      <c r="A1013" s="27">
        <f>IF($C1013="","","N-"&amp;TEXT(ROW()-3,"0000"))</f>
        <v/>
      </c>
      <c r="B1013" s="46" t="n"/>
      <c r="C1013" s="47" t="n"/>
      <c r="D1013" s="27">
        <f>IF($C1013="","",IF(COUNTIFS(ENVIOS!$A$4:$A$3003,$C1013)=0,"NO EXISTE",IF(COUNTIFS(ENVIOS!$A$4:$A$3003,$C1013)&gt;1,"DUPLICADA","OK")))</f>
        <v/>
      </c>
      <c r="E1013" s="22">
        <f>IF($C1013="","",IFERROR(INDEX(ENVIOS!$C$4:$C$3003,MATCH($C1013,ENVIOS!$A$4:$A$3003,0)),"—"))</f>
        <v/>
      </c>
      <c r="F1013" s="22">
        <f>IF($C1013="","",IFERROR(INDEX(ENVIOS!$D$4:$D$3003,MATCH($C1013,ENVIOS!$A$4:$A$3003,0)),"—"))</f>
        <v/>
      </c>
      <c r="G1013" s="22">
        <f>IF($C1013="","",IFERROR(INDEX(ENVIOS!$E$4:$E$3003,MATCH($C1013,ENVIOS!$A$4:$A$3003,0)),"—"))</f>
        <v/>
      </c>
      <c r="H1013" s="22">
        <f>IF($C1013="","",IFERROR(INDEX(ENVIOS!$F$4:$F$3003,MATCH($C1013,ENVIOS!$A$4:$A$3003,0)),"—"))</f>
        <v/>
      </c>
      <c r="I1013" s="27">
        <f>IF($C1013="","",IFERROR(INDEX(ENVIOS!$G$4:$G$3003,MATCH($C1013,ENVIOS!$A$4:$A$3003,0)),"—"))</f>
        <v/>
      </c>
      <c r="J1013" s="48">
        <f>IF($C1013="","",IFERROR(INDEX(ENVIOS!$B$4:$B$3003,MATCH($C1013,ENVIOS!$A$4:$A$3003,0)),""))</f>
        <v/>
      </c>
      <c r="K1013" s="49" t="n"/>
      <c r="L1013" s="27">
        <f>IF($K1013="","",IFERROR(INDEX(CONFIG!$B$4:$B$43,MATCH($K1013,CONFIG!$A$4:$A$43,0)),"Media"))</f>
        <v/>
      </c>
      <c r="M1013" s="27">
        <f>IF($K1013="","",IFERROR(INDEX(CONFIG!$D$4:$D$43,MATCH($K1013,CONFIG!$A$4:$A$43,0)),"NO"))</f>
        <v/>
      </c>
      <c r="N1013" s="49" t="n"/>
      <c r="O1013" s="27">
        <f>IF($N1013="","",IFERROR(INDEX(CONFIG!$G$4:$G$43,MATCH($N1013,CONFIG!$F$4:$F$43,0)),"Por definir"))</f>
        <v/>
      </c>
      <c r="P1013" s="27">
        <f>IF($N1013="","",IFERROR(INDEX(CONFIG!$H$4:$H$43,MATCH($N1013,CONFIG!$F$4:$F$43,0)),"Por definir"))</f>
        <v/>
      </c>
      <c r="Q1013" s="50" t="n"/>
      <c r="R1013" s="51" t="n"/>
      <c r="S1013" s="49" t="n"/>
      <c r="T1013" s="49" t="n"/>
      <c r="U1013" s="48">
        <f>IF(OR($B1013="",$K1013=""),"",WORKDAY($B1013,IFERROR(INDEX(CONFIG!$C$4:$C$43,MATCH($K1013,CONFIG!$A$4:$A$43,0)),3)))</f>
        <v/>
      </c>
      <c r="V1013" s="46" t="n"/>
      <c r="W1013" s="23">
        <f>IF($B1013="","",IF($V1013&lt;&gt;"",$V1013-$B1013,TODAY()-$B1013))</f>
        <v/>
      </c>
      <c r="X1013" s="27">
        <f>IF($C1013="","",IF(IFERROR(INDEX(CONFIG!$K$4:$K$43,MATCH($S1013,CONFIG!$J$4:$J$43,0)),"NO")="SÍ",IF(OR($V1013="",$U1013=""),"Resuelta",IF($V1013&gt;$U1013,"Resuelta tarde","Resuelta a tiempo")),IF($U1013="","Sin clasificar",IF(TODAY()&gt;$U1013,"Vencida",IF(TODAY()&gt;=$U1013-1,"Por vencer","En plazo")))))</f>
        <v/>
      </c>
      <c r="Y1013" s="49" t="n"/>
      <c r="Z1013" s="49" t="n"/>
    </row>
    <row r="1014" ht="16" customHeight="1">
      <c r="A1014" s="27">
        <f>IF($C1014="","","N-"&amp;TEXT(ROW()-3,"0000"))</f>
        <v/>
      </c>
      <c r="B1014" s="46" t="n"/>
      <c r="C1014" s="47" t="n"/>
      <c r="D1014" s="27">
        <f>IF($C1014="","",IF(COUNTIFS(ENVIOS!$A$4:$A$3003,$C1014)=0,"NO EXISTE",IF(COUNTIFS(ENVIOS!$A$4:$A$3003,$C1014)&gt;1,"DUPLICADA","OK")))</f>
        <v/>
      </c>
      <c r="E1014" s="22">
        <f>IF($C1014="","",IFERROR(INDEX(ENVIOS!$C$4:$C$3003,MATCH($C1014,ENVIOS!$A$4:$A$3003,0)),"—"))</f>
        <v/>
      </c>
      <c r="F1014" s="22">
        <f>IF($C1014="","",IFERROR(INDEX(ENVIOS!$D$4:$D$3003,MATCH($C1014,ENVIOS!$A$4:$A$3003,0)),"—"))</f>
        <v/>
      </c>
      <c r="G1014" s="22">
        <f>IF($C1014="","",IFERROR(INDEX(ENVIOS!$E$4:$E$3003,MATCH($C1014,ENVIOS!$A$4:$A$3003,0)),"—"))</f>
        <v/>
      </c>
      <c r="H1014" s="22">
        <f>IF($C1014="","",IFERROR(INDEX(ENVIOS!$F$4:$F$3003,MATCH($C1014,ENVIOS!$A$4:$A$3003,0)),"—"))</f>
        <v/>
      </c>
      <c r="I1014" s="27">
        <f>IF($C1014="","",IFERROR(INDEX(ENVIOS!$G$4:$G$3003,MATCH($C1014,ENVIOS!$A$4:$A$3003,0)),"—"))</f>
        <v/>
      </c>
      <c r="J1014" s="48">
        <f>IF($C1014="","",IFERROR(INDEX(ENVIOS!$B$4:$B$3003,MATCH($C1014,ENVIOS!$A$4:$A$3003,0)),""))</f>
        <v/>
      </c>
      <c r="K1014" s="49" t="n"/>
      <c r="L1014" s="27">
        <f>IF($K1014="","",IFERROR(INDEX(CONFIG!$B$4:$B$43,MATCH($K1014,CONFIG!$A$4:$A$43,0)),"Media"))</f>
        <v/>
      </c>
      <c r="M1014" s="27">
        <f>IF($K1014="","",IFERROR(INDEX(CONFIG!$D$4:$D$43,MATCH($K1014,CONFIG!$A$4:$A$43,0)),"NO"))</f>
        <v/>
      </c>
      <c r="N1014" s="49" t="n"/>
      <c r="O1014" s="27">
        <f>IF($N1014="","",IFERROR(INDEX(CONFIG!$G$4:$G$43,MATCH($N1014,CONFIG!$F$4:$F$43,0)),"Por definir"))</f>
        <v/>
      </c>
      <c r="P1014" s="27">
        <f>IF($N1014="","",IFERROR(INDEX(CONFIG!$H$4:$H$43,MATCH($N1014,CONFIG!$F$4:$F$43,0)),"Por definir"))</f>
        <v/>
      </c>
      <c r="Q1014" s="50" t="n"/>
      <c r="R1014" s="51" t="n"/>
      <c r="S1014" s="49" t="n"/>
      <c r="T1014" s="49" t="n"/>
      <c r="U1014" s="48">
        <f>IF(OR($B1014="",$K1014=""),"",WORKDAY($B1014,IFERROR(INDEX(CONFIG!$C$4:$C$43,MATCH($K1014,CONFIG!$A$4:$A$43,0)),3)))</f>
        <v/>
      </c>
      <c r="V1014" s="46" t="n"/>
      <c r="W1014" s="23">
        <f>IF($B1014="","",IF($V1014&lt;&gt;"",$V1014-$B1014,TODAY()-$B1014))</f>
        <v/>
      </c>
      <c r="X1014" s="27">
        <f>IF($C1014="","",IF(IFERROR(INDEX(CONFIG!$K$4:$K$43,MATCH($S1014,CONFIG!$J$4:$J$43,0)),"NO")="SÍ",IF(OR($V1014="",$U1014=""),"Resuelta",IF($V1014&gt;$U1014,"Resuelta tarde","Resuelta a tiempo")),IF($U1014="","Sin clasificar",IF(TODAY()&gt;$U1014,"Vencida",IF(TODAY()&gt;=$U1014-1,"Por vencer","En plazo")))))</f>
        <v/>
      </c>
      <c r="Y1014" s="49" t="n"/>
      <c r="Z1014" s="49" t="n"/>
    </row>
    <row r="1015" ht="16" customHeight="1">
      <c r="A1015" s="27">
        <f>IF($C1015="","","N-"&amp;TEXT(ROW()-3,"0000"))</f>
        <v/>
      </c>
      <c r="B1015" s="46" t="n"/>
      <c r="C1015" s="47" t="n"/>
      <c r="D1015" s="27">
        <f>IF($C1015="","",IF(COUNTIFS(ENVIOS!$A$4:$A$3003,$C1015)=0,"NO EXISTE",IF(COUNTIFS(ENVIOS!$A$4:$A$3003,$C1015)&gt;1,"DUPLICADA","OK")))</f>
        <v/>
      </c>
      <c r="E1015" s="22">
        <f>IF($C1015="","",IFERROR(INDEX(ENVIOS!$C$4:$C$3003,MATCH($C1015,ENVIOS!$A$4:$A$3003,0)),"—"))</f>
        <v/>
      </c>
      <c r="F1015" s="22">
        <f>IF($C1015="","",IFERROR(INDEX(ENVIOS!$D$4:$D$3003,MATCH($C1015,ENVIOS!$A$4:$A$3003,0)),"—"))</f>
        <v/>
      </c>
      <c r="G1015" s="22">
        <f>IF($C1015="","",IFERROR(INDEX(ENVIOS!$E$4:$E$3003,MATCH($C1015,ENVIOS!$A$4:$A$3003,0)),"—"))</f>
        <v/>
      </c>
      <c r="H1015" s="22">
        <f>IF($C1015="","",IFERROR(INDEX(ENVIOS!$F$4:$F$3003,MATCH($C1015,ENVIOS!$A$4:$A$3003,0)),"—"))</f>
        <v/>
      </c>
      <c r="I1015" s="27">
        <f>IF($C1015="","",IFERROR(INDEX(ENVIOS!$G$4:$G$3003,MATCH($C1015,ENVIOS!$A$4:$A$3003,0)),"—"))</f>
        <v/>
      </c>
      <c r="J1015" s="48">
        <f>IF($C1015="","",IFERROR(INDEX(ENVIOS!$B$4:$B$3003,MATCH($C1015,ENVIOS!$A$4:$A$3003,0)),""))</f>
        <v/>
      </c>
      <c r="K1015" s="49" t="n"/>
      <c r="L1015" s="27">
        <f>IF($K1015="","",IFERROR(INDEX(CONFIG!$B$4:$B$43,MATCH($K1015,CONFIG!$A$4:$A$43,0)),"Media"))</f>
        <v/>
      </c>
      <c r="M1015" s="27">
        <f>IF($K1015="","",IFERROR(INDEX(CONFIG!$D$4:$D$43,MATCH($K1015,CONFIG!$A$4:$A$43,0)),"NO"))</f>
        <v/>
      </c>
      <c r="N1015" s="49" t="n"/>
      <c r="O1015" s="27">
        <f>IF($N1015="","",IFERROR(INDEX(CONFIG!$G$4:$G$43,MATCH($N1015,CONFIG!$F$4:$F$43,0)),"Por definir"))</f>
        <v/>
      </c>
      <c r="P1015" s="27">
        <f>IF($N1015="","",IFERROR(INDEX(CONFIG!$H$4:$H$43,MATCH($N1015,CONFIG!$F$4:$F$43,0)),"Por definir"))</f>
        <v/>
      </c>
      <c r="Q1015" s="50" t="n"/>
      <c r="R1015" s="51" t="n"/>
      <c r="S1015" s="49" t="n"/>
      <c r="T1015" s="49" t="n"/>
      <c r="U1015" s="48">
        <f>IF(OR($B1015="",$K1015=""),"",WORKDAY($B1015,IFERROR(INDEX(CONFIG!$C$4:$C$43,MATCH($K1015,CONFIG!$A$4:$A$43,0)),3)))</f>
        <v/>
      </c>
      <c r="V1015" s="46" t="n"/>
      <c r="W1015" s="23">
        <f>IF($B1015="","",IF($V1015&lt;&gt;"",$V1015-$B1015,TODAY()-$B1015))</f>
        <v/>
      </c>
      <c r="X1015" s="27">
        <f>IF($C1015="","",IF(IFERROR(INDEX(CONFIG!$K$4:$K$43,MATCH($S1015,CONFIG!$J$4:$J$43,0)),"NO")="SÍ",IF(OR($V1015="",$U1015=""),"Resuelta",IF($V1015&gt;$U1015,"Resuelta tarde","Resuelta a tiempo")),IF($U1015="","Sin clasificar",IF(TODAY()&gt;$U1015,"Vencida",IF(TODAY()&gt;=$U1015-1,"Por vencer","En plazo")))))</f>
        <v/>
      </c>
      <c r="Y1015" s="49" t="n"/>
      <c r="Z1015" s="49" t="n"/>
    </row>
    <row r="1016" ht="16" customHeight="1">
      <c r="A1016" s="27">
        <f>IF($C1016="","","N-"&amp;TEXT(ROW()-3,"0000"))</f>
        <v/>
      </c>
      <c r="B1016" s="46" t="n"/>
      <c r="C1016" s="47" t="n"/>
      <c r="D1016" s="27">
        <f>IF($C1016="","",IF(COUNTIFS(ENVIOS!$A$4:$A$3003,$C1016)=0,"NO EXISTE",IF(COUNTIFS(ENVIOS!$A$4:$A$3003,$C1016)&gt;1,"DUPLICADA","OK")))</f>
        <v/>
      </c>
      <c r="E1016" s="22">
        <f>IF($C1016="","",IFERROR(INDEX(ENVIOS!$C$4:$C$3003,MATCH($C1016,ENVIOS!$A$4:$A$3003,0)),"—"))</f>
        <v/>
      </c>
      <c r="F1016" s="22">
        <f>IF($C1016="","",IFERROR(INDEX(ENVIOS!$D$4:$D$3003,MATCH($C1016,ENVIOS!$A$4:$A$3003,0)),"—"))</f>
        <v/>
      </c>
      <c r="G1016" s="22">
        <f>IF($C1016="","",IFERROR(INDEX(ENVIOS!$E$4:$E$3003,MATCH($C1016,ENVIOS!$A$4:$A$3003,0)),"—"))</f>
        <v/>
      </c>
      <c r="H1016" s="22">
        <f>IF($C1016="","",IFERROR(INDEX(ENVIOS!$F$4:$F$3003,MATCH($C1016,ENVIOS!$A$4:$A$3003,0)),"—"))</f>
        <v/>
      </c>
      <c r="I1016" s="27">
        <f>IF($C1016="","",IFERROR(INDEX(ENVIOS!$G$4:$G$3003,MATCH($C1016,ENVIOS!$A$4:$A$3003,0)),"—"))</f>
        <v/>
      </c>
      <c r="J1016" s="48">
        <f>IF($C1016="","",IFERROR(INDEX(ENVIOS!$B$4:$B$3003,MATCH($C1016,ENVIOS!$A$4:$A$3003,0)),""))</f>
        <v/>
      </c>
      <c r="K1016" s="49" t="n"/>
      <c r="L1016" s="27">
        <f>IF($K1016="","",IFERROR(INDEX(CONFIG!$B$4:$B$43,MATCH($K1016,CONFIG!$A$4:$A$43,0)),"Media"))</f>
        <v/>
      </c>
      <c r="M1016" s="27">
        <f>IF($K1016="","",IFERROR(INDEX(CONFIG!$D$4:$D$43,MATCH($K1016,CONFIG!$A$4:$A$43,0)),"NO"))</f>
        <v/>
      </c>
      <c r="N1016" s="49" t="n"/>
      <c r="O1016" s="27">
        <f>IF($N1016="","",IFERROR(INDEX(CONFIG!$G$4:$G$43,MATCH($N1016,CONFIG!$F$4:$F$43,0)),"Por definir"))</f>
        <v/>
      </c>
      <c r="P1016" s="27">
        <f>IF($N1016="","",IFERROR(INDEX(CONFIG!$H$4:$H$43,MATCH($N1016,CONFIG!$F$4:$F$43,0)),"Por definir"))</f>
        <v/>
      </c>
      <c r="Q1016" s="50" t="n"/>
      <c r="R1016" s="51" t="n"/>
      <c r="S1016" s="49" t="n"/>
      <c r="T1016" s="49" t="n"/>
      <c r="U1016" s="48">
        <f>IF(OR($B1016="",$K1016=""),"",WORKDAY($B1016,IFERROR(INDEX(CONFIG!$C$4:$C$43,MATCH($K1016,CONFIG!$A$4:$A$43,0)),3)))</f>
        <v/>
      </c>
      <c r="V1016" s="46" t="n"/>
      <c r="W1016" s="23">
        <f>IF($B1016="","",IF($V1016&lt;&gt;"",$V1016-$B1016,TODAY()-$B1016))</f>
        <v/>
      </c>
      <c r="X1016" s="27">
        <f>IF($C1016="","",IF(IFERROR(INDEX(CONFIG!$K$4:$K$43,MATCH($S1016,CONFIG!$J$4:$J$43,0)),"NO")="SÍ",IF(OR($V1016="",$U1016=""),"Resuelta",IF($V1016&gt;$U1016,"Resuelta tarde","Resuelta a tiempo")),IF($U1016="","Sin clasificar",IF(TODAY()&gt;$U1016,"Vencida",IF(TODAY()&gt;=$U1016-1,"Por vencer","En plazo")))))</f>
        <v/>
      </c>
      <c r="Y1016" s="49" t="n"/>
      <c r="Z1016" s="49" t="n"/>
    </row>
    <row r="1017" ht="16" customHeight="1">
      <c r="A1017" s="27">
        <f>IF($C1017="","","N-"&amp;TEXT(ROW()-3,"0000"))</f>
        <v/>
      </c>
      <c r="B1017" s="46" t="n"/>
      <c r="C1017" s="47" t="n"/>
      <c r="D1017" s="27">
        <f>IF($C1017="","",IF(COUNTIFS(ENVIOS!$A$4:$A$3003,$C1017)=0,"NO EXISTE",IF(COUNTIFS(ENVIOS!$A$4:$A$3003,$C1017)&gt;1,"DUPLICADA","OK")))</f>
        <v/>
      </c>
      <c r="E1017" s="22">
        <f>IF($C1017="","",IFERROR(INDEX(ENVIOS!$C$4:$C$3003,MATCH($C1017,ENVIOS!$A$4:$A$3003,0)),"—"))</f>
        <v/>
      </c>
      <c r="F1017" s="22">
        <f>IF($C1017="","",IFERROR(INDEX(ENVIOS!$D$4:$D$3003,MATCH($C1017,ENVIOS!$A$4:$A$3003,0)),"—"))</f>
        <v/>
      </c>
      <c r="G1017" s="22">
        <f>IF($C1017="","",IFERROR(INDEX(ENVIOS!$E$4:$E$3003,MATCH($C1017,ENVIOS!$A$4:$A$3003,0)),"—"))</f>
        <v/>
      </c>
      <c r="H1017" s="22">
        <f>IF($C1017="","",IFERROR(INDEX(ENVIOS!$F$4:$F$3003,MATCH($C1017,ENVIOS!$A$4:$A$3003,0)),"—"))</f>
        <v/>
      </c>
      <c r="I1017" s="27">
        <f>IF($C1017="","",IFERROR(INDEX(ENVIOS!$G$4:$G$3003,MATCH($C1017,ENVIOS!$A$4:$A$3003,0)),"—"))</f>
        <v/>
      </c>
      <c r="J1017" s="48">
        <f>IF($C1017="","",IFERROR(INDEX(ENVIOS!$B$4:$B$3003,MATCH($C1017,ENVIOS!$A$4:$A$3003,0)),""))</f>
        <v/>
      </c>
      <c r="K1017" s="49" t="n"/>
      <c r="L1017" s="27">
        <f>IF($K1017="","",IFERROR(INDEX(CONFIG!$B$4:$B$43,MATCH($K1017,CONFIG!$A$4:$A$43,0)),"Media"))</f>
        <v/>
      </c>
      <c r="M1017" s="27">
        <f>IF($K1017="","",IFERROR(INDEX(CONFIG!$D$4:$D$43,MATCH($K1017,CONFIG!$A$4:$A$43,0)),"NO"))</f>
        <v/>
      </c>
      <c r="N1017" s="49" t="n"/>
      <c r="O1017" s="27">
        <f>IF($N1017="","",IFERROR(INDEX(CONFIG!$G$4:$G$43,MATCH($N1017,CONFIG!$F$4:$F$43,0)),"Por definir"))</f>
        <v/>
      </c>
      <c r="P1017" s="27">
        <f>IF($N1017="","",IFERROR(INDEX(CONFIG!$H$4:$H$43,MATCH($N1017,CONFIG!$F$4:$F$43,0)),"Por definir"))</f>
        <v/>
      </c>
      <c r="Q1017" s="50" t="n"/>
      <c r="R1017" s="51" t="n"/>
      <c r="S1017" s="49" t="n"/>
      <c r="T1017" s="49" t="n"/>
      <c r="U1017" s="48">
        <f>IF(OR($B1017="",$K1017=""),"",WORKDAY($B1017,IFERROR(INDEX(CONFIG!$C$4:$C$43,MATCH($K1017,CONFIG!$A$4:$A$43,0)),3)))</f>
        <v/>
      </c>
      <c r="V1017" s="46" t="n"/>
      <c r="W1017" s="23">
        <f>IF($B1017="","",IF($V1017&lt;&gt;"",$V1017-$B1017,TODAY()-$B1017))</f>
        <v/>
      </c>
      <c r="X1017" s="27">
        <f>IF($C1017="","",IF(IFERROR(INDEX(CONFIG!$K$4:$K$43,MATCH($S1017,CONFIG!$J$4:$J$43,0)),"NO")="SÍ",IF(OR($V1017="",$U1017=""),"Resuelta",IF($V1017&gt;$U1017,"Resuelta tarde","Resuelta a tiempo")),IF($U1017="","Sin clasificar",IF(TODAY()&gt;$U1017,"Vencida",IF(TODAY()&gt;=$U1017-1,"Por vencer","En plazo")))))</f>
        <v/>
      </c>
      <c r="Y1017" s="49" t="n"/>
      <c r="Z1017" s="49" t="n"/>
    </row>
    <row r="1018" ht="16" customHeight="1">
      <c r="A1018" s="27">
        <f>IF($C1018="","","N-"&amp;TEXT(ROW()-3,"0000"))</f>
        <v/>
      </c>
      <c r="B1018" s="46" t="n"/>
      <c r="C1018" s="47" t="n"/>
      <c r="D1018" s="27">
        <f>IF($C1018="","",IF(COUNTIFS(ENVIOS!$A$4:$A$3003,$C1018)=0,"NO EXISTE",IF(COUNTIFS(ENVIOS!$A$4:$A$3003,$C1018)&gt;1,"DUPLICADA","OK")))</f>
        <v/>
      </c>
      <c r="E1018" s="22">
        <f>IF($C1018="","",IFERROR(INDEX(ENVIOS!$C$4:$C$3003,MATCH($C1018,ENVIOS!$A$4:$A$3003,0)),"—"))</f>
        <v/>
      </c>
      <c r="F1018" s="22">
        <f>IF($C1018="","",IFERROR(INDEX(ENVIOS!$D$4:$D$3003,MATCH($C1018,ENVIOS!$A$4:$A$3003,0)),"—"))</f>
        <v/>
      </c>
      <c r="G1018" s="22">
        <f>IF($C1018="","",IFERROR(INDEX(ENVIOS!$E$4:$E$3003,MATCH($C1018,ENVIOS!$A$4:$A$3003,0)),"—"))</f>
        <v/>
      </c>
      <c r="H1018" s="22">
        <f>IF($C1018="","",IFERROR(INDEX(ENVIOS!$F$4:$F$3003,MATCH($C1018,ENVIOS!$A$4:$A$3003,0)),"—"))</f>
        <v/>
      </c>
      <c r="I1018" s="27">
        <f>IF($C1018="","",IFERROR(INDEX(ENVIOS!$G$4:$G$3003,MATCH($C1018,ENVIOS!$A$4:$A$3003,0)),"—"))</f>
        <v/>
      </c>
      <c r="J1018" s="48">
        <f>IF($C1018="","",IFERROR(INDEX(ENVIOS!$B$4:$B$3003,MATCH($C1018,ENVIOS!$A$4:$A$3003,0)),""))</f>
        <v/>
      </c>
      <c r="K1018" s="49" t="n"/>
      <c r="L1018" s="27">
        <f>IF($K1018="","",IFERROR(INDEX(CONFIG!$B$4:$B$43,MATCH($K1018,CONFIG!$A$4:$A$43,0)),"Media"))</f>
        <v/>
      </c>
      <c r="M1018" s="27">
        <f>IF($K1018="","",IFERROR(INDEX(CONFIG!$D$4:$D$43,MATCH($K1018,CONFIG!$A$4:$A$43,0)),"NO"))</f>
        <v/>
      </c>
      <c r="N1018" s="49" t="n"/>
      <c r="O1018" s="27">
        <f>IF($N1018="","",IFERROR(INDEX(CONFIG!$G$4:$G$43,MATCH($N1018,CONFIG!$F$4:$F$43,0)),"Por definir"))</f>
        <v/>
      </c>
      <c r="P1018" s="27">
        <f>IF($N1018="","",IFERROR(INDEX(CONFIG!$H$4:$H$43,MATCH($N1018,CONFIG!$F$4:$F$43,0)),"Por definir"))</f>
        <v/>
      </c>
      <c r="Q1018" s="50" t="n"/>
      <c r="R1018" s="51" t="n"/>
      <c r="S1018" s="49" t="n"/>
      <c r="T1018" s="49" t="n"/>
      <c r="U1018" s="48">
        <f>IF(OR($B1018="",$K1018=""),"",WORKDAY($B1018,IFERROR(INDEX(CONFIG!$C$4:$C$43,MATCH($K1018,CONFIG!$A$4:$A$43,0)),3)))</f>
        <v/>
      </c>
      <c r="V1018" s="46" t="n"/>
      <c r="W1018" s="23">
        <f>IF($B1018="","",IF($V1018&lt;&gt;"",$V1018-$B1018,TODAY()-$B1018))</f>
        <v/>
      </c>
      <c r="X1018" s="27">
        <f>IF($C1018="","",IF(IFERROR(INDEX(CONFIG!$K$4:$K$43,MATCH($S1018,CONFIG!$J$4:$J$43,0)),"NO")="SÍ",IF(OR($V1018="",$U1018=""),"Resuelta",IF($V1018&gt;$U1018,"Resuelta tarde","Resuelta a tiempo")),IF($U1018="","Sin clasificar",IF(TODAY()&gt;$U1018,"Vencida",IF(TODAY()&gt;=$U1018-1,"Por vencer","En plazo")))))</f>
        <v/>
      </c>
      <c r="Y1018" s="49" t="n"/>
      <c r="Z1018" s="49" t="n"/>
    </row>
    <row r="1019" ht="16" customHeight="1">
      <c r="A1019" s="27">
        <f>IF($C1019="","","N-"&amp;TEXT(ROW()-3,"0000"))</f>
        <v/>
      </c>
      <c r="B1019" s="46" t="n"/>
      <c r="C1019" s="47" t="n"/>
      <c r="D1019" s="27">
        <f>IF($C1019="","",IF(COUNTIFS(ENVIOS!$A$4:$A$3003,$C1019)=0,"NO EXISTE",IF(COUNTIFS(ENVIOS!$A$4:$A$3003,$C1019)&gt;1,"DUPLICADA","OK")))</f>
        <v/>
      </c>
      <c r="E1019" s="22">
        <f>IF($C1019="","",IFERROR(INDEX(ENVIOS!$C$4:$C$3003,MATCH($C1019,ENVIOS!$A$4:$A$3003,0)),"—"))</f>
        <v/>
      </c>
      <c r="F1019" s="22">
        <f>IF($C1019="","",IFERROR(INDEX(ENVIOS!$D$4:$D$3003,MATCH($C1019,ENVIOS!$A$4:$A$3003,0)),"—"))</f>
        <v/>
      </c>
      <c r="G1019" s="22">
        <f>IF($C1019="","",IFERROR(INDEX(ENVIOS!$E$4:$E$3003,MATCH($C1019,ENVIOS!$A$4:$A$3003,0)),"—"))</f>
        <v/>
      </c>
      <c r="H1019" s="22">
        <f>IF($C1019="","",IFERROR(INDEX(ENVIOS!$F$4:$F$3003,MATCH($C1019,ENVIOS!$A$4:$A$3003,0)),"—"))</f>
        <v/>
      </c>
      <c r="I1019" s="27">
        <f>IF($C1019="","",IFERROR(INDEX(ENVIOS!$G$4:$G$3003,MATCH($C1019,ENVIOS!$A$4:$A$3003,0)),"—"))</f>
        <v/>
      </c>
      <c r="J1019" s="48">
        <f>IF($C1019="","",IFERROR(INDEX(ENVIOS!$B$4:$B$3003,MATCH($C1019,ENVIOS!$A$4:$A$3003,0)),""))</f>
        <v/>
      </c>
      <c r="K1019" s="49" t="n"/>
      <c r="L1019" s="27">
        <f>IF($K1019="","",IFERROR(INDEX(CONFIG!$B$4:$B$43,MATCH($K1019,CONFIG!$A$4:$A$43,0)),"Media"))</f>
        <v/>
      </c>
      <c r="M1019" s="27">
        <f>IF($K1019="","",IFERROR(INDEX(CONFIG!$D$4:$D$43,MATCH($K1019,CONFIG!$A$4:$A$43,0)),"NO"))</f>
        <v/>
      </c>
      <c r="N1019" s="49" t="n"/>
      <c r="O1019" s="27">
        <f>IF($N1019="","",IFERROR(INDEX(CONFIG!$G$4:$G$43,MATCH($N1019,CONFIG!$F$4:$F$43,0)),"Por definir"))</f>
        <v/>
      </c>
      <c r="P1019" s="27">
        <f>IF($N1019="","",IFERROR(INDEX(CONFIG!$H$4:$H$43,MATCH($N1019,CONFIG!$F$4:$F$43,0)),"Por definir"))</f>
        <v/>
      </c>
      <c r="Q1019" s="50" t="n"/>
      <c r="R1019" s="51" t="n"/>
      <c r="S1019" s="49" t="n"/>
      <c r="T1019" s="49" t="n"/>
      <c r="U1019" s="48">
        <f>IF(OR($B1019="",$K1019=""),"",WORKDAY($B1019,IFERROR(INDEX(CONFIG!$C$4:$C$43,MATCH($K1019,CONFIG!$A$4:$A$43,0)),3)))</f>
        <v/>
      </c>
      <c r="V1019" s="46" t="n"/>
      <c r="W1019" s="23">
        <f>IF($B1019="","",IF($V1019&lt;&gt;"",$V1019-$B1019,TODAY()-$B1019))</f>
        <v/>
      </c>
      <c r="X1019" s="27">
        <f>IF($C1019="","",IF(IFERROR(INDEX(CONFIG!$K$4:$K$43,MATCH($S1019,CONFIG!$J$4:$J$43,0)),"NO")="SÍ",IF(OR($V1019="",$U1019=""),"Resuelta",IF($V1019&gt;$U1019,"Resuelta tarde","Resuelta a tiempo")),IF($U1019="","Sin clasificar",IF(TODAY()&gt;$U1019,"Vencida",IF(TODAY()&gt;=$U1019-1,"Por vencer","En plazo")))))</f>
        <v/>
      </c>
      <c r="Y1019" s="49" t="n"/>
      <c r="Z1019" s="49" t="n"/>
    </row>
    <row r="1020" ht="16" customHeight="1">
      <c r="A1020" s="27">
        <f>IF($C1020="","","N-"&amp;TEXT(ROW()-3,"0000"))</f>
        <v/>
      </c>
      <c r="B1020" s="46" t="n"/>
      <c r="C1020" s="47" t="n"/>
      <c r="D1020" s="27">
        <f>IF($C1020="","",IF(COUNTIFS(ENVIOS!$A$4:$A$3003,$C1020)=0,"NO EXISTE",IF(COUNTIFS(ENVIOS!$A$4:$A$3003,$C1020)&gt;1,"DUPLICADA","OK")))</f>
        <v/>
      </c>
      <c r="E1020" s="22">
        <f>IF($C1020="","",IFERROR(INDEX(ENVIOS!$C$4:$C$3003,MATCH($C1020,ENVIOS!$A$4:$A$3003,0)),"—"))</f>
        <v/>
      </c>
      <c r="F1020" s="22">
        <f>IF($C1020="","",IFERROR(INDEX(ENVIOS!$D$4:$D$3003,MATCH($C1020,ENVIOS!$A$4:$A$3003,0)),"—"))</f>
        <v/>
      </c>
      <c r="G1020" s="22">
        <f>IF($C1020="","",IFERROR(INDEX(ENVIOS!$E$4:$E$3003,MATCH($C1020,ENVIOS!$A$4:$A$3003,0)),"—"))</f>
        <v/>
      </c>
      <c r="H1020" s="22">
        <f>IF($C1020="","",IFERROR(INDEX(ENVIOS!$F$4:$F$3003,MATCH($C1020,ENVIOS!$A$4:$A$3003,0)),"—"))</f>
        <v/>
      </c>
      <c r="I1020" s="27">
        <f>IF($C1020="","",IFERROR(INDEX(ENVIOS!$G$4:$G$3003,MATCH($C1020,ENVIOS!$A$4:$A$3003,0)),"—"))</f>
        <v/>
      </c>
      <c r="J1020" s="48">
        <f>IF($C1020="","",IFERROR(INDEX(ENVIOS!$B$4:$B$3003,MATCH($C1020,ENVIOS!$A$4:$A$3003,0)),""))</f>
        <v/>
      </c>
      <c r="K1020" s="49" t="n"/>
      <c r="L1020" s="27">
        <f>IF($K1020="","",IFERROR(INDEX(CONFIG!$B$4:$B$43,MATCH($K1020,CONFIG!$A$4:$A$43,0)),"Media"))</f>
        <v/>
      </c>
      <c r="M1020" s="27">
        <f>IF($K1020="","",IFERROR(INDEX(CONFIG!$D$4:$D$43,MATCH($K1020,CONFIG!$A$4:$A$43,0)),"NO"))</f>
        <v/>
      </c>
      <c r="N1020" s="49" t="n"/>
      <c r="O1020" s="27">
        <f>IF($N1020="","",IFERROR(INDEX(CONFIG!$G$4:$G$43,MATCH($N1020,CONFIG!$F$4:$F$43,0)),"Por definir"))</f>
        <v/>
      </c>
      <c r="P1020" s="27">
        <f>IF($N1020="","",IFERROR(INDEX(CONFIG!$H$4:$H$43,MATCH($N1020,CONFIG!$F$4:$F$43,0)),"Por definir"))</f>
        <v/>
      </c>
      <c r="Q1020" s="50" t="n"/>
      <c r="R1020" s="51" t="n"/>
      <c r="S1020" s="49" t="n"/>
      <c r="T1020" s="49" t="n"/>
      <c r="U1020" s="48">
        <f>IF(OR($B1020="",$K1020=""),"",WORKDAY($B1020,IFERROR(INDEX(CONFIG!$C$4:$C$43,MATCH($K1020,CONFIG!$A$4:$A$43,0)),3)))</f>
        <v/>
      </c>
      <c r="V1020" s="46" t="n"/>
      <c r="W1020" s="23">
        <f>IF($B1020="","",IF($V1020&lt;&gt;"",$V1020-$B1020,TODAY()-$B1020))</f>
        <v/>
      </c>
      <c r="X1020" s="27">
        <f>IF($C1020="","",IF(IFERROR(INDEX(CONFIG!$K$4:$K$43,MATCH($S1020,CONFIG!$J$4:$J$43,0)),"NO")="SÍ",IF(OR($V1020="",$U1020=""),"Resuelta",IF($V1020&gt;$U1020,"Resuelta tarde","Resuelta a tiempo")),IF($U1020="","Sin clasificar",IF(TODAY()&gt;$U1020,"Vencida",IF(TODAY()&gt;=$U1020-1,"Por vencer","En plazo")))))</f>
        <v/>
      </c>
      <c r="Y1020" s="49" t="n"/>
      <c r="Z1020" s="49" t="n"/>
    </row>
    <row r="1021" ht="16" customHeight="1">
      <c r="A1021" s="27">
        <f>IF($C1021="","","N-"&amp;TEXT(ROW()-3,"0000"))</f>
        <v/>
      </c>
      <c r="B1021" s="46" t="n"/>
      <c r="C1021" s="47" t="n"/>
      <c r="D1021" s="27">
        <f>IF($C1021="","",IF(COUNTIFS(ENVIOS!$A$4:$A$3003,$C1021)=0,"NO EXISTE",IF(COUNTIFS(ENVIOS!$A$4:$A$3003,$C1021)&gt;1,"DUPLICADA","OK")))</f>
        <v/>
      </c>
      <c r="E1021" s="22">
        <f>IF($C1021="","",IFERROR(INDEX(ENVIOS!$C$4:$C$3003,MATCH($C1021,ENVIOS!$A$4:$A$3003,0)),"—"))</f>
        <v/>
      </c>
      <c r="F1021" s="22">
        <f>IF($C1021="","",IFERROR(INDEX(ENVIOS!$D$4:$D$3003,MATCH($C1021,ENVIOS!$A$4:$A$3003,0)),"—"))</f>
        <v/>
      </c>
      <c r="G1021" s="22">
        <f>IF($C1021="","",IFERROR(INDEX(ENVIOS!$E$4:$E$3003,MATCH($C1021,ENVIOS!$A$4:$A$3003,0)),"—"))</f>
        <v/>
      </c>
      <c r="H1021" s="22">
        <f>IF($C1021="","",IFERROR(INDEX(ENVIOS!$F$4:$F$3003,MATCH($C1021,ENVIOS!$A$4:$A$3003,0)),"—"))</f>
        <v/>
      </c>
      <c r="I1021" s="27">
        <f>IF($C1021="","",IFERROR(INDEX(ENVIOS!$G$4:$G$3003,MATCH($C1021,ENVIOS!$A$4:$A$3003,0)),"—"))</f>
        <v/>
      </c>
      <c r="J1021" s="48">
        <f>IF($C1021="","",IFERROR(INDEX(ENVIOS!$B$4:$B$3003,MATCH($C1021,ENVIOS!$A$4:$A$3003,0)),""))</f>
        <v/>
      </c>
      <c r="K1021" s="49" t="n"/>
      <c r="L1021" s="27">
        <f>IF($K1021="","",IFERROR(INDEX(CONFIG!$B$4:$B$43,MATCH($K1021,CONFIG!$A$4:$A$43,0)),"Media"))</f>
        <v/>
      </c>
      <c r="M1021" s="27">
        <f>IF($K1021="","",IFERROR(INDEX(CONFIG!$D$4:$D$43,MATCH($K1021,CONFIG!$A$4:$A$43,0)),"NO"))</f>
        <v/>
      </c>
      <c r="N1021" s="49" t="n"/>
      <c r="O1021" s="27">
        <f>IF($N1021="","",IFERROR(INDEX(CONFIG!$G$4:$G$43,MATCH($N1021,CONFIG!$F$4:$F$43,0)),"Por definir"))</f>
        <v/>
      </c>
      <c r="P1021" s="27">
        <f>IF($N1021="","",IFERROR(INDEX(CONFIG!$H$4:$H$43,MATCH($N1021,CONFIG!$F$4:$F$43,0)),"Por definir"))</f>
        <v/>
      </c>
      <c r="Q1021" s="50" t="n"/>
      <c r="R1021" s="51" t="n"/>
      <c r="S1021" s="49" t="n"/>
      <c r="T1021" s="49" t="n"/>
      <c r="U1021" s="48">
        <f>IF(OR($B1021="",$K1021=""),"",WORKDAY($B1021,IFERROR(INDEX(CONFIG!$C$4:$C$43,MATCH($K1021,CONFIG!$A$4:$A$43,0)),3)))</f>
        <v/>
      </c>
      <c r="V1021" s="46" t="n"/>
      <c r="W1021" s="23">
        <f>IF($B1021="","",IF($V1021&lt;&gt;"",$V1021-$B1021,TODAY()-$B1021))</f>
        <v/>
      </c>
      <c r="X1021" s="27">
        <f>IF($C1021="","",IF(IFERROR(INDEX(CONFIG!$K$4:$K$43,MATCH($S1021,CONFIG!$J$4:$J$43,0)),"NO")="SÍ",IF(OR($V1021="",$U1021=""),"Resuelta",IF($V1021&gt;$U1021,"Resuelta tarde","Resuelta a tiempo")),IF($U1021="","Sin clasificar",IF(TODAY()&gt;$U1021,"Vencida",IF(TODAY()&gt;=$U1021-1,"Por vencer","En plazo")))))</f>
        <v/>
      </c>
      <c r="Y1021" s="49" t="n"/>
      <c r="Z1021" s="49" t="n"/>
    </row>
    <row r="1022" ht="16" customHeight="1">
      <c r="A1022" s="27">
        <f>IF($C1022="","","N-"&amp;TEXT(ROW()-3,"0000"))</f>
        <v/>
      </c>
      <c r="B1022" s="46" t="n"/>
      <c r="C1022" s="47" t="n"/>
      <c r="D1022" s="27">
        <f>IF($C1022="","",IF(COUNTIFS(ENVIOS!$A$4:$A$3003,$C1022)=0,"NO EXISTE",IF(COUNTIFS(ENVIOS!$A$4:$A$3003,$C1022)&gt;1,"DUPLICADA","OK")))</f>
        <v/>
      </c>
      <c r="E1022" s="22">
        <f>IF($C1022="","",IFERROR(INDEX(ENVIOS!$C$4:$C$3003,MATCH($C1022,ENVIOS!$A$4:$A$3003,0)),"—"))</f>
        <v/>
      </c>
      <c r="F1022" s="22">
        <f>IF($C1022="","",IFERROR(INDEX(ENVIOS!$D$4:$D$3003,MATCH($C1022,ENVIOS!$A$4:$A$3003,0)),"—"))</f>
        <v/>
      </c>
      <c r="G1022" s="22">
        <f>IF($C1022="","",IFERROR(INDEX(ENVIOS!$E$4:$E$3003,MATCH($C1022,ENVIOS!$A$4:$A$3003,0)),"—"))</f>
        <v/>
      </c>
      <c r="H1022" s="22">
        <f>IF($C1022="","",IFERROR(INDEX(ENVIOS!$F$4:$F$3003,MATCH($C1022,ENVIOS!$A$4:$A$3003,0)),"—"))</f>
        <v/>
      </c>
      <c r="I1022" s="27">
        <f>IF($C1022="","",IFERROR(INDEX(ENVIOS!$G$4:$G$3003,MATCH($C1022,ENVIOS!$A$4:$A$3003,0)),"—"))</f>
        <v/>
      </c>
      <c r="J1022" s="48">
        <f>IF($C1022="","",IFERROR(INDEX(ENVIOS!$B$4:$B$3003,MATCH($C1022,ENVIOS!$A$4:$A$3003,0)),""))</f>
        <v/>
      </c>
      <c r="K1022" s="49" t="n"/>
      <c r="L1022" s="27">
        <f>IF($K1022="","",IFERROR(INDEX(CONFIG!$B$4:$B$43,MATCH($K1022,CONFIG!$A$4:$A$43,0)),"Media"))</f>
        <v/>
      </c>
      <c r="M1022" s="27">
        <f>IF($K1022="","",IFERROR(INDEX(CONFIG!$D$4:$D$43,MATCH($K1022,CONFIG!$A$4:$A$43,0)),"NO"))</f>
        <v/>
      </c>
      <c r="N1022" s="49" t="n"/>
      <c r="O1022" s="27">
        <f>IF($N1022="","",IFERROR(INDEX(CONFIG!$G$4:$G$43,MATCH($N1022,CONFIG!$F$4:$F$43,0)),"Por definir"))</f>
        <v/>
      </c>
      <c r="P1022" s="27">
        <f>IF($N1022="","",IFERROR(INDEX(CONFIG!$H$4:$H$43,MATCH($N1022,CONFIG!$F$4:$F$43,0)),"Por definir"))</f>
        <v/>
      </c>
      <c r="Q1022" s="50" t="n"/>
      <c r="R1022" s="51" t="n"/>
      <c r="S1022" s="49" t="n"/>
      <c r="T1022" s="49" t="n"/>
      <c r="U1022" s="48">
        <f>IF(OR($B1022="",$K1022=""),"",WORKDAY($B1022,IFERROR(INDEX(CONFIG!$C$4:$C$43,MATCH($K1022,CONFIG!$A$4:$A$43,0)),3)))</f>
        <v/>
      </c>
      <c r="V1022" s="46" t="n"/>
      <c r="W1022" s="23">
        <f>IF($B1022="","",IF($V1022&lt;&gt;"",$V1022-$B1022,TODAY()-$B1022))</f>
        <v/>
      </c>
      <c r="X1022" s="27">
        <f>IF($C1022="","",IF(IFERROR(INDEX(CONFIG!$K$4:$K$43,MATCH($S1022,CONFIG!$J$4:$J$43,0)),"NO")="SÍ",IF(OR($V1022="",$U1022=""),"Resuelta",IF($V1022&gt;$U1022,"Resuelta tarde","Resuelta a tiempo")),IF($U1022="","Sin clasificar",IF(TODAY()&gt;$U1022,"Vencida",IF(TODAY()&gt;=$U1022-1,"Por vencer","En plazo")))))</f>
        <v/>
      </c>
      <c r="Y1022" s="49" t="n"/>
      <c r="Z1022" s="49" t="n"/>
    </row>
    <row r="1023" ht="16" customHeight="1">
      <c r="A1023" s="27">
        <f>IF($C1023="","","N-"&amp;TEXT(ROW()-3,"0000"))</f>
        <v/>
      </c>
      <c r="B1023" s="46" t="n"/>
      <c r="C1023" s="47" t="n"/>
      <c r="D1023" s="27">
        <f>IF($C1023="","",IF(COUNTIFS(ENVIOS!$A$4:$A$3003,$C1023)=0,"NO EXISTE",IF(COUNTIFS(ENVIOS!$A$4:$A$3003,$C1023)&gt;1,"DUPLICADA","OK")))</f>
        <v/>
      </c>
      <c r="E1023" s="22">
        <f>IF($C1023="","",IFERROR(INDEX(ENVIOS!$C$4:$C$3003,MATCH($C1023,ENVIOS!$A$4:$A$3003,0)),"—"))</f>
        <v/>
      </c>
      <c r="F1023" s="22">
        <f>IF($C1023="","",IFERROR(INDEX(ENVIOS!$D$4:$D$3003,MATCH($C1023,ENVIOS!$A$4:$A$3003,0)),"—"))</f>
        <v/>
      </c>
      <c r="G1023" s="22">
        <f>IF($C1023="","",IFERROR(INDEX(ENVIOS!$E$4:$E$3003,MATCH($C1023,ENVIOS!$A$4:$A$3003,0)),"—"))</f>
        <v/>
      </c>
      <c r="H1023" s="22">
        <f>IF($C1023="","",IFERROR(INDEX(ENVIOS!$F$4:$F$3003,MATCH($C1023,ENVIOS!$A$4:$A$3003,0)),"—"))</f>
        <v/>
      </c>
      <c r="I1023" s="27">
        <f>IF($C1023="","",IFERROR(INDEX(ENVIOS!$G$4:$G$3003,MATCH($C1023,ENVIOS!$A$4:$A$3003,0)),"—"))</f>
        <v/>
      </c>
      <c r="J1023" s="48">
        <f>IF($C1023="","",IFERROR(INDEX(ENVIOS!$B$4:$B$3003,MATCH($C1023,ENVIOS!$A$4:$A$3003,0)),""))</f>
        <v/>
      </c>
      <c r="K1023" s="49" t="n"/>
      <c r="L1023" s="27">
        <f>IF($K1023="","",IFERROR(INDEX(CONFIG!$B$4:$B$43,MATCH($K1023,CONFIG!$A$4:$A$43,0)),"Media"))</f>
        <v/>
      </c>
      <c r="M1023" s="27">
        <f>IF($K1023="","",IFERROR(INDEX(CONFIG!$D$4:$D$43,MATCH($K1023,CONFIG!$A$4:$A$43,0)),"NO"))</f>
        <v/>
      </c>
      <c r="N1023" s="49" t="n"/>
      <c r="O1023" s="27">
        <f>IF($N1023="","",IFERROR(INDEX(CONFIG!$G$4:$G$43,MATCH($N1023,CONFIG!$F$4:$F$43,0)),"Por definir"))</f>
        <v/>
      </c>
      <c r="P1023" s="27">
        <f>IF($N1023="","",IFERROR(INDEX(CONFIG!$H$4:$H$43,MATCH($N1023,CONFIG!$F$4:$F$43,0)),"Por definir"))</f>
        <v/>
      </c>
      <c r="Q1023" s="50" t="n"/>
      <c r="R1023" s="51" t="n"/>
      <c r="S1023" s="49" t="n"/>
      <c r="T1023" s="49" t="n"/>
      <c r="U1023" s="48">
        <f>IF(OR($B1023="",$K1023=""),"",WORKDAY($B1023,IFERROR(INDEX(CONFIG!$C$4:$C$43,MATCH($K1023,CONFIG!$A$4:$A$43,0)),3)))</f>
        <v/>
      </c>
      <c r="V1023" s="46" t="n"/>
      <c r="W1023" s="23">
        <f>IF($B1023="","",IF($V1023&lt;&gt;"",$V1023-$B1023,TODAY()-$B1023))</f>
        <v/>
      </c>
      <c r="X1023" s="27">
        <f>IF($C1023="","",IF(IFERROR(INDEX(CONFIG!$K$4:$K$43,MATCH($S1023,CONFIG!$J$4:$J$43,0)),"NO")="SÍ",IF(OR($V1023="",$U1023=""),"Resuelta",IF($V1023&gt;$U1023,"Resuelta tarde","Resuelta a tiempo")),IF($U1023="","Sin clasificar",IF(TODAY()&gt;$U1023,"Vencida",IF(TODAY()&gt;=$U1023-1,"Por vencer","En plazo")))))</f>
        <v/>
      </c>
      <c r="Y1023" s="49" t="n"/>
      <c r="Z1023" s="49" t="n"/>
    </row>
    <row r="1024" ht="16" customHeight="1">
      <c r="A1024" s="27">
        <f>IF($C1024="","","N-"&amp;TEXT(ROW()-3,"0000"))</f>
        <v/>
      </c>
      <c r="B1024" s="46" t="n"/>
      <c r="C1024" s="47" t="n"/>
      <c r="D1024" s="27">
        <f>IF($C1024="","",IF(COUNTIFS(ENVIOS!$A$4:$A$3003,$C1024)=0,"NO EXISTE",IF(COUNTIFS(ENVIOS!$A$4:$A$3003,$C1024)&gt;1,"DUPLICADA","OK")))</f>
        <v/>
      </c>
      <c r="E1024" s="22">
        <f>IF($C1024="","",IFERROR(INDEX(ENVIOS!$C$4:$C$3003,MATCH($C1024,ENVIOS!$A$4:$A$3003,0)),"—"))</f>
        <v/>
      </c>
      <c r="F1024" s="22">
        <f>IF($C1024="","",IFERROR(INDEX(ENVIOS!$D$4:$D$3003,MATCH($C1024,ENVIOS!$A$4:$A$3003,0)),"—"))</f>
        <v/>
      </c>
      <c r="G1024" s="22">
        <f>IF($C1024="","",IFERROR(INDEX(ENVIOS!$E$4:$E$3003,MATCH($C1024,ENVIOS!$A$4:$A$3003,0)),"—"))</f>
        <v/>
      </c>
      <c r="H1024" s="22">
        <f>IF($C1024="","",IFERROR(INDEX(ENVIOS!$F$4:$F$3003,MATCH($C1024,ENVIOS!$A$4:$A$3003,0)),"—"))</f>
        <v/>
      </c>
      <c r="I1024" s="27">
        <f>IF($C1024="","",IFERROR(INDEX(ENVIOS!$G$4:$G$3003,MATCH($C1024,ENVIOS!$A$4:$A$3003,0)),"—"))</f>
        <v/>
      </c>
      <c r="J1024" s="48">
        <f>IF($C1024="","",IFERROR(INDEX(ENVIOS!$B$4:$B$3003,MATCH($C1024,ENVIOS!$A$4:$A$3003,0)),""))</f>
        <v/>
      </c>
      <c r="K1024" s="49" t="n"/>
      <c r="L1024" s="27">
        <f>IF($K1024="","",IFERROR(INDEX(CONFIG!$B$4:$B$43,MATCH($K1024,CONFIG!$A$4:$A$43,0)),"Media"))</f>
        <v/>
      </c>
      <c r="M1024" s="27">
        <f>IF($K1024="","",IFERROR(INDEX(CONFIG!$D$4:$D$43,MATCH($K1024,CONFIG!$A$4:$A$43,0)),"NO"))</f>
        <v/>
      </c>
      <c r="N1024" s="49" t="n"/>
      <c r="O1024" s="27">
        <f>IF($N1024="","",IFERROR(INDEX(CONFIG!$G$4:$G$43,MATCH($N1024,CONFIG!$F$4:$F$43,0)),"Por definir"))</f>
        <v/>
      </c>
      <c r="P1024" s="27">
        <f>IF($N1024="","",IFERROR(INDEX(CONFIG!$H$4:$H$43,MATCH($N1024,CONFIG!$F$4:$F$43,0)),"Por definir"))</f>
        <v/>
      </c>
      <c r="Q1024" s="50" t="n"/>
      <c r="R1024" s="51" t="n"/>
      <c r="S1024" s="49" t="n"/>
      <c r="T1024" s="49" t="n"/>
      <c r="U1024" s="48">
        <f>IF(OR($B1024="",$K1024=""),"",WORKDAY($B1024,IFERROR(INDEX(CONFIG!$C$4:$C$43,MATCH($K1024,CONFIG!$A$4:$A$43,0)),3)))</f>
        <v/>
      </c>
      <c r="V1024" s="46" t="n"/>
      <c r="W1024" s="23">
        <f>IF($B1024="","",IF($V1024&lt;&gt;"",$V1024-$B1024,TODAY()-$B1024))</f>
        <v/>
      </c>
      <c r="X1024" s="27">
        <f>IF($C1024="","",IF(IFERROR(INDEX(CONFIG!$K$4:$K$43,MATCH($S1024,CONFIG!$J$4:$J$43,0)),"NO")="SÍ",IF(OR($V1024="",$U1024=""),"Resuelta",IF($V1024&gt;$U1024,"Resuelta tarde","Resuelta a tiempo")),IF($U1024="","Sin clasificar",IF(TODAY()&gt;$U1024,"Vencida",IF(TODAY()&gt;=$U1024-1,"Por vencer","En plazo")))))</f>
        <v/>
      </c>
      <c r="Y1024" s="49" t="n"/>
      <c r="Z1024" s="49" t="n"/>
    </row>
    <row r="1025" ht="16" customHeight="1">
      <c r="A1025" s="27">
        <f>IF($C1025="","","N-"&amp;TEXT(ROW()-3,"0000"))</f>
        <v/>
      </c>
      <c r="B1025" s="46" t="n"/>
      <c r="C1025" s="47" t="n"/>
      <c r="D1025" s="27">
        <f>IF($C1025="","",IF(COUNTIFS(ENVIOS!$A$4:$A$3003,$C1025)=0,"NO EXISTE",IF(COUNTIFS(ENVIOS!$A$4:$A$3003,$C1025)&gt;1,"DUPLICADA","OK")))</f>
        <v/>
      </c>
      <c r="E1025" s="22">
        <f>IF($C1025="","",IFERROR(INDEX(ENVIOS!$C$4:$C$3003,MATCH($C1025,ENVIOS!$A$4:$A$3003,0)),"—"))</f>
        <v/>
      </c>
      <c r="F1025" s="22">
        <f>IF($C1025="","",IFERROR(INDEX(ENVIOS!$D$4:$D$3003,MATCH($C1025,ENVIOS!$A$4:$A$3003,0)),"—"))</f>
        <v/>
      </c>
      <c r="G1025" s="22">
        <f>IF($C1025="","",IFERROR(INDEX(ENVIOS!$E$4:$E$3003,MATCH($C1025,ENVIOS!$A$4:$A$3003,0)),"—"))</f>
        <v/>
      </c>
      <c r="H1025" s="22">
        <f>IF($C1025="","",IFERROR(INDEX(ENVIOS!$F$4:$F$3003,MATCH($C1025,ENVIOS!$A$4:$A$3003,0)),"—"))</f>
        <v/>
      </c>
      <c r="I1025" s="27">
        <f>IF($C1025="","",IFERROR(INDEX(ENVIOS!$G$4:$G$3003,MATCH($C1025,ENVIOS!$A$4:$A$3003,0)),"—"))</f>
        <v/>
      </c>
      <c r="J1025" s="48">
        <f>IF($C1025="","",IFERROR(INDEX(ENVIOS!$B$4:$B$3003,MATCH($C1025,ENVIOS!$A$4:$A$3003,0)),""))</f>
        <v/>
      </c>
      <c r="K1025" s="49" t="n"/>
      <c r="L1025" s="27">
        <f>IF($K1025="","",IFERROR(INDEX(CONFIG!$B$4:$B$43,MATCH($K1025,CONFIG!$A$4:$A$43,0)),"Media"))</f>
        <v/>
      </c>
      <c r="M1025" s="27">
        <f>IF($K1025="","",IFERROR(INDEX(CONFIG!$D$4:$D$43,MATCH($K1025,CONFIG!$A$4:$A$43,0)),"NO"))</f>
        <v/>
      </c>
      <c r="N1025" s="49" t="n"/>
      <c r="O1025" s="27">
        <f>IF($N1025="","",IFERROR(INDEX(CONFIG!$G$4:$G$43,MATCH($N1025,CONFIG!$F$4:$F$43,0)),"Por definir"))</f>
        <v/>
      </c>
      <c r="P1025" s="27">
        <f>IF($N1025="","",IFERROR(INDEX(CONFIG!$H$4:$H$43,MATCH($N1025,CONFIG!$F$4:$F$43,0)),"Por definir"))</f>
        <v/>
      </c>
      <c r="Q1025" s="50" t="n"/>
      <c r="R1025" s="51" t="n"/>
      <c r="S1025" s="49" t="n"/>
      <c r="T1025" s="49" t="n"/>
      <c r="U1025" s="48">
        <f>IF(OR($B1025="",$K1025=""),"",WORKDAY($B1025,IFERROR(INDEX(CONFIG!$C$4:$C$43,MATCH($K1025,CONFIG!$A$4:$A$43,0)),3)))</f>
        <v/>
      </c>
      <c r="V1025" s="46" t="n"/>
      <c r="W1025" s="23">
        <f>IF($B1025="","",IF($V1025&lt;&gt;"",$V1025-$B1025,TODAY()-$B1025))</f>
        <v/>
      </c>
      <c r="X1025" s="27">
        <f>IF($C1025="","",IF(IFERROR(INDEX(CONFIG!$K$4:$K$43,MATCH($S1025,CONFIG!$J$4:$J$43,0)),"NO")="SÍ",IF(OR($V1025="",$U1025=""),"Resuelta",IF($V1025&gt;$U1025,"Resuelta tarde","Resuelta a tiempo")),IF($U1025="","Sin clasificar",IF(TODAY()&gt;$U1025,"Vencida",IF(TODAY()&gt;=$U1025-1,"Por vencer","En plazo")))))</f>
        <v/>
      </c>
      <c r="Y1025" s="49" t="n"/>
      <c r="Z1025" s="49" t="n"/>
    </row>
    <row r="1026" ht="16" customHeight="1">
      <c r="A1026" s="27">
        <f>IF($C1026="","","N-"&amp;TEXT(ROW()-3,"0000"))</f>
        <v/>
      </c>
      <c r="B1026" s="46" t="n"/>
      <c r="C1026" s="47" t="n"/>
      <c r="D1026" s="27">
        <f>IF($C1026="","",IF(COUNTIFS(ENVIOS!$A$4:$A$3003,$C1026)=0,"NO EXISTE",IF(COUNTIFS(ENVIOS!$A$4:$A$3003,$C1026)&gt;1,"DUPLICADA","OK")))</f>
        <v/>
      </c>
      <c r="E1026" s="22">
        <f>IF($C1026="","",IFERROR(INDEX(ENVIOS!$C$4:$C$3003,MATCH($C1026,ENVIOS!$A$4:$A$3003,0)),"—"))</f>
        <v/>
      </c>
      <c r="F1026" s="22">
        <f>IF($C1026="","",IFERROR(INDEX(ENVIOS!$D$4:$D$3003,MATCH($C1026,ENVIOS!$A$4:$A$3003,0)),"—"))</f>
        <v/>
      </c>
      <c r="G1026" s="22">
        <f>IF($C1026="","",IFERROR(INDEX(ENVIOS!$E$4:$E$3003,MATCH($C1026,ENVIOS!$A$4:$A$3003,0)),"—"))</f>
        <v/>
      </c>
      <c r="H1026" s="22">
        <f>IF($C1026="","",IFERROR(INDEX(ENVIOS!$F$4:$F$3003,MATCH($C1026,ENVIOS!$A$4:$A$3003,0)),"—"))</f>
        <v/>
      </c>
      <c r="I1026" s="27">
        <f>IF($C1026="","",IFERROR(INDEX(ENVIOS!$G$4:$G$3003,MATCH($C1026,ENVIOS!$A$4:$A$3003,0)),"—"))</f>
        <v/>
      </c>
      <c r="J1026" s="48">
        <f>IF($C1026="","",IFERROR(INDEX(ENVIOS!$B$4:$B$3003,MATCH($C1026,ENVIOS!$A$4:$A$3003,0)),""))</f>
        <v/>
      </c>
      <c r="K1026" s="49" t="n"/>
      <c r="L1026" s="27">
        <f>IF($K1026="","",IFERROR(INDEX(CONFIG!$B$4:$B$43,MATCH($K1026,CONFIG!$A$4:$A$43,0)),"Media"))</f>
        <v/>
      </c>
      <c r="M1026" s="27">
        <f>IF($K1026="","",IFERROR(INDEX(CONFIG!$D$4:$D$43,MATCH($K1026,CONFIG!$A$4:$A$43,0)),"NO"))</f>
        <v/>
      </c>
      <c r="N1026" s="49" t="n"/>
      <c r="O1026" s="27">
        <f>IF($N1026="","",IFERROR(INDEX(CONFIG!$G$4:$G$43,MATCH($N1026,CONFIG!$F$4:$F$43,0)),"Por definir"))</f>
        <v/>
      </c>
      <c r="P1026" s="27">
        <f>IF($N1026="","",IFERROR(INDEX(CONFIG!$H$4:$H$43,MATCH($N1026,CONFIG!$F$4:$F$43,0)),"Por definir"))</f>
        <v/>
      </c>
      <c r="Q1026" s="50" t="n"/>
      <c r="R1026" s="51" t="n"/>
      <c r="S1026" s="49" t="n"/>
      <c r="T1026" s="49" t="n"/>
      <c r="U1026" s="48">
        <f>IF(OR($B1026="",$K1026=""),"",WORKDAY($B1026,IFERROR(INDEX(CONFIG!$C$4:$C$43,MATCH($K1026,CONFIG!$A$4:$A$43,0)),3)))</f>
        <v/>
      </c>
      <c r="V1026" s="46" t="n"/>
      <c r="W1026" s="23">
        <f>IF($B1026="","",IF($V1026&lt;&gt;"",$V1026-$B1026,TODAY()-$B1026))</f>
        <v/>
      </c>
      <c r="X1026" s="27">
        <f>IF($C1026="","",IF(IFERROR(INDEX(CONFIG!$K$4:$K$43,MATCH($S1026,CONFIG!$J$4:$J$43,0)),"NO")="SÍ",IF(OR($V1026="",$U1026=""),"Resuelta",IF($V1026&gt;$U1026,"Resuelta tarde","Resuelta a tiempo")),IF($U1026="","Sin clasificar",IF(TODAY()&gt;$U1026,"Vencida",IF(TODAY()&gt;=$U1026-1,"Por vencer","En plazo")))))</f>
        <v/>
      </c>
      <c r="Y1026" s="49" t="n"/>
      <c r="Z1026" s="49" t="n"/>
    </row>
    <row r="1027" ht="16" customHeight="1">
      <c r="A1027" s="27">
        <f>IF($C1027="","","N-"&amp;TEXT(ROW()-3,"0000"))</f>
        <v/>
      </c>
      <c r="B1027" s="46" t="n"/>
      <c r="C1027" s="47" t="n"/>
      <c r="D1027" s="27">
        <f>IF($C1027="","",IF(COUNTIFS(ENVIOS!$A$4:$A$3003,$C1027)=0,"NO EXISTE",IF(COUNTIFS(ENVIOS!$A$4:$A$3003,$C1027)&gt;1,"DUPLICADA","OK")))</f>
        <v/>
      </c>
      <c r="E1027" s="22">
        <f>IF($C1027="","",IFERROR(INDEX(ENVIOS!$C$4:$C$3003,MATCH($C1027,ENVIOS!$A$4:$A$3003,0)),"—"))</f>
        <v/>
      </c>
      <c r="F1027" s="22">
        <f>IF($C1027="","",IFERROR(INDEX(ENVIOS!$D$4:$D$3003,MATCH($C1027,ENVIOS!$A$4:$A$3003,0)),"—"))</f>
        <v/>
      </c>
      <c r="G1027" s="22">
        <f>IF($C1027="","",IFERROR(INDEX(ENVIOS!$E$4:$E$3003,MATCH($C1027,ENVIOS!$A$4:$A$3003,0)),"—"))</f>
        <v/>
      </c>
      <c r="H1027" s="22">
        <f>IF($C1027="","",IFERROR(INDEX(ENVIOS!$F$4:$F$3003,MATCH($C1027,ENVIOS!$A$4:$A$3003,0)),"—"))</f>
        <v/>
      </c>
      <c r="I1027" s="27">
        <f>IF($C1027="","",IFERROR(INDEX(ENVIOS!$G$4:$G$3003,MATCH($C1027,ENVIOS!$A$4:$A$3003,0)),"—"))</f>
        <v/>
      </c>
      <c r="J1027" s="48">
        <f>IF($C1027="","",IFERROR(INDEX(ENVIOS!$B$4:$B$3003,MATCH($C1027,ENVIOS!$A$4:$A$3003,0)),""))</f>
        <v/>
      </c>
      <c r="K1027" s="49" t="n"/>
      <c r="L1027" s="27">
        <f>IF($K1027="","",IFERROR(INDEX(CONFIG!$B$4:$B$43,MATCH($K1027,CONFIG!$A$4:$A$43,0)),"Media"))</f>
        <v/>
      </c>
      <c r="M1027" s="27">
        <f>IF($K1027="","",IFERROR(INDEX(CONFIG!$D$4:$D$43,MATCH($K1027,CONFIG!$A$4:$A$43,0)),"NO"))</f>
        <v/>
      </c>
      <c r="N1027" s="49" t="n"/>
      <c r="O1027" s="27">
        <f>IF($N1027="","",IFERROR(INDEX(CONFIG!$G$4:$G$43,MATCH($N1027,CONFIG!$F$4:$F$43,0)),"Por definir"))</f>
        <v/>
      </c>
      <c r="P1027" s="27">
        <f>IF($N1027="","",IFERROR(INDEX(CONFIG!$H$4:$H$43,MATCH($N1027,CONFIG!$F$4:$F$43,0)),"Por definir"))</f>
        <v/>
      </c>
      <c r="Q1027" s="50" t="n"/>
      <c r="R1027" s="51" t="n"/>
      <c r="S1027" s="49" t="n"/>
      <c r="T1027" s="49" t="n"/>
      <c r="U1027" s="48">
        <f>IF(OR($B1027="",$K1027=""),"",WORKDAY($B1027,IFERROR(INDEX(CONFIG!$C$4:$C$43,MATCH($K1027,CONFIG!$A$4:$A$43,0)),3)))</f>
        <v/>
      </c>
      <c r="V1027" s="46" t="n"/>
      <c r="W1027" s="23">
        <f>IF($B1027="","",IF($V1027&lt;&gt;"",$V1027-$B1027,TODAY()-$B1027))</f>
        <v/>
      </c>
      <c r="X1027" s="27">
        <f>IF($C1027="","",IF(IFERROR(INDEX(CONFIG!$K$4:$K$43,MATCH($S1027,CONFIG!$J$4:$J$43,0)),"NO")="SÍ",IF(OR($V1027="",$U1027=""),"Resuelta",IF($V1027&gt;$U1027,"Resuelta tarde","Resuelta a tiempo")),IF($U1027="","Sin clasificar",IF(TODAY()&gt;$U1027,"Vencida",IF(TODAY()&gt;=$U1027-1,"Por vencer","En plazo")))))</f>
        <v/>
      </c>
      <c r="Y1027" s="49" t="n"/>
      <c r="Z1027" s="49" t="n"/>
    </row>
    <row r="1028" ht="16" customHeight="1">
      <c r="A1028" s="27">
        <f>IF($C1028="","","N-"&amp;TEXT(ROW()-3,"0000"))</f>
        <v/>
      </c>
      <c r="B1028" s="46" t="n"/>
      <c r="C1028" s="47" t="n"/>
      <c r="D1028" s="27">
        <f>IF($C1028="","",IF(COUNTIFS(ENVIOS!$A$4:$A$3003,$C1028)=0,"NO EXISTE",IF(COUNTIFS(ENVIOS!$A$4:$A$3003,$C1028)&gt;1,"DUPLICADA","OK")))</f>
        <v/>
      </c>
      <c r="E1028" s="22">
        <f>IF($C1028="","",IFERROR(INDEX(ENVIOS!$C$4:$C$3003,MATCH($C1028,ENVIOS!$A$4:$A$3003,0)),"—"))</f>
        <v/>
      </c>
      <c r="F1028" s="22">
        <f>IF($C1028="","",IFERROR(INDEX(ENVIOS!$D$4:$D$3003,MATCH($C1028,ENVIOS!$A$4:$A$3003,0)),"—"))</f>
        <v/>
      </c>
      <c r="G1028" s="22">
        <f>IF($C1028="","",IFERROR(INDEX(ENVIOS!$E$4:$E$3003,MATCH($C1028,ENVIOS!$A$4:$A$3003,0)),"—"))</f>
        <v/>
      </c>
      <c r="H1028" s="22">
        <f>IF($C1028="","",IFERROR(INDEX(ENVIOS!$F$4:$F$3003,MATCH($C1028,ENVIOS!$A$4:$A$3003,0)),"—"))</f>
        <v/>
      </c>
      <c r="I1028" s="27">
        <f>IF($C1028="","",IFERROR(INDEX(ENVIOS!$G$4:$G$3003,MATCH($C1028,ENVIOS!$A$4:$A$3003,0)),"—"))</f>
        <v/>
      </c>
      <c r="J1028" s="48">
        <f>IF($C1028="","",IFERROR(INDEX(ENVIOS!$B$4:$B$3003,MATCH($C1028,ENVIOS!$A$4:$A$3003,0)),""))</f>
        <v/>
      </c>
      <c r="K1028" s="49" t="n"/>
      <c r="L1028" s="27">
        <f>IF($K1028="","",IFERROR(INDEX(CONFIG!$B$4:$B$43,MATCH($K1028,CONFIG!$A$4:$A$43,0)),"Media"))</f>
        <v/>
      </c>
      <c r="M1028" s="27">
        <f>IF($K1028="","",IFERROR(INDEX(CONFIG!$D$4:$D$43,MATCH($K1028,CONFIG!$A$4:$A$43,0)),"NO"))</f>
        <v/>
      </c>
      <c r="N1028" s="49" t="n"/>
      <c r="O1028" s="27">
        <f>IF($N1028="","",IFERROR(INDEX(CONFIG!$G$4:$G$43,MATCH($N1028,CONFIG!$F$4:$F$43,0)),"Por definir"))</f>
        <v/>
      </c>
      <c r="P1028" s="27">
        <f>IF($N1028="","",IFERROR(INDEX(CONFIG!$H$4:$H$43,MATCH($N1028,CONFIG!$F$4:$F$43,0)),"Por definir"))</f>
        <v/>
      </c>
      <c r="Q1028" s="50" t="n"/>
      <c r="R1028" s="51" t="n"/>
      <c r="S1028" s="49" t="n"/>
      <c r="T1028" s="49" t="n"/>
      <c r="U1028" s="48">
        <f>IF(OR($B1028="",$K1028=""),"",WORKDAY($B1028,IFERROR(INDEX(CONFIG!$C$4:$C$43,MATCH($K1028,CONFIG!$A$4:$A$43,0)),3)))</f>
        <v/>
      </c>
      <c r="V1028" s="46" t="n"/>
      <c r="W1028" s="23">
        <f>IF($B1028="","",IF($V1028&lt;&gt;"",$V1028-$B1028,TODAY()-$B1028))</f>
        <v/>
      </c>
      <c r="X1028" s="27">
        <f>IF($C1028="","",IF(IFERROR(INDEX(CONFIG!$K$4:$K$43,MATCH($S1028,CONFIG!$J$4:$J$43,0)),"NO")="SÍ",IF(OR($V1028="",$U1028=""),"Resuelta",IF($V1028&gt;$U1028,"Resuelta tarde","Resuelta a tiempo")),IF($U1028="","Sin clasificar",IF(TODAY()&gt;$U1028,"Vencida",IF(TODAY()&gt;=$U1028-1,"Por vencer","En plazo")))))</f>
        <v/>
      </c>
      <c r="Y1028" s="49" t="n"/>
      <c r="Z1028" s="49" t="n"/>
    </row>
    <row r="1029" ht="16" customHeight="1">
      <c r="A1029" s="27">
        <f>IF($C1029="","","N-"&amp;TEXT(ROW()-3,"0000"))</f>
        <v/>
      </c>
      <c r="B1029" s="46" t="n"/>
      <c r="C1029" s="47" t="n"/>
      <c r="D1029" s="27">
        <f>IF($C1029="","",IF(COUNTIFS(ENVIOS!$A$4:$A$3003,$C1029)=0,"NO EXISTE",IF(COUNTIFS(ENVIOS!$A$4:$A$3003,$C1029)&gt;1,"DUPLICADA","OK")))</f>
        <v/>
      </c>
      <c r="E1029" s="22">
        <f>IF($C1029="","",IFERROR(INDEX(ENVIOS!$C$4:$C$3003,MATCH($C1029,ENVIOS!$A$4:$A$3003,0)),"—"))</f>
        <v/>
      </c>
      <c r="F1029" s="22">
        <f>IF($C1029="","",IFERROR(INDEX(ENVIOS!$D$4:$D$3003,MATCH($C1029,ENVIOS!$A$4:$A$3003,0)),"—"))</f>
        <v/>
      </c>
      <c r="G1029" s="22">
        <f>IF($C1029="","",IFERROR(INDEX(ENVIOS!$E$4:$E$3003,MATCH($C1029,ENVIOS!$A$4:$A$3003,0)),"—"))</f>
        <v/>
      </c>
      <c r="H1029" s="22">
        <f>IF($C1029="","",IFERROR(INDEX(ENVIOS!$F$4:$F$3003,MATCH($C1029,ENVIOS!$A$4:$A$3003,0)),"—"))</f>
        <v/>
      </c>
      <c r="I1029" s="27">
        <f>IF($C1029="","",IFERROR(INDEX(ENVIOS!$G$4:$G$3003,MATCH($C1029,ENVIOS!$A$4:$A$3003,0)),"—"))</f>
        <v/>
      </c>
      <c r="J1029" s="48">
        <f>IF($C1029="","",IFERROR(INDEX(ENVIOS!$B$4:$B$3003,MATCH($C1029,ENVIOS!$A$4:$A$3003,0)),""))</f>
        <v/>
      </c>
      <c r="K1029" s="49" t="n"/>
      <c r="L1029" s="27">
        <f>IF($K1029="","",IFERROR(INDEX(CONFIG!$B$4:$B$43,MATCH($K1029,CONFIG!$A$4:$A$43,0)),"Media"))</f>
        <v/>
      </c>
      <c r="M1029" s="27">
        <f>IF($K1029="","",IFERROR(INDEX(CONFIG!$D$4:$D$43,MATCH($K1029,CONFIG!$A$4:$A$43,0)),"NO"))</f>
        <v/>
      </c>
      <c r="N1029" s="49" t="n"/>
      <c r="O1029" s="27">
        <f>IF($N1029="","",IFERROR(INDEX(CONFIG!$G$4:$G$43,MATCH($N1029,CONFIG!$F$4:$F$43,0)),"Por definir"))</f>
        <v/>
      </c>
      <c r="P1029" s="27">
        <f>IF($N1029="","",IFERROR(INDEX(CONFIG!$H$4:$H$43,MATCH($N1029,CONFIG!$F$4:$F$43,0)),"Por definir"))</f>
        <v/>
      </c>
      <c r="Q1029" s="50" t="n"/>
      <c r="R1029" s="51" t="n"/>
      <c r="S1029" s="49" t="n"/>
      <c r="T1029" s="49" t="n"/>
      <c r="U1029" s="48">
        <f>IF(OR($B1029="",$K1029=""),"",WORKDAY($B1029,IFERROR(INDEX(CONFIG!$C$4:$C$43,MATCH($K1029,CONFIG!$A$4:$A$43,0)),3)))</f>
        <v/>
      </c>
      <c r="V1029" s="46" t="n"/>
      <c r="W1029" s="23">
        <f>IF($B1029="","",IF($V1029&lt;&gt;"",$V1029-$B1029,TODAY()-$B1029))</f>
        <v/>
      </c>
      <c r="X1029" s="27">
        <f>IF($C1029="","",IF(IFERROR(INDEX(CONFIG!$K$4:$K$43,MATCH($S1029,CONFIG!$J$4:$J$43,0)),"NO")="SÍ",IF(OR($V1029="",$U1029=""),"Resuelta",IF($V1029&gt;$U1029,"Resuelta tarde","Resuelta a tiempo")),IF($U1029="","Sin clasificar",IF(TODAY()&gt;$U1029,"Vencida",IF(TODAY()&gt;=$U1029-1,"Por vencer","En plazo")))))</f>
        <v/>
      </c>
      <c r="Y1029" s="49" t="n"/>
      <c r="Z1029" s="49" t="n"/>
    </row>
    <row r="1030" ht="16" customHeight="1">
      <c r="A1030" s="27">
        <f>IF($C1030="","","N-"&amp;TEXT(ROW()-3,"0000"))</f>
        <v/>
      </c>
      <c r="B1030" s="46" t="n"/>
      <c r="C1030" s="47" t="n"/>
      <c r="D1030" s="27">
        <f>IF($C1030="","",IF(COUNTIFS(ENVIOS!$A$4:$A$3003,$C1030)=0,"NO EXISTE",IF(COUNTIFS(ENVIOS!$A$4:$A$3003,$C1030)&gt;1,"DUPLICADA","OK")))</f>
        <v/>
      </c>
      <c r="E1030" s="22">
        <f>IF($C1030="","",IFERROR(INDEX(ENVIOS!$C$4:$C$3003,MATCH($C1030,ENVIOS!$A$4:$A$3003,0)),"—"))</f>
        <v/>
      </c>
      <c r="F1030" s="22">
        <f>IF($C1030="","",IFERROR(INDEX(ENVIOS!$D$4:$D$3003,MATCH($C1030,ENVIOS!$A$4:$A$3003,0)),"—"))</f>
        <v/>
      </c>
      <c r="G1030" s="22">
        <f>IF($C1030="","",IFERROR(INDEX(ENVIOS!$E$4:$E$3003,MATCH($C1030,ENVIOS!$A$4:$A$3003,0)),"—"))</f>
        <v/>
      </c>
      <c r="H1030" s="22">
        <f>IF($C1030="","",IFERROR(INDEX(ENVIOS!$F$4:$F$3003,MATCH($C1030,ENVIOS!$A$4:$A$3003,0)),"—"))</f>
        <v/>
      </c>
      <c r="I1030" s="27">
        <f>IF($C1030="","",IFERROR(INDEX(ENVIOS!$G$4:$G$3003,MATCH($C1030,ENVIOS!$A$4:$A$3003,0)),"—"))</f>
        <v/>
      </c>
      <c r="J1030" s="48">
        <f>IF($C1030="","",IFERROR(INDEX(ENVIOS!$B$4:$B$3003,MATCH($C1030,ENVIOS!$A$4:$A$3003,0)),""))</f>
        <v/>
      </c>
      <c r="K1030" s="49" t="n"/>
      <c r="L1030" s="27">
        <f>IF($K1030="","",IFERROR(INDEX(CONFIG!$B$4:$B$43,MATCH($K1030,CONFIG!$A$4:$A$43,0)),"Media"))</f>
        <v/>
      </c>
      <c r="M1030" s="27">
        <f>IF($K1030="","",IFERROR(INDEX(CONFIG!$D$4:$D$43,MATCH($K1030,CONFIG!$A$4:$A$43,0)),"NO"))</f>
        <v/>
      </c>
      <c r="N1030" s="49" t="n"/>
      <c r="O1030" s="27">
        <f>IF($N1030="","",IFERROR(INDEX(CONFIG!$G$4:$G$43,MATCH($N1030,CONFIG!$F$4:$F$43,0)),"Por definir"))</f>
        <v/>
      </c>
      <c r="P1030" s="27">
        <f>IF($N1030="","",IFERROR(INDEX(CONFIG!$H$4:$H$43,MATCH($N1030,CONFIG!$F$4:$F$43,0)),"Por definir"))</f>
        <v/>
      </c>
      <c r="Q1030" s="50" t="n"/>
      <c r="R1030" s="51" t="n"/>
      <c r="S1030" s="49" t="n"/>
      <c r="T1030" s="49" t="n"/>
      <c r="U1030" s="48">
        <f>IF(OR($B1030="",$K1030=""),"",WORKDAY($B1030,IFERROR(INDEX(CONFIG!$C$4:$C$43,MATCH($K1030,CONFIG!$A$4:$A$43,0)),3)))</f>
        <v/>
      </c>
      <c r="V1030" s="46" t="n"/>
      <c r="W1030" s="23">
        <f>IF($B1030="","",IF($V1030&lt;&gt;"",$V1030-$B1030,TODAY()-$B1030))</f>
        <v/>
      </c>
      <c r="X1030" s="27">
        <f>IF($C1030="","",IF(IFERROR(INDEX(CONFIG!$K$4:$K$43,MATCH($S1030,CONFIG!$J$4:$J$43,0)),"NO")="SÍ",IF(OR($V1030="",$U1030=""),"Resuelta",IF($V1030&gt;$U1030,"Resuelta tarde","Resuelta a tiempo")),IF($U1030="","Sin clasificar",IF(TODAY()&gt;$U1030,"Vencida",IF(TODAY()&gt;=$U1030-1,"Por vencer","En plazo")))))</f>
        <v/>
      </c>
      <c r="Y1030" s="49" t="n"/>
      <c r="Z1030" s="49" t="n"/>
    </row>
    <row r="1031" ht="16" customHeight="1">
      <c r="A1031" s="27">
        <f>IF($C1031="","","N-"&amp;TEXT(ROW()-3,"0000"))</f>
        <v/>
      </c>
      <c r="B1031" s="46" t="n"/>
      <c r="C1031" s="47" t="n"/>
      <c r="D1031" s="27">
        <f>IF($C1031="","",IF(COUNTIFS(ENVIOS!$A$4:$A$3003,$C1031)=0,"NO EXISTE",IF(COUNTIFS(ENVIOS!$A$4:$A$3003,$C1031)&gt;1,"DUPLICADA","OK")))</f>
        <v/>
      </c>
      <c r="E1031" s="22">
        <f>IF($C1031="","",IFERROR(INDEX(ENVIOS!$C$4:$C$3003,MATCH($C1031,ENVIOS!$A$4:$A$3003,0)),"—"))</f>
        <v/>
      </c>
      <c r="F1031" s="22">
        <f>IF($C1031="","",IFERROR(INDEX(ENVIOS!$D$4:$D$3003,MATCH($C1031,ENVIOS!$A$4:$A$3003,0)),"—"))</f>
        <v/>
      </c>
      <c r="G1031" s="22">
        <f>IF($C1031="","",IFERROR(INDEX(ENVIOS!$E$4:$E$3003,MATCH($C1031,ENVIOS!$A$4:$A$3003,0)),"—"))</f>
        <v/>
      </c>
      <c r="H1031" s="22">
        <f>IF($C1031="","",IFERROR(INDEX(ENVIOS!$F$4:$F$3003,MATCH($C1031,ENVIOS!$A$4:$A$3003,0)),"—"))</f>
        <v/>
      </c>
      <c r="I1031" s="27">
        <f>IF($C1031="","",IFERROR(INDEX(ENVIOS!$G$4:$G$3003,MATCH($C1031,ENVIOS!$A$4:$A$3003,0)),"—"))</f>
        <v/>
      </c>
      <c r="J1031" s="48">
        <f>IF($C1031="","",IFERROR(INDEX(ENVIOS!$B$4:$B$3003,MATCH($C1031,ENVIOS!$A$4:$A$3003,0)),""))</f>
        <v/>
      </c>
      <c r="K1031" s="49" t="n"/>
      <c r="L1031" s="27">
        <f>IF($K1031="","",IFERROR(INDEX(CONFIG!$B$4:$B$43,MATCH($K1031,CONFIG!$A$4:$A$43,0)),"Media"))</f>
        <v/>
      </c>
      <c r="M1031" s="27">
        <f>IF($K1031="","",IFERROR(INDEX(CONFIG!$D$4:$D$43,MATCH($K1031,CONFIG!$A$4:$A$43,0)),"NO"))</f>
        <v/>
      </c>
      <c r="N1031" s="49" t="n"/>
      <c r="O1031" s="27">
        <f>IF($N1031="","",IFERROR(INDEX(CONFIG!$G$4:$G$43,MATCH($N1031,CONFIG!$F$4:$F$43,0)),"Por definir"))</f>
        <v/>
      </c>
      <c r="P1031" s="27">
        <f>IF($N1031="","",IFERROR(INDEX(CONFIG!$H$4:$H$43,MATCH($N1031,CONFIG!$F$4:$F$43,0)),"Por definir"))</f>
        <v/>
      </c>
      <c r="Q1031" s="50" t="n"/>
      <c r="R1031" s="51" t="n"/>
      <c r="S1031" s="49" t="n"/>
      <c r="T1031" s="49" t="n"/>
      <c r="U1031" s="48">
        <f>IF(OR($B1031="",$K1031=""),"",WORKDAY($B1031,IFERROR(INDEX(CONFIG!$C$4:$C$43,MATCH($K1031,CONFIG!$A$4:$A$43,0)),3)))</f>
        <v/>
      </c>
      <c r="V1031" s="46" t="n"/>
      <c r="W1031" s="23">
        <f>IF($B1031="","",IF($V1031&lt;&gt;"",$V1031-$B1031,TODAY()-$B1031))</f>
        <v/>
      </c>
      <c r="X1031" s="27">
        <f>IF($C1031="","",IF(IFERROR(INDEX(CONFIG!$K$4:$K$43,MATCH($S1031,CONFIG!$J$4:$J$43,0)),"NO")="SÍ",IF(OR($V1031="",$U1031=""),"Resuelta",IF($V1031&gt;$U1031,"Resuelta tarde","Resuelta a tiempo")),IF($U1031="","Sin clasificar",IF(TODAY()&gt;$U1031,"Vencida",IF(TODAY()&gt;=$U1031-1,"Por vencer","En plazo")))))</f>
        <v/>
      </c>
      <c r="Y1031" s="49" t="n"/>
      <c r="Z1031" s="49" t="n"/>
    </row>
    <row r="1032" ht="16" customHeight="1">
      <c r="A1032" s="27">
        <f>IF($C1032="","","N-"&amp;TEXT(ROW()-3,"0000"))</f>
        <v/>
      </c>
      <c r="B1032" s="46" t="n"/>
      <c r="C1032" s="47" t="n"/>
      <c r="D1032" s="27">
        <f>IF($C1032="","",IF(COUNTIFS(ENVIOS!$A$4:$A$3003,$C1032)=0,"NO EXISTE",IF(COUNTIFS(ENVIOS!$A$4:$A$3003,$C1032)&gt;1,"DUPLICADA","OK")))</f>
        <v/>
      </c>
      <c r="E1032" s="22">
        <f>IF($C1032="","",IFERROR(INDEX(ENVIOS!$C$4:$C$3003,MATCH($C1032,ENVIOS!$A$4:$A$3003,0)),"—"))</f>
        <v/>
      </c>
      <c r="F1032" s="22">
        <f>IF($C1032="","",IFERROR(INDEX(ENVIOS!$D$4:$D$3003,MATCH($C1032,ENVIOS!$A$4:$A$3003,0)),"—"))</f>
        <v/>
      </c>
      <c r="G1032" s="22">
        <f>IF($C1032="","",IFERROR(INDEX(ENVIOS!$E$4:$E$3003,MATCH($C1032,ENVIOS!$A$4:$A$3003,0)),"—"))</f>
        <v/>
      </c>
      <c r="H1032" s="22">
        <f>IF($C1032="","",IFERROR(INDEX(ENVIOS!$F$4:$F$3003,MATCH($C1032,ENVIOS!$A$4:$A$3003,0)),"—"))</f>
        <v/>
      </c>
      <c r="I1032" s="27">
        <f>IF($C1032="","",IFERROR(INDEX(ENVIOS!$G$4:$G$3003,MATCH($C1032,ENVIOS!$A$4:$A$3003,0)),"—"))</f>
        <v/>
      </c>
      <c r="J1032" s="48">
        <f>IF($C1032="","",IFERROR(INDEX(ENVIOS!$B$4:$B$3003,MATCH($C1032,ENVIOS!$A$4:$A$3003,0)),""))</f>
        <v/>
      </c>
      <c r="K1032" s="49" t="n"/>
      <c r="L1032" s="27">
        <f>IF($K1032="","",IFERROR(INDEX(CONFIG!$B$4:$B$43,MATCH($K1032,CONFIG!$A$4:$A$43,0)),"Media"))</f>
        <v/>
      </c>
      <c r="M1032" s="27">
        <f>IF($K1032="","",IFERROR(INDEX(CONFIG!$D$4:$D$43,MATCH($K1032,CONFIG!$A$4:$A$43,0)),"NO"))</f>
        <v/>
      </c>
      <c r="N1032" s="49" t="n"/>
      <c r="O1032" s="27">
        <f>IF($N1032="","",IFERROR(INDEX(CONFIG!$G$4:$G$43,MATCH($N1032,CONFIG!$F$4:$F$43,0)),"Por definir"))</f>
        <v/>
      </c>
      <c r="P1032" s="27">
        <f>IF($N1032="","",IFERROR(INDEX(CONFIG!$H$4:$H$43,MATCH($N1032,CONFIG!$F$4:$F$43,0)),"Por definir"))</f>
        <v/>
      </c>
      <c r="Q1032" s="50" t="n"/>
      <c r="R1032" s="51" t="n"/>
      <c r="S1032" s="49" t="n"/>
      <c r="T1032" s="49" t="n"/>
      <c r="U1032" s="48">
        <f>IF(OR($B1032="",$K1032=""),"",WORKDAY($B1032,IFERROR(INDEX(CONFIG!$C$4:$C$43,MATCH($K1032,CONFIG!$A$4:$A$43,0)),3)))</f>
        <v/>
      </c>
      <c r="V1032" s="46" t="n"/>
      <c r="W1032" s="23">
        <f>IF($B1032="","",IF($V1032&lt;&gt;"",$V1032-$B1032,TODAY()-$B1032))</f>
        <v/>
      </c>
      <c r="X1032" s="27">
        <f>IF($C1032="","",IF(IFERROR(INDEX(CONFIG!$K$4:$K$43,MATCH($S1032,CONFIG!$J$4:$J$43,0)),"NO")="SÍ",IF(OR($V1032="",$U1032=""),"Resuelta",IF($V1032&gt;$U1032,"Resuelta tarde","Resuelta a tiempo")),IF($U1032="","Sin clasificar",IF(TODAY()&gt;$U1032,"Vencida",IF(TODAY()&gt;=$U1032-1,"Por vencer","En plazo")))))</f>
        <v/>
      </c>
      <c r="Y1032" s="49" t="n"/>
      <c r="Z1032" s="49" t="n"/>
    </row>
    <row r="1033" ht="16" customHeight="1">
      <c r="A1033" s="27">
        <f>IF($C1033="","","N-"&amp;TEXT(ROW()-3,"0000"))</f>
        <v/>
      </c>
      <c r="B1033" s="46" t="n"/>
      <c r="C1033" s="47" t="n"/>
      <c r="D1033" s="27">
        <f>IF($C1033="","",IF(COUNTIFS(ENVIOS!$A$4:$A$3003,$C1033)=0,"NO EXISTE",IF(COUNTIFS(ENVIOS!$A$4:$A$3003,$C1033)&gt;1,"DUPLICADA","OK")))</f>
        <v/>
      </c>
      <c r="E1033" s="22">
        <f>IF($C1033="","",IFERROR(INDEX(ENVIOS!$C$4:$C$3003,MATCH($C1033,ENVIOS!$A$4:$A$3003,0)),"—"))</f>
        <v/>
      </c>
      <c r="F1033" s="22">
        <f>IF($C1033="","",IFERROR(INDEX(ENVIOS!$D$4:$D$3003,MATCH($C1033,ENVIOS!$A$4:$A$3003,0)),"—"))</f>
        <v/>
      </c>
      <c r="G1033" s="22">
        <f>IF($C1033="","",IFERROR(INDEX(ENVIOS!$E$4:$E$3003,MATCH($C1033,ENVIOS!$A$4:$A$3003,0)),"—"))</f>
        <v/>
      </c>
      <c r="H1033" s="22">
        <f>IF($C1033="","",IFERROR(INDEX(ENVIOS!$F$4:$F$3003,MATCH($C1033,ENVIOS!$A$4:$A$3003,0)),"—"))</f>
        <v/>
      </c>
      <c r="I1033" s="27">
        <f>IF($C1033="","",IFERROR(INDEX(ENVIOS!$G$4:$G$3003,MATCH($C1033,ENVIOS!$A$4:$A$3003,0)),"—"))</f>
        <v/>
      </c>
      <c r="J1033" s="48">
        <f>IF($C1033="","",IFERROR(INDEX(ENVIOS!$B$4:$B$3003,MATCH($C1033,ENVIOS!$A$4:$A$3003,0)),""))</f>
        <v/>
      </c>
      <c r="K1033" s="49" t="n"/>
      <c r="L1033" s="27">
        <f>IF($K1033="","",IFERROR(INDEX(CONFIG!$B$4:$B$43,MATCH($K1033,CONFIG!$A$4:$A$43,0)),"Media"))</f>
        <v/>
      </c>
      <c r="M1033" s="27">
        <f>IF($K1033="","",IFERROR(INDEX(CONFIG!$D$4:$D$43,MATCH($K1033,CONFIG!$A$4:$A$43,0)),"NO"))</f>
        <v/>
      </c>
      <c r="N1033" s="49" t="n"/>
      <c r="O1033" s="27">
        <f>IF($N1033="","",IFERROR(INDEX(CONFIG!$G$4:$G$43,MATCH($N1033,CONFIG!$F$4:$F$43,0)),"Por definir"))</f>
        <v/>
      </c>
      <c r="P1033" s="27">
        <f>IF($N1033="","",IFERROR(INDEX(CONFIG!$H$4:$H$43,MATCH($N1033,CONFIG!$F$4:$F$43,0)),"Por definir"))</f>
        <v/>
      </c>
      <c r="Q1033" s="50" t="n"/>
      <c r="R1033" s="51" t="n"/>
      <c r="S1033" s="49" t="n"/>
      <c r="T1033" s="49" t="n"/>
      <c r="U1033" s="48">
        <f>IF(OR($B1033="",$K1033=""),"",WORKDAY($B1033,IFERROR(INDEX(CONFIG!$C$4:$C$43,MATCH($K1033,CONFIG!$A$4:$A$43,0)),3)))</f>
        <v/>
      </c>
      <c r="V1033" s="46" t="n"/>
      <c r="W1033" s="23">
        <f>IF($B1033="","",IF($V1033&lt;&gt;"",$V1033-$B1033,TODAY()-$B1033))</f>
        <v/>
      </c>
      <c r="X1033" s="27">
        <f>IF($C1033="","",IF(IFERROR(INDEX(CONFIG!$K$4:$K$43,MATCH($S1033,CONFIG!$J$4:$J$43,0)),"NO")="SÍ",IF(OR($V1033="",$U1033=""),"Resuelta",IF($V1033&gt;$U1033,"Resuelta tarde","Resuelta a tiempo")),IF($U1033="","Sin clasificar",IF(TODAY()&gt;$U1033,"Vencida",IF(TODAY()&gt;=$U1033-1,"Por vencer","En plazo")))))</f>
        <v/>
      </c>
      <c r="Y1033" s="49" t="n"/>
      <c r="Z1033" s="49" t="n"/>
    </row>
    <row r="1034" ht="16" customHeight="1">
      <c r="A1034" s="27">
        <f>IF($C1034="","","N-"&amp;TEXT(ROW()-3,"0000"))</f>
        <v/>
      </c>
      <c r="B1034" s="46" t="n"/>
      <c r="C1034" s="47" t="n"/>
      <c r="D1034" s="27">
        <f>IF($C1034="","",IF(COUNTIFS(ENVIOS!$A$4:$A$3003,$C1034)=0,"NO EXISTE",IF(COUNTIFS(ENVIOS!$A$4:$A$3003,$C1034)&gt;1,"DUPLICADA","OK")))</f>
        <v/>
      </c>
      <c r="E1034" s="22">
        <f>IF($C1034="","",IFERROR(INDEX(ENVIOS!$C$4:$C$3003,MATCH($C1034,ENVIOS!$A$4:$A$3003,0)),"—"))</f>
        <v/>
      </c>
      <c r="F1034" s="22">
        <f>IF($C1034="","",IFERROR(INDEX(ENVIOS!$D$4:$D$3003,MATCH($C1034,ENVIOS!$A$4:$A$3003,0)),"—"))</f>
        <v/>
      </c>
      <c r="G1034" s="22">
        <f>IF($C1034="","",IFERROR(INDEX(ENVIOS!$E$4:$E$3003,MATCH($C1034,ENVIOS!$A$4:$A$3003,0)),"—"))</f>
        <v/>
      </c>
      <c r="H1034" s="22">
        <f>IF($C1034="","",IFERROR(INDEX(ENVIOS!$F$4:$F$3003,MATCH($C1034,ENVIOS!$A$4:$A$3003,0)),"—"))</f>
        <v/>
      </c>
      <c r="I1034" s="27">
        <f>IF($C1034="","",IFERROR(INDEX(ENVIOS!$G$4:$G$3003,MATCH($C1034,ENVIOS!$A$4:$A$3003,0)),"—"))</f>
        <v/>
      </c>
      <c r="J1034" s="48">
        <f>IF($C1034="","",IFERROR(INDEX(ENVIOS!$B$4:$B$3003,MATCH($C1034,ENVIOS!$A$4:$A$3003,0)),""))</f>
        <v/>
      </c>
      <c r="K1034" s="49" t="n"/>
      <c r="L1034" s="27">
        <f>IF($K1034="","",IFERROR(INDEX(CONFIG!$B$4:$B$43,MATCH($K1034,CONFIG!$A$4:$A$43,0)),"Media"))</f>
        <v/>
      </c>
      <c r="M1034" s="27">
        <f>IF($K1034="","",IFERROR(INDEX(CONFIG!$D$4:$D$43,MATCH($K1034,CONFIG!$A$4:$A$43,0)),"NO"))</f>
        <v/>
      </c>
      <c r="N1034" s="49" t="n"/>
      <c r="O1034" s="27">
        <f>IF($N1034="","",IFERROR(INDEX(CONFIG!$G$4:$G$43,MATCH($N1034,CONFIG!$F$4:$F$43,0)),"Por definir"))</f>
        <v/>
      </c>
      <c r="P1034" s="27">
        <f>IF($N1034="","",IFERROR(INDEX(CONFIG!$H$4:$H$43,MATCH($N1034,CONFIG!$F$4:$F$43,0)),"Por definir"))</f>
        <v/>
      </c>
      <c r="Q1034" s="50" t="n"/>
      <c r="R1034" s="51" t="n"/>
      <c r="S1034" s="49" t="n"/>
      <c r="T1034" s="49" t="n"/>
      <c r="U1034" s="48">
        <f>IF(OR($B1034="",$K1034=""),"",WORKDAY($B1034,IFERROR(INDEX(CONFIG!$C$4:$C$43,MATCH($K1034,CONFIG!$A$4:$A$43,0)),3)))</f>
        <v/>
      </c>
      <c r="V1034" s="46" t="n"/>
      <c r="W1034" s="23">
        <f>IF($B1034="","",IF($V1034&lt;&gt;"",$V1034-$B1034,TODAY()-$B1034))</f>
        <v/>
      </c>
      <c r="X1034" s="27">
        <f>IF($C1034="","",IF(IFERROR(INDEX(CONFIG!$K$4:$K$43,MATCH($S1034,CONFIG!$J$4:$J$43,0)),"NO")="SÍ",IF(OR($V1034="",$U1034=""),"Resuelta",IF($V1034&gt;$U1034,"Resuelta tarde","Resuelta a tiempo")),IF($U1034="","Sin clasificar",IF(TODAY()&gt;$U1034,"Vencida",IF(TODAY()&gt;=$U1034-1,"Por vencer","En plazo")))))</f>
        <v/>
      </c>
      <c r="Y1034" s="49" t="n"/>
      <c r="Z1034" s="49" t="n"/>
    </row>
    <row r="1035" ht="16" customHeight="1">
      <c r="A1035" s="27">
        <f>IF($C1035="","","N-"&amp;TEXT(ROW()-3,"0000"))</f>
        <v/>
      </c>
      <c r="B1035" s="46" t="n"/>
      <c r="C1035" s="47" t="n"/>
      <c r="D1035" s="27">
        <f>IF($C1035="","",IF(COUNTIFS(ENVIOS!$A$4:$A$3003,$C1035)=0,"NO EXISTE",IF(COUNTIFS(ENVIOS!$A$4:$A$3003,$C1035)&gt;1,"DUPLICADA","OK")))</f>
        <v/>
      </c>
      <c r="E1035" s="22">
        <f>IF($C1035="","",IFERROR(INDEX(ENVIOS!$C$4:$C$3003,MATCH($C1035,ENVIOS!$A$4:$A$3003,0)),"—"))</f>
        <v/>
      </c>
      <c r="F1035" s="22">
        <f>IF($C1035="","",IFERROR(INDEX(ENVIOS!$D$4:$D$3003,MATCH($C1035,ENVIOS!$A$4:$A$3003,0)),"—"))</f>
        <v/>
      </c>
      <c r="G1035" s="22">
        <f>IF($C1035="","",IFERROR(INDEX(ENVIOS!$E$4:$E$3003,MATCH($C1035,ENVIOS!$A$4:$A$3003,0)),"—"))</f>
        <v/>
      </c>
      <c r="H1035" s="22">
        <f>IF($C1035="","",IFERROR(INDEX(ENVIOS!$F$4:$F$3003,MATCH($C1035,ENVIOS!$A$4:$A$3003,0)),"—"))</f>
        <v/>
      </c>
      <c r="I1035" s="27">
        <f>IF($C1035="","",IFERROR(INDEX(ENVIOS!$G$4:$G$3003,MATCH($C1035,ENVIOS!$A$4:$A$3003,0)),"—"))</f>
        <v/>
      </c>
      <c r="J1035" s="48">
        <f>IF($C1035="","",IFERROR(INDEX(ENVIOS!$B$4:$B$3003,MATCH($C1035,ENVIOS!$A$4:$A$3003,0)),""))</f>
        <v/>
      </c>
      <c r="K1035" s="49" t="n"/>
      <c r="L1035" s="27">
        <f>IF($K1035="","",IFERROR(INDEX(CONFIG!$B$4:$B$43,MATCH($K1035,CONFIG!$A$4:$A$43,0)),"Media"))</f>
        <v/>
      </c>
      <c r="M1035" s="27">
        <f>IF($K1035="","",IFERROR(INDEX(CONFIG!$D$4:$D$43,MATCH($K1035,CONFIG!$A$4:$A$43,0)),"NO"))</f>
        <v/>
      </c>
      <c r="N1035" s="49" t="n"/>
      <c r="O1035" s="27">
        <f>IF($N1035="","",IFERROR(INDEX(CONFIG!$G$4:$G$43,MATCH($N1035,CONFIG!$F$4:$F$43,0)),"Por definir"))</f>
        <v/>
      </c>
      <c r="P1035" s="27">
        <f>IF($N1035="","",IFERROR(INDEX(CONFIG!$H$4:$H$43,MATCH($N1035,CONFIG!$F$4:$F$43,0)),"Por definir"))</f>
        <v/>
      </c>
      <c r="Q1035" s="50" t="n"/>
      <c r="R1035" s="51" t="n"/>
      <c r="S1035" s="49" t="n"/>
      <c r="T1035" s="49" t="n"/>
      <c r="U1035" s="48">
        <f>IF(OR($B1035="",$K1035=""),"",WORKDAY($B1035,IFERROR(INDEX(CONFIG!$C$4:$C$43,MATCH($K1035,CONFIG!$A$4:$A$43,0)),3)))</f>
        <v/>
      </c>
      <c r="V1035" s="46" t="n"/>
      <c r="W1035" s="23">
        <f>IF($B1035="","",IF($V1035&lt;&gt;"",$V1035-$B1035,TODAY()-$B1035))</f>
        <v/>
      </c>
      <c r="X1035" s="27">
        <f>IF($C1035="","",IF(IFERROR(INDEX(CONFIG!$K$4:$K$43,MATCH($S1035,CONFIG!$J$4:$J$43,0)),"NO")="SÍ",IF(OR($V1035="",$U1035=""),"Resuelta",IF($V1035&gt;$U1035,"Resuelta tarde","Resuelta a tiempo")),IF($U1035="","Sin clasificar",IF(TODAY()&gt;$U1035,"Vencida",IF(TODAY()&gt;=$U1035-1,"Por vencer","En plazo")))))</f>
        <v/>
      </c>
      <c r="Y1035" s="49" t="n"/>
      <c r="Z1035" s="49" t="n"/>
    </row>
    <row r="1036" ht="16" customHeight="1">
      <c r="A1036" s="27">
        <f>IF($C1036="","","N-"&amp;TEXT(ROW()-3,"0000"))</f>
        <v/>
      </c>
      <c r="B1036" s="46" t="n"/>
      <c r="C1036" s="47" t="n"/>
      <c r="D1036" s="27">
        <f>IF($C1036="","",IF(COUNTIFS(ENVIOS!$A$4:$A$3003,$C1036)=0,"NO EXISTE",IF(COUNTIFS(ENVIOS!$A$4:$A$3003,$C1036)&gt;1,"DUPLICADA","OK")))</f>
        <v/>
      </c>
      <c r="E1036" s="22">
        <f>IF($C1036="","",IFERROR(INDEX(ENVIOS!$C$4:$C$3003,MATCH($C1036,ENVIOS!$A$4:$A$3003,0)),"—"))</f>
        <v/>
      </c>
      <c r="F1036" s="22">
        <f>IF($C1036="","",IFERROR(INDEX(ENVIOS!$D$4:$D$3003,MATCH($C1036,ENVIOS!$A$4:$A$3003,0)),"—"))</f>
        <v/>
      </c>
      <c r="G1036" s="22">
        <f>IF($C1036="","",IFERROR(INDEX(ENVIOS!$E$4:$E$3003,MATCH($C1036,ENVIOS!$A$4:$A$3003,0)),"—"))</f>
        <v/>
      </c>
      <c r="H1036" s="22">
        <f>IF($C1036="","",IFERROR(INDEX(ENVIOS!$F$4:$F$3003,MATCH($C1036,ENVIOS!$A$4:$A$3003,0)),"—"))</f>
        <v/>
      </c>
      <c r="I1036" s="27">
        <f>IF($C1036="","",IFERROR(INDEX(ENVIOS!$G$4:$G$3003,MATCH($C1036,ENVIOS!$A$4:$A$3003,0)),"—"))</f>
        <v/>
      </c>
      <c r="J1036" s="48">
        <f>IF($C1036="","",IFERROR(INDEX(ENVIOS!$B$4:$B$3003,MATCH($C1036,ENVIOS!$A$4:$A$3003,0)),""))</f>
        <v/>
      </c>
      <c r="K1036" s="49" t="n"/>
      <c r="L1036" s="27">
        <f>IF($K1036="","",IFERROR(INDEX(CONFIG!$B$4:$B$43,MATCH($K1036,CONFIG!$A$4:$A$43,0)),"Media"))</f>
        <v/>
      </c>
      <c r="M1036" s="27">
        <f>IF($K1036="","",IFERROR(INDEX(CONFIG!$D$4:$D$43,MATCH($K1036,CONFIG!$A$4:$A$43,0)),"NO"))</f>
        <v/>
      </c>
      <c r="N1036" s="49" t="n"/>
      <c r="O1036" s="27">
        <f>IF($N1036="","",IFERROR(INDEX(CONFIG!$G$4:$G$43,MATCH($N1036,CONFIG!$F$4:$F$43,0)),"Por definir"))</f>
        <v/>
      </c>
      <c r="P1036" s="27">
        <f>IF($N1036="","",IFERROR(INDEX(CONFIG!$H$4:$H$43,MATCH($N1036,CONFIG!$F$4:$F$43,0)),"Por definir"))</f>
        <v/>
      </c>
      <c r="Q1036" s="50" t="n"/>
      <c r="R1036" s="51" t="n"/>
      <c r="S1036" s="49" t="n"/>
      <c r="T1036" s="49" t="n"/>
      <c r="U1036" s="48">
        <f>IF(OR($B1036="",$K1036=""),"",WORKDAY($B1036,IFERROR(INDEX(CONFIG!$C$4:$C$43,MATCH($K1036,CONFIG!$A$4:$A$43,0)),3)))</f>
        <v/>
      </c>
      <c r="V1036" s="46" t="n"/>
      <c r="W1036" s="23">
        <f>IF($B1036="","",IF($V1036&lt;&gt;"",$V1036-$B1036,TODAY()-$B1036))</f>
        <v/>
      </c>
      <c r="X1036" s="27">
        <f>IF($C1036="","",IF(IFERROR(INDEX(CONFIG!$K$4:$K$43,MATCH($S1036,CONFIG!$J$4:$J$43,0)),"NO")="SÍ",IF(OR($V1036="",$U1036=""),"Resuelta",IF($V1036&gt;$U1036,"Resuelta tarde","Resuelta a tiempo")),IF($U1036="","Sin clasificar",IF(TODAY()&gt;$U1036,"Vencida",IF(TODAY()&gt;=$U1036-1,"Por vencer","En plazo")))))</f>
        <v/>
      </c>
      <c r="Y1036" s="49" t="n"/>
      <c r="Z1036" s="49" t="n"/>
    </row>
    <row r="1037" ht="16" customHeight="1">
      <c r="A1037" s="27">
        <f>IF($C1037="","","N-"&amp;TEXT(ROW()-3,"0000"))</f>
        <v/>
      </c>
      <c r="B1037" s="46" t="n"/>
      <c r="C1037" s="47" t="n"/>
      <c r="D1037" s="27">
        <f>IF($C1037="","",IF(COUNTIFS(ENVIOS!$A$4:$A$3003,$C1037)=0,"NO EXISTE",IF(COUNTIFS(ENVIOS!$A$4:$A$3003,$C1037)&gt;1,"DUPLICADA","OK")))</f>
        <v/>
      </c>
      <c r="E1037" s="22">
        <f>IF($C1037="","",IFERROR(INDEX(ENVIOS!$C$4:$C$3003,MATCH($C1037,ENVIOS!$A$4:$A$3003,0)),"—"))</f>
        <v/>
      </c>
      <c r="F1037" s="22">
        <f>IF($C1037="","",IFERROR(INDEX(ENVIOS!$D$4:$D$3003,MATCH($C1037,ENVIOS!$A$4:$A$3003,0)),"—"))</f>
        <v/>
      </c>
      <c r="G1037" s="22">
        <f>IF($C1037="","",IFERROR(INDEX(ENVIOS!$E$4:$E$3003,MATCH($C1037,ENVIOS!$A$4:$A$3003,0)),"—"))</f>
        <v/>
      </c>
      <c r="H1037" s="22">
        <f>IF($C1037="","",IFERROR(INDEX(ENVIOS!$F$4:$F$3003,MATCH($C1037,ENVIOS!$A$4:$A$3003,0)),"—"))</f>
        <v/>
      </c>
      <c r="I1037" s="27">
        <f>IF($C1037="","",IFERROR(INDEX(ENVIOS!$G$4:$G$3003,MATCH($C1037,ENVIOS!$A$4:$A$3003,0)),"—"))</f>
        <v/>
      </c>
      <c r="J1037" s="48">
        <f>IF($C1037="","",IFERROR(INDEX(ENVIOS!$B$4:$B$3003,MATCH($C1037,ENVIOS!$A$4:$A$3003,0)),""))</f>
        <v/>
      </c>
      <c r="K1037" s="49" t="n"/>
      <c r="L1037" s="27">
        <f>IF($K1037="","",IFERROR(INDEX(CONFIG!$B$4:$B$43,MATCH($K1037,CONFIG!$A$4:$A$43,0)),"Media"))</f>
        <v/>
      </c>
      <c r="M1037" s="27">
        <f>IF($K1037="","",IFERROR(INDEX(CONFIG!$D$4:$D$43,MATCH($K1037,CONFIG!$A$4:$A$43,0)),"NO"))</f>
        <v/>
      </c>
      <c r="N1037" s="49" t="n"/>
      <c r="O1037" s="27">
        <f>IF($N1037="","",IFERROR(INDEX(CONFIG!$G$4:$G$43,MATCH($N1037,CONFIG!$F$4:$F$43,0)),"Por definir"))</f>
        <v/>
      </c>
      <c r="P1037" s="27">
        <f>IF($N1037="","",IFERROR(INDEX(CONFIG!$H$4:$H$43,MATCH($N1037,CONFIG!$F$4:$F$43,0)),"Por definir"))</f>
        <v/>
      </c>
      <c r="Q1037" s="50" t="n"/>
      <c r="R1037" s="51" t="n"/>
      <c r="S1037" s="49" t="n"/>
      <c r="T1037" s="49" t="n"/>
      <c r="U1037" s="48">
        <f>IF(OR($B1037="",$K1037=""),"",WORKDAY($B1037,IFERROR(INDEX(CONFIG!$C$4:$C$43,MATCH($K1037,CONFIG!$A$4:$A$43,0)),3)))</f>
        <v/>
      </c>
      <c r="V1037" s="46" t="n"/>
      <c r="W1037" s="23">
        <f>IF($B1037="","",IF($V1037&lt;&gt;"",$V1037-$B1037,TODAY()-$B1037))</f>
        <v/>
      </c>
      <c r="X1037" s="27">
        <f>IF($C1037="","",IF(IFERROR(INDEX(CONFIG!$K$4:$K$43,MATCH($S1037,CONFIG!$J$4:$J$43,0)),"NO")="SÍ",IF(OR($V1037="",$U1037=""),"Resuelta",IF($V1037&gt;$U1037,"Resuelta tarde","Resuelta a tiempo")),IF($U1037="","Sin clasificar",IF(TODAY()&gt;$U1037,"Vencida",IF(TODAY()&gt;=$U1037-1,"Por vencer","En plazo")))))</f>
        <v/>
      </c>
      <c r="Y1037" s="49" t="n"/>
      <c r="Z1037" s="49" t="n"/>
    </row>
    <row r="1038" ht="16" customHeight="1">
      <c r="A1038" s="27">
        <f>IF($C1038="","","N-"&amp;TEXT(ROW()-3,"0000"))</f>
        <v/>
      </c>
      <c r="B1038" s="46" t="n"/>
      <c r="C1038" s="47" t="n"/>
      <c r="D1038" s="27">
        <f>IF($C1038="","",IF(COUNTIFS(ENVIOS!$A$4:$A$3003,$C1038)=0,"NO EXISTE",IF(COUNTIFS(ENVIOS!$A$4:$A$3003,$C1038)&gt;1,"DUPLICADA","OK")))</f>
        <v/>
      </c>
      <c r="E1038" s="22">
        <f>IF($C1038="","",IFERROR(INDEX(ENVIOS!$C$4:$C$3003,MATCH($C1038,ENVIOS!$A$4:$A$3003,0)),"—"))</f>
        <v/>
      </c>
      <c r="F1038" s="22">
        <f>IF($C1038="","",IFERROR(INDEX(ENVIOS!$D$4:$D$3003,MATCH($C1038,ENVIOS!$A$4:$A$3003,0)),"—"))</f>
        <v/>
      </c>
      <c r="G1038" s="22">
        <f>IF($C1038="","",IFERROR(INDEX(ENVIOS!$E$4:$E$3003,MATCH($C1038,ENVIOS!$A$4:$A$3003,0)),"—"))</f>
        <v/>
      </c>
      <c r="H1038" s="22">
        <f>IF($C1038="","",IFERROR(INDEX(ENVIOS!$F$4:$F$3003,MATCH($C1038,ENVIOS!$A$4:$A$3003,0)),"—"))</f>
        <v/>
      </c>
      <c r="I1038" s="27">
        <f>IF($C1038="","",IFERROR(INDEX(ENVIOS!$G$4:$G$3003,MATCH($C1038,ENVIOS!$A$4:$A$3003,0)),"—"))</f>
        <v/>
      </c>
      <c r="J1038" s="48">
        <f>IF($C1038="","",IFERROR(INDEX(ENVIOS!$B$4:$B$3003,MATCH($C1038,ENVIOS!$A$4:$A$3003,0)),""))</f>
        <v/>
      </c>
      <c r="K1038" s="49" t="n"/>
      <c r="L1038" s="27">
        <f>IF($K1038="","",IFERROR(INDEX(CONFIG!$B$4:$B$43,MATCH($K1038,CONFIG!$A$4:$A$43,0)),"Media"))</f>
        <v/>
      </c>
      <c r="M1038" s="27">
        <f>IF($K1038="","",IFERROR(INDEX(CONFIG!$D$4:$D$43,MATCH($K1038,CONFIG!$A$4:$A$43,0)),"NO"))</f>
        <v/>
      </c>
      <c r="N1038" s="49" t="n"/>
      <c r="O1038" s="27">
        <f>IF($N1038="","",IFERROR(INDEX(CONFIG!$G$4:$G$43,MATCH($N1038,CONFIG!$F$4:$F$43,0)),"Por definir"))</f>
        <v/>
      </c>
      <c r="P1038" s="27">
        <f>IF($N1038="","",IFERROR(INDEX(CONFIG!$H$4:$H$43,MATCH($N1038,CONFIG!$F$4:$F$43,0)),"Por definir"))</f>
        <v/>
      </c>
      <c r="Q1038" s="50" t="n"/>
      <c r="R1038" s="51" t="n"/>
      <c r="S1038" s="49" t="n"/>
      <c r="T1038" s="49" t="n"/>
      <c r="U1038" s="48">
        <f>IF(OR($B1038="",$K1038=""),"",WORKDAY($B1038,IFERROR(INDEX(CONFIG!$C$4:$C$43,MATCH($K1038,CONFIG!$A$4:$A$43,0)),3)))</f>
        <v/>
      </c>
      <c r="V1038" s="46" t="n"/>
      <c r="W1038" s="23">
        <f>IF($B1038="","",IF($V1038&lt;&gt;"",$V1038-$B1038,TODAY()-$B1038))</f>
        <v/>
      </c>
      <c r="X1038" s="27">
        <f>IF($C1038="","",IF(IFERROR(INDEX(CONFIG!$K$4:$K$43,MATCH($S1038,CONFIG!$J$4:$J$43,0)),"NO")="SÍ",IF(OR($V1038="",$U1038=""),"Resuelta",IF($V1038&gt;$U1038,"Resuelta tarde","Resuelta a tiempo")),IF($U1038="","Sin clasificar",IF(TODAY()&gt;$U1038,"Vencida",IF(TODAY()&gt;=$U1038-1,"Por vencer","En plazo")))))</f>
        <v/>
      </c>
      <c r="Y1038" s="49" t="n"/>
      <c r="Z1038" s="49" t="n"/>
    </row>
    <row r="1039" ht="16" customHeight="1">
      <c r="A1039" s="27">
        <f>IF($C1039="","","N-"&amp;TEXT(ROW()-3,"0000"))</f>
        <v/>
      </c>
      <c r="B1039" s="46" t="n"/>
      <c r="C1039" s="47" t="n"/>
      <c r="D1039" s="27">
        <f>IF($C1039="","",IF(COUNTIFS(ENVIOS!$A$4:$A$3003,$C1039)=0,"NO EXISTE",IF(COUNTIFS(ENVIOS!$A$4:$A$3003,$C1039)&gt;1,"DUPLICADA","OK")))</f>
        <v/>
      </c>
      <c r="E1039" s="22">
        <f>IF($C1039="","",IFERROR(INDEX(ENVIOS!$C$4:$C$3003,MATCH($C1039,ENVIOS!$A$4:$A$3003,0)),"—"))</f>
        <v/>
      </c>
      <c r="F1039" s="22">
        <f>IF($C1039="","",IFERROR(INDEX(ENVIOS!$D$4:$D$3003,MATCH($C1039,ENVIOS!$A$4:$A$3003,0)),"—"))</f>
        <v/>
      </c>
      <c r="G1039" s="22">
        <f>IF($C1039="","",IFERROR(INDEX(ENVIOS!$E$4:$E$3003,MATCH($C1039,ENVIOS!$A$4:$A$3003,0)),"—"))</f>
        <v/>
      </c>
      <c r="H1039" s="22">
        <f>IF($C1039="","",IFERROR(INDEX(ENVIOS!$F$4:$F$3003,MATCH($C1039,ENVIOS!$A$4:$A$3003,0)),"—"))</f>
        <v/>
      </c>
      <c r="I1039" s="27">
        <f>IF($C1039="","",IFERROR(INDEX(ENVIOS!$G$4:$G$3003,MATCH($C1039,ENVIOS!$A$4:$A$3003,0)),"—"))</f>
        <v/>
      </c>
      <c r="J1039" s="48">
        <f>IF($C1039="","",IFERROR(INDEX(ENVIOS!$B$4:$B$3003,MATCH($C1039,ENVIOS!$A$4:$A$3003,0)),""))</f>
        <v/>
      </c>
      <c r="K1039" s="49" t="n"/>
      <c r="L1039" s="27">
        <f>IF($K1039="","",IFERROR(INDEX(CONFIG!$B$4:$B$43,MATCH($K1039,CONFIG!$A$4:$A$43,0)),"Media"))</f>
        <v/>
      </c>
      <c r="M1039" s="27">
        <f>IF($K1039="","",IFERROR(INDEX(CONFIG!$D$4:$D$43,MATCH($K1039,CONFIG!$A$4:$A$43,0)),"NO"))</f>
        <v/>
      </c>
      <c r="N1039" s="49" t="n"/>
      <c r="O1039" s="27">
        <f>IF($N1039="","",IFERROR(INDEX(CONFIG!$G$4:$G$43,MATCH($N1039,CONFIG!$F$4:$F$43,0)),"Por definir"))</f>
        <v/>
      </c>
      <c r="P1039" s="27">
        <f>IF($N1039="","",IFERROR(INDEX(CONFIG!$H$4:$H$43,MATCH($N1039,CONFIG!$F$4:$F$43,0)),"Por definir"))</f>
        <v/>
      </c>
      <c r="Q1039" s="50" t="n"/>
      <c r="R1039" s="51" t="n"/>
      <c r="S1039" s="49" t="n"/>
      <c r="T1039" s="49" t="n"/>
      <c r="U1039" s="48">
        <f>IF(OR($B1039="",$K1039=""),"",WORKDAY($B1039,IFERROR(INDEX(CONFIG!$C$4:$C$43,MATCH($K1039,CONFIG!$A$4:$A$43,0)),3)))</f>
        <v/>
      </c>
      <c r="V1039" s="46" t="n"/>
      <c r="W1039" s="23">
        <f>IF($B1039="","",IF($V1039&lt;&gt;"",$V1039-$B1039,TODAY()-$B1039))</f>
        <v/>
      </c>
      <c r="X1039" s="27">
        <f>IF($C1039="","",IF(IFERROR(INDEX(CONFIG!$K$4:$K$43,MATCH($S1039,CONFIG!$J$4:$J$43,0)),"NO")="SÍ",IF(OR($V1039="",$U1039=""),"Resuelta",IF($V1039&gt;$U1039,"Resuelta tarde","Resuelta a tiempo")),IF($U1039="","Sin clasificar",IF(TODAY()&gt;$U1039,"Vencida",IF(TODAY()&gt;=$U1039-1,"Por vencer","En plazo")))))</f>
        <v/>
      </c>
      <c r="Y1039" s="49" t="n"/>
      <c r="Z1039" s="49" t="n"/>
    </row>
    <row r="1040" ht="16" customHeight="1">
      <c r="A1040" s="27">
        <f>IF($C1040="","","N-"&amp;TEXT(ROW()-3,"0000"))</f>
        <v/>
      </c>
      <c r="B1040" s="46" t="n"/>
      <c r="C1040" s="47" t="n"/>
      <c r="D1040" s="27">
        <f>IF($C1040="","",IF(COUNTIFS(ENVIOS!$A$4:$A$3003,$C1040)=0,"NO EXISTE",IF(COUNTIFS(ENVIOS!$A$4:$A$3003,$C1040)&gt;1,"DUPLICADA","OK")))</f>
        <v/>
      </c>
      <c r="E1040" s="22">
        <f>IF($C1040="","",IFERROR(INDEX(ENVIOS!$C$4:$C$3003,MATCH($C1040,ENVIOS!$A$4:$A$3003,0)),"—"))</f>
        <v/>
      </c>
      <c r="F1040" s="22">
        <f>IF($C1040="","",IFERROR(INDEX(ENVIOS!$D$4:$D$3003,MATCH($C1040,ENVIOS!$A$4:$A$3003,0)),"—"))</f>
        <v/>
      </c>
      <c r="G1040" s="22">
        <f>IF($C1040="","",IFERROR(INDEX(ENVIOS!$E$4:$E$3003,MATCH($C1040,ENVIOS!$A$4:$A$3003,0)),"—"))</f>
        <v/>
      </c>
      <c r="H1040" s="22">
        <f>IF($C1040="","",IFERROR(INDEX(ENVIOS!$F$4:$F$3003,MATCH($C1040,ENVIOS!$A$4:$A$3003,0)),"—"))</f>
        <v/>
      </c>
      <c r="I1040" s="27">
        <f>IF($C1040="","",IFERROR(INDEX(ENVIOS!$G$4:$G$3003,MATCH($C1040,ENVIOS!$A$4:$A$3003,0)),"—"))</f>
        <v/>
      </c>
      <c r="J1040" s="48">
        <f>IF($C1040="","",IFERROR(INDEX(ENVIOS!$B$4:$B$3003,MATCH($C1040,ENVIOS!$A$4:$A$3003,0)),""))</f>
        <v/>
      </c>
      <c r="K1040" s="49" t="n"/>
      <c r="L1040" s="27">
        <f>IF($K1040="","",IFERROR(INDEX(CONFIG!$B$4:$B$43,MATCH($K1040,CONFIG!$A$4:$A$43,0)),"Media"))</f>
        <v/>
      </c>
      <c r="M1040" s="27">
        <f>IF($K1040="","",IFERROR(INDEX(CONFIG!$D$4:$D$43,MATCH($K1040,CONFIG!$A$4:$A$43,0)),"NO"))</f>
        <v/>
      </c>
      <c r="N1040" s="49" t="n"/>
      <c r="O1040" s="27">
        <f>IF($N1040="","",IFERROR(INDEX(CONFIG!$G$4:$G$43,MATCH($N1040,CONFIG!$F$4:$F$43,0)),"Por definir"))</f>
        <v/>
      </c>
      <c r="P1040" s="27">
        <f>IF($N1040="","",IFERROR(INDEX(CONFIG!$H$4:$H$43,MATCH($N1040,CONFIG!$F$4:$F$43,0)),"Por definir"))</f>
        <v/>
      </c>
      <c r="Q1040" s="50" t="n"/>
      <c r="R1040" s="51" t="n"/>
      <c r="S1040" s="49" t="n"/>
      <c r="T1040" s="49" t="n"/>
      <c r="U1040" s="48">
        <f>IF(OR($B1040="",$K1040=""),"",WORKDAY($B1040,IFERROR(INDEX(CONFIG!$C$4:$C$43,MATCH($K1040,CONFIG!$A$4:$A$43,0)),3)))</f>
        <v/>
      </c>
      <c r="V1040" s="46" t="n"/>
      <c r="W1040" s="23">
        <f>IF($B1040="","",IF($V1040&lt;&gt;"",$V1040-$B1040,TODAY()-$B1040))</f>
        <v/>
      </c>
      <c r="X1040" s="27">
        <f>IF($C1040="","",IF(IFERROR(INDEX(CONFIG!$K$4:$K$43,MATCH($S1040,CONFIG!$J$4:$J$43,0)),"NO")="SÍ",IF(OR($V1040="",$U1040=""),"Resuelta",IF($V1040&gt;$U1040,"Resuelta tarde","Resuelta a tiempo")),IF($U1040="","Sin clasificar",IF(TODAY()&gt;$U1040,"Vencida",IF(TODAY()&gt;=$U1040-1,"Por vencer","En plazo")))))</f>
        <v/>
      </c>
      <c r="Y1040" s="49" t="n"/>
      <c r="Z1040" s="49" t="n"/>
    </row>
    <row r="1041" ht="16" customHeight="1">
      <c r="A1041" s="27">
        <f>IF($C1041="","","N-"&amp;TEXT(ROW()-3,"0000"))</f>
        <v/>
      </c>
      <c r="B1041" s="46" t="n"/>
      <c r="C1041" s="47" t="n"/>
      <c r="D1041" s="27">
        <f>IF($C1041="","",IF(COUNTIFS(ENVIOS!$A$4:$A$3003,$C1041)=0,"NO EXISTE",IF(COUNTIFS(ENVIOS!$A$4:$A$3003,$C1041)&gt;1,"DUPLICADA","OK")))</f>
        <v/>
      </c>
      <c r="E1041" s="22">
        <f>IF($C1041="","",IFERROR(INDEX(ENVIOS!$C$4:$C$3003,MATCH($C1041,ENVIOS!$A$4:$A$3003,0)),"—"))</f>
        <v/>
      </c>
      <c r="F1041" s="22">
        <f>IF($C1041="","",IFERROR(INDEX(ENVIOS!$D$4:$D$3003,MATCH($C1041,ENVIOS!$A$4:$A$3003,0)),"—"))</f>
        <v/>
      </c>
      <c r="G1041" s="22">
        <f>IF($C1041="","",IFERROR(INDEX(ENVIOS!$E$4:$E$3003,MATCH($C1041,ENVIOS!$A$4:$A$3003,0)),"—"))</f>
        <v/>
      </c>
      <c r="H1041" s="22">
        <f>IF($C1041="","",IFERROR(INDEX(ENVIOS!$F$4:$F$3003,MATCH($C1041,ENVIOS!$A$4:$A$3003,0)),"—"))</f>
        <v/>
      </c>
      <c r="I1041" s="27">
        <f>IF($C1041="","",IFERROR(INDEX(ENVIOS!$G$4:$G$3003,MATCH($C1041,ENVIOS!$A$4:$A$3003,0)),"—"))</f>
        <v/>
      </c>
      <c r="J1041" s="48">
        <f>IF($C1041="","",IFERROR(INDEX(ENVIOS!$B$4:$B$3003,MATCH($C1041,ENVIOS!$A$4:$A$3003,0)),""))</f>
        <v/>
      </c>
      <c r="K1041" s="49" t="n"/>
      <c r="L1041" s="27">
        <f>IF($K1041="","",IFERROR(INDEX(CONFIG!$B$4:$B$43,MATCH($K1041,CONFIG!$A$4:$A$43,0)),"Media"))</f>
        <v/>
      </c>
      <c r="M1041" s="27">
        <f>IF($K1041="","",IFERROR(INDEX(CONFIG!$D$4:$D$43,MATCH($K1041,CONFIG!$A$4:$A$43,0)),"NO"))</f>
        <v/>
      </c>
      <c r="N1041" s="49" t="n"/>
      <c r="O1041" s="27">
        <f>IF($N1041="","",IFERROR(INDEX(CONFIG!$G$4:$G$43,MATCH($N1041,CONFIG!$F$4:$F$43,0)),"Por definir"))</f>
        <v/>
      </c>
      <c r="P1041" s="27">
        <f>IF($N1041="","",IFERROR(INDEX(CONFIG!$H$4:$H$43,MATCH($N1041,CONFIG!$F$4:$F$43,0)),"Por definir"))</f>
        <v/>
      </c>
      <c r="Q1041" s="50" t="n"/>
      <c r="R1041" s="51" t="n"/>
      <c r="S1041" s="49" t="n"/>
      <c r="T1041" s="49" t="n"/>
      <c r="U1041" s="48">
        <f>IF(OR($B1041="",$K1041=""),"",WORKDAY($B1041,IFERROR(INDEX(CONFIG!$C$4:$C$43,MATCH($K1041,CONFIG!$A$4:$A$43,0)),3)))</f>
        <v/>
      </c>
      <c r="V1041" s="46" t="n"/>
      <c r="W1041" s="23">
        <f>IF($B1041="","",IF($V1041&lt;&gt;"",$V1041-$B1041,TODAY()-$B1041))</f>
        <v/>
      </c>
      <c r="X1041" s="27">
        <f>IF($C1041="","",IF(IFERROR(INDEX(CONFIG!$K$4:$K$43,MATCH($S1041,CONFIG!$J$4:$J$43,0)),"NO")="SÍ",IF(OR($V1041="",$U1041=""),"Resuelta",IF($V1041&gt;$U1041,"Resuelta tarde","Resuelta a tiempo")),IF($U1041="","Sin clasificar",IF(TODAY()&gt;$U1041,"Vencida",IF(TODAY()&gt;=$U1041-1,"Por vencer","En plazo")))))</f>
        <v/>
      </c>
      <c r="Y1041" s="49" t="n"/>
      <c r="Z1041" s="49" t="n"/>
    </row>
    <row r="1042" ht="16" customHeight="1">
      <c r="A1042" s="27">
        <f>IF($C1042="","","N-"&amp;TEXT(ROW()-3,"0000"))</f>
        <v/>
      </c>
      <c r="B1042" s="46" t="n"/>
      <c r="C1042" s="47" t="n"/>
      <c r="D1042" s="27">
        <f>IF($C1042="","",IF(COUNTIFS(ENVIOS!$A$4:$A$3003,$C1042)=0,"NO EXISTE",IF(COUNTIFS(ENVIOS!$A$4:$A$3003,$C1042)&gt;1,"DUPLICADA","OK")))</f>
        <v/>
      </c>
      <c r="E1042" s="22">
        <f>IF($C1042="","",IFERROR(INDEX(ENVIOS!$C$4:$C$3003,MATCH($C1042,ENVIOS!$A$4:$A$3003,0)),"—"))</f>
        <v/>
      </c>
      <c r="F1042" s="22">
        <f>IF($C1042="","",IFERROR(INDEX(ENVIOS!$D$4:$D$3003,MATCH($C1042,ENVIOS!$A$4:$A$3003,0)),"—"))</f>
        <v/>
      </c>
      <c r="G1042" s="22">
        <f>IF($C1042="","",IFERROR(INDEX(ENVIOS!$E$4:$E$3003,MATCH($C1042,ENVIOS!$A$4:$A$3003,0)),"—"))</f>
        <v/>
      </c>
      <c r="H1042" s="22">
        <f>IF($C1042="","",IFERROR(INDEX(ENVIOS!$F$4:$F$3003,MATCH($C1042,ENVIOS!$A$4:$A$3003,0)),"—"))</f>
        <v/>
      </c>
      <c r="I1042" s="27">
        <f>IF($C1042="","",IFERROR(INDEX(ENVIOS!$G$4:$G$3003,MATCH($C1042,ENVIOS!$A$4:$A$3003,0)),"—"))</f>
        <v/>
      </c>
      <c r="J1042" s="48">
        <f>IF($C1042="","",IFERROR(INDEX(ENVIOS!$B$4:$B$3003,MATCH($C1042,ENVIOS!$A$4:$A$3003,0)),""))</f>
        <v/>
      </c>
      <c r="K1042" s="49" t="n"/>
      <c r="L1042" s="27">
        <f>IF($K1042="","",IFERROR(INDEX(CONFIG!$B$4:$B$43,MATCH($K1042,CONFIG!$A$4:$A$43,0)),"Media"))</f>
        <v/>
      </c>
      <c r="M1042" s="27">
        <f>IF($K1042="","",IFERROR(INDEX(CONFIG!$D$4:$D$43,MATCH($K1042,CONFIG!$A$4:$A$43,0)),"NO"))</f>
        <v/>
      </c>
      <c r="N1042" s="49" t="n"/>
      <c r="O1042" s="27">
        <f>IF($N1042="","",IFERROR(INDEX(CONFIG!$G$4:$G$43,MATCH($N1042,CONFIG!$F$4:$F$43,0)),"Por definir"))</f>
        <v/>
      </c>
      <c r="P1042" s="27">
        <f>IF($N1042="","",IFERROR(INDEX(CONFIG!$H$4:$H$43,MATCH($N1042,CONFIG!$F$4:$F$43,0)),"Por definir"))</f>
        <v/>
      </c>
      <c r="Q1042" s="50" t="n"/>
      <c r="R1042" s="51" t="n"/>
      <c r="S1042" s="49" t="n"/>
      <c r="T1042" s="49" t="n"/>
      <c r="U1042" s="48">
        <f>IF(OR($B1042="",$K1042=""),"",WORKDAY($B1042,IFERROR(INDEX(CONFIG!$C$4:$C$43,MATCH($K1042,CONFIG!$A$4:$A$43,0)),3)))</f>
        <v/>
      </c>
      <c r="V1042" s="46" t="n"/>
      <c r="W1042" s="23">
        <f>IF($B1042="","",IF($V1042&lt;&gt;"",$V1042-$B1042,TODAY()-$B1042))</f>
        <v/>
      </c>
      <c r="X1042" s="27">
        <f>IF($C1042="","",IF(IFERROR(INDEX(CONFIG!$K$4:$K$43,MATCH($S1042,CONFIG!$J$4:$J$43,0)),"NO")="SÍ",IF(OR($V1042="",$U1042=""),"Resuelta",IF($V1042&gt;$U1042,"Resuelta tarde","Resuelta a tiempo")),IF($U1042="","Sin clasificar",IF(TODAY()&gt;$U1042,"Vencida",IF(TODAY()&gt;=$U1042-1,"Por vencer","En plazo")))))</f>
        <v/>
      </c>
      <c r="Y1042" s="49" t="n"/>
      <c r="Z1042" s="49" t="n"/>
    </row>
    <row r="1043" ht="16" customHeight="1">
      <c r="A1043" s="27">
        <f>IF($C1043="","","N-"&amp;TEXT(ROW()-3,"0000"))</f>
        <v/>
      </c>
      <c r="B1043" s="46" t="n"/>
      <c r="C1043" s="47" t="n"/>
      <c r="D1043" s="27">
        <f>IF($C1043="","",IF(COUNTIFS(ENVIOS!$A$4:$A$3003,$C1043)=0,"NO EXISTE",IF(COUNTIFS(ENVIOS!$A$4:$A$3003,$C1043)&gt;1,"DUPLICADA","OK")))</f>
        <v/>
      </c>
      <c r="E1043" s="22">
        <f>IF($C1043="","",IFERROR(INDEX(ENVIOS!$C$4:$C$3003,MATCH($C1043,ENVIOS!$A$4:$A$3003,0)),"—"))</f>
        <v/>
      </c>
      <c r="F1043" s="22">
        <f>IF($C1043="","",IFERROR(INDEX(ENVIOS!$D$4:$D$3003,MATCH($C1043,ENVIOS!$A$4:$A$3003,0)),"—"))</f>
        <v/>
      </c>
      <c r="G1043" s="22">
        <f>IF($C1043="","",IFERROR(INDEX(ENVIOS!$E$4:$E$3003,MATCH($C1043,ENVIOS!$A$4:$A$3003,0)),"—"))</f>
        <v/>
      </c>
      <c r="H1043" s="22">
        <f>IF($C1043="","",IFERROR(INDEX(ENVIOS!$F$4:$F$3003,MATCH($C1043,ENVIOS!$A$4:$A$3003,0)),"—"))</f>
        <v/>
      </c>
      <c r="I1043" s="27">
        <f>IF($C1043="","",IFERROR(INDEX(ENVIOS!$G$4:$G$3003,MATCH($C1043,ENVIOS!$A$4:$A$3003,0)),"—"))</f>
        <v/>
      </c>
      <c r="J1043" s="48">
        <f>IF($C1043="","",IFERROR(INDEX(ENVIOS!$B$4:$B$3003,MATCH($C1043,ENVIOS!$A$4:$A$3003,0)),""))</f>
        <v/>
      </c>
      <c r="K1043" s="49" t="n"/>
      <c r="L1043" s="27">
        <f>IF($K1043="","",IFERROR(INDEX(CONFIG!$B$4:$B$43,MATCH($K1043,CONFIG!$A$4:$A$43,0)),"Media"))</f>
        <v/>
      </c>
      <c r="M1043" s="27">
        <f>IF($K1043="","",IFERROR(INDEX(CONFIG!$D$4:$D$43,MATCH($K1043,CONFIG!$A$4:$A$43,0)),"NO"))</f>
        <v/>
      </c>
      <c r="N1043" s="49" t="n"/>
      <c r="O1043" s="27">
        <f>IF($N1043="","",IFERROR(INDEX(CONFIG!$G$4:$G$43,MATCH($N1043,CONFIG!$F$4:$F$43,0)),"Por definir"))</f>
        <v/>
      </c>
      <c r="P1043" s="27">
        <f>IF($N1043="","",IFERROR(INDEX(CONFIG!$H$4:$H$43,MATCH($N1043,CONFIG!$F$4:$F$43,0)),"Por definir"))</f>
        <v/>
      </c>
      <c r="Q1043" s="50" t="n"/>
      <c r="R1043" s="51" t="n"/>
      <c r="S1043" s="49" t="n"/>
      <c r="T1043" s="49" t="n"/>
      <c r="U1043" s="48">
        <f>IF(OR($B1043="",$K1043=""),"",WORKDAY($B1043,IFERROR(INDEX(CONFIG!$C$4:$C$43,MATCH($K1043,CONFIG!$A$4:$A$43,0)),3)))</f>
        <v/>
      </c>
      <c r="V1043" s="46" t="n"/>
      <c r="W1043" s="23">
        <f>IF($B1043="","",IF($V1043&lt;&gt;"",$V1043-$B1043,TODAY()-$B1043))</f>
        <v/>
      </c>
      <c r="X1043" s="27">
        <f>IF($C1043="","",IF(IFERROR(INDEX(CONFIG!$K$4:$K$43,MATCH($S1043,CONFIG!$J$4:$J$43,0)),"NO")="SÍ",IF(OR($V1043="",$U1043=""),"Resuelta",IF($V1043&gt;$U1043,"Resuelta tarde","Resuelta a tiempo")),IF($U1043="","Sin clasificar",IF(TODAY()&gt;$U1043,"Vencida",IF(TODAY()&gt;=$U1043-1,"Por vencer","En plazo")))))</f>
        <v/>
      </c>
      <c r="Y1043" s="49" t="n"/>
      <c r="Z1043" s="49" t="n"/>
    </row>
    <row r="1044" ht="16" customHeight="1">
      <c r="A1044" s="27">
        <f>IF($C1044="","","N-"&amp;TEXT(ROW()-3,"0000"))</f>
        <v/>
      </c>
      <c r="B1044" s="46" t="n"/>
      <c r="C1044" s="47" t="n"/>
      <c r="D1044" s="27">
        <f>IF($C1044="","",IF(COUNTIFS(ENVIOS!$A$4:$A$3003,$C1044)=0,"NO EXISTE",IF(COUNTIFS(ENVIOS!$A$4:$A$3003,$C1044)&gt;1,"DUPLICADA","OK")))</f>
        <v/>
      </c>
      <c r="E1044" s="22">
        <f>IF($C1044="","",IFERROR(INDEX(ENVIOS!$C$4:$C$3003,MATCH($C1044,ENVIOS!$A$4:$A$3003,0)),"—"))</f>
        <v/>
      </c>
      <c r="F1044" s="22">
        <f>IF($C1044="","",IFERROR(INDEX(ENVIOS!$D$4:$D$3003,MATCH($C1044,ENVIOS!$A$4:$A$3003,0)),"—"))</f>
        <v/>
      </c>
      <c r="G1044" s="22">
        <f>IF($C1044="","",IFERROR(INDEX(ENVIOS!$E$4:$E$3003,MATCH($C1044,ENVIOS!$A$4:$A$3003,0)),"—"))</f>
        <v/>
      </c>
      <c r="H1044" s="22">
        <f>IF($C1044="","",IFERROR(INDEX(ENVIOS!$F$4:$F$3003,MATCH($C1044,ENVIOS!$A$4:$A$3003,0)),"—"))</f>
        <v/>
      </c>
      <c r="I1044" s="27">
        <f>IF($C1044="","",IFERROR(INDEX(ENVIOS!$G$4:$G$3003,MATCH($C1044,ENVIOS!$A$4:$A$3003,0)),"—"))</f>
        <v/>
      </c>
      <c r="J1044" s="48">
        <f>IF($C1044="","",IFERROR(INDEX(ENVIOS!$B$4:$B$3003,MATCH($C1044,ENVIOS!$A$4:$A$3003,0)),""))</f>
        <v/>
      </c>
      <c r="K1044" s="49" t="n"/>
      <c r="L1044" s="27">
        <f>IF($K1044="","",IFERROR(INDEX(CONFIG!$B$4:$B$43,MATCH($K1044,CONFIG!$A$4:$A$43,0)),"Media"))</f>
        <v/>
      </c>
      <c r="M1044" s="27">
        <f>IF($K1044="","",IFERROR(INDEX(CONFIG!$D$4:$D$43,MATCH($K1044,CONFIG!$A$4:$A$43,0)),"NO"))</f>
        <v/>
      </c>
      <c r="N1044" s="49" t="n"/>
      <c r="O1044" s="27">
        <f>IF($N1044="","",IFERROR(INDEX(CONFIG!$G$4:$G$43,MATCH($N1044,CONFIG!$F$4:$F$43,0)),"Por definir"))</f>
        <v/>
      </c>
      <c r="P1044" s="27">
        <f>IF($N1044="","",IFERROR(INDEX(CONFIG!$H$4:$H$43,MATCH($N1044,CONFIG!$F$4:$F$43,0)),"Por definir"))</f>
        <v/>
      </c>
      <c r="Q1044" s="50" t="n"/>
      <c r="R1044" s="51" t="n"/>
      <c r="S1044" s="49" t="n"/>
      <c r="T1044" s="49" t="n"/>
      <c r="U1044" s="48">
        <f>IF(OR($B1044="",$K1044=""),"",WORKDAY($B1044,IFERROR(INDEX(CONFIG!$C$4:$C$43,MATCH($K1044,CONFIG!$A$4:$A$43,0)),3)))</f>
        <v/>
      </c>
      <c r="V1044" s="46" t="n"/>
      <c r="W1044" s="23">
        <f>IF($B1044="","",IF($V1044&lt;&gt;"",$V1044-$B1044,TODAY()-$B1044))</f>
        <v/>
      </c>
      <c r="X1044" s="27">
        <f>IF($C1044="","",IF(IFERROR(INDEX(CONFIG!$K$4:$K$43,MATCH($S1044,CONFIG!$J$4:$J$43,0)),"NO")="SÍ",IF(OR($V1044="",$U1044=""),"Resuelta",IF($V1044&gt;$U1044,"Resuelta tarde","Resuelta a tiempo")),IF($U1044="","Sin clasificar",IF(TODAY()&gt;$U1044,"Vencida",IF(TODAY()&gt;=$U1044-1,"Por vencer","En plazo")))))</f>
        <v/>
      </c>
      <c r="Y1044" s="49" t="n"/>
      <c r="Z1044" s="49" t="n"/>
    </row>
    <row r="1045" ht="16" customHeight="1">
      <c r="A1045" s="27">
        <f>IF($C1045="","","N-"&amp;TEXT(ROW()-3,"0000"))</f>
        <v/>
      </c>
      <c r="B1045" s="46" t="n"/>
      <c r="C1045" s="47" t="n"/>
      <c r="D1045" s="27">
        <f>IF($C1045="","",IF(COUNTIFS(ENVIOS!$A$4:$A$3003,$C1045)=0,"NO EXISTE",IF(COUNTIFS(ENVIOS!$A$4:$A$3003,$C1045)&gt;1,"DUPLICADA","OK")))</f>
        <v/>
      </c>
      <c r="E1045" s="22">
        <f>IF($C1045="","",IFERROR(INDEX(ENVIOS!$C$4:$C$3003,MATCH($C1045,ENVIOS!$A$4:$A$3003,0)),"—"))</f>
        <v/>
      </c>
      <c r="F1045" s="22">
        <f>IF($C1045="","",IFERROR(INDEX(ENVIOS!$D$4:$D$3003,MATCH($C1045,ENVIOS!$A$4:$A$3003,0)),"—"))</f>
        <v/>
      </c>
      <c r="G1045" s="22">
        <f>IF($C1045="","",IFERROR(INDEX(ENVIOS!$E$4:$E$3003,MATCH($C1045,ENVIOS!$A$4:$A$3003,0)),"—"))</f>
        <v/>
      </c>
      <c r="H1045" s="22">
        <f>IF($C1045="","",IFERROR(INDEX(ENVIOS!$F$4:$F$3003,MATCH($C1045,ENVIOS!$A$4:$A$3003,0)),"—"))</f>
        <v/>
      </c>
      <c r="I1045" s="27">
        <f>IF($C1045="","",IFERROR(INDEX(ENVIOS!$G$4:$G$3003,MATCH($C1045,ENVIOS!$A$4:$A$3003,0)),"—"))</f>
        <v/>
      </c>
      <c r="J1045" s="48">
        <f>IF($C1045="","",IFERROR(INDEX(ENVIOS!$B$4:$B$3003,MATCH($C1045,ENVIOS!$A$4:$A$3003,0)),""))</f>
        <v/>
      </c>
      <c r="K1045" s="49" t="n"/>
      <c r="L1045" s="27">
        <f>IF($K1045="","",IFERROR(INDEX(CONFIG!$B$4:$B$43,MATCH($K1045,CONFIG!$A$4:$A$43,0)),"Media"))</f>
        <v/>
      </c>
      <c r="M1045" s="27">
        <f>IF($K1045="","",IFERROR(INDEX(CONFIG!$D$4:$D$43,MATCH($K1045,CONFIG!$A$4:$A$43,0)),"NO"))</f>
        <v/>
      </c>
      <c r="N1045" s="49" t="n"/>
      <c r="O1045" s="27">
        <f>IF($N1045="","",IFERROR(INDEX(CONFIG!$G$4:$G$43,MATCH($N1045,CONFIG!$F$4:$F$43,0)),"Por definir"))</f>
        <v/>
      </c>
      <c r="P1045" s="27">
        <f>IF($N1045="","",IFERROR(INDEX(CONFIG!$H$4:$H$43,MATCH($N1045,CONFIG!$F$4:$F$43,0)),"Por definir"))</f>
        <v/>
      </c>
      <c r="Q1045" s="50" t="n"/>
      <c r="R1045" s="51" t="n"/>
      <c r="S1045" s="49" t="n"/>
      <c r="T1045" s="49" t="n"/>
      <c r="U1045" s="48">
        <f>IF(OR($B1045="",$K1045=""),"",WORKDAY($B1045,IFERROR(INDEX(CONFIG!$C$4:$C$43,MATCH($K1045,CONFIG!$A$4:$A$43,0)),3)))</f>
        <v/>
      </c>
      <c r="V1045" s="46" t="n"/>
      <c r="W1045" s="23">
        <f>IF($B1045="","",IF($V1045&lt;&gt;"",$V1045-$B1045,TODAY()-$B1045))</f>
        <v/>
      </c>
      <c r="X1045" s="27">
        <f>IF($C1045="","",IF(IFERROR(INDEX(CONFIG!$K$4:$K$43,MATCH($S1045,CONFIG!$J$4:$J$43,0)),"NO")="SÍ",IF(OR($V1045="",$U1045=""),"Resuelta",IF($V1045&gt;$U1045,"Resuelta tarde","Resuelta a tiempo")),IF($U1045="","Sin clasificar",IF(TODAY()&gt;$U1045,"Vencida",IF(TODAY()&gt;=$U1045-1,"Por vencer","En plazo")))))</f>
        <v/>
      </c>
      <c r="Y1045" s="49" t="n"/>
      <c r="Z1045" s="49" t="n"/>
    </row>
    <row r="1046" ht="16" customHeight="1">
      <c r="A1046" s="27">
        <f>IF($C1046="","","N-"&amp;TEXT(ROW()-3,"0000"))</f>
        <v/>
      </c>
      <c r="B1046" s="46" t="n"/>
      <c r="C1046" s="47" t="n"/>
      <c r="D1046" s="27">
        <f>IF($C1046="","",IF(COUNTIFS(ENVIOS!$A$4:$A$3003,$C1046)=0,"NO EXISTE",IF(COUNTIFS(ENVIOS!$A$4:$A$3003,$C1046)&gt;1,"DUPLICADA","OK")))</f>
        <v/>
      </c>
      <c r="E1046" s="22">
        <f>IF($C1046="","",IFERROR(INDEX(ENVIOS!$C$4:$C$3003,MATCH($C1046,ENVIOS!$A$4:$A$3003,0)),"—"))</f>
        <v/>
      </c>
      <c r="F1046" s="22">
        <f>IF($C1046="","",IFERROR(INDEX(ENVIOS!$D$4:$D$3003,MATCH($C1046,ENVIOS!$A$4:$A$3003,0)),"—"))</f>
        <v/>
      </c>
      <c r="G1046" s="22">
        <f>IF($C1046="","",IFERROR(INDEX(ENVIOS!$E$4:$E$3003,MATCH($C1046,ENVIOS!$A$4:$A$3003,0)),"—"))</f>
        <v/>
      </c>
      <c r="H1046" s="22">
        <f>IF($C1046="","",IFERROR(INDEX(ENVIOS!$F$4:$F$3003,MATCH($C1046,ENVIOS!$A$4:$A$3003,0)),"—"))</f>
        <v/>
      </c>
      <c r="I1046" s="27">
        <f>IF($C1046="","",IFERROR(INDEX(ENVIOS!$G$4:$G$3003,MATCH($C1046,ENVIOS!$A$4:$A$3003,0)),"—"))</f>
        <v/>
      </c>
      <c r="J1046" s="48">
        <f>IF($C1046="","",IFERROR(INDEX(ENVIOS!$B$4:$B$3003,MATCH($C1046,ENVIOS!$A$4:$A$3003,0)),""))</f>
        <v/>
      </c>
      <c r="K1046" s="49" t="n"/>
      <c r="L1046" s="27">
        <f>IF($K1046="","",IFERROR(INDEX(CONFIG!$B$4:$B$43,MATCH($K1046,CONFIG!$A$4:$A$43,0)),"Media"))</f>
        <v/>
      </c>
      <c r="M1046" s="27">
        <f>IF($K1046="","",IFERROR(INDEX(CONFIG!$D$4:$D$43,MATCH($K1046,CONFIG!$A$4:$A$43,0)),"NO"))</f>
        <v/>
      </c>
      <c r="N1046" s="49" t="n"/>
      <c r="O1046" s="27">
        <f>IF($N1046="","",IFERROR(INDEX(CONFIG!$G$4:$G$43,MATCH($N1046,CONFIG!$F$4:$F$43,0)),"Por definir"))</f>
        <v/>
      </c>
      <c r="P1046" s="27">
        <f>IF($N1046="","",IFERROR(INDEX(CONFIG!$H$4:$H$43,MATCH($N1046,CONFIG!$F$4:$F$43,0)),"Por definir"))</f>
        <v/>
      </c>
      <c r="Q1046" s="50" t="n"/>
      <c r="R1046" s="51" t="n"/>
      <c r="S1046" s="49" t="n"/>
      <c r="T1046" s="49" t="n"/>
      <c r="U1046" s="48">
        <f>IF(OR($B1046="",$K1046=""),"",WORKDAY($B1046,IFERROR(INDEX(CONFIG!$C$4:$C$43,MATCH($K1046,CONFIG!$A$4:$A$43,0)),3)))</f>
        <v/>
      </c>
      <c r="V1046" s="46" t="n"/>
      <c r="W1046" s="23">
        <f>IF($B1046="","",IF($V1046&lt;&gt;"",$V1046-$B1046,TODAY()-$B1046))</f>
        <v/>
      </c>
      <c r="X1046" s="27">
        <f>IF($C1046="","",IF(IFERROR(INDEX(CONFIG!$K$4:$K$43,MATCH($S1046,CONFIG!$J$4:$J$43,0)),"NO")="SÍ",IF(OR($V1046="",$U1046=""),"Resuelta",IF($V1046&gt;$U1046,"Resuelta tarde","Resuelta a tiempo")),IF($U1046="","Sin clasificar",IF(TODAY()&gt;$U1046,"Vencida",IF(TODAY()&gt;=$U1046-1,"Por vencer","En plazo")))))</f>
        <v/>
      </c>
      <c r="Y1046" s="49" t="n"/>
      <c r="Z1046" s="49" t="n"/>
    </row>
    <row r="1047" ht="16" customHeight="1">
      <c r="A1047" s="27">
        <f>IF($C1047="","","N-"&amp;TEXT(ROW()-3,"0000"))</f>
        <v/>
      </c>
      <c r="B1047" s="46" t="n"/>
      <c r="C1047" s="47" t="n"/>
      <c r="D1047" s="27">
        <f>IF($C1047="","",IF(COUNTIFS(ENVIOS!$A$4:$A$3003,$C1047)=0,"NO EXISTE",IF(COUNTIFS(ENVIOS!$A$4:$A$3003,$C1047)&gt;1,"DUPLICADA","OK")))</f>
        <v/>
      </c>
      <c r="E1047" s="22">
        <f>IF($C1047="","",IFERROR(INDEX(ENVIOS!$C$4:$C$3003,MATCH($C1047,ENVIOS!$A$4:$A$3003,0)),"—"))</f>
        <v/>
      </c>
      <c r="F1047" s="22">
        <f>IF($C1047="","",IFERROR(INDEX(ENVIOS!$D$4:$D$3003,MATCH($C1047,ENVIOS!$A$4:$A$3003,0)),"—"))</f>
        <v/>
      </c>
      <c r="G1047" s="22">
        <f>IF($C1047="","",IFERROR(INDEX(ENVIOS!$E$4:$E$3003,MATCH($C1047,ENVIOS!$A$4:$A$3003,0)),"—"))</f>
        <v/>
      </c>
      <c r="H1047" s="22">
        <f>IF($C1047="","",IFERROR(INDEX(ENVIOS!$F$4:$F$3003,MATCH($C1047,ENVIOS!$A$4:$A$3003,0)),"—"))</f>
        <v/>
      </c>
      <c r="I1047" s="27">
        <f>IF($C1047="","",IFERROR(INDEX(ENVIOS!$G$4:$G$3003,MATCH($C1047,ENVIOS!$A$4:$A$3003,0)),"—"))</f>
        <v/>
      </c>
      <c r="J1047" s="48">
        <f>IF($C1047="","",IFERROR(INDEX(ENVIOS!$B$4:$B$3003,MATCH($C1047,ENVIOS!$A$4:$A$3003,0)),""))</f>
        <v/>
      </c>
      <c r="K1047" s="49" t="n"/>
      <c r="L1047" s="27">
        <f>IF($K1047="","",IFERROR(INDEX(CONFIG!$B$4:$B$43,MATCH($K1047,CONFIG!$A$4:$A$43,0)),"Media"))</f>
        <v/>
      </c>
      <c r="M1047" s="27">
        <f>IF($K1047="","",IFERROR(INDEX(CONFIG!$D$4:$D$43,MATCH($K1047,CONFIG!$A$4:$A$43,0)),"NO"))</f>
        <v/>
      </c>
      <c r="N1047" s="49" t="n"/>
      <c r="O1047" s="27">
        <f>IF($N1047="","",IFERROR(INDEX(CONFIG!$G$4:$G$43,MATCH($N1047,CONFIG!$F$4:$F$43,0)),"Por definir"))</f>
        <v/>
      </c>
      <c r="P1047" s="27">
        <f>IF($N1047="","",IFERROR(INDEX(CONFIG!$H$4:$H$43,MATCH($N1047,CONFIG!$F$4:$F$43,0)),"Por definir"))</f>
        <v/>
      </c>
      <c r="Q1047" s="50" t="n"/>
      <c r="R1047" s="51" t="n"/>
      <c r="S1047" s="49" t="n"/>
      <c r="T1047" s="49" t="n"/>
      <c r="U1047" s="48">
        <f>IF(OR($B1047="",$K1047=""),"",WORKDAY($B1047,IFERROR(INDEX(CONFIG!$C$4:$C$43,MATCH($K1047,CONFIG!$A$4:$A$43,0)),3)))</f>
        <v/>
      </c>
      <c r="V1047" s="46" t="n"/>
      <c r="W1047" s="23">
        <f>IF($B1047="","",IF($V1047&lt;&gt;"",$V1047-$B1047,TODAY()-$B1047))</f>
        <v/>
      </c>
      <c r="X1047" s="27">
        <f>IF($C1047="","",IF(IFERROR(INDEX(CONFIG!$K$4:$K$43,MATCH($S1047,CONFIG!$J$4:$J$43,0)),"NO")="SÍ",IF(OR($V1047="",$U1047=""),"Resuelta",IF($V1047&gt;$U1047,"Resuelta tarde","Resuelta a tiempo")),IF($U1047="","Sin clasificar",IF(TODAY()&gt;$U1047,"Vencida",IF(TODAY()&gt;=$U1047-1,"Por vencer","En plazo")))))</f>
        <v/>
      </c>
      <c r="Y1047" s="49" t="n"/>
      <c r="Z1047" s="49" t="n"/>
    </row>
    <row r="1048" ht="16" customHeight="1">
      <c r="A1048" s="27">
        <f>IF($C1048="","","N-"&amp;TEXT(ROW()-3,"0000"))</f>
        <v/>
      </c>
      <c r="B1048" s="46" t="n"/>
      <c r="C1048" s="47" t="n"/>
      <c r="D1048" s="27">
        <f>IF($C1048="","",IF(COUNTIFS(ENVIOS!$A$4:$A$3003,$C1048)=0,"NO EXISTE",IF(COUNTIFS(ENVIOS!$A$4:$A$3003,$C1048)&gt;1,"DUPLICADA","OK")))</f>
        <v/>
      </c>
      <c r="E1048" s="22">
        <f>IF($C1048="","",IFERROR(INDEX(ENVIOS!$C$4:$C$3003,MATCH($C1048,ENVIOS!$A$4:$A$3003,0)),"—"))</f>
        <v/>
      </c>
      <c r="F1048" s="22">
        <f>IF($C1048="","",IFERROR(INDEX(ENVIOS!$D$4:$D$3003,MATCH($C1048,ENVIOS!$A$4:$A$3003,0)),"—"))</f>
        <v/>
      </c>
      <c r="G1048" s="22">
        <f>IF($C1048="","",IFERROR(INDEX(ENVIOS!$E$4:$E$3003,MATCH($C1048,ENVIOS!$A$4:$A$3003,0)),"—"))</f>
        <v/>
      </c>
      <c r="H1048" s="22">
        <f>IF($C1048="","",IFERROR(INDEX(ENVIOS!$F$4:$F$3003,MATCH($C1048,ENVIOS!$A$4:$A$3003,0)),"—"))</f>
        <v/>
      </c>
      <c r="I1048" s="27">
        <f>IF($C1048="","",IFERROR(INDEX(ENVIOS!$G$4:$G$3003,MATCH($C1048,ENVIOS!$A$4:$A$3003,0)),"—"))</f>
        <v/>
      </c>
      <c r="J1048" s="48">
        <f>IF($C1048="","",IFERROR(INDEX(ENVIOS!$B$4:$B$3003,MATCH($C1048,ENVIOS!$A$4:$A$3003,0)),""))</f>
        <v/>
      </c>
      <c r="K1048" s="49" t="n"/>
      <c r="L1048" s="27">
        <f>IF($K1048="","",IFERROR(INDEX(CONFIG!$B$4:$B$43,MATCH($K1048,CONFIG!$A$4:$A$43,0)),"Media"))</f>
        <v/>
      </c>
      <c r="M1048" s="27">
        <f>IF($K1048="","",IFERROR(INDEX(CONFIG!$D$4:$D$43,MATCH($K1048,CONFIG!$A$4:$A$43,0)),"NO"))</f>
        <v/>
      </c>
      <c r="N1048" s="49" t="n"/>
      <c r="O1048" s="27">
        <f>IF($N1048="","",IFERROR(INDEX(CONFIG!$G$4:$G$43,MATCH($N1048,CONFIG!$F$4:$F$43,0)),"Por definir"))</f>
        <v/>
      </c>
      <c r="P1048" s="27">
        <f>IF($N1048="","",IFERROR(INDEX(CONFIG!$H$4:$H$43,MATCH($N1048,CONFIG!$F$4:$F$43,0)),"Por definir"))</f>
        <v/>
      </c>
      <c r="Q1048" s="50" t="n"/>
      <c r="R1048" s="51" t="n"/>
      <c r="S1048" s="49" t="n"/>
      <c r="T1048" s="49" t="n"/>
      <c r="U1048" s="48">
        <f>IF(OR($B1048="",$K1048=""),"",WORKDAY($B1048,IFERROR(INDEX(CONFIG!$C$4:$C$43,MATCH($K1048,CONFIG!$A$4:$A$43,0)),3)))</f>
        <v/>
      </c>
      <c r="V1048" s="46" t="n"/>
      <c r="W1048" s="23">
        <f>IF($B1048="","",IF($V1048&lt;&gt;"",$V1048-$B1048,TODAY()-$B1048))</f>
        <v/>
      </c>
      <c r="X1048" s="27">
        <f>IF($C1048="","",IF(IFERROR(INDEX(CONFIG!$K$4:$K$43,MATCH($S1048,CONFIG!$J$4:$J$43,0)),"NO")="SÍ",IF(OR($V1048="",$U1048=""),"Resuelta",IF($V1048&gt;$U1048,"Resuelta tarde","Resuelta a tiempo")),IF($U1048="","Sin clasificar",IF(TODAY()&gt;$U1048,"Vencida",IF(TODAY()&gt;=$U1048-1,"Por vencer","En plazo")))))</f>
        <v/>
      </c>
      <c r="Y1048" s="49" t="n"/>
      <c r="Z1048" s="49" t="n"/>
    </row>
    <row r="1049" ht="16" customHeight="1">
      <c r="A1049" s="27">
        <f>IF($C1049="","","N-"&amp;TEXT(ROW()-3,"0000"))</f>
        <v/>
      </c>
      <c r="B1049" s="46" t="n"/>
      <c r="C1049" s="47" t="n"/>
      <c r="D1049" s="27">
        <f>IF($C1049="","",IF(COUNTIFS(ENVIOS!$A$4:$A$3003,$C1049)=0,"NO EXISTE",IF(COUNTIFS(ENVIOS!$A$4:$A$3003,$C1049)&gt;1,"DUPLICADA","OK")))</f>
        <v/>
      </c>
      <c r="E1049" s="22">
        <f>IF($C1049="","",IFERROR(INDEX(ENVIOS!$C$4:$C$3003,MATCH($C1049,ENVIOS!$A$4:$A$3003,0)),"—"))</f>
        <v/>
      </c>
      <c r="F1049" s="22">
        <f>IF($C1049="","",IFERROR(INDEX(ENVIOS!$D$4:$D$3003,MATCH($C1049,ENVIOS!$A$4:$A$3003,0)),"—"))</f>
        <v/>
      </c>
      <c r="G1049" s="22">
        <f>IF($C1049="","",IFERROR(INDEX(ENVIOS!$E$4:$E$3003,MATCH($C1049,ENVIOS!$A$4:$A$3003,0)),"—"))</f>
        <v/>
      </c>
      <c r="H1049" s="22">
        <f>IF($C1049="","",IFERROR(INDEX(ENVIOS!$F$4:$F$3003,MATCH($C1049,ENVIOS!$A$4:$A$3003,0)),"—"))</f>
        <v/>
      </c>
      <c r="I1049" s="27">
        <f>IF($C1049="","",IFERROR(INDEX(ENVIOS!$G$4:$G$3003,MATCH($C1049,ENVIOS!$A$4:$A$3003,0)),"—"))</f>
        <v/>
      </c>
      <c r="J1049" s="48">
        <f>IF($C1049="","",IFERROR(INDEX(ENVIOS!$B$4:$B$3003,MATCH($C1049,ENVIOS!$A$4:$A$3003,0)),""))</f>
        <v/>
      </c>
      <c r="K1049" s="49" t="n"/>
      <c r="L1049" s="27">
        <f>IF($K1049="","",IFERROR(INDEX(CONFIG!$B$4:$B$43,MATCH($K1049,CONFIG!$A$4:$A$43,0)),"Media"))</f>
        <v/>
      </c>
      <c r="M1049" s="27">
        <f>IF($K1049="","",IFERROR(INDEX(CONFIG!$D$4:$D$43,MATCH($K1049,CONFIG!$A$4:$A$43,0)),"NO"))</f>
        <v/>
      </c>
      <c r="N1049" s="49" t="n"/>
      <c r="O1049" s="27">
        <f>IF($N1049="","",IFERROR(INDEX(CONFIG!$G$4:$G$43,MATCH($N1049,CONFIG!$F$4:$F$43,0)),"Por definir"))</f>
        <v/>
      </c>
      <c r="P1049" s="27">
        <f>IF($N1049="","",IFERROR(INDEX(CONFIG!$H$4:$H$43,MATCH($N1049,CONFIG!$F$4:$F$43,0)),"Por definir"))</f>
        <v/>
      </c>
      <c r="Q1049" s="50" t="n"/>
      <c r="R1049" s="51" t="n"/>
      <c r="S1049" s="49" t="n"/>
      <c r="T1049" s="49" t="n"/>
      <c r="U1049" s="48">
        <f>IF(OR($B1049="",$K1049=""),"",WORKDAY($B1049,IFERROR(INDEX(CONFIG!$C$4:$C$43,MATCH($K1049,CONFIG!$A$4:$A$43,0)),3)))</f>
        <v/>
      </c>
      <c r="V1049" s="46" t="n"/>
      <c r="W1049" s="23">
        <f>IF($B1049="","",IF($V1049&lt;&gt;"",$V1049-$B1049,TODAY()-$B1049))</f>
        <v/>
      </c>
      <c r="X1049" s="27">
        <f>IF($C1049="","",IF(IFERROR(INDEX(CONFIG!$K$4:$K$43,MATCH($S1049,CONFIG!$J$4:$J$43,0)),"NO")="SÍ",IF(OR($V1049="",$U1049=""),"Resuelta",IF($V1049&gt;$U1049,"Resuelta tarde","Resuelta a tiempo")),IF($U1049="","Sin clasificar",IF(TODAY()&gt;$U1049,"Vencida",IF(TODAY()&gt;=$U1049-1,"Por vencer","En plazo")))))</f>
        <v/>
      </c>
      <c r="Y1049" s="49" t="n"/>
      <c r="Z1049" s="49" t="n"/>
    </row>
    <row r="1050" ht="16" customHeight="1">
      <c r="A1050" s="27">
        <f>IF($C1050="","","N-"&amp;TEXT(ROW()-3,"0000"))</f>
        <v/>
      </c>
      <c r="B1050" s="46" t="n"/>
      <c r="C1050" s="47" t="n"/>
      <c r="D1050" s="27">
        <f>IF($C1050="","",IF(COUNTIFS(ENVIOS!$A$4:$A$3003,$C1050)=0,"NO EXISTE",IF(COUNTIFS(ENVIOS!$A$4:$A$3003,$C1050)&gt;1,"DUPLICADA","OK")))</f>
        <v/>
      </c>
      <c r="E1050" s="22">
        <f>IF($C1050="","",IFERROR(INDEX(ENVIOS!$C$4:$C$3003,MATCH($C1050,ENVIOS!$A$4:$A$3003,0)),"—"))</f>
        <v/>
      </c>
      <c r="F1050" s="22">
        <f>IF($C1050="","",IFERROR(INDEX(ENVIOS!$D$4:$D$3003,MATCH($C1050,ENVIOS!$A$4:$A$3003,0)),"—"))</f>
        <v/>
      </c>
      <c r="G1050" s="22">
        <f>IF($C1050="","",IFERROR(INDEX(ENVIOS!$E$4:$E$3003,MATCH($C1050,ENVIOS!$A$4:$A$3003,0)),"—"))</f>
        <v/>
      </c>
      <c r="H1050" s="22">
        <f>IF($C1050="","",IFERROR(INDEX(ENVIOS!$F$4:$F$3003,MATCH($C1050,ENVIOS!$A$4:$A$3003,0)),"—"))</f>
        <v/>
      </c>
      <c r="I1050" s="27">
        <f>IF($C1050="","",IFERROR(INDEX(ENVIOS!$G$4:$G$3003,MATCH($C1050,ENVIOS!$A$4:$A$3003,0)),"—"))</f>
        <v/>
      </c>
      <c r="J1050" s="48">
        <f>IF($C1050="","",IFERROR(INDEX(ENVIOS!$B$4:$B$3003,MATCH($C1050,ENVIOS!$A$4:$A$3003,0)),""))</f>
        <v/>
      </c>
      <c r="K1050" s="49" t="n"/>
      <c r="L1050" s="27">
        <f>IF($K1050="","",IFERROR(INDEX(CONFIG!$B$4:$B$43,MATCH($K1050,CONFIG!$A$4:$A$43,0)),"Media"))</f>
        <v/>
      </c>
      <c r="M1050" s="27">
        <f>IF($K1050="","",IFERROR(INDEX(CONFIG!$D$4:$D$43,MATCH($K1050,CONFIG!$A$4:$A$43,0)),"NO"))</f>
        <v/>
      </c>
      <c r="N1050" s="49" t="n"/>
      <c r="O1050" s="27">
        <f>IF($N1050="","",IFERROR(INDEX(CONFIG!$G$4:$G$43,MATCH($N1050,CONFIG!$F$4:$F$43,0)),"Por definir"))</f>
        <v/>
      </c>
      <c r="P1050" s="27">
        <f>IF($N1050="","",IFERROR(INDEX(CONFIG!$H$4:$H$43,MATCH($N1050,CONFIG!$F$4:$F$43,0)),"Por definir"))</f>
        <v/>
      </c>
      <c r="Q1050" s="50" t="n"/>
      <c r="R1050" s="51" t="n"/>
      <c r="S1050" s="49" t="n"/>
      <c r="T1050" s="49" t="n"/>
      <c r="U1050" s="48">
        <f>IF(OR($B1050="",$K1050=""),"",WORKDAY($B1050,IFERROR(INDEX(CONFIG!$C$4:$C$43,MATCH($K1050,CONFIG!$A$4:$A$43,0)),3)))</f>
        <v/>
      </c>
      <c r="V1050" s="46" t="n"/>
      <c r="W1050" s="23">
        <f>IF($B1050="","",IF($V1050&lt;&gt;"",$V1050-$B1050,TODAY()-$B1050))</f>
        <v/>
      </c>
      <c r="X1050" s="27">
        <f>IF($C1050="","",IF(IFERROR(INDEX(CONFIG!$K$4:$K$43,MATCH($S1050,CONFIG!$J$4:$J$43,0)),"NO")="SÍ",IF(OR($V1050="",$U1050=""),"Resuelta",IF($V1050&gt;$U1050,"Resuelta tarde","Resuelta a tiempo")),IF($U1050="","Sin clasificar",IF(TODAY()&gt;$U1050,"Vencida",IF(TODAY()&gt;=$U1050-1,"Por vencer","En plazo")))))</f>
        <v/>
      </c>
      <c r="Y1050" s="49" t="n"/>
      <c r="Z1050" s="49" t="n"/>
    </row>
    <row r="1051" ht="16" customHeight="1">
      <c r="A1051" s="27">
        <f>IF($C1051="","","N-"&amp;TEXT(ROW()-3,"0000"))</f>
        <v/>
      </c>
      <c r="B1051" s="46" t="n"/>
      <c r="C1051" s="47" t="n"/>
      <c r="D1051" s="27">
        <f>IF($C1051="","",IF(COUNTIFS(ENVIOS!$A$4:$A$3003,$C1051)=0,"NO EXISTE",IF(COUNTIFS(ENVIOS!$A$4:$A$3003,$C1051)&gt;1,"DUPLICADA","OK")))</f>
        <v/>
      </c>
      <c r="E1051" s="22">
        <f>IF($C1051="","",IFERROR(INDEX(ENVIOS!$C$4:$C$3003,MATCH($C1051,ENVIOS!$A$4:$A$3003,0)),"—"))</f>
        <v/>
      </c>
      <c r="F1051" s="22">
        <f>IF($C1051="","",IFERROR(INDEX(ENVIOS!$D$4:$D$3003,MATCH($C1051,ENVIOS!$A$4:$A$3003,0)),"—"))</f>
        <v/>
      </c>
      <c r="G1051" s="22">
        <f>IF($C1051="","",IFERROR(INDEX(ENVIOS!$E$4:$E$3003,MATCH($C1051,ENVIOS!$A$4:$A$3003,0)),"—"))</f>
        <v/>
      </c>
      <c r="H1051" s="22">
        <f>IF($C1051="","",IFERROR(INDEX(ENVIOS!$F$4:$F$3003,MATCH($C1051,ENVIOS!$A$4:$A$3003,0)),"—"))</f>
        <v/>
      </c>
      <c r="I1051" s="27">
        <f>IF($C1051="","",IFERROR(INDEX(ENVIOS!$G$4:$G$3003,MATCH($C1051,ENVIOS!$A$4:$A$3003,0)),"—"))</f>
        <v/>
      </c>
      <c r="J1051" s="48">
        <f>IF($C1051="","",IFERROR(INDEX(ENVIOS!$B$4:$B$3003,MATCH($C1051,ENVIOS!$A$4:$A$3003,0)),""))</f>
        <v/>
      </c>
      <c r="K1051" s="49" t="n"/>
      <c r="L1051" s="27">
        <f>IF($K1051="","",IFERROR(INDEX(CONFIG!$B$4:$B$43,MATCH($K1051,CONFIG!$A$4:$A$43,0)),"Media"))</f>
        <v/>
      </c>
      <c r="M1051" s="27">
        <f>IF($K1051="","",IFERROR(INDEX(CONFIG!$D$4:$D$43,MATCH($K1051,CONFIG!$A$4:$A$43,0)),"NO"))</f>
        <v/>
      </c>
      <c r="N1051" s="49" t="n"/>
      <c r="O1051" s="27">
        <f>IF($N1051="","",IFERROR(INDEX(CONFIG!$G$4:$G$43,MATCH($N1051,CONFIG!$F$4:$F$43,0)),"Por definir"))</f>
        <v/>
      </c>
      <c r="P1051" s="27">
        <f>IF($N1051="","",IFERROR(INDEX(CONFIG!$H$4:$H$43,MATCH($N1051,CONFIG!$F$4:$F$43,0)),"Por definir"))</f>
        <v/>
      </c>
      <c r="Q1051" s="50" t="n"/>
      <c r="R1051" s="51" t="n"/>
      <c r="S1051" s="49" t="n"/>
      <c r="T1051" s="49" t="n"/>
      <c r="U1051" s="48">
        <f>IF(OR($B1051="",$K1051=""),"",WORKDAY($B1051,IFERROR(INDEX(CONFIG!$C$4:$C$43,MATCH($K1051,CONFIG!$A$4:$A$43,0)),3)))</f>
        <v/>
      </c>
      <c r="V1051" s="46" t="n"/>
      <c r="W1051" s="23">
        <f>IF($B1051="","",IF($V1051&lt;&gt;"",$V1051-$B1051,TODAY()-$B1051))</f>
        <v/>
      </c>
      <c r="X1051" s="27">
        <f>IF($C1051="","",IF(IFERROR(INDEX(CONFIG!$K$4:$K$43,MATCH($S1051,CONFIG!$J$4:$J$43,0)),"NO")="SÍ",IF(OR($V1051="",$U1051=""),"Resuelta",IF($V1051&gt;$U1051,"Resuelta tarde","Resuelta a tiempo")),IF($U1051="","Sin clasificar",IF(TODAY()&gt;$U1051,"Vencida",IF(TODAY()&gt;=$U1051-1,"Por vencer","En plazo")))))</f>
        <v/>
      </c>
      <c r="Y1051" s="49" t="n"/>
      <c r="Z1051" s="49" t="n"/>
    </row>
    <row r="1052" ht="16" customHeight="1">
      <c r="A1052" s="27">
        <f>IF($C1052="","","N-"&amp;TEXT(ROW()-3,"0000"))</f>
        <v/>
      </c>
      <c r="B1052" s="46" t="n"/>
      <c r="C1052" s="47" t="n"/>
      <c r="D1052" s="27">
        <f>IF($C1052="","",IF(COUNTIFS(ENVIOS!$A$4:$A$3003,$C1052)=0,"NO EXISTE",IF(COUNTIFS(ENVIOS!$A$4:$A$3003,$C1052)&gt;1,"DUPLICADA","OK")))</f>
        <v/>
      </c>
      <c r="E1052" s="22">
        <f>IF($C1052="","",IFERROR(INDEX(ENVIOS!$C$4:$C$3003,MATCH($C1052,ENVIOS!$A$4:$A$3003,0)),"—"))</f>
        <v/>
      </c>
      <c r="F1052" s="22">
        <f>IF($C1052="","",IFERROR(INDEX(ENVIOS!$D$4:$D$3003,MATCH($C1052,ENVIOS!$A$4:$A$3003,0)),"—"))</f>
        <v/>
      </c>
      <c r="G1052" s="22">
        <f>IF($C1052="","",IFERROR(INDEX(ENVIOS!$E$4:$E$3003,MATCH($C1052,ENVIOS!$A$4:$A$3003,0)),"—"))</f>
        <v/>
      </c>
      <c r="H1052" s="22">
        <f>IF($C1052="","",IFERROR(INDEX(ENVIOS!$F$4:$F$3003,MATCH($C1052,ENVIOS!$A$4:$A$3003,0)),"—"))</f>
        <v/>
      </c>
      <c r="I1052" s="27">
        <f>IF($C1052="","",IFERROR(INDEX(ENVIOS!$G$4:$G$3003,MATCH($C1052,ENVIOS!$A$4:$A$3003,0)),"—"))</f>
        <v/>
      </c>
      <c r="J1052" s="48">
        <f>IF($C1052="","",IFERROR(INDEX(ENVIOS!$B$4:$B$3003,MATCH($C1052,ENVIOS!$A$4:$A$3003,0)),""))</f>
        <v/>
      </c>
      <c r="K1052" s="49" t="n"/>
      <c r="L1052" s="27">
        <f>IF($K1052="","",IFERROR(INDEX(CONFIG!$B$4:$B$43,MATCH($K1052,CONFIG!$A$4:$A$43,0)),"Media"))</f>
        <v/>
      </c>
      <c r="M1052" s="27">
        <f>IF($K1052="","",IFERROR(INDEX(CONFIG!$D$4:$D$43,MATCH($K1052,CONFIG!$A$4:$A$43,0)),"NO"))</f>
        <v/>
      </c>
      <c r="N1052" s="49" t="n"/>
      <c r="O1052" s="27">
        <f>IF($N1052="","",IFERROR(INDEX(CONFIG!$G$4:$G$43,MATCH($N1052,CONFIG!$F$4:$F$43,0)),"Por definir"))</f>
        <v/>
      </c>
      <c r="P1052" s="27">
        <f>IF($N1052="","",IFERROR(INDEX(CONFIG!$H$4:$H$43,MATCH($N1052,CONFIG!$F$4:$F$43,0)),"Por definir"))</f>
        <v/>
      </c>
      <c r="Q1052" s="50" t="n"/>
      <c r="R1052" s="51" t="n"/>
      <c r="S1052" s="49" t="n"/>
      <c r="T1052" s="49" t="n"/>
      <c r="U1052" s="48">
        <f>IF(OR($B1052="",$K1052=""),"",WORKDAY($B1052,IFERROR(INDEX(CONFIG!$C$4:$C$43,MATCH($K1052,CONFIG!$A$4:$A$43,0)),3)))</f>
        <v/>
      </c>
      <c r="V1052" s="46" t="n"/>
      <c r="W1052" s="23">
        <f>IF($B1052="","",IF($V1052&lt;&gt;"",$V1052-$B1052,TODAY()-$B1052))</f>
        <v/>
      </c>
      <c r="X1052" s="27">
        <f>IF($C1052="","",IF(IFERROR(INDEX(CONFIG!$K$4:$K$43,MATCH($S1052,CONFIG!$J$4:$J$43,0)),"NO")="SÍ",IF(OR($V1052="",$U1052=""),"Resuelta",IF($V1052&gt;$U1052,"Resuelta tarde","Resuelta a tiempo")),IF($U1052="","Sin clasificar",IF(TODAY()&gt;$U1052,"Vencida",IF(TODAY()&gt;=$U1052-1,"Por vencer","En plazo")))))</f>
        <v/>
      </c>
      <c r="Y1052" s="49" t="n"/>
      <c r="Z1052" s="49" t="n"/>
    </row>
    <row r="1053" ht="16" customHeight="1">
      <c r="A1053" s="27">
        <f>IF($C1053="","","N-"&amp;TEXT(ROW()-3,"0000"))</f>
        <v/>
      </c>
      <c r="B1053" s="46" t="n"/>
      <c r="C1053" s="47" t="n"/>
      <c r="D1053" s="27">
        <f>IF($C1053="","",IF(COUNTIFS(ENVIOS!$A$4:$A$3003,$C1053)=0,"NO EXISTE",IF(COUNTIFS(ENVIOS!$A$4:$A$3003,$C1053)&gt;1,"DUPLICADA","OK")))</f>
        <v/>
      </c>
      <c r="E1053" s="22">
        <f>IF($C1053="","",IFERROR(INDEX(ENVIOS!$C$4:$C$3003,MATCH($C1053,ENVIOS!$A$4:$A$3003,0)),"—"))</f>
        <v/>
      </c>
      <c r="F1053" s="22">
        <f>IF($C1053="","",IFERROR(INDEX(ENVIOS!$D$4:$D$3003,MATCH($C1053,ENVIOS!$A$4:$A$3003,0)),"—"))</f>
        <v/>
      </c>
      <c r="G1053" s="22">
        <f>IF($C1053="","",IFERROR(INDEX(ENVIOS!$E$4:$E$3003,MATCH($C1053,ENVIOS!$A$4:$A$3003,0)),"—"))</f>
        <v/>
      </c>
      <c r="H1053" s="22">
        <f>IF($C1053="","",IFERROR(INDEX(ENVIOS!$F$4:$F$3003,MATCH($C1053,ENVIOS!$A$4:$A$3003,0)),"—"))</f>
        <v/>
      </c>
      <c r="I1053" s="27">
        <f>IF($C1053="","",IFERROR(INDEX(ENVIOS!$G$4:$G$3003,MATCH($C1053,ENVIOS!$A$4:$A$3003,0)),"—"))</f>
        <v/>
      </c>
      <c r="J1053" s="48">
        <f>IF($C1053="","",IFERROR(INDEX(ENVIOS!$B$4:$B$3003,MATCH($C1053,ENVIOS!$A$4:$A$3003,0)),""))</f>
        <v/>
      </c>
      <c r="K1053" s="49" t="n"/>
      <c r="L1053" s="27">
        <f>IF($K1053="","",IFERROR(INDEX(CONFIG!$B$4:$B$43,MATCH($K1053,CONFIG!$A$4:$A$43,0)),"Media"))</f>
        <v/>
      </c>
      <c r="M1053" s="27">
        <f>IF($K1053="","",IFERROR(INDEX(CONFIG!$D$4:$D$43,MATCH($K1053,CONFIG!$A$4:$A$43,0)),"NO"))</f>
        <v/>
      </c>
      <c r="N1053" s="49" t="n"/>
      <c r="O1053" s="27">
        <f>IF($N1053="","",IFERROR(INDEX(CONFIG!$G$4:$G$43,MATCH($N1053,CONFIG!$F$4:$F$43,0)),"Por definir"))</f>
        <v/>
      </c>
      <c r="P1053" s="27">
        <f>IF($N1053="","",IFERROR(INDEX(CONFIG!$H$4:$H$43,MATCH($N1053,CONFIG!$F$4:$F$43,0)),"Por definir"))</f>
        <v/>
      </c>
      <c r="Q1053" s="50" t="n"/>
      <c r="R1053" s="51" t="n"/>
      <c r="S1053" s="49" t="n"/>
      <c r="T1053" s="49" t="n"/>
      <c r="U1053" s="48">
        <f>IF(OR($B1053="",$K1053=""),"",WORKDAY($B1053,IFERROR(INDEX(CONFIG!$C$4:$C$43,MATCH($K1053,CONFIG!$A$4:$A$43,0)),3)))</f>
        <v/>
      </c>
      <c r="V1053" s="46" t="n"/>
      <c r="W1053" s="23">
        <f>IF($B1053="","",IF($V1053&lt;&gt;"",$V1053-$B1053,TODAY()-$B1053))</f>
        <v/>
      </c>
      <c r="X1053" s="27">
        <f>IF($C1053="","",IF(IFERROR(INDEX(CONFIG!$K$4:$K$43,MATCH($S1053,CONFIG!$J$4:$J$43,0)),"NO")="SÍ",IF(OR($V1053="",$U1053=""),"Resuelta",IF($V1053&gt;$U1053,"Resuelta tarde","Resuelta a tiempo")),IF($U1053="","Sin clasificar",IF(TODAY()&gt;$U1053,"Vencida",IF(TODAY()&gt;=$U1053-1,"Por vencer","En plazo")))))</f>
        <v/>
      </c>
      <c r="Y1053" s="49" t="n"/>
      <c r="Z1053" s="49" t="n"/>
    </row>
    <row r="1054" ht="16" customHeight="1">
      <c r="A1054" s="27">
        <f>IF($C1054="","","N-"&amp;TEXT(ROW()-3,"0000"))</f>
        <v/>
      </c>
      <c r="B1054" s="46" t="n"/>
      <c r="C1054" s="47" t="n"/>
      <c r="D1054" s="27">
        <f>IF($C1054="","",IF(COUNTIFS(ENVIOS!$A$4:$A$3003,$C1054)=0,"NO EXISTE",IF(COUNTIFS(ENVIOS!$A$4:$A$3003,$C1054)&gt;1,"DUPLICADA","OK")))</f>
        <v/>
      </c>
      <c r="E1054" s="22">
        <f>IF($C1054="","",IFERROR(INDEX(ENVIOS!$C$4:$C$3003,MATCH($C1054,ENVIOS!$A$4:$A$3003,0)),"—"))</f>
        <v/>
      </c>
      <c r="F1054" s="22">
        <f>IF($C1054="","",IFERROR(INDEX(ENVIOS!$D$4:$D$3003,MATCH($C1054,ENVIOS!$A$4:$A$3003,0)),"—"))</f>
        <v/>
      </c>
      <c r="G1054" s="22">
        <f>IF($C1054="","",IFERROR(INDEX(ENVIOS!$E$4:$E$3003,MATCH($C1054,ENVIOS!$A$4:$A$3003,0)),"—"))</f>
        <v/>
      </c>
      <c r="H1054" s="22">
        <f>IF($C1054="","",IFERROR(INDEX(ENVIOS!$F$4:$F$3003,MATCH($C1054,ENVIOS!$A$4:$A$3003,0)),"—"))</f>
        <v/>
      </c>
      <c r="I1054" s="27">
        <f>IF($C1054="","",IFERROR(INDEX(ENVIOS!$G$4:$G$3003,MATCH($C1054,ENVIOS!$A$4:$A$3003,0)),"—"))</f>
        <v/>
      </c>
      <c r="J1054" s="48">
        <f>IF($C1054="","",IFERROR(INDEX(ENVIOS!$B$4:$B$3003,MATCH($C1054,ENVIOS!$A$4:$A$3003,0)),""))</f>
        <v/>
      </c>
      <c r="K1054" s="49" t="n"/>
      <c r="L1054" s="27">
        <f>IF($K1054="","",IFERROR(INDEX(CONFIG!$B$4:$B$43,MATCH($K1054,CONFIG!$A$4:$A$43,0)),"Media"))</f>
        <v/>
      </c>
      <c r="M1054" s="27">
        <f>IF($K1054="","",IFERROR(INDEX(CONFIG!$D$4:$D$43,MATCH($K1054,CONFIG!$A$4:$A$43,0)),"NO"))</f>
        <v/>
      </c>
      <c r="N1054" s="49" t="n"/>
      <c r="O1054" s="27">
        <f>IF($N1054="","",IFERROR(INDEX(CONFIG!$G$4:$G$43,MATCH($N1054,CONFIG!$F$4:$F$43,0)),"Por definir"))</f>
        <v/>
      </c>
      <c r="P1054" s="27">
        <f>IF($N1054="","",IFERROR(INDEX(CONFIG!$H$4:$H$43,MATCH($N1054,CONFIG!$F$4:$F$43,0)),"Por definir"))</f>
        <v/>
      </c>
      <c r="Q1054" s="50" t="n"/>
      <c r="R1054" s="51" t="n"/>
      <c r="S1054" s="49" t="n"/>
      <c r="T1054" s="49" t="n"/>
      <c r="U1054" s="48">
        <f>IF(OR($B1054="",$K1054=""),"",WORKDAY($B1054,IFERROR(INDEX(CONFIG!$C$4:$C$43,MATCH($K1054,CONFIG!$A$4:$A$43,0)),3)))</f>
        <v/>
      </c>
      <c r="V1054" s="46" t="n"/>
      <c r="W1054" s="23">
        <f>IF($B1054="","",IF($V1054&lt;&gt;"",$V1054-$B1054,TODAY()-$B1054))</f>
        <v/>
      </c>
      <c r="X1054" s="27">
        <f>IF($C1054="","",IF(IFERROR(INDEX(CONFIG!$K$4:$K$43,MATCH($S1054,CONFIG!$J$4:$J$43,0)),"NO")="SÍ",IF(OR($V1054="",$U1054=""),"Resuelta",IF($V1054&gt;$U1054,"Resuelta tarde","Resuelta a tiempo")),IF($U1054="","Sin clasificar",IF(TODAY()&gt;$U1054,"Vencida",IF(TODAY()&gt;=$U1054-1,"Por vencer","En plazo")))))</f>
        <v/>
      </c>
      <c r="Y1054" s="49" t="n"/>
      <c r="Z1054" s="49" t="n"/>
    </row>
    <row r="1055" ht="16" customHeight="1">
      <c r="A1055" s="27">
        <f>IF($C1055="","","N-"&amp;TEXT(ROW()-3,"0000"))</f>
        <v/>
      </c>
      <c r="B1055" s="46" t="n"/>
      <c r="C1055" s="47" t="n"/>
      <c r="D1055" s="27">
        <f>IF($C1055="","",IF(COUNTIFS(ENVIOS!$A$4:$A$3003,$C1055)=0,"NO EXISTE",IF(COUNTIFS(ENVIOS!$A$4:$A$3003,$C1055)&gt;1,"DUPLICADA","OK")))</f>
        <v/>
      </c>
      <c r="E1055" s="22">
        <f>IF($C1055="","",IFERROR(INDEX(ENVIOS!$C$4:$C$3003,MATCH($C1055,ENVIOS!$A$4:$A$3003,0)),"—"))</f>
        <v/>
      </c>
      <c r="F1055" s="22">
        <f>IF($C1055="","",IFERROR(INDEX(ENVIOS!$D$4:$D$3003,MATCH($C1055,ENVIOS!$A$4:$A$3003,0)),"—"))</f>
        <v/>
      </c>
      <c r="G1055" s="22">
        <f>IF($C1055="","",IFERROR(INDEX(ENVIOS!$E$4:$E$3003,MATCH($C1055,ENVIOS!$A$4:$A$3003,0)),"—"))</f>
        <v/>
      </c>
      <c r="H1055" s="22">
        <f>IF($C1055="","",IFERROR(INDEX(ENVIOS!$F$4:$F$3003,MATCH($C1055,ENVIOS!$A$4:$A$3003,0)),"—"))</f>
        <v/>
      </c>
      <c r="I1055" s="27">
        <f>IF($C1055="","",IFERROR(INDEX(ENVIOS!$G$4:$G$3003,MATCH($C1055,ENVIOS!$A$4:$A$3003,0)),"—"))</f>
        <v/>
      </c>
      <c r="J1055" s="48">
        <f>IF($C1055="","",IFERROR(INDEX(ENVIOS!$B$4:$B$3003,MATCH($C1055,ENVIOS!$A$4:$A$3003,0)),""))</f>
        <v/>
      </c>
      <c r="K1055" s="49" t="n"/>
      <c r="L1055" s="27">
        <f>IF($K1055="","",IFERROR(INDEX(CONFIG!$B$4:$B$43,MATCH($K1055,CONFIG!$A$4:$A$43,0)),"Media"))</f>
        <v/>
      </c>
      <c r="M1055" s="27">
        <f>IF($K1055="","",IFERROR(INDEX(CONFIG!$D$4:$D$43,MATCH($K1055,CONFIG!$A$4:$A$43,0)),"NO"))</f>
        <v/>
      </c>
      <c r="N1055" s="49" t="n"/>
      <c r="O1055" s="27">
        <f>IF($N1055="","",IFERROR(INDEX(CONFIG!$G$4:$G$43,MATCH($N1055,CONFIG!$F$4:$F$43,0)),"Por definir"))</f>
        <v/>
      </c>
      <c r="P1055" s="27">
        <f>IF($N1055="","",IFERROR(INDEX(CONFIG!$H$4:$H$43,MATCH($N1055,CONFIG!$F$4:$F$43,0)),"Por definir"))</f>
        <v/>
      </c>
      <c r="Q1055" s="50" t="n"/>
      <c r="R1055" s="51" t="n"/>
      <c r="S1055" s="49" t="n"/>
      <c r="T1055" s="49" t="n"/>
      <c r="U1055" s="48">
        <f>IF(OR($B1055="",$K1055=""),"",WORKDAY($B1055,IFERROR(INDEX(CONFIG!$C$4:$C$43,MATCH($K1055,CONFIG!$A$4:$A$43,0)),3)))</f>
        <v/>
      </c>
      <c r="V1055" s="46" t="n"/>
      <c r="W1055" s="23">
        <f>IF($B1055="","",IF($V1055&lt;&gt;"",$V1055-$B1055,TODAY()-$B1055))</f>
        <v/>
      </c>
      <c r="X1055" s="27">
        <f>IF($C1055="","",IF(IFERROR(INDEX(CONFIG!$K$4:$K$43,MATCH($S1055,CONFIG!$J$4:$J$43,0)),"NO")="SÍ",IF(OR($V1055="",$U1055=""),"Resuelta",IF($V1055&gt;$U1055,"Resuelta tarde","Resuelta a tiempo")),IF($U1055="","Sin clasificar",IF(TODAY()&gt;$U1055,"Vencida",IF(TODAY()&gt;=$U1055-1,"Por vencer","En plazo")))))</f>
        <v/>
      </c>
      <c r="Y1055" s="49" t="n"/>
      <c r="Z1055" s="49" t="n"/>
    </row>
    <row r="1056" ht="16" customHeight="1">
      <c r="A1056" s="27">
        <f>IF($C1056="","","N-"&amp;TEXT(ROW()-3,"0000"))</f>
        <v/>
      </c>
      <c r="B1056" s="46" t="n"/>
      <c r="C1056" s="47" t="n"/>
      <c r="D1056" s="27">
        <f>IF($C1056="","",IF(COUNTIFS(ENVIOS!$A$4:$A$3003,$C1056)=0,"NO EXISTE",IF(COUNTIFS(ENVIOS!$A$4:$A$3003,$C1056)&gt;1,"DUPLICADA","OK")))</f>
        <v/>
      </c>
      <c r="E1056" s="22">
        <f>IF($C1056="","",IFERROR(INDEX(ENVIOS!$C$4:$C$3003,MATCH($C1056,ENVIOS!$A$4:$A$3003,0)),"—"))</f>
        <v/>
      </c>
      <c r="F1056" s="22">
        <f>IF($C1056="","",IFERROR(INDEX(ENVIOS!$D$4:$D$3003,MATCH($C1056,ENVIOS!$A$4:$A$3003,0)),"—"))</f>
        <v/>
      </c>
      <c r="G1056" s="22">
        <f>IF($C1056="","",IFERROR(INDEX(ENVIOS!$E$4:$E$3003,MATCH($C1056,ENVIOS!$A$4:$A$3003,0)),"—"))</f>
        <v/>
      </c>
      <c r="H1056" s="22">
        <f>IF($C1056="","",IFERROR(INDEX(ENVIOS!$F$4:$F$3003,MATCH($C1056,ENVIOS!$A$4:$A$3003,0)),"—"))</f>
        <v/>
      </c>
      <c r="I1056" s="27">
        <f>IF($C1056="","",IFERROR(INDEX(ENVIOS!$G$4:$G$3003,MATCH($C1056,ENVIOS!$A$4:$A$3003,0)),"—"))</f>
        <v/>
      </c>
      <c r="J1056" s="48">
        <f>IF($C1056="","",IFERROR(INDEX(ENVIOS!$B$4:$B$3003,MATCH($C1056,ENVIOS!$A$4:$A$3003,0)),""))</f>
        <v/>
      </c>
      <c r="K1056" s="49" t="n"/>
      <c r="L1056" s="27">
        <f>IF($K1056="","",IFERROR(INDEX(CONFIG!$B$4:$B$43,MATCH($K1056,CONFIG!$A$4:$A$43,0)),"Media"))</f>
        <v/>
      </c>
      <c r="M1056" s="27">
        <f>IF($K1056="","",IFERROR(INDEX(CONFIG!$D$4:$D$43,MATCH($K1056,CONFIG!$A$4:$A$43,0)),"NO"))</f>
        <v/>
      </c>
      <c r="N1056" s="49" t="n"/>
      <c r="O1056" s="27">
        <f>IF($N1056="","",IFERROR(INDEX(CONFIG!$G$4:$G$43,MATCH($N1056,CONFIG!$F$4:$F$43,0)),"Por definir"))</f>
        <v/>
      </c>
      <c r="P1056" s="27">
        <f>IF($N1056="","",IFERROR(INDEX(CONFIG!$H$4:$H$43,MATCH($N1056,CONFIG!$F$4:$F$43,0)),"Por definir"))</f>
        <v/>
      </c>
      <c r="Q1056" s="50" t="n"/>
      <c r="R1056" s="51" t="n"/>
      <c r="S1056" s="49" t="n"/>
      <c r="T1056" s="49" t="n"/>
      <c r="U1056" s="48">
        <f>IF(OR($B1056="",$K1056=""),"",WORKDAY($B1056,IFERROR(INDEX(CONFIG!$C$4:$C$43,MATCH($K1056,CONFIG!$A$4:$A$43,0)),3)))</f>
        <v/>
      </c>
      <c r="V1056" s="46" t="n"/>
      <c r="W1056" s="23">
        <f>IF($B1056="","",IF($V1056&lt;&gt;"",$V1056-$B1056,TODAY()-$B1056))</f>
        <v/>
      </c>
      <c r="X1056" s="27">
        <f>IF($C1056="","",IF(IFERROR(INDEX(CONFIG!$K$4:$K$43,MATCH($S1056,CONFIG!$J$4:$J$43,0)),"NO")="SÍ",IF(OR($V1056="",$U1056=""),"Resuelta",IF($V1056&gt;$U1056,"Resuelta tarde","Resuelta a tiempo")),IF($U1056="","Sin clasificar",IF(TODAY()&gt;$U1056,"Vencida",IF(TODAY()&gt;=$U1056-1,"Por vencer","En plazo")))))</f>
        <v/>
      </c>
      <c r="Y1056" s="49" t="n"/>
      <c r="Z1056" s="49" t="n"/>
    </row>
    <row r="1057" ht="16" customHeight="1">
      <c r="A1057" s="27">
        <f>IF($C1057="","","N-"&amp;TEXT(ROW()-3,"0000"))</f>
        <v/>
      </c>
      <c r="B1057" s="46" t="n"/>
      <c r="C1057" s="47" t="n"/>
      <c r="D1057" s="27">
        <f>IF($C1057="","",IF(COUNTIFS(ENVIOS!$A$4:$A$3003,$C1057)=0,"NO EXISTE",IF(COUNTIFS(ENVIOS!$A$4:$A$3003,$C1057)&gt;1,"DUPLICADA","OK")))</f>
        <v/>
      </c>
      <c r="E1057" s="22">
        <f>IF($C1057="","",IFERROR(INDEX(ENVIOS!$C$4:$C$3003,MATCH($C1057,ENVIOS!$A$4:$A$3003,0)),"—"))</f>
        <v/>
      </c>
      <c r="F1057" s="22">
        <f>IF($C1057="","",IFERROR(INDEX(ENVIOS!$D$4:$D$3003,MATCH($C1057,ENVIOS!$A$4:$A$3003,0)),"—"))</f>
        <v/>
      </c>
      <c r="G1057" s="22">
        <f>IF($C1057="","",IFERROR(INDEX(ENVIOS!$E$4:$E$3003,MATCH($C1057,ENVIOS!$A$4:$A$3003,0)),"—"))</f>
        <v/>
      </c>
      <c r="H1057" s="22">
        <f>IF($C1057="","",IFERROR(INDEX(ENVIOS!$F$4:$F$3003,MATCH($C1057,ENVIOS!$A$4:$A$3003,0)),"—"))</f>
        <v/>
      </c>
      <c r="I1057" s="27">
        <f>IF($C1057="","",IFERROR(INDEX(ENVIOS!$G$4:$G$3003,MATCH($C1057,ENVIOS!$A$4:$A$3003,0)),"—"))</f>
        <v/>
      </c>
      <c r="J1057" s="48">
        <f>IF($C1057="","",IFERROR(INDEX(ENVIOS!$B$4:$B$3003,MATCH($C1057,ENVIOS!$A$4:$A$3003,0)),""))</f>
        <v/>
      </c>
      <c r="K1057" s="49" t="n"/>
      <c r="L1057" s="27">
        <f>IF($K1057="","",IFERROR(INDEX(CONFIG!$B$4:$B$43,MATCH($K1057,CONFIG!$A$4:$A$43,0)),"Media"))</f>
        <v/>
      </c>
      <c r="M1057" s="27">
        <f>IF($K1057="","",IFERROR(INDEX(CONFIG!$D$4:$D$43,MATCH($K1057,CONFIG!$A$4:$A$43,0)),"NO"))</f>
        <v/>
      </c>
      <c r="N1057" s="49" t="n"/>
      <c r="O1057" s="27">
        <f>IF($N1057="","",IFERROR(INDEX(CONFIG!$G$4:$G$43,MATCH($N1057,CONFIG!$F$4:$F$43,0)),"Por definir"))</f>
        <v/>
      </c>
      <c r="P1057" s="27">
        <f>IF($N1057="","",IFERROR(INDEX(CONFIG!$H$4:$H$43,MATCH($N1057,CONFIG!$F$4:$F$43,0)),"Por definir"))</f>
        <v/>
      </c>
      <c r="Q1057" s="50" t="n"/>
      <c r="R1057" s="51" t="n"/>
      <c r="S1057" s="49" t="n"/>
      <c r="T1057" s="49" t="n"/>
      <c r="U1057" s="48">
        <f>IF(OR($B1057="",$K1057=""),"",WORKDAY($B1057,IFERROR(INDEX(CONFIG!$C$4:$C$43,MATCH($K1057,CONFIG!$A$4:$A$43,0)),3)))</f>
        <v/>
      </c>
      <c r="V1057" s="46" t="n"/>
      <c r="W1057" s="23">
        <f>IF($B1057="","",IF($V1057&lt;&gt;"",$V1057-$B1057,TODAY()-$B1057))</f>
        <v/>
      </c>
      <c r="X1057" s="27">
        <f>IF($C1057="","",IF(IFERROR(INDEX(CONFIG!$K$4:$K$43,MATCH($S1057,CONFIG!$J$4:$J$43,0)),"NO")="SÍ",IF(OR($V1057="",$U1057=""),"Resuelta",IF($V1057&gt;$U1057,"Resuelta tarde","Resuelta a tiempo")),IF($U1057="","Sin clasificar",IF(TODAY()&gt;$U1057,"Vencida",IF(TODAY()&gt;=$U1057-1,"Por vencer","En plazo")))))</f>
        <v/>
      </c>
      <c r="Y1057" s="49" t="n"/>
      <c r="Z1057" s="49" t="n"/>
    </row>
    <row r="1058" ht="16" customHeight="1">
      <c r="A1058" s="27">
        <f>IF($C1058="","","N-"&amp;TEXT(ROW()-3,"0000"))</f>
        <v/>
      </c>
      <c r="B1058" s="46" t="n"/>
      <c r="C1058" s="47" t="n"/>
      <c r="D1058" s="27">
        <f>IF($C1058="","",IF(COUNTIFS(ENVIOS!$A$4:$A$3003,$C1058)=0,"NO EXISTE",IF(COUNTIFS(ENVIOS!$A$4:$A$3003,$C1058)&gt;1,"DUPLICADA","OK")))</f>
        <v/>
      </c>
      <c r="E1058" s="22">
        <f>IF($C1058="","",IFERROR(INDEX(ENVIOS!$C$4:$C$3003,MATCH($C1058,ENVIOS!$A$4:$A$3003,0)),"—"))</f>
        <v/>
      </c>
      <c r="F1058" s="22">
        <f>IF($C1058="","",IFERROR(INDEX(ENVIOS!$D$4:$D$3003,MATCH($C1058,ENVIOS!$A$4:$A$3003,0)),"—"))</f>
        <v/>
      </c>
      <c r="G1058" s="22">
        <f>IF($C1058="","",IFERROR(INDEX(ENVIOS!$E$4:$E$3003,MATCH($C1058,ENVIOS!$A$4:$A$3003,0)),"—"))</f>
        <v/>
      </c>
      <c r="H1058" s="22">
        <f>IF($C1058="","",IFERROR(INDEX(ENVIOS!$F$4:$F$3003,MATCH($C1058,ENVIOS!$A$4:$A$3003,0)),"—"))</f>
        <v/>
      </c>
      <c r="I1058" s="27">
        <f>IF($C1058="","",IFERROR(INDEX(ENVIOS!$G$4:$G$3003,MATCH($C1058,ENVIOS!$A$4:$A$3003,0)),"—"))</f>
        <v/>
      </c>
      <c r="J1058" s="48">
        <f>IF($C1058="","",IFERROR(INDEX(ENVIOS!$B$4:$B$3003,MATCH($C1058,ENVIOS!$A$4:$A$3003,0)),""))</f>
        <v/>
      </c>
      <c r="K1058" s="49" t="n"/>
      <c r="L1058" s="27">
        <f>IF($K1058="","",IFERROR(INDEX(CONFIG!$B$4:$B$43,MATCH($K1058,CONFIG!$A$4:$A$43,0)),"Media"))</f>
        <v/>
      </c>
      <c r="M1058" s="27">
        <f>IF($K1058="","",IFERROR(INDEX(CONFIG!$D$4:$D$43,MATCH($K1058,CONFIG!$A$4:$A$43,0)),"NO"))</f>
        <v/>
      </c>
      <c r="N1058" s="49" t="n"/>
      <c r="O1058" s="27">
        <f>IF($N1058="","",IFERROR(INDEX(CONFIG!$G$4:$G$43,MATCH($N1058,CONFIG!$F$4:$F$43,0)),"Por definir"))</f>
        <v/>
      </c>
      <c r="P1058" s="27">
        <f>IF($N1058="","",IFERROR(INDEX(CONFIG!$H$4:$H$43,MATCH($N1058,CONFIG!$F$4:$F$43,0)),"Por definir"))</f>
        <v/>
      </c>
      <c r="Q1058" s="50" t="n"/>
      <c r="R1058" s="51" t="n"/>
      <c r="S1058" s="49" t="n"/>
      <c r="T1058" s="49" t="n"/>
      <c r="U1058" s="48">
        <f>IF(OR($B1058="",$K1058=""),"",WORKDAY($B1058,IFERROR(INDEX(CONFIG!$C$4:$C$43,MATCH($K1058,CONFIG!$A$4:$A$43,0)),3)))</f>
        <v/>
      </c>
      <c r="V1058" s="46" t="n"/>
      <c r="W1058" s="23">
        <f>IF($B1058="","",IF($V1058&lt;&gt;"",$V1058-$B1058,TODAY()-$B1058))</f>
        <v/>
      </c>
      <c r="X1058" s="27">
        <f>IF($C1058="","",IF(IFERROR(INDEX(CONFIG!$K$4:$K$43,MATCH($S1058,CONFIG!$J$4:$J$43,0)),"NO")="SÍ",IF(OR($V1058="",$U1058=""),"Resuelta",IF($V1058&gt;$U1058,"Resuelta tarde","Resuelta a tiempo")),IF($U1058="","Sin clasificar",IF(TODAY()&gt;$U1058,"Vencida",IF(TODAY()&gt;=$U1058-1,"Por vencer","En plazo")))))</f>
        <v/>
      </c>
      <c r="Y1058" s="49" t="n"/>
      <c r="Z1058" s="49" t="n"/>
    </row>
    <row r="1059" ht="16" customHeight="1">
      <c r="A1059" s="27">
        <f>IF($C1059="","","N-"&amp;TEXT(ROW()-3,"0000"))</f>
        <v/>
      </c>
      <c r="B1059" s="46" t="n"/>
      <c r="C1059" s="47" t="n"/>
      <c r="D1059" s="27">
        <f>IF($C1059="","",IF(COUNTIFS(ENVIOS!$A$4:$A$3003,$C1059)=0,"NO EXISTE",IF(COUNTIFS(ENVIOS!$A$4:$A$3003,$C1059)&gt;1,"DUPLICADA","OK")))</f>
        <v/>
      </c>
      <c r="E1059" s="22">
        <f>IF($C1059="","",IFERROR(INDEX(ENVIOS!$C$4:$C$3003,MATCH($C1059,ENVIOS!$A$4:$A$3003,0)),"—"))</f>
        <v/>
      </c>
      <c r="F1059" s="22">
        <f>IF($C1059="","",IFERROR(INDEX(ENVIOS!$D$4:$D$3003,MATCH($C1059,ENVIOS!$A$4:$A$3003,0)),"—"))</f>
        <v/>
      </c>
      <c r="G1059" s="22">
        <f>IF($C1059="","",IFERROR(INDEX(ENVIOS!$E$4:$E$3003,MATCH($C1059,ENVIOS!$A$4:$A$3003,0)),"—"))</f>
        <v/>
      </c>
      <c r="H1059" s="22">
        <f>IF($C1059="","",IFERROR(INDEX(ENVIOS!$F$4:$F$3003,MATCH($C1059,ENVIOS!$A$4:$A$3003,0)),"—"))</f>
        <v/>
      </c>
      <c r="I1059" s="27">
        <f>IF($C1059="","",IFERROR(INDEX(ENVIOS!$G$4:$G$3003,MATCH($C1059,ENVIOS!$A$4:$A$3003,0)),"—"))</f>
        <v/>
      </c>
      <c r="J1059" s="48">
        <f>IF($C1059="","",IFERROR(INDEX(ENVIOS!$B$4:$B$3003,MATCH($C1059,ENVIOS!$A$4:$A$3003,0)),""))</f>
        <v/>
      </c>
      <c r="K1059" s="49" t="n"/>
      <c r="L1059" s="27">
        <f>IF($K1059="","",IFERROR(INDEX(CONFIG!$B$4:$B$43,MATCH($K1059,CONFIG!$A$4:$A$43,0)),"Media"))</f>
        <v/>
      </c>
      <c r="M1059" s="27">
        <f>IF($K1059="","",IFERROR(INDEX(CONFIG!$D$4:$D$43,MATCH($K1059,CONFIG!$A$4:$A$43,0)),"NO"))</f>
        <v/>
      </c>
      <c r="N1059" s="49" t="n"/>
      <c r="O1059" s="27">
        <f>IF($N1059="","",IFERROR(INDEX(CONFIG!$G$4:$G$43,MATCH($N1059,CONFIG!$F$4:$F$43,0)),"Por definir"))</f>
        <v/>
      </c>
      <c r="P1059" s="27">
        <f>IF($N1059="","",IFERROR(INDEX(CONFIG!$H$4:$H$43,MATCH($N1059,CONFIG!$F$4:$F$43,0)),"Por definir"))</f>
        <v/>
      </c>
      <c r="Q1059" s="50" t="n"/>
      <c r="R1059" s="51" t="n"/>
      <c r="S1059" s="49" t="n"/>
      <c r="T1059" s="49" t="n"/>
      <c r="U1059" s="48">
        <f>IF(OR($B1059="",$K1059=""),"",WORKDAY($B1059,IFERROR(INDEX(CONFIG!$C$4:$C$43,MATCH($K1059,CONFIG!$A$4:$A$43,0)),3)))</f>
        <v/>
      </c>
      <c r="V1059" s="46" t="n"/>
      <c r="W1059" s="23">
        <f>IF($B1059="","",IF($V1059&lt;&gt;"",$V1059-$B1059,TODAY()-$B1059))</f>
        <v/>
      </c>
      <c r="X1059" s="27">
        <f>IF($C1059="","",IF(IFERROR(INDEX(CONFIG!$K$4:$K$43,MATCH($S1059,CONFIG!$J$4:$J$43,0)),"NO")="SÍ",IF(OR($V1059="",$U1059=""),"Resuelta",IF($V1059&gt;$U1059,"Resuelta tarde","Resuelta a tiempo")),IF($U1059="","Sin clasificar",IF(TODAY()&gt;$U1059,"Vencida",IF(TODAY()&gt;=$U1059-1,"Por vencer","En plazo")))))</f>
        <v/>
      </c>
      <c r="Y1059" s="49" t="n"/>
      <c r="Z1059" s="49" t="n"/>
    </row>
    <row r="1060" ht="16" customHeight="1">
      <c r="A1060" s="27">
        <f>IF($C1060="","","N-"&amp;TEXT(ROW()-3,"0000"))</f>
        <v/>
      </c>
      <c r="B1060" s="46" t="n"/>
      <c r="C1060" s="47" t="n"/>
      <c r="D1060" s="27">
        <f>IF($C1060="","",IF(COUNTIFS(ENVIOS!$A$4:$A$3003,$C1060)=0,"NO EXISTE",IF(COUNTIFS(ENVIOS!$A$4:$A$3003,$C1060)&gt;1,"DUPLICADA","OK")))</f>
        <v/>
      </c>
      <c r="E1060" s="22">
        <f>IF($C1060="","",IFERROR(INDEX(ENVIOS!$C$4:$C$3003,MATCH($C1060,ENVIOS!$A$4:$A$3003,0)),"—"))</f>
        <v/>
      </c>
      <c r="F1060" s="22">
        <f>IF($C1060="","",IFERROR(INDEX(ENVIOS!$D$4:$D$3003,MATCH($C1060,ENVIOS!$A$4:$A$3003,0)),"—"))</f>
        <v/>
      </c>
      <c r="G1060" s="22">
        <f>IF($C1060="","",IFERROR(INDEX(ENVIOS!$E$4:$E$3003,MATCH($C1060,ENVIOS!$A$4:$A$3003,0)),"—"))</f>
        <v/>
      </c>
      <c r="H1060" s="22">
        <f>IF($C1060="","",IFERROR(INDEX(ENVIOS!$F$4:$F$3003,MATCH($C1060,ENVIOS!$A$4:$A$3003,0)),"—"))</f>
        <v/>
      </c>
      <c r="I1060" s="27">
        <f>IF($C1060="","",IFERROR(INDEX(ENVIOS!$G$4:$G$3003,MATCH($C1060,ENVIOS!$A$4:$A$3003,0)),"—"))</f>
        <v/>
      </c>
      <c r="J1060" s="48">
        <f>IF($C1060="","",IFERROR(INDEX(ENVIOS!$B$4:$B$3003,MATCH($C1060,ENVIOS!$A$4:$A$3003,0)),""))</f>
        <v/>
      </c>
      <c r="K1060" s="49" t="n"/>
      <c r="L1060" s="27">
        <f>IF($K1060="","",IFERROR(INDEX(CONFIG!$B$4:$B$43,MATCH($K1060,CONFIG!$A$4:$A$43,0)),"Media"))</f>
        <v/>
      </c>
      <c r="M1060" s="27">
        <f>IF($K1060="","",IFERROR(INDEX(CONFIG!$D$4:$D$43,MATCH($K1060,CONFIG!$A$4:$A$43,0)),"NO"))</f>
        <v/>
      </c>
      <c r="N1060" s="49" t="n"/>
      <c r="O1060" s="27">
        <f>IF($N1060="","",IFERROR(INDEX(CONFIG!$G$4:$G$43,MATCH($N1060,CONFIG!$F$4:$F$43,0)),"Por definir"))</f>
        <v/>
      </c>
      <c r="P1060" s="27">
        <f>IF($N1060="","",IFERROR(INDEX(CONFIG!$H$4:$H$43,MATCH($N1060,CONFIG!$F$4:$F$43,0)),"Por definir"))</f>
        <v/>
      </c>
      <c r="Q1060" s="50" t="n"/>
      <c r="R1060" s="51" t="n"/>
      <c r="S1060" s="49" t="n"/>
      <c r="T1060" s="49" t="n"/>
      <c r="U1060" s="48">
        <f>IF(OR($B1060="",$K1060=""),"",WORKDAY($B1060,IFERROR(INDEX(CONFIG!$C$4:$C$43,MATCH($K1060,CONFIG!$A$4:$A$43,0)),3)))</f>
        <v/>
      </c>
      <c r="V1060" s="46" t="n"/>
      <c r="W1060" s="23">
        <f>IF($B1060="","",IF($V1060&lt;&gt;"",$V1060-$B1060,TODAY()-$B1060))</f>
        <v/>
      </c>
      <c r="X1060" s="27">
        <f>IF($C1060="","",IF(IFERROR(INDEX(CONFIG!$K$4:$K$43,MATCH($S1060,CONFIG!$J$4:$J$43,0)),"NO")="SÍ",IF(OR($V1060="",$U1060=""),"Resuelta",IF($V1060&gt;$U1060,"Resuelta tarde","Resuelta a tiempo")),IF($U1060="","Sin clasificar",IF(TODAY()&gt;$U1060,"Vencida",IF(TODAY()&gt;=$U1060-1,"Por vencer","En plazo")))))</f>
        <v/>
      </c>
      <c r="Y1060" s="49" t="n"/>
      <c r="Z1060" s="49" t="n"/>
    </row>
    <row r="1061" ht="16" customHeight="1">
      <c r="A1061" s="27">
        <f>IF($C1061="","","N-"&amp;TEXT(ROW()-3,"0000"))</f>
        <v/>
      </c>
      <c r="B1061" s="46" t="n"/>
      <c r="C1061" s="47" t="n"/>
      <c r="D1061" s="27">
        <f>IF($C1061="","",IF(COUNTIFS(ENVIOS!$A$4:$A$3003,$C1061)=0,"NO EXISTE",IF(COUNTIFS(ENVIOS!$A$4:$A$3003,$C1061)&gt;1,"DUPLICADA","OK")))</f>
        <v/>
      </c>
      <c r="E1061" s="22">
        <f>IF($C1061="","",IFERROR(INDEX(ENVIOS!$C$4:$C$3003,MATCH($C1061,ENVIOS!$A$4:$A$3003,0)),"—"))</f>
        <v/>
      </c>
      <c r="F1061" s="22">
        <f>IF($C1061="","",IFERROR(INDEX(ENVIOS!$D$4:$D$3003,MATCH($C1061,ENVIOS!$A$4:$A$3003,0)),"—"))</f>
        <v/>
      </c>
      <c r="G1061" s="22">
        <f>IF($C1061="","",IFERROR(INDEX(ENVIOS!$E$4:$E$3003,MATCH($C1061,ENVIOS!$A$4:$A$3003,0)),"—"))</f>
        <v/>
      </c>
      <c r="H1061" s="22">
        <f>IF($C1061="","",IFERROR(INDEX(ENVIOS!$F$4:$F$3003,MATCH($C1061,ENVIOS!$A$4:$A$3003,0)),"—"))</f>
        <v/>
      </c>
      <c r="I1061" s="27">
        <f>IF($C1061="","",IFERROR(INDEX(ENVIOS!$G$4:$G$3003,MATCH($C1061,ENVIOS!$A$4:$A$3003,0)),"—"))</f>
        <v/>
      </c>
      <c r="J1061" s="48">
        <f>IF($C1061="","",IFERROR(INDEX(ENVIOS!$B$4:$B$3003,MATCH($C1061,ENVIOS!$A$4:$A$3003,0)),""))</f>
        <v/>
      </c>
      <c r="K1061" s="49" t="n"/>
      <c r="L1061" s="27">
        <f>IF($K1061="","",IFERROR(INDEX(CONFIG!$B$4:$B$43,MATCH($K1061,CONFIG!$A$4:$A$43,0)),"Media"))</f>
        <v/>
      </c>
      <c r="M1061" s="27">
        <f>IF($K1061="","",IFERROR(INDEX(CONFIG!$D$4:$D$43,MATCH($K1061,CONFIG!$A$4:$A$43,0)),"NO"))</f>
        <v/>
      </c>
      <c r="N1061" s="49" t="n"/>
      <c r="O1061" s="27">
        <f>IF($N1061="","",IFERROR(INDEX(CONFIG!$G$4:$G$43,MATCH($N1061,CONFIG!$F$4:$F$43,0)),"Por definir"))</f>
        <v/>
      </c>
      <c r="P1061" s="27">
        <f>IF($N1061="","",IFERROR(INDEX(CONFIG!$H$4:$H$43,MATCH($N1061,CONFIG!$F$4:$F$43,0)),"Por definir"))</f>
        <v/>
      </c>
      <c r="Q1061" s="50" t="n"/>
      <c r="R1061" s="51" t="n"/>
      <c r="S1061" s="49" t="n"/>
      <c r="T1061" s="49" t="n"/>
      <c r="U1061" s="48">
        <f>IF(OR($B1061="",$K1061=""),"",WORKDAY($B1061,IFERROR(INDEX(CONFIG!$C$4:$C$43,MATCH($K1061,CONFIG!$A$4:$A$43,0)),3)))</f>
        <v/>
      </c>
      <c r="V1061" s="46" t="n"/>
      <c r="W1061" s="23">
        <f>IF($B1061="","",IF($V1061&lt;&gt;"",$V1061-$B1061,TODAY()-$B1061))</f>
        <v/>
      </c>
      <c r="X1061" s="27">
        <f>IF($C1061="","",IF(IFERROR(INDEX(CONFIG!$K$4:$K$43,MATCH($S1061,CONFIG!$J$4:$J$43,0)),"NO")="SÍ",IF(OR($V1061="",$U1061=""),"Resuelta",IF($V1061&gt;$U1061,"Resuelta tarde","Resuelta a tiempo")),IF($U1061="","Sin clasificar",IF(TODAY()&gt;$U1061,"Vencida",IF(TODAY()&gt;=$U1061-1,"Por vencer","En plazo")))))</f>
        <v/>
      </c>
      <c r="Y1061" s="49" t="n"/>
      <c r="Z1061" s="49" t="n"/>
    </row>
    <row r="1062" ht="16" customHeight="1">
      <c r="A1062" s="27">
        <f>IF($C1062="","","N-"&amp;TEXT(ROW()-3,"0000"))</f>
        <v/>
      </c>
      <c r="B1062" s="46" t="n"/>
      <c r="C1062" s="47" t="n"/>
      <c r="D1062" s="27">
        <f>IF($C1062="","",IF(COUNTIFS(ENVIOS!$A$4:$A$3003,$C1062)=0,"NO EXISTE",IF(COUNTIFS(ENVIOS!$A$4:$A$3003,$C1062)&gt;1,"DUPLICADA","OK")))</f>
        <v/>
      </c>
      <c r="E1062" s="22">
        <f>IF($C1062="","",IFERROR(INDEX(ENVIOS!$C$4:$C$3003,MATCH($C1062,ENVIOS!$A$4:$A$3003,0)),"—"))</f>
        <v/>
      </c>
      <c r="F1062" s="22">
        <f>IF($C1062="","",IFERROR(INDEX(ENVIOS!$D$4:$D$3003,MATCH($C1062,ENVIOS!$A$4:$A$3003,0)),"—"))</f>
        <v/>
      </c>
      <c r="G1062" s="22">
        <f>IF($C1062="","",IFERROR(INDEX(ENVIOS!$E$4:$E$3003,MATCH($C1062,ENVIOS!$A$4:$A$3003,0)),"—"))</f>
        <v/>
      </c>
      <c r="H1062" s="22">
        <f>IF($C1062="","",IFERROR(INDEX(ENVIOS!$F$4:$F$3003,MATCH($C1062,ENVIOS!$A$4:$A$3003,0)),"—"))</f>
        <v/>
      </c>
      <c r="I1062" s="27">
        <f>IF($C1062="","",IFERROR(INDEX(ENVIOS!$G$4:$G$3003,MATCH($C1062,ENVIOS!$A$4:$A$3003,0)),"—"))</f>
        <v/>
      </c>
      <c r="J1062" s="48">
        <f>IF($C1062="","",IFERROR(INDEX(ENVIOS!$B$4:$B$3003,MATCH($C1062,ENVIOS!$A$4:$A$3003,0)),""))</f>
        <v/>
      </c>
      <c r="K1062" s="49" t="n"/>
      <c r="L1062" s="27">
        <f>IF($K1062="","",IFERROR(INDEX(CONFIG!$B$4:$B$43,MATCH($K1062,CONFIG!$A$4:$A$43,0)),"Media"))</f>
        <v/>
      </c>
      <c r="M1062" s="27">
        <f>IF($K1062="","",IFERROR(INDEX(CONFIG!$D$4:$D$43,MATCH($K1062,CONFIG!$A$4:$A$43,0)),"NO"))</f>
        <v/>
      </c>
      <c r="N1062" s="49" t="n"/>
      <c r="O1062" s="27">
        <f>IF($N1062="","",IFERROR(INDEX(CONFIG!$G$4:$G$43,MATCH($N1062,CONFIG!$F$4:$F$43,0)),"Por definir"))</f>
        <v/>
      </c>
      <c r="P1062" s="27">
        <f>IF($N1062="","",IFERROR(INDEX(CONFIG!$H$4:$H$43,MATCH($N1062,CONFIG!$F$4:$F$43,0)),"Por definir"))</f>
        <v/>
      </c>
      <c r="Q1062" s="50" t="n"/>
      <c r="R1062" s="51" t="n"/>
      <c r="S1062" s="49" t="n"/>
      <c r="T1062" s="49" t="n"/>
      <c r="U1062" s="48">
        <f>IF(OR($B1062="",$K1062=""),"",WORKDAY($B1062,IFERROR(INDEX(CONFIG!$C$4:$C$43,MATCH($K1062,CONFIG!$A$4:$A$43,0)),3)))</f>
        <v/>
      </c>
      <c r="V1062" s="46" t="n"/>
      <c r="W1062" s="23">
        <f>IF($B1062="","",IF($V1062&lt;&gt;"",$V1062-$B1062,TODAY()-$B1062))</f>
        <v/>
      </c>
      <c r="X1062" s="27">
        <f>IF($C1062="","",IF(IFERROR(INDEX(CONFIG!$K$4:$K$43,MATCH($S1062,CONFIG!$J$4:$J$43,0)),"NO")="SÍ",IF(OR($V1062="",$U1062=""),"Resuelta",IF($V1062&gt;$U1062,"Resuelta tarde","Resuelta a tiempo")),IF($U1062="","Sin clasificar",IF(TODAY()&gt;$U1062,"Vencida",IF(TODAY()&gt;=$U1062-1,"Por vencer","En plazo")))))</f>
        <v/>
      </c>
      <c r="Y1062" s="49" t="n"/>
      <c r="Z1062" s="49" t="n"/>
    </row>
    <row r="1063" ht="16" customHeight="1">
      <c r="A1063" s="27">
        <f>IF($C1063="","","N-"&amp;TEXT(ROW()-3,"0000"))</f>
        <v/>
      </c>
      <c r="B1063" s="46" t="n"/>
      <c r="C1063" s="47" t="n"/>
      <c r="D1063" s="27">
        <f>IF($C1063="","",IF(COUNTIFS(ENVIOS!$A$4:$A$3003,$C1063)=0,"NO EXISTE",IF(COUNTIFS(ENVIOS!$A$4:$A$3003,$C1063)&gt;1,"DUPLICADA","OK")))</f>
        <v/>
      </c>
      <c r="E1063" s="22">
        <f>IF($C1063="","",IFERROR(INDEX(ENVIOS!$C$4:$C$3003,MATCH($C1063,ENVIOS!$A$4:$A$3003,0)),"—"))</f>
        <v/>
      </c>
      <c r="F1063" s="22">
        <f>IF($C1063="","",IFERROR(INDEX(ENVIOS!$D$4:$D$3003,MATCH($C1063,ENVIOS!$A$4:$A$3003,0)),"—"))</f>
        <v/>
      </c>
      <c r="G1063" s="22">
        <f>IF($C1063="","",IFERROR(INDEX(ENVIOS!$E$4:$E$3003,MATCH($C1063,ENVIOS!$A$4:$A$3003,0)),"—"))</f>
        <v/>
      </c>
      <c r="H1063" s="22">
        <f>IF($C1063="","",IFERROR(INDEX(ENVIOS!$F$4:$F$3003,MATCH($C1063,ENVIOS!$A$4:$A$3003,0)),"—"))</f>
        <v/>
      </c>
      <c r="I1063" s="27">
        <f>IF($C1063="","",IFERROR(INDEX(ENVIOS!$G$4:$G$3003,MATCH($C1063,ENVIOS!$A$4:$A$3003,0)),"—"))</f>
        <v/>
      </c>
      <c r="J1063" s="48">
        <f>IF($C1063="","",IFERROR(INDEX(ENVIOS!$B$4:$B$3003,MATCH($C1063,ENVIOS!$A$4:$A$3003,0)),""))</f>
        <v/>
      </c>
      <c r="K1063" s="49" t="n"/>
      <c r="L1063" s="27">
        <f>IF($K1063="","",IFERROR(INDEX(CONFIG!$B$4:$B$43,MATCH($K1063,CONFIG!$A$4:$A$43,0)),"Media"))</f>
        <v/>
      </c>
      <c r="M1063" s="27">
        <f>IF($K1063="","",IFERROR(INDEX(CONFIG!$D$4:$D$43,MATCH($K1063,CONFIG!$A$4:$A$43,0)),"NO"))</f>
        <v/>
      </c>
      <c r="N1063" s="49" t="n"/>
      <c r="O1063" s="27">
        <f>IF($N1063="","",IFERROR(INDEX(CONFIG!$G$4:$G$43,MATCH($N1063,CONFIG!$F$4:$F$43,0)),"Por definir"))</f>
        <v/>
      </c>
      <c r="P1063" s="27">
        <f>IF($N1063="","",IFERROR(INDEX(CONFIG!$H$4:$H$43,MATCH($N1063,CONFIG!$F$4:$F$43,0)),"Por definir"))</f>
        <v/>
      </c>
      <c r="Q1063" s="50" t="n"/>
      <c r="R1063" s="51" t="n"/>
      <c r="S1063" s="49" t="n"/>
      <c r="T1063" s="49" t="n"/>
      <c r="U1063" s="48">
        <f>IF(OR($B1063="",$K1063=""),"",WORKDAY($B1063,IFERROR(INDEX(CONFIG!$C$4:$C$43,MATCH($K1063,CONFIG!$A$4:$A$43,0)),3)))</f>
        <v/>
      </c>
      <c r="V1063" s="46" t="n"/>
      <c r="W1063" s="23">
        <f>IF($B1063="","",IF($V1063&lt;&gt;"",$V1063-$B1063,TODAY()-$B1063))</f>
        <v/>
      </c>
      <c r="X1063" s="27">
        <f>IF($C1063="","",IF(IFERROR(INDEX(CONFIG!$K$4:$K$43,MATCH($S1063,CONFIG!$J$4:$J$43,0)),"NO")="SÍ",IF(OR($V1063="",$U1063=""),"Resuelta",IF($V1063&gt;$U1063,"Resuelta tarde","Resuelta a tiempo")),IF($U1063="","Sin clasificar",IF(TODAY()&gt;$U1063,"Vencida",IF(TODAY()&gt;=$U1063-1,"Por vencer","En plazo")))))</f>
        <v/>
      </c>
      <c r="Y1063" s="49" t="n"/>
      <c r="Z1063" s="49" t="n"/>
    </row>
    <row r="1064" ht="16" customHeight="1">
      <c r="A1064" s="27">
        <f>IF($C1064="","","N-"&amp;TEXT(ROW()-3,"0000"))</f>
        <v/>
      </c>
      <c r="B1064" s="46" t="n"/>
      <c r="C1064" s="47" t="n"/>
      <c r="D1064" s="27">
        <f>IF($C1064="","",IF(COUNTIFS(ENVIOS!$A$4:$A$3003,$C1064)=0,"NO EXISTE",IF(COUNTIFS(ENVIOS!$A$4:$A$3003,$C1064)&gt;1,"DUPLICADA","OK")))</f>
        <v/>
      </c>
      <c r="E1064" s="22">
        <f>IF($C1064="","",IFERROR(INDEX(ENVIOS!$C$4:$C$3003,MATCH($C1064,ENVIOS!$A$4:$A$3003,0)),"—"))</f>
        <v/>
      </c>
      <c r="F1064" s="22">
        <f>IF($C1064="","",IFERROR(INDEX(ENVIOS!$D$4:$D$3003,MATCH($C1064,ENVIOS!$A$4:$A$3003,0)),"—"))</f>
        <v/>
      </c>
      <c r="G1064" s="22">
        <f>IF($C1064="","",IFERROR(INDEX(ENVIOS!$E$4:$E$3003,MATCH($C1064,ENVIOS!$A$4:$A$3003,0)),"—"))</f>
        <v/>
      </c>
      <c r="H1064" s="22">
        <f>IF($C1064="","",IFERROR(INDEX(ENVIOS!$F$4:$F$3003,MATCH($C1064,ENVIOS!$A$4:$A$3003,0)),"—"))</f>
        <v/>
      </c>
      <c r="I1064" s="27">
        <f>IF($C1064="","",IFERROR(INDEX(ENVIOS!$G$4:$G$3003,MATCH($C1064,ENVIOS!$A$4:$A$3003,0)),"—"))</f>
        <v/>
      </c>
      <c r="J1064" s="48">
        <f>IF($C1064="","",IFERROR(INDEX(ENVIOS!$B$4:$B$3003,MATCH($C1064,ENVIOS!$A$4:$A$3003,0)),""))</f>
        <v/>
      </c>
      <c r="K1064" s="49" t="n"/>
      <c r="L1064" s="27">
        <f>IF($K1064="","",IFERROR(INDEX(CONFIG!$B$4:$B$43,MATCH($K1064,CONFIG!$A$4:$A$43,0)),"Media"))</f>
        <v/>
      </c>
      <c r="M1064" s="27">
        <f>IF($K1064="","",IFERROR(INDEX(CONFIG!$D$4:$D$43,MATCH($K1064,CONFIG!$A$4:$A$43,0)),"NO"))</f>
        <v/>
      </c>
      <c r="N1064" s="49" t="n"/>
      <c r="O1064" s="27">
        <f>IF($N1064="","",IFERROR(INDEX(CONFIG!$G$4:$G$43,MATCH($N1064,CONFIG!$F$4:$F$43,0)),"Por definir"))</f>
        <v/>
      </c>
      <c r="P1064" s="27">
        <f>IF($N1064="","",IFERROR(INDEX(CONFIG!$H$4:$H$43,MATCH($N1064,CONFIG!$F$4:$F$43,0)),"Por definir"))</f>
        <v/>
      </c>
      <c r="Q1064" s="50" t="n"/>
      <c r="R1064" s="51" t="n"/>
      <c r="S1064" s="49" t="n"/>
      <c r="T1064" s="49" t="n"/>
      <c r="U1064" s="48">
        <f>IF(OR($B1064="",$K1064=""),"",WORKDAY($B1064,IFERROR(INDEX(CONFIG!$C$4:$C$43,MATCH($K1064,CONFIG!$A$4:$A$43,0)),3)))</f>
        <v/>
      </c>
      <c r="V1064" s="46" t="n"/>
      <c r="W1064" s="23">
        <f>IF($B1064="","",IF($V1064&lt;&gt;"",$V1064-$B1064,TODAY()-$B1064))</f>
        <v/>
      </c>
      <c r="X1064" s="27">
        <f>IF($C1064="","",IF(IFERROR(INDEX(CONFIG!$K$4:$K$43,MATCH($S1064,CONFIG!$J$4:$J$43,0)),"NO")="SÍ",IF(OR($V1064="",$U1064=""),"Resuelta",IF($V1064&gt;$U1064,"Resuelta tarde","Resuelta a tiempo")),IF($U1064="","Sin clasificar",IF(TODAY()&gt;$U1064,"Vencida",IF(TODAY()&gt;=$U1064-1,"Por vencer","En plazo")))))</f>
        <v/>
      </c>
      <c r="Y1064" s="49" t="n"/>
      <c r="Z1064" s="49" t="n"/>
    </row>
    <row r="1065" ht="16" customHeight="1">
      <c r="A1065" s="27">
        <f>IF($C1065="","","N-"&amp;TEXT(ROW()-3,"0000"))</f>
        <v/>
      </c>
      <c r="B1065" s="46" t="n"/>
      <c r="C1065" s="47" t="n"/>
      <c r="D1065" s="27">
        <f>IF($C1065="","",IF(COUNTIFS(ENVIOS!$A$4:$A$3003,$C1065)=0,"NO EXISTE",IF(COUNTIFS(ENVIOS!$A$4:$A$3003,$C1065)&gt;1,"DUPLICADA","OK")))</f>
        <v/>
      </c>
      <c r="E1065" s="22">
        <f>IF($C1065="","",IFERROR(INDEX(ENVIOS!$C$4:$C$3003,MATCH($C1065,ENVIOS!$A$4:$A$3003,0)),"—"))</f>
        <v/>
      </c>
      <c r="F1065" s="22">
        <f>IF($C1065="","",IFERROR(INDEX(ENVIOS!$D$4:$D$3003,MATCH($C1065,ENVIOS!$A$4:$A$3003,0)),"—"))</f>
        <v/>
      </c>
      <c r="G1065" s="22">
        <f>IF($C1065="","",IFERROR(INDEX(ENVIOS!$E$4:$E$3003,MATCH($C1065,ENVIOS!$A$4:$A$3003,0)),"—"))</f>
        <v/>
      </c>
      <c r="H1065" s="22">
        <f>IF($C1065="","",IFERROR(INDEX(ENVIOS!$F$4:$F$3003,MATCH($C1065,ENVIOS!$A$4:$A$3003,0)),"—"))</f>
        <v/>
      </c>
      <c r="I1065" s="27">
        <f>IF($C1065="","",IFERROR(INDEX(ENVIOS!$G$4:$G$3003,MATCH($C1065,ENVIOS!$A$4:$A$3003,0)),"—"))</f>
        <v/>
      </c>
      <c r="J1065" s="48">
        <f>IF($C1065="","",IFERROR(INDEX(ENVIOS!$B$4:$B$3003,MATCH($C1065,ENVIOS!$A$4:$A$3003,0)),""))</f>
        <v/>
      </c>
      <c r="K1065" s="49" t="n"/>
      <c r="L1065" s="27">
        <f>IF($K1065="","",IFERROR(INDEX(CONFIG!$B$4:$B$43,MATCH($K1065,CONFIG!$A$4:$A$43,0)),"Media"))</f>
        <v/>
      </c>
      <c r="M1065" s="27">
        <f>IF($K1065="","",IFERROR(INDEX(CONFIG!$D$4:$D$43,MATCH($K1065,CONFIG!$A$4:$A$43,0)),"NO"))</f>
        <v/>
      </c>
      <c r="N1065" s="49" t="n"/>
      <c r="O1065" s="27">
        <f>IF($N1065="","",IFERROR(INDEX(CONFIG!$G$4:$G$43,MATCH($N1065,CONFIG!$F$4:$F$43,0)),"Por definir"))</f>
        <v/>
      </c>
      <c r="P1065" s="27">
        <f>IF($N1065="","",IFERROR(INDEX(CONFIG!$H$4:$H$43,MATCH($N1065,CONFIG!$F$4:$F$43,0)),"Por definir"))</f>
        <v/>
      </c>
      <c r="Q1065" s="50" t="n"/>
      <c r="R1065" s="51" t="n"/>
      <c r="S1065" s="49" t="n"/>
      <c r="T1065" s="49" t="n"/>
      <c r="U1065" s="48">
        <f>IF(OR($B1065="",$K1065=""),"",WORKDAY($B1065,IFERROR(INDEX(CONFIG!$C$4:$C$43,MATCH($K1065,CONFIG!$A$4:$A$43,0)),3)))</f>
        <v/>
      </c>
      <c r="V1065" s="46" t="n"/>
      <c r="W1065" s="23">
        <f>IF($B1065="","",IF($V1065&lt;&gt;"",$V1065-$B1065,TODAY()-$B1065))</f>
        <v/>
      </c>
      <c r="X1065" s="27">
        <f>IF($C1065="","",IF(IFERROR(INDEX(CONFIG!$K$4:$K$43,MATCH($S1065,CONFIG!$J$4:$J$43,0)),"NO")="SÍ",IF(OR($V1065="",$U1065=""),"Resuelta",IF($V1065&gt;$U1065,"Resuelta tarde","Resuelta a tiempo")),IF($U1065="","Sin clasificar",IF(TODAY()&gt;$U1065,"Vencida",IF(TODAY()&gt;=$U1065-1,"Por vencer","En plazo")))))</f>
        <v/>
      </c>
      <c r="Y1065" s="49" t="n"/>
      <c r="Z1065" s="49" t="n"/>
    </row>
    <row r="1066" ht="16" customHeight="1">
      <c r="A1066" s="27">
        <f>IF($C1066="","","N-"&amp;TEXT(ROW()-3,"0000"))</f>
        <v/>
      </c>
      <c r="B1066" s="46" t="n"/>
      <c r="C1066" s="47" t="n"/>
      <c r="D1066" s="27">
        <f>IF($C1066="","",IF(COUNTIFS(ENVIOS!$A$4:$A$3003,$C1066)=0,"NO EXISTE",IF(COUNTIFS(ENVIOS!$A$4:$A$3003,$C1066)&gt;1,"DUPLICADA","OK")))</f>
        <v/>
      </c>
      <c r="E1066" s="22">
        <f>IF($C1066="","",IFERROR(INDEX(ENVIOS!$C$4:$C$3003,MATCH($C1066,ENVIOS!$A$4:$A$3003,0)),"—"))</f>
        <v/>
      </c>
      <c r="F1066" s="22">
        <f>IF($C1066="","",IFERROR(INDEX(ENVIOS!$D$4:$D$3003,MATCH($C1066,ENVIOS!$A$4:$A$3003,0)),"—"))</f>
        <v/>
      </c>
      <c r="G1066" s="22">
        <f>IF($C1066="","",IFERROR(INDEX(ENVIOS!$E$4:$E$3003,MATCH($C1066,ENVIOS!$A$4:$A$3003,0)),"—"))</f>
        <v/>
      </c>
      <c r="H1066" s="22">
        <f>IF($C1066="","",IFERROR(INDEX(ENVIOS!$F$4:$F$3003,MATCH($C1066,ENVIOS!$A$4:$A$3003,0)),"—"))</f>
        <v/>
      </c>
      <c r="I1066" s="27">
        <f>IF($C1066="","",IFERROR(INDEX(ENVIOS!$G$4:$G$3003,MATCH($C1066,ENVIOS!$A$4:$A$3003,0)),"—"))</f>
        <v/>
      </c>
      <c r="J1066" s="48">
        <f>IF($C1066="","",IFERROR(INDEX(ENVIOS!$B$4:$B$3003,MATCH($C1066,ENVIOS!$A$4:$A$3003,0)),""))</f>
        <v/>
      </c>
      <c r="K1066" s="49" t="n"/>
      <c r="L1066" s="27">
        <f>IF($K1066="","",IFERROR(INDEX(CONFIG!$B$4:$B$43,MATCH($K1066,CONFIG!$A$4:$A$43,0)),"Media"))</f>
        <v/>
      </c>
      <c r="M1066" s="27">
        <f>IF($K1066="","",IFERROR(INDEX(CONFIG!$D$4:$D$43,MATCH($K1066,CONFIG!$A$4:$A$43,0)),"NO"))</f>
        <v/>
      </c>
      <c r="N1066" s="49" t="n"/>
      <c r="O1066" s="27">
        <f>IF($N1066="","",IFERROR(INDEX(CONFIG!$G$4:$G$43,MATCH($N1066,CONFIG!$F$4:$F$43,0)),"Por definir"))</f>
        <v/>
      </c>
      <c r="P1066" s="27">
        <f>IF($N1066="","",IFERROR(INDEX(CONFIG!$H$4:$H$43,MATCH($N1066,CONFIG!$F$4:$F$43,0)),"Por definir"))</f>
        <v/>
      </c>
      <c r="Q1066" s="50" t="n"/>
      <c r="R1066" s="51" t="n"/>
      <c r="S1066" s="49" t="n"/>
      <c r="T1066" s="49" t="n"/>
      <c r="U1066" s="48">
        <f>IF(OR($B1066="",$K1066=""),"",WORKDAY($B1066,IFERROR(INDEX(CONFIG!$C$4:$C$43,MATCH($K1066,CONFIG!$A$4:$A$43,0)),3)))</f>
        <v/>
      </c>
      <c r="V1066" s="46" t="n"/>
      <c r="W1066" s="23">
        <f>IF($B1066="","",IF($V1066&lt;&gt;"",$V1066-$B1066,TODAY()-$B1066))</f>
        <v/>
      </c>
      <c r="X1066" s="27">
        <f>IF($C1066="","",IF(IFERROR(INDEX(CONFIG!$K$4:$K$43,MATCH($S1066,CONFIG!$J$4:$J$43,0)),"NO")="SÍ",IF(OR($V1066="",$U1066=""),"Resuelta",IF($V1066&gt;$U1066,"Resuelta tarde","Resuelta a tiempo")),IF($U1066="","Sin clasificar",IF(TODAY()&gt;$U1066,"Vencida",IF(TODAY()&gt;=$U1066-1,"Por vencer","En plazo")))))</f>
        <v/>
      </c>
      <c r="Y1066" s="49" t="n"/>
      <c r="Z1066" s="49" t="n"/>
    </row>
    <row r="1067" ht="16" customHeight="1">
      <c r="A1067" s="27">
        <f>IF($C1067="","","N-"&amp;TEXT(ROW()-3,"0000"))</f>
        <v/>
      </c>
      <c r="B1067" s="46" t="n"/>
      <c r="C1067" s="47" t="n"/>
      <c r="D1067" s="27">
        <f>IF($C1067="","",IF(COUNTIFS(ENVIOS!$A$4:$A$3003,$C1067)=0,"NO EXISTE",IF(COUNTIFS(ENVIOS!$A$4:$A$3003,$C1067)&gt;1,"DUPLICADA","OK")))</f>
        <v/>
      </c>
      <c r="E1067" s="22">
        <f>IF($C1067="","",IFERROR(INDEX(ENVIOS!$C$4:$C$3003,MATCH($C1067,ENVIOS!$A$4:$A$3003,0)),"—"))</f>
        <v/>
      </c>
      <c r="F1067" s="22">
        <f>IF($C1067="","",IFERROR(INDEX(ENVIOS!$D$4:$D$3003,MATCH($C1067,ENVIOS!$A$4:$A$3003,0)),"—"))</f>
        <v/>
      </c>
      <c r="G1067" s="22">
        <f>IF($C1067="","",IFERROR(INDEX(ENVIOS!$E$4:$E$3003,MATCH($C1067,ENVIOS!$A$4:$A$3003,0)),"—"))</f>
        <v/>
      </c>
      <c r="H1067" s="22">
        <f>IF($C1067="","",IFERROR(INDEX(ENVIOS!$F$4:$F$3003,MATCH($C1067,ENVIOS!$A$4:$A$3003,0)),"—"))</f>
        <v/>
      </c>
      <c r="I1067" s="27">
        <f>IF($C1067="","",IFERROR(INDEX(ENVIOS!$G$4:$G$3003,MATCH($C1067,ENVIOS!$A$4:$A$3003,0)),"—"))</f>
        <v/>
      </c>
      <c r="J1067" s="48">
        <f>IF($C1067="","",IFERROR(INDEX(ENVIOS!$B$4:$B$3003,MATCH($C1067,ENVIOS!$A$4:$A$3003,0)),""))</f>
        <v/>
      </c>
      <c r="K1067" s="49" t="n"/>
      <c r="L1067" s="27">
        <f>IF($K1067="","",IFERROR(INDEX(CONFIG!$B$4:$B$43,MATCH($K1067,CONFIG!$A$4:$A$43,0)),"Media"))</f>
        <v/>
      </c>
      <c r="M1067" s="27">
        <f>IF($K1067="","",IFERROR(INDEX(CONFIG!$D$4:$D$43,MATCH($K1067,CONFIG!$A$4:$A$43,0)),"NO"))</f>
        <v/>
      </c>
      <c r="N1067" s="49" t="n"/>
      <c r="O1067" s="27">
        <f>IF($N1067="","",IFERROR(INDEX(CONFIG!$G$4:$G$43,MATCH($N1067,CONFIG!$F$4:$F$43,0)),"Por definir"))</f>
        <v/>
      </c>
      <c r="P1067" s="27">
        <f>IF($N1067="","",IFERROR(INDEX(CONFIG!$H$4:$H$43,MATCH($N1067,CONFIG!$F$4:$F$43,0)),"Por definir"))</f>
        <v/>
      </c>
      <c r="Q1067" s="50" t="n"/>
      <c r="R1067" s="51" t="n"/>
      <c r="S1067" s="49" t="n"/>
      <c r="T1067" s="49" t="n"/>
      <c r="U1067" s="48">
        <f>IF(OR($B1067="",$K1067=""),"",WORKDAY($B1067,IFERROR(INDEX(CONFIG!$C$4:$C$43,MATCH($K1067,CONFIG!$A$4:$A$43,0)),3)))</f>
        <v/>
      </c>
      <c r="V1067" s="46" t="n"/>
      <c r="W1067" s="23">
        <f>IF($B1067="","",IF($V1067&lt;&gt;"",$V1067-$B1067,TODAY()-$B1067))</f>
        <v/>
      </c>
      <c r="X1067" s="27">
        <f>IF($C1067="","",IF(IFERROR(INDEX(CONFIG!$K$4:$K$43,MATCH($S1067,CONFIG!$J$4:$J$43,0)),"NO")="SÍ",IF(OR($V1067="",$U1067=""),"Resuelta",IF($V1067&gt;$U1067,"Resuelta tarde","Resuelta a tiempo")),IF($U1067="","Sin clasificar",IF(TODAY()&gt;$U1067,"Vencida",IF(TODAY()&gt;=$U1067-1,"Por vencer","En plazo")))))</f>
        <v/>
      </c>
      <c r="Y1067" s="49" t="n"/>
      <c r="Z1067" s="49" t="n"/>
    </row>
    <row r="1068" ht="16" customHeight="1">
      <c r="A1068" s="27">
        <f>IF($C1068="","","N-"&amp;TEXT(ROW()-3,"0000"))</f>
        <v/>
      </c>
      <c r="B1068" s="46" t="n"/>
      <c r="C1068" s="47" t="n"/>
      <c r="D1068" s="27">
        <f>IF($C1068="","",IF(COUNTIFS(ENVIOS!$A$4:$A$3003,$C1068)=0,"NO EXISTE",IF(COUNTIFS(ENVIOS!$A$4:$A$3003,$C1068)&gt;1,"DUPLICADA","OK")))</f>
        <v/>
      </c>
      <c r="E1068" s="22">
        <f>IF($C1068="","",IFERROR(INDEX(ENVIOS!$C$4:$C$3003,MATCH($C1068,ENVIOS!$A$4:$A$3003,0)),"—"))</f>
        <v/>
      </c>
      <c r="F1068" s="22">
        <f>IF($C1068="","",IFERROR(INDEX(ENVIOS!$D$4:$D$3003,MATCH($C1068,ENVIOS!$A$4:$A$3003,0)),"—"))</f>
        <v/>
      </c>
      <c r="G1068" s="22">
        <f>IF($C1068="","",IFERROR(INDEX(ENVIOS!$E$4:$E$3003,MATCH($C1068,ENVIOS!$A$4:$A$3003,0)),"—"))</f>
        <v/>
      </c>
      <c r="H1068" s="22">
        <f>IF($C1068="","",IFERROR(INDEX(ENVIOS!$F$4:$F$3003,MATCH($C1068,ENVIOS!$A$4:$A$3003,0)),"—"))</f>
        <v/>
      </c>
      <c r="I1068" s="27">
        <f>IF($C1068="","",IFERROR(INDEX(ENVIOS!$G$4:$G$3003,MATCH($C1068,ENVIOS!$A$4:$A$3003,0)),"—"))</f>
        <v/>
      </c>
      <c r="J1068" s="48">
        <f>IF($C1068="","",IFERROR(INDEX(ENVIOS!$B$4:$B$3003,MATCH($C1068,ENVIOS!$A$4:$A$3003,0)),""))</f>
        <v/>
      </c>
      <c r="K1068" s="49" t="n"/>
      <c r="L1068" s="27">
        <f>IF($K1068="","",IFERROR(INDEX(CONFIG!$B$4:$B$43,MATCH($K1068,CONFIG!$A$4:$A$43,0)),"Media"))</f>
        <v/>
      </c>
      <c r="M1068" s="27">
        <f>IF($K1068="","",IFERROR(INDEX(CONFIG!$D$4:$D$43,MATCH($K1068,CONFIG!$A$4:$A$43,0)),"NO"))</f>
        <v/>
      </c>
      <c r="N1068" s="49" t="n"/>
      <c r="O1068" s="27">
        <f>IF($N1068="","",IFERROR(INDEX(CONFIG!$G$4:$G$43,MATCH($N1068,CONFIG!$F$4:$F$43,0)),"Por definir"))</f>
        <v/>
      </c>
      <c r="P1068" s="27">
        <f>IF($N1068="","",IFERROR(INDEX(CONFIG!$H$4:$H$43,MATCH($N1068,CONFIG!$F$4:$F$43,0)),"Por definir"))</f>
        <v/>
      </c>
      <c r="Q1068" s="50" t="n"/>
      <c r="R1068" s="51" t="n"/>
      <c r="S1068" s="49" t="n"/>
      <c r="T1068" s="49" t="n"/>
      <c r="U1068" s="48">
        <f>IF(OR($B1068="",$K1068=""),"",WORKDAY($B1068,IFERROR(INDEX(CONFIG!$C$4:$C$43,MATCH($K1068,CONFIG!$A$4:$A$43,0)),3)))</f>
        <v/>
      </c>
      <c r="V1068" s="46" t="n"/>
      <c r="W1068" s="23">
        <f>IF($B1068="","",IF($V1068&lt;&gt;"",$V1068-$B1068,TODAY()-$B1068))</f>
        <v/>
      </c>
      <c r="X1068" s="27">
        <f>IF($C1068="","",IF(IFERROR(INDEX(CONFIG!$K$4:$K$43,MATCH($S1068,CONFIG!$J$4:$J$43,0)),"NO")="SÍ",IF(OR($V1068="",$U1068=""),"Resuelta",IF($V1068&gt;$U1068,"Resuelta tarde","Resuelta a tiempo")),IF($U1068="","Sin clasificar",IF(TODAY()&gt;$U1068,"Vencida",IF(TODAY()&gt;=$U1068-1,"Por vencer","En plazo")))))</f>
        <v/>
      </c>
      <c r="Y1068" s="49" t="n"/>
      <c r="Z1068" s="49" t="n"/>
    </row>
    <row r="1069" ht="16" customHeight="1">
      <c r="A1069" s="27">
        <f>IF($C1069="","","N-"&amp;TEXT(ROW()-3,"0000"))</f>
        <v/>
      </c>
      <c r="B1069" s="46" t="n"/>
      <c r="C1069" s="47" t="n"/>
      <c r="D1069" s="27">
        <f>IF($C1069="","",IF(COUNTIFS(ENVIOS!$A$4:$A$3003,$C1069)=0,"NO EXISTE",IF(COUNTIFS(ENVIOS!$A$4:$A$3003,$C1069)&gt;1,"DUPLICADA","OK")))</f>
        <v/>
      </c>
      <c r="E1069" s="22">
        <f>IF($C1069="","",IFERROR(INDEX(ENVIOS!$C$4:$C$3003,MATCH($C1069,ENVIOS!$A$4:$A$3003,0)),"—"))</f>
        <v/>
      </c>
      <c r="F1069" s="22">
        <f>IF($C1069="","",IFERROR(INDEX(ENVIOS!$D$4:$D$3003,MATCH($C1069,ENVIOS!$A$4:$A$3003,0)),"—"))</f>
        <v/>
      </c>
      <c r="G1069" s="22">
        <f>IF($C1069="","",IFERROR(INDEX(ENVIOS!$E$4:$E$3003,MATCH($C1069,ENVIOS!$A$4:$A$3003,0)),"—"))</f>
        <v/>
      </c>
      <c r="H1069" s="22">
        <f>IF($C1069="","",IFERROR(INDEX(ENVIOS!$F$4:$F$3003,MATCH($C1069,ENVIOS!$A$4:$A$3003,0)),"—"))</f>
        <v/>
      </c>
      <c r="I1069" s="27">
        <f>IF($C1069="","",IFERROR(INDEX(ENVIOS!$G$4:$G$3003,MATCH($C1069,ENVIOS!$A$4:$A$3003,0)),"—"))</f>
        <v/>
      </c>
      <c r="J1069" s="48">
        <f>IF($C1069="","",IFERROR(INDEX(ENVIOS!$B$4:$B$3003,MATCH($C1069,ENVIOS!$A$4:$A$3003,0)),""))</f>
        <v/>
      </c>
      <c r="K1069" s="49" t="n"/>
      <c r="L1069" s="27">
        <f>IF($K1069="","",IFERROR(INDEX(CONFIG!$B$4:$B$43,MATCH($K1069,CONFIG!$A$4:$A$43,0)),"Media"))</f>
        <v/>
      </c>
      <c r="M1069" s="27">
        <f>IF($K1069="","",IFERROR(INDEX(CONFIG!$D$4:$D$43,MATCH($K1069,CONFIG!$A$4:$A$43,0)),"NO"))</f>
        <v/>
      </c>
      <c r="N1069" s="49" t="n"/>
      <c r="O1069" s="27">
        <f>IF($N1069="","",IFERROR(INDEX(CONFIG!$G$4:$G$43,MATCH($N1069,CONFIG!$F$4:$F$43,0)),"Por definir"))</f>
        <v/>
      </c>
      <c r="P1069" s="27">
        <f>IF($N1069="","",IFERROR(INDEX(CONFIG!$H$4:$H$43,MATCH($N1069,CONFIG!$F$4:$F$43,0)),"Por definir"))</f>
        <v/>
      </c>
      <c r="Q1069" s="50" t="n"/>
      <c r="R1069" s="51" t="n"/>
      <c r="S1069" s="49" t="n"/>
      <c r="T1069" s="49" t="n"/>
      <c r="U1069" s="48">
        <f>IF(OR($B1069="",$K1069=""),"",WORKDAY($B1069,IFERROR(INDEX(CONFIG!$C$4:$C$43,MATCH($K1069,CONFIG!$A$4:$A$43,0)),3)))</f>
        <v/>
      </c>
      <c r="V1069" s="46" t="n"/>
      <c r="W1069" s="23">
        <f>IF($B1069="","",IF($V1069&lt;&gt;"",$V1069-$B1069,TODAY()-$B1069))</f>
        <v/>
      </c>
      <c r="X1069" s="27">
        <f>IF($C1069="","",IF(IFERROR(INDEX(CONFIG!$K$4:$K$43,MATCH($S1069,CONFIG!$J$4:$J$43,0)),"NO")="SÍ",IF(OR($V1069="",$U1069=""),"Resuelta",IF($V1069&gt;$U1069,"Resuelta tarde","Resuelta a tiempo")),IF($U1069="","Sin clasificar",IF(TODAY()&gt;$U1069,"Vencida",IF(TODAY()&gt;=$U1069-1,"Por vencer","En plazo")))))</f>
        <v/>
      </c>
      <c r="Y1069" s="49" t="n"/>
      <c r="Z1069" s="49" t="n"/>
    </row>
    <row r="1070" ht="16" customHeight="1">
      <c r="A1070" s="27">
        <f>IF($C1070="","","N-"&amp;TEXT(ROW()-3,"0000"))</f>
        <v/>
      </c>
      <c r="B1070" s="46" t="n"/>
      <c r="C1070" s="47" t="n"/>
      <c r="D1070" s="27">
        <f>IF($C1070="","",IF(COUNTIFS(ENVIOS!$A$4:$A$3003,$C1070)=0,"NO EXISTE",IF(COUNTIFS(ENVIOS!$A$4:$A$3003,$C1070)&gt;1,"DUPLICADA","OK")))</f>
        <v/>
      </c>
      <c r="E1070" s="22">
        <f>IF($C1070="","",IFERROR(INDEX(ENVIOS!$C$4:$C$3003,MATCH($C1070,ENVIOS!$A$4:$A$3003,0)),"—"))</f>
        <v/>
      </c>
      <c r="F1070" s="22">
        <f>IF($C1070="","",IFERROR(INDEX(ENVIOS!$D$4:$D$3003,MATCH($C1070,ENVIOS!$A$4:$A$3003,0)),"—"))</f>
        <v/>
      </c>
      <c r="G1070" s="22">
        <f>IF($C1070="","",IFERROR(INDEX(ENVIOS!$E$4:$E$3003,MATCH($C1070,ENVIOS!$A$4:$A$3003,0)),"—"))</f>
        <v/>
      </c>
      <c r="H1070" s="22">
        <f>IF($C1070="","",IFERROR(INDEX(ENVIOS!$F$4:$F$3003,MATCH($C1070,ENVIOS!$A$4:$A$3003,0)),"—"))</f>
        <v/>
      </c>
      <c r="I1070" s="27">
        <f>IF($C1070="","",IFERROR(INDEX(ENVIOS!$G$4:$G$3003,MATCH($C1070,ENVIOS!$A$4:$A$3003,0)),"—"))</f>
        <v/>
      </c>
      <c r="J1070" s="48">
        <f>IF($C1070="","",IFERROR(INDEX(ENVIOS!$B$4:$B$3003,MATCH($C1070,ENVIOS!$A$4:$A$3003,0)),""))</f>
        <v/>
      </c>
      <c r="K1070" s="49" t="n"/>
      <c r="L1070" s="27">
        <f>IF($K1070="","",IFERROR(INDEX(CONFIG!$B$4:$B$43,MATCH($K1070,CONFIG!$A$4:$A$43,0)),"Media"))</f>
        <v/>
      </c>
      <c r="M1070" s="27">
        <f>IF($K1070="","",IFERROR(INDEX(CONFIG!$D$4:$D$43,MATCH($K1070,CONFIG!$A$4:$A$43,0)),"NO"))</f>
        <v/>
      </c>
      <c r="N1070" s="49" t="n"/>
      <c r="O1070" s="27">
        <f>IF($N1070="","",IFERROR(INDEX(CONFIG!$G$4:$G$43,MATCH($N1070,CONFIG!$F$4:$F$43,0)),"Por definir"))</f>
        <v/>
      </c>
      <c r="P1070" s="27">
        <f>IF($N1070="","",IFERROR(INDEX(CONFIG!$H$4:$H$43,MATCH($N1070,CONFIG!$F$4:$F$43,0)),"Por definir"))</f>
        <v/>
      </c>
      <c r="Q1070" s="50" t="n"/>
      <c r="R1070" s="51" t="n"/>
      <c r="S1070" s="49" t="n"/>
      <c r="T1070" s="49" t="n"/>
      <c r="U1070" s="48">
        <f>IF(OR($B1070="",$K1070=""),"",WORKDAY($B1070,IFERROR(INDEX(CONFIG!$C$4:$C$43,MATCH($K1070,CONFIG!$A$4:$A$43,0)),3)))</f>
        <v/>
      </c>
      <c r="V1070" s="46" t="n"/>
      <c r="W1070" s="23">
        <f>IF($B1070="","",IF($V1070&lt;&gt;"",$V1070-$B1070,TODAY()-$B1070))</f>
        <v/>
      </c>
      <c r="X1070" s="27">
        <f>IF($C1070="","",IF(IFERROR(INDEX(CONFIG!$K$4:$K$43,MATCH($S1070,CONFIG!$J$4:$J$43,0)),"NO")="SÍ",IF(OR($V1070="",$U1070=""),"Resuelta",IF($V1070&gt;$U1070,"Resuelta tarde","Resuelta a tiempo")),IF($U1070="","Sin clasificar",IF(TODAY()&gt;$U1070,"Vencida",IF(TODAY()&gt;=$U1070-1,"Por vencer","En plazo")))))</f>
        <v/>
      </c>
      <c r="Y1070" s="49" t="n"/>
      <c r="Z1070" s="49" t="n"/>
    </row>
    <row r="1071" ht="16" customHeight="1">
      <c r="A1071" s="27">
        <f>IF($C1071="","","N-"&amp;TEXT(ROW()-3,"0000"))</f>
        <v/>
      </c>
      <c r="B1071" s="46" t="n"/>
      <c r="C1071" s="47" t="n"/>
      <c r="D1071" s="27">
        <f>IF($C1071="","",IF(COUNTIFS(ENVIOS!$A$4:$A$3003,$C1071)=0,"NO EXISTE",IF(COUNTIFS(ENVIOS!$A$4:$A$3003,$C1071)&gt;1,"DUPLICADA","OK")))</f>
        <v/>
      </c>
      <c r="E1071" s="22">
        <f>IF($C1071="","",IFERROR(INDEX(ENVIOS!$C$4:$C$3003,MATCH($C1071,ENVIOS!$A$4:$A$3003,0)),"—"))</f>
        <v/>
      </c>
      <c r="F1071" s="22">
        <f>IF($C1071="","",IFERROR(INDEX(ENVIOS!$D$4:$D$3003,MATCH($C1071,ENVIOS!$A$4:$A$3003,0)),"—"))</f>
        <v/>
      </c>
      <c r="G1071" s="22">
        <f>IF($C1071="","",IFERROR(INDEX(ENVIOS!$E$4:$E$3003,MATCH($C1071,ENVIOS!$A$4:$A$3003,0)),"—"))</f>
        <v/>
      </c>
      <c r="H1071" s="22">
        <f>IF($C1071="","",IFERROR(INDEX(ENVIOS!$F$4:$F$3003,MATCH($C1071,ENVIOS!$A$4:$A$3003,0)),"—"))</f>
        <v/>
      </c>
      <c r="I1071" s="27">
        <f>IF($C1071="","",IFERROR(INDEX(ENVIOS!$G$4:$G$3003,MATCH($C1071,ENVIOS!$A$4:$A$3003,0)),"—"))</f>
        <v/>
      </c>
      <c r="J1071" s="48">
        <f>IF($C1071="","",IFERROR(INDEX(ENVIOS!$B$4:$B$3003,MATCH($C1071,ENVIOS!$A$4:$A$3003,0)),""))</f>
        <v/>
      </c>
      <c r="K1071" s="49" t="n"/>
      <c r="L1071" s="27">
        <f>IF($K1071="","",IFERROR(INDEX(CONFIG!$B$4:$B$43,MATCH($K1071,CONFIG!$A$4:$A$43,0)),"Media"))</f>
        <v/>
      </c>
      <c r="M1071" s="27">
        <f>IF($K1071="","",IFERROR(INDEX(CONFIG!$D$4:$D$43,MATCH($K1071,CONFIG!$A$4:$A$43,0)),"NO"))</f>
        <v/>
      </c>
      <c r="N1071" s="49" t="n"/>
      <c r="O1071" s="27">
        <f>IF($N1071="","",IFERROR(INDEX(CONFIG!$G$4:$G$43,MATCH($N1071,CONFIG!$F$4:$F$43,0)),"Por definir"))</f>
        <v/>
      </c>
      <c r="P1071" s="27">
        <f>IF($N1071="","",IFERROR(INDEX(CONFIG!$H$4:$H$43,MATCH($N1071,CONFIG!$F$4:$F$43,0)),"Por definir"))</f>
        <v/>
      </c>
      <c r="Q1071" s="50" t="n"/>
      <c r="R1071" s="51" t="n"/>
      <c r="S1071" s="49" t="n"/>
      <c r="T1071" s="49" t="n"/>
      <c r="U1071" s="48">
        <f>IF(OR($B1071="",$K1071=""),"",WORKDAY($B1071,IFERROR(INDEX(CONFIG!$C$4:$C$43,MATCH($K1071,CONFIG!$A$4:$A$43,0)),3)))</f>
        <v/>
      </c>
      <c r="V1071" s="46" t="n"/>
      <c r="W1071" s="23">
        <f>IF($B1071="","",IF($V1071&lt;&gt;"",$V1071-$B1071,TODAY()-$B1071))</f>
        <v/>
      </c>
      <c r="X1071" s="27">
        <f>IF($C1071="","",IF(IFERROR(INDEX(CONFIG!$K$4:$K$43,MATCH($S1071,CONFIG!$J$4:$J$43,0)),"NO")="SÍ",IF(OR($V1071="",$U1071=""),"Resuelta",IF($V1071&gt;$U1071,"Resuelta tarde","Resuelta a tiempo")),IF($U1071="","Sin clasificar",IF(TODAY()&gt;$U1071,"Vencida",IF(TODAY()&gt;=$U1071-1,"Por vencer","En plazo")))))</f>
        <v/>
      </c>
      <c r="Y1071" s="49" t="n"/>
      <c r="Z1071" s="49" t="n"/>
    </row>
    <row r="1072" ht="16" customHeight="1">
      <c r="A1072" s="27">
        <f>IF($C1072="","","N-"&amp;TEXT(ROW()-3,"0000"))</f>
        <v/>
      </c>
      <c r="B1072" s="46" t="n"/>
      <c r="C1072" s="47" t="n"/>
      <c r="D1072" s="27">
        <f>IF($C1072="","",IF(COUNTIFS(ENVIOS!$A$4:$A$3003,$C1072)=0,"NO EXISTE",IF(COUNTIFS(ENVIOS!$A$4:$A$3003,$C1072)&gt;1,"DUPLICADA","OK")))</f>
        <v/>
      </c>
      <c r="E1072" s="22">
        <f>IF($C1072="","",IFERROR(INDEX(ENVIOS!$C$4:$C$3003,MATCH($C1072,ENVIOS!$A$4:$A$3003,0)),"—"))</f>
        <v/>
      </c>
      <c r="F1072" s="22">
        <f>IF($C1072="","",IFERROR(INDEX(ENVIOS!$D$4:$D$3003,MATCH($C1072,ENVIOS!$A$4:$A$3003,0)),"—"))</f>
        <v/>
      </c>
      <c r="G1072" s="22">
        <f>IF($C1072="","",IFERROR(INDEX(ENVIOS!$E$4:$E$3003,MATCH($C1072,ENVIOS!$A$4:$A$3003,0)),"—"))</f>
        <v/>
      </c>
      <c r="H1072" s="22">
        <f>IF($C1072="","",IFERROR(INDEX(ENVIOS!$F$4:$F$3003,MATCH($C1072,ENVIOS!$A$4:$A$3003,0)),"—"))</f>
        <v/>
      </c>
      <c r="I1072" s="27">
        <f>IF($C1072="","",IFERROR(INDEX(ENVIOS!$G$4:$G$3003,MATCH($C1072,ENVIOS!$A$4:$A$3003,0)),"—"))</f>
        <v/>
      </c>
      <c r="J1072" s="48">
        <f>IF($C1072="","",IFERROR(INDEX(ENVIOS!$B$4:$B$3003,MATCH($C1072,ENVIOS!$A$4:$A$3003,0)),""))</f>
        <v/>
      </c>
      <c r="K1072" s="49" t="n"/>
      <c r="L1072" s="27">
        <f>IF($K1072="","",IFERROR(INDEX(CONFIG!$B$4:$B$43,MATCH($K1072,CONFIG!$A$4:$A$43,0)),"Media"))</f>
        <v/>
      </c>
      <c r="M1072" s="27">
        <f>IF($K1072="","",IFERROR(INDEX(CONFIG!$D$4:$D$43,MATCH($K1072,CONFIG!$A$4:$A$43,0)),"NO"))</f>
        <v/>
      </c>
      <c r="N1072" s="49" t="n"/>
      <c r="O1072" s="27">
        <f>IF($N1072="","",IFERROR(INDEX(CONFIG!$G$4:$G$43,MATCH($N1072,CONFIG!$F$4:$F$43,0)),"Por definir"))</f>
        <v/>
      </c>
      <c r="P1072" s="27">
        <f>IF($N1072="","",IFERROR(INDEX(CONFIG!$H$4:$H$43,MATCH($N1072,CONFIG!$F$4:$F$43,0)),"Por definir"))</f>
        <v/>
      </c>
      <c r="Q1072" s="50" t="n"/>
      <c r="R1072" s="51" t="n"/>
      <c r="S1072" s="49" t="n"/>
      <c r="T1072" s="49" t="n"/>
      <c r="U1072" s="48">
        <f>IF(OR($B1072="",$K1072=""),"",WORKDAY($B1072,IFERROR(INDEX(CONFIG!$C$4:$C$43,MATCH($K1072,CONFIG!$A$4:$A$43,0)),3)))</f>
        <v/>
      </c>
      <c r="V1072" s="46" t="n"/>
      <c r="W1072" s="23">
        <f>IF($B1072="","",IF($V1072&lt;&gt;"",$V1072-$B1072,TODAY()-$B1072))</f>
        <v/>
      </c>
      <c r="X1072" s="27">
        <f>IF($C1072="","",IF(IFERROR(INDEX(CONFIG!$K$4:$K$43,MATCH($S1072,CONFIG!$J$4:$J$43,0)),"NO")="SÍ",IF(OR($V1072="",$U1072=""),"Resuelta",IF($V1072&gt;$U1072,"Resuelta tarde","Resuelta a tiempo")),IF($U1072="","Sin clasificar",IF(TODAY()&gt;$U1072,"Vencida",IF(TODAY()&gt;=$U1072-1,"Por vencer","En plazo")))))</f>
        <v/>
      </c>
      <c r="Y1072" s="49" t="n"/>
      <c r="Z1072" s="49" t="n"/>
    </row>
    <row r="1073" ht="16" customHeight="1">
      <c r="A1073" s="27">
        <f>IF($C1073="","","N-"&amp;TEXT(ROW()-3,"0000"))</f>
        <v/>
      </c>
      <c r="B1073" s="46" t="n"/>
      <c r="C1073" s="47" t="n"/>
      <c r="D1073" s="27">
        <f>IF($C1073="","",IF(COUNTIFS(ENVIOS!$A$4:$A$3003,$C1073)=0,"NO EXISTE",IF(COUNTIFS(ENVIOS!$A$4:$A$3003,$C1073)&gt;1,"DUPLICADA","OK")))</f>
        <v/>
      </c>
      <c r="E1073" s="22">
        <f>IF($C1073="","",IFERROR(INDEX(ENVIOS!$C$4:$C$3003,MATCH($C1073,ENVIOS!$A$4:$A$3003,0)),"—"))</f>
        <v/>
      </c>
      <c r="F1073" s="22">
        <f>IF($C1073="","",IFERROR(INDEX(ENVIOS!$D$4:$D$3003,MATCH($C1073,ENVIOS!$A$4:$A$3003,0)),"—"))</f>
        <v/>
      </c>
      <c r="G1073" s="22">
        <f>IF($C1073="","",IFERROR(INDEX(ENVIOS!$E$4:$E$3003,MATCH($C1073,ENVIOS!$A$4:$A$3003,0)),"—"))</f>
        <v/>
      </c>
      <c r="H1073" s="22">
        <f>IF($C1073="","",IFERROR(INDEX(ENVIOS!$F$4:$F$3003,MATCH($C1073,ENVIOS!$A$4:$A$3003,0)),"—"))</f>
        <v/>
      </c>
      <c r="I1073" s="27">
        <f>IF($C1073="","",IFERROR(INDEX(ENVIOS!$G$4:$G$3003,MATCH($C1073,ENVIOS!$A$4:$A$3003,0)),"—"))</f>
        <v/>
      </c>
      <c r="J1073" s="48">
        <f>IF($C1073="","",IFERROR(INDEX(ENVIOS!$B$4:$B$3003,MATCH($C1073,ENVIOS!$A$4:$A$3003,0)),""))</f>
        <v/>
      </c>
      <c r="K1073" s="49" t="n"/>
      <c r="L1073" s="27">
        <f>IF($K1073="","",IFERROR(INDEX(CONFIG!$B$4:$B$43,MATCH($K1073,CONFIG!$A$4:$A$43,0)),"Media"))</f>
        <v/>
      </c>
      <c r="M1073" s="27">
        <f>IF($K1073="","",IFERROR(INDEX(CONFIG!$D$4:$D$43,MATCH($K1073,CONFIG!$A$4:$A$43,0)),"NO"))</f>
        <v/>
      </c>
      <c r="N1073" s="49" t="n"/>
      <c r="O1073" s="27">
        <f>IF($N1073="","",IFERROR(INDEX(CONFIG!$G$4:$G$43,MATCH($N1073,CONFIG!$F$4:$F$43,0)),"Por definir"))</f>
        <v/>
      </c>
      <c r="P1073" s="27">
        <f>IF($N1073="","",IFERROR(INDEX(CONFIG!$H$4:$H$43,MATCH($N1073,CONFIG!$F$4:$F$43,0)),"Por definir"))</f>
        <v/>
      </c>
      <c r="Q1073" s="50" t="n"/>
      <c r="R1073" s="51" t="n"/>
      <c r="S1073" s="49" t="n"/>
      <c r="T1073" s="49" t="n"/>
      <c r="U1073" s="48">
        <f>IF(OR($B1073="",$K1073=""),"",WORKDAY($B1073,IFERROR(INDEX(CONFIG!$C$4:$C$43,MATCH($K1073,CONFIG!$A$4:$A$43,0)),3)))</f>
        <v/>
      </c>
      <c r="V1073" s="46" t="n"/>
      <c r="W1073" s="23">
        <f>IF($B1073="","",IF($V1073&lt;&gt;"",$V1073-$B1073,TODAY()-$B1073))</f>
        <v/>
      </c>
      <c r="X1073" s="27">
        <f>IF($C1073="","",IF(IFERROR(INDEX(CONFIG!$K$4:$K$43,MATCH($S1073,CONFIG!$J$4:$J$43,0)),"NO")="SÍ",IF(OR($V1073="",$U1073=""),"Resuelta",IF($V1073&gt;$U1073,"Resuelta tarde","Resuelta a tiempo")),IF($U1073="","Sin clasificar",IF(TODAY()&gt;$U1073,"Vencida",IF(TODAY()&gt;=$U1073-1,"Por vencer","En plazo")))))</f>
        <v/>
      </c>
      <c r="Y1073" s="49" t="n"/>
      <c r="Z1073" s="49" t="n"/>
    </row>
    <row r="1074" ht="16" customHeight="1">
      <c r="A1074" s="27">
        <f>IF($C1074="","","N-"&amp;TEXT(ROW()-3,"0000"))</f>
        <v/>
      </c>
      <c r="B1074" s="46" t="n"/>
      <c r="C1074" s="47" t="n"/>
      <c r="D1074" s="27">
        <f>IF($C1074="","",IF(COUNTIFS(ENVIOS!$A$4:$A$3003,$C1074)=0,"NO EXISTE",IF(COUNTIFS(ENVIOS!$A$4:$A$3003,$C1074)&gt;1,"DUPLICADA","OK")))</f>
        <v/>
      </c>
      <c r="E1074" s="22">
        <f>IF($C1074="","",IFERROR(INDEX(ENVIOS!$C$4:$C$3003,MATCH($C1074,ENVIOS!$A$4:$A$3003,0)),"—"))</f>
        <v/>
      </c>
      <c r="F1074" s="22">
        <f>IF($C1074="","",IFERROR(INDEX(ENVIOS!$D$4:$D$3003,MATCH($C1074,ENVIOS!$A$4:$A$3003,0)),"—"))</f>
        <v/>
      </c>
      <c r="G1074" s="22">
        <f>IF($C1074="","",IFERROR(INDEX(ENVIOS!$E$4:$E$3003,MATCH($C1074,ENVIOS!$A$4:$A$3003,0)),"—"))</f>
        <v/>
      </c>
      <c r="H1074" s="22">
        <f>IF($C1074="","",IFERROR(INDEX(ENVIOS!$F$4:$F$3003,MATCH($C1074,ENVIOS!$A$4:$A$3003,0)),"—"))</f>
        <v/>
      </c>
      <c r="I1074" s="27">
        <f>IF($C1074="","",IFERROR(INDEX(ENVIOS!$G$4:$G$3003,MATCH($C1074,ENVIOS!$A$4:$A$3003,0)),"—"))</f>
        <v/>
      </c>
      <c r="J1074" s="48">
        <f>IF($C1074="","",IFERROR(INDEX(ENVIOS!$B$4:$B$3003,MATCH($C1074,ENVIOS!$A$4:$A$3003,0)),""))</f>
        <v/>
      </c>
      <c r="K1074" s="49" t="n"/>
      <c r="L1074" s="27">
        <f>IF($K1074="","",IFERROR(INDEX(CONFIG!$B$4:$B$43,MATCH($K1074,CONFIG!$A$4:$A$43,0)),"Media"))</f>
        <v/>
      </c>
      <c r="M1074" s="27">
        <f>IF($K1074="","",IFERROR(INDEX(CONFIG!$D$4:$D$43,MATCH($K1074,CONFIG!$A$4:$A$43,0)),"NO"))</f>
        <v/>
      </c>
      <c r="N1074" s="49" t="n"/>
      <c r="O1074" s="27">
        <f>IF($N1074="","",IFERROR(INDEX(CONFIG!$G$4:$G$43,MATCH($N1074,CONFIG!$F$4:$F$43,0)),"Por definir"))</f>
        <v/>
      </c>
      <c r="P1074" s="27">
        <f>IF($N1074="","",IFERROR(INDEX(CONFIG!$H$4:$H$43,MATCH($N1074,CONFIG!$F$4:$F$43,0)),"Por definir"))</f>
        <v/>
      </c>
      <c r="Q1074" s="50" t="n"/>
      <c r="R1074" s="51" t="n"/>
      <c r="S1074" s="49" t="n"/>
      <c r="T1074" s="49" t="n"/>
      <c r="U1074" s="48">
        <f>IF(OR($B1074="",$K1074=""),"",WORKDAY($B1074,IFERROR(INDEX(CONFIG!$C$4:$C$43,MATCH($K1074,CONFIG!$A$4:$A$43,0)),3)))</f>
        <v/>
      </c>
      <c r="V1074" s="46" t="n"/>
      <c r="W1074" s="23">
        <f>IF($B1074="","",IF($V1074&lt;&gt;"",$V1074-$B1074,TODAY()-$B1074))</f>
        <v/>
      </c>
      <c r="X1074" s="27">
        <f>IF($C1074="","",IF(IFERROR(INDEX(CONFIG!$K$4:$K$43,MATCH($S1074,CONFIG!$J$4:$J$43,0)),"NO")="SÍ",IF(OR($V1074="",$U1074=""),"Resuelta",IF($V1074&gt;$U1074,"Resuelta tarde","Resuelta a tiempo")),IF($U1074="","Sin clasificar",IF(TODAY()&gt;$U1074,"Vencida",IF(TODAY()&gt;=$U1074-1,"Por vencer","En plazo")))))</f>
        <v/>
      </c>
      <c r="Y1074" s="49" t="n"/>
      <c r="Z1074" s="49" t="n"/>
    </row>
    <row r="1075" ht="16" customHeight="1">
      <c r="A1075" s="27">
        <f>IF($C1075="","","N-"&amp;TEXT(ROW()-3,"0000"))</f>
        <v/>
      </c>
      <c r="B1075" s="46" t="n"/>
      <c r="C1075" s="47" t="n"/>
      <c r="D1075" s="27">
        <f>IF($C1075="","",IF(COUNTIFS(ENVIOS!$A$4:$A$3003,$C1075)=0,"NO EXISTE",IF(COUNTIFS(ENVIOS!$A$4:$A$3003,$C1075)&gt;1,"DUPLICADA","OK")))</f>
        <v/>
      </c>
      <c r="E1075" s="22">
        <f>IF($C1075="","",IFERROR(INDEX(ENVIOS!$C$4:$C$3003,MATCH($C1075,ENVIOS!$A$4:$A$3003,0)),"—"))</f>
        <v/>
      </c>
      <c r="F1075" s="22">
        <f>IF($C1075="","",IFERROR(INDEX(ENVIOS!$D$4:$D$3003,MATCH($C1075,ENVIOS!$A$4:$A$3003,0)),"—"))</f>
        <v/>
      </c>
      <c r="G1075" s="22">
        <f>IF($C1075="","",IFERROR(INDEX(ENVIOS!$E$4:$E$3003,MATCH($C1075,ENVIOS!$A$4:$A$3003,0)),"—"))</f>
        <v/>
      </c>
      <c r="H1075" s="22">
        <f>IF($C1075="","",IFERROR(INDEX(ENVIOS!$F$4:$F$3003,MATCH($C1075,ENVIOS!$A$4:$A$3003,0)),"—"))</f>
        <v/>
      </c>
      <c r="I1075" s="27">
        <f>IF($C1075="","",IFERROR(INDEX(ENVIOS!$G$4:$G$3003,MATCH($C1075,ENVIOS!$A$4:$A$3003,0)),"—"))</f>
        <v/>
      </c>
      <c r="J1075" s="48">
        <f>IF($C1075="","",IFERROR(INDEX(ENVIOS!$B$4:$B$3003,MATCH($C1075,ENVIOS!$A$4:$A$3003,0)),""))</f>
        <v/>
      </c>
      <c r="K1075" s="49" t="n"/>
      <c r="L1075" s="27">
        <f>IF($K1075="","",IFERROR(INDEX(CONFIG!$B$4:$B$43,MATCH($K1075,CONFIG!$A$4:$A$43,0)),"Media"))</f>
        <v/>
      </c>
      <c r="M1075" s="27">
        <f>IF($K1075="","",IFERROR(INDEX(CONFIG!$D$4:$D$43,MATCH($K1075,CONFIG!$A$4:$A$43,0)),"NO"))</f>
        <v/>
      </c>
      <c r="N1075" s="49" t="n"/>
      <c r="O1075" s="27">
        <f>IF($N1075="","",IFERROR(INDEX(CONFIG!$G$4:$G$43,MATCH($N1075,CONFIG!$F$4:$F$43,0)),"Por definir"))</f>
        <v/>
      </c>
      <c r="P1075" s="27">
        <f>IF($N1075="","",IFERROR(INDEX(CONFIG!$H$4:$H$43,MATCH($N1075,CONFIG!$F$4:$F$43,0)),"Por definir"))</f>
        <v/>
      </c>
      <c r="Q1075" s="50" t="n"/>
      <c r="R1075" s="51" t="n"/>
      <c r="S1075" s="49" t="n"/>
      <c r="T1075" s="49" t="n"/>
      <c r="U1075" s="48">
        <f>IF(OR($B1075="",$K1075=""),"",WORKDAY($B1075,IFERROR(INDEX(CONFIG!$C$4:$C$43,MATCH($K1075,CONFIG!$A$4:$A$43,0)),3)))</f>
        <v/>
      </c>
      <c r="V1075" s="46" t="n"/>
      <c r="W1075" s="23">
        <f>IF($B1075="","",IF($V1075&lt;&gt;"",$V1075-$B1075,TODAY()-$B1075))</f>
        <v/>
      </c>
      <c r="X1075" s="27">
        <f>IF($C1075="","",IF(IFERROR(INDEX(CONFIG!$K$4:$K$43,MATCH($S1075,CONFIG!$J$4:$J$43,0)),"NO")="SÍ",IF(OR($V1075="",$U1075=""),"Resuelta",IF($V1075&gt;$U1075,"Resuelta tarde","Resuelta a tiempo")),IF($U1075="","Sin clasificar",IF(TODAY()&gt;$U1075,"Vencida",IF(TODAY()&gt;=$U1075-1,"Por vencer","En plazo")))))</f>
        <v/>
      </c>
      <c r="Y1075" s="49" t="n"/>
      <c r="Z1075" s="49" t="n"/>
    </row>
    <row r="1076" ht="16" customHeight="1">
      <c r="A1076" s="27">
        <f>IF($C1076="","","N-"&amp;TEXT(ROW()-3,"0000"))</f>
        <v/>
      </c>
      <c r="B1076" s="46" t="n"/>
      <c r="C1076" s="47" t="n"/>
      <c r="D1076" s="27">
        <f>IF($C1076="","",IF(COUNTIFS(ENVIOS!$A$4:$A$3003,$C1076)=0,"NO EXISTE",IF(COUNTIFS(ENVIOS!$A$4:$A$3003,$C1076)&gt;1,"DUPLICADA","OK")))</f>
        <v/>
      </c>
      <c r="E1076" s="22">
        <f>IF($C1076="","",IFERROR(INDEX(ENVIOS!$C$4:$C$3003,MATCH($C1076,ENVIOS!$A$4:$A$3003,0)),"—"))</f>
        <v/>
      </c>
      <c r="F1076" s="22">
        <f>IF($C1076="","",IFERROR(INDEX(ENVIOS!$D$4:$D$3003,MATCH($C1076,ENVIOS!$A$4:$A$3003,0)),"—"))</f>
        <v/>
      </c>
      <c r="G1076" s="22">
        <f>IF($C1076="","",IFERROR(INDEX(ENVIOS!$E$4:$E$3003,MATCH($C1076,ENVIOS!$A$4:$A$3003,0)),"—"))</f>
        <v/>
      </c>
      <c r="H1076" s="22">
        <f>IF($C1076="","",IFERROR(INDEX(ENVIOS!$F$4:$F$3003,MATCH($C1076,ENVIOS!$A$4:$A$3003,0)),"—"))</f>
        <v/>
      </c>
      <c r="I1076" s="27">
        <f>IF($C1076="","",IFERROR(INDEX(ENVIOS!$G$4:$G$3003,MATCH($C1076,ENVIOS!$A$4:$A$3003,0)),"—"))</f>
        <v/>
      </c>
      <c r="J1076" s="48">
        <f>IF($C1076="","",IFERROR(INDEX(ENVIOS!$B$4:$B$3003,MATCH($C1076,ENVIOS!$A$4:$A$3003,0)),""))</f>
        <v/>
      </c>
      <c r="K1076" s="49" t="n"/>
      <c r="L1076" s="27">
        <f>IF($K1076="","",IFERROR(INDEX(CONFIG!$B$4:$B$43,MATCH($K1076,CONFIG!$A$4:$A$43,0)),"Media"))</f>
        <v/>
      </c>
      <c r="M1076" s="27">
        <f>IF($K1076="","",IFERROR(INDEX(CONFIG!$D$4:$D$43,MATCH($K1076,CONFIG!$A$4:$A$43,0)),"NO"))</f>
        <v/>
      </c>
      <c r="N1076" s="49" t="n"/>
      <c r="O1076" s="27">
        <f>IF($N1076="","",IFERROR(INDEX(CONFIG!$G$4:$G$43,MATCH($N1076,CONFIG!$F$4:$F$43,0)),"Por definir"))</f>
        <v/>
      </c>
      <c r="P1076" s="27">
        <f>IF($N1076="","",IFERROR(INDEX(CONFIG!$H$4:$H$43,MATCH($N1076,CONFIG!$F$4:$F$43,0)),"Por definir"))</f>
        <v/>
      </c>
      <c r="Q1076" s="50" t="n"/>
      <c r="R1076" s="51" t="n"/>
      <c r="S1076" s="49" t="n"/>
      <c r="T1076" s="49" t="n"/>
      <c r="U1076" s="48">
        <f>IF(OR($B1076="",$K1076=""),"",WORKDAY($B1076,IFERROR(INDEX(CONFIG!$C$4:$C$43,MATCH($K1076,CONFIG!$A$4:$A$43,0)),3)))</f>
        <v/>
      </c>
      <c r="V1076" s="46" t="n"/>
      <c r="W1076" s="23">
        <f>IF($B1076="","",IF($V1076&lt;&gt;"",$V1076-$B1076,TODAY()-$B1076))</f>
        <v/>
      </c>
      <c r="X1076" s="27">
        <f>IF($C1076="","",IF(IFERROR(INDEX(CONFIG!$K$4:$K$43,MATCH($S1076,CONFIG!$J$4:$J$43,0)),"NO")="SÍ",IF(OR($V1076="",$U1076=""),"Resuelta",IF($V1076&gt;$U1076,"Resuelta tarde","Resuelta a tiempo")),IF($U1076="","Sin clasificar",IF(TODAY()&gt;$U1076,"Vencida",IF(TODAY()&gt;=$U1076-1,"Por vencer","En plazo")))))</f>
        <v/>
      </c>
      <c r="Y1076" s="49" t="n"/>
      <c r="Z1076" s="49" t="n"/>
    </row>
    <row r="1077" ht="16" customHeight="1">
      <c r="A1077" s="27">
        <f>IF($C1077="","","N-"&amp;TEXT(ROW()-3,"0000"))</f>
        <v/>
      </c>
      <c r="B1077" s="46" t="n"/>
      <c r="C1077" s="47" t="n"/>
      <c r="D1077" s="27">
        <f>IF($C1077="","",IF(COUNTIFS(ENVIOS!$A$4:$A$3003,$C1077)=0,"NO EXISTE",IF(COUNTIFS(ENVIOS!$A$4:$A$3003,$C1077)&gt;1,"DUPLICADA","OK")))</f>
        <v/>
      </c>
      <c r="E1077" s="22">
        <f>IF($C1077="","",IFERROR(INDEX(ENVIOS!$C$4:$C$3003,MATCH($C1077,ENVIOS!$A$4:$A$3003,0)),"—"))</f>
        <v/>
      </c>
      <c r="F1077" s="22">
        <f>IF($C1077="","",IFERROR(INDEX(ENVIOS!$D$4:$D$3003,MATCH($C1077,ENVIOS!$A$4:$A$3003,0)),"—"))</f>
        <v/>
      </c>
      <c r="G1077" s="22">
        <f>IF($C1077="","",IFERROR(INDEX(ENVIOS!$E$4:$E$3003,MATCH($C1077,ENVIOS!$A$4:$A$3003,0)),"—"))</f>
        <v/>
      </c>
      <c r="H1077" s="22">
        <f>IF($C1077="","",IFERROR(INDEX(ENVIOS!$F$4:$F$3003,MATCH($C1077,ENVIOS!$A$4:$A$3003,0)),"—"))</f>
        <v/>
      </c>
      <c r="I1077" s="27">
        <f>IF($C1077="","",IFERROR(INDEX(ENVIOS!$G$4:$G$3003,MATCH($C1077,ENVIOS!$A$4:$A$3003,0)),"—"))</f>
        <v/>
      </c>
      <c r="J1077" s="48">
        <f>IF($C1077="","",IFERROR(INDEX(ENVIOS!$B$4:$B$3003,MATCH($C1077,ENVIOS!$A$4:$A$3003,0)),""))</f>
        <v/>
      </c>
      <c r="K1077" s="49" t="n"/>
      <c r="L1077" s="27">
        <f>IF($K1077="","",IFERROR(INDEX(CONFIG!$B$4:$B$43,MATCH($K1077,CONFIG!$A$4:$A$43,0)),"Media"))</f>
        <v/>
      </c>
      <c r="M1077" s="27">
        <f>IF($K1077="","",IFERROR(INDEX(CONFIG!$D$4:$D$43,MATCH($K1077,CONFIG!$A$4:$A$43,0)),"NO"))</f>
        <v/>
      </c>
      <c r="N1077" s="49" t="n"/>
      <c r="O1077" s="27">
        <f>IF($N1077="","",IFERROR(INDEX(CONFIG!$G$4:$G$43,MATCH($N1077,CONFIG!$F$4:$F$43,0)),"Por definir"))</f>
        <v/>
      </c>
      <c r="P1077" s="27">
        <f>IF($N1077="","",IFERROR(INDEX(CONFIG!$H$4:$H$43,MATCH($N1077,CONFIG!$F$4:$F$43,0)),"Por definir"))</f>
        <v/>
      </c>
      <c r="Q1077" s="50" t="n"/>
      <c r="R1077" s="51" t="n"/>
      <c r="S1077" s="49" t="n"/>
      <c r="T1077" s="49" t="n"/>
      <c r="U1077" s="48">
        <f>IF(OR($B1077="",$K1077=""),"",WORKDAY($B1077,IFERROR(INDEX(CONFIG!$C$4:$C$43,MATCH($K1077,CONFIG!$A$4:$A$43,0)),3)))</f>
        <v/>
      </c>
      <c r="V1077" s="46" t="n"/>
      <c r="W1077" s="23">
        <f>IF($B1077="","",IF($V1077&lt;&gt;"",$V1077-$B1077,TODAY()-$B1077))</f>
        <v/>
      </c>
      <c r="X1077" s="27">
        <f>IF($C1077="","",IF(IFERROR(INDEX(CONFIG!$K$4:$K$43,MATCH($S1077,CONFIG!$J$4:$J$43,0)),"NO")="SÍ",IF(OR($V1077="",$U1077=""),"Resuelta",IF($V1077&gt;$U1077,"Resuelta tarde","Resuelta a tiempo")),IF($U1077="","Sin clasificar",IF(TODAY()&gt;$U1077,"Vencida",IF(TODAY()&gt;=$U1077-1,"Por vencer","En plazo")))))</f>
        <v/>
      </c>
      <c r="Y1077" s="49" t="n"/>
      <c r="Z1077" s="49" t="n"/>
    </row>
    <row r="1078" ht="16" customHeight="1">
      <c r="A1078" s="27">
        <f>IF($C1078="","","N-"&amp;TEXT(ROW()-3,"0000"))</f>
        <v/>
      </c>
      <c r="B1078" s="46" t="n"/>
      <c r="C1078" s="47" t="n"/>
      <c r="D1078" s="27">
        <f>IF($C1078="","",IF(COUNTIFS(ENVIOS!$A$4:$A$3003,$C1078)=0,"NO EXISTE",IF(COUNTIFS(ENVIOS!$A$4:$A$3003,$C1078)&gt;1,"DUPLICADA","OK")))</f>
        <v/>
      </c>
      <c r="E1078" s="22">
        <f>IF($C1078="","",IFERROR(INDEX(ENVIOS!$C$4:$C$3003,MATCH($C1078,ENVIOS!$A$4:$A$3003,0)),"—"))</f>
        <v/>
      </c>
      <c r="F1078" s="22">
        <f>IF($C1078="","",IFERROR(INDEX(ENVIOS!$D$4:$D$3003,MATCH($C1078,ENVIOS!$A$4:$A$3003,0)),"—"))</f>
        <v/>
      </c>
      <c r="G1078" s="22">
        <f>IF($C1078="","",IFERROR(INDEX(ENVIOS!$E$4:$E$3003,MATCH($C1078,ENVIOS!$A$4:$A$3003,0)),"—"))</f>
        <v/>
      </c>
      <c r="H1078" s="22">
        <f>IF($C1078="","",IFERROR(INDEX(ENVIOS!$F$4:$F$3003,MATCH($C1078,ENVIOS!$A$4:$A$3003,0)),"—"))</f>
        <v/>
      </c>
      <c r="I1078" s="27">
        <f>IF($C1078="","",IFERROR(INDEX(ENVIOS!$G$4:$G$3003,MATCH($C1078,ENVIOS!$A$4:$A$3003,0)),"—"))</f>
        <v/>
      </c>
      <c r="J1078" s="48">
        <f>IF($C1078="","",IFERROR(INDEX(ENVIOS!$B$4:$B$3003,MATCH($C1078,ENVIOS!$A$4:$A$3003,0)),""))</f>
        <v/>
      </c>
      <c r="K1078" s="49" t="n"/>
      <c r="L1078" s="27">
        <f>IF($K1078="","",IFERROR(INDEX(CONFIG!$B$4:$B$43,MATCH($K1078,CONFIG!$A$4:$A$43,0)),"Media"))</f>
        <v/>
      </c>
      <c r="M1078" s="27">
        <f>IF($K1078="","",IFERROR(INDEX(CONFIG!$D$4:$D$43,MATCH($K1078,CONFIG!$A$4:$A$43,0)),"NO"))</f>
        <v/>
      </c>
      <c r="N1078" s="49" t="n"/>
      <c r="O1078" s="27">
        <f>IF($N1078="","",IFERROR(INDEX(CONFIG!$G$4:$G$43,MATCH($N1078,CONFIG!$F$4:$F$43,0)),"Por definir"))</f>
        <v/>
      </c>
      <c r="P1078" s="27">
        <f>IF($N1078="","",IFERROR(INDEX(CONFIG!$H$4:$H$43,MATCH($N1078,CONFIG!$F$4:$F$43,0)),"Por definir"))</f>
        <v/>
      </c>
      <c r="Q1078" s="50" t="n"/>
      <c r="R1078" s="51" t="n"/>
      <c r="S1078" s="49" t="n"/>
      <c r="T1078" s="49" t="n"/>
      <c r="U1078" s="48">
        <f>IF(OR($B1078="",$K1078=""),"",WORKDAY($B1078,IFERROR(INDEX(CONFIG!$C$4:$C$43,MATCH($K1078,CONFIG!$A$4:$A$43,0)),3)))</f>
        <v/>
      </c>
      <c r="V1078" s="46" t="n"/>
      <c r="W1078" s="23">
        <f>IF($B1078="","",IF($V1078&lt;&gt;"",$V1078-$B1078,TODAY()-$B1078))</f>
        <v/>
      </c>
      <c r="X1078" s="27">
        <f>IF($C1078="","",IF(IFERROR(INDEX(CONFIG!$K$4:$K$43,MATCH($S1078,CONFIG!$J$4:$J$43,0)),"NO")="SÍ",IF(OR($V1078="",$U1078=""),"Resuelta",IF($V1078&gt;$U1078,"Resuelta tarde","Resuelta a tiempo")),IF($U1078="","Sin clasificar",IF(TODAY()&gt;$U1078,"Vencida",IF(TODAY()&gt;=$U1078-1,"Por vencer","En plazo")))))</f>
        <v/>
      </c>
      <c r="Y1078" s="49" t="n"/>
      <c r="Z1078" s="49" t="n"/>
    </row>
    <row r="1079" ht="16" customHeight="1">
      <c r="A1079" s="27">
        <f>IF($C1079="","","N-"&amp;TEXT(ROW()-3,"0000"))</f>
        <v/>
      </c>
      <c r="B1079" s="46" t="n"/>
      <c r="C1079" s="47" t="n"/>
      <c r="D1079" s="27">
        <f>IF($C1079="","",IF(COUNTIFS(ENVIOS!$A$4:$A$3003,$C1079)=0,"NO EXISTE",IF(COUNTIFS(ENVIOS!$A$4:$A$3003,$C1079)&gt;1,"DUPLICADA","OK")))</f>
        <v/>
      </c>
      <c r="E1079" s="22">
        <f>IF($C1079="","",IFERROR(INDEX(ENVIOS!$C$4:$C$3003,MATCH($C1079,ENVIOS!$A$4:$A$3003,0)),"—"))</f>
        <v/>
      </c>
      <c r="F1079" s="22">
        <f>IF($C1079="","",IFERROR(INDEX(ENVIOS!$D$4:$D$3003,MATCH($C1079,ENVIOS!$A$4:$A$3003,0)),"—"))</f>
        <v/>
      </c>
      <c r="G1079" s="22">
        <f>IF($C1079="","",IFERROR(INDEX(ENVIOS!$E$4:$E$3003,MATCH($C1079,ENVIOS!$A$4:$A$3003,0)),"—"))</f>
        <v/>
      </c>
      <c r="H1079" s="22">
        <f>IF($C1079="","",IFERROR(INDEX(ENVIOS!$F$4:$F$3003,MATCH($C1079,ENVIOS!$A$4:$A$3003,0)),"—"))</f>
        <v/>
      </c>
      <c r="I1079" s="27">
        <f>IF($C1079="","",IFERROR(INDEX(ENVIOS!$G$4:$G$3003,MATCH($C1079,ENVIOS!$A$4:$A$3003,0)),"—"))</f>
        <v/>
      </c>
      <c r="J1079" s="48">
        <f>IF($C1079="","",IFERROR(INDEX(ENVIOS!$B$4:$B$3003,MATCH($C1079,ENVIOS!$A$4:$A$3003,0)),""))</f>
        <v/>
      </c>
      <c r="K1079" s="49" t="n"/>
      <c r="L1079" s="27">
        <f>IF($K1079="","",IFERROR(INDEX(CONFIG!$B$4:$B$43,MATCH($K1079,CONFIG!$A$4:$A$43,0)),"Media"))</f>
        <v/>
      </c>
      <c r="M1079" s="27">
        <f>IF($K1079="","",IFERROR(INDEX(CONFIG!$D$4:$D$43,MATCH($K1079,CONFIG!$A$4:$A$43,0)),"NO"))</f>
        <v/>
      </c>
      <c r="N1079" s="49" t="n"/>
      <c r="O1079" s="27">
        <f>IF($N1079="","",IFERROR(INDEX(CONFIG!$G$4:$G$43,MATCH($N1079,CONFIG!$F$4:$F$43,0)),"Por definir"))</f>
        <v/>
      </c>
      <c r="P1079" s="27">
        <f>IF($N1079="","",IFERROR(INDEX(CONFIG!$H$4:$H$43,MATCH($N1079,CONFIG!$F$4:$F$43,0)),"Por definir"))</f>
        <v/>
      </c>
      <c r="Q1079" s="50" t="n"/>
      <c r="R1079" s="51" t="n"/>
      <c r="S1079" s="49" t="n"/>
      <c r="T1079" s="49" t="n"/>
      <c r="U1079" s="48">
        <f>IF(OR($B1079="",$K1079=""),"",WORKDAY($B1079,IFERROR(INDEX(CONFIG!$C$4:$C$43,MATCH($K1079,CONFIG!$A$4:$A$43,0)),3)))</f>
        <v/>
      </c>
      <c r="V1079" s="46" t="n"/>
      <c r="W1079" s="23">
        <f>IF($B1079="","",IF($V1079&lt;&gt;"",$V1079-$B1079,TODAY()-$B1079))</f>
        <v/>
      </c>
      <c r="X1079" s="27">
        <f>IF($C1079="","",IF(IFERROR(INDEX(CONFIG!$K$4:$K$43,MATCH($S1079,CONFIG!$J$4:$J$43,0)),"NO")="SÍ",IF(OR($V1079="",$U1079=""),"Resuelta",IF($V1079&gt;$U1079,"Resuelta tarde","Resuelta a tiempo")),IF($U1079="","Sin clasificar",IF(TODAY()&gt;$U1079,"Vencida",IF(TODAY()&gt;=$U1079-1,"Por vencer","En plazo")))))</f>
        <v/>
      </c>
      <c r="Y1079" s="49" t="n"/>
      <c r="Z1079" s="49" t="n"/>
    </row>
    <row r="1080" ht="16" customHeight="1">
      <c r="A1080" s="27">
        <f>IF($C1080="","","N-"&amp;TEXT(ROW()-3,"0000"))</f>
        <v/>
      </c>
      <c r="B1080" s="46" t="n"/>
      <c r="C1080" s="47" t="n"/>
      <c r="D1080" s="27">
        <f>IF($C1080="","",IF(COUNTIFS(ENVIOS!$A$4:$A$3003,$C1080)=0,"NO EXISTE",IF(COUNTIFS(ENVIOS!$A$4:$A$3003,$C1080)&gt;1,"DUPLICADA","OK")))</f>
        <v/>
      </c>
      <c r="E1080" s="22">
        <f>IF($C1080="","",IFERROR(INDEX(ENVIOS!$C$4:$C$3003,MATCH($C1080,ENVIOS!$A$4:$A$3003,0)),"—"))</f>
        <v/>
      </c>
      <c r="F1080" s="22">
        <f>IF($C1080="","",IFERROR(INDEX(ENVIOS!$D$4:$D$3003,MATCH($C1080,ENVIOS!$A$4:$A$3003,0)),"—"))</f>
        <v/>
      </c>
      <c r="G1080" s="22">
        <f>IF($C1080="","",IFERROR(INDEX(ENVIOS!$E$4:$E$3003,MATCH($C1080,ENVIOS!$A$4:$A$3003,0)),"—"))</f>
        <v/>
      </c>
      <c r="H1080" s="22">
        <f>IF($C1080="","",IFERROR(INDEX(ENVIOS!$F$4:$F$3003,MATCH($C1080,ENVIOS!$A$4:$A$3003,0)),"—"))</f>
        <v/>
      </c>
      <c r="I1080" s="27">
        <f>IF($C1080="","",IFERROR(INDEX(ENVIOS!$G$4:$G$3003,MATCH($C1080,ENVIOS!$A$4:$A$3003,0)),"—"))</f>
        <v/>
      </c>
      <c r="J1080" s="48">
        <f>IF($C1080="","",IFERROR(INDEX(ENVIOS!$B$4:$B$3003,MATCH($C1080,ENVIOS!$A$4:$A$3003,0)),""))</f>
        <v/>
      </c>
      <c r="K1080" s="49" t="n"/>
      <c r="L1080" s="27">
        <f>IF($K1080="","",IFERROR(INDEX(CONFIG!$B$4:$B$43,MATCH($K1080,CONFIG!$A$4:$A$43,0)),"Media"))</f>
        <v/>
      </c>
      <c r="M1080" s="27">
        <f>IF($K1080="","",IFERROR(INDEX(CONFIG!$D$4:$D$43,MATCH($K1080,CONFIG!$A$4:$A$43,0)),"NO"))</f>
        <v/>
      </c>
      <c r="N1080" s="49" t="n"/>
      <c r="O1080" s="27">
        <f>IF($N1080="","",IFERROR(INDEX(CONFIG!$G$4:$G$43,MATCH($N1080,CONFIG!$F$4:$F$43,0)),"Por definir"))</f>
        <v/>
      </c>
      <c r="P1080" s="27">
        <f>IF($N1080="","",IFERROR(INDEX(CONFIG!$H$4:$H$43,MATCH($N1080,CONFIG!$F$4:$F$43,0)),"Por definir"))</f>
        <v/>
      </c>
      <c r="Q1080" s="50" t="n"/>
      <c r="R1080" s="51" t="n"/>
      <c r="S1080" s="49" t="n"/>
      <c r="T1080" s="49" t="n"/>
      <c r="U1080" s="48">
        <f>IF(OR($B1080="",$K1080=""),"",WORKDAY($B1080,IFERROR(INDEX(CONFIG!$C$4:$C$43,MATCH($K1080,CONFIG!$A$4:$A$43,0)),3)))</f>
        <v/>
      </c>
      <c r="V1080" s="46" t="n"/>
      <c r="W1080" s="23">
        <f>IF($B1080="","",IF($V1080&lt;&gt;"",$V1080-$B1080,TODAY()-$B1080))</f>
        <v/>
      </c>
      <c r="X1080" s="27">
        <f>IF($C1080="","",IF(IFERROR(INDEX(CONFIG!$K$4:$K$43,MATCH($S1080,CONFIG!$J$4:$J$43,0)),"NO")="SÍ",IF(OR($V1080="",$U1080=""),"Resuelta",IF($V1080&gt;$U1080,"Resuelta tarde","Resuelta a tiempo")),IF($U1080="","Sin clasificar",IF(TODAY()&gt;$U1080,"Vencida",IF(TODAY()&gt;=$U1080-1,"Por vencer","En plazo")))))</f>
        <v/>
      </c>
      <c r="Y1080" s="49" t="n"/>
      <c r="Z1080" s="49" t="n"/>
    </row>
    <row r="1081" ht="16" customHeight="1">
      <c r="A1081" s="27">
        <f>IF($C1081="","","N-"&amp;TEXT(ROW()-3,"0000"))</f>
        <v/>
      </c>
      <c r="B1081" s="46" t="n"/>
      <c r="C1081" s="47" t="n"/>
      <c r="D1081" s="27">
        <f>IF($C1081="","",IF(COUNTIFS(ENVIOS!$A$4:$A$3003,$C1081)=0,"NO EXISTE",IF(COUNTIFS(ENVIOS!$A$4:$A$3003,$C1081)&gt;1,"DUPLICADA","OK")))</f>
        <v/>
      </c>
      <c r="E1081" s="22">
        <f>IF($C1081="","",IFERROR(INDEX(ENVIOS!$C$4:$C$3003,MATCH($C1081,ENVIOS!$A$4:$A$3003,0)),"—"))</f>
        <v/>
      </c>
      <c r="F1081" s="22">
        <f>IF($C1081="","",IFERROR(INDEX(ENVIOS!$D$4:$D$3003,MATCH($C1081,ENVIOS!$A$4:$A$3003,0)),"—"))</f>
        <v/>
      </c>
      <c r="G1081" s="22">
        <f>IF($C1081="","",IFERROR(INDEX(ENVIOS!$E$4:$E$3003,MATCH($C1081,ENVIOS!$A$4:$A$3003,0)),"—"))</f>
        <v/>
      </c>
      <c r="H1081" s="22">
        <f>IF($C1081="","",IFERROR(INDEX(ENVIOS!$F$4:$F$3003,MATCH($C1081,ENVIOS!$A$4:$A$3003,0)),"—"))</f>
        <v/>
      </c>
      <c r="I1081" s="27">
        <f>IF($C1081="","",IFERROR(INDEX(ENVIOS!$G$4:$G$3003,MATCH($C1081,ENVIOS!$A$4:$A$3003,0)),"—"))</f>
        <v/>
      </c>
      <c r="J1081" s="48">
        <f>IF($C1081="","",IFERROR(INDEX(ENVIOS!$B$4:$B$3003,MATCH($C1081,ENVIOS!$A$4:$A$3003,0)),""))</f>
        <v/>
      </c>
      <c r="K1081" s="49" t="n"/>
      <c r="L1081" s="27">
        <f>IF($K1081="","",IFERROR(INDEX(CONFIG!$B$4:$B$43,MATCH($K1081,CONFIG!$A$4:$A$43,0)),"Media"))</f>
        <v/>
      </c>
      <c r="M1081" s="27">
        <f>IF($K1081="","",IFERROR(INDEX(CONFIG!$D$4:$D$43,MATCH($K1081,CONFIG!$A$4:$A$43,0)),"NO"))</f>
        <v/>
      </c>
      <c r="N1081" s="49" t="n"/>
      <c r="O1081" s="27">
        <f>IF($N1081="","",IFERROR(INDEX(CONFIG!$G$4:$G$43,MATCH($N1081,CONFIG!$F$4:$F$43,0)),"Por definir"))</f>
        <v/>
      </c>
      <c r="P1081" s="27">
        <f>IF($N1081="","",IFERROR(INDEX(CONFIG!$H$4:$H$43,MATCH($N1081,CONFIG!$F$4:$F$43,0)),"Por definir"))</f>
        <v/>
      </c>
      <c r="Q1081" s="50" t="n"/>
      <c r="R1081" s="51" t="n"/>
      <c r="S1081" s="49" t="n"/>
      <c r="T1081" s="49" t="n"/>
      <c r="U1081" s="48">
        <f>IF(OR($B1081="",$K1081=""),"",WORKDAY($B1081,IFERROR(INDEX(CONFIG!$C$4:$C$43,MATCH($K1081,CONFIG!$A$4:$A$43,0)),3)))</f>
        <v/>
      </c>
      <c r="V1081" s="46" t="n"/>
      <c r="W1081" s="23">
        <f>IF($B1081="","",IF($V1081&lt;&gt;"",$V1081-$B1081,TODAY()-$B1081))</f>
        <v/>
      </c>
      <c r="X1081" s="27">
        <f>IF($C1081="","",IF(IFERROR(INDEX(CONFIG!$K$4:$K$43,MATCH($S1081,CONFIG!$J$4:$J$43,0)),"NO")="SÍ",IF(OR($V1081="",$U1081=""),"Resuelta",IF($V1081&gt;$U1081,"Resuelta tarde","Resuelta a tiempo")),IF($U1081="","Sin clasificar",IF(TODAY()&gt;$U1081,"Vencida",IF(TODAY()&gt;=$U1081-1,"Por vencer","En plazo")))))</f>
        <v/>
      </c>
      <c r="Y1081" s="49" t="n"/>
      <c r="Z1081" s="49" t="n"/>
    </row>
    <row r="1082" ht="16" customHeight="1">
      <c r="A1082" s="27">
        <f>IF($C1082="","","N-"&amp;TEXT(ROW()-3,"0000"))</f>
        <v/>
      </c>
      <c r="B1082" s="46" t="n"/>
      <c r="C1082" s="47" t="n"/>
      <c r="D1082" s="27">
        <f>IF($C1082="","",IF(COUNTIFS(ENVIOS!$A$4:$A$3003,$C1082)=0,"NO EXISTE",IF(COUNTIFS(ENVIOS!$A$4:$A$3003,$C1082)&gt;1,"DUPLICADA","OK")))</f>
        <v/>
      </c>
      <c r="E1082" s="22">
        <f>IF($C1082="","",IFERROR(INDEX(ENVIOS!$C$4:$C$3003,MATCH($C1082,ENVIOS!$A$4:$A$3003,0)),"—"))</f>
        <v/>
      </c>
      <c r="F1082" s="22">
        <f>IF($C1082="","",IFERROR(INDEX(ENVIOS!$D$4:$D$3003,MATCH($C1082,ENVIOS!$A$4:$A$3003,0)),"—"))</f>
        <v/>
      </c>
      <c r="G1082" s="22">
        <f>IF($C1082="","",IFERROR(INDEX(ENVIOS!$E$4:$E$3003,MATCH($C1082,ENVIOS!$A$4:$A$3003,0)),"—"))</f>
        <v/>
      </c>
      <c r="H1082" s="22">
        <f>IF($C1082="","",IFERROR(INDEX(ENVIOS!$F$4:$F$3003,MATCH($C1082,ENVIOS!$A$4:$A$3003,0)),"—"))</f>
        <v/>
      </c>
      <c r="I1082" s="27">
        <f>IF($C1082="","",IFERROR(INDEX(ENVIOS!$G$4:$G$3003,MATCH($C1082,ENVIOS!$A$4:$A$3003,0)),"—"))</f>
        <v/>
      </c>
      <c r="J1082" s="48">
        <f>IF($C1082="","",IFERROR(INDEX(ENVIOS!$B$4:$B$3003,MATCH($C1082,ENVIOS!$A$4:$A$3003,0)),""))</f>
        <v/>
      </c>
      <c r="K1082" s="49" t="n"/>
      <c r="L1082" s="27">
        <f>IF($K1082="","",IFERROR(INDEX(CONFIG!$B$4:$B$43,MATCH($K1082,CONFIG!$A$4:$A$43,0)),"Media"))</f>
        <v/>
      </c>
      <c r="M1082" s="27">
        <f>IF($K1082="","",IFERROR(INDEX(CONFIG!$D$4:$D$43,MATCH($K1082,CONFIG!$A$4:$A$43,0)),"NO"))</f>
        <v/>
      </c>
      <c r="N1082" s="49" t="n"/>
      <c r="O1082" s="27">
        <f>IF($N1082="","",IFERROR(INDEX(CONFIG!$G$4:$G$43,MATCH($N1082,CONFIG!$F$4:$F$43,0)),"Por definir"))</f>
        <v/>
      </c>
      <c r="P1082" s="27">
        <f>IF($N1082="","",IFERROR(INDEX(CONFIG!$H$4:$H$43,MATCH($N1082,CONFIG!$F$4:$F$43,0)),"Por definir"))</f>
        <v/>
      </c>
      <c r="Q1082" s="50" t="n"/>
      <c r="R1082" s="51" t="n"/>
      <c r="S1082" s="49" t="n"/>
      <c r="T1082" s="49" t="n"/>
      <c r="U1082" s="48">
        <f>IF(OR($B1082="",$K1082=""),"",WORKDAY($B1082,IFERROR(INDEX(CONFIG!$C$4:$C$43,MATCH($K1082,CONFIG!$A$4:$A$43,0)),3)))</f>
        <v/>
      </c>
      <c r="V1082" s="46" t="n"/>
      <c r="W1082" s="23">
        <f>IF($B1082="","",IF($V1082&lt;&gt;"",$V1082-$B1082,TODAY()-$B1082))</f>
        <v/>
      </c>
      <c r="X1082" s="27">
        <f>IF($C1082="","",IF(IFERROR(INDEX(CONFIG!$K$4:$K$43,MATCH($S1082,CONFIG!$J$4:$J$43,0)),"NO")="SÍ",IF(OR($V1082="",$U1082=""),"Resuelta",IF($V1082&gt;$U1082,"Resuelta tarde","Resuelta a tiempo")),IF($U1082="","Sin clasificar",IF(TODAY()&gt;$U1082,"Vencida",IF(TODAY()&gt;=$U1082-1,"Por vencer","En plazo")))))</f>
        <v/>
      </c>
      <c r="Y1082" s="49" t="n"/>
      <c r="Z1082" s="49" t="n"/>
    </row>
    <row r="1083" ht="16" customHeight="1">
      <c r="A1083" s="27">
        <f>IF($C1083="","","N-"&amp;TEXT(ROW()-3,"0000"))</f>
        <v/>
      </c>
      <c r="B1083" s="46" t="n"/>
      <c r="C1083" s="47" t="n"/>
      <c r="D1083" s="27">
        <f>IF($C1083="","",IF(COUNTIFS(ENVIOS!$A$4:$A$3003,$C1083)=0,"NO EXISTE",IF(COUNTIFS(ENVIOS!$A$4:$A$3003,$C1083)&gt;1,"DUPLICADA","OK")))</f>
        <v/>
      </c>
      <c r="E1083" s="22">
        <f>IF($C1083="","",IFERROR(INDEX(ENVIOS!$C$4:$C$3003,MATCH($C1083,ENVIOS!$A$4:$A$3003,0)),"—"))</f>
        <v/>
      </c>
      <c r="F1083" s="22">
        <f>IF($C1083="","",IFERROR(INDEX(ENVIOS!$D$4:$D$3003,MATCH($C1083,ENVIOS!$A$4:$A$3003,0)),"—"))</f>
        <v/>
      </c>
      <c r="G1083" s="22">
        <f>IF($C1083="","",IFERROR(INDEX(ENVIOS!$E$4:$E$3003,MATCH($C1083,ENVIOS!$A$4:$A$3003,0)),"—"))</f>
        <v/>
      </c>
      <c r="H1083" s="22">
        <f>IF($C1083="","",IFERROR(INDEX(ENVIOS!$F$4:$F$3003,MATCH($C1083,ENVIOS!$A$4:$A$3003,0)),"—"))</f>
        <v/>
      </c>
      <c r="I1083" s="27">
        <f>IF($C1083="","",IFERROR(INDEX(ENVIOS!$G$4:$G$3003,MATCH($C1083,ENVIOS!$A$4:$A$3003,0)),"—"))</f>
        <v/>
      </c>
      <c r="J1083" s="48">
        <f>IF($C1083="","",IFERROR(INDEX(ENVIOS!$B$4:$B$3003,MATCH($C1083,ENVIOS!$A$4:$A$3003,0)),""))</f>
        <v/>
      </c>
      <c r="K1083" s="49" t="n"/>
      <c r="L1083" s="27">
        <f>IF($K1083="","",IFERROR(INDEX(CONFIG!$B$4:$B$43,MATCH($K1083,CONFIG!$A$4:$A$43,0)),"Media"))</f>
        <v/>
      </c>
      <c r="M1083" s="27">
        <f>IF($K1083="","",IFERROR(INDEX(CONFIG!$D$4:$D$43,MATCH($K1083,CONFIG!$A$4:$A$43,0)),"NO"))</f>
        <v/>
      </c>
      <c r="N1083" s="49" t="n"/>
      <c r="O1083" s="27">
        <f>IF($N1083="","",IFERROR(INDEX(CONFIG!$G$4:$G$43,MATCH($N1083,CONFIG!$F$4:$F$43,0)),"Por definir"))</f>
        <v/>
      </c>
      <c r="P1083" s="27">
        <f>IF($N1083="","",IFERROR(INDEX(CONFIG!$H$4:$H$43,MATCH($N1083,CONFIG!$F$4:$F$43,0)),"Por definir"))</f>
        <v/>
      </c>
      <c r="Q1083" s="50" t="n"/>
      <c r="R1083" s="51" t="n"/>
      <c r="S1083" s="49" t="n"/>
      <c r="T1083" s="49" t="n"/>
      <c r="U1083" s="48">
        <f>IF(OR($B1083="",$K1083=""),"",WORKDAY($B1083,IFERROR(INDEX(CONFIG!$C$4:$C$43,MATCH($K1083,CONFIG!$A$4:$A$43,0)),3)))</f>
        <v/>
      </c>
      <c r="V1083" s="46" t="n"/>
      <c r="W1083" s="23">
        <f>IF($B1083="","",IF($V1083&lt;&gt;"",$V1083-$B1083,TODAY()-$B1083))</f>
        <v/>
      </c>
      <c r="X1083" s="27">
        <f>IF($C1083="","",IF(IFERROR(INDEX(CONFIG!$K$4:$K$43,MATCH($S1083,CONFIG!$J$4:$J$43,0)),"NO")="SÍ",IF(OR($V1083="",$U1083=""),"Resuelta",IF($V1083&gt;$U1083,"Resuelta tarde","Resuelta a tiempo")),IF($U1083="","Sin clasificar",IF(TODAY()&gt;$U1083,"Vencida",IF(TODAY()&gt;=$U1083-1,"Por vencer","En plazo")))))</f>
        <v/>
      </c>
      <c r="Y1083" s="49" t="n"/>
      <c r="Z1083" s="49" t="n"/>
    </row>
    <row r="1084" ht="16" customHeight="1">
      <c r="A1084" s="27">
        <f>IF($C1084="","","N-"&amp;TEXT(ROW()-3,"0000"))</f>
        <v/>
      </c>
      <c r="B1084" s="46" t="n"/>
      <c r="C1084" s="47" t="n"/>
      <c r="D1084" s="27">
        <f>IF($C1084="","",IF(COUNTIFS(ENVIOS!$A$4:$A$3003,$C1084)=0,"NO EXISTE",IF(COUNTIFS(ENVIOS!$A$4:$A$3003,$C1084)&gt;1,"DUPLICADA","OK")))</f>
        <v/>
      </c>
      <c r="E1084" s="22">
        <f>IF($C1084="","",IFERROR(INDEX(ENVIOS!$C$4:$C$3003,MATCH($C1084,ENVIOS!$A$4:$A$3003,0)),"—"))</f>
        <v/>
      </c>
      <c r="F1084" s="22">
        <f>IF($C1084="","",IFERROR(INDEX(ENVIOS!$D$4:$D$3003,MATCH($C1084,ENVIOS!$A$4:$A$3003,0)),"—"))</f>
        <v/>
      </c>
      <c r="G1084" s="22">
        <f>IF($C1084="","",IFERROR(INDEX(ENVIOS!$E$4:$E$3003,MATCH($C1084,ENVIOS!$A$4:$A$3003,0)),"—"))</f>
        <v/>
      </c>
      <c r="H1084" s="22">
        <f>IF($C1084="","",IFERROR(INDEX(ENVIOS!$F$4:$F$3003,MATCH($C1084,ENVIOS!$A$4:$A$3003,0)),"—"))</f>
        <v/>
      </c>
      <c r="I1084" s="27">
        <f>IF($C1084="","",IFERROR(INDEX(ENVIOS!$G$4:$G$3003,MATCH($C1084,ENVIOS!$A$4:$A$3003,0)),"—"))</f>
        <v/>
      </c>
      <c r="J1084" s="48">
        <f>IF($C1084="","",IFERROR(INDEX(ENVIOS!$B$4:$B$3003,MATCH($C1084,ENVIOS!$A$4:$A$3003,0)),""))</f>
        <v/>
      </c>
      <c r="K1084" s="49" t="n"/>
      <c r="L1084" s="27">
        <f>IF($K1084="","",IFERROR(INDEX(CONFIG!$B$4:$B$43,MATCH($K1084,CONFIG!$A$4:$A$43,0)),"Media"))</f>
        <v/>
      </c>
      <c r="M1084" s="27">
        <f>IF($K1084="","",IFERROR(INDEX(CONFIG!$D$4:$D$43,MATCH($K1084,CONFIG!$A$4:$A$43,0)),"NO"))</f>
        <v/>
      </c>
      <c r="N1084" s="49" t="n"/>
      <c r="O1084" s="27">
        <f>IF($N1084="","",IFERROR(INDEX(CONFIG!$G$4:$G$43,MATCH($N1084,CONFIG!$F$4:$F$43,0)),"Por definir"))</f>
        <v/>
      </c>
      <c r="P1084" s="27">
        <f>IF($N1084="","",IFERROR(INDEX(CONFIG!$H$4:$H$43,MATCH($N1084,CONFIG!$F$4:$F$43,0)),"Por definir"))</f>
        <v/>
      </c>
      <c r="Q1084" s="50" t="n"/>
      <c r="R1084" s="51" t="n"/>
      <c r="S1084" s="49" t="n"/>
      <c r="T1084" s="49" t="n"/>
      <c r="U1084" s="48">
        <f>IF(OR($B1084="",$K1084=""),"",WORKDAY($B1084,IFERROR(INDEX(CONFIG!$C$4:$C$43,MATCH($K1084,CONFIG!$A$4:$A$43,0)),3)))</f>
        <v/>
      </c>
      <c r="V1084" s="46" t="n"/>
      <c r="W1084" s="23">
        <f>IF($B1084="","",IF($V1084&lt;&gt;"",$V1084-$B1084,TODAY()-$B1084))</f>
        <v/>
      </c>
      <c r="X1084" s="27">
        <f>IF($C1084="","",IF(IFERROR(INDEX(CONFIG!$K$4:$K$43,MATCH($S1084,CONFIG!$J$4:$J$43,0)),"NO")="SÍ",IF(OR($V1084="",$U1084=""),"Resuelta",IF($V1084&gt;$U1084,"Resuelta tarde","Resuelta a tiempo")),IF($U1084="","Sin clasificar",IF(TODAY()&gt;$U1084,"Vencida",IF(TODAY()&gt;=$U1084-1,"Por vencer","En plazo")))))</f>
        <v/>
      </c>
      <c r="Y1084" s="49" t="n"/>
      <c r="Z1084" s="49" t="n"/>
    </row>
    <row r="1085" ht="16" customHeight="1">
      <c r="A1085" s="27">
        <f>IF($C1085="","","N-"&amp;TEXT(ROW()-3,"0000"))</f>
        <v/>
      </c>
      <c r="B1085" s="46" t="n"/>
      <c r="C1085" s="47" t="n"/>
      <c r="D1085" s="27">
        <f>IF($C1085="","",IF(COUNTIFS(ENVIOS!$A$4:$A$3003,$C1085)=0,"NO EXISTE",IF(COUNTIFS(ENVIOS!$A$4:$A$3003,$C1085)&gt;1,"DUPLICADA","OK")))</f>
        <v/>
      </c>
      <c r="E1085" s="22">
        <f>IF($C1085="","",IFERROR(INDEX(ENVIOS!$C$4:$C$3003,MATCH($C1085,ENVIOS!$A$4:$A$3003,0)),"—"))</f>
        <v/>
      </c>
      <c r="F1085" s="22">
        <f>IF($C1085="","",IFERROR(INDEX(ENVIOS!$D$4:$D$3003,MATCH($C1085,ENVIOS!$A$4:$A$3003,0)),"—"))</f>
        <v/>
      </c>
      <c r="G1085" s="22">
        <f>IF($C1085="","",IFERROR(INDEX(ENVIOS!$E$4:$E$3003,MATCH($C1085,ENVIOS!$A$4:$A$3003,0)),"—"))</f>
        <v/>
      </c>
      <c r="H1085" s="22">
        <f>IF($C1085="","",IFERROR(INDEX(ENVIOS!$F$4:$F$3003,MATCH($C1085,ENVIOS!$A$4:$A$3003,0)),"—"))</f>
        <v/>
      </c>
      <c r="I1085" s="27">
        <f>IF($C1085="","",IFERROR(INDEX(ENVIOS!$G$4:$G$3003,MATCH($C1085,ENVIOS!$A$4:$A$3003,0)),"—"))</f>
        <v/>
      </c>
      <c r="J1085" s="48">
        <f>IF($C1085="","",IFERROR(INDEX(ENVIOS!$B$4:$B$3003,MATCH($C1085,ENVIOS!$A$4:$A$3003,0)),""))</f>
        <v/>
      </c>
      <c r="K1085" s="49" t="n"/>
      <c r="L1085" s="27">
        <f>IF($K1085="","",IFERROR(INDEX(CONFIG!$B$4:$B$43,MATCH($K1085,CONFIG!$A$4:$A$43,0)),"Media"))</f>
        <v/>
      </c>
      <c r="M1085" s="27">
        <f>IF($K1085="","",IFERROR(INDEX(CONFIG!$D$4:$D$43,MATCH($K1085,CONFIG!$A$4:$A$43,0)),"NO"))</f>
        <v/>
      </c>
      <c r="N1085" s="49" t="n"/>
      <c r="O1085" s="27">
        <f>IF($N1085="","",IFERROR(INDEX(CONFIG!$G$4:$G$43,MATCH($N1085,CONFIG!$F$4:$F$43,0)),"Por definir"))</f>
        <v/>
      </c>
      <c r="P1085" s="27">
        <f>IF($N1085="","",IFERROR(INDEX(CONFIG!$H$4:$H$43,MATCH($N1085,CONFIG!$F$4:$F$43,0)),"Por definir"))</f>
        <v/>
      </c>
      <c r="Q1085" s="50" t="n"/>
      <c r="R1085" s="51" t="n"/>
      <c r="S1085" s="49" t="n"/>
      <c r="T1085" s="49" t="n"/>
      <c r="U1085" s="48">
        <f>IF(OR($B1085="",$K1085=""),"",WORKDAY($B1085,IFERROR(INDEX(CONFIG!$C$4:$C$43,MATCH($K1085,CONFIG!$A$4:$A$43,0)),3)))</f>
        <v/>
      </c>
      <c r="V1085" s="46" t="n"/>
      <c r="W1085" s="23">
        <f>IF($B1085="","",IF($V1085&lt;&gt;"",$V1085-$B1085,TODAY()-$B1085))</f>
        <v/>
      </c>
      <c r="X1085" s="27">
        <f>IF($C1085="","",IF(IFERROR(INDEX(CONFIG!$K$4:$K$43,MATCH($S1085,CONFIG!$J$4:$J$43,0)),"NO")="SÍ",IF(OR($V1085="",$U1085=""),"Resuelta",IF($V1085&gt;$U1085,"Resuelta tarde","Resuelta a tiempo")),IF($U1085="","Sin clasificar",IF(TODAY()&gt;$U1085,"Vencida",IF(TODAY()&gt;=$U1085-1,"Por vencer","En plazo")))))</f>
        <v/>
      </c>
      <c r="Y1085" s="49" t="n"/>
      <c r="Z1085" s="49" t="n"/>
    </row>
    <row r="1086" ht="16" customHeight="1">
      <c r="A1086" s="27">
        <f>IF($C1086="","","N-"&amp;TEXT(ROW()-3,"0000"))</f>
        <v/>
      </c>
      <c r="B1086" s="46" t="n"/>
      <c r="C1086" s="47" t="n"/>
      <c r="D1086" s="27">
        <f>IF($C1086="","",IF(COUNTIFS(ENVIOS!$A$4:$A$3003,$C1086)=0,"NO EXISTE",IF(COUNTIFS(ENVIOS!$A$4:$A$3003,$C1086)&gt;1,"DUPLICADA","OK")))</f>
        <v/>
      </c>
      <c r="E1086" s="22">
        <f>IF($C1086="","",IFERROR(INDEX(ENVIOS!$C$4:$C$3003,MATCH($C1086,ENVIOS!$A$4:$A$3003,0)),"—"))</f>
        <v/>
      </c>
      <c r="F1086" s="22">
        <f>IF($C1086="","",IFERROR(INDEX(ENVIOS!$D$4:$D$3003,MATCH($C1086,ENVIOS!$A$4:$A$3003,0)),"—"))</f>
        <v/>
      </c>
      <c r="G1086" s="22">
        <f>IF($C1086="","",IFERROR(INDEX(ENVIOS!$E$4:$E$3003,MATCH($C1086,ENVIOS!$A$4:$A$3003,0)),"—"))</f>
        <v/>
      </c>
      <c r="H1086" s="22">
        <f>IF($C1086="","",IFERROR(INDEX(ENVIOS!$F$4:$F$3003,MATCH($C1086,ENVIOS!$A$4:$A$3003,0)),"—"))</f>
        <v/>
      </c>
      <c r="I1086" s="27">
        <f>IF($C1086="","",IFERROR(INDEX(ENVIOS!$G$4:$G$3003,MATCH($C1086,ENVIOS!$A$4:$A$3003,0)),"—"))</f>
        <v/>
      </c>
      <c r="J1086" s="48">
        <f>IF($C1086="","",IFERROR(INDEX(ENVIOS!$B$4:$B$3003,MATCH($C1086,ENVIOS!$A$4:$A$3003,0)),""))</f>
        <v/>
      </c>
      <c r="K1086" s="49" t="n"/>
      <c r="L1086" s="27">
        <f>IF($K1086="","",IFERROR(INDEX(CONFIG!$B$4:$B$43,MATCH($K1086,CONFIG!$A$4:$A$43,0)),"Media"))</f>
        <v/>
      </c>
      <c r="M1086" s="27">
        <f>IF($K1086="","",IFERROR(INDEX(CONFIG!$D$4:$D$43,MATCH($K1086,CONFIG!$A$4:$A$43,0)),"NO"))</f>
        <v/>
      </c>
      <c r="N1086" s="49" t="n"/>
      <c r="O1086" s="27">
        <f>IF($N1086="","",IFERROR(INDEX(CONFIG!$G$4:$G$43,MATCH($N1086,CONFIG!$F$4:$F$43,0)),"Por definir"))</f>
        <v/>
      </c>
      <c r="P1086" s="27">
        <f>IF($N1086="","",IFERROR(INDEX(CONFIG!$H$4:$H$43,MATCH($N1086,CONFIG!$F$4:$F$43,0)),"Por definir"))</f>
        <v/>
      </c>
      <c r="Q1086" s="50" t="n"/>
      <c r="R1086" s="51" t="n"/>
      <c r="S1086" s="49" t="n"/>
      <c r="T1086" s="49" t="n"/>
      <c r="U1086" s="48">
        <f>IF(OR($B1086="",$K1086=""),"",WORKDAY($B1086,IFERROR(INDEX(CONFIG!$C$4:$C$43,MATCH($K1086,CONFIG!$A$4:$A$43,0)),3)))</f>
        <v/>
      </c>
      <c r="V1086" s="46" t="n"/>
      <c r="W1086" s="23">
        <f>IF($B1086="","",IF($V1086&lt;&gt;"",$V1086-$B1086,TODAY()-$B1086))</f>
        <v/>
      </c>
      <c r="X1086" s="27">
        <f>IF($C1086="","",IF(IFERROR(INDEX(CONFIG!$K$4:$K$43,MATCH($S1086,CONFIG!$J$4:$J$43,0)),"NO")="SÍ",IF(OR($V1086="",$U1086=""),"Resuelta",IF($V1086&gt;$U1086,"Resuelta tarde","Resuelta a tiempo")),IF($U1086="","Sin clasificar",IF(TODAY()&gt;$U1086,"Vencida",IF(TODAY()&gt;=$U1086-1,"Por vencer","En plazo")))))</f>
        <v/>
      </c>
      <c r="Y1086" s="49" t="n"/>
      <c r="Z1086" s="49" t="n"/>
    </row>
    <row r="1087" ht="16" customHeight="1">
      <c r="A1087" s="27">
        <f>IF($C1087="","","N-"&amp;TEXT(ROW()-3,"0000"))</f>
        <v/>
      </c>
      <c r="B1087" s="46" t="n"/>
      <c r="C1087" s="47" t="n"/>
      <c r="D1087" s="27">
        <f>IF($C1087="","",IF(COUNTIFS(ENVIOS!$A$4:$A$3003,$C1087)=0,"NO EXISTE",IF(COUNTIFS(ENVIOS!$A$4:$A$3003,$C1087)&gt;1,"DUPLICADA","OK")))</f>
        <v/>
      </c>
      <c r="E1087" s="22">
        <f>IF($C1087="","",IFERROR(INDEX(ENVIOS!$C$4:$C$3003,MATCH($C1087,ENVIOS!$A$4:$A$3003,0)),"—"))</f>
        <v/>
      </c>
      <c r="F1087" s="22">
        <f>IF($C1087="","",IFERROR(INDEX(ENVIOS!$D$4:$D$3003,MATCH($C1087,ENVIOS!$A$4:$A$3003,0)),"—"))</f>
        <v/>
      </c>
      <c r="G1087" s="22">
        <f>IF($C1087="","",IFERROR(INDEX(ENVIOS!$E$4:$E$3003,MATCH($C1087,ENVIOS!$A$4:$A$3003,0)),"—"))</f>
        <v/>
      </c>
      <c r="H1087" s="22">
        <f>IF($C1087="","",IFERROR(INDEX(ENVIOS!$F$4:$F$3003,MATCH($C1087,ENVIOS!$A$4:$A$3003,0)),"—"))</f>
        <v/>
      </c>
      <c r="I1087" s="27">
        <f>IF($C1087="","",IFERROR(INDEX(ENVIOS!$G$4:$G$3003,MATCH($C1087,ENVIOS!$A$4:$A$3003,0)),"—"))</f>
        <v/>
      </c>
      <c r="J1087" s="48">
        <f>IF($C1087="","",IFERROR(INDEX(ENVIOS!$B$4:$B$3003,MATCH($C1087,ENVIOS!$A$4:$A$3003,0)),""))</f>
        <v/>
      </c>
      <c r="K1087" s="49" t="n"/>
      <c r="L1087" s="27">
        <f>IF($K1087="","",IFERROR(INDEX(CONFIG!$B$4:$B$43,MATCH($K1087,CONFIG!$A$4:$A$43,0)),"Media"))</f>
        <v/>
      </c>
      <c r="M1087" s="27">
        <f>IF($K1087="","",IFERROR(INDEX(CONFIG!$D$4:$D$43,MATCH($K1087,CONFIG!$A$4:$A$43,0)),"NO"))</f>
        <v/>
      </c>
      <c r="N1087" s="49" t="n"/>
      <c r="O1087" s="27">
        <f>IF($N1087="","",IFERROR(INDEX(CONFIG!$G$4:$G$43,MATCH($N1087,CONFIG!$F$4:$F$43,0)),"Por definir"))</f>
        <v/>
      </c>
      <c r="P1087" s="27">
        <f>IF($N1087="","",IFERROR(INDEX(CONFIG!$H$4:$H$43,MATCH($N1087,CONFIG!$F$4:$F$43,0)),"Por definir"))</f>
        <v/>
      </c>
      <c r="Q1087" s="50" t="n"/>
      <c r="R1087" s="51" t="n"/>
      <c r="S1087" s="49" t="n"/>
      <c r="T1087" s="49" t="n"/>
      <c r="U1087" s="48">
        <f>IF(OR($B1087="",$K1087=""),"",WORKDAY($B1087,IFERROR(INDEX(CONFIG!$C$4:$C$43,MATCH($K1087,CONFIG!$A$4:$A$43,0)),3)))</f>
        <v/>
      </c>
      <c r="V1087" s="46" t="n"/>
      <c r="W1087" s="23">
        <f>IF($B1087="","",IF($V1087&lt;&gt;"",$V1087-$B1087,TODAY()-$B1087))</f>
        <v/>
      </c>
      <c r="X1087" s="27">
        <f>IF($C1087="","",IF(IFERROR(INDEX(CONFIG!$K$4:$K$43,MATCH($S1087,CONFIG!$J$4:$J$43,0)),"NO")="SÍ",IF(OR($V1087="",$U1087=""),"Resuelta",IF($V1087&gt;$U1087,"Resuelta tarde","Resuelta a tiempo")),IF($U1087="","Sin clasificar",IF(TODAY()&gt;$U1087,"Vencida",IF(TODAY()&gt;=$U1087-1,"Por vencer","En plazo")))))</f>
        <v/>
      </c>
      <c r="Y1087" s="49" t="n"/>
      <c r="Z1087" s="49" t="n"/>
    </row>
    <row r="1088" ht="16" customHeight="1">
      <c r="A1088" s="27">
        <f>IF($C1088="","","N-"&amp;TEXT(ROW()-3,"0000"))</f>
        <v/>
      </c>
      <c r="B1088" s="46" t="n"/>
      <c r="C1088" s="47" t="n"/>
      <c r="D1088" s="27">
        <f>IF($C1088="","",IF(COUNTIFS(ENVIOS!$A$4:$A$3003,$C1088)=0,"NO EXISTE",IF(COUNTIFS(ENVIOS!$A$4:$A$3003,$C1088)&gt;1,"DUPLICADA","OK")))</f>
        <v/>
      </c>
      <c r="E1088" s="22">
        <f>IF($C1088="","",IFERROR(INDEX(ENVIOS!$C$4:$C$3003,MATCH($C1088,ENVIOS!$A$4:$A$3003,0)),"—"))</f>
        <v/>
      </c>
      <c r="F1088" s="22">
        <f>IF($C1088="","",IFERROR(INDEX(ENVIOS!$D$4:$D$3003,MATCH($C1088,ENVIOS!$A$4:$A$3003,0)),"—"))</f>
        <v/>
      </c>
      <c r="G1088" s="22">
        <f>IF($C1088="","",IFERROR(INDEX(ENVIOS!$E$4:$E$3003,MATCH($C1088,ENVIOS!$A$4:$A$3003,0)),"—"))</f>
        <v/>
      </c>
      <c r="H1088" s="22">
        <f>IF($C1088="","",IFERROR(INDEX(ENVIOS!$F$4:$F$3003,MATCH($C1088,ENVIOS!$A$4:$A$3003,0)),"—"))</f>
        <v/>
      </c>
      <c r="I1088" s="27">
        <f>IF($C1088="","",IFERROR(INDEX(ENVIOS!$G$4:$G$3003,MATCH($C1088,ENVIOS!$A$4:$A$3003,0)),"—"))</f>
        <v/>
      </c>
      <c r="J1088" s="48">
        <f>IF($C1088="","",IFERROR(INDEX(ENVIOS!$B$4:$B$3003,MATCH($C1088,ENVIOS!$A$4:$A$3003,0)),""))</f>
        <v/>
      </c>
      <c r="K1088" s="49" t="n"/>
      <c r="L1088" s="27">
        <f>IF($K1088="","",IFERROR(INDEX(CONFIG!$B$4:$B$43,MATCH($K1088,CONFIG!$A$4:$A$43,0)),"Media"))</f>
        <v/>
      </c>
      <c r="M1088" s="27">
        <f>IF($K1088="","",IFERROR(INDEX(CONFIG!$D$4:$D$43,MATCH($K1088,CONFIG!$A$4:$A$43,0)),"NO"))</f>
        <v/>
      </c>
      <c r="N1088" s="49" t="n"/>
      <c r="O1088" s="27">
        <f>IF($N1088="","",IFERROR(INDEX(CONFIG!$G$4:$G$43,MATCH($N1088,CONFIG!$F$4:$F$43,0)),"Por definir"))</f>
        <v/>
      </c>
      <c r="P1088" s="27">
        <f>IF($N1088="","",IFERROR(INDEX(CONFIG!$H$4:$H$43,MATCH($N1088,CONFIG!$F$4:$F$43,0)),"Por definir"))</f>
        <v/>
      </c>
      <c r="Q1088" s="50" t="n"/>
      <c r="R1088" s="51" t="n"/>
      <c r="S1088" s="49" t="n"/>
      <c r="T1088" s="49" t="n"/>
      <c r="U1088" s="48">
        <f>IF(OR($B1088="",$K1088=""),"",WORKDAY($B1088,IFERROR(INDEX(CONFIG!$C$4:$C$43,MATCH($K1088,CONFIG!$A$4:$A$43,0)),3)))</f>
        <v/>
      </c>
      <c r="V1088" s="46" t="n"/>
      <c r="W1088" s="23">
        <f>IF($B1088="","",IF($V1088&lt;&gt;"",$V1088-$B1088,TODAY()-$B1088))</f>
        <v/>
      </c>
      <c r="X1088" s="27">
        <f>IF($C1088="","",IF(IFERROR(INDEX(CONFIG!$K$4:$K$43,MATCH($S1088,CONFIG!$J$4:$J$43,0)),"NO")="SÍ",IF(OR($V1088="",$U1088=""),"Resuelta",IF($V1088&gt;$U1088,"Resuelta tarde","Resuelta a tiempo")),IF($U1088="","Sin clasificar",IF(TODAY()&gt;$U1088,"Vencida",IF(TODAY()&gt;=$U1088-1,"Por vencer","En plazo")))))</f>
        <v/>
      </c>
      <c r="Y1088" s="49" t="n"/>
      <c r="Z1088" s="49" t="n"/>
    </row>
    <row r="1089" ht="16" customHeight="1">
      <c r="A1089" s="27">
        <f>IF($C1089="","","N-"&amp;TEXT(ROW()-3,"0000"))</f>
        <v/>
      </c>
      <c r="B1089" s="46" t="n"/>
      <c r="C1089" s="47" t="n"/>
      <c r="D1089" s="27">
        <f>IF($C1089="","",IF(COUNTIFS(ENVIOS!$A$4:$A$3003,$C1089)=0,"NO EXISTE",IF(COUNTIFS(ENVIOS!$A$4:$A$3003,$C1089)&gt;1,"DUPLICADA","OK")))</f>
        <v/>
      </c>
      <c r="E1089" s="22">
        <f>IF($C1089="","",IFERROR(INDEX(ENVIOS!$C$4:$C$3003,MATCH($C1089,ENVIOS!$A$4:$A$3003,0)),"—"))</f>
        <v/>
      </c>
      <c r="F1089" s="22">
        <f>IF($C1089="","",IFERROR(INDEX(ENVIOS!$D$4:$D$3003,MATCH($C1089,ENVIOS!$A$4:$A$3003,0)),"—"))</f>
        <v/>
      </c>
      <c r="G1089" s="22">
        <f>IF($C1089="","",IFERROR(INDEX(ENVIOS!$E$4:$E$3003,MATCH($C1089,ENVIOS!$A$4:$A$3003,0)),"—"))</f>
        <v/>
      </c>
      <c r="H1089" s="22">
        <f>IF($C1089="","",IFERROR(INDEX(ENVIOS!$F$4:$F$3003,MATCH($C1089,ENVIOS!$A$4:$A$3003,0)),"—"))</f>
        <v/>
      </c>
      <c r="I1089" s="27">
        <f>IF($C1089="","",IFERROR(INDEX(ENVIOS!$G$4:$G$3003,MATCH($C1089,ENVIOS!$A$4:$A$3003,0)),"—"))</f>
        <v/>
      </c>
      <c r="J1089" s="48">
        <f>IF($C1089="","",IFERROR(INDEX(ENVIOS!$B$4:$B$3003,MATCH($C1089,ENVIOS!$A$4:$A$3003,0)),""))</f>
        <v/>
      </c>
      <c r="K1089" s="49" t="n"/>
      <c r="L1089" s="27">
        <f>IF($K1089="","",IFERROR(INDEX(CONFIG!$B$4:$B$43,MATCH($K1089,CONFIG!$A$4:$A$43,0)),"Media"))</f>
        <v/>
      </c>
      <c r="M1089" s="27">
        <f>IF($K1089="","",IFERROR(INDEX(CONFIG!$D$4:$D$43,MATCH($K1089,CONFIG!$A$4:$A$43,0)),"NO"))</f>
        <v/>
      </c>
      <c r="N1089" s="49" t="n"/>
      <c r="O1089" s="27">
        <f>IF($N1089="","",IFERROR(INDEX(CONFIG!$G$4:$G$43,MATCH($N1089,CONFIG!$F$4:$F$43,0)),"Por definir"))</f>
        <v/>
      </c>
      <c r="P1089" s="27">
        <f>IF($N1089="","",IFERROR(INDEX(CONFIG!$H$4:$H$43,MATCH($N1089,CONFIG!$F$4:$F$43,0)),"Por definir"))</f>
        <v/>
      </c>
      <c r="Q1089" s="50" t="n"/>
      <c r="R1089" s="51" t="n"/>
      <c r="S1089" s="49" t="n"/>
      <c r="T1089" s="49" t="n"/>
      <c r="U1089" s="48">
        <f>IF(OR($B1089="",$K1089=""),"",WORKDAY($B1089,IFERROR(INDEX(CONFIG!$C$4:$C$43,MATCH($K1089,CONFIG!$A$4:$A$43,0)),3)))</f>
        <v/>
      </c>
      <c r="V1089" s="46" t="n"/>
      <c r="W1089" s="23">
        <f>IF($B1089="","",IF($V1089&lt;&gt;"",$V1089-$B1089,TODAY()-$B1089))</f>
        <v/>
      </c>
      <c r="X1089" s="27">
        <f>IF($C1089="","",IF(IFERROR(INDEX(CONFIG!$K$4:$K$43,MATCH($S1089,CONFIG!$J$4:$J$43,0)),"NO")="SÍ",IF(OR($V1089="",$U1089=""),"Resuelta",IF($V1089&gt;$U1089,"Resuelta tarde","Resuelta a tiempo")),IF($U1089="","Sin clasificar",IF(TODAY()&gt;$U1089,"Vencida",IF(TODAY()&gt;=$U1089-1,"Por vencer","En plazo")))))</f>
        <v/>
      </c>
      <c r="Y1089" s="49" t="n"/>
      <c r="Z1089" s="49" t="n"/>
    </row>
    <row r="1090" ht="16" customHeight="1">
      <c r="A1090" s="27">
        <f>IF($C1090="","","N-"&amp;TEXT(ROW()-3,"0000"))</f>
        <v/>
      </c>
      <c r="B1090" s="46" t="n"/>
      <c r="C1090" s="47" t="n"/>
      <c r="D1090" s="27">
        <f>IF($C1090="","",IF(COUNTIFS(ENVIOS!$A$4:$A$3003,$C1090)=0,"NO EXISTE",IF(COUNTIFS(ENVIOS!$A$4:$A$3003,$C1090)&gt;1,"DUPLICADA","OK")))</f>
        <v/>
      </c>
      <c r="E1090" s="22">
        <f>IF($C1090="","",IFERROR(INDEX(ENVIOS!$C$4:$C$3003,MATCH($C1090,ENVIOS!$A$4:$A$3003,0)),"—"))</f>
        <v/>
      </c>
      <c r="F1090" s="22">
        <f>IF($C1090="","",IFERROR(INDEX(ENVIOS!$D$4:$D$3003,MATCH($C1090,ENVIOS!$A$4:$A$3003,0)),"—"))</f>
        <v/>
      </c>
      <c r="G1090" s="22">
        <f>IF($C1090="","",IFERROR(INDEX(ENVIOS!$E$4:$E$3003,MATCH($C1090,ENVIOS!$A$4:$A$3003,0)),"—"))</f>
        <v/>
      </c>
      <c r="H1090" s="22">
        <f>IF($C1090="","",IFERROR(INDEX(ENVIOS!$F$4:$F$3003,MATCH($C1090,ENVIOS!$A$4:$A$3003,0)),"—"))</f>
        <v/>
      </c>
      <c r="I1090" s="27">
        <f>IF($C1090="","",IFERROR(INDEX(ENVIOS!$G$4:$G$3003,MATCH($C1090,ENVIOS!$A$4:$A$3003,0)),"—"))</f>
        <v/>
      </c>
      <c r="J1090" s="48">
        <f>IF($C1090="","",IFERROR(INDEX(ENVIOS!$B$4:$B$3003,MATCH($C1090,ENVIOS!$A$4:$A$3003,0)),""))</f>
        <v/>
      </c>
      <c r="K1090" s="49" t="n"/>
      <c r="L1090" s="27">
        <f>IF($K1090="","",IFERROR(INDEX(CONFIG!$B$4:$B$43,MATCH($K1090,CONFIG!$A$4:$A$43,0)),"Media"))</f>
        <v/>
      </c>
      <c r="M1090" s="27">
        <f>IF($K1090="","",IFERROR(INDEX(CONFIG!$D$4:$D$43,MATCH($K1090,CONFIG!$A$4:$A$43,0)),"NO"))</f>
        <v/>
      </c>
      <c r="N1090" s="49" t="n"/>
      <c r="O1090" s="27">
        <f>IF($N1090="","",IFERROR(INDEX(CONFIG!$G$4:$G$43,MATCH($N1090,CONFIG!$F$4:$F$43,0)),"Por definir"))</f>
        <v/>
      </c>
      <c r="P1090" s="27">
        <f>IF($N1090="","",IFERROR(INDEX(CONFIG!$H$4:$H$43,MATCH($N1090,CONFIG!$F$4:$F$43,0)),"Por definir"))</f>
        <v/>
      </c>
      <c r="Q1090" s="50" t="n"/>
      <c r="R1090" s="51" t="n"/>
      <c r="S1090" s="49" t="n"/>
      <c r="T1090" s="49" t="n"/>
      <c r="U1090" s="48">
        <f>IF(OR($B1090="",$K1090=""),"",WORKDAY($B1090,IFERROR(INDEX(CONFIG!$C$4:$C$43,MATCH($K1090,CONFIG!$A$4:$A$43,0)),3)))</f>
        <v/>
      </c>
      <c r="V1090" s="46" t="n"/>
      <c r="W1090" s="23">
        <f>IF($B1090="","",IF($V1090&lt;&gt;"",$V1090-$B1090,TODAY()-$B1090))</f>
        <v/>
      </c>
      <c r="X1090" s="27">
        <f>IF($C1090="","",IF(IFERROR(INDEX(CONFIG!$K$4:$K$43,MATCH($S1090,CONFIG!$J$4:$J$43,0)),"NO")="SÍ",IF(OR($V1090="",$U1090=""),"Resuelta",IF($V1090&gt;$U1090,"Resuelta tarde","Resuelta a tiempo")),IF($U1090="","Sin clasificar",IF(TODAY()&gt;$U1090,"Vencida",IF(TODAY()&gt;=$U1090-1,"Por vencer","En plazo")))))</f>
        <v/>
      </c>
      <c r="Y1090" s="49" t="n"/>
      <c r="Z1090" s="49" t="n"/>
    </row>
    <row r="1091" ht="16" customHeight="1">
      <c r="A1091" s="27">
        <f>IF($C1091="","","N-"&amp;TEXT(ROW()-3,"0000"))</f>
        <v/>
      </c>
      <c r="B1091" s="46" t="n"/>
      <c r="C1091" s="47" t="n"/>
      <c r="D1091" s="27">
        <f>IF($C1091="","",IF(COUNTIFS(ENVIOS!$A$4:$A$3003,$C1091)=0,"NO EXISTE",IF(COUNTIFS(ENVIOS!$A$4:$A$3003,$C1091)&gt;1,"DUPLICADA","OK")))</f>
        <v/>
      </c>
      <c r="E1091" s="22">
        <f>IF($C1091="","",IFERROR(INDEX(ENVIOS!$C$4:$C$3003,MATCH($C1091,ENVIOS!$A$4:$A$3003,0)),"—"))</f>
        <v/>
      </c>
      <c r="F1091" s="22">
        <f>IF($C1091="","",IFERROR(INDEX(ENVIOS!$D$4:$D$3003,MATCH($C1091,ENVIOS!$A$4:$A$3003,0)),"—"))</f>
        <v/>
      </c>
      <c r="G1091" s="22">
        <f>IF($C1091="","",IFERROR(INDEX(ENVIOS!$E$4:$E$3003,MATCH($C1091,ENVIOS!$A$4:$A$3003,0)),"—"))</f>
        <v/>
      </c>
      <c r="H1091" s="22">
        <f>IF($C1091="","",IFERROR(INDEX(ENVIOS!$F$4:$F$3003,MATCH($C1091,ENVIOS!$A$4:$A$3003,0)),"—"))</f>
        <v/>
      </c>
      <c r="I1091" s="27">
        <f>IF($C1091="","",IFERROR(INDEX(ENVIOS!$G$4:$G$3003,MATCH($C1091,ENVIOS!$A$4:$A$3003,0)),"—"))</f>
        <v/>
      </c>
      <c r="J1091" s="48">
        <f>IF($C1091="","",IFERROR(INDEX(ENVIOS!$B$4:$B$3003,MATCH($C1091,ENVIOS!$A$4:$A$3003,0)),""))</f>
        <v/>
      </c>
      <c r="K1091" s="49" t="n"/>
      <c r="L1091" s="27">
        <f>IF($K1091="","",IFERROR(INDEX(CONFIG!$B$4:$B$43,MATCH($K1091,CONFIG!$A$4:$A$43,0)),"Media"))</f>
        <v/>
      </c>
      <c r="M1091" s="27">
        <f>IF($K1091="","",IFERROR(INDEX(CONFIG!$D$4:$D$43,MATCH($K1091,CONFIG!$A$4:$A$43,0)),"NO"))</f>
        <v/>
      </c>
      <c r="N1091" s="49" t="n"/>
      <c r="O1091" s="27">
        <f>IF($N1091="","",IFERROR(INDEX(CONFIG!$G$4:$G$43,MATCH($N1091,CONFIG!$F$4:$F$43,0)),"Por definir"))</f>
        <v/>
      </c>
      <c r="P1091" s="27">
        <f>IF($N1091="","",IFERROR(INDEX(CONFIG!$H$4:$H$43,MATCH($N1091,CONFIG!$F$4:$F$43,0)),"Por definir"))</f>
        <v/>
      </c>
      <c r="Q1091" s="50" t="n"/>
      <c r="R1091" s="51" t="n"/>
      <c r="S1091" s="49" t="n"/>
      <c r="T1091" s="49" t="n"/>
      <c r="U1091" s="48">
        <f>IF(OR($B1091="",$K1091=""),"",WORKDAY($B1091,IFERROR(INDEX(CONFIG!$C$4:$C$43,MATCH($K1091,CONFIG!$A$4:$A$43,0)),3)))</f>
        <v/>
      </c>
      <c r="V1091" s="46" t="n"/>
      <c r="W1091" s="23">
        <f>IF($B1091="","",IF($V1091&lt;&gt;"",$V1091-$B1091,TODAY()-$B1091))</f>
        <v/>
      </c>
      <c r="X1091" s="27">
        <f>IF($C1091="","",IF(IFERROR(INDEX(CONFIG!$K$4:$K$43,MATCH($S1091,CONFIG!$J$4:$J$43,0)),"NO")="SÍ",IF(OR($V1091="",$U1091=""),"Resuelta",IF($V1091&gt;$U1091,"Resuelta tarde","Resuelta a tiempo")),IF($U1091="","Sin clasificar",IF(TODAY()&gt;$U1091,"Vencida",IF(TODAY()&gt;=$U1091-1,"Por vencer","En plazo")))))</f>
        <v/>
      </c>
      <c r="Y1091" s="49" t="n"/>
      <c r="Z1091" s="49" t="n"/>
    </row>
    <row r="1092" ht="16" customHeight="1">
      <c r="A1092" s="27">
        <f>IF($C1092="","","N-"&amp;TEXT(ROW()-3,"0000"))</f>
        <v/>
      </c>
      <c r="B1092" s="46" t="n"/>
      <c r="C1092" s="47" t="n"/>
      <c r="D1092" s="27">
        <f>IF($C1092="","",IF(COUNTIFS(ENVIOS!$A$4:$A$3003,$C1092)=0,"NO EXISTE",IF(COUNTIFS(ENVIOS!$A$4:$A$3003,$C1092)&gt;1,"DUPLICADA","OK")))</f>
        <v/>
      </c>
      <c r="E1092" s="22">
        <f>IF($C1092="","",IFERROR(INDEX(ENVIOS!$C$4:$C$3003,MATCH($C1092,ENVIOS!$A$4:$A$3003,0)),"—"))</f>
        <v/>
      </c>
      <c r="F1092" s="22">
        <f>IF($C1092="","",IFERROR(INDEX(ENVIOS!$D$4:$D$3003,MATCH($C1092,ENVIOS!$A$4:$A$3003,0)),"—"))</f>
        <v/>
      </c>
      <c r="G1092" s="22">
        <f>IF($C1092="","",IFERROR(INDEX(ENVIOS!$E$4:$E$3003,MATCH($C1092,ENVIOS!$A$4:$A$3003,0)),"—"))</f>
        <v/>
      </c>
      <c r="H1092" s="22">
        <f>IF($C1092="","",IFERROR(INDEX(ENVIOS!$F$4:$F$3003,MATCH($C1092,ENVIOS!$A$4:$A$3003,0)),"—"))</f>
        <v/>
      </c>
      <c r="I1092" s="27">
        <f>IF($C1092="","",IFERROR(INDEX(ENVIOS!$G$4:$G$3003,MATCH($C1092,ENVIOS!$A$4:$A$3003,0)),"—"))</f>
        <v/>
      </c>
      <c r="J1092" s="48">
        <f>IF($C1092="","",IFERROR(INDEX(ENVIOS!$B$4:$B$3003,MATCH($C1092,ENVIOS!$A$4:$A$3003,0)),""))</f>
        <v/>
      </c>
      <c r="K1092" s="49" t="n"/>
      <c r="L1092" s="27">
        <f>IF($K1092="","",IFERROR(INDEX(CONFIG!$B$4:$B$43,MATCH($K1092,CONFIG!$A$4:$A$43,0)),"Media"))</f>
        <v/>
      </c>
      <c r="M1092" s="27">
        <f>IF($K1092="","",IFERROR(INDEX(CONFIG!$D$4:$D$43,MATCH($K1092,CONFIG!$A$4:$A$43,0)),"NO"))</f>
        <v/>
      </c>
      <c r="N1092" s="49" t="n"/>
      <c r="O1092" s="27">
        <f>IF($N1092="","",IFERROR(INDEX(CONFIG!$G$4:$G$43,MATCH($N1092,CONFIG!$F$4:$F$43,0)),"Por definir"))</f>
        <v/>
      </c>
      <c r="P1092" s="27">
        <f>IF($N1092="","",IFERROR(INDEX(CONFIG!$H$4:$H$43,MATCH($N1092,CONFIG!$F$4:$F$43,0)),"Por definir"))</f>
        <v/>
      </c>
      <c r="Q1092" s="50" t="n"/>
      <c r="R1092" s="51" t="n"/>
      <c r="S1092" s="49" t="n"/>
      <c r="T1092" s="49" t="n"/>
      <c r="U1092" s="48">
        <f>IF(OR($B1092="",$K1092=""),"",WORKDAY($B1092,IFERROR(INDEX(CONFIG!$C$4:$C$43,MATCH($K1092,CONFIG!$A$4:$A$43,0)),3)))</f>
        <v/>
      </c>
      <c r="V1092" s="46" t="n"/>
      <c r="W1092" s="23">
        <f>IF($B1092="","",IF($V1092&lt;&gt;"",$V1092-$B1092,TODAY()-$B1092))</f>
        <v/>
      </c>
      <c r="X1092" s="27">
        <f>IF($C1092="","",IF(IFERROR(INDEX(CONFIG!$K$4:$K$43,MATCH($S1092,CONFIG!$J$4:$J$43,0)),"NO")="SÍ",IF(OR($V1092="",$U1092=""),"Resuelta",IF($V1092&gt;$U1092,"Resuelta tarde","Resuelta a tiempo")),IF($U1092="","Sin clasificar",IF(TODAY()&gt;$U1092,"Vencida",IF(TODAY()&gt;=$U1092-1,"Por vencer","En plazo")))))</f>
        <v/>
      </c>
      <c r="Y1092" s="49" t="n"/>
      <c r="Z1092" s="49" t="n"/>
    </row>
    <row r="1093" ht="16" customHeight="1">
      <c r="A1093" s="27">
        <f>IF($C1093="","","N-"&amp;TEXT(ROW()-3,"0000"))</f>
        <v/>
      </c>
      <c r="B1093" s="46" t="n"/>
      <c r="C1093" s="47" t="n"/>
      <c r="D1093" s="27">
        <f>IF($C1093="","",IF(COUNTIFS(ENVIOS!$A$4:$A$3003,$C1093)=0,"NO EXISTE",IF(COUNTIFS(ENVIOS!$A$4:$A$3003,$C1093)&gt;1,"DUPLICADA","OK")))</f>
        <v/>
      </c>
      <c r="E1093" s="22">
        <f>IF($C1093="","",IFERROR(INDEX(ENVIOS!$C$4:$C$3003,MATCH($C1093,ENVIOS!$A$4:$A$3003,0)),"—"))</f>
        <v/>
      </c>
      <c r="F1093" s="22">
        <f>IF($C1093="","",IFERROR(INDEX(ENVIOS!$D$4:$D$3003,MATCH($C1093,ENVIOS!$A$4:$A$3003,0)),"—"))</f>
        <v/>
      </c>
      <c r="G1093" s="22">
        <f>IF($C1093="","",IFERROR(INDEX(ENVIOS!$E$4:$E$3003,MATCH($C1093,ENVIOS!$A$4:$A$3003,0)),"—"))</f>
        <v/>
      </c>
      <c r="H1093" s="22">
        <f>IF($C1093="","",IFERROR(INDEX(ENVIOS!$F$4:$F$3003,MATCH($C1093,ENVIOS!$A$4:$A$3003,0)),"—"))</f>
        <v/>
      </c>
      <c r="I1093" s="27">
        <f>IF($C1093="","",IFERROR(INDEX(ENVIOS!$G$4:$G$3003,MATCH($C1093,ENVIOS!$A$4:$A$3003,0)),"—"))</f>
        <v/>
      </c>
      <c r="J1093" s="48">
        <f>IF($C1093="","",IFERROR(INDEX(ENVIOS!$B$4:$B$3003,MATCH($C1093,ENVIOS!$A$4:$A$3003,0)),""))</f>
        <v/>
      </c>
      <c r="K1093" s="49" t="n"/>
      <c r="L1093" s="27">
        <f>IF($K1093="","",IFERROR(INDEX(CONFIG!$B$4:$B$43,MATCH($K1093,CONFIG!$A$4:$A$43,0)),"Media"))</f>
        <v/>
      </c>
      <c r="M1093" s="27">
        <f>IF($K1093="","",IFERROR(INDEX(CONFIG!$D$4:$D$43,MATCH($K1093,CONFIG!$A$4:$A$43,0)),"NO"))</f>
        <v/>
      </c>
      <c r="N1093" s="49" t="n"/>
      <c r="O1093" s="27">
        <f>IF($N1093="","",IFERROR(INDEX(CONFIG!$G$4:$G$43,MATCH($N1093,CONFIG!$F$4:$F$43,0)),"Por definir"))</f>
        <v/>
      </c>
      <c r="P1093" s="27">
        <f>IF($N1093="","",IFERROR(INDEX(CONFIG!$H$4:$H$43,MATCH($N1093,CONFIG!$F$4:$F$43,0)),"Por definir"))</f>
        <v/>
      </c>
      <c r="Q1093" s="50" t="n"/>
      <c r="R1093" s="51" t="n"/>
      <c r="S1093" s="49" t="n"/>
      <c r="T1093" s="49" t="n"/>
      <c r="U1093" s="48">
        <f>IF(OR($B1093="",$K1093=""),"",WORKDAY($B1093,IFERROR(INDEX(CONFIG!$C$4:$C$43,MATCH($K1093,CONFIG!$A$4:$A$43,0)),3)))</f>
        <v/>
      </c>
      <c r="V1093" s="46" t="n"/>
      <c r="W1093" s="23">
        <f>IF($B1093="","",IF($V1093&lt;&gt;"",$V1093-$B1093,TODAY()-$B1093))</f>
        <v/>
      </c>
      <c r="X1093" s="27">
        <f>IF($C1093="","",IF(IFERROR(INDEX(CONFIG!$K$4:$K$43,MATCH($S1093,CONFIG!$J$4:$J$43,0)),"NO")="SÍ",IF(OR($V1093="",$U1093=""),"Resuelta",IF($V1093&gt;$U1093,"Resuelta tarde","Resuelta a tiempo")),IF($U1093="","Sin clasificar",IF(TODAY()&gt;$U1093,"Vencida",IF(TODAY()&gt;=$U1093-1,"Por vencer","En plazo")))))</f>
        <v/>
      </c>
      <c r="Y1093" s="49" t="n"/>
      <c r="Z1093" s="49" t="n"/>
    </row>
    <row r="1094" ht="16" customHeight="1">
      <c r="A1094" s="27">
        <f>IF($C1094="","","N-"&amp;TEXT(ROW()-3,"0000"))</f>
        <v/>
      </c>
      <c r="B1094" s="46" t="n"/>
      <c r="C1094" s="47" t="n"/>
      <c r="D1094" s="27">
        <f>IF($C1094="","",IF(COUNTIFS(ENVIOS!$A$4:$A$3003,$C1094)=0,"NO EXISTE",IF(COUNTIFS(ENVIOS!$A$4:$A$3003,$C1094)&gt;1,"DUPLICADA","OK")))</f>
        <v/>
      </c>
      <c r="E1094" s="22">
        <f>IF($C1094="","",IFERROR(INDEX(ENVIOS!$C$4:$C$3003,MATCH($C1094,ENVIOS!$A$4:$A$3003,0)),"—"))</f>
        <v/>
      </c>
      <c r="F1094" s="22">
        <f>IF($C1094="","",IFERROR(INDEX(ENVIOS!$D$4:$D$3003,MATCH($C1094,ENVIOS!$A$4:$A$3003,0)),"—"))</f>
        <v/>
      </c>
      <c r="G1094" s="22">
        <f>IF($C1094="","",IFERROR(INDEX(ENVIOS!$E$4:$E$3003,MATCH($C1094,ENVIOS!$A$4:$A$3003,0)),"—"))</f>
        <v/>
      </c>
      <c r="H1094" s="22">
        <f>IF($C1094="","",IFERROR(INDEX(ENVIOS!$F$4:$F$3003,MATCH($C1094,ENVIOS!$A$4:$A$3003,0)),"—"))</f>
        <v/>
      </c>
      <c r="I1094" s="27">
        <f>IF($C1094="","",IFERROR(INDEX(ENVIOS!$G$4:$G$3003,MATCH($C1094,ENVIOS!$A$4:$A$3003,0)),"—"))</f>
        <v/>
      </c>
      <c r="J1094" s="48">
        <f>IF($C1094="","",IFERROR(INDEX(ENVIOS!$B$4:$B$3003,MATCH($C1094,ENVIOS!$A$4:$A$3003,0)),""))</f>
        <v/>
      </c>
      <c r="K1094" s="49" t="n"/>
      <c r="L1094" s="27">
        <f>IF($K1094="","",IFERROR(INDEX(CONFIG!$B$4:$B$43,MATCH($K1094,CONFIG!$A$4:$A$43,0)),"Media"))</f>
        <v/>
      </c>
      <c r="M1094" s="27">
        <f>IF($K1094="","",IFERROR(INDEX(CONFIG!$D$4:$D$43,MATCH($K1094,CONFIG!$A$4:$A$43,0)),"NO"))</f>
        <v/>
      </c>
      <c r="N1094" s="49" t="n"/>
      <c r="O1094" s="27">
        <f>IF($N1094="","",IFERROR(INDEX(CONFIG!$G$4:$G$43,MATCH($N1094,CONFIG!$F$4:$F$43,0)),"Por definir"))</f>
        <v/>
      </c>
      <c r="P1094" s="27">
        <f>IF($N1094="","",IFERROR(INDEX(CONFIG!$H$4:$H$43,MATCH($N1094,CONFIG!$F$4:$F$43,0)),"Por definir"))</f>
        <v/>
      </c>
      <c r="Q1094" s="50" t="n"/>
      <c r="R1094" s="51" t="n"/>
      <c r="S1094" s="49" t="n"/>
      <c r="T1094" s="49" t="n"/>
      <c r="U1094" s="48">
        <f>IF(OR($B1094="",$K1094=""),"",WORKDAY($B1094,IFERROR(INDEX(CONFIG!$C$4:$C$43,MATCH($K1094,CONFIG!$A$4:$A$43,0)),3)))</f>
        <v/>
      </c>
      <c r="V1094" s="46" t="n"/>
      <c r="W1094" s="23">
        <f>IF($B1094="","",IF($V1094&lt;&gt;"",$V1094-$B1094,TODAY()-$B1094))</f>
        <v/>
      </c>
      <c r="X1094" s="27">
        <f>IF($C1094="","",IF(IFERROR(INDEX(CONFIG!$K$4:$K$43,MATCH($S1094,CONFIG!$J$4:$J$43,0)),"NO")="SÍ",IF(OR($V1094="",$U1094=""),"Resuelta",IF($V1094&gt;$U1094,"Resuelta tarde","Resuelta a tiempo")),IF($U1094="","Sin clasificar",IF(TODAY()&gt;$U1094,"Vencida",IF(TODAY()&gt;=$U1094-1,"Por vencer","En plazo")))))</f>
        <v/>
      </c>
      <c r="Y1094" s="49" t="n"/>
      <c r="Z1094" s="49" t="n"/>
    </row>
    <row r="1095" ht="16" customHeight="1">
      <c r="A1095" s="27">
        <f>IF($C1095="","","N-"&amp;TEXT(ROW()-3,"0000"))</f>
        <v/>
      </c>
      <c r="B1095" s="46" t="n"/>
      <c r="C1095" s="47" t="n"/>
      <c r="D1095" s="27">
        <f>IF($C1095="","",IF(COUNTIFS(ENVIOS!$A$4:$A$3003,$C1095)=0,"NO EXISTE",IF(COUNTIFS(ENVIOS!$A$4:$A$3003,$C1095)&gt;1,"DUPLICADA","OK")))</f>
        <v/>
      </c>
      <c r="E1095" s="22">
        <f>IF($C1095="","",IFERROR(INDEX(ENVIOS!$C$4:$C$3003,MATCH($C1095,ENVIOS!$A$4:$A$3003,0)),"—"))</f>
        <v/>
      </c>
      <c r="F1095" s="22">
        <f>IF($C1095="","",IFERROR(INDEX(ENVIOS!$D$4:$D$3003,MATCH($C1095,ENVIOS!$A$4:$A$3003,0)),"—"))</f>
        <v/>
      </c>
      <c r="G1095" s="22">
        <f>IF($C1095="","",IFERROR(INDEX(ENVIOS!$E$4:$E$3003,MATCH($C1095,ENVIOS!$A$4:$A$3003,0)),"—"))</f>
        <v/>
      </c>
      <c r="H1095" s="22">
        <f>IF($C1095="","",IFERROR(INDEX(ENVIOS!$F$4:$F$3003,MATCH($C1095,ENVIOS!$A$4:$A$3003,0)),"—"))</f>
        <v/>
      </c>
      <c r="I1095" s="27">
        <f>IF($C1095="","",IFERROR(INDEX(ENVIOS!$G$4:$G$3003,MATCH($C1095,ENVIOS!$A$4:$A$3003,0)),"—"))</f>
        <v/>
      </c>
      <c r="J1095" s="48">
        <f>IF($C1095="","",IFERROR(INDEX(ENVIOS!$B$4:$B$3003,MATCH($C1095,ENVIOS!$A$4:$A$3003,0)),""))</f>
        <v/>
      </c>
      <c r="K1095" s="49" t="n"/>
      <c r="L1095" s="27">
        <f>IF($K1095="","",IFERROR(INDEX(CONFIG!$B$4:$B$43,MATCH($K1095,CONFIG!$A$4:$A$43,0)),"Media"))</f>
        <v/>
      </c>
      <c r="M1095" s="27">
        <f>IF($K1095="","",IFERROR(INDEX(CONFIG!$D$4:$D$43,MATCH($K1095,CONFIG!$A$4:$A$43,0)),"NO"))</f>
        <v/>
      </c>
      <c r="N1095" s="49" t="n"/>
      <c r="O1095" s="27">
        <f>IF($N1095="","",IFERROR(INDEX(CONFIG!$G$4:$G$43,MATCH($N1095,CONFIG!$F$4:$F$43,0)),"Por definir"))</f>
        <v/>
      </c>
      <c r="P1095" s="27">
        <f>IF($N1095="","",IFERROR(INDEX(CONFIG!$H$4:$H$43,MATCH($N1095,CONFIG!$F$4:$F$43,0)),"Por definir"))</f>
        <v/>
      </c>
      <c r="Q1095" s="50" t="n"/>
      <c r="R1095" s="51" t="n"/>
      <c r="S1095" s="49" t="n"/>
      <c r="T1095" s="49" t="n"/>
      <c r="U1095" s="48">
        <f>IF(OR($B1095="",$K1095=""),"",WORKDAY($B1095,IFERROR(INDEX(CONFIG!$C$4:$C$43,MATCH($K1095,CONFIG!$A$4:$A$43,0)),3)))</f>
        <v/>
      </c>
      <c r="V1095" s="46" t="n"/>
      <c r="W1095" s="23">
        <f>IF($B1095="","",IF($V1095&lt;&gt;"",$V1095-$B1095,TODAY()-$B1095))</f>
        <v/>
      </c>
      <c r="X1095" s="27">
        <f>IF($C1095="","",IF(IFERROR(INDEX(CONFIG!$K$4:$K$43,MATCH($S1095,CONFIG!$J$4:$J$43,0)),"NO")="SÍ",IF(OR($V1095="",$U1095=""),"Resuelta",IF($V1095&gt;$U1095,"Resuelta tarde","Resuelta a tiempo")),IF($U1095="","Sin clasificar",IF(TODAY()&gt;$U1095,"Vencida",IF(TODAY()&gt;=$U1095-1,"Por vencer","En plazo")))))</f>
        <v/>
      </c>
      <c r="Y1095" s="49" t="n"/>
      <c r="Z1095" s="49" t="n"/>
    </row>
    <row r="1096" ht="16" customHeight="1">
      <c r="A1096" s="27">
        <f>IF($C1096="","","N-"&amp;TEXT(ROW()-3,"0000"))</f>
        <v/>
      </c>
      <c r="B1096" s="46" t="n"/>
      <c r="C1096" s="47" t="n"/>
      <c r="D1096" s="27">
        <f>IF($C1096="","",IF(COUNTIFS(ENVIOS!$A$4:$A$3003,$C1096)=0,"NO EXISTE",IF(COUNTIFS(ENVIOS!$A$4:$A$3003,$C1096)&gt;1,"DUPLICADA","OK")))</f>
        <v/>
      </c>
      <c r="E1096" s="22">
        <f>IF($C1096="","",IFERROR(INDEX(ENVIOS!$C$4:$C$3003,MATCH($C1096,ENVIOS!$A$4:$A$3003,0)),"—"))</f>
        <v/>
      </c>
      <c r="F1096" s="22">
        <f>IF($C1096="","",IFERROR(INDEX(ENVIOS!$D$4:$D$3003,MATCH($C1096,ENVIOS!$A$4:$A$3003,0)),"—"))</f>
        <v/>
      </c>
      <c r="G1096" s="22">
        <f>IF($C1096="","",IFERROR(INDEX(ENVIOS!$E$4:$E$3003,MATCH($C1096,ENVIOS!$A$4:$A$3003,0)),"—"))</f>
        <v/>
      </c>
      <c r="H1096" s="22">
        <f>IF($C1096="","",IFERROR(INDEX(ENVIOS!$F$4:$F$3003,MATCH($C1096,ENVIOS!$A$4:$A$3003,0)),"—"))</f>
        <v/>
      </c>
      <c r="I1096" s="27">
        <f>IF($C1096="","",IFERROR(INDEX(ENVIOS!$G$4:$G$3003,MATCH($C1096,ENVIOS!$A$4:$A$3003,0)),"—"))</f>
        <v/>
      </c>
      <c r="J1096" s="48">
        <f>IF($C1096="","",IFERROR(INDEX(ENVIOS!$B$4:$B$3003,MATCH($C1096,ENVIOS!$A$4:$A$3003,0)),""))</f>
        <v/>
      </c>
      <c r="K1096" s="49" t="n"/>
      <c r="L1096" s="27">
        <f>IF($K1096="","",IFERROR(INDEX(CONFIG!$B$4:$B$43,MATCH($K1096,CONFIG!$A$4:$A$43,0)),"Media"))</f>
        <v/>
      </c>
      <c r="M1096" s="27">
        <f>IF($K1096="","",IFERROR(INDEX(CONFIG!$D$4:$D$43,MATCH($K1096,CONFIG!$A$4:$A$43,0)),"NO"))</f>
        <v/>
      </c>
      <c r="N1096" s="49" t="n"/>
      <c r="O1096" s="27">
        <f>IF($N1096="","",IFERROR(INDEX(CONFIG!$G$4:$G$43,MATCH($N1096,CONFIG!$F$4:$F$43,0)),"Por definir"))</f>
        <v/>
      </c>
      <c r="P1096" s="27">
        <f>IF($N1096="","",IFERROR(INDEX(CONFIG!$H$4:$H$43,MATCH($N1096,CONFIG!$F$4:$F$43,0)),"Por definir"))</f>
        <v/>
      </c>
      <c r="Q1096" s="50" t="n"/>
      <c r="R1096" s="51" t="n"/>
      <c r="S1096" s="49" t="n"/>
      <c r="T1096" s="49" t="n"/>
      <c r="U1096" s="48">
        <f>IF(OR($B1096="",$K1096=""),"",WORKDAY($B1096,IFERROR(INDEX(CONFIG!$C$4:$C$43,MATCH($K1096,CONFIG!$A$4:$A$43,0)),3)))</f>
        <v/>
      </c>
      <c r="V1096" s="46" t="n"/>
      <c r="W1096" s="23">
        <f>IF($B1096="","",IF($V1096&lt;&gt;"",$V1096-$B1096,TODAY()-$B1096))</f>
        <v/>
      </c>
      <c r="X1096" s="27">
        <f>IF($C1096="","",IF(IFERROR(INDEX(CONFIG!$K$4:$K$43,MATCH($S1096,CONFIG!$J$4:$J$43,0)),"NO")="SÍ",IF(OR($V1096="",$U1096=""),"Resuelta",IF($V1096&gt;$U1096,"Resuelta tarde","Resuelta a tiempo")),IF($U1096="","Sin clasificar",IF(TODAY()&gt;$U1096,"Vencida",IF(TODAY()&gt;=$U1096-1,"Por vencer","En plazo")))))</f>
        <v/>
      </c>
      <c r="Y1096" s="49" t="n"/>
      <c r="Z1096" s="49" t="n"/>
    </row>
    <row r="1097" ht="16" customHeight="1">
      <c r="A1097" s="27">
        <f>IF($C1097="","","N-"&amp;TEXT(ROW()-3,"0000"))</f>
        <v/>
      </c>
      <c r="B1097" s="46" t="n"/>
      <c r="C1097" s="47" t="n"/>
      <c r="D1097" s="27">
        <f>IF($C1097="","",IF(COUNTIFS(ENVIOS!$A$4:$A$3003,$C1097)=0,"NO EXISTE",IF(COUNTIFS(ENVIOS!$A$4:$A$3003,$C1097)&gt;1,"DUPLICADA","OK")))</f>
        <v/>
      </c>
      <c r="E1097" s="22">
        <f>IF($C1097="","",IFERROR(INDEX(ENVIOS!$C$4:$C$3003,MATCH($C1097,ENVIOS!$A$4:$A$3003,0)),"—"))</f>
        <v/>
      </c>
      <c r="F1097" s="22">
        <f>IF($C1097="","",IFERROR(INDEX(ENVIOS!$D$4:$D$3003,MATCH($C1097,ENVIOS!$A$4:$A$3003,0)),"—"))</f>
        <v/>
      </c>
      <c r="G1097" s="22">
        <f>IF($C1097="","",IFERROR(INDEX(ENVIOS!$E$4:$E$3003,MATCH($C1097,ENVIOS!$A$4:$A$3003,0)),"—"))</f>
        <v/>
      </c>
      <c r="H1097" s="22">
        <f>IF($C1097="","",IFERROR(INDEX(ENVIOS!$F$4:$F$3003,MATCH($C1097,ENVIOS!$A$4:$A$3003,0)),"—"))</f>
        <v/>
      </c>
      <c r="I1097" s="27">
        <f>IF($C1097="","",IFERROR(INDEX(ENVIOS!$G$4:$G$3003,MATCH($C1097,ENVIOS!$A$4:$A$3003,0)),"—"))</f>
        <v/>
      </c>
      <c r="J1097" s="48">
        <f>IF($C1097="","",IFERROR(INDEX(ENVIOS!$B$4:$B$3003,MATCH($C1097,ENVIOS!$A$4:$A$3003,0)),""))</f>
        <v/>
      </c>
      <c r="K1097" s="49" t="n"/>
      <c r="L1097" s="27">
        <f>IF($K1097="","",IFERROR(INDEX(CONFIG!$B$4:$B$43,MATCH($K1097,CONFIG!$A$4:$A$43,0)),"Media"))</f>
        <v/>
      </c>
      <c r="M1097" s="27">
        <f>IF($K1097="","",IFERROR(INDEX(CONFIG!$D$4:$D$43,MATCH($K1097,CONFIG!$A$4:$A$43,0)),"NO"))</f>
        <v/>
      </c>
      <c r="N1097" s="49" t="n"/>
      <c r="O1097" s="27">
        <f>IF($N1097="","",IFERROR(INDEX(CONFIG!$G$4:$G$43,MATCH($N1097,CONFIG!$F$4:$F$43,0)),"Por definir"))</f>
        <v/>
      </c>
      <c r="P1097" s="27">
        <f>IF($N1097="","",IFERROR(INDEX(CONFIG!$H$4:$H$43,MATCH($N1097,CONFIG!$F$4:$F$43,0)),"Por definir"))</f>
        <v/>
      </c>
      <c r="Q1097" s="50" t="n"/>
      <c r="R1097" s="51" t="n"/>
      <c r="S1097" s="49" t="n"/>
      <c r="T1097" s="49" t="n"/>
      <c r="U1097" s="48">
        <f>IF(OR($B1097="",$K1097=""),"",WORKDAY($B1097,IFERROR(INDEX(CONFIG!$C$4:$C$43,MATCH($K1097,CONFIG!$A$4:$A$43,0)),3)))</f>
        <v/>
      </c>
      <c r="V1097" s="46" t="n"/>
      <c r="W1097" s="23">
        <f>IF($B1097="","",IF($V1097&lt;&gt;"",$V1097-$B1097,TODAY()-$B1097))</f>
        <v/>
      </c>
      <c r="X1097" s="27">
        <f>IF($C1097="","",IF(IFERROR(INDEX(CONFIG!$K$4:$K$43,MATCH($S1097,CONFIG!$J$4:$J$43,0)),"NO")="SÍ",IF(OR($V1097="",$U1097=""),"Resuelta",IF($V1097&gt;$U1097,"Resuelta tarde","Resuelta a tiempo")),IF($U1097="","Sin clasificar",IF(TODAY()&gt;$U1097,"Vencida",IF(TODAY()&gt;=$U1097-1,"Por vencer","En plazo")))))</f>
        <v/>
      </c>
      <c r="Y1097" s="49" t="n"/>
      <c r="Z1097" s="49" t="n"/>
    </row>
    <row r="1098" ht="16" customHeight="1">
      <c r="A1098" s="27">
        <f>IF($C1098="","","N-"&amp;TEXT(ROW()-3,"0000"))</f>
        <v/>
      </c>
      <c r="B1098" s="46" t="n"/>
      <c r="C1098" s="47" t="n"/>
      <c r="D1098" s="27">
        <f>IF($C1098="","",IF(COUNTIFS(ENVIOS!$A$4:$A$3003,$C1098)=0,"NO EXISTE",IF(COUNTIFS(ENVIOS!$A$4:$A$3003,$C1098)&gt;1,"DUPLICADA","OK")))</f>
        <v/>
      </c>
      <c r="E1098" s="22">
        <f>IF($C1098="","",IFERROR(INDEX(ENVIOS!$C$4:$C$3003,MATCH($C1098,ENVIOS!$A$4:$A$3003,0)),"—"))</f>
        <v/>
      </c>
      <c r="F1098" s="22">
        <f>IF($C1098="","",IFERROR(INDEX(ENVIOS!$D$4:$D$3003,MATCH($C1098,ENVIOS!$A$4:$A$3003,0)),"—"))</f>
        <v/>
      </c>
      <c r="G1098" s="22">
        <f>IF($C1098="","",IFERROR(INDEX(ENVIOS!$E$4:$E$3003,MATCH($C1098,ENVIOS!$A$4:$A$3003,0)),"—"))</f>
        <v/>
      </c>
      <c r="H1098" s="22">
        <f>IF($C1098="","",IFERROR(INDEX(ENVIOS!$F$4:$F$3003,MATCH($C1098,ENVIOS!$A$4:$A$3003,0)),"—"))</f>
        <v/>
      </c>
      <c r="I1098" s="27">
        <f>IF($C1098="","",IFERROR(INDEX(ENVIOS!$G$4:$G$3003,MATCH($C1098,ENVIOS!$A$4:$A$3003,0)),"—"))</f>
        <v/>
      </c>
      <c r="J1098" s="48">
        <f>IF($C1098="","",IFERROR(INDEX(ENVIOS!$B$4:$B$3003,MATCH($C1098,ENVIOS!$A$4:$A$3003,0)),""))</f>
        <v/>
      </c>
      <c r="K1098" s="49" t="n"/>
      <c r="L1098" s="27">
        <f>IF($K1098="","",IFERROR(INDEX(CONFIG!$B$4:$B$43,MATCH($K1098,CONFIG!$A$4:$A$43,0)),"Media"))</f>
        <v/>
      </c>
      <c r="M1098" s="27">
        <f>IF($K1098="","",IFERROR(INDEX(CONFIG!$D$4:$D$43,MATCH($K1098,CONFIG!$A$4:$A$43,0)),"NO"))</f>
        <v/>
      </c>
      <c r="N1098" s="49" t="n"/>
      <c r="O1098" s="27">
        <f>IF($N1098="","",IFERROR(INDEX(CONFIG!$G$4:$G$43,MATCH($N1098,CONFIG!$F$4:$F$43,0)),"Por definir"))</f>
        <v/>
      </c>
      <c r="P1098" s="27">
        <f>IF($N1098="","",IFERROR(INDEX(CONFIG!$H$4:$H$43,MATCH($N1098,CONFIG!$F$4:$F$43,0)),"Por definir"))</f>
        <v/>
      </c>
      <c r="Q1098" s="50" t="n"/>
      <c r="R1098" s="51" t="n"/>
      <c r="S1098" s="49" t="n"/>
      <c r="T1098" s="49" t="n"/>
      <c r="U1098" s="48">
        <f>IF(OR($B1098="",$K1098=""),"",WORKDAY($B1098,IFERROR(INDEX(CONFIG!$C$4:$C$43,MATCH($K1098,CONFIG!$A$4:$A$43,0)),3)))</f>
        <v/>
      </c>
      <c r="V1098" s="46" t="n"/>
      <c r="W1098" s="23">
        <f>IF($B1098="","",IF($V1098&lt;&gt;"",$V1098-$B1098,TODAY()-$B1098))</f>
        <v/>
      </c>
      <c r="X1098" s="27">
        <f>IF($C1098="","",IF(IFERROR(INDEX(CONFIG!$K$4:$K$43,MATCH($S1098,CONFIG!$J$4:$J$43,0)),"NO")="SÍ",IF(OR($V1098="",$U1098=""),"Resuelta",IF($V1098&gt;$U1098,"Resuelta tarde","Resuelta a tiempo")),IF($U1098="","Sin clasificar",IF(TODAY()&gt;$U1098,"Vencida",IF(TODAY()&gt;=$U1098-1,"Por vencer","En plazo")))))</f>
        <v/>
      </c>
      <c r="Y1098" s="49" t="n"/>
      <c r="Z1098" s="49" t="n"/>
    </row>
    <row r="1099" ht="16" customHeight="1">
      <c r="A1099" s="27">
        <f>IF($C1099="","","N-"&amp;TEXT(ROW()-3,"0000"))</f>
        <v/>
      </c>
      <c r="B1099" s="46" t="n"/>
      <c r="C1099" s="47" t="n"/>
      <c r="D1099" s="27">
        <f>IF($C1099="","",IF(COUNTIFS(ENVIOS!$A$4:$A$3003,$C1099)=0,"NO EXISTE",IF(COUNTIFS(ENVIOS!$A$4:$A$3003,$C1099)&gt;1,"DUPLICADA","OK")))</f>
        <v/>
      </c>
      <c r="E1099" s="22">
        <f>IF($C1099="","",IFERROR(INDEX(ENVIOS!$C$4:$C$3003,MATCH($C1099,ENVIOS!$A$4:$A$3003,0)),"—"))</f>
        <v/>
      </c>
      <c r="F1099" s="22">
        <f>IF($C1099="","",IFERROR(INDEX(ENVIOS!$D$4:$D$3003,MATCH($C1099,ENVIOS!$A$4:$A$3003,0)),"—"))</f>
        <v/>
      </c>
      <c r="G1099" s="22">
        <f>IF($C1099="","",IFERROR(INDEX(ENVIOS!$E$4:$E$3003,MATCH($C1099,ENVIOS!$A$4:$A$3003,0)),"—"))</f>
        <v/>
      </c>
      <c r="H1099" s="22">
        <f>IF($C1099="","",IFERROR(INDEX(ENVIOS!$F$4:$F$3003,MATCH($C1099,ENVIOS!$A$4:$A$3003,0)),"—"))</f>
        <v/>
      </c>
      <c r="I1099" s="27">
        <f>IF($C1099="","",IFERROR(INDEX(ENVIOS!$G$4:$G$3003,MATCH($C1099,ENVIOS!$A$4:$A$3003,0)),"—"))</f>
        <v/>
      </c>
      <c r="J1099" s="48">
        <f>IF($C1099="","",IFERROR(INDEX(ENVIOS!$B$4:$B$3003,MATCH($C1099,ENVIOS!$A$4:$A$3003,0)),""))</f>
        <v/>
      </c>
      <c r="K1099" s="49" t="n"/>
      <c r="L1099" s="27">
        <f>IF($K1099="","",IFERROR(INDEX(CONFIG!$B$4:$B$43,MATCH($K1099,CONFIG!$A$4:$A$43,0)),"Media"))</f>
        <v/>
      </c>
      <c r="M1099" s="27">
        <f>IF($K1099="","",IFERROR(INDEX(CONFIG!$D$4:$D$43,MATCH($K1099,CONFIG!$A$4:$A$43,0)),"NO"))</f>
        <v/>
      </c>
      <c r="N1099" s="49" t="n"/>
      <c r="O1099" s="27">
        <f>IF($N1099="","",IFERROR(INDEX(CONFIG!$G$4:$G$43,MATCH($N1099,CONFIG!$F$4:$F$43,0)),"Por definir"))</f>
        <v/>
      </c>
      <c r="P1099" s="27">
        <f>IF($N1099="","",IFERROR(INDEX(CONFIG!$H$4:$H$43,MATCH($N1099,CONFIG!$F$4:$F$43,0)),"Por definir"))</f>
        <v/>
      </c>
      <c r="Q1099" s="50" t="n"/>
      <c r="R1099" s="51" t="n"/>
      <c r="S1099" s="49" t="n"/>
      <c r="T1099" s="49" t="n"/>
      <c r="U1099" s="48">
        <f>IF(OR($B1099="",$K1099=""),"",WORKDAY($B1099,IFERROR(INDEX(CONFIG!$C$4:$C$43,MATCH($K1099,CONFIG!$A$4:$A$43,0)),3)))</f>
        <v/>
      </c>
      <c r="V1099" s="46" t="n"/>
      <c r="W1099" s="23">
        <f>IF($B1099="","",IF($V1099&lt;&gt;"",$V1099-$B1099,TODAY()-$B1099))</f>
        <v/>
      </c>
      <c r="X1099" s="27">
        <f>IF($C1099="","",IF(IFERROR(INDEX(CONFIG!$K$4:$K$43,MATCH($S1099,CONFIG!$J$4:$J$43,0)),"NO")="SÍ",IF(OR($V1099="",$U1099=""),"Resuelta",IF($V1099&gt;$U1099,"Resuelta tarde","Resuelta a tiempo")),IF($U1099="","Sin clasificar",IF(TODAY()&gt;$U1099,"Vencida",IF(TODAY()&gt;=$U1099-1,"Por vencer","En plazo")))))</f>
        <v/>
      </c>
      <c r="Y1099" s="49" t="n"/>
      <c r="Z1099" s="49" t="n"/>
    </row>
    <row r="1100" ht="16" customHeight="1">
      <c r="A1100" s="27">
        <f>IF($C1100="","","N-"&amp;TEXT(ROW()-3,"0000"))</f>
        <v/>
      </c>
      <c r="B1100" s="46" t="n"/>
      <c r="C1100" s="47" t="n"/>
      <c r="D1100" s="27">
        <f>IF($C1100="","",IF(COUNTIFS(ENVIOS!$A$4:$A$3003,$C1100)=0,"NO EXISTE",IF(COUNTIFS(ENVIOS!$A$4:$A$3003,$C1100)&gt;1,"DUPLICADA","OK")))</f>
        <v/>
      </c>
      <c r="E1100" s="22">
        <f>IF($C1100="","",IFERROR(INDEX(ENVIOS!$C$4:$C$3003,MATCH($C1100,ENVIOS!$A$4:$A$3003,0)),"—"))</f>
        <v/>
      </c>
      <c r="F1100" s="22">
        <f>IF($C1100="","",IFERROR(INDEX(ENVIOS!$D$4:$D$3003,MATCH($C1100,ENVIOS!$A$4:$A$3003,0)),"—"))</f>
        <v/>
      </c>
      <c r="G1100" s="22">
        <f>IF($C1100="","",IFERROR(INDEX(ENVIOS!$E$4:$E$3003,MATCH($C1100,ENVIOS!$A$4:$A$3003,0)),"—"))</f>
        <v/>
      </c>
      <c r="H1100" s="22">
        <f>IF($C1100="","",IFERROR(INDEX(ENVIOS!$F$4:$F$3003,MATCH($C1100,ENVIOS!$A$4:$A$3003,0)),"—"))</f>
        <v/>
      </c>
      <c r="I1100" s="27">
        <f>IF($C1100="","",IFERROR(INDEX(ENVIOS!$G$4:$G$3003,MATCH($C1100,ENVIOS!$A$4:$A$3003,0)),"—"))</f>
        <v/>
      </c>
      <c r="J1100" s="48">
        <f>IF($C1100="","",IFERROR(INDEX(ENVIOS!$B$4:$B$3003,MATCH($C1100,ENVIOS!$A$4:$A$3003,0)),""))</f>
        <v/>
      </c>
      <c r="K1100" s="49" t="n"/>
      <c r="L1100" s="27">
        <f>IF($K1100="","",IFERROR(INDEX(CONFIG!$B$4:$B$43,MATCH($K1100,CONFIG!$A$4:$A$43,0)),"Media"))</f>
        <v/>
      </c>
      <c r="M1100" s="27">
        <f>IF($K1100="","",IFERROR(INDEX(CONFIG!$D$4:$D$43,MATCH($K1100,CONFIG!$A$4:$A$43,0)),"NO"))</f>
        <v/>
      </c>
      <c r="N1100" s="49" t="n"/>
      <c r="O1100" s="27">
        <f>IF($N1100="","",IFERROR(INDEX(CONFIG!$G$4:$G$43,MATCH($N1100,CONFIG!$F$4:$F$43,0)),"Por definir"))</f>
        <v/>
      </c>
      <c r="P1100" s="27">
        <f>IF($N1100="","",IFERROR(INDEX(CONFIG!$H$4:$H$43,MATCH($N1100,CONFIG!$F$4:$F$43,0)),"Por definir"))</f>
        <v/>
      </c>
      <c r="Q1100" s="50" t="n"/>
      <c r="R1100" s="51" t="n"/>
      <c r="S1100" s="49" t="n"/>
      <c r="T1100" s="49" t="n"/>
      <c r="U1100" s="48">
        <f>IF(OR($B1100="",$K1100=""),"",WORKDAY($B1100,IFERROR(INDEX(CONFIG!$C$4:$C$43,MATCH($K1100,CONFIG!$A$4:$A$43,0)),3)))</f>
        <v/>
      </c>
      <c r="V1100" s="46" t="n"/>
      <c r="W1100" s="23">
        <f>IF($B1100="","",IF($V1100&lt;&gt;"",$V1100-$B1100,TODAY()-$B1100))</f>
        <v/>
      </c>
      <c r="X1100" s="27">
        <f>IF($C1100="","",IF(IFERROR(INDEX(CONFIG!$K$4:$K$43,MATCH($S1100,CONFIG!$J$4:$J$43,0)),"NO")="SÍ",IF(OR($V1100="",$U1100=""),"Resuelta",IF($V1100&gt;$U1100,"Resuelta tarde","Resuelta a tiempo")),IF($U1100="","Sin clasificar",IF(TODAY()&gt;$U1100,"Vencida",IF(TODAY()&gt;=$U1100-1,"Por vencer","En plazo")))))</f>
        <v/>
      </c>
      <c r="Y1100" s="49" t="n"/>
      <c r="Z1100" s="49" t="n"/>
    </row>
    <row r="1101" ht="16" customHeight="1">
      <c r="A1101" s="27">
        <f>IF($C1101="","","N-"&amp;TEXT(ROW()-3,"0000"))</f>
        <v/>
      </c>
      <c r="B1101" s="46" t="n"/>
      <c r="C1101" s="47" t="n"/>
      <c r="D1101" s="27">
        <f>IF($C1101="","",IF(COUNTIFS(ENVIOS!$A$4:$A$3003,$C1101)=0,"NO EXISTE",IF(COUNTIFS(ENVIOS!$A$4:$A$3003,$C1101)&gt;1,"DUPLICADA","OK")))</f>
        <v/>
      </c>
      <c r="E1101" s="22">
        <f>IF($C1101="","",IFERROR(INDEX(ENVIOS!$C$4:$C$3003,MATCH($C1101,ENVIOS!$A$4:$A$3003,0)),"—"))</f>
        <v/>
      </c>
      <c r="F1101" s="22">
        <f>IF($C1101="","",IFERROR(INDEX(ENVIOS!$D$4:$D$3003,MATCH($C1101,ENVIOS!$A$4:$A$3003,0)),"—"))</f>
        <v/>
      </c>
      <c r="G1101" s="22">
        <f>IF($C1101="","",IFERROR(INDEX(ENVIOS!$E$4:$E$3003,MATCH($C1101,ENVIOS!$A$4:$A$3003,0)),"—"))</f>
        <v/>
      </c>
      <c r="H1101" s="22">
        <f>IF($C1101="","",IFERROR(INDEX(ENVIOS!$F$4:$F$3003,MATCH($C1101,ENVIOS!$A$4:$A$3003,0)),"—"))</f>
        <v/>
      </c>
      <c r="I1101" s="27">
        <f>IF($C1101="","",IFERROR(INDEX(ENVIOS!$G$4:$G$3003,MATCH($C1101,ENVIOS!$A$4:$A$3003,0)),"—"))</f>
        <v/>
      </c>
      <c r="J1101" s="48">
        <f>IF($C1101="","",IFERROR(INDEX(ENVIOS!$B$4:$B$3003,MATCH($C1101,ENVIOS!$A$4:$A$3003,0)),""))</f>
        <v/>
      </c>
      <c r="K1101" s="49" t="n"/>
      <c r="L1101" s="27">
        <f>IF($K1101="","",IFERROR(INDEX(CONFIG!$B$4:$B$43,MATCH($K1101,CONFIG!$A$4:$A$43,0)),"Media"))</f>
        <v/>
      </c>
      <c r="M1101" s="27">
        <f>IF($K1101="","",IFERROR(INDEX(CONFIG!$D$4:$D$43,MATCH($K1101,CONFIG!$A$4:$A$43,0)),"NO"))</f>
        <v/>
      </c>
      <c r="N1101" s="49" t="n"/>
      <c r="O1101" s="27">
        <f>IF($N1101="","",IFERROR(INDEX(CONFIG!$G$4:$G$43,MATCH($N1101,CONFIG!$F$4:$F$43,0)),"Por definir"))</f>
        <v/>
      </c>
      <c r="P1101" s="27">
        <f>IF($N1101="","",IFERROR(INDEX(CONFIG!$H$4:$H$43,MATCH($N1101,CONFIG!$F$4:$F$43,0)),"Por definir"))</f>
        <v/>
      </c>
      <c r="Q1101" s="50" t="n"/>
      <c r="R1101" s="51" t="n"/>
      <c r="S1101" s="49" t="n"/>
      <c r="T1101" s="49" t="n"/>
      <c r="U1101" s="48">
        <f>IF(OR($B1101="",$K1101=""),"",WORKDAY($B1101,IFERROR(INDEX(CONFIG!$C$4:$C$43,MATCH($K1101,CONFIG!$A$4:$A$43,0)),3)))</f>
        <v/>
      </c>
      <c r="V1101" s="46" t="n"/>
      <c r="W1101" s="23">
        <f>IF($B1101="","",IF($V1101&lt;&gt;"",$V1101-$B1101,TODAY()-$B1101))</f>
        <v/>
      </c>
      <c r="X1101" s="27">
        <f>IF($C1101="","",IF(IFERROR(INDEX(CONFIG!$K$4:$K$43,MATCH($S1101,CONFIG!$J$4:$J$43,0)),"NO")="SÍ",IF(OR($V1101="",$U1101=""),"Resuelta",IF($V1101&gt;$U1101,"Resuelta tarde","Resuelta a tiempo")),IF($U1101="","Sin clasificar",IF(TODAY()&gt;$U1101,"Vencida",IF(TODAY()&gt;=$U1101-1,"Por vencer","En plazo")))))</f>
        <v/>
      </c>
      <c r="Y1101" s="49" t="n"/>
      <c r="Z1101" s="49" t="n"/>
    </row>
    <row r="1102" ht="16" customHeight="1">
      <c r="A1102" s="27">
        <f>IF($C1102="","","N-"&amp;TEXT(ROW()-3,"0000"))</f>
        <v/>
      </c>
      <c r="B1102" s="46" t="n"/>
      <c r="C1102" s="47" t="n"/>
      <c r="D1102" s="27">
        <f>IF($C1102="","",IF(COUNTIFS(ENVIOS!$A$4:$A$3003,$C1102)=0,"NO EXISTE",IF(COUNTIFS(ENVIOS!$A$4:$A$3003,$C1102)&gt;1,"DUPLICADA","OK")))</f>
        <v/>
      </c>
      <c r="E1102" s="22">
        <f>IF($C1102="","",IFERROR(INDEX(ENVIOS!$C$4:$C$3003,MATCH($C1102,ENVIOS!$A$4:$A$3003,0)),"—"))</f>
        <v/>
      </c>
      <c r="F1102" s="22">
        <f>IF($C1102="","",IFERROR(INDEX(ENVIOS!$D$4:$D$3003,MATCH($C1102,ENVIOS!$A$4:$A$3003,0)),"—"))</f>
        <v/>
      </c>
      <c r="G1102" s="22">
        <f>IF($C1102="","",IFERROR(INDEX(ENVIOS!$E$4:$E$3003,MATCH($C1102,ENVIOS!$A$4:$A$3003,0)),"—"))</f>
        <v/>
      </c>
      <c r="H1102" s="22">
        <f>IF($C1102="","",IFERROR(INDEX(ENVIOS!$F$4:$F$3003,MATCH($C1102,ENVIOS!$A$4:$A$3003,0)),"—"))</f>
        <v/>
      </c>
      <c r="I1102" s="27">
        <f>IF($C1102="","",IFERROR(INDEX(ENVIOS!$G$4:$G$3003,MATCH($C1102,ENVIOS!$A$4:$A$3003,0)),"—"))</f>
        <v/>
      </c>
      <c r="J1102" s="48">
        <f>IF($C1102="","",IFERROR(INDEX(ENVIOS!$B$4:$B$3003,MATCH($C1102,ENVIOS!$A$4:$A$3003,0)),""))</f>
        <v/>
      </c>
      <c r="K1102" s="49" t="n"/>
      <c r="L1102" s="27">
        <f>IF($K1102="","",IFERROR(INDEX(CONFIG!$B$4:$B$43,MATCH($K1102,CONFIG!$A$4:$A$43,0)),"Media"))</f>
        <v/>
      </c>
      <c r="M1102" s="27">
        <f>IF($K1102="","",IFERROR(INDEX(CONFIG!$D$4:$D$43,MATCH($K1102,CONFIG!$A$4:$A$43,0)),"NO"))</f>
        <v/>
      </c>
      <c r="N1102" s="49" t="n"/>
      <c r="O1102" s="27">
        <f>IF($N1102="","",IFERROR(INDEX(CONFIG!$G$4:$G$43,MATCH($N1102,CONFIG!$F$4:$F$43,0)),"Por definir"))</f>
        <v/>
      </c>
      <c r="P1102" s="27">
        <f>IF($N1102="","",IFERROR(INDEX(CONFIG!$H$4:$H$43,MATCH($N1102,CONFIG!$F$4:$F$43,0)),"Por definir"))</f>
        <v/>
      </c>
      <c r="Q1102" s="50" t="n"/>
      <c r="R1102" s="51" t="n"/>
      <c r="S1102" s="49" t="n"/>
      <c r="T1102" s="49" t="n"/>
      <c r="U1102" s="48">
        <f>IF(OR($B1102="",$K1102=""),"",WORKDAY($B1102,IFERROR(INDEX(CONFIG!$C$4:$C$43,MATCH($K1102,CONFIG!$A$4:$A$43,0)),3)))</f>
        <v/>
      </c>
      <c r="V1102" s="46" t="n"/>
      <c r="W1102" s="23">
        <f>IF($B1102="","",IF($V1102&lt;&gt;"",$V1102-$B1102,TODAY()-$B1102))</f>
        <v/>
      </c>
      <c r="X1102" s="27">
        <f>IF($C1102="","",IF(IFERROR(INDEX(CONFIG!$K$4:$K$43,MATCH($S1102,CONFIG!$J$4:$J$43,0)),"NO")="SÍ",IF(OR($V1102="",$U1102=""),"Resuelta",IF($V1102&gt;$U1102,"Resuelta tarde","Resuelta a tiempo")),IF($U1102="","Sin clasificar",IF(TODAY()&gt;$U1102,"Vencida",IF(TODAY()&gt;=$U1102-1,"Por vencer","En plazo")))))</f>
        <v/>
      </c>
      <c r="Y1102" s="49" t="n"/>
      <c r="Z1102" s="49" t="n"/>
    </row>
    <row r="1103" ht="16" customHeight="1">
      <c r="A1103" s="27">
        <f>IF($C1103="","","N-"&amp;TEXT(ROW()-3,"0000"))</f>
        <v/>
      </c>
      <c r="B1103" s="46" t="n"/>
      <c r="C1103" s="47" t="n"/>
      <c r="D1103" s="27">
        <f>IF($C1103="","",IF(COUNTIFS(ENVIOS!$A$4:$A$3003,$C1103)=0,"NO EXISTE",IF(COUNTIFS(ENVIOS!$A$4:$A$3003,$C1103)&gt;1,"DUPLICADA","OK")))</f>
        <v/>
      </c>
      <c r="E1103" s="22">
        <f>IF($C1103="","",IFERROR(INDEX(ENVIOS!$C$4:$C$3003,MATCH($C1103,ENVIOS!$A$4:$A$3003,0)),"—"))</f>
        <v/>
      </c>
      <c r="F1103" s="22">
        <f>IF($C1103="","",IFERROR(INDEX(ENVIOS!$D$4:$D$3003,MATCH($C1103,ENVIOS!$A$4:$A$3003,0)),"—"))</f>
        <v/>
      </c>
      <c r="G1103" s="22">
        <f>IF($C1103="","",IFERROR(INDEX(ENVIOS!$E$4:$E$3003,MATCH($C1103,ENVIOS!$A$4:$A$3003,0)),"—"))</f>
        <v/>
      </c>
      <c r="H1103" s="22">
        <f>IF($C1103="","",IFERROR(INDEX(ENVIOS!$F$4:$F$3003,MATCH($C1103,ENVIOS!$A$4:$A$3003,0)),"—"))</f>
        <v/>
      </c>
      <c r="I1103" s="27">
        <f>IF($C1103="","",IFERROR(INDEX(ENVIOS!$G$4:$G$3003,MATCH($C1103,ENVIOS!$A$4:$A$3003,0)),"—"))</f>
        <v/>
      </c>
      <c r="J1103" s="48">
        <f>IF($C1103="","",IFERROR(INDEX(ENVIOS!$B$4:$B$3003,MATCH($C1103,ENVIOS!$A$4:$A$3003,0)),""))</f>
        <v/>
      </c>
      <c r="K1103" s="49" t="n"/>
      <c r="L1103" s="27">
        <f>IF($K1103="","",IFERROR(INDEX(CONFIG!$B$4:$B$43,MATCH($K1103,CONFIG!$A$4:$A$43,0)),"Media"))</f>
        <v/>
      </c>
      <c r="M1103" s="27">
        <f>IF($K1103="","",IFERROR(INDEX(CONFIG!$D$4:$D$43,MATCH($K1103,CONFIG!$A$4:$A$43,0)),"NO"))</f>
        <v/>
      </c>
      <c r="N1103" s="49" t="n"/>
      <c r="O1103" s="27">
        <f>IF($N1103="","",IFERROR(INDEX(CONFIG!$G$4:$G$43,MATCH($N1103,CONFIG!$F$4:$F$43,0)),"Por definir"))</f>
        <v/>
      </c>
      <c r="P1103" s="27">
        <f>IF($N1103="","",IFERROR(INDEX(CONFIG!$H$4:$H$43,MATCH($N1103,CONFIG!$F$4:$F$43,0)),"Por definir"))</f>
        <v/>
      </c>
      <c r="Q1103" s="50" t="n"/>
      <c r="R1103" s="51" t="n"/>
      <c r="S1103" s="49" t="n"/>
      <c r="T1103" s="49" t="n"/>
      <c r="U1103" s="48">
        <f>IF(OR($B1103="",$K1103=""),"",WORKDAY($B1103,IFERROR(INDEX(CONFIG!$C$4:$C$43,MATCH($K1103,CONFIG!$A$4:$A$43,0)),3)))</f>
        <v/>
      </c>
      <c r="V1103" s="46" t="n"/>
      <c r="W1103" s="23">
        <f>IF($B1103="","",IF($V1103&lt;&gt;"",$V1103-$B1103,TODAY()-$B1103))</f>
        <v/>
      </c>
      <c r="X1103" s="27">
        <f>IF($C1103="","",IF(IFERROR(INDEX(CONFIG!$K$4:$K$43,MATCH($S1103,CONFIG!$J$4:$J$43,0)),"NO")="SÍ",IF(OR($V1103="",$U1103=""),"Resuelta",IF($V1103&gt;$U1103,"Resuelta tarde","Resuelta a tiempo")),IF($U1103="","Sin clasificar",IF(TODAY()&gt;$U1103,"Vencida",IF(TODAY()&gt;=$U1103-1,"Por vencer","En plazo")))))</f>
        <v/>
      </c>
      <c r="Y1103" s="49" t="n"/>
      <c r="Z1103" s="49" t="n"/>
    </row>
    <row r="1104" ht="16" customHeight="1">
      <c r="A1104" s="27">
        <f>IF($C1104="","","N-"&amp;TEXT(ROW()-3,"0000"))</f>
        <v/>
      </c>
      <c r="B1104" s="46" t="n"/>
      <c r="C1104" s="47" t="n"/>
      <c r="D1104" s="27">
        <f>IF($C1104="","",IF(COUNTIFS(ENVIOS!$A$4:$A$3003,$C1104)=0,"NO EXISTE",IF(COUNTIFS(ENVIOS!$A$4:$A$3003,$C1104)&gt;1,"DUPLICADA","OK")))</f>
        <v/>
      </c>
      <c r="E1104" s="22">
        <f>IF($C1104="","",IFERROR(INDEX(ENVIOS!$C$4:$C$3003,MATCH($C1104,ENVIOS!$A$4:$A$3003,0)),"—"))</f>
        <v/>
      </c>
      <c r="F1104" s="22">
        <f>IF($C1104="","",IFERROR(INDEX(ENVIOS!$D$4:$D$3003,MATCH($C1104,ENVIOS!$A$4:$A$3003,0)),"—"))</f>
        <v/>
      </c>
      <c r="G1104" s="22">
        <f>IF($C1104="","",IFERROR(INDEX(ENVIOS!$E$4:$E$3003,MATCH($C1104,ENVIOS!$A$4:$A$3003,0)),"—"))</f>
        <v/>
      </c>
      <c r="H1104" s="22">
        <f>IF($C1104="","",IFERROR(INDEX(ENVIOS!$F$4:$F$3003,MATCH($C1104,ENVIOS!$A$4:$A$3003,0)),"—"))</f>
        <v/>
      </c>
      <c r="I1104" s="27">
        <f>IF($C1104="","",IFERROR(INDEX(ENVIOS!$G$4:$G$3003,MATCH($C1104,ENVIOS!$A$4:$A$3003,0)),"—"))</f>
        <v/>
      </c>
      <c r="J1104" s="48">
        <f>IF($C1104="","",IFERROR(INDEX(ENVIOS!$B$4:$B$3003,MATCH($C1104,ENVIOS!$A$4:$A$3003,0)),""))</f>
        <v/>
      </c>
      <c r="K1104" s="49" t="n"/>
      <c r="L1104" s="27">
        <f>IF($K1104="","",IFERROR(INDEX(CONFIG!$B$4:$B$43,MATCH($K1104,CONFIG!$A$4:$A$43,0)),"Media"))</f>
        <v/>
      </c>
      <c r="M1104" s="27">
        <f>IF($K1104="","",IFERROR(INDEX(CONFIG!$D$4:$D$43,MATCH($K1104,CONFIG!$A$4:$A$43,0)),"NO"))</f>
        <v/>
      </c>
      <c r="N1104" s="49" t="n"/>
      <c r="O1104" s="27">
        <f>IF($N1104="","",IFERROR(INDEX(CONFIG!$G$4:$G$43,MATCH($N1104,CONFIG!$F$4:$F$43,0)),"Por definir"))</f>
        <v/>
      </c>
      <c r="P1104" s="27">
        <f>IF($N1104="","",IFERROR(INDEX(CONFIG!$H$4:$H$43,MATCH($N1104,CONFIG!$F$4:$F$43,0)),"Por definir"))</f>
        <v/>
      </c>
      <c r="Q1104" s="50" t="n"/>
      <c r="R1104" s="51" t="n"/>
      <c r="S1104" s="49" t="n"/>
      <c r="T1104" s="49" t="n"/>
      <c r="U1104" s="48">
        <f>IF(OR($B1104="",$K1104=""),"",WORKDAY($B1104,IFERROR(INDEX(CONFIG!$C$4:$C$43,MATCH($K1104,CONFIG!$A$4:$A$43,0)),3)))</f>
        <v/>
      </c>
      <c r="V1104" s="46" t="n"/>
      <c r="W1104" s="23">
        <f>IF($B1104="","",IF($V1104&lt;&gt;"",$V1104-$B1104,TODAY()-$B1104))</f>
        <v/>
      </c>
      <c r="X1104" s="27">
        <f>IF($C1104="","",IF(IFERROR(INDEX(CONFIG!$K$4:$K$43,MATCH($S1104,CONFIG!$J$4:$J$43,0)),"NO")="SÍ",IF(OR($V1104="",$U1104=""),"Resuelta",IF($V1104&gt;$U1104,"Resuelta tarde","Resuelta a tiempo")),IF($U1104="","Sin clasificar",IF(TODAY()&gt;$U1104,"Vencida",IF(TODAY()&gt;=$U1104-1,"Por vencer","En plazo")))))</f>
        <v/>
      </c>
      <c r="Y1104" s="49" t="n"/>
      <c r="Z1104" s="49" t="n"/>
    </row>
    <row r="1105" ht="16" customHeight="1">
      <c r="A1105" s="27">
        <f>IF($C1105="","","N-"&amp;TEXT(ROW()-3,"0000"))</f>
        <v/>
      </c>
      <c r="B1105" s="46" t="n"/>
      <c r="C1105" s="47" t="n"/>
      <c r="D1105" s="27">
        <f>IF($C1105="","",IF(COUNTIFS(ENVIOS!$A$4:$A$3003,$C1105)=0,"NO EXISTE",IF(COUNTIFS(ENVIOS!$A$4:$A$3003,$C1105)&gt;1,"DUPLICADA","OK")))</f>
        <v/>
      </c>
      <c r="E1105" s="22">
        <f>IF($C1105="","",IFERROR(INDEX(ENVIOS!$C$4:$C$3003,MATCH($C1105,ENVIOS!$A$4:$A$3003,0)),"—"))</f>
        <v/>
      </c>
      <c r="F1105" s="22">
        <f>IF($C1105="","",IFERROR(INDEX(ENVIOS!$D$4:$D$3003,MATCH($C1105,ENVIOS!$A$4:$A$3003,0)),"—"))</f>
        <v/>
      </c>
      <c r="G1105" s="22">
        <f>IF($C1105="","",IFERROR(INDEX(ENVIOS!$E$4:$E$3003,MATCH($C1105,ENVIOS!$A$4:$A$3003,0)),"—"))</f>
        <v/>
      </c>
      <c r="H1105" s="22">
        <f>IF($C1105="","",IFERROR(INDEX(ENVIOS!$F$4:$F$3003,MATCH($C1105,ENVIOS!$A$4:$A$3003,0)),"—"))</f>
        <v/>
      </c>
      <c r="I1105" s="27">
        <f>IF($C1105="","",IFERROR(INDEX(ENVIOS!$G$4:$G$3003,MATCH($C1105,ENVIOS!$A$4:$A$3003,0)),"—"))</f>
        <v/>
      </c>
      <c r="J1105" s="48">
        <f>IF($C1105="","",IFERROR(INDEX(ENVIOS!$B$4:$B$3003,MATCH($C1105,ENVIOS!$A$4:$A$3003,0)),""))</f>
        <v/>
      </c>
      <c r="K1105" s="49" t="n"/>
      <c r="L1105" s="27">
        <f>IF($K1105="","",IFERROR(INDEX(CONFIG!$B$4:$B$43,MATCH($K1105,CONFIG!$A$4:$A$43,0)),"Media"))</f>
        <v/>
      </c>
      <c r="M1105" s="27">
        <f>IF($K1105="","",IFERROR(INDEX(CONFIG!$D$4:$D$43,MATCH($K1105,CONFIG!$A$4:$A$43,0)),"NO"))</f>
        <v/>
      </c>
      <c r="N1105" s="49" t="n"/>
      <c r="O1105" s="27">
        <f>IF($N1105="","",IFERROR(INDEX(CONFIG!$G$4:$G$43,MATCH($N1105,CONFIG!$F$4:$F$43,0)),"Por definir"))</f>
        <v/>
      </c>
      <c r="P1105" s="27">
        <f>IF($N1105="","",IFERROR(INDEX(CONFIG!$H$4:$H$43,MATCH($N1105,CONFIG!$F$4:$F$43,0)),"Por definir"))</f>
        <v/>
      </c>
      <c r="Q1105" s="50" t="n"/>
      <c r="R1105" s="51" t="n"/>
      <c r="S1105" s="49" t="n"/>
      <c r="T1105" s="49" t="n"/>
      <c r="U1105" s="48">
        <f>IF(OR($B1105="",$K1105=""),"",WORKDAY($B1105,IFERROR(INDEX(CONFIG!$C$4:$C$43,MATCH($K1105,CONFIG!$A$4:$A$43,0)),3)))</f>
        <v/>
      </c>
      <c r="V1105" s="46" t="n"/>
      <c r="W1105" s="23">
        <f>IF($B1105="","",IF($V1105&lt;&gt;"",$V1105-$B1105,TODAY()-$B1105))</f>
        <v/>
      </c>
      <c r="X1105" s="27">
        <f>IF($C1105="","",IF(IFERROR(INDEX(CONFIG!$K$4:$K$43,MATCH($S1105,CONFIG!$J$4:$J$43,0)),"NO")="SÍ",IF(OR($V1105="",$U1105=""),"Resuelta",IF($V1105&gt;$U1105,"Resuelta tarde","Resuelta a tiempo")),IF($U1105="","Sin clasificar",IF(TODAY()&gt;$U1105,"Vencida",IF(TODAY()&gt;=$U1105-1,"Por vencer","En plazo")))))</f>
        <v/>
      </c>
      <c r="Y1105" s="49" t="n"/>
      <c r="Z1105" s="49" t="n"/>
    </row>
    <row r="1106" ht="16" customHeight="1">
      <c r="A1106" s="27">
        <f>IF($C1106="","","N-"&amp;TEXT(ROW()-3,"0000"))</f>
        <v/>
      </c>
      <c r="B1106" s="46" t="n"/>
      <c r="C1106" s="47" t="n"/>
      <c r="D1106" s="27">
        <f>IF($C1106="","",IF(COUNTIFS(ENVIOS!$A$4:$A$3003,$C1106)=0,"NO EXISTE",IF(COUNTIFS(ENVIOS!$A$4:$A$3003,$C1106)&gt;1,"DUPLICADA","OK")))</f>
        <v/>
      </c>
      <c r="E1106" s="22">
        <f>IF($C1106="","",IFERROR(INDEX(ENVIOS!$C$4:$C$3003,MATCH($C1106,ENVIOS!$A$4:$A$3003,0)),"—"))</f>
        <v/>
      </c>
      <c r="F1106" s="22">
        <f>IF($C1106="","",IFERROR(INDEX(ENVIOS!$D$4:$D$3003,MATCH($C1106,ENVIOS!$A$4:$A$3003,0)),"—"))</f>
        <v/>
      </c>
      <c r="G1106" s="22">
        <f>IF($C1106="","",IFERROR(INDEX(ENVIOS!$E$4:$E$3003,MATCH($C1106,ENVIOS!$A$4:$A$3003,0)),"—"))</f>
        <v/>
      </c>
      <c r="H1106" s="22">
        <f>IF($C1106="","",IFERROR(INDEX(ENVIOS!$F$4:$F$3003,MATCH($C1106,ENVIOS!$A$4:$A$3003,0)),"—"))</f>
        <v/>
      </c>
      <c r="I1106" s="27">
        <f>IF($C1106="","",IFERROR(INDEX(ENVIOS!$G$4:$G$3003,MATCH($C1106,ENVIOS!$A$4:$A$3003,0)),"—"))</f>
        <v/>
      </c>
      <c r="J1106" s="48">
        <f>IF($C1106="","",IFERROR(INDEX(ENVIOS!$B$4:$B$3003,MATCH($C1106,ENVIOS!$A$4:$A$3003,0)),""))</f>
        <v/>
      </c>
      <c r="K1106" s="49" t="n"/>
      <c r="L1106" s="27">
        <f>IF($K1106="","",IFERROR(INDEX(CONFIG!$B$4:$B$43,MATCH($K1106,CONFIG!$A$4:$A$43,0)),"Media"))</f>
        <v/>
      </c>
      <c r="M1106" s="27">
        <f>IF($K1106="","",IFERROR(INDEX(CONFIG!$D$4:$D$43,MATCH($K1106,CONFIG!$A$4:$A$43,0)),"NO"))</f>
        <v/>
      </c>
      <c r="N1106" s="49" t="n"/>
      <c r="O1106" s="27">
        <f>IF($N1106="","",IFERROR(INDEX(CONFIG!$G$4:$G$43,MATCH($N1106,CONFIG!$F$4:$F$43,0)),"Por definir"))</f>
        <v/>
      </c>
      <c r="P1106" s="27">
        <f>IF($N1106="","",IFERROR(INDEX(CONFIG!$H$4:$H$43,MATCH($N1106,CONFIG!$F$4:$F$43,0)),"Por definir"))</f>
        <v/>
      </c>
      <c r="Q1106" s="50" t="n"/>
      <c r="R1106" s="51" t="n"/>
      <c r="S1106" s="49" t="n"/>
      <c r="T1106" s="49" t="n"/>
      <c r="U1106" s="48">
        <f>IF(OR($B1106="",$K1106=""),"",WORKDAY($B1106,IFERROR(INDEX(CONFIG!$C$4:$C$43,MATCH($K1106,CONFIG!$A$4:$A$43,0)),3)))</f>
        <v/>
      </c>
      <c r="V1106" s="46" t="n"/>
      <c r="W1106" s="23">
        <f>IF($B1106="","",IF($V1106&lt;&gt;"",$V1106-$B1106,TODAY()-$B1106))</f>
        <v/>
      </c>
      <c r="X1106" s="27">
        <f>IF($C1106="","",IF(IFERROR(INDEX(CONFIG!$K$4:$K$43,MATCH($S1106,CONFIG!$J$4:$J$43,0)),"NO")="SÍ",IF(OR($V1106="",$U1106=""),"Resuelta",IF($V1106&gt;$U1106,"Resuelta tarde","Resuelta a tiempo")),IF($U1106="","Sin clasificar",IF(TODAY()&gt;$U1106,"Vencida",IF(TODAY()&gt;=$U1106-1,"Por vencer","En plazo")))))</f>
        <v/>
      </c>
      <c r="Y1106" s="49" t="n"/>
      <c r="Z1106" s="49" t="n"/>
    </row>
    <row r="1107" ht="16" customHeight="1">
      <c r="A1107" s="27">
        <f>IF($C1107="","","N-"&amp;TEXT(ROW()-3,"0000"))</f>
        <v/>
      </c>
      <c r="B1107" s="46" t="n"/>
      <c r="C1107" s="47" t="n"/>
      <c r="D1107" s="27">
        <f>IF($C1107="","",IF(COUNTIFS(ENVIOS!$A$4:$A$3003,$C1107)=0,"NO EXISTE",IF(COUNTIFS(ENVIOS!$A$4:$A$3003,$C1107)&gt;1,"DUPLICADA","OK")))</f>
        <v/>
      </c>
      <c r="E1107" s="22">
        <f>IF($C1107="","",IFERROR(INDEX(ENVIOS!$C$4:$C$3003,MATCH($C1107,ENVIOS!$A$4:$A$3003,0)),"—"))</f>
        <v/>
      </c>
      <c r="F1107" s="22">
        <f>IF($C1107="","",IFERROR(INDEX(ENVIOS!$D$4:$D$3003,MATCH($C1107,ENVIOS!$A$4:$A$3003,0)),"—"))</f>
        <v/>
      </c>
      <c r="G1107" s="22">
        <f>IF($C1107="","",IFERROR(INDEX(ENVIOS!$E$4:$E$3003,MATCH($C1107,ENVIOS!$A$4:$A$3003,0)),"—"))</f>
        <v/>
      </c>
      <c r="H1107" s="22">
        <f>IF($C1107="","",IFERROR(INDEX(ENVIOS!$F$4:$F$3003,MATCH($C1107,ENVIOS!$A$4:$A$3003,0)),"—"))</f>
        <v/>
      </c>
      <c r="I1107" s="27">
        <f>IF($C1107="","",IFERROR(INDEX(ENVIOS!$G$4:$G$3003,MATCH($C1107,ENVIOS!$A$4:$A$3003,0)),"—"))</f>
        <v/>
      </c>
      <c r="J1107" s="48">
        <f>IF($C1107="","",IFERROR(INDEX(ENVIOS!$B$4:$B$3003,MATCH($C1107,ENVIOS!$A$4:$A$3003,0)),""))</f>
        <v/>
      </c>
      <c r="K1107" s="49" t="n"/>
      <c r="L1107" s="27">
        <f>IF($K1107="","",IFERROR(INDEX(CONFIG!$B$4:$B$43,MATCH($K1107,CONFIG!$A$4:$A$43,0)),"Media"))</f>
        <v/>
      </c>
      <c r="M1107" s="27">
        <f>IF($K1107="","",IFERROR(INDEX(CONFIG!$D$4:$D$43,MATCH($K1107,CONFIG!$A$4:$A$43,0)),"NO"))</f>
        <v/>
      </c>
      <c r="N1107" s="49" t="n"/>
      <c r="O1107" s="27">
        <f>IF($N1107="","",IFERROR(INDEX(CONFIG!$G$4:$G$43,MATCH($N1107,CONFIG!$F$4:$F$43,0)),"Por definir"))</f>
        <v/>
      </c>
      <c r="P1107" s="27">
        <f>IF($N1107="","",IFERROR(INDEX(CONFIG!$H$4:$H$43,MATCH($N1107,CONFIG!$F$4:$F$43,0)),"Por definir"))</f>
        <v/>
      </c>
      <c r="Q1107" s="50" t="n"/>
      <c r="R1107" s="51" t="n"/>
      <c r="S1107" s="49" t="n"/>
      <c r="T1107" s="49" t="n"/>
      <c r="U1107" s="48">
        <f>IF(OR($B1107="",$K1107=""),"",WORKDAY($B1107,IFERROR(INDEX(CONFIG!$C$4:$C$43,MATCH($K1107,CONFIG!$A$4:$A$43,0)),3)))</f>
        <v/>
      </c>
      <c r="V1107" s="46" t="n"/>
      <c r="W1107" s="23">
        <f>IF($B1107="","",IF($V1107&lt;&gt;"",$V1107-$B1107,TODAY()-$B1107))</f>
        <v/>
      </c>
      <c r="X1107" s="27">
        <f>IF($C1107="","",IF(IFERROR(INDEX(CONFIG!$K$4:$K$43,MATCH($S1107,CONFIG!$J$4:$J$43,0)),"NO")="SÍ",IF(OR($V1107="",$U1107=""),"Resuelta",IF($V1107&gt;$U1107,"Resuelta tarde","Resuelta a tiempo")),IF($U1107="","Sin clasificar",IF(TODAY()&gt;$U1107,"Vencida",IF(TODAY()&gt;=$U1107-1,"Por vencer","En plazo")))))</f>
        <v/>
      </c>
      <c r="Y1107" s="49" t="n"/>
      <c r="Z1107" s="49" t="n"/>
    </row>
    <row r="1108" ht="16" customHeight="1">
      <c r="A1108" s="27">
        <f>IF($C1108="","","N-"&amp;TEXT(ROW()-3,"0000"))</f>
        <v/>
      </c>
      <c r="B1108" s="46" t="n"/>
      <c r="C1108" s="47" t="n"/>
      <c r="D1108" s="27">
        <f>IF($C1108="","",IF(COUNTIFS(ENVIOS!$A$4:$A$3003,$C1108)=0,"NO EXISTE",IF(COUNTIFS(ENVIOS!$A$4:$A$3003,$C1108)&gt;1,"DUPLICADA","OK")))</f>
        <v/>
      </c>
      <c r="E1108" s="22">
        <f>IF($C1108="","",IFERROR(INDEX(ENVIOS!$C$4:$C$3003,MATCH($C1108,ENVIOS!$A$4:$A$3003,0)),"—"))</f>
        <v/>
      </c>
      <c r="F1108" s="22">
        <f>IF($C1108="","",IFERROR(INDEX(ENVIOS!$D$4:$D$3003,MATCH($C1108,ENVIOS!$A$4:$A$3003,0)),"—"))</f>
        <v/>
      </c>
      <c r="G1108" s="22">
        <f>IF($C1108="","",IFERROR(INDEX(ENVIOS!$E$4:$E$3003,MATCH($C1108,ENVIOS!$A$4:$A$3003,0)),"—"))</f>
        <v/>
      </c>
      <c r="H1108" s="22">
        <f>IF($C1108="","",IFERROR(INDEX(ENVIOS!$F$4:$F$3003,MATCH($C1108,ENVIOS!$A$4:$A$3003,0)),"—"))</f>
        <v/>
      </c>
      <c r="I1108" s="27">
        <f>IF($C1108="","",IFERROR(INDEX(ENVIOS!$G$4:$G$3003,MATCH($C1108,ENVIOS!$A$4:$A$3003,0)),"—"))</f>
        <v/>
      </c>
      <c r="J1108" s="48">
        <f>IF($C1108="","",IFERROR(INDEX(ENVIOS!$B$4:$B$3003,MATCH($C1108,ENVIOS!$A$4:$A$3003,0)),""))</f>
        <v/>
      </c>
      <c r="K1108" s="49" t="n"/>
      <c r="L1108" s="27">
        <f>IF($K1108="","",IFERROR(INDEX(CONFIG!$B$4:$B$43,MATCH($K1108,CONFIG!$A$4:$A$43,0)),"Media"))</f>
        <v/>
      </c>
      <c r="M1108" s="27">
        <f>IF($K1108="","",IFERROR(INDEX(CONFIG!$D$4:$D$43,MATCH($K1108,CONFIG!$A$4:$A$43,0)),"NO"))</f>
        <v/>
      </c>
      <c r="N1108" s="49" t="n"/>
      <c r="O1108" s="27">
        <f>IF($N1108="","",IFERROR(INDEX(CONFIG!$G$4:$G$43,MATCH($N1108,CONFIG!$F$4:$F$43,0)),"Por definir"))</f>
        <v/>
      </c>
      <c r="P1108" s="27">
        <f>IF($N1108="","",IFERROR(INDEX(CONFIG!$H$4:$H$43,MATCH($N1108,CONFIG!$F$4:$F$43,0)),"Por definir"))</f>
        <v/>
      </c>
      <c r="Q1108" s="50" t="n"/>
      <c r="R1108" s="51" t="n"/>
      <c r="S1108" s="49" t="n"/>
      <c r="T1108" s="49" t="n"/>
      <c r="U1108" s="48">
        <f>IF(OR($B1108="",$K1108=""),"",WORKDAY($B1108,IFERROR(INDEX(CONFIG!$C$4:$C$43,MATCH($K1108,CONFIG!$A$4:$A$43,0)),3)))</f>
        <v/>
      </c>
      <c r="V1108" s="46" t="n"/>
      <c r="W1108" s="23">
        <f>IF($B1108="","",IF($V1108&lt;&gt;"",$V1108-$B1108,TODAY()-$B1108))</f>
        <v/>
      </c>
      <c r="X1108" s="27">
        <f>IF($C1108="","",IF(IFERROR(INDEX(CONFIG!$K$4:$K$43,MATCH($S1108,CONFIG!$J$4:$J$43,0)),"NO")="SÍ",IF(OR($V1108="",$U1108=""),"Resuelta",IF($V1108&gt;$U1108,"Resuelta tarde","Resuelta a tiempo")),IF($U1108="","Sin clasificar",IF(TODAY()&gt;$U1108,"Vencida",IF(TODAY()&gt;=$U1108-1,"Por vencer","En plazo")))))</f>
        <v/>
      </c>
      <c r="Y1108" s="49" t="n"/>
      <c r="Z1108" s="49" t="n"/>
    </row>
    <row r="1109" ht="16" customHeight="1">
      <c r="A1109" s="27">
        <f>IF($C1109="","","N-"&amp;TEXT(ROW()-3,"0000"))</f>
        <v/>
      </c>
      <c r="B1109" s="46" t="n"/>
      <c r="C1109" s="47" t="n"/>
      <c r="D1109" s="27">
        <f>IF($C1109="","",IF(COUNTIFS(ENVIOS!$A$4:$A$3003,$C1109)=0,"NO EXISTE",IF(COUNTIFS(ENVIOS!$A$4:$A$3003,$C1109)&gt;1,"DUPLICADA","OK")))</f>
        <v/>
      </c>
      <c r="E1109" s="22">
        <f>IF($C1109="","",IFERROR(INDEX(ENVIOS!$C$4:$C$3003,MATCH($C1109,ENVIOS!$A$4:$A$3003,0)),"—"))</f>
        <v/>
      </c>
      <c r="F1109" s="22">
        <f>IF($C1109="","",IFERROR(INDEX(ENVIOS!$D$4:$D$3003,MATCH($C1109,ENVIOS!$A$4:$A$3003,0)),"—"))</f>
        <v/>
      </c>
      <c r="G1109" s="22">
        <f>IF($C1109="","",IFERROR(INDEX(ENVIOS!$E$4:$E$3003,MATCH($C1109,ENVIOS!$A$4:$A$3003,0)),"—"))</f>
        <v/>
      </c>
      <c r="H1109" s="22">
        <f>IF($C1109="","",IFERROR(INDEX(ENVIOS!$F$4:$F$3003,MATCH($C1109,ENVIOS!$A$4:$A$3003,0)),"—"))</f>
        <v/>
      </c>
      <c r="I1109" s="27">
        <f>IF($C1109="","",IFERROR(INDEX(ENVIOS!$G$4:$G$3003,MATCH($C1109,ENVIOS!$A$4:$A$3003,0)),"—"))</f>
        <v/>
      </c>
      <c r="J1109" s="48">
        <f>IF($C1109="","",IFERROR(INDEX(ENVIOS!$B$4:$B$3003,MATCH($C1109,ENVIOS!$A$4:$A$3003,0)),""))</f>
        <v/>
      </c>
      <c r="K1109" s="49" t="n"/>
      <c r="L1109" s="27">
        <f>IF($K1109="","",IFERROR(INDEX(CONFIG!$B$4:$B$43,MATCH($K1109,CONFIG!$A$4:$A$43,0)),"Media"))</f>
        <v/>
      </c>
      <c r="M1109" s="27">
        <f>IF($K1109="","",IFERROR(INDEX(CONFIG!$D$4:$D$43,MATCH($K1109,CONFIG!$A$4:$A$43,0)),"NO"))</f>
        <v/>
      </c>
      <c r="N1109" s="49" t="n"/>
      <c r="O1109" s="27">
        <f>IF($N1109="","",IFERROR(INDEX(CONFIG!$G$4:$G$43,MATCH($N1109,CONFIG!$F$4:$F$43,0)),"Por definir"))</f>
        <v/>
      </c>
      <c r="P1109" s="27">
        <f>IF($N1109="","",IFERROR(INDEX(CONFIG!$H$4:$H$43,MATCH($N1109,CONFIG!$F$4:$F$43,0)),"Por definir"))</f>
        <v/>
      </c>
      <c r="Q1109" s="50" t="n"/>
      <c r="R1109" s="51" t="n"/>
      <c r="S1109" s="49" t="n"/>
      <c r="T1109" s="49" t="n"/>
      <c r="U1109" s="48">
        <f>IF(OR($B1109="",$K1109=""),"",WORKDAY($B1109,IFERROR(INDEX(CONFIG!$C$4:$C$43,MATCH($K1109,CONFIG!$A$4:$A$43,0)),3)))</f>
        <v/>
      </c>
      <c r="V1109" s="46" t="n"/>
      <c r="W1109" s="23">
        <f>IF($B1109="","",IF($V1109&lt;&gt;"",$V1109-$B1109,TODAY()-$B1109))</f>
        <v/>
      </c>
      <c r="X1109" s="27">
        <f>IF($C1109="","",IF(IFERROR(INDEX(CONFIG!$K$4:$K$43,MATCH($S1109,CONFIG!$J$4:$J$43,0)),"NO")="SÍ",IF(OR($V1109="",$U1109=""),"Resuelta",IF($V1109&gt;$U1109,"Resuelta tarde","Resuelta a tiempo")),IF($U1109="","Sin clasificar",IF(TODAY()&gt;$U1109,"Vencida",IF(TODAY()&gt;=$U1109-1,"Por vencer","En plazo")))))</f>
        <v/>
      </c>
      <c r="Y1109" s="49" t="n"/>
      <c r="Z1109" s="49" t="n"/>
    </row>
    <row r="1110" ht="16" customHeight="1">
      <c r="A1110" s="27">
        <f>IF($C1110="","","N-"&amp;TEXT(ROW()-3,"0000"))</f>
        <v/>
      </c>
      <c r="B1110" s="46" t="n"/>
      <c r="C1110" s="47" t="n"/>
      <c r="D1110" s="27">
        <f>IF($C1110="","",IF(COUNTIFS(ENVIOS!$A$4:$A$3003,$C1110)=0,"NO EXISTE",IF(COUNTIFS(ENVIOS!$A$4:$A$3003,$C1110)&gt;1,"DUPLICADA","OK")))</f>
        <v/>
      </c>
      <c r="E1110" s="22">
        <f>IF($C1110="","",IFERROR(INDEX(ENVIOS!$C$4:$C$3003,MATCH($C1110,ENVIOS!$A$4:$A$3003,0)),"—"))</f>
        <v/>
      </c>
      <c r="F1110" s="22">
        <f>IF($C1110="","",IFERROR(INDEX(ENVIOS!$D$4:$D$3003,MATCH($C1110,ENVIOS!$A$4:$A$3003,0)),"—"))</f>
        <v/>
      </c>
      <c r="G1110" s="22">
        <f>IF($C1110="","",IFERROR(INDEX(ENVIOS!$E$4:$E$3003,MATCH($C1110,ENVIOS!$A$4:$A$3003,0)),"—"))</f>
        <v/>
      </c>
      <c r="H1110" s="22">
        <f>IF($C1110="","",IFERROR(INDEX(ENVIOS!$F$4:$F$3003,MATCH($C1110,ENVIOS!$A$4:$A$3003,0)),"—"))</f>
        <v/>
      </c>
      <c r="I1110" s="27">
        <f>IF($C1110="","",IFERROR(INDEX(ENVIOS!$G$4:$G$3003,MATCH($C1110,ENVIOS!$A$4:$A$3003,0)),"—"))</f>
        <v/>
      </c>
      <c r="J1110" s="48">
        <f>IF($C1110="","",IFERROR(INDEX(ENVIOS!$B$4:$B$3003,MATCH($C1110,ENVIOS!$A$4:$A$3003,0)),""))</f>
        <v/>
      </c>
      <c r="K1110" s="49" t="n"/>
      <c r="L1110" s="27">
        <f>IF($K1110="","",IFERROR(INDEX(CONFIG!$B$4:$B$43,MATCH($K1110,CONFIG!$A$4:$A$43,0)),"Media"))</f>
        <v/>
      </c>
      <c r="M1110" s="27">
        <f>IF($K1110="","",IFERROR(INDEX(CONFIG!$D$4:$D$43,MATCH($K1110,CONFIG!$A$4:$A$43,0)),"NO"))</f>
        <v/>
      </c>
      <c r="N1110" s="49" t="n"/>
      <c r="O1110" s="27">
        <f>IF($N1110="","",IFERROR(INDEX(CONFIG!$G$4:$G$43,MATCH($N1110,CONFIG!$F$4:$F$43,0)),"Por definir"))</f>
        <v/>
      </c>
      <c r="P1110" s="27">
        <f>IF($N1110="","",IFERROR(INDEX(CONFIG!$H$4:$H$43,MATCH($N1110,CONFIG!$F$4:$F$43,0)),"Por definir"))</f>
        <v/>
      </c>
      <c r="Q1110" s="50" t="n"/>
      <c r="R1110" s="51" t="n"/>
      <c r="S1110" s="49" t="n"/>
      <c r="T1110" s="49" t="n"/>
      <c r="U1110" s="48">
        <f>IF(OR($B1110="",$K1110=""),"",WORKDAY($B1110,IFERROR(INDEX(CONFIG!$C$4:$C$43,MATCH($K1110,CONFIG!$A$4:$A$43,0)),3)))</f>
        <v/>
      </c>
      <c r="V1110" s="46" t="n"/>
      <c r="W1110" s="23">
        <f>IF($B1110="","",IF($V1110&lt;&gt;"",$V1110-$B1110,TODAY()-$B1110))</f>
        <v/>
      </c>
      <c r="X1110" s="27">
        <f>IF($C1110="","",IF(IFERROR(INDEX(CONFIG!$K$4:$K$43,MATCH($S1110,CONFIG!$J$4:$J$43,0)),"NO")="SÍ",IF(OR($V1110="",$U1110=""),"Resuelta",IF($V1110&gt;$U1110,"Resuelta tarde","Resuelta a tiempo")),IF($U1110="","Sin clasificar",IF(TODAY()&gt;$U1110,"Vencida",IF(TODAY()&gt;=$U1110-1,"Por vencer","En plazo")))))</f>
        <v/>
      </c>
      <c r="Y1110" s="49" t="n"/>
      <c r="Z1110" s="49" t="n"/>
    </row>
    <row r="1111" ht="16" customHeight="1">
      <c r="A1111" s="27">
        <f>IF($C1111="","","N-"&amp;TEXT(ROW()-3,"0000"))</f>
        <v/>
      </c>
      <c r="B1111" s="46" t="n"/>
      <c r="C1111" s="47" t="n"/>
      <c r="D1111" s="27">
        <f>IF($C1111="","",IF(COUNTIFS(ENVIOS!$A$4:$A$3003,$C1111)=0,"NO EXISTE",IF(COUNTIFS(ENVIOS!$A$4:$A$3003,$C1111)&gt;1,"DUPLICADA","OK")))</f>
        <v/>
      </c>
      <c r="E1111" s="22">
        <f>IF($C1111="","",IFERROR(INDEX(ENVIOS!$C$4:$C$3003,MATCH($C1111,ENVIOS!$A$4:$A$3003,0)),"—"))</f>
        <v/>
      </c>
      <c r="F1111" s="22">
        <f>IF($C1111="","",IFERROR(INDEX(ENVIOS!$D$4:$D$3003,MATCH($C1111,ENVIOS!$A$4:$A$3003,0)),"—"))</f>
        <v/>
      </c>
      <c r="G1111" s="22">
        <f>IF($C1111="","",IFERROR(INDEX(ENVIOS!$E$4:$E$3003,MATCH($C1111,ENVIOS!$A$4:$A$3003,0)),"—"))</f>
        <v/>
      </c>
      <c r="H1111" s="22">
        <f>IF($C1111="","",IFERROR(INDEX(ENVIOS!$F$4:$F$3003,MATCH($C1111,ENVIOS!$A$4:$A$3003,0)),"—"))</f>
        <v/>
      </c>
      <c r="I1111" s="27">
        <f>IF($C1111="","",IFERROR(INDEX(ENVIOS!$G$4:$G$3003,MATCH($C1111,ENVIOS!$A$4:$A$3003,0)),"—"))</f>
        <v/>
      </c>
      <c r="J1111" s="48">
        <f>IF($C1111="","",IFERROR(INDEX(ENVIOS!$B$4:$B$3003,MATCH($C1111,ENVIOS!$A$4:$A$3003,0)),""))</f>
        <v/>
      </c>
      <c r="K1111" s="49" t="n"/>
      <c r="L1111" s="27">
        <f>IF($K1111="","",IFERROR(INDEX(CONFIG!$B$4:$B$43,MATCH($K1111,CONFIG!$A$4:$A$43,0)),"Media"))</f>
        <v/>
      </c>
      <c r="M1111" s="27">
        <f>IF($K1111="","",IFERROR(INDEX(CONFIG!$D$4:$D$43,MATCH($K1111,CONFIG!$A$4:$A$43,0)),"NO"))</f>
        <v/>
      </c>
      <c r="N1111" s="49" t="n"/>
      <c r="O1111" s="27">
        <f>IF($N1111="","",IFERROR(INDEX(CONFIG!$G$4:$G$43,MATCH($N1111,CONFIG!$F$4:$F$43,0)),"Por definir"))</f>
        <v/>
      </c>
      <c r="P1111" s="27">
        <f>IF($N1111="","",IFERROR(INDEX(CONFIG!$H$4:$H$43,MATCH($N1111,CONFIG!$F$4:$F$43,0)),"Por definir"))</f>
        <v/>
      </c>
      <c r="Q1111" s="50" t="n"/>
      <c r="R1111" s="51" t="n"/>
      <c r="S1111" s="49" t="n"/>
      <c r="T1111" s="49" t="n"/>
      <c r="U1111" s="48">
        <f>IF(OR($B1111="",$K1111=""),"",WORKDAY($B1111,IFERROR(INDEX(CONFIG!$C$4:$C$43,MATCH($K1111,CONFIG!$A$4:$A$43,0)),3)))</f>
        <v/>
      </c>
      <c r="V1111" s="46" t="n"/>
      <c r="W1111" s="23">
        <f>IF($B1111="","",IF($V1111&lt;&gt;"",$V1111-$B1111,TODAY()-$B1111))</f>
        <v/>
      </c>
      <c r="X1111" s="27">
        <f>IF($C1111="","",IF(IFERROR(INDEX(CONFIG!$K$4:$K$43,MATCH($S1111,CONFIG!$J$4:$J$43,0)),"NO")="SÍ",IF(OR($V1111="",$U1111=""),"Resuelta",IF($V1111&gt;$U1111,"Resuelta tarde","Resuelta a tiempo")),IF($U1111="","Sin clasificar",IF(TODAY()&gt;$U1111,"Vencida",IF(TODAY()&gt;=$U1111-1,"Por vencer","En plazo")))))</f>
        <v/>
      </c>
      <c r="Y1111" s="49" t="n"/>
      <c r="Z1111" s="49" t="n"/>
    </row>
    <row r="1112" ht="16" customHeight="1">
      <c r="A1112" s="27">
        <f>IF($C1112="","","N-"&amp;TEXT(ROW()-3,"0000"))</f>
        <v/>
      </c>
      <c r="B1112" s="46" t="n"/>
      <c r="C1112" s="47" t="n"/>
      <c r="D1112" s="27">
        <f>IF($C1112="","",IF(COUNTIFS(ENVIOS!$A$4:$A$3003,$C1112)=0,"NO EXISTE",IF(COUNTIFS(ENVIOS!$A$4:$A$3003,$C1112)&gt;1,"DUPLICADA","OK")))</f>
        <v/>
      </c>
      <c r="E1112" s="22">
        <f>IF($C1112="","",IFERROR(INDEX(ENVIOS!$C$4:$C$3003,MATCH($C1112,ENVIOS!$A$4:$A$3003,0)),"—"))</f>
        <v/>
      </c>
      <c r="F1112" s="22">
        <f>IF($C1112="","",IFERROR(INDEX(ENVIOS!$D$4:$D$3003,MATCH($C1112,ENVIOS!$A$4:$A$3003,0)),"—"))</f>
        <v/>
      </c>
      <c r="G1112" s="22">
        <f>IF($C1112="","",IFERROR(INDEX(ENVIOS!$E$4:$E$3003,MATCH($C1112,ENVIOS!$A$4:$A$3003,0)),"—"))</f>
        <v/>
      </c>
      <c r="H1112" s="22">
        <f>IF($C1112="","",IFERROR(INDEX(ENVIOS!$F$4:$F$3003,MATCH($C1112,ENVIOS!$A$4:$A$3003,0)),"—"))</f>
        <v/>
      </c>
      <c r="I1112" s="27">
        <f>IF($C1112="","",IFERROR(INDEX(ENVIOS!$G$4:$G$3003,MATCH($C1112,ENVIOS!$A$4:$A$3003,0)),"—"))</f>
        <v/>
      </c>
      <c r="J1112" s="48">
        <f>IF($C1112="","",IFERROR(INDEX(ENVIOS!$B$4:$B$3003,MATCH($C1112,ENVIOS!$A$4:$A$3003,0)),""))</f>
        <v/>
      </c>
      <c r="K1112" s="49" t="n"/>
      <c r="L1112" s="27">
        <f>IF($K1112="","",IFERROR(INDEX(CONFIG!$B$4:$B$43,MATCH($K1112,CONFIG!$A$4:$A$43,0)),"Media"))</f>
        <v/>
      </c>
      <c r="M1112" s="27">
        <f>IF($K1112="","",IFERROR(INDEX(CONFIG!$D$4:$D$43,MATCH($K1112,CONFIG!$A$4:$A$43,0)),"NO"))</f>
        <v/>
      </c>
      <c r="N1112" s="49" t="n"/>
      <c r="O1112" s="27">
        <f>IF($N1112="","",IFERROR(INDEX(CONFIG!$G$4:$G$43,MATCH($N1112,CONFIG!$F$4:$F$43,0)),"Por definir"))</f>
        <v/>
      </c>
      <c r="P1112" s="27">
        <f>IF($N1112="","",IFERROR(INDEX(CONFIG!$H$4:$H$43,MATCH($N1112,CONFIG!$F$4:$F$43,0)),"Por definir"))</f>
        <v/>
      </c>
      <c r="Q1112" s="50" t="n"/>
      <c r="R1112" s="51" t="n"/>
      <c r="S1112" s="49" t="n"/>
      <c r="T1112" s="49" t="n"/>
      <c r="U1112" s="48">
        <f>IF(OR($B1112="",$K1112=""),"",WORKDAY($B1112,IFERROR(INDEX(CONFIG!$C$4:$C$43,MATCH($K1112,CONFIG!$A$4:$A$43,0)),3)))</f>
        <v/>
      </c>
      <c r="V1112" s="46" t="n"/>
      <c r="W1112" s="23">
        <f>IF($B1112="","",IF($V1112&lt;&gt;"",$V1112-$B1112,TODAY()-$B1112))</f>
        <v/>
      </c>
      <c r="X1112" s="27">
        <f>IF($C1112="","",IF(IFERROR(INDEX(CONFIG!$K$4:$K$43,MATCH($S1112,CONFIG!$J$4:$J$43,0)),"NO")="SÍ",IF(OR($V1112="",$U1112=""),"Resuelta",IF($V1112&gt;$U1112,"Resuelta tarde","Resuelta a tiempo")),IF($U1112="","Sin clasificar",IF(TODAY()&gt;$U1112,"Vencida",IF(TODAY()&gt;=$U1112-1,"Por vencer","En plazo")))))</f>
        <v/>
      </c>
      <c r="Y1112" s="49" t="n"/>
      <c r="Z1112" s="49" t="n"/>
    </row>
    <row r="1113" ht="16" customHeight="1">
      <c r="A1113" s="27">
        <f>IF($C1113="","","N-"&amp;TEXT(ROW()-3,"0000"))</f>
        <v/>
      </c>
      <c r="B1113" s="46" t="n"/>
      <c r="C1113" s="47" t="n"/>
      <c r="D1113" s="27">
        <f>IF($C1113="","",IF(COUNTIFS(ENVIOS!$A$4:$A$3003,$C1113)=0,"NO EXISTE",IF(COUNTIFS(ENVIOS!$A$4:$A$3003,$C1113)&gt;1,"DUPLICADA","OK")))</f>
        <v/>
      </c>
      <c r="E1113" s="22">
        <f>IF($C1113="","",IFERROR(INDEX(ENVIOS!$C$4:$C$3003,MATCH($C1113,ENVIOS!$A$4:$A$3003,0)),"—"))</f>
        <v/>
      </c>
      <c r="F1113" s="22">
        <f>IF($C1113="","",IFERROR(INDEX(ENVIOS!$D$4:$D$3003,MATCH($C1113,ENVIOS!$A$4:$A$3003,0)),"—"))</f>
        <v/>
      </c>
      <c r="G1113" s="22">
        <f>IF($C1113="","",IFERROR(INDEX(ENVIOS!$E$4:$E$3003,MATCH($C1113,ENVIOS!$A$4:$A$3003,0)),"—"))</f>
        <v/>
      </c>
      <c r="H1113" s="22">
        <f>IF($C1113="","",IFERROR(INDEX(ENVIOS!$F$4:$F$3003,MATCH($C1113,ENVIOS!$A$4:$A$3003,0)),"—"))</f>
        <v/>
      </c>
      <c r="I1113" s="27">
        <f>IF($C1113="","",IFERROR(INDEX(ENVIOS!$G$4:$G$3003,MATCH($C1113,ENVIOS!$A$4:$A$3003,0)),"—"))</f>
        <v/>
      </c>
      <c r="J1113" s="48">
        <f>IF($C1113="","",IFERROR(INDEX(ENVIOS!$B$4:$B$3003,MATCH($C1113,ENVIOS!$A$4:$A$3003,0)),""))</f>
        <v/>
      </c>
      <c r="K1113" s="49" t="n"/>
      <c r="L1113" s="27">
        <f>IF($K1113="","",IFERROR(INDEX(CONFIG!$B$4:$B$43,MATCH($K1113,CONFIG!$A$4:$A$43,0)),"Media"))</f>
        <v/>
      </c>
      <c r="M1113" s="27">
        <f>IF($K1113="","",IFERROR(INDEX(CONFIG!$D$4:$D$43,MATCH($K1113,CONFIG!$A$4:$A$43,0)),"NO"))</f>
        <v/>
      </c>
      <c r="N1113" s="49" t="n"/>
      <c r="O1113" s="27">
        <f>IF($N1113="","",IFERROR(INDEX(CONFIG!$G$4:$G$43,MATCH($N1113,CONFIG!$F$4:$F$43,0)),"Por definir"))</f>
        <v/>
      </c>
      <c r="P1113" s="27">
        <f>IF($N1113="","",IFERROR(INDEX(CONFIG!$H$4:$H$43,MATCH($N1113,CONFIG!$F$4:$F$43,0)),"Por definir"))</f>
        <v/>
      </c>
      <c r="Q1113" s="50" t="n"/>
      <c r="R1113" s="51" t="n"/>
      <c r="S1113" s="49" t="n"/>
      <c r="T1113" s="49" t="n"/>
      <c r="U1113" s="48">
        <f>IF(OR($B1113="",$K1113=""),"",WORKDAY($B1113,IFERROR(INDEX(CONFIG!$C$4:$C$43,MATCH($K1113,CONFIG!$A$4:$A$43,0)),3)))</f>
        <v/>
      </c>
      <c r="V1113" s="46" t="n"/>
      <c r="W1113" s="23">
        <f>IF($B1113="","",IF($V1113&lt;&gt;"",$V1113-$B1113,TODAY()-$B1113))</f>
        <v/>
      </c>
      <c r="X1113" s="27">
        <f>IF($C1113="","",IF(IFERROR(INDEX(CONFIG!$K$4:$K$43,MATCH($S1113,CONFIG!$J$4:$J$43,0)),"NO")="SÍ",IF(OR($V1113="",$U1113=""),"Resuelta",IF($V1113&gt;$U1113,"Resuelta tarde","Resuelta a tiempo")),IF($U1113="","Sin clasificar",IF(TODAY()&gt;$U1113,"Vencida",IF(TODAY()&gt;=$U1113-1,"Por vencer","En plazo")))))</f>
        <v/>
      </c>
      <c r="Y1113" s="49" t="n"/>
      <c r="Z1113" s="49" t="n"/>
    </row>
    <row r="1114" ht="16" customHeight="1">
      <c r="A1114" s="27">
        <f>IF($C1114="","","N-"&amp;TEXT(ROW()-3,"0000"))</f>
        <v/>
      </c>
      <c r="B1114" s="46" t="n"/>
      <c r="C1114" s="47" t="n"/>
      <c r="D1114" s="27">
        <f>IF($C1114="","",IF(COUNTIFS(ENVIOS!$A$4:$A$3003,$C1114)=0,"NO EXISTE",IF(COUNTIFS(ENVIOS!$A$4:$A$3003,$C1114)&gt;1,"DUPLICADA","OK")))</f>
        <v/>
      </c>
      <c r="E1114" s="22">
        <f>IF($C1114="","",IFERROR(INDEX(ENVIOS!$C$4:$C$3003,MATCH($C1114,ENVIOS!$A$4:$A$3003,0)),"—"))</f>
        <v/>
      </c>
      <c r="F1114" s="22">
        <f>IF($C1114="","",IFERROR(INDEX(ENVIOS!$D$4:$D$3003,MATCH($C1114,ENVIOS!$A$4:$A$3003,0)),"—"))</f>
        <v/>
      </c>
      <c r="G1114" s="22">
        <f>IF($C1114="","",IFERROR(INDEX(ENVIOS!$E$4:$E$3003,MATCH($C1114,ENVIOS!$A$4:$A$3003,0)),"—"))</f>
        <v/>
      </c>
      <c r="H1114" s="22">
        <f>IF($C1114="","",IFERROR(INDEX(ENVIOS!$F$4:$F$3003,MATCH($C1114,ENVIOS!$A$4:$A$3003,0)),"—"))</f>
        <v/>
      </c>
      <c r="I1114" s="27">
        <f>IF($C1114="","",IFERROR(INDEX(ENVIOS!$G$4:$G$3003,MATCH($C1114,ENVIOS!$A$4:$A$3003,0)),"—"))</f>
        <v/>
      </c>
      <c r="J1114" s="48">
        <f>IF($C1114="","",IFERROR(INDEX(ENVIOS!$B$4:$B$3003,MATCH($C1114,ENVIOS!$A$4:$A$3003,0)),""))</f>
        <v/>
      </c>
      <c r="K1114" s="49" t="n"/>
      <c r="L1114" s="27">
        <f>IF($K1114="","",IFERROR(INDEX(CONFIG!$B$4:$B$43,MATCH($K1114,CONFIG!$A$4:$A$43,0)),"Media"))</f>
        <v/>
      </c>
      <c r="M1114" s="27">
        <f>IF($K1114="","",IFERROR(INDEX(CONFIG!$D$4:$D$43,MATCH($K1114,CONFIG!$A$4:$A$43,0)),"NO"))</f>
        <v/>
      </c>
      <c r="N1114" s="49" t="n"/>
      <c r="O1114" s="27">
        <f>IF($N1114="","",IFERROR(INDEX(CONFIG!$G$4:$G$43,MATCH($N1114,CONFIG!$F$4:$F$43,0)),"Por definir"))</f>
        <v/>
      </c>
      <c r="P1114" s="27">
        <f>IF($N1114="","",IFERROR(INDEX(CONFIG!$H$4:$H$43,MATCH($N1114,CONFIG!$F$4:$F$43,0)),"Por definir"))</f>
        <v/>
      </c>
      <c r="Q1114" s="50" t="n"/>
      <c r="R1114" s="51" t="n"/>
      <c r="S1114" s="49" t="n"/>
      <c r="T1114" s="49" t="n"/>
      <c r="U1114" s="48">
        <f>IF(OR($B1114="",$K1114=""),"",WORKDAY($B1114,IFERROR(INDEX(CONFIG!$C$4:$C$43,MATCH($K1114,CONFIG!$A$4:$A$43,0)),3)))</f>
        <v/>
      </c>
      <c r="V1114" s="46" t="n"/>
      <c r="W1114" s="23">
        <f>IF($B1114="","",IF($V1114&lt;&gt;"",$V1114-$B1114,TODAY()-$B1114))</f>
        <v/>
      </c>
      <c r="X1114" s="27">
        <f>IF($C1114="","",IF(IFERROR(INDEX(CONFIG!$K$4:$K$43,MATCH($S1114,CONFIG!$J$4:$J$43,0)),"NO")="SÍ",IF(OR($V1114="",$U1114=""),"Resuelta",IF($V1114&gt;$U1114,"Resuelta tarde","Resuelta a tiempo")),IF($U1114="","Sin clasificar",IF(TODAY()&gt;$U1114,"Vencida",IF(TODAY()&gt;=$U1114-1,"Por vencer","En plazo")))))</f>
        <v/>
      </c>
      <c r="Y1114" s="49" t="n"/>
      <c r="Z1114" s="49" t="n"/>
    </row>
    <row r="1115" ht="16" customHeight="1">
      <c r="A1115" s="27">
        <f>IF($C1115="","","N-"&amp;TEXT(ROW()-3,"0000"))</f>
        <v/>
      </c>
      <c r="B1115" s="46" t="n"/>
      <c r="C1115" s="47" t="n"/>
      <c r="D1115" s="27">
        <f>IF($C1115="","",IF(COUNTIFS(ENVIOS!$A$4:$A$3003,$C1115)=0,"NO EXISTE",IF(COUNTIFS(ENVIOS!$A$4:$A$3003,$C1115)&gt;1,"DUPLICADA","OK")))</f>
        <v/>
      </c>
      <c r="E1115" s="22">
        <f>IF($C1115="","",IFERROR(INDEX(ENVIOS!$C$4:$C$3003,MATCH($C1115,ENVIOS!$A$4:$A$3003,0)),"—"))</f>
        <v/>
      </c>
      <c r="F1115" s="22">
        <f>IF($C1115="","",IFERROR(INDEX(ENVIOS!$D$4:$D$3003,MATCH($C1115,ENVIOS!$A$4:$A$3003,0)),"—"))</f>
        <v/>
      </c>
      <c r="G1115" s="22">
        <f>IF($C1115="","",IFERROR(INDEX(ENVIOS!$E$4:$E$3003,MATCH($C1115,ENVIOS!$A$4:$A$3003,0)),"—"))</f>
        <v/>
      </c>
      <c r="H1115" s="22">
        <f>IF($C1115="","",IFERROR(INDEX(ENVIOS!$F$4:$F$3003,MATCH($C1115,ENVIOS!$A$4:$A$3003,0)),"—"))</f>
        <v/>
      </c>
      <c r="I1115" s="27">
        <f>IF($C1115="","",IFERROR(INDEX(ENVIOS!$G$4:$G$3003,MATCH($C1115,ENVIOS!$A$4:$A$3003,0)),"—"))</f>
        <v/>
      </c>
      <c r="J1115" s="48">
        <f>IF($C1115="","",IFERROR(INDEX(ENVIOS!$B$4:$B$3003,MATCH($C1115,ENVIOS!$A$4:$A$3003,0)),""))</f>
        <v/>
      </c>
      <c r="K1115" s="49" t="n"/>
      <c r="L1115" s="27">
        <f>IF($K1115="","",IFERROR(INDEX(CONFIG!$B$4:$B$43,MATCH($K1115,CONFIG!$A$4:$A$43,0)),"Media"))</f>
        <v/>
      </c>
      <c r="M1115" s="27">
        <f>IF($K1115="","",IFERROR(INDEX(CONFIG!$D$4:$D$43,MATCH($K1115,CONFIG!$A$4:$A$43,0)),"NO"))</f>
        <v/>
      </c>
      <c r="N1115" s="49" t="n"/>
      <c r="O1115" s="27">
        <f>IF($N1115="","",IFERROR(INDEX(CONFIG!$G$4:$G$43,MATCH($N1115,CONFIG!$F$4:$F$43,0)),"Por definir"))</f>
        <v/>
      </c>
      <c r="P1115" s="27">
        <f>IF($N1115="","",IFERROR(INDEX(CONFIG!$H$4:$H$43,MATCH($N1115,CONFIG!$F$4:$F$43,0)),"Por definir"))</f>
        <v/>
      </c>
      <c r="Q1115" s="50" t="n"/>
      <c r="R1115" s="51" t="n"/>
      <c r="S1115" s="49" t="n"/>
      <c r="T1115" s="49" t="n"/>
      <c r="U1115" s="48">
        <f>IF(OR($B1115="",$K1115=""),"",WORKDAY($B1115,IFERROR(INDEX(CONFIG!$C$4:$C$43,MATCH($K1115,CONFIG!$A$4:$A$43,0)),3)))</f>
        <v/>
      </c>
      <c r="V1115" s="46" t="n"/>
      <c r="W1115" s="23">
        <f>IF($B1115="","",IF($V1115&lt;&gt;"",$V1115-$B1115,TODAY()-$B1115))</f>
        <v/>
      </c>
      <c r="X1115" s="27">
        <f>IF($C1115="","",IF(IFERROR(INDEX(CONFIG!$K$4:$K$43,MATCH($S1115,CONFIG!$J$4:$J$43,0)),"NO")="SÍ",IF(OR($V1115="",$U1115=""),"Resuelta",IF($V1115&gt;$U1115,"Resuelta tarde","Resuelta a tiempo")),IF($U1115="","Sin clasificar",IF(TODAY()&gt;$U1115,"Vencida",IF(TODAY()&gt;=$U1115-1,"Por vencer","En plazo")))))</f>
        <v/>
      </c>
      <c r="Y1115" s="49" t="n"/>
      <c r="Z1115" s="49" t="n"/>
    </row>
    <row r="1116" ht="16" customHeight="1">
      <c r="A1116" s="27">
        <f>IF($C1116="","","N-"&amp;TEXT(ROW()-3,"0000"))</f>
        <v/>
      </c>
      <c r="B1116" s="46" t="n"/>
      <c r="C1116" s="47" t="n"/>
      <c r="D1116" s="27">
        <f>IF($C1116="","",IF(COUNTIFS(ENVIOS!$A$4:$A$3003,$C1116)=0,"NO EXISTE",IF(COUNTIFS(ENVIOS!$A$4:$A$3003,$C1116)&gt;1,"DUPLICADA","OK")))</f>
        <v/>
      </c>
      <c r="E1116" s="22">
        <f>IF($C1116="","",IFERROR(INDEX(ENVIOS!$C$4:$C$3003,MATCH($C1116,ENVIOS!$A$4:$A$3003,0)),"—"))</f>
        <v/>
      </c>
      <c r="F1116" s="22">
        <f>IF($C1116="","",IFERROR(INDEX(ENVIOS!$D$4:$D$3003,MATCH($C1116,ENVIOS!$A$4:$A$3003,0)),"—"))</f>
        <v/>
      </c>
      <c r="G1116" s="22">
        <f>IF($C1116="","",IFERROR(INDEX(ENVIOS!$E$4:$E$3003,MATCH($C1116,ENVIOS!$A$4:$A$3003,0)),"—"))</f>
        <v/>
      </c>
      <c r="H1116" s="22">
        <f>IF($C1116="","",IFERROR(INDEX(ENVIOS!$F$4:$F$3003,MATCH($C1116,ENVIOS!$A$4:$A$3003,0)),"—"))</f>
        <v/>
      </c>
      <c r="I1116" s="27">
        <f>IF($C1116="","",IFERROR(INDEX(ENVIOS!$G$4:$G$3003,MATCH($C1116,ENVIOS!$A$4:$A$3003,0)),"—"))</f>
        <v/>
      </c>
      <c r="J1116" s="48">
        <f>IF($C1116="","",IFERROR(INDEX(ENVIOS!$B$4:$B$3003,MATCH($C1116,ENVIOS!$A$4:$A$3003,0)),""))</f>
        <v/>
      </c>
      <c r="K1116" s="49" t="n"/>
      <c r="L1116" s="27">
        <f>IF($K1116="","",IFERROR(INDEX(CONFIG!$B$4:$B$43,MATCH($K1116,CONFIG!$A$4:$A$43,0)),"Media"))</f>
        <v/>
      </c>
      <c r="M1116" s="27">
        <f>IF($K1116="","",IFERROR(INDEX(CONFIG!$D$4:$D$43,MATCH($K1116,CONFIG!$A$4:$A$43,0)),"NO"))</f>
        <v/>
      </c>
      <c r="N1116" s="49" t="n"/>
      <c r="O1116" s="27">
        <f>IF($N1116="","",IFERROR(INDEX(CONFIG!$G$4:$G$43,MATCH($N1116,CONFIG!$F$4:$F$43,0)),"Por definir"))</f>
        <v/>
      </c>
      <c r="P1116" s="27">
        <f>IF($N1116="","",IFERROR(INDEX(CONFIG!$H$4:$H$43,MATCH($N1116,CONFIG!$F$4:$F$43,0)),"Por definir"))</f>
        <v/>
      </c>
      <c r="Q1116" s="50" t="n"/>
      <c r="R1116" s="51" t="n"/>
      <c r="S1116" s="49" t="n"/>
      <c r="T1116" s="49" t="n"/>
      <c r="U1116" s="48">
        <f>IF(OR($B1116="",$K1116=""),"",WORKDAY($B1116,IFERROR(INDEX(CONFIG!$C$4:$C$43,MATCH($K1116,CONFIG!$A$4:$A$43,0)),3)))</f>
        <v/>
      </c>
      <c r="V1116" s="46" t="n"/>
      <c r="W1116" s="23">
        <f>IF($B1116="","",IF($V1116&lt;&gt;"",$V1116-$B1116,TODAY()-$B1116))</f>
        <v/>
      </c>
      <c r="X1116" s="27">
        <f>IF($C1116="","",IF(IFERROR(INDEX(CONFIG!$K$4:$K$43,MATCH($S1116,CONFIG!$J$4:$J$43,0)),"NO")="SÍ",IF(OR($V1116="",$U1116=""),"Resuelta",IF($V1116&gt;$U1116,"Resuelta tarde","Resuelta a tiempo")),IF($U1116="","Sin clasificar",IF(TODAY()&gt;$U1116,"Vencida",IF(TODAY()&gt;=$U1116-1,"Por vencer","En plazo")))))</f>
        <v/>
      </c>
      <c r="Y1116" s="49" t="n"/>
      <c r="Z1116" s="49" t="n"/>
    </row>
    <row r="1117" ht="16" customHeight="1">
      <c r="A1117" s="27">
        <f>IF($C1117="","","N-"&amp;TEXT(ROW()-3,"0000"))</f>
        <v/>
      </c>
      <c r="B1117" s="46" t="n"/>
      <c r="C1117" s="47" t="n"/>
      <c r="D1117" s="27">
        <f>IF($C1117="","",IF(COUNTIFS(ENVIOS!$A$4:$A$3003,$C1117)=0,"NO EXISTE",IF(COUNTIFS(ENVIOS!$A$4:$A$3003,$C1117)&gt;1,"DUPLICADA","OK")))</f>
        <v/>
      </c>
      <c r="E1117" s="22">
        <f>IF($C1117="","",IFERROR(INDEX(ENVIOS!$C$4:$C$3003,MATCH($C1117,ENVIOS!$A$4:$A$3003,0)),"—"))</f>
        <v/>
      </c>
      <c r="F1117" s="22">
        <f>IF($C1117="","",IFERROR(INDEX(ENVIOS!$D$4:$D$3003,MATCH($C1117,ENVIOS!$A$4:$A$3003,0)),"—"))</f>
        <v/>
      </c>
      <c r="G1117" s="22">
        <f>IF($C1117="","",IFERROR(INDEX(ENVIOS!$E$4:$E$3003,MATCH($C1117,ENVIOS!$A$4:$A$3003,0)),"—"))</f>
        <v/>
      </c>
      <c r="H1117" s="22">
        <f>IF($C1117="","",IFERROR(INDEX(ENVIOS!$F$4:$F$3003,MATCH($C1117,ENVIOS!$A$4:$A$3003,0)),"—"))</f>
        <v/>
      </c>
      <c r="I1117" s="27">
        <f>IF($C1117="","",IFERROR(INDEX(ENVIOS!$G$4:$G$3003,MATCH($C1117,ENVIOS!$A$4:$A$3003,0)),"—"))</f>
        <v/>
      </c>
      <c r="J1117" s="48">
        <f>IF($C1117="","",IFERROR(INDEX(ENVIOS!$B$4:$B$3003,MATCH($C1117,ENVIOS!$A$4:$A$3003,0)),""))</f>
        <v/>
      </c>
      <c r="K1117" s="49" t="n"/>
      <c r="L1117" s="27">
        <f>IF($K1117="","",IFERROR(INDEX(CONFIG!$B$4:$B$43,MATCH($K1117,CONFIG!$A$4:$A$43,0)),"Media"))</f>
        <v/>
      </c>
      <c r="M1117" s="27">
        <f>IF($K1117="","",IFERROR(INDEX(CONFIG!$D$4:$D$43,MATCH($K1117,CONFIG!$A$4:$A$43,0)),"NO"))</f>
        <v/>
      </c>
      <c r="N1117" s="49" t="n"/>
      <c r="O1117" s="27">
        <f>IF($N1117="","",IFERROR(INDEX(CONFIG!$G$4:$G$43,MATCH($N1117,CONFIG!$F$4:$F$43,0)),"Por definir"))</f>
        <v/>
      </c>
      <c r="P1117" s="27">
        <f>IF($N1117="","",IFERROR(INDEX(CONFIG!$H$4:$H$43,MATCH($N1117,CONFIG!$F$4:$F$43,0)),"Por definir"))</f>
        <v/>
      </c>
      <c r="Q1117" s="50" t="n"/>
      <c r="R1117" s="51" t="n"/>
      <c r="S1117" s="49" t="n"/>
      <c r="T1117" s="49" t="n"/>
      <c r="U1117" s="48">
        <f>IF(OR($B1117="",$K1117=""),"",WORKDAY($B1117,IFERROR(INDEX(CONFIG!$C$4:$C$43,MATCH($K1117,CONFIG!$A$4:$A$43,0)),3)))</f>
        <v/>
      </c>
      <c r="V1117" s="46" t="n"/>
      <c r="W1117" s="23">
        <f>IF($B1117="","",IF($V1117&lt;&gt;"",$V1117-$B1117,TODAY()-$B1117))</f>
        <v/>
      </c>
      <c r="X1117" s="27">
        <f>IF($C1117="","",IF(IFERROR(INDEX(CONFIG!$K$4:$K$43,MATCH($S1117,CONFIG!$J$4:$J$43,0)),"NO")="SÍ",IF(OR($V1117="",$U1117=""),"Resuelta",IF($V1117&gt;$U1117,"Resuelta tarde","Resuelta a tiempo")),IF($U1117="","Sin clasificar",IF(TODAY()&gt;$U1117,"Vencida",IF(TODAY()&gt;=$U1117-1,"Por vencer","En plazo")))))</f>
        <v/>
      </c>
      <c r="Y1117" s="49" t="n"/>
      <c r="Z1117" s="49" t="n"/>
    </row>
    <row r="1118" ht="16" customHeight="1">
      <c r="A1118" s="27">
        <f>IF($C1118="","","N-"&amp;TEXT(ROW()-3,"0000"))</f>
        <v/>
      </c>
      <c r="B1118" s="46" t="n"/>
      <c r="C1118" s="47" t="n"/>
      <c r="D1118" s="27">
        <f>IF($C1118="","",IF(COUNTIFS(ENVIOS!$A$4:$A$3003,$C1118)=0,"NO EXISTE",IF(COUNTIFS(ENVIOS!$A$4:$A$3003,$C1118)&gt;1,"DUPLICADA","OK")))</f>
        <v/>
      </c>
      <c r="E1118" s="22">
        <f>IF($C1118="","",IFERROR(INDEX(ENVIOS!$C$4:$C$3003,MATCH($C1118,ENVIOS!$A$4:$A$3003,0)),"—"))</f>
        <v/>
      </c>
      <c r="F1118" s="22">
        <f>IF($C1118="","",IFERROR(INDEX(ENVIOS!$D$4:$D$3003,MATCH($C1118,ENVIOS!$A$4:$A$3003,0)),"—"))</f>
        <v/>
      </c>
      <c r="G1118" s="22">
        <f>IF($C1118="","",IFERROR(INDEX(ENVIOS!$E$4:$E$3003,MATCH($C1118,ENVIOS!$A$4:$A$3003,0)),"—"))</f>
        <v/>
      </c>
      <c r="H1118" s="22">
        <f>IF($C1118="","",IFERROR(INDEX(ENVIOS!$F$4:$F$3003,MATCH($C1118,ENVIOS!$A$4:$A$3003,0)),"—"))</f>
        <v/>
      </c>
      <c r="I1118" s="27">
        <f>IF($C1118="","",IFERROR(INDEX(ENVIOS!$G$4:$G$3003,MATCH($C1118,ENVIOS!$A$4:$A$3003,0)),"—"))</f>
        <v/>
      </c>
      <c r="J1118" s="48">
        <f>IF($C1118="","",IFERROR(INDEX(ENVIOS!$B$4:$B$3003,MATCH($C1118,ENVIOS!$A$4:$A$3003,0)),""))</f>
        <v/>
      </c>
      <c r="K1118" s="49" t="n"/>
      <c r="L1118" s="27">
        <f>IF($K1118="","",IFERROR(INDEX(CONFIG!$B$4:$B$43,MATCH($K1118,CONFIG!$A$4:$A$43,0)),"Media"))</f>
        <v/>
      </c>
      <c r="M1118" s="27">
        <f>IF($K1118="","",IFERROR(INDEX(CONFIG!$D$4:$D$43,MATCH($K1118,CONFIG!$A$4:$A$43,0)),"NO"))</f>
        <v/>
      </c>
      <c r="N1118" s="49" t="n"/>
      <c r="O1118" s="27">
        <f>IF($N1118="","",IFERROR(INDEX(CONFIG!$G$4:$G$43,MATCH($N1118,CONFIG!$F$4:$F$43,0)),"Por definir"))</f>
        <v/>
      </c>
      <c r="P1118" s="27">
        <f>IF($N1118="","",IFERROR(INDEX(CONFIG!$H$4:$H$43,MATCH($N1118,CONFIG!$F$4:$F$43,0)),"Por definir"))</f>
        <v/>
      </c>
      <c r="Q1118" s="50" t="n"/>
      <c r="R1118" s="51" t="n"/>
      <c r="S1118" s="49" t="n"/>
      <c r="T1118" s="49" t="n"/>
      <c r="U1118" s="48">
        <f>IF(OR($B1118="",$K1118=""),"",WORKDAY($B1118,IFERROR(INDEX(CONFIG!$C$4:$C$43,MATCH($K1118,CONFIG!$A$4:$A$43,0)),3)))</f>
        <v/>
      </c>
      <c r="V1118" s="46" t="n"/>
      <c r="W1118" s="23">
        <f>IF($B1118="","",IF($V1118&lt;&gt;"",$V1118-$B1118,TODAY()-$B1118))</f>
        <v/>
      </c>
      <c r="X1118" s="27">
        <f>IF($C1118="","",IF(IFERROR(INDEX(CONFIG!$K$4:$K$43,MATCH($S1118,CONFIG!$J$4:$J$43,0)),"NO")="SÍ",IF(OR($V1118="",$U1118=""),"Resuelta",IF($V1118&gt;$U1118,"Resuelta tarde","Resuelta a tiempo")),IF($U1118="","Sin clasificar",IF(TODAY()&gt;$U1118,"Vencida",IF(TODAY()&gt;=$U1118-1,"Por vencer","En plazo")))))</f>
        <v/>
      </c>
      <c r="Y1118" s="49" t="n"/>
      <c r="Z1118" s="49" t="n"/>
    </row>
    <row r="1119" ht="16" customHeight="1">
      <c r="A1119" s="27">
        <f>IF($C1119="","","N-"&amp;TEXT(ROW()-3,"0000"))</f>
        <v/>
      </c>
      <c r="B1119" s="46" t="n"/>
      <c r="C1119" s="47" t="n"/>
      <c r="D1119" s="27">
        <f>IF($C1119="","",IF(COUNTIFS(ENVIOS!$A$4:$A$3003,$C1119)=0,"NO EXISTE",IF(COUNTIFS(ENVIOS!$A$4:$A$3003,$C1119)&gt;1,"DUPLICADA","OK")))</f>
        <v/>
      </c>
      <c r="E1119" s="22">
        <f>IF($C1119="","",IFERROR(INDEX(ENVIOS!$C$4:$C$3003,MATCH($C1119,ENVIOS!$A$4:$A$3003,0)),"—"))</f>
        <v/>
      </c>
      <c r="F1119" s="22">
        <f>IF($C1119="","",IFERROR(INDEX(ENVIOS!$D$4:$D$3003,MATCH($C1119,ENVIOS!$A$4:$A$3003,0)),"—"))</f>
        <v/>
      </c>
      <c r="G1119" s="22">
        <f>IF($C1119="","",IFERROR(INDEX(ENVIOS!$E$4:$E$3003,MATCH($C1119,ENVIOS!$A$4:$A$3003,0)),"—"))</f>
        <v/>
      </c>
      <c r="H1119" s="22">
        <f>IF($C1119="","",IFERROR(INDEX(ENVIOS!$F$4:$F$3003,MATCH($C1119,ENVIOS!$A$4:$A$3003,0)),"—"))</f>
        <v/>
      </c>
      <c r="I1119" s="27">
        <f>IF($C1119="","",IFERROR(INDEX(ENVIOS!$G$4:$G$3003,MATCH($C1119,ENVIOS!$A$4:$A$3003,0)),"—"))</f>
        <v/>
      </c>
      <c r="J1119" s="48">
        <f>IF($C1119="","",IFERROR(INDEX(ENVIOS!$B$4:$B$3003,MATCH($C1119,ENVIOS!$A$4:$A$3003,0)),""))</f>
        <v/>
      </c>
      <c r="K1119" s="49" t="n"/>
      <c r="L1119" s="27">
        <f>IF($K1119="","",IFERROR(INDEX(CONFIG!$B$4:$B$43,MATCH($K1119,CONFIG!$A$4:$A$43,0)),"Media"))</f>
        <v/>
      </c>
      <c r="M1119" s="27">
        <f>IF($K1119="","",IFERROR(INDEX(CONFIG!$D$4:$D$43,MATCH($K1119,CONFIG!$A$4:$A$43,0)),"NO"))</f>
        <v/>
      </c>
      <c r="N1119" s="49" t="n"/>
      <c r="O1119" s="27">
        <f>IF($N1119="","",IFERROR(INDEX(CONFIG!$G$4:$G$43,MATCH($N1119,CONFIG!$F$4:$F$43,0)),"Por definir"))</f>
        <v/>
      </c>
      <c r="P1119" s="27">
        <f>IF($N1119="","",IFERROR(INDEX(CONFIG!$H$4:$H$43,MATCH($N1119,CONFIG!$F$4:$F$43,0)),"Por definir"))</f>
        <v/>
      </c>
      <c r="Q1119" s="50" t="n"/>
      <c r="R1119" s="51" t="n"/>
      <c r="S1119" s="49" t="n"/>
      <c r="T1119" s="49" t="n"/>
      <c r="U1119" s="48">
        <f>IF(OR($B1119="",$K1119=""),"",WORKDAY($B1119,IFERROR(INDEX(CONFIG!$C$4:$C$43,MATCH($K1119,CONFIG!$A$4:$A$43,0)),3)))</f>
        <v/>
      </c>
      <c r="V1119" s="46" t="n"/>
      <c r="W1119" s="23">
        <f>IF($B1119="","",IF($V1119&lt;&gt;"",$V1119-$B1119,TODAY()-$B1119))</f>
        <v/>
      </c>
      <c r="X1119" s="27">
        <f>IF($C1119="","",IF(IFERROR(INDEX(CONFIG!$K$4:$K$43,MATCH($S1119,CONFIG!$J$4:$J$43,0)),"NO")="SÍ",IF(OR($V1119="",$U1119=""),"Resuelta",IF($V1119&gt;$U1119,"Resuelta tarde","Resuelta a tiempo")),IF($U1119="","Sin clasificar",IF(TODAY()&gt;$U1119,"Vencida",IF(TODAY()&gt;=$U1119-1,"Por vencer","En plazo")))))</f>
        <v/>
      </c>
      <c r="Y1119" s="49" t="n"/>
      <c r="Z1119" s="49" t="n"/>
    </row>
    <row r="1120" ht="16" customHeight="1">
      <c r="A1120" s="27">
        <f>IF($C1120="","","N-"&amp;TEXT(ROW()-3,"0000"))</f>
        <v/>
      </c>
      <c r="B1120" s="46" t="n"/>
      <c r="C1120" s="47" t="n"/>
      <c r="D1120" s="27">
        <f>IF($C1120="","",IF(COUNTIFS(ENVIOS!$A$4:$A$3003,$C1120)=0,"NO EXISTE",IF(COUNTIFS(ENVIOS!$A$4:$A$3003,$C1120)&gt;1,"DUPLICADA","OK")))</f>
        <v/>
      </c>
      <c r="E1120" s="22">
        <f>IF($C1120="","",IFERROR(INDEX(ENVIOS!$C$4:$C$3003,MATCH($C1120,ENVIOS!$A$4:$A$3003,0)),"—"))</f>
        <v/>
      </c>
      <c r="F1120" s="22">
        <f>IF($C1120="","",IFERROR(INDEX(ENVIOS!$D$4:$D$3003,MATCH($C1120,ENVIOS!$A$4:$A$3003,0)),"—"))</f>
        <v/>
      </c>
      <c r="G1120" s="22">
        <f>IF($C1120="","",IFERROR(INDEX(ENVIOS!$E$4:$E$3003,MATCH($C1120,ENVIOS!$A$4:$A$3003,0)),"—"))</f>
        <v/>
      </c>
      <c r="H1120" s="22">
        <f>IF($C1120="","",IFERROR(INDEX(ENVIOS!$F$4:$F$3003,MATCH($C1120,ENVIOS!$A$4:$A$3003,0)),"—"))</f>
        <v/>
      </c>
      <c r="I1120" s="27">
        <f>IF($C1120="","",IFERROR(INDEX(ENVIOS!$G$4:$G$3003,MATCH($C1120,ENVIOS!$A$4:$A$3003,0)),"—"))</f>
        <v/>
      </c>
      <c r="J1120" s="48">
        <f>IF($C1120="","",IFERROR(INDEX(ENVIOS!$B$4:$B$3003,MATCH($C1120,ENVIOS!$A$4:$A$3003,0)),""))</f>
        <v/>
      </c>
      <c r="K1120" s="49" t="n"/>
      <c r="L1120" s="27">
        <f>IF($K1120="","",IFERROR(INDEX(CONFIG!$B$4:$B$43,MATCH($K1120,CONFIG!$A$4:$A$43,0)),"Media"))</f>
        <v/>
      </c>
      <c r="M1120" s="27">
        <f>IF($K1120="","",IFERROR(INDEX(CONFIG!$D$4:$D$43,MATCH($K1120,CONFIG!$A$4:$A$43,0)),"NO"))</f>
        <v/>
      </c>
      <c r="N1120" s="49" t="n"/>
      <c r="O1120" s="27">
        <f>IF($N1120="","",IFERROR(INDEX(CONFIG!$G$4:$G$43,MATCH($N1120,CONFIG!$F$4:$F$43,0)),"Por definir"))</f>
        <v/>
      </c>
      <c r="P1120" s="27">
        <f>IF($N1120="","",IFERROR(INDEX(CONFIG!$H$4:$H$43,MATCH($N1120,CONFIG!$F$4:$F$43,0)),"Por definir"))</f>
        <v/>
      </c>
      <c r="Q1120" s="50" t="n"/>
      <c r="R1120" s="51" t="n"/>
      <c r="S1120" s="49" t="n"/>
      <c r="T1120" s="49" t="n"/>
      <c r="U1120" s="48">
        <f>IF(OR($B1120="",$K1120=""),"",WORKDAY($B1120,IFERROR(INDEX(CONFIG!$C$4:$C$43,MATCH($K1120,CONFIG!$A$4:$A$43,0)),3)))</f>
        <v/>
      </c>
      <c r="V1120" s="46" t="n"/>
      <c r="W1120" s="23">
        <f>IF($B1120="","",IF($V1120&lt;&gt;"",$V1120-$B1120,TODAY()-$B1120))</f>
        <v/>
      </c>
      <c r="X1120" s="27">
        <f>IF($C1120="","",IF(IFERROR(INDEX(CONFIG!$K$4:$K$43,MATCH($S1120,CONFIG!$J$4:$J$43,0)),"NO")="SÍ",IF(OR($V1120="",$U1120=""),"Resuelta",IF($V1120&gt;$U1120,"Resuelta tarde","Resuelta a tiempo")),IF($U1120="","Sin clasificar",IF(TODAY()&gt;$U1120,"Vencida",IF(TODAY()&gt;=$U1120-1,"Por vencer","En plazo")))))</f>
        <v/>
      </c>
      <c r="Y1120" s="49" t="n"/>
      <c r="Z1120" s="49" t="n"/>
    </row>
    <row r="1121" ht="16" customHeight="1">
      <c r="A1121" s="27">
        <f>IF($C1121="","","N-"&amp;TEXT(ROW()-3,"0000"))</f>
        <v/>
      </c>
      <c r="B1121" s="46" t="n"/>
      <c r="C1121" s="47" t="n"/>
      <c r="D1121" s="27">
        <f>IF($C1121="","",IF(COUNTIFS(ENVIOS!$A$4:$A$3003,$C1121)=0,"NO EXISTE",IF(COUNTIFS(ENVIOS!$A$4:$A$3003,$C1121)&gt;1,"DUPLICADA","OK")))</f>
        <v/>
      </c>
      <c r="E1121" s="22">
        <f>IF($C1121="","",IFERROR(INDEX(ENVIOS!$C$4:$C$3003,MATCH($C1121,ENVIOS!$A$4:$A$3003,0)),"—"))</f>
        <v/>
      </c>
      <c r="F1121" s="22">
        <f>IF($C1121="","",IFERROR(INDEX(ENVIOS!$D$4:$D$3003,MATCH($C1121,ENVIOS!$A$4:$A$3003,0)),"—"))</f>
        <v/>
      </c>
      <c r="G1121" s="22">
        <f>IF($C1121="","",IFERROR(INDEX(ENVIOS!$E$4:$E$3003,MATCH($C1121,ENVIOS!$A$4:$A$3003,0)),"—"))</f>
        <v/>
      </c>
      <c r="H1121" s="22">
        <f>IF($C1121="","",IFERROR(INDEX(ENVIOS!$F$4:$F$3003,MATCH($C1121,ENVIOS!$A$4:$A$3003,0)),"—"))</f>
        <v/>
      </c>
      <c r="I1121" s="27">
        <f>IF($C1121="","",IFERROR(INDEX(ENVIOS!$G$4:$G$3003,MATCH($C1121,ENVIOS!$A$4:$A$3003,0)),"—"))</f>
        <v/>
      </c>
      <c r="J1121" s="48">
        <f>IF($C1121="","",IFERROR(INDEX(ENVIOS!$B$4:$B$3003,MATCH($C1121,ENVIOS!$A$4:$A$3003,0)),""))</f>
        <v/>
      </c>
      <c r="K1121" s="49" t="n"/>
      <c r="L1121" s="27">
        <f>IF($K1121="","",IFERROR(INDEX(CONFIG!$B$4:$B$43,MATCH($K1121,CONFIG!$A$4:$A$43,0)),"Media"))</f>
        <v/>
      </c>
      <c r="M1121" s="27">
        <f>IF($K1121="","",IFERROR(INDEX(CONFIG!$D$4:$D$43,MATCH($K1121,CONFIG!$A$4:$A$43,0)),"NO"))</f>
        <v/>
      </c>
      <c r="N1121" s="49" t="n"/>
      <c r="O1121" s="27">
        <f>IF($N1121="","",IFERROR(INDEX(CONFIG!$G$4:$G$43,MATCH($N1121,CONFIG!$F$4:$F$43,0)),"Por definir"))</f>
        <v/>
      </c>
      <c r="P1121" s="27">
        <f>IF($N1121="","",IFERROR(INDEX(CONFIG!$H$4:$H$43,MATCH($N1121,CONFIG!$F$4:$F$43,0)),"Por definir"))</f>
        <v/>
      </c>
      <c r="Q1121" s="50" t="n"/>
      <c r="R1121" s="51" t="n"/>
      <c r="S1121" s="49" t="n"/>
      <c r="T1121" s="49" t="n"/>
      <c r="U1121" s="48">
        <f>IF(OR($B1121="",$K1121=""),"",WORKDAY($B1121,IFERROR(INDEX(CONFIG!$C$4:$C$43,MATCH($K1121,CONFIG!$A$4:$A$43,0)),3)))</f>
        <v/>
      </c>
      <c r="V1121" s="46" t="n"/>
      <c r="W1121" s="23">
        <f>IF($B1121="","",IF($V1121&lt;&gt;"",$V1121-$B1121,TODAY()-$B1121))</f>
        <v/>
      </c>
      <c r="X1121" s="27">
        <f>IF($C1121="","",IF(IFERROR(INDEX(CONFIG!$K$4:$K$43,MATCH($S1121,CONFIG!$J$4:$J$43,0)),"NO")="SÍ",IF(OR($V1121="",$U1121=""),"Resuelta",IF($V1121&gt;$U1121,"Resuelta tarde","Resuelta a tiempo")),IF($U1121="","Sin clasificar",IF(TODAY()&gt;$U1121,"Vencida",IF(TODAY()&gt;=$U1121-1,"Por vencer","En plazo")))))</f>
        <v/>
      </c>
      <c r="Y1121" s="49" t="n"/>
      <c r="Z1121" s="49" t="n"/>
    </row>
    <row r="1122" ht="16" customHeight="1">
      <c r="A1122" s="27">
        <f>IF($C1122="","","N-"&amp;TEXT(ROW()-3,"0000"))</f>
        <v/>
      </c>
      <c r="B1122" s="46" t="n"/>
      <c r="C1122" s="47" t="n"/>
      <c r="D1122" s="27">
        <f>IF($C1122="","",IF(COUNTIFS(ENVIOS!$A$4:$A$3003,$C1122)=0,"NO EXISTE",IF(COUNTIFS(ENVIOS!$A$4:$A$3003,$C1122)&gt;1,"DUPLICADA","OK")))</f>
        <v/>
      </c>
      <c r="E1122" s="22">
        <f>IF($C1122="","",IFERROR(INDEX(ENVIOS!$C$4:$C$3003,MATCH($C1122,ENVIOS!$A$4:$A$3003,0)),"—"))</f>
        <v/>
      </c>
      <c r="F1122" s="22">
        <f>IF($C1122="","",IFERROR(INDEX(ENVIOS!$D$4:$D$3003,MATCH($C1122,ENVIOS!$A$4:$A$3003,0)),"—"))</f>
        <v/>
      </c>
      <c r="G1122" s="22">
        <f>IF($C1122="","",IFERROR(INDEX(ENVIOS!$E$4:$E$3003,MATCH($C1122,ENVIOS!$A$4:$A$3003,0)),"—"))</f>
        <v/>
      </c>
      <c r="H1122" s="22">
        <f>IF($C1122="","",IFERROR(INDEX(ENVIOS!$F$4:$F$3003,MATCH($C1122,ENVIOS!$A$4:$A$3003,0)),"—"))</f>
        <v/>
      </c>
      <c r="I1122" s="27">
        <f>IF($C1122="","",IFERROR(INDEX(ENVIOS!$G$4:$G$3003,MATCH($C1122,ENVIOS!$A$4:$A$3003,0)),"—"))</f>
        <v/>
      </c>
      <c r="J1122" s="48">
        <f>IF($C1122="","",IFERROR(INDEX(ENVIOS!$B$4:$B$3003,MATCH($C1122,ENVIOS!$A$4:$A$3003,0)),""))</f>
        <v/>
      </c>
      <c r="K1122" s="49" t="n"/>
      <c r="L1122" s="27">
        <f>IF($K1122="","",IFERROR(INDEX(CONFIG!$B$4:$B$43,MATCH($K1122,CONFIG!$A$4:$A$43,0)),"Media"))</f>
        <v/>
      </c>
      <c r="M1122" s="27">
        <f>IF($K1122="","",IFERROR(INDEX(CONFIG!$D$4:$D$43,MATCH($K1122,CONFIG!$A$4:$A$43,0)),"NO"))</f>
        <v/>
      </c>
      <c r="N1122" s="49" t="n"/>
      <c r="O1122" s="27">
        <f>IF($N1122="","",IFERROR(INDEX(CONFIG!$G$4:$G$43,MATCH($N1122,CONFIG!$F$4:$F$43,0)),"Por definir"))</f>
        <v/>
      </c>
      <c r="P1122" s="27">
        <f>IF($N1122="","",IFERROR(INDEX(CONFIG!$H$4:$H$43,MATCH($N1122,CONFIG!$F$4:$F$43,0)),"Por definir"))</f>
        <v/>
      </c>
      <c r="Q1122" s="50" t="n"/>
      <c r="R1122" s="51" t="n"/>
      <c r="S1122" s="49" t="n"/>
      <c r="T1122" s="49" t="n"/>
      <c r="U1122" s="48">
        <f>IF(OR($B1122="",$K1122=""),"",WORKDAY($B1122,IFERROR(INDEX(CONFIG!$C$4:$C$43,MATCH($K1122,CONFIG!$A$4:$A$43,0)),3)))</f>
        <v/>
      </c>
      <c r="V1122" s="46" t="n"/>
      <c r="W1122" s="23">
        <f>IF($B1122="","",IF($V1122&lt;&gt;"",$V1122-$B1122,TODAY()-$B1122))</f>
        <v/>
      </c>
      <c r="X1122" s="27">
        <f>IF($C1122="","",IF(IFERROR(INDEX(CONFIG!$K$4:$K$43,MATCH($S1122,CONFIG!$J$4:$J$43,0)),"NO")="SÍ",IF(OR($V1122="",$U1122=""),"Resuelta",IF($V1122&gt;$U1122,"Resuelta tarde","Resuelta a tiempo")),IF($U1122="","Sin clasificar",IF(TODAY()&gt;$U1122,"Vencida",IF(TODAY()&gt;=$U1122-1,"Por vencer","En plazo")))))</f>
        <v/>
      </c>
      <c r="Y1122" s="49" t="n"/>
      <c r="Z1122" s="49" t="n"/>
    </row>
    <row r="1123" ht="16" customHeight="1">
      <c r="A1123" s="27">
        <f>IF($C1123="","","N-"&amp;TEXT(ROW()-3,"0000"))</f>
        <v/>
      </c>
      <c r="B1123" s="46" t="n"/>
      <c r="C1123" s="47" t="n"/>
      <c r="D1123" s="27">
        <f>IF($C1123="","",IF(COUNTIFS(ENVIOS!$A$4:$A$3003,$C1123)=0,"NO EXISTE",IF(COUNTIFS(ENVIOS!$A$4:$A$3003,$C1123)&gt;1,"DUPLICADA","OK")))</f>
        <v/>
      </c>
      <c r="E1123" s="22">
        <f>IF($C1123="","",IFERROR(INDEX(ENVIOS!$C$4:$C$3003,MATCH($C1123,ENVIOS!$A$4:$A$3003,0)),"—"))</f>
        <v/>
      </c>
      <c r="F1123" s="22">
        <f>IF($C1123="","",IFERROR(INDEX(ENVIOS!$D$4:$D$3003,MATCH($C1123,ENVIOS!$A$4:$A$3003,0)),"—"))</f>
        <v/>
      </c>
      <c r="G1123" s="22">
        <f>IF($C1123="","",IFERROR(INDEX(ENVIOS!$E$4:$E$3003,MATCH($C1123,ENVIOS!$A$4:$A$3003,0)),"—"))</f>
        <v/>
      </c>
      <c r="H1123" s="22">
        <f>IF($C1123="","",IFERROR(INDEX(ENVIOS!$F$4:$F$3003,MATCH($C1123,ENVIOS!$A$4:$A$3003,0)),"—"))</f>
        <v/>
      </c>
      <c r="I1123" s="27">
        <f>IF($C1123="","",IFERROR(INDEX(ENVIOS!$G$4:$G$3003,MATCH($C1123,ENVIOS!$A$4:$A$3003,0)),"—"))</f>
        <v/>
      </c>
      <c r="J1123" s="48">
        <f>IF($C1123="","",IFERROR(INDEX(ENVIOS!$B$4:$B$3003,MATCH($C1123,ENVIOS!$A$4:$A$3003,0)),""))</f>
        <v/>
      </c>
      <c r="K1123" s="49" t="n"/>
      <c r="L1123" s="27">
        <f>IF($K1123="","",IFERROR(INDEX(CONFIG!$B$4:$B$43,MATCH($K1123,CONFIG!$A$4:$A$43,0)),"Media"))</f>
        <v/>
      </c>
      <c r="M1123" s="27">
        <f>IF($K1123="","",IFERROR(INDEX(CONFIG!$D$4:$D$43,MATCH($K1123,CONFIG!$A$4:$A$43,0)),"NO"))</f>
        <v/>
      </c>
      <c r="N1123" s="49" t="n"/>
      <c r="O1123" s="27">
        <f>IF($N1123="","",IFERROR(INDEX(CONFIG!$G$4:$G$43,MATCH($N1123,CONFIG!$F$4:$F$43,0)),"Por definir"))</f>
        <v/>
      </c>
      <c r="P1123" s="27">
        <f>IF($N1123="","",IFERROR(INDEX(CONFIG!$H$4:$H$43,MATCH($N1123,CONFIG!$F$4:$F$43,0)),"Por definir"))</f>
        <v/>
      </c>
      <c r="Q1123" s="50" t="n"/>
      <c r="R1123" s="51" t="n"/>
      <c r="S1123" s="49" t="n"/>
      <c r="T1123" s="49" t="n"/>
      <c r="U1123" s="48">
        <f>IF(OR($B1123="",$K1123=""),"",WORKDAY($B1123,IFERROR(INDEX(CONFIG!$C$4:$C$43,MATCH($K1123,CONFIG!$A$4:$A$43,0)),3)))</f>
        <v/>
      </c>
      <c r="V1123" s="46" t="n"/>
      <c r="W1123" s="23">
        <f>IF($B1123="","",IF($V1123&lt;&gt;"",$V1123-$B1123,TODAY()-$B1123))</f>
        <v/>
      </c>
      <c r="X1123" s="27">
        <f>IF($C1123="","",IF(IFERROR(INDEX(CONFIG!$K$4:$K$43,MATCH($S1123,CONFIG!$J$4:$J$43,0)),"NO")="SÍ",IF(OR($V1123="",$U1123=""),"Resuelta",IF($V1123&gt;$U1123,"Resuelta tarde","Resuelta a tiempo")),IF($U1123="","Sin clasificar",IF(TODAY()&gt;$U1123,"Vencida",IF(TODAY()&gt;=$U1123-1,"Por vencer","En plazo")))))</f>
        <v/>
      </c>
      <c r="Y1123" s="49" t="n"/>
      <c r="Z1123" s="49" t="n"/>
    </row>
    <row r="1124" ht="16" customHeight="1">
      <c r="A1124" s="27">
        <f>IF($C1124="","","N-"&amp;TEXT(ROW()-3,"0000"))</f>
        <v/>
      </c>
      <c r="B1124" s="46" t="n"/>
      <c r="C1124" s="47" t="n"/>
      <c r="D1124" s="27">
        <f>IF($C1124="","",IF(COUNTIFS(ENVIOS!$A$4:$A$3003,$C1124)=0,"NO EXISTE",IF(COUNTIFS(ENVIOS!$A$4:$A$3003,$C1124)&gt;1,"DUPLICADA","OK")))</f>
        <v/>
      </c>
      <c r="E1124" s="22">
        <f>IF($C1124="","",IFERROR(INDEX(ENVIOS!$C$4:$C$3003,MATCH($C1124,ENVIOS!$A$4:$A$3003,0)),"—"))</f>
        <v/>
      </c>
      <c r="F1124" s="22">
        <f>IF($C1124="","",IFERROR(INDEX(ENVIOS!$D$4:$D$3003,MATCH($C1124,ENVIOS!$A$4:$A$3003,0)),"—"))</f>
        <v/>
      </c>
      <c r="G1124" s="22">
        <f>IF($C1124="","",IFERROR(INDEX(ENVIOS!$E$4:$E$3003,MATCH($C1124,ENVIOS!$A$4:$A$3003,0)),"—"))</f>
        <v/>
      </c>
      <c r="H1124" s="22">
        <f>IF($C1124="","",IFERROR(INDEX(ENVIOS!$F$4:$F$3003,MATCH($C1124,ENVIOS!$A$4:$A$3003,0)),"—"))</f>
        <v/>
      </c>
      <c r="I1124" s="27">
        <f>IF($C1124="","",IFERROR(INDEX(ENVIOS!$G$4:$G$3003,MATCH($C1124,ENVIOS!$A$4:$A$3003,0)),"—"))</f>
        <v/>
      </c>
      <c r="J1124" s="48">
        <f>IF($C1124="","",IFERROR(INDEX(ENVIOS!$B$4:$B$3003,MATCH($C1124,ENVIOS!$A$4:$A$3003,0)),""))</f>
        <v/>
      </c>
      <c r="K1124" s="49" t="n"/>
      <c r="L1124" s="27">
        <f>IF($K1124="","",IFERROR(INDEX(CONFIG!$B$4:$B$43,MATCH($K1124,CONFIG!$A$4:$A$43,0)),"Media"))</f>
        <v/>
      </c>
      <c r="M1124" s="27">
        <f>IF($K1124="","",IFERROR(INDEX(CONFIG!$D$4:$D$43,MATCH($K1124,CONFIG!$A$4:$A$43,0)),"NO"))</f>
        <v/>
      </c>
      <c r="N1124" s="49" t="n"/>
      <c r="O1124" s="27">
        <f>IF($N1124="","",IFERROR(INDEX(CONFIG!$G$4:$G$43,MATCH($N1124,CONFIG!$F$4:$F$43,0)),"Por definir"))</f>
        <v/>
      </c>
      <c r="P1124" s="27">
        <f>IF($N1124="","",IFERROR(INDEX(CONFIG!$H$4:$H$43,MATCH($N1124,CONFIG!$F$4:$F$43,0)),"Por definir"))</f>
        <v/>
      </c>
      <c r="Q1124" s="50" t="n"/>
      <c r="R1124" s="51" t="n"/>
      <c r="S1124" s="49" t="n"/>
      <c r="T1124" s="49" t="n"/>
      <c r="U1124" s="48">
        <f>IF(OR($B1124="",$K1124=""),"",WORKDAY($B1124,IFERROR(INDEX(CONFIG!$C$4:$C$43,MATCH($K1124,CONFIG!$A$4:$A$43,0)),3)))</f>
        <v/>
      </c>
      <c r="V1124" s="46" t="n"/>
      <c r="W1124" s="23">
        <f>IF($B1124="","",IF($V1124&lt;&gt;"",$V1124-$B1124,TODAY()-$B1124))</f>
        <v/>
      </c>
      <c r="X1124" s="27">
        <f>IF($C1124="","",IF(IFERROR(INDEX(CONFIG!$K$4:$K$43,MATCH($S1124,CONFIG!$J$4:$J$43,0)),"NO")="SÍ",IF(OR($V1124="",$U1124=""),"Resuelta",IF($V1124&gt;$U1124,"Resuelta tarde","Resuelta a tiempo")),IF($U1124="","Sin clasificar",IF(TODAY()&gt;$U1124,"Vencida",IF(TODAY()&gt;=$U1124-1,"Por vencer","En plazo")))))</f>
        <v/>
      </c>
      <c r="Y1124" s="49" t="n"/>
      <c r="Z1124" s="49" t="n"/>
    </row>
    <row r="1125" ht="16" customHeight="1">
      <c r="A1125" s="27">
        <f>IF($C1125="","","N-"&amp;TEXT(ROW()-3,"0000"))</f>
        <v/>
      </c>
      <c r="B1125" s="46" t="n"/>
      <c r="C1125" s="47" t="n"/>
      <c r="D1125" s="27">
        <f>IF($C1125="","",IF(COUNTIFS(ENVIOS!$A$4:$A$3003,$C1125)=0,"NO EXISTE",IF(COUNTIFS(ENVIOS!$A$4:$A$3003,$C1125)&gt;1,"DUPLICADA","OK")))</f>
        <v/>
      </c>
      <c r="E1125" s="22">
        <f>IF($C1125="","",IFERROR(INDEX(ENVIOS!$C$4:$C$3003,MATCH($C1125,ENVIOS!$A$4:$A$3003,0)),"—"))</f>
        <v/>
      </c>
      <c r="F1125" s="22">
        <f>IF($C1125="","",IFERROR(INDEX(ENVIOS!$D$4:$D$3003,MATCH($C1125,ENVIOS!$A$4:$A$3003,0)),"—"))</f>
        <v/>
      </c>
      <c r="G1125" s="22">
        <f>IF($C1125="","",IFERROR(INDEX(ENVIOS!$E$4:$E$3003,MATCH($C1125,ENVIOS!$A$4:$A$3003,0)),"—"))</f>
        <v/>
      </c>
      <c r="H1125" s="22">
        <f>IF($C1125="","",IFERROR(INDEX(ENVIOS!$F$4:$F$3003,MATCH($C1125,ENVIOS!$A$4:$A$3003,0)),"—"))</f>
        <v/>
      </c>
      <c r="I1125" s="27">
        <f>IF($C1125="","",IFERROR(INDEX(ENVIOS!$G$4:$G$3003,MATCH($C1125,ENVIOS!$A$4:$A$3003,0)),"—"))</f>
        <v/>
      </c>
      <c r="J1125" s="48">
        <f>IF($C1125="","",IFERROR(INDEX(ENVIOS!$B$4:$B$3003,MATCH($C1125,ENVIOS!$A$4:$A$3003,0)),""))</f>
        <v/>
      </c>
      <c r="K1125" s="49" t="n"/>
      <c r="L1125" s="27">
        <f>IF($K1125="","",IFERROR(INDEX(CONFIG!$B$4:$B$43,MATCH($K1125,CONFIG!$A$4:$A$43,0)),"Media"))</f>
        <v/>
      </c>
      <c r="M1125" s="27">
        <f>IF($K1125="","",IFERROR(INDEX(CONFIG!$D$4:$D$43,MATCH($K1125,CONFIG!$A$4:$A$43,0)),"NO"))</f>
        <v/>
      </c>
      <c r="N1125" s="49" t="n"/>
      <c r="O1125" s="27">
        <f>IF($N1125="","",IFERROR(INDEX(CONFIG!$G$4:$G$43,MATCH($N1125,CONFIG!$F$4:$F$43,0)),"Por definir"))</f>
        <v/>
      </c>
      <c r="P1125" s="27">
        <f>IF($N1125="","",IFERROR(INDEX(CONFIG!$H$4:$H$43,MATCH($N1125,CONFIG!$F$4:$F$43,0)),"Por definir"))</f>
        <v/>
      </c>
      <c r="Q1125" s="50" t="n"/>
      <c r="R1125" s="51" t="n"/>
      <c r="S1125" s="49" t="n"/>
      <c r="T1125" s="49" t="n"/>
      <c r="U1125" s="48">
        <f>IF(OR($B1125="",$K1125=""),"",WORKDAY($B1125,IFERROR(INDEX(CONFIG!$C$4:$C$43,MATCH($K1125,CONFIG!$A$4:$A$43,0)),3)))</f>
        <v/>
      </c>
      <c r="V1125" s="46" t="n"/>
      <c r="W1125" s="23">
        <f>IF($B1125="","",IF($V1125&lt;&gt;"",$V1125-$B1125,TODAY()-$B1125))</f>
        <v/>
      </c>
      <c r="X1125" s="27">
        <f>IF($C1125="","",IF(IFERROR(INDEX(CONFIG!$K$4:$K$43,MATCH($S1125,CONFIG!$J$4:$J$43,0)),"NO")="SÍ",IF(OR($V1125="",$U1125=""),"Resuelta",IF($V1125&gt;$U1125,"Resuelta tarde","Resuelta a tiempo")),IF($U1125="","Sin clasificar",IF(TODAY()&gt;$U1125,"Vencida",IF(TODAY()&gt;=$U1125-1,"Por vencer","En plazo")))))</f>
        <v/>
      </c>
      <c r="Y1125" s="49" t="n"/>
      <c r="Z1125" s="49" t="n"/>
    </row>
    <row r="1126" ht="16" customHeight="1">
      <c r="A1126" s="27">
        <f>IF($C1126="","","N-"&amp;TEXT(ROW()-3,"0000"))</f>
        <v/>
      </c>
      <c r="B1126" s="46" t="n"/>
      <c r="C1126" s="47" t="n"/>
      <c r="D1126" s="27">
        <f>IF($C1126="","",IF(COUNTIFS(ENVIOS!$A$4:$A$3003,$C1126)=0,"NO EXISTE",IF(COUNTIFS(ENVIOS!$A$4:$A$3003,$C1126)&gt;1,"DUPLICADA","OK")))</f>
        <v/>
      </c>
      <c r="E1126" s="22">
        <f>IF($C1126="","",IFERROR(INDEX(ENVIOS!$C$4:$C$3003,MATCH($C1126,ENVIOS!$A$4:$A$3003,0)),"—"))</f>
        <v/>
      </c>
      <c r="F1126" s="22">
        <f>IF($C1126="","",IFERROR(INDEX(ENVIOS!$D$4:$D$3003,MATCH($C1126,ENVIOS!$A$4:$A$3003,0)),"—"))</f>
        <v/>
      </c>
      <c r="G1126" s="22">
        <f>IF($C1126="","",IFERROR(INDEX(ENVIOS!$E$4:$E$3003,MATCH($C1126,ENVIOS!$A$4:$A$3003,0)),"—"))</f>
        <v/>
      </c>
      <c r="H1126" s="22">
        <f>IF($C1126="","",IFERROR(INDEX(ENVIOS!$F$4:$F$3003,MATCH($C1126,ENVIOS!$A$4:$A$3003,0)),"—"))</f>
        <v/>
      </c>
      <c r="I1126" s="27">
        <f>IF($C1126="","",IFERROR(INDEX(ENVIOS!$G$4:$G$3003,MATCH($C1126,ENVIOS!$A$4:$A$3003,0)),"—"))</f>
        <v/>
      </c>
      <c r="J1126" s="48">
        <f>IF($C1126="","",IFERROR(INDEX(ENVIOS!$B$4:$B$3003,MATCH($C1126,ENVIOS!$A$4:$A$3003,0)),""))</f>
        <v/>
      </c>
      <c r="K1126" s="49" t="n"/>
      <c r="L1126" s="27">
        <f>IF($K1126="","",IFERROR(INDEX(CONFIG!$B$4:$B$43,MATCH($K1126,CONFIG!$A$4:$A$43,0)),"Media"))</f>
        <v/>
      </c>
      <c r="M1126" s="27">
        <f>IF($K1126="","",IFERROR(INDEX(CONFIG!$D$4:$D$43,MATCH($K1126,CONFIG!$A$4:$A$43,0)),"NO"))</f>
        <v/>
      </c>
      <c r="N1126" s="49" t="n"/>
      <c r="O1126" s="27">
        <f>IF($N1126="","",IFERROR(INDEX(CONFIG!$G$4:$G$43,MATCH($N1126,CONFIG!$F$4:$F$43,0)),"Por definir"))</f>
        <v/>
      </c>
      <c r="P1126" s="27">
        <f>IF($N1126="","",IFERROR(INDEX(CONFIG!$H$4:$H$43,MATCH($N1126,CONFIG!$F$4:$F$43,0)),"Por definir"))</f>
        <v/>
      </c>
      <c r="Q1126" s="50" t="n"/>
      <c r="R1126" s="51" t="n"/>
      <c r="S1126" s="49" t="n"/>
      <c r="T1126" s="49" t="n"/>
      <c r="U1126" s="48">
        <f>IF(OR($B1126="",$K1126=""),"",WORKDAY($B1126,IFERROR(INDEX(CONFIG!$C$4:$C$43,MATCH($K1126,CONFIG!$A$4:$A$43,0)),3)))</f>
        <v/>
      </c>
      <c r="V1126" s="46" t="n"/>
      <c r="W1126" s="23">
        <f>IF($B1126="","",IF($V1126&lt;&gt;"",$V1126-$B1126,TODAY()-$B1126))</f>
        <v/>
      </c>
      <c r="X1126" s="27">
        <f>IF($C1126="","",IF(IFERROR(INDEX(CONFIG!$K$4:$K$43,MATCH($S1126,CONFIG!$J$4:$J$43,0)),"NO")="SÍ",IF(OR($V1126="",$U1126=""),"Resuelta",IF($V1126&gt;$U1126,"Resuelta tarde","Resuelta a tiempo")),IF($U1126="","Sin clasificar",IF(TODAY()&gt;$U1126,"Vencida",IF(TODAY()&gt;=$U1126-1,"Por vencer","En plazo")))))</f>
        <v/>
      </c>
      <c r="Y1126" s="49" t="n"/>
      <c r="Z1126" s="49" t="n"/>
    </row>
    <row r="1127" ht="16" customHeight="1">
      <c r="A1127" s="27">
        <f>IF($C1127="","","N-"&amp;TEXT(ROW()-3,"0000"))</f>
        <v/>
      </c>
      <c r="B1127" s="46" t="n"/>
      <c r="C1127" s="47" t="n"/>
      <c r="D1127" s="27">
        <f>IF($C1127="","",IF(COUNTIFS(ENVIOS!$A$4:$A$3003,$C1127)=0,"NO EXISTE",IF(COUNTIFS(ENVIOS!$A$4:$A$3003,$C1127)&gt;1,"DUPLICADA","OK")))</f>
        <v/>
      </c>
      <c r="E1127" s="22">
        <f>IF($C1127="","",IFERROR(INDEX(ENVIOS!$C$4:$C$3003,MATCH($C1127,ENVIOS!$A$4:$A$3003,0)),"—"))</f>
        <v/>
      </c>
      <c r="F1127" s="22">
        <f>IF($C1127="","",IFERROR(INDEX(ENVIOS!$D$4:$D$3003,MATCH($C1127,ENVIOS!$A$4:$A$3003,0)),"—"))</f>
        <v/>
      </c>
      <c r="G1127" s="22">
        <f>IF($C1127="","",IFERROR(INDEX(ENVIOS!$E$4:$E$3003,MATCH($C1127,ENVIOS!$A$4:$A$3003,0)),"—"))</f>
        <v/>
      </c>
      <c r="H1127" s="22">
        <f>IF($C1127="","",IFERROR(INDEX(ENVIOS!$F$4:$F$3003,MATCH($C1127,ENVIOS!$A$4:$A$3003,0)),"—"))</f>
        <v/>
      </c>
      <c r="I1127" s="27">
        <f>IF($C1127="","",IFERROR(INDEX(ENVIOS!$G$4:$G$3003,MATCH($C1127,ENVIOS!$A$4:$A$3003,0)),"—"))</f>
        <v/>
      </c>
      <c r="J1127" s="48">
        <f>IF($C1127="","",IFERROR(INDEX(ENVIOS!$B$4:$B$3003,MATCH($C1127,ENVIOS!$A$4:$A$3003,0)),""))</f>
        <v/>
      </c>
      <c r="K1127" s="49" t="n"/>
      <c r="L1127" s="27">
        <f>IF($K1127="","",IFERROR(INDEX(CONFIG!$B$4:$B$43,MATCH($K1127,CONFIG!$A$4:$A$43,0)),"Media"))</f>
        <v/>
      </c>
      <c r="M1127" s="27">
        <f>IF($K1127="","",IFERROR(INDEX(CONFIG!$D$4:$D$43,MATCH($K1127,CONFIG!$A$4:$A$43,0)),"NO"))</f>
        <v/>
      </c>
      <c r="N1127" s="49" t="n"/>
      <c r="O1127" s="27">
        <f>IF($N1127="","",IFERROR(INDEX(CONFIG!$G$4:$G$43,MATCH($N1127,CONFIG!$F$4:$F$43,0)),"Por definir"))</f>
        <v/>
      </c>
      <c r="P1127" s="27">
        <f>IF($N1127="","",IFERROR(INDEX(CONFIG!$H$4:$H$43,MATCH($N1127,CONFIG!$F$4:$F$43,0)),"Por definir"))</f>
        <v/>
      </c>
      <c r="Q1127" s="50" t="n"/>
      <c r="R1127" s="51" t="n"/>
      <c r="S1127" s="49" t="n"/>
      <c r="T1127" s="49" t="n"/>
      <c r="U1127" s="48">
        <f>IF(OR($B1127="",$K1127=""),"",WORKDAY($B1127,IFERROR(INDEX(CONFIG!$C$4:$C$43,MATCH($K1127,CONFIG!$A$4:$A$43,0)),3)))</f>
        <v/>
      </c>
      <c r="V1127" s="46" t="n"/>
      <c r="W1127" s="23">
        <f>IF($B1127="","",IF($V1127&lt;&gt;"",$V1127-$B1127,TODAY()-$B1127))</f>
        <v/>
      </c>
      <c r="X1127" s="27">
        <f>IF($C1127="","",IF(IFERROR(INDEX(CONFIG!$K$4:$K$43,MATCH($S1127,CONFIG!$J$4:$J$43,0)),"NO")="SÍ",IF(OR($V1127="",$U1127=""),"Resuelta",IF($V1127&gt;$U1127,"Resuelta tarde","Resuelta a tiempo")),IF($U1127="","Sin clasificar",IF(TODAY()&gt;$U1127,"Vencida",IF(TODAY()&gt;=$U1127-1,"Por vencer","En plazo")))))</f>
        <v/>
      </c>
      <c r="Y1127" s="49" t="n"/>
      <c r="Z1127" s="49" t="n"/>
    </row>
    <row r="1128" ht="16" customHeight="1">
      <c r="A1128" s="27">
        <f>IF($C1128="","","N-"&amp;TEXT(ROW()-3,"0000"))</f>
        <v/>
      </c>
      <c r="B1128" s="46" t="n"/>
      <c r="C1128" s="47" t="n"/>
      <c r="D1128" s="27">
        <f>IF($C1128="","",IF(COUNTIFS(ENVIOS!$A$4:$A$3003,$C1128)=0,"NO EXISTE",IF(COUNTIFS(ENVIOS!$A$4:$A$3003,$C1128)&gt;1,"DUPLICADA","OK")))</f>
        <v/>
      </c>
      <c r="E1128" s="22">
        <f>IF($C1128="","",IFERROR(INDEX(ENVIOS!$C$4:$C$3003,MATCH($C1128,ENVIOS!$A$4:$A$3003,0)),"—"))</f>
        <v/>
      </c>
      <c r="F1128" s="22">
        <f>IF($C1128="","",IFERROR(INDEX(ENVIOS!$D$4:$D$3003,MATCH($C1128,ENVIOS!$A$4:$A$3003,0)),"—"))</f>
        <v/>
      </c>
      <c r="G1128" s="22">
        <f>IF($C1128="","",IFERROR(INDEX(ENVIOS!$E$4:$E$3003,MATCH($C1128,ENVIOS!$A$4:$A$3003,0)),"—"))</f>
        <v/>
      </c>
      <c r="H1128" s="22">
        <f>IF($C1128="","",IFERROR(INDEX(ENVIOS!$F$4:$F$3003,MATCH($C1128,ENVIOS!$A$4:$A$3003,0)),"—"))</f>
        <v/>
      </c>
      <c r="I1128" s="27">
        <f>IF($C1128="","",IFERROR(INDEX(ENVIOS!$G$4:$G$3003,MATCH($C1128,ENVIOS!$A$4:$A$3003,0)),"—"))</f>
        <v/>
      </c>
      <c r="J1128" s="48">
        <f>IF($C1128="","",IFERROR(INDEX(ENVIOS!$B$4:$B$3003,MATCH($C1128,ENVIOS!$A$4:$A$3003,0)),""))</f>
        <v/>
      </c>
      <c r="K1128" s="49" t="n"/>
      <c r="L1128" s="27">
        <f>IF($K1128="","",IFERROR(INDEX(CONFIG!$B$4:$B$43,MATCH($K1128,CONFIG!$A$4:$A$43,0)),"Media"))</f>
        <v/>
      </c>
      <c r="M1128" s="27">
        <f>IF($K1128="","",IFERROR(INDEX(CONFIG!$D$4:$D$43,MATCH($K1128,CONFIG!$A$4:$A$43,0)),"NO"))</f>
        <v/>
      </c>
      <c r="N1128" s="49" t="n"/>
      <c r="O1128" s="27">
        <f>IF($N1128="","",IFERROR(INDEX(CONFIG!$G$4:$G$43,MATCH($N1128,CONFIG!$F$4:$F$43,0)),"Por definir"))</f>
        <v/>
      </c>
      <c r="P1128" s="27">
        <f>IF($N1128="","",IFERROR(INDEX(CONFIG!$H$4:$H$43,MATCH($N1128,CONFIG!$F$4:$F$43,0)),"Por definir"))</f>
        <v/>
      </c>
      <c r="Q1128" s="50" t="n"/>
      <c r="R1128" s="51" t="n"/>
      <c r="S1128" s="49" t="n"/>
      <c r="T1128" s="49" t="n"/>
      <c r="U1128" s="48">
        <f>IF(OR($B1128="",$K1128=""),"",WORKDAY($B1128,IFERROR(INDEX(CONFIG!$C$4:$C$43,MATCH($K1128,CONFIG!$A$4:$A$43,0)),3)))</f>
        <v/>
      </c>
      <c r="V1128" s="46" t="n"/>
      <c r="W1128" s="23">
        <f>IF($B1128="","",IF($V1128&lt;&gt;"",$V1128-$B1128,TODAY()-$B1128))</f>
        <v/>
      </c>
      <c r="X1128" s="27">
        <f>IF($C1128="","",IF(IFERROR(INDEX(CONFIG!$K$4:$K$43,MATCH($S1128,CONFIG!$J$4:$J$43,0)),"NO")="SÍ",IF(OR($V1128="",$U1128=""),"Resuelta",IF($V1128&gt;$U1128,"Resuelta tarde","Resuelta a tiempo")),IF($U1128="","Sin clasificar",IF(TODAY()&gt;$U1128,"Vencida",IF(TODAY()&gt;=$U1128-1,"Por vencer","En plazo")))))</f>
        <v/>
      </c>
      <c r="Y1128" s="49" t="n"/>
      <c r="Z1128" s="49" t="n"/>
    </row>
    <row r="1129" ht="16" customHeight="1">
      <c r="A1129" s="27">
        <f>IF($C1129="","","N-"&amp;TEXT(ROW()-3,"0000"))</f>
        <v/>
      </c>
      <c r="B1129" s="46" t="n"/>
      <c r="C1129" s="47" t="n"/>
      <c r="D1129" s="27">
        <f>IF($C1129="","",IF(COUNTIFS(ENVIOS!$A$4:$A$3003,$C1129)=0,"NO EXISTE",IF(COUNTIFS(ENVIOS!$A$4:$A$3003,$C1129)&gt;1,"DUPLICADA","OK")))</f>
        <v/>
      </c>
      <c r="E1129" s="22">
        <f>IF($C1129="","",IFERROR(INDEX(ENVIOS!$C$4:$C$3003,MATCH($C1129,ENVIOS!$A$4:$A$3003,0)),"—"))</f>
        <v/>
      </c>
      <c r="F1129" s="22">
        <f>IF($C1129="","",IFERROR(INDEX(ENVIOS!$D$4:$D$3003,MATCH($C1129,ENVIOS!$A$4:$A$3003,0)),"—"))</f>
        <v/>
      </c>
      <c r="G1129" s="22">
        <f>IF($C1129="","",IFERROR(INDEX(ENVIOS!$E$4:$E$3003,MATCH($C1129,ENVIOS!$A$4:$A$3003,0)),"—"))</f>
        <v/>
      </c>
      <c r="H1129" s="22">
        <f>IF($C1129="","",IFERROR(INDEX(ENVIOS!$F$4:$F$3003,MATCH($C1129,ENVIOS!$A$4:$A$3003,0)),"—"))</f>
        <v/>
      </c>
      <c r="I1129" s="27">
        <f>IF($C1129="","",IFERROR(INDEX(ENVIOS!$G$4:$G$3003,MATCH($C1129,ENVIOS!$A$4:$A$3003,0)),"—"))</f>
        <v/>
      </c>
      <c r="J1129" s="48">
        <f>IF($C1129="","",IFERROR(INDEX(ENVIOS!$B$4:$B$3003,MATCH($C1129,ENVIOS!$A$4:$A$3003,0)),""))</f>
        <v/>
      </c>
      <c r="K1129" s="49" t="n"/>
      <c r="L1129" s="27">
        <f>IF($K1129="","",IFERROR(INDEX(CONFIG!$B$4:$B$43,MATCH($K1129,CONFIG!$A$4:$A$43,0)),"Media"))</f>
        <v/>
      </c>
      <c r="M1129" s="27">
        <f>IF($K1129="","",IFERROR(INDEX(CONFIG!$D$4:$D$43,MATCH($K1129,CONFIG!$A$4:$A$43,0)),"NO"))</f>
        <v/>
      </c>
      <c r="N1129" s="49" t="n"/>
      <c r="O1129" s="27">
        <f>IF($N1129="","",IFERROR(INDEX(CONFIG!$G$4:$G$43,MATCH($N1129,CONFIG!$F$4:$F$43,0)),"Por definir"))</f>
        <v/>
      </c>
      <c r="P1129" s="27">
        <f>IF($N1129="","",IFERROR(INDEX(CONFIG!$H$4:$H$43,MATCH($N1129,CONFIG!$F$4:$F$43,0)),"Por definir"))</f>
        <v/>
      </c>
      <c r="Q1129" s="50" t="n"/>
      <c r="R1129" s="51" t="n"/>
      <c r="S1129" s="49" t="n"/>
      <c r="T1129" s="49" t="n"/>
      <c r="U1129" s="48">
        <f>IF(OR($B1129="",$K1129=""),"",WORKDAY($B1129,IFERROR(INDEX(CONFIG!$C$4:$C$43,MATCH($K1129,CONFIG!$A$4:$A$43,0)),3)))</f>
        <v/>
      </c>
      <c r="V1129" s="46" t="n"/>
      <c r="W1129" s="23">
        <f>IF($B1129="","",IF($V1129&lt;&gt;"",$V1129-$B1129,TODAY()-$B1129))</f>
        <v/>
      </c>
      <c r="X1129" s="27">
        <f>IF($C1129="","",IF(IFERROR(INDEX(CONFIG!$K$4:$K$43,MATCH($S1129,CONFIG!$J$4:$J$43,0)),"NO")="SÍ",IF(OR($V1129="",$U1129=""),"Resuelta",IF($V1129&gt;$U1129,"Resuelta tarde","Resuelta a tiempo")),IF($U1129="","Sin clasificar",IF(TODAY()&gt;$U1129,"Vencida",IF(TODAY()&gt;=$U1129-1,"Por vencer","En plazo")))))</f>
        <v/>
      </c>
      <c r="Y1129" s="49" t="n"/>
      <c r="Z1129" s="49" t="n"/>
    </row>
    <row r="1130" ht="16" customHeight="1">
      <c r="A1130" s="27">
        <f>IF($C1130="","","N-"&amp;TEXT(ROW()-3,"0000"))</f>
        <v/>
      </c>
      <c r="B1130" s="46" t="n"/>
      <c r="C1130" s="47" t="n"/>
      <c r="D1130" s="27">
        <f>IF($C1130="","",IF(COUNTIFS(ENVIOS!$A$4:$A$3003,$C1130)=0,"NO EXISTE",IF(COUNTIFS(ENVIOS!$A$4:$A$3003,$C1130)&gt;1,"DUPLICADA","OK")))</f>
        <v/>
      </c>
      <c r="E1130" s="22">
        <f>IF($C1130="","",IFERROR(INDEX(ENVIOS!$C$4:$C$3003,MATCH($C1130,ENVIOS!$A$4:$A$3003,0)),"—"))</f>
        <v/>
      </c>
      <c r="F1130" s="22">
        <f>IF($C1130="","",IFERROR(INDEX(ENVIOS!$D$4:$D$3003,MATCH($C1130,ENVIOS!$A$4:$A$3003,0)),"—"))</f>
        <v/>
      </c>
      <c r="G1130" s="22">
        <f>IF($C1130="","",IFERROR(INDEX(ENVIOS!$E$4:$E$3003,MATCH($C1130,ENVIOS!$A$4:$A$3003,0)),"—"))</f>
        <v/>
      </c>
      <c r="H1130" s="22">
        <f>IF($C1130="","",IFERROR(INDEX(ENVIOS!$F$4:$F$3003,MATCH($C1130,ENVIOS!$A$4:$A$3003,0)),"—"))</f>
        <v/>
      </c>
      <c r="I1130" s="27">
        <f>IF($C1130="","",IFERROR(INDEX(ENVIOS!$G$4:$G$3003,MATCH($C1130,ENVIOS!$A$4:$A$3003,0)),"—"))</f>
        <v/>
      </c>
      <c r="J1130" s="48">
        <f>IF($C1130="","",IFERROR(INDEX(ENVIOS!$B$4:$B$3003,MATCH($C1130,ENVIOS!$A$4:$A$3003,0)),""))</f>
        <v/>
      </c>
      <c r="K1130" s="49" t="n"/>
      <c r="L1130" s="27">
        <f>IF($K1130="","",IFERROR(INDEX(CONFIG!$B$4:$B$43,MATCH($K1130,CONFIG!$A$4:$A$43,0)),"Media"))</f>
        <v/>
      </c>
      <c r="M1130" s="27">
        <f>IF($K1130="","",IFERROR(INDEX(CONFIG!$D$4:$D$43,MATCH($K1130,CONFIG!$A$4:$A$43,0)),"NO"))</f>
        <v/>
      </c>
      <c r="N1130" s="49" t="n"/>
      <c r="O1130" s="27">
        <f>IF($N1130="","",IFERROR(INDEX(CONFIG!$G$4:$G$43,MATCH($N1130,CONFIG!$F$4:$F$43,0)),"Por definir"))</f>
        <v/>
      </c>
      <c r="P1130" s="27">
        <f>IF($N1130="","",IFERROR(INDEX(CONFIG!$H$4:$H$43,MATCH($N1130,CONFIG!$F$4:$F$43,0)),"Por definir"))</f>
        <v/>
      </c>
      <c r="Q1130" s="50" t="n"/>
      <c r="R1130" s="51" t="n"/>
      <c r="S1130" s="49" t="n"/>
      <c r="T1130" s="49" t="n"/>
      <c r="U1130" s="48">
        <f>IF(OR($B1130="",$K1130=""),"",WORKDAY($B1130,IFERROR(INDEX(CONFIG!$C$4:$C$43,MATCH($K1130,CONFIG!$A$4:$A$43,0)),3)))</f>
        <v/>
      </c>
      <c r="V1130" s="46" t="n"/>
      <c r="W1130" s="23">
        <f>IF($B1130="","",IF($V1130&lt;&gt;"",$V1130-$B1130,TODAY()-$B1130))</f>
        <v/>
      </c>
      <c r="X1130" s="27">
        <f>IF($C1130="","",IF(IFERROR(INDEX(CONFIG!$K$4:$K$43,MATCH($S1130,CONFIG!$J$4:$J$43,0)),"NO")="SÍ",IF(OR($V1130="",$U1130=""),"Resuelta",IF($V1130&gt;$U1130,"Resuelta tarde","Resuelta a tiempo")),IF($U1130="","Sin clasificar",IF(TODAY()&gt;$U1130,"Vencida",IF(TODAY()&gt;=$U1130-1,"Por vencer","En plazo")))))</f>
        <v/>
      </c>
      <c r="Y1130" s="49" t="n"/>
      <c r="Z1130" s="49" t="n"/>
    </row>
    <row r="1131" ht="16" customHeight="1">
      <c r="A1131" s="27">
        <f>IF($C1131="","","N-"&amp;TEXT(ROW()-3,"0000"))</f>
        <v/>
      </c>
      <c r="B1131" s="46" t="n"/>
      <c r="C1131" s="47" t="n"/>
      <c r="D1131" s="27">
        <f>IF($C1131="","",IF(COUNTIFS(ENVIOS!$A$4:$A$3003,$C1131)=0,"NO EXISTE",IF(COUNTIFS(ENVIOS!$A$4:$A$3003,$C1131)&gt;1,"DUPLICADA","OK")))</f>
        <v/>
      </c>
      <c r="E1131" s="22">
        <f>IF($C1131="","",IFERROR(INDEX(ENVIOS!$C$4:$C$3003,MATCH($C1131,ENVIOS!$A$4:$A$3003,0)),"—"))</f>
        <v/>
      </c>
      <c r="F1131" s="22">
        <f>IF($C1131="","",IFERROR(INDEX(ENVIOS!$D$4:$D$3003,MATCH($C1131,ENVIOS!$A$4:$A$3003,0)),"—"))</f>
        <v/>
      </c>
      <c r="G1131" s="22">
        <f>IF($C1131="","",IFERROR(INDEX(ENVIOS!$E$4:$E$3003,MATCH($C1131,ENVIOS!$A$4:$A$3003,0)),"—"))</f>
        <v/>
      </c>
      <c r="H1131" s="22">
        <f>IF($C1131="","",IFERROR(INDEX(ENVIOS!$F$4:$F$3003,MATCH($C1131,ENVIOS!$A$4:$A$3003,0)),"—"))</f>
        <v/>
      </c>
      <c r="I1131" s="27">
        <f>IF($C1131="","",IFERROR(INDEX(ENVIOS!$G$4:$G$3003,MATCH($C1131,ENVIOS!$A$4:$A$3003,0)),"—"))</f>
        <v/>
      </c>
      <c r="J1131" s="48">
        <f>IF($C1131="","",IFERROR(INDEX(ENVIOS!$B$4:$B$3003,MATCH($C1131,ENVIOS!$A$4:$A$3003,0)),""))</f>
        <v/>
      </c>
      <c r="K1131" s="49" t="n"/>
      <c r="L1131" s="27">
        <f>IF($K1131="","",IFERROR(INDEX(CONFIG!$B$4:$B$43,MATCH($K1131,CONFIG!$A$4:$A$43,0)),"Media"))</f>
        <v/>
      </c>
      <c r="M1131" s="27">
        <f>IF($K1131="","",IFERROR(INDEX(CONFIG!$D$4:$D$43,MATCH($K1131,CONFIG!$A$4:$A$43,0)),"NO"))</f>
        <v/>
      </c>
      <c r="N1131" s="49" t="n"/>
      <c r="O1131" s="27">
        <f>IF($N1131="","",IFERROR(INDEX(CONFIG!$G$4:$G$43,MATCH($N1131,CONFIG!$F$4:$F$43,0)),"Por definir"))</f>
        <v/>
      </c>
      <c r="P1131" s="27">
        <f>IF($N1131="","",IFERROR(INDEX(CONFIG!$H$4:$H$43,MATCH($N1131,CONFIG!$F$4:$F$43,0)),"Por definir"))</f>
        <v/>
      </c>
      <c r="Q1131" s="50" t="n"/>
      <c r="R1131" s="51" t="n"/>
      <c r="S1131" s="49" t="n"/>
      <c r="T1131" s="49" t="n"/>
      <c r="U1131" s="48">
        <f>IF(OR($B1131="",$K1131=""),"",WORKDAY($B1131,IFERROR(INDEX(CONFIG!$C$4:$C$43,MATCH($K1131,CONFIG!$A$4:$A$43,0)),3)))</f>
        <v/>
      </c>
      <c r="V1131" s="46" t="n"/>
      <c r="W1131" s="23">
        <f>IF($B1131="","",IF($V1131&lt;&gt;"",$V1131-$B1131,TODAY()-$B1131))</f>
        <v/>
      </c>
      <c r="X1131" s="27">
        <f>IF($C1131="","",IF(IFERROR(INDEX(CONFIG!$K$4:$K$43,MATCH($S1131,CONFIG!$J$4:$J$43,0)),"NO")="SÍ",IF(OR($V1131="",$U1131=""),"Resuelta",IF($V1131&gt;$U1131,"Resuelta tarde","Resuelta a tiempo")),IF($U1131="","Sin clasificar",IF(TODAY()&gt;$U1131,"Vencida",IF(TODAY()&gt;=$U1131-1,"Por vencer","En plazo")))))</f>
        <v/>
      </c>
      <c r="Y1131" s="49" t="n"/>
      <c r="Z1131" s="49" t="n"/>
    </row>
    <row r="1132" ht="16" customHeight="1">
      <c r="A1132" s="27">
        <f>IF($C1132="","","N-"&amp;TEXT(ROW()-3,"0000"))</f>
        <v/>
      </c>
      <c r="B1132" s="46" t="n"/>
      <c r="C1132" s="47" t="n"/>
      <c r="D1132" s="27">
        <f>IF($C1132="","",IF(COUNTIFS(ENVIOS!$A$4:$A$3003,$C1132)=0,"NO EXISTE",IF(COUNTIFS(ENVIOS!$A$4:$A$3003,$C1132)&gt;1,"DUPLICADA","OK")))</f>
        <v/>
      </c>
      <c r="E1132" s="22">
        <f>IF($C1132="","",IFERROR(INDEX(ENVIOS!$C$4:$C$3003,MATCH($C1132,ENVIOS!$A$4:$A$3003,0)),"—"))</f>
        <v/>
      </c>
      <c r="F1132" s="22">
        <f>IF($C1132="","",IFERROR(INDEX(ENVIOS!$D$4:$D$3003,MATCH($C1132,ENVIOS!$A$4:$A$3003,0)),"—"))</f>
        <v/>
      </c>
      <c r="G1132" s="22">
        <f>IF($C1132="","",IFERROR(INDEX(ENVIOS!$E$4:$E$3003,MATCH($C1132,ENVIOS!$A$4:$A$3003,0)),"—"))</f>
        <v/>
      </c>
      <c r="H1132" s="22">
        <f>IF($C1132="","",IFERROR(INDEX(ENVIOS!$F$4:$F$3003,MATCH($C1132,ENVIOS!$A$4:$A$3003,0)),"—"))</f>
        <v/>
      </c>
      <c r="I1132" s="27">
        <f>IF($C1132="","",IFERROR(INDEX(ENVIOS!$G$4:$G$3003,MATCH($C1132,ENVIOS!$A$4:$A$3003,0)),"—"))</f>
        <v/>
      </c>
      <c r="J1132" s="48">
        <f>IF($C1132="","",IFERROR(INDEX(ENVIOS!$B$4:$B$3003,MATCH($C1132,ENVIOS!$A$4:$A$3003,0)),""))</f>
        <v/>
      </c>
      <c r="K1132" s="49" t="n"/>
      <c r="L1132" s="27">
        <f>IF($K1132="","",IFERROR(INDEX(CONFIG!$B$4:$B$43,MATCH($K1132,CONFIG!$A$4:$A$43,0)),"Media"))</f>
        <v/>
      </c>
      <c r="M1132" s="27">
        <f>IF($K1132="","",IFERROR(INDEX(CONFIG!$D$4:$D$43,MATCH($K1132,CONFIG!$A$4:$A$43,0)),"NO"))</f>
        <v/>
      </c>
      <c r="N1132" s="49" t="n"/>
      <c r="O1132" s="27">
        <f>IF($N1132="","",IFERROR(INDEX(CONFIG!$G$4:$G$43,MATCH($N1132,CONFIG!$F$4:$F$43,0)),"Por definir"))</f>
        <v/>
      </c>
      <c r="P1132" s="27">
        <f>IF($N1132="","",IFERROR(INDEX(CONFIG!$H$4:$H$43,MATCH($N1132,CONFIG!$F$4:$F$43,0)),"Por definir"))</f>
        <v/>
      </c>
      <c r="Q1132" s="50" t="n"/>
      <c r="R1132" s="51" t="n"/>
      <c r="S1132" s="49" t="n"/>
      <c r="T1132" s="49" t="n"/>
      <c r="U1132" s="48">
        <f>IF(OR($B1132="",$K1132=""),"",WORKDAY($B1132,IFERROR(INDEX(CONFIG!$C$4:$C$43,MATCH($K1132,CONFIG!$A$4:$A$43,0)),3)))</f>
        <v/>
      </c>
      <c r="V1132" s="46" t="n"/>
      <c r="W1132" s="23">
        <f>IF($B1132="","",IF($V1132&lt;&gt;"",$V1132-$B1132,TODAY()-$B1132))</f>
        <v/>
      </c>
      <c r="X1132" s="27">
        <f>IF($C1132="","",IF(IFERROR(INDEX(CONFIG!$K$4:$K$43,MATCH($S1132,CONFIG!$J$4:$J$43,0)),"NO")="SÍ",IF(OR($V1132="",$U1132=""),"Resuelta",IF($V1132&gt;$U1132,"Resuelta tarde","Resuelta a tiempo")),IF($U1132="","Sin clasificar",IF(TODAY()&gt;$U1132,"Vencida",IF(TODAY()&gt;=$U1132-1,"Por vencer","En plazo")))))</f>
        <v/>
      </c>
      <c r="Y1132" s="49" t="n"/>
      <c r="Z1132" s="49" t="n"/>
    </row>
    <row r="1133" ht="16" customHeight="1">
      <c r="A1133" s="27">
        <f>IF($C1133="","","N-"&amp;TEXT(ROW()-3,"0000"))</f>
        <v/>
      </c>
      <c r="B1133" s="46" t="n"/>
      <c r="C1133" s="47" t="n"/>
      <c r="D1133" s="27">
        <f>IF($C1133="","",IF(COUNTIFS(ENVIOS!$A$4:$A$3003,$C1133)=0,"NO EXISTE",IF(COUNTIFS(ENVIOS!$A$4:$A$3003,$C1133)&gt;1,"DUPLICADA","OK")))</f>
        <v/>
      </c>
      <c r="E1133" s="22">
        <f>IF($C1133="","",IFERROR(INDEX(ENVIOS!$C$4:$C$3003,MATCH($C1133,ENVIOS!$A$4:$A$3003,0)),"—"))</f>
        <v/>
      </c>
      <c r="F1133" s="22">
        <f>IF($C1133="","",IFERROR(INDEX(ENVIOS!$D$4:$D$3003,MATCH($C1133,ENVIOS!$A$4:$A$3003,0)),"—"))</f>
        <v/>
      </c>
      <c r="G1133" s="22">
        <f>IF($C1133="","",IFERROR(INDEX(ENVIOS!$E$4:$E$3003,MATCH($C1133,ENVIOS!$A$4:$A$3003,0)),"—"))</f>
        <v/>
      </c>
      <c r="H1133" s="22">
        <f>IF($C1133="","",IFERROR(INDEX(ENVIOS!$F$4:$F$3003,MATCH($C1133,ENVIOS!$A$4:$A$3003,0)),"—"))</f>
        <v/>
      </c>
      <c r="I1133" s="27">
        <f>IF($C1133="","",IFERROR(INDEX(ENVIOS!$G$4:$G$3003,MATCH($C1133,ENVIOS!$A$4:$A$3003,0)),"—"))</f>
        <v/>
      </c>
      <c r="J1133" s="48">
        <f>IF($C1133="","",IFERROR(INDEX(ENVIOS!$B$4:$B$3003,MATCH($C1133,ENVIOS!$A$4:$A$3003,0)),""))</f>
        <v/>
      </c>
      <c r="K1133" s="49" t="n"/>
      <c r="L1133" s="27">
        <f>IF($K1133="","",IFERROR(INDEX(CONFIG!$B$4:$B$43,MATCH($K1133,CONFIG!$A$4:$A$43,0)),"Media"))</f>
        <v/>
      </c>
      <c r="M1133" s="27">
        <f>IF($K1133="","",IFERROR(INDEX(CONFIG!$D$4:$D$43,MATCH($K1133,CONFIG!$A$4:$A$43,0)),"NO"))</f>
        <v/>
      </c>
      <c r="N1133" s="49" t="n"/>
      <c r="O1133" s="27">
        <f>IF($N1133="","",IFERROR(INDEX(CONFIG!$G$4:$G$43,MATCH($N1133,CONFIG!$F$4:$F$43,0)),"Por definir"))</f>
        <v/>
      </c>
      <c r="P1133" s="27">
        <f>IF($N1133="","",IFERROR(INDEX(CONFIG!$H$4:$H$43,MATCH($N1133,CONFIG!$F$4:$F$43,0)),"Por definir"))</f>
        <v/>
      </c>
      <c r="Q1133" s="50" t="n"/>
      <c r="R1133" s="51" t="n"/>
      <c r="S1133" s="49" t="n"/>
      <c r="T1133" s="49" t="n"/>
      <c r="U1133" s="48">
        <f>IF(OR($B1133="",$K1133=""),"",WORKDAY($B1133,IFERROR(INDEX(CONFIG!$C$4:$C$43,MATCH($K1133,CONFIG!$A$4:$A$43,0)),3)))</f>
        <v/>
      </c>
      <c r="V1133" s="46" t="n"/>
      <c r="W1133" s="23">
        <f>IF($B1133="","",IF($V1133&lt;&gt;"",$V1133-$B1133,TODAY()-$B1133))</f>
        <v/>
      </c>
      <c r="X1133" s="27">
        <f>IF($C1133="","",IF(IFERROR(INDEX(CONFIG!$K$4:$K$43,MATCH($S1133,CONFIG!$J$4:$J$43,0)),"NO")="SÍ",IF(OR($V1133="",$U1133=""),"Resuelta",IF($V1133&gt;$U1133,"Resuelta tarde","Resuelta a tiempo")),IF($U1133="","Sin clasificar",IF(TODAY()&gt;$U1133,"Vencida",IF(TODAY()&gt;=$U1133-1,"Por vencer","En plazo")))))</f>
        <v/>
      </c>
      <c r="Y1133" s="49" t="n"/>
      <c r="Z1133" s="49" t="n"/>
    </row>
    <row r="1134" ht="16" customHeight="1">
      <c r="A1134" s="27">
        <f>IF($C1134="","","N-"&amp;TEXT(ROW()-3,"0000"))</f>
        <v/>
      </c>
      <c r="B1134" s="46" t="n"/>
      <c r="C1134" s="47" t="n"/>
      <c r="D1134" s="27">
        <f>IF($C1134="","",IF(COUNTIFS(ENVIOS!$A$4:$A$3003,$C1134)=0,"NO EXISTE",IF(COUNTIFS(ENVIOS!$A$4:$A$3003,$C1134)&gt;1,"DUPLICADA","OK")))</f>
        <v/>
      </c>
      <c r="E1134" s="22">
        <f>IF($C1134="","",IFERROR(INDEX(ENVIOS!$C$4:$C$3003,MATCH($C1134,ENVIOS!$A$4:$A$3003,0)),"—"))</f>
        <v/>
      </c>
      <c r="F1134" s="22">
        <f>IF($C1134="","",IFERROR(INDEX(ENVIOS!$D$4:$D$3003,MATCH($C1134,ENVIOS!$A$4:$A$3003,0)),"—"))</f>
        <v/>
      </c>
      <c r="G1134" s="22">
        <f>IF($C1134="","",IFERROR(INDEX(ENVIOS!$E$4:$E$3003,MATCH($C1134,ENVIOS!$A$4:$A$3003,0)),"—"))</f>
        <v/>
      </c>
      <c r="H1134" s="22">
        <f>IF($C1134="","",IFERROR(INDEX(ENVIOS!$F$4:$F$3003,MATCH($C1134,ENVIOS!$A$4:$A$3003,0)),"—"))</f>
        <v/>
      </c>
      <c r="I1134" s="27">
        <f>IF($C1134="","",IFERROR(INDEX(ENVIOS!$G$4:$G$3003,MATCH($C1134,ENVIOS!$A$4:$A$3003,0)),"—"))</f>
        <v/>
      </c>
      <c r="J1134" s="48">
        <f>IF($C1134="","",IFERROR(INDEX(ENVIOS!$B$4:$B$3003,MATCH($C1134,ENVIOS!$A$4:$A$3003,0)),""))</f>
        <v/>
      </c>
      <c r="K1134" s="49" t="n"/>
      <c r="L1134" s="27">
        <f>IF($K1134="","",IFERROR(INDEX(CONFIG!$B$4:$B$43,MATCH($K1134,CONFIG!$A$4:$A$43,0)),"Media"))</f>
        <v/>
      </c>
      <c r="M1134" s="27">
        <f>IF($K1134="","",IFERROR(INDEX(CONFIG!$D$4:$D$43,MATCH($K1134,CONFIG!$A$4:$A$43,0)),"NO"))</f>
        <v/>
      </c>
      <c r="N1134" s="49" t="n"/>
      <c r="O1134" s="27">
        <f>IF($N1134="","",IFERROR(INDEX(CONFIG!$G$4:$G$43,MATCH($N1134,CONFIG!$F$4:$F$43,0)),"Por definir"))</f>
        <v/>
      </c>
      <c r="P1134" s="27">
        <f>IF($N1134="","",IFERROR(INDEX(CONFIG!$H$4:$H$43,MATCH($N1134,CONFIG!$F$4:$F$43,0)),"Por definir"))</f>
        <v/>
      </c>
      <c r="Q1134" s="50" t="n"/>
      <c r="R1134" s="51" t="n"/>
      <c r="S1134" s="49" t="n"/>
      <c r="T1134" s="49" t="n"/>
      <c r="U1134" s="48">
        <f>IF(OR($B1134="",$K1134=""),"",WORKDAY($B1134,IFERROR(INDEX(CONFIG!$C$4:$C$43,MATCH($K1134,CONFIG!$A$4:$A$43,0)),3)))</f>
        <v/>
      </c>
      <c r="V1134" s="46" t="n"/>
      <c r="W1134" s="23">
        <f>IF($B1134="","",IF($V1134&lt;&gt;"",$V1134-$B1134,TODAY()-$B1134))</f>
        <v/>
      </c>
      <c r="X1134" s="27">
        <f>IF($C1134="","",IF(IFERROR(INDEX(CONFIG!$K$4:$K$43,MATCH($S1134,CONFIG!$J$4:$J$43,0)),"NO")="SÍ",IF(OR($V1134="",$U1134=""),"Resuelta",IF($V1134&gt;$U1134,"Resuelta tarde","Resuelta a tiempo")),IF($U1134="","Sin clasificar",IF(TODAY()&gt;$U1134,"Vencida",IF(TODAY()&gt;=$U1134-1,"Por vencer","En plazo")))))</f>
        <v/>
      </c>
      <c r="Y1134" s="49" t="n"/>
      <c r="Z1134" s="49" t="n"/>
    </row>
    <row r="1135" ht="16" customHeight="1">
      <c r="A1135" s="27">
        <f>IF($C1135="","","N-"&amp;TEXT(ROW()-3,"0000"))</f>
        <v/>
      </c>
      <c r="B1135" s="46" t="n"/>
      <c r="C1135" s="47" t="n"/>
      <c r="D1135" s="27">
        <f>IF($C1135="","",IF(COUNTIFS(ENVIOS!$A$4:$A$3003,$C1135)=0,"NO EXISTE",IF(COUNTIFS(ENVIOS!$A$4:$A$3003,$C1135)&gt;1,"DUPLICADA","OK")))</f>
        <v/>
      </c>
      <c r="E1135" s="22">
        <f>IF($C1135="","",IFERROR(INDEX(ENVIOS!$C$4:$C$3003,MATCH($C1135,ENVIOS!$A$4:$A$3003,0)),"—"))</f>
        <v/>
      </c>
      <c r="F1135" s="22">
        <f>IF($C1135="","",IFERROR(INDEX(ENVIOS!$D$4:$D$3003,MATCH($C1135,ENVIOS!$A$4:$A$3003,0)),"—"))</f>
        <v/>
      </c>
      <c r="G1135" s="22">
        <f>IF($C1135="","",IFERROR(INDEX(ENVIOS!$E$4:$E$3003,MATCH($C1135,ENVIOS!$A$4:$A$3003,0)),"—"))</f>
        <v/>
      </c>
      <c r="H1135" s="22">
        <f>IF($C1135="","",IFERROR(INDEX(ENVIOS!$F$4:$F$3003,MATCH($C1135,ENVIOS!$A$4:$A$3003,0)),"—"))</f>
        <v/>
      </c>
      <c r="I1135" s="27">
        <f>IF($C1135="","",IFERROR(INDEX(ENVIOS!$G$4:$G$3003,MATCH($C1135,ENVIOS!$A$4:$A$3003,0)),"—"))</f>
        <v/>
      </c>
      <c r="J1135" s="48">
        <f>IF($C1135="","",IFERROR(INDEX(ENVIOS!$B$4:$B$3003,MATCH($C1135,ENVIOS!$A$4:$A$3003,0)),""))</f>
        <v/>
      </c>
      <c r="K1135" s="49" t="n"/>
      <c r="L1135" s="27">
        <f>IF($K1135="","",IFERROR(INDEX(CONFIG!$B$4:$B$43,MATCH($K1135,CONFIG!$A$4:$A$43,0)),"Media"))</f>
        <v/>
      </c>
      <c r="M1135" s="27">
        <f>IF($K1135="","",IFERROR(INDEX(CONFIG!$D$4:$D$43,MATCH($K1135,CONFIG!$A$4:$A$43,0)),"NO"))</f>
        <v/>
      </c>
      <c r="N1135" s="49" t="n"/>
      <c r="O1135" s="27">
        <f>IF($N1135="","",IFERROR(INDEX(CONFIG!$G$4:$G$43,MATCH($N1135,CONFIG!$F$4:$F$43,0)),"Por definir"))</f>
        <v/>
      </c>
      <c r="P1135" s="27">
        <f>IF($N1135="","",IFERROR(INDEX(CONFIG!$H$4:$H$43,MATCH($N1135,CONFIG!$F$4:$F$43,0)),"Por definir"))</f>
        <v/>
      </c>
      <c r="Q1135" s="50" t="n"/>
      <c r="R1135" s="51" t="n"/>
      <c r="S1135" s="49" t="n"/>
      <c r="T1135" s="49" t="n"/>
      <c r="U1135" s="48">
        <f>IF(OR($B1135="",$K1135=""),"",WORKDAY($B1135,IFERROR(INDEX(CONFIG!$C$4:$C$43,MATCH($K1135,CONFIG!$A$4:$A$43,0)),3)))</f>
        <v/>
      </c>
      <c r="V1135" s="46" t="n"/>
      <c r="W1135" s="23">
        <f>IF($B1135="","",IF($V1135&lt;&gt;"",$V1135-$B1135,TODAY()-$B1135))</f>
        <v/>
      </c>
      <c r="X1135" s="27">
        <f>IF($C1135="","",IF(IFERROR(INDEX(CONFIG!$K$4:$K$43,MATCH($S1135,CONFIG!$J$4:$J$43,0)),"NO")="SÍ",IF(OR($V1135="",$U1135=""),"Resuelta",IF($V1135&gt;$U1135,"Resuelta tarde","Resuelta a tiempo")),IF($U1135="","Sin clasificar",IF(TODAY()&gt;$U1135,"Vencida",IF(TODAY()&gt;=$U1135-1,"Por vencer","En plazo")))))</f>
        <v/>
      </c>
      <c r="Y1135" s="49" t="n"/>
      <c r="Z1135" s="49" t="n"/>
    </row>
    <row r="1136" ht="16" customHeight="1">
      <c r="A1136" s="27">
        <f>IF($C1136="","","N-"&amp;TEXT(ROW()-3,"0000"))</f>
        <v/>
      </c>
      <c r="B1136" s="46" t="n"/>
      <c r="C1136" s="47" t="n"/>
      <c r="D1136" s="27">
        <f>IF($C1136="","",IF(COUNTIFS(ENVIOS!$A$4:$A$3003,$C1136)=0,"NO EXISTE",IF(COUNTIFS(ENVIOS!$A$4:$A$3003,$C1136)&gt;1,"DUPLICADA","OK")))</f>
        <v/>
      </c>
      <c r="E1136" s="22">
        <f>IF($C1136="","",IFERROR(INDEX(ENVIOS!$C$4:$C$3003,MATCH($C1136,ENVIOS!$A$4:$A$3003,0)),"—"))</f>
        <v/>
      </c>
      <c r="F1136" s="22">
        <f>IF($C1136="","",IFERROR(INDEX(ENVIOS!$D$4:$D$3003,MATCH($C1136,ENVIOS!$A$4:$A$3003,0)),"—"))</f>
        <v/>
      </c>
      <c r="G1136" s="22">
        <f>IF($C1136="","",IFERROR(INDEX(ENVIOS!$E$4:$E$3003,MATCH($C1136,ENVIOS!$A$4:$A$3003,0)),"—"))</f>
        <v/>
      </c>
      <c r="H1136" s="22">
        <f>IF($C1136="","",IFERROR(INDEX(ENVIOS!$F$4:$F$3003,MATCH($C1136,ENVIOS!$A$4:$A$3003,0)),"—"))</f>
        <v/>
      </c>
      <c r="I1136" s="27">
        <f>IF($C1136="","",IFERROR(INDEX(ENVIOS!$G$4:$G$3003,MATCH($C1136,ENVIOS!$A$4:$A$3003,0)),"—"))</f>
        <v/>
      </c>
      <c r="J1136" s="48">
        <f>IF($C1136="","",IFERROR(INDEX(ENVIOS!$B$4:$B$3003,MATCH($C1136,ENVIOS!$A$4:$A$3003,0)),""))</f>
        <v/>
      </c>
      <c r="K1136" s="49" t="n"/>
      <c r="L1136" s="27">
        <f>IF($K1136="","",IFERROR(INDEX(CONFIG!$B$4:$B$43,MATCH($K1136,CONFIG!$A$4:$A$43,0)),"Media"))</f>
        <v/>
      </c>
      <c r="M1136" s="27">
        <f>IF($K1136="","",IFERROR(INDEX(CONFIG!$D$4:$D$43,MATCH($K1136,CONFIG!$A$4:$A$43,0)),"NO"))</f>
        <v/>
      </c>
      <c r="N1136" s="49" t="n"/>
      <c r="O1136" s="27">
        <f>IF($N1136="","",IFERROR(INDEX(CONFIG!$G$4:$G$43,MATCH($N1136,CONFIG!$F$4:$F$43,0)),"Por definir"))</f>
        <v/>
      </c>
      <c r="P1136" s="27">
        <f>IF($N1136="","",IFERROR(INDEX(CONFIG!$H$4:$H$43,MATCH($N1136,CONFIG!$F$4:$F$43,0)),"Por definir"))</f>
        <v/>
      </c>
      <c r="Q1136" s="50" t="n"/>
      <c r="R1136" s="51" t="n"/>
      <c r="S1136" s="49" t="n"/>
      <c r="T1136" s="49" t="n"/>
      <c r="U1136" s="48">
        <f>IF(OR($B1136="",$K1136=""),"",WORKDAY($B1136,IFERROR(INDEX(CONFIG!$C$4:$C$43,MATCH($K1136,CONFIG!$A$4:$A$43,0)),3)))</f>
        <v/>
      </c>
      <c r="V1136" s="46" t="n"/>
      <c r="W1136" s="23">
        <f>IF($B1136="","",IF($V1136&lt;&gt;"",$V1136-$B1136,TODAY()-$B1136))</f>
        <v/>
      </c>
      <c r="X1136" s="27">
        <f>IF($C1136="","",IF(IFERROR(INDEX(CONFIG!$K$4:$K$43,MATCH($S1136,CONFIG!$J$4:$J$43,0)),"NO")="SÍ",IF(OR($V1136="",$U1136=""),"Resuelta",IF($V1136&gt;$U1136,"Resuelta tarde","Resuelta a tiempo")),IF($U1136="","Sin clasificar",IF(TODAY()&gt;$U1136,"Vencida",IF(TODAY()&gt;=$U1136-1,"Por vencer","En plazo")))))</f>
        <v/>
      </c>
      <c r="Y1136" s="49" t="n"/>
      <c r="Z1136" s="49" t="n"/>
    </row>
    <row r="1137" ht="16" customHeight="1">
      <c r="A1137" s="27">
        <f>IF($C1137="","","N-"&amp;TEXT(ROW()-3,"0000"))</f>
        <v/>
      </c>
      <c r="B1137" s="46" t="n"/>
      <c r="C1137" s="47" t="n"/>
      <c r="D1137" s="27">
        <f>IF($C1137="","",IF(COUNTIFS(ENVIOS!$A$4:$A$3003,$C1137)=0,"NO EXISTE",IF(COUNTIFS(ENVIOS!$A$4:$A$3003,$C1137)&gt;1,"DUPLICADA","OK")))</f>
        <v/>
      </c>
      <c r="E1137" s="22">
        <f>IF($C1137="","",IFERROR(INDEX(ENVIOS!$C$4:$C$3003,MATCH($C1137,ENVIOS!$A$4:$A$3003,0)),"—"))</f>
        <v/>
      </c>
      <c r="F1137" s="22">
        <f>IF($C1137="","",IFERROR(INDEX(ENVIOS!$D$4:$D$3003,MATCH($C1137,ENVIOS!$A$4:$A$3003,0)),"—"))</f>
        <v/>
      </c>
      <c r="G1137" s="22">
        <f>IF($C1137="","",IFERROR(INDEX(ENVIOS!$E$4:$E$3003,MATCH($C1137,ENVIOS!$A$4:$A$3003,0)),"—"))</f>
        <v/>
      </c>
      <c r="H1137" s="22">
        <f>IF($C1137="","",IFERROR(INDEX(ENVIOS!$F$4:$F$3003,MATCH($C1137,ENVIOS!$A$4:$A$3003,0)),"—"))</f>
        <v/>
      </c>
      <c r="I1137" s="27">
        <f>IF($C1137="","",IFERROR(INDEX(ENVIOS!$G$4:$G$3003,MATCH($C1137,ENVIOS!$A$4:$A$3003,0)),"—"))</f>
        <v/>
      </c>
      <c r="J1137" s="48">
        <f>IF($C1137="","",IFERROR(INDEX(ENVIOS!$B$4:$B$3003,MATCH($C1137,ENVIOS!$A$4:$A$3003,0)),""))</f>
        <v/>
      </c>
      <c r="K1137" s="49" t="n"/>
      <c r="L1137" s="27">
        <f>IF($K1137="","",IFERROR(INDEX(CONFIG!$B$4:$B$43,MATCH($K1137,CONFIG!$A$4:$A$43,0)),"Media"))</f>
        <v/>
      </c>
      <c r="M1137" s="27">
        <f>IF($K1137="","",IFERROR(INDEX(CONFIG!$D$4:$D$43,MATCH($K1137,CONFIG!$A$4:$A$43,0)),"NO"))</f>
        <v/>
      </c>
      <c r="N1137" s="49" t="n"/>
      <c r="O1137" s="27">
        <f>IF($N1137="","",IFERROR(INDEX(CONFIG!$G$4:$G$43,MATCH($N1137,CONFIG!$F$4:$F$43,0)),"Por definir"))</f>
        <v/>
      </c>
      <c r="P1137" s="27">
        <f>IF($N1137="","",IFERROR(INDEX(CONFIG!$H$4:$H$43,MATCH($N1137,CONFIG!$F$4:$F$43,0)),"Por definir"))</f>
        <v/>
      </c>
      <c r="Q1137" s="50" t="n"/>
      <c r="R1137" s="51" t="n"/>
      <c r="S1137" s="49" t="n"/>
      <c r="T1137" s="49" t="n"/>
      <c r="U1137" s="48">
        <f>IF(OR($B1137="",$K1137=""),"",WORKDAY($B1137,IFERROR(INDEX(CONFIG!$C$4:$C$43,MATCH($K1137,CONFIG!$A$4:$A$43,0)),3)))</f>
        <v/>
      </c>
      <c r="V1137" s="46" t="n"/>
      <c r="W1137" s="23">
        <f>IF($B1137="","",IF($V1137&lt;&gt;"",$V1137-$B1137,TODAY()-$B1137))</f>
        <v/>
      </c>
      <c r="X1137" s="27">
        <f>IF($C1137="","",IF(IFERROR(INDEX(CONFIG!$K$4:$K$43,MATCH($S1137,CONFIG!$J$4:$J$43,0)),"NO")="SÍ",IF(OR($V1137="",$U1137=""),"Resuelta",IF($V1137&gt;$U1137,"Resuelta tarde","Resuelta a tiempo")),IF($U1137="","Sin clasificar",IF(TODAY()&gt;$U1137,"Vencida",IF(TODAY()&gt;=$U1137-1,"Por vencer","En plazo")))))</f>
        <v/>
      </c>
      <c r="Y1137" s="49" t="n"/>
      <c r="Z1137" s="49" t="n"/>
    </row>
    <row r="1138" ht="16" customHeight="1">
      <c r="A1138" s="27">
        <f>IF($C1138="","","N-"&amp;TEXT(ROW()-3,"0000"))</f>
        <v/>
      </c>
      <c r="B1138" s="46" t="n"/>
      <c r="C1138" s="47" t="n"/>
      <c r="D1138" s="27">
        <f>IF($C1138="","",IF(COUNTIFS(ENVIOS!$A$4:$A$3003,$C1138)=0,"NO EXISTE",IF(COUNTIFS(ENVIOS!$A$4:$A$3003,$C1138)&gt;1,"DUPLICADA","OK")))</f>
        <v/>
      </c>
      <c r="E1138" s="22">
        <f>IF($C1138="","",IFERROR(INDEX(ENVIOS!$C$4:$C$3003,MATCH($C1138,ENVIOS!$A$4:$A$3003,0)),"—"))</f>
        <v/>
      </c>
      <c r="F1138" s="22">
        <f>IF($C1138="","",IFERROR(INDEX(ENVIOS!$D$4:$D$3003,MATCH($C1138,ENVIOS!$A$4:$A$3003,0)),"—"))</f>
        <v/>
      </c>
      <c r="G1138" s="22">
        <f>IF($C1138="","",IFERROR(INDEX(ENVIOS!$E$4:$E$3003,MATCH($C1138,ENVIOS!$A$4:$A$3003,0)),"—"))</f>
        <v/>
      </c>
      <c r="H1138" s="22">
        <f>IF($C1138="","",IFERROR(INDEX(ENVIOS!$F$4:$F$3003,MATCH($C1138,ENVIOS!$A$4:$A$3003,0)),"—"))</f>
        <v/>
      </c>
      <c r="I1138" s="27">
        <f>IF($C1138="","",IFERROR(INDEX(ENVIOS!$G$4:$G$3003,MATCH($C1138,ENVIOS!$A$4:$A$3003,0)),"—"))</f>
        <v/>
      </c>
      <c r="J1138" s="48">
        <f>IF($C1138="","",IFERROR(INDEX(ENVIOS!$B$4:$B$3003,MATCH($C1138,ENVIOS!$A$4:$A$3003,0)),""))</f>
        <v/>
      </c>
      <c r="K1138" s="49" t="n"/>
      <c r="L1138" s="27">
        <f>IF($K1138="","",IFERROR(INDEX(CONFIG!$B$4:$B$43,MATCH($K1138,CONFIG!$A$4:$A$43,0)),"Media"))</f>
        <v/>
      </c>
      <c r="M1138" s="27">
        <f>IF($K1138="","",IFERROR(INDEX(CONFIG!$D$4:$D$43,MATCH($K1138,CONFIG!$A$4:$A$43,0)),"NO"))</f>
        <v/>
      </c>
      <c r="N1138" s="49" t="n"/>
      <c r="O1138" s="27">
        <f>IF($N1138="","",IFERROR(INDEX(CONFIG!$G$4:$G$43,MATCH($N1138,CONFIG!$F$4:$F$43,0)),"Por definir"))</f>
        <v/>
      </c>
      <c r="P1138" s="27">
        <f>IF($N1138="","",IFERROR(INDEX(CONFIG!$H$4:$H$43,MATCH($N1138,CONFIG!$F$4:$F$43,0)),"Por definir"))</f>
        <v/>
      </c>
      <c r="Q1138" s="50" t="n"/>
      <c r="R1138" s="51" t="n"/>
      <c r="S1138" s="49" t="n"/>
      <c r="T1138" s="49" t="n"/>
      <c r="U1138" s="48">
        <f>IF(OR($B1138="",$K1138=""),"",WORKDAY($B1138,IFERROR(INDEX(CONFIG!$C$4:$C$43,MATCH($K1138,CONFIG!$A$4:$A$43,0)),3)))</f>
        <v/>
      </c>
      <c r="V1138" s="46" t="n"/>
      <c r="W1138" s="23">
        <f>IF($B1138="","",IF($V1138&lt;&gt;"",$V1138-$B1138,TODAY()-$B1138))</f>
        <v/>
      </c>
      <c r="X1138" s="27">
        <f>IF($C1138="","",IF(IFERROR(INDEX(CONFIG!$K$4:$K$43,MATCH($S1138,CONFIG!$J$4:$J$43,0)),"NO")="SÍ",IF(OR($V1138="",$U1138=""),"Resuelta",IF($V1138&gt;$U1138,"Resuelta tarde","Resuelta a tiempo")),IF($U1138="","Sin clasificar",IF(TODAY()&gt;$U1138,"Vencida",IF(TODAY()&gt;=$U1138-1,"Por vencer","En plazo")))))</f>
        <v/>
      </c>
      <c r="Y1138" s="49" t="n"/>
      <c r="Z1138" s="49" t="n"/>
    </row>
    <row r="1139" ht="16" customHeight="1">
      <c r="A1139" s="27">
        <f>IF($C1139="","","N-"&amp;TEXT(ROW()-3,"0000"))</f>
        <v/>
      </c>
      <c r="B1139" s="46" t="n"/>
      <c r="C1139" s="47" t="n"/>
      <c r="D1139" s="27">
        <f>IF($C1139="","",IF(COUNTIFS(ENVIOS!$A$4:$A$3003,$C1139)=0,"NO EXISTE",IF(COUNTIFS(ENVIOS!$A$4:$A$3003,$C1139)&gt;1,"DUPLICADA","OK")))</f>
        <v/>
      </c>
      <c r="E1139" s="22">
        <f>IF($C1139="","",IFERROR(INDEX(ENVIOS!$C$4:$C$3003,MATCH($C1139,ENVIOS!$A$4:$A$3003,0)),"—"))</f>
        <v/>
      </c>
      <c r="F1139" s="22">
        <f>IF($C1139="","",IFERROR(INDEX(ENVIOS!$D$4:$D$3003,MATCH($C1139,ENVIOS!$A$4:$A$3003,0)),"—"))</f>
        <v/>
      </c>
      <c r="G1139" s="22">
        <f>IF($C1139="","",IFERROR(INDEX(ENVIOS!$E$4:$E$3003,MATCH($C1139,ENVIOS!$A$4:$A$3003,0)),"—"))</f>
        <v/>
      </c>
      <c r="H1139" s="22">
        <f>IF($C1139="","",IFERROR(INDEX(ENVIOS!$F$4:$F$3003,MATCH($C1139,ENVIOS!$A$4:$A$3003,0)),"—"))</f>
        <v/>
      </c>
      <c r="I1139" s="27">
        <f>IF($C1139="","",IFERROR(INDEX(ENVIOS!$G$4:$G$3003,MATCH($C1139,ENVIOS!$A$4:$A$3003,0)),"—"))</f>
        <v/>
      </c>
      <c r="J1139" s="48">
        <f>IF($C1139="","",IFERROR(INDEX(ENVIOS!$B$4:$B$3003,MATCH($C1139,ENVIOS!$A$4:$A$3003,0)),""))</f>
        <v/>
      </c>
      <c r="K1139" s="49" t="n"/>
      <c r="L1139" s="27">
        <f>IF($K1139="","",IFERROR(INDEX(CONFIG!$B$4:$B$43,MATCH($K1139,CONFIG!$A$4:$A$43,0)),"Media"))</f>
        <v/>
      </c>
      <c r="M1139" s="27">
        <f>IF($K1139="","",IFERROR(INDEX(CONFIG!$D$4:$D$43,MATCH($K1139,CONFIG!$A$4:$A$43,0)),"NO"))</f>
        <v/>
      </c>
      <c r="N1139" s="49" t="n"/>
      <c r="O1139" s="27">
        <f>IF($N1139="","",IFERROR(INDEX(CONFIG!$G$4:$G$43,MATCH($N1139,CONFIG!$F$4:$F$43,0)),"Por definir"))</f>
        <v/>
      </c>
      <c r="P1139" s="27">
        <f>IF($N1139="","",IFERROR(INDEX(CONFIG!$H$4:$H$43,MATCH($N1139,CONFIG!$F$4:$F$43,0)),"Por definir"))</f>
        <v/>
      </c>
      <c r="Q1139" s="50" t="n"/>
      <c r="R1139" s="51" t="n"/>
      <c r="S1139" s="49" t="n"/>
      <c r="T1139" s="49" t="n"/>
      <c r="U1139" s="48">
        <f>IF(OR($B1139="",$K1139=""),"",WORKDAY($B1139,IFERROR(INDEX(CONFIG!$C$4:$C$43,MATCH($K1139,CONFIG!$A$4:$A$43,0)),3)))</f>
        <v/>
      </c>
      <c r="V1139" s="46" t="n"/>
      <c r="W1139" s="23">
        <f>IF($B1139="","",IF($V1139&lt;&gt;"",$V1139-$B1139,TODAY()-$B1139))</f>
        <v/>
      </c>
      <c r="X1139" s="27">
        <f>IF($C1139="","",IF(IFERROR(INDEX(CONFIG!$K$4:$K$43,MATCH($S1139,CONFIG!$J$4:$J$43,0)),"NO")="SÍ",IF(OR($V1139="",$U1139=""),"Resuelta",IF($V1139&gt;$U1139,"Resuelta tarde","Resuelta a tiempo")),IF($U1139="","Sin clasificar",IF(TODAY()&gt;$U1139,"Vencida",IF(TODAY()&gt;=$U1139-1,"Por vencer","En plazo")))))</f>
        <v/>
      </c>
      <c r="Y1139" s="49" t="n"/>
      <c r="Z1139" s="49" t="n"/>
    </row>
    <row r="1140" ht="16" customHeight="1">
      <c r="A1140" s="27">
        <f>IF($C1140="","","N-"&amp;TEXT(ROW()-3,"0000"))</f>
        <v/>
      </c>
      <c r="B1140" s="46" t="n"/>
      <c r="C1140" s="47" t="n"/>
      <c r="D1140" s="27">
        <f>IF($C1140="","",IF(COUNTIFS(ENVIOS!$A$4:$A$3003,$C1140)=0,"NO EXISTE",IF(COUNTIFS(ENVIOS!$A$4:$A$3003,$C1140)&gt;1,"DUPLICADA","OK")))</f>
        <v/>
      </c>
      <c r="E1140" s="22">
        <f>IF($C1140="","",IFERROR(INDEX(ENVIOS!$C$4:$C$3003,MATCH($C1140,ENVIOS!$A$4:$A$3003,0)),"—"))</f>
        <v/>
      </c>
      <c r="F1140" s="22">
        <f>IF($C1140="","",IFERROR(INDEX(ENVIOS!$D$4:$D$3003,MATCH($C1140,ENVIOS!$A$4:$A$3003,0)),"—"))</f>
        <v/>
      </c>
      <c r="G1140" s="22">
        <f>IF($C1140="","",IFERROR(INDEX(ENVIOS!$E$4:$E$3003,MATCH($C1140,ENVIOS!$A$4:$A$3003,0)),"—"))</f>
        <v/>
      </c>
      <c r="H1140" s="22">
        <f>IF($C1140="","",IFERROR(INDEX(ENVIOS!$F$4:$F$3003,MATCH($C1140,ENVIOS!$A$4:$A$3003,0)),"—"))</f>
        <v/>
      </c>
      <c r="I1140" s="27">
        <f>IF($C1140="","",IFERROR(INDEX(ENVIOS!$G$4:$G$3003,MATCH($C1140,ENVIOS!$A$4:$A$3003,0)),"—"))</f>
        <v/>
      </c>
      <c r="J1140" s="48">
        <f>IF($C1140="","",IFERROR(INDEX(ENVIOS!$B$4:$B$3003,MATCH($C1140,ENVIOS!$A$4:$A$3003,0)),""))</f>
        <v/>
      </c>
      <c r="K1140" s="49" t="n"/>
      <c r="L1140" s="27">
        <f>IF($K1140="","",IFERROR(INDEX(CONFIG!$B$4:$B$43,MATCH($K1140,CONFIG!$A$4:$A$43,0)),"Media"))</f>
        <v/>
      </c>
      <c r="M1140" s="27">
        <f>IF($K1140="","",IFERROR(INDEX(CONFIG!$D$4:$D$43,MATCH($K1140,CONFIG!$A$4:$A$43,0)),"NO"))</f>
        <v/>
      </c>
      <c r="N1140" s="49" t="n"/>
      <c r="O1140" s="27">
        <f>IF($N1140="","",IFERROR(INDEX(CONFIG!$G$4:$G$43,MATCH($N1140,CONFIG!$F$4:$F$43,0)),"Por definir"))</f>
        <v/>
      </c>
      <c r="P1140" s="27">
        <f>IF($N1140="","",IFERROR(INDEX(CONFIG!$H$4:$H$43,MATCH($N1140,CONFIG!$F$4:$F$43,0)),"Por definir"))</f>
        <v/>
      </c>
      <c r="Q1140" s="50" t="n"/>
      <c r="R1140" s="51" t="n"/>
      <c r="S1140" s="49" t="n"/>
      <c r="T1140" s="49" t="n"/>
      <c r="U1140" s="48">
        <f>IF(OR($B1140="",$K1140=""),"",WORKDAY($B1140,IFERROR(INDEX(CONFIG!$C$4:$C$43,MATCH($K1140,CONFIG!$A$4:$A$43,0)),3)))</f>
        <v/>
      </c>
      <c r="V1140" s="46" t="n"/>
      <c r="W1140" s="23">
        <f>IF($B1140="","",IF($V1140&lt;&gt;"",$V1140-$B1140,TODAY()-$B1140))</f>
        <v/>
      </c>
      <c r="X1140" s="27">
        <f>IF($C1140="","",IF(IFERROR(INDEX(CONFIG!$K$4:$K$43,MATCH($S1140,CONFIG!$J$4:$J$43,0)),"NO")="SÍ",IF(OR($V1140="",$U1140=""),"Resuelta",IF($V1140&gt;$U1140,"Resuelta tarde","Resuelta a tiempo")),IF($U1140="","Sin clasificar",IF(TODAY()&gt;$U1140,"Vencida",IF(TODAY()&gt;=$U1140-1,"Por vencer","En plazo")))))</f>
        <v/>
      </c>
      <c r="Y1140" s="49" t="n"/>
      <c r="Z1140" s="49" t="n"/>
    </row>
    <row r="1141" ht="16" customHeight="1">
      <c r="A1141" s="27">
        <f>IF($C1141="","","N-"&amp;TEXT(ROW()-3,"0000"))</f>
        <v/>
      </c>
      <c r="B1141" s="46" t="n"/>
      <c r="C1141" s="47" t="n"/>
      <c r="D1141" s="27">
        <f>IF($C1141="","",IF(COUNTIFS(ENVIOS!$A$4:$A$3003,$C1141)=0,"NO EXISTE",IF(COUNTIFS(ENVIOS!$A$4:$A$3003,$C1141)&gt;1,"DUPLICADA","OK")))</f>
        <v/>
      </c>
      <c r="E1141" s="22">
        <f>IF($C1141="","",IFERROR(INDEX(ENVIOS!$C$4:$C$3003,MATCH($C1141,ENVIOS!$A$4:$A$3003,0)),"—"))</f>
        <v/>
      </c>
      <c r="F1141" s="22">
        <f>IF($C1141="","",IFERROR(INDEX(ENVIOS!$D$4:$D$3003,MATCH($C1141,ENVIOS!$A$4:$A$3003,0)),"—"))</f>
        <v/>
      </c>
      <c r="G1141" s="22">
        <f>IF($C1141="","",IFERROR(INDEX(ENVIOS!$E$4:$E$3003,MATCH($C1141,ENVIOS!$A$4:$A$3003,0)),"—"))</f>
        <v/>
      </c>
      <c r="H1141" s="22">
        <f>IF($C1141="","",IFERROR(INDEX(ENVIOS!$F$4:$F$3003,MATCH($C1141,ENVIOS!$A$4:$A$3003,0)),"—"))</f>
        <v/>
      </c>
      <c r="I1141" s="27">
        <f>IF($C1141="","",IFERROR(INDEX(ENVIOS!$G$4:$G$3003,MATCH($C1141,ENVIOS!$A$4:$A$3003,0)),"—"))</f>
        <v/>
      </c>
      <c r="J1141" s="48">
        <f>IF($C1141="","",IFERROR(INDEX(ENVIOS!$B$4:$B$3003,MATCH($C1141,ENVIOS!$A$4:$A$3003,0)),""))</f>
        <v/>
      </c>
      <c r="K1141" s="49" t="n"/>
      <c r="L1141" s="27">
        <f>IF($K1141="","",IFERROR(INDEX(CONFIG!$B$4:$B$43,MATCH($K1141,CONFIG!$A$4:$A$43,0)),"Media"))</f>
        <v/>
      </c>
      <c r="M1141" s="27">
        <f>IF($K1141="","",IFERROR(INDEX(CONFIG!$D$4:$D$43,MATCH($K1141,CONFIG!$A$4:$A$43,0)),"NO"))</f>
        <v/>
      </c>
      <c r="N1141" s="49" t="n"/>
      <c r="O1141" s="27">
        <f>IF($N1141="","",IFERROR(INDEX(CONFIG!$G$4:$G$43,MATCH($N1141,CONFIG!$F$4:$F$43,0)),"Por definir"))</f>
        <v/>
      </c>
      <c r="P1141" s="27">
        <f>IF($N1141="","",IFERROR(INDEX(CONFIG!$H$4:$H$43,MATCH($N1141,CONFIG!$F$4:$F$43,0)),"Por definir"))</f>
        <v/>
      </c>
      <c r="Q1141" s="50" t="n"/>
      <c r="R1141" s="51" t="n"/>
      <c r="S1141" s="49" t="n"/>
      <c r="T1141" s="49" t="n"/>
      <c r="U1141" s="48">
        <f>IF(OR($B1141="",$K1141=""),"",WORKDAY($B1141,IFERROR(INDEX(CONFIG!$C$4:$C$43,MATCH($K1141,CONFIG!$A$4:$A$43,0)),3)))</f>
        <v/>
      </c>
      <c r="V1141" s="46" t="n"/>
      <c r="W1141" s="23">
        <f>IF($B1141="","",IF($V1141&lt;&gt;"",$V1141-$B1141,TODAY()-$B1141))</f>
        <v/>
      </c>
      <c r="X1141" s="27">
        <f>IF($C1141="","",IF(IFERROR(INDEX(CONFIG!$K$4:$K$43,MATCH($S1141,CONFIG!$J$4:$J$43,0)),"NO")="SÍ",IF(OR($V1141="",$U1141=""),"Resuelta",IF($V1141&gt;$U1141,"Resuelta tarde","Resuelta a tiempo")),IF($U1141="","Sin clasificar",IF(TODAY()&gt;$U1141,"Vencida",IF(TODAY()&gt;=$U1141-1,"Por vencer","En plazo")))))</f>
        <v/>
      </c>
      <c r="Y1141" s="49" t="n"/>
      <c r="Z1141" s="49" t="n"/>
    </row>
    <row r="1142" ht="16" customHeight="1">
      <c r="A1142" s="27">
        <f>IF($C1142="","","N-"&amp;TEXT(ROW()-3,"0000"))</f>
        <v/>
      </c>
      <c r="B1142" s="46" t="n"/>
      <c r="C1142" s="47" t="n"/>
      <c r="D1142" s="27">
        <f>IF($C1142="","",IF(COUNTIFS(ENVIOS!$A$4:$A$3003,$C1142)=0,"NO EXISTE",IF(COUNTIFS(ENVIOS!$A$4:$A$3003,$C1142)&gt;1,"DUPLICADA","OK")))</f>
        <v/>
      </c>
      <c r="E1142" s="22">
        <f>IF($C1142="","",IFERROR(INDEX(ENVIOS!$C$4:$C$3003,MATCH($C1142,ENVIOS!$A$4:$A$3003,0)),"—"))</f>
        <v/>
      </c>
      <c r="F1142" s="22">
        <f>IF($C1142="","",IFERROR(INDEX(ENVIOS!$D$4:$D$3003,MATCH($C1142,ENVIOS!$A$4:$A$3003,0)),"—"))</f>
        <v/>
      </c>
      <c r="G1142" s="22">
        <f>IF($C1142="","",IFERROR(INDEX(ENVIOS!$E$4:$E$3003,MATCH($C1142,ENVIOS!$A$4:$A$3003,0)),"—"))</f>
        <v/>
      </c>
      <c r="H1142" s="22">
        <f>IF($C1142="","",IFERROR(INDEX(ENVIOS!$F$4:$F$3003,MATCH($C1142,ENVIOS!$A$4:$A$3003,0)),"—"))</f>
        <v/>
      </c>
      <c r="I1142" s="27">
        <f>IF($C1142="","",IFERROR(INDEX(ENVIOS!$G$4:$G$3003,MATCH($C1142,ENVIOS!$A$4:$A$3003,0)),"—"))</f>
        <v/>
      </c>
      <c r="J1142" s="48">
        <f>IF($C1142="","",IFERROR(INDEX(ENVIOS!$B$4:$B$3003,MATCH($C1142,ENVIOS!$A$4:$A$3003,0)),""))</f>
        <v/>
      </c>
      <c r="K1142" s="49" t="n"/>
      <c r="L1142" s="27">
        <f>IF($K1142="","",IFERROR(INDEX(CONFIG!$B$4:$B$43,MATCH($K1142,CONFIG!$A$4:$A$43,0)),"Media"))</f>
        <v/>
      </c>
      <c r="M1142" s="27">
        <f>IF($K1142="","",IFERROR(INDEX(CONFIG!$D$4:$D$43,MATCH($K1142,CONFIG!$A$4:$A$43,0)),"NO"))</f>
        <v/>
      </c>
      <c r="N1142" s="49" t="n"/>
      <c r="O1142" s="27">
        <f>IF($N1142="","",IFERROR(INDEX(CONFIG!$G$4:$G$43,MATCH($N1142,CONFIG!$F$4:$F$43,0)),"Por definir"))</f>
        <v/>
      </c>
      <c r="P1142" s="27">
        <f>IF($N1142="","",IFERROR(INDEX(CONFIG!$H$4:$H$43,MATCH($N1142,CONFIG!$F$4:$F$43,0)),"Por definir"))</f>
        <v/>
      </c>
      <c r="Q1142" s="50" t="n"/>
      <c r="R1142" s="51" t="n"/>
      <c r="S1142" s="49" t="n"/>
      <c r="T1142" s="49" t="n"/>
      <c r="U1142" s="48">
        <f>IF(OR($B1142="",$K1142=""),"",WORKDAY($B1142,IFERROR(INDEX(CONFIG!$C$4:$C$43,MATCH($K1142,CONFIG!$A$4:$A$43,0)),3)))</f>
        <v/>
      </c>
      <c r="V1142" s="46" t="n"/>
      <c r="W1142" s="23">
        <f>IF($B1142="","",IF($V1142&lt;&gt;"",$V1142-$B1142,TODAY()-$B1142))</f>
        <v/>
      </c>
      <c r="X1142" s="27">
        <f>IF($C1142="","",IF(IFERROR(INDEX(CONFIG!$K$4:$K$43,MATCH($S1142,CONFIG!$J$4:$J$43,0)),"NO")="SÍ",IF(OR($V1142="",$U1142=""),"Resuelta",IF($V1142&gt;$U1142,"Resuelta tarde","Resuelta a tiempo")),IF($U1142="","Sin clasificar",IF(TODAY()&gt;$U1142,"Vencida",IF(TODAY()&gt;=$U1142-1,"Por vencer","En plazo")))))</f>
        <v/>
      </c>
      <c r="Y1142" s="49" t="n"/>
      <c r="Z1142" s="49" t="n"/>
    </row>
    <row r="1143" ht="16" customHeight="1">
      <c r="A1143" s="27">
        <f>IF($C1143="","","N-"&amp;TEXT(ROW()-3,"0000"))</f>
        <v/>
      </c>
      <c r="B1143" s="46" t="n"/>
      <c r="C1143" s="47" t="n"/>
      <c r="D1143" s="27">
        <f>IF($C1143="","",IF(COUNTIFS(ENVIOS!$A$4:$A$3003,$C1143)=0,"NO EXISTE",IF(COUNTIFS(ENVIOS!$A$4:$A$3003,$C1143)&gt;1,"DUPLICADA","OK")))</f>
        <v/>
      </c>
      <c r="E1143" s="22">
        <f>IF($C1143="","",IFERROR(INDEX(ENVIOS!$C$4:$C$3003,MATCH($C1143,ENVIOS!$A$4:$A$3003,0)),"—"))</f>
        <v/>
      </c>
      <c r="F1143" s="22">
        <f>IF($C1143="","",IFERROR(INDEX(ENVIOS!$D$4:$D$3003,MATCH($C1143,ENVIOS!$A$4:$A$3003,0)),"—"))</f>
        <v/>
      </c>
      <c r="G1143" s="22">
        <f>IF($C1143="","",IFERROR(INDEX(ENVIOS!$E$4:$E$3003,MATCH($C1143,ENVIOS!$A$4:$A$3003,0)),"—"))</f>
        <v/>
      </c>
      <c r="H1143" s="22">
        <f>IF($C1143="","",IFERROR(INDEX(ENVIOS!$F$4:$F$3003,MATCH($C1143,ENVIOS!$A$4:$A$3003,0)),"—"))</f>
        <v/>
      </c>
      <c r="I1143" s="27">
        <f>IF($C1143="","",IFERROR(INDEX(ENVIOS!$G$4:$G$3003,MATCH($C1143,ENVIOS!$A$4:$A$3003,0)),"—"))</f>
        <v/>
      </c>
      <c r="J1143" s="48">
        <f>IF($C1143="","",IFERROR(INDEX(ENVIOS!$B$4:$B$3003,MATCH($C1143,ENVIOS!$A$4:$A$3003,0)),""))</f>
        <v/>
      </c>
      <c r="K1143" s="49" t="n"/>
      <c r="L1143" s="27">
        <f>IF($K1143="","",IFERROR(INDEX(CONFIG!$B$4:$B$43,MATCH($K1143,CONFIG!$A$4:$A$43,0)),"Media"))</f>
        <v/>
      </c>
      <c r="M1143" s="27">
        <f>IF($K1143="","",IFERROR(INDEX(CONFIG!$D$4:$D$43,MATCH($K1143,CONFIG!$A$4:$A$43,0)),"NO"))</f>
        <v/>
      </c>
      <c r="N1143" s="49" t="n"/>
      <c r="O1143" s="27">
        <f>IF($N1143="","",IFERROR(INDEX(CONFIG!$G$4:$G$43,MATCH($N1143,CONFIG!$F$4:$F$43,0)),"Por definir"))</f>
        <v/>
      </c>
      <c r="P1143" s="27">
        <f>IF($N1143="","",IFERROR(INDEX(CONFIG!$H$4:$H$43,MATCH($N1143,CONFIG!$F$4:$F$43,0)),"Por definir"))</f>
        <v/>
      </c>
      <c r="Q1143" s="50" t="n"/>
      <c r="R1143" s="51" t="n"/>
      <c r="S1143" s="49" t="n"/>
      <c r="T1143" s="49" t="n"/>
      <c r="U1143" s="48">
        <f>IF(OR($B1143="",$K1143=""),"",WORKDAY($B1143,IFERROR(INDEX(CONFIG!$C$4:$C$43,MATCH($K1143,CONFIG!$A$4:$A$43,0)),3)))</f>
        <v/>
      </c>
      <c r="V1143" s="46" t="n"/>
      <c r="W1143" s="23">
        <f>IF($B1143="","",IF($V1143&lt;&gt;"",$V1143-$B1143,TODAY()-$B1143))</f>
        <v/>
      </c>
      <c r="X1143" s="27">
        <f>IF($C1143="","",IF(IFERROR(INDEX(CONFIG!$K$4:$K$43,MATCH($S1143,CONFIG!$J$4:$J$43,0)),"NO")="SÍ",IF(OR($V1143="",$U1143=""),"Resuelta",IF($V1143&gt;$U1143,"Resuelta tarde","Resuelta a tiempo")),IF($U1143="","Sin clasificar",IF(TODAY()&gt;$U1143,"Vencida",IF(TODAY()&gt;=$U1143-1,"Por vencer","En plazo")))))</f>
        <v/>
      </c>
      <c r="Y1143" s="49" t="n"/>
      <c r="Z1143" s="49" t="n"/>
    </row>
    <row r="1144" ht="16" customHeight="1">
      <c r="A1144" s="27">
        <f>IF($C1144="","","N-"&amp;TEXT(ROW()-3,"0000"))</f>
        <v/>
      </c>
      <c r="B1144" s="46" t="n"/>
      <c r="C1144" s="47" t="n"/>
      <c r="D1144" s="27">
        <f>IF($C1144="","",IF(COUNTIFS(ENVIOS!$A$4:$A$3003,$C1144)=0,"NO EXISTE",IF(COUNTIFS(ENVIOS!$A$4:$A$3003,$C1144)&gt;1,"DUPLICADA","OK")))</f>
        <v/>
      </c>
      <c r="E1144" s="22">
        <f>IF($C1144="","",IFERROR(INDEX(ENVIOS!$C$4:$C$3003,MATCH($C1144,ENVIOS!$A$4:$A$3003,0)),"—"))</f>
        <v/>
      </c>
      <c r="F1144" s="22">
        <f>IF($C1144="","",IFERROR(INDEX(ENVIOS!$D$4:$D$3003,MATCH($C1144,ENVIOS!$A$4:$A$3003,0)),"—"))</f>
        <v/>
      </c>
      <c r="G1144" s="22">
        <f>IF($C1144="","",IFERROR(INDEX(ENVIOS!$E$4:$E$3003,MATCH($C1144,ENVIOS!$A$4:$A$3003,0)),"—"))</f>
        <v/>
      </c>
      <c r="H1144" s="22">
        <f>IF($C1144="","",IFERROR(INDEX(ENVIOS!$F$4:$F$3003,MATCH($C1144,ENVIOS!$A$4:$A$3003,0)),"—"))</f>
        <v/>
      </c>
      <c r="I1144" s="27">
        <f>IF($C1144="","",IFERROR(INDEX(ENVIOS!$G$4:$G$3003,MATCH($C1144,ENVIOS!$A$4:$A$3003,0)),"—"))</f>
        <v/>
      </c>
      <c r="J1144" s="48">
        <f>IF($C1144="","",IFERROR(INDEX(ENVIOS!$B$4:$B$3003,MATCH($C1144,ENVIOS!$A$4:$A$3003,0)),""))</f>
        <v/>
      </c>
      <c r="K1144" s="49" t="n"/>
      <c r="L1144" s="27">
        <f>IF($K1144="","",IFERROR(INDEX(CONFIG!$B$4:$B$43,MATCH($K1144,CONFIG!$A$4:$A$43,0)),"Media"))</f>
        <v/>
      </c>
      <c r="M1144" s="27">
        <f>IF($K1144="","",IFERROR(INDEX(CONFIG!$D$4:$D$43,MATCH($K1144,CONFIG!$A$4:$A$43,0)),"NO"))</f>
        <v/>
      </c>
      <c r="N1144" s="49" t="n"/>
      <c r="O1144" s="27">
        <f>IF($N1144="","",IFERROR(INDEX(CONFIG!$G$4:$G$43,MATCH($N1144,CONFIG!$F$4:$F$43,0)),"Por definir"))</f>
        <v/>
      </c>
      <c r="P1144" s="27">
        <f>IF($N1144="","",IFERROR(INDEX(CONFIG!$H$4:$H$43,MATCH($N1144,CONFIG!$F$4:$F$43,0)),"Por definir"))</f>
        <v/>
      </c>
      <c r="Q1144" s="50" t="n"/>
      <c r="R1144" s="51" t="n"/>
      <c r="S1144" s="49" t="n"/>
      <c r="T1144" s="49" t="n"/>
      <c r="U1144" s="48">
        <f>IF(OR($B1144="",$K1144=""),"",WORKDAY($B1144,IFERROR(INDEX(CONFIG!$C$4:$C$43,MATCH($K1144,CONFIG!$A$4:$A$43,0)),3)))</f>
        <v/>
      </c>
      <c r="V1144" s="46" t="n"/>
      <c r="W1144" s="23">
        <f>IF($B1144="","",IF($V1144&lt;&gt;"",$V1144-$B1144,TODAY()-$B1144))</f>
        <v/>
      </c>
      <c r="X1144" s="27">
        <f>IF($C1144="","",IF(IFERROR(INDEX(CONFIG!$K$4:$K$43,MATCH($S1144,CONFIG!$J$4:$J$43,0)),"NO")="SÍ",IF(OR($V1144="",$U1144=""),"Resuelta",IF($V1144&gt;$U1144,"Resuelta tarde","Resuelta a tiempo")),IF($U1144="","Sin clasificar",IF(TODAY()&gt;$U1144,"Vencida",IF(TODAY()&gt;=$U1144-1,"Por vencer","En plazo")))))</f>
        <v/>
      </c>
      <c r="Y1144" s="49" t="n"/>
      <c r="Z1144" s="49" t="n"/>
    </row>
    <row r="1145" ht="16" customHeight="1">
      <c r="A1145" s="27">
        <f>IF($C1145="","","N-"&amp;TEXT(ROW()-3,"0000"))</f>
        <v/>
      </c>
      <c r="B1145" s="46" t="n"/>
      <c r="C1145" s="47" t="n"/>
      <c r="D1145" s="27">
        <f>IF($C1145="","",IF(COUNTIFS(ENVIOS!$A$4:$A$3003,$C1145)=0,"NO EXISTE",IF(COUNTIFS(ENVIOS!$A$4:$A$3003,$C1145)&gt;1,"DUPLICADA","OK")))</f>
        <v/>
      </c>
      <c r="E1145" s="22">
        <f>IF($C1145="","",IFERROR(INDEX(ENVIOS!$C$4:$C$3003,MATCH($C1145,ENVIOS!$A$4:$A$3003,0)),"—"))</f>
        <v/>
      </c>
      <c r="F1145" s="22">
        <f>IF($C1145="","",IFERROR(INDEX(ENVIOS!$D$4:$D$3003,MATCH($C1145,ENVIOS!$A$4:$A$3003,0)),"—"))</f>
        <v/>
      </c>
      <c r="G1145" s="22">
        <f>IF($C1145="","",IFERROR(INDEX(ENVIOS!$E$4:$E$3003,MATCH($C1145,ENVIOS!$A$4:$A$3003,0)),"—"))</f>
        <v/>
      </c>
      <c r="H1145" s="22">
        <f>IF($C1145="","",IFERROR(INDEX(ENVIOS!$F$4:$F$3003,MATCH($C1145,ENVIOS!$A$4:$A$3003,0)),"—"))</f>
        <v/>
      </c>
      <c r="I1145" s="27">
        <f>IF($C1145="","",IFERROR(INDEX(ENVIOS!$G$4:$G$3003,MATCH($C1145,ENVIOS!$A$4:$A$3003,0)),"—"))</f>
        <v/>
      </c>
      <c r="J1145" s="48">
        <f>IF($C1145="","",IFERROR(INDEX(ENVIOS!$B$4:$B$3003,MATCH($C1145,ENVIOS!$A$4:$A$3003,0)),""))</f>
        <v/>
      </c>
      <c r="K1145" s="49" t="n"/>
      <c r="L1145" s="27">
        <f>IF($K1145="","",IFERROR(INDEX(CONFIG!$B$4:$B$43,MATCH($K1145,CONFIG!$A$4:$A$43,0)),"Media"))</f>
        <v/>
      </c>
      <c r="M1145" s="27">
        <f>IF($K1145="","",IFERROR(INDEX(CONFIG!$D$4:$D$43,MATCH($K1145,CONFIG!$A$4:$A$43,0)),"NO"))</f>
        <v/>
      </c>
      <c r="N1145" s="49" t="n"/>
      <c r="O1145" s="27">
        <f>IF($N1145="","",IFERROR(INDEX(CONFIG!$G$4:$G$43,MATCH($N1145,CONFIG!$F$4:$F$43,0)),"Por definir"))</f>
        <v/>
      </c>
      <c r="P1145" s="27">
        <f>IF($N1145="","",IFERROR(INDEX(CONFIG!$H$4:$H$43,MATCH($N1145,CONFIG!$F$4:$F$43,0)),"Por definir"))</f>
        <v/>
      </c>
      <c r="Q1145" s="50" t="n"/>
      <c r="R1145" s="51" t="n"/>
      <c r="S1145" s="49" t="n"/>
      <c r="T1145" s="49" t="n"/>
      <c r="U1145" s="48">
        <f>IF(OR($B1145="",$K1145=""),"",WORKDAY($B1145,IFERROR(INDEX(CONFIG!$C$4:$C$43,MATCH($K1145,CONFIG!$A$4:$A$43,0)),3)))</f>
        <v/>
      </c>
      <c r="V1145" s="46" t="n"/>
      <c r="W1145" s="23">
        <f>IF($B1145="","",IF($V1145&lt;&gt;"",$V1145-$B1145,TODAY()-$B1145))</f>
        <v/>
      </c>
      <c r="X1145" s="27">
        <f>IF($C1145="","",IF(IFERROR(INDEX(CONFIG!$K$4:$K$43,MATCH($S1145,CONFIG!$J$4:$J$43,0)),"NO")="SÍ",IF(OR($V1145="",$U1145=""),"Resuelta",IF($V1145&gt;$U1145,"Resuelta tarde","Resuelta a tiempo")),IF($U1145="","Sin clasificar",IF(TODAY()&gt;$U1145,"Vencida",IF(TODAY()&gt;=$U1145-1,"Por vencer","En plazo")))))</f>
        <v/>
      </c>
      <c r="Y1145" s="49" t="n"/>
      <c r="Z1145" s="49" t="n"/>
    </row>
    <row r="1146" ht="16" customHeight="1">
      <c r="A1146" s="27">
        <f>IF($C1146="","","N-"&amp;TEXT(ROW()-3,"0000"))</f>
        <v/>
      </c>
      <c r="B1146" s="46" t="n"/>
      <c r="C1146" s="47" t="n"/>
      <c r="D1146" s="27">
        <f>IF($C1146="","",IF(COUNTIFS(ENVIOS!$A$4:$A$3003,$C1146)=0,"NO EXISTE",IF(COUNTIFS(ENVIOS!$A$4:$A$3003,$C1146)&gt;1,"DUPLICADA","OK")))</f>
        <v/>
      </c>
      <c r="E1146" s="22">
        <f>IF($C1146="","",IFERROR(INDEX(ENVIOS!$C$4:$C$3003,MATCH($C1146,ENVIOS!$A$4:$A$3003,0)),"—"))</f>
        <v/>
      </c>
      <c r="F1146" s="22">
        <f>IF($C1146="","",IFERROR(INDEX(ENVIOS!$D$4:$D$3003,MATCH($C1146,ENVIOS!$A$4:$A$3003,0)),"—"))</f>
        <v/>
      </c>
      <c r="G1146" s="22">
        <f>IF($C1146="","",IFERROR(INDEX(ENVIOS!$E$4:$E$3003,MATCH($C1146,ENVIOS!$A$4:$A$3003,0)),"—"))</f>
        <v/>
      </c>
      <c r="H1146" s="22">
        <f>IF($C1146="","",IFERROR(INDEX(ENVIOS!$F$4:$F$3003,MATCH($C1146,ENVIOS!$A$4:$A$3003,0)),"—"))</f>
        <v/>
      </c>
      <c r="I1146" s="27">
        <f>IF($C1146="","",IFERROR(INDEX(ENVIOS!$G$4:$G$3003,MATCH($C1146,ENVIOS!$A$4:$A$3003,0)),"—"))</f>
        <v/>
      </c>
      <c r="J1146" s="48">
        <f>IF($C1146="","",IFERROR(INDEX(ENVIOS!$B$4:$B$3003,MATCH($C1146,ENVIOS!$A$4:$A$3003,0)),""))</f>
        <v/>
      </c>
      <c r="K1146" s="49" t="n"/>
      <c r="L1146" s="27">
        <f>IF($K1146="","",IFERROR(INDEX(CONFIG!$B$4:$B$43,MATCH($K1146,CONFIG!$A$4:$A$43,0)),"Media"))</f>
        <v/>
      </c>
      <c r="M1146" s="27">
        <f>IF($K1146="","",IFERROR(INDEX(CONFIG!$D$4:$D$43,MATCH($K1146,CONFIG!$A$4:$A$43,0)),"NO"))</f>
        <v/>
      </c>
      <c r="N1146" s="49" t="n"/>
      <c r="O1146" s="27">
        <f>IF($N1146="","",IFERROR(INDEX(CONFIG!$G$4:$G$43,MATCH($N1146,CONFIG!$F$4:$F$43,0)),"Por definir"))</f>
        <v/>
      </c>
      <c r="P1146" s="27">
        <f>IF($N1146="","",IFERROR(INDEX(CONFIG!$H$4:$H$43,MATCH($N1146,CONFIG!$F$4:$F$43,0)),"Por definir"))</f>
        <v/>
      </c>
      <c r="Q1146" s="50" t="n"/>
      <c r="R1146" s="51" t="n"/>
      <c r="S1146" s="49" t="n"/>
      <c r="T1146" s="49" t="n"/>
      <c r="U1146" s="48">
        <f>IF(OR($B1146="",$K1146=""),"",WORKDAY($B1146,IFERROR(INDEX(CONFIG!$C$4:$C$43,MATCH($K1146,CONFIG!$A$4:$A$43,0)),3)))</f>
        <v/>
      </c>
      <c r="V1146" s="46" t="n"/>
      <c r="W1146" s="23">
        <f>IF($B1146="","",IF($V1146&lt;&gt;"",$V1146-$B1146,TODAY()-$B1146))</f>
        <v/>
      </c>
      <c r="X1146" s="27">
        <f>IF($C1146="","",IF(IFERROR(INDEX(CONFIG!$K$4:$K$43,MATCH($S1146,CONFIG!$J$4:$J$43,0)),"NO")="SÍ",IF(OR($V1146="",$U1146=""),"Resuelta",IF($V1146&gt;$U1146,"Resuelta tarde","Resuelta a tiempo")),IF($U1146="","Sin clasificar",IF(TODAY()&gt;$U1146,"Vencida",IF(TODAY()&gt;=$U1146-1,"Por vencer","En plazo")))))</f>
        <v/>
      </c>
      <c r="Y1146" s="49" t="n"/>
      <c r="Z1146" s="49" t="n"/>
    </row>
    <row r="1147" ht="16" customHeight="1">
      <c r="A1147" s="27">
        <f>IF($C1147="","","N-"&amp;TEXT(ROW()-3,"0000"))</f>
        <v/>
      </c>
      <c r="B1147" s="46" t="n"/>
      <c r="C1147" s="47" t="n"/>
      <c r="D1147" s="27">
        <f>IF($C1147="","",IF(COUNTIFS(ENVIOS!$A$4:$A$3003,$C1147)=0,"NO EXISTE",IF(COUNTIFS(ENVIOS!$A$4:$A$3003,$C1147)&gt;1,"DUPLICADA","OK")))</f>
        <v/>
      </c>
      <c r="E1147" s="22">
        <f>IF($C1147="","",IFERROR(INDEX(ENVIOS!$C$4:$C$3003,MATCH($C1147,ENVIOS!$A$4:$A$3003,0)),"—"))</f>
        <v/>
      </c>
      <c r="F1147" s="22">
        <f>IF($C1147="","",IFERROR(INDEX(ENVIOS!$D$4:$D$3003,MATCH($C1147,ENVIOS!$A$4:$A$3003,0)),"—"))</f>
        <v/>
      </c>
      <c r="G1147" s="22">
        <f>IF($C1147="","",IFERROR(INDEX(ENVIOS!$E$4:$E$3003,MATCH($C1147,ENVIOS!$A$4:$A$3003,0)),"—"))</f>
        <v/>
      </c>
      <c r="H1147" s="22">
        <f>IF($C1147="","",IFERROR(INDEX(ENVIOS!$F$4:$F$3003,MATCH($C1147,ENVIOS!$A$4:$A$3003,0)),"—"))</f>
        <v/>
      </c>
      <c r="I1147" s="27">
        <f>IF($C1147="","",IFERROR(INDEX(ENVIOS!$G$4:$G$3003,MATCH($C1147,ENVIOS!$A$4:$A$3003,0)),"—"))</f>
        <v/>
      </c>
      <c r="J1147" s="48">
        <f>IF($C1147="","",IFERROR(INDEX(ENVIOS!$B$4:$B$3003,MATCH($C1147,ENVIOS!$A$4:$A$3003,0)),""))</f>
        <v/>
      </c>
      <c r="K1147" s="49" t="n"/>
      <c r="L1147" s="27">
        <f>IF($K1147="","",IFERROR(INDEX(CONFIG!$B$4:$B$43,MATCH($K1147,CONFIG!$A$4:$A$43,0)),"Media"))</f>
        <v/>
      </c>
      <c r="M1147" s="27">
        <f>IF($K1147="","",IFERROR(INDEX(CONFIG!$D$4:$D$43,MATCH($K1147,CONFIG!$A$4:$A$43,0)),"NO"))</f>
        <v/>
      </c>
      <c r="N1147" s="49" t="n"/>
      <c r="O1147" s="27">
        <f>IF($N1147="","",IFERROR(INDEX(CONFIG!$G$4:$G$43,MATCH($N1147,CONFIG!$F$4:$F$43,0)),"Por definir"))</f>
        <v/>
      </c>
      <c r="P1147" s="27">
        <f>IF($N1147="","",IFERROR(INDEX(CONFIG!$H$4:$H$43,MATCH($N1147,CONFIG!$F$4:$F$43,0)),"Por definir"))</f>
        <v/>
      </c>
      <c r="Q1147" s="50" t="n"/>
      <c r="R1147" s="51" t="n"/>
      <c r="S1147" s="49" t="n"/>
      <c r="T1147" s="49" t="n"/>
      <c r="U1147" s="48">
        <f>IF(OR($B1147="",$K1147=""),"",WORKDAY($B1147,IFERROR(INDEX(CONFIG!$C$4:$C$43,MATCH($K1147,CONFIG!$A$4:$A$43,0)),3)))</f>
        <v/>
      </c>
      <c r="V1147" s="46" t="n"/>
      <c r="W1147" s="23">
        <f>IF($B1147="","",IF($V1147&lt;&gt;"",$V1147-$B1147,TODAY()-$B1147))</f>
        <v/>
      </c>
      <c r="X1147" s="27">
        <f>IF($C1147="","",IF(IFERROR(INDEX(CONFIG!$K$4:$K$43,MATCH($S1147,CONFIG!$J$4:$J$43,0)),"NO")="SÍ",IF(OR($V1147="",$U1147=""),"Resuelta",IF($V1147&gt;$U1147,"Resuelta tarde","Resuelta a tiempo")),IF($U1147="","Sin clasificar",IF(TODAY()&gt;$U1147,"Vencida",IF(TODAY()&gt;=$U1147-1,"Por vencer","En plazo")))))</f>
        <v/>
      </c>
      <c r="Y1147" s="49" t="n"/>
      <c r="Z1147" s="49" t="n"/>
    </row>
    <row r="1148" ht="16" customHeight="1">
      <c r="A1148" s="27">
        <f>IF($C1148="","","N-"&amp;TEXT(ROW()-3,"0000"))</f>
        <v/>
      </c>
      <c r="B1148" s="46" t="n"/>
      <c r="C1148" s="47" t="n"/>
      <c r="D1148" s="27">
        <f>IF($C1148="","",IF(COUNTIFS(ENVIOS!$A$4:$A$3003,$C1148)=0,"NO EXISTE",IF(COUNTIFS(ENVIOS!$A$4:$A$3003,$C1148)&gt;1,"DUPLICADA","OK")))</f>
        <v/>
      </c>
      <c r="E1148" s="22">
        <f>IF($C1148="","",IFERROR(INDEX(ENVIOS!$C$4:$C$3003,MATCH($C1148,ENVIOS!$A$4:$A$3003,0)),"—"))</f>
        <v/>
      </c>
      <c r="F1148" s="22">
        <f>IF($C1148="","",IFERROR(INDEX(ENVIOS!$D$4:$D$3003,MATCH($C1148,ENVIOS!$A$4:$A$3003,0)),"—"))</f>
        <v/>
      </c>
      <c r="G1148" s="22">
        <f>IF($C1148="","",IFERROR(INDEX(ENVIOS!$E$4:$E$3003,MATCH($C1148,ENVIOS!$A$4:$A$3003,0)),"—"))</f>
        <v/>
      </c>
      <c r="H1148" s="22">
        <f>IF($C1148="","",IFERROR(INDEX(ENVIOS!$F$4:$F$3003,MATCH($C1148,ENVIOS!$A$4:$A$3003,0)),"—"))</f>
        <v/>
      </c>
      <c r="I1148" s="27">
        <f>IF($C1148="","",IFERROR(INDEX(ENVIOS!$G$4:$G$3003,MATCH($C1148,ENVIOS!$A$4:$A$3003,0)),"—"))</f>
        <v/>
      </c>
      <c r="J1148" s="48">
        <f>IF($C1148="","",IFERROR(INDEX(ENVIOS!$B$4:$B$3003,MATCH($C1148,ENVIOS!$A$4:$A$3003,0)),""))</f>
        <v/>
      </c>
      <c r="K1148" s="49" t="n"/>
      <c r="L1148" s="27">
        <f>IF($K1148="","",IFERROR(INDEX(CONFIG!$B$4:$B$43,MATCH($K1148,CONFIG!$A$4:$A$43,0)),"Media"))</f>
        <v/>
      </c>
      <c r="M1148" s="27">
        <f>IF($K1148="","",IFERROR(INDEX(CONFIG!$D$4:$D$43,MATCH($K1148,CONFIG!$A$4:$A$43,0)),"NO"))</f>
        <v/>
      </c>
      <c r="N1148" s="49" t="n"/>
      <c r="O1148" s="27">
        <f>IF($N1148="","",IFERROR(INDEX(CONFIG!$G$4:$G$43,MATCH($N1148,CONFIG!$F$4:$F$43,0)),"Por definir"))</f>
        <v/>
      </c>
      <c r="P1148" s="27">
        <f>IF($N1148="","",IFERROR(INDEX(CONFIG!$H$4:$H$43,MATCH($N1148,CONFIG!$F$4:$F$43,0)),"Por definir"))</f>
        <v/>
      </c>
      <c r="Q1148" s="50" t="n"/>
      <c r="R1148" s="51" t="n"/>
      <c r="S1148" s="49" t="n"/>
      <c r="T1148" s="49" t="n"/>
      <c r="U1148" s="48">
        <f>IF(OR($B1148="",$K1148=""),"",WORKDAY($B1148,IFERROR(INDEX(CONFIG!$C$4:$C$43,MATCH($K1148,CONFIG!$A$4:$A$43,0)),3)))</f>
        <v/>
      </c>
      <c r="V1148" s="46" t="n"/>
      <c r="W1148" s="23">
        <f>IF($B1148="","",IF($V1148&lt;&gt;"",$V1148-$B1148,TODAY()-$B1148))</f>
        <v/>
      </c>
      <c r="X1148" s="27">
        <f>IF($C1148="","",IF(IFERROR(INDEX(CONFIG!$K$4:$K$43,MATCH($S1148,CONFIG!$J$4:$J$43,0)),"NO")="SÍ",IF(OR($V1148="",$U1148=""),"Resuelta",IF($V1148&gt;$U1148,"Resuelta tarde","Resuelta a tiempo")),IF($U1148="","Sin clasificar",IF(TODAY()&gt;$U1148,"Vencida",IF(TODAY()&gt;=$U1148-1,"Por vencer","En plazo")))))</f>
        <v/>
      </c>
      <c r="Y1148" s="49" t="n"/>
      <c r="Z1148" s="49" t="n"/>
    </row>
    <row r="1149" ht="16" customHeight="1">
      <c r="A1149" s="27">
        <f>IF($C1149="","","N-"&amp;TEXT(ROW()-3,"0000"))</f>
        <v/>
      </c>
      <c r="B1149" s="46" t="n"/>
      <c r="C1149" s="47" t="n"/>
      <c r="D1149" s="27">
        <f>IF($C1149="","",IF(COUNTIFS(ENVIOS!$A$4:$A$3003,$C1149)=0,"NO EXISTE",IF(COUNTIFS(ENVIOS!$A$4:$A$3003,$C1149)&gt;1,"DUPLICADA","OK")))</f>
        <v/>
      </c>
      <c r="E1149" s="22">
        <f>IF($C1149="","",IFERROR(INDEX(ENVIOS!$C$4:$C$3003,MATCH($C1149,ENVIOS!$A$4:$A$3003,0)),"—"))</f>
        <v/>
      </c>
      <c r="F1149" s="22">
        <f>IF($C1149="","",IFERROR(INDEX(ENVIOS!$D$4:$D$3003,MATCH($C1149,ENVIOS!$A$4:$A$3003,0)),"—"))</f>
        <v/>
      </c>
      <c r="G1149" s="22">
        <f>IF($C1149="","",IFERROR(INDEX(ENVIOS!$E$4:$E$3003,MATCH($C1149,ENVIOS!$A$4:$A$3003,0)),"—"))</f>
        <v/>
      </c>
      <c r="H1149" s="22">
        <f>IF($C1149="","",IFERROR(INDEX(ENVIOS!$F$4:$F$3003,MATCH($C1149,ENVIOS!$A$4:$A$3003,0)),"—"))</f>
        <v/>
      </c>
      <c r="I1149" s="27">
        <f>IF($C1149="","",IFERROR(INDEX(ENVIOS!$G$4:$G$3003,MATCH($C1149,ENVIOS!$A$4:$A$3003,0)),"—"))</f>
        <v/>
      </c>
      <c r="J1149" s="48">
        <f>IF($C1149="","",IFERROR(INDEX(ENVIOS!$B$4:$B$3003,MATCH($C1149,ENVIOS!$A$4:$A$3003,0)),""))</f>
        <v/>
      </c>
      <c r="K1149" s="49" t="n"/>
      <c r="L1149" s="27">
        <f>IF($K1149="","",IFERROR(INDEX(CONFIG!$B$4:$B$43,MATCH($K1149,CONFIG!$A$4:$A$43,0)),"Media"))</f>
        <v/>
      </c>
      <c r="M1149" s="27">
        <f>IF($K1149="","",IFERROR(INDEX(CONFIG!$D$4:$D$43,MATCH($K1149,CONFIG!$A$4:$A$43,0)),"NO"))</f>
        <v/>
      </c>
      <c r="N1149" s="49" t="n"/>
      <c r="O1149" s="27">
        <f>IF($N1149="","",IFERROR(INDEX(CONFIG!$G$4:$G$43,MATCH($N1149,CONFIG!$F$4:$F$43,0)),"Por definir"))</f>
        <v/>
      </c>
      <c r="P1149" s="27">
        <f>IF($N1149="","",IFERROR(INDEX(CONFIG!$H$4:$H$43,MATCH($N1149,CONFIG!$F$4:$F$43,0)),"Por definir"))</f>
        <v/>
      </c>
      <c r="Q1149" s="50" t="n"/>
      <c r="R1149" s="51" t="n"/>
      <c r="S1149" s="49" t="n"/>
      <c r="T1149" s="49" t="n"/>
      <c r="U1149" s="48">
        <f>IF(OR($B1149="",$K1149=""),"",WORKDAY($B1149,IFERROR(INDEX(CONFIG!$C$4:$C$43,MATCH($K1149,CONFIG!$A$4:$A$43,0)),3)))</f>
        <v/>
      </c>
      <c r="V1149" s="46" t="n"/>
      <c r="W1149" s="23">
        <f>IF($B1149="","",IF($V1149&lt;&gt;"",$V1149-$B1149,TODAY()-$B1149))</f>
        <v/>
      </c>
      <c r="X1149" s="27">
        <f>IF($C1149="","",IF(IFERROR(INDEX(CONFIG!$K$4:$K$43,MATCH($S1149,CONFIG!$J$4:$J$43,0)),"NO")="SÍ",IF(OR($V1149="",$U1149=""),"Resuelta",IF($V1149&gt;$U1149,"Resuelta tarde","Resuelta a tiempo")),IF($U1149="","Sin clasificar",IF(TODAY()&gt;$U1149,"Vencida",IF(TODAY()&gt;=$U1149-1,"Por vencer","En plazo")))))</f>
        <v/>
      </c>
      <c r="Y1149" s="49" t="n"/>
      <c r="Z1149" s="49" t="n"/>
    </row>
    <row r="1150" ht="16" customHeight="1">
      <c r="A1150" s="27">
        <f>IF($C1150="","","N-"&amp;TEXT(ROW()-3,"0000"))</f>
        <v/>
      </c>
      <c r="B1150" s="46" t="n"/>
      <c r="C1150" s="47" t="n"/>
      <c r="D1150" s="27">
        <f>IF($C1150="","",IF(COUNTIFS(ENVIOS!$A$4:$A$3003,$C1150)=0,"NO EXISTE",IF(COUNTIFS(ENVIOS!$A$4:$A$3003,$C1150)&gt;1,"DUPLICADA","OK")))</f>
        <v/>
      </c>
      <c r="E1150" s="22">
        <f>IF($C1150="","",IFERROR(INDEX(ENVIOS!$C$4:$C$3003,MATCH($C1150,ENVIOS!$A$4:$A$3003,0)),"—"))</f>
        <v/>
      </c>
      <c r="F1150" s="22">
        <f>IF($C1150="","",IFERROR(INDEX(ENVIOS!$D$4:$D$3003,MATCH($C1150,ENVIOS!$A$4:$A$3003,0)),"—"))</f>
        <v/>
      </c>
      <c r="G1150" s="22">
        <f>IF($C1150="","",IFERROR(INDEX(ENVIOS!$E$4:$E$3003,MATCH($C1150,ENVIOS!$A$4:$A$3003,0)),"—"))</f>
        <v/>
      </c>
      <c r="H1150" s="22">
        <f>IF($C1150="","",IFERROR(INDEX(ENVIOS!$F$4:$F$3003,MATCH($C1150,ENVIOS!$A$4:$A$3003,0)),"—"))</f>
        <v/>
      </c>
      <c r="I1150" s="27">
        <f>IF($C1150="","",IFERROR(INDEX(ENVIOS!$G$4:$G$3003,MATCH($C1150,ENVIOS!$A$4:$A$3003,0)),"—"))</f>
        <v/>
      </c>
      <c r="J1150" s="48">
        <f>IF($C1150="","",IFERROR(INDEX(ENVIOS!$B$4:$B$3003,MATCH($C1150,ENVIOS!$A$4:$A$3003,0)),""))</f>
        <v/>
      </c>
      <c r="K1150" s="49" t="n"/>
      <c r="L1150" s="27">
        <f>IF($K1150="","",IFERROR(INDEX(CONFIG!$B$4:$B$43,MATCH($K1150,CONFIG!$A$4:$A$43,0)),"Media"))</f>
        <v/>
      </c>
      <c r="M1150" s="27">
        <f>IF($K1150="","",IFERROR(INDEX(CONFIG!$D$4:$D$43,MATCH($K1150,CONFIG!$A$4:$A$43,0)),"NO"))</f>
        <v/>
      </c>
      <c r="N1150" s="49" t="n"/>
      <c r="O1150" s="27">
        <f>IF($N1150="","",IFERROR(INDEX(CONFIG!$G$4:$G$43,MATCH($N1150,CONFIG!$F$4:$F$43,0)),"Por definir"))</f>
        <v/>
      </c>
      <c r="P1150" s="27">
        <f>IF($N1150="","",IFERROR(INDEX(CONFIG!$H$4:$H$43,MATCH($N1150,CONFIG!$F$4:$F$43,0)),"Por definir"))</f>
        <v/>
      </c>
      <c r="Q1150" s="50" t="n"/>
      <c r="R1150" s="51" t="n"/>
      <c r="S1150" s="49" t="n"/>
      <c r="T1150" s="49" t="n"/>
      <c r="U1150" s="48">
        <f>IF(OR($B1150="",$K1150=""),"",WORKDAY($B1150,IFERROR(INDEX(CONFIG!$C$4:$C$43,MATCH($K1150,CONFIG!$A$4:$A$43,0)),3)))</f>
        <v/>
      </c>
      <c r="V1150" s="46" t="n"/>
      <c r="W1150" s="23">
        <f>IF($B1150="","",IF($V1150&lt;&gt;"",$V1150-$B1150,TODAY()-$B1150))</f>
        <v/>
      </c>
      <c r="X1150" s="27">
        <f>IF($C1150="","",IF(IFERROR(INDEX(CONFIG!$K$4:$K$43,MATCH($S1150,CONFIG!$J$4:$J$43,0)),"NO")="SÍ",IF(OR($V1150="",$U1150=""),"Resuelta",IF($V1150&gt;$U1150,"Resuelta tarde","Resuelta a tiempo")),IF($U1150="","Sin clasificar",IF(TODAY()&gt;$U1150,"Vencida",IF(TODAY()&gt;=$U1150-1,"Por vencer","En plazo")))))</f>
        <v/>
      </c>
      <c r="Y1150" s="49" t="n"/>
      <c r="Z1150" s="49" t="n"/>
    </row>
    <row r="1151" ht="16" customHeight="1">
      <c r="A1151" s="27">
        <f>IF($C1151="","","N-"&amp;TEXT(ROW()-3,"0000"))</f>
        <v/>
      </c>
      <c r="B1151" s="46" t="n"/>
      <c r="C1151" s="47" t="n"/>
      <c r="D1151" s="27">
        <f>IF($C1151="","",IF(COUNTIFS(ENVIOS!$A$4:$A$3003,$C1151)=0,"NO EXISTE",IF(COUNTIFS(ENVIOS!$A$4:$A$3003,$C1151)&gt;1,"DUPLICADA","OK")))</f>
        <v/>
      </c>
      <c r="E1151" s="22">
        <f>IF($C1151="","",IFERROR(INDEX(ENVIOS!$C$4:$C$3003,MATCH($C1151,ENVIOS!$A$4:$A$3003,0)),"—"))</f>
        <v/>
      </c>
      <c r="F1151" s="22">
        <f>IF($C1151="","",IFERROR(INDEX(ENVIOS!$D$4:$D$3003,MATCH($C1151,ENVIOS!$A$4:$A$3003,0)),"—"))</f>
        <v/>
      </c>
      <c r="G1151" s="22">
        <f>IF($C1151="","",IFERROR(INDEX(ENVIOS!$E$4:$E$3003,MATCH($C1151,ENVIOS!$A$4:$A$3003,0)),"—"))</f>
        <v/>
      </c>
      <c r="H1151" s="22">
        <f>IF($C1151="","",IFERROR(INDEX(ENVIOS!$F$4:$F$3003,MATCH($C1151,ENVIOS!$A$4:$A$3003,0)),"—"))</f>
        <v/>
      </c>
      <c r="I1151" s="27">
        <f>IF($C1151="","",IFERROR(INDEX(ENVIOS!$G$4:$G$3003,MATCH($C1151,ENVIOS!$A$4:$A$3003,0)),"—"))</f>
        <v/>
      </c>
      <c r="J1151" s="48">
        <f>IF($C1151="","",IFERROR(INDEX(ENVIOS!$B$4:$B$3003,MATCH($C1151,ENVIOS!$A$4:$A$3003,0)),""))</f>
        <v/>
      </c>
      <c r="K1151" s="49" t="n"/>
      <c r="L1151" s="27">
        <f>IF($K1151="","",IFERROR(INDEX(CONFIG!$B$4:$B$43,MATCH($K1151,CONFIG!$A$4:$A$43,0)),"Media"))</f>
        <v/>
      </c>
      <c r="M1151" s="27">
        <f>IF($K1151="","",IFERROR(INDEX(CONFIG!$D$4:$D$43,MATCH($K1151,CONFIG!$A$4:$A$43,0)),"NO"))</f>
        <v/>
      </c>
      <c r="N1151" s="49" t="n"/>
      <c r="O1151" s="27">
        <f>IF($N1151="","",IFERROR(INDEX(CONFIG!$G$4:$G$43,MATCH($N1151,CONFIG!$F$4:$F$43,0)),"Por definir"))</f>
        <v/>
      </c>
      <c r="P1151" s="27">
        <f>IF($N1151="","",IFERROR(INDEX(CONFIG!$H$4:$H$43,MATCH($N1151,CONFIG!$F$4:$F$43,0)),"Por definir"))</f>
        <v/>
      </c>
      <c r="Q1151" s="50" t="n"/>
      <c r="R1151" s="51" t="n"/>
      <c r="S1151" s="49" t="n"/>
      <c r="T1151" s="49" t="n"/>
      <c r="U1151" s="48">
        <f>IF(OR($B1151="",$K1151=""),"",WORKDAY($B1151,IFERROR(INDEX(CONFIG!$C$4:$C$43,MATCH($K1151,CONFIG!$A$4:$A$43,0)),3)))</f>
        <v/>
      </c>
      <c r="V1151" s="46" t="n"/>
      <c r="W1151" s="23">
        <f>IF($B1151="","",IF($V1151&lt;&gt;"",$V1151-$B1151,TODAY()-$B1151))</f>
        <v/>
      </c>
      <c r="X1151" s="27">
        <f>IF($C1151="","",IF(IFERROR(INDEX(CONFIG!$K$4:$K$43,MATCH($S1151,CONFIG!$J$4:$J$43,0)),"NO")="SÍ",IF(OR($V1151="",$U1151=""),"Resuelta",IF($V1151&gt;$U1151,"Resuelta tarde","Resuelta a tiempo")),IF($U1151="","Sin clasificar",IF(TODAY()&gt;$U1151,"Vencida",IF(TODAY()&gt;=$U1151-1,"Por vencer","En plazo")))))</f>
        <v/>
      </c>
      <c r="Y1151" s="49" t="n"/>
      <c r="Z1151" s="49" t="n"/>
    </row>
    <row r="1152" ht="16" customHeight="1">
      <c r="A1152" s="27">
        <f>IF($C1152="","","N-"&amp;TEXT(ROW()-3,"0000"))</f>
        <v/>
      </c>
      <c r="B1152" s="46" t="n"/>
      <c r="C1152" s="47" t="n"/>
      <c r="D1152" s="27">
        <f>IF($C1152="","",IF(COUNTIFS(ENVIOS!$A$4:$A$3003,$C1152)=0,"NO EXISTE",IF(COUNTIFS(ENVIOS!$A$4:$A$3003,$C1152)&gt;1,"DUPLICADA","OK")))</f>
        <v/>
      </c>
      <c r="E1152" s="22">
        <f>IF($C1152="","",IFERROR(INDEX(ENVIOS!$C$4:$C$3003,MATCH($C1152,ENVIOS!$A$4:$A$3003,0)),"—"))</f>
        <v/>
      </c>
      <c r="F1152" s="22">
        <f>IF($C1152="","",IFERROR(INDEX(ENVIOS!$D$4:$D$3003,MATCH($C1152,ENVIOS!$A$4:$A$3003,0)),"—"))</f>
        <v/>
      </c>
      <c r="G1152" s="22">
        <f>IF($C1152="","",IFERROR(INDEX(ENVIOS!$E$4:$E$3003,MATCH($C1152,ENVIOS!$A$4:$A$3003,0)),"—"))</f>
        <v/>
      </c>
      <c r="H1152" s="22">
        <f>IF($C1152="","",IFERROR(INDEX(ENVIOS!$F$4:$F$3003,MATCH($C1152,ENVIOS!$A$4:$A$3003,0)),"—"))</f>
        <v/>
      </c>
      <c r="I1152" s="27">
        <f>IF($C1152="","",IFERROR(INDEX(ENVIOS!$G$4:$G$3003,MATCH($C1152,ENVIOS!$A$4:$A$3003,0)),"—"))</f>
        <v/>
      </c>
      <c r="J1152" s="48">
        <f>IF($C1152="","",IFERROR(INDEX(ENVIOS!$B$4:$B$3003,MATCH($C1152,ENVIOS!$A$4:$A$3003,0)),""))</f>
        <v/>
      </c>
      <c r="K1152" s="49" t="n"/>
      <c r="L1152" s="27">
        <f>IF($K1152="","",IFERROR(INDEX(CONFIG!$B$4:$B$43,MATCH($K1152,CONFIG!$A$4:$A$43,0)),"Media"))</f>
        <v/>
      </c>
      <c r="M1152" s="27">
        <f>IF($K1152="","",IFERROR(INDEX(CONFIG!$D$4:$D$43,MATCH($K1152,CONFIG!$A$4:$A$43,0)),"NO"))</f>
        <v/>
      </c>
      <c r="N1152" s="49" t="n"/>
      <c r="O1152" s="27">
        <f>IF($N1152="","",IFERROR(INDEX(CONFIG!$G$4:$G$43,MATCH($N1152,CONFIG!$F$4:$F$43,0)),"Por definir"))</f>
        <v/>
      </c>
      <c r="P1152" s="27">
        <f>IF($N1152="","",IFERROR(INDEX(CONFIG!$H$4:$H$43,MATCH($N1152,CONFIG!$F$4:$F$43,0)),"Por definir"))</f>
        <v/>
      </c>
      <c r="Q1152" s="50" t="n"/>
      <c r="R1152" s="51" t="n"/>
      <c r="S1152" s="49" t="n"/>
      <c r="T1152" s="49" t="n"/>
      <c r="U1152" s="48">
        <f>IF(OR($B1152="",$K1152=""),"",WORKDAY($B1152,IFERROR(INDEX(CONFIG!$C$4:$C$43,MATCH($K1152,CONFIG!$A$4:$A$43,0)),3)))</f>
        <v/>
      </c>
      <c r="V1152" s="46" t="n"/>
      <c r="W1152" s="23">
        <f>IF($B1152="","",IF($V1152&lt;&gt;"",$V1152-$B1152,TODAY()-$B1152))</f>
        <v/>
      </c>
      <c r="X1152" s="27">
        <f>IF($C1152="","",IF(IFERROR(INDEX(CONFIG!$K$4:$K$43,MATCH($S1152,CONFIG!$J$4:$J$43,0)),"NO")="SÍ",IF(OR($V1152="",$U1152=""),"Resuelta",IF($V1152&gt;$U1152,"Resuelta tarde","Resuelta a tiempo")),IF($U1152="","Sin clasificar",IF(TODAY()&gt;$U1152,"Vencida",IF(TODAY()&gt;=$U1152-1,"Por vencer","En plazo")))))</f>
        <v/>
      </c>
      <c r="Y1152" s="49" t="n"/>
      <c r="Z1152" s="49" t="n"/>
    </row>
    <row r="1153" ht="16" customHeight="1">
      <c r="A1153" s="27">
        <f>IF($C1153="","","N-"&amp;TEXT(ROW()-3,"0000"))</f>
        <v/>
      </c>
      <c r="B1153" s="46" t="n"/>
      <c r="C1153" s="47" t="n"/>
      <c r="D1153" s="27">
        <f>IF($C1153="","",IF(COUNTIFS(ENVIOS!$A$4:$A$3003,$C1153)=0,"NO EXISTE",IF(COUNTIFS(ENVIOS!$A$4:$A$3003,$C1153)&gt;1,"DUPLICADA","OK")))</f>
        <v/>
      </c>
      <c r="E1153" s="22">
        <f>IF($C1153="","",IFERROR(INDEX(ENVIOS!$C$4:$C$3003,MATCH($C1153,ENVIOS!$A$4:$A$3003,0)),"—"))</f>
        <v/>
      </c>
      <c r="F1153" s="22">
        <f>IF($C1153="","",IFERROR(INDEX(ENVIOS!$D$4:$D$3003,MATCH($C1153,ENVIOS!$A$4:$A$3003,0)),"—"))</f>
        <v/>
      </c>
      <c r="G1153" s="22">
        <f>IF($C1153="","",IFERROR(INDEX(ENVIOS!$E$4:$E$3003,MATCH($C1153,ENVIOS!$A$4:$A$3003,0)),"—"))</f>
        <v/>
      </c>
      <c r="H1153" s="22">
        <f>IF($C1153="","",IFERROR(INDEX(ENVIOS!$F$4:$F$3003,MATCH($C1153,ENVIOS!$A$4:$A$3003,0)),"—"))</f>
        <v/>
      </c>
      <c r="I1153" s="27">
        <f>IF($C1153="","",IFERROR(INDEX(ENVIOS!$G$4:$G$3003,MATCH($C1153,ENVIOS!$A$4:$A$3003,0)),"—"))</f>
        <v/>
      </c>
      <c r="J1153" s="48">
        <f>IF($C1153="","",IFERROR(INDEX(ENVIOS!$B$4:$B$3003,MATCH($C1153,ENVIOS!$A$4:$A$3003,0)),""))</f>
        <v/>
      </c>
      <c r="K1153" s="49" t="n"/>
      <c r="L1153" s="27">
        <f>IF($K1153="","",IFERROR(INDEX(CONFIG!$B$4:$B$43,MATCH($K1153,CONFIG!$A$4:$A$43,0)),"Media"))</f>
        <v/>
      </c>
      <c r="M1153" s="27">
        <f>IF($K1153="","",IFERROR(INDEX(CONFIG!$D$4:$D$43,MATCH($K1153,CONFIG!$A$4:$A$43,0)),"NO"))</f>
        <v/>
      </c>
      <c r="N1153" s="49" t="n"/>
      <c r="O1153" s="27">
        <f>IF($N1153="","",IFERROR(INDEX(CONFIG!$G$4:$G$43,MATCH($N1153,CONFIG!$F$4:$F$43,0)),"Por definir"))</f>
        <v/>
      </c>
      <c r="P1153" s="27">
        <f>IF($N1153="","",IFERROR(INDEX(CONFIG!$H$4:$H$43,MATCH($N1153,CONFIG!$F$4:$F$43,0)),"Por definir"))</f>
        <v/>
      </c>
      <c r="Q1153" s="50" t="n"/>
      <c r="R1153" s="51" t="n"/>
      <c r="S1153" s="49" t="n"/>
      <c r="T1153" s="49" t="n"/>
      <c r="U1153" s="48">
        <f>IF(OR($B1153="",$K1153=""),"",WORKDAY($B1153,IFERROR(INDEX(CONFIG!$C$4:$C$43,MATCH($K1153,CONFIG!$A$4:$A$43,0)),3)))</f>
        <v/>
      </c>
      <c r="V1153" s="46" t="n"/>
      <c r="W1153" s="23">
        <f>IF($B1153="","",IF($V1153&lt;&gt;"",$V1153-$B1153,TODAY()-$B1153))</f>
        <v/>
      </c>
      <c r="X1153" s="27">
        <f>IF($C1153="","",IF(IFERROR(INDEX(CONFIG!$K$4:$K$43,MATCH($S1153,CONFIG!$J$4:$J$43,0)),"NO")="SÍ",IF(OR($V1153="",$U1153=""),"Resuelta",IF($V1153&gt;$U1153,"Resuelta tarde","Resuelta a tiempo")),IF($U1153="","Sin clasificar",IF(TODAY()&gt;$U1153,"Vencida",IF(TODAY()&gt;=$U1153-1,"Por vencer","En plazo")))))</f>
        <v/>
      </c>
      <c r="Y1153" s="49" t="n"/>
      <c r="Z1153" s="49" t="n"/>
    </row>
    <row r="1154" ht="16" customHeight="1">
      <c r="A1154" s="27">
        <f>IF($C1154="","","N-"&amp;TEXT(ROW()-3,"0000"))</f>
        <v/>
      </c>
      <c r="B1154" s="46" t="n"/>
      <c r="C1154" s="47" t="n"/>
      <c r="D1154" s="27">
        <f>IF($C1154="","",IF(COUNTIFS(ENVIOS!$A$4:$A$3003,$C1154)=0,"NO EXISTE",IF(COUNTIFS(ENVIOS!$A$4:$A$3003,$C1154)&gt;1,"DUPLICADA","OK")))</f>
        <v/>
      </c>
      <c r="E1154" s="22">
        <f>IF($C1154="","",IFERROR(INDEX(ENVIOS!$C$4:$C$3003,MATCH($C1154,ENVIOS!$A$4:$A$3003,0)),"—"))</f>
        <v/>
      </c>
      <c r="F1154" s="22">
        <f>IF($C1154="","",IFERROR(INDEX(ENVIOS!$D$4:$D$3003,MATCH($C1154,ENVIOS!$A$4:$A$3003,0)),"—"))</f>
        <v/>
      </c>
      <c r="G1154" s="22">
        <f>IF($C1154="","",IFERROR(INDEX(ENVIOS!$E$4:$E$3003,MATCH($C1154,ENVIOS!$A$4:$A$3003,0)),"—"))</f>
        <v/>
      </c>
      <c r="H1154" s="22">
        <f>IF($C1154="","",IFERROR(INDEX(ENVIOS!$F$4:$F$3003,MATCH($C1154,ENVIOS!$A$4:$A$3003,0)),"—"))</f>
        <v/>
      </c>
      <c r="I1154" s="27">
        <f>IF($C1154="","",IFERROR(INDEX(ENVIOS!$G$4:$G$3003,MATCH($C1154,ENVIOS!$A$4:$A$3003,0)),"—"))</f>
        <v/>
      </c>
      <c r="J1154" s="48">
        <f>IF($C1154="","",IFERROR(INDEX(ENVIOS!$B$4:$B$3003,MATCH($C1154,ENVIOS!$A$4:$A$3003,0)),""))</f>
        <v/>
      </c>
      <c r="K1154" s="49" t="n"/>
      <c r="L1154" s="27">
        <f>IF($K1154="","",IFERROR(INDEX(CONFIG!$B$4:$B$43,MATCH($K1154,CONFIG!$A$4:$A$43,0)),"Media"))</f>
        <v/>
      </c>
      <c r="M1154" s="27">
        <f>IF($K1154="","",IFERROR(INDEX(CONFIG!$D$4:$D$43,MATCH($K1154,CONFIG!$A$4:$A$43,0)),"NO"))</f>
        <v/>
      </c>
      <c r="N1154" s="49" t="n"/>
      <c r="O1154" s="27">
        <f>IF($N1154="","",IFERROR(INDEX(CONFIG!$G$4:$G$43,MATCH($N1154,CONFIG!$F$4:$F$43,0)),"Por definir"))</f>
        <v/>
      </c>
      <c r="P1154" s="27">
        <f>IF($N1154="","",IFERROR(INDEX(CONFIG!$H$4:$H$43,MATCH($N1154,CONFIG!$F$4:$F$43,0)),"Por definir"))</f>
        <v/>
      </c>
      <c r="Q1154" s="50" t="n"/>
      <c r="R1154" s="51" t="n"/>
      <c r="S1154" s="49" t="n"/>
      <c r="T1154" s="49" t="n"/>
      <c r="U1154" s="48">
        <f>IF(OR($B1154="",$K1154=""),"",WORKDAY($B1154,IFERROR(INDEX(CONFIG!$C$4:$C$43,MATCH($K1154,CONFIG!$A$4:$A$43,0)),3)))</f>
        <v/>
      </c>
      <c r="V1154" s="46" t="n"/>
      <c r="W1154" s="23">
        <f>IF($B1154="","",IF($V1154&lt;&gt;"",$V1154-$B1154,TODAY()-$B1154))</f>
        <v/>
      </c>
      <c r="X1154" s="27">
        <f>IF($C1154="","",IF(IFERROR(INDEX(CONFIG!$K$4:$K$43,MATCH($S1154,CONFIG!$J$4:$J$43,0)),"NO")="SÍ",IF(OR($V1154="",$U1154=""),"Resuelta",IF($V1154&gt;$U1154,"Resuelta tarde","Resuelta a tiempo")),IF($U1154="","Sin clasificar",IF(TODAY()&gt;$U1154,"Vencida",IF(TODAY()&gt;=$U1154-1,"Por vencer","En plazo")))))</f>
        <v/>
      </c>
      <c r="Y1154" s="49" t="n"/>
      <c r="Z1154" s="49" t="n"/>
    </row>
    <row r="1155" ht="16" customHeight="1">
      <c r="A1155" s="27">
        <f>IF($C1155="","","N-"&amp;TEXT(ROW()-3,"0000"))</f>
        <v/>
      </c>
      <c r="B1155" s="46" t="n"/>
      <c r="C1155" s="47" t="n"/>
      <c r="D1155" s="27">
        <f>IF($C1155="","",IF(COUNTIFS(ENVIOS!$A$4:$A$3003,$C1155)=0,"NO EXISTE",IF(COUNTIFS(ENVIOS!$A$4:$A$3003,$C1155)&gt;1,"DUPLICADA","OK")))</f>
        <v/>
      </c>
      <c r="E1155" s="22">
        <f>IF($C1155="","",IFERROR(INDEX(ENVIOS!$C$4:$C$3003,MATCH($C1155,ENVIOS!$A$4:$A$3003,0)),"—"))</f>
        <v/>
      </c>
      <c r="F1155" s="22">
        <f>IF($C1155="","",IFERROR(INDEX(ENVIOS!$D$4:$D$3003,MATCH($C1155,ENVIOS!$A$4:$A$3003,0)),"—"))</f>
        <v/>
      </c>
      <c r="G1155" s="22">
        <f>IF($C1155="","",IFERROR(INDEX(ENVIOS!$E$4:$E$3003,MATCH($C1155,ENVIOS!$A$4:$A$3003,0)),"—"))</f>
        <v/>
      </c>
      <c r="H1155" s="22">
        <f>IF($C1155="","",IFERROR(INDEX(ENVIOS!$F$4:$F$3003,MATCH($C1155,ENVIOS!$A$4:$A$3003,0)),"—"))</f>
        <v/>
      </c>
      <c r="I1155" s="27">
        <f>IF($C1155="","",IFERROR(INDEX(ENVIOS!$G$4:$G$3003,MATCH($C1155,ENVIOS!$A$4:$A$3003,0)),"—"))</f>
        <v/>
      </c>
      <c r="J1155" s="48">
        <f>IF($C1155="","",IFERROR(INDEX(ENVIOS!$B$4:$B$3003,MATCH($C1155,ENVIOS!$A$4:$A$3003,0)),""))</f>
        <v/>
      </c>
      <c r="K1155" s="49" t="n"/>
      <c r="L1155" s="27">
        <f>IF($K1155="","",IFERROR(INDEX(CONFIG!$B$4:$B$43,MATCH($K1155,CONFIG!$A$4:$A$43,0)),"Media"))</f>
        <v/>
      </c>
      <c r="M1155" s="27">
        <f>IF($K1155="","",IFERROR(INDEX(CONFIG!$D$4:$D$43,MATCH($K1155,CONFIG!$A$4:$A$43,0)),"NO"))</f>
        <v/>
      </c>
      <c r="N1155" s="49" t="n"/>
      <c r="O1155" s="27">
        <f>IF($N1155="","",IFERROR(INDEX(CONFIG!$G$4:$G$43,MATCH($N1155,CONFIG!$F$4:$F$43,0)),"Por definir"))</f>
        <v/>
      </c>
      <c r="P1155" s="27">
        <f>IF($N1155="","",IFERROR(INDEX(CONFIG!$H$4:$H$43,MATCH($N1155,CONFIG!$F$4:$F$43,0)),"Por definir"))</f>
        <v/>
      </c>
      <c r="Q1155" s="50" t="n"/>
      <c r="R1155" s="51" t="n"/>
      <c r="S1155" s="49" t="n"/>
      <c r="T1155" s="49" t="n"/>
      <c r="U1155" s="48">
        <f>IF(OR($B1155="",$K1155=""),"",WORKDAY($B1155,IFERROR(INDEX(CONFIG!$C$4:$C$43,MATCH($K1155,CONFIG!$A$4:$A$43,0)),3)))</f>
        <v/>
      </c>
      <c r="V1155" s="46" t="n"/>
      <c r="W1155" s="23">
        <f>IF($B1155="","",IF($V1155&lt;&gt;"",$V1155-$B1155,TODAY()-$B1155))</f>
        <v/>
      </c>
      <c r="X1155" s="27">
        <f>IF($C1155="","",IF(IFERROR(INDEX(CONFIG!$K$4:$K$43,MATCH($S1155,CONFIG!$J$4:$J$43,0)),"NO")="SÍ",IF(OR($V1155="",$U1155=""),"Resuelta",IF($V1155&gt;$U1155,"Resuelta tarde","Resuelta a tiempo")),IF($U1155="","Sin clasificar",IF(TODAY()&gt;$U1155,"Vencida",IF(TODAY()&gt;=$U1155-1,"Por vencer","En plazo")))))</f>
        <v/>
      </c>
      <c r="Y1155" s="49" t="n"/>
      <c r="Z1155" s="49" t="n"/>
    </row>
    <row r="1156" ht="16" customHeight="1">
      <c r="A1156" s="27">
        <f>IF($C1156="","","N-"&amp;TEXT(ROW()-3,"0000"))</f>
        <v/>
      </c>
      <c r="B1156" s="46" t="n"/>
      <c r="C1156" s="47" t="n"/>
      <c r="D1156" s="27">
        <f>IF($C1156="","",IF(COUNTIFS(ENVIOS!$A$4:$A$3003,$C1156)=0,"NO EXISTE",IF(COUNTIFS(ENVIOS!$A$4:$A$3003,$C1156)&gt;1,"DUPLICADA","OK")))</f>
        <v/>
      </c>
      <c r="E1156" s="22">
        <f>IF($C1156="","",IFERROR(INDEX(ENVIOS!$C$4:$C$3003,MATCH($C1156,ENVIOS!$A$4:$A$3003,0)),"—"))</f>
        <v/>
      </c>
      <c r="F1156" s="22">
        <f>IF($C1156="","",IFERROR(INDEX(ENVIOS!$D$4:$D$3003,MATCH($C1156,ENVIOS!$A$4:$A$3003,0)),"—"))</f>
        <v/>
      </c>
      <c r="G1156" s="22">
        <f>IF($C1156="","",IFERROR(INDEX(ENVIOS!$E$4:$E$3003,MATCH($C1156,ENVIOS!$A$4:$A$3003,0)),"—"))</f>
        <v/>
      </c>
      <c r="H1156" s="22">
        <f>IF($C1156="","",IFERROR(INDEX(ENVIOS!$F$4:$F$3003,MATCH($C1156,ENVIOS!$A$4:$A$3003,0)),"—"))</f>
        <v/>
      </c>
      <c r="I1156" s="27">
        <f>IF($C1156="","",IFERROR(INDEX(ENVIOS!$G$4:$G$3003,MATCH($C1156,ENVIOS!$A$4:$A$3003,0)),"—"))</f>
        <v/>
      </c>
      <c r="J1156" s="48">
        <f>IF($C1156="","",IFERROR(INDEX(ENVIOS!$B$4:$B$3003,MATCH($C1156,ENVIOS!$A$4:$A$3003,0)),""))</f>
        <v/>
      </c>
      <c r="K1156" s="49" t="n"/>
      <c r="L1156" s="27">
        <f>IF($K1156="","",IFERROR(INDEX(CONFIG!$B$4:$B$43,MATCH($K1156,CONFIG!$A$4:$A$43,0)),"Media"))</f>
        <v/>
      </c>
      <c r="M1156" s="27">
        <f>IF($K1156="","",IFERROR(INDEX(CONFIG!$D$4:$D$43,MATCH($K1156,CONFIG!$A$4:$A$43,0)),"NO"))</f>
        <v/>
      </c>
      <c r="N1156" s="49" t="n"/>
      <c r="O1156" s="27">
        <f>IF($N1156="","",IFERROR(INDEX(CONFIG!$G$4:$G$43,MATCH($N1156,CONFIG!$F$4:$F$43,0)),"Por definir"))</f>
        <v/>
      </c>
      <c r="P1156" s="27">
        <f>IF($N1156="","",IFERROR(INDEX(CONFIG!$H$4:$H$43,MATCH($N1156,CONFIG!$F$4:$F$43,0)),"Por definir"))</f>
        <v/>
      </c>
      <c r="Q1156" s="50" t="n"/>
      <c r="R1156" s="51" t="n"/>
      <c r="S1156" s="49" t="n"/>
      <c r="T1156" s="49" t="n"/>
      <c r="U1156" s="48">
        <f>IF(OR($B1156="",$K1156=""),"",WORKDAY($B1156,IFERROR(INDEX(CONFIG!$C$4:$C$43,MATCH($K1156,CONFIG!$A$4:$A$43,0)),3)))</f>
        <v/>
      </c>
      <c r="V1156" s="46" t="n"/>
      <c r="W1156" s="23">
        <f>IF($B1156="","",IF($V1156&lt;&gt;"",$V1156-$B1156,TODAY()-$B1156))</f>
        <v/>
      </c>
      <c r="X1156" s="27">
        <f>IF($C1156="","",IF(IFERROR(INDEX(CONFIG!$K$4:$K$43,MATCH($S1156,CONFIG!$J$4:$J$43,0)),"NO")="SÍ",IF(OR($V1156="",$U1156=""),"Resuelta",IF($V1156&gt;$U1156,"Resuelta tarde","Resuelta a tiempo")),IF($U1156="","Sin clasificar",IF(TODAY()&gt;$U1156,"Vencida",IF(TODAY()&gt;=$U1156-1,"Por vencer","En plazo")))))</f>
        <v/>
      </c>
      <c r="Y1156" s="49" t="n"/>
      <c r="Z1156" s="49" t="n"/>
    </row>
    <row r="1157" ht="16" customHeight="1">
      <c r="A1157" s="27">
        <f>IF($C1157="","","N-"&amp;TEXT(ROW()-3,"0000"))</f>
        <v/>
      </c>
      <c r="B1157" s="46" t="n"/>
      <c r="C1157" s="47" t="n"/>
      <c r="D1157" s="27">
        <f>IF($C1157="","",IF(COUNTIFS(ENVIOS!$A$4:$A$3003,$C1157)=0,"NO EXISTE",IF(COUNTIFS(ENVIOS!$A$4:$A$3003,$C1157)&gt;1,"DUPLICADA","OK")))</f>
        <v/>
      </c>
      <c r="E1157" s="22">
        <f>IF($C1157="","",IFERROR(INDEX(ENVIOS!$C$4:$C$3003,MATCH($C1157,ENVIOS!$A$4:$A$3003,0)),"—"))</f>
        <v/>
      </c>
      <c r="F1157" s="22">
        <f>IF($C1157="","",IFERROR(INDEX(ENVIOS!$D$4:$D$3003,MATCH($C1157,ENVIOS!$A$4:$A$3003,0)),"—"))</f>
        <v/>
      </c>
      <c r="G1157" s="22">
        <f>IF($C1157="","",IFERROR(INDEX(ENVIOS!$E$4:$E$3003,MATCH($C1157,ENVIOS!$A$4:$A$3003,0)),"—"))</f>
        <v/>
      </c>
      <c r="H1157" s="22">
        <f>IF($C1157="","",IFERROR(INDEX(ENVIOS!$F$4:$F$3003,MATCH($C1157,ENVIOS!$A$4:$A$3003,0)),"—"))</f>
        <v/>
      </c>
      <c r="I1157" s="27">
        <f>IF($C1157="","",IFERROR(INDEX(ENVIOS!$G$4:$G$3003,MATCH($C1157,ENVIOS!$A$4:$A$3003,0)),"—"))</f>
        <v/>
      </c>
      <c r="J1157" s="48">
        <f>IF($C1157="","",IFERROR(INDEX(ENVIOS!$B$4:$B$3003,MATCH($C1157,ENVIOS!$A$4:$A$3003,0)),""))</f>
        <v/>
      </c>
      <c r="K1157" s="49" t="n"/>
      <c r="L1157" s="27">
        <f>IF($K1157="","",IFERROR(INDEX(CONFIG!$B$4:$B$43,MATCH($K1157,CONFIG!$A$4:$A$43,0)),"Media"))</f>
        <v/>
      </c>
      <c r="M1157" s="27">
        <f>IF($K1157="","",IFERROR(INDEX(CONFIG!$D$4:$D$43,MATCH($K1157,CONFIG!$A$4:$A$43,0)),"NO"))</f>
        <v/>
      </c>
      <c r="N1157" s="49" t="n"/>
      <c r="O1157" s="27">
        <f>IF($N1157="","",IFERROR(INDEX(CONFIG!$G$4:$G$43,MATCH($N1157,CONFIG!$F$4:$F$43,0)),"Por definir"))</f>
        <v/>
      </c>
      <c r="P1157" s="27">
        <f>IF($N1157="","",IFERROR(INDEX(CONFIG!$H$4:$H$43,MATCH($N1157,CONFIG!$F$4:$F$43,0)),"Por definir"))</f>
        <v/>
      </c>
      <c r="Q1157" s="50" t="n"/>
      <c r="R1157" s="51" t="n"/>
      <c r="S1157" s="49" t="n"/>
      <c r="T1157" s="49" t="n"/>
      <c r="U1157" s="48">
        <f>IF(OR($B1157="",$K1157=""),"",WORKDAY($B1157,IFERROR(INDEX(CONFIG!$C$4:$C$43,MATCH($K1157,CONFIG!$A$4:$A$43,0)),3)))</f>
        <v/>
      </c>
      <c r="V1157" s="46" t="n"/>
      <c r="W1157" s="23">
        <f>IF($B1157="","",IF($V1157&lt;&gt;"",$V1157-$B1157,TODAY()-$B1157))</f>
        <v/>
      </c>
      <c r="X1157" s="27">
        <f>IF($C1157="","",IF(IFERROR(INDEX(CONFIG!$K$4:$K$43,MATCH($S1157,CONFIG!$J$4:$J$43,0)),"NO")="SÍ",IF(OR($V1157="",$U1157=""),"Resuelta",IF($V1157&gt;$U1157,"Resuelta tarde","Resuelta a tiempo")),IF($U1157="","Sin clasificar",IF(TODAY()&gt;$U1157,"Vencida",IF(TODAY()&gt;=$U1157-1,"Por vencer","En plazo")))))</f>
        <v/>
      </c>
      <c r="Y1157" s="49" t="n"/>
      <c r="Z1157" s="49" t="n"/>
    </row>
    <row r="1158" ht="16" customHeight="1">
      <c r="A1158" s="27">
        <f>IF($C1158="","","N-"&amp;TEXT(ROW()-3,"0000"))</f>
        <v/>
      </c>
      <c r="B1158" s="46" t="n"/>
      <c r="C1158" s="47" t="n"/>
      <c r="D1158" s="27">
        <f>IF($C1158="","",IF(COUNTIFS(ENVIOS!$A$4:$A$3003,$C1158)=0,"NO EXISTE",IF(COUNTIFS(ENVIOS!$A$4:$A$3003,$C1158)&gt;1,"DUPLICADA","OK")))</f>
        <v/>
      </c>
      <c r="E1158" s="22">
        <f>IF($C1158="","",IFERROR(INDEX(ENVIOS!$C$4:$C$3003,MATCH($C1158,ENVIOS!$A$4:$A$3003,0)),"—"))</f>
        <v/>
      </c>
      <c r="F1158" s="22">
        <f>IF($C1158="","",IFERROR(INDEX(ENVIOS!$D$4:$D$3003,MATCH($C1158,ENVIOS!$A$4:$A$3003,0)),"—"))</f>
        <v/>
      </c>
      <c r="G1158" s="22">
        <f>IF($C1158="","",IFERROR(INDEX(ENVIOS!$E$4:$E$3003,MATCH($C1158,ENVIOS!$A$4:$A$3003,0)),"—"))</f>
        <v/>
      </c>
      <c r="H1158" s="22">
        <f>IF($C1158="","",IFERROR(INDEX(ENVIOS!$F$4:$F$3003,MATCH($C1158,ENVIOS!$A$4:$A$3003,0)),"—"))</f>
        <v/>
      </c>
      <c r="I1158" s="27">
        <f>IF($C1158="","",IFERROR(INDEX(ENVIOS!$G$4:$G$3003,MATCH($C1158,ENVIOS!$A$4:$A$3003,0)),"—"))</f>
        <v/>
      </c>
      <c r="J1158" s="48">
        <f>IF($C1158="","",IFERROR(INDEX(ENVIOS!$B$4:$B$3003,MATCH($C1158,ENVIOS!$A$4:$A$3003,0)),""))</f>
        <v/>
      </c>
      <c r="K1158" s="49" t="n"/>
      <c r="L1158" s="27">
        <f>IF($K1158="","",IFERROR(INDEX(CONFIG!$B$4:$B$43,MATCH($K1158,CONFIG!$A$4:$A$43,0)),"Media"))</f>
        <v/>
      </c>
      <c r="M1158" s="27">
        <f>IF($K1158="","",IFERROR(INDEX(CONFIG!$D$4:$D$43,MATCH($K1158,CONFIG!$A$4:$A$43,0)),"NO"))</f>
        <v/>
      </c>
      <c r="N1158" s="49" t="n"/>
      <c r="O1158" s="27">
        <f>IF($N1158="","",IFERROR(INDEX(CONFIG!$G$4:$G$43,MATCH($N1158,CONFIG!$F$4:$F$43,0)),"Por definir"))</f>
        <v/>
      </c>
      <c r="P1158" s="27">
        <f>IF($N1158="","",IFERROR(INDEX(CONFIG!$H$4:$H$43,MATCH($N1158,CONFIG!$F$4:$F$43,0)),"Por definir"))</f>
        <v/>
      </c>
      <c r="Q1158" s="50" t="n"/>
      <c r="R1158" s="51" t="n"/>
      <c r="S1158" s="49" t="n"/>
      <c r="T1158" s="49" t="n"/>
      <c r="U1158" s="48">
        <f>IF(OR($B1158="",$K1158=""),"",WORKDAY($B1158,IFERROR(INDEX(CONFIG!$C$4:$C$43,MATCH($K1158,CONFIG!$A$4:$A$43,0)),3)))</f>
        <v/>
      </c>
      <c r="V1158" s="46" t="n"/>
      <c r="W1158" s="23">
        <f>IF($B1158="","",IF($V1158&lt;&gt;"",$V1158-$B1158,TODAY()-$B1158))</f>
        <v/>
      </c>
      <c r="X1158" s="27">
        <f>IF($C1158="","",IF(IFERROR(INDEX(CONFIG!$K$4:$K$43,MATCH($S1158,CONFIG!$J$4:$J$43,0)),"NO")="SÍ",IF(OR($V1158="",$U1158=""),"Resuelta",IF($V1158&gt;$U1158,"Resuelta tarde","Resuelta a tiempo")),IF($U1158="","Sin clasificar",IF(TODAY()&gt;$U1158,"Vencida",IF(TODAY()&gt;=$U1158-1,"Por vencer","En plazo")))))</f>
        <v/>
      </c>
      <c r="Y1158" s="49" t="n"/>
      <c r="Z1158" s="49" t="n"/>
    </row>
    <row r="1159" ht="16" customHeight="1">
      <c r="A1159" s="27">
        <f>IF($C1159="","","N-"&amp;TEXT(ROW()-3,"0000"))</f>
        <v/>
      </c>
      <c r="B1159" s="46" t="n"/>
      <c r="C1159" s="47" t="n"/>
      <c r="D1159" s="27">
        <f>IF($C1159="","",IF(COUNTIFS(ENVIOS!$A$4:$A$3003,$C1159)=0,"NO EXISTE",IF(COUNTIFS(ENVIOS!$A$4:$A$3003,$C1159)&gt;1,"DUPLICADA","OK")))</f>
        <v/>
      </c>
      <c r="E1159" s="22">
        <f>IF($C1159="","",IFERROR(INDEX(ENVIOS!$C$4:$C$3003,MATCH($C1159,ENVIOS!$A$4:$A$3003,0)),"—"))</f>
        <v/>
      </c>
      <c r="F1159" s="22">
        <f>IF($C1159="","",IFERROR(INDEX(ENVIOS!$D$4:$D$3003,MATCH($C1159,ENVIOS!$A$4:$A$3003,0)),"—"))</f>
        <v/>
      </c>
      <c r="G1159" s="22">
        <f>IF($C1159="","",IFERROR(INDEX(ENVIOS!$E$4:$E$3003,MATCH($C1159,ENVIOS!$A$4:$A$3003,0)),"—"))</f>
        <v/>
      </c>
      <c r="H1159" s="22">
        <f>IF($C1159="","",IFERROR(INDEX(ENVIOS!$F$4:$F$3003,MATCH($C1159,ENVIOS!$A$4:$A$3003,0)),"—"))</f>
        <v/>
      </c>
      <c r="I1159" s="27">
        <f>IF($C1159="","",IFERROR(INDEX(ENVIOS!$G$4:$G$3003,MATCH($C1159,ENVIOS!$A$4:$A$3003,0)),"—"))</f>
        <v/>
      </c>
      <c r="J1159" s="48">
        <f>IF($C1159="","",IFERROR(INDEX(ENVIOS!$B$4:$B$3003,MATCH($C1159,ENVIOS!$A$4:$A$3003,0)),""))</f>
        <v/>
      </c>
      <c r="K1159" s="49" t="n"/>
      <c r="L1159" s="27">
        <f>IF($K1159="","",IFERROR(INDEX(CONFIG!$B$4:$B$43,MATCH($K1159,CONFIG!$A$4:$A$43,0)),"Media"))</f>
        <v/>
      </c>
      <c r="M1159" s="27">
        <f>IF($K1159="","",IFERROR(INDEX(CONFIG!$D$4:$D$43,MATCH($K1159,CONFIG!$A$4:$A$43,0)),"NO"))</f>
        <v/>
      </c>
      <c r="N1159" s="49" t="n"/>
      <c r="O1159" s="27">
        <f>IF($N1159="","",IFERROR(INDEX(CONFIG!$G$4:$G$43,MATCH($N1159,CONFIG!$F$4:$F$43,0)),"Por definir"))</f>
        <v/>
      </c>
      <c r="P1159" s="27">
        <f>IF($N1159="","",IFERROR(INDEX(CONFIG!$H$4:$H$43,MATCH($N1159,CONFIG!$F$4:$F$43,0)),"Por definir"))</f>
        <v/>
      </c>
      <c r="Q1159" s="50" t="n"/>
      <c r="R1159" s="51" t="n"/>
      <c r="S1159" s="49" t="n"/>
      <c r="T1159" s="49" t="n"/>
      <c r="U1159" s="48">
        <f>IF(OR($B1159="",$K1159=""),"",WORKDAY($B1159,IFERROR(INDEX(CONFIG!$C$4:$C$43,MATCH($K1159,CONFIG!$A$4:$A$43,0)),3)))</f>
        <v/>
      </c>
      <c r="V1159" s="46" t="n"/>
      <c r="W1159" s="23">
        <f>IF($B1159="","",IF($V1159&lt;&gt;"",$V1159-$B1159,TODAY()-$B1159))</f>
        <v/>
      </c>
      <c r="X1159" s="27">
        <f>IF($C1159="","",IF(IFERROR(INDEX(CONFIG!$K$4:$K$43,MATCH($S1159,CONFIG!$J$4:$J$43,0)),"NO")="SÍ",IF(OR($V1159="",$U1159=""),"Resuelta",IF($V1159&gt;$U1159,"Resuelta tarde","Resuelta a tiempo")),IF($U1159="","Sin clasificar",IF(TODAY()&gt;$U1159,"Vencida",IF(TODAY()&gt;=$U1159-1,"Por vencer","En plazo")))))</f>
        <v/>
      </c>
      <c r="Y1159" s="49" t="n"/>
      <c r="Z1159" s="49" t="n"/>
    </row>
    <row r="1160" ht="16" customHeight="1">
      <c r="A1160" s="27">
        <f>IF($C1160="","","N-"&amp;TEXT(ROW()-3,"0000"))</f>
        <v/>
      </c>
      <c r="B1160" s="46" t="n"/>
      <c r="C1160" s="47" t="n"/>
      <c r="D1160" s="27">
        <f>IF($C1160="","",IF(COUNTIFS(ENVIOS!$A$4:$A$3003,$C1160)=0,"NO EXISTE",IF(COUNTIFS(ENVIOS!$A$4:$A$3003,$C1160)&gt;1,"DUPLICADA","OK")))</f>
        <v/>
      </c>
      <c r="E1160" s="22">
        <f>IF($C1160="","",IFERROR(INDEX(ENVIOS!$C$4:$C$3003,MATCH($C1160,ENVIOS!$A$4:$A$3003,0)),"—"))</f>
        <v/>
      </c>
      <c r="F1160" s="22">
        <f>IF($C1160="","",IFERROR(INDEX(ENVIOS!$D$4:$D$3003,MATCH($C1160,ENVIOS!$A$4:$A$3003,0)),"—"))</f>
        <v/>
      </c>
      <c r="G1160" s="22">
        <f>IF($C1160="","",IFERROR(INDEX(ENVIOS!$E$4:$E$3003,MATCH($C1160,ENVIOS!$A$4:$A$3003,0)),"—"))</f>
        <v/>
      </c>
      <c r="H1160" s="22">
        <f>IF($C1160="","",IFERROR(INDEX(ENVIOS!$F$4:$F$3003,MATCH($C1160,ENVIOS!$A$4:$A$3003,0)),"—"))</f>
        <v/>
      </c>
      <c r="I1160" s="27">
        <f>IF($C1160="","",IFERROR(INDEX(ENVIOS!$G$4:$G$3003,MATCH($C1160,ENVIOS!$A$4:$A$3003,0)),"—"))</f>
        <v/>
      </c>
      <c r="J1160" s="48">
        <f>IF($C1160="","",IFERROR(INDEX(ENVIOS!$B$4:$B$3003,MATCH($C1160,ENVIOS!$A$4:$A$3003,0)),""))</f>
        <v/>
      </c>
      <c r="K1160" s="49" t="n"/>
      <c r="L1160" s="27">
        <f>IF($K1160="","",IFERROR(INDEX(CONFIG!$B$4:$B$43,MATCH($K1160,CONFIG!$A$4:$A$43,0)),"Media"))</f>
        <v/>
      </c>
      <c r="M1160" s="27">
        <f>IF($K1160="","",IFERROR(INDEX(CONFIG!$D$4:$D$43,MATCH($K1160,CONFIG!$A$4:$A$43,0)),"NO"))</f>
        <v/>
      </c>
      <c r="N1160" s="49" t="n"/>
      <c r="O1160" s="27">
        <f>IF($N1160="","",IFERROR(INDEX(CONFIG!$G$4:$G$43,MATCH($N1160,CONFIG!$F$4:$F$43,0)),"Por definir"))</f>
        <v/>
      </c>
      <c r="P1160" s="27">
        <f>IF($N1160="","",IFERROR(INDEX(CONFIG!$H$4:$H$43,MATCH($N1160,CONFIG!$F$4:$F$43,0)),"Por definir"))</f>
        <v/>
      </c>
      <c r="Q1160" s="50" t="n"/>
      <c r="R1160" s="51" t="n"/>
      <c r="S1160" s="49" t="n"/>
      <c r="T1160" s="49" t="n"/>
      <c r="U1160" s="48">
        <f>IF(OR($B1160="",$K1160=""),"",WORKDAY($B1160,IFERROR(INDEX(CONFIG!$C$4:$C$43,MATCH($K1160,CONFIG!$A$4:$A$43,0)),3)))</f>
        <v/>
      </c>
      <c r="V1160" s="46" t="n"/>
      <c r="W1160" s="23">
        <f>IF($B1160="","",IF($V1160&lt;&gt;"",$V1160-$B1160,TODAY()-$B1160))</f>
        <v/>
      </c>
      <c r="X1160" s="27">
        <f>IF($C1160="","",IF(IFERROR(INDEX(CONFIG!$K$4:$K$43,MATCH($S1160,CONFIG!$J$4:$J$43,0)),"NO")="SÍ",IF(OR($V1160="",$U1160=""),"Resuelta",IF($V1160&gt;$U1160,"Resuelta tarde","Resuelta a tiempo")),IF($U1160="","Sin clasificar",IF(TODAY()&gt;$U1160,"Vencida",IF(TODAY()&gt;=$U1160-1,"Por vencer","En plazo")))))</f>
        <v/>
      </c>
      <c r="Y1160" s="49" t="n"/>
      <c r="Z1160" s="49" t="n"/>
    </row>
    <row r="1161" ht="16" customHeight="1">
      <c r="A1161" s="27">
        <f>IF($C1161="","","N-"&amp;TEXT(ROW()-3,"0000"))</f>
        <v/>
      </c>
      <c r="B1161" s="46" t="n"/>
      <c r="C1161" s="47" t="n"/>
      <c r="D1161" s="27">
        <f>IF($C1161="","",IF(COUNTIFS(ENVIOS!$A$4:$A$3003,$C1161)=0,"NO EXISTE",IF(COUNTIFS(ENVIOS!$A$4:$A$3003,$C1161)&gt;1,"DUPLICADA","OK")))</f>
        <v/>
      </c>
      <c r="E1161" s="22">
        <f>IF($C1161="","",IFERROR(INDEX(ENVIOS!$C$4:$C$3003,MATCH($C1161,ENVIOS!$A$4:$A$3003,0)),"—"))</f>
        <v/>
      </c>
      <c r="F1161" s="22">
        <f>IF($C1161="","",IFERROR(INDEX(ENVIOS!$D$4:$D$3003,MATCH($C1161,ENVIOS!$A$4:$A$3003,0)),"—"))</f>
        <v/>
      </c>
      <c r="G1161" s="22">
        <f>IF($C1161="","",IFERROR(INDEX(ENVIOS!$E$4:$E$3003,MATCH($C1161,ENVIOS!$A$4:$A$3003,0)),"—"))</f>
        <v/>
      </c>
      <c r="H1161" s="22">
        <f>IF($C1161="","",IFERROR(INDEX(ENVIOS!$F$4:$F$3003,MATCH($C1161,ENVIOS!$A$4:$A$3003,0)),"—"))</f>
        <v/>
      </c>
      <c r="I1161" s="27">
        <f>IF($C1161="","",IFERROR(INDEX(ENVIOS!$G$4:$G$3003,MATCH($C1161,ENVIOS!$A$4:$A$3003,0)),"—"))</f>
        <v/>
      </c>
      <c r="J1161" s="48">
        <f>IF($C1161="","",IFERROR(INDEX(ENVIOS!$B$4:$B$3003,MATCH($C1161,ENVIOS!$A$4:$A$3003,0)),""))</f>
        <v/>
      </c>
      <c r="K1161" s="49" t="n"/>
      <c r="L1161" s="27">
        <f>IF($K1161="","",IFERROR(INDEX(CONFIG!$B$4:$B$43,MATCH($K1161,CONFIG!$A$4:$A$43,0)),"Media"))</f>
        <v/>
      </c>
      <c r="M1161" s="27">
        <f>IF($K1161="","",IFERROR(INDEX(CONFIG!$D$4:$D$43,MATCH($K1161,CONFIG!$A$4:$A$43,0)),"NO"))</f>
        <v/>
      </c>
      <c r="N1161" s="49" t="n"/>
      <c r="O1161" s="27">
        <f>IF($N1161="","",IFERROR(INDEX(CONFIG!$G$4:$G$43,MATCH($N1161,CONFIG!$F$4:$F$43,0)),"Por definir"))</f>
        <v/>
      </c>
      <c r="P1161" s="27">
        <f>IF($N1161="","",IFERROR(INDEX(CONFIG!$H$4:$H$43,MATCH($N1161,CONFIG!$F$4:$F$43,0)),"Por definir"))</f>
        <v/>
      </c>
      <c r="Q1161" s="50" t="n"/>
      <c r="R1161" s="51" t="n"/>
      <c r="S1161" s="49" t="n"/>
      <c r="T1161" s="49" t="n"/>
      <c r="U1161" s="48">
        <f>IF(OR($B1161="",$K1161=""),"",WORKDAY($B1161,IFERROR(INDEX(CONFIG!$C$4:$C$43,MATCH($K1161,CONFIG!$A$4:$A$43,0)),3)))</f>
        <v/>
      </c>
      <c r="V1161" s="46" t="n"/>
      <c r="W1161" s="23">
        <f>IF($B1161="","",IF($V1161&lt;&gt;"",$V1161-$B1161,TODAY()-$B1161))</f>
        <v/>
      </c>
      <c r="X1161" s="27">
        <f>IF($C1161="","",IF(IFERROR(INDEX(CONFIG!$K$4:$K$43,MATCH($S1161,CONFIG!$J$4:$J$43,0)),"NO")="SÍ",IF(OR($V1161="",$U1161=""),"Resuelta",IF($V1161&gt;$U1161,"Resuelta tarde","Resuelta a tiempo")),IF($U1161="","Sin clasificar",IF(TODAY()&gt;$U1161,"Vencida",IF(TODAY()&gt;=$U1161-1,"Por vencer","En plazo")))))</f>
        <v/>
      </c>
      <c r="Y1161" s="49" t="n"/>
      <c r="Z1161" s="49" t="n"/>
    </row>
    <row r="1162" ht="16" customHeight="1">
      <c r="A1162" s="27">
        <f>IF($C1162="","","N-"&amp;TEXT(ROW()-3,"0000"))</f>
        <v/>
      </c>
      <c r="B1162" s="46" t="n"/>
      <c r="C1162" s="47" t="n"/>
      <c r="D1162" s="27">
        <f>IF($C1162="","",IF(COUNTIFS(ENVIOS!$A$4:$A$3003,$C1162)=0,"NO EXISTE",IF(COUNTIFS(ENVIOS!$A$4:$A$3003,$C1162)&gt;1,"DUPLICADA","OK")))</f>
        <v/>
      </c>
      <c r="E1162" s="22">
        <f>IF($C1162="","",IFERROR(INDEX(ENVIOS!$C$4:$C$3003,MATCH($C1162,ENVIOS!$A$4:$A$3003,0)),"—"))</f>
        <v/>
      </c>
      <c r="F1162" s="22">
        <f>IF($C1162="","",IFERROR(INDEX(ENVIOS!$D$4:$D$3003,MATCH($C1162,ENVIOS!$A$4:$A$3003,0)),"—"))</f>
        <v/>
      </c>
      <c r="G1162" s="22">
        <f>IF($C1162="","",IFERROR(INDEX(ENVIOS!$E$4:$E$3003,MATCH($C1162,ENVIOS!$A$4:$A$3003,0)),"—"))</f>
        <v/>
      </c>
      <c r="H1162" s="22">
        <f>IF($C1162="","",IFERROR(INDEX(ENVIOS!$F$4:$F$3003,MATCH($C1162,ENVIOS!$A$4:$A$3003,0)),"—"))</f>
        <v/>
      </c>
      <c r="I1162" s="27">
        <f>IF($C1162="","",IFERROR(INDEX(ENVIOS!$G$4:$G$3003,MATCH($C1162,ENVIOS!$A$4:$A$3003,0)),"—"))</f>
        <v/>
      </c>
      <c r="J1162" s="48">
        <f>IF($C1162="","",IFERROR(INDEX(ENVIOS!$B$4:$B$3003,MATCH($C1162,ENVIOS!$A$4:$A$3003,0)),""))</f>
        <v/>
      </c>
      <c r="K1162" s="49" t="n"/>
      <c r="L1162" s="27">
        <f>IF($K1162="","",IFERROR(INDEX(CONFIG!$B$4:$B$43,MATCH($K1162,CONFIG!$A$4:$A$43,0)),"Media"))</f>
        <v/>
      </c>
      <c r="M1162" s="27">
        <f>IF($K1162="","",IFERROR(INDEX(CONFIG!$D$4:$D$43,MATCH($K1162,CONFIG!$A$4:$A$43,0)),"NO"))</f>
        <v/>
      </c>
      <c r="N1162" s="49" t="n"/>
      <c r="O1162" s="27">
        <f>IF($N1162="","",IFERROR(INDEX(CONFIG!$G$4:$G$43,MATCH($N1162,CONFIG!$F$4:$F$43,0)),"Por definir"))</f>
        <v/>
      </c>
      <c r="P1162" s="27">
        <f>IF($N1162="","",IFERROR(INDEX(CONFIG!$H$4:$H$43,MATCH($N1162,CONFIG!$F$4:$F$43,0)),"Por definir"))</f>
        <v/>
      </c>
      <c r="Q1162" s="50" t="n"/>
      <c r="R1162" s="51" t="n"/>
      <c r="S1162" s="49" t="n"/>
      <c r="T1162" s="49" t="n"/>
      <c r="U1162" s="48">
        <f>IF(OR($B1162="",$K1162=""),"",WORKDAY($B1162,IFERROR(INDEX(CONFIG!$C$4:$C$43,MATCH($K1162,CONFIG!$A$4:$A$43,0)),3)))</f>
        <v/>
      </c>
      <c r="V1162" s="46" t="n"/>
      <c r="W1162" s="23">
        <f>IF($B1162="","",IF($V1162&lt;&gt;"",$V1162-$B1162,TODAY()-$B1162))</f>
        <v/>
      </c>
      <c r="X1162" s="27">
        <f>IF($C1162="","",IF(IFERROR(INDEX(CONFIG!$K$4:$K$43,MATCH($S1162,CONFIG!$J$4:$J$43,0)),"NO")="SÍ",IF(OR($V1162="",$U1162=""),"Resuelta",IF($V1162&gt;$U1162,"Resuelta tarde","Resuelta a tiempo")),IF($U1162="","Sin clasificar",IF(TODAY()&gt;$U1162,"Vencida",IF(TODAY()&gt;=$U1162-1,"Por vencer","En plazo")))))</f>
        <v/>
      </c>
      <c r="Y1162" s="49" t="n"/>
      <c r="Z1162" s="49" t="n"/>
    </row>
    <row r="1163" ht="16" customHeight="1">
      <c r="A1163" s="27">
        <f>IF($C1163="","","N-"&amp;TEXT(ROW()-3,"0000"))</f>
        <v/>
      </c>
      <c r="B1163" s="46" t="n"/>
      <c r="C1163" s="47" t="n"/>
      <c r="D1163" s="27">
        <f>IF($C1163="","",IF(COUNTIFS(ENVIOS!$A$4:$A$3003,$C1163)=0,"NO EXISTE",IF(COUNTIFS(ENVIOS!$A$4:$A$3003,$C1163)&gt;1,"DUPLICADA","OK")))</f>
        <v/>
      </c>
      <c r="E1163" s="22">
        <f>IF($C1163="","",IFERROR(INDEX(ENVIOS!$C$4:$C$3003,MATCH($C1163,ENVIOS!$A$4:$A$3003,0)),"—"))</f>
        <v/>
      </c>
      <c r="F1163" s="22">
        <f>IF($C1163="","",IFERROR(INDEX(ENVIOS!$D$4:$D$3003,MATCH($C1163,ENVIOS!$A$4:$A$3003,0)),"—"))</f>
        <v/>
      </c>
      <c r="G1163" s="22">
        <f>IF($C1163="","",IFERROR(INDEX(ENVIOS!$E$4:$E$3003,MATCH($C1163,ENVIOS!$A$4:$A$3003,0)),"—"))</f>
        <v/>
      </c>
      <c r="H1163" s="22">
        <f>IF($C1163="","",IFERROR(INDEX(ENVIOS!$F$4:$F$3003,MATCH($C1163,ENVIOS!$A$4:$A$3003,0)),"—"))</f>
        <v/>
      </c>
      <c r="I1163" s="27">
        <f>IF($C1163="","",IFERROR(INDEX(ENVIOS!$G$4:$G$3003,MATCH($C1163,ENVIOS!$A$4:$A$3003,0)),"—"))</f>
        <v/>
      </c>
      <c r="J1163" s="48">
        <f>IF($C1163="","",IFERROR(INDEX(ENVIOS!$B$4:$B$3003,MATCH($C1163,ENVIOS!$A$4:$A$3003,0)),""))</f>
        <v/>
      </c>
      <c r="K1163" s="49" t="n"/>
      <c r="L1163" s="27">
        <f>IF($K1163="","",IFERROR(INDEX(CONFIG!$B$4:$B$43,MATCH($K1163,CONFIG!$A$4:$A$43,0)),"Media"))</f>
        <v/>
      </c>
      <c r="M1163" s="27">
        <f>IF($K1163="","",IFERROR(INDEX(CONFIG!$D$4:$D$43,MATCH($K1163,CONFIG!$A$4:$A$43,0)),"NO"))</f>
        <v/>
      </c>
      <c r="N1163" s="49" t="n"/>
      <c r="O1163" s="27">
        <f>IF($N1163="","",IFERROR(INDEX(CONFIG!$G$4:$G$43,MATCH($N1163,CONFIG!$F$4:$F$43,0)),"Por definir"))</f>
        <v/>
      </c>
      <c r="P1163" s="27">
        <f>IF($N1163="","",IFERROR(INDEX(CONFIG!$H$4:$H$43,MATCH($N1163,CONFIG!$F$4:$F$43,0)),"Por definir"))</f>
        <v/>
      </c>
      <c r="Q1163" s="50" t="n"/>
      <c r="R1163" s="51" t="n"/>
      <c r="S1163" s="49" t="n"/>
      <c r="T1163" s="49" t="n"/>
      <c r="U1163" s="48">
        <f>IF(OR($B1163="",$K1163=""),"",WORKDAY($B1163,IFERROR(INDEX(CONFIG!$C$4:$C$43,MATCH($K1163,CONFIG!$A$4:$A$43,0)),3)))</f>
        <v/>
      </c>
      <c r="V1163" s="46" t="n"/>
      <c r="W1163" s="23">
        <f>IF($B1163="","",IF($V1163&lt;&gt;"",$V1163-$B1163,TODAY()-$B1163))</f>
        <v/>
      </c>
      <c r="X1163" s="27">
        <f>IF($C1163="","",IF(IFERROR(INDEX(CONFIG!$K$4:$K$43,MATCH($S1163,CONFIG!$J$4:$J$43,0)),"NO")="SÍ",IF(OR($V1163="",$U1163=""),"Resuelta",IF($V1163&gt;$U1163,"Resuelta tarde","Resuelta a tiempo")),IF($U1163="","Sin clasificar",IF(TODAY()&gt;$U1163,"Vencida",IF(TODAY()&gt;=$U1163-1,"Por vencer","En plazo")))))</f>
        <v/>
      </c>
      <c r="Y1163" s="49" t="n"/>
      <c r="Z1163" s="49" t="n"/>
    </row>
    <row r="1164" ht="16" customHeight="1">
      <c r="A1164" s="27">
        <f>IF($C1164="","","N-"&amp;TEXT(ROW()-3,"0000"))</f>
        <v/>
      </c>
      <c r="B1164" s="46" t="n"/>
      <c r="C1164" s="47" t="n"/>
      <c r="D1164" s="27">
        <f>IF($C1164="","",IF(COUNTIFS(ENVIOS!$A$4:$A$3003,$C1164)=0,"NO EXISTE",IF(COUNTIFS(ENVIOS!$A$4:$A$3003,$C1164)&gt;1,"DUPLICADA","OK")))</f>
        <v/>
      </c>
      <c r="E1164" s="22">
        <f>IF($C1164="","",IFERROR(INDEX(ENVIOS!$C$4:$C$3003,MATCH($C1164,ENVIOS!$A$4:$A$3003,0)),"—"))</f>
        <v/>
      </c>
      <c r="F1164" s="22">
        <f>IF($C1164="","",IFERROR(INDEX(ENVIOS!$D$4:$D$3003,MATCH($C1164,ENVIOS!$A$4:$A$3003,0)),"—"))</f>
        <v/>
      </c>
      <c r="G1164" s="22">
        <f>IF($C1164="","",IFERROR(INDEX(ENVIOS!$E$4:$E$3003,MATCH($C1164,ENVIOS!$A$4:$A$3003,0)),"—"))</f>
        <v/>
      </c>
      <c r="H1164" s="22">
        <f>IF($C1164="","",IFERROR(INDEX(ENVIOS!$F$4:$F$3003,MATCH($C1164,ENVIOS!$A$4:$A$3003,0)),"—"))</f>
        <v/>
      </c>
      <c r="I1164" s="27">
        <f>IF($C1164="","",IFERROR(INDEX(ENVIOS!$G$4:$G$3003,MATCH($C1164,ENVIOS!$A$4:$A$3003,0)),"—"))</f>
        <v/>
      </c>
      <c r="J1164" s="48">
        <f>IF($C1164="","",IFERROR(INDEX(ENVIOS!$B$4:$B$3003,MATCH($C1164,ENVIOS!$A$4:$A$3003,0)),""))</f>
        <v/>
      </c>
      <c r="K1164" s="49" t="n"/>
      <c r="L1164" s="27">
        <f>IF($K1164="","",IFERROR(INDEX(CONFIG!$B$4:$B$43,MATCH($K1164,CONFIG!$A$4:$A$43,0)),"Media"))</f>
        <v/>
      </c>
      <c r="M1164" s="27">
        <f>IF($K1164="","",IFERROR(INDEX(CONFIG!$D$4:$D$43,MATCH($K1164,CONFIG!$A$4:$A$43,0)),"NO"))</f>
        <v/>
      </c>
      <c r="N1164" s="49" t="n"/>
      <c r="O1164" s="27">
        <f>IF($N1164="","",IFERROR(INDEX(CONFIG!$G$4:$G$43,MATCH($N1164,CONFIG!$F$4:$F$43,0)),"Por definir"))</f>
        <v/>
      </c>
      <c r="P1164" s="27">
        <f>IF($N1164="","",IFERROR(INDEX(CONFIG!$H$4:$H$43,MATCH($N1164,CONFIG!$F$4:$F$43,0)),"Por definir"))</f>
        <v/>
      </c>
      <c r="Q1164" s="50" t="n"/>
      <c r="R1164" s="51" t="n"/>
      <c r="S1164" s="49" t="n"/>
      <c r="T1164" s="49" t="n"/>
      <c r="U1164" s="48">
        <f>IF(OR($B1164="",$K1164=""),"",WORKDAY($B1164,IFERROR(INDEX(CONFIG!$C$4:$C$43,MATCH($K1164,CONFIG!$A$4:$A$43,0)),3)))</f>
        <v/>
      </c>
      <c r="V1164" s="46" t="n"/>
      <c r="W1164" s="23">
        <f>IF($B1164="","",IF($V1164&lt;&gt;"",$V1164-$B1164,TODAY()-$B1164))</f>
        <v/>
      </c>
      <c r="X1164" s="27">
        <f>IF($C1164="","",IF(IFERROR(INDEX(CONFIG!$K$4:$K$43,MATCH($S1164,CONFIG!$J$4:$J$43,0)),"NO")="SÍ",IF(OR($V1164="",$U1164=""),"Resuelta",IF($V1164&gt;$U1164,"Resuelta tarde","Resuelta a tiempo")),IF($U1164="","Sin clasificar",IF(TODAY()&gt;$U1164,"Vencida",IF(TODAY()&gt;=$U1164-1,"Por vencer","En plazo")))))</f>
        <v/>
      </c>
      <c r="Y1164" s="49" t="n"/>
      <c r="Z1164" s="49" t="n"/>
    </row>
    <row r="1165" ht="16" customHeight="1">
      <c r="A1165" s="27">
        <f>IF($C1165="","","N-"&amp;TEXT(ROW()-3,"0000"))</f>
        <v/>
      </c>
      <c r="B1165" s="46" t="n"/>
      <c r="C1165" s="47" t="n"/>
      <c r="D1165" s="27">
        <f>IF($C1165="","",IF(COUNTIFS(ENVIOS!$A$4:$A$3003,$C1165)=0,"NO EXISTE",IF(COUNTIFS(ENVIOS!$A$4:$A$3003,$C1165)&gt;1,"DUPLICADA","OK")))</f>
        <v/>
      </c>
      <c r="E1165" s="22">
        <f>IF($C1165="","",IFERROR(INDEX(ENVIOS!$C$4:$C$3003,MATCH($C1165,ENVIOS!$A$4:$A$3003,0)),"—"))</f>
        <v/>
      </c>
      <c r="F1165" s="22">
        <f>IF($C1165="","",IFERROR(INDEX(ENVIOS!$D$4:$D$3003,MATCH($C1165,ENVIOS!$A$4:$A$3003,0)),"—"))</f>
        <v/>
      </c>
      <c r="G1165" s="22">
        <f>IF($C1165="","",IFERROR(INDEX(ENVIOS!$E$4:$E$3003,MATCH($C1165,ENVIOS!$A$4:$A$3003,0)),"—"))</f>
        <v/>
      </c>
      <c r="H1165" s="22">
        <f>IF($C1165="","",IFERROR(INDEX(ENVIOS!$F$4:$F$3003,MATCH($C1165,ENVIOS!$A$4:$A$3003,0)),"—"))</f>
        <v/>
      </c>
      <c r="I1165" s="27">
        <f>IF($C1165="","",IFERROR(INDEX(ENVIOS!$G$4:$G$3003,MATCH($C1165,ENVIOS!$A$4:$A$3003,0)),"—"))</f>
        <v/>
      </c>
      <c r="J1165" s="48">
        <f>IF($C1165="","",IFERROR(INDEX(ENVIOS!$B$4:$B$3003,MATCH($C1165,ENVIOS!$A$4:$A$3003,0)),""))</f>
        <v/>
      </c>
      <c r="K1165" s="49" t="n"/>
      <c r="L1165" s="27">
        <f>IF($K1165="","",IFERROR(INDEX(CONFIG!$B$4:$B$43,MATCH($K1165,CONFIG!$A$4:$A$43,0)),"Media"))</f>
        <v/>
      </c>
      <c r="M1165" s="27">
        <f>IF($K1165="","",IFERROR(INDEX(CONFIG!$D$4:$D$43,MATCH($K1165,CONFIG!$A$4:$A$43,0)),"NO"))</f>
        <v/>
      </c>
      <c r="N1165" s="49" t="n"/>
      <c r="O1165" s="27">
        <f>IF($N1165="","",IFERROR(INDEX(CONFIG!$G$4:$G$43,MATCH($N1165,CONFIG!$F$4:$F$43,0)),"Por definir"))</f>
        <v/>
      </c>
      <c r="P1165" s="27">
        <f>IF($N1165="","",IFERROR(INDEX(CONFIG!$H$4:$H$43,MATCH($N1165,CONFIG!$F$4:$F$43,0)),"Por definir"))</f>
        <v/>
      </c>
      <c r="Q1165" s="50" t="n"/>
      <c r="R1165" s="51" t="n"/>
      <c r="S1165" s="49" t="n"/>
      <c r="T1165" s="49" t="n"/>
      <c r="U1165" s="48">
        <f>IF(OR($B1165="",$K1165=""),"",WORKDAY($B1165,IFERROR(INDEX(CONFIG!$C$4:$C$43,MATCH($K1165,CONFIG!$A$4:$A$43,0)),3)))</f>
        <v/>
      </c>
      <c r="V1165" s="46" t="n"/>
      <c r="W1165" s="23">
        <f>IF($B1165="","",IF($V1165&lt;&gt;"",$V1165-$B1165,TODAY()-$B1165))</f>
        <v/>
      </c>
      <c r="X1165" s="27">
        <f>IF($C1165="","",IF(IFERROR(INDEX(CONFIG!$K$4:$K$43,MATCH($S1165,CONFIG!$J$4:$J$43,0)),"NO")="SÍ",IF(OR($V1165="",$U1165=""),"Resuelta",IF($V1165&gt;$U1165,"Resuelta tarde","Resuelta a tiempo")),IF($U1165="","Sin clasificar",IF(TODAY()&gt;$U1165,"Vencida",IF(TODAY()&gt;=$U1165-1,"Por vencer","En plazo")))))</f>
        <v/>
      </c>
      <c r="Y1165" s="49" t="n"/>
      <c r="Z1165" s="49" t="n"/>
    </row>
    <row r="1166" ht="16" customHeight="1">
      <c r="A1166" s="27">
        <f>IF($C1166="","","N-"&amp;TEXT(ROW()-3,"0000"))</f>
        <v/>
      </c>
      <c r="B1166" s="46" t="n"/>
      <c r="C1166" s="47" t="n"/>
      <c r="D1166" s="27">
        <f>IF($C1166="","",IF(COUNTIFS(ENVIOS!$A$4:$A$3003,$C1166)=0,"NO EXISTE",IF(COUNTIFS(ENVIOS!$A$4:$A$3003,$C1166)&gt;1,"DUPLICADA","OK")))</f>
        <v/>
      </c>
      <c r="E1166" s="22">
        <f>IF($C1166="","",IFERROR(INDEX(ENVIOS!$C$4:$C$3003,MATCH($C1166,ENVIOS!$A$4:$A$3003,0)),"—"))</f>
        <v/>
      </c>
      <c r="F1166" s="22">
        <f>IF($C1166="","",IFERROR(INDEX(ENVIOS!$D$4:$D$3003,MATCH($C1166,ENVIOS!$A$4:$A$3003,0)),"—"))</f>
        <v/>
      </c>
      <c r="G1166" s="22">
        <f>IF($C1166="","",IFERROR(INDEX(ENVIOS!$E$4:$E$3003,MATCH($C1166,ENVIOS!$A$4:$A$3003,0)),"—"))</f>
        <v/>
      </c>
      <c r="H1166" s="22">
        <f>IF($C1166="","",IFERROR(INDEX(ENVIOS!$F$4:$F$3003,MATCH($C1166,ENVIOS!$A$4:$A$3003,0)),"—"))</f>
        <v/>
      </c>
      <c r="I1166" s="27">
        <f>IF($C1166="","",IFERROR(INDEX(ENVIOS!$G$4:$G$3003,MATCH($C1166,ENVIOS!$A$4:$A$3003,0)),"—"))</f>
        <v/>
      </c>
      <c r="J1166" s="48">
        <f>IF($C1166="","",IFERROR(INDEX(ENVIOS!$B$4:$B$3003,MATCH($C1166,ENVIOS!$A$4:$A$3003,0)),""))</f>
        <v/>
      </c>
      <c r="K1166" s="49" t="n"/>
      <c r="L1166" s="27">
        <f>IF($K1166="","",IFERROR(INDEX(CONFIG!$B$4:$B$43,MATCH($K1166,CONFIG!$A$4:$A$43,0)),"Media"))</f>
        <v/>
      </c>
      <c r="M1166" s="27">
        <f>IF($K1166="","",IFERROR(INDEX(CONFIG!$D$4:$D$43,MATCH($K1166,CONFIG!$A$4:$A$43,0)),"NO"))</f>
        <v/>
      </c>
      <c r="N1166" s="49" t="n"/>
      <c r="O1166" s="27">
        <f>IF($N1166="","",IFERROR(INDEX(CONFIG!$G$4:$G$43,MATCH($N1166,CONFIG!$F$4:$F$43,0)),"Por definir"))</f>
        <v/>
      </c>
      <c r="P1166" s="27">
        <f>IF($N1166="","",IFERROR(INDEX(CONFIG!$H$4:$H$43,MATCH($N1166,CONFIG!$F$4:$F$43,0)),"Por definir"))</f>
        <v/>
      </c>
      <c r="Q1166" s="50" t="n"/>
      <c r="R1166" s="51" t="n"/>
      <c r="S1166" s="49" t="n"/>
      <c r="T1166" s="49" t="n"/>
      <c r="U1166" s="48">
        <f>IF(OR($B1166="",$K1166=""),"",WORKDAY($B1166,IFERROR(INDEX(CONFIG!$C$4:$C$43,MATCH($K1166,CONFIG!$A$4:$A$43,0)),3)))</f>
        <v/>
      </c>
      <c r="V1166" s="46" t="n"/>
      <c r="W1166" s="23">
        <f>IF($B1166="","",IF($V1166&lt;&gt;"",$V1166-$B1166,TODAY()-$B1166))</f>
        <v/>
      </c>
      <c r="X1166" s="27">
        <f>IF($C1166="","",IF(IFERROR(INDEX(CONFIG!$K$4:$K$43,MATCH($S1166,CONFIG!$J$4:$J$43,0)),"NO")="SÍ",IF(OR($V1166="",$U1166=""),"Resuelta",IF($V1166&gt;$U1166,"Resuelta tarde","Resuelta a tiempo")),IF($U1166="","Sin clasificar",IF(TODAY()&gt;$U1166,"Vencida",IF(TODAY()&gt;=$U1166-1,"Por vencer","En plazo")))))</f>
        <v/>
      </c>
      <c r="Y1166" s="49" t="n"/>
      <c r="Z1166" s="49" t="n"/>
    </row>
    <row r="1167" ht="16" customHeight="1">
      <c r="A1167" s="27">
        <f>IF($C1167="","","N-"&amp;TEXT(ROW()-3,"0000"))</f>
        <v/>
      </c>
      <c r="B1167" s="46" t="n"/>
      <c r="C1167" s="47" t="n"/>
      <c r="D1167" s="27">
        <f>IF($C1167="","",IF(COUNTIFS(ENVIOS!$A$4:$A$3003,$C1167)=0,"NO EXISTE",IF(COUNTIFS(ENVIOS!$A$4:$A$3003,$C1167)&gt;1,"DUPLICADA","OK")))</f>
        <v/>
      </c>
      <c r="E1167" s="22">
        <f>IF($C1167="","",IFERROR(INDEX(ENVIOS!$C$4:$C$3003,MATCH($C1167,ENVIOS!$A$4:$A$3003,0)),"—"))</f>
        <v/>
      </c>
      <c r="F1167" s="22">
        <f>IF($C1167="","",IFERROR(INDEX(ENVIOS!$D$4:$D$3003,MATCH($C1167,ENVIOS!$A$4:$A$3003,0)),"—"))</f>
        <v/>
      </c>
      <c r="G1167" s="22">
        <f>IF($C1167="","",IFERROR(INDEX(ENVIOS!$E$4:$E$3003,MATCH($C1167,ENVIOS!$A$4:$A$3003,0)),"—"))</f>
        <v/>
      </c>
      <c r="H1167" s="22">
        <f>IF($C1167="","",IFERROR(INDEX(ENVIOS!$F$4:$F$3003,MATCH($C1167,ENVIOS!$A$4:$A$3003,0)),"—"))</f>
        <v/>
      </c>
      <c r="I1167" s="27">
        <f>IF($C1167="","",IFERROR(INDEX(ENVIOS!$G$4:$G$3003,MATCH($C1167,ENVIOS!$A$4:$A$3003,0)),"—"))</f>
        <v/>
      </c>
      <c r="J1167" s="48">
        <f>IF($C1167="","",IFERROR(INDEX(ENVIOS!$B$4:$B$3003,MATCH($C1167,ENVIOS!$A$4:$A$3003,0)),""))</f>
        <v/>
      </c>
      <c r="K1167" s="49" t="n"/>
      <c r="L1167" s="27">
        <f>IF($K1167="","",IFERROR(INDEX(CONFIG!$B$4:$B$43,MATCH($K1167,CONFIG!$A$4:$A$43,0)),"Media"))</f>
        <v/>
      </c>
      <c r="M1167" s="27">
        <f>IF($K1167="","",IFERROR(INDEX(CONFIG!$D$4:$D$43,MATCH($K1167,CONFIG!$A$4:$A$43,0)),"NO"))</f>
        <v/>
      </c>
      <c r="N1167" s="49" t="n"/>
      <c r="O1167" s="27">
        <f>IF($N1167="","",IFERROR(INDEX(CONFIG!$G$4:$G$43,MATCH($N1167,CONFIG!$F$4:$F$43,0)),"Por definir"))</f>
        <v/>
      </c>
      <c r="P1167" s="27">
        <f>IF($N1167="","",IFERROR(INDEX(CONFIG!$H$4:$H$43,MATCH($N1167,CONFIG!$F$4:$F$43,0)),"Por definir"))</f>
        <v/>
      </c>
      <c r="Q1167" s="50" t="n"/>
      <c r="R1167" s="51" t="n"/>
      <c r="S1167" s="49" t="n"/>
      <c r="T1167" s="49" t="n"/>
      <c r="U1167" s="48">
        <f>IF(OR($B1167="",$K1167=""),"",WORKDAY($B1167,IFERROR(INDEX(CONFIG!$C$4:$C$43,MATCH($K1167,CONFIG!$A$4:$A$43,0)),3)))</f>
        <v/>
      </c>
      <c r="V1167" s="46" t="n"/>
      <c r="W1167" s="23">
        <f>IF($B1167="","",IF($V1167&lt;&gt;"",$V1167-$B1167,TODAY()-$B1167))</f>
        <v/>
      </c>
      <c r="X1167" s="27">
        <f>IF($C1167="","",IF(IFERROR(INDEX(CONFIG!$K$4:$K$43,MATCH($S1167,CONFIG!$J$4:$J$43,0)),"NO")="SÍ",IF(OR($V1167="",$U1167=""),"Resuelta",IF($V1167&gt;$U1167,"Resuelta tarde","Resuelta a tiempo")),IF($U1167="","Sin clasificar",IF(TODAY()&gt;$U1167,"Vencida",IF(TODAY()&gt;=$U1167-1,"Por vencer","En plazo")))))</f>
        <v/>
      </c>
      <c r="Y1167" s="49" t="n"/>
      <c r="Z1167" s="49" t="n"/>
    </row>
    <row r="1168" ht="16" customHeight="1">
      <c r="A1168" s="27">
        <f>IF($C1168="","","N-"&amp;TEXT(ROW()-3,"0000"))</f>
        <v/>
      </c>
      <c r="B1168" s="46" t="n"/>
      <c r="C1168" s="47" t="n"/>
      <c r="D1168" s="27">
        <f>IF($C1168="","",IF(COUNTIFS(ENVIOS!$A$4:$A$3003,$C1168)=0,"NO EXISTE",IF(COUNTIFS(ENVIOS!$A$4:$A$3003,$C1168)&gt;1,"DUPLICADA","OK")))</f>
        <v/>
      </c>
      <c r="E1168" s="22">
        <f>IF($C1168="","",IFERROR(INDEX(ENVIOS!$C$4:$C$3003,MATCH($C1168,ENVIOS!$A$4:$A$3003,0)),"—"))</f>
        <v/>
      </c>
      <c r="F1168" s="22">
        <f>IF($C1168="","",IFERROR(INDEX(ENVIOS!$D$4:$D$3003,MATCH($C1168,ENVIOS!$A$4:$A$3003,0)),"—"))</f>
        <v/>
      </c>
      <c r="G1168" s="22">
        <f>IF($C1168="","",IFERROR(INDEX(ENVIOS!$E$4:$E$3003,MATCH($C1168,ENVIOS!$A$4:$A$3003,0)),"—"))</f>
        <v/>
      </c>
      <c r="H1168" s="22">
        <f>IF($C1168="","",IFERROR(INDEX(ENVIOS!$F$4:$F$3003,MATCH($C1168,ENVIOS!$A$4:$A$3003,0)),"—"))</f>
        <v/>
      </c>
      <c r="I1168" s="27">
        <f>IF($C1168="","",IFERROR(INDEX(ENVIOS!$G$4:$G$3003,MATCH($C1168,ENVIOS!$A$4:$A$3003,0)),"—"))</f>
        <v/>
      </c>
      <c r="J1168" s="48">
        <f>IF($C1168="","",IFERROR(INDEX(ENVIOS!$B$4:$B$3003,MATCH($C1168,ENVIOS!$A$4:$A$3003,0)),""))</f>
        <v/>
      </c>
      <c r="K1168" s="49" t="n"/>
      <c r="L1168" s="27">
        <f>IF($K1168="","",IFERROR(INDEX(CONFIG!$B$4:$B$43,MATCH($K1168,CONFIG!$A$4:$A$43,0)),"Media"))</f>
        <v/>
      </c>
      <c r="M1168" s="27">
        <f>IF($K1168="","",IFERROR(INDEX(CONFIG!$D$4:$D$43,MATCH($K1168,CONFIG!$A$4:$A$43,0)),"NO"))</f>
        <v/>
      </c>
      <c r="N1168" s="49" t="n"/>
      <c r="O1168" s="27">
        <f>IF($N1168="","",IFERROR(INDEX(CONFIG!$G$4:$G$43,MATCH($N1168,CONFIG!$F$4:$F$43,0)),"Por definir"))</f>
        <v/>
      </c>
      <c r="P1168" s="27">
        <f>IF($N1168="","",IFERROR(INDEX(CONFIG!$H$4:$H$43,MATCH($N1168,CONFIG!$F$4:$F$43,0)),"Por definir"))</f>
        <v/>
      </c>
      <c r="Q1168" s="50" t="n"/>
      <c r="R1168" s="51" t="n"/>
      <c r="S1168" s="49" t="n"/>
      <c r="T1168" s="49" t="n"/>
      <c r="U1168" s="48">
        <f>IF(OR($B1168="",$K1168=""),"",WORKDAY($B1168,IFERROR(INDEX(CONFIG!$C$4:$C$43,MATCH($K1168,CONFIG!$A$4:$A$43,0)),3)))</f>
        <v/>
      </c>
      <c r="V1168" s="46" t="n"/>
      <c r="W1168" s="23">
        <f>IF($B1168="","",IF($V1168&lt;&gt;"",$V1168-$B1168,TODAY()-$B1168))</f>
        <v/>
      </c>
      <c r="X1168" s="27">
        <f>IF($C1168="","",IF(IFERROR(INDEX(CONFIG!$K$4:$K$43,MATCH($S1168,CONFIG!$J$4:$J$43,0)),"NO")="SÍ",IF(OR($V1168="",$U1168=""),"Resuelta",IF($V1168&gt;$U1168,"Resuelta tarde","Resuelta a tiempo")),IF($U1168="","Sin clasificar",IF(TODAY()&gt;$U1168,"Vencida",IF(TODAY()&gt;=$U1168-1,"Por vencer","En plazo")))))</f>
        <v/>
      </c>
      <c r="Y1168" s="49" t="n"/>
      <c r="Z1168" s="49" t="n"/>
    </row>
    <row r="1169" ht="16" customHeight="1">
      <c r="A1169" s="27">
        <f>IF($C1169="","","N-"&amp;TEXT(ROW()-3,"0000"))</f>
        <v/>
      </c>
      <c r="B1169" s="46" t="n"/>
      <c r="C1169" s="47" t="n"/>
      <c r="D1169" s="27">
        <f>IF($C1169="","",IF(COUNTIFS(ENVIOS!$A$4:$A$3003,$C1169)=0,"NO EXISTE",IF(COUNTIFS(ENVIOS!$A$4:$A$3003,$C1169)&gt;1,"DUPLICADA","OK")))</f>
        <v/>
      </c>
      <c r="E1169" s="22">
        <f>IF($C1169="","",IFERROR(INDEX(ENVIOS!$C$4:$C$3003,MATCH($C1169,ENVIOS!$A$4:$A$3003,0)),"—"))</f>
        <v/>
      </c>
      <c r="F1169" s="22">
        <f>IF($C1169="","",IFERROR(INDEX(ENVIOS!$D$4:$D$3003,MATCH($C1169,ENVIOS!$A$4:$A$3003,0)),"—"))</f>
        <v/>
      </c>
      <c r="G1169" s="22">
        <f>IF($C1169="","",IFERROR(INDEX(ENVIOS!$E$4:$E$3003,MATCH($C1169,ENVIOS!$A$4:$A$3003,0)),"—"))</f>
        <v/>
      </c>
      <c r="H1169" s="22">
        <f>IF($C1169="","",IFERROR(INDEX(ENVIOS!$F$4:$F$3003,MATCH($C1169,ENVIOS!$A$4:$A$3003,0)),"—"))</f>
        <v/>
      </c>
      <c r="I1169" s="27">
        <f>IF($C1169="","",IFERROR(INDEX(ENVIOS!$G$4:$G$3003,MATCH($C1169,ENVIOS!$A$4:$A$3003,0)),"—"))</f>
        <v/>
      </c>
      <c r="J1169" s="48">
        <f>IF($C1169="","",IFERROR(INDEX(ENVIOS!$B$4:$B$3003,MATCH($C1169,ENVIOS!$A$4:$A$3003,0)),""))</f>
        <v/>
      </c>
      <c r="K1169" s="49" t="n"/>
      <c r="L1169" s="27">
        <f>IF($K1169="","",IFERROR(INDEX(CONFIG!$B$4:$B$43,MATCH($K1169,CONFIG!$A$4:$A$43,0)),"Media"))</f>
        <v/>
      </c>
      <c r="M1169" s="27">
        <f>IF($K1169="","",IFERROR(INDEX(CONFIG!$D$4:$D$43,MATCH($K1169,CONFIG!$A$4:$A$43,0)),"NO"))</f>
        <v/>
      </c>
      <c r="N1169" s="49" t="n"/>
      <c r="O1169" s="27">
        <f>IF($N1169="","",IFERROR(INDEX(CONFIG!$G$4:$G$43,MATCH($N1169,CONFIG!$F$4:$F$43,0)),"Por definir"))</f>
        <v/>
      </c>
      <c r="P1169" s="27">
        <f>IF($N1169="","",IFERROR(INDEX(CONFIG!$H$4:$H$43,MATCH($N1169,CONFIG!$F$4:$F$43,0)),"Por definir"))</f>
        <v/>
      </c>
      <c r="Q1169" s="50" t="n"/>
      <c r="R1169" s="51" t="n"/>
      <c r="S1169" s="49" t="n"/>
      <c r="T1169" s="49" t="n"/>
      <c r="U1169" s="48">
        <f>IF(OR($B1169="",$K1169=""),"",WORKDAY($B1169,IFERROR(INDEX(CONFIG!$C$4:$C$43,MATCH($K1169,CONFIG!$A$4:$A$43,0)),3)))</f>
        <v/>
      </c>
      <c r="V1169" s="46" t="n"/>
      <c r="W1169" s="23">
        <f>IF($B1169="","",IF($V1169&lt;&gt;"",$V1169-$B1169,TODAY()-$B1169))</f>
        <v/>
      </c>
      <c r="X1169" s="27">
        <f>IF($C1169="","",IF(IFERROR(INDEX(CONFIG!$K$4:$K$43,MATCH($S1169,CONFIG!$J$4:$J$43,0)),"NO")="SÍ",IF(OR($V1169="",$U1169=""),"Resuelta",IF($V1169&gt;$U1169,"Resuelta tarde","Resuelta a tiempo")),IF($U1169="","Sin clasificar",IF(TODAY()&gt;$U1169,"Vencida",IF(TODAY()&gt;=$U1169-1,"Por vencer","En plazo")))))</f>
        <v/>
      </c>
      <c r="Y1169" s="49" t="n"/>
      <c r="Z1169" s="49" t="n"/>
    </row>
    <row r="1170" ht="16" customHeight="1">
      <c r="A1170" s="27">
        <f>IF($C1170="","","N-"&amp;TEXT(ROW()-3,"0000"))</f>
        <v/>
      </c>
      <c r="B1170" s="46" t="n"/>
      <c r="C1170" s="47" t="n"/>
      <c r="D1170" s="27">
        <f>IF($C1170="","",IF(COUNTIFS(ENVIOS!$A$4:$A$3003,$C1170)=0,"NO EXISTE",IF(COUNTIFS(ENVIOS!$A$4:$A$3003,$C1170)&gt;1,"DUPLICADA","OK")))</f>
        <v/>
      </c>
      <c r="E1170" s="22">
        <f>IF($C1170="","",IFERROR(INDEX(ENVIOS!$C$4:$C$3003,MATCH($C1170,ENVIOS!$A$4:$A$3003,0)),"—"))</f>
        <v/>
      </c>
      <c r="F1170" s="22">
        <f>IF($C1170="","",IFERROR(INDEX(ENVIOS!$D$4:$D$3003,MATCH($C1170,ENVIOS!$A$4:$A$3003,0)),"—"))</f>
        <v/>
      </c>
      <c r="G1170" s="22">
        <f>IF($C1170="","",IFERROR(INDEX(ENVIOS!$E$4:$E$3003,MATCH($C1170,ENVIOS!$A$4:$A$3003,0)),"—"))</f>
        <v/>
      </c>
      <c r="H1170" s="22">
        <f>IF($C1170="","",IFERROR(INDEX(ENVIOS!$F$4:$F$3003,MATCH($C1170,ENVIOS!$A$4:$A$3003,0)),"—"))</f>
        <v/>
      </c>
      <c r="I1170" s="27">
        <f>IF($C1170="","",IFERROR(INDEX(ENVIOS!$G$4:$G$3003,MATCH($C1170,ENVIOS!$A$4:$A$3003,0)),"—"))</f>
        <v/>
      </c>
      <c r="J1170" s="48">
        <f>IF($C1170="","",IFERROR(INDEX(ENVIOS!$B$4:$B$3003,MATCH($C1170,ENVIOS!$A$4:$A$3003,0)),""))</f>
        <v/>
      </c>
      <c r="K1170" s="49" t="n"/>
      <c r="L1170" s="27">
        <f>IF($K1170="","",IFERROR(INDEX(CONFIG!$B$4:$B$43,MATCH($K1170,CONFIG!$A$4:$A$43,0)),"Media"))</f>
        <v/>
      </c>
      <c r="M1170" s="27">
        <f>IF($K1170="","",IFERROR(INDEX(CONFIG!$D$4:$D$43,MATCH($K1170,CONFIG!$A$4:$A$43,0)),"NO"))</f>
        <v/>
      </c>
      <c r="N1170" s="49" t="n"/>
      <c r="O1170" s="27">
        <f>IF($N1170="","",IFERROR(INDEX(CONFIG!$G$4:$G$43,MATCH($N1170,CONFIG!$F$4:$F$43,0)),"Por definir"))</f>
        <v/>
      </c>
      <c r="P1170" s="27">
        <f>IF($N1170="","",IFERROR(INDEX(CONFIG!$H$4:$H$43,MATCH($N1170,CONFIG!$F$4:$F$43,0)),"Por definir"))</f>
        <v/>
      </c>
      <c r="Q1170" s="50" t="n"/>
      <c r="R1170" s="51" t="n"/>
      <c r="S1170" s="49" t="n"/>
      <c r="T1170" s="49" t="n"/>
      <c r="U1170" s="48">
        <f>IF(OR($B1170="",$K1170=""),"",WORKDAY($B1170,IFERROR(INDEX(CONFIG!$C$4:$C$43,MATCH($K1170,CONFIG!$A$4:$A$43,0)),3)))</f>
        <v/>
      </c>
      <c r="V1170" s="46" t="n"/>
      <c r="W1170" s="23">
        <f>IF($B1170="","",IF($V1170&lt;&gt;"",$V1170-$B1170,TODAY()-$B1170))</f>
        <v/>
      </c>
      <c r="X1170" s="27">
        <f>IF($C1170="","",IF(IFERROR(INDEX(CONFIG!$K$4:$K$43,MATCH($S1170,CONFIG!$J$4:$J$43,0)),"NO")="SÍ",IF(OR($V1170="",$U1170=""),"Resuelta",IF($V1170&gt;$U1170,"Resuelta tarde","Resuelta a tiempo")),IF($U1170="","Sin clasificar",IF(TODAY()&gt;$U1170,"Vencida",IF(TODAY()&gt;=$U1170-1,"Por vencer","En plazo")))))</f>
        <v/>
      </c>
      <c r="Y1170" s="49" t="n"/>
      <c r="Z1170" s="49" t="n"/>
    </row>
    <row r="1171" ht="16" customHeight="1">
      <c r="A1171" s="27">
        <f>IF($C1171="","","N-"&amp;TEXT(ROW()-3,"0000"))</f>
        <v/>
      </c>
      <c r="B1171" s="46" t="n"/>
      <c r="C1171" s="47" t="n"/>
      <c r="D1171" s="27">
        <f>IF($C1171="","",IF(COUNTIFS(ENVIOS!$A$4:$A$3003,$C1171)=0,"NO EXISTE",IF(COUNTIFS(ENVIOS!$A$4:$A$3003,$C1171)&gt;1,"DUPLICADA","OK")))</f>
        <v/>
      </c>
      <c r="E1171" s="22">
        <f>IF($C1171="","",IFERROR(INDEX(ENVIOS!$C$4:$C$3003,MATCH($C1171,ENVIOS!$A$4:$A$3003,0)),"—"))</f>
        <v/>
      </c>
      <c r="F1171" s="22">
        <f>IF($C1171="","",IFERROR(INDEX(ENVIOS!$D$4:$D$3003,MATCH($C1171,ENVIOS!$A$4:$A$3003,0)),"—"))</f>
        <v/>
      </c>
      <c r="G1171" s="22">
        <f>IF($C1171="","",IFERROR(INDEX(ENVIOS!$E$4:$E$3003,MATCH($C1171,ENVIOS!$A$4:$A$3003,0)),"—"))</f>
        <v/>
      </c>
      <c r="H1171" s="22">
        <f>IF($C1171="","",IFERROR(INDEX(ENVIOS!$F$4:$F$3003,MATCH($C1171,ENVIOS!$A$4:$A$3003,0)),"—"))</f>
        <v/>
      </c>
      <c r="I1171" s="27">
        <f>IF($C1171="","",IFERROR(INDEX(ENVIOS!$G$4:$G$3003,MATCH($C1171,ENVIOS!$A$4:$A$3003,0)),"—"))</f>
        <v/>
      </c>
      <c r="J1171" s="48">
        <f>IF($C1171="","",IFERROR(INDEX(ENVIOS!$B$4:$B$3003,MATCH($C1171,ENVIOS!$A$4:$A$3003,0)),""))</f>
        <v/>
      </c>
      <c r="K1171" s="49" t="n"/>
      <c r="L1171" s="27">
        <f>IF($K1171="","",IFERROR(INDEX(CONFIG!$B$4:$B$43,MATCH($K1171,CONFIG!$A$4:$A$43,0)),"Media"))</f>
        <v/>
      </c>
      <c r="M1171" s="27">
        <f>IF($K1171="","",IFERROR(INDEX(CONFIG!$D$4:$D$43,MATCH($K1171,CONFIG!$A$4:$A$43,0)),"NO"))</f>
        <v/>
      </c>
      <c r="N1171" s="49" t="n"/>
      <c r="O1171" s="27">
        <f>IF($N1171="","",IFERROR(INDEX(CONFIG!$G$4:$G$43,MATCH($N1171,CONFIG!$F$4:$F$43,0)),"Por definir"))</f>
        <v/>
      </c>
      <c r="P1171" s="27">
        <f>IF($N1171="","",IFERROR(INDEX(CONFIG!$H$4:$H$43,MATCH($N1171,CONFIG!$F$4:$F$43,0)),"Por definir"))</f>
        <v/>
      </c>
      <c r="Q1171" s="50" t="n"/>
      <c r="R1171" s="51" t="n"/>
      <c r="S1171" s="49" t="n"/>
      <c r="T1171" s="49" t="n"/>
      <c r="U1171" s="48">
        <f>IF(OR($B1171="",$K1171=""),"",WORKDAY($B1171,IFERROR(INDEX(CONFIG!$C$4:$C$43,MATCH($K1171,CONFIG!$A$4:$A$43,0)),3)))</f>
        <v/>
      </c>
      <c r="V1171" s="46" t="n"/>
      <c r="W1171" s="23">
        <f>IF($B1171="","",IF($V1171&lt;&gt;"",$V1171-$B1171,TODAY()-$B1171))</f>
        <v/>
      </c>
      <c r="X1171" s="27">
        <f>IF($C1171="","",IF(IFERROR(INDEX(CONFIG!$K$4:$K$43,MATCH($S1171,CONFIG!$J$4:$J$43,0)),"NO")="SÍ",IF(OR($V1171="",$U1171=""),"Resuelta",IF($V1171&gt;$U1171,"Resuelta tarde","Resuelta a tiempo")),IF($U1171="","Sin clasificar",IF(TODAY()&gt;$U1171,"Vencida",IF(TODAY()&gt;=$U1171-1,"Por vencer","En plazo")))))</f>
        <v/>
      </c>
      <c r="Y1171" s="49" t="n"/>
      <c r="Z1171" s="49" t="n"/>
    </row>
    <row r="1172" ht="16" customHeight="1">
      <c r="A1172" s="27">
        <f>IF($C1172="","","N-"&amp;TEXT(ROW()-3,"0000"))</f>
        <v/>
      </c>
      <c r="B1172" s="46" t="n"/>
      <c r="C1172" s="47" t="n"/>
      <c r="D1172" s="27">
        <f>IF($C1172="","",IF(COUNTIFS(ENVIOS!$A$4:$A$3003,$C1172)=0,"NO EXISTE",IF(COUNTIFS(ENVIOS!$A$4:$A$3003,$C1172)&gt;1,"DUPLICADA","OK")))</f>
        <v/>
      </c>
      <c r="E1172" s="22">
        <f>IF($C1172="","",IFERROR(INDEX(ENVIOS!$C$4:$C$3003,MATCH($C1172,ENVIOS!$A$4:$A$3003,0)),"—"))</f>
        <v/>
      </c>
      <c r="F1172" s="22">
        <f>IF($C1172="","",IFERROR(INDEX(ENVIOS!$D$4:$D$3003,MATCH($C1172,ENVIOS!$A$4:$A$3003,0)),"—"))</f>
        <v/>
      </c>
      <c r="G1172" s="22">
        <f>IF($C1172="","",IFERROR(INDEX(ENVIOS!$E$4:$E$3003,MATCH($C1172,ENVIOS!$A$4:$A$3003,0)),"—"))</f>
        <v/>
      </c>
      <c r="H1172" s="22">
        <f>IF($C1172="","",IFERROR(INDEX(ENVIOS!$F$4:$F$3003,MATCH($C1172,ENVIOS!$A$4:$A$3003,0)),"—"))</f>
        <v/>
      </c>
      <c r="I1172" s="27">
        <f>IF($C1172="","",IFERROR(INDEX(ENVIOS!$G$4:$G$3003,MATCH($C1172,ENVIOS!$A$4:$A$3003,0)),"—"))</f>
        <v/>
      </c>
      <c r="J1172" s="48">
        <f>IF($C1172="","",IFERROR(INDEX(ENVIOS!$B$4:$B$3003,MATCH($C1172,ENVIOS!$A$4:$A$3003,0)),""))</f>
        <v/>
      </c>
      <c r="K1172" s="49" t="n"/>
      <c r="L1172" s="27">
        <f>IF($K1172="","",IFERROR(INDEX(CONFIG!$B$4:$B$43,MATCH($K1172,CONFIG!$A$4:$A$43,0)),"Media"))</f>
        <v/>
      </c>
      <c r="M1172" s="27">
        <f>IF($K1172="","",IFERROR(INDEX(CONFIG!$D$4:$D$43,MATCH($K1172,CONFIG!$A$4:$A$43,0)),"NO"))</f>
        <v/>
      </c>
      <c r="N1172" s="49" t="n"/>
      <c r="O1172" s="27">
        <f>IF($N1172="","",IFERROR(INDEX(CONFIG!$G$4:$G$43,MATCH($N1172,CONFIG!$F$4:$F$43,0)),"Por definir"))</f>
        <v/>
      </c>
      <c r="P1172" s="27">
        <f>IF($N1172="","",IFERROR(INDEX(CONFIG!$H$4:$H$43,MATCH($N1172,CONFIG!$F$4:$F$43,0)),"Por definir"))</f>
        <v/>
      </c>
      <c r="Q1172" s="50" t="n"/>
      <c r="R1172" s="51" t="n"/>
      <c r="S1172" s="49" t="n"/>
      <c r="T1172" s="49" t="n"/>
      <c r="U1172" s="48">
        <f>IF(OR($B1172="",$K1172=""),"",WORKDAY($B1172,IFERROR(INDEX(CONFIG!$C$4:$C$43,MATCH($K1172,CONFIG!$A$4:$A$43,0)),3)))</f>
        <v/>
      </c>
      <c r="V1172" s="46" t="n"/>
      <c r="W1172" s="23">
        <f>IF($B1172="","",IF($V1172&lt;&gt;"",$V1172-$B1172,TODAY()-$B1172))</f>
        <v/>
      </c>
      <c r="X1172" s="27">
        <f>IF($C1172="","",IF(IFERROR(INDEX(CONFIG!$K$4:$K$43,MATCH($S1172,CONFIG!$J$4:$J$43,0)),"NO")="SÍ",IF(OR($V1172="",$U1172=""),"Resuelta",IF($V1172&gt;$U1172,"Resuelta tarde","Resuelta a tiempo")),IF($U1172="","Sin clasificar",IF(TODAY()&gt;$U1172,"Vencida",IF(TODAY()&gt;=$U1172-1,"Por vencer","En plazo")))))</f>
        <v/>
      </c>
      <c r="Y1172" s="49" t="n"/>
      <c r="Z1172" s="49" t="n"/>
    </row>
    <row r="1173" ht="16" customHeight="1">
      <c r="A1173" s="27">
        <f>IF($C1173="","","N-"&amp;TEXT(ROW()-3,"0000"))</f>
        <v/>
      </c>
      <c r="B1173" s="46" t="n"/>
      <c r="C1173" s="47" t="n"/>
      <c r="D1173" s="27">
        <f>IF($C1173="","",IF(COUNTIFS(ENVIOS!$A$4:$A$3003,$C1173)=0,"NO EXISTE",IF(COUNTIFS(ENVIOS!$A$4:$A$3003,$C1173)&gt;1,"DUPLICADA","OK")))</f>
        <v/>
      </c>
      <c r="E1173" s="22">
        <f>IF($C1173="","",IFERROR(INDEX(ENVIOS!$C$4:$C$3003,MATCH($C1173,ENVIOS!$A$4:$A$3003,0)),"—"))</f>
        <v/>
      </c>
      <c r="F1173" s="22">
        <f>IF($C1173="","",IFERROR(INDEX(ENVIOS!$D$4:$D$3003,MATCH($C1173,ENVIOS!$A$4:$A$3003,0)),"—"))</f>
        <v/>
      </c>
      <c r="G1173" s="22">
        <f>IF($C1173="","",IFERROR(INDEX(ENVIOS!$E$4:$E$3003,MATCH($C1173,ENVIOS!$A$4:$A$3003,0)),"—"))</f>
        <v/>
      </c>
      <c r="H1173" s="22">
        <f>IF($C1173="","",IFERROR(INDEX(ENVIOS!$F$4:$F$3003,MATCH($C1173,ENVIOS!$A$4:$A$3003,0)),"—"))</f>
        <v/>
      </c>
      <c r="I1173" s="27">
        <f>IF($C1173="","",IFERROR(INDEX(ENVIOS!$G$4:$G$3003,MATCH($C1173,ENVIOS!$A$4:$A$3003,0)),"—"))</f>
        <v/>
      </c>
      <c r="J1173" s="48">
        <f>IF($C1173="","",IFERROR(INDEX(ENVIOS!$B$4:$B$3003,MATCH($C1173,ENVIOS!$A$4:$A$3003,0)),""))</f>
        <v/>
      </c>
      <c r="K1173" s="49" t="n"/>
      <c r="L1173" s="27">
        <f>IF($K1173="","",IFERROR(INDEX(CONFIG!$B$4:$B$43,MATCH($K1173,CONFIG!$A$4:$A$43,0)),"Media"))</f>
        <v/>
      </c>
      <c r="M1173" s="27">
        <f>IF($K1173="","",IFERROR(INDEX(CONFIG!$D$4:$D$43,MATCH($K1173,CONFIG!$A$4:$A$43,0)),"NO"))</f>
        <v/>
      </c>
      <c r="N1173" s="49" t="n"/>
      <c r="O1173" s="27">
        <f>IF($N1173="","",IFERROR(INDEX(CONFIG!$G$4:$G$43,MATCH($N1173,CONFIG!$F$4:$F$43,0)),"Por definir"))</f>
        <v/>
      </c>
      <c r="P1173" s="27">
        <f>IF($N1173="","",IFERROR(INDEX(CONFIG!$H$4:$H$43,MATCH($N1173,CONFIG!$F$4:$F$43,0)),"Por definir"))</f>
        <v/>
      </c>
      <c r="Q1173" s="50" t="n"/>
      <c r="R1173" s="51" t="n"/>
      <c r="S1173" s="49" t="n"/>
      <c r="T1173" s="49" t="n"/>
      <c r="U1173" s="48">
        <f>IF(OR($B1173="",$K1173=""),"",WORKDAY($B1173,IFERROR(INDEX(CONFIG!$C$4:$C$43,MATCH($K1173,CONFIG!$A$4:$A$43,0)),3)))</f>
        <v/>
      </c>
      <c r="V1173" s="46" t="n"/>
      <c r="W1173" s="23">
        <f>IF($B1173="","",IF($V1173&lt;&gt;"",$V1173-$B1173,TODAY()-$B1173))</f>
        <v/>
      </c>
      <c r="X1173" s="27">
        <f>IF($C1173="","",IF(IFERROR(INDEX(CONFIG!$K$4:$K$43,MATCH($S1173,CONFIG!$J$4:$J$43,0)),"NO")="SÍ",IF(OR($V1173="",$U1173=""),"Resuelta",IF($V1173&gt;$U1173,"Resuelta tarde","Resuelta a tiempo")),IF($U1173="","Sin clasificar",IF(TODAY()&gt;$U1173,"Vencida",IF(TODAY()&gt;=$U1173-1,"Por vencer","En plazo")))))</f>
        <v/>
      </c>
      <c r="Y1173" s="49" t="n"/>
      <c r="Z1173" s="49" t="n"/>
    </row>
    <row r="1174" ht="16" customHeight="1">
      <c r="A1174" s="27">
        <f>IF($C1174="","","N-"&amp;TEXT(ROW()-3,"0000"))</f>
        <v/>
      </c>
      <c r="B1174" s="46" t="n"/>
      <c r="C1174" s="47" t="n"/>
      <c r="D1174" s="27">
        <f>IF($C1174="","",IF(COUNTIFS(ENVIOS!$A$4:$A$3003,$C1174)=0,"NO EXISTE",IF(COUNTIFS(ENVIOS!$A$4:$A$3003,$C1174)&gt;1,"DUPLICADA","OK")))</f>
        <v/>
      </c>
      <c r="E1174" s="22">
        <f>IF($C1174="","",IFERROR(INDEX(ENVIOS!$C$4:$C$3003,MATCH($C1174,ENVIOS!$A$4:$A$3003,0)),"—"))</f>
        <v/>
      </c>
      <c r="F1174" s="22">
        <f>IF($C1174="","",IFERROR(INDEX(ENVIOS!$D$4:$D$3003,MATCH($C1174,ENVIOS!$A$4:$A$3003,0)),"—"))</f>
        <v/>
      </c>
      <c r="G1174" s="22">
        <f>IF($C1174="","",IFERROR(INDEX(ENVIOS!$E$4:$E$3003,MATCH($C1174,ENVIOS!$A$4:$A$3003,0)),"—"))</f>
        <v/>
      </c>
      <c r="H1174" s="22">
        <f>IF($C1174="","",IFERROR(INDEX(ENVIOS!$F$4:$F$3003,MATCH($C1174,ENVIOS!$A$4:$A$3003,0)),"—"))</f>
        <v/>
      </c>
      <c r="I1174" s="27">
        <f>IF($C1174="","",IFERROR(INDEX(ENVIOS!$G$4:$G$3003,MATCH($C1174,ENVIOS!$A$4:$A$3003,0)),"—"))</f>
        <v/>
      </c>
      <c r="J1174" s="48">
        <f>IF($C1174="","",IFERROR(INDEX(ENVIOS!$B$4:$B$3003,MATCH($C1174,ENVIOS!$A$4:$A$3003,0)),""))</f>
        <v/>
      </c>
      <c r="K1174" s="49" t="n"/>
      <c r="L1174" s="27">
        <f>IF($K1174="","",IFERROR(INDEX(CONFIG!$B$4:$B$43,MATCH($K1174,CONFIG!$A$4:$A$43,0)),"Media"))</f>
        <v/>
      </c>
      <c r="M1174" s="27">
        <f>IF($K1174="","",IFERROR(INDEX(CONFIG!$D$4:$D$43,MATCH($K1174,CONFIG!$A$4:$A$43,0)),"NO"))</f>
        <v/>
      </c>
      <c r="N1174" s="49" t="n"/>
      <c r="O1174" s="27">
        <f>IF($N1174="","",IFERROR(INDEX(CONFIG!$G$4:$G$43,MATCH($N1174,CONFIG!$F$4:$F$43,0)),"Por definir"))</f>
        <v/>
      </c>
      <c r="P1174" s="27">
        <f>IF($N1174="","",IFERROR(INDEX(CONFIG!$H$4:$H$43,MATCH($N1174,CONFIG!$F$4:$F$43,0)),"Por definir"))</f>
        <v/>
      </c>
      <c r="Q1174" s="50" t="n"/>
      <c r="R1174" s="51" t="n"/>
      <c r="S1174" s="49" t="n"/>
      <c r="T1174" s="49" t="n"/>
      <c r="U1174" s="48">
        <f>IF(OR($B1174="",$K1174=""),"",WORKDAY($B1174,IFERROR(INDEX(CONFIG!$C$4:$C$43,MATCH($K1174,CONFIG!$A$4:$A$43,0)),3)))</f>
        <v/>
      </c>
      <c r="V1174" s="46" t="n"/>
      <c r="W1174" s="23">
        <f>IF($B1174="","",IF($V1174&lt;&gt;"",$V1174-$B1174,TODAY()-$B1174))</f>
        <v/>
      </c>
      <c r="X1174" s="27">
        <f>IF($C1174="","",IF(IFERROR(INDEX(CONFIG!$K$4:$K$43,MATCH($S1174,CONFIG!$J$4:$J$43,0)),"NO")="SÍ",IF(OR($V1174="",$U1174=""),"Resuelta",IF($V1174&gt;$U1174,"Resuelta tarde","Resuelta a tiempo")),IF($U1174="","Sin clasificar",IF(TODAY()&gt;$U1174,"Vencida",IF(TODAY()&gt;=$U1174-1,"Por vencer","En plazo")))))</f>
        <v/>
      </c>
      <c r="Y1174" s="49" t="n"/>
      <c r="Z1174" s="49" t="n"/>
    </row>
    <row r="1175" ht="16" customHeight="1">
      <c r="A1175" s="27">
        <f>IF($C1175="","","N-"&amp;TEXT(ROW()-3,"0000"))</f>
        <v/>
      </c>
      <c r="B1175" s="46" t="n"/>
      <c r="C1175" s="47" t="n"/>
      <c r="D1175" s="27">
        <f>IF($C1175="","",IF(COUNTIFS(ENVIOS!$A$4:$A$3003,$C1175)=0,"NO EXISTE",IF(COUNTIFS(ENVIOS!$A$4:$A$3003,$C1175)&gt;1,"DUPLICADA","OK")))</f>
        <v/>
      </c>
      <c r="E1175" s="22">
        <f>IF($C1175="","",IFERROR(INDEX(ENVIOS!$C$4:$C$3003,MATCH($C1175,ENVIOS!$A$4:$A$3003,0)),"—"))</f>
        <v/>
      </c>
      <c r="F1175" s="22">
        <f>IF($C1175="","",IFERROR(INDEX(ENVIOS!$D$4:$D$3003,MATCH($C1175,ENVIOS!$A$4:$A$3003,0)),"—"))</f>
        <v/>
      </c>
      <c r="G1175" s="22">
        <f>IF($C1175="","",IFERROR(INDEX(ENVIOS!$E$4:$E$3003,MATCH($C1175,ENVIOS!$A$4:$A$3003,0)),"—"))</f>
        <v/>
      </c>
      <c r="H1175" s="22">
        <f>IF($C1175="","",IFERROR(INDEX(ENVIOS!$F$4:$F$3003,MATCH($C1175,ENVIOS!$A$4:$A$3003,0)),"—"))</f>
        <v/>
      </c>
      <c r="I1175" s="27">
        <f>IF($C1175="","",IFERROR(INDEX(ENVIOS!$G$4:$G$3003,MATCH($C1175,ENVIOS!$A$4:$A$3003,0)),"—"))</f>
        <v/>
      </c>
      <c r="J1175" s="48">
        <f>IF($C1175="","",IFERROR(INDEX(ENVIOS!$B$4:$B$3003,MATCH($C1175,ENVIOS!$A$4:$A$3003,0)),""))</f>
        <v/>
      </c>
      <c r="K1175" s="49" t="n"/>
      <c r="L1175" s="27">
        <f>IF($K1175="","",IFERROR(INDEX(CONFIG!$B$4:$B$43,MATCH($K1175,CONFIG!$A$4:$A$43,0)),"Media"))</f>
        <v/>
      </c>
      <c r="M1175" s="27">
        <f>IF($K1175="","",IFERROR(INDEX(CONFIG!$D$4:$D$43,MATCH($K1175,CONFIG!$A$4:$A$43,0)),"NO"))</f>
        <v/>
      </c>
      <c r="N1175" s="49" t="n"/>
      <c r="O1175" s="27">
        <f>IF($N1175="","",IFERROR(INDEX(CONFIG!$G$4:$G$43,MATCH($N1175,CONFIG!$F$4:$F$43,0)),"Por definir"))</f>
        <v/>
      </c>
      <c r="P1175" s="27">
        <f>IF($N1175="","",IFERROR(INDEX(CONFIG!$H$4:$H$43,MATCH($N1175,CONFIG!$F$4:$F$43,0)),"Por definir"))</f>
        <v/>
      </c>
      <c r="Q1175" s="50" t="n"/>
      <c r="R1175" s="51" t="n"/>
      <c r="S1175" s="49" t="n"/>
      <c r="T1175" s="49" t="n"/>
      <c r="U1175" s="48">
        <f>IF(OR($B1175="",$K1175=""),"",WORKDAY($B1175,IFERROR(INDEX(CONFIG!$C$4:$C$43,MATCH($K1175,CONFIG!$A$4:$A$43,0)),3)))</f>
        <v/>
      </c>
      <c r="V1175" s="46" t="n"/>
      <c r="W1175" s="23">
        <f>IF($B1175="","",IF($V1175&lt;&gt;"",$V1175-$B1175,TODAY()-$B1175))</f>
        <v/>
      </c>
      <c r="X1175" s="27">
        <f>IF($C1175="","",IF(IFERROR(INDEX(CONFIG!$K$4:$K$43,MATCH($S1175,CONFIG!$J$4:$J$43,0)),"NO")="SÍ",IF(OR($V1175="",$U1175=""),"Resuelta",IF($V1175&gt;$U1175,"Resuelta tarde","Resuelta a tiempo")),IF($U1175="","Sin clasificar",IF(TODAY()&gt;$U1175,"Vencida",IF(TODAY()&gt;=$U1175-1,"Por vencer","En plazo")))))</f>
        <v/>
      </c>
      <c r="Y1175" s="49" t="n"/>
      <c r="Z1175" s="49" t="n"/>
    </row>
    <row r="1176" ht="16" customHeight="1">
      <c r="A1176" s="27">
        <f>IF($C1176="","","N-"&amp;TEXT(ROW()-3,"0000"))</f>
        <v/>
      </c>
      <c r="B1176" s="46" t="n"/>
      <c r="C1176" s="47" t="n"/>
      <c r="D1176" s="27">
        <f>IF($C1176="","",IF(COUNTIFS(ENVIOS!$A$4:$A$3003,$C1176)=0,"NO EXISTE",IF(COUNTIFS(ENVIOS!$A$4:$A$3003,$C1176)&gt;1,"DUPLICADA","OK")))</f>
        <v/>
      </c>
      <c r="E1176" s="22">
        <f>IF($C1176="","",IFERROR(INDEX(ENVIOS!$C$4:$C$3003,MATCH($C1176,ENVIOS!$A$4:$A$3003,0)),"—"))</f>
        <v/>
      </c>
      <c r="F1176" s="22">
        <f>IF($C1176="","",IFERROR(INDEX(ENVIOS!$D$4:$D$3003,MATCH($C1176,ENVIOS!$A$4:$A$3003,0)),"—"))</f>
        <v/>
      </c>
      <c r="G1176" s="22">
        <f>IF($C1176="","",IFERROR(INDEX(ENVIOS!$E$4:$E$3003,MATCH($C1176,ENVIOS!$A$4:$A$3003,0)),"—"))</f>
        <v/>
      </c>
      <c r="H1176" s="22">
        <f>IF($C1176="","",IFERROR(INDEX(ENVIOS!$F$4:$F$3003,MATCH($C1176,ENVIOS!$A$4:$A$3003,0)),"—"))</f>
        <v/>
      </c>
      <c r="I1176" s="27">
        <f>IF($C1176="","",IFERROR(INDEX(ENVIOS!$G$4:$G$3003,MATCH($C1176,ENVIOS!$A$4:$A$3003,0)),"—"))</f>
        <v/>
      </c>
      <c r="J1176" s="48">
        <f>IF($C1176="","",IFERROR(INDEX(ENVIOS!$B$4:$B$3003,MATCH($C1176,ENVIOS!$A$4:$A$3003,0)),""))</f>
        <v/>
      </c>
      <c r="K1176" s="49" t="n"/>
      <c r="L1176" s="27">
        <f>IF($K1176="","",IFERROR(INDEX(CONFIG!$B$4:$B$43,MATCH($K1176,CONFIG!$A$4:$A$43,0)),"Media"))</f>
        <v/>
      </c>
      <c r="M1176" s="27">
        <f>IF($K1176="","",IFERROR(INDEX(CONFIG!$D$4:$D$43,MATCH($K1176,CONFIG!$A$4:$A$43,0)),"NO"))</f>
        <v/>
      </c>
      <c r="N1176" s="49" t="n"/>
      <c r="O1176" s="27">
        <f>IF($N1176="","",IFERROR(INDEX(CONFIG!$G$4:$G$43,MATCH($N1176,CONFIG!$F$4:$F$43,0)),"Por definir"))</f>
        <v/>
      </c>
      <c r="P1176" s="27">
        <f>IF($N1176="","",IFERROR(INDEX(CONFIG!$H$4:$H$43,MATCH($N1176,CONFIG!$F$4:$F$43,0)),"Por definir"))</f>
        <v/>
      </c>
      <c r="Q1176" s="50" t="n"/>
      <c r="R1176" s="51" t="n"/>
      <c r="S1176" s="49" t="n"/>
      <c r="T1176" s="49" t="n"/>
      <c r="U1176" s="48">
        <f>IF(OR($B1176="",$K1176=""),"",WORKDAY($B1176,IFERROR(INDEX(CONFIG!$C$4:$C$43,MATCH($K1176,CONFIG!$A$4:$A$43,0)),3)))</f>
        <v/>
      </c>
      <c r="V1176" s="46" t="n"/>
      <c r="W1176" s="23">
        <f>IF($B1176="","",IF($V1176&lt;&gt;"",$V1176-$B1176,TODAY()-$B1176))</f>
        <v/>
      </c>
      <c r="X1176" s="27">
        <f>IF($C1176="","",IF(IFERROR(INDEX(CONFIG!$K$4:$K$43,MATCH($S1176,CONFIG!$J$4:$J$43,0)),"NO")="SÍ",IF(OR($V1176="",$U1176=""),"Resuelta",IF($V1176&gt;$U1176,"Resuelta tarde","Resuelta a tiempo")),IF($U1176="","Sin clasificar",IF(TODAY()&gt;$U1176,"Vencida",IF(TODAY()&gt;=$U1176-1,"Por vencer","En plazo")))))</f>
        <v/>
      </c>
      <c r="Y1176" s="49" t="n"/>
      <c r="Z1176" s="49" t="n"/>
    </row>
    <row r="1177" ht="16" customHeight="1">
      <c r="A1177" s="27">
        <f>IF($C1177="","","N-"&amp;TEXT(ROW()-3,"0000"))</f>
        <v/>
      </c>
      <c r="B1177" s="46" t="n"/>
      <c r="C1177" s="47" t="n"/>
      <c r="D1177" s="27">
        <f>IF($C1177="","",IF(COUNTIFS(ENVIOS!$A$4:$A$3003,$C1177)=0,"NO EXISTE",IF(COUNTIFS(ENVIOS!$A$4:$A$3003,$C1177)&gt;1,"DUPLICADA","OK")))</f>
        <v/>
      </c>
      <c r="E1177" s="22">
        <f>IF($C1177="","",IFERROR(INDEX(ENVIOS!$C$4:$C$3003,MATCH($C1177,ENVIOS!$A$4:$A$3003,0)),"—"))</f>
        <v/>
      </c>
      <c r="F1177" s="22">
        <f>IF($C1177="","",IFERROR(INDEX(ENVIOS!$D$4:$D$3003,MATCH($C1177,ENVIOS!$A$4:$A$3003,0)),"—"))</f>
        <v/>
      </c>
      <c r="G1177" s="22">
        <f>IF($C1177="","",IFERROR(INDEX(ENVIOS!$E$4:$E$3003,MATCH($C1177,ENVIOS!$A$4:$A$3003,0)),"—"))</f>
        <v/>
      </c>
      <c r="H1177" s="22">
        <f>IF($C1177="","",IFERROR(INDEX(ENVIOS!$F$4:$F$3003,MATCH($C1177,ENVIOS!$A$4:$A$3003,0)),"—"))</f>
        <v/>
      </c>
      <c r="I1177" s="27">
        <f>IF($C1177="","",IFERROR(INDEX(ENVIOS!$G$4:$G$3003,MATCH($C1177,ENVIOS!$A$4:$A$3003,0)),"—"))</f>
        <v/>
      </c>
      <c r="J1177" s="48">
        <f>IF($C1177="","",IFERROR(INDEX(ENVIOS!$B$4:$B$3003,MATCH($C1177,ENVIOS!$A$4:$A$3003,0)),""))</f>
        <v/>
      </c>
      <c r="K1177" s="49" t="n"/>
      <c r="L1177" s="27">
        <f>IF($K1177="","",IFERROR(INDEX(CONFIG!$B$4:$B$43,MATCH($K1177,CONFIG!$A$4:$A$43,0)),"Media"))</f>
        <v/>
      </c>
      <c r="M1177" s="27">
        <f>IF($K1177="","",IFERROR(INDEX(CONFIG!$D$4:$D$43,MATCH($K1177,CONFIG!$A$4:$A$43,0)),"NO"))</f>
        <v/>
      </c>
      <c r="N1177" s="49" t="n"/>
      <c r="O1177" s="27">
        <f>IF($N1177="","",IFERROR(INDEX(CONFIG!$G$4:$G$43,MATCH($N1177,CONFIG!$F$4:$F$43,0)),"Por definir"))</f>
        <v/>
      </c>
      <c r="P1177" s="27">
        <f>IF($N1177="","",IFERROR(INDEX(CONFIG!$H$4:$H$43,MATCH($N1177,CONFIG!$F$4:$F$43,0)),"Por definir"))</f>
        <v/>
      </c>
      <c r="Q1177" s="50" t="n"/>
      <c r="R1177" s="51" t="n"/>
      <c r="S1177" s="49" t="n"/>
      <c r="T1177" s="49" t="n"/>
      <c r="U1177" s="48">
        <f>IF(OR($B1177="",$K1177=""),"",WORKDAY($B1177,IFERROR(INDEX(CONFIG!$C$4:$C$43,MATCH($K1177,CONFIG!$A$4:$A$43,0)),3)))</f>
        <v/>
      </c>
      <c r="V1177" s="46" t="n"/>
      <c r="W1177" s="23">
        <f>IF($B1177="","",IF($V1177&lt;&gt;"",$V1177-$B1177,TODAY()-$B1177))</f>
        <v/>
      </c>
      <c r="X1177" s="27">
        <f>IF($C1177="","",IF(IFERROR(INDEX(CONFIG!$K$4:$K$43,MATCH($S1177,CONFIG!$J$4:$J$43,0)),"NO")="SÍ",IF(OR($V1177="",$U1177=""),"Resuelta",IF($V1177&gt;$U1177,"Resuelta tarde","Resuelta a tiempo")),IF($U1177="","Sin clasificar",IF(TODAY()&gt;$U1177,"Vencida",IF(TODAY()&gt;=$U1177-1,"Por vencer","En plazo")))))</f>
        <v/>
      </c>
      <c r="Y1177" s="49" t="n"/>
      <c r="Z1177" s="49" t="n"/>
    </row>
    <row r="1178" ht="16" customHeight="1">
      <c r="A1178" s="27">
        <f>IF($C1178="","","N-"&amp;TEXT(ROW()-3,"0000"))</f>
        <v/>
      </c>
      <c r="B1178" s="46" t="n"/>
      <c r="C1178" s="47" t="n"/>
      <c r="D1178" s="27">
        <f>IF($C1178="","",IF(COUNTIFS(ENVIOS!$A$4:$A$3003,$C1178)=0,"NO EXISTE",IF(COUNTIFS(ENVIOS!$A$4:$A$3003,$C1178)&gt;1,"DUPLICADA","OK")))</f>
        <v/>
      </c>
      <c r="E1178" s="22">
        <f>IF($C1178="","",IFERROR(INDEX(ENVIOS!$C$4:$C$3003,MATCH($C1178,ENVIOS!$A$4:$A$3003,0)),"—"))</f>
        <v/>
      </c>
      <c r="F1178" s="22">
        <f>IF($C1178="","",IFERROR(INDEX(ENVIOS!$D$4:$D$3003,MATCH($C1178,ENVIOS!$A$4:$A$3003,0)),"—"))</f>
        <v/>
      </c>
      <c r="G1178" s="22">
        <f>IF($C1178="","",IFERROR(INDEX(ENVIOS!$E$4:$E$3003,MATCH($C1178,ENVIOS!$A$4:$A$3003,0)),"—"))</f>
        <v/>
      </c>
      <c r="H1178" s="22">
        <f>IF($C1178="","",IFERROR(INDEX(ENVIOS!$F$4:$F$3003,MATCH($C1178,ENVIOS!$A$4:$A$3003,0)),"—"))</f>
        <v/>
      </c>
      <c r="I1178" s="27">
        <f>IF($C1178="","",IFERROR(INDEX(ENVIOS!$G$4:$G$3003,MATCH($C1178,ENVIOS!$A$4:$A$3003,0)),"—"))</f>
        <v/>
      </c>
      <c r="J1178" s="48">
        <f>IF($C1178="","",IFERROR(INDEX(ENVIOS!$B$4:$B$3003,MATCH($C1178,ENVIOS!$A$4:$A$3003,0)),""))</f>
        <v/>
      </c>
      <c r="K1178" s="49" t="n"/>
      <c r="L1178" s="27">
        <f>IF($K1178="","",IFERROR(INDEX(CONFIG!$B$4:$B$43,MATCH($K1178,CONFIG!$A$4:$A$43,0)),"Media"))</f>
        <v/>
      </c>
      <c r="M1178" s="27">
        <f>IF($K1178="","",IFERROR(INDEX(CONFIG!$D$4:$D$43,MATCH($K1178,CONFIG!$A$4:$A$43,0)),"NO"))</f>
        <v/>
      </c>
      <c r="N1178" s="49" t="n"/>
      <c r="O1178" s="27">
        <f>IF($N1178="","",IFERROR(INDEX(CONFIG!$G$4:$G$43,MATCH($N1178,CONFIG!$F$4:$F$43,0)),"Por definir"))</f>
        <v/>
      </c>
      <c r="P1178" s="27">
        <f>IF($N1178="","",IFERROR(INDEX(CONFIG!$H$4:$H$43,MATCH($N1178,CONFIG!$F$4:$F$43,0)),"Por definir"))</f>
        <v/>
      </c>
      <c r="Q1178" s="50" t="n"/>
      <c r="R1178" s="51" t="n"/>
      <c r="S1178" s="49" t="n"/>
      <c r="T1178" s="49" t="n"/>
      <c r="U1178" s="48">
        <f>IF(OR($B1178="",$K1178=""),"",WORKDAY($B1178,IFERROR(INDEX(CONFIG!$C$4:$C$43,MATCH($K1178,CONFIG!$A$4:$A$43,0)),3)))</f>
        <v/>
      </c>
      <c r="V1178" s="46" t="n"/>
      <c r="W1178" s="23">
        <f>IF($B1178="","",IF($V1178&lt;&gt;"",$V1178-$B1178,TODAY()-$B1178))</f>
        <v/>
      </c>
      <c r="X1178" s="27">
        <f>IF($C1178="","",IF(IFERROR(INDEX(CONFIG!$K$4:$K$43,MATCH($S1178,CONFIG!$J$4:$J$43,0)),"NO")="SÍ",IF(OR($V1178="",$U1178=""),"Resuelta",IF($V1178&gt;$U1178,"Resuelta tarde","Resuelta a tiempo")),IF($U1178="","Sin clasificar",IF(TODAY()&gt;$U1178,"Vencida",IF(TODAY()&gt;=$U1178-1,"Por vencer","En plazo")))))</f>
        <v/>
      </c>
      <c r="Y1178" s="49" t="n"/>
      <c r="Z1178" s="49" t="n"/>
    </row>
    <row r="1179" ht="16" customHeight="1">
      <c r="A1179" s="27">
        <f>IF($C1179="","","N-"&amp;TEXT(ROW()-3,"0000"))</f>
        <v/>
      </c>
      <c r="B1179" s="46" t="n"/>
      <c r="C1179" s="47" t="n"/>
      <c r="D1179" s="27">
        <f>IF($C1179="","",IF(COUNTIFS(ENVIOS!$A$4:$A$3003,$C1179)=0,"NO EXISTE",IF(COUNTIFS(ENVIOS!$A$4:$A$3003,$C1179)&gt;1,"DUPLICADA","OK")))</f>
        <v/>
      </c>
      <c r="E1179" s="22">
        <f>IF($C1179="","",IFERROR(INDEX(ENVIOS!$C$4:$C$3003,MATCH($C1179,ENVIOS!$A$4:$A$3003,0)),"—"))</f>
        <v/>
      </c>
      <c r="F1179" s="22">
        <f>IF($C1179="","",IFERROR(INDEX(ENVIOS!$D$4:$D$3003,MATCH($C1179,ENVIOS!$A$4:$A$3003,0)),"—"))</f>
        <v/>
      </c>
      <c r="G1179" s="22">
        <f>IF($C1179="","",IFERROR(INDEX(ENVIOS!$E$4:$E$3003,MATCH($C1179,ENVIOS!$A$4:$A$3003,0)),"—"))</f>
        <v/>
      </c>
      <c r="H1179" s="22">
        <f>IF($C1179="","",IFERROR(INDEX(ENVIOS!$F$4:$F$3003,MATCH($C1179,ENVIOS!$A$4:$A$3003,0)),"—"))</f>
        <v/>
      </c>
      <c r="I1179" s="27">
        <f>IF($C1179="","",IFERROR(INDEX(ENVIOS!$G$4:$G$3003,MATCH($C1179,ENVIOS!$A$4:$A$3003,0)),"—"))</f>
        <v/>
      </c>
      <c r="J1179" s="48">
        <f>IF($C1179="","",IFERROR(INDEX(ENVIOS!$B$4:$B$3003,MATCH($C1179,ENVIOS!$A$4:$A$3003,0)),""))</f>
        <v/>
      </c>
      <c r="K1179" s="49" t="n"/>
      <c r="L1179" s="27">
        <f>IF($K1179="","",IFERROR(INDEX(CONFIG!$B$4:$B$43,MATCH($K1179,CONFIG!$A$4:$A$43,0)),"Media"))</f>
        <v/>
      </c>
      <c r="M1179" s="27">
        <f>IF($K1179="","",IFERROR(INDEX(CONFIG!$D$4:$D$43,MATCH($K1179,CONFIG!$A$4:$A$43,0)),"NO"))</f>
        <v/>
      </c>
      <c r="N1179" s="49" t="n"/>
      <c r="O1179" s="27">
        <f>IF($N1179="","",IFERROR(INDEX(CONFIG!$G$4:$G$43,MATCH($N1179,CONFIG!$F$4:$F$43,0)),"Por definir"))</f>
        <v/>
      </c>
      <c r="P1179" s="27">
        <f>IF($N1179="","",IFERROR(INDEX(CONFIG!$H$4:$H$43,MATCH($N1179,CONFIG!$F$4:$F$43,0)),"Por definir"))</f>
        <v/>
      </c>
      <c r="Q1179" s="50" t="n"/>
      <c r="R1179" s="51" t="n"/>
      <c r="S1179" s="49" t="n"/>
      <c r="T1179" s="49" t="n"/>
      <c r="U1179" s="48">
        <f>IF(OR($B1179="",$K1179=""),"",WORKDAY($B1179,IFERROR(INDEX(CONFIG!$C$4:$C$43,MATCH($K1179,CONFIG!$A$4:$A$43,0)),3)))</f>
        <v/>
      </c>
      <c r="V1179" s="46" t="n"/>
      <c r="W1179" s="23">
        <f>IF($B1179="","",IF($V1179&lt;&gt;"",$V1179-$B1179,TODAY()-$B1179))</f>
        <v/>
      </c>
      <c r="X1179" s="27">
        <f>IF($C1179="","",IF(IFERROR(INDEX(CONFIG!$K$4:$K$43,MATCH($S1179,CONFIG!$J$4:$J$43,0)),"NO")="SÍ",IF(OR($V1179="",$U1179=""),"Resuelta",IF($V1179&gt;$U1179,"Resuelta tarde","Resuelta a tiempo")),IF($U1179="","Sin clasificar",IF(TODAY()&gt;$U1179,"Vencida",IF(TODAY()&gt;=$U1179-1,"Por vencer","En plazo")))))</f>
        <v/>
      </c>
      <c r="Y1179" s="49" t="n"/>
      <c r="Z1179" s="49" t="n"/>
    </row>
    <row r="1180" ht="16" customHeight="1">
      <c r="A1180" s="27">
        <f>IF($C1180="","","N-"&amp;TEXT(ROW()-3,"0000"))</f>
        <v/>
      </c>
      <c r="B1180" s="46" t="n"/>
      <c r="C1180" s="47" t="n"/>
      <c r="D1180" s="27">
        <f>IF($C1180="","",IF(COUNTIFS(ENVIOS!$A$4:$A$3003,$C1180)=0,"NO EXISTE",IF(COUNTIFS(ENVIOS!$A$4:$A$3003,$C1180)&gt;1,"DUPLICADA","OK")))</f>
        <v/>
      </c>
      <c r="E1180" s="22">
        <f>IF($C1180="","",IFERROR(INDEX(ENVIOS!$C$4:$C$3003,MATCH($C1180,ENVIOS!$A$4:$A$3003,0)),"—"))</f>
        <v/>
      </c>
      <c r="F1180" s="22">
        <f>IF($C1180="","",IFERROR(INDEX(ENVIOS!$D$4:$D$3003,MATCH($C1180,ENVIOS!$A$4:$A$3003,0)),"—"))</f>
        <v/>
      </c>
      <c r="G1180" s="22">
        <f>IF($C1180="","",IFERROR(INDEX(ENVIOS!$E$4:$E$3003,MATCH($C1180,ENVIOS!$A$4:$A$3003,0)),"—"))</f>
        <v/>
      </c>
      <c r="H1180" s="22">
        <f>IF($C1180="","",IFERROR(INDEX(ENVIOS!$F$4:$F$3003,MATCH($C1180,ENVIOS!$A$4:$A$3003,0)),"—"))</f>
        <v/>
      </c>
      <c r="I1180" s="27">
        <f>IF($C1180="","",IFERROR(INDEX(ENVIOS!$G$4:$G$3003,MATCH($C1180,ENVIOS!$A$4:$A$3003,0)),"—"))</f>
        <v/>
      </c>
      <c r="J1180" s="48">
        <f>IF($C1180="","",IFERROR(INDEX(ENVIOS!$B$4:$B$3003,MATCH($C1180,ENVIOS!$A$4:$A$3003,0)),""))</f>
        <v/>
      </c>
      <c r="K1180" s="49" t="n"/>
      <c r="L1180" s="27">
        <f>IF($K1180="","",IFERROR(INDEX(CONFIG!$B$4:$B$43,MATCH($K1180,CONFIG!$A$4:$A$43,0)),"Media"))</f>
        <v/>
      </c>
      <c r="M1180" s="27">
        <f>IF($K1180="","",IFERROR(INDEX(CONFIG!$D$4:$D$43,MATCH($K1180,CONFIG!$A$4:$A$43,0)),"NO"))</f>
        <v/>
      </c>
      <c r="N1180" s="49" t="n"/>
      <c r="O1180" s="27">
        <f>IF($N1180="","",IFERROR(INDEX(CONFIG!$G$4:$G$43,MATCH($N1180,CONFIG!$F$4:$F$43,0)),"Por definir"))</f>
        <v/>
      </c>
      <c r="P1180" s="27">
        <f>IF($N1180="","",IFERROR(INDEX(CONFIG!$H$4:$H$43,MATCH($N1180,CONFIG!$F$4:$F$43,0)),"Por definir"))</f>
        <v/>
      </c>
      <c r="Q1180" s="50" t="n"/>
      <c r="R1180" s="51" t="n"/>
      <c r="S1180" s="49" t="n"/>
      <c r="T1180" s="49" t="n"/>
      <c r="U1180" s="48">
        <f>IF(OR($B1180="",$K1180=""),"",WORKDAY($B1180,IFERROR(INDEX(CONFIG!$C$4:$C$43,MATCH($K1180,CONFIG!$A$4:$A$43,0)),3)))</f>
        <v/>
      </c>
      <c r="V1180" s="46" t="n"/>
      <c r="W1180" s="23">
        <f>IF($B1180="","",IF($V1180&lt;&gt;"",$V1180-$B1180,TODAY()-$B1180))</f>
        <v/>
      </c>
      <c r="X1180" s="27">
        <f>IF($C1180="","",IF(IFERROR(INDEX(CONFIG!$K$4:$K$43,MATCH($S1180,CONFIG!$J$4:$J$43,0)),"NO")="SÍ",IF(OR($V1180="",$U1180=""),"Resuelta",IF($V1180&gt;$U1180,"Resuelta tarde","Resuelta a tiempo")),IF($U1180="","Sin clasificar",IF(TODAY()&gt;$U1180,"Vencida",IF(TODAY()&gt;=$U1180-1,"Por vencer","En plazo")))))</f>
        <v/>
      </c>
      <c r="Y1180" s="49" t="n"/>
      <c r="Z1180" s="49" t="n"/>
    </row>
    <row r="1181" ht="16" customHeight="1">
      <c r="A1181" s="27">
        <f>IF($C1181="","","N-"&amp;TEXT(ROW()-3,"0000"))</f>
        <v/>
      </c>
      <c r="B1181" s="46" t="n"/>
      <c r="C1181" s="47" t="n"/>
      <c r="D1181" s="27">
        <f>IF($C1181="","",IF(COUNTIFS(ENVIOS!$A$4:$A$3003,$C1181)=0,"NO EXISTE",IF(COUNTIFS(ENVIOS!$A$4:$A$3003,$C1181)&gt;1,"DUPLICADA","OK")))</f>
        <v/>
      </c>
      <c r="E1181" s="22">
        <f>IF($C1181="","",IFERROR(INDEX(ENVIOS!$C$4:$C$3003,MATCH($C1181,ENVIOS!$A$4:$A$3003,0)),"—"))</f>
        <v/>
      </c>
      <c r="F1181" s="22">
        <f>IF($C1181="","",IFERROR(INDEX(ENVIOS!$D$4:$D$3003,MATCH($C1181,ENVIOS!$A$4:$A$3003,0)),"—"))</f>
        <v/>
      </c>
      <c r="G1181" s="22">
        <f>IF($C1181="","",IFERROR(INDEX(ENVIOS!$E$4:$E$3003,MATCH($C1181,ENVIOS!$A$4:$A$3003,0)),"—"))</f>
        <v/>
      </c>
      <c r="H1181" s="22">
        <f>IF($C1181="","",IFERROR(INDEX(ENVIOS!$F$4:$F$3003,MATCH($C1181,ENVIOS!$A$4:$A$3003,0)),"—"))</f>
        <v/>
      </c>
      <c r="I1181" s="27">
        <f>IF($C1181="","",IFERROR(INDEX(ENVIOS!$G$4:$G$3003,MATCH($C1181,ENVIOS!$A$4:$A$3003,0)),"—"))</f>
        <v/>
      </c>
      <c r="J1181" s="48">
        <f>IF($C1181="","",IFERROR(INDEX(ENVIOS!$B$4:$B$3003,MATCH($C1181,ENVIOS!$A$4:$A$3003,0)),""))</f>
        <v/>
      </c>
      <c r="K1181" s="49" t="n"/>
      <c r="L1181" s="27">
        <f>IF($K1181="","",IFERROR(INDEX(CONFIG!$B$4:$B$43,MATCH($K1181,CONFIG!$A$4:$A$43,0)),"Media"))</f>
        <v/>
      </c>
      <c r="M1181" s="27">
        <f>IF($K1181="","",IFERROR(INDEX(CONFIG!$D$4:$D$43,MATCH($K1181,CONFIG!$A$4:$A$43,0)),"NO"))</f>
        <v/>
      </c>
      <c r="N1181" s="49" t="n"/>
      <c r="O1181" s="27">
        <f>IF($N1181="","",IFERROR(INDEX(CONFIG!$G$4:$G$43,MATCH($N1181,CONFIG!$F$4:$F$43,0)),"Por definir"))</f>
        <v/>
      </c>
      <c r="P1181" s="27">
        <f>IF($N1181="","",IFERROR(INDEX(CONFIG!$H$4:$H$43,MATCH($N1181,CONFIG!$F$4:$F$43,0)),"Por definir"))</f>
        <v/>
      </c>
      <c r="Q1181" s="50" t="n"/>
      <c r="R1181" s="51" t="n"/>
      <c r="S1181" s="49" t="n"/>
      <c r="T1181" s="49" t="n"/>
      <c r="U1181" s="48">
        <f>IF(OR($B1181="",$K1181=""),"",WORKDAY($B1181,IFERROR(INDEX(CONFIG!$C$4:$C$43,MATCH($K1181,CONFIG!$A$4:$A$43,0)),3)))</f>
        <v/>
      </c>
      <c r="V1181" s="46" t="n"/>
      <c r="W1181" s="23">
        <f>IF($B1181="","",IF($V1181&lt;&gt;"",$V1181-$B1181,TODAY()-$B1181))</f>
        <v/>
      </c>
      <c r="X1181" s="27">
        <f>IF($C1181="","",IF(IFERROR(INDEX(CONFIG!$K$4:$K$43,MATCH($S1181,CONFIG!$J$4:$J$43,0)),"NO")="SÍ",IF(OR($V1181="",$U1181=""),"Resuelta",IF($V1181&gt;$U1181,"Resuelta tarde","Resuelta a tiempo")),IF($U1181="","Sin clasificar",IF(TODAY()&gt;$U1181,"Vencida",IF(TODAY()&gt;=$U1181-1,"Por vencer","En plazo")))))</f>
        <v/>
      </c>
      <c r="Y1181" s="49" t="n"/>
      <c r="Z1181" s="49" t="n"/>
    </row>
    <row r="1182" ht="16" customHeight="1">
      <c r="A1182" s="27">
        <f>IF($C1182="","","N-"&amp;TEXT(ROW()-3,"0000"))</f>
        <v/>
      </c>
      <c r="B1182" s="46" t="n"/>
      <c r="C1182" s="47" t="n"/>
      <c r="D1182" s="27">
        <f>IF($C1182="","",IF(COUNTIFS(ENVIOS!$A$4:$A$3003,$C1182)=0,"NO EXISTE",IF(COUNTIFS(ENVIOS!$A$4:$A$3003,$C1182)&gt;1,"DUPLICADA","OK")))</f>
        <v/>
      </c>
      <c r="E1182" s="22">
        <f>IF($C1182="","",IFERROR(INDEX(ENVIOS!$C$4:$C$3003,MATCH($C1182,ENVIOS!$A$4:$A$3003,0)),"—"))</f>
        <v/>
      </c>
      <c r="F1182" s="22">
        <f>IF($C1182="","",IFERROR(INDEX(ENVIOS!$D$4:$D$3003,MATCH($C1182,ENVIOS!$A$4:$A$3003,0)),"—"))</f>
        <v/>
      </c>
      <c r="G1182" s="22">
        <f>IF($C1182="","",IFERROR(INDEX(ENVIOS!$E$4:$E$3003,MATCH($C1182,ENVIOS!$A$4:$A$3003,0)),"—"))</f>
        <v/>
      </c>
      <c r="H1182" s="22">
        <f>IF($C1182="","",IFERROR(INDEX(ENVIOS!$F$4:$F$3003,MATCH($C1182,ENVIOS!$A$4:$A$3003,0)),"—"))</f>
        <v/>
      </c>
      <c r="I1182" s="27">
        <f>IF($C1182="","",IFERROR(INDEX(ENVIOS!$G$4:$G$3003,MATCH($C1182,ENVIOS!$A$4:$A$3003,0)),"—"))</f>
        <v/>
      </c>
      <c r="J1182" s="48">
        <f>IF($C1182="","",IFERROR(INDEX(ENVIOS!$B$4:$B$3003,MATCH($C1182,ENVIOS!$A$4:$A$3003,0)),""))</f>
        <v/>
      </c>
      <c r="K1182" s="49" t="n"/>
      <c r="L1182" s="27">
        <f>IF($K1182="","",IFERROR(INDEX(CONFIG!$B$4:$B$43,MATCH($K1182,CONFIG!$A$4:$A$43,0)),"Media"))</f>
        <v/>
      </c>
      <c r="M1182" s="27">
        <f>IF($K1182="","",IFERROR(INDEX(CONFIG!$D$4:$D$43,MATCH($K1182,CONFIG!$A$4:$A$43,0)),"NO"))</f>
        <v/>
      </c>
      <c r="N1182" s="49" t="n"/>
      <c r="O1182" s="27">
        <f>IF($N1182="","",IFERROR(INDEX(CONFIG!$G$4:$G$43,MATCH($N1182,CONFIG!$F$4:$F$43,0)),"Por definir"))</f>
        <v/>
      </c>
      <c r="P1182" s="27">
        <f>IF($N1182="","",IFERROR(INDEX(CONFIG!$H$4:$H$43,MATCH($N1182,CONFIG!$F$4:$F$43,0)),"Por definir"))</f>
        <v/>
      </c>
      <c r="Q1182" s="50" t="n"/>
      <c r="R1182" s="51" t="n"/>
      <c r="S1182" s="49" t="n"/>
      <c r="T1182" s="49" t="n"/>
      <c r="U1182" s="48">
        <f>IF(OR($B1182="",$K1182=""),"",WORKDAY($B1182,IFERROR(INDEX(CONFIG!$C$4:$C$43,MATCH($K1182,CONFIG!$A$4:$A$43,0)),3)))</f>
        <v/>
      </c>
      <c r="V1182" s="46" t="n"/>
      <c r="W1182" s="23">
        <f>IF($B1182="","",IF($V1182&lt;&gt;"",$V1182-$B1182,TODAY()-$B1182))</f>
        <v/>
      </c>
      <c r="X1182" s="27">
        <f>IF($C1182="","",IF(IFERROR(INDEX(CONFIG!$K$4:$K$43,MATCH($S1182,CONFIG!$J$4:$J$43,0)),"NO")="SÍ",IF(OR($V1182="",$U1182=""),"Resuelta",IF($V1182&gt;$U1182,"Resuelta tarde","Resuelta a tiempo")),IF($U1182="","Sin clasificar",IF(TODAY()&gt;$U1182,"Vencida",IF(TODAY()&gt;=$U1182-1,"Por vencer","En plazo")))))</f>
        <v/>
      </c>
      <c r="Y1182" s="49" t="n"/>
      <c r="Z1182" s="49" t="n"/>
    </row>
    <row r="1183" ht="16" customHeight="1">
      <c r="A1183" s="27">
        <f>IF($C1183="","","N-"&amp;TEXT(ROW()-3,"0000"))</f>
        <v/>
      </c>
      <c r="B1183" s="46" t="n"/>
      <c r="C1183" s="47" t="n"/>
      <c r="D1183" s="27">
        <f>IF($C1183="","",IF(COUNTIFS(ENVIOS!$A$4:$A$3003,$C1183)=0,"NO EXISTE",IF(COUNTIFS(ENVIOS!$A$4:$A$3003,$C1183)&gt;1,"DUPLICADA","OK")))</f>
        <v/>
      </c>
      <c r="E1183" s="22">
        <f>IF($C1183="","",IFERROR(INDEX(ENVIOS!$C$4:$C$3003,MATCH($C1183,ENVIOS!$A$4:$A$3003,0)),"—"))</f>
        <v/>
      </c>
      <c r="F1183" s="22">
        <f>IF($C1183="","",IFERROR(INDEX(ENVIOS!$D$4:$D$3003,MATCH($C1183,ENVIOS!$A$4:$A$3003,0)),"—"))</f>
        <v/>
      </c>
      <c r="G1183" s="22">
        <f>IF($C1183="","",IFERROR(INDEX(ENVIOS!$E$4:$E$3003,MATCH($C1183,ENVIOS!$A$4:$A$3003,0)),"—"))</f>
        <v/>
      </c>
      <c r="H1183" s="22">
        <f>IF($C1183="","",IFERROR(INDEX(ENVIOS!$F$4:$F$3003,MATCH($C1183,ENVIOS!$A$4:$A$3003,0)),"—"))</f>
        <v/>
      </c>
      <c r="I1183" s="27">
        <f>IF($C1183="","",IFERROR(INDEX(ENVIOS!$G$4:$G$3003,MATCH($C1183,ENVIOS!$A$4:$A$3003,0)),"—"))</f>
        <v/>
      </c>
      <c r="J1183" s="48">
        <f>IF($C1183="","",IFERROR(INDEX(ENVIOS!$B$4:$B$3003,MATCH($C1183,ENVIOS!$A$4:$A$3003,0)),""))</f>
        <v/>
      </c>
      <c r="K1183" s="49" t="n"/>
      <c r="L1183" s="27">
        <f>IF($K1183="","",IFERROR(INDEX(CONFIG!$B$4:$B$43,MATCH($K1183,CONFIG!$A$4:$A$43,0)),"Media"))</f>
        <v/>
      </c>
      <c r="M1183" s="27">
        <f>IF($K1183="","",IFERROR(INDEX(CONFIG!$D$4:$D$43,MATCH($K1183,CONFIG!$A$4:$A$43,0)),"NO"))</f>
        <v/>
      </c>
      <c r="N1183" s="49" t="n"/>
      <c r="O1183" s="27">
        <f>IF($N1183="","",IFERROR(INDEX(CONFIG!$G$4:$G$43,MATCH($N1183,CONFIG!$F$4:$F$43,0)),"Por definir"))</f>
        <v/>
      </c>
      <c r="P1183" s="27">
        <f>IF($N1183="","",IFERROR(INDEX(CONFIG!$H$4:$H$43,MATCH($N1183,CONFIG!$F$4:$F$43,0)),"Por definir"))</f>
        <v/>
      </c>
      <c r="Q1183" s="50" t="n"/>
      <c r="R1183" s="51" t="n"/>
      <c r="S1183" s="49" t="n"/>
      <c r="T1183" s="49" t="n"/>
      <c r="U1183" s="48">
        <f>IF(OR($B1183="",$K1183=""),"",WORKDAY($B1183,IFERROR(INDEX(CONFIG!$C$4:$C$43,MATCH($K1183,CONFIG!$A$4:$A$43,0)),3)))</f>
        <v/>
      </c>
      <c r="V1183" s="46" t="n"/>
      <c r="W1183" s="23">
        <f>IF($B1183="","",IF($V1183&lt;&gt;"",$V1183-$B1183,TODAY()-$B1183))</f>
        <v/>
      </c>
      <c r="X1183" s="27">
        <f>IF($C1183="","",IF(IFERROR(INDEX(CONFIG!$K$4:$K$43,MATCH($S1183,CONFIG!$J$4:$J$43,0)),"NO")="SÍ",IF(OR($V1183="",$U1183=""),"Resuelta",IF($V1183&gt;$U1183,"Resuelta tarde","Resuelta a tiempo")),IF($U1183="","Sin clasificar",IF(TODAY()&gt;$U1183,"Vencida",IF(TODAY()&gt;=$U1183-1,"Por vencer","En plazo")))))</f>
        <v/>
      </c>
      <c r="Y1183" s="49" t="n"/>
      <c r="Z1183" s="49" t="n"/>
    </row>
    <row r="1184" ht="16" customHeight="1">
      <c r="A1184" s="27">
        <f>IF($C1184="","","N-"&amp;TEXT(ROW()-3,"0000"))</f>
        <v/>
      </c>
      <c r="B1184" s="46" t="n"/>
      <c r="C1184" s="47" t="n"/>
      <c r="D1184" s="27">
        <f>IF($C1184="","",IF(COUNTIFS(ENVIOS!$A$4:$A$3003,$C1184)=0,"NO EXISTE",IF(COUNTIFS(ENVIOS!$A$4:$A$3003,$C1184)&gt;1,"DUPLICADA","OK")))</f>
        <v/>
      </c>
      <c r="E1184" s="22">
        <f>IF($C1184="","",IFERROR(INDEX(ENVIOS!$C$4:$C$3003,MATCH($C1184,ENVIOS!$A$4:$A$3003,0)),"—"))</f>
        <v/>
      </c>
      <c r="F1184" s="22">
        <f>IF($C1184="","",IFERROR(INDEX(ENVIOS!$D$4:$D$3003,MATCH($C1184,ENVIOS!$A$4:$A$3003,0)),"—"))</f>
        <v/>
      </c>
      <c r="G1184" s="22">
        <f>IF($C1184="","",IFERROR(INDEX(ENVIOS!$E$4:$E$3003,MATCH($C1184,ENVIOS!$A$4:$A$3003,0)),"—"))</f>
        <v/>
      </c>
      <c r="H1184" s="22">
        <f>IF($C1184="","",IFERROR(INDEX(ENVIOS!$F$4:$F$3003,MATCH($C1184,ENVIOS!$A$4:$A$3003,0)),"—"))</f>
        <v/>
      </c>
      <c r="I1184" s="27">
        <f>IF($C1184="","",IFERROR(INDEX(ENVIOS!$G$4:$G$3003,MATCH($C1184,ENVIOS!$A$4:$A$3003,0)),"—"))</f>
        <v/>
      </c>
      <c r="J1184" s="48">
        <f>IF($C1184="","",IFERROR(INDEX(ENVIOS!$B$4:$B$3003,MATCH($C1184,ENVIOS!$A$4:$A$3003,0)),""))</f>
        <v/>
      </c>
      <c r="K1184" s="49" t="n"/>
      <c r="L1184" s="27">
        <f>IF($K1184="","",IFERROR(INDEX(CONFIG!$B$4:$B$43,MATCH($K1184,CONFIG!$A$4:$A$43,0)),"Media"))</f>
        <v/>
      </c>
      <c r="M1184" s="27">
        <f>IF($K1184="","",IFERROR(INDEX(CONFIG!$D$4:$D$43,MATCH($K1184,CONFIG!$A$4:$A$43,0)),"NO"))</f>
        <v/>
      </c>
      <c r="N1184" s="49" t="n"/>
      <c r="O1184" s="27">
        <f>IF($N1184="","",IFERROR(INDEX(CONFIG!$G$4:$G$43,MATCH($N1184,CONFIG!$F$4:$F$43,0)),"Por definir"))</f>
        <v/>
      </c>
      <c r="P1184" s="27">
        <f>IF($N1184="","",IFERROR(INDEX(CONFIG!$H$4:$H$43,MATCH($N1184,CONFIG!$F$4:$F$43,0)),"Por definir"))</f>
        <v/>
      </c>
      <c r="Q1184" s="50" t="n"/>
      <c r="R1184" s="51" t="n"/>
      <c r="S1184" s="49" t="n"/>
      <c r="T1184" s="49" t="n"/>
      <c r="U1184" s="48">
        <f>IF(OR($B1184="",$K1184=""),"",WORKDAY($B1184,IFERROR(INDEX(CONFIG!$C$4:$C$43,MATCH($K1184,CONFIG!$A$4:$A$43,0)),3)))</f>
        <v/>
      </c>
      <c r="V1184" s="46" t="n"/>
      <c r="W1184" s="23">
        <f>IF($B1184="","",IF($V1184&lt;&gt;"",$V1184-$B1184,TODAY()-$B1184))</f>
        <v/>
      </c>
      <c r="X1184" s="27">
        <f>IF($C1184="","",IF(IFERROR(INDEX(CONFIG!$K$4:$K$43,MATCH($S1184,CONFIG!$J$4:$J$43,0)),"NO")="SÍ",IF(OR($V1184="",$U1184=""),"Resuelta",IF($V1184&gt;$U1184,"Resuelta tarde","Resuelta a tiempo")),IF($U1184="","Sin clasificar",IF(TODAY()&gt;$U1184,"Vencida",IF(TODAY()&gt;=$U1184-1,"Por vencer","En plazo")))))</f>
        <v/>
      </c>
      <c r="Y1184" s="49" t="n"/>
      <c r="Z1184" s="49" t="n"/>
    </row>
    <row r="1185" ht="16" customHeight="1">
      <c r="A1185" s="27">
        <f>IF($C1185="","","N-"&amp;TEXT(ROW()-3,"0000"))</f>
        <v/>
      </c>
      <c r="B1185" s="46" t="n"/>
      <c r="C1185" s="47" t="n"/>
      <c r="D1185" s="27">
        <f>IF($C1185="","",IF(COUNTIFS(ENVIOS!$A$4:$A$3003,$C1185)=0,"NO EXISTE",IF(COUNTIFS(ENVIOS!$A$4:$A$3003,$C1185)&gt;1,"DUPLICADA","OK")))</f>
        <v/>
      </c>
      <c r="E1185" s="22">
        <f>IF($C1185="","",IFERROR(INDEX(ENVIOS!$C$4:$C$3003,MATCH($C1185,ENVIOS!$A$4:$A$3003,0)),"—"))</f>
        <v/>
      </c>
      <c r="F1185" s="22">
        <f>IF($C1185="","",IFERROR(INDEX(ENVIOS!$D$4:$D$3003,MATCH($C1185,ENVIOS!$A$4:$A$3003,0)),"—"))</f>
        <v/>
      </c>
      <c r="G1185" s="22">
        <f>IF($C1185="","",IFERROR(INDEX(ENVIOS!$E$4:$E$3003,MATCH($C1185,ENVIOS!$A$4:$A$3003,0)),"—"))</f>
        <v/>
      </c>
      <c r="H1185" s="22">
        <f>IF($C1185="","",IFERROR(INDEX(ENVIOS!$F$4:$F$3003,MATCH($C1185,ENVIOS!$A$4:$A$3003,0)),"—"))</f>
        <v/>
      </c>
      <c r="I1185" s="27">
        <f>IF($C1185="","",IFERROR(INDEX(ENVIOS!$G$4:$G$3003,MATCH($C1185,ENVIOS!$A$4:$A$3003,0)),"—"))</f>
        <v/>
      </c>
      <c r="J1185" s="48">
        <f>IF($C1185="","",IFERROR(INDEX(ENVIOS!$B$4:$B$3003,MATCH($C1185,ENVIOS!$A$4:$A$3003,0)),""))</f>
        <v/>
      </c>
      <c r="K1185" s="49" t="n"/>
      <c r="L1185" s="27">
        <f>IF($K1185="","",IFERROR(INDEX(CONFIG!$B$4:$B$43,MATCH($K1185,CONFIG!$A$4:$A$43,0)),"Media"))</f>
        <v/>
      </c>
      <c r="M1185" s="27">
        <f>IF($K1185="","",IFERROR(INDEX(CONFIG!$D$4:$D$43,MATCH($K1185,CONFIG!$A$4:$A$43,0)),"NO"))</f>
        <v/>
      </c>
      <c r="N1185" s="49" t="n"/>
      <c r="O1185" s="27">
        <f>IF($N1185="","",IFERROR(INDEX(CONFIG!$G$4:$G$43,MATCH($N1185,CONFIG!$F$4:$F$43,0)),"Por definir"))</f>
        <v/>
      </c>
      <c r="P1185" s="27">
        <f>IF($N1185="","",IFERROR(INDEX(CONFIG!$H$4:$H$43,MATCH($N1185,CONFIG!$F$4:$F$43,0)),"Por definir"))</f>
        <v/>
      </c>
      <c r="Q1185" s="50" t="n"/>
      <c r="R1185" s="51" t="n"/>
      <c r="S1185" s="49" t="n"/>
      <c r="T1185" s="49" t="n"/>
      <c r="U1185" s="48">
        <f>IF(OR($B1185="",$K1185=""),"",WORKDAY($B1185,IFERROR(INDEX(CONFIG!$C$4:$C$43,MATCH($K1185,CONFIG!$A$4:$A$43,0)),3)))</f>
        <v/>
      </c>
      <c r="V1185" s="46" t="n"/>
      <c r="W1185" s="23">
        <f>IF($B1185="","",IF($V1185&lt;&gt;"",$V1185-$B1185,TODAY()-$B1185))</f>
        <v/>
      </c>
      <c r="X1185" s="27">
        <f>IF($C1185="","",IF(IFERROR(INDEX(CONFIG!$K$4:$K$43,MATCH($S1185,CONFIG!$J$4:$J$43,0)),"NO")="SÍ",IF(OR($V1185="",$U1185=""),"Resuelta",IF($V1185&gt;$U1185,"Resuelta tarde","Resuelta a tiempo")),IF($U1185="","Sin clasificar",IF(TODAY()&gt;$U1185,"Vencida",IF(TODAY()&gt;=$U1185-1,"Por vencer","En plazo")))))</f>
        <v/>
      </c>
      <c r="Y1185" s="49" t="n"/>
      <c r="Z1185" s="49" t="n"/>
    </row>
    <row r="1186" ht="16" customHeight="1">
      <c r="A1186" s="27">
        <f>IF($C1186="","","N-"&amp;TEXT(ROW()-3,"0000"))</f>
        <v/>
      </c>
      <c r="B1186" s="46" t="n"/>
      <c r="C1186" s="47" t="n"/>
      <c r="D1186" s="27">
        <f>IF($C1186="","",IF(COUNTIFS(ENVIOS!$A$4:$A$3003,$C1186)=0,"NO EXISTE",IF(COUNTIFS(ENVIOS!$A$4:$A$3003,$C1186)&gt;1,"DUPLICADA","OK")))</f>
        <v/>
      </c>
      <c r="E1186" s="22">
        <f>IF($C1186="","",IFERROR(INDEX(ENVIOS!$C$4:$C$3003,MATCH($C1186,ENVIOS!$A$4:$A$3003,0)),"—"))</f>
        <v/>
      </c>
      <c r="F1186" s="22">
        <f>IF($C1186="","",IFERROR(INDEX(ENVIOS!$D$4:$D$3003,MATCH($C1186,ENVIOS!$A$4:$A$3003,0)),"—"))</f>
        <v/>
      </c>
      <c r="G1186" s="22">
        <f>IF($C1186="","",IFERROR(INDEX(ENVIOS!$E$4:$E$3003,MATCH($C1186,ENVIOS!$A$4:$A$3003,0)),"—"))</f>
        <v/>
      </c>
      <c r="H1186" s="22">
        <f>IF($C1186="","",IFERROR(INDEX(ENVIOS!$F$4:$F$3003,MATCH($C1186,ENVIOS!$A$4:$A$3003,0)),"—"))</f>
        <v/>
      </c>
      <c r="I1186" s="27">
        <f>IF($C1186="","",IFERROR(INDEX(ENVIOS!$G$4:$G$3003,MATCH($C1186,ENVIOS!$A$4:$A$3003,0)),"—"))</f>
        <v/>
      </c>
      <c r="J1186" s="48">
        <f>IF($C1186="","",IFERROR(INDEX(ENVIOS!$B$4:$B$3003,MATCH($C1186,ENVIOS!$A$4:$A$3003,0)),""))</f>
        <v/>
      </c>
      <c r="K1186" s="49" t="n"/>
      <c r="L1186" s="27">
        <f>IF($K1186="","",IFERROR(INDEX(CONFIG!$B$4:$B$43,MATCH($K1186,CONFIG!$A$4:$A$43,0)),"Media"))</f>
        <v/>
      </c>
      <c r="M1186" s="27">
        <f>IF($K1186="","",IFERROR(INDEX(CONFIG!$D$4:$D$43,MATCH($K1186,CONFIG!$A$4:$A$43,0)),"NO"))</f>
        <v/>
      </c>
      <c r="N1186" s="49" t="n"/>
      <c r="O1186" s="27">
        <f>IF($N1186="","",IFERROR(INDEX(CONFIG!$G$4:$G$43,MATCH($N1186,CONFIG!$F$4:$F$43,0)),"Por definir"))</f>
        <v/>
      </c>
      <c r="P1186" s="27">
        <f>IF($N1186="","",IFERROR(INDEX(CONFIG!$H$4:$H$43,MATCH($N1186,CONFIG!$F$4:$F$43,0)),"Por definir"))</f>
        <v/>
      </c>
      <c r="Q1186" s="50" t="n"/>
      <c r="R1186" s="51" t="n"/>
      <c r="S1186" s="49" t="n"/>
      <c r="T1186" s="49" t="n"/>
      <c r="U1186" s="48">
        <f>IF(OR($B1186="",$K1186=""),"",WORKDAY($B1186,IFERROR(INDEX(CONFIG!$C$4:$C$43,MATCH($K1186,CONFIG!$A$4:$A$43,0)),3)))</f>
        <v/>
      </c>
      <c r="V1186" s="46" t="n"/>
      <c r="W1186" s="23">
        <f>IF($B1186="","",IF($V1186&lt;&gt;"",$V1186-$B1186,TODAY()-$B1186))</f>
        <v/>
      </c>
      <c r="X1186" s="27">
        <f>IF($C1186="","",IF(IFERROR(INDEX(CONFIG!$K$4:$K$43,MATCH($S1186,CONFIG!$J$4:$J$43,0)),"NO")="SÍ",IF(OR($V1186="",$U1186=""),"Resuelta",IF($V1186&gt;$U1186,"Resuelta tarde","Resuelta a tiempo")),IF($U1186="","Sin clasificar",IF(TODAY()&gt;$U1186,"Vencida",IF(TODAY()&gt;=$U1186-1,"Por vencer","En plazo")))))</f>
        <v/>
      </c>
      <c r="Y1186" s="49" t="n"/>
      <c r="Z1186" s="49" t="n"/>
    </row>
    <row r="1187" ht="16" customHeight="1">
      <c r="A1187" s="27">
        <f>IF($C1187="","","N-"&amp;TEXT(ROW()-3,"0000"))</f>
        <v/>
      </c>
      <c r="B1187" s="46" t="n"/>
      <c r="C1187" s="47" t="n"/>
      <c r="D1187" s="27">
        <f>IF($C1187="","",IF(COUNTIFS(ENVIOS!$A$4:$A$3003,$C1187)=0,"NO EXISTE",IF(COUNTIFS(ENVIOS!$A$4:$A$3003,$C1187)&gt;1,"DUPLICADA","OK")))</f>
        <v/>
      </c>
      <c r="E1187" s="22">
        <f>IF($C1187="","",IFERROR(INDEX(ENVIOS!$C$4:$C$3003,MATCH($C1187,ENVIOS!$A$4:$A$3003,0)),"—"))</f>
        <v/>
      </c>
      <c r="F1187" s="22">
        <f>IF($C1187="","",IFERROR(INDEX(ENVIOS!$D$4:$D$3003,MATCH($C1187,ENVIOS!$A$4:$A$3003,0)),"—"))</f>
        <v/>
      </c>
      <c r="G1187" s="22">
        <f>IF($C1187="","",IFERROR(INDEX(ENVIOS!$E$4:$E$3003,MATCH($C1187,ENVIOS!$A$4:$A$3003,0)),"—"))</f>
        <v/>
      </c>
      <c r="H1187" s="22">
        <f>IF($C1187="","",IFERROR(INDEX(ENVIOS!$F$4:$F$3003,MATCH($C1187,ENVIOS!$A$4:$A$3003,0)),"—"))</f>
        <v/>
      </c>
      <c r="I1187" s="27">
        <f>IF($C1187="","",IFERROR(INDEX(ENVIOS!$G$4:$G$3003,MATCH($C1187,ENVIOS!$A$4:$A$3003,0)),"—"))</f>
        <v/>
      </c>
      <c r="J1187" s="48">
        <f>IF($C1187="","",IFERROR(INDEX(ENVIOS!$B$4:$B$3003,MATCH($C1187,ENVIOS!$A$4:$A$3003,0)),""))</f>
        <v/>
      </c>
      <c r="K1187" s="49" t="n"/>
      <c r="L1187" s="27">
        <f>IF($K1187="","",IFERROR(INDEX(CONFIG!$B$4:$B$43,MATCH($K1187,CONFIG!$A$4:$A$43,0)),"Media"))</f>
        <v/>
      </c>
      <c r="M1187" s="27">
        <f>IF($K1187="","",IFERROR(INDEX(CONFIG!$D$4:$D$43,MATCH($K1187,CONFIG!$A$4:$A$43,0)),"NO"))</f>
        <v/>
      </c>
      <c r="N1187" s="49" t="n"/>
      <c r="O1187" s="27">
        <f>IF($N1187="","",IFERROR(INDEX(CONFIG!$G$4:$G$43,MATCH($N1187,CONFIG!$F$4:$F$43,0)),"Por definir"))</f>
        <v/>
      </c>
      <c r="P1187" s="27">
        <f>IF($N1187="","",IFERROR(INDEX(CONFIG!$H$4:$H$43,MATCH($N1187,CONFIG!$F$4:$F$43,0)),"Por definir"))</f>
        <v/>
      </c>
      <c r="Q1187" s="50" t="n"/>
      <c r="R1187" s="51" t="n"/>
      <c r="S1187" s="49" t="n"/>
      <c r="T1187" s="49" t="n"/>
      <c r="U1187" s="48">
        <f>IF(OR($B1187="",$K1187=""),"",WORKDAY($B1187,IFERROR(INDEX(CONFIG!$C$4:$C$43,MATCH($K1187,CONFIG!$A$4:$A$43,0)),3)))</f>
        <v/>
      </c>
      <c r="V1187" s="46" t="n"/>
      <c r="W1187" s="23">
        <f>IF($B1187="","",IF($V1187&lt;&gt;"",$V1187-$B1187,TODAY()-$B1187))</f>
        <v/>
      </c>
      <c r="X1187" s="27">
        <f>IF($C1187="","",IF(IFERROR(INDEX(CONFIG!$K$4:$K$43,MATCH($S1187,CONFIG!$J$4:$J$43,0)),"NO")="SÍ",IF(OR($V1187="",$U1187=""),"Resuelta",IF($V1187&gt;$U1187,"Resuelta tarde","Resuelta a tiempo")),IF($U1187="","Sin clasificar",IF(TODAY()&gt;$U1187,"Vencida",IF(TODAY()&gt;=$U1187-1,"Por vencer","En plazo")))))</f>
        <v/>
      </c>
      <c r="Y1187" s="49" t="n"/>
      <c r="Z1187" s="49" t="n"/>
    </row>
    <row r="1188" ht="16" customHeight="1">
      <c r="A1188" s="27">
        <f>IF($C1188="","","N-"&amp;TEXT(ROW()-3,"0000"))</f>
        <v/>
      </c>
      <c r="B1188" s="46" t="n"/>
      <c r="C1188" s="47" t="n"/>
      <c r="D1188" s="27">
        <f>IF($C1188="","",IF(COUNTIFS(ENVIOS!$A$4:$A$3003,$C1188)=0,"NO EXISTE",IF(COUNTIFS(ENVIOS!$A$4:$A$3003,$C1188)&gt;1,"DUPLICADA","OK")))</f>
        <v/>
      </c>
      <c r="E1188" s="22">
        <f>IF($C1188="","",IFERROR(INDEX(ENVIOS!$C$4:$C$3003,MATCH($C1188,ENVIOS!$A$4:$A$3003,0)),"—"))</f>
        <v/>
      </c>
      <c r="F1188" s="22">
        <f>IF($C1188="","",IFERROR(INDEX(ENVIOS!$D$4:$D$3003,MATCH($C1188,ENVIOS!$A$4:$A$3003,0)),"—"))</f>
        <v/>
      </c>
      <c r="G1188" s="22">
        <f>IF($C1188="","",IFERROR(INDEX(ENVIOS!$E$4:$E$3003,MATCH($C1188,ENVIOS!$A$4:$A$3003,0)),"—"))</f>
        <v/>
      </c>
      <c r="H1188" s="22">
        <f>IF($C1188="","",IFERROR(INDEX(ENVIOS!$F$4:$F$3003,MATCH($C1188,ENVIOS!$A$4:$A$3003,0)),"—"))</f>
        <v/>
      </c>
      <c r="I1188" s="27">
        <f>IF($C1188="","",IFERROR(INDEX(ENVIOS!$G$4:$G$3003,MATCH($C1188,ENVIOS!$A$4:$A$3003,0)),"—"))</f>
        <v/>
      </c>
      <c r="J1188" s="48">
        <f>IF($C1188="","",IFERROR(INDEX(ENVIOS!$B$4:$B$3003,MATCH($C1188,ENVIOS!$A$4:$A$3003,0)),""))</f>
        <v/>
      </c>
      <c r="K1188" s="49" t="n"/>
      <c r="L1188" s="27">
        <f>IF($K1188="","",IFERROR(INDEX(CONFIG!$B$4:$B$43,MATCH($K1188,CONFIG!$A$4:$A$43,0)),"Media"))</f>
        <v/>
      </c>
      <c r="M1188" s="27">
        <f>IF($K1188="","",IFERROR(INDEX(CONFIG!$D$4:$D$43,MATCH($K1188,CONFIG!$A$4:$A$43,0)),"NO"))</f>
        <v/>
      </c>
      <c r="N1188" s="49" t="n"/>
      <c r="O1188" s="27">
        <f>IF($N1188="","",IFERROR(INDEX(CONFIG!$G$4:$G$43,MATCH($N1188,CONFIG!$F$4:$F$43,0)),"Por definir"))</f>
        <v/>
      </c>
      <c r="P1188" s="27">
        <f>IF($N1188="","",IFERROR(INDEX(CONFIG!$H$4:$H$43,MATCH($N1188,CONFIG!$F$4:$F$43,0)),"Por definir"))</f>
        <v/>
      </c>
      <c r="Q1188" s="50" t="n"/>
      <c r="R1188" s="51" t="n"/>
      <c r="S1188" s="49" t="n"/>
      <c r="T1188" s="49" t="n"/>
      <c r="U1188" s="48">
        <f>IF(OR($B1188="",$K1188=""),"",WORKDAY($B1188,IFERROR(INDEX(CONFIG!$C$4:$C$43,MATCH($K1188,CONFIG!$A$4:$A$43,0)),3)))</f>
        <v/>
      </c>
      <c r="V1188" s="46" t="n"/>
      <c r="W1188" s="23">
        <f>IF($B1188="","",IF($V1188&lt;&gt;"",$V1188-$B1188,TODAY()-$B1188))</f>
        <v/>
      </c>
      <c r="X1188" s="27">
        <f>IF($C1188="","",IF(IFERROR(INDEX(CONFIG!$K$4:$K$43,MATCH($S1188,CONFIG!$J$4:$J$43,0)),"NO")="SÍ",IF(OR($V1188="",$U1188=""),"Resuelta",IF($V1188&gt;$U1188,"Resuelta tarde","Resuelta a tiempo")),IF($U1188="","Sin clasificar",IF(TODAY()&gt;$U1188,"Vencida",IF(TODAY()&gt;=$U1188-1,"Por vencer","En plazo")))))</f>
        <v/>
      </c>
      <c r="Y1188" s="49" t="n"/>
      <c r="Z1188" s="49" t="n"/>
    </row>
    <row r="1189" ht="16" customHeight="1">
      <c r="A1189" s="27">
        <f>IF($C1189="","","N-"&amp;TEXT(ROW()-3,"0000"))</f>
        <v/>
      </c>
      <c r="B1189" s="46" t="n"/>
      <c r="C1189" s="47" t="n"/>
      <c r="D1189" s="27">
        <f>IF($C1189="","",IF(COUNTIFS(ENVIOS!$A$4:$A$3003,$C1189)=0,"NO EXISTE",IF(COUNTIFS(ENVIOS!$A$4:$A$3003,$C1189)&gt;1,"DUPLICADA","OK")))</f>
        <v/>
      </c>
      <c r="E1189" s="22">
        <f>IF($C1189="","",IFERROR(INDEX(ENVIOS!$C$4:$C$3003,MATCH($C1189,ENVIOS!$A$4:$A$3003,0)),"—"))</f>
        <v/>
      </c>
      <c r="F1189" s="22">
        <f>IF($C1189="","",IFERROR(INDEX(ENVIOS!$D$4:$D$3003,MATCH($C1189,ENVIOS!$A$4:$A$3003,0)),"—"))</f>
        <v/>
      </c>
      <c r="G1189" s="22">
        <f>IF($C1189="","",IFERROR(INDEX(ENVIOS!$E$4:$E$3003,MATCH($C1189,ENVIOS!$A$4:$A$3003,0)),"—"))</f>
        <v/>
      </c>
      <c r="H1189" s="22">
        <f>IF($C1189="","",IFERROR(INDEX(ENVIOS!$F$4:$F$3003,MATCH($C1189,ENVIOS!$A$4:$A$3003,0)),"—"))</f>
        <v/>
      </c>
      <c r="I1189" s="27">
        <f>IF($C1189="","",IFERROR(INDEX(ENVIOS!$G$4:$G$3003,MATCH($C1189,ENVIOS!$A$4:$A$3003,0)),"—"))</f>
        <v/>
      </c>
      <c r="J1189" s="48">
        <f>IF($C1189="","",IFERROR(INDEX(ENVIOS!$B$4:$B$3003,MATCH($C1189,ENVIOS!$A$4:$A$3003,0)),""))</f>
        <v/>
      </c>
      <c r="K1189" s="49" t="n"/>
      <c r="L1189" s="27">
        <f>IF($K1189="","",IFERROR(INDEX(CONFIG!$B$4:$B$43,MATCH($K1189,CONFIG!$A$4:$A$43,0)),"Media"))</f>
        <v/>
      </c>
      <c r="M1189" s="27">
        <f>IF($K1189="","",IFERROR(INDEX(CONFIG!$D$4:$D$43,MATCH($K1189,CONFIG!$A$4:$A$43,0)),"NO"))</f>
        <v/>
      </c>
      <c r="N1189" s="49" t="n"/>
      <c r="O1189" s="27">
        <f>IF($N1189="","",IFERROR(INDEX(CONFIG!$G$4:$G$43,MATCH($N1189,CONFIG!$F$4:$F$43,0)),"Por definir"))</f>
        <v/>
      </c>
      <c r="P1189" s="27">
        <f>IF($N1189="","",IFERROR(INDEX(CONFIG!$H$4:$H$43,MATCH($N1189,CONFIG!$F$4:$F$43,0)),"Por definir"))</f>
        <v/>
      </c>
      <c r="Q1189" s="50" t="n"/>
      <c r="R1189" s="51" t="n"/>
      <c r="S1189" s="49" t="n"/>
      <c r="T1189" s="49" t="n"/>
      <c r="U1189" s="48">
        <f>IF(OR($B1189="",$K1189=""),"",WORKDAY($B1189,IFERROR(INDEX(CONFIG!$C$4:$C$43,MATCH($K1189,CONFIG!$A$4:$A$43,0)),3)))</f>
        <v/>
      </c>
      <c r="V1189" s="46" t="n"/>
      <c r="W1189" s="23">
        <f>IF($B1189="","",IF($V1189&lt;&gt;"",$V1189-$B1189,TODAY()-$B1189))</f>
        <v/>
      </c>
      <c r="X1189" s="27">
        <f>IF($C1189="","",IF(IFERROR(INDEX(CONFIG!$K$4:$K$43,MATCH($S1189,CONFIG!$J$4:$J$43,0)),"NO")="SÍ",IF(OR($V1189="",$U1189=""),"Resuelta",IF($V1189&gt;$U1189,"Resuelta tarde","Resuelta a tiempo")),IF($U1189="","Sin clasificar",IF(TODAY()&gt;$U1189,"Vencida",IF(TODAY()&gt;=$U1189-1,"Por vencer","En plazo")))))</f>
        <v/>
      </c>
      <c r="Y1189" s="49" t="n"/>
      <c r="Z1189" s="49" t="n"/>
    </row>
    <row r="1190" ht="16" customHeight="1">
      <c r="A1190" s="27">
        <f>IF($C1190="","","N-"&amp;TEXT(ROW()-3,"0000"))</f>
        <v/>
      </c>
      <c r="B1190" s="46" t="n"/>
      <c r="C1190" s="47" t="n"/>
      <c r="D1190" s="27">
        <f>IF($C1190="","",IF(COUNTIFS(ENVIOS!$A$4:$A$3003,$C1190)=0,"NO EXISTE",IF(COUNTIFS(ENVIOS!$A$4:$A$3003,$C1190)&gt;1,"DUPLICADA","OK")))</f>
        <v/>
      </c>
      <c r="E1190" s="22">
        <f>IF($C1190="","",IFERROR(INDEX(ENVIOS!$C$4:$C$3003,MATCH($C1190,ENVIOS!$A$4:$A$3003,0)),"—"))</f>
        <v/>
      </c>
      <c r="F1190" s="22">
        <f>IF($C1190="","",IFERROR(INDEX(ENVIOS!$D$4:$D$3003,MATCH($C1190,ENVIOS!$A$4:$A$3003,0)),"—"))</f>
        <v/>
      </c>
      <c r="G1190" s="22">
        <f>IF($C1190="","",IFERROR(INDEX(ENVIOS!$E$4:$E$3003,MATCH($C1190,ENVIOS!$A$4:$A$3003,0)),"—"))</f>
        <v/>
      </c>
      <c r="H1190" s="22">
        <f>IF($C1190="","",IFERROR(INDEX(ENVIOS!$F$4:$F$3003,MATCH($C1190,ENVIOS!$A$4:$A$3003,0)),"—"))</f>
        <v/>
      </c>
      <c r="I1190" s="27">
        <f>IF($C1190="","",IFERROR(INDEX(ENVIOS!$G$4:$G$3003,MATCH($C1190,ENVIOS!$A$4:$A$3003,0)),"—"))</f>
        <v/>
      </c>
      <c r="J1190" s="48">
        <f>IF($C1190="","",IFERROR(INDEX(ENVIOS!$B$4:$B$3003,MATCH($C1190,ENVIOS!$A$4:$A$3003,0)),""))</f>
        <v/>
      </c>
      <c r="K1190" s="49" t="n"/>
      <c r="L1190" s="27">
        <f>IF($K1190="","",IFERROR(INDEX(CONFIG!$B$4:$B$43,MATCH($K1190,CONFIG!$A$4:$A$43,0)),"Media"))</f>
        <v/>
      </c>
      <c r="M1190" s="27">
        <f>IF($K1190="","",IFERROR(INDEX(CONFIG!$D$4:$D$43,MATCH($K1190,CONFIG!$A$4:$A$43,0)),"NO"))</f>
        <v/>
      </c>
      <c r="N1190" s="49" t="n"/>
      <c r="O1190" s="27">
        <f>IF($N1190="","",IFERROR(INDEX(CONFIG!$G$4:$G$43,MATCH($N1190,CONFIG!$F$4:$F$43,0)),"Por definir"))</f>
        <v/>
      </c>
      <c r="P1190" s="27">
        <f>IF($N1190="","",IFERROR(INDEX(CONFIG!$H$4:$H$43,MATCH($N1190,CONFIG!$F$4:$F$43,0)),"Por definir"))</f>
        <v/>
      </c>
      <c r="Q1190" s="50" t="n"/>
      <c r="R1190" s="51" t="n"/>
      <c r="S1190" s="49" t="n"/>
      <c r="T1190" s="49" t="n"/>
      <c r="U1190" s="48">
        <f>IF(OR($B1190="",$K1190=""),"",WORKDAY($B1190,IFERROR(INDEX(CONFIG!$C$4:$C$43,MATCH($K1190,CONFIG!$A$4:$A$43,0)),3)))</f>
        <v/>
      </c>
      <c r="V1190" s="46" t="n"/>
      <c r="W1190" s="23">
        <f>IF($B1190="","",IF($V1190&lt;&gt;"",$V1190-$B1190,TODAY()-$B1190))</f>
        <v/>
      </c>
      <c r="X1190" s="27">
        <f>IF($C1190="","",IF(IFERROR(INDEX(CONFIG!$K$4:$K$43,MATCH($S1190,CONFIG!$J$4:$J$43,0)),"NO")="SÍ",IF(OR($V1190="",$U1190=""),"Resuelta",IF($V1190&gt;$U1190,"Resuelta tarde","Resuelta a tiempo")),IF($U1190="","Sin clasificar",IF(TODAY()&gt;$U1190,"Vencida",IF(TODAY()&gt;=$U1190-1,"Por vencer","En plazo")))))</f>
        <v/>
      </c>
      <c r="Y1190" s="49" t="n"/>
      <c r="Z1190" s="49" t="n"/>
    </row>
    <row r="1191" ht="16" customHeight="1">
      <c r="A1191" s="27">
        <f>IF($C1191="","","N-"&amp;TEXT(ROW()-3,"0000"))</f>
        <v/>
      </c>
      <c r="B1191" s="46" t="n"/>
      <c r="C1191" s="47" t="n"/>
      <c r="D1191" s="27">
        <f>IF($C1191="","",IF(COUNTIFS(ENVIOS!$A$4:$A$3003,$C1191)=0,"NO EXISTE",IF(COUNTIFS(ENVIOS!$A$4:$A$3003,$C1191)&gt;1,"DUPLICADA","OK")))</f>
        <v/>
      </c>
      <c r="E1191" s="22">
        <f>IF($C1191="","",IFERROR(INDEX(ENVIOS!$C$4:$C$3003,MATCH($C1191,ENVIOS!$A$4:$A$3003,0)),"—"))</f>
        <v/>
      </c>
      <c r="F1191" s="22">
        <f>IF($C1191="","",IFERROR(INDEX(ENVIOS!$D$4:$D$3003,MATCH($C1191,ENVIOS!$A$4:$A$3003,0)),"—"))</f>
        <v/>
      </c>
      <c r="G1191" s="22">
        <f>IF($C1191="","",IFERROR(INDEX(ENVIOS!$E$4:$E$3003,MATCH($C1191,ENVIOS!$A$4:$A$3003,0)),"—"))</f>
        <v/>
      </c>
      <c r="H1191" s="22">
        <f>IF($C1191="","",IFERROR(INDEX(ENVIOS!$F$4:$F$3003,MATCH($C1191,ENVIOS!$A$4:$A$3003,0)),"—"))</f>
        <v/>
      </c>
      <c r="I1191" s="27">
        <f>IF($C1191="","",IFERROR(INDEX(ENVIOS!$G$4:$G$3003,MATCH($C1191,ENVIOS!$A$4:$A$3003,0)),"—"))</f>
        <v/>
      </c>
      <c r="J1191" s="48">
        <f>IF($C1191="","",IFERROR(INDEX(ENVIOS!$B$4:$B$3003,MATCH($C1191,ENVIOS!$A$4:$A$3003,0)),""))</f>
        <v/>
      </c>
      <c r="K1191" s="49" t="n"/>
      <c r="L1191" s="27">
        <f>IF($K1191="","",IFERROR(INDEX(CONFIG!$B$4:$B$43,MATCH($K1191,CONFIG!$A$4:$A$43,0)),"Media"))</f>
        <v/>
      </c>
      <c r="M1191" s="27">
        <f>IF($K1191="","",IFERROR(INDEX(CONFIG!$D$4:$D$43,MATCH($K1191,CONFIG!$A$4:$A$43,0)),"NO"))</f>
        <v/>
      </c>
      <c r="N1191" s="49" t="n"/>
      <c r="O1191" s="27">
        <f>IF($N1191="","",IFERROR(INDEX(CONFIG!$G$4:$G$43,MATCH($N1191,CONFIG!$F$4:$F$43,0)),"Por definir"))</f>
        <v/>
      </c>
      <c r="P1191" s="27">
        <f>IF($N1191="","",IFERROR(INDEX(CONFIG!$H$4:$H$43,MATCH($N1191,CONFIG!$F$4:$F$43,0)),"Por definir"))</f>
        <v/>
      </c>
      <c r="Q1191" s="50" t="n"/>
      <c r="R1191" s="51" t="n"/>
      <c r="S1191" s="49" t="n"/>
      <c r="T1191" s="49" t="n"/>
      <c r="U1191" s="48">
        <f>IF(OR($B1191="",$K1191=""),"",WORKDAY($B1191,IFERROR(INDEX(CONFIG!$C$4:$C$43,MATCH($K1191,CONFIG!$A$4:$A$43,0)),3)))</f>
        <v/>
      </c>
      <c r="V1191" s="46" t="n"/>
      <c r="W1191" s="23">
        <f>IF($B1191="","",IF($V1191&lt;&gt;"",$V1191-$B1191,TODAY()-$B1191))</f>
        <v/>
      </c>
      <c r="X1191" s="27">
        <f>IF($C1191="","",IF(IFERROR(INDEX(CONFIG!$K$4:$K$43,MATCH($S1191,CONFIG!$J$4:$J$43,0)),"NO")="SÍ",IF(OR($V1191="",$U1191=""),"Resuelta",IF($V1191&gt;$U1191,"Resuelta tarde","Resuelta a tiempo")),IF($U1191="","Sin clasificar",IF(TODAY()&gt;$U1191,"Vencida",IF(TODAY()&gt;=$U1191-1,"Por vencer","En plazo")))))</f>
        <v/>
      </c>
      <c r="Y1191" s="49" t="n"/>
      <c r="Z1191" s="49" t="n"/>
    </row>
    <row r="1192" ht="16" customHeight="1">
      <c r="A1192" s="27">
        <f>IF($C1192="","","N-"&amp;TEXT(ROW()-3,"0000"))</f>
        <v/>
      </c>
      <c r="B1192" s="46" t="n"/>
      <c r="C1192" s="47" t="n"/>
      <c r="D1192" s="27">
        <f>IF($C1192="","",IF(COUNTIFS(ENVIOS!$A$4:$A$3003,$C1192)=0,"NO EXISTE",IF(COUNTIFS(ENVIOS!$A$4:$A$3003,$C1192)&gt;1,"DUPLICADA","OK")))</f>
        <v/>
      </c>
      <c r="E1192" s="22">
        <f>IF($C1192="","",IFERROR(INDEX(ENVIOS!$C$4:$C$3003,MATCH($C1192,ENVIOS!$A$4:$A$3003,0)),"—"))</f>
        <v/>
      </c>
      <c r="F1192" s="22">
        <f>IF($C1192="","",IFERROR(INDEX(ENVIOS!$D$4:$D$3003,MATCH($C1192,ENVIOS!$A$4:$A$3003,0)),"—"))</f>
        <v/>
      </c>
      <c r="G1192" s="22">
        <f>IF($C1192="","",IFERROR(INDEX(ENVIOS!$E$4:$E$3003,MATCH($C1192,ENVIOS!$A$4:$A$3003,0)),"—"))</f>
        <v/>
      </c>
      <c r="H1192" s="22">
        <f>IF($C1192="","",IFERROR(INDEX(ENVIOS!$F$4:$F$3003,MATCH($C1192,ENVIOS!$A$4:$A$3003,0)),"—"))</f>
        <v/>
      </c>
      <c r="I1192" s="27">
        <f>IF($C1192="","",IFERROR(INDEX(ENVIOS!$G$4:$G$3003,MATCH($C1192,ENVIOS!$A$4:$A$3003,0)),"—"))</f>
        <v/>
      </c>
      <c r="J1192" s="48">
        <f>IF($C1192="","",IFERROR(INDEX(ENVIOS!$B$4:$B$3003,MATCH($C1192,ENVIOS!$A$4:$A$3003,0)),""))</f>
        <v/>
      </c>
      <c r="K1192" s="49" t="n"/>
      <c r="L1192" s="27">
        <f>IF($K1192="","",IFERROR(INDEX(CONFIG!$B$4:$B$43,MATCH($K1192,CONFIG!$A$4:$A$43,0)),"Media"))</f>
        <v/>
      </c>
      <c r="M1192" s="27">
        <f>IF($K1192="","",IFERROR(INDEX(CONFIG!$D$4:$D$43,MATCH($K1192,CONFIG!$A$4:$A$43,0)),"NO"))</f>
        <v/>
      </c>
      <c r="N1192" s="49" t="n"/>
      <c r="O1192" s="27">
        <f>IF($N1192="","",IFERROR(INDEX(CONFIG!$G$4:$G$43,MATCH($N1192,CONFIG!$F$4:$F$43,0)),"Por definir"))</f>
        <v/>
      </c>
      <c r="P1192" s="27">
        <f>IF($N1192="","",IFERROR(INDEX(CONFIG!$H$4:$H$43,MATCH($N1192,CONFIG!$F$4:$F$43,0)),"Por definir"))</f>
        <v/>
      </c>
      <c r="Q1192" s="50" t="n"/>
      <c r="R1192" s="51" t="n"/>
      <c r="S1192" s="49" t="n"/>
      <c r="T1192" s="49" t="n"/>
      <c r="U1192" s="48">
        <f>IF(OR($B1192="",$K1192=""),"",WORKDAY($B1192,IFERROR(INDEX(CONFIG!$C$4:$C$43,MATCH($K1192,CONFIG!$A$4:$A$43,0)),3)))</f>
        <v/>
      </c>
      <c r="V1192" s="46" t="n"/>
      <c r="W1192" s="23">
        <f>IF($B1192="","",IF($V1192&lt;&gt;"",$V1192-$B1192,TODAY()-$B1192))</f>
        <v/>
      </c>
      <c r="X1192" s="27">
        <f>IF($C1192="","",IF(IFERROR(INDEX(CONFIG!$K$4:$K$43,MATCH($S1192,CONFIG!$J$4:$J$43,0)),"NO")="SÍ",IF(OR($V1192="",$U1192=""),"Resuelta",IF($V1192&gt;$U1192,"Resuelta tarde","Resuelta a tiempo")),IF($U1192="","Sin clasificar",IF(TODAY()&gt;$U1192,"Vencida",IF(TODAY()&gt;=$U1192-1,"Por vencer","En plazo")))))</f>
        <v/>
      </c>
      <c r="Y1192" s="49" t="n"/>
      <c r="Z1192" s="49" t="n"/>
    </row>
    <row r="1193" ht="16" customHeight="1">
      <c r="A1193" s="27">
        <f>IF($C1193="","","N-"&amp;TEXT(ROW()-3,"0000"))</f>
        <v/>
      </c>
      <c r="B1193" s="46" t="n"/>
      <c r="C1193" s="47" t="n"/>
      <c r="D1193" s="27">
        <f>IF($C1193="","",IF(COUNTIFS(ENVIOS!$A$4:$A$3003,$C1193)=0,"NO EXISTE",IF(COUNTIFS(ENVIOS!$A$4:$A$3003,$C1193)&gt;1,"DUPLICADA","OK")))</f>
        <v/>
      </c>
      <c r="E1193" s="22">
        <f>IF($C1193="","",IFERROR(INDEX(ENVIOS!$C$4:$C$3003,MATCH($C1193,ENVIOS!$A$4:$A$3003,0)),"—"))</f>
        <v/>
      </c>
      <c r="F1193" s="22">
        <f>IF($C1193="","",IFERROR(INDEX(ENVIOS!$D$4:$D$3003,MATCH($C1193,ENVIOS!$A$4:$A$3003,0)),"—"))</f>
        <v/>
      </c>
      <c r="G1193" s="22">
        <f>IF($C1193="","",IFERROR(INDEX(ENVIOS!$E$4:$E$3003,MATCH($C1193,ENVIOS!$A$4:$A$3003,0)),"—"))</f>
        <v/>
      </c>
      <c r="H1193" s="22">
        <f>IF($C1193="","",IFERROR(INDEX(ENVIOS!$F$4:$F$3003,MATCH($C1193,ENVIOS!$A$4:$A$3003,0)),"—"))</f>
        <v/>
      </c>
      <c r="I1193" s="27">
        <f>IF($C1193="","",IFERROR(INDEX(ENVIOS!$G$4:$G$3003,MATCH($C1193,ENVIOS!$A$4:$A$3003,0)),"—"))</f>
        <v/>
      </c>
      <c r="J1193" s="48">
        <f>IF($C1193="","",IFERROR(INDEX(ENVIOS!$B$4:$B$3003,MATCH($C1193,ENVIOS!$A$4:$A$3003,0)),""))</f>
        <v/>
      </c>
      <c r="K1193" s="49" t="n"/>
      <c r="L1193" s="27">
        <f>IF($K1193="","",IFERROR(INDEX(CONFIG!$B$4:$B$43,MATCH($K1193,CONFIG!$A$4:$A$43,0)),"Media"))</f>
        <v/>
      </c>
      <c r="M1193" s="27">
        <f>IF($K1193="","",IFERROR(INDEX(CONFIG!$D$4:$D$43,MATCH($K1193,CONFIG!$A$4:$A$43,0)),"NO"))</f>
        <v/>
      </c>
      <c r="N1193" s="49" t="n"/>
      <c r="O1193" s="27">
        <f>IF($N1193="","",IFERROR(INDEX(CONFIG!$G$4:$G$43,MATCH($N1193,CONFIG!$F$4:$F$43,0)),"Por definir"))</f>
        <v/>
      </c>
      <c r="P1193" s="27">
        <f>IF($N1193="","",IFERROR(INDEX(CONFIG!$H$4:$H$43,MATCH($N1193,CONFIG!$F$4:$F$43,0)),"Por definir"))</f>
        <v/>
      </c>
      <c r="Q1193" s="50" t="n"/>
      <c r="R1193" s="51" t="n"/>
      <c r="S1193" s="49" t="n"/>
      <c r="T1193" s="49" t="n"/>
      <c r="U1193" s="48">
        <f>IF(OR($B1193="",$K1193=""),"",WORKDAY($B1193,IFERROR(INDEX(CONFIG!$C$4:$C$43,MATCH($K1193,CONFIG!$A$4:$A$43,0)),3)))</f>
        <v/>
      </c>
      <c r="V1193" s="46" t="n"/>
      <c r="W1193" s="23">
        <f>IF($B1193="","",IF($V1193&lt;&gt;"",$V1193-$B1193,TODAY()-$B1193))</f>
        <v/>
      </c>
      <c r="X1193" s="27">
        <f>IF($C1193="","",IF(IFERROR(INDEX(CONFIG!$K$4:$K$43,MATCH($S1193,CONFIG!$J$4:$J$43,0)),"NO")="SÍ",IF(OR($V1193="",$U1193=""),"Resuelta",IF($V1193&gt;$U1193,"Resuelta tarde","Resuelta a tiempo")),IF($U1193="","Sin clasificar",IF(TODAY()&gt;$U1193,"Vencida",IF(TODAY()&gt;=$U1193-1,"Por vencer","En plazo")))))</f>
        <v/>
      </c>
      <c r="Y1193" s="49" t="n"/>
      <c r="Z1193" s="49" t="n"/>
    </row>
    <row r="1194" ht="16" customHeight="1">
      <c r="A1194" s="27">
        <f>IF($C1194="","","N-"&amp;TEXT(ROW()-3,"0000"))</f>
        <v/>
      </c>
      <c r="B1194" s="46" t="n"/>
      <c r="C1194" s="47" t="n"/>
      <c r="D1194" s="27">
        <f>IF($C1194="","",IF(COUNTIFS(ENVIOS!$A$4:$A$3003,$C1194)=0,"NO EXISTE",IF(COUNTIFS(ENVIOS!$A$4:$A$3003,$C1194)&gt;1,"DUPLICADA","OK")))</f>
        <v/>
      </c>
      <c r="E1194" s="22">
        <f>IF($C1194="","",IFERROR(INDEX(ENVIOS!$C$4:$C$3003,MATCH($C1194,ENVIOS!$A$4:$A$3003,0)),"—"))</f>
        <v/>
      </c>
      <c r="F1194" s="22">
        <f>IF($C1194="","",IFERROR(INDEX(ENVIOS!$D$4:$D$3003,MATCH($C1194,ENVIOS!$A$4:$A$3003,0)),"—"))</f>
        <v/>
      </c>
      <c r="G1194" s="22">
        <f>IF($C1194="","",IFERROR(INDEX(ENVIOS!$E$4:$E$3003,MATCH($C1194,ENVIOS!$A$4:$A$3003,0)),"—"))</f>
        <v/>
      </c>
      <c r="H1194" s="22">
        <f>IF($C1194="","",IFERROR(INDEX(ENVIOS!$F$4:$F$3003,MATCH($C1194,ENVIOS!$A$4:$A$3003,0)),"—"))</f>
        <v/>
      </c>
      <c r="I1194" s="27">
        <f>IF($C1194="","",IFERROR(INDEX(ENVIOS!$G$4:$G$3003,MATCH($C1194,ENVIOS!$A$4:$A$3003,0)),"—"))</f>
        <v/>
      </c>
      <c r="J1194" s="48">
        <f>IF($C1194="","",IFERROR(INDEX(ENVIOS!$B$4:$B$3003,MATCH($C1194,ENVIOS!$A$4:$A$3003,0)),""))</f>
        <v/>
      </c>
      <c r="K1194" s="49" t="n"/>
      <c r="L1194" s="27">
        <f>IF($K1194="","",IFERROR(INDEX(CONFIG!$B$4:$B$43,MATCH($K1194,CONFIG!$A$4:$A$43,0)),"Media"))</f>
        <v/>
      </c>
      <c r="M1194" s="27">
        <f>IF($K1194="","",IFERROR(INDEX(CONFIG!$D$4:$D$43,MATCH($K1194,CONFIG!$A$4:$A$43,0)),"NO"))</f>
        <v/>
      </c>
      <c r="N1194" s="49" t="n"/>
      <c r="O1194" s="27">
        <f>IF($N1194="","",IFERROR(INDEX(CONFIG!$G$4:$G$43,MATCH($N1194,CONFIG!$F$4:$F$43,0)),"Por definir"))</f>
        <v/>
      </c>
      <c r="P1194" s="27">
        <f>IF($N1194="","",IFERROR(INDEX(CONFIG!$H$4:$H$43,MATCH($N1194,CONFIG!$F$4:$F$43,0)),"Por definir"))</f>
        <v/>
      </c>
      <c r="Q1194" s="50" t="n"/>
      <c r="R1194" s="51" t="n"/>
      <c r="S1194" s="49" t="n"/>
      <c r="T1194" s="49" t="n"/>
      <c r="U1194" s="48">
        <f>IF(OR($B1194="",$K1194=""),"",WORKDAY($B1194,IFERROR(INDEX(CONFIG!$C$4:$C$43,MATCH($K1194,CONFIG!$A$4:$A$43,0)),3)))</f>
        <v/>
      </c>
      <c r="V1194" s="46" t="n"/>
      <c r="W1194" s="23">
        <f>IF($B1194="","",IF($V1194&lt;&gt;"",$V1194-$B1194,TODAY()-$B1194))</f>
        <v/>
      </c>
      <c r="X1194" s="27">
        <f>IF($C1194="","",IF(IFERROR(INDEX(CONFIG!$K$4:$K$43,MATCH($S1194,CONFIG!$J$4:$J$43,0)),"NO")="SÍ",IF(OR($V1194="",$U1194=""),"Resuelta",IF($V1194&gt;$U1194,"Resuelta tarde","Resuelta a tiempo")),IF($U1194="","Sin clasificar",IF(TODAY()&gt;$U1194,"Vencida",IF(TODAY()&gt;=$U1194-1,"Por vencer","En plazo")))))</f>
        <v/>
      </c>
      <c r="Y1194" s="49" t="n"/>
      <c r="Z1194" s="49" t="n"/>
    </row>
    <row r="1195" ht="16" customHeight="1">
      <c r="A1195" s="27">
        <f>IF($C1195="","","N-"&amp;TEXT(ROW()-3,"0000"))</f>
        <v/>
      </c>
      <c r="B1195" s="46" t="n"/>
      <c r="C1195" s="47" t="n"/>
      <c r="D1195" s="27">
        <f>IF($C1195="","",IF(COUNTIFS(ENVIOS!$A$4:$A$3003,$C1195)=0,"NO EXISTE",IF(COUNTIFS(ENVIOS!$A$4:$A$3003,$C1195)&gt;1,"DUPLICADA","OK")))</f>
        <v/>
      </c>
      <c r="E1195" s="22">
        <f>IF($C1195="","",IFERROR(INDEX(ENVIOS!$C$4:$C$3003,MATCH($C1195,ENVIOS!$A$4:$A$3003,0)),"—"))</f>
        <v/>
      </c>
      <c r="F1195" s="22">
        <f>IF($C1195="","",IFERROR(INDEX(ENVIOS!$D$4:$D$3003,MATCH($C1195,ENVIOS!$A$4:$A$3003,0)),"—"))</f>
        <v/>
      </c>
      <c r="G1195" s="22">
        <f>IF($C1195="","",IFERROR(INDEX(ENVIOS!$E$4:$E$3003,MATCH($C1195,ENVIOS!$A$4:$A$3003,0)),"—"))</f>
        <v/>
      </c>
      <c r="H1195" s="22">
        <f>IF($C1195="","",IFERROR(INDEX(ENVIOS!$F$4:$F$3003,MATCH($C1195,ENVIOS!$A$4:$A$3003,0)),"—"))</f>
        <v/>
      </c>
      <c r="I1195" s="27">
        <f>IF($C1195="","",IFERROR(INDEX(ENVIOS!$G$4:$G$3003,MATCH($C1195,ENVIOS!$A$4:$A$3003,0)),"—"))</f>
        <v/>
      </c>
      <c r="J1195" s="48">
        <f>IF($C1195="","",IFERROR(INDEX(ENVIOS!$B$4:$B$3003,MATCH($C1195,ENVIOS!$A$4:$A$3003,0)),""))</f>
        <v/>
      </c>
      <c r="K1195" s="49" t="n"/>
      <c r="L1195" s="27">
        <f>IF($K1195="","",IFERROR(INDEX(CONFIG!$B$4:$B$43,MATCH($K1195,CONFIG!$A$4:$A$43,0)),"Media"))</f>
        <v/>
      </c>
      <c r="M1195" s="27">
        <f>IF($K1195="","",IFERROR(INDEX(CONFIG!$D$4:$D$43,MATCH($K1195,CONFIG!$A$4:$A$43,0)),"NO"))</f>
        <v/>
      </c>
      <c r="N1195" s="49" t="n"/>
      <c r="O1195" s="27">
        <f>IF($N1195="","",IFERROR(INDEX(CONFIG!$G$4:$G$43,MATCH($N1195,CONFIG!$F$4:$F$43,0)),"Por definir"))</f>
        <v/>
      </c>
      <c r="P1195" s="27">
        <f>IF($N1195="","",IFERROR(INDEX(CONFIG!$H$4:$H$43,MATCH($N1195,CONFIG!$F$4:$F$43,0)),"Por definir"))</f>
        <v/>
      </c>
      <c r="Q1195" s="50" t="n"/>
      <c r="R1195" s="51" t="n"/>
      <c r="S1195" s="49" t="n"/>
      <c r="T1195" s="49" t="n"/>
      <c r="U1195" s="48">
        <f>IF(OR($B1195="",$K1195=""),"",WORKDAY($B1195,IFERROR(INDEX(CONFIG!$C$4:$C$43,MATCH($K1195,CONFIG!$A$4:$A$43,0)),3)))</f>
        <v/>
      </c>
      <c r="V1195" s="46" t="n"/>
      <c r="W1195" s="23">
        <f>IF($B1195="","",IF($V1195&lt;&gt;"",$V1195-$B1195,TODAY()-$B1195))</f>
        <v/>
      </c>
      <c r="X1195" s="27">
        <f>IF($C1195="","",IF(IFERROR(INDEX(CONFIG!$K$4:$K$43,MATCH($S1195,CONFIG!$J$4:$J$43,0)),"NO")="SÍ",IF(OR($V1195="",$U1195=""),"Resuelta",IF($V1195&gt;$U1195,"Resuelta tarde","Resuelta a tiempo")),IF($U1195="","Sin clasificar",IF(TODAY()&gt;$U1195,"Vencida",IF(TODAY()&gt;=$U1195-1,"Por vencer","En plazo")))))</f>
        <v/>
      </c>
      <c r="Y1195" s="49" t="n"/>
      <c r="Z1195" s="49" t="n"/>
    </row>
    <row r="1196" ht="16" customHeight="1">
      <c r="A1196" s="27">
        <f>IF($C1196="","","N-"&amp;TEXT(ROW()-3,"0000"))</f>
        <v/>
      </c>
      <c r="B1196" s="46" t="n"/>
      <c r="C1196" s="47" t="n"/>
      <c r="D1196" s="27">
        <f>IF($C1196="","",IF(COUNTIFS(ENVIOS!$A$4:$A$3003,$C1196)=0,"NO EXISTE",IF(COUNTIFS(ENVIOS!$A$4:$A$3003,$C1196)&gt;1,"DUPLICADA","OK")))</f>
        <v/>
      </c>
      <c r="E1196" s="22">
        <f>IF($C1196="","",IFERROR(INDEX(ENVIOS!$C$4:$C$3003,MATCH($C1196,ENVIOS!$A$4:$A$3003,0)),"—"))</f>
        <v/>
      </c>
      <c r="F1196" s="22">
        <f>IF($C1196="","",IFERROR(INDEX(ENVIOS!$D$4:$D$3003,MATCH($C1196,ENVIOS!$A$4:$A$3003,0)),"—"))</f>
        <v/>
      </c>
      <c r="G1196" s="22">
        <f>IF($C1196="","",IFERROR(INDEX(ENVIOS!$E$4:$E$3003,MATCH($C1196,ENVIOS!$A$4:$A$3003,0)),"—"))</f>
        <v/>
      </c>
      <c r="H1196" s="22">
        <f>IF($C1196="","",IFERROR(INDEX(ENVIOS!$F$4:$F$3003,MATCH($C1196,ENVIOS!$A$4:$A$3003,0)),"—"))</f>
        <v/>
      </c>
      <c r="I1196" s="27">
        <f>IF($C1196="","",IFERROR(INDEX(ENVIOS!$G$4:$G$3003,MATCH($C1196,ENVIOS!$A$4:$A$3003,0)),"—"))</f>
        <v/>
      </c>
      <c r="J1196" s="48">
        <f>IF($C1196="","",IFERROR(INDEX(ENVIOS!$B$4:$B$3003,MATCH($C1196,ENVIOS!$A$4:$A$3003,0)),""))</f>
        <v/>
      </c>
      <c r="K1196" s="49" t="n"/>
      <c r="L1196" s="27">
        <f>IF($K1196="","",IFERROR(INDEX(CONFIG!$B$4:$B$43,MATCH($K1196,CONFIG!$A$4:$A$43,0)),"Media"))</f>
        <v/>
      </c>
      <c r="M1196" s="27">
        <f>IF($K1196="","",IFERROR(INDEX(CONFIG!$D$4:$D$43,MATCH($K1196,CONFIG!$A$4:$A$43,0)),"NO"))</f>
        <v/>
      </c>
      <c r="N1196" s="49" t="n"/>
      <c r="O1196" s="27">
        <f>IF($N1196="","",IFERROR(INDEX(CONFIG!$G$4:$G$43,MATCH($N1196,CONFIG!$F$4:$F$43,0)),"Por definir"))</f>
        <v/>
      </c>
      <c r="P1196" s="27">
        <f>IF($N1196="","",IFERROR(INDEX(CONFIG!$H$4:$H$43,MATCH($N1196,CONFIG!$F$4:$F$43,0)),"Por definir"))</f>
        <v/>
      </c>
      <c r="Q1196" s="50" t="n"/>
      <c r="R1196" s="51" t="n"/>
      <c r="S1196" s="49" t="n"/>
      <c r="T1196" s="49" t="n"/>
      <c r="U1196" s="48">
        <f>IF(OR($B1196="",$K1196=""),"",WORKDAY($B1196,IFERROR(INDEX(CONFIG!$C$4:$C$43,MATCH($K1196,CONFIG!$A$4:$A$43,0)),3)))</f>
        <v/>
      </c>
      <c r="V1196" s="46" t="n"/>
      <c r="W1196" s="23">
        <f>IF($B1196="","",IF($V1196&lt;&gt;"",$V1196-$B1196,TODAY()-$B1196))</f>
        <v/>
      </c>
      <c r="X1196" s="27">
        <f>IF($C1196="","",IF(IFERROR(INDEX(CONFIG!$K$4:$K$43,MATCH($S1196,CONFIG!$J$4:$J$43,0)),"NO")="SÍ",IF(OR($V1196="",$U1196=""),"Resuelta",IF($V1196&gt;$U1196,"Resuelta tarde","Resuelta a tiempo")),IF($U1196="","Sin clasificar",IF(TODAY()&gt;$U1196,"Vencida",IF(TODAY()&gt;=$U1196-1,"Por vencer","En plazo")))))</f>
        <v/>
      </c>
      <c r="Y1196" s="49" t="n"/>
      <c r="Z1196" s="49" t="n"/>
    </row>
    <row r="1197" ht="16" customHeight="1">
      <c r="A1197" s="27">
        <f>IF($C1197="","","N-"&amp;TEXT(ROW()-3,"0000"))</f>
        <v/>
      </c>
      <c r="B1197" s="46" t="n"/>
      <c r="C1197" s="47" t="n"/>
      <c r="D1197" s="27">
        <f>IF($C1197="","",IF(COUNTIFS(ENVIOS!$A$4:$A$3003,$C1197)=0,"NO EXISTE",IF(COUNTIFS(ENVIOS!$A$4:$A$3003,$C1197)&gt;1,"DUPLICADA","OK")))</f>
        <v/>
      </c>
      <c r="E1197" s="22">
        <f>IF($C1197="","",IFERROR(INDEX(ENVIOS!$C$4:$C$3003,MATCH($C1197,ENVIOS!$A$4:$A$3003,0)),"—"))</f>
        <v/>
      </c>
      <c r="F1197" s="22">
        <f>IF($C1197="","",IFERROR(INDEX(ENVIOS!$D$4:$D$3003,MATCH($C1197,ENVIOS!$A$4:$A$3003,0)),"—"))</f>
        <v/>
      </c>
      <c r="G1197" s="22">
        <f>IF($C1197="","",IFERROR(INDEX(ENVIOS!$E$4:$E$3003,MATCH($C1197,ENVIOS!$A$4:$A$3003,0)),"—"))</f>
        <v/>
      </c>
      <c r="H1197" s="22">
        <f>IF($C1197="","",IFERROR(INDEX(ENVIOS!$F$4:$F$3003,MATCH($C1197,ENVIOS!$A$4:$A$3003,0)),"—"))</f>
        <v/>
      </c>
      <c r="I1197" s="27">
        <f>IF($C1197="","",IFERROR(INDEX(ENVIOS!$G$4:$G$3003,MATCH($C1197,ENVIOS!$A$4:$A$3003,0)),"—"))</f>
        <v/>
      </c>
      <c r="J1197" s="48">
        <f>IF($C1197="","",IFERROR(INDEX(ENVIOS!$B$4:$B$3003,MATCH($C1197,ENVIOS!$A$4:$A$3003,0)),""))</f>
        <v/>
      </c>
      <c r="K1197" s="49" t="n"/>
      <c r="L1197" s="27">
        <f>IF($K1197="","",IFERROR(INDEX(CONFIG!$B$4:$B$43,MATCH($K1197,CONFIG!$A$4:$A$43,0)),"Media"))</f>
        <v/>
      </c>
      <c r="M1197" s="27">
        <f>IF($K1197="","",IFERROR(INDEX(CONFIG!$D$4:$D$43,MATCH($K1197,CONFIG!$A$4:$A$43,0)),"NO"))</f>
        <v/>
      </c>
      <c r="N1197" s="49" t="n"/>
      <c r="O1197" s="27">
        <f>IF($N1197="","",IFERROR(INDEX(CONFIG!$G$4:$G$43,MATCH($N1197,CONFIG!$F$4:$F$43,0)),"Por definir"))</f>
        <v/>
      </c>
      <c r="P1197" s="27">
        <f>IF($N1197="","",IFERROR(INDEX(CONFIG!$H$4:$H$43,MATCH($N1197,CONFIG!$F$4:$F$43,0)),"Por definir"))</f>
        <v/>
      </c>
      <c r="Q1197" s="50" t="n"/>
      <c r="R1197" s="51" t="n"/>
      <c r="S1197" s="49" t="n"/>
      <c r="T1197" s="49" t="n"/>
      <c r="U1197" s="48">
        <f>IF(OR($B1197="",$K1197=""),"",WORKDAY($B1197,IFERROR(INDEX(CONFIG!$C$4:$C$43,MATCH($K1197,CONFIG!$A$4:$A$43,0)),3)))</f>
        <v/>
      </c>
      <c r="V1197" s="46" t="n"/>
      <c r="W1197" s="23">
        <f>IF($B1197="","",IF($V1197&lt;&gt;"",$V1197-$B1197,TODAY()-$B1197))</f>
        <v/>
      </c>
      <c r="X1197" s="27">
        <f>IF($C1197="","",IF(IFERROR(INDEX(CONFIG!$K$4:$K$43,MATCH($S1197,CONFIG!$J$4:$J$43,0)),"NO")="SÍ",IF(OR($V1197="",$U1197=""),"Resuelta",IF($V1197&gt;$U1197,"Resuelta tarde","Resuelta a tiempo")),IF($U1197="","Sin clasificar",IF(TODAY()&gt;$U1197,"Vencida",IF(TODAY()&gt;=$U1197-1,"Por vencer","En plazo")))))</f>
        <v/>
      </c>
      <c r="Y1197" s="49" t="n"/>
      <c r="Z1197" s="49" t="n"/>
    </row>
    <row r="1198" ht="16" customHeight="1">
      <c r="A1198" s="27">
        <f>IF($C1198="","","N-"&amp;TEXT(ROW()-3,"0000"))</f>
        <v/>
      </c>
      <c r="B1198" s="46" t="n"/>
      <c r="C1198" s="47" t="n"/>
      <c r="D1198" s="27">
        <f>IF($C1198="","",IF(COUNTIFS(ENVIOS!$A$4:$A$3003,$C1198)=0,"NO EXISTE",IF(COUNTIFS(ENVIOS!$A$4:$A$3003,$C1198)&gt;1,"DUPLICADA","OK")))</f>
        <v/>
      </c>
      <c r="E1198" s="22">
        <f>IF($C1198="","",IFERROR(INDEX(ENVIOS!$C$4:$C$3003,MATCH($C1198,ENVIOS!$A$4:$A$3003,0)),"—"))</f>
        <v/>
      </c>
      <c r="F1198" s="22">
        <f>IF($C1198="","",IFERROR(INDEX(ENVIOS!$D$4:$D$3003,MATCH($C1198,ENVIOS!$A$4:$A$3003,0)),"—"))</f>
        <v/>
      </c>
      <c r="G1198" s="22">
        <f>IF($C1198="","",IFERROR(INDEX(ENVIOS!$E$4:$E$3003,MATCH($C1198,ENVIOS!$A$4:$A$3003,0)),"—"))</f>
        <v/>
      </c>
      <c r="H1198" s="22">
        <f>IF($C1198="","",IFERROR(INDEX(ENVIOS!$F$4:$F$3003,MATCH($C1198,ENVIOS!$A$4:$A$3003,0)),"—"))</f>
        <v/>
      </c>
      <c r="I1198" s="27">
        <f>IF($C1198="","",IFERROR(INDEX(ENVIOS!$G$4:$G$3003,MATCH($C1198,ENVIOS!$A$4:$A$3003,0)),"—"))</f>
        <v/>
      </c>
      <c r="J1198" s="48">
        <f>IF($C1198="","",IFERROR(INDEX(ENVIOS!$B$4:$B$3003,MATCH($C1198,ENVIOS!$A$4:$A$3003,0)),""))</f>
        <v/>
      </c>
      <c r="K1198" s="49" t="n"/>
      <c r="L1198" s="27">
        <f>IF($K1198="","",IFERROR(INDEX(CONFIG!$B$4:$B$43,MATCH($K1198,CONFIG!$A$4:$A$43,0)),"Media"))</f>
        <v/>
      </c>
      <c r="M1198" s="27">
        <f>IF($K1198="","",IFERROR(INDEX(CONFIG!$D$4:$D$43,MATCH($K1198,CONFIG!$A$4:$A$43,0)),"NO"))</f>
        <v/>
      </c>
      <c r="N1198" s="49" t="n"/>
      <c r="O1198" s="27">
        <f>IF($N1198="","",IFERROR(INDEX(CONFIG!$G$4:$G$43,MATCH($N1198,CONFIG!$F$4:$F$43,0)),"Por definir"))</f>
        <v/>
      </c>
      <c r="P1198" s="27">
        <f>IF($N1198="","",IFERROR(INDEX(CONFIG!$H$4:$H$43,MATCH($N1198,CONFIG!$F$4:$F$43,0)),"Por definir"))</f>
        <v/>
      </c>
      <c r="Q1198" s="50" t="n"/>
      <c r="R1198" s="51" t="n"/>
      <c r="S1198" s="49" t="n"/>
      <c r="T1198" s="49" t="n"/>
      <c r="U1198" s="48">
        <f>IF(OR($B1198="",$K1198=""),"",WORKDAY($B1198,IFERROR(INDEX(CONFIG!$C$4:$C$43,MATCH($K1198,CONFIG!$A$4:$A$43,0)),3)))</f>
        <v/>
      </c>
      <c r="V1198" s="46" t="n"/>
      <c r="W1198" s="23">
        <f>IF($B1198="","",IF($V1198&lt;&gt;"",$V1198-$B1198,TODAY()-$B1198))</f>
        <v/>
      </c>
      <c r="X1198" s="27">
        <f>IF($C1198="","",IF(IFERROR(INDEX(CONFIG!$K$4:$K$43,MATCH($S1198,CONFIG!$J$4:$J$43,0)),"NO")="SÍ",IF(OR($V1198="",$U1198=""),"Resuelta",IF($V1198&gt;$U1198,"Resuelta tarde","Resuelta a tiempo")),IF($U1198="","Sin clasificar",IF(TODAY()&gt;$U1198,"Vencida",IF(TODAY()&gt;=$U1198-1,"Por vencer","En plazo")))))</f>
        <v/>
      </c>
      <c r="Y1198" s="49" t="n"/>
      <c r="Z1198" s="49" t="n"/>
    </row>
    <row r="1199" ht="16" customHeight="1">
      <c r="A1199" s="27">
        <f>IF($C1199="","","N-"&amp;TEXT(ROW()-3,"0000"))</f>
        <v/>
      </c>
      <c r="B1199" s="46" t="n"/>
      <c r="C1199" s="47" t="n"/>
      <c r="D1199" s="27">
        <f>IF($C1199="","",IF(COUNTIFS(ENVIOS!$A$4:$A$3003,$C1199)=0,"NO EXISTE",IF(COUNTIFS(ENVIOS!$A$4:$A$3003,$C1199)&gt;1,"DUPLICADA","OK")))</f>
        <v/>
      </c>
      <c r="E1199" s="22">
        <f>IF($C1199="","",IFERROR(INDEX(ENVIOS!$C$4:$C$3003,MATCH($C1199,ENVIOS!$A$4:$A$3003,0)),"—"))</f>
        <v/>
      </c>
      <c r="F1199" s="22">
        <f>IF($C1199="","",IFERROR(INDEX(ENVIOS!$D$4:$D$3003,MATCH($C1199,ENVIOS!$A$4:$A$3003,0)),"—"))</f>
        <v/>
      </c>
      <c r="G1199" s="22">
        <f>IF($C1199="","",IFERROR(INDEX(ENVIOS!$E$4:$E$3003,MATCH($C1199,ENVIOS!$A$4:$A$3003,0)),"—"))</f>
        <v/>
      </c>
      <c r="H1199" s="22">
        <f>IF($C1199="","",IFERROR(INDEX(ENVIOS!$F$4:$F$3003,MATCH($C1199,ENVIOS!$A$4:$A$3003,0)),"—"))</f>
        <v/>
      </c>
      <c r="I1199" s="27">
        <f>IF($C1199="","",IFERROR(INDEX(ENVIOS!$G$4:$G$3003,MATCH($C1199,ENVIOS!$A$4:$A$3003,0)),"—"))</f>
        <v/>
      </c>
      <c r="J1199" s="48">
        <f>IF($C1199="","",IFERROR(INDEX(ENVIOS!$B$4:$B$3003,MATCH($C1199,ENVIOS!$A$4:$A$3003,0)),""))</f>
        <v/>
      </c>
      <c r="K1199" s="49" t="n"/>
      <c r="L1199" s="27">
        <f>IF($K1199="","",IFERROR(INDEX(CONFIG!$B$4:$B$43,MATCH($K1199,CONFIG!$A$4:$A$43,0)),"Media"))</f>
        <v/>
      </c>
      <c r="M1199" s="27">
        <f>IF($K1199="","",IFERROR(INDEX(CONFIG!$D$4:$D$43,MATCH($K1199,CONFIG!$A$4:$A$43,0)),"NO"))</f>
        <v/>
      </c>
      <c r="N1199" s="49" t="n"/>
      <c r="O1199" s="27">
        <f>IF($N1199="","",IFERROR(INDEX(CONFIG!$G$4:$G$43,MATCH($N1199,CONFIG!$F$4:$F$43,0)),"Por definir"))</f>
        <v/>
      </c>
      <c r="P1199" s="27">
        <f>IF($N1199="","",IFERROR(INDEX(CONFIG!$H$4:$H$43,MATCH($N1199,CONFIG!$F$4:$F$43,0)),"Por definir"))</f>
        <v/>
      </c>
      <c r="Q1199" s="50" t="n"/>
      <c r="R1199" s="51" t="n"/>
      <c r="S1199" s="49" t="n"/>
      <c r="T1199" s="49" t="n"/>
      <c r="U1199" s="48">
        <f>IF(OR($B1199="",$K1199=""),"",WORKDAY($B1199,IFERROR(INDEX(CONFIG!$C$4:$C$43,MATCH($K1199,CONFIG!$A$4:$A$43,0)),3)))</f>
        <v/>
      </c>
      <c r="V1199" s="46" t="n"/>
      <c r="W1199" s="23">
        <f>IF($B1199="","",IF($V1199&lt;&gt;"",$V1199-$B1199,TODAY()-$B1199))</f>
        <v/>
      </c>
      <c r="X1199" s="27">
        <f>IF($C1199="","",IF(IFERROR(INDEX(CONFIG!$K$4:$K$43,MATCH($S1199,CONFIG!$J$4:$J$43,0)),"NO")="SÍ",IF(OR($V1199="",$U1199=""),"Resuelta",IF($V1199&gt;$U1199,"Resuelta tarde","Resuelta a tiempo")),IF($U1199="","Sin clasificar",IF(TODAY()&gt;$U1199,"Vencida",IF(TODAY()&gt;=$U1199-1,"Por vencer","En plazo")))))</f>
        <v/>
      </c>
      <c r="Y1199" s="49" t="n"/>
      <c r="Z1199" s="49" t="n"/>
    </row>
    <row r="1200" ht="16" customHeight="1">
      <c r="A1200" s="27">
        <f>IF($C1200="","","N-"&amp;TEXT(ROW()-3,"0000"))</f>
        <v/>
      </c>
      <c r="B1200" s="46" t="n"/>
      <c r="C1200" s="47" t="n"/>
      <c r="D1200" s="27">
        <f>IF($C1200="","",IF(COUNTIFS(ENVIOS!$A$4:$A$3003,$C1200)=0,"NO EXISTE",IF(COUNTIFS(ENVIOS!$A$4:$A$3003,$C1200)&gt;1,"DUPLICADA","OK")))</f>
        <v/>
      </c>
      <c r="E1200" s="22">
        <f>IF($C1200="","",IFERROR(INDEX(ENVIOS!$C$4:$C$3003,MATCH($C1200,ENVIOS!$A$4:$A$3003,0)),"—"))</f>
        <v/>
      </c>
      <c r="F1200" s="22">
        <f>IF($C1200="","",IFERROR(INDEX(ENVIOS!$D$4:$D$3003,MATCH($C1200,ENVIOS!$A$4:$A$3003,0)),"—"))</f>
        <v/>
      </c>
      <c r="G1200" s="22">
        <f>IF($C1200="","",IFERROR(INDEX(ENVIOS!$E$4:$E$3003,MATCH($C1200,ENVIOS!$A$4:$A$3003,0)),"—"))</f>
        <v/>
      </c>
      <c r="H1200" s="22">
        <f>IF($C1200="","",IFERROR(INDEX(ENVIOS!$F$4:$F$3003,MATCH($C1200,ENVIOS!$A$4:$A$3003,0)),"—"))</f>
        <v/>
      </c>
      <c r="I1200" s="27">
        <f>IF($C1200="","",IFERROR(INDEX(ENVIOS!$G$4:$G$3003,MATCH($C1200,ENVIOS!$A$4:$A$3003,0)),"—"))</f>
        <v/>
      </c>
      <c r="J1200" s="48">
        <f>IF($C1200="","",IFERROR(INDEX(ENVIOS!$B$4:$B$3003,MATCH($C1200,ENVIOS!$A$4:$A$3003,0)),""))</f>
        <v/>
      </c>
      <c r="K1200" s="49" t="n"/>
      <c r="L1200" s="27">
        <f>IF($K1200="","",IFERROR(INDEX(CONFIG!$B$4:$B$43,MATCH($K1200,CONFIG!$A$4:$A$43,0)),"Media"))</f>
        <v/>
      </c>
      <c r="M1200" s="27">
        <f>IF($K1200="","",IFERROR(INDEX(CONFIG!$D$4:$D$43,MATCH($K1200,CONFIG!$A$4:$A$43,0)),"NO"))</f>
        <v/>
      </c>
      <c r="N1200" s="49" t="n"/>
      <c r="O1200" s="27">
        <f>IF($N1200="","",IFERROR(INDEX(CONFIG!$G$4:$G$43,MATCH($N1200,CONFIG!$F$4:$F$43,0)),"Por definir"))</f>
        <v/>
      </c>
      <c r="P1200" s="27">
        <f>IF($N1200="","",IFERROR(INDEX(CONFIG!$H$4:$H$43,MATCH($N1200,CONFIG!$F$4:$F$43,0)),"Por definir"))</f>
        <v/>
      </c>
      <c r="Q1200" s="50" t="n"/>
      <c r="R1200" s="51" t="n"/>
      <c r="S1200" s="49" t="n"/>
      <c r="T1200" s="49" t="n"/>
      <c r="U1200" s="48">
        <f>IF(OR($B1200="",$K1200=""),"",WORKDAY($B1200,IFERROR(INDEX(CONFIG!$C$4:$C$43,MATCH($K1200,CONFIG!$A$4:$A$43,0)),3)))</f>
        <v/>
      </c>
      <c r="V1200" s="46" t="n"/>
      <c r="W1200" s="23">
        <f>IF($B1200="","",IF($V1200&lt;&gt;"",$V1200-$B1200,TODAY()-$B1200))</f>
        <v/>
      </c>
      <c r="X1200" s="27">
        <f>IF($C1200="","",IF(IFERROR(INDEX(CONFIG!$K$4:$K$43,MATCH($S1200,CONFIG!$J$4:$J$43,0)),"NO")="SÍ",IF(OR($V1200="",$U1200=""),"Resuelta",IF($V1200&gt;$U1200,"Resuelta tarde","Resuelta a tiempo")),IF($U1200="","Sin clasificar",IF(TODAY()&gt;$U1200,"Vencida",IF(TODAY()&gt;=$U1200-1,"Por vencer","En plazo")))))</f>
        <v/>
      </c>
      <c r="Y1200" s="49" t="n"/>
      <c r="Z1200" s="49" t="n"/>
    </row>
    <row r="1201" ht="16" customHeight="1">
      <c r="A1201" s="27">
        <f>IF($C1201="","","N-"&amp;TEXT(ROW()-3,"0000"))</f>
        <v/>
      </c>
      <c r="B1201" s="46" t="n"/>
      <c r="C1201" s="47" t="n"/>
      <c r="D1201" s="27">
        <f>IF($C1201="","",IF(COUNTIFS(ENVIOS!$A$4:$A$3003,$C1201)=0,"NO EXISTE",IF(COUNTIFS(ENVIOS!$A$4:$A$3003,$C1201)&gt;1,"DUPLICADA","OK")))</f>
        <v/>
      </c>
      <c r="E1201" s="22">
        <f>IF($C1201="","",IFERROR(INDEX(ENVIOS!$C$4:$C$3003,MATCH($C1201,ENVIOS!$A$4:$A$3003,0)),"—"))</f>
        <v/>
      </c>
      <c r="F1201" s="22">
        <f>IF($C1201="","",IFERROR(INDEX(ENVIOS!$D$4:$D$3003,MATCH($C1201,ENVIOS!$A$4:$A$3003,0)),"—"))</f>
        <v/>
      </c>
      <c r="G1201" s="22">
        <f>IF($C1201="","",IFERROR(INDEX(ENVIOS!$E$4:$E$3003,MATCH($C1201,ENVIOS!$A$4:$A$3003,0)),"—"))</f>
        <v/>
      </c>
      <c r="H1201" s="22">
        <f>IF($C1201="","",IFERROR(INDEX(ENVIOS!$F$4:$F$3003,MATCH($C1201,ENVIOS!$A$4:$A$3003,0)),"—"))</f>
        <v/>
      </c>
      <c r="I1201" s="27">
        <f>IF($C1201="","",IFERROR(INDEX(ENVIOS!$G$4:$G$3003,MATCH($C1201,ENVIOS!$A$4:$A$3003,0)),"—"))</f>
        <v/>
      </c>
      <c r="J1201" s="48">
        <f>IF($C1201="","",IFERROR(INDEX(ENVIOS!$B$4:$B$3003,MATCH($C1201,ENVIOS!$A$4:$A$3003,0)),""))</f>
        <v/>
      </c>
      <c r="K1201" s="49" t="n"/>
      <c r="L1201" s="27">
        <f>IF($K1201="","",IFERROR(INDEX(CONFIG!$B$4:$B$43,MATCH($K1201,CONFIG!$A$4:$A$43,0)),"Media"))</f>
        <v/>
      </c>
      <c r="M1201" s="27">
        <f>IF($K1201="","",IFERROR(INDEX(CONFIG!$D$4:$D$43,MATCH($K1201,CONFIG!$A$4:$A$43,0)),"NO"))</f>
        <v/>
      </c>
      <c r="N1201" s="49" t="n"/>
      <c r="O1201" s="27">
        <f>IF($N1201="","",IFERROR(INDEX(CONFIG!$G$4:$G$43,MATCH($N1201,CONFIG!$F$4:$F$43,0)),"Por definir"))</f>
        <v/>
      </c>
      <c r="P1201" s="27">
        <f>IF($N1201="","",IFERROR(INDEX(CONFIG!$H$4:$H$43,MATCH($N1201,CONFIG!$F$4:$F$43,0)),"Por definir"))</f>
        <v/>
      </c>
      <c r="Q1201" s="50" t="n"/>
      <c r="R1201" s="51" t="n"/>
      <c r="S1201" s="49" t="n"/>
      <c r="T1201" s="49" t="n"/>
      <c r="U1201" s="48">
        <f>IF(OR($B1201="",$K1201=""),"",WORKDAY($B1201,IFERROR(INDEX(CONFIG!$C$4:$C$43,MATCH($K1201,CONFIG!$A$4:$A$43,0)),3)))</f>
        <v/>
      </c>
      <c r="V1201" s="46" t="n"/>
      <c r="W1201" s="23">
        <f>IF($B1201="","",IF($V1201&lt;&gt;"",$V1201-$B1201,TODAY()-$B1201))</f>
        <v/>
      </c>
      <c r="X1201" s="27">
        <f>IF($C1201="","",IF(IFERROR(INDEX(CONFIG!$K$4:$K$43,MATCH($S1201,CONFIG!$J$4:$J$43,0)),"NO")="SÍ",IF(OR($V1201="",$U1201=""),"Resuelta",IF($V1201&gt;$U1201,"Resuelta tarde","Resuelta a tiempo")),IF($U1201="","Sin clasificar",IF(TODAY()&gt;$U1201,"Vencida",IF(TODAY()&gt;=$U1201-1,"Por vencer","En plazo")))))</f>
        <v/>
      </c>
      <c r="Y1201" s="49" t="n"/>
      <c r="Z1201" s="49" t="n"/>
    </row>
    <row r="1202" ht="16" customHeight="1">
      <c r="A1202" s="27">
        <f>IF($C1202="","","N-"&amp;TEXT(ROW()-3,"0000"))</f>
        <v/>
      </c>
      <c r="B1202" s="46" t="n"/>
      <c r="C1202" s="47" t="n"/>
      <c r="D1202" s="27">
        <f>IF($C1202="","",IF(COUNTIFS(ENVIOS!$A$4:$A$3003,$C1202)=0,"NO EXISTE",IF(COUNTIFS(ENVIOS!$A$4:$A$3003,$C1202)&gt;1,"DUPLICADA","OK")))</f>
        <v/>
      </c>
      <c r="E1202" s="22">
        <f>IF($C1202="","",IFERROR(INDEX(ENVIOS!$C$4:$C$3003,MATCH($C1202,ENVIOS!$A$4:$A$3003,0)),"—"))</f>
        <v/>
      </c>
      <c r="F1202" s="22">
        <f>IF($C1202="","",IFERROR(INDEX(ENVIOS!$D$4:$D$3003,MATCH($C1202,ENVIOS!$A$4:$A$3003,0)),"—"))</f>
        <v/>
      </c>
      <c r="G1202" s="22">
        <f>IF($C1202="","",IFERROR(INDEX(ENVIOS!$E$4:$E$3003,MATCH($C1202,ENVIOS!$A$4:$A$3003,0)),"—"))</f>
        <v/>
      </c>
      <c r="H1202" s="22">
        <f>IF($C1202="","",IFERROR(INDEX(ENVIOS!$F$4:$F$3003,MATCH($C1202,ENVIOS!$A$4:$A$3003,0)),"—"))</f>
        <v/>
      </c>
      <c r="I1202" s="27">
        <f>IF($C1202="","",IFERROR(INDEX(ENVIOS!$G$4:$G$3003,MATCH($C1202,ENVIOS!$A$4:$A$3003,0)),"—"))</f>
        <v/>
      </c>
      <c r="J1202" s="48">
        <f>IF($C1202="","",IFERROR(INDEX(ENVIOS!$B$4:$B$3003,MATCH($C1202,ENVIOS!$A$4:$A$3003,0)),""))</f>
        <v/>
      </c>
      <c r="K1202" s="49" t="n"/>
      <c r="L1202" s="27">
        <f>IF($K1202="","",IFERROR(INDEX(CONFIG!$B$4:$B$43,MATCH($K1202,CONFIG!$A$4:$A$43,0)),"Media"))</f>
        <v/>
      </c>
      <c r="M1202" s="27">
        <f>IF($K1202="","",IFERROR(INDEX(CONFIG!$D$4:$D$43,MATCH($K1202,CONFIG!$A$4:$A$43,0)),"NO"))</f>
        <v/>
      </c>
      <c r="N1202" s="49" t="n"/>
      <c r="O1202" s="27">
        <f>IF($N1202="","",IFERROR(INDEX(CONFIG!$G$4:$G$43,MATCH($N1202,CONFIG!$F$4:$F$43,0)),"Por definir"))</f>
        <v/>
      </c>
      <c r="P1202" s="27">
        <f>IF($N1202="","",IFERROR(INDEX(CONFIG!$H$4:$H$43,MATCH($N1202,CONFIG!$F$4:$F$43,0)),"Por definir"))</f>
        <v/>
      </c>
      <c r="Q1202" s="50" t="n"/>
      <c r="R1202" s="51" t="n"/>
      <c r="S1202" s="49" t="n"/>
      <c r="T1202" s="49" t="n"/>
      <c r="U1202" s="48">
        <f>IF(OR($B1202="",$K1202=""),"",WORKDAY($B1202,IFERROR(INDEX(CONFIG!$C$4:$C$43,MATCH($K1202,CONFIG!$A$4:$A$43,0)),3)))</f>
        <v/>
      </c>
      <c r="V1202" s="46" t="n"/>
      <c r="W1202" s="23">
        <f>IF($B1202="","",IF($V1202&lt;&gt;"",$V1202-$B1202,TODAY()-$B1202))</f>
        <v/>
      </c>
      <c r="X1202" s="27">
        <f>IF($C1202="","",IF(IFERROR(INDEX(CONFIG!$K$4:$K$43,MATCH($S1202,CONFIG!$J$4:$J$43,0)),"NO")="SÍ",IF(OR($V1202="",$U1202=""),"Resuelta",IF($V1202&gt;$U1202,"Resuelta tarde","Resuelta a tiempo")),IF($U1202="","Sin clasificar",IF(TODAY()&gt;$U1202,"Vencida",IF(TODAY()&gt;=$U1202-1,"Por vencer","En plazo")))))</f>
        <v/>
      </c>
      <c r="Y1202" s="49" t="n"/>
      <c r="Z1202" s="49" t="n"/>
    </row>
    <row r="1203" ht="16" customHeight="1">
      <c r="A1203" s="27">
        <f>IF($C1203="","","N-"&amp;TEXT(ROW()-3,"0000"))</f>
        <v/>
      </c>
      <c r="B1203" s="46" t="n"/>
      <c r="C1203" s="47" t="n"/>
      <c r="D1203" s="27">
        <f>IF($C1203="","",IF(COUNTIFS(ENVIOS!$A$4:$A$3003,$C1203)=0,"NO EXISTE",IF(COUNTIFS(ENVIOS!$A$4:$A$3003,$C1203)&gt;1,"DUPLICADA","OK")))</f>
        <v/>
      </c>
      <c r="E1203" s="22">
        <f>IF($C1203="","",IFERROR(INDEX(ENVIOS!$C$4:$C$3003,MATCH($C1203,ENVIOS!$A$4:$A$3003,0)),"—"))</f>
        <v/>
      </c>
      <c r="F1203" s="22">
        <f>IF($C1203="","",IFERROR(INDEX(ENVIOS!$D$4:$D$3003,MATCH($C1203,ENVIOS!$A$4:$A$3003,0)),"—"))</f>
        <v/>
      </c>
      <c r="G1203" s="22">
        <f>IF($C1203="","",IFERROR(INDEX(ENVIOS!$E$4:$E$3003,MATCH($C1203,ENVIOS!$A$4:$A$3003,0)),"—"))</f>
        <v/>
      </c>
      <c r="H1203" s="22">
        <f>IF($C1203="","",IFERROR(INDEX(ENVIOS!$F$4:$F$3003,MATCH($C1203,ENVIOS!$A$4:$A$3003,0)),"—"))</f>
        <v/>
      </c>
      <c r="I1203" s="27">
        <f>IF($C1203="","",IFERROR(INDEX(ENVIOS!$G$4:$G$3003,MATCH($C1203,ENVIOS!$A$4:$A$3003,0)),"—"))</f>
        <v/>
      </c>
      <c r="J1203" s="48">
        <f>IF($C1203="","",IFERROR(INDEX(ENVIOS!$B$4:$B$3003,MATCH($C1203,ENVIOS!$A$4:$A$3003,0)),""))</f>
        <v/>
      </c>
      <c r="K1203" s="49" t="n"/>
      <c r="L1203" s="27">
        <f>IF($K1203="","",IFERROR(INDEX(CONFIG!$B$4:$B$43,MATCH($K1203,CONFIG!$A$4:$A$43,0)),"Media"))</f>
        <v/>
      </c>
      <c r="M1203" s="27">
        <f>IF($K1203="","",IFERROR(INDEX(CONFIG!$D$4:$D$43,MATCH($K1203,CONFIG!$A$4:$A$43,0)),"NO"))</f>
        <v/>
      </c>
      <c r="N1203" s="49" t="n"/>
      <c r="O1203" s="27">
        <f>IF($N1203="","",IFERROR(INDEX(CONFIG!$G$4:$G$43,MATCH($N1203,CONFIG!$F$4:$F$43,0)),"Por definir"))</f>
        <v/>
      </c>
      <c r="P1203" s="27">
        <f>IF($N1203="","",IFERROR(INDEX(CONFIG!$H$4:$H$43,MATCH($N1203,CONFIG!$F$4:$F$43,0)),"Por definir"))</f>
        <v/>
      </c>
      <c r="Q1203" s="50" t="n"/>
      <c r="R1203" s="51" t="n"/>
      <c r="S1203" s="49" t="n"/>
      <c r="T1203" s="49" t="n"/>
      <c r="U1203" s="48">
        <f>IF(OR($B1203="",$K1203=""),"",WORKDAY($B1203,IFERROR(INDEX(CONFIG!$C$4:$C$43,MATCH($K1203,CONFIG!$A$4:$A$43,0)),3)))</f>
        <v/>
      </c>
      <c r="V1203" s="46" t="n"/>
      <c r="W1203" s="23">
        <f>IF($B1203="","",IF($V1203&lt;&gt;"",$V1203-$B1203,TODAY()-$B1203))</f>
        <v/>
      </c>
      <c r="X1203" s="27">
        <f>IF($C1203="","",IF(IFERROR(INDEX(CONFIG!$K$4:$K$43,MATCH($S1203,CONFIG!$J$4:$J$43,0)),"NO")="SÍ",IF(OR($V1203="",$U1203=""),"Resuelta",IF($V1203&gt;$U1203,"Resuelta tarde","Resuelta a tiempo")),IF($U1203="","Sin clasificar",IF(TODAY()&gt;$U1203,"Vencida",IF(TODAY()&gt;=$U1203-1,"Por vencer","En plazo")))))</f>
        <v/>
      </c>
      <c r="Y1203" s="49" t="n"/>
      <c r="Z1203" s="49" t="n"/>
    </row>
    <row r="1204" ht="16" customHeight="1">
      <c r="A1204" s="27">
        <f>IF($C1204="","","N-"&amp;TEXT(ROW()-3,"0000"))</f>
        <v/>
      </c>
      <c r="B1204" s="46" t="n"/>
      <c r="C1204" s="47" t="n"/>
      <c r="D1204" s="27">
        <f>IF($C1204="","",IF(COUNTIFS(ENVIOS!$A$4:$A$3003,$C1204)=0,"NO EXISTE",IF(COUNTIFS(ENVIOS!$A$4:$A$3003,$C1204)&gt;1,"DUPLICADA","OK")))</f>
        <v/>
      </c>
      <c r="E1204" s="22">
        <f>IF($C1204="","",IFERROR(INDEX(ENVIOS!$C$4:$C$3003,MATCH($C1204,ENVIOS!$A$4:$A$3003,0)),"—"))</f>
        <v/>
      </c>
      <c r="F1204" s="22">
        <f>IF($C1204="","",IFERROR(INDEX(ENVIOS!$D$4:$D$3003,MATCH($C1204,ENVIOS!$A$4:$A$3003,0)),"—"))</f>
        <v/>
      </c>
      <c r="G1204" s="22">
        <f>IF($C1204="","",IFERROR(INDEX(ENVIOS!$E$4:$E$3003,MATCH($C1204,ENVIOS!$A$4:$A$3003,0)),"—"))</f>
        <v/>
      </c>
      <c r="H1204" s="22">
        <f>IF($C1204="","",IFERROR(INDEX(ENVIOS!$F$4:$F$3003,MATCH($C1204,ENVIOS!$A$4:$A$3003,0)),"—"))</f>
        <v/>
      </c>
      <c r="I1204" s="27">
        <f>IF($C1204="","",IFERROR(INDEX(ENVIOS!$G$4:$G$3003,MATCH($C1204,ENVIOS!$A$4:$A$3003,0)),"—"))</f>
        <v/>
      </c>
      <c r="J1204" s="48">
        <f>IF($C1204="","",IFERROR(INDEX(ENVIOS!$B$4:$B$3003,MATCH($C1204,ENVIOS!$A$4:$A$3003,0)),""))</f>
        <v/>
      </c>
      <c r="K1204" s="49" t="n"/>
      <c r="L1204" s="27">
        <f>IF($K1204="","",IFERROR(INDEX(CONFIG!$B$4:$B$43,MATCH($K1204,CONFIG!$A$4:$A$43,0)),"Media"))</f>
        <v/>
      </c>
      <c r="M1204" s="27">
        <f>IF($K1204="","",IFERROR(INDEX(CONFIG!$D$4:$D$43,MATCH($K1204,CONFIG!$A$4:$A$43,0)),"NO"))</f>
        <v/>
      </c>
      <c r="N1204" s="49" t="n"/>
      <c r="O1204" s="27">
        <f>IF($N1204="","",IFERROR(INDEX(CONFIG!$G$4:$G$43,MATCH($N1204,CONFIG!$F$4:$F$43,0)),"Por definir"))</f>
        <v/>
      </c>
      <c r="P1204" s="27">
        <f>IF($N1204="","",IFERROR(INDEX(CONFIG!$H$4:$H$43,MATCH($N1204,CONFIG!$F$4:$F$43,0)),"Por definir"))</f>
        <v/>
      </c>
      <c r="Q1204" s="50" t="n"/>
      <c r="R1204" s="51" t="n"/>
      <c r="S1204" s="49" t="n"/>
      <c r="T1204" s="49" t="n"/>
      <c r="U1204" s="48">
        <f>IF(OR($B1204="",$K1204=""),"",WORKDAY($B1204,IFERROR(INDEX(CONFIG!$C$4:$C$43,MATCH($K1204,CONFIG!$A$4:$A$43,0)),3)))</f>
        <v/>
      </c>
      <c r="V1204" s="46" t="n"/>
      <c r="W1204" s="23">
        <f>IF($B1204="","",IF($V1204&lt;&gt;"",$V1204-$B1204,TODAY()-$B1204))</f>
        <v/>
      </c>
      <c r="X1204" s="27">
        <f>IF($C1204="","",IF(IFERROR(INDEX(CONFIG!$K$4:$K$43,MATCH($S1204,CONFIG!$J$4:$J$43,0)),"NO")="SÍ",IF(OR($V1204="",$U1204=""),"Resuelta",IF($V1204&gt;$U1204,"Resuelta tarde","Resuelta a tiempo")),IF($U1204="","Sin clasificar",IF(TODAY()&gt;$U1204,"Vencida",IF(TODAY()&gt;=$U1204-1,"Por vencer","En plazo")))))</f>
        <v/>
      </c>
      <c r="Y1204" s="49" t="n"/>
      <c r="Z1204" s="49" t="n"/>
    </row>
    <row r="1205" ht="16" customHeight="1">
      <c r="A1205" s="27">
        <f>IF($C1205="","","N-"&amp;TEXT(ROW()-3,"0000"))</f>
        <v/>
      </c>
      <c r="B1205" s="46" t="n"/>
      <c r="C1205" s="47" t="n"/>
      <c r="D1205" s="27">
        <f>IF($C1205="","",IF(COUNTIFS(ENVIOS!$A$4:$A$3003,$C1205)=0,"NO EXISTE",IF(COUNTIFS(ENVIOS!$A$4:$A$3003,$C1205)&gt;1,"DUPLICADA","OK")))</f>
        <v/>
      </c>
      <c r="E1205" s="22">
        <f>IF($C1205="","",IFERROR(INDEX(ENVIOS!$C$4:$C$3003,MATCH($C1205,ENVIOS!$A$4:$A$3003,0)),"—"))</f>
        <v/>
      </c>
      <c r="F1205" s="22">
        <f>IF($C1205="","",IFERROR(INDEX(ENVIOS!$D$4:$D$3003,MATCH($C1205,ENVIOS!$A$4:$A$3003,0)),"—"))</f>
        <v/>
      </c>
      <c r="G1205" s="22">
        <f>IF($C1205="","",IFERROR(INDEX(ENVIOS!$E$4:$E$3003,MATCH($C1205,ENVIOS!$A$4:$A$3003,0)),"—"))</f>
        <v/>
      </c>
      <c r="H1205" s="22">
        <f>IF($C1205="","",IFERROR(INDEX(ENVIOS!$F$4:$F$3003,MATCH($C1205,ENVIOS!$A$4:$A$3003,0)),"—"))</f>
        <v/>
      </c>
      <c r="I1205" s="27">
        <f>IF($C1205="","",IFERROR(INDEX(ENVIOS!$G$4:$G$3003,MATCH($C1205,ENVIOS!$A$4:$A$3003,0)),"—"))</f>
        <v/>
      </c>
      <c r="J1205" s="48">
        <f>IF($C1205="","",IFERROR(INDEX(ENVIOS!$B$4:$B$3003,MATCH($C1205,ENVIOS!$A$4:$A$3003,0)),""))</f>
        <v/>
      </c>
      <c r="K1205" s="49" t="n"/>
      <c r="L1205" s="27">
        <f>IF($K1205="","",IFERROR(INDEX(CONFIG!$B$4:$B$43,MATCH($K1205,CONFIG!$A$4:$A$43,0)),"Media"))</f>
        <v/>
      </c>
      <c r="M1205" s="27">
        <f>IF($K1205="","",IFERROR(INDEX(CONFIG!$D$4:$D$43,MATCH($K1205,CONFIG!$A$4:$A$43,0)),"NO"))</f>
        <v/>
      </c>
      <c r="N1205" s="49" t="n"/>
      <c r="O1205" s="27">
        <f>IF($N1205="","",IFERROR(INDEX(CONFIG!$G$4:$G$43,MATCH($N1205,CONFIG!$F$4:$F$43,0)),"Por definir"))</f>
        <v/>
      </c>
      <c r="P1205" s="27">
        <f>IF($N1205="","",IFERROR(INDEX(CONFIG!$H$4:$H$43,MATCH($N1205,CONFIG!$F$4:$F$43,0)),"Por definir"))</f>
        <v/>
      </c>
      <c r="Q1205" s="50" t="n"/>
      <c r="R1205" s="51" t="n"/>
      <c r="S1205" s="49" t="n"/>
      <c r="T1205" s="49" t="n"/>
      <c r="U1205" s="48">
        <f>IF(OR($B1205="",$K1205=""),"",WORKDAY($B1205,IFERROR(INDEX(CONFIG!$C$4:$C$43,MATCH($K1205,CONFIG!$A$4:$A$43,0)),3)))</f>
        <v/>
      </c>
      <c r="V1205" s="46" t="n"/>
      <c r="W1205" s="23">
        <f>IF($B1205="","",IF($V1205&lt;&gt;"",$V1205-$B1205,TODAY()-$B1205))</f>
        <v/>
      </c>
      <c r="X1205" s="27">
        <f>IF($C1205="","",IF(IFERROR(INDEX(CONFIG!$K$4:$K$43,MATCH($S1205,CONFIG!$J$4:$J$43,0)),"NO")="SÍ",IF(OR($V1205="",$U1205=""),"Resuelta",IF($V1205&gt;$U1205,"Resuelta tarde","Resuelta a tiempo")),IF($U1205="","Sin clasificar",IF(TODAY()&gt;$U1205,"Vencida",IF(TODAY()&gt;=$U1205-1,"Por vencer","En plazo")))))</f>
        <v/>
      </c>
      <c r="Y1205" s="49" t="n"/>
      <c r="Z1205" s="49" t="n"/>
    </row>
    <row r="1206" ht="16" customHeight="1">
      <c r="A1206" s="27">
        <f>IF($C1206="","","N-"&amp;TEXT(ROW()-3,"0000"))</f>
        <v/>
      </c>
      <c r="B1206" s="46" t="n"/>
      <c r="C1206" s="47" t="n"/>
      <c r="D1206" s="27">
        <f>IF($C1206="","",IF(COUNTIFS(ENVIOS!$A$4:$A$3003,$C1206)=0,"NO EXISTE",IF(COUNTIFS(ENVIOS!$A$4:$A$3003,$C1206)&gt;1,"DUPLICADA","OK")))</f>
        <v/>
      </c>
      <c r="E1206" s="22">
        <f>IF($C1206="","",IFERROR(INDEX(ENVIOS!$C$4:$C$3003,MATCH($C1206,ENVIOS!$A$4:$A$3003,0)),"—"))</f>
        <v/>
      </c>
      <c r="F1206" s="22">
        <f>IF($C1206="","",IFERROR(INDEX(ENVIOS!$D$4:$D$3003,MATCH($C1206,ENVIOS!$A$4:$A$3003,0)),"—"))</f>
        <v/>
      </c>
      <c r="G1206" s="22">
        <f>IF($C1206="","",IFERROR(INDEX(ENVIOS!$E$4:$E$3003,MATCH($C1206,ENVIOS!$A$4:$A$3003,0)),"—"))</f>
        <v/>
      </c>
      <c r="H1206" s="22">
        <f>IF($C1206="","",IFERROR(INDEX(ENVIOS!$F$4:$F$3003,MATCH($C1206,ENVIOS!$A$4:$A$3003,0)),"—"))</f>
        <v/>
      </c>
      <c r="I1206" s="27">
        <f>IF($C1206="","",IFERROR(INDEX(ENVIOS!$G$4:$G$3003,MATCH($C1206,ENVIOS!$A$4:$A$3003,0)),"—"))</f>
        <v/>
      </c>
      <c r="J1206" s="48">
        <f>IF($C1206="","",IFERROR(INDEX(ENVIOS!$B$4:$B$3003,MATCH($C1206,ENVIOS!$A$4:$A$3003,0)),""))</f>
        <v/>
      </c>
      <c r="K1206" s="49" t="n"/>
      <c r="L1206" s="27">
        <f>IF($K1206="","",IFERROR(INDEX(CONFIG!$B$4:$B$43,MATCH($K1206,CONFIG!$A$4:$A$43,0)),"Media"))</f>
        <v/>
      </c>
      <c r="M1206" s="27">
        <f>IF($K1206="","",IFERROR(INDEX(CONFIG!$D$4:$D$43,MATCH($K1206,CONFIG!$A$4:$A$43,0)),"NO"))</f>
        <v/>
      </c>
      <c r="N1206" s="49" t="n"/>
      <c r="O1206" s="27">
        <f>IF($N1206="","",IFERROR(INDEX(CONFIG!$G$4:$G$43,MATCH($N1206,CONFIG!$F$4:$F$43,0)),"Por definir"))</f>
        <v/>
      </c>
      <c r="P1206" s="27">
        <f>IF($N1206="","",IFERROR(INDEX(CONFIG!$H$4:$H$43,MATCH($N1206,CONFIG!$F$4:$F$43,0)),"Por definir"))</f>
        <v/>
      </c>
      <c r="Q1206" s="50" t="n"/>
      <c r="R1206" s="51" t="n"/>
      <c r="S1206" s="49" t="n"/>
      <c r="T1206" s="49" t="n"/>
      <c r="U1206" s="48">
        <f>IF(OR($B1206="",$K1206=""),"",WORKDAY($B1206,IFERROR(INDEX(CONFIG!$C$4:$C$43,MATCH($K1206,CONFIG!$A$4:$A$43,0)),3)))</f>
        <v/>
      </c>
      <c r="V1206" s="46" t="n"/>
      <c r="W1206" s="23">
        <f>IF($B1206="","",IF($V1206&lt;&gt;"",$V1206-$B1206,TODAY()-$B1206))</f>
        <v/>
      </c>
      <c r="X1206" s="27">
        <f>IF($C1206="","",IF(IFERROR(INDEX(CONFIG!$K$4:$K$43,MATCH($S1206,CONFIG!$J$4:$J$43,0)),"NO")="SÍ",IF(OR($V1206="",$U1206=""),"Resuelta",IF($V1206&gt;$U1206,"Resuelta tarde","Resuelta a tiempo")),IF($U1206="","Sin clasificar",IF(TODAY()&gt;$U1206,"Vencida",IF(TODAY()&gt;=$U1206-1,"Por vencer","En plazo")))))</f>
        <v/>
      </c>
      <c r="Y1206" s="49" t="n"/>
      <c r="Z1206" s="49" t="n"/>
    </row>
    <row r="1207" ht="16" customHeight="1">
      <c r="A1207" s="27">
        <f>IF($C1207="","","N-"&amp;TEXT(ROW()-3,"0000"))</f>
        <v/>
      </c>
      <c r="B1207" s="46" t="n"/>
      <c r="C1207" s="47" t="n"/>
      <c r="D1207" s="27">
        <f>IF($C1207="","",IF(COUNTIFS(ENVIOS!$A$4:$A$3003,$C1207)=0,"NO EXISTE",IF(COUNTIFS(ENVIOS!$A$4:$A$3003,$C1207)&gt;1,"DUPLICADA","OK")))</f>
        <v/>
      </c>
      <c r="E1207" s="22">
        <f>IF($C1207="","",IFERROR(INDEX(ENVIOS!$C$4:$C$3003,MATCH($C1207,ENVIOS!$A$4:$A$3003,0)),"—"))</f>
        <v/>
      </c>
      <c r="F1207" s="22">
        <f>IF($C1207="","",IFERROR(INDEX(ENVIOS!$D$4:$D$3003,MATCH($C1207,ENVIOS!$A$4:$A$3003,0)),"—"))</f>
        <v/>
      </c>
      <c r="G1207" s="22">
        <f>IF($C1207="","",IFERROR(INDEX(ENVIOS!$E$4:$E$3003,MATCH($C1207,ENVIOS!$A$4:$A$3003,0)),"—"))</f>
        <v/>
      </c>
      <c r="H1207" s="22">
        <f>IF($C1207="","",IFERROR(INDEX(ENVIOS!$F$4:$F$3003,MATCH($C1207,ENVIOS!$A$4:$A$3003,0)),"—"))</f>
        <v/>
      </c>
      <c r="I1207" s="27">
        <f>IF($C1207="","",IFERROR(INDEX(ENVIOS!$G$4:$G$3003,MATCH($C1207,ENVIOS!$A$4:$A$3003,0)),"—"))</f>
        <v/>
      </c>
      <c r="J1207" s="48">
        <f>IF($C1207="","",IFERROR(INDEX(ENVIOS!$B$4:$B$3003,MATCH($C1207,ENVIOS!$A$4:$A$3003,0)),""))</f>
        <v/>
      </c>
      <c r="K1207" s="49" t="n"/>
      <c r="L1207" s="27">
        <f>IF($K1207="","",IFERROR(INDEX(CONFIG!$B$4:$B$43,MATCH($K1207,CONFIG!$A$4:$A$43,0)),"Media"))</f>
        <v/>
      </c>
      <c r="M1207" s="27">
        <f>IF($K1207="","",IFERROR(INDEX(CONFIG!$D$4:$D$43,MATCH($K1207,CONFIG!$A$4:$A$43,0)),"NO"))</f>
        <v/>
      </c>
      <c r="N1207" s="49" t="n"/>
      <c r="O1207" s="27">
        <f>IF($N1207="","",IFERROR(INDEX(CONFIG!$G$4:$G$43,MATCH($N1207,CONFIG!$F$4:$F$43,0)),"Por definir"))</f>
        <v/>
      </c>
      <c r="P1207" s="27">
        <f>IF($N1207="","",IFERROR(INDEX(CONFIG!$H$4:$H$43,MATCH($N1207,CONFIG!$F$4:$F$43,0)),"Por definir"))</f>
        <v/>
      </c>
      <c r="Q1207" s="50" t="n"/>
      <c r="R1207" s="51" t="n"/>
      <c r="S1207" s="49" t="n"/>
      <c r="T1207" s="49" t="n"/>
      <c r="U1207" s="48">
        <f>IF(OR($B1207="",$K1207=""),"",WORKDAY($B1207,IFERROR(INDEX(CONFIG!$C$4:$C$43,MATCH($K1207,CONFIG!$A$4:$A$43,0)),3)))</f>
        <v/>
      </c>
      <c r="V1207" s="46" t="n"/>
      <c r="W1207" s="23">
        <f>IF($B1207="","",IF($V1207&lt;&gt;"",$V1207-$B1207,TODAY()-$B1207))</f>
        <v/>
      </c>
      <c r="X1207" s="27">
        <f>IF($C1207="","",IF(IFERROR(INDEX(CONFIG!$K$4:$K$43,MATCH($S1207,CONFIG!$J$4:$J$43,0)),"NO")="SÍ",IF(OR($V1207="",$U1207=""),"Resuelta",IF($V1207&gt;$U1207,"Resuelta tarde","Resuelta a tiempo")),IF($U1207="","Sin clasificar",IF(TODAY()&gt;$U1207,"Vencida",IF(TODAY()&gt;=$U1207-1,"Por vencer","En plazo")))))</f>
        <v/>
      </c>
      <c r="Y1207" s="49" t="n"/>
      <c r="Z1207" s="49" t="n"/>
    </row>
    <row r="1208" ht="16" customHeight="1">
      <c r="A1208" s="27">
        <f>IF($C1208="","","N-"&amp;TEXT(ROW()-3,"0000"))</f>
        <v/>
      </c>
      <c r="B1208" s="46" t="n"/>
      <c r="C1208" s="47" t="n"/>
      <c r="D1208" s="27">
        <f>IF($C1208="","",IF(COUNTIFS(ENVIOS!$A$4:$A$3003,$C1208)=0,"NO EXISTE",IF(COUNTIFS(ENVIOS!$A$4:$A$3003,$C1208)&gt;1,"DUPLICADA","OK")))</f>
        <v/>
      </c>
      <c r="E1208" s="22">
        <f>IF($C1208="","",IFERROR(INDEX(ENVIOS!$C$4:$C$3003,MATCH($C1208,ENVIOS!$A$4:$A$3003,0)),"—"))</f>
        <v/>
      </c>
      <c r="F1208" s="22">
        <f>IF($C1208="","",IFERROR(INDEX(ENVIOS!$D$4:$D$3003,MATCH($C1208,ENVIOS!$A$4:$A$3003,0)),"—"))</f>
        <v/>
      </c>
      <c r="G1208" s="22">
        <f>IF($C1208="","",IFERROR(INDEX(ENVIOS!$E$4:$E$3003,MATCH($C1208,ENVIOS!$A$4:$A$3003,0)),"—"))</f>
        <v/>
      </c>
      <c r="H1208" s="22">
        <f>IF($C1208="","",IFERROR(INDEX(ENVIOS!$F$4:$F$3003,MATCH($C1208,ENVIOS!$A$4:$A$3003,0)),"—"))</f>
        <v/>
      </c>
      <c r="I1208" s="27">
        <f>IF($C1208="","",IFERROR(INDEX(ENVIOS!$G$4:$G$3003,MATCH($C1208,ENVIOS!$A$4:$A$3003,0)),"—"))</f>
        <v/>
      </c>
      <c r="J1208" s="48">
        <f>IF($C1208="","",IFERROR(INDEX(ENVIOS!$B$4:$B$3003,MATCH($C1208,ENVIOS!$A$4:$A$3003,0)),""))</f>
        <v/>
      </c>
      <c r="K1208" s="49" t="n"/>
      <c r="L1208" s="27">
        <f>IF($K1208="","",IFERROR(INDEX(CONFIG!$B$4:$B$43,MATCH($K1208,CONFIG!$A$4:$A$43,0)),"Media"))</f>
        <v/>
      </c>
      <c r="M1208" s="27">
        <f>IF($K1208="","",IFERROR(INDEX(CONFIG!$D$4:$D$43,MATCH($K1208,CONFIG!$A$4:$A$43,0)),"NO"))</f>
        <v/>
      </c>
      <c r="N1208" s="49" t="n"/>
      <c r="O1208" s="27">
        <f>IF($N1208="","",IFERROR(INDEX(CONFIG!$G$4:$G$43,MATCH($N1208,CONFIG!$F$4:$F$43,0)),"Por definir"))</f>
        <v/>
      </c>
      <c r="P1208" s="27">
        <f>IF($N1208="","",IFERROR(INDEX(CONFIG!$H$4:$H$43,MATCH($N1208,CONFIG!$F$4:$F$43,0)),"Por definir"))</f>
        <v/>
      </c>
      <c r="Q1208" s="50" t="n"/>
      <c r="R1208" s="51" t="n"/>
      <c r="S1208" s="49" t="n"/>
      <c r="T1208" s="49" t="n"/>
      <c r="U1208" s="48">
        <f>IF(OR($B1208="",$K1208=""),"",WORKDAY($B1208,IFERROR(INDEX(CONFIG!$C$4:$C$43,MATCH($K1208,CONFIG!$A$4:$A$43,0)),3)))</f>
        <v/>
      </c>
      <c r="V1208" s="46" t="n"/>
      <c r="W1208" s="23">
        <f>IF($B1208="","",IF($V1208&lt;&gt;"",$V1208-$B1208,TODAY()-$B1208))</f>
        <v/>
      </c>
      <c r="X1208" s="27">
        <f>IF($C1208="","",IF(IFERROR(INDEX(CONFIG!$K$4:$K$43,MATCH($S1208,CONFIG!$J$4:$J$43,0)),"NO")="SÍ",IF(OR($V1208="",$U1208=""),"Resuelta",IF($V1208&gt;$U1208,"Resuelta tarde","Resuelta a tiempo")),IF($U1208="","Sin clasificar",IF(TODAY()&gt;$U1208,"Vencida",IF(TODAY()&gt;=$U1208-1,"Por vencer","En plazo")))))</f>
        <v/>
      </c>
      <c r="Y1208" s="49" t="n"/>
      <c r="Z1208" s="49" t="n"/>
    </row>
    <row r="1209" ht="16" customHeight="1">
      <c r="A1209" s="27">
        <f>IF($C1209="","","N-"&amp;TEXT(ROW()-3,"0000"))</f>
        <v/>
      </c>
      <c r="B1209" s="46" t="n"/>
      <c r="C1209" s="47" t="n"/>
      <c r="D1209" s="27">
        <f>IF($C1209="","",IF(COUNTIFS(ENVIOS!$A$4:$A$3003,$C1209)=0,"NO EXISTE",IF(COUNTIFS(ENVIOS!$A$4:$A$3003,$C1209)&gt;1,"DUPLICADA","OK")))</f>
        <v/>
      </c>
      <c r="E1209" s="22">
        <f>IF($C1209="","",IFERROR(INDEX(ENVIOS!$C$4:$C$3003,MATCH($C1209,ENVIOS!$A$4:$A$3003,0)),"—"))</f>
        <v/>
      </c>
      <c r="F1209" s="22">
        <f>IF($C1209="","",IFERROR(INDEX(ENVIOS!$D$4:$D$3003,MATCH($C1209,ENVIOS!$A$4:$A$3003,0)),"—"))</f>
        <v/>
      </c>
      <c r="G1209" s="22">
        <f>IF($C1209="","",IFERROR(INDEX(ENVIOS!$E$4:$E$3003,MATCH($C1209,ENVIOS!$A$4:$A$3003,0)),"—"))</f>
        <v/>
      </c>
      <c r="H1209" s="22">
        <f>IF($C1209="","",IFERROR(INDEX(ENVIOS!$F$4:$F$3003,MATCH($C1209,ENVIOS!$A$4:$A$3003,0)),"—"))</f>
        <v/>
      </c>
      <c r="I1209" s="27">
        <f>IF($C1209="","",IFERROR(INDEX(ENVIOS!$G$4:$G$3003,MATCH($C1209,ENVIOS!$A$4:$A$3003,0)),"—"))</f>
        <v/>
      </c>
      <c r="J1209" s="48">
        <f>IF($C1209="","",IFERROR(INDEX(ENVIOS!$B$4:$B$3003,MATCH($C1209,ENVIOS!$A$4:$A$3003,0)),""))</f>
        <v/>
      </c>
      <c r="K1209" s="49" t="n"/>
      <c r="L1209" s="27">
        <f>IF($K1209="","",IFERROR(INDEX(CONFIG!$B$4:$B$43,MATCH($K1209,CONFIG!$A$4:$A$43,0)),"Media"))</f>
        <v/>
      </c>
      <c r="M1209" s="27">
        <f>IF($K1209="","",IFERROR(INDEX(CONFIG!$D$4:$D$43,MATCH($K1209,CONFIG!$A$4:$A$43,0)),"NO"))</f>
        <v/>
      </c>
      <c r="N1209" s="49" t="n"/>
      <c r="O1209" s="27">
        <f>IF($N1209="","",IFERROR(INDEX(CONFIG!$G$4:$G$43,MATCH($N1209,CONFIG!$F$4:$F$43,0)),"Por definir"))</f>
        <v/>
      </c>
      <c r="P1209" s="27">
        <f>IF($N1209="","",IFERROR(INDEX(CONFIG!$H$4:$H$43,MATCH($N1209,CONFIG!$F$4:$F$43,0)),"Por definir"))</f>
        <v/>
      </c>
      <c r="Q1209" s="50" t="n"/>
      <c r="R1209" s="51" t="n"/>
      <c r="S1209" s="49" t="n"/>
      <c r="T1209" s="49" t="n"/>
      <c r="U1209" s="48">
        <f>IF(OR($B1209="",$K1209=""),"",WORKDAY($B1209,IFERROR(INDEX(CONFIG!$C$4:$C$43,MATCH($K1209,CONFIG!$A$4:$A$43,0)),3)))</f>
        <v/>
      </c>
      <c r="V1209" s="46" t="n"/>
      <c r="W1209" s="23">
        <f>IF($B1209="","",IF($V1209&lt;&gt;"",$V1209-$B1209,TODAY()-$B1209))</f>
        <v/>
      </c>
      <c r="X1209" s="27">
        <f>IF($C1209="","",IF(IFERROR(INDEX(CONFIG!$K$4:$K$43,MATCH($S1209,CONFIG!$J$4:$J$43,0)),"NO")="SÍ",IF(OR($V1209="",$U1209=""),"Resuelta",IF($V1209&gt;$U1209,"Resuelta tarde","Resuelta a tiempo")),IF($U1209="","Sin clasificar",IF(TODAY()&gt;$U1209,"Vencida",IF(TODAY()&gt;=$U1209-1,"Por vencer","En plazo")))))</f>
        <v/>
      </c>
      <c r="Y1209" s="49" t="n"/>
      <c r="Z1209" s="49" t="n"/>
    </row>
    <row r="1210" ht="16" customHeight="1">
      <c r="A1210" s="27">
        <f>IF($C1210="","","N-"&amp;TEXT(ROW()-3,"0000"))</f>
        <v/>
      </c>
      <c r="B1210" s="46" t="n"/>
      <c r="C1210" s="47" t="n"/>
      <c r="D1210" s="27">
        <f>IF($C1210="","",IF(COUNTIFS(ENVIOS!$A$4:$A$3003,$C1210)=0,"NO EXISTE",IF(COUNTIFS(ENVIOS!$A$4:$A$3003,$C1210)&gt;1,"DUPLICADA","OK")))</f>
        <v/>
      </c>
      <c r="E1210" s="22">
        <f>IF($C1210="","",IFERROR(INDEX(ENVIOS!$C$4:$C$3003,MATCH($C1210,ENVIOS!$A$4:$A$3003,0)),"—"))</f>
        <v/>
      </c>
      <c r="F1210" s="22">
        <f>IF($C1210="","",IFERROR(INDEX(ENVIOS!$D$4:$D$3003,MATCH($C1210,ENVIOS!$A$4:$A$3003,0)),"—"))</f>
        <v/>
      </c>
      <c r="G1210" s="22">
        <f>IF($C1210="","",IFERROR(INDEX(ENVIOS!$E$4:$E$3003,MATCH($C1210,ENVIOS!$A$4:$A$3003,0)),"—"))</f>
        <v/>
      </c>
      <c r="H1210" s="22">
        <f>IF($C1210="","",IFERROR(INDEX(ENVIOS!$F$4:$F$3003,MATCH($C1210,ENVIOS!$A$4:$A$3003,0)),"—"))</f>
        <v/>
      </c>
      <c r="I1210" s="27">
        <f>IF($C1210="","",IFERROR(INDEX(ENVIOS!$G$4:$G$3003,MATCH($C1210,ENVIOS!$A$4:$A$3003,0)),"—"))</f>
        <v/>
      </c>
      <c r="J1210" s="48">
        <f>IF($C1210="","",IFERROR(INDEX(ENVIOS!$B$4:$B$3003,MATCH($C1210,ENVIOS!$A$4:$A$3003,0)),""))</f>
        <v/>
      </c>
      <c r="K1210" s="49" t="n"/>
      <c r="L1210" s="27">
        <f>IF($K1210="","",IFERROR(INDEX(CONFIG!$B$4:$B$43,MATCH($K1210,CONFIG!$A$4:$A$43,0)),"Media"))</f>
        <v/>
      </c>
      <c r="M1210" s="27">
        <f>IF($K1210="","",IFERROR(INDEX(CONFIG!$D$4:$D$43,MATCH($K1210,CONFIG!$A$4:$A$43,0)),"NO"))</f>
        <v/>
      </c>
      <c r="N1210" s="49" t="n"/>
      <c r="O1210" s="27">
        <f>IF($N1210="","",IFERROR(INDEX(CONFIG!$G$4:$G$43,MATCH($N1210,CONFIG!$F$4:$F$43,0)),"Por definir"))</f>
        <v/>
      </c>
      <c r="P1210" s="27">
        <f>IF($N1210="","",IFERROR(INDEX(CONFIG!$H$4:$H$43,MATCH($N1210,CONFIG!$F$4:$F$43,0)),"Por definir"))</f>
        <v/>
      </c>
      <c r="Q1210" s="50" t="n"/>
      <c r="R1210" s="51" t="n"/>
      <c r="S1210" s="49" t="n"/>
      <c r="T1210" s="49" t="n"/>
      <c r="U1210" s="48">
        <f>IF(OR($B1210="",$K1210=""),"",WORKDAY($B1210,IFERROR(INDEX(CONFIG!$C$4:$C$43,MATCH($K1210,CONFIG!$A$4:$A$43,0)),3)))</f>
        <v/>
      </c>
      <c r="V1210" s="46" t="n"/>
      <c r="W1210" s="23">
        <f>IF($B1210="","",IF($V1210&lt;&gt;"",$V1210-$B1210,TODAY()-$B1210))</f>
        <v/>
      </c>
      <c r="X1210" s="27">
        <f>IF($C1210="","",IF(IFERROR(INDEX(CONFIG!$K$4:$K$43,MATCH($S1210,CONFIG!$J$4:$J$43,0)),"NO")="SÍ",IF(OR($V1210="",$U1210=""),"Resuelta",IF($V1210&gt;$U1210,"Resuelta tarde","Resuelta a tiempo")),IF($U1210="","Sin clasificar",IF(TODAY()&gt;$U1210,"Vencida",IF(TODAY()&gt;=$U1210-1,"Por vencer","En plazo")))))</f>
        <v/>
      </c>
      <c r="Y1210" s="49" t="n"/>
      <c r="Z1210" s="49" t="n"/>
    </row>
    <row r="1211" ht="16" customHeight="1">
      <c r="A1211" s="27">
        <f>IF($C1211="","","N-"&amp;TEXT(ROW()-3,"0000"))</f>
        <v/>
      </c>
      <c r="B1211" s="46" t="n"/>
      <c r="C1211" s="47" t="n"/>
      <c r="D1211" s="27">
        <f>IF($C1211="","",IF(COUNTIFS(ENVIOS!$A$4:$A$3003,$C1211)=0,"NO EXISTE",IF(COUNTIFS(ENVIOS!$A$4:$A$3003,$C1211)&gt;1,"DUPLICADA","OK")))</f>
        <v/>
      </c>
      <c r="E1211" s="22">
        <f>IF($C1211="","",IFERROR(INDEX(ENVIOS!$C$4:$C$3003,MATCH($C1211,ENVIOS!$A$4:$A$3003,0)),"—"))</f>
        <v/>
      </c>
      <c r="F1211" s="22">
        <f>IF($C1211="","",IFERROR(INDEX(ENVIOS!$D$4:$D$3003,MATCH($C1211,ENVIOS!$A$4:$A$3003,0)),"—"))</f>
        <v/>
      </c>
      <c r="G1211" s="22">
        <f>IF($C1211="","",IFERROR(INDEX(ENVIOS!$E$4:$E$3003,MATCH($C1211,ENVIOS!$A$4:$A$3003,0)),"—"))</f>
        <v/>
      </c>
      <c r="H1211" s="22">
        <f>IF($C1211="","",IFERROR(INDEX(ENVIOS!$F$4:$F$3003,MATCH($C1211,ENVIOS!$A$4:$A$3003,0)),"—"))</f>
        <v/>
      </c>
      <c r="I1211" s="27">
        <f>IF($C1211="","",IFERROR(INDEX(ENVIOS!$G$4:$G$3003,MATCH($C1211,ENVIOS!$A$4:$A$3003,0)),"—"))</f>
        <v/>
      </c>
      <c r="J1211" s="48">
        <f>IF($C1211="","",IFERROR(INDEX(ENVIOS!$B$4:$B$3003,MATCH($C1211,ENVIOS!$A$4:$A$3003,0)),""))</f>
        <v/>
      </c>
      <c r="K1211" s="49" t="n"/>
      <c r="L1211" s="27">
        <f>IF($K1211="","",IFERROR(INDEX(CONFIG!$B$4:$B$43,MATCH($K1211,CONFIG!$A$4:$A$43,0)),"Media"))</f>
        <v/>
      </c>
      <c r="M1211" s="27">
        <f>IF($K1211="","",IFERROR(INDEX(CONFIG!$D$4:$D$43,MATCH($K1211,CONFIG!$A$4:$A$43,0)),"NO"))</f>
        <v/>
      </c>
      <c r="N1211" s="49" t="n"/>
      <c r="O1211" s="27">
        <f>IF($N1211="","",IFERROR(INDEX(CONFIG!$G$4:$G$43,MATCH($N1211,CONFIG!$F$4:$F$43,0)),"Por definir"))</f>
        <v/>
      </c>
      <c r="P1211" s="27">
        <f>IF($N1211="","",IFERROR(INDEX(CONFIG!$H$4:$H$43,MATCH($N1211,CONFIG!$F$4:$F$43,0)),"Por definir"))</f>
        <v/>
      </c>
      <c r="Q1211" s="50" t="n"/>
      <c r="R1211" s="51" t="n"/>
      <c r="S1211" s="49" t="n"/>
      <c r="T1211" s="49" t="n"/>
      <c r="U1211" s="48">
        <f>IF(OR($B1211="",$K1211=""),"",WORKDAY($B1211,IFERROR(INDEX(CONFIG!$C$4:$C$43,MATCH($K1211,CONFIG!$A$4:$A$43,0)),3)))</f>
        <v/>
      </c>
      <c r="V1211" s="46" t="n"/>
      <c r="W1211" s="23">
        <f>IF($B1211="","",IF($V1211&lt;&gt;"",$V1211-$B1211,TODAY()-$B1211))</f>
        <v/>
      </c>
      <c r="X1211" s="27">
        <f>IF($C1211="","",IF(IFERROR(INDEX(CONFIG!$K$4:$K$43,MATCH($S1211,CONFIG!$J$4:$J$43,0)),"NO")="SÍ",IF(OR($V1211="",$U1211=""),"Resuelta",IF($V1211&gt;$U1211,"Resuelta tarde","Resuelta a tiempo")),IF($U1211="","Sin clasificar",IF(TODAY()&gt;$U1211,"Vencida",IF(TODAY()&gt;=$U1211-1,"Por vencer","En plazo")))))</f>
        <v/>
      </c>
      <c r="Y1211" s="49" t="n"/>
      <c r="Z1211" s="49" t="n"/>
    </row>
    <row r="1212" ht="16" customHeight="1">
      <c r="A1212" s="27">
        <f>IF($C1212="","","N-"&amp;TEXT(ROW()-3,"0000"))</f>
        <v/>
      </c>
      <c r="B1212" s="46" t="n"/>
      <c r="C1212" s="47" t="n"/>
      <c r="D1212" s="27">
        <f>IF($C1212="","",IF(COUNTIFS(ENVIOS!$A$4:$A$3003,$C1212)=0,"NO EXISTE",IF(COUNTIFS(ENVIOS!$A$4:$A$3003,$C1212)&gt;1,"DUPLICADA","OK")))</f>
        <v/>
      </c>
      <c r="E1212" s="22">
        <f>IF($C1212="","",IFERROR(INDEX(ENVIOS!$C$4:$C$3003,MATCH($C1212,ENVIOS!$A$4:$A$3003,0)),"—"))</f>
        <v/>
      </c>
      <c r="F1212" s="22">
        <f>IF($C1212="","",IFERROR(INDEX(ENVIOS!$D$4:$D$3003,MATCH($C1212,ENVIOS!$A$4:$A$3003,0)),"—"))</f>
        <v/>
      </c>
      <c r="G1212" s="22">
        <f>IF($C1212="","",IFERROR(INDEX(ENVIOS!$E$4:$E$3003,MATCH($C1212,ENVIOS!$A$4:$A$3003,0)),"—"))</f>
        <v/>
      </c>
      <c r="H1212" s="22">
        <f>IF($C1212="","",IFERROR(INDEX(ENVIOS!$F$4:$F$3003,MATCH($C1212,ENVIOS!$A$4:$A$3003,0)),"—"))</f>
        <v/>
      </c>
      <c r="I1212" s="27">
        <f>IF($C1212="","",IFERROR(INDEX(ENVIOS!$G$4:$G$3003,MATCH($C1212,ENVIOS!$A$4:$A$3003,0)),"—"))</f>
        <v/>
      </c>
      <c r="J1212" s="48">
        <f>IF($C1212="","",IFERROR(INDEX(ENVIOS!$B$4:$B$3003,MATCH($C1212,ENVIOS!$A$4:$A$3003,0)),""))</f>
        <v/>
      </c>
      <c r="K1212" s="49" t="n"/>
      <c r="L1212" s="27">
        <f>IF($K1212="","",IFERROR(INDEX(CONFIG!$B$4:$B$43,MATCH($K1212,CONFIG!$A$4:$A$43,0)),"Media"))</f>
        <v/>
      </c>
      <c r="M1212" s="27">
        <f>IF($K1212="","",IFERROR(INDEX(CONFIG!$D$4:$D$43,MATCH($K1212,CONFIG!$A$4:$A$43,0)),"NO"))</f>
        <v/>
      </c>
      <c r="N1212" s="49" t="n"/>
      <c r="O1212" s="27">
        <f>IF($N1212="","",IFERROR(INDEX(CONFIG!$G$4:$G$43,MATCH($N1212,CONFIG!$F$4:$F$43,0)),"Por definir"))</f>
        <v/>
      </c>
      <c r="P1212" s="27">
        <f>IF($N1212="","",IFERROR(INDEX(CONFIG!$H$4:$H$43,MATCH($N1212,CONFIG!$F$4:$F$43,0)),"Por definir"))</f>
        <v/>
      </c>
      <c r="Q1212" s="50" t="n"/>
      <c r="R1212" s="51" t="n"/>
      <c r="S1212" s="49" t="n"/>
      <c r="T1212" s="49" t="n"/>
      <c r="U1212" s="48">
        <f>IF(OR($B1212="",$K1212=""),"",WORKDAY($B1212,IFERROR(INDEX(CONFIG!$C$4:$C$43,MATCH($K1212,CONFIG!$A$4:$A$43,0)),3)))</f>
        <v/>
      </c>
      <c r="V1212" s="46" t="n"/>
      <c r="W1212" s="23">
        <f>IF($B1212="","",IF($V1212&lt;&gt;"",$V1212-$B1212,TODAY()-$B1212))</f>
        <v/>
      </c>
      <c r="X1212" s="27">
        <f>IF($C1212="","",IF(IFERROR(INDEX(CONFIG!$K$4:$K$43,MATCH($S1212,CONFIG!$J$4:$J$43,0)),"NO")="SÍ",IF(OR($V1212="",$U1212=""),"Resuelta",IF($V1212&gt;$U1212,"Resuelta tarde","Resuelta a tiempo")),IF($U1212="","Sin clasificar",IF(TODAY()&gt;$U1212,"Vencida",IF(TODAY()&gt;=$U1212-1,"Por vencer","En plazo")))))</f>
        <v/>
      </c>
      <c r="Y1212" s="49" t="n"/>
      <c r="Z1212" s="49" t="n"/>
    </row>
    <row r="1213" ht="16" customHeight="1">
      <c r="A1213" s="27">
        <f>IF($C1213="","","N-"&amp;TEXT(ROW()-3,"0000"))</f>
        <v/>
      </c>
      <c r="B1213" s="46" t="n"/>
      <c r="C1213" s="47" t="n"/>
      <c r="D1213" s="27">
        <f>IF($C1213="","",IF(COUNTIFS(ENVIOS!$A$4:$A$3003,$C1213)=0,"NO EXISTE",IF(COUNTIFS(ENVIOS!$A$4:$A$3003,$C1213)&gt;1,"DUPLICADA","OK")))</f>
        <v/>
      </c>
      <c r="E1213" s="22">
        <f>IF($C1213="","",IFERROR(INDEX(ENVIOS!$C$4:$C$3003,MATCH($C1213,ENVIOS!$A$4:$A$3003,0)),"—"))</f>
        <v/>
      </c>
      <c r="F1213" s="22">
        <f>IF($C1213="","",IFERROR(INDEX(ENVIOS!$D$4:$D$3003,MATCH($C1213,ENVIOS!$A$4:$A$3003,0)),"—"))</f>
        <v/>
      </c>
      <c r="G1213" s="22">
        <f>IF($C1213="","",IFERROR(INDEX(ENVIOS!$E$4:$E$3003,MATCH($C1213,ENVIOS!$A$4:$A$3003,0)),"—"))</f>
        <v/>
      </c>
      <c r="H1213" s="22">
        <f>IF($C1213="","",IFERROR(INDEX(ENVIOS!$F$4:$F$3003,MATCH($C1213,ENVIOS!$A$4:$A$3003,0)),"—"))</f>
        <v/>
      </c>
      <c r="I1213" s="27">
        <f>IF($C1213="","",IFERROR(INDEX(ENVIOS!$G$4:$G$3003,MATCH($C1213,ENVIOS!$A$4:$A$3003,0)),"—"))</f>
        <v/>
      </c>
      <c r="J1213" s="48">
        <f>IF($C1213="","",IFERROR(INDEX(ENVIOS!$B$4:$B$3003,MATCH($C1213,ENVIOS!$A$4:$A$3003,0)),""))</f>
        <v/>
      </c>
      <c r="K1213" s="49" t="n"/>
      <c r="L1213" s="27">
        <f>IF($K1213="","",IFERROR(INDEX(CONFIG!$B$4:$B$43,MATCH($K1213,CONFIG!$A$4:$A$43,0)),"Media"))</f>
        <v/>
      </c>
      <c r="M1213" s="27">
        <f>IF($K1213="","",IFERROR(INDEX(CONFIG!$D$4:$D$43,MATCH($K1213,CONFIG!$A$4:$A$43,0)),"NO"))</f>
        <v/>
      </c>
      <c r="N1213" s="49" t="n"/>
      <c r="O1213" s="27">
        <f>IF($N1213="","",IFERROR(INDEX(CONFIG!$G$4:$G$43,MATCH($N1213,CONFIG!$F$4:$F$43,0)),"Por definir"))</f>
        <v/>
      </c>
      <c r="P1213" s="27">
        <f>IF($N1213="","",IFERROR(INDEX(CONFIG!$H$4:$H$43,MATCH($N1213,CONFIG!$F$4:$F$43,0)),"Por definir"))</f>
        <v/>
      </c>
      <c r="Q1213" s="50" t="n"/>
      <c r="R1213" s="51" t="n"/>
      <c r="S1213" s="49" t="n"/>
      <c r="T1213" s="49" t="n"/>
      <c r="U1213" s="48">
        <f>IF(OR($B1213="",$K1213=""),"",WORKDAY($B1213,IFERROR(INDEX(CONFIG!$C$4:$C$43,MATCH($K1213,CONFIG!$A$4:$A$43,0)),3)))</f>
        <v/>
      </c>
      <c r="V1213" s="46" t="n"/>
      <c r="W1213" s="23">
        <f>IF($B1213="","",IF($V1213&lt;&gt;"",$V1213-$B1213,TODAY()-$B1213))</f>
        <v/>
      </c>
      <c r="X1213" s="27">
        <f>IF($C1213="","",IF(IFERROR(INDEX(CONFIG!$K$4:$K$43,MATCH($S1213,CONFIG!$J$4:$J$43,0)),"NO")="SÍ",IF(OR($V1213="",$U1213=""),"Resuelta",IF($V1213&gt;$U1213,"Resuelta tarde","Resuelta a tiempo")),IF($U1213="","Sin clasificar",IF(TODAY()&gt;$U1213,"Vencida",IF(TODAY()&gt;=$U1213-1,"Por vencer","En plazo")))))</f>
        <v/>
      </c>
      <c r="Y1213" s="49" t="n"/>
      <c r="Z1213" s="49" t="n"/>
    </row>
    <row r="1214" ht="16" customHeight="1">
      <c r="A1214" s="27">
        <f>IF($C1214="","","N-"&amp;TEXT(ROW()-3,"0000"))</f>
        <v/>
      </c>
      <c r="B1214" s="46" t="n"/>
      <c r="C1214" s="47" t="n"/>
      <c r="D1214" s="27">
        <f>IF($C1214="","",IF(COUNTIFS(ENVIOS!$A$4:$A$3003,$C1214)=0,"NO EXISTE",IF(COUNTIFS(ENVIOS!$A$4:$A$3003,$C1214)&gt;1,"DUPLICADA","OK")))</f>
        <v/>
      </c>
      <c r="E1214" s="22">
        <f>IF($C1214="","",IFERROR(INDEX(ENVIOS!$C$4:$C$3003,MATCH($C1214,ENVIOS!$A$4:$A$3003,0)),"—"))</f>
        <v/>
      </c>
      <c r="F1214" s="22">
        <f>IF($C1214="","",IFERROR(INDEX(ENVIOS!$D$4:$D$3003,MATCH($C1214,ENVIOS!$A$4:$A$3003,0)),"—"))</f>
        <v/>
      </c>
      <c r="G1214" s="22">
        <f>IF($C1214="","",IFERROR(INDEX(ENVIOS!$E$4:$E$3003,MATCH($C1214,ENVIOS!$A$4:$A$3003,0)),"—"))</f>
        <v/>
      </c>
      <c r="H1214" s="22">
        <f>IF($C1214="","",IFERROR(INDEX(ENVIOS!$F$4:$F$3003,MATCH($C1214,ENVIOS!$A$4:$A$3003,0)),"—"))</f>
        <v/>
      </c>
      <c r="I1214" s="27">
        <f>IF($C1214="","",IFERROR(INDEX(ENVIOS!$G$4:$G$3003,MATCH($C1214,ENVIOS!$A$4:$A$3003,0)),"—"))</f>
        <v/>
      </c>
      <c r="J1214" s="48">
        <f>IF($C1214="","",IFERROR(INDEX(ENVIOS!$B$4:$B$3003,MATCH($C1214,ENVIOS!$A$4:$A$3003,0)),""))</f>
        <v/>
      </c>
      <c r="K1214" s="49" t="n"/>
      <c r="L1214" s="27">
        <f>IF($K1214="","",IFERROR(INDEX(CONFIG!$B$4:$B$43,MATCH($K1214,CONFIG!$A$4:$A$43,0)),"Media"))</f>
        <v/>
      </c>
      <c r="M1214" s="27">
        <f>IF($K1214="","",IFERROR(INDEX(CONFIG!$D$4:$D$43,MATCH($K1214,CONFIG!$A$4:$A$43,0)),"NO"))</f>
        <v/>
      </c>
      <c r="N1214" s="49" t="n"/>
      <c r="O1214" s="27">
        <f>IF($N1214="","",IFERROR(INDEX(CONFIG!$G$4:$G$43,MATCH($N1214,CONFIG!$F$4:$F$43,0)),"Por definir"))</f>
        <v/>
      </c>
      <c r="P1214" s="27">
        <f>IF($N1214="","",IFERROR(INDEX(CONFIG!$H$4:$H$43,MATCH($N1214,CONFIG!$F$4:$F$43,0)),"Por definir"))</f>
        <v/>
      </c>
      <c r="Q1214" s="50" t="n"/>
      <c r="R1214" s="51" t="n"/>
      <c r="S1214" s="49" t="n"/>
      <c r="T1214" s="49" t="n"/>
      <c r="U1214" s="48">
        <f>IF(OR($B1214="",$K1214=""),"",WORKDAY($B1214,IFERROR(INDEX(CONFIG!$C$4:$C$43,MATCH($K1214,CONFIG!$A$4:$A$43,0)),3)))</f>
        <v/>
      </c>
      <c r="V1214" s="46" t="n"/>
      <c r="W1214" s="23">
        <f>IF($B1214="","",IF($V1214&lt;&gt;"",$V1214-$B1214,TODAY()-$B1214))</f>
        <v/>
      </c>
      <c r="X1214" s="27">
        <f>IF($C1214="","",IF(IFERROR(INDEX(CONFIG!$K$4:$K$43,MATCH($S1214,CONFIG!$J$4:$J$43,0)),"NO")="SÍ",IF(OR($V1214="",$U1214=""),"Resuelta",IF($V1214&gt;$U1214,"Resuelta tarde","Resuelta a tiempo")),IF($U1214="","Sin clasificar",IF(TODAY()&gt;$U1214,"Vencida",IF(TODAY()&gt;=$U1214-1,"Por vencer","En plazo")))))</f>
        <v/>
      </c>
      <c r="Y1214" s="49" t="n"/>
      <c r="Z1214" s="49" t="n"/>
    </row>
    <row r="1215" ht="16" customHeight="1">
      <c r="A1215" s="27">
        <f>IF($C1215="","","N-"&amp;TEXT(ROW()-3,"0000"))</f>
        <v/>
      </c>
      <c r="B1215" s="46" t="n"/>
      <c r="C1215" s="47" t="n"/>
      <c r="D1215" s="27">
        <f>IF($C1215="","",IF(COUNTIFS(ENVIOS!$A$4:$A$3003,$C1215)=0,"NO EXISTE",IF(COUNTIFS(ENVIOS!$A$4:$A$3003,$C1215)&gt;1,"DUPLICADA","OK")))</f>
        <v/>
      </c>
      <c r="E1215" s="22">
        <f>IF($C1215="","",IFERROR(INDEX(ENVIOS!$C$4:$C$3003,MATCH($C1215,ENVIOS!$A$4:$A$3003,0)),"—"))</f>
        <v/>
      </c>
      <c r="F1215" s="22">
        <f>IF($C1215="","",IFERROR(INDEX(ENVIOS!$D$4:$D$3003,MATCH($C1215,ENVIOS!$A$4:$A$3003,0)),"—"))</f>
        <v/>
      </c>
      <c r="G1215" s="22">
        <f>IF($C1215="","",IFERROR(INDEX(ENVIOS!$E$4:$E$3003,MATCH($C1215,ENVIOS!$A$4:$A$3003,0)),"—"))</f>
        <v/>
      </c>
      <c r="H1215" s="22">
        <f>IF($C1215="","",IFERROR(INDEX(ENVIOS!$F$4:$F$3003,MATCH($C1215,ENVIOS!$A$4:$A$3003,0)),"—"))</f>
        <v/>
      </c>
      <c r="I1215" s="27">
        <f>IF($C1215="","",IFERROR(INDEX(ENVIOS!$G$4:$G$3003,MATCH($C1215,ENVIOS!$A$4:$A$3003,0)),"—"))</f>
        <v/>
      </c>
      <c r="J1215" s="48">
        <f>IF($C1215="","",IFERROR(INDEX(ENVIOS!$B$4:$B$3003,MATCH($C1215,ENVIOS!$A$4:$A$3003,0)),""))</f>
        <v/>
      </c>
      <c r="K1215" s="49" t="n"/>
      <c r="L1215" s="27">
        <f>IF($K1215="","",IFERROR(INDEX(CONFIG!$B$4:$B$43,MATCH($K1215,CONFIG!$A$4:$A$43,0)),"Media"))</f>
        <v/>
      </c>
      <c r="M1215" s="27">
        <f>IF($K1215="","",IFERROR(INDEX(CONFIG!$D$4:$D$43,MATCH($K1215,CONFIG!$A$4:$A$43,0)),"NO"))</f>
        <v/>
      </c>
      <c r="N1215" s="49" t="n"/>
      <c r="O1215" s="27">
        <f>IF($N1215="","",IFERROR(INDEX(CONFIG!$G$4:$G$43,MATCH($N1215,CONFIG!$F$4:$F$43,0)),"Por definir"))</f>
        <v/>
      </c>
      <c r="P1215" s="27">
        <f>IF($N1215="","",IFERROR(INDEX(CONFIG!$H$4:$H$43,MATCH($N1215,CONFIG!$F$4:$F$43,0)),"Por definir"))</f>
        <v/>
      </c>
      <c r="Q1215" s="50" t="n"/>
      <c r="R1215" s="51" t="n"/>
      <c r="S1215" s="49" t="n"/>
      <c r="T1215" s="49" t="n"/>
      <c r="U1215" s="48">
        <f>IF(OR($B1215="",$K1215=""),"",WORKDAY($B1215,IFERROR(INDEX(CONFIG!$C$4:$C$43,MATCH($K1215,CONFIG!$A$4:$A$43,0)),3)))</f>
        <v/>
      </c>
      <c r="V1215" s="46" t="n"/>
      <c r="W1215" s="23">
        <f>IF($B1215="","",IF($V1215&lt;&gt;"",$V1215-$B1215,TODAY()-$B1215))</f>
        <v/>
      </c>
      <c r="X1215" s="27">
        <f>IF($C1215="","",IF(IFERROR(INDEX(CONFIG!$K$4:$K$43,MATCH($S1215,CONFIG!$J$4:$J$43,0)),"NO")="SÍ",IF(OR($V1215="",$U1215=""),"Resuelta",IF($V1215&gt;$U1215,"Resuelta tarde","Resuelta a tiempo")),IF($U1215="","Sin clasificar",IF(TODAY()&gt;$U1215,"Vencida",IF(TODAY()&gt;=$U1215-1,"Por vencer","En plazo")))))</f>
        <v/>
      </c>
      <c r="Y1215" s="49" t="n"/>
      <c r="Z1215" s="49" t="n"/>
    </row>
    <row r="1216" ht="16" customHeight="1">
      <c r="A1216" s="27">
        <f>IF($C1216="","","N-"&amp;TEXT(ROW()-3,"0000"))</f>
        <v/>
      </c>
      <c r="B1216" s="46" t="n"/>
      <c r="C1216" s="47" t="n"/>
      <c r="D1216" s="27">
        <f>IF($C1216="","",IF(COUNTIFS(ENVIOS!$A$4:$A$3003,$C1216)=0,"NO EXISTE",IF(COUNTIFS(ENVIOS!$A$4:$A$3003,$C1216)&gt;1,"DUPLICADA","OK")))</f>
        <v/>
      </c>
      <c r="E1216" s="22">
        <f>IF($C1216="","",IFERROR(INDEX(ENVIOS!$C$4:$C$3003,MATCH($C1216,ENVIOS!$A$4:$A$3003,0)),"—"))</f>
        <v/>
      </c>
      <c r="F1216" s="22">
        <f>IF($C1216="","",IFERROR(INDEX(ENVIOS!$D$4:$D$3003,MATCH($C1216,ENVIOS!$A$4:$A$3003,0)),"—"))</f>
        <v/>
      </c>
      <c r="G1216" s="22">
        <f>IF($C1216="","",IFERROR(INDEX(ENVIOS!$E$4:$E$3003,MATCH($C1216,ENVIOS!$A$4:$A$3003,0)),"—"))</f>
        <v/>
      </c>
      <c r="H1216" s="22">
        <f>IF($C1216="","",IFERROR(INDEX(ENVIOS!$F$4:$F$3003,MATCH($C1216,ENVIOS!$A$4:$A$3003,0)),"—"))</f>
        <v/>
      </c>
      <c r="I1216" s="27">
        <f>IF($C1216="","",IFERROR(INDEX(ENVIOS!$G$4:$G$3003,MATCH($C1216,ENVIOS!$A$4:$A$3003,0)),"—"))</f>
        <v/>
      </c>
      <c r="J1216" s="48">
        <f>IF($C1216="","",IFERROR(INDEX(ENVIOS!$B$4:$B$3003,MATCH($C1216,ENVIOS!$A$4:$A$3003,0)),""))</f>
        <v/>
      </c>
      <c r="K1216" s="49" t="n"/>
      <c r="L1216" s="27">
        <f>IF($K1216="","",IFERROR(INDEX(CONFIG!$B$4:$B$43,MATCH($K1216,CONFIG!$A$4:$A$43,0)),"Media"))</f>
        <v/>
      </c>
      <c r="M1216" s="27">
        <f>IF($K1216="","",IFERROR(INDEX(CONFIG!$D$4:$D$43,MATCH($K1216,CONFIG!$A$4:$A$43,0)),"NO"))</f>
        <v/>
      </c>
      <c r="N1216" s="49" t="n"/>
      <c r="O1216" s="27">
        <f>IF($N1216="","",IFERROR(INDEX(CONFIG!$G$4:$G$43,MATCH($N1216,CONFIG!$F$4:$F$43,0)),"Por definir"))</f>
        <v/>
      </c>
      <c r="P1216" s="27">
        <f>IF($N1216="","",IFERROR(INDEX(CONFIG!$H$4:$H$43,MATCH($N1216,CONFIG!$F$4:$F$43,0)),"Por definir"))</f>
        <v/>
      </c>
      <c r="Q1216" s="50" t="n"/>
      <c r="R1216" s="51" t="n"/>
      <c r="S1216" s="49" t="n"/>
      <c r="T1216" s="49" t="n"/>
      <c r="U1216" s="48">
        <f>IF(OR($B1216="",$K1216=""),"",WORKDAY($B1216,IFERROR(INDEX(CONFIG!$C$4:$C$43,MATCH($K1216,CONFIG!$A$4:$A$43,0)),3)))</f>
        <v/>
      </c>
      <c r="V1216" s="46" t="n"/>
      <c r="W1216" s="23">
        <f>IF($B1216="","",IF($V1216&lt;&gt;"",$V1216-$B1216,TODAY()-$B1216))</f>
        <v/>
      </c>
      <c r="X1216" s="27">
        <f>IF($C1216="","",IF(IFERROR(INDEX(CONFIG!$K$4:$K$43,MATCH($S1216,CONFIG!$J$4:$J$43,0)),"NO")="SÍ",IF(OR($V1216="",$U1216=""),"Resuelta",IF($V1216&gt;$U1216,"Resuelta tarde","Resuelta a tiempo")),IF($U1216="","Sin clasificar",IF(TODAY()&gt;$U1216,"Vencida",IF(TODAY()&gt;=$U1216-1,"Por vencer","En plazo")))))</f>
        <v/>
      </c>
      <c r="Y1216" s="49" t="n"/>
      <c r="Z1216" s="49" t="n"/>
    </row>
    <row r="1217" ht="16" customHeight="1">
      <c r="A1217" s="27">
        <f>IF($C1217="","","N-"&amp;TEXT(ROW()-3,"0000"))</f>
        <v/>
      </c>
      <c r="B1217" s="46" t="n"/>
      <c r="C1217" s="47" t="n"/>
      <c r="D1217" s="27">
        <f>IF($C1217="","",IF(COUNTIFS(ENVIOS!$A$4:$A$3003,$C1217)=0,"NO EXISTE",IF(COUNTIFS(ENVIOS!$A$4:$A$3003,$C1217)&gt;1,"DUPLICADA","OK")))</f>
        <v/>
      </c>
      <c r="E1217" s="22">
        <f>IF($C1217="","",IFERROR(INDEX(ENVIOS!$C$4:$C$3003,MATCH($C1217,ENVIOS!$A$4:$A$3003,0)),"—"))</f>
        <v/>
      </c>
      <c r="F1217" s="22">
        <f>IF($C1217="","",IFERROR(INDEX(ENVIOS!$D$4:$D$3003,MATCH($C1217,ENVIOS!$A$4:$A$3003,0)),"—"))</f>
        <v/>
      </c>
      <c r="G1217" s="22">
        <f>IF($C1217="","",IFERROR(INDEX(ENVIOS!$E$4:$E$3003,MATCH($C1217,ENVIOS!$A$4:$A$3003,0)),"—"))</f>
        <v/>
      </c>
      <c r="H1217" s="22">
        <f>IF($C1217="","",IFERROR(INDEX(ENVIOS!$F$4:$F$3003,MATCH($C1217,ENVIOS!$A$4:$A$3003,0)),"—"))</f>
        <v/>
      </c>
      <c r="I1217" s="27">
        <f>IF($C1217="","",IFERROR(INDEX(ENVIOS!$G$4:$G$3003,MATCH($C1217,ENVIOS!$A$4:$A$3003,0)),"—"))</f>
        <v/>
      </c>
      <c r="J1217" s="48">
        <f>IF($C1217="","",IFERROR(INDEX(ENVIOS!$B$4:$B$3003,MATCH($C1217,ENVIOS!$A$4:$A$3003,0)),""))</f>
        <v/>
      </c>
      <c r="K1217" s="49" t="n"/>
      <c r="L1217" s="27">
        <f>IF($K1217="","",IFERROR(INDEX(CONFIG!$B$4:$B$43,MATCH($K1217,CONFIG!$A$4:$A$43,0)),"Media"))</f>
        <v/>
      </c>
      <c r="M1217" s="27">
        <f>IF($K1217="","",IFERROR(INDEX(CONFIG!$D$4:$D$43,MATCH($K1217,CONFIG!$A$4:$A$43,0)),"NO"))</f>
        <v/>
      </c>
      <c r="N1217" s="49" t="n"/>
      <c r="O1217" s="27">
        <f>IF($N1217="","",IFERROR(INDEX(CONFIG!$G$4:$G$43,MATCH($N1217,CONFIG!$F$4:$F$43,0)),"Por definir"))</f>
        <v/>
      </c>
      <c r="P1217" s="27">
        <f>IF($N1217="","",IFERROR(INDEX(CONFIG!$H$4:$H$43,MATCH($N1217,CONFIG!$F$4:$F$43,0)),"Por definir"))</f>
        <v/>
      </c>
      <c r="Q1217" s="50" t="n"/>
      <c r="R1217" s="51" t="n"/>
      <c r="S1217" s="49" t="n"/>
      <c r="T1217" s="49" t="n"/>
      <c r="U1217" s="48">
        <f>IF(OR($B1217="",$K1217=""),"",WORKDAY($B1217,IFERROR(INDEX(CONFIG!$C$4:$C$43,MATCH($K1217,CONFIG!$A$4:$A$43,0)),3)))</f>
        <v/>
      </c>
      <c r="V1217" s="46" t="n"/>
      <c r="W1217" s="23">
        <f>IF($B1217="","",IF($V1217&lt;&gt;"",$V1217-$B1217,TODAY()-$B1217))</f>
        <v/>
      </c>
      <c r="X1217" s="27">
        <f>IF($C1217="","",IF(IFERROR(INDEX(CONFIG!$K$4:$K$43,MATCH($S1217,CONFIG!$J$4:$J$43,0)),"NO")="SÍ",IF(OR($V1217="",$U1217=""),"Resuelta",IF($V1217&gt;$U1217,"Resuelta tarde","Resuelta a tiempo")),IF($U1217="","Sin clasificar",IF(TODAY()&gt;$U1217,"Vencida",IF(TODAY()&gt;=$U1217-1,"Por vencer","En plazo")))))</f>
        <v/>
      </c>
      <c r="Y1217" s="49" t="n"/>
      <c r="Z1217" s="49" t="n"/>
    </row>
    <row r="1218" ht="16" customHeight="1">
      <c r="A1218" s="27">
        <f>IF($C1218="","","N-"&amp;TEXT(ROW()-3,"0000"))</f>
        <v/>
      </c>
      <c r="B1218" s="46" t="n"/>
      <c r="C1218" s="47" t="n"/>
      <c r="D1218" s="27">
        <f>IF($C1218="","",IF(COUNTIFS(ENVIOS!$A$4:$A$3003,$C1218)=0,"NO EXISTE",IF(COUNTIFS(ENVIOS!$A$4:$A$3003,$C1218)&gt;1,"DUPLICADA","OK")))</f>
        <v/>
      </c>
      <c r="E1218" s="22">
        <f>IF($C1218="","",IFERROR(INDEX(ENVIOS!$C$4:$C$3003,MATCH($C1218,ENVIOS!$A$4:$A$3003,0)),"—"))</f>
        <v/>
      </c>
      <c r="F1218" s="22">
        <f>IF($C1218="","",IFERROR(INDEX(ENVIOS!$D$4:$D$3003,MATCH($C1218,ENVIOS!$A$4:$A$3003,0)),"—"))</f>
        <v/>
      </c>
      <c r="G1218" s="22">
        <f>IF($C1218="","",IFERROR(INDEX(ENVIOS!$E$4:$E$3003,MATCH($C1218,ENVIOS!$A$4:$A$3003,0)),"—"))</f>
        <v/>
      </c>
      <c r="H1218" s="22">
        <f>IF($C1218="","",IFERROR(INDEX(ENVIOS!$F$4:$F$3003,MATCH($C1218,ENVIOS!$A$4:$A$3003,0)),"—"))</f>
        <v/>
      </c>
      <c r="I1218" s="27">
        <f>IF($C1218="","",IFERROR(INDEX(ENVIOS!$G$4:$G$3003,MATCH($C1218,ENVIOS!$A$4:$A$3003,0)),"—"))</f>
        <v/>
      </c>
      <c r="J1218" s="48">
        <f>IF($C1218="","",IFERROR(INDEX(ENVIOS!$B$4:$B$3003,MATCH($C1218,ENVIOS!$A$4:$A$3003,0)),""))</f>
        <v/>
      </c>
      <c r="K1218" s="49" t="n"/>
      <c r="L1218" s="27">
        <f>IF($K1218="","",IFERROR(INDEX(CONFIG!$B$4:$B$43,MATCH($K1218,CONFIG!$A$4:$A$43,0)),"Media"))</f>
        <v/>
      </c>
      <c r="M1218" s="27">
        <f>IF($K1218="","",IFERROR(INDEX(CONFIG!$D$4:$D$43,MATCH($K1218,CONFIG!$A$4:$A$43,0)),"NO"))</f>
        <v/>
      </c>
      <c r="N1218" s="49" t="n"/>
      <c r="O1218" s="27">
        <f>IF($N1218="","",IFERROR(INDEX(CONFIG!$G$4:$G$43,MATCH($N1218,CONFIG!$F$4:$F$43,0)),"Por definir"))</f>
        <v/>
      </c>
      <c r="P1218" s="27">
        <f>IF($N1218="","",IFERROR(INDEX(CONFIG!$H$4:$H$43,MATCH($N1218,CONFIG!$F$4:$F$43,0)),"Por definir"))</f>
        <v/>
      </c>
      <c r="Q1218" s="50" t="n"/>
      <c r="R1218" s="51" t="n"/>
      <c r="S1218" s="49" t="n"/>
      <c r="T1218" s="49" t="n"/>
      <c r="U1218" s="48">
        <f>IF(OR($B1218="",$K1218=""),"",WORKDAY($B1218,IFERROR(INDEX(CONFIG!$C$4:$C$43,MATCH($K1218,CONFIG!$A$4:$A$43,0)),3)))</f>
        <v/>
      </c>
      <c r="V1218" s="46" t="n"/>
      <c r="W1218" s="23">
        <f>IF($B1218="","",IF($V1218&lt;&gt;"",$V1218-$B1218,TODAY()-$B1218))</f>
        <v/>
      </c>
      <c r="X1218" s="27">
        <f>IF($C1218="","",IF(IFERROR(INDEX(CONFIG!$K$4:$K$43,MATCH($S1218,CONFIG!$J$4:$J$43,0)),"NO")="SÍ",IF(OR($V1218="",$U1218=""),"Resuelta",IF($V1218&gt;$U1218,"Resuelta tarde","Resuelta a tiempo")),IF($U1218="","Sin clasificar",IF(TODAY()&gt;$U1218,"Vencida",IF(TODAY()&gt;=$U1218-1,"Por vencer","En plazo")))))</f>
        <v/>
      </c>
      <c r="Y1218" s="49" t="n"/>
      <c r="Z1218" s="49" t="n"/>
    </row>
    <row r="1219" ht="16" customHeight="1">
      <c r="A1219" s="27">
        <f>IF($C1219="","","N-"&amp;TEXT(ROW()-3,"0000"))</f>
        <v/>
      </c>
      <c r="B1219" s="46" t="n"/>
      <c r="C1219" s="47" t="n"/>
      <c r="D1219" s="27">
        <f>IF($C1219="","",IF(COUNTIFS(ENVIOS!$A$4:$A$3003,$C1219)=0,"NO EXISTE",IF(COUNTIFS(ENVIOS!$A$4:$A$3003,$C1219)&gt;1,"DUPLICADA","OK")))</f>
        <v/>
      </c>
      <c r="E1219" s="22">
        <f>IF($C1219="","",IFERROR(INDEX(ENVIOS!$C$4:$C$3003,MATCH($C1219,ENVIOS!$A$4:$A$3003,0)),"—"))</f>
        <v/>
      </c>
      <c r="F1219" s="22">
        <f>IF($C1219="","",IFERROR(INDEX(ENVIOS!$D$4:$D$3003,MATCH($C1219,ENVIOS!$A$4:$A$3003,0)),"—"))</f>
        <v/>
      </c>
      <c r="G1219" s="22">
        <f>IF($C1219="","",IFERROR(INDEX(ENVIOS!$E$4:$E$3003,MATCH($C1219,ENVIOS!$A$4:$A$3003,0)),"—"))</f>
        <v/>
      </c>
      <c r="H1219" s="22">
        <f>IF($C1219="","",IFERROR(INDEX(ENVIOS!$F$4:$F$3003,MATCH($C1219,ENVIOS!$A$4:$A$3003,0)),"—"))</f>
        <v/>
      </c>
      <c r="I1219" s="27">
        <f>IF($C1219="","",IFERROR(INDEX(ENVIOS!$G$4:$G$3003,MATCH($C1219,ENVIOS!$A$4:$A$3003,0)),"—"))</f>
        <v/>
      </c>
      <c r="J1219" s="48">
        <f>IF($C1219="","",IFERROR(INDEX(ENVIOS!$B$4:$B$3003,MATCH($C1219,ENVIOS!$A$4:$A$3003,0)),""))</f>
        <v/>
      </c>
      <c r="K1219" s="49" t="n"/>
      <c r="L1219" s="27">
        <f>IF($K1219="","",IFERROR(INDEX(CONFIG!$B$4:$B$43,MATCH($K1219,CONFIG!$A$4:$A$43,0)),"Media"))</f>
        <v/>
      </c>
      <c r="M1219" s="27">
        <f>IF($K1219="","",IFERROR(INDEX(CONFIG!$D$4:$D$43,MATCH($K1219,CONFIG!$A$4:$A$43,0)),"NO"))</f>
        <v/>
      </c>
      <c r="N1219" s="49" t="n"/>
      <c r="O1219" s="27">
        <f>IF($N1219="","",IFERROR(INDEX(CONFIG!$G$4:$G$43,MATCH($N1219,CONFIG!$F$4:$F$43,0)),"Por definir"))</f>
        <v/>
      </c>
      <c r="P1219" s="27">
        <f>IF($N1219="","",IFERROR(INDEX(CONFIG!$H$4:$H$43,MATCH($N1219,CONFIG!$F$4:$F$43,0)),"Por definir"))</f>
        <v/>
      </c>
      <c r="Q1219" s="50" t="n"/>
      <c r="R1219" s="51" t="n"/>
      <c r="S1219" s="49" t="n"/>
      <c r="T1219" s="49" t="n"/>
      <c r="U1219" s="48">
        <f>IF(OR($B1219="",$K1219=""),"",WORKDAY($B1219,IFERROR(INDEX(CONFIG!$C$4:$C$43,MATCH($K1219,CONFIG!$A$4:$A$43,0)),3)))</f>
        <v/>
      </c>
      <c r="V1219" s="46" t="n"/>
      <c r="W1219" s="23">
        <f>IF($B1219="","",IF($V1219&lt;&gt;"",$V1219-$B1219,TODAY()-$B1219))</f>
        <v/>
      </c>
      <c r="X1219" s="27">
        <f>IF($C1219="","",IF(IFERROR(INDEX(CONFIG!$K$4:$K$43,MATCH($S1219,CONFIG!$J$4:$J$43,0)),"NO")="SÍ",IF(OR($V1219="",$U1219=""),"Resuelta",IF($V1219&gt;$U1219,"Resuelta tarde","Resuelta a tiempo")),IF($U1219="","Sin clasificar",IF(TODAY()&gt;$U1219,"Vencida",IF(TODAY()&gt;=$U1219-1,"Por vencer","En plazo")))))</f>
        <v/>
      </c>
      <c r="Y1219" s="49" t="n"/>
      <c r="Z1219" s="49" t="n"/>
    </row>
    <row r="1220" ht="16" customHeight="1">
      <c r="A1220" s="27">
        <f>IF($C1220="","","N-"&amp;TEXT(ROW()-3,"0000"))</f>
        <v/>
      </c>
      <c r="B1220" s="46" t="n"/>
      <c r="C1220" s="47" t="n"/>
      <c r="D1220" s="27">
        <f>IF($C1220="","",IF(COUNTIFS(ENVIOS!$A$4:$A$3003,$C1220)=0,"NO EXISTE",IF(COUNTIFS(ENVIOS!$A$4:$A$3003,$C1220)&gt;1,"DUPLICADA","OK")))</f>
        <v/>
      </c>
      <c r="E1220" s="22">
        <f>IF($C1220="","",IFERROR(INDEX(ENVIOS!$C$4:$C$3003,MATCH($C1220,ENVIOS!$A$4:$A$3003,0)),"—"))</f>
        <v/>
      </c>
      <c r="F1220" s="22">
        <f>IF($C1220="","",IFERROR(INDEX(ENVIOS!$D$4:$D$3003,MATCH($C1220,ENVIOS!$A$4:$A$3003,0)),"—"))</f>
        <v/>
      </c>
      <c r="G1220" s="22">
        <f>IF($C1220="","",IFERROR(INDEX(ENVIOS!$E$4:$E$3003,MATCH($C1220,ENVIOS!$A$4:$A$3003,0)),"—"))</f>
        <v/>
      </c>
      <c r="H1220" s="22">
        <f>IF($C1220="","",IFERROR(INDEX(ENVIOS!$F$4:$F$3003,MATCH($C1220,ENVIOS!$A$4:$A$3003,0)),"—"))</f>
        <v/>
      </c>
      <c r="I1220" s="27">
        <f>IF($C1220="","",IFERROR(INDEX(ENVIOS!$G$4:$G$3003,MATCH($C1220,ENVIOS!$A$4:$A$3003,0)),"—"))</f>
        <v/>
      </c>
      <c r="J1220" s="48">
        <f>IF($C1220="","",IFERROR(INDEX(ENVIOS!$B$4:$B$3003,MATCH($C1220,ENVIOS!$A$4:$A$3003,0)),""))</f>
        <v/>
      </c>
      <c r="K1220" s="49" t="n"/>
      <c r="L1220" s="27">
        <f>IF($K1220="","",IFERROR(INDEX(CONFIG!$B$4:$B$43,MATCH($K1220,CONFIG!$A$4:$A$43,0)),"Media"))</f>
        <v/>
      </c>
      <c r="M1220" s="27">
        <f>IF($K1220="","",IFERROR(INDEX(CONFIG!$D$4:$D$43,MATCH($K1220,CONFIG!$A$4:$A$43,0)),"NO"))</f>
        <v/>
      </c>
      <c r="N1220" s="49" t="n"/>
      <c r="O1220" s="27">
        <f>IF($N1220="","",IFERROR(INDEX(CONFIG!$G$4:$G$43,MATCH($N1220,CONFIG!$F$4:$F$43,0)),"Por definir"))</f>
        <v/>
      </c>
      <c r="P1220" s="27">
        <f>IF($N1220="","",IFERROR(INDEX(CONFIG!$H$4:$H$43,MATCH($N1220,CONFIG!$F$4:$F$43,0)),"Por definir"))</f>
        <v/>
      </c>
      <c r="Q1220" s="50" t="n"/>
      <c r="R1220" s="51" t="n"/>
      <c r="S1220" s="49" t="n"/>
      <c r="T1220" s="49" t="n"/>
      <c r="U1220" s="48">
        <f>IF(OR($B1220="",$K1220=""),"",WORKDAY($B1220,IFERROR(INDEX(CONFIG!$C$4:$C$43,MATCH($K1220,CONFIG!$A$4:$A$43,0)),3)))</f>
        <v/>
      </c>
      <c r="V1220" s="46" t="n"/>
      <c r="W1220" s="23">
        <f>IF($B1220="","",IF($V1220&lt;&gt;"",$V1220-$B1220,TODAY()-$B1220))</f>
        <v/>
      </c>
      <c r="X1220" s="27">
        <f>IF($C1220="","",IF(IFERROR(INDEX(CONFIG!$K$4:$K$43,MATCH($S1220,CONFIG!$J$4:$J$43,0)),"NO")="SÍ",IF(OR($V1220="",$U1220=""),"Resuelta",IF($V1220&gt;$U1220,"Resuelta tarde","Resuelta a tiempo")),IF($U1220="","Sin clasificar",IF(TODAY()&gt;$U1220,"Vencida",IF(TODAY()&gt;=$U1220-1,"Por vencer","En plazo")))))</f>
        <v/>
      </c>
      <c r="Y1220" s="49" t="n"/>
      <c r="Z1220" s="49" t="n"/>
    </row>
    <row r="1221" ht="16" customHeight="1">
      <c r="A1221" s="27">
        <f>IF($C1221="","","N-"&amp;TEXT(ROW()-3,"0000"))</f>
        <v/>
      </c>
      <c r="B1221" s="46" t="n"/>
      <c r="C1221" s="47" t="n"/>
      <c r="D1221" s="27">
        <f>IF($C1221="","",IF(COUNTIFS(ENVIOS!$A$4:$A$3003,$C1221)=0,"NO EXISTE",IF(COUNTIFS(ENVIOS!$A$4:$A$3003,$C1221)&gt;1,"DUPLICADA","OK")))</f>
        <v/>
      </c>
      <c r="E1221" s="22">
        <f>IF($C1221="","",IFERROR(INDEX(ENVIOS!$C$4:$C$3003,MATCH($C1221,ENVIOS!$A$4:$A$3003,0)),"—"))</f>
        <v/>
      </c>
      <c r="F1221" s="22">
        <f>IF($C1221="","",IFERROR(INDEX(ENVIOS!$D$4:$D$3003,MATCH($C1221,ENVIOS!$A$4:$A$3003,0)),"—"))</f>
        <v/>
      </c>
      <c r="G1221" s="22">
        <f>IF($C1221="","",IFERROR(INDEX(ENVIOS!$E$4:$E$3003,MATCH($C1221,ENVIOS!$A$4:$A$3003,0)),"—"))</f>
        <v/>
      </c>
      <c r="H1221" s="22">
        <f>IF($C1221="","",IFERROR(INDEX(ENVIOS!$F$4:$F$3003,MATCH($C1221,ENVIOS!$A$4:$A$3003,0)),"—"))</f>
        <v/>
      </c>
      <c r="I1221" s="27">
        <f>IF($C1221="","",IFERROR(INDEX(ENVIOS!$G$4:$G$3003,MATCH($C1221,ENVIOS!$A$4:$A$3003,0)),"—"))</f>
        <v/>
      </c>
      <c r="J1221" s="48">
        <f>IF($C1221="","",IFERROR(INDEX(ENVIOS!$B$4:$B$3003,MATCH($C1221,ENVIOS!$A$4:$A$3003,0)),""))</f>
        <v/>
      </c>
      <c r="K1221" s="49" t="n"/>
      <c r="L1221" s="27">
        <f>IF($K1221="","",IFERROR(INDEX(CONFIG!$B$4:$B$43,MATCH($K1221,CONFIG!$A$4:$A$43,0)),"Media"))</f>
        <v/>
      </c>
      <c r="M1221" s="27">
        <f>IF($K1221="","",IFERROR(INDEX(CONFIG!$D$4:$D$43,MATCH($K1221,CONFIG!$A$4:$A$43,0)),"NO"))</f>
        <v/>
      </c>
      <c r="N1221" s="49" t="n"/>
      <c r="O1221" s="27">
        <f>IF($N1221="","",IFERROR(INDEX(CONFIG!$G$4:$G$43,MATCH($N1221,CONFIG!$F$4:$F$43,0)),"Por definir"))</f>
        <v/>
      </c>
      <c r="P1221" s="27">
        <f>IF($N1221="","",IFERROR(INDEX(CONFIG!$H$4:$H$43,MATCH($N1221,CONFIG!$F$4:$F$43,0)),"Por definir"))</f>
        <v/>
      </c>
      <c r="Q1221" s="50" t="n"/>
      <c r="R1221" s="51" t="n"/>
      <c r="S1221" s="49" t="n"/>
      <c r="T1221" s="49" t="n"/>
      <c r="U1221" s="48">
        <f>IF(OR($B1221="",$K1221=""),"",WORKDAY($B1221,IFERROR(INDEX(CONFIG!$C$4:$C$43,MATCH($K1221,CONFIG!$A$4:$A$43,0)),3)))</f>
        <v/>
      </c>
      <c r="V1221" s="46" t="n"/>
      <c r="W1221" s="23">
        <f>IF($B1221="","",IF($V1221&lt;&gt;"",$V1221-$B1221,TODAY()-$B1221))</f>
        <v/>
      </c>
      <c r="X1221" s="27">
        <f>IF($C1221="","",IF(IFERROR(INDEX(CONFIG!$K$4:$K$43,MATCH($S1221,CONFIG!$J$4:$J$43,0)),"NO")="SÍ",IF(OR($V1221="",$U1221=""),"Resuelta",IF($V1221&gt;$U1221,"Resuelta tarde","Resuelta a tiempo")),IF($U1221="","Sin clasificar",IF(TODAY()&gt;$U1221,"Vencida",IF(TODAY()&gt;=$U1221-1,"Por vencer","En plazo")))))</f>
        <v/>
      </c>
      <c r="Y1221" s="49" t="n"/>
      <c r="Z1221" s="49" t="n"/>
    </row>
    <row r="1222" ht="16" customHeight="1">
      <c r="A1222" s="27">
        <f>IF($C1222="","","N-"&amp;TEXT(ROW()-3,"0000"))</f>
        <v/>
      </c>
      <c r="B1222" s="46" t="n"/>
      <c r="C1222" s="47" t="n"/>
      <c r="D1222" s="27">
        <f>IF($C1222="","",IF(COUNTIFS(ENVIOS!$A$4:$A$3003,$C1222)=0,"NO EXISTE",IF(COUNTIFS(ENVIOS!$A$4:$A$3003,$C1222)&gt;1,"DUPLICADA","OK")))</f>
        <v/>
      </c>
      <c r="E1222" s="22">
        <f>IF($C1222="","",IFERROR(INDEX(ENVIOS!$C$4:$C$3003,MATCH($C1222,ENVIOS!$A$4:$A$3003,0)),"—"))</f>
        <v/>
      </c>
      <c r="F1222" s="22">
        <f>IF($C1222="","",IFERROR(INDEX(ENVIOS!$D$4:$D$3003,MATCH($C1222,ENVIOS!$A$4:$A$3003,0)),"—"))</f>
        <v/>
      </c>
      <c r="G1222" s="22">
        <f>IF($C1222="","",IFERROR(INDEX(ENVIOS!$E$4:$E$3003,MATCH($C1222,ENVIOS!$A$4:$A$3003,0)),"—"))</f>
        <v/>
      </c>
      <c r="H1222" s="22">
        <f>IF($C1222="","",IFERROR(INDEX(ENVIOS!$F$4:$F$3003,MATCH($C1222,ENVIOS!$A$4:$A$3003,0)),"—"))</f>
        <v/>
      </c>
      <c r="I1222" s="27">
        <f>IF($C1222="","",IFERROR(INDEX(ENVIOS!$G$4:$G$3003,MATCH($C1222,ENVIOS!$A$4:$A$3003,0)),"—"))</f>
        <v/>
      </c>
      <c r="J1222" s="48">
        <f>IF($C1222="","",IFERROR(INDEX(ENVIOS!$B$4:$B$3003,MATCH($C1222,ENVIOS!$A$4:$A$3003,0)),""))</f>
        <v/>
      </c>
      <c r="K1222" s="49" t="n"/>
      <c r="L1222" s="27">
        <f>IF($K1222="","",IFERROR(INDEX(CONFIG!$B$4:$B$43,MATCH($K1222,CONFIG!$A$4:$A$43,0)),"Media"))</f>
        <v/>
      </c>
      <c r="M1222" s="27">
        <f>IF($K1222="","",IFERROR(INDEX(CONFIG!$D$4:$D$43,MATCH($K1222,CONFIG!$A$4:$A$43,0)),"NO"))</f>
        <v/>
      </c>
      <c r="N1222" s="49" t="n"/>
      <c r="O1222" s="27">
        <f>IF($N1222="","",IFERROR(INDEX(CONFIG!$G$4:$G$43,MATCH($N1222,CONFIG!$F$4:$F$43,0)),"Por definir"))</f>
        <v/>
      </c>
      <c r="P1222" s="27">
        <f>IF($N1222="","",IFERROR(INDEX(CONFIG!$H$4:$H$43,MATCH($N1222,CONFIG!$F$4:$F$43,0)),"Por definir"))</f>
        <v/>
      </c>
      <c r="Q1222" s="50" t="n"/>
      <c r="R1222" s="51" t="n"/>
      <c r="S1222" s="49" t="n"/>
      <c r="T1222" s="49" t="n"/>
      <c r="U1222" s="48">
        <f>IF(OR($B1222="",$K1222=""),"",WORKDAY($B1222,IFERROR(INDEX(CONFIG!$C$4:$C$43,MATCH($K1222,CONFIG!$A$4:$A$43,0)),3)))</f>
        <v/>
      </c>
      <c r="V1222" s="46" t="n"/>
      <c r="W1222" s="23">
        <f>IF($B1222="","",IF($V1222&lt;&gt;"",$V1222-$B1222,TODAY()-$B1222))</f>
        <v/>
      </c>
      <c r="X1222" s="27">
        <f>IF($C1222="","",IF(IFERROR(INDEX(CONFIG!$K$4:$K$43,MATCH($S1222,CONFIG!$J$4:$J$43,0)),"NO")="SÍ",IF(OR($V1222="",$U1222=""),"Resuelta",IF($V1222&gt;$U1222,"Resuelta tarde","Resuelta a tiempo")),IF($U1222="","Sin clasificar",IF(TODAY()&gt;$U1222,"Vencida",IF(TODAY()&gt;=$U1222-1,"Por vencer","En plazo")))))</f>
        <v/>
      </c>
      <c r="Y1222" s="49" t="n"/>
      <c r="Z1222" s="49" t="n"/>
    </row>
    <row r="1223" ht="16" customHeight="1">
      <c r="A1223" s="27">
        <f>IF($C1223="","","N-"&amp;TEXT(ROW()-3,"0000"))</f>
        <v/>
      </c>
      <c r="B1223" s="46" t="n"/>
      <c r="C1223" s="47" t="n"/>
      <c r="D1223" s="27">
        <f>IF($C1223="","",IF(COUNTIFS(ENVIOS!$A$4:$A$3003,$C1223)=0,"NO EXISTE",IF(COUNTIFS(ENVIOS!$A$4:$A$3003,$C1223)&gt;1,"DUPLICADA","OK")))</f>
        <v/>
      </c>
      <c r="E1223" s="22">
        <f>IF($C1223="","",IFERROR(INDEX(ENVIOS!$C$4:$C$3003,MATCH($C1223,ENVIOS!$A$4:$A$3003,0)),"—"))</f>
        <v/>
      </c>
      <c r="F1223" s="22">
        <f>IF($C1223="","",IFERROR(INDEX(ENVIOS!$D$4:$D$3003,MATCH($C1223,ENVIOS!$A$4:$A$3003,0)),"—"))</f>
        <v/>
      </c>
      <c r="G1223" s="22">
        <f>IF($C1223="","",IFERROR(INDEX(ENVIOS!$E$4:$E$3003,MATCH($C1223,ENVIOS!$A$4:$A$3003,0)),"—"))</f>
        <v/>
      </c>
      <c r="H1223" s="22">
        <f>IF($C1223="","",IFERROR(INDEX(ENVIOS!$F$4:$F$3003,MATCH($C1223,ENVIOS!$A$4:$A$3003,0)),"—"))</f>
        <v/>
      </c>
      <c r="I1223" s="27">
        <f>IF($C1223="","",IFERROR(INDEX(ENVIOS!$G$4:$G$3003,MATCH($C1223,ENVIOS!$A$4:$A$3003,0)),"—"))</f>
        <v/>
      </c>
      <c r="J1223" s="48">
        <f>IF($C1223="","",IFERROR(INDEX(ENVIOS!$B$4:$B$3003,MATCH($C1223,ENVIOS!$A$4:$A$3003,0)),""))</f>
        <v/>
      </c>
      <c r="K1223" s="49" t="n"/>
      <c r="L1223" s="27">
        <f>IF($K1223="","",IFERROR(INDEX(CONFIG!$B$4:$B$43,MATCH($K1223,CONFIG!$A$4:$A$43,0)),"Media"))</f>
        <v/>
      </c>
      <c r="M1223" s="27">
        <f>IF($K1223="","",IFERROR(INDEX(CONFIG!$D$4:$D$43,MATCH($K1223,CONFIG!$A$4:$A$43,0)),"NO"))</f>
        <v/>
      </c>
      <c r="N1223" s="49" t="n"/>
      <c r="O1223" s="27">
        <f>IF($N1223="","",IFERROR(INDEX(CONFIG!$G$4:$G$43,MATCH($N1223,CONFIG!$F$4:$F$43,0)),"Por definir"))</f>
        <v/>
      </c>
      <c r="P1223" s="27">
        <f>IF($N1223="","",IFERROR(INDEX(CONFIG!$H$4:$H$43,MATCH($N1223,CONFIG!$F$4:$F$43,0)),"Por definir"))</f>
        <v/>
      </c>
      <c r="Q1223" s="50" t="n"/>
      <c r="R1223" s="51" t="n"/>
      <c r="S1223" s="49" t="n"/>
      <c r="T1223" s="49" t="n"/>
      <c r="U1223" s="48">
        <f>IF(OR($B1223="",$K1223=""),"",WORKDAY($B1223,IFERROR(INDEX(CONFIG!$C$4:$C$43,MATCH($K1223,CONFIG!$A$4:$A$43,0)),3)))</f>
        <v/>
      </c>
      <c r="V1223" s="46" t="n"/>
      <c r="W1223" s="23">
        <f>IF($B1223="","",IF($V1223&lt;&gt;"",$V1223-$B1223,TODAY()-$B1223))</f>
        <v/>
      </c>
      <c r="X1223" s="27">
        <f>IF($C1223="","",IF(IFERROR(INDEX(CONFIG!$K$4:$K$43,MATCH($S1223,CONFIG!$J$4:$J$43,0)),"NO")="SÍ",IF(OR($V1223="",$U1223=""),"Resuelta",IF($V1223&gt;$U1223,"Resuelta tarde","Resuelta a tiempo")),IF($U1223="","Sin clasificar",IF(TODAY()&gt;$U1223,"Vencida",IF(TODAY()&gt;=$U1223-1,"Por vencer","En plazo")))))</f>
        <v/>
      </c>
      <c r="Y1223" s="49" t="n"/>
      <c r="Z1223" s="49" t="n"/>
    </row>
    <row r="1224" ht="16" customHeight="1">
      <c r="A1224" s="27">
        <f>IF($C1224="","","N-"&amp;TEXT(ROW()-3,"0000"))</f>
        <v/>
      </c>
      <c r="B1224" s="46" t="n"/>
      <c r="C1224" s="47" t="n"/>
      <c r="D1224" s="27">
        <f>IF($C1224="","",IF(COUNTIFS(ENVIOS!$A$4:$A$3003,$C1224)=0,"NO EXISTE",IF(COUNTIFS(ENVIOS!$A$4:$A$3003,$C1224)&gt;1,"DUPLICADA","OK")))</f>
        <v/>
      </c>
      <c r="E1224" s="22">
        <f>IF($C1224="","",IFERROR(INDEX(ENVIOS!$C$4:$C$3003,MATCH($C1224,ENVIOS!$A$4:$A$3003,0)),"—"))</f>
        <v/>
      </c>
      <c r="F1224" s="22">
        <f>IF($C1224="","",IFERROR(INDEX(ENVIOS!$D$4:$D$3003,MATCH($C1224,ENVIOS!$A$4:$A$3003,0)),"—"))</f>
        <v/>
      </c>
      <c r="G1224" s="22">
        <f>IF($C1224="","",IFERROR(INDEX(ENVIOS!$E$4:$E$3003,MATCH($C1224,ENVIOS!$A$4:$A$3003,0)),"—"))</f>
        <v/>
      </c>
      <c r="H1224" s="22">
        <f>IF($C1224="","",IFERROR(INDEX(ENVIOS!$F$4:$F$3003,MATCH($C1224,ENVIOS!$A$4:$A$3003,0)),"—"))</f>
        <v/>
      </c>
      <c r="I1224" s="27">
        <f>IF($C1224="","",IFERROR(INDEX(ENVIOS!$G$4:$G$3003,MATCH($C1224,ENVIOS!$A$4:$A$3003,0)),"—"))</f>
        <v/>
      </c>
      <c r="J1224" s="48">
        <f>IF($C1224="","",IFERROR(INDEX(ENVIOS!$B$4:$B$3003,MATCH($C1224,ENVIOS!$A$4:$A$3003,0)),""))</f>
        <v/>
      </c>
      <c r="K1224" s="49" t="n"/>
      <c r="L1224" s="27">
        <f>IF($K1224="","",IFERROR(INDEX(CONFIG!$B$4:$B$43,MATCH($K1224,CONFIG!$A$4:$A$43,0)),"Media"))</f>
        <v/>
      </c>
      <c r="M1224" s="27">
        <f>IF($K1224="","",IFERROR(INDEX(CONFIG!$D$4:$D$43,MATCH($K1224,CONFIG!$A$4:$A$43,0)),"NO"))</f>
        <v/>
      </c>
      <c r="N1224" s="49" t="n"/>
      <c r="O1224" s="27">
        <f>IF($N1224="","",IFERROR(INDEX(CONFIG!$G$4:$G$43,MATCH($N1224,CONFIG!$F$4:$F$43,0)),"Por definir"))</f>
        <v/>
      </c>
      <c r="P1224" s="27">
        <f>IF($N1224="","",IFERROR(INDEX(CONFIG!$H$4:$H$43,MATCH($N1224,CONFIG!$F$4:$F$43,0)),"Por definir"))</f>
        <v/>
      </c>
      <c r="Q1224" s="50" t="n"/>
      <c r="R1224" s="51" t="n"/>
      <c r="S1224" s="49" t="n"/>
      <c r="T1224" s="49" t="n"/>
      <c r="U1224" s="48">
        <f>IF(OR($B1224="",$K1224=""),"",WORKDAY($B1224,IFERROR(INDEX(CONFIG!$C$4:$C$43,MATCH($K1224,CONFIG!$A$4:$A$43,0)),3)))</f>
        <v/>
      </c>
      <c r="V1224" s="46" t="n"/>
      <c r="W1224" s="23">
        <f>IF($B1224="","",IF($V1224&lt;&gt;"",$V1224-$B1224,TODAY()-$B1224))</f>
        <v/>
      </c>
      <c r="X1224" s="27">
        <f>IF($C1224="","",IF(IFERROR(INDEX(CONFIG!$K$4:$K$43,MATCH($S1224,CONFIG!$J$4:$J$43,0)),"NO")="SÍ",IF(OR($V1224="",$U1224=""),"Resuelta",IF($V1224&gt;$U1224,"Resuelta tarde","Resuelta a tiempo")),IF($U1224="","Sin clasificar",IF(TODAY()&gt;$U1224,"Vencida",IF(TODAY()&gt;=$U1224-1,"Por vencer","En plazo")))))</f>
        <v/>
      </c>
      <c r="Y1224" s="49" t="n"/>
      <c r="Z1224" s="49" t="n"/>
    </row>
    <row r="1225" ht="16" customHeight="1">
      <c r="A1225" s="27">
        <f>IF($C1225="","","N-"&amp;TEXT(ROW()-3,"0000"))</f>
        <v/>
      </c>
      <c r="B1225" s="46" t="n"/>
      <c r="C1225" s="47" t="n"/>
      <c r="D1225" s="27">
        <f>IF($C1225="","",IF(COUNTIFS(ENVIOS!$A$4:$A$3003,$C1225)=0,"NO EXISTE",IF(COUNTIFS(ENVIOS!$A$4:$A$3003,$C1225)&gt;1,"DUPLICADA","OK")))</f>
        <v/>
      </c>
      <c r="E1225" s="22">
        <f>IF($C1225="","",IFERROR(INDEX(ENVIOS!$C$4:$C$3003,MATCH($C1225,ENVIOS!$A$4:$A$3003,0)),"—"))</f>
        <v/>
      </c>
      <c r="F1225" s="22">
        <f>IF($C1225="","",IFERROR(INDEX(ENVIOS!$D$4:$D$3003,MATCH($C1225,ENVIOS!$A$4:$A$3003,0)),"—"))</f>
        <v/>
      </c>
      <c r="G1225" s="22">
        <f>IF($C1225="","",IFERROR(INDEX(ENVIOS!$E$4:$E$3003,MATCH($C1225,ENVIOS!$A$4:$A$3003,0)),"—"))</f>
        <v/>
      </c>
      <c r="H1225" s="22">
        <f>IF($C1225="","",IFERROR(INDEX(ENVIOS!$F$4:$F$3003,MATCH($C1225,ENVIOS!$A$4:$A$3003,0)),"—"))</f>
        <v/>
      </c>
      <c r="I1225" s="27">
        <f>IF($C1225="","",IFERROR(INDEX(ENVIOS!$G$4:$G$3003,MATCH($C1225,ENVIOS!$A$4:$A$3003,0)),"—"))</f>
        <v/>
      </c>
      <c r="J1225" s="48">
        <f>IF($C1225="","",IFERROR(INDEX(ENVIOS!$B$4:$B$3003,MATCH($C1225,ENVIOS!$A$4:$A$3003,0)),""))</f>
        <v/>
      </c>
      <c r="K1225" s="49" t="n"/>
      <c r="L1225" s="27">
        <f>IF($K1225="","",IFERROR(INDEX(CONFIG!$B$4:$B$43,MATCH($K1225,CONFIG!$A$4:$A$43,0)),"Media"))</f>
        <v/>
      </c>
      <c r="M1225" s="27">
        <f>IF($K1225="","",IFERROR(INDEX(CONFIG!$D$4:$D$43,MATCH($K1225,CONFIG!$A$4:$A$43,0)),"NO"))</f>
        <v/>
      </c>
      <c r="N1225" s="49" t="n"/>
      <c r="O1225" s="27">
        <f>IF($N1225="","",IFERROR(INDEX(CONFIG!$G$4:$G$43,MATCH($N1225,CONFIG!$F$4:$F$43,0)),"Por definir"))</f>
        <v/>
      </c>
      <c r="P1225" s="27">
        <f>IF($N1225="","",IFERROR(INDEX(CONFIG!$H$4:$H$43,MATCH($N1225,CONFIG!$F$4:$F$43,0)),"Por definir"))</f>
        <v/>
      </c>
      <c r="Q1225" s="50" t="n"/>
      <c r="R1225" s="51" t="n"/>
      <c r="S1225" s="49" t="n"/>
      <c r="T1225" s="49" t="n"/>
      <c r="U1225" s="48">
        <f>IF(OR($B1225="",$K1225=""),"",WORKDAY($B1225,IFERROR(INDEX(CONFIG!$C$4:$C$43,MATCH($K1225,CONFIG!$A$4:$A$43,0)),3)))</f>
        <v/>
      </c>
      <c r="V1225" s="46" t="n"/>
      <c r="W1225" s="23">
        <f>IF($B1225="","",IF($V1225&lt;&gt;"",$V1225-$B1225,TODAY()-$B1225))</f>
        <v/>
      </c>
      <c r="X1225" s="27">
        <f>IF($C1225="","",IF(IFERROR(INDEX(CONFIG!$K$4:$K$43,MATCH($S1225,CONFIG!$J$4:$J$43,0)),"NO")="SÍ",IF(OR($V1225="",$U1225=""),"Resuelta",IF($V1225&gt;$U1225,"Resuelta tarde","Resuelta a tiempo")),IF($U1225="","Sin clasificar",IF(TODAY()&gt;$U1225,"Vencida",IF(TODAY()&gt;=$U1225-1,"Por vencer","En plazo")))))</f>
        <v/>
      </c>
      <c r="Y1225" s="49" t="n"/>
      <c r="Z1225" s="49" t="n"/>
    </row>
    <row r="1226" ht="16" customHeight="1">
      <c r="A1226" s="27">
        <f>IF($C1226="","","N-"&amp;TEXT(ROW()-3,"0000"))</f>
        <v/>
      </c>
      <c r="B1226" s="46" t="n"/>
      <c r="C1226" s="47" t="n"/>
      <c r="D1226" s="27">
        <f>IF($C1226="","",IF(COUNTIFS(ENVIOS!$A$4:$A$3003,$C1226)=0,"NO EXISTE",IF(COUNTIFS(ENVIOS!$A$4:$A$3003,$C1226)&gt;1,"DUPLICADA","OK")))</f>
        <v/>
      </c>
      <c r="E1226" s="22">
        <f>IF($C1226="","",IFERROR(INDEX(ENVIOS!$C$4:$C$3003,MATCH($C1226,ENVIOS!$A$4:$A$3003,0)),"—"))</f>
        <v/>
      </c>
      <c r="F1226" s="22">
        <f>IF($C1226="","",IFERROR(INDEX(ENVIOS!$D$4:$D$3003,MATCH($C1226,ENVIOS!$A$4:$A$3003,0)),"—"))</f>
        <v/>
      </c>
      <c r="G1226" s="22">
        <f>IF($C1226="","",IFERROR(INDEX(ENVIOS!$E$4:$E$3003,MATCH($C1226,ENVIOS!$A$4:$A$3003,0)),"—"))</f>
        <v/>
      </c>
      <c r="H1226" s="22">
        <f>IF($C1226="","",IFERROR(INDEX(ENVIOS!$F$4:$F$3003,MATCH($C1226,ENVIOS!$A$4:$A$3003,0)),"—"))</f>
        <v/>
      </c>
      <c r="I1226" s="27">
        <f>IF($C1226="","",IFERROR(INDEX(ENVIOS!$G$4:$G$3003,MATCH($C1226,ENVIOS!$A$4:$A$3003,0)),"—"))</f>
        <v/>
      </c>
      <c r="J1226" s="48">
        <f>IF($C1226="","",IFERROR(INDEX(ENVIOS!$B$4:$B$3003,MATCH($C1226,ENVIOS!$A$4:$A$3003,0)),""))</f>
        <v/>
      </c>
      <c r="K1226" s="49" t="n"/>
      <c r="L1226" s="27">
        <f>IF($K1226="","",IFERROR(INDEX(CONFIG!$B$4:$B$43,MATCH($K1226,CONFIG!$A$4:$A$43,0)),"Media"))</f>
        <v/>
      </c>
      <c r="M1226" s="27">
        <f>IF($K1226="","",IFERROR(INDEX(CONFIG!$D$4:$D$43,MATCH($K1226,CONFIG!$A$4:$A$43,0)),"NO"))</f>
        <v/>
      </c>
      <c r="N1226" s="49" t="n"/>
      <c r="O1226" s="27">
        <f>IF($N1226="","",IFERROR(INDEX(CONFIG!$G$4:$G$43,MATCH($N1226,CONFIG!$F$4:$F$43,0)),"Por definir"))</f>
        <v/>
      </c>
      <c r="P1226" s="27">
        <f>IF($N1226="","",IFERROR(INDEX(CONFIG!$H$4:$H$43,MATCH($N1226,CONFIG!$F$4:$F$43,0)),"Por definir"))</f>
        <v/>
      </c>
      <c r="Q1226" s="50" t="n"/>
      <c r="R1226" s="51" t="n"/>
      <c r="S1226" s="49" t="n"/>
      <c r="T1226" s="49" t="n"/>
      <c r="U1226" s="48">
        <f>IF(OR($B1226="",$K1226=""),"",WORKDAY($B1226,IFERROR(INDEX(CONFIG!$C$4:$C$43,MATCH($K1226,CONFIG!$A$4:$A$43,0)),3)))</f>
        <v/>
      </c>
      <c r="V1226" s="46" t="n"/>
      <c r="W1226" s="23">
        <f>IF($B1226="","",IF($V1226&lt;&gt;"",$V1226-$B1226,TODAY()-$B1226))</f>
        <v/>
      </c>
      <c r="X1226" s="27">
        <f>IF($C1226="","",IF(IFERROR(INDEX(CONFIG!$K$4:$K$43,MATCH($S1226,CONFIG!$J$4:$J$43,0)),"NO")="SÍ",IF(OR($V1226="",$U1226=""),"Resuelta",IF($V1226&gt;$U1226,"Resuelta tarde","Resuelta a tiempo")),IF($U1226="","Sin clasificar",IF(TODAY()&gt;$U1226,"Vencida",IF(TODAY()&gt;=$U1226-1,"Por vencer","En plazo")))))</f>
        <v/>
      </c>
      <c r="Y1226" s="49" t="n"/>
      <c r="Z1226" s="49" t="n"/>
    </row>
    <row r="1227" ht="16" customHeight="1">
      <c r="A1227" s="27">
        <f>IF($C1227="","","N-"&amp;TEXT(ROW()-3,"0000"))</f>
        <v/>
      </c>
      <c r="B1227" s="46" t="n"/>
      <c r="C1227" s="47" t="n"/>
      <c r="D1227" s="27">
        <f>IF($C1227="","",IF(COUNTIFS(ENVIOS!$A$4:$A$3003,$C1227)=0,"NO EXISTE",IF(COUNTIFS(ENVIOS!$A$4:$A$3003,$C1227)&gt;1,"DUPLICADA","OK")))</f>
        <v/>
      </c>
      <c r="E1227" s="22">
        <f>IF($C1227="","",IFERROR(INDEX(ENVIOS!$C$4:$C$3003,MATCH($C1227,ENVIOS!$A$4:$A$3003,0)),"—"))</f>
        <v/>
      </c>
      <c r="F1227" s="22">
        <f>IF($C1227="","",IFERROR(INDEX(ENVIOS!$D$4:$D$3003,MATCH($C1227,ENVIOS!$A$4:$A$3003,0)),"—"))</f>
        <v/>
      </c>
      <c r="G1227" s="22">
        <f>IF($C1227="","",IFERROR(INDEX(ENVIOS!$E$4:$E$3003,MATCH($C1227,ENVIOS!$A$4:$A$3003,0)),"—"))</f>
        <v/>
      </c>
      <c r="H1227" s="22">
        <f>IF($C1227="","",IFERROR(INDEX(ENVIOS!$F$4:$F$3003,MATCH($C1227,ENVIOS!$A$4:$A$3003,0)),"—"))</f>
        <v/>
      </c>
      <c r="I1227" s="27">
        <f>IF($C1227="","",IFERROR(INDEX(ENVIOS!$G$4:$G$3003,MATCH($C1227,ENVIOS!$A$4:$A$3003,0)),"—"))</f>
        <v/>
      </c>
      <c r="J1227" s="48">
        <f>IF($C1227="","",IFERROR(INDEX(ENVIOS!$B$4:$B$3003,MATCH($C1227,ENVIOS!$A$4:$A$3003,0)),""))</f>
        <v/>
      </c>
      <c r="K1227" s="49" t="n"/>
      <c r="L1227" s="27">
        <f>IF($K1227="","",IFERROR(INDEX(CONFIG!$B$4:$B$43,MATCH($K1227,CONFIG!$A$4:$A$43,0)),"Media"))</f>
        <v/>
      </c>
      <c r="M1227" s="27">
        <f>IF($K1227="","",IFERROR(INDEX(CONFIG!$D$4:$D$43,MATCH($K1227,CONFIG!$A$4:$A$43,0)),"NO"))</f>
        <v/>
      </c>
      <c r="N1227" s="49" t="n"/>
      <c r="O1227" s="27">
        <f>IF($N1227="","",IFERROR(INDEX(CONFIG!$G$4:$G$43,MATCH($N1227,CONFIG!$F$4:$F$43,0)),"Por definir"))</f>
        <v/>
      </c>
      <c r="P1227" s="27">
        <f>IF($N1227="","",IFERROR(INDEX(CONFIG!$H$4:$H$43,MATCH($N1227,CONFIG!$F$4:$F$43,0)),"Por definir"))</f>
        <v/>
      </c>
      <c r="Q1227" s="50" t="n"/>
      <c r="R1227" s="51" t="n"/>
      <c r="S1227" s="49" t="n"/>
      <c r="T1227" s="49" t="n"/>
      <c r="U1227" s="48">
        <f>IF(OR($B1227="",$K1227=""),"",WORKDAY($B1227,IFERROR(INDEX(CONFIG!$C$4:$C$43,MATCH($K1227,CONFIG!$A$4:$A$43,0)),3)))</f>
        <v/>
      </c>
      <c r="V1227" s="46" t="n"/>
      <c r="W1227" s="23">
        <f>IF($B1227="","",IF($V1227&lt;&gt;"",$V1227-$B1227,TODAY()-$B1227))</f>
        <v/>
      </c>
      <c r="X1227" s="27">
        <f>IF($C1227="","",IF(IFERROR(INDEX(CONFIG!$K$4:$K$43,MATCH($S1227,CONFIG!$J$4:$J$43,0)),"NO")="SÍ",IF(OR($V1227="",$U1227=""),"Resuelta",IF($V1227&gt;$U1227,"Resuelta tarde","Resuelta a tiempo")),IF($U1227="","Sin clasificar",IF(TODAY()&gt;$U1227,"Vencida",IF(TODAY()&gt;=$U1227-1,"Por vencer","En plazo")))))</f>
        <v/>
      </c>
      <c r="Y1227" s="49" t="n"/>
      <c r="Z1227" s="49" t="n"/>
    </row>
    <row r="1228" ht="16" customHeight="1">
      <c r="A1228" s="27">
        <f>IF($C1228="","","N-"&amp;TEXT(ROW()-3,"0000"))</f>
        <v/>
      </c>
      <c r="B1228" s="46" t="n"/>
      <c r="C1228" s="47" t="n"/>
      <c r="D1228" s="27">
        <f>IF($C1228="","",IF(COUNTIFS(ENVIOS!$A$4:$A$3003,$C1228)=0,"NO EXISTE",IF(COUNTIFS(ENVIOS!$A$4:$A$3003,$C1228)&gt;1,"DUPLICADA","OK")))</f>
        <v/>
      </c>
      <c r="E1228" s="22">
        <f>IF($C1228="","",IFERROR(INDEX(ENVIOS!$C$4:$C$3003,MATCH($C1228,ENVIOS!$A$4:$A$3003,0)),"—"))</f>
        <v/>
      </c>
      <c r="F1228" s="22">
        <f>IF($C1228="","",IFERROR(INDEX(ENVIOS!$D$4:$D$3003,MATCH($C1228,ENVIOS!$A$4:$A$3003,0)),"—"))</f>
        <v/>
      </c>
      <c r="G1228" s="22">
        <f>IF($C1228="","",IFERROR(INDEX(ENVIOS!$E$4:$E$3003,MATCH($C1228,ENVIOS!$A$4:$A$3003,0)),"—"))</f>
        <v/>
      </c>
      <c r="H1228" s="22">
        <f>IF($C1228="","",IFERROR(INDEX(ENVIOS!$F$4:$F$3003,MATCH($C1228,ENVIOS!$A$4:$A$3003,0)),"—"))</f>
        <v/>
      </c>
      <c r="I1228" s="27">
        <f>IF($C1228="","",IFERROR(INDEX(ENVIOS!$G$4:$G$3003,MATCH($C1228,ENVIOS!$A$4:$A$3003,0)),"—"))</f>
        <v/>
      </c>
      <c r="J1228" s="48">
        <f>IF($C1228="","",IFERROR(INDEX(ENVIOS!$B$4:$B$3003,MATCH($C1228,ENVIOS!$A$4:$A$3003,0)),""))</f>
        <v/>
      </c>
      <c r="K1228" s="49" t="n"/>
      <c r="L1228" s="27">
        <f>IF($K1228="","",IFERROR(INDEX(CONFIG!$B$4:$B$43,MATCH($K1228,CONFIG!$A$4:$A$43,0)),"Media"))</f>
        <v/>
      </c>
      <c r="M1228" s="27">
        <f>IF($K1228="","",IFERROR(INDEX(CONFIG!$D$4:$D$43,MATCH($K1228,CONFIG!$A$4:$A$43,0)),"NO"))</f>
        <v/>
      </c>
      <c r="N1228" s="49" t="n"/>
      <c r="O1228" s="27">
        <f>IF($N1228="","",IFERROR(INDEX(CONFIG!$G$4:$G$43,MATCH($N1228,CONFIG!$F$4:$F$43,0)),"Por definir"))</f>
        <v/>
      </c>
      <c r="P1228" s="27">
        <f>IF($N1228="","",IFERROR(INDEX(CONFIG!$H$4:$H$43,MATCH($N1228,CONFIG!$F$4:$F$43,0)),"Por definir"))</f>
        <v/>
      </c>
      <c r="Q1228" s="50" t="n"/>
      <c r="R1228" s="51" t="n"/>
      <c r="S1228" s="49" t="n"/>
      <c r="T1228" s="49" t="n"/>
      <c r="U1228" s="48">
        <f>IF(OR($B1228="",$K1228=""),"",WORKDAY($B1228,IFERROR(INDEX(CONFIG!$C$4:$C$43,MATCH($K1228,CONFIG!$A$4:$A$43,0)),3)))</f>
        <v/>
      </c>
      <c r="V1228" s="46" t="n"/>
      <c r="W1228" s="23">
        <f>IF($B1228="","",IF($V1228&lt;&gt;"",$V1228-$B1228,TODAY()-$B1228))</f>
        <v/>
      </c>
      <c r="X1228" s="27">
        <f>IF($C1228="","",IF(IFERROR(INDEX(CONFIG!$K$4:$K$43,MATCH($S1228,CONFIG!$J$4:$J$43,0)),"NO")="SÍ",IF(OR($V1228="",$U1228=""),"Resuelta",IF($V1228&gt;$U1228,"Resuelta tarde","Resuelta a tiempo")),IF($U1228="","Sin clasificar",IF(TODAY()&gt;$U1228,"Vencida",IF(TODAY()&gt;=$U1228-1,"Por vencer","En plazo")))))</f>
        <v/>
      </c>
      <c r="Y1228" s="49" t="n"/>
      <c r="Z1228" s="49" t="n"/>
    </row>
    <row r="1229" ht="16" customHeight="1">
      <c r="A1229" s="27">
        <f>IF($C1229="","","N-"&amp;TEXT(ROW()-3,"0000"))</f>
        <v/>
      </c>
      <c r="B1229" s="46" t="n"/>
      <c r="C1229" s="47" t="n"/>
      <c r="D1229" s="27">
        <f>IF($C1229="","",IF(COUNTIFS(ENVIOS!$A$4:$A$3003,$C1229)=0,"NO EXISTE",IF(COUNTIFS(ENVIOS!$A$4:$A$3003,$C1229)&gt;1,"DUPLICADA","OK")))</f>
        <v/>
      </c>
      <c r="E1229" s="22">
        <f>IF($C1229="","",IFERROR(INDEX(ENVIOS!$C$4:$C$3003,MATCH($C1229,ENVIOS!$A$4:$A$3003,0)),"—"))</f>
        <v/>
      </c>
      <c r="F1229" s="22">
        <f>IF($C1229="","",IFERROR(INDEX(ENVIOS!$D$4:$D$3003,MATCH($C1229,ENVIOS!$A$4:$A$3003,0)),"—"))</f>
        <v/>
      </c>
      <c r="G1229" s="22">
        <f>IF($C1229="","",IFERROR(INDEX(ENVIOS!$E$4:$E$3003,MATCH($C1229,ENVIOS!$A$4:$A$3003,0)),"—"))</f>
        <v/>
      </c>
      <c r="H1229" s="22">
        <f>IF($C1229="","",IFERROR(INDEX(ENVIOS!$F$4:$F$3003,MATCH($C1229,ENVIOS!$A$4:$A$3003,0)),"—"))</f>
        <v/>
      </c>
      <c r="I1229" s="27">
        <f>IF($C1229="","",IFERROR(INDEX(ENVIOS!$G$4:$G$3003,MATCH($C1229,ENVIOS!$A$4:$A$3003,0)),"—"))</f>
        <v/>
      </c>
      <c r="J1229" s="48">
        <f>IF($C1229="","",IFERROR(INDEX(ENVIOS!$B$4:$B$3003,MATCH($C1229,ENVIOS!$A$4:$A$3003,0)),""))</f>
        <v/>
      </c>
      <c r="K1229" s="49" t="n"/>
      <c r="L1229" s="27">
        <f>IF($K1229="","",IFERROR(INDEX(CONFIG!$B$4:$B$43,MATCH($K1229,CONFIG!$A$4:$A$43,0)),"Media"))</f>
        <v/>
      </c>
      <c r="M1229" s="27">
        <f>IF($K1229="","",IFERROR(INDEX(CONFIG!$D$4:$D$43,MATCH($K1229,CONFIG!$A$4:$A$43,0)),"NO"))</f>
        <v/>
      </c>
      <c r="N1229" s="49" t="n"/>
      <c r="O1229" s="27">
        <f>IF($N1229="","",IFERROR(INDEX(CONFIG!$G$4:$G$43,MATCH($N1229,CONFIG!$F$4:$F$43,0)),"Por definir"))</f>
        <v/>
      </c>
      <c r="P1229" s="27">
        <f>IF($N1229="","",IFERROR(INDEX(CONFIG!$H$4:$H$43,MATCH($N1229,CONFIG!$F$4:$F$43,0)),"Por definir"))</f>
        <v/>
      </c>
      <c r="Q1229" s="50" t="n"/>
      <c r="R1229" s="51" t="n"/>
      <c r="S1229" s="49" t="n"/>
      <c r="T1229" s="49" t="n"/>
      <c r="U1229" s="48">
        <f>IF(OR($B1229="",$K1229=""),"",WORKDAY($B1229,IFERROR(INDEX(CONFIG!$C$4:$C$43,MATCH($K1229,CONFIG!$A$4:$A$43,0)),3)))</f>
        <v/>
      </c>
      <c r="V1229" s="46" t="n"/>
      <c r="W1229" s="23">
        <f>IF($B1229="","",IF($V1229&lt;&gt;"",$V1229-$B1229,TODAY()-$B1229))</f>
        <v/>
      </c>
      <c r="X1229" s="27">
        <f>IF($C1229="","",IF(IFERROR(INDEX(CONFIG!$K$4:$K$43,MATCH($S1229,CONFIG!$J$4:$J$43,0)),"NO")="SÍ",IF(OR($V1229="",$U1229=""),"Resuelta",IF($V1229&gt;$U1229,"Resuelta tarde","Resuelta a tiempo")),IF($U1229="","Sin clasificar",IF(TODAY()&gt;$U1229,"Vencida",IF(TODAY()&gt;=$U1229-1,"Por vencer","En plazo")))))</f>
        <v/>
      </c>
      <c r="Y1229" s="49" t="n"/>
      <c r="Z1229" s="49" t="n"/>
    </row>
    <row r="1230" ht="16" customHeight="1">
      <c r="A1230" s="27">
        <f>IF($C1230="","","N-"&amp;TEXT(ROW()-3,"0000"))</f>
        <v/>
      </c>
      <c r="B1230" s="46" t="n"/>
      <c r="C1230" s="47" t="n"/>
      <c r="D1230" s="27">
        <f>IF($C1230="","",IF(COUNTIFS(ENVIOS!$A$4:$A$3003,$C1230)=0,"NO EXISTE",IF(COUNTIFS(ENVIOS!$A$4:$A$3003,$C1230)&gt;1,"DUPLICADA","OK")))</f>
        <v/>
      </c>
      <c r="E1230" s="22">
        <f>IF($C1230="","",IFERROR(INDEX(ENVIOS!$C$4:$C$3003,MATCH($C1230,ENVIOS!$A$4:$A$3003,0)),"—"))</f>
        <v/>
      </c>
      <c r="F1230" s="22">
        <f>IF($C1230="","",IFERROR(INDEX(ENVIOS!$D$4:$D$3003,MATCH($C1230,ENVIOS!$A$4:$A$3003,0)),"—"))</f>
        <v/>
      </c>
      <c r="G1230" s="22">
        <f>IF($C1230="","",IFERROR(INDEX(ENVIOS!$E$4:$E$3003,MATCH($C1230,ENVIOS!$A$4:$A$3003,0)),"—"))</f>
        <v/>
      </c>
      <c r="H1230" s="22">
        <f>IF($C1230="","",IFERROR(INDEX(ENVIOS!$F$4:$F$3003,MATCH($C1230,ENVIOS!$A$4:$A$3003,0)),"—"))</f>
        <v/>
      </c>
      <c r="I1230" s="27">
        <f>IF($C1230="","",IFERROR(INDEX(ENVIOS!$G$4:$G$3003,MATCH($C1230,ENVIOS!$A$4:$A$3003,0)),"—"))</f>
        <v/>
      </c>
      <c r="J1230" s="48">
        <f>IF($C1230="","",IFERROR(INDEX(ENVIOS!$B$4:$B$3003,MATCH($C1230,ENVIOS!$A$4:$A$3003,0)),""))</f>
        <v/>
      </c>
      <c r="K1230" s="49" t="n"/>
      <c r="L1230" s="27">
        <f>IF($K1230="","",IFERROR(INDEX(CONFIG!$B$4:$B$43,MATCH($K1230,CONFIG!$A$4:$A$43,0)),"Media"))</f>
        <v/>
      </c>
      <c r="M1230" s="27">
        <f>IF($K1230="","",IFERROR(INDEX(CONFIG!$D$4:$D$43,MATCH($K1230,CONFIG!$A$4:$A$43,0)),"NO"))</f>
        <v/>
      </c>
      <c r="N1230" s="49" t="n"/>
      <c r="O1230" s="27">
        <f>IF($N1230="","",IFERROR(INDEX(CONFIG!$G$4:$G$43,MATCH($N1230,CONFIG!$F$4:$F$43,0)),"Por definir"))</f>
        <v/>
      </c>
      <c r="P1230" s="27">
        <f>IF($N1230="","",IFERROR(INDEX(CONFIG!$H$4:$H$43,MATCH($N1230,CONFIG!$F$4:$F$43,0)),"Por definir"))</f>
        <v/>
      </c>
      <c r="Q1230" s="50" t="n"/>
      <c r="R1230" s="51" t="n"/>
      <c r="S1230" s="49" t="n"/>
      <c r="T1230" s="49" t="n"/>
      <c r="U1230" s="48">
        <f>IF(OR($B1230="",$K1230=""),"",WORKDAY($B1230,IFERROR(INDEX(CONFIG!$C$4:$C$43,MATCH($K1230,CONFIG!$A$4:$A$43,0)),3)))</f>
        <v/>
      </c>
      <c r="V1230" s="46" t="n"/>
      <c r="W1230" s="23">
        <f>IF($B1230="","",IF($V1230&lt;&gt;"",$V1230-$B1230,TODAY()-$B1230))</f>
        <v/>
      </c>
      <c r="X1230" s="27">
        <f>IF($C1230="","",IF(IFERROR(INDEX(CONFIG!$K$4:$K$43,MATCH($S1230,CONFIG!$J$4:$J$43,0)),"NO")="SÍ",IF(OR($V1230="",$U1230=""),"Resuelta",IF($V1230&gt;$U1230,"Resuelta tarde","Resuelta a tiempo")),IF($U1230="","Sin clasificar",IF(TODAY()&gt;$U1230,"Vencida",IF(TODAY()&gt;=$U1230-1,"Por vencer","En plazo")))))</f>
        <v/>
      </c>
      <c r="Y1230" s="49" t="n"/>
      <c r="Z1230" s="49" t="n"/>
    </row>
    <row r="1231" ht="16" customHeight="1">
      <c r="A1231" s="27">
        <f>IF($C1231="","","N-"&amp;TEXT(ROW()-3,"0000"))</f>
        <v/>
      </c>
      <c r="B1231" s="46" t="n"/>
      <c r="C1231" s="47" t="n"/>
      <c r="D1231" s="27">
        <f>IF($C1231="","",IF(COUNTIFS(ENVIOS!$A$4:$A$3003,$C1231)=0,"NO EXISTE",IF(COUNTIFS(ENVIOS!$A$4:$A$3003,$C1231)&gt;1,"DUPLICADA","OK")))</f>
        <v/>
      </c>
      <c r="E1231" s="22">
        <f>IF($C1231="","",IFERROR(INDEX(ENVIOS!$C$4:$C$3003,MATCH($C1231,ENVIOS!$A$4:$A$3003,0)),"—"))</f>
        <v/>
      </c>
      <c r="F1231" s="22">
        <f>IF($C1231="","",IFERROR(INDEX(ENVIOS!$D$4:$D$3003,MATCH($C1231,ENVIOS!$A$4:$A$3003,0)),"—"))</f>
        <v/>
      </c>
      <c r="G1231" s="22">
        <f>IF($C1231="","",IFERROR(INDEX(ENVIOS!$E$4:$E$3003,MATCH($C1231,ENVIOS!$A$4:$A$3003,0)),"—"))</f>
        <v/>
      </c>
      <c r="H1231" s="22">
        <f>IF($C1231="","",IFERROR(INDEX(ENVIOS!$F$4:$F$3003,MATCH($C1231,ENVIOS!$A$4:$A$3003,0)),"—"))</f>
        <v/>
      </c>
      <c r="I1231" s="27">
        <f>IF($C1231="","",IFERROR(INDEX(ENVIOS!$G$4:$G$3003,MATCH($C1231,ENVIOS!$A$4:$A$3003,0)),"—"))</f>
        <v/>
      </c>
      <c r="J1231" s="48">
        <f>IF($C1231="","",IFERROR(INDEX(ENVIOS!$B$4:$B$3003,MATCH($C1231,ENVIOS!$A$4:$A$3003,0)),""))</f>
        <v/>
      </c>
      <c r="K1231" s="49" t="n"/>
      <c r="L1231" s="27">
        <f>IF($K1231="","",IFERROR(INDEX(CONFIG!$B$4:$B$43,MATCH($K1231,CONFIG!$A$4:$A$43,0)),"Media"))</f>
        <v/>
      </c>
      <c r="M1231" s="27">
        <f>IF($K1231="","",IFERROR(INDEX(CONFIG!$D$4:$D$43,MATCH($K1231,CONFIG!$A$4:$A$43,0)),"NO"))</f>
        <v/>
      </c>
      <c r="N1231" s="49" t="n"/>
      <c r="O1231" s="27">
        <f>IF($N1231="","",IFERROR(INDEX(CONFIG!$G$4:$G$43,MATCH($N1231,CONFIG!$F$4:$F$43,0)),"Por definir"))</f>
        <v/>
      </c>
      <c r="P1231" s="27">
        <f>IF($N1231="","",IFERROR(INDEX(CONFIG!$H$4:$H$43,MATCH($N1231,CONFIG!$F$4:$F$43,0)),"Por definir"))</f>
        <v/>
      </c>
      <c r="Q1231" s="50" t="n"/>
      <c r="R1231" s="51" t="n"/>
      <c r="S1231" s="49" t="n"/>
      <c r="T1231" s="49" t="n"/>
      <c r="U1231" s="48">
        <f>IF(OR($B1231="",$K1231=""),"",WORKDAY($B1231,IFERROR(INDEX(CONFIG!$C$4:$C$43,MATCH($K1231,CONFIG!$A$4:$A$43,0)),3)))</f>
        <v/>
      </c>
      <c r="V1231" s="46" t="n"/>
      <c r="W1231" s="23">
        <f>IF($B1231="","",IF($V1231&lt;&gt;"",$V1231-$B1231,TODAY()-$B1231))</f>
        <v/>
      </c>
      <c r="X1231" s="27">
        <f>IF($C1231="","",IF(IFERROR(INDEX(CONFIG!$K$4:$K$43,MATCH($S1231,CONFIG!$J$4:$J$43,0)),"NO")="SÍ",IF(OR($V1231="",$U1231=""),"Resuelta",IF($V1231&gt;$U1231,"Resuelta tarde","Resuelta a tiempo")),IF($U1231="","Sin clasificar",IF(TODAY()&gt;$U1231,"Vencida",IF(TODAY()&gt;=$U1231-1,"Por vencer","En plazo")))))</f>
        <v/>
      </c>
      <c r="Y1231" s="49" t="n"/>
      <c r="Z1231" s="49" t="n"/>
    </row>
    <row r="1232" ht="16" customHeight="1">
      <c r="A1232" s="27">
        <f>IF($C1232="","","N-"&amp;TEXT(ROW()-3,"0000"))</f>
        <v/>
      </c>
      <c r="B1232" s="46" t="n"/>
      <c r="C1232" s="47" t="n"/>
      <c r="D1232" s="27">
        <f>IF($C1232="","",IF(COUNTIFS(ENVIOS!$A$4:$A$3003,$C1232)=0,"NO EXISTE",IF(COUNTIFS(ENVIOS!$A$4:$A$3003,$C1232)&gt;1,"DUPLICADA","OK")))</f>
        <v/>
      </c>
      <c r="E1232" s="22">
        <f>IF($C1232="","",IFERROR(INDEX(ENVIOS!$C$4:$C$3003,MATCH($C1232,ENVIOS!$A$4:$A$3003,0)),"—"))</f>
        <v/>
      </c>
      <c r="F1232" s="22">
        <f>IF($C1232="","",IFERROR(INDEX(ENVIOS!$D$4:$D$3003,MATCH($C1232,ENVIOS!$A$4:$A$3003,0)),"—"))</f>
        <v/>
      </c>
      <c r="G1232" s="22">
        <f>IF($C1232="","",IFERROR(INDEX(ENVIOS!$E$4:$E$3003,MATCH($C1232,ENVIOS!$A$4:$A$3003,0)),"—"))</f>
        <v/>
      </c>
      <c r="H1232" s="22">
        <f>IF($C1232="","",IFERROR(INDEX(ENVIOS!$F$4:$F$3003,MATCH($C1232,ENVIOS!$A$4:$A$3003,0)),"—"))</f>
        <v/>
      </c>
      <c r="I1232" s="27">
        <f>IF($C1232="","",IFERROR(INDEX(ENVIOS!$G$4:$G$3003,MATCH($C1232,ENVIOS!$A$4:$A$3003,0)),"—"))</f>
        <v/>
      </c>
      <c r="J1232" s="48">
        <f>IF($C1232="","",IFERROR(INDEX(ENVIOS!$B$4:$B$3003,MATCH($C1232,ENVIOS!$A$4:$A$3003,0)),""))</f>
        <v/>
      </c>
      <c r="K1232" s="49" t="n"/>
      <c r="L1232" s="27">
        <f>IF($K1232="","",IFERROR(INDEX(CONFIG!$B$4:$B$43,MATCH($K1232,CONFIG!$A$4:$A$43,0)),"Media"))</f>
        <v/>
      </c>
      <c r="M1232" s="27">
        <f>IF($K1232="","",IFERROR(INDEX(CONFIG!$D$4:$D$43,MATCH($K1232,CONFIG!$A$4:$A$43,0)),"NO"))</f>
        <v/>
      </c>
      <c r="N1232" s="49" t="n"/>
      <c r="O1232" s="27">
        <f>IF($N1232="","",IFERROR(INDEX(CONFIG!$G$4:$G$43,MATCH($N1232,CONFIG!$F$4:$F$43,0)),"Por definir"))</f>
        <v/>
      </c>
      <c r="P1232" s="27">
        <f>IF($N1232="","",IFERROR(INDEX(CONFIG!$H$4:$H$43,MATCH($N1232,CONFIG!$F$4:$F$43,0)),"Por definir"))</f>
        <v/>
      </c>
      <c r="Q1232" s="50" t="n"/>
      <c r="R1232" s="51" t="n"/>
      <c r="S1232" s="49" t="n"/>
      <c r="T1232" s="49" t="n"/>
      <c r="U1232" s="48">
        <f>IF(OR($B1232="",$K1232=""),"",WORKDAY($B1232,IFERROR(INDEX(CONFIG!$C$4:$C$43,MATCH($K1232,CONFIG!$A$4:$A$43,0)),3)))</f>
        <v/>
      </c>
      <c r="V1232" s="46" t="n"/>
      <c r="W1232" s="23">
        <f>IF($B1232="","",IF($V1232&lt;&gt;"",$V1232-$B1232,TODAY()-$B1232))</f>
        <v/>
      </c>
      <c r="X1232" s="27">
        <f>IF($C1232="","",IF(IFERROR(INDEX(CONFIG!$K$4:$K$43,MATCH($S1232,CONFIG!$J$4:$J$43,0)),"NO")="SÍ",IF(OR($V1232="",$U1232=""),"Resuelta",IF($V1232&gt;$U1232,"Resuelta tarde","Resuelta a tiempo")),IF($U1232="","Sin clasificar",IF(TODAY()&gt;$U1232,"Vencida",IF(TODAY()&gt;=$U1232-1,"Por vencer","En plazo")))))</f>
        <v/>
      </c>
      <c r="Y1232" s="49" t="n"/>
      <c r="Z1232" s="49" t="n"/>
    </row>
    <row r="1233" ht="16" customHeight="1">
      <c r="A1233" s="27">
        <f>IF($C1233="","","N-"&amp;TEXT(ROW()-3,"0000"))</f>
        <v/>
      </c>
      <c r="B1233" s="46" t="n"/>
      <c r="C1233" s="47" t="n"/>
      <c r="D1233" s="27">
        <f>IF($C1233="","",IF(COUNTIFS(ENVIOS!$A$4:$A$3003,$C1233)=0,"NO EXISTE",IF(COUNTIFS(ENVIOS!$A$4:$A$3003,$C1233)&gt;1,"DUPLICADA","OK")))</f>
        <v/>
      </c>
      <c r="E1233" s="22">
        <f>IF($C1233="","",IFERROR(INDEX(ENVIOS!$C$4:$C$3003,MATCH($C1233,ENVIOS!$A$4:$A$3003,0)),"—"))</f>
        <v/>
      </c>
      <c r="F1233" s="22">
        <f>IF($C1233="","",IFERROR(INDEX(ENVIOS!$D$4:$D$3003,MATCH($C1233,ENVIOS!$A$4:$A$3003,0)),"—"))</f>
        <v/>
      </c>
      <c r="G1233" s="22">
        <f>IF($C1233="","",IFERROR(INDEX(ENVIOS!$E$4:$E$3003,MATCH($C1233,ENVIOS!$A$4:$A$3003,0)),"—"))</f>
        <v/>
      </c>
      <c r="H1233" s="22">
        <f>IF($C1233="","",IFERROR(INDEX(ENVIOS!$F$4:$F$3003,MATCH($C1233,ENVIOS!$A$4:$A$3003,0)),"—"))</f>
        <v/>
      </c>
      <c r="I1233" s="27">
        <f>IF($C1233="","",IFERROR(INDEX(ENVIOS!$G$4:$G$3003,MATCH($C1233,ENVIOS!$A$4:$A$3003,0)),"—"))</f>
        <v/>
      </c>
      <c r="J1233" s="48">
        <f>IF($C1233="","",IFERROR(INDEX(ENVIOS!$B$4:$B$3003,MATCH($C1233,ENVIOS!$A$4:$A$3003,0)),""))</f>
        <v/>
      </c>
      <c r="K1233" s="49" t="n"/>
      <c r="L1233" s="27">
        <f>IF($K1233="","",IFERROR(INDEX(CONFIG!$B$4:$B$43,MATCH($K1233,CONFIG!$A$4:$A$43,0)),"Media"))</f>
        <v/>
      </c>
      <c r="M1233" s="27">
        <f>IF($K1233="","",IFERROR(INDEX(CONFIG!$D$4:$D$43,MATCH($K1233,CONFIG!$A$4:$A$43,0)),"NO"))</f>
        <v/>
      </c>
      <c r="N1233" s="49" t="n"/>
      <c r="O1233" s="27">
        <f>IF($N1233="","",IFERROR(INDEX(CONFIG!$G$4:$G$43,MATCH($N1233,CONFIG!$F$4:$F$43,0)),"Por definir"))</f>
        <v/>
      </c>
      <c r="P1233" s="27">
        <f>IF($N1233="","",IFERROR(INDEX(CONFIG!$H$4:$H$43,MATCH($N1233,CONFIG!$F$4:$F$43,0)),"Por definir"))</f>
        <v/>
      </c>
      <c r="Q1233" s="50" t="n"/>
      <c r="R1233" s="51" t="n"/>
      <c r="S1233" s="49" t="n"/>
      <c r="T1233" s="49" t="n"/>
      <c r="U1233" s="48">
        <f>IF(OR($B1233="",$K1233=""),"",WORKDAY($B1233,IFERROR(INDEX(CONFIG!$C$4:$C$43,MATCH($K1233,CONFIG!$A$4:$A$43,0)),3)))</f>
        <v/>
      </c>
      <c r="V1233" s="46" t="n"/>
      <c r="W1233" s="23">
        <f>IF($B1233="","",IF($V1233&lt;&gt;"",$V1233-$B1233,TODAY()-$B1233))</f>
        <v/>
      </c>
      <c r="X1233" s="27">
        <f>IF($C1233="","",IF(IFERROR(INDEX(CONFIG!$K$4:$K$43,MATCH($S1233,CONFIG!$J$4:$J$43,0)),"NO")="SÍ",IF(OR($V1233="",$U1233=""),"Resuelta",IF($V1233&gt;$U1233,"Resuelta tarde","Resuelta a tiempo")),IF($U1233="","Sin clasificar",IF(TODAY()&gt;$U1233,"Vencida",IF(TODAY()&gt;=$U1233-1,"Por vencer","En plazo")))))</f>
        <v/>
      </c>
      <c r="Y1233" s="49" t="n"/>
      <c r="Z1233" s="49" t="n"/>
    </row>
    <row r="1234" ht="16" customHeight="1">
      <c r="A1234" s="27">
        <f>IF($C1234="","","N-"&amp;TEXT(ROW()-3,"0000"))</f>
        <v/>
      </c>
      <c r="B1234" s="46" t="n"/>
      <c r="C1234" s="47" t="n"/>
      <c r="D1234" s="27">
        <f>IF($C1234="","",IF(COUNTIFS(ENVIOS!$A$4:$A$3003,$C1234)=0,"NO EXISTE",IF(COUNTIFS(ENVIOS!$A$4:$A$3003,$C1234)&gt;1,"DUPLICADA","OK")))</f>
        <v/>
      </c>
      <c r="E1234" s="22">
        <f>IF($C1234="","",IFERROR(INDEX(ENVIOS!$C$4:$C$3003,MATCH($C1234,ENVIOS!$A$4:$A$3003,0)),"—"))</f>
        <v/>
      </c>
      <c r="F1234" s="22">
        <f>IF($C1234="","",IFERROR(INDEX(ENVIOS!$D$4:$D$3003,MATCH($C1234,ENVIOS!$A$4:$A$3003,0)),"—"))</f>
        <v/>
      </c>
      <c r="G1234" s="22">
        <f>IF($C1234="","",IFERROR(INDEX(ENVIOS!$E$4:$E$3003,MATCH($C1234,ENVIOS!$A$4:$A$3003,0)),"—"))</f>
        <v/>
      </c>
      <c r="H1234" s="22">
        <f>IF($C1234="","",IFERROR(INDEX(ENVIOS!$F$4:$F$3003,MATCH($C1234,ENVIOS!$A$4:$A$3003,0)),"—"))</f>
        <v/>
      </c>
      <c r="I1234" s="27">
        <f>IF($C1234="","",IFERROR(INDEX(ENVIOS!$G$4:$G$3003,MATCH($C1234,ENVIOS!$A$4:$A$3003,0)),"—"))</f>
        <v/>
      </c>
      <c r="J1234" s="48">
        <f>IF($C1234="","",IFERROR(INDEX(ENVIOS!$B$4:$B$3003,MATCH($C1234,ENVIOS!$A$4:$A$3003,0)),""))</f>
        <v/>
      </c>
      <c r="K1234" s="49" t="n"/>
      <c r="L1234" s="27">
        <f>IF($K1234="","",IFERROR(INDEX(CONFIG!$B$4:$B$43,MATCH($K1234,CONFIG!$A$4:$A$43,0)),"Media"))</f>
        <v/>
      </c>
      <c r="M1234" s="27">
        <f>IF($K1234="","",IFERROR(INDEX(CONFIG!$D$4:$D$43,MATCH($K1234,CONFIG!$A$4:$A$43,0)),"NO"))</f>
        <v/>
      </c>
      <c r="N1234" s="49" t="n"/>
      <c r="O1234" s="27">
        <f>IF($N1234="","",IFERROR(INDEX(CONFIG!$G$4:$G$43,MATCH($N1234,CONFIG!$F$4:$F$43,0)),"Por definir"))</f>
        <v/>
      </c>
      <c r="P1234" s="27">
        <f>IF($N1234="","",IFERROR(INDEX(CONFIG!$H$4:$H$43,MATCH($N1234,CONFIG!$F$4:$F$43,0)),"Por definir"))</f>
        <v/>
      </c>
      <c r="Q1234" s="50" t="n"/>
      <c r="R1234" s="51" t="n"/>
      <c r="S1234" s="49" t="n"/>
      <c r="T1234" s="49" t="n"/>
      <c r="U1234" s="48">
        <f>IF(OR($B1234="",$K1234=""),"",WORKDAY($B1234,IFERROR(INDEX(CONFIG!$C$4:$C$43,MATCH($K1234,CONFIG!$A$4:$A$43,0)),3)))</f>
        <v/>
      </c>
      <c r="V1234" s="46" t="n"/>
      <c r="W1234" s="23">
        <f>IF($B1234="","",IF($V1234&lt;&gt;"",$V1234-$B1234,TODAY()-$B1234))</f>
        <v/>
      </c>
      <c r="X1234" s="27">
        <f>IF($C1234="","",IF(IFERROR(INDEX(CONFIG!$K$4:$K$43,MATCH($S1234,CONFIG!$J$4:$J$43,0)),"NO")="SÍ",IF(OR($V1234="",$U1234=""),"Resuelta",IF($V1234&gt;$U1234,"Resuelta tarde","Resuelta a tiempo")),IF($U1234="","Sin clasificar",IF(TODAY()&gt;$U1234,"Vencida",IF(TODAY()&gt;=$U1234-1,"Por vencer","En plazo")))))</f>
        <v/>
      </c>
      <c r="Y1234" s="49" t="n"/>
      <c r="Z1234" s="49" t="n"/>
    </row>
    <row r="1235" ht="16" customHeight="1">
      <c r="A1235" s="27">
        <f>IF($C1235="","","N-"&amp;TEXT(ROW()-3,"0000"))</f>
        <v/>
      </c>
      <c r="B1235" s="46" t="n"/>
      <c r="C1235" s="47" t="n"/>
      <c r="D1235" s="27">
        <f>IF($C1235="","",IF(COUNTIFS(ENVIOS!$A$4:$A$3003,$C1235)=0,"NO EXISTE",IF(COUNTIFS(ENVIOS!$A$4:$A$3003,$C1235)&gt;1,"DUPLICADA","OK")))</f>
        <v/>
      </c>
      <c r="E1235" s="22">
        <f>IF($C1235="","",IFERROR(INDEX(ENVIOS!$C$4:$C$3003,MATCH($C1235,ENVIOS!$A$4:$A$3003,0)),"—"))</f>
        <v/>
      </c>
      <c r="F1235" s="22">
        <f>IF($C1235="","",IFERROR(INDEX(ENVIOS!$D$4:$D$3003,MATCH($C1235,ENVIOS!$A$4:$A$3003,0)),"—"))</f>
        <v/>
      </c>
      <c r="G1235" s="22">
        <f>IF($C1235="","",IFERROR(INDEX(ENVIOS!$E$4:$E$3003,MATCH($C1235,ENVIOS!$A$4:$A$3003,0)),"—"))</f>
        <v/>
      </c>
      <c r="H1235" s="22">
        <f>IF($C1235="","",IFERROR(INDEX(ENVIOS!$F$4:$F$3003,MATCH($C1235,ENVIOS!$A$4:$A$3003,0)),"—"))</f>
        <v/>
      </c>
      <c r="I1235" s="27">
        <f>IF($C1235="","",IFERROR(INDEX(ENVIOS!$G$4:$G$3003,MATCH($C1235,ENVIOS!$A$4:$A$3003,0)),"—"))</f>
        <v/>
      </c>
      <c r="J1235" s="48">
        <f>IF($C1235="","",IFERROR(INDEX(ENVIOS!$B$4:$B$3003,MATCH($C1235,ENVIOS!$A$4:$A$3003,0)),""))</f>
        <v/>
      </c>
      <c r="K1235" s="49" t="n"/>
      <c r="L1235" s="27">
        <f>IF($K1235="","",IFERROR(INDEX(CONFIG!$B$4:$B$43,MATCH($K1235,CONFIG!$A$4:$A$43,0)),"Media"))</f>
        <v/>
      </c>
      <c r="M1235" s="27">
        <f>IF($K1235="","",IFERROR(INDEX(CONFIG!$D$4:$D$43,MATCH($K1235,CONFIG!$A$4:$A$43,0)),"NO"))</f>
        <v/>
      </c>
      <c r="N1235" s="49" t="n"/>
      <c r="O1235" s="27">
        <f>IF($N1235="","",IFERROR(INDEX(CONFIG!$G$4:$G$43,MATCH($N1235,CONFIG!$F$4:$F$43,0)),"Por definir"))</f>
        <v/>
      </c>
      <c r="P1235" s="27">
        <f>IF($N1235="","",IFERROR(INDEX(CONFIG!$H$4:$H$43,MATCH($N1235,CONFIG!$F$4:$F$43,0)),"Por definir"))</f>
        <v/>
      </c>
      <c r="Q1235" s="50" t="n"/>
      <c r="R1235" s="51" t="n"/>
      <c r="S1235" s="49" t="n"/>
      <c r="T1235" s="49" t="n"/>
      <c r="U1235" s="48">
        <f>IF(OR($B1235="",$K1235=""),"",WORKDAY($B1235,IFERROR(INDEX(CONFIG!$C$4:$C$43,MATCH($K1235,CONFIG!$A$4:$A$43,0)),3)))</f>
        <v/>
      </c>
      <c r="V1235" s="46" t="n"/>
      <c r="W1235" s="23">
        <f>IF($B1235="","",IF($V1235&lt;&gt;"",$V1235-$B1235,TODAY()-$B1235))</f>
        <v/>
      </c>
      <c r="X1235" s="27">
        <f>IF($C1235="","",IF(IFERROR(INDEX(CONFIG!$K$4:$K$43,MATCH($S1235,CONFIG!$J$4:$J$43,0)),"NO")="SÍ",IF(OR($V1235="",$U1235=""),"Resuelta",IF($V1235&gt;$U1235,"Resuelta tarde","Resuelta a tiempo")),IF($U1235="","Sin clasificar",IF(TODAY()&gt;$U1235,"Vencida",IF(TODAY()&gt;=$U1235-1,"Por vencer","En plazo")))))</f>
        <v/>
      </c>
      <c r="Y1235" s="49" t="n"/>
      <c r="Z1235" s="49" t="n"/>
    </row>
    <row r="1236" ht="16" customHeight="1">
      <c r="A1236" s="27">
        <f>IF($C1236="","","N-"&amp;TEXT(ROW()-3,"0000"))</f>
        <v/>
      </c>
      <c r="B1236" s="46" t="n"/>
      <c r="C1236" s="47" t="n"/>
      <c r="D1236" s="27">
        <f>IF($C1236="","",IF(COUNTIFS(ENVIOS!$A$4:$A$3003,$C1236)=0,"NO EXISTE",IF(COUNTIFS(ENVIOS!$A$4:$A$3003,$C1236)&gt;1,"DUPLICADA","OK")))</f>
        <v/>
      </c>
      <c r="E1236" s="22">
        <f>IF($C1236="","",IFERROR(INDEX(ENVIOS!$C$4:$C$3003,MATCH($C1236,ENVIOS!$A$4:$A$3003,0)),"—"))</f>
        <v/>
      </c>
      <c r="F1236" s="22">
        <f>IF($C1236="","",IFERROR(INDEX(ENVIOS!$D$4:$D$3003,MATCH($C1236,ENVIOS!$A$4:$A$3003,0)),"—"))</f>
        <v/>
      </c>
      <c r="G1236" s="22">
        <f>IF($C1236="","",IFERROR(INDEX(ENVIOS!$E$4:$E$3003,MATCH($C1236,ENVIOS!$A$4:$A$3003,0)),"—"))</f>
        <v/>
      </c>
      <c r="H1236" s="22">
        <f>IF($C1236="","",IFERROR(INDEX(ENVIOS!$F$4:$F$3003,MATCH($C1236,ENVIOS!$A$4:$A$3003,0)),"—"))</f>
        <v/>
      </c>
      <c r="I1236" s="27">
        <f>IF($C1236="","",IFERROR(INDEX(ENVIOS!$G$4:$G$3003,MATCH($C1236,ENVIOS!$A$4:$A$3003,0)),"—"))</f>
        <v/>
      </c>
      <c r="J1236" s="48">
        <f>IF($C1236="","",IFERROR(INDEX(ENVIOS!$B$4:$B$3003,MATCH($C1236,ENVIOS!$A$4:$A$3003,0)),""))</f>
        <v/>
      </c>
      <c r="K1236" s="49" t="n"/>
      <c r="L1236" s="27">
        <f>IF($K1236="","",IFERROR(INDEX(CONFIG!$B$4:$B$43,MATCH($K1236,CONFIG!$A$4:$A$43,0)),"Media"))</f>
        <v/>
      </c>
      <c r="M1236" s="27">
        <f>IF($K1236="","",IFERROR(INDEX(CONFIG!$D$4:$D$43,MATCH($K1236,CONFIG!$A$4:$A$43,0)),"NO"))</f>
        <v/>
      </c>
      <c r="N1236" s="49" t="n"/>
      <c r="O1236" s="27">
        <f>IF($N1236="","",IFERROR(INDEX(CONFIG!$G$4:$G$43,MATCH($N1236,CONFIG!$F$4:$F$43,0)),"Por definir"))</f>
        <v/>
      </c>
      <c r="P1236" s="27">
        <f>IF($N1236="","",IFERROR(INDEX(CONFIG!$H$4:$H$43,MATCH($N1236,CONFIG!$F$4:$F$43,0)),"Por definir"))</f>
        <v/>
      </c>
      <c r="Q1236" s="50" t="n"/>
      <c r="R1236" s="51" t="n"/>
      <c r="S1236" s="49" t="n"/>
      <c r="T1236" s="49" t="n"/>
      <c r="U1236" s="48">
        <f>IF(OR($B1236="",$K1236=""),"",WORKDAY($B1236,IFERROR(INDEX(CONFIG!$C$4:$C$43,MATCH($K1236,CONFIG!$A$4:$A$43,0)),3)))</f>
        <v/>
      </c>
      <c r="V1236" s="46" t="n"/>
      <c r="W1236" s="23">
        <f>IF($B1236="","",IF($V1236&lt;&gt;"",$V1236-$B1236,TODAY()-$B1236))</f>
        <v/>
      </c>
      <c r="X1236" s="27">
        <f>IF($C1236="","",IF(IFERROR(INDEX(CONFIG!$K$4:$K$43,MATCH($S1236,CONFIG!$J$4:$J$43,0)),"NO")="SÍ",IF(OR($V1236="",$U1236=""),"Resuelta",IF($V1236&gt;$U1236,"Resuelta tarde","Resuelta a tiempo")),IF($U1236="","Sin clasificar",IF(TODAY()&gt;$U1236,"Vencida",IF(TODAY()&gt;=$U1236-1,"Por vencer","En plazo")))))</f>
        <v/>
      </c>
      <c r="Y1236" s="49" t="n"/>
      <c r="Z1236" s="49" t="n"/>
    </row>
    <row r="1237" ht="16" customHeight="1">
      <c r="A1237" s="27">
        <f>IF($C1237="","","N-"&amp;TEXT(ROW()-3,"0000"))</f>
        <v/>
      </c>
      <c r="B1237" s="46" t="n"/>
      <c r="C1237" s="47" t="n"/>
      <c r="D1237" s="27">
        <f>IF($C1237="","",IF(COUNTIFS(ENVIOS!$A$4:$A$3003,$C1237)=0,"NO EXISTE",IF(COUNTIFS(ENVIOS!$A$4:$A$3003,$C1237)&gt;1,"DUPLICADA","OK")))</f>
        <v/>
      </c>
      <c r="E1237" s="22">
        <f>IF($C1237="","",IFERROR(INDEX(ENVIOS!$C$4:$C$3003,MATCH($C1237,ENVIOS!$A$4:$A$3003,0)),"—"))</f>
        <v/>
      </c>
      <c r="F1237" s="22">
        <f>IF($C1237="","",IFERROR(INDEX(ENVIOS!$D$4:$D$3003,MATCH($C1237,ENVIOS!$A$4:$A$3003,0)),"—"))</f>
        <v/>
      </c>
      <c r="G1237" s="22">
        <f>IF($C1237="","",IFERROR(INDEX(ENVIOS!$E$4:$E$3003,MATCH($C1237,ENVIOS!$A$4:$A$3003,0)),"—"))</f>
        <v/>
      </c>
      <c r="H1237" s="22">
        <f>IF($C1237="","",IFERROR(INDEX(ENVIOS!$F$4:$F$3003,MATCH($C1237,ENVIOS!$A$4:$A$3003,0)),"—"))</f>
        <v/>
      </c>
      <c r="I1237" s="27">
        <f>IF($C1237="","",IFERROR(INDEX(ENVIOS!$G$4:$G$3003,MATCH($C1237,ENVIOS!$A$4:$A$3003,0)),"—"))</f>
        <v/>
      </c>
      <c r="J1237" s="48">
        <f>IF($C1237="","",IFERROR(INDEX(ENVIOS!$B$4:$B$3003,MATCH($C1237,ENVIOS!$A$4:$A$3003,0)),""))</f>
        <v/>
      </c>
      <c r="K1237" s="49" t="n"/>
      <c r="L1237" s="27">
        <f>IF($K1237="","",IFERROR(INDEX(CONFIG!$B$4:$B$43,MATCH($K1237,CONFIG!$A$4:$A$43,0)),"Media"))</f>
        <v/>
      </c>
      <c r="M1237" s="27">
        <f>IF($K1237="","",IFERROR(INDEX(CONFIG!$D$4:$D$43,MATCH($K1237,CONFIG!$A$4:$A$43,0)),"NO"))</f>
        <v/>
      </c>
      <c r="N1237" s="49" t="n"/>
      <c r="O1237" s="27">
        <f>IF($N1237="","",IFERROR(INDEX(CONFIG!$G$4:$G$43,MATCH($N1237,CONFIG!$F$4:$F$43,0)),"Por definir"))</f>
        <v/>
      </c>
      <c r="P1237" s="27">
        <f>IF($N1237="","",IFERROR(INDEX(CONFIG!$H$4:$H$43,MATCH($N1237,CONFIG!$F$4:$F$43,0)),"Por definir"))</f>
        <v/>
      </c>
      <c r="Q1237" s="50" t="n"/>
      <c r="R1237" s="51" t="n"/>
      <c r="S1237" s="49" t="n"/>
      <c r="T1237" s="49" t="n"/>
      <c r="U1237" s="48">
        <f>IF(OR($B1237="",$K1237=""),"",WORKDAY($B1237,IFERROR(INDEX(CONFIG!$C$4:$C$43,MATCH($K1237,CONFIG!$A$4:$A$43,0)),3)))</f>
        <v/>
      </c>
      <c r="V1237" s="46" t="n"/>
      <c r="W1237" s="23">
        <f>IF($B1237="","",IF($V1237&lt;&gt;"",$V1237-$B1237,TODAY()-$B1237))</f>
        <v/>
      </c>
      <c r="X1237" s="27">
        <f>IF($C1237="","",IF(IFERROR(INDEX(CONFIG!$K$4:$K$43,MATCH($S1237,CONFIG!$J$4:$J$43,0)),"NO")="SÍ",IF(OR($V1237="",$U1237=""),"Resuelta",IF($V1237&gt;$U1237,"Resuelta tarde","Resuelta a tiempo")),IF($U1237="","Sin clasificar",IF(TODAY()&gt;$U1237,"Vencida",IF(TODAY()&gt;=$U1237-1,"Por vencer","En plazo")))))</f>
        <v/>
      </c>
      <c r="Y1237" s="49" t="n"/>
      <c r="Z1237" s="49" t="n"/>
    </row>
    <row r="1238" ht="16" customHeight="1">
      <c r="A1238" s="27">
        <f>IF($C1238="","","N-"&amp;TEXT(ROW()-3,"0000"))</f>
        <v/>
      </c>
      <c r="B1238" s="46" t="n"/>
      <c r="C1238" s="47" t="n"/>
      <c r="D1238" s="27">
        <f>IF($C1238="","",IF(COUNTIFS(ENVIOS!$A$4:$A$3003,$C1238)=0,"NO EXISTE",IF(COUNTIFS(ENVIOS!$A$4:$A$3003,$C1238)&gt;1,"DUPLICADA","OK")))</f>
        <v/>
      </c>
      <c r="E1238" s="22">
        <f>IF($C1238="","",IFERROR(INDEX(ENVIOS!$C$4:$C$3003,MATCH($C1238,ENVIOS!$A$4:$A$3003,0)),"—"))</f>
        <v/>
      </c>
      <c r="F1238" s="22">
        <f>IF($C1238="","",IFERROR(INDEX(ENVIOS!$D$4:$D$3003,MATCH($C1238,ENVIOS!$A$4:$A$3003,0)),"—"))</f>
        <v/>
      </c>
      <c r="G1238" s="22">
        <f>IF($C1238="","",IFERROR(INDEX(ENVIOS!$E$4:$E$3003,MATCH($C1238,ENVIOS!$A$4:$A$3003,0)),"—"))</f>
        <v/>
      </c>
      <c r="H1238" s="22">
        <f>IF($C1238="","",IFERROR(INDEX(ENVIOS!$F$4:$F$3003,MATCH($C1238,ENVIOS!$A$4:$A$3003,0)),"—"))</f>
        <v/>
      </c>
      <c r="I1238" s="27">
        <f>IF($C1238="","",IFERROR(INDEX(ENVIOS!$G$4:$G$3003,MATCH($C1238,ENVIOS!$A$4:$A$3003,0)),"—"))</f>
        <v/>
      </c>
      <c r="J1238" s="48">
        <f>IF($C1238="","",IFERROR(INDEX(ENVIOS!$B$4:$B$3003,MATCH($C1238,ENVIOS!$A$4:$A$3003,0)),""))</f>
        <v/>
      </c>
      <c r="K1238" s="49" t="n"/>
      <c r="L1238" s="27">
        <f>IF($K1238="","",IFERROR(INDEX(CONFIG!$B$4:$B$43,MATCH($K1238,CONFIG!$A$4:$A$43,0)),"Media"))</f>
        <v/>
      </c>
      <c r="M1238" s="27">
        <f>IF($K1238="","",IFERROR(INDEX(CONFIG!$D$4:$D$43,MATCH($K1238,CONFIG!$A$4:$A$43,0)),"NO"))</f>
        <v/>
      </c>
      <c r="N1238" s="49" t="n"/>
      <c r="O1238" s="27">
        <f>IF($N1238="","",IFERROR(INDEX(CONFIG!$G$4:$G$43,MATCH($N1238,CONFIG!$F$4:$F$43,0)),"Por definir"))</f>
        <v/>
      </c>
      <c r="P1238" s="27">
        <f>IF($N1238="","",IFERROR(INDEX(CONFIG!$H$4:$H$43,MATCH($N1238,CONFIG!$F$4:$F$43,0)),"Por definir"))</f>
        <v/>
      </c>
      <c r="Q1238" s="50" t="n"/>
      <c r="R1238" s="51" t="n"/>
      <c r="S1238" s="49" t="n"/>
      <c r="T1238" s="49" t="n"/>
      <c r="U1238" s="48">
        <f>IF(OR($B1238="",$K1238=""),"",WORKDAY($B1238,IFERROR(INDEX(CONFIG!$C$4:$C$43,MATCH($K1238,CONFIG!$A$4:$A$43,0)),3)))</f>
        <v/>
      </c>
      <c r="V1238" s="46" t="n"/>
      <c r="W1238" s="23">
        <f>IF($B1238="","",IF($V1238&lt;&gt;"",$V1238-$B1238,TODAY()-$B1238))</f>
        <v/>
      </c>
      <c r="X1238" s="27">
        <f>IF($C1238="","",IF(IFERROR(INDEX(CONFIG!$K$4:$K$43,MATCH($S1238,CONFIG!$J$4:$J$43,0)),"NO")="SÍ",IF(OR($V1238="",$U1238=""),"Resuelta",IF($V1238&gt;$U1238,"Resuelta tarde","Resuelta a tiempo")),IF($U1238="","Sin clasificar",IF(TODAY()&gt;$U1238,"Vencida",IF(TODAY()&gt;=$U1238-1,"Por vencer","En plazo")))))</f>
        <v/>
      </c>
      <c r="Y1238" s="49" t="n"/>
      <c r="Z1238" s="49" t="n"/>
    </row>
    <row r="1239" ht="16" customHeight="1">
      <c r="A1239" s="27">
        <f>IF($C1239="","","N-"&amp;TEXT(ROW()-3,"0000"))</f>
        <v/>
      </c>
      <c r="B1239" s="46" t="n"/>
      <c r="C1239" s="47" t="n"/>
      <c r="D1239" s="27">
        <f>IF($C1239="","",IF(COUNTIFS(ENVIOS!$A$4:$A$3003,$C1239)=0,"NO EXISTE",IF(COUNTIFS(ENVIOS!$A$4:$A$3003,$C1239)&gt;1,"DUPLICADA","OK")))</f>
        <v/>
      </c>
      <c r="E1239" s="22">
        <f>IF($C1239="","",IFERROR(INDEX(ENVIOS!$C$4:$C$3003,MATCH($C1239,ENVIOS!$A$4:$A$3003,0)),"—"))</f>
        <v/>
      </c>
      <c r="F1239" s="22">
        <f>IF($C1239="","",IFERROR(INDEX(ENVIOS!$D$4:$D$3003,MATCH($C1239,ENVIOS!$A$4:$A$3003,0)),"—"))</f>
        <v/>
      </c>
      <c r="G1239" s="22">
        <f>IF($C1239="","",IFERROR(INDEX(ENVIOS!$E$4:$E$3003,MATCH($C1239,ENVIOS!$A$4:$A$3003,0)),"—"))</f>
        <v/>
      </c>
      <c r="H1239" s="22">
        <f>IF($C1239="","",IFERROR(INDEX(ENVIOS!$F$4:$F$3003,MATCH($C1239,ENVIOS!$A$4:$A$3003,0)),"—"))</f>
        <v/>
      </c>
      <c r="I1239" s="27">
        <f>IF($C1239="","",IFERROR(INDEX(ENVIOS!$G$4:$G$3003,MATCH($C1239,ENVIOS!$A$4:$A$3003,0)),"—"))</f>
        <v/>
      </c>
      <c r="J1239" s="48">
        <f>IF($C1239="","",IFERROR(INDEX(ENVIOS!$B$4:$B$3003,MATCH($C1239,ENVIOS!$A$4:$A$3003,0)),""))</f>
        <v/>
      </c>
      <c r="K1239" s="49" t="n"/>
      <c r="L1239" s="27">
        <f>IF($K1239="","",IFERROR(INDEX(CONFIG!$B$4:$B$43,MATCH($K1239,CONFIG!$A$4:$A$43,0)),"Media"))</f>
        <v/>
      </c>
      <c r="M1239" s="27">
        <f>IF($K1239="","",IFERROR(INDEX(CONFIG!$D$4:$D$43,MATCH($K1239,CONFIG!$A$4:$A$43,0)),"NO"))</f>
        <v/>
      </c>
      <c r="N1239" s="49" t="n"/>
      <c r="O1239" s="27">
        <f>IF($N1239="","",IFERROR(INDEX(CONFIG!$G$4:$G$43,MATCH($N1239,CONFIG!$F$4:$F$43,0)),"Por definir"))</f>
        <v/>
      </c>
      <c r="P1239" s="27">
        <f>IF($N1239="","",IFERROR(INDEX(CONFIG!$H$4:$H$43,MATCH($N1239,CONFIG!$F$4:$F$43,0)),"Por definir"))</f>
        <v/>
      </c>
      <c r="Q1239" s="50" t="n"/>
      <c r="R1239" s="51" t="n"/>
      <c r="S1239" s="49" t="n"/>
      <c r="T1239" s="49" t="n"/>
      <c r="U1239" s="48">
        <f>IF(OR($B1239="",$K1239=""),"",WORKDAY($B1239,IFERROR(INDEX(CONFIG!$C$4:$C$43,MATCH($K1239,CONFIG!$A$4:$A$43,0)),3)))</f>
        <v/>
      </c>
      <c r="V1239" s="46" t="n"/>
      <c r="W1239" s="23">
        <f>IF($B1239="","",IF($V1239&lt;&gt;"",$V1239-$B1239,TODAY()-$B1239))</f>
        <v/>
      </c>
      <c r="X1239" s="27">
        <f>IF($C1239="","",IF(IFERROR(INDEX(CONFIG!$K$4:$K$43,MATCH($S1239,CONFIG!$J$4:$J$43,0)),"NO")="SÍ",IF(OR($V1239="",$U1239=""),"Resuelta",IF($V1239&gt;$U1239,"Resuelta tarde","Resuelta a tiempo")),IF($U1239="","Sin clasificar",IF(TODAY()&gt;$U1239,"Vencida",IF(TODAY()&gt;=$U1239-1,"Por vencer","En plazo")))))</f>
        <v/>
      </c>
      <c r="Y1239" s="49" t="n"/>
      <c r="Z1239" s="49" t="n"/>
    </row>
    <row r="1240" ht="16" customHeight="1">
      <c r="A1240" s="27">
        <f>IF($C1240="","","N-"&amp;TEXT(ROW()-3,"0000"))</f>
        <v/>
      </c>
      <c r="B1240" s="46" t="n"/>
      <c r="C1240" s="47" t="n"/>
      <c r="D1240" s="27">
        <f>IF($C1240="","",IF(COUNTIFS(ENVIOS!$A$4:$A$3003,$C1240)=0,"NO EXISTE",IF(COUNTIFS(ENVIOS!$A$4:$A$3003,$C1240)&gt;1,"DUPLICADA","OK")))</f>
        <v/>
      </c>
      <c r="E1240" s="22">
        <f>IF($C1240="","",IFERROR(INDEX(ENVIOS!$C$4:$C$3003,MATCH($C1240,ENVIOS!$A$4:$A$3003,0)),"—"))</f>
        <v/>
      </c>
      <c r="F1240" s="22">
        <f>IF($C1240="","",IFERROR(INDEX(ENVIOS!$D$4:$D$3003,MATCH($C1240,ENVIOS!$A$4:$A$3003,0)),"—"))</f>
        <v/>
      </c>
      <c r="G1240" s="22">
        <f>IF($C1240="","",IFERROR(INDEX(ENVIOS!$E$4:$E$3003,MATCH($C1240,ENVIOS!$A$4:$A$3003,0)),"—"))</f>
        <v/>
      </c>
      <c r="H1240" s="22">
        <f>IF($C1240="","",IFERROR(INDEX(ENVIOS!$F$4:$F$3003,MATCH($C1240,ENVIOS!$A$4:$A$3003,0)),"—"))</f>
        <v/>
      </c>
      <c r="I1240" s="27">
        <f>IF($C1240="","",IFERROR(INDEX(ENVIOS!$G$4:$G$3003,MATCH($C1240,ENVIOS!$A$4:$A$3003,0)),"—"))</f>
        <v/>
      </c>
      <c r="J1240" s="48">
        <f>IF($C1240="","",IFERROR(INDEX(ENVIOS!$B$4:$B$3003,MATCH($C1240,ENVIOS!$A$4:$A$3003,0)),""))</f>
        <v/>
      </c>
      <c r="K1240" s="49" t="n"/>
      <c r="L1240" s="27">
        <f>IF($K1240="","",IFERROR(INDEX(CONFIG!$B$4:$B$43,MATCH($K1240,CONFIG!$A$4:$A$43,0)),"Media"))</f>
        <v/>
      </c>
      <c r="M1240" s="27">
        <f>IF($K1240="","",IFERROR(INDEX(CONFIG!$D$4:$D$43,MATCH($K1240,CONFIG!$A$4:$A$43,0)),"NO"))</f>
        <v/>
      </c>
      <c r="N1240" s="49" t="n"/>
      <c r="O1240" s="27">
        <f>IF($N1240="","",IFERROR(INDEX(CONFIG!$G$4:$G$43,MATCH($N1240,CONFIG!$F$4:$F$43,0)),"Por definir"))</f>
        <v/>
      </c>
      <c r="P1240" s="27">
        <f>IF($N1240="","",IFERROR(INDEX(CONFIG!$H$4:$H$43,MATCH($N1240,CONFIG!$F$4:$F$43,0)),"Por definir"))</f>
        <v/>
      </c>
      <c r="Q1240" s="50" t="n"/>
      <c r="R1240" s="51" t="n"/>
      <c r="S1240" s="49" t="n"/>
      <c r="T1240" s="49" t="n"/>
      <c r="U1240" s="48">
        <f>IF(OR($B1240="",$K1240=""),"",WORKDAY($B1240,IFERROR(INDEX(CONFIG!$C$4:$C$43,MATCH($K1240,CONFIG!$A$4:$A$43,0)),3)))</f>
        <v/>
      </c>
      <c r="V1240" s="46" t="n"/>
      <c r="W1240" s="23">
        <f>IF($B1240="","",IF($V1240&lt;&gt;"",$V1240-$B1240,TODAY()-$B1240))</f>
        <v/>
      </c>
      <c r="X1240" s="27">
        <f>IF($C1240="","",IF(IFERROR(INDEX(CONFIG!$K$4:$K$43,MATCH($S1240,CONFIG!$J$4:$J$43,0)),"NO")="SÍ",IF(OR($V1240="",$U1240=""),"Resuelta",IF($V1240&gt;$U1240,"Resuelta tarde","Resuelta a tiempo")),IF($U1240="","Sin clasificar",IF(TODAY()&gt;$U1240,"Vencida",IF(TODAY()&gt;=$U1240-1,"Por vencer","En plazo")))))</f>
        <v/>
      </c>
      <c r="Y1240" s="49" t="n"/>
      <c r="Z1240" s="49" t="n"/>
    </row>
    <row r="1241" ht="16" customHeight="1">
      <c r="A1241" s="27">
        <f>IF($C1241="","","N-"&amp;TEXT(ROW()-3,"0000"))</f>
        <v/>
      </c>
      <c r="B1241" s="46" t="n"/>
      <c r="C1241" s="47" t="n"/>
      <c r="D1241" s="27">
        <f>IF($C1241="","",IF(COUNTIFS(ENVIOS!$A$4:$A$3003,$C1241)=0,"NO EXISTE",IF(COUNTIFS(ENVIOS!$A$4:$A$3003,$C1241)&gt;1,"DUPLICADA","OK")))</f>
        <v/>
      </c>
      <c r="E1241" s="22">
        <f>IF($C1241="","",IFERROR(INDEX(ENVIOS!$C$4:$C$3003,MATCH($C1241,ENVIOS!$A$4:$A$3003,0)),"—"))</f>
        <v/>
      </c>
      <c r="F1241" s="22">
        <f>IF($C1241="","",IFERROR(INDEX(ENVIOS!$D$4:$D$3003,MATCH($C1241,ENVIOS!$A$4:$A$3003,0)),"—"))</f>
        <v/>
      </c>
      <c r="G1241" s="22">
        <f>IF($C1241="","",IFERROR(INDEX(ENVIOS!$E$4:$E$3003,MATCH($C1241,ENVIOS!$A$4:$A$3003,0)),"—"))</f>
        <v/>
      </c>
      <c r="H1241" s="22">
        <f>IF($C1241="","",IFERROR(INDEX(ENVIOS!$F$4:$F$3003,MATCH($C1241,ENVIOS!$A$4:$A$3003,0)),"—"))</f>
        <v/>
      </c>
      <c r="I1241" s="27">
        <f>IF($C1241="","",IFERROR(INDEX(ENVIOS!$G$4:$G$3003,MATCH($C1241,ENVIOS!$A$4:$A$3003,0)),"—"))</f>
        <v/>
      </c>
      <c r="J1241" s="48">
        <f>IF($C1241="","",IFERROR(INDEX(ENVIOS!$B$4:$B$3003,MATCH($C1241,ENVIOS!$A$4:$A$3003,0)),""))</f>
        <v/>
      </c>
      <c r="K1241" s="49" t="n"/>
      <c r="L1241" s="27">
        <f>IF($K1241="","",IFERROR(INDEX(CONFIG!$B$4:$B$43,MATCH($K1241,CONFIG!$A$4:$A$43,0)),"Media"))</f>
        <v/>
      </c>
      <c r="M1241" s="27">
        <f>IF($K1241="","",IFERROR(INDEX(CONFIG!$D$4:$D$43,MATCH($K1241,CONFIG!$A$4:$A$43,0)),"NO"))</f>
        <v/>
      </c>
      <c r="N1241" s="49" t="n"/>
      <c r="O1241" s="27">
        <f>IF($N1241="","",IFERROR(INDEX(CONFIG!$G$4:$G$43,MATCH($N1241,CONFIG!$F$4:$F$43,0)),"Por definir"))</f>
        <v/>
      </c>
      <c r="P1241" s="27">
        <f>IF($N1241="","",IFERROR(INDEX(CONFIG!$H$4:$H$43,MATCH($N1241,CONFIG!$F$4:$F$43,0)),"Por definir"))</f>
        <v/>
      </c>
      <c r="Q1241" s="50" t="n"/>
      <c r="R1241" s="51" t="n"/>
      <c r="S1241" s="49" t="n"/>
      <c r="T1241" s="49" t="n"/>
      <c r="U1241" s="48">
        <f>IF(OR($B1241="",$K1241=""),"",WORKDAY($B1241,IFERROR(INDEX(CONFIG!$C$4:$C$43,MATCH($K1241,CONFIG!$A$4:$A$43,0)),3)))</f>
        <v/>
      </c>
      <c r="V1241" s="46" t="n"/>
      <c r="W1241" s="23">
        <f>IF($B1241="","",IF($V1241&lt;&gt;"",$V1241-$B1241,TODAY()-$B1241))</f>
        <v/>
      </c>
      <c r="X1241" s="27">
        <f>IF($C1241="","",IF(IFERROR(INDEX(CONFIG!$K$4:$K$43,MATCH($S1241,CONFIG!$J$4:$J$43,0)),"NO")="SÍ",IF(OR($V1241="",$U1241=""),"Resuelta",IF($V1241&gt;$U1241,"Resuelta tarde","Resuelta a tiempo")),IF($U1241="","Sin clasificar",IF(TODAY()&gt;$U1241,"Vencida",IF(TODAY()&gt;=$U1241-1,"Por vencer","En plazo")))))</f>
        <v/>
      </c>
      <c r="Y1241" s="49" t="n"/>
      <c r="Z1241" s="49" t="n"/>
    </row>
    <row r="1242" ht="16" customHeight="1">
      <c r="A1242" s="27">
        <f>IF($C1242="","","N-"&amp;TEXT(ROW()-3,"0000"))</f>
        <v/>
      </c>
      <c r="B1242" s="46" t="n"/>
      <c r="C1242" s="47" t="n"/>
      <c r="D1242" s="27">
        <f>IF($C1242="","",IF(COUNTIFS(ENVIOS!$A$4:$A$3003,$C1242)=0,"NO EXISTE",IF(COUNTIFS(ENVIOS!$A$4:$A$3003,$C1242)&gt;1,"DUPLICADA","OK")))</f>
        <v/>
      </c>
      <c r="E1242" s="22">
        <f>IF($C1242="","",IFERROR(INDEX(ENVIOS!$C$4:$C$3003,MATCH($C1242,ENVIOS!$A$4:$A$3003,0)),"—"))</f>
        <v/>
      </c>
      <c r="F1242" s="22">
        <f>IF($C1242="","",IFERROR(INDEX(ENVIOS!$D$4:$D$3003,MATCH($C1242,ENVIOS!$A$4:$A$3003,0)),"—"))</f>
        <v/>
      </c>
      <c r="G1242" s="22">
        <f>IF($C1242="","",IFERROR(INDEX(ENVIOS!$E$4:$E$3003,MATCH($C1242,ENVIOS!$A$4:$A$3003,0)),"—"))</f>
        <v/>
      </c>
      <c r="H1242" s="22">
        <f>IF($C1242="","",IFERROR(INDEX(ENVIOS!$F$4:$F$3003,MATCH($C1242,ENVIOS!$A$4:$A$3003,0)),"—"))</f>
        <v/>
      </c>
      <c r="I1242" s="27">
        <f>IF($C1242="","",IFERROR(INDEX(ENVIOS!$G$4:$G$3003,MATCH($C1242,ENVIOS!$A$4:$A$3003,0)),"—"))</f>
        <v/>
      </c>
      <c r="J1242" s="48">
        <f>IF($C1242="","",IFERROR(INDEX(ENVIOS!$B$4:$B$3003,MATCH($C1242,ENVIOS!$A$4:$A$3003,0)),""))</f>
        <v/>
      </c>
      <c r="K1242" s="49" t="n"/>
      <c r="L1242" s="27">
        <f>IF($K1242="","",IFERROR(INDEX(CONFIG!$B$4:$B$43,MATCH($K1242,CONFIG!$A$4:$A$43,0)),"Media"))</f>
        <v/>
      </c>
      <c r="M1242" s="27">
        <f>IF($K1242="","",IFERROR(INDEX(CONFIG!$D$4:$D$43,MATCH($K1242,CONFIG!$A$4:$A$43,0)),"NO"))</f>
        <v/>
      </c>
      <c r="N1242" s="49" t="n"/>
      <c r="O1242" s="27">
        <f>IF($N1242="","",IFERROR(INDEX(CONFIG!$G$4:$G$43,MATCH($N1242,CONFIG!$F$4:$F$43,0)),"Por definir"))</f>
        <v/>
      </c>
      <c r="P1242" s="27">
        <f>IF($N1242="","",IFERROR(INDEX(CONFIG!$H$4:$H$43,MATCH($N1242,CONFIG!$F$4:$F$43,0)),"Por definir"))</f>
        <v/>
      </c>
      <c r="Q1242" s="50" t="n"/>
      <c r="R1242" s="51" t="n"/>
      <c r="S1242" s="49" t="n"/>
      <c r="T1242" s="49" t="n"/>
      <c r="U1242" s="48">
        <f>IF(OR($B1242="",$K1242=""),"",WORKDAY($B1242,IFERROR(INDEX(CONFIG!$C$4:$C$43,MATCH($K1242,CONFIG!$A$4:$A$43,0)),3)))</f>
        <v/>
      </c>
      <c r="V1242" s="46" t="n"/>
      <c r="W1242" s="23">
        <f>IF($B1242="","",IF($V1242&lt;&gt;"",$V1242-$B1242,TODAY()-$B1242))</f>
        <v/>
      </c>
      <c r="X1242" s="27">
        <f>IF($C1242="","",IF(IFERROR(INDEX(CONFIG!$K$4:$K$43,MATCH($S1242,CONFIG!$J$4:$J$43,0)),"NO")="SÍ",IF(OR($V1242="",$U1242=""),"Resuelta",IF($V1242&gt;$U1242,"Resuelta tarde","Resuelta a tiempo")),IF($U1242="","Sin clasificar",IF(TODAY()&gt;$U1242,"Vencida",IF(TODAY()&gt;=$U1242-1,"Por vencer","En plazo")))))</f>
        <v/>
      </c>
      <c r="Y1242" s="49" t="n"/>
      <c r="Z1242" s="49" t="n"/>
    </row>
    <row r="1243" ht="16" customHeight="1">
      <c r="A1243" s="27">
        <f>IF($C1243="","","N-"&amp;TEXT(ROW()-3,"0000"))</f>
        <v/>
      </c>
      <c r="B1243" s="46" t="n"/>
      <c r="C1243" s="47" t="n"/>
      <c r="D1243" s="27">
        <f>IF($C1243="","",IF(COUNTIFS(ENVIOS!$A$4:$A$3003,$C1243)=0,"NO EXISTE",IF(COUNTIFS(ENVIOS!$A$4:$A$3003,$C1243)&gt;1,"DUPLICADA","OK")))</f>
        <v/>
      </c>
      <c r="E1243" s="22">
        <f>IF($C1243="","",IFERROR(INDEX(ENVIOS!$C$4:$C$3003,MATCH($C1243,ENVIOS!$A$4:$A$3003,0)),"—"))</f>
        <v/>
      </c>
      <c r="F1243" s="22">
        <f>IF($C1243="","",IFERROR(INDEX(ENVIOS!$D$4:$D$3003,MATCH($C1243,ENVIOS!$A$4:$A$3003,0)),"—"))</f>
        <v/>
      </c>
      <c r="G1243" s="22">
        <f>IF($C1243="","",IFERROR(INDEX(ENVIOS!$E$4:$E$3003,MATCH($C1243,ENVIOS!$A$4:$A$3003,0)),"—"))</f>
        <v/>
      </c>
      <c r="H1243" s="22">
        <f>IF($C1243="","",IFERROR(INDEX(ENVIOS!$F$4:$F$3003,MATCH($C1243,ENVIOS!$A$4:$A$3003,0)),"—"))</f>
        <v/>
      </c>
      <c r="I1243" s="27">
        <f>IF($C1243="","",IFERROR(INDEX(ENVIOS!$G$4:$G$3003,MATCH($C1243,ENVIOS!$A$4:$A$3003,0)),"—"))</f>
        <v/>
      </c>
      <c r="J1243" s="48">
        <f>IF($C1243="","",IFERROR(INDEX(ENVIOS!$B$4:$B$3003,MATCH($C1243,ENVIOS!$A$4:$A$3003,0)),""))</f>
        <v/>
      </c>
      <c r="K1243" s="49" t="n"/>
      <c r="L1243" s="27">
        <f>IF($K1243="","",IFERROR(INDEX(CONFIG!$B$4:$B$43,MATCH($K1243,CONFIG!$A$4:$A$43,0)),"Media"))</f>
        <v/>
      </c>
      <c r="M1243" s="27">
        <f>IF($K1243="","",IFERROR(INDEX(CONFIG!$D$4:$D$43,MATCH($K1243,CONFIG!$A$4:$A$43,0)),"NO"))</f>
        <v/>
      </c>
      <c r="N1243" s="49" t="n"/>
      <c r="O1243" s="27">
        <f>IF($N1243="","",IFERROR(INDEX(CONFIG!$G$4:$G$43,MATCH($N1243,CONFIG!$F$4:$F$43,0)),"Por definir"))</f>
        <v/>
      </c>
      <c r="P1243" s="27">
        <f>IF($N1243="","",IFERROR(INDEX(CONFIG!$H$4:$H$43,MATCH($N1243,CONFIG!$F$4:$F$43,0)),"Por definir"))</f>
        <v/>
      </c>
      <c r="Q1243" s="50" t="n"/>
      <c r="R1243" s="51" t="n"/>
      <c r="S1243" s="49" t="n"/>
      <c r="T1243" s="49" t="n"/>
      <c r="U1243" s="48">
        <f>IF(OR($B1243="",$K1243=""),"",WORKDAY($B1243,IFERROR(INDEX(CONFIG!$C$4:$C$43,MATCH($K1243,CONFIG!$A$4:$A$43,0)),3)))</f>
        <v/>
      </c>
      <c r="V1243" s="46" t="n"/>
      <c r="W1243" s="23">
        <f>IF($B1243="","",IF($V1243&lt;&gt;"",$V1243-$B1243,TODAY()-$B1243))</f>
        <v/>
      </c>
      <c r="X1243" s="27">
        <f>IF($C1243="","",IF(IFERROR(INDEX(CONFIG!$K$4:$K$43,MATCH($S1243,CONFIG!$J$4:$J$43,0)),"NO")="SÍ",IF(OR($V1243="",$U1243=""),"Resuelta",IF($V1243&gt;$U1243,"Resuelta tarde","Resuelta a tiempo")),IF($U1243="","Sin clasificar",IF(TODAY()&gt;$U1243,"Vencida",IF(TODAY()&gt;=$U1243-1,"Por vencer","En plazo")))))</f>
        <v/>
      </c>
      <c r="Y1243" s="49" t="n"/>
      <c r="Z1243" s="49" t="n"/>
    </row>
    <row r="1244" ht="16" customHeight="1">
      <c r="A1244" s="27">
        <f>IF($C1244="","","N-"&amp;TEXT(ROW()-3,"0000"))</f>
        <v/>
      </c>
      <c r="B1244" s="46" t="n"/>
      <c r="C1244" s="47" t="n"/>
      <c r="D1244" s="27">
        <f>IF($C1244="","",IF(COUNTIFS(ENVIOS!$A$4:$A$3003,$C1244)=0,"NO EXISTE",IF(COUNTIFS(ENVIOS!$A$4:$A$3003,$C1244)&gt;1,"DUPLICADA","OK")))</f>
        <v/>
      </c>
      <c r="E1244" s="22">
        <f>IF($C1244="","",IFERROR(INDEX(ENVIOS!$C$4:$C$3003,MATCH($C1244,ENVIOS!$A$4:$A$3003,0)),"—"))</f>
        <v/>
      </c>
      <c r="F1244" s="22">
        <f>IF($C1244="","",IFERROR(INDEX(ENVIOS!$D$4:$D$3003,MATCH($C1244,ENVIOS!$A$4:$A$3003,0)),"—"))</f>
        <v/>
      </c>
      <c r="G1244" s="22">
        <f>IF($C1244="","",IFERROR(INDEX(ENVIOS!$E$4:$E$3003,MATCH($C1244,ENVIOS!$A$4:$A$3003,0)),"—"))</f>
        <v/>
      </c>
      <c r="H1244" s="22">
        <f>IF($C1244="","",IFERROR(INDEX(ENVIOS!$F$4:$F$3003,MATCH($C1244,ENVIOS!$A$4:$A$3003,0)),"—"))</f>
        <v/>
      </c>
      <c r="I1244" s="27">
        <f>IF($C1244="","",IFERROR(INDEX(ENVIOS!$G$4:$G$3003,MATCH($C1244,ENVIOS!$A$4:$A$3003,0)),"—"))</f>
        <v/>
      </c>
      <c r="J1244" s="48">
        <f>IF($C1244="","",IFERROR(INDEX(ENVIOS!$B$4:$B$3003,MATCH($C1244,ENVIOS!$A$4:$A$3003,0)),""))</f>
        <v/>
      </c>
      <c r="K1244" s="49" t="n"/>
      <c r="L1244" s="27">
        <f>IF($K1244="","",IFERROR(INDEX(CONFIG!$B$4:$B$43,MATCH($K1244,CONFIG!$A$4:$A$43,0)),"Media"))</f>
        <v/>
      </c>
      <c r="M1244" s="27">
        <f>IF($K1244="","",IFERROR(INDEX(CONFIG!$D$4:$D$43,MATCH($K1244,CONFIG!$A$4:$A$43,0)),"NO"))</f>
        <v/>
      </c>
      <c r="N1244" s="49" t="n"/>
      <c r="O1244" s="27">
        <f>IF($N1244="","",IFERROR(INDEX(CONFIG!$G$4:$G$43,MATCH($N1244,CONFIG!$F$4:$F$43,0)),"Por definir"))</f>
        <v/>
      </c>
      <c r="P1244" s="27">
        <f>IF($N1244="","",IFERROR(INDEX(CONFIG!$H$4:$H$43,MATCH($N1244,CONFIG!$F$4:$F$43,0)),"Por definir"))</f>
        <v/>
      </c>
      <c r="Q1244" s="50" t="n"/>
      <c r="R1244" s="51" t="n"/>
      <c r="S1244" s="49" t="n"/>
      <c r="T1244" s="49" t="n"/>
      <c r="U1244" s="48">
        <f>IF(OR($B1244="",$K1244=""),"",WORKDAY($B1244,IFERROR(INDEX(CONFIG!$C$4:$C$43,MATCH($K1244,CONFIG!$A$4:$A$43,0)),3)))</f>
        <v/>
      </c>
      <c r="V1244" s="46" t="n"/>
      <c r="W1244" s="23">
        <f>IF($B1244="","",IF($V1244&lt;&gt;"",$V1244-$B1244,TODAY()-$B1244))</f>
        <v/>
      </c>
      <c r="X1244" s="27">
        <f>IF($C1244="","",IF(IFERROR(INDEX(CONFIG!$K$4:$K$43,MATCH($S1244,CONFIG!$J$4:$J$43,0)),"NO")="SÍ",IF(OR($V1244="",$U1244=""),"Resuelta",IF($V1244&gt;$U1244,"Resuelta tarde","Resuelta a tiempo")),IF($U1244="","Sin clasificar",IF(TODAY()&gt;$U1244,"Vencida",IF(TODAY()&gt;=$U1244-1,"Por vencer","En plazo")))))</f>
        <v/>
      </c>
      <c r="Y1244" s="49" t="n"/>
      <c r="Z1244" s="49" t="n"/>
    </row>
    <row r="1245" ht="16" customHeight="1">
      <c r="A1245" s="27">
        <f>IF($C1245="","","N-"&amp;TEXT(ROW()-3,"0000"))</f>
        <v/>
      </c>
      <c r="B1245" s="46" t="n"/>
      <c r="C1245" s="47" t="n"/>
      <c r="D1245" s="27">
        <f>IF($C1245="","",IF(COUNTIFS(ENVIOS!$A$4:$A$3003,$C1245)=0,"NO EXISTE",IF(COUNTIFS(ENVIOS!$A$4:$A$3003,$C1245)&gt;1,"DUPLICADA","OK")))</f>
        <v/>
      </c>
      <c r="E1245" s="22">
        <f>IF($C1245="","",IFERROR(INDEX(ENVIOS!$C$4:$C$3003,MATCH($C1245,ENVIOS!$A$4:$A$3003,0)),"—"))</f>
        <v/>
      </c>
      <c r="F1245" s="22">
        <f>IF($C1245="","",IFERROR(INDEX(ENVIOS!$D$4:$D$3003,MATCH($C1245,ENVIOS!$A$4:$A$3003,0)),"—"))</f>
        <v/>
      </c>
      <c r="G1245" s="22">
        <f>IF($C1245="","",IFERROR(INDEX(ENVIOS!$E$4:$E$3003,MATCH($C1245,ENVIOS!$A$4:$A$3003,0)),"—"))</f>
        <v/>
      </c>
      <c r="H1245" s="22">
        <f>IF($C1245="","",IFERROR(INDEX(ENVIOS!$F$4:$F$3003,MATCH($C1245,ENVIOS!$A$4:$A$3003,0)),"—"))</f>
        <v/>
      </c>
      <c r="I1245" s="27">
        <f>IF($C1245="","",IFERROR(INDEX(ENVIOS!$G$4:$G$3003,MATCH($C1245,ENVIOS!$A$4:$A$3003,0)),"—"))</f>
        <v/>
      </c>
      <c r="J1245" s="48">
        <f>IF($C1245="","",IFERROR(INDEX(ENVIOS!$B$4:$B$3003,MATCH($C1245,ENVIOS!$A$4:$A$3003,0)),""))</f>
        <v/>
      </c>
      <c r="K1245" s="49" t="n"/>
      <c r="L1245" s="27">
        <f>IF($K1245="","",IFERROR(INDEX(CONFIG!$B$4:$B$43,MATCH($K1245,CONFIG!$A$4:$A$43,0)),"Media"))</f>
        <v/>
      </c>
      <c r="M1245" s="27">
        <f>IF($K1245="","",IFERROR(INDEX(CONFIG!$D$4:$D$43,MATCH($K1245,CONFIG!$A$4:$A$43,0)),"NO"))</f>
        <v/>
      </c>
      <c r="N1245" s="49" t="n"/>
      <c r="O1245" s="27">
        <f>IF($N1245="","",IFERROR(INDEX(CONFIG!$G$4:$G$43,MATCH($N1245,CONFIG!$F$4:$F$43,0)),"Por definir"))</f>
        <v/>
      </c>
      <c r="P1245" s="27">
        <f>IF($N1245="","",IFERROR(INDEX(CONFIG!$H$4:$H$43,MATCH($N1245,CONFIG!$F$4:$F$43,0)),"Por definir"))</f>
        <v/>
      </c>
      <c r="Q1245" s="50" t="n"/>
      <c r="R1245" s="51" t="n"/>
      <c r="S1245" s="49" t="n"/>
      <c r="T1245" s="49" t="n"/>
      <c r="U1245" s="48">
        <f>IF(OR($B1245="",$K1245=""),"",WORKDAY($B1245,IFERROR(INDEX(CONFIG!$C$4:$C$43,MATCH($K1245,CONFIG!$A$4:$A$43,0)),3)))</f>
        <v/>
      </c>
      <c r="V1245" s="46" t="n"/>
      <c r="W1245" s="23">
        <f>IF($B1245="","",IF($V1245&lt;&gt;"",$V1245-$B1245,TODAY()-$B1245))</f>
        <v/>
      </c>
      <c r="X1245" s="27">
        <f>IF($C1245="","",IF(IFERROR(INDEX(CONFIG!$K$4:$K$43,MATCH($S1245,CONFIG!$J$4:$J$43,0)),"NO")="SÍ",IF(OR($V1245="",$U1245=""),"Resuelta",IF($V1245&gt;$U1245,"Resuelta tarde","Resuelta a tiempo")),IF($U1245="","Sin clasificar",IF(TODAY()&gt;$U1245,"Vencida",IF(TODAY()&gt;=$U1245-1,"Por vencer","En plazo")))))</f>
        <v/>
      </c>
      <c r="Y1245" s="49" t="n"/>
      <c r="Z1245" s="49" t="n"/>
    </row>
    <row r="1246" ht="16" customHeight="1">
      <c r="A1246" s="27">
        <f>IF($C1246="","","N-"&amp;TEXT(ROW()-3,"0000"))</f>
        <v/>
      </c>
      <c r="B1246" s="46" t="n"/>
      <c r="C1246" s="47" t="n"/>
      <c r="D1246" s="27">
        <f>IF($C1246="","",IF(COUNTIFS(ENVIOS!$A$4:$A$3003,$C1246)=0,"NO EXISTE",IF(COUNTIFS(ENVIOS!$A$4:$A$3003,$C1246)&gt;1,"DUPLICADA","OK")))</f>
        <v/>
      </c>
      <c r="E1246" s="22">
        <f>IF($C1246="","",IFERROR(INDEX(ENVIOS!$C$4:$C$3003,MATCH($C1246,ENVIOS!$A$4:$A$3003,0)),"—"))</f>
        <v/>
      </c>
      <c r="F1246" s="22">
        <f>IF($C1246="","",IFERROR(INDEX(ENVIOS!$D$4:$D$3003,MATCH($C1246,ENVIOS!$A$4:$A$3003,0)),"—"))</f>
        <v/>
      </c>
      <c r="G1246" s="22">
        <f>IF($C1246="","",IFERROR(INDEX(ENVIOS!$E$4:$E$3003,MATCH($C1246,ENVIOS!$A$4:$A$3003,0)),"—"))</f>
        <v/>
      </c>
      <c r="H1246" s="22">
        <f>IF($C1246="","",IFERROR(INDEX(ENVIOS!$F$4:$F$3003,MATCH($C1246,ENVIOS!$A$4:$A$3003,0)),"—"))</f>
        <v/>
      </c>
      <c r="I1246" s="27">
        <f>IF($C1246="","",IFERROR(INDEX(ENVIOS!$G$4:$G$3003,MATCH($C1246,ENVIOS!$A$4:$A$3003,0)),"—"))</f>
        <v/>
      </c>
      <c r="J1246" s="48">
        <f>IF($C1246="","",IFERROR(INDEX(ENVIOS!$B$4:$B$3003,MATCH($C1246,ENVIOS!$A$4:$A$3003,0)),""))</f>
        <v/>
      </c>
      <c r="K1246" s="49" t="n"/>
      <c r="L1246" s="27">
        <f>IF($K1246="","",IFERROR(INDEX(CONFIG!$B$4:$B$43,MATCH($K1246,CONFIG!$A$4:$A$43,0)),"Media"))</f>
        <v/>
      </c>
      <c r="M1246" s="27">
        <f>IF($K1246="","",IFERROR(INDEX(CONFIG!$D$4:$D$43,MATCH($K1246,CONFIG!$A$4:$A$43,0)),"NO"))</f>
        <v/>
      </c>
      <c r="N1246" s="49" t="n"/>
      <c r="O1246" s="27">
        <f>IF($N1246="","",IFERROR(INDEX(CONFIG!$G$4:$G$43,MATCH($N1246,CONFIG!$F$4:$F$43,0)),"Por definir"))</f>
        <v/>
      </c>
      <c r="P1246" s="27">
        <f>IF($N1246="","",IFERROR(INDEX(CONFIG!$H$4:$H$43,MATCH($N1246,CONFIG!$F$4:$F$43,0)),"Por definir"))</f>
        <v/>
      </c>
      <c r="Q1246" s="50" t="n"/>
      <c r="R1246" s="51" t="n"/>
      <c r="S1246" s="49" t="n"/>
      <c r="T1246" s="49" t="n"/>
      <c r="U1246" s="48">
        <f>IF(OR($B1246="",$K1246=""),"",WORKDAY($B1246,IFERROR(INDEX(CONFIG!$C$4:$C$43,MATCH($K1246,CONFIG!$A$4:$A$43,0)),3)))</f>
        <v/>
      </c>
      <c r="V1246" s="46" t="n"/>
      <c r="W1246" s="23">
        <f>IF($B1246="","",IF($V1246&lt;&gt;"",$V1246-$B1246,TODAY()-$B1246))</f>
        <v/>
      </c>
      <c r="X1246" s="27">
        <f>IF($C1246="","",IF(IFERROR(INDEX(CONFIG!$K$4:$K$43,MATCH($S1246,CONFIG!$J$4:$J$43,0)),"NO")="SÍ",IF(OR($V1246="",$U1246=""),"Resuelta",IF($V1246&gt;$U1246,"Resuelta tarde","Resuelta a tiempo")),IF($U1246="","Sin clasificar",IF(TODAY()&gt;$U1246,"Vencida",IF(TODAY()&gt;=$U1246-1,"Por vencer","En plazo")))))</f>
        <v/>
      </c>
      <c r="Y1246" s="49" t="n"/>
      <c r="Z1246" s="49" t="n"/>
    </row>
    <row r="1247" ht="16" customHeight="1">
      <c r="A1247" s="27">
        <f>IF($C1247="","","N-"&amp;TEXT(ROW()-3,"0000"))</f>
        <v/>
      </c>
      <c r="B1247" s="46" t="n"/>
      <c r="C1247" s="47" t="n"/>
      <c r="D1247" s="27">
        <f>IF($C1247="","",IF(COUNTIFS(ENVIOS!$A$4:$A$3003,$C1247)=0,"NO EXISTE",IF(COUNTIFS(ENVIOS!$A$4:$A$3003,$C1247)&gt;1,"DUPLICADA","OK")))</f>
        <v/>
      </c>
      <c r="E1247" s="22">
        <f>IF($C1247="","",IFERROR(INDEX(ENVIOS!$C$4:$C$3003,MATCH($C1247,ENVIOS!$A$4:$A$3003,0)),"—"))</f>
        <v/>
      </c>
      <c r="F1247" s="22">
        <f>IF($C1247="","",IFERROR(INDEX(ENVIOS!$D$4:$D$3003,MATCH($C1247,ENVIOS!$A$4:$A$3003,0)),"—"))</f>
        <v/>
      </c>
      <c r="G1247" s="22">
        <f>IF($C1247="","",IFERROR(INDEX(ENVIOS!$E$4:$E$3003,MATCH($C1247,ENVIOS!$A$4:$A$3003,0)),"—"))</f>
        <v/>
      </c>
      <c r="H1247" s="22">
        <f>IF($C1247="","",IFERROR(INDEX(ENVIOS!$F$4:$F$3003,MATCH($C1247,ENVIOS!$A$4:$A$3003,0)),"—"))</f>
        <v/>
      </c>
      <c r="I1247" s="27">
        <f>IF($C1247="","",IFERROR(INDEX(ENVIOS!$G$4:$G$3003,MATCH($C1247,ENVIOS!$A$4:$A$3003,0)),"—"))</f>
        <v/>
      </c>
      <c r="J1247" s="48">
        <f>IF($C1247="","",IFERROR(INDEX(ENVIOS!$B$4:$B$3003,MATCH($C1247,ENVIOS!$A$4:$A$3003,0)),""))</f>
        <v/>
      </c>
      <c r="K1247" s="49" t="n"/>
      <c r="L1247" s="27">
        <f>IF($K1247="","",IFERROR(INDEX(CONFIG!$B$4:$B$43,MATCH($K1247,CONFIG!$A$4:$A$43,0)),"Media"))</f>
        <v/>
      </c>
      <c r="M1247" s="27">
        <f>IF($K1247="","",IFERROR(INDEX(CONFIG!$D$4:$D$43,MATCH($K1247,CONFIG!$A$4:$A$43,0)),"NO"))</f>
        <v/>
      </c>
      <c r="N1247" s="49" t="n"/>
      <c r="O1247" s="27">
        <f>IF($N1247="","",IFERROR(INDEX(CONFIG!$G$4:$G$43,MATCH($N1247,CONFIG!$F$4:$F$43,0)),"Por definir"))</f>
        <v/>
      </c>
      <c r="P1247" s="27">
        <f>IF($N1247="","",IFERROR(INDEX(CONFIG!$H$4:$H$43,MATCH($N1247,CONFIG!$F$4:$F$43,0)),"Por definir"))</f>
        <v/>
      </c>
      <c r="Q1247" s="50" t="n"/>
      <c r="R1247" s="51" t="n"/>
      <c r="S1247" s="49" t="n"/>
      <c r="T1247" s="49" t="n"/>
      <c r="U1247" s="48">
        <f>IF(OR($B1247="",$K1247=""),"",WORKDAY($B1247,IFERROR(INDEX(CONFIG!$C$4:$C$43,MATCH($K1247,CONFIG!$A$4:$A$43,0)),3)))</f>
        <v/>
      </c>
      <c r="V1247" s="46" t="n"/>
      <c r="W1247" s="23">
        <f>IF($B1247="","",IF($V1247&lt;&gt;"",$V1247-$B1247,TODAY()-$B1247))</f>
        <v/>
      </c>
      <c r="X1247" s="27">
        <f>IF($C1247="","",IF(IFERROR(INDEX(CONFIG!$K$4:$K$43,MATCH($S1247,CONFIG!$J$4:$J$43,0)),"NO")="SÍ",IF(OR($V1247="",$U1247=""),"Resuelta",IF($V1247&gt;$U1247,"Resuelta tarde","Resuelta a tiempo")),IF($U1247="","Sin clasificar",IF(TODAY()&gt;$U1247,"Vencida",IF(TODAY()&gt;=$U1247-1,"Por vencer","En plazo")))))</f>
        <v/>
      </c>
      <c r="Y1247" s="49" t="n"/>
      <c r="Z1247" s="49" t="n"/>
    </row>
    <row r="1248" ht="16" customHeight="1">
      <c r="A1248" s="27">
        <f>IF($C1248="","","N-"&amp;TEXT(ROW()-3,"0000"))</f>
        <v/>
      </c>
      <c r="B1248" s="46" t="n"/>
      <c r="C1248" s="47" t="n"/>
      <c r="D1248" s="27">
        <f>IF($C1248="","",IF(COUNTIFS(ENVIOS!$A$4:$A$3003,$C1248)=0,"NO EXISTE",IF(COUNTIFS(ENVIOS!$A$4:$A$3003,$C1248)&gt;1,"DUPLICADA","OK")))</f>
        <v/>
      </c>
      <c r="E1248" s="22">
        <f>IF($C1248="","",IFERROR(INDEX(ENVIOS!$C$4:$C$3003,MATCH($C1248,ENVIOS!$A$4:$A$3003,0)),"—"))</f>
        <v/>
      </c>
      <c r="F1248" s="22">
        <f>IF($C1248="","",IFERROR(INDEX(ENVIOS!$D$4:$D$3003,MATCH($C1248,ENVIOS!$A$4:$A$3003,0)),"—"))</f>
        <v/>
      </c>
      <c r="G1248" s="22">
        <f>IF($C1248="","",IFERROR(INDEX(ENVIOS!$E$4:$E$3003,MATCH($C1248,ENVIOS!$A$4:$A$3003,0)),"—"))</f>
        <v/>
      </c>
      <c r="H1248" s="22">
        <f>IF($C1248="","",IFERROR(INDEX(ENVIOS!$F$4:$F$3003,MATCH($C1248,ENVIOS!$A$4:$A$3003,0)),"—"))</f>
        <v/>
      </c>
      <c r="I1248" s="27">
        <f>IF($C1248="","",IFERROR(INDEX(ENVIOS!$G$4:$G$3003,MATCH($C1248,ENVIOS!$A$4:$A$3003,0)),"—"))</f>
        <v/>
      </c>
      <c r="J1248" s="48">
        <f>IF($C1248="","",IFERROR(INDEX(ENVIOS!$B$4:$B$3003,MATCH($C1248,ENVIOS!$A$4:$A$3003,0)),""))</f>
        <v/>
      </c>
      <c r="K1248" s="49" t="n"/>
      <c r="L1248" s="27">
        <f>IF($K1248="","",IFERROR(INDEX(CONFIG!$B$4:$B$43,MATCH($K1248,CONFIG!$A$4:$A$43,0)),"Media"))</f>
        <v/>
      </c>
      <c r="M1248" s="27">
        <f>IF($K1248="","",IFERROR(INDEX(CONFIG!$D$4:$D$43,MATCH($K1248,CONFIG!$A$4:$A$43,0)),"NO"))</f>
        <v/>
      </c>
      <c r="N1248" s="49" t="n"/>
      <c r="O1248" s="27">
        <f>IF($N1248="","",IFERROR(INDEX(CONFIG!$G$4:$G$43,MATCH($N1248,CONFIG!$F$4:$F$43,0)),"Por definir"))</f>
        <v/>
      </c>
      <c r="P1248" s="27">
        <f>IF($N1248="","",IFERROR(INDEX(CONFIG!$H$4:$H$43,MATCH($N1248,CONFIG!$F$4:$F$43,0)),"Por definir"))</f>
        <v/>
      </c>
      <c r="Q1248" s="50" t="n"/>
      <c r="R1248" s="51" t="n"/>
      <c r="S1248" s="49" t="n"/>
      <c r="T1248" s="49" t="n"/>
      <c r="U1248" s="48">
        <f>IF(OR($B1248="",$K1248=""),"",WORKDAY($B1248,IFERROR(INDEX(CONFIG!$C$4:$C$43,MATCH($K1248,CONFIG!$A$4:$A$43,0)),3)))</f>
        <v/>
      </c>
      <c r="V1248" s="46" t="n"/>
      <c r="W1248" s="23">
        <f>IF($B1248="","",IF($V1248&lt;&gt;"",$V1248-$B1248,TODAY()-$B1248))</f>
        <v/>
      </c>
      <c r="X1248" s="27">
        <f>IF($C1248="","",IF(IFERROR(INDEX(CONFIG!$K$4:$K$43,MATCH($S1248,CONFIG!$J$4:$J$43,0)),"NO")="SÍ",IF(OR($V1248="",$U1248=""),"Resuelta",IF($V1248&gt;$U1248,"Resuelta tarde","Resuelta a tiempo")),IF($U1248="","Sin clasificar",IF(TODAY()&gt;$U1248,"Vencida",IF(TODAY()&gt;=$U1248-1,"Por vencer","En plazo")))))</f>
        <v/>
      </c>
      <c r="Y1248" s="49" t="n"/>
      <c r="Z1248" s="49" t="n"/>
    </row>
    <row r="1249" ht="16" customHeight="1">
      <c r="A1249" s="27">
        <f>IF($C1249="","","N-"&amp;TEXT(ROW()-3,"0000"))</f>
        <v/>
      </c>
      <c r="B1249" s="46" t="n"/>
      <c r="C1249" s="47" t="n"/>
      <c r="D1249" s="27">
        <f>IF($C1249="","",IF(COUNTIFS(ENVIOS!$A$4:$A$3003,$C1249)=0,"NO EXISTE",IF(COUNTIFS(ENVIOS!$A$4:$A$3003,$C1249)&gt;1,"DUPLICADA","OK")))</f>
        <v/>
      </c>
      <c r="E1249" s="22">
        <f>IF($C1249="","",IFERROR(INDEX(ENVIOS!$C$4:$C$3003,MATCH($C1249,ENVIOS!$A$4:$A$3003,0)),"—"))</f>
        <v/>
      </c>
      <c r="F1249" s="22">
        <f>IF($C1249="","",IFERROR(INDEX(ENVIOS!$D$4:$D$3003,MATCH($C1249,ENVIOS!$A$4:$A$3003,0)),"—"))</f>
        <v/>
      </c>
      <c r="G1249" s="22">
        <f>IF($C1249="","",IFERROR(INDEX(ENVIOS!$E$4:$E$3003,MATCH($C1249,ENVIOS!$A$4:$A$3003,0)),"—"))</f>
        <v/>
      </c>
      <c r="H1249" s="22">
        <f>IF($C1249="","",IFERROR(INDEX(ENVIOS!$F$4:$F$3003,MATCH($C1249,ENVIOS!$A$4:$A$3003,0)),"—"))</f>
        <v/>
      </c>
      <c r="I1249" s="27">
        <f>IF($C1249="","",IFERROR(INDEX(ENVIOS!$G$4:$G$3003,MATCH($C1249,ENVIOS!$A$4:$A$3003,0)),"—"))</f>
        <v/>
      </c>
      <c r="J1249" s="48">
        <f>IF($C1249="","",IFERROR(INDEX(ENVIOS!$B$4:$B$3003,MATCH($C1249,ENVIOS!$A$4:$A$3003,0)),""))</f>
        <v/>
      </c>
      <c r="K1249" s="49" t="n"/>
      <c r="L1249" s="27">
        <f>IF($K1249="","",IFERROR(INDEX(CONFIG!$B$4:$B$43,MATCH($K1249,CONFIG!$A$4:$A$43,0)),"Media"))</f>
        <v/>
      </c>
      <c r="M1249" s="27">
        <f>IF($K1249="","",IFERROR(INDEX(CONFIG!$D$4:$D$43,MATCH($K1249,CONFIG!$A$4:$A$43,0)),"NO"))</f>
        <v/>
      </c>
      <c r="N1249" s="49" t="n"/>
      <c r="O1249" s="27">
        <f>IF($N1249="","",IFERROR(INDEX(CONFIG!$G$4:$G$43,MATCH($N1249,CONFIG!$F$4:$F$43,0)),"Por definir"))</f>
        <v/>
      </c>
      <c r="P1249" s="27">
        <f>IF($N1249="","",IFERROR(INDEX(CONFIG!$H$4:$H$43,MATCH($N1249,CONFIG!$F$4:$F$43,0)),"Por definir"))</f>
        <v/>
      </c>
      <c r="Q1249" s="50" t="n"/>
      <c r="R1249" s="51" t="n"/>
      <c r="S1249" s="49" t="n"/>
      <c r="T1249" s="49" t="n"/>
      <c r="U1249" s="48">
        <f>IF(OR($B1249="",$K1249=""),"",WORKDAY($B1249,IFERROR(INDEX(CONFIG!$C$4:$C$43,MATCH($K1249,CONFIG!$A$4:$A$43,0)),3)))</f>
        <v/>
      </c>
      <c r="V1249" s="46" t="n"/>
      <c r="W1249" s="23">
        <f>IF($B1249="","",IF($V1249&lt;&gt;"",$V1249-$B1249,TODAY()-$B1249))</f>
        <v/>
      </c>
      <c r="X1249" s="27">
        <f>IF($C1249="","",IF(IFERROR(INDEX(CONFIG!$K$4:$K$43,MATCH($S1249,CONFIG!$J$4:$J$43,0)),"NO")="SÍ",IF(OR($V1249="",$U1249=""),"Resuelta",IF($V1249&gt;$U1249,"Resuelta tarde","Resuelta a tiempo")),IF($U1249="","Sin clasificar",IF(TODAY()&gt;$U1249,"Vencida",IF(TODAY()&gt;=$U1249-1,"Por vencer","En plazo")))))</f>
        <v/>
      </c>
      <c r="Y1249" s="49" t="n"/>
      <c r="Z1249" s="49" t="n"/>
    </row>
    <row r="1250" ht="16" customHeight="1">
      <c r="A1250" s="27">
        <f>IF($C1250="","","N-"&amp;TEXT(ROW()-3,"0000"))</f>
        <v/>
      </c>
      <c r="B1250" s="46" t="n"/>
      <c r="C1250" s="47" t="n"/>
      <c r="D1250" s="27">
        <f>IF($C1250="","",IF(COUNTIFS(ENVIOS!$A$4:$A$3003,$C1250)=0,"NO EXISTE",IF(COUNTIFS(ENVIOS!$A$4:$A$3003,$C1250)&gt;1,"DUPLICADA","OK")))</f>
        <v/>
      </c>
      <c r="E1250" s="22">
        <f>IF($C1250="","",IFERROR(INDEX(ENVIOS!$C$4:$C$3003,MATCH($C1250,ENVIOS!$A$4:$A$3003,0)),"—"))</f>
        <v/>
      </c>
      <c r="F1250" s="22">
        <f>IF($C1250="","",IFERROR(INDEX(ENVIOS!$D$4:$D$3003,MATCH($C1250,ENVIOS!$A$4:$A$3003,0)),"—"))</f>
        <v/>
      </c>
      <c r="G1250" s="22">
        <f>IF($C1250="","",IFERROR(INDEX(ENVIOS!$E$4:$E$3003,MATCH($C1250,ENVIOS!$A$4:$A$3003,0)),"—"))</f>
        <v/>
      </c>
      <c r="H1250" s="22">
        <f>IF($C1250="","",IFERROR(INDEX(ENVIOS!$F$4:$F$3003,MATCH($C1250,ENVIOS!$A$4:$A$3003,0)),"—"))</f>
        <v/>
      </c>
      <c r="I1250" s="27">
        <f>IF($C1250="","",IFERROR(INDEX(ENVIOS!$G$4:$G$3003,MATCH($C1250,ENVIOS!$A$4:$A$3003,0)),"—"))</f>
        <v/>
      </c>
      <c r="J1250" s="48">
        <f>IF($C1250="","",IFERROR(INDEX(ENVIOS!$B$4:$B$3003,MATCH($C1250,ENVIOS!$A$4:$A$3003,0)),""))</f>
        <v/>
      </c>
      <c r="K1250" s="49" t="n"/>
      <c r="L1250" s="27">
        <f>IF($K1250="","",IFERROR(INDEX(CONFIG!$B$4:$B$43,MATCH($K1250,CONFIG!$A$4:$A$43,0)),"Media"))</f>
        <v/>
      </c>
      <c r="M1250" s="27">
        <f>IF($K1250="","",IFERROR(INDEX(CONFIG!$D$4:$D$43,MATCH($K1250,CONFIG!$A$4:$A$43,0)),"NO"))</f>
        <v/>
      </c>
      <c r="N1250" s="49" t="n"/>
      <c r="O1250" s="27">
        <f>IF($N1250="","",IFERROR(INDEX(CONFIG!$G$4:$G$43,MATCH($N1250,CONFIG!$F$4:$F$43,0)),"Por definir"))</f>
        <v/>
      </c>
      <c r="P1250" s="27">
        <f>IF($N1250="","",IFERROR(INDEX(CONFIG!$H$4:$H$43,MATCH($N1250,CONFIG!$F$4:$F$43,0)),"Por definir"))</f>
        <v/>
      </c>
      <c r="Q1250" s="50" t="n"/>
      <c r="R1250" s="51" t="n"/>
      <c r="S1250" s="49" t="n"/>
      <c r="T1250" s="49" t="n"/>
      <c r="U1250" s="48">
        <f>IF(OR($B1250="",$K1250=""),"",WORKDAY($B1250,IFERROR(INDEX(CONFIG!$C$4:$C$43,MATCH($K1250,CONFIG!$A$4:$A$43,0)),3)))</f>
        <v/>
      </c>
      <c r="V1250" s="46" t="n"/>
      <c r="W1250" s="23">
        <f>IF($B1250="","",IF($V1250&lt;&gt;"",$V1250-$B1250,TODAY()-$B1250))</f>
        <v/>
      </c>
      <c r="X1250" s="27">
        <f>IF($C1250="","",IF(IFERROR(INDEX(CONFIG!$K$4:$K$43,MATCH($S1250,CONFIG!$J$4:$J$43,0)),"NO")="SÍ",IF(OR($V1250="",$U1250=""),"Resuelta",IF($V1250&gt;$U1250,"Resuelta tarde","Resuelta a tiempo")),IF($U1250="","Sin clasificar",IF(TODAY()&gt;$U1250,"Vencida",IF(TODAY()&gt;=$U1250-1,"Por vencer","En plazo")))))</f>
        <v/>
      </c>
      <c r="Y1250" s="49" t="n"/>
      <c r="Z1250" s="49" t="n"/>
    </row>
    <row r="1251" ht="16" customHeight="1">
      <c r="A1251" s="27">
        <f>IF($C1251="","","N-"&amp;TEXT(ROW()-3,"0000"))</f>
        <v/>
      </c>
      <c r="B1251" s="46" t="n"/>
      <c r="C1251" s="47" t="n"/>
      <c r="D1251" s="27">
        <f>IF($C1251="","",IF(COUNTIFS(ENVIOS!$A$4:$A$3003,$C1251)=0,"NO EXISTE",IF(COUNTIFS(ENVIOS!$A$4:$A$3003,$C1251)&gt;1,"DUPLICADA","OK")))</f>
        <v/>
      </c>
      <c r="E1251" s="22">
        <f>IF($C1251="","",IFERROR(INDEX(ENVIOS!$C$4:$C$3003,MATCH($C1251,ENVIOS!$A$4:$A$3003,0)),"—"))</f>
        <v/>
      </c>
      <c r="F1251" s="22">
        <f>IF($C1251="","",IFERROR(INDEX(ENVIOS!$D$4:$D$3003,MATCH($C1251,ENVIOS!$A$4:$A$3003,0)),"—"))</f>
        <v/>
      </c>
      <c r="G1251" s="22">
        <f>IF($C1251="","",IFERROR(INDEX(ENVIOS!$E$4:$E$3003,MATCH($C1251,ENVIOS!$A$4:$A$3003,0)),"—"))</f>
        <v/>
      </c>
      <c r="H1251" s="22">
        <f>IF($C1251="","",IFERROR(INDEX(ENVIOS!$F$4:$F$3003,MATCH($C1251,ENVIOS!$A$4:$A$3003,0)),"—"))</f>
        <v/>
      </c>
      <c r="I1251" s="27">
        <f>IF($C1251="","",IFERROR(INDEX(ENVIOS!$G$4:$G$3003,MATCH($C1251,ENVIOS!$A$4:$A$3003,0)),"—"))</f>
        <v/>
      </c>
      <c r="J1251" s="48">
        <f>IF($C1251="","",IFERROR(INDEX(ENVIOS!$B$4:$B$3003,MATCH($C1251,ENVIOS!$A$4:$A$3003,0)),""))</f>
        <v/>
      </c>
      <c r="K1251" s="49" t="n"/>
      <c r="L1251" s="27">
        <f>IF($K1251="","",IFERROR(INDEX(CONFIG!$B$4:$B$43,MATCH($K1251,CONFIG!$A$4:$A$43,0)),"Media"))</f>
        <v/>
      </c>
      <c r="M1251" s="27">
        <f>IF($K1251="","",IFERROR(INDEX(CONFIG!$D$4:$D$43,MATCH($K1251,CONFIG!$A$4:$A$43,0)),"NO"))</f>
        <v/>
      </c>
      <c r="N1251" s="49" t="n"/>
      <c r="O1251" s="27">
        <f>IF($N1251="","",IFERROR(INDEX(CONFIG!$G$4:$G$43,MATCH($N1251,CONFIG!$F$4:$F$43,0)),"Por definir"))</f>
        <v/>
      </c>
      <c r="P1251" s="27">
        <f>IF($N1251="","",IFERROR(INDEX(CONFIG!$H$4:$H$43,MATCH($N1251,CONFIG!$F$4:$F$43,0)),"Por definir"))</f>
        <v/>
      </c>
      <c r="Q1251" s="50" t="n"/>
      <c r="R1251" s="51" t="n"/>
      <c r="S1251" s="49" t="n"/>
      <c r="T1251" s="49" t="n"/>
      <c r="U1251" s="48">
        <f>IF(OR($B1251="",$K1251=""),"",WORKDAY($B1251,IFERROR(INDEX(CONFIG!$C$4:$C$43,MATCH($K1251,CONFIG!$A$4:$A$43,0)),3)))</f>
        <v/>
      </c>
      <c r="V1251" s="46" t="n"/>
      <c r="W1251" s="23">
        <f>IF($B1251="","",IF($V1251&lt;&gt;"",$V1251-$B1251,TODAY()-$B1251))</f>
        <v/>
      </c>
      <c r="X1251" s="27">
        <f>IF($C1251="","",IF(IFERROR(INDEX(CONFIG!$K$4:$K$43,MATCH($S1251,CONFIG!$J$4:$J$43,0)),"NO")="SÍ",IF(OR($V1251="",$U1251=""),"Resuelta",IF($V1251&gt;$U1251,"Resuelta tarde","Resuelta a tiempo")),IF($U1251="","Sin clasificar",IF(TODAY()&gt;$U1251,"Vencida",IF(TODAY()&gt;=$U1251-1,"Por vencer","En plazo")))))</f>
        <v/>
      </c>
      <c r="Y1251" s="49" t="n"/>
      <c r="Z1251" s="49" t="n"/>
    </row>
    <row r="1252" ht="16" customHeight="1">
      <c r="A1252" s="27">
        <f>IF($C1252="","","N-"&amp;TEXT(ROW()-3,"0000"))</f>
        <v/>
      </c>
      <c r="B1252" s="46" t="n"/>
      <c r="C1252" s="47" t="n"/>
      <c r="D1252" s="27">
        <f>IF($C1252="","",IF(COUNTIFS(ENVIOS!$A$4:$A$3003,$C1252)=0,"NO EXISTE",IF(COUNTIFS(ENVIOS!$A$4:$A$3003,$C1252)&gt;1,"DUPLICADA","OK")))</f>
        <v/>
      </c>
      <c r="E1252" s="22">
        <f>IF($C1252="","",IFERROR(INDEX(ENVIOS!$C$4:$C$3003,MATCH($C1252,ENVIOS!$A$4:$A$3003,0)),"—"))</f>
        <v/>
      </c>
      <c r="F1252" s="22">
        <f>IF($C1252="","",IFERROR(INDEX(ENVIOS!$D$4:$D$3003,MATCH($C1252,ENVIOS!$A$4:$A$3003,0)),"—"))</f>
        <v/>
      </c>
      <c r="G1252" s="22">
        <f>IF($C1252="","",IFERROR(INDEX(ENVIOS!$E$4:$E$3003,MATCH($C1252,ENVIOS!$A$4:$A$3003,0)),"—"))</f>
        <v/>
      </c>
      <c r="H1252" s="22">
        <f>IF($C1252="","",IFERROR(INDEX(ENVIOS!$F$4:$F$3003,MATCH($C1252,ENVIOS!$A$4:$A$3003,0)),"—"))</f>
        <v/>
      </c>
      <c r="I1252" s="27">
        <f>IF($C1252="","",IFERROR(INDEX(ENVIOS!$G$4:$G$3003,MATCH($C1252,ENVIOS!$A$4:$A$3003,0)),"—"))</f>
        <v/>
      </c>
      <c r="J1252" s="48">
        <f>IF($C1252="","",IFERROR(INDEX(ENVIOS!$B$4:$B$3003,MATCH($C1252,ENVIOS!$A$4:$A$3003,0)),""))</f>
        <v/>
      </c>
      <c r="K1252" s="49" t="n"/>
      <c r="L1252" s="27">
        <f>IF($K1252="","",IFERROR(INDEX(CONFIG!$B$4:$B$43,MATCH($K1252,CONFIG!$A$4:$A$43,0)),"Media"))</f>
        <v/>
      </c>
      <c r="M1252" s="27">
        <f>IF($K1252="","",IFERROR(INDEX(CONFIG!$D$4:$D$43,MATCH($K1252,CONFIG!$A$4:$A$43,0)),"NO"))</f>
        <v/>
      </c>
      <c r="N1252" s="49" t="n"/>
      <c r="O1252" s="27">
        <f>IF($N1252="","",IFERROR(INDEX(CONFIG!$G$4:$G$43,MATCH($N1252,CONFIG!$F$4:$F$43,0)),"Por definir"))</f>
        <v/>
      </c>
      <c r="P1252" s="27">
        <f>IF($N1252="","",IFERROR(INDEX(CONFIG!$H$4:$H$43,MATCH($N1252,CONFIG!$F$4:$F$43,0)),"Por definir"))</f>
        <v/>
      </c>
      <c r="Q1252" s="50" t="n"/>
      <c r="R1252" s="51" t="n"/>
      <c r="S1252" s="49" t="n"/>
      <c r="T1252" s="49" t="n"/>
      <c r="U1252" s="48">
        <f>IF(OR($B1252="",$K1252=""),"",WORKDAY($B1252,IFERROR(INDEX(CONFIG!$C$4:$C$43,MATCH($K1252,CONFIG!$A$4:$A$43,0)),3)))</f>
        <v/>
      </c>
      <c r="V1252" s="46" t="n"/>
      <c r="W1252" s="23">
        <f>IF($B1252="","",IF($V1252&lt;&gt;"",$V1252-$B1252,TODAY()-$B1252))</f>
        <v/>
      </c>
      <c r="X1252" s="27">
        <f>IF($C1252="","",IF(IFERROR(INDEX(CONFIG!$K$4:$K$43,MATCH($S1252,CONFIG!$J$4:$J$43,0)),"NO")="SÍ",IF(OR($V1252="",$U1252=""),"Resuelta",IF($V1252&gt;$U1252,"Resuelta tarde","Resuelta a tiempo")),IF($U1252="","Sin clasificar",IF(TODAY()&gt;$U1252,"Vencida",IF(TODAY()&gt;=$U1252-1,"Por vencer","En plazo")))))</f>
        <v/>
      </c>
      <c r="Y1252" s="49" t="n"/>
      <c r="Z1252" s="49" t="n"/>
    </row>
    <row r="1253" ht="16" customHeight="1">
      <c r="A1253" s="27">
        <f>IF($C1253="","","N-"&amp;TEXT(ROW()-3,"0000"))</f>
        <v/>
      </c>
      <c r="B1253" s="46" t="n"/>
      <c r="C1253" s="47" t="n"/>
      <c r="D1253" s="27">
        <f>IF($C1253="","",IF(COUNTIFS(ENVIOS!$A$4:$A$3003,$C1253)=0,"NO EXISTE",IF(COUNTIFS(ENVIOS!$A$4:$A$3003,$C1253)&gt;1,"DUPLICADA","OK")))</f>
        <v/>
      </c>
      <c r="E1253" s="22">
        <f>IF($C1253="","",IFERROR(INDEX(ENVIOS!$C$4:$C$3003,MATCH($C1253,ENVIOS!$A$4:$A$3003,0)),"—"))</f>
        <v/>
      </c>
      <c r="F1253" s="22">
        <f>IF($C1253="","",IFERROR(INDEX(ENVIOS!$D$4:$D$3003,MATCH($C1253,ENVIOS!$A$4:$A$3003,0)),"—"))</f>
        <v/>
      </c>
      <c r="G1253" s="22">
        <f>IF($C1253="","",IFERROR(INDEX(ENVIOS!$E$4:$E$3003,MATCH($C1253,ENVIOS!$A$4:$A$3003,0)),"—"))</f>
        <v/>
      </c>
      <c r="H1253" s="22">
        <f>IF($C1253="","",IFERROR(INDEX(ENVIOS!$F$4:$F$3003,MATCH($C1253,ENVIOS!$A$4:$A$3003,0)),"—"))</f>
        <v/>
      </c>
      <c r="I1253" s="27">
        <f>IF($C1253="","",IFERROR(INDEX(ENVIOS!$G$4:$G$3003,MATCH($C1253,ENVIOS!$A$4:$A$3003,0)),"—"))</f>
        <v/>
      </c>
      <c r="J1253" s="48">
        <f>IF($C1253="","",IFERROR(INDEX(ENVIOS!$B$4:$B$3003,MATCH($C1253,ENVIOS!$A$4:$A$3003,0)),""))</f>
        <v/>
      </c>
      <c r="K1253" s="49" t="n"/>
      <c r="L1253" s="27">
        <f>IF($K1253="","",IFERROR(INDEX(CONFIG!$B$4:$B$43,MATCH($K1253,CONFIG!$A$4:$A$43,0)),"Media"))</f>
        <v/>
      </c>
      <c r="M1253" s="27">
        <f>IF($K1253="","",IFERROR(INDEX(CONFIG!$D$4:$D$43,MATCH($K1253,CONFIG!$A$4:$A$43,0)),"NO"))</f>
        <v/>
      </c>
      <c r="N1253" s="49" t="n"/>
      <c r="O1253" s="27">
        <f>IF($N1253="","",IFERROR(INDEX(CONFIG!$G$4:$G$43,MATCH($N1253,CONFIG!$F$4:$F$43,0)),"Por definir"))</f>
        <v/>
      </c>
      <c r="P1253" s="27">
        <f>IF($N1253="","",IFERROR(INDEX(CONFIG!$H$4:$H$43,MATCH($N1253,CONFIG!$F$4:$F$43,0)),"Por definir"))</f>
        <v/>
      </c>
      <c r="Q1253" s="50" t="n"/>
      <c r="R1253" s="51" t="n"/>
      <c r="S1253" s="49" t="n"/>
      <c r="T1253" s="49" t="n"/>
      <c r="U1253" s="48">
        <f>IF(OR($B1253="",$K1253=""),"",WORKDAY($B1253,IFERROR(INDEX(CONFIG!$C$4:$C$43,MATCH($K1253,CONFIG!$A$4:$A$43,0)),3)))</f>
        <v/>
      </c>
      <c r="V1253" s="46" t="n"/>
      <c r="W1253" s="23">
        <f>IF($B1253="","",IF($V1253&lt;&gt;"",$V1253-$B1253,TODAY()-$B1253))</f>
        <v/>
      </c>
      <c r="X1253" s="27">
        <f>IF($C1253="","",IF(IFERROR(INDEX(CONFIG!$K$4:$K$43,MATCH($S1253,CONFIG!$J$4:$J$43,0)),"NO")="SÍ",IF(OR($V1253="",$U1253=""),"Resuelta",IF($V1253&gt;$U1253,"Resuelta tarde","Resuelta a tiempo")),IF($U1253="","Sin clasificar",IF(TODAY()&gt;$U1253,"Vencida",IF(TODAY()&gt;=$U1253-1,"Por vencer","En plazo")))))</f>
        <v/>
      </c>
      <c r="Y1253" s="49" t="n"/>
      <c r="Z1253" s="49" t="n"/>
    </row>
    <row r="1254" ht="16" customHeight="1">
      <c r="A1254" s="27">
        <f>IF($C1254="","","N-"&amp;TEXT(ROW()-3,"0000"))</f>
        <v/>
      </c>
      <c r="B1254" s="46" t="n"/>
      <c r="C1254" s="47" t="n"/>
      <c r="D1254" s="27">
        <f>IF($C1254="","",IF(COUNTIFS(ENVIOS!$A$4:$A$3003,$C1254)=0,"NO EXISTE",IF(COUNTIFS(ENVIOS!$A$4:$A$3003,$C1254)&gt;1,"DUPLICADA","OK")))</f>
        <v/>
      </c>
      <c r="E1254" s="22">
        <f>IF($C1254="","",IFERROR(INDEX(ENVIOS!$C$4:$C$3003,MATCH($C1254,ENVIOS!$A$4:$A$3003,0)),"—"))</f>
        <v/>
      </c>
      <c r="F1254" s="22">
        <f>IF($C1254="","",IFERROR(INDEX(ENVIOS!$D$4:$D$3003,MATCH($C1254,ENVIOS!$A$4:$A$3003,0)),"—"))</f>
        <v/>
      </c>
      <c r="G1254" s="22">
        <f>IF($C1254="","",IFERROR(INDEX(ENVIOS!$E$4:$E$3003,MATCH($C1254,ENVIOS!$A$4:$A$3003,0)),"—"))</f>
        <v/>
      </c>
      <c r="H1254" s="22">
        <f>IF($C1254="","",IFERROR(INDEX(ENVIOS!$F$4:$F$3003,MATCH($C1254,ENVIOS!$A$4:$A$3003,0)),"—"))</f>
        <v/>
      </c>
      <c r="I1254" s="27">
        <f>IF($C1254="","",IFERROR(INDEX(ENVIOS!$G$4:$G$3003,MATCH($C1254,ENVIOS!$A$4:$A$3003,0)),"—"))</f>
        <v/>
      </c>
      <c r="J1254" s="48">
        <f>IF($C1254="","",IFERROR(INDEX(ENVIOS!$B$4:$B$3003,MATCH($C1254,ENVIOS!$A$4:$A$3003,0)),""))</f>
        <v/>
      </c>
      <c r="K1254" s="49" t="n"/>
      <c r="L1254" s="27">
        <f>IF($K1254="","",IFERROR(INDEX(CONFIG!$B$4:$B$43,MATCH($K1254,CONFIG!$A$4:$A$43,0)),"Media"))</f>
        <v/>
      </c>
      <c r="M1254" s="27">
        <f>IF($K1254="","",IFERROR(INDEX(CONFIG!$D$4:$D$43,MATCH($K1254,CONFIG!$A$4:$A$43,0)),"NO"))</f>
        <v/>
      </c>
      <c r="N1254" s="49" t="n"/>
      <c r="O1254" s="27">
        <f>IF($N1254="","",IFERROR(INDEX(CONFIG!$G$4:$G$43,MATCH($N1254,CONFIG!$F$4:$F$43,0)),"Por definir"))</f>
        <v/>
      </c>
      <c r="P1254" s="27">
        <f>IF($N1254="","",IFERROR(INDEX(CONFIG!$H$4:$H$43,MATCH($N1254,CONFIG!$F$4:$F$43,0)),"Por definir"))</f>
        <v/>
      </c>
      <c r="Q1254" s="50" t="n"/>
      <c r="R1254" s="51" t="n"/>
      <c r="S1254" s="49" t="n"/>
      <c r="T1254" s="49" t="n"/>
      <c r="U1254" s="48">
        <f>IF(OR($B1254="",$K1254=""),"",WORKDAY($B1254,IFERROR(INDEX(CONFIG!$C$4:$C$43,MATCH($K1254,CONFIG!$A$4:$A$43,0)),3)))</f>
        <v/>
      </c>
      <c r="V1254" s="46" t="n"/>
      <c r="W1254" s="23">
        <f>IF($B1254="","",IF($V1254&lt;&gt;"",$V1254-$B1254,TODAY()-$B1254))</f>
        <v/>
      </c>
      <c r="X1254" s="27">
        <f>IF($C1254="","",IF(IFERROR(INDEX(CONFIG!$K$4:$K$43,MATCH($S1254,CONFIG!$J$4:$J$43,0)),"NO")="SÍ",IF(OR($V1254="",$U1254=""),"Resuelta",IF($V1254&gt;$U1254,"Resuelta tarde","Resuelta a tiempo")),IF($U1254="","Sin clasificar",IF(TODAY()&gt;$U1254,"Vencida",IF(TODAY()&gt;=$U1254-1,"Por vencer","En plazo")))))</f>
        <v/>
      </c>
      <c r="Y1254" s="49" t="n"/>
      <c r="Z1254" s="49" t="n"/>
    </row>
    <row r="1255" ht="16" customHeight="1">
      <c r="A1255" s="27">
        <f>IF($C1255="","","N-"&amp;TEXT(ROW()-3,"0000"))</f>
        <v/>
      </c>
      <c r="B1255" s="46" t="n"/>
      <c r="C1255" s="47" t="n"/>
      <c r="D1255" s="27">
        <f>IF($C1255="","",IF(COUNTIFS(ENVIOS!$A$4:$A$3003,$C1255)=0,"NO EXISTE",IF(COUNTIFS(ENVIOS!$A$4:$A$3003,$C1255)&gt;1,"DUPLICADA","OK")))</f>
        <v/>
      </c>
      <c r="E1255" s="22">
        <f>IF($C1255="","",IFERROR(INDEX(ENVIOS!$C$4:$C$3003,MATCH($C1255,ENVIOS!$A$4:$A$3003,0)),"—"))</f>
        <v/>
      </c>
      <c r="F1255" s="22">
        <f>IF($C1255="","",IFERROR(INDEX(ENVIOS!$D$4:$D$3003,MATCH($C1255,ENVIOS!$A$4:$A$3003,0)),"—"))</f>
        <v/>
      </c>
      <c r="G1255" s="22">
        <f>IF($C1255="","",IFERROR(INDEX(ENVIOS!$E$4:$E$3003,MATCH($C1255,ENVIOS!$A$4:$A$3003,0)),"—"))</f>
        <v/>
      </c>
      <c r="H1255" s="22">
        <f>IF($C1255="","",IFERROR(INDEX(ENVIOS!$F$4:$F$3003,MATCH($C1255,ENVIOS!$A$4:$A$3003,0)),"—"))</f>
        <v/>
      </c>
      <c r="I1255" s="27">
        <f>IF($C1255="","",IFERROR(INDEX(ENVIOS!$G$4:$G$3003,MATCH($C1255,ENVIOS!$A$4:$A$3003,0)),"—"))</f>
        <v/>
      </c>
      <c r="J1255" s="48">
        <f>IF($C1255="","",IFERROR(INDEX(ENVIOS!$B$4:$B$3003,MATCH($C1255,ENVIOS!$A$4:$A$3003,0)),""))</f>
        <v/>
      </c>
      <c r="K1255" s="49" t="n"/>
      <c r="L1255" s="27">
        <f>IF($K1255="","",IFERROR(INDEX(CONFIG!$B$4:$B$43,MATCH($K1255,CONFIG!$A$4:$A$43,0)),"Media"))</f>
        <v/>
      </c>
      <c r="M1255" s="27">
        <f>IF($K1255="","",IFERROR(INDEX(CONFIG!$D$4:$D$43,MATCH($K1255,CONFIG!$A$4:$A$43,0)),"NO"))</f>
        <v/>
      </c>
      <c r="N1255" s="49" t="n"/>
      <c r="O1255" s="27">
        <f>IF($N1255="","",IFERROR(INDEX(CONFIG!$G$4:$G$43,MATCH($N1255,CONFIG!$F$4:$F$43,0)),"Por definir"))</f>
        <v/>
      </c>
      <c r="P1255" s="27">
        <f>IF($N1255="","",IFERROR(INDEX(CONFIG!$H$4:$H$43,MATCH($N1255,CONFIG!$F$4:$F$43,0)),"Por definir"))</f>
        <v/>
      </c>
      <c r="Q1255" s="50" t="n"/>
      <c r="R1255" s="51" t="n"/>
      <c r="S1255" s="49" t="n"/>
      <c r="T1255" s="49" t="n"/>
      <c r="U1255" s="48">
        <f>IF(OR($B1255="",$K1255=""),"",WORKDAY($B1255,IFERROR(INDEX(CONFIG!$C$4:$C$43,MATCH($K1255,CONFIG!$A$4:$A$43,0)),3)))</f>
        <v/>
      </c>
      <c r="V1255" s="46" t="n"/>
      <c r="W1255" s="23">
        <f>IF($B1255="","",IF($V1255&lt;&gt;"",$V1255-$B1255,TODAY()-$B1255))</f>
        <v/>
      </c>
      <c r="X1255" s="27">
        <f>IF($C1255="","",IF(IFERROR(INDEX(CONFIG!$K$4:$K$43,MATCH($S1255,CONFIG!$J$4:$J$43,0)),"NO")="SÍ",IF(OR($V1255="",$U1255=""),"Resuelta",IF($V1255&gt;$U1255,"Resuelta tarde","Resuelta a tiempo")),IF($U1255="","Sin clasificar",IF(TODAY()&gt;$U1255,"Vencida",IF(TODAY()&gt;=$U1255-1,"Por vencer","En plazo")))))</f>
        <v/>
      </c>
      <c r="Y1255" s="49" t="n"/>
      <c r="Z1255" s="49" t="n"/>
    </row>
    <row r="1256" ht="16" customHeight="1">
      <c r="A1256" s="27">
        <f>IF($C1256="","","N-"&amp;TEXT(ROW()-3,"0000"))</f>
        <v/>
      </c>
      <c r="B1256" s="46" t="n"/>
      <c r="C1256" s="47" t="n"/>
      <c r="D1256" s="27">
        <f>IF($C1256="","",IF(COUNTIFS(ENVIOS!$A$4:$A$3003,$C1256)=0,"NO EXISTE",IF(COUNTIFS(ENVIOS!$A$4:$A$3003,$C1256)&gt;1,"DUPLICADA","OK")))</f>
        <v/>
      </c>
      <c r="E1256" s="22">
        <f>IF($C1256="","",IFERROR(INDEX(ENVIOS!$C$4:$C$3003,MATCH($C1256,ENVIOS!$A$4:$A$3003,0)),"—"))</f>
        <v/>
      </c>
      <c r="F1256" s="22">
        <f>IF($C1256="","",IFERROR(INDEX(ENVIOS!$D$4:$D$3003,MATCH($C1256,ENVIOS!$A$4:$A$3003,0)),"—"))</f>
        <v/>
      </c>
      <c r="G1256" s="22">
        <f>IF($C1256="","",IFERROR(INDEX(ENVIOS!$E$4:$E$3003,MATCH($C1256,ENVIOS!$A$4:$A$3003,0)),"—"))</f>
        <v/>
      </c>
      <c r="H1256" s="22">
        <f>IF($C1256="","",IFERROR(INDEX(ENVIOS!$F$4:$F$3003,MATCH($C1256,ENVIOS!$A$4:$A$3003,0)),"—"))</f>
        <v/>
      </c>
      <c r="I1256" s="27">
        <f>IF($C1256="","",IFERROR(INDEX(ENVIOS!$G$4:$G$3003,MATCH($C1256,ENVIOS!$A$4:$A$3003,0)),"—"))</f>
        <v/>
      </c>
      <c r="J1256" s="48">
        <f>IF($C1256="","",IFERROR(INDEX(ENVIOS!$B$4:$B$3003,MATCH($C1256,ENVIOS!$A$4:$A$3003,0)),""))</f>
        <v/>
      </c>
      <c r="K1256" s="49" t="n"/>
      <c r="L1256" s="27">
        <f>IF($K1256="","",IFERROR(INDEX(CONFIG!$B$4:$B$43,MATCH($K1256,CONFIG!$A$4:$A$43,0)),"Media"))</f>
        <v/>
      </c>
      <c r="M1256" s="27">
        <f>IF($K1256="","",IFERROR(INDEX(CONFIG!$D$4:$D$43,MATCH($K1256,CONFIG!$A$4:$A$43,0)),"NO"))</f>
        <v/>
      </c>
      <c r="N1256" s="49" t="n"/>
      <c r="O1256" s="27">
        <f>IF($N1256="","",IFERROR(INDEX(CONFIG!$G$4:$G$43,MATCH($N1256,CONFIG!$F$4:$F$43,0)),"Por definir"))</f>
        <v/>
      </c>
      <c r="P1256" s="27">
        <f>IF($N1256="","",IFERROR(INDEX(CONFIG!$H$4:$H$43,MATCH($N1256,CONFIG!$F$4:$F$43,0)),"Por definir"))</f>
        <v/>
      </c>
      <c r="Q1256" s="50" t="n"/>
      <c r="R1256" s="51" t="n"/>
      <c r="S1256" s="49" t="n"/>
      <c r="T1256" s="49" t="n"/>
      <c r="U1256" s="48">
        <f>IF(OR($B1256="",$K1256=""),"",WORKDAY($B1256,IFERROR(INDEX(CONFIG!$C$4:$C$43,MATCH($K1256,CONFIG!$A$4:$A$43,0)),3)))</f>
        <v/>
      </c>
      <c r="V1256" s="46" t="n"/>
      <c r="W1256" s="23">
        <f>IF($B1256="","",IF($V1256&lt;&gt;"",$V1256-$B1256,TODAY()-$B1256))</f>
        <v/>
      </c>
      <c r="X1256" s="27">
        <f>IF($C1256="","",IF(IFERROR(INDEX(CONFIG!$K$4:$K$43,MATCH($S1256,CONFIG!$J$4:$J$43,0)),"NO")="SÍ",IF(OR($V1256="",$U1256=""),"Resuelta",IF($V1256&gt;$U1256,"Resuelta tarde","Resuelta a tiempo")),IF($U1256="","Sin clasificar",IF(TODAY()&gt;$U1256,"Vencida",IF(TODAY()&gt;=$U1256-1,"Por vencer","En plazo")))))</f>
        <v/>
      </c>
      <c r="Y1256" s="49" t="n"/>
      <c r="Z1256" s="49" t="n"/>
    </row>
    <row r="1257" ht="16" customHeight="1">
      <c r="A1257" s="27">
        <f>IF($C1257="","","N-"&amp;TEXT(ROW()-3,"0000"))</f>
        <v/>
      </c>
      <c r="B1257" s="46" t="n"/>
      <c r="C1257" s="47" t="n"/>
      <c r="D1257" s="27">
        <f>IF($C1257="","",IF(COUNTIFS(ENVIOS!$A$4:$A$3003,$C1257)=0,"NO EXISTE",IF(COUNTIFS(ENVIOS!$A$4:$A$3003,$C1257)&gt;1,"DUPLICADA","OK")))</f>
        <v/>
      </c>
      <c r="E1257" s="22">
        <f>IF($C1257="","",IFERROR(INDEX(ENVIOS!$C$4:$C$3003,MATCH($C1257,ENVIOS!$A$4:$A$3003,0)),"—"))</f>
        <v/>
      </c>
      <c r="F1257" s="22">
        <f>IF($C1257="","",IFERROR(INDEX(ENVIOS!$D$4:$D$3003,MATCH($C1257,ENVIOS!$A$4:$A$3003,0)),"—"))</f>
        <v/>
      </c>
      <c r="G1257" s="22">
        <f>IF($C1257="","",IFERROR(INDEX(ENVIOS!$E$4:$E$3003,MATCH($C1257,ENVIOS!$A$4:$A$3003,0)),"—"))</f>
        <v/>
      </c>
      <c r="H1257" s="22">
        <f>IF($C1257="","",IFERROR(INDEX(ENVIOS!$F$4:$F$3003,MATCH($C1257,ENVIOS!$A$4:$A$3003,0)),"—"))</f>
        <v/>
      </c>
      <c r="I1257" s="27">
        <f>IF($C1257="","",IFERROR(INDEX(ENVIOS!$G$4:$G$3003,MATCH($C1257,ENVIOS!$A$4:$A$3003,0)),"—"))</f>
        <v/>
      </c>
      <c r="J1257" s="48">
        <f>IF($C1257="","",IFERROR(INDEX(ENVIOS!$B$4:$B$3003,MATCH($C1257,ENVIOS!$A$4:$A$3003,0)),""))</f>
        <v/>
      </c>
      <c r="K1257" s="49" t="n"/>
      <c r="L1257" s="27">
        <f>IF($K1257="","",IFERROR(INDEX(CONFIG!$B$4:$B$43,MATCH($K1257,CONFIG!$A$4:$A$43,0)),"Media"))</f>
        <v/>
      </c>
      <c r="M1257" s="27">
        <f>IF($K1257="","",IFERROR(INDEX(CONFIG!$D$4:$D$43,MATCH($K1257,CONFIG!$A$4:$A$43,0)),"NO"))</f>
        <v/>
      </c>
      <c r="N1257" s="49" t="n"/>
      <c r="O1257" s="27">
        <f>IF($N1257="","",IFERROR(INDEX(CONFIG!$G$4:$G$43,MATCH($N1257,CONFIG!$F$4:$F$43,0)),"Por definir"))</f>
        <v/>
      </c>
      <c r="P1257" s="27">
        <f>IF($N1257="","",IFERROR(INDEX(CONFIG!$H$4:$H$43,MATCH($N1257,CONFIG!$F$4:$F$43,0)),"Por definir"))</f>
        <v/>
      </c>
      <c r="Q1257" s="50" t="n"/>
      <c r="R1257" s="51" t="n"/>
      <c r="S1257" s="49" t="n"/>
      <c r="T1257" s="49" t="n"/>
      <c r="U1257" s="48">
        <f>IF(OR($B1257="",$K1257=""),"",WORKDAY($B1257,IFERROR(INDEX(CONFIG!$C$4:$C$43,MATCH($K1257,CONFIG!$A$4:$A$43,0)),3)))</f>
        <v/>
      </c>
      <c r="V1257" s="46" t="n"/>
      <c r="W1257" s="23">
        <f>IF($B1257="","",IF($V1257&lt;&gt;"",$V1257-$B1257,TODAY()-$B1257))</f>
        <v/>
      </c>
      <c r="X1257" s="27">
        <f>IF($C1257="","",IF(IFERROR(INDEX(CONFIG!$K$4:$K$43,MATCH($S1257,CONFIG!$J$4:$J$43,0)),"NO")="SÍ",IF(OR($V1257="",$U1257=""),"Resuelta",IF($V1257&gt;$U1257,"Resuelta tarde","Resuelta a tiempo")),IF($U1257="","Sin clasificar",IF(TODAY()&gt;$U1257,"Vencida",IF(TODAY()&gt;=$U1257-1,"Por vencer","En plazo")))))</f>
        <v/>
      </c>
      <c r="Y1257" s="49" t="n"/>
      <c r="Z1257" s="49" t="n"/>
    </row>
    <row r="1258" ht="16" customHeight="1">
      <c r="A1258" s="27">
        <f>IF($C1258="","","N-"&amp;TEXT(ROW()-3,"0000"))</f>
        <v/>
      </c>
      <c r="B1258" s="46" t="n"/>
      <c r="C1258" s="47" t="n"/>
      <c r="D1258" s="27">
        <f>IF($C1258="","",IF(COUNTIFS(ENVIOS!$A$4:$A$3003,$C1258)=0,"NO EXISTE",IF(COUNTIFS(ENVIOS!$A$4:$A$3003,$C1258)&gt;1,"DUPLICADA","OK")))</f>
        <v/>
      </c>
      <c r="E1258" s="22">
        <f>IF($C1258="","",IFERROR(INDEX(ENVIOS!$C$4:$C$3003,MATCH($C1258,ENVIOS!$A$4:$A$3003,0)),"—"))</f>
        <v/>
      </c>
      <c r="F1258" s="22">
        <f>IF($C1258="","",IFERROR(INDEX(ENVIOS!$D$4:$D$3003,MATCH($C1258,ENVIOS!$A$4:$A$3003,0)),"—"))</f>
        <v/>
      </c>
      <c r="G1258" s="22">
        <f>IF($C1258="","",IFERROR(INDEX(ENVIOS!$E$4:$E$3003,MATCH($C1258,ENVIOS!$A$4:$A$3003,0)),"—"))</f>
        <v/>
      </c>
      <c r="H1258" s="22">
        <f>IF($C1258="","",IFERROR(INDEX(ENVIOS!$F$4:$F$3003,MATCH($C1258,ENVIOS!$A$4:$A$3003,0)),"—"))</f>
        <v/>
      </c>
      <c r="I1258" s="27">
        <f>IF($C1258="","",IFERROR(INDEX(ENVIOS!$G$4:$G$3003,MATCH($C1258,ENVIOS!$A$4:$A$3003,0)),"—"))</f>
        <v/>
      </c>
      <c r="J1258" s="48">
        <f>IF($C1258="","",IFERROR(INDEX(ENVIOS!$B$4:$B$3003,MATCH($C1258,ENVIOS!$A$4:$A$3003,0)),""))</f>
        <v/>
      </c>
      <c r="K1258" s="49" t="n"/>
      <c r="L1258" s="27">
        <f>IF($K1258="","",IFERROR(INDEX(CONFIG!$B$4:$B$43,MATCH($K1258,CONFIG!$A$4:$A$43,0)),"Media"))</f>
        <v/>
      </c>
      <c r="M1258" s="27">
        <f>IF($K1258="","",IFERROR(INDEX(CONFIG!$D$4:$D$43,MATCH($K1258,CONFIG!$A$4:$A$43,0)),"NO"))</f>
        <v/>
      </c>
      <c r="N1258" s="49" t="n"/>
      <c r="O1258" s="27">
        <f>IF($N1258="","",IFERROR(INDEX(CONFIG!$G$4:$G$43,MATCH($N1258,CONFIG!$F$4:$F$43,0)),"Por definir"))</f>
        <v/>
      </c>
      <c r="P1258" s="27">
        <f>IF($N1258="","",IFERROR(INDEX(CONFIG!$H$4:$H$43,MATCH($N1258,CONFIG!$F$4:$F$43,0)),"Por definir"))</f>
        <v/>
      </c>
      <c r="Q1258" s="50" t="n"/>
      <c r="R1258" s="51" t="n"/>
      <c r="S1258" s="49" t="n"/>
      <c r="T1258" s="49" t="n"/>
      <c r="U1258" s="48">
        <f>IF(OR($B1258="",$K1258=""),"",WORKDAY($B1258,IFERROR(INDEX(CONFIG!$C$4:$C$43,MATCH($K1258,CONFIG!$A$4:$A$43,0)),3)))</f>
        <v/>
      </c>
      <c r="V1258" s="46" t="n"/>
      <c r="W1258" s="23">
        <f>IF($B1258="","",IF($V1258&lt;&gt;"",$V1258-$B1258,TODAY()-$B1258))</f>
        <v/>
      </c>
      <c r="X1258" s="27">
        <f>IF($C1258="","",IF(IFERROR(INDEX(CONFIG!$K$4:$K$43,MATCH($S1258,CONFIG!$J$4:$J$43,0)),"NO")="SÍ",IF(OR($V1258="",$U1258=""),"Resuelta",IF($V1258&gt;$U1258,"Resuelta tarde","Resuelta a tiempo")),IF($U1258="","Sin clasificar",IF(TODAY()&gt;$U1258,"Vencida",IF(TODAY()&gt;=$U1258-1,"Por vencer","En plazo")))))</f>
        <v/>
      </c>
      <c r="Y1258" s="49" t="n"/>
      <c r="Z1258" s="49" t="n"/>
    </row>
    <row r="1259" ht="16" customHeight="1">
      <c r="A1259" s="27">
        <f>IF($C1259="","","N-"&amp;TEXT(ROW()-3,"0000"))</f>
        <v/>
      </c>
      <c r="B1259" s="46" t="n"/>
      <c r="C1259" s="47" t="n"/>
      <c r="D1259" s="27">
        <f>IF($C1259="","",IF(COUNTIFS(ENVIOS!$A$4:$A$3003,$C1259)=0,"NO EXISTE",IF(COUNTIFS(ENVIOS!$A$4:$A$3003,$C1259)&gt;1,"DUPLICADA","OK")))</f>
        <v/>
      </c>
      <c r="E1259" s="22">
        <f>IF($C1259="","",IFERROR(INDEX(ENVIOS!$C$4:$C$3003,MATCH($C1259,ENVIOS!$A$4:$A$3003,0)),"—"))</f>
        <v/>
      </c>
      <c r="F1259" s="22">
        <f>IF($C1259="","",IFERROR(INDEX(ENVIOS!$D$4:$D$3003,MATCH($C1259,ENVIOS!$A$4:$A$3003,0)),"—"))</f>
        <v/>
      </c>
      <c r="G1259" s="22">
        <f>IF($C1259="","",IFERROR(INDEX(ENVIOS!$E$4:$E$3003,MATCH($C1259,ENVIOS!$A$4:$A$3003,0)),"—"))</f>
        <v/>
      </c>
      <c r="H1259" s="22">
        <f>IF($C1259="","",IFERROR(INDEX(ENVIOS!$F$4:$F$3003,MATCH($C1259,ENVIOS!$A$4:$A$3003,0)),"—"))</f>
        <v/>
      </c>
      <c r="I1259" s="27">
        <f>IF($C1259="","",IFERROR(INDEX(ENVIOS!$G$4:$G$3003,MATCH($C1259,ENVIOS!$A$4:$A$3003,0)),"—"))</f>
        <v/>
      </c>
      <c r="J1259" s="48">
        <f>IF($C1259="","",IFERROR(INDEX(ENVIOS!$B$4:$B$3003,MATCH($C1259,ENVIOS!$A$4:$A$3003,0)),""))</f>
        <v/>
      </c>
      <c r="K1259" s="49" t="n"/>
      <c r="L1259" s="27">
        <f>IF($K1259="","",IFERROR(INDEX(CONFIG!$B$4:$B$43,MATCH($K1259,CONFIG!$A$4:$A$43,0)),"Media"))</f>
        <v/>
      </c>
      <c r="M1259" s="27">
        <f>IF($K1259="","",IFERROR(INDEX(CONFIG!$D$4:$D$43,MATCH($K1259,CONFIG!$A$4:$A$43,0)),"NO"))</f>
        <v/>
      </c>
      <c r="N1259" s="49" t="n"/>
      <c r="O1259" s="27">
        <f>IF($N1259="","",IFERROR(INDEX(CONFIG!$G$4:$G$43,MATCH($N1259,CONFIG!$F$4:$F$43,0)),"Por definir"))</f>
        <v/>
      </c>
      <c r="P1259" s="27">
        <f>IF($N1259="","",IFERROR(INDEX(CONFIG!$H$4:$H$43,MATCH($N1259,CONFIG!$F$4:$F$43,0)),"Por definir"))</f>
        <v/>
      </c>
      <c r="Q1259" s="50" t="n"/>
      <c r="R1259" s="51" t="n"/>
      <c r="S1259" s="49" t="n"/>
      <c r="T1259" s="49" t="n"/>
      <c r="U1259" s="48">
        <f>IF(OR($B1259="",$K1259=""),"",WORKDAY($B1259,IFERROR(INDEX(CONFIG!$C$4:$C$43,MATCH($K1259,CONFIG!$A$4:$A$43,0)),3)))</f>
        <v/>
      </c>
      <c r="V1259" s="46" t="n"/>
      <c r="W1259" s="23">
        <f>IF($B1259="","",IF($V1259&lt;&gt;"",$V1259-$B1259,TODAY()-$B1259))</f>
        <v/>
      </c>
      <c r="X1259" s="27">
        <f>IF($C1259="","",IF(IFERROR(INDEX(CONFIG!$K$4:$K$43,MATCH($S1259,CONFIG!$J$4:$J$43,0)),"NO")="SÍ",IF(OR($V1259="",$U1259=""),"Resuelta",IF($V1259&gt;$U1259,"Resuelta tarde","Resuelta a tiempo")),IF($U1259="","Sin clasificar",IF(TODAY()&gt;$U1259,"Vencida",IF(TODAY()&gt;=$U1259-1,"Por vencer","En plazo")))))</f>
        <v/>
      </c>
      <c r="Y1259" s="49" t="n"/>
      <c r="Z1259" s="49" t="n"/>
    </row>
    <row r="1260" ht="16" customHeight="1">
      <c r="A1260" s="27">
        <f>IF($C1260="","","N-"&amp;TEXT(ROW()-3,"0000"))</f>
        <v/>
      </c>
      <c r="B1260" s="46" t="n"/>
      <c r="C1260" s="47" t="n"/>
      <c r="D1260" s="27">
        <f>IF($C1260="","",IF(COUNTIFS(ENVIOS!$A$4:$A$3003,$C1260)=0,"NO EXISTE",IF(COUNTIFS(ENVIOS!$A$4:$A$3003,$C1260)&gt;1,"DUPLICADA","OK")))</f>
        <v/>
      </c>
      <c r="E1260" s="22">
        <f>IF($C1260="","",IFERROR(INDEX(ENVIOS!$C$4:$C$3003,MATCH($C1260,ENVIOS!$A$4:$A$3003,0)),"—"))</f>
        <v/>
      </c>
      <c r="F1260" s="22">
        <f>IF($C1260="","",IFERROR(INDEX(ENVIOS!$D$4:$D$3003,MATCH($C1260,ENVIOS!$A$4:$A$3003,0)),"—"))</f>
        <v/>
      </c>
      <c r="G1260" s="22">
        <f>IF($C1260="","",IFERROR(INDEX(ENVIOS!$E$4:$E$3003,MATCH($C1260,ENVIOS!$A$4:$A$3003,0)),"—"))</f>
        <v/>
      </c>
      <c r="H1260" s="22">
        <f>IF($C1260="","",IFERROR(INDEX(ENVIOS!$F$4:$F$3003,MATCH($C1260,ENVIOS!$A$4:$A$3003,0)),"—"))</f>
        <v/>
      </c>
      <c r="I1260" s="27">
        <f>IF($C1260="","",IFERROR(INDEX(ENVIOS!$G$4:$G$3003,MATCH($C1260,ENVIOS!$A$4:$A$3003,0)),"—"))</f>
        <v/>
      </c>
      <c r="J1260" s="48">
        <f>IF($C1260="","",IFERROR(INDEX(ENVIOS!$B$4:$B$3003,MATCH($C1260,ENVIOS!$A$4:$A$3003,0)),""))</f>
        <v/>
      </c>
      <c r="K1260" s="49" t="n"/>
      <c r="L1260" s="27">
        <f>IF($K1260="","",IFERROR(INDEX(CONFIG!$B$4:$B$43,MATCH($K1260,CONFIG!$A$4:$A$43,0)),"Media"))</f>
        <v/>
      </c>
      <c r="M1260" s="27">
        <f>IF($K1260="","",IFERROR(INDEX(CONFIG!$D$4:$D$43,MATCH($K1260,CONFIG!$A$4:$A$43,0)),"NO"))</f>
        <v/>
      </c>
      <c r="N1260" s="49" t="n"/>
      <c r="O1260" s="27">
        <f>IF($N1260="","",IFERROR(INDEX(CONFIG!$G$4:$G$43,MATCH($N1260,CONFIG!$F$4:$F$43,0)),"Por definir"))</f>
        <v/>
      </c>
      <c r="P1260" s="27">
        <f>IF($N1260="","",IFERROR(INDEX(CONFIG!$H$4:$H$43,MATCH($N1260,CONFIG!$F$4:$F$43,0)),"Por definir"))</f>
        <v/>
      </c>
      <c r="Q1260" s="50" t="n"/>
      <c r="R1260" s="51" t="n"/>
      <c r="S1260" s="49" t="n"/>
      <c r="T1260" s="49" t="n"/>
      <c r="U1260" s="48">
        <f>IF(OR($B1260="",$K1260=""),"",WORKDAY($B1260,IFERROR(INDEX(CONFIG!$C$4:$C$43,MATCH($K1260,CONFIG!$A$4:$A$43,0)),3)))</f>
        <v/>
      </c>
      <c r="V1260" s="46" t="n"/>
      <c r="W1260" s="23">
        <f>IF($B1260="","",IF($V1260&lt;&gt;"",$V1260-$B1260,TODAY()-$B1260))</f>
        <v/>
      </c>
      <c r="X1260" s="27">
        <f>IF($C1260="","",IF(IFERROR(INDEX(CONFIG!$K$4:$K$43,MATCH($S1260,CONFIG!$J$4:$J$43,0)),"NO")="SÍ",IF(OR($V1260="",$U1260=""),"Resuelta",IF($V1260&gt;$U1260,"Resuelta tarde","Resuelta a tiempo")),IF($U1260="","Sin clasificar",IF(TODAY()&gt;$U1260,"Vencida",IF(TODAY()&gt;=$U1260-1,"Por vencer","En plazo")))))</f>
        <v/>
      </c>
      <c r="Y1260" s="49" t="n"/>
      <c r="Z1260" s="49" t="n"/>
    </row>
    <row r="1261" ht="16" customHeight="1">
      <c r="A1261" s="27">
        <f>IF($C1261="","","N-"&amp;TEXT(ROW()-3,"0000"))</f>
        <v/>
      </c>
      <c r="B1261" s="46" t="n"/>
      <c r="C1261" s="47" t="n"/>
      <c r="D1261" s="27">
        <f>IF($C1261="","",IF(COUNTIFS(ENVIOS!$A$4:$A$3003,$C1261)=0,"NO EXISTE",IF(COUNTIFS(ENVIOS!$A$4:$A$3003,$C1261)&gt;1,"DUPLICADA","OK")))</f>
        <v/>
      </c>
      <c r="E1261" s="22">
        <f>IF($C1261="","",IFERROR(INDEX(ENVIOS!$C$4:$C$3003,MATCH($C1261,ENVIOS!$A$4:$A$3003,0)),"—"))</f>
        <v/>
      </c>
      <c r="F1261" s="22">
        <f>IF($C1261="","",IFERROR(INDEX(ENVIOS!$D$4:$D$3003,MATCH($C1261,ENVIOS!$A$4:$A$3003,0)),"—"))</f>
        <v/>
      </c>
      <c r="G1261" s="22">
        <f>IF($C1261="","",IFERROR(INDEX(ENVIOS!$E$4:$E$3003,MATCH($C1261,ENVIOS!$A$4:$A$3003,0)),"—"))</f>
        <v/>
      </c>
      <c r="H1261" s="22">
        <f>IF($C1261="","",IFERROR(INDEX(ENVIOS!$F$4:$F$3003,MATCH($C1261,ENVIOS!$A$4:$A$3003,0)),"—"))</f>
        <v/>
      </c>
      <c r="I1261" s="27">
        <f>IF($C1261="","",IFERROR(INDEX(ENVIOS!$G$4:$G$3003,MATCH($C1261,ENVIOS!$A$4:$A$3003,0)),"—"))</f>
        <v/>
      </c>
      <c r="J1261" s="48">
        <f>IF($C1261="","",IFERROR(INDEX(ENVIOS!$B$4:$B$3003,MATCH($C1261,ENVIOS!$A$4:$A$3003,0)),""))</f>
        <v/>
      </c>
      <c r="K1261" s="49" t="n"/>
      <c r="L1261" s="27">
        <f>IF($K1261="","",IFERROR(INDEX(CONFIG!$B$4:$B$43,MATCH($K1261,CONFIG!$A$4:$A$43,0)),"Media"))</f>
        <v/>
      </c>
      <c r="M1261" s="27">
        <f>IF($K1261="","",IFERROR(INDEX(CONFIG!$D$4:$D$43,MATCH($K1261,CONFIG!$A$4:$A$43,0)),"NO"))</f>
        <v/>
      </c>
      <c r="N1261" s="49" t="n"/>
      <c r="O1261" s="27">
        <f>IF($N1261="","",IFERROR(INDEX(CONFIG!$G$4:$G$43,MATCH($N1261,CONFIG!$F$4:$F$43,0)),"Por definir"))</f>
        <v/>
      </c>
      <c r="P1261" s="27">
        <f>IF($N1261="","",IFERROR(INDEX(CONFIG!$H$4:$H$43,MATCH($N1261,CONFIG!$F$4:$F$43,0)),"Por definir"))</f>
        <v/>
      </c>
      <c r="Q1261" s="50" t="n"/>
      <c r="R1261" s="51" t="n"/>
      <c r="S1261" s="49" t="n"/>
      <c r="T1261" s="49" t="n"/>
      <c r="U1261" s="48">
        <f>IF(OR($B1261="",$K1261=""),"",WORKDAY($B1261,IFERROR(INDEX(CONFIG!$C$4:$C$43,MATCH($K1261,CONFIG!$A$4:$A$43,0)),3)))</f>
        <v/>
      </c>
      <c r="V1261" s="46" t="n"/>
      <c r="W1261" s="23">
        <f>IF($B1261="","",IF($V1261&lt;&gt;"",$V1261-$B1261,TODAY()-$B1261))</f>
        <v/>
      </c>
      <c r="X1261" s="27">
        <f>IF($C1261="","",IF(IFERROR(INDEX(CONFIG!$K$4:$K$43,MATCH($S1261,CONFIG!$J$4:$J$43,0)),"NO")="SÍ",IF(OR($V1261="",$U1261=""),"Resuelta",IF($V1261&gt;$U1261,"Resuelta tarde","Resuelta a tiempo")),IF($U1261="","Sin clasificar",IF(TODAY()&gt;$U1261,"Vencida",IF(TODAY()&gt;=$U1261-1,"Por vencer","En plazo")))))</f>
        <v/>
      </c>
      <c r="Y1261" s="49" t="n"/>
      <c r="Z1261" s="49" t="n"/>
    </row>
    <row r="1262" ht="16" customHeight="1">
      <c r="A1262" s="27">
        <f>IF($C1262="","","N-"&amp;TEXT(ROW()-3,"0000"))</f>
        <v/>
      </c>
      <c r="B1262" s="46" t="n"/>
      <c r="C1262" s="47" t="n"/>
      <c r="D1262" s="27">
        <f>IF($C1262="","",IF(COUNTIFS(ENVIOS!$A$4:$A$3003,$C1262)=0,"NO EXISTE",IF(COUNTIFS(ENVIOS!$A$4:$A$3003,$C1262)&gt;1,"DUPLICADA","OK")))</f>
        <v/>
      </c>
      <c r="E1262" s="22">
        <f>IF($C1262="","",IFERROR(INDEX(ENVIOS!$C$4:$C$3003,MATCH($C1262,ENVIOS!$A$4:$A$3003,0)),"—"))</f>
        <v/>
      </c>
      <c r="F1262" s="22">
        <f>IF($C1262="","",IFERROR(INDEX(ENVIOS!$D$4:$D$3003,MATCH($C1262,ENVIOS!$A$4:$A$3003,0)),"—"))</f>
        <v/>
      </c>
      <c r="G1262" s="22">
        <f>IF($C1262="","",IFERROR(INDEX(ENVIOS!$E$4:$E$3003,MATCH($C1262,ENVIOS!$A$4:$A$3003,0)),"—"))</f>
        <v/>
      </c>
      <c r="H1262" s="22">
        <f>IF($C1262="","",IFERROR(INDEX(ENVIOS!$F$4:$F$3003,MATCH($C1262,ENVIOS!$A$4:$A$3003,0)),"—"))</f>
        <v/>
      </c>
      <c r="I1262" s="27">
        <f>IF($C1262="","",IFERROR(INDEX(ENVIOS!$G$4:$G$3003,MATCH($C1262,ENVIOS!$A$4:$A$3003,0)),"—"))</f>
        <v/>
      </c>
      <c r="J1262" s="48">
        <f>IF($C1262="","",IFERROR(INDEX(ENVIOS!$B$4:$B$3003,MATCH($C1262,ENVIOS!$A$4:$A$3003,0)),""))</f>
        <v/>
      </c>
      <c r="K1262" s="49" t="n"/>
      <c r="L1262" s="27">
        <f>IF($K1262="","",IFERROR(INDEX(CONFIG!$B$4:$B$43,MATCH($K1262,CONFIG!$A$4:$A$43,0)),"Media"))</f>
        <v/>
      </c>
      <c r="M1262" s="27">
        <f>IF($K1262="","",IFERROR(INDEX(CONFIG!$D$4:$D$43,MATCH($K1262,CONFIG!$A$4:$A$43,0)),"NO"))</f>
        <v/>
      </c>
      <c r="N1262" s="49" t="n"/>
      <c r="O1262" s="27">
        <f>IF($N1262="","",IFERROR(INDEX(CONFIG!$G$4:$G$43,MATCH($N1262,CONFIG!$F$4:$F$43,0)),"Por definir"))</f>
        <v/>
      </c>
      <c r="P1262" s="27">
        <f>IF($N1262="","",IFERROR(INDEX(CONFIG!$H$4:$H$43,MATCH($N1262,CONFIG!$F$4:$F$43,0)),"Por definir"))</f>
        <v/>
      </c>
      <c r="Q1262" s="50" t="n"/>
      <c r="R1262" s="51" t="n"/>
      <c r="S1262" s="49" t="n"/>
      <c r="T1262" s="49" t="n"/>
      <c r="U1262" s="48">
        <f>IF(OR($B1262="",$K1262=""),"",WORKDAY($B1262,IFERROR(INDEX(CONFIG!$C$4:$C$43,MATCH($K1262,CONFIG!$A$4:$A$43,0)),3)))</f>
        <v/>
      </c>
      <c r="V1262" s="46" t="n"/>
      <c r="W1262" s="23">
        <f>IF($B1262="","",IF($V1262&lt;&gt;"",$V1262-$B1262,TODAY()-$B1262))</f>
        <v/>
      </c>
      <c r="X1262" s="27">
        <f>IF($C1262="","",IF(IFERROR(INDEX(CONFIG!$K$4:$K$43,MATCH($S1262,CONFIG!$J$4:$J$43,0)),"NO")="SÍ",IF(OR($V1262="",$U1262=""),"Resuelta",IF($V1262&gt;$U1262,"Resuelta tarde","Resuelta a tiempo")),IF($U1262="","Sin clasificar",IF(TODAY()&gt;$U1262,"Vencida",IF(TODAY()&gt;=$U1262-1,"Por vencer","En plazo")))))</f>
        <v/>
      </c>
      <c r="Y1262" s="49" t="n"/>
      <c r="Z1262" s="49" t="n"/>
    </row>
    <row r="1263" ht="16" customHeight="1">
      <c r="A1263" s="27">
        <f>IF($C1263="","","N-"&amp;TEXT(ROW()-3,"0000"))</f>
        <v/>
      </c>
      <c r="B1263" s="46" t="n"/>
      <c r="C1263" s="47" t="n"/>
      <c r="D1263" s="27">
        <f>IF($C1263="","",IF(COUNTIFS(ENVIOS!$A$4:$A$3003,$C1263)=0,"NO EXISTE",IF(COUNTIFS(ENVIOS!$A$4:$A$3003,$C1263)&gt;1,"DUPLICADA","OK")))</f>
        <v/>
      </c>
      <c r="E1263" s="22">
        <f>IF($C1263="","",IFERROR(INDEX(ENVIOS!$C$4:$C$3003,MATCH($C1263,ENVIOS!$A$4:$A$3003,0)),"—"))</f>
        <v/>
      </c>
      <c r="F1263" s="22">
        <f>IF($C1263="","",IFERROR(INDEX(ENVIOS!$D$4:$D$3003,MATCH($C1263,ENVIOS!$A$4:$A$3003,0)),"—"))</f>
        <v/>
      </c>
      <c r="G1263" s="22">
        <f>IF($C1263="","",IFERROR(INDEX(ENVIOS!$E$4:$E$3003,MATCH($C1263,ENVIOS!$A$4:$A$3003,0)),"—"))</f>
        <v/>
      </c>
      <c r="H1263" s="22">
        <f>IF($C1263="","",IFERROR(INDEX(ENVIOS!$F$4:$F$3003,MATCH($C1263,ENVIOS!$A$4:$A$3003,0)),"—"))</f>
        <v/>
      </c>
      <c r="I1263" s="27">
        <f>IF($C1263="","",IFERROR(INDEX(ENVIOS!$G$4:$G$3003,MATCH($C1263,ENVIOS!$A$4:$A$3003,0)),"—"))</f>
        <v/>
      </c>
      <c r="J1263" s="48">
        <f>IF($C1263="","",IFERROR(INDEX(ENVIOS!$B$4:$B$3003,MATCH($C1263,ENVIOS!$A$4:$A$3003,0)),""))</f>
        <v/>
      </c>
      <c r="K1263" s="49" t="n"/>
      <c r="L1263" s="27">
        <f>IF($K1263="","",IFERROR(INDEX(CONFIG!$B$4:$B$43,MATCH($K1263,CONFIG!$A$4:$A$43,0)),"Media"))</f>
        <v/>
      </c>
      <c r="M1263" s="27">
        <f>IF($K1263="","",IFERROR(INDEX(CONFIG!$D$4:$D$43,MATCH($K1263,CONFIG!$A$4:$A$43,0)),"NO"))</f>
        <v/>
      </c>
      <c r="N1263" s="49" t="n"/>
      <c r="O1263" s="27">
        <f>IF($N1263="","",IFERROR(INDEX(CONFIG!$G$4:$G$43,MATCH($N1263,CONFIG!$F$4:$F$43,0)),"Por definir"))</f>
        <v/>
      </c>
      <c r="P1263" s="27">
        <f>IF($N1263="","",IFERROR(INDEX(CONFIG!$H$4:$H$43,MATCH($N1263,CONFIG!$F$4:$F$43,0)),"Por definir"))</f>
        <v/>
      </c>
      <c r="Q1263" s="50" t="n"/>
      <c r="R1263" s="51" t="n"/>
      <c r="S1263" s="49" t="n"/>
      <c r="T1263" s="49" t="n"/>
      <c r="U1263" s="48">
        <f>IF(OR($B1263="",$K1263=""),"",WORKDAY($B1263,IFERROR(INDEX(CONFIG!$C$4:$C$43,MATCH($K1263,CONFIG!$A$4:$A$43,0)),3)))</f>
        <v/>
      </c>
      <c r="V1263" s="46" t="n"/>
      <c r="W1263" s="23">
        <f>IF($B1263="","",IF($V1263&lt;&gt;"",$V1263-$B1263,TODAY()-$B1263))</f>
        <v/>
      </c>
      <c r="X1263" s="27">
        <f>IF($C1263="","",IF(IFERROR(INDEX(CONFIG!$K$4:$K$43,MATCH($S1263,CONFIG!$J$4:$J$43,0)),"NO")="SÍ",IF(OR($V1263="",$U1263=""),"Resuelta",IF($V1263&gt;$U1263,"Resuelta tarde","Resuelta a tiempo")),IF($U1263="","Sin clasificar",IF(TODAY()&gt;$U1263,"Vencida",IF(TODAY()&gt;=$U1263-1,"Por vencer","En plazo")))))</f>
        <v/>
      </c>
      <c r="Y1263" s="49" t="n"/>
      <c r="Z1263" s="49" t="n"/>
    </row>
    <row r="1264" ht="16" customHeight="1">
      <c r="A1264" s="27">
        <f>IF($C1264="","","N-"&amp;TEXT(ROW()-3,"0000"))</f>
        <v/>
      </c>
      <c r="B1264" s="46" t="n"/>
      <c r="C1264" s="47" t="n"/>
      <c r="D1264" s="27">
        <f>IF($C1264="","",IF(COUNTIFS(ENVIOS!$A$4:$A$3003,$C1264)=0,"NO EXISTE",IF(COUNTIFS(ENVIOS!$A$4:$A$3003,$C1264)&gt;1,"DUPLICADA","OK")))</f>
        <v/>
      </c>
      <c r="E1264" s="22">
        <f>IF($C1264="","",IFERROR(INDEX(ENVIOS!$C$4:$C$3003,MATCH($C1264,ENVIOS!$A$4:$A$3003,0)),"—"))</f>
        <v/>
      </c>
      <c r="F1264" s="22">
        <f>IF($C1264="","",IFERROR(INDEX(ENVIOS!$D$4:$D$3003,MATCH($C1264,ENVIOS!$A$4:$A$3003,0)),"—"))</f>
        <v/>
      </c>
      <c r="G1264" s="22">
        <f>IF($C1264="","",IFERROR(INDEX(ENVIOS!$E$4:$E$3003,MATCH($C1264,ENVIOS!$A$4:$A$3003,0)),"—"))</f>
        <v/>
      </c>
      <c r="H1264" s="22">
        <f>IF($C1264="","",IFERROR(INDEX(ENVIOS!$F$4:$F$3003,MATCH($C1264,ENVIOS!$A$4:$A$3003,0)),"—"))</f>
        <v/>
      </c>
      <c r="I1264" s="27">
        <f>IF($C1264="","",IFERROR(INDEX(ENVIOS!$G$4:$G$3003,MATCH($C1264,ENVIOS!$A$4:$A$3003,0)),"—"))</f>
        <v/>
      </c>
      <c r="J1264" s="48">
        <f>IF($C1264="","",IFERROR(INDEX(ENVIOS!$B$4:$B$3003,MATCH($C1264,ENVIOS!$A$4:$A$3003,0)),""))</f>
        <v/>
      </c>
      <c r="K1264" s="49" t="n"/>
      <c r="L1264" s="27">
        <f>IF($K1264="","",IFERROR(INDEX(CONFIG!$B$4:$B$43,MATCH($K1264,CONFIG!$A$4:$A$43,0)),"Media"))</f>
        <v/>
      </c>
      <c r="M1264" s="27">
        <f>IF($K1264="","",IFERROR(INDEX(CONFIG!$D$4:$D$43,MATCH($K1264,CONFIG!$A$4:$A$43,0)),"NO"))</f>
        <v/>
      </c>
      <c r="N1264" s="49" t="n"/>
      <c r="O1264" s="27">
        <f>IF($N1264="","",IFERROR(INDEX(CONFIG!$G$4:$G$43,MATCH($N1264,CONFIG!$F$4:$F$43,0)),"Por definir"))</f>
        <v/>
      </c>
      <c r="P1264" s="27">
        <f>IF($N1264="","",IFERROR(INDEX(CONFIG!$H$4:$H$43,MATCH($N1264,CONFIG!$F$4:$F$43,0)),"Por definir"))</f>
        <v/>
      </c>
      <c r="Q1264" s="50" t="n"/>
      <c r="R1264" s="51" t="n"/>
      <c r="S1264" s="49" t="n"/>
      <c r="T1264" s="49" t="n"/>
      <c r="U1264" s="48">
        <f>IF(OR($B1264="",$K1264=""),"",WORKDAY($B1264,IFERROR(INDEX(CONFIG!$C$4:$C$43,MATCH($K1264,CONFIG!$A$4:$A$43,0)),3)))</f>
        <v/>
      </c>
      <c r="V1264" s="46" t="n"/>
      <c r="W1264" s="23">
        <f>IF($B1264="","",IF($V1264&lt;&gt;"",$V1264-$B1264,TODAY()-$B1264))</f>
        <v/>
      </c>
      <c r="X1264" s="27">
        <f>IF($C1264="","",IF(IFERROR(INDEX(CONFIG!$K$4:$K$43,MATCH($S1264,CONFIG!$J$4:$J$43,0)),"NO")="SÍ",IF(OR($V1264="",$U1264=""),"Resuelta",IF($V1264&gt;$U1264,"Resuelta tarde","Resuelta a tiempo")),IF($U1264="","Sin clasificar",IF(TODAY()&gt;$U1264,"Vencida",IF(TODAY()&gt;=$U1264-1,"Por vencer","En plazo")))))</f>
        <v/>
      </c>
      <c r="Y1264" s="49" t="n"/>
      <c r="Z1264" s="49" t="n"/>
    </row>
    <row r="1265" ht="16" customHeight="1">
      <c r="A1265" s="27">
        <f>IF($C1265="","","N-"&amp;TEXT(ROW()-3,"0000"))</f>
        <v/>
      </c>
      <c r="B1265" s="46" t="n"/>
      <c r="C1265" s="47" t="n"/>
      <c r="D1265" s="27">
        <f>IF($C1265="","",IF(COUNTIFS(ENVIOS!$A$4:$A$3003,$C1265)=0,"NO EXISTE",IF(COUNTIFS(ENVIOS!$A$4:$A$3003,$C1265)&gt;1,"DUPLICADA","OK")))</f>
        <v/>
      </c>
      <c r="E1265" s="22">
        <f>IF($C1265="","",IFERROR(INDEX(ENVIOS!$C$4:$C$3003,MATCH($C1265,ENVIOS!$A$4:$A$3003,0)),"—"))</f>
        <v/>
      </c>
      <c r="F1265" s="22">
        <f>IF($C1265="","",IFERROR(INDEX(ENVIOS!$D$4:$D$3003,MATCH($C1265,ENVIOS!$A$4:$A$3003,0)),"—"))</f>
        <v/>
      </c>
      <c r="G1265" s="22">
        <f>IF($C1265="","",IFERROR(INDEX(ENVIOS!$E$4:$E$3003,MATCH($C1265,ENVIOS!$A$4:$A$3003,0)),"—"))</f>
        <v/>
      </c>
      <c r="H1265" s="22">
        <f>IF($C1265="","",IFERROR(INDEX(ENVIOS!$F$4:$F$3003,MATCH($C1265,ENVIOS!$A$4:$A$3003,0)),"—"))</f>
        <v/>
      </c>
      <c r="I1265" s="27">
        <f>IF($C1265="","",IFERROR(INDEX(ENVIOS!$G$4:$G$3003,MATCH($C1265,ENVIOS!$A$4:$A$3003,0)),"—"))</f>
        <v/>
      </c>
      <c r="J1265" s="48">
        <f>IF($C1265="","",IFERROR(INDEX(ENVIOS!$B$4:$B$3003,MATCH($C1265,ENVIOS!$A$4:$A$3003,0)),""))</f>
        <v/>
      </c>
      <c r="K1265" s="49" t="n"/>
      <c r="L1265" s="27">
        <f>IF($K1265="","",IFERROR(INDEX(CONFIG!$B$4:$B$43,MATCH($K1265,CONFIG!$A$4:$A$43,0)),"Media"))</f>
        <v/>
      </c>
      <c r="M1265" s="27">
        <f>IF($K1265="","",IFERROR(INDEX(CONFIG!$D$4:$D$43,MATCH($K1265,CONFIG!$A$4:$A$43,0)),"NO"))</f>
        <v/>
      </c>
      <c r="N1265" s="49" t="n"/>
      <c r="O1265" s="27">
        <f>IF($N1265="","",IFERROR(INDEX(CONFIG!$G$4:$G$43,MATCH($N1265,CONFIG!$F$4:$F$43,0)),"Por definir"))</f>
        <v/>
      </c>
      <c r="P1265" s="27">
        <f>IF($N1265="","",IFERROR(INDEX(CONFIG!$H$4:$H$43,MATCH($N1265,CONFIG!$F$4:$F$43,0)),"Por definir"))</f>
        <v/>
      </c>
      <c r="Q1265" s="50" t="n"/>
      <c r="R1265" s="51" t="n"/>
      <c r="S1265" s="49" t="n"/>
      <c r="T1265" s="49" t="n"/>
      <c r="U1265" s="48">
        <f>IF(OR($B1265="",$K1265=""),"",WORKDAY($B1265,IFERROR(INDEX(CONFIG!$C$4:$C$43,MATCH($K1265,CONFIG!$A$4:$A$43,0)),3)))</f>
        <v/>
      </c>
      <c r="V1265" s="46" t="n"/>
      <c r="W1265" s="23">
        <f>IF($B1265="","",IF($V1265&lt;&gt;"",$V1265-$B1265,TODAY()-$B1265))</f>
        <v/>
      </c>
      <c r="X1265" s="27">
        <f>IF($C1265="","",IF(IFERROR(INDEX(CONFIG!$K$4:$K$43,MATCH($S1265,CONFIG!$J$4:$J$43,0)),"NO")="SÍ",IF(OR($V1265="",$U1265=""),"Resuelta",IF($V1265&gt;$U1265,"Resuelta tarde","Resuelta a tiempo")),IF($U1265="","Sin clasificar",IF(TODAY()&gt;$U1265,"Vencida",IF(TODAY()&gt;=$U1265-1,"Por vencer","En plazo")))))</f>
        <v/>
      </c>
      <c r="Y1265" s="49" t="n"/>
      <c r="Z1265" s="49" t="n"/>
    </row>
    <row r="1266" ht="16" customHeight="1">
      <c r="A1266" s="27">
        <f>IF($C1266="","","N-"&amp;TEXT(ROW()-3,"0000"))</f>
        <v/>
      </c>
      <c r="B1266" s="46" t="n"/>
      <c r="C1266" s="47" t="n"/>
      <c r="D1266" s="27">
        <f>IF($C1266="","",IF(COUNTIFS(ENVIOS!$A$4:$A$3003,$C1266)=0,"NO EXISTE",IF(COUNTIFS(ENVIOS!$A$4:$A$3003,$C1266)&gt;1,"DUPLICADA","OK")))</f>
        <v/>
      </c>
      <c r="E1266" s="22">
        <f>IF($C1266="","",IFERROR(INDEX(ENVIOS!$C$4:$C$3003,MATCH($C1266,ENVIOS!$A$4:$A$3003,0)),"—"))</f>
        <v/>
      </c>
      <c r="F1266" s="22">
        <f>IF($C1266="","",IFERROR(INDEX(ENVIOS!$D$4:$D$3003,MATCH($C1266,ENVIOS!$A$4:$A$3003,0)),"—"))</f>
        <v/>
      </c>
      <c r="G1266" s="22">
        <f>IF($C1266="","",IFERROR(INDEX(ENVIOS!$E$4:$E$3003,MATCH($C1266,ENVIOS!$A$4:$A$3003,0)),"—"))</f>
        <v/>
      </c>
      <c r="H1266" s="22">
        <f>IF($C1266="","",IFERROR(INDEX(ENVIOS!$F$4:$F$3003,MATCH($C1266,ENVIOS!$A$4:$A$3003,0)),"—"))</f>
        <v/>
      </c>
      <c r="I1266" s="27">
        <f>IF($C1266="","",IFERROR(INDEX(ENVIOS!$G$4:$G$3003,MATCH($C1266,ENVIOS!$A$4:$A$3003,0)),"—"))</f>
        <v/>
      </c>
      <c r="J1266" s="48">
        <f>IF($C1266="","",IFERROR(INDEX(ENVIOS!$B$4:$B$3003,MATCH($C1266,ENVIOS!$A$4:$A$3003,0)),""))</f>
        <v/>
      </c>
      <c r="K1266" s="49" t="n"/>
      <c r="L1266" s="27">
        <f>IF($K1266="","",IFERROR(INDEX(CONFIG!$B$4:$B$43,MATCH($K1266,CONFIG!$A$4:$A$43,0)),"Media"))</f>
        <v/>
      </c>
      <c r="M1266" s="27">
        <f>IF($K1266="","",IFERROR(INDEX(CONFIG!$D$4:$D$43,MATCH($K1266,CONFIG!$A$4:$A$43,0)),"NO"))</f>
        <v/>
      </c>
      <c r="N1266" s="49" t="n"/>
      <c r="O1266" s="27">
        <f>IF($N1266="","",IFERROR(INDEX(CONFIG!$G$4:$G$43,MATCH($N1266,CONFIG!$F$4:$F$43,0)),"Por definir"))</f>
        <v/>
      </c>
      <c r="P1266" s="27">
        <f>IF($N1266="","",IFERROR(INDEX(CONFIG!$H$4:$H$43,MATCH($N1266,CONFIG!$F$4:$F$43,0)),"Por definir"))</f>
        <v/>
      </c>
      <c r="Q1266" s="50" t="n"/>
      <c r="R1266" s="51" t="n"/>
      <c r="S1266" s="49" t="n"/>
      <c r="T1266" s="49" t="n"/>
      <c r="U1266" s="48">
        <f>IF(OR($B1266="",$K1266=""),"",WORKDAY($B1266,IFERROR(INDEX(CONFIG!$C$4:$C$43,MATCH($K1266,CONFIG!$A$4:$A$43,0)),3)))</f>
        <v/>
      </c>
      <c r="V1266" s="46" t="n"/>
      <c r="W1266" s="23">
        <f>IF($B1266="","",IF($V1266&lt;&gt;"",$V1266-$B1266,TODAY()-$B1266))</f>
        <v/>
      </c>
      <c r="X1266" s="27">
        <f>IF($C1266="","",IF(IFERROR(INDEX(CONFIG!$K$4:$K$43,MATCH($S1266,CONFIG!$J$4:$J$43,0)),"NO")="SÍ",IF(OR($V1266="",$U1266=""),"Resuelta",IF($V1266&gt;$U1266,"Resuelta tarde","Resuelta a tiempo")),IF($U1266="","Sin clasificar",IF(TODAY()&gt;$U1266,"Vencida",IF(TODAY()&gt;=$U1266-1,"Por vencer","En plazo")))))</f>
        <v/>
      </c>
      <c r="Y1266" s="49" t="n"/>
      <c r="Z1266" s="49" t="n"/>
    </row>
    <row r="1267" ht="16" customHeight="1">
      <c r="A1267" s="27">
        <f>IF($C1267="","","N-"&amp;TEXT(ROW()-3,"0000"))</f>
        <v/>
      </c>
      <c r="B1267" s="46" t="n"/>
      <c r="C1267" s="47" t="n"/>
      <c r="D1267" s="27">
        <f>IF($C1267="","",IF(COUNTIFS(ENVIOS!$A$4:$A$3003,$C1267)=0,"NO EXISTE",IF(COUNTIFS(ENVIOS!$A$4:$A$3003,$C1267)&gt;1,"DUPLICADA","OK")))</f>
        <v/>
      </c>
      <c r="E1267" s="22">
        <f>IF($C1267="","",IFERROR(INDEX(ENVIOS!$C$4:$C$3003,MATCH($C1267,ENVIOS!$A$4:$A$3003,0)),"—"))</f>
        <v/>
      </c>
      <c r="F1267" s="22">
        <f>IF($C1267="","",IFERROR(INDEX(ENVIOS!$D$4:$D$3003,MATCH($C1267,ENVIOS!$A$4:$A$3003,0)),"—"))</f>
        <v/>
      </c>
      <c r="G1267" s="22">
        <f>IF($C1267="","",IFERROR(INDEX(ENVIOS!$E$4:$E$3003,MATCH($C1267,ENVIOS!$A$4:$A$3003,0)),"—"))</f>
        <v/>
      </c>
      <c r="H1267" s="22">
        <f>IF($C1267="","",IFERROR(INDEX(ENVIOS!$F$4:$F$3003,MATCH($C1267,ENVIOS!$A$4:$A$3003,0)),"—"))</f>
        <v/>
      </c>
      <c r="I1267" s="27">
        <f>IF($C1267="","",IFERROR(INDEX(ENVIOS!$G$4:$G$3003,MATCH($C1267,ENVIOS!$A$4:$A$3003,0)),"—"))</f>
        <v/>
      </c>
      <c r="J1267" s="48">
        <f>IF($C1267="","",IFERROR(INDEX(ENVIOS!$B$4:$B$3003,MATCH($C1267,ENVIOS!$A$4:$A$3003,0)),""))</f>
        <v/>
      </c>
      <c r="K1267" s="49" t="n"/>
      <c r="L1267" s="27">
        <f>IF($K1267="","",IFERROR(INDEX(CONFIG!$B$4:$B$43,MATCH($K1267,CONFIG!$A$4:$A$43,0)),"Media"))</f>
        <v/>
      </c>
      <c r="M1267" s="27">
        <f>IF($K1267="","",IFERROR(INDEX(CONFIG!$D$4:$D$43,MATCH($K1267,CONFIG!$A$4:$A$43,0)),"NO"))</f>
        <v/>
      </c>
      <c r="N1267" s="49" t="n"/>
      <c r="O1267" s="27">
        <f>IF($N1267="","",IFERROR(INDEX(CONFIG!$G$4:$G$43,MATCH($N1267,CONFIG!$F$4:$F$43,0)),"Por definir"))</f>
        <v/>
      </c>
      <c r="P1267" s="27">
        <f>IF($N1267="","",IFERROR(INDEX(CONFIG!$H$4:$H$43,MATCH($N1267,CONFIG!$F$4:$F$43,0)),"Por definir"))</f>
        <v/>
      </c>
      <c r="Q1267" s="50" t="n"/>
      <c r="R1267" s="51" t="n"/>
      <c r="S1267" s="49" t="n"/>
      <c r="T1267" s="49" t="n"/>
      <c r="U1267" s="48">
        <f>IF(OR($B1267="",$K1267=""),"",WORKDAY($B1267,IFERROR(INDEX(CONFIG!$C$4:$C$43,MATCH($K1267,CONFIG!$A$4:$A$43,0)),3)))</f>
        <v/>
      </c>
      <c r="V1267" s="46" t="n"/>
      <c r="W1267" s="23">
        <f>IF($B1267="","",IF($V1267&lt;&gt;"",$V1267-$B1267,TODAY()-$B1267))</f>
        <v/>
      </c>
      <c r="X1267" s="27">
        <f>IF($C1267="","",IF(IFERROR(INDEX(CONFIG!$K$4:$K$43,MATCH($S1267,CONFIG!$J$4:$J$43,0)),"NO")="SÍ",IF(OR($V1267="",$U1267=""),"Resuelta",IF($V1267&gt;$U1267,"Resuelta tarde","Resuelta a tiempo")),IF($U1267="","Sin clasificar",IF(TODAY()&gt;$U1267,"Vencida",IF(TODAY()&gt;=$U1267-1,"Por vencer","En plazo")))))</f>
        <v/>
      </c>
      <c r="Y1267" s="49" t="n"/>
      <c r="Z1267" s="49" t="n"/>
    </row>
    <row r="1268" ht="16" customHeight="1">
      <c r="A1268" s="27">
        <f>IF($C1268="","","N-"&amp;TEXT(ROW()-3,"0000"))</f>
        <v/>
      </c>
      <c r="B1268" s="46" t="n"/>
      <c r="C1268" s="47" t="n"/>
      <c r="D1268" s="27">
        <f>IF($C1268="","",IF(COUNTIFS(ENVIOS!$A$4:$A$3003,$C1268)=0,"NO EXISTE",IF(COUNTIFS(ENVIOS!$A$4:$A$3003,$C1268)&gt;1,"DUPLICADA","OK")))</f>
        <v/>
      </c>
      <c r="E1268" s="22">
        <f>IF($C1268="","",IFERROR(INDEX(ENVIOS!$C$4:$C$3003,MATCH($C1268,ENVIOS!$A$4:$A$3003,0)),"—"))</f>
        <v/>
      </c>
      <c r="F1268" s="22">
        <f>IF($C1268="","",IFERROR(INDEX(ENVIOS!$D$4:$D$3003,MATCH($C1268,ENVIOS!$A$4:$A$3003,0)),"—"))</f>
        <v/>
      </c>
      <c r="G1268" s="22">
        <f>IF($C1268="","",IFERROR(INDEX(ENVIOS!$E$4:$E$3003,MATCH($C1268,ENVIOS!$A$4:$A$3003,0)),"—"))</f>
        <v/>
      </c>
      <c r="H1268" s="22">
        <f>IF($C1268="","",IFERROR(INDEX(ENVIOS!$F$4:$F$3003,MATCH($C1268,ENVIOS!$A$4:$A$3003,0)),"—"))</f>
        <v/>
      </c>
      <c r="I1268" s="27">
        <f>IF($C1268="","",IFERROR(INDEX(ENVIOS!$G$4:$G$3003,MATCH($C1268,ENVIOS!$A$4:$A$3003,0)),"—"))</f>
        <v/>
      </c>
      <c r="J1268" s="48">
        <f>IF($C1268="","",IFERROR(INDEX(ENVIOS!$B$4:$B$3003,MATCH($C1268,ENVIOS!$A$4:$A$3003,0)),""))</f>
        <v/>
      </c>
      <c r="K1268" s="49" t="n"/>
      <c r="L1268" s="27">
        <f>IF($K1268="","",IFERROR(INDEX(CONFIG!$B$4:$B$43,MATCH($K1268,CONFIG!$A$4:$A$43,0)),"Media"))</f>
        <v/>
      </c>
      <c r="M1268" s="27">
        <f>IF($K1268="","",IFERROR(INDEX(CONFIG!$D$4:$D$43,MATCH($K1268,CONFIG!$A$4:$A$43,0)),"NO"))</f>
        <v/>
      </c>
      <c r="N1268" s="49" t="n"/>
      <c r="O1268" s="27">
        <f>IF($N1268="","",IFERROR(INDEX(CONFIG!$G$4:$G$43,MATCH($N1268,CONFIG!$F$4:$F$43,0)),"Por definir"))</f>
        <v/>
      </c>
      <c r="P1268" s="27">
        <f>IF($N1268="","",IFERROR(INDEX(CONFIG!$H$4:$H$43,MATCH($N1268,CONFIG!$F$4:$F$43,0)),"Por definir"))</f>
        <v/>
      </c>
      <c r="Q1268" s="50" t="n"/>
      <c r="R1268" s="51" t="n"/>
      <c r="S1268" s="49" t="n"/>
      <c r="T1268" s="49" t="n"/>
      <c r="U1268" s="48">
        <f>IF(OR($B1268="",$K1268=""),"",WORKDAY($B1268,IFERROR(INDEX(CONFIG!$C$4:$C$43,MATCH($K1268,CONFIG!$A$4:$A$43,0)),3)))</f>
        <v/>
      </c>
      <c r="V1268" s="46" t="n"/>
      <c r="W1268" s="23">
        <f>IF($B1268="","",IF($V1268&lt;&gt;"",$V1268-$B1268,TODAY()-$B1268))</f>
        <v/>
      </c>
      <c r="X1268" s="27">
        <f>IF($C1268="","",IF(IFERROR(INDEX(CONFIG!$K$4:$K$43,MATCH($S1268,CONFIG!$J$4:$J$43,0)),"NO")="SÍ",IF(OR($V1268="",$U1268=""),"Resuelta",IF($V1268&gt;$U1268,"Resuelta tarde","Resuelta a tiempo")),IF($U1268="","Sin clasificar",IF(TODAY()&gt;$U1268,"Vencida",IF(TODAY()&gt;=$U1268-1,"Por vencer","En plazo")))))</f>
        <v/>
      </c>
      <c r="Y1268" s="49" t="n"/>
      <c r="Z1268" s="49" t="n"/>
    </row>
    <row r="1269" ht="16" customHeight="1">
      <c r="A1269" s="27">
        <f>IF($C1269="","","N-"&amp;TEXT(ROW()-3,"0000"))</f>
        <v/>
      </c>
      <c r="B1269" s="46" t="n"/>
      <c r="C1269" s="47" t="n"/>
      <c r="D1269" s="27">
        <f>IF($C1269="","",IF(COUNTIFS(ENVIOS!$A$4:$A$3003,$C1269)=0,"NO EXISTE",IF(COUNTIFS(ENVIOS!$A$4:$A$3003,$C1269)&gt;1,"DUPLICADA","OK")))</f>
        <v/>
      </c>
      <c r="E1269" s="22">
        <f>IF($C1269="","",IFERROR(INDEX(ENVIOS!$C$4:$C$3003,MATCH($C1269,ENVIOS!$A$4:$A$3003,0)),"—"))</f>
        <v/>
      </c>
      <c r="F1269" s="22">
        <f>IF($C1269="","",IFERROR(INDEX(ENVIOS!$D$4:$D$3003,MATCH($C1269,ENVIOS!$A$4:$A$3003,0)),"—"))</f>
        <v/>
      </c>
      <c r="G1269" s="22">
        <f>IF($C1269="","",IFERROR(INDEX(ENVIOS!$E$4:$E$3003,MATCH($C1269,ENVIOS!$A$4:$A$3003,0)),"—"))</f>
        <v/>
      </c>
      <c r="H1269" s="22">
        <f>IF($C1269="","",IFERROR(INDEX(ENVIOS!$F$4:$F$3003,MATCH($C1269,ENVIOS!$A$4:$A$3003,0)),"—"))</f>
        <v/>
      </c>
      <c r="I1269" s="27">
        <f>IF($C1269="","",IFERROR(INDEX(ENVIOS!$G$4:$G$3003,MATCH($C1269,ENVIOS!$A$4:$A$3003,0)),"—"))</f>
        <v/>
      </c>
      <c r="J1269" s="48">
        <f>IF($C1269="","",IFERROR(INDEX(ENVIOS!$B$4:$B$3003,MATCH($C1269,ENVIOS!$A$4:$A$3003,0)),""))</f>
        <v/>
      </c>
      <c r="K1269" s="49" t="n"/>
      <c r="L1269" s="27">
        <f>IF($K1269="","",IFERROR(INDEX(CONFIG!$B$4:$B$43,MATCH($K1269,CONFIG!$A$4:$A$43,0)),"Media"))</f>
        <v/>
      </c>
      <c r="M1269" s="27">
        <f>IF($K1269="","",IFERROR(INDEX(CONFIG!$D$4:$D$43,MATCH($K1269,CONFIG!$A$4:$A$43,0)),"NO"))</f>
        <v/>
      </c>
      <c r="N1269" s="49" t="n"/>
      <c r="O1269" s="27">
        <f>IF($N1269="","",IFERROR(INDEX(CONFIG!$G$4:$G$43,MATCH($N1269,CONFIG!$F$4:$F$43,0)),"Por definir"))</f>
        <v/>
      </c>
      <c r="P1269" s="27">
        <f>IF($N1269="","",IFERROR(INDEX(CONFIG!$H$4:$H$43,MATCH($N1269,CONFIG!$F$4:$F$43,0)),"Por definir"))</f>
        <v/>
      </c>
      <c r="Q1269" s="50" t="n"/>
      <c r="R1269" s="51" t="n"/>
      <c r="S1269" s="49" t="n"/>
      <c r="T1269" s="49" t="n"/>
      <c r="U1269" s="48">
        <f>IF(OR($B1269="",$K1269=""),"",WORKDAY($B1269,IFERROR(INDEX(CONFIG!$C$4:$C$43,MATCH($K1269,CONFIG!$A$4:$A$43,0)),3)))</f>
        <v/>
      </c>
      <c r="V1269" s="46" t="n"/>
      <c r="W1269" s="23">
        <f>IF($B1269="","",IF($V1269&lt;&gt;"",$V1269-$B1269,TODAY()-$B1269))</f>
        <v/>
      </c>
      <c r="X1269" s="27">
        <f>IF($C1269="","",IF(IFERROR(INDEX(CONFIG!$K$4:$K$43,MATCH($S1269,CONFIG!$J$4:$J$43,0)),"NO")="SÍ",IF(OR($V1269="",$U1269=""),"Resuelta",IF($V1269&gt;$U1269,"Resuelta tarde","Resuelta a tiempo")),IF($U1269="","Sin clasificar",IF(TODAY()&gt;$U1269,"Vencida",IF(TODAY()&gt;=$U1269-1,"Por vencer","En plazo")))))</f>
        <v/>
      </c>
      <c r="Y1269" s="49" t="n"/>
      <c r="Z1269" s="49" t="n"/>
    </row>
    <row r="1270" ht="16" customHeight="1">
      <c r="A1270" s="27">
        <f>IF($C1270="","","N-"&amp;TEXT(ROW()-3,"0000"))</f>
        <v/>
      </c>
      <c r="B1270" s="46" t="n"/>
      <c r="C1270" s="47" t="n"/>
      <c r="D1270" s="27">
        <f>IF($C1270="","",IF(COUNTIFS(ENVIOS!$A$4:$A$3003,$C1270)=0,"NO EXISTE",IF(COUNTIFS(ENVIOS!$A$4:$A$3003,$C1270)&gt;1,"DUPLICADA","OK")))</f>
        <v/>
      </c>
      <c r="E1270" s="22">
        <f>IF($C1270="","",IFERROR(INDEX(ENVIOS!$C$4:$C$3003,MATCH($C1270,ENVIOS!$A$4:$A$3003,0)),"—"))</f>
        <v/>
      </c>
      <c r="F1270" s="22">
        <f>IF($C1270="","",IFERROR(INDEX(ENVIOS!$D$4:$D$3003,MATCH($C1270,ENVIOS!$A$4:$A$3003,0)),"—"))</f>
        <v/>
      </c>
      <c r="G1270" s="22">
        <f>IF($C1270="","",IFERROR(INDEX(ENVIOS!$E$4:$E$3003,MATCH($C1270,ENVIOS!$A$4:$A$3003,0)),"—"))</f>
        <v/>
      </c>
      <c r="H1270" s="22">
        <f>IF($C1270="","",IFERROR(INDEX(ENVIOS!$F$4:$F$3003,MATCH($C1270,ENVIOS!$A$4:$A$3003,0)),"—"))</f>
        <v/>
      </c>
      <c r="I1270" s="27">
        <f>IF($C1270="","",IFERROR(INDEX(ENVIOS!$G$4:$G$3003,MATCH($C1270,ENVIOS!$A$4:$A$3003,0)),"—"))</f>
        <v/>
      </c>
      <c r="J1270" s="48">
        <f>IF($C1270="","",IFERROR(INDEX(ENVIOS!$B$4:$B$3003,MATCH($C1270,ENVIOS!$A$4:$A$3003,0)),""))</f>
        <v/>
      </c>
      <c r="K1270" s="49" t="n"/>
      <c r="L1270" s="27">
        <f>IF($K1270="","",IFERROR(INDEX(CONFIG!$B$4:$B$43,MATCH($K1270,CONFIG!$A$4:$A$43,0)),"Media"))</f>
        <v/>
      </c>
      <c r="M1270" s="27">
        <f>IF($K1270="","",IFERROR(INDEX(CONFIG!$D$4:$D$43,MATCH($K1270,CONFIG!$A$4:$A$43,0)),"NO"))</f>
        <v/>
      </c>
      <c r="N1270" s="49" t="n"/>
      <c r="O1270" s="27">
        <f>IF($N1270="","",IFERROR(INDEX(CONFIG!$G$4:$G$43,MATCH($N1270,CONFIG!$F$4:$F$43,0)),"Por definir"))</f>
        <v/>
      </c>
      <c r="P1270" s="27">
        <f>IF($N1270="","",IFERROR(INDEX(CONFIG!$H$4:$H$43,MATCH($N1270,CONFIG!$F$4:$F$43,0)),"Por definir"))</f>
        <v/>
      </c>
      <c r="Q1270" s="50" t="n"/>
      <c r="R1270" s="51" t="n"/>
      <c r="S1270" s="49" t="n"/>
      <c r="T1270" s="49" t="n"/>
      <c r="U1270" s="48">
        <f>IF(OR($B1270="",$K1270=""),"",WORKDAY($B1270,IFERROR(INDEX(CONFIG!$C$4:$C$43,MATCH($K1270,CONFIG!$A$4:$A$43,0)),3)))</f>
        <v/>
      </c>
      <c r="V1270" s="46" t="n"/>
      <c r="W1270" s="23">
        <f>IF($B1270="","",IF($V1270&lt;&gt;"",$V1270-$B1270,TODAY()-$B1270))</f>
        <v/>
      </c>
      <c r="X1270" s="27">
        <f>IF($C1270="","",IF(IFERROR(INDEX(CONFIG!$K$4:$K$43,MATCH($S1270,CONFIG!$J$4:$J$43,0)),"NO")="SÍ",IF(OR($V1270="",$U1270=""),"Resuelta",IF($V1270&gt;$U1270,"Resuelta tarde","Resuelta a tiempo")),IF($U1270="","Sin clasificar",IF(TODAY()&gt;$U1270,"Vencida",IF(TODAY()&gt;=$U1270-1,"Por vencer","En plazo")))))</f>
        <v/>
      </c>
      <c r="Y1270" s="49" t="n"/>
      <c r="Z1270" s="49" t="n"/>
    </row>
    <row r="1271" ht="16" customHeight="1">
      <c r="A1271" s="27">
        <f>IF($C1271="","","N-"&amp;TEXT(ROW()-3,"0000"))</f>
        <v/>
      </c>
      <c r="B1271" s="46" t="n"/>
      <c r="C1271" s="47" t="n"/>
      <c r="D1271" s="27">
        <f>IF($C1271="","",IF(COUNTIFS(ENVIOS!$A$4:$A$3003,$C1271)=0,"NO EXISTE",IF(COUNTIFS(ENVIOS!$A$4:$A$3003,$C1271)&gt;1,"DUPLICADA","OK")))</f>
        <v/>
      </c>
      <c r="E1271" s="22">
        <f>IF($C1271="","",IFERROR(INDEX(ENVIOS!$C$4:$C$3003,MATCH($C1271,ENVIOS!$A$4:$A$3003,0)),"—"))</f>
        <v/>
      </c>
      <c r="F1271" s="22">
        <f>IF($C1271="","",IFERROR(INDEX(ENVIOS!$D$4:$D$3003,MATCH($C1271,ENVIOS!$A$4:$A$3003,0)),"—"))</f>
        <v/>
      </c>
      <c r="G1271" s="22">
        <f>IF($C1271="","",IFERROR(INDEX(ENVIOS!$E$4:$E$3003,MATCH($C1271,ENVIOS!$A$4:$A$3003,0)),"—"))</f>
        <v/>
      </c>
      <c r="H1271" s="22">
        <f>IF($C1271="","",IFERROR(INDEX(ENVIOS!$F$4:$F$3003,MATCH($C1271,ENVIOS!$A$4:$A$3003,0)),"—"))</f>
        <v/>
      </c>
      <c r="I1271" s="27">
        <f>IF($C1271="","",IFERROR(INDEX(ENVIOS!$G$4:$G$3003,MATCH($C1271,ENVIOS!$A$4:$A$3003,0)),"—"))</f>
        <v/>
      </c>
      <c r="J1271" s="48">
        <f>IF($C1271="","",IFERROR(INDEX(ENVIOS!$B$4:$B$3003,MATCH($C1271,ENVIOS!$A$4:$A$3003,0)),""))</f>
        <v/>
      </c>
      <c r="K1271" s="49" t="n"/>
      <c r="L1271" s="27">
        <f>IF($K1271="","",IFERROR(INDEX(CONFIG!$B$4:$B$43,MATCH($K1271,CONFIG!$A$4:$A$43,0)),"Media"))</f>
        <v/>
      </c>
      <c r="M1271" s="27">
        <f>IF($K1271="","",IFERROR(INDEX(CONFIG!$D$4:$D$43,MATCH($K1271,CONFIG!$A$4:$A$43,0)),"NO"))</f>
        <v/>
      </c>
      <c r="N1271" s="49" t="n"/>
      <c r="O1271" s="27">
        <f>IF($N1271="","",IFERROR(INDEX(CONFIG!$G$4:$G$43,MATCH($N1271,CONFIG!$F$4:$F$43,0)),"Por definir"))</f>
        <v/>
      </c>
      <c r="P1271" s="27">
        <f>IF($N1271="","",IFERROR(INDEX(CONFIG!$H$4:$H$43,MATCH($N1271,CONFIG!$F$4:$F$43,0)),"Por definir"))</f>
        <v/>
      </c>
      <c r="Q1271" s="50" t="n"/>
      <c r="R1271" s="51" t="n"/>
      <c r="S1271" s="49" t="n"/>
      <c r="T1271" s="49" t="n"/>
      <c r="U1271" s="48">
        <f>IF(OR($B1271="",$K1271=""),"",WORKDAY($B1271,IFERROR(INDEX(CONFIG!$C$4:$C$43,MATCH($K1271,CONFIG!$A$4:$A$43,0)),3)))</f>
        <v/>
      </c>
      <c r="V1271" s="46" t="n"/>
      <c r="W1271" s="23">
        <f>IF($B1271="","",IF($V1271&lt;&gt;"",$V1271-$B1271,TODAY()-$B1271))</f>
        <v/>
      </c>
      <c r="X1271" s="27">
        <f>IF($C1271="","",IF(IFERROR(INDEX(CONFIG!$K$4:$K$43,MATCH($S1271,CONFIG!$J$4:$J$43,0)),"NO")="SÍ",IF(OR($V1271="",$U1271=""),"Resuelta",IF($V1271&gt;$U1271,"Resuelta tarde","Resuelta a tiempo")),IF($U1271="","Sin clasificar",IF(TODAY()&gt;$U1271,"Vencida",IF(TODAY()&gt;=$U1271-1,"Por vencer","En plazo")))))</f>
        <v/>
      </c>
      <c r="Y1271" s="49" t="n"/>
      <c r="Z1271" s="49" t="n"/>
    </row>
    <row r="1272" ht="16" customHeight="1">
      <c r="A1272" s="27">
        <f>IF($C1272="","","N-"&amp;TEXT(ROW()-3,"0000"))</f>
        <v/>
      </c>
      <c r="B1272" s="46" t="n"/>
      <c r="C1272" s="47" t="n"/>
      <c r="D1272" s="27">
        <f>IF($C1272="","",IF(COUNTIFS(ENVIOS!$A$4:$A$3003,$C1272)=0,"NO EXISTE",IF(COUNTIFS(ENVIOS!$A$4:$A$3003,$C1272)&gt;1,"DUPLICADA","OK")))</f>
        <v/>
      </c>
      <c r="E1272" s="22">
        <f>IF($C1272="","",IFERROR(INDEX(ENVIOS!$C$4:$C$3003,MATCH($C1272,ENVIOS!$A$4:$A$3003,0)),"—"))</f>
        <v/>
      </c>
      <c r="F1272" s="22">
        <f>IF($C1272="","",IFERROR(INDEX(ENVIOS!$D$4:$D$3003,MATCH($C1272,ENVIOS!$A$4:$A$3003,0)),"—"))</f>
        <v/>
      </c>
      <c r="G1272" s="22">
        <f>IF($C1272="","",IFERROR(INDEX(ENVIOS!$E$4:$E$3003,MATCH($C1272,ENVIOS!$A$4:$A$3003,0)),"—"))</f>
        <v/>
      </c>
      <c r="H1272" s="22">
        <f>IF($C1272="","",IFERROR(INDEX(ENVIOS!$F$4:$F$3003,MATCH($C1272,ENVIOS!$A$4:$A$3003,0)),"—"))</f>
        <v/>
      </c>
      <c r="I1272" s="27">
        <f>IF($C1272="","",IFERROR(INDEX(ENVIOS!$G$4:$G$3003,MATCH($C1272,ENVIOS!$A$4:$A$3003,0)),"—"))</f>
        <v/>
      </c>
      <c r="J1272" s="48">
        <f>IF($C1272="","",IFERROR(INDEX(ENVIOS!$B$4:$B$3003,MATCH($C1272,ENVIOS!$A$4:$A$3003,0)),""))</f>
        <v/>
      </c>
      <c r="K1272" s="49" t="n"/>
      <c r="L1272" s="27">
        <f>IF($K1272="","",IFERROR(INDEX(CONFIG!$B$4:$B$43,MATCH($K1272,CONFIG!$A$4:$A$43,0)),"Media"))</f>
        <v/>
      </c>
      <c r="M1272" s="27">
        <f>IF($K1272="","",IFERROR(INDEX(CONFIG!$D$4:$D$43,MATCH($K1272,CONFIG!$A$4:$A$43,0)),"NO"))</f>
        <v/>
      </c>
      <c r="N1272" s="49" t="n"/>
      <c r="O1272" s="27">
        <f>IF($N1272="","",IFERROR(INDEX(CONFIG!$G$4:$G$43,MATCH($N1272,CONFIG!$F$4:$F$43,0)),"Por definir"))</f>
        <v/>
      </c>
      <c r="P1272" s="27">
        <f>IF($N1272="","",IFERROR(INDEX(CONFIG!$H$4:$H$43,MATCH($N1272,CONFIG!$F$4:$F$43,0)),"Por definir"))</f>
        <v/>
      </c>
      <c r="Q1272" s="50" t="n"/>
      <c r="R1272" s="51" t="n"/>
      <c r="S1272" s="49" t="n"/>
      <c r="T1272" s="49" t="n"/>
      <c r="U1272" s="48">
        <f>IF(OR($B1272="",$K1272=""),"",WORKDAY($B1272,IFERROR(INDEX(CONFIG!$C$4:$C$43,MATCH($K1272,CONFIG!$A$4:$A$43,0)),3)))</f>
        <v/>
      </c>
      <c r="V1272" s="46" t="n"/>
      <c r="W1272" s="23">
        <f>IF($B1272="","",IF($V1272&lt;&gt;"",$V1272-$B1272,TODAY()-$B1272))</f>
        <v/>
      </c>
      <c r="X1272" s="27">
        <f>IF($C1272="","",IF(IFERROR(INDEX(CONFIG!$K$4:$K$43,MATCH($S1272,CONFIG!$J$4:$J$43,0)),"NO")="SÍ",IF(OR($V1272="",$U1272=""),"Resuelta",IF($V1272&gt;$U1272,"Resuelta tarde","Resuelta a tiempo")),IF($U1272="","Sin clasificar",IF(TODAY()&gt;$U1272,"Vencida",IF(TODAY()&gt;=$U1272-1,"Por vencer","En plazo")))))</f>
        <v/>
      </c>
      <c r="Y1272" s="49" t="n"/>
      <c r="Z1272" s="49" t="n"/>
    </row>
    <row r="1273" ht="16" customHeight="1">
      <c r="A1273" s="27">
        <f>IF($C1273="","","N-"&amp;TEXT(ROW()-3,"0000"))</f>
        <v/>
      </c>
      <c r="B1273" s="46" t="n"/>
      <c r="C1273" s="47" t="n"/>
      <c r="D1273" s="27">
        <f>IF($C1273="","",IF(COUNTIFS(ENVIOS!$A$4:$A$3003,$C1273)=0,"NO EXISTE",IF(COUNTIFS(ENVIOS!$A$4:$A$3003,$C1273)&gt;1,"DUPLICADA","OK")))</f>
        <v/>
      </c>
      <c r="E1273" s="22">
        <f>IF($C1273="","",IFERROR(INDEX(ENVIOS!$C$4:$C$3003,MATCH($C1273,ENVIOS!$A$4:$A$3003,0)),"—"))</f>
        <v/>
      </c>
      <c r="F1273" s="22">
        <f>IF($C1273="","",IFERROR(INDEX(ENVIOS!$D$4:$D$3003,MATCH($C1273,ENVIOS!$A$4:$A$3003,0)),"—"))</f>
        <v/>
      </c>
      <c r="G1273" s="22">
        <f>IF($C1273="","",IFERROR(INDEX(ENVIOS!$E$4:$E$3003,MATCH($C1273,ENVIOS!$A$4:$A$3003,0)),"—"))</f>
        <v/>
      </c>
      <c r="H1273" s="22">
        <f>IF($C1273="","",IFERROR(INDEX(ENVIOS!$F$4:$F$3003,MATCH($C1273,ENVIOS!$A$4:$A$3003,0)),"—"))</f>
        <v/>
      </c>
      <c r="I1273" s="27">
        <f>IF($C1273="","",IFERROR(INDEX(ENVIOS!$G$4:$G$3003,MATCH($C1273,ENVIOS!$A$4:$A$3003,0)),"—"))</f>
        <v/>
      </c>
      <c r="J1273" s="48">
        <f>IF($C1273="","",IFERROR(INDEX(ENVIOS!$B$4:$B$3003,MATCH($C1273,ENVIOS!$A$4:$A$3003,0)),""))</f>
        <v/>
      </c>
      <c r="K1273" s="49" t="n"/>
      <c r="L1273" s="27">
        <f>IF($K1273="","",IFERROR(INDEX(CONFIG!$B$4:$B$43,MATCH($K1273,CONFIG!$A$4:$A$43,0)),"Media"))</f>
        <v/>
      </c>
      <c r="M1273" s="27">
        <f>IF($K1273="","",IFERROR(INDEX(CONFIG!$D$4:$D$43,MATCH($K1273,CONFIG!$A$4:$A$43,0)),"NO"))</f>
        <v/>
      </c>
      <c r="N1273" s="49" t="n"/>
      <c r="O1273" s="27">
        <f>IF($N1273="","",IFERROR(INDEX(CONFIG!$G$4:$G$43,MATCH($N1273,CONFIG!$F$4:$F$43,0)),"Por definir"))</f>
        <v/>
      </c>
      <c r="P1273" s="27">
        <f>IF($N1273="","",IFERROR(INDEX(CONFIG!$H$4:$H$43,MATCH($N1273,CONFIG!$F$4:$F$43,0)),"Por definir"))</f>
        <v/>
      </c>
      <c r="Q1273" s="50" t="n"/>
      <c r="R1273" s="51" t="n"/>
      <c r="S1273" s="49" t="n"/>
      <c r="T1273" s="49" t="n"/>
      <c r="U1273" s="48">
        <f>IF(OR($B1273="",$K1273=""),"",WORKDAY($B1273,IFERROR(INDEX(CONFIG!$C$4:$C$43,MATCH($K1273,CONFIG!$A$4:$A$43,0)),3)))</f>
        <v/>
      </c>
      <c r="V1273" s="46" t="n"/>
      <c r="W1273" s="23">
        <f>IF($B1273="","",IF($V1273&lt;&gt;"",$V1273-$B1273,TODAY()-$B1273))</f>
        <v/>
      </c>
      <c r="X1273" s="27">
        <f>IF($C1273="","",IF(IFERROR(INDEX(CONFIG!$K$4:$K$43,MATCH($S1273,CONFIG!$J$4:$J$43,0)),"NO")="SÍ",IF(OR($V1273="",$U1273=""),"Resuelta",IF($V1273&gt;$U1273,"Resuelta tarde","Resuelta a tiempo")),IF($U1273="","Sin clasificar",IF(TODAY()&gt;$U1273,"Vencida",IF(TODAY()&gt;=$U1273-1,"Por vencer","En plazo")))))</f>
        <v/>
      </c>
      <c r="Y1273" s="49" t="n"/>
      <c r="Z1273" s="49" t="n"/>
    </row>
    <row r="1274" ht="16" customHeight="1">
      <c r="A1274" s="27">
        <f>IF($C1274="","","N-"&amp;TEXT(ROW()-3,"0000"))</f>
        <v/>
      </c>
      <c r="B1274" s="46" t="n"/>
      <c r="C1274" s="47" t="n"/>
      <c r="D1274" s="27">
        <f>IF($C1274="","",IF(COUNTIFS(ENVIOS!$A$4:$A$3003,$C1274)=0,"NO EXISTE",IF(COUNTIFS(ENVIOS!$A$4:$A$3003,$C1274)&gt;1,"DUPLICADA","OK")))</f>
        <v/>
      </c>
      <c r="E1274" s="22">
        <f>IF($C1274="","",IFERROR(INDEX(ENVIOS!$C$4:$C$3003,MATCH($C1274,ENVIOS!$A$4:$A$3003,0)),"—"))</f>
        <v/>
      </c>
      <c r="F1274" s="22">
        <f>IF($C1274="","",IFERROR(INDEX(ENVIOS!$D$4:$D$3003,MATCH($C1274,ENVIOS!$A$4:$A$3003,0)),"—"))</f>
        <v/>
      </c>
      <c r="G1274" s="22">
        <f>IF($C1274="","",IFERROR(INDEX(ENVIOS!$E$4:$E$3003,MATCH($C1274,ENVIOS!$A$4:$A$3003,0)),"—"))</f>
        <v/>
      </c>
      <c r="H1274" s="22">
        <f>IF($C1274="","",IFERROR(INDEX(ENVIOS!$F$4:$F$3003,MATCH($C1274,ENVIOS!$A$4:$A$3003,0)),"—"))</f>
        <v/>
      </c>
      <c r="I1274" s="27">
        <f>IF($C1274="","",IFERROR(INDEX(ENVIOS!$G$4:$G$3003,MATCH($C1274,ENVIOS!$A$4:$A$3003,0)),"—"))</f>
        <v/>
      </c>
      <c r="J1274" s="48">
        <f>IF($C1274="","",IFERROR(INDEX(ENVIOS!$B$4:$B$3003,MATCH($C1274,ENVIOS!$A$4:$A$3003,0)),""))</f>
        <v/>
      </c>
      <c r="K1274" s="49" t="n"/>
      <c r="L1274" s="27">
        <f>IF($K1274="","",IFERROR(INDEX(CONFIG!$B$4:$B$43,MATCH($K1274,CONFIG!$A$4:$A$43,0)),"Media"))</f>
        <v/>
      </c>
      <c r="M1274" s="27">
        <f>IF($K1274="","",IFERROR(INDEX(CONFIG!$D$4:$D$43,MATCH($K1274,CONFIG!$A$4:$A$43,0)),"NO"))</f>
        <v/>
      </c>
      <c r="N1274" s="49" t="n"/>
      <c r="O1274" s="27">
        <f>IF($N1274="","",IFERROR(INDEX(CONFIG!$G$4:$G$43,MATCH($N1274,CONFIG!$F$4:$F$43,0)),"Por definir"))</f>
        <v/>
      </c>
      <c r="P1274" s="27">
        <f>IF($N1274="","",IFERROR(INDEX(CONFIG!$H$4:$H$43,MATCH($N1274,CONFIG!$F$4:$F$43,0)),"Por definir"))</f>
        <v/>
      </c>
      <c r="Q1274" s="50" t="n"/>
      <c r="R1274" s="51" t="n"/>
      <c r="S1274" s="49" t="n"/>
      <c r="T1274" s="49" t="n"/>
      <c r="U1274" s="48">
        <f>IF(OR($B1274="",$K1274=""),"",WORKDAY($B1274,IFERROR(INDEX(CONFIG!$C$4:$C$43,MATCH($K1274,CONFIG!$A$4:$A$43,0)),3)))</f>
        <v/>
      </c>
      <c r="V1274" s="46" t="n"/>
      <c r="W1274" s="23">
        <f>IF($B1274="","",IF($V1274&lt;&gt;"",$V1274-$B1274,TODAY()-$B1274))</f>
        <v/>
      </c>
      <c r="X1274" s="27">
        <f>IF($C1274="","",IF(IFERROR(INDEX(CONFIG!$K$4:$K$43,MATCH($S1274,CONFIG!$J$4:$J$43,0)),"NO")="SÍ",IF(OR($V1274="",$U1274=""),"Resuelta",IF($V1274&gt;$U1274,"Resuelta tarde","Resuelta a tiempo")),IF($U1274="","Sin clasificar",IF(TODAY()&gt;$U1274,"Vencida",IF(TODAY()&gt;=$U1274-1,"Por vencer","En plazo")))))</f>
        <v/>
      </c>
      <c r="Y1274" s="49" t="n"/>
      <c r="Z1274" s="49" t="n"/>
    </row>
    <row r="1275" ht="16" customHeight="1">
      <c r="A1275" s="27">
        <f>IF($C1275="","","N-"&amp;TEXT(ROW()-3,"0000"))</f>
        <v/>
      </c>
      <c r="B1275" s="46" t="n"/>
      <c r="C1275" s="47" t="n"/>
      <c r="D1275" s="27">
        <f>IF($C1275="","",IF(COUNTIFS(ENVIOS!$A$4:$A$3003,$C1275)=0,"NO EXISTE",IF(COUNTIFS(ENVIOS!$A$4:$A$3003,$C1275)&gt;1,"DUPLICADA","OK")))</f>
        <v/>
      </c>
      <c r="E1275" s="22">
        <f>IF($C1275="","",IFERROR(INDEX(ENVIOS!$C$4:$C$3003,MATCH($C1275,ENVIOS!$A$4:$A$3003,0)),"—"))</f>
        <v/>
      </c>
      <c r="F1275" s="22">
        <f>IF($C1275="","",IFERROR(INDEX(ENVIOS!$D$4:$D$3003,MATCH($C1275,ENVIOS!$A$4:$A$3003,0)),"—"))</f>
        <v/>
      </c>
      <c r="G1275" s="22">
        <f>IF($C1275="","",IFERROR(INDEX(ENVIOS!$E$4:$E$3003,MATCH($C1275,ENVIOS!$A$4:$A$3003,0)),"—"))</f>
        <v/>
      </c>
      <c r="H1275" s="22">
        <f>IF($C1275="","",IFERROR(INDEX(ENVIOS!$F$4:$F$3003,MATCH($C1275,ENVIOS!$A$4:$A$3003,0)),"—"))</f>
        <v/>
      </c>
      <c r="I1275" s="27">
        <f>IF($C1275="","",IFERROR(INDEX(ENVIOS!$G$4:$G$3003,MATCH($C1275,ENVIOS!$A$4:$A$3003,0)),"—"))</f>
        <v/>
      </c>
      <c r="J1275" s="48">
        <f>IF($C1275="","",IFERROR(INDEX(ENVIOS!$B$4:$B$3003,MATCH($C1275,ENVIOS!$A$4:$A$3003,0)),""))</f>
        <v/>
      </c>
      <c r="K1275" s="49" t="n"/>
      <c r="L1275" s="27">
        <f>IF($K1275="","",IFERROR(INDEX(CONFIG!$B$4:$B$43,MATCH($K1275,CONFIG!$A$4:$A$43,0)),"Media"))</f>
        <v/>
      </c>
      <c r="M1275" s="27">
        <f>IF($K1275="","",IFERROR(INDEX(CONFIG!$D$4:$D$43,MATCH($K1275,CONFIG!$A$4:$A$43,0)),"NO"))</f>
        <v/>
      </c>
      <c r="N1275" s="49" t="n"/>
      <c r="O1275" s="27">
        <f>IF($N1275="","",IFERROR(INDEX(CONFIG!$G$4:$G$43,MATCH($N1275,CONFIG!$F$4:$F$43,0)),"Por definir"))</f>
        <v/>
      </c>
      <c r="P1275" s="27">
        <f>IF($N1275="","",IFERROR(INDEX(CONFIG!$H$4:$H$43,MATCH($N1275,CONFIG!$F$4:$F$43,0)),"Por definir"))</f>
        <v/>
      </c>
      <c r="Q1275" s="50" t="n"/>
      <c r="R1275" s="51" t="n"/>
      <c r="S1275" s="49" t="n"/>
      <c r="T1275" s="49" t="n"/>
      <c r="U1275" s="48">
        <f>IF(OR($B1275="",$K1275=""),"",WORKDAY($B1275,IFERROR(INDEX(CONFIG!$C$4:$C$43,MATCH($K1275,CONFIG!$A$4:$A$43,0)),3)))</f>
        <v/>
      </c>
      <c r="V1275" s="46" t="n"/>
      <c r="W1275" s="23">
        <f>IF($B1275="","",IF($V1275&lt;&gt;"",$V1275-$B1275,TODAY()-$B1275))</f>
        <v/>
      </c>
      <c r="X1275" s="27">
        <f>IF($C1275="","",IF(IFERROR(INDEX(CONFIG!$K$4:$K$43,MATCH($S1275,CONFIG!$J$4:$J$43,0)),"NO")="SÍ",IF(OR($V1275="",$U1275=""),"Resuelta",IF($V1275&gt;$U1275,"Resuelta tarde","Resuelta a tiempo")),IF($U1275="","Sin clasificar",IF(TODAY()&gt;$U1275,"Vencida",IF(TODAY()&gt;=$U1275-1,"Por vencer","En plazo")))))</f>
        <v/>
      </c>
      <c r="Y1275" s="49" t="n"/>
      <c r="Z1275" s="49" t="n"/>
    </row>
    <row r="1276" ht="16" customHeight="1">
      <c r="A1276" s="27">
        <f>IF($C1276="","","N-"&amp;TEXT(ROW()-3,"0000"))</f>
        <v/>
      </c>
      <c r="B1276" s="46" t="n"/>
      <c r="C1276" s="47" t="n"/>
      <c r="D1276" s="27">
        <f>IF($C1276="","",IF(COUNTIFS(ENVIOS!$A$4:$A$3003,$C1276)=0,"NO EXISTE",IF(COUNTIFS(ENVIOS!$A$4:$A$3003,$C1276)&gt;1,"DUPLICADA","OK")))</f>
        <v/>
      </c>
      <c r="E1276" s="22">
        <f>IF($C1276="","",IFERROR(INDEX(ENVIOS!$C$4:$C$3003,MATCH($C1276,ENVIOS!$A$4:$A$3003,0)),"—"))</f>
        <v/>
      </c>
      <c r="F1276" s="22">
        <f>IF($C1276="","",IFERROR(INDEX(ENVIOS!$D$4:$D$3003,MATCH($C1276,ENVIOS!$A$4:$A$3003,0)),"—"))</f>
        <v/>
      </c>
      <c r="G1276" s="22">
        <f>IF($C1276="","",IFERROR(INDEX(ENVIOS!$E$4:$E$3003,MATCH($C1276,ENVIOS!$A$4:$A$3003,0)),"—"))</f>
        <v/>
      </c>
      <c r="H1276" s="22">
        <f>IF($C1276="","",IFERROR(INDEX(ENVIOS!$F$4:$F$3003,MATCH($C1276,ENVIOS!$A$4:$A$3003,0)),"—"))</f>
        <v/>
      </c>
      <c r="I1276" s="27">
        <f>IF($C1276="","",IFERROR(INDEX(ENVIOS!$G$4:$G$3003,MATCH($C1276,ENVIOS!$A$4:$A$3003,0)),"—"))</f>
        <v/>
      </c>
      <c r="J1276" s="48">
        <f>IF($C1276="","",IFERROR(INDEX(ENVIOS!$B$4:$B$3003,MATCH($C1276,ENVIOS!$A$4:$A$3003,0)),""))</f>
        <v/>
      </c>
      <c r="K1276" s="49" t="n"/>
      <c r="L1276" s="27">
        <f>IF($K1276="","",IFERROR(INDEX(CONFIG!$B$4:$B$43,MATCH($K1276,CONFIG!$A$4:$A$43,0)),"Media"))</f>
        <v/>
      </c>
      <c r="M1276" s="27">
        <f>IF($K1276="","",IFERROR(INDEX(CONFIG!$D$4:$D$43,MATCH($K1276,CONFIG!$A$4:$A$43,0)),"NO"))</f>
        <v/>
      </c>
      <c r="N1276" s="49" t="n"/>
      <c r="O1276" s="27">
        <f>IF($N1276="","",IFERROR(INDEX(CONFIG!$G$4:$G$43,MATCH($N1276,CONFIG!$F$4:$F$43,0)),"Por definir"))</f>
        <v/>
      </c>
      <c r="P1276" s="27">
        <f>IF($N1276="","",IFERROR(INDEX(CONFIG!$H$4:$H$43,MATCH($N1276,CONFIG!$F$4:$F$43,0)),"Por definir"))</f>
        <v/>
      </c>
      <c r="Q1276" s="50" t="n"/>
      <c r="R1276" s="51" t="n"/>
      <c r="S1276" s="49" t="n"/>
      <c r="T1276" s="49" t="n"/>
      <c r="U1276" s="48">
        <f>IF(OR($B1276="",$K1276=""),"",WORKDAY($B1276,IFERROR(INDEX(CONFIG!$C$4:$C$43,MATCH($K1276,CONFIG!$A$4:$A$43,0)),3)))</f>
        <v/>
      </c>
      <c r="V1276" s="46" t="n"/>
      <c r="W1276" s="23">
        <f>IF($B1276="","",IF($V1276&lt;&gt;"",$V1276-$B1276,TODAY()-$B1276))</f>
        <v/>
      </c>
      <c r="X1276" s="27">
        <f>IF($C1276="","",IF(IFERROR(INDEX(CONFIG!$K$4:$K$43,MATCH($S1276,CONFIG!$J$4:$J$43,0)),"NO")="SÍ",IF(OR($V1276="",$U1276=""),"Resuelta",IF($V1276&gt;$U1276,"Resuelta tarde","Resuelta a tiempo")),IF($U1276="","Sin clasificar",IF(TODAY()&gt;$U1276,"Vencida",IF(TODAY()&gt;=$U1276-1,"Por vencer","En plazo")))))</f>
        <v/>
      </c>
      <c r="Y1276" s="49" t="n"/>
      <c r="Z1276" s="49" t="n"/>
    </row>
    <row r="1277" ht="16" customHeight="1">
      <c r="A1277" s="27">
        <f>IF($C1277="","","N-"&amp;TEXT(ROW()-3,"0000"))</f>
        <v/>
      </c>
      <c r="B1277" s="46" t="n"/>
      <c r="C1277" s="47" t="n"/>
      <c r="D1277" s="27">
        <f>IF($C1277="","",IF(COUNTIFS(ENVIOS!$A$4:$A$3003,$C1277)=0,"NO EXISTE",IF(COUNTIFS(ENVIOS!$A$4:$A$3003,$C1277)&gt;1,"DUPLICADA","OK")))</f>
        <v/>
      </c>
      <c r="E1277" s="22">
        <f>IF($C1277="","",IFERROR(INDEX(ENVIOS!$C$4:$C$3003,MATCH($C1277,ENVIOS!$A$4:$A$3003,0)),"—"))</f>
        <v/>
      </c>
      <c r="F1277" s="22">
        <f>IF($C1277="","",IFERROR(INDEX(ENVIOS!$D$4:$D$3003,MATCH($C1277,ENVIOS!$A$4:$A$3003,0)),"—"))</f>
        <v/>
      </c>
      <c r="G1277" s="22">
        <f>IF($C1277="","",IFERROR(INDEX(ENVIOS!$E$4:$E$3003,MATCH($C1277,ENVIOS!$A$4:$A$3003,0)),"—"))</f>
        <v/>
      </c>
      <c r="H1277" s="22">
        <f>IF($C1277="","",IFERROR(INDEX(ENVIOS!$F$4:$F$3003,MATCH($C1277,ENVIOS!$A$4:$A$3003,0)),"—"))</f>
        <v/>
      </c>
      <c r="I1277" s="27">
        <f>IF($C1277="","",IFERROR(INDEX(ENVIOS!$G$4:$G$3003,MATCH($C1277,ENVIOS!$A$4:$A$3003,0)),"—"))</f>
        <v/>
      </c>
      <c r="J1277" s="48">
        <f>IF($C1277="","",IFERROR(INDEX(ENVIOS!$B$4:$B$3003,MATCH($C1277,ENVIOS!$A$4:$A$3003,0)),""))</f>
        <v/>
      </c>
      <c r="K1277" s="49" t="n"/>
      <c r="L1277" s="27">
        <f>IF($K1277="","",IFERROR(INDEX(CONFIG!$B$4:$B$43,MATCH($K1277,CONFIG!$A$4:$A$43,0)),"Media"))</f>
        <v/>
      </c>
      <c r="M1277" s="27">
        <f>IF($K1277="","",IFERROR(INDEX(CONFIG!$D$4:$D$43,MATCH($K1277,CONFIG!$A$4:$A$43,0)),"NO"))</f>
        <v/>
      </c>
      <c r="N1277" s="49" t="n"/>
      <c r="O1277" s="27">
        <f>IF($N1277="","",IFERROR(INDEX(CONFIG!$G$4:$G$43,MATCH($N1277,CONFIG!$F$4:$F$43,0)),"Por definir"))</f>
        <v/>
      </c>
      <c r="P1277" s="27">
        <f>IF($N1277="","",IFERROR(INDEX(CONFIG!$H$4:$H$43,MATCH($N1277,CONFIG!$F$4:$F$43,0)),"Por definir"))</f>
        <v/>
      </c>
      <c r="Q1277" s="50" t="n"/>
      <c r="R1277" s="51" t="n"/>
      <c r="S1277" s="49" t="n"/>
      <c r="T1277" s="49" t="n"/>
      <c r="U1277" s="48">
        <f>IF(OR($B1277="",$K1277=""),"",WORKDAY($B1277,IFERROR(INDEX(CONFIG!$C$4:$C$43,MATCH($K1277,CONFIG!$A$4:$A$43,0)),3)))</f>
        <v/>
      </c>
      <c r="V1277" s="46" t="n"/>
      <c r="W1277" s="23">
        <f>IF($B1277="","",IF($V1277&lt;&gt;"",$V1277-$B1277,TODAY()-$B1277))</f>
        <v/>
      </c>
      <c r="X1277" s="27">
        <f>IF($C1277="","",IF(IFERROR(INDEX(CONFIG!$K$4:$K$43,MATCH($S1277,CONFIG!$J$4:$J$43,0)),"NO")="SÍ",IF(OR($V1277="",$U1277=""),"Resuelta",IF($V1277&gt;$U1277,"Resuelta tarde","Resuelta a tiempo")),IF($U1277="","Sin clasificar",IF(TODAY()&gt;$U1277,"Vencida",IF(TODAY()&gt;=$U1277-1,"Por vencer","En plazo")))))</f>
        <v/>
      </c>
      <c r="Y1277" s="49" t="n"/>
      <c r="Z1277" s="49" t="n"/>
    </row>
    <row r="1278" ht="16" customHeight="1">
      <c r="A1278" s="27">
        <f>IF($C1278="","","N-"&amp;TEXT(ROW()-3,"0000"))</f>
        <v/>
      </c>
      <c r="B1278" s="46" t="n"/>
      <c r="C1278" s="47" t="n"/>
      <c r="D1278" s="27">
        <f>IF($C1278="","",IF(COUNTIFS(ENVIOS!$A$4:$A$3003,$C1278)=0,"NO EXISTE",IF(COUNTIFS(ENVIOS!$A$4:$A$3003,$C1278)&gt;1,"DUPLICADA","OK")))</f>
        <v/>
      </c>
      <c r="E1278" s="22">
        <f>IF($C1278="","",IFERROR(INDEX(ENVIOS!$C$4:$C$3003,MATCH($C1278,ENVIOS!$A$4:$A$3003,0)),"—"))</f>
        <v/>
      </c>
      <c r="F1278" s="22">
        <f>IF($C1278="","",IFERROR(INDEX(ENVIOS!$D$4:$D$3003,MATCH($C1278,ENVIOS!$A$4:$A$3003,0)),"—"))</f>
        <v/>
      </c>
      <c r="G1278" s="22">
        <f>IF($C1278="","",IFERROR(INDEX(ENVIOS!$E$4:$E$3003,MATCH($C1278,ENVIOS!$A$4:$A$3003,0)),"—"))</f>
        <v/>
      </c>
      <c r="H1278" s="22">
        <f>IF($C1278="","",IFERROR(INDEX(ENVIOS!$F$4:$F$3003,MATCH($C1278,ENVIOS!$A$4:$A$3003,0)),"—"))</f>
        <v/>
      </c>
      <c r="I1278" s="27">
        <f>IF($C1278="","",IFERROR(INDEX(ENVIOS!$G$4:$G$3003,MATCH($C1278,ENVIOS!$A$4:$A$3003,0)),"—"))</f>
        <v/>
      </c>
      <c r="J1278" s="48">
        <f>IF($C1278="","",IFERROR(INDEX(ENVIOS!$B$4:$B$3003,MATCH($C1278,ENVIOS!$A$4:$A$3003,0)),""))</f>
        <v/>
      </c>
      <c r="K1278" s="49" t="n"/>
      <c r="L1278" s="27">
        <f>IF($K1278="","",IFERROR(INDEX(CONFIG!$B$4:$B$43,MATCH($K1278,CONFIG!$A$4:$A$43,0)),"Media"))</f>
        <v/>
      </c>
      <c r="M1278" s="27">
        <f>IF($K1278="","",IFERROR(INDEX(CONFIG!$D$4:$D$43,MATCH($K1278,CONFIG!$A$4:$A$43,0)),"NO"))</f>
        <v/>
      </c>
      <c r="N1278" s="49" t="n"/>
      <c r="O1278" s="27">
        <f>IF($N1278="","",IFERROR(INDEX(CONFIG!$G$4:$G$43,MATCH($N1278,CONFIG!$F$4:$F$43,0)),"Por definir"))</f>
        <v/>
      </c>
      <c r="P1278" s="27">
        <f>IF($N1278="","",IFERROR(INDEX(CONFIG!$H$4:$H$43,MATCH($N1278,CONFIG!$F$4:$F$43,0)),"Por definir"))</f>
        <v/>
      </c>
      <c r="Q1278" s="50" t="n"/>
      <c r="R1278" s="51" t="n"/>
      <c r="S1278" s="49" t="n"/>
      <c r="T1278" s="49" t="n"/>
      <c r="U1278" s="48">
        <f>IF(OR($B1278="",$K1278=""),"",WORKDAY($B1278,IFERROR(INDEX(CONFIG!$C$4:$C$43,MATCH($K1278,CONFIG!$A$4:$A$43,0)),3)))</f>
        <v/>
      </c>
      <c r="V1278" s="46" t="n"/>
      <c r="W1278" s="23">
        <f>IF($B1278="","",IF($V1278&lt;&gt;"",$V1278-$B1278,TODAY()-$B1278))</f>
        <v/>
      </c>
      <c r="X1278" s="27">
        <f>IF($C1278="","",IF(IFERROR(INDEX(CONFIG!$K$4:$K$43,MATCH($S1278,CONFIG!$J$4:$J$43,0)),"NO")="SÍ",IF(OR($V1278="",$U1278=""),"Resuelta",IF($V1278&gt;$U1278,"Resuelta tarde","Resuelta a tiempo")),IF($U1278="","Sin clasificar",IF(TODAY()&gt;$U1278,"Vencida",IF(TODAY()&gt;=$U1278-1,"Por vencer","En plazo")))))</f>
        <v/>
      </c>
      <c r="Y1278" s="49" t="n"/>
      <c r="Z1278" s="49" t="n"/>
    </row>
    <row r="1279" ht="16" customHeight="1">
      <c r="A1279" s="27">
        <f>IF($C1279="","","N-"&amp;TEXT(ROW()-3,"0000"))</f>
        <v/>
      </c>
      <c r="B1279" s="46" t="n"/>
      <c r="C1279" s="47" t="n"/>
      <c r="D1279" s="27">
        <f>IF($C1279="","",IF(COUNTIFS(ENVIOS!$A$4:$A$3003,$C1279)=0,"NO EXISTE",IF(COUNTIFS(ENVIOS!$A$4:$A$3003,$C1279)&gt;1,"DUPLICADA","OK")))</f>
        <v/>
      </c>
      <c r="E1279" s="22">
        <f>IF($C1279="","",IFERROR(INDEX(ENVIOS!$C$4:$C$3003,MATCH($C1279,ENVIOS!$A$4:$A$3003,0)),"—"))</f>
        <v/>
      </c>
      <c r="F1279" s="22">
        <f>IF($C1279="","",IFERROR(INDEX(ENVIOS!$D$4:$D$3003,MATCH($C1279,ENVIOS!$A$4:$A$3003,0)),"—"))</f>
        <v/>
      </c>
      <c r="G1279" s="22">
        <f>IF($C1279="","",IFERROR(INDEX(ENVIOS!$E$4:$E$3003,MATCH($C1279,ENVIOS!$A$4:$A$3003,0)),"—"))</f>
        <v/>
      </c>
      <c r="H1279" s="22">
        <f>IF($C1279="","",IFERROR(INDEX(ENVIOS!$F$4:$F$3003,MATCH($C1279,ENVIOS!$A$4:$A$3003,0)),"—"))</f>
        <v/>
      </c>
      <c r="I1279" s="27">
        <f>IF($C1279="","",IFERROR(INDEX(ENVIOS!$G$4:$G$3003,MATCH($C1279,ENVIOS!$A$4:$A$3003,0)),"—"))</f>
        <v/>
      </c>
      <c r="J1279" s="48">
        <f>IF($C1279="","",IFERROR(INDEX(ENVIOS!$B$4:$B$3003,MATCH($C1279,ENVIOS!$A$4:$A$3003,0)),""))</f>
        <v/>
      </c>
      <c r="K1279" s="49" t="n"/>
      <c r="L1279" s="27">
        <f>IF($K1279="","",IFERROR(INDEX(CONFIG!$B$4:$B$43,MATCH($K1279,CONFIG!$A$4:$A$43,0)),"Media"))</f>
        <v/>
      </c>
      <c r="M1279" s="27">
        <f>IF($K1279="","",IFERROR(INDEX(CONFIG!$D$4:$D$43,MATCH($K1279,CONFIG!$A$4:$A$43,0)),"NO"))</f>
        <v/>
      </c>
      <c r="N1279" s="49" t="n"/>
      <c r="O1279" s="27">
        <f>IF($N1279="","",IFERROR(INDEX(CONFIG!$G$4:$G$43,MATCH($N1279,CONFIG!$F$4:$F$43,0)),"Por definir"))</f>
        <v/>
      </c>
      <c r="P1279" s="27">
        <f>IF($N1279="","",IFERROR(INDEX(CONFIG!$H$4:$H$43,MATCH($N1279,CONFIG!$F$4:$F$43,0)),"Por definir"))</f>
        <v/>
      </c>
      <c r="Q1279" s="50" t="n"/>
      <c r="R1279" s="51" t="n"/>
      <c r="S1279" s="49" t="n"/>
      <c r="T1279" s="49" t="n"/>
      <c r="U1279" s="48">
        <f>IF(OR($B1279="",$K1279=""),"",WORKDAY($B1279,IFERROR(INDEX(CONFIG!$C$4:$C$43,MATCH($K1279,CONFIG!$A$4:$A$43,0)),3)))</f>
        <v/>
      </c>
      <c r="V1279" s="46" t="n"/>
      <c r="W1279" s="23">
        <f>IF($B1279="","",IF($V1279&lt;&gt;"",$V1279-$B1279,TODAY()-$B1279))</f>
        <v/>
      </c>
      <c r="X1279" s="27">
        <f>IF($C1279="","",IF(IFERROR(INDEX(CONFIG!$K$4:$K$43,MATCH($S1279,CONFIG!$J$4:$J$43,0)),"NO")="SÍ",IF(OR($V1279="",$U1279=""),"Resuelta",IF($V1279&gt;$U1279,"Resuelta tarde","Resuelta a tiempo")),IF($U1279="","Sin clasificar",IF(TODAY()&gt;$U1279,"Vencida",IF(TODAY()&gt;=$U1279-1,"Por vencer","En plazo")))))</f>
        <v/>
      </c>
      <c r="Y1279" s="49" t="n"/>
      <c r="Z1279" s="49" t="n"/>
    </row>
    <row r="1280" ht="16" customHeight="1">
      <c r="A1280" s="27">
        <f>IF($C1280="","","N-"&amp;TEXT(ROW()-3,"0000"))</f>
        <v/>
      </c>
      <c r="B1280" s="46" t="n"/>
      <c r="C1280" s="47" t="n"/>
      <c r="D1280" s="27">
        <f>IF($C1280="","",IF(COUNTIFS(ENVIOS!$A$4:$A$3003,$C1280)=0,"NO EXISTE",IF(COUNTIFS(ENVIOS!$A$4:$A$3003,$C1280)&gt;1,"DUPLICADA","OK")))</f>
        <v/>
      </c>
      <c r="E1280" s="22">
        <f>IF($C1280="","",IFERROR(INDEX(ENVIOS!$C$4:$C$3003,MATCH($C1280,ENVIOS!$A$4:$A$3003,0)),"—"))</f>
        <v/>
      </c>
      <c r="F1280" s="22">
        <f>IF($C1280="","",IFERROR(INDEX(ENVIOS!$D$4:$D$3003,MATCH($C1280,ENVIOS!$A$4:$A$3003,0)),"—"))</f>
        <v/>
      </c>
      <c r="G1280" s="22">
        <f>IF($C1280="","",IFERROR(INDEX(ENVIOS!$E$4:$E$3003,MATCH($C1280,ENVIOS!$A$4:$A$3003,0)),"—"))</f>
        <v/>
      </c>
      <c r="H1280" s="22">
        <f>IF($C1280="","",IFERROR(INDEX(ENVIOS!$F$4:$F$3003,MATCH($C1280,ENVIOS!$A$4:$A$3003,0)),"—"))</f>
        <v/>
      </c>
      <c r="I1280" s="27">
        <f>IF($C1280="","",IFERROR(INDEX(ENVIOS!$G$4:$G$3003,MATCH($C1280,ENVIOS!$A$4:$A$3003,0)),"—"))</f>
        <v/>
      </c>
      <c r="J1280" s="48">
        <f>IF($C1280="","",IFERROR(INDEX(ENVIOS!$B$4:$B$3003,MATCH($C1280,ENVIOS!$A$4:$A$3003,0)),""))</f>
        <v/>
      </c>
      <c r="K1280" s="49" t="n"/>
      <c r="L1280" s="27">
        <f>IF($K1280="","",IFERROR(INDEX(CONFIG!$B$4:$B$43,MATCH($K1280,CONFIG!$A$4:$A$43,0)),"Media"))</f>
        <v/>
      </c>
      <c r="M1280" s="27">
        <f>IF($K1280="","",IFERROR(INDEX(CONFIG!$D$4:$D$43,MATCH($K1280,CONFIG!$A$4:$A$43,0)),"NO"))</f>
        <v/>
      </c>
      <c r="N1280" s="49" t="n"/>
      <c r="O1280" s="27">
        <f>IF($N1280="","",IFERROR(INDEX(CONFIG!$G$4:$G$43,MATCH($N1280,CONFIG!$F$4:$F$43,0)),"Por definir"))</f>
        <v/>
      </c>
      <c r="P1280" s="27">
        <f>IF($N1280="","",IFERROR(INDEX(CONFIG!$H$4:$H$43,MATCH($N1280,CONFIG!$F$4:$F$43,0)),"Por definir"))</f>
        <v/>
      </c>
      <c r="Q1280" s="50" t="n"/>
      <c r="R1280" s="51" t="n"/>
      <c r="S1280" s="49" t="n"/>
      <c r="T1280" s="49" t="n"/>
      <c r="U1280" s="48">
        <f>IF(OR($B1280="",$K1280=""),"",WORKDAY($B1280,IFERROR(INDEX(CONFIG!$C$4:$C$43,MATCH($K1280,CONFIG!$A$4:$A$43,0)),3)))</f>
        <v/>
      </c>
      <c r="V1280" s="46" t="n"/>
      <c r="W1280" s="23">
        <f>IF($B1280="","",IF($V1280&lt;&gt;"",$V1280-$B1280,TODAY()-$B1280))</f>
        <v/>
      </c>
      <c r="X1280" s="27">
        <f>IF($C1280="","",IF(IFERROR(INDEX(CONFIG!$K$4:$K$43,MATCH($S1280,CONFIG!$J$4:$J$43,0)),"NO")="SÍ",IF(OR($V1280="",$U1280=""),"Resuelta",IF($V1280&gt;$U1280,"Resuelta tarde","Resuelta a tiempo")),IF($U1280="","Sin clasificar",IF(TODAY()&gt;$U1280,"Vencida",IF(TODAY()&gt;=$U1280-1,"Por vencer","En plazo")))))</f>
        <v/>
      </c>
      <c r="Y1280" s="49" t="n"/>
      <c r="Z1280" s="49" t="n"/>
    </row>
    <row r="1281" ht="16" customHeight="1">
      <c r="A1281" s="27">
        <f>IF($C1281="","","N-"&amp;TEXT(ROW()-3,"0000"))</f>
        <v/>
      </c>
      <c r="B1281" s="46" t="n"/>
      <c r="C1281" s="47" t="n"/>
      <c r="D1281" s="27">
        <f>IF($C1281="","",IF(COUNTIFS(ENVIOS!$A$4:$A$3003,$C1281)=0,"NO EXISTE",IF(COUNTIFS(ENVIOS!$A$4:$A$3003,$C1281)&gt;1,"DUPLICADA","OK")))</f>
        <v/>
      </c>
      <c r="E1281" s="22">
        <f>IF($C1281="","",IFERROR(INDEX(ENVIOS!$C$4:$C$3003,MATCH($C1281,ENVIOS!$A$4:$A$3003,0)),"—"))</f>
        <v/>
      </c>
      <c r="F1281" s="22">
        <f>IF($C1281="","",IFERROR(INDEX(ENVIOS!$D$4:$D$3003,MATCH($C1281,ENVIOS!$A$4:$A$3003,0)),"—"))</f>
        <v/>
      </c>
      <c r="G1281" s="22">
        <f>IF($C1281="","",IFERROR(INDEX(ENVIOS!$E$4:$E$3003,MATCH($C1281,ENVIOS!$A$4:$A$3003,0)),"—"))</f>
        <v/>
      </c>
      <c r="H1281" s="22">
        <f>IF($C1281="","",IFERROR(INDEX(ENVIOS!$F$4:$F$3003,MATCH($C1281,ENVIOS!$A$4:$A$3003,0)),"—"))</f>
        <v/>
      </c>
      <c r="I1281" s="27">
        <f>IF($C1281="","",IFERROR(INDEX(ENVIOS!$G$4:$G$3003,MATCH($C1281,ENVIOS!$A$4:$A$3003,0)),"—"))</f>
        <v/>
      </c>
      <c r="J1281" s="48">
        <f>IF($C1281="","",IFERROR(INDEX(ENVIOS!$B$4:$B$3003,MATCH($C1281,ENVIOS!$A$4:$A$3003,0)),""))</f>
        <v/>
      </c>
      <c r="K1281" s="49" t="n"/>
      <c r="L1281" s="27">
        <f>IF($K1281="","",IFERROR(INDEX(CONFIG!$B$4:$B$43,MATCH($K1281,CONFIG!$A$4:$A$43,0)),"Media"))</f>
        <v/>
      </c>
      <c r="M1281" s="27">
        <f>IF($K1281="","",IFERROR(INDEX(CONFIG!$D$4:$D$43,MATCH($K1281,CONFIG!$A$4:$A$43,0)),"NO"))</f>
        <v/>
      </c>
      <c r="N1281" s="49" t="n"/>
      <c r="O1281" s="27">
        <f>IF($N1281="","",IFERROR(INDEX(CONFIG!$G$4:$G$43,MATCH($N1281,CONFIG!$F$4:$F$43,0)),"Por definir"))</f>
        <v/>
      </c>
      <c r="P1281" s="27">
        <f>IF($N1281="","",IFERROR(INDEX(CONFIG!$H$4:$H$43,MATCH($N1281,CONFIG!$F$4:$F$43,0)),"Por definir"))</f>
        <v/>
      </c>
      <c r="Q1281" s="50" t="n"/>
      <c r="R1281" s="51" t="n"/>
      <c r="S1281" s="49" t="n"/>
      <c r="T1281" s="49" t="n"/>
      <c r="U1281" s="48">
        <f>IF(OR($B1281="",$K1281=""),"",WORKDAY($B1281,IFERROR(INDEX(CONFIG!$C$4:$C$43,MATCH($K1281,CONFIG!$A$4:$A$43,0)),3)))</f>
        <v/>
      </c>
      <c r="V1281" s="46" t="n"/>
      <c r="W1281" s="23">
        <f>IF($B1281="","",IF($V1281&lt;&gt;"",$V1281-$B1281,TODAY()-$B1281))</f>
        <v/>
      </c>
      <c r="X1281" s="27">
        <f>IF($C1281="","",IF(IFERROR(INDEX(CONFIG!$K$4:$K$43,MATCH($S1281,CONFIG!$J$4:$J$43,0)),"NO")="SÍ",IF(OR($V1281="",$U1281=""),"Resuelta",IF($V1281&gt;$U1281,"Resuelta tarde","Resuelta a tiempo")),IF($U1281="","Sin clasificar",IF(TODAY()&gt;$U1281,"Vencida",IF(TODAY()&gt;=$U1281-1,"Por vencer","En plazo")))))</f>
        <v/>
      </c>
      <c r="Y1281" s="49" t="n"/>
      <c r="Z1281" s="49" t="n"/>
    </row>
    <row r="1282" ht="16" customHeight="1">
      <c r="A1282" s="27">
        <f>IF($C1282="","","N-"&amp;TEXT(ROW()-3,"0000"))</f>
        <v/>
      </c>
      <c r="B1282" s="46" t="n"/>
      <c r="C1282" s="47" t="n"/>
      <c r="D1282" s="27">
        <f>IF($C1282="","",IF(COUNTIFS(ENVIOS!$A$4:$A$3003,$C1282)=0,"NO EXISTE",IF(COUNTIFS(ENVIOS!$A$4:$A$3003,$C1282)&gt;1,"DUPLICADA","OK")))</f>
        <v/>
      </c>
      <c r="E1282" s="22">
        <f>IF($C1282="","",IFERROR(INDEX(ENVIOS!$C$4:$C$3003,MATCH($C1282,ENVIOS!$A$4:$A$3003,0)),"—"))</f>
        <v/>
      </c>
      <c r="F1282" s="22">
        <f>IF($C1282="","",IFERROR(INDEX(ENVIOS!$D$4:$D$3003,MATCH($C1282,ENVIOS!$A$4:$A$3003,0)),"—"))</f>
        <v/>
      </c>
      <c r="G1282" s="22">
        <f>IF($C1282="","",IFERROR(INDEX(ENVIOS!$E$4:$E$3003,MATCH($C1282,ENVIOS!$A$4:$A$3003,0)),"—"))</f>
        <v/>
      </c>
      <c r="H1282" s="22">
        <f>IF($C1282="","",IFERROR(INDEX(ENVIOS!$F$4:$F$3003,MATCH($C1282,ENVIOS!$A$4:$A$3003,0)),"—"))</f>
        <v/>
      </c>
      <c r="I1282" s="27">
        <f>IF($C1282="","",IFERROR(INDEX(ENVIOS!$G$4:$G$3003,MATCH($C1282,ENVIOS!$A$4:$A$3003,0)),"—"))</f>
        <v/>
      </c>
      <c r="J1282" s="48">
        <f>IF($C1282="","",IFERROR(INDEX(ENVIOS!$B$4:$B$3003,MATCH($C1282,ENVIOS!$A$4:$A$3003,0)),""))</f>
        <v/>
      </c>
      <c r="K1282" s="49" t="n"/>
      <c r="L1282" s="27">
        <f>IF($K1282="","",IFERROR(INDEX(CONFIG!$B$4:$B$43,MATCH($K1282,CONFIG!$A$4:$A$43,0)),"Media"))</f>
        <v/>
      </c>
      <c r="M1282" s="27">
        <f>IF($K1282="","",IFERROR(INDEX(CONFIG!$D$4:$D$43,MATCH($K1282,CONFIG!$A$4:$A$43,0)),"NO"))</f>
        <v/>
      </c>
      <c r="N1282" s="49" t="n"/>
      <c r="O1282" s="27">
        <f>IF($N1282="","",IFERROR(INDEX(CONFIG!$G$4:$G$43,MATCH($N1282,CONFIG!$F$4:$F$43,0)),"Por definir"))</f>
        <v/>
      </c>
      <c r="P1282" s="27">
        <f>IF($N1282="","",IFERROR(INDEX(CONFIG!$H$4:$H$43,MATCH($N1282,CONFIG!$F$4:$F$43,0)),"Por definir"))</f>
        <v/>
      </c>
      <c r="Q1282" s="50" t="n"/>
      <c r="R1282" s="51" t="n"/>
      <c r="S1282" s="49" t="n"/>
      <c r="T1282" s="49" t="n"/>
      <c r="U1282" s="48">
        <f>IF(OR($B1282="",$K1282=""),"",WORKDAY($B1282,IFERROR(INDEX(CONFIG!$C$4:$C$43,MATCH($K1282,CONFIG!$A$4:$A$43,0)),3)))</f>
        <v/>
      </c>
      <c r="V1282" s="46" t="n"/>
      <c r="W1282" s="23">
        <f>IF($B1282="","",IF($V1282&lt;&gt;"",$V1282-$B1282,TODAY()-$B1282))</f>
        <v/>
      </c>
      <c r="X1282" s="27">
        <f>IF($C1282="","",IF(IFERROR(INDEX(CONFIG!$K$4:$K$43,MATCH($S1282,CONFIG!$J$4:$J$43,0)),"NO")="SÍ",IF(OR($V1282="",$U1282=""),"Resuelta",IF($V1282&gt;$U1282,"Resuelta tarde","Resuelta a tiempo")),IF($U1282="","Sin clasificar",IF(TODAY()&gt;$U1282,"Vencida",IF(TODAY()&gt;=$U1282-1,"Por vencer","En plazo")))))</f>
        <v/>
      </c>
      <c r="Y1282" s="49" t="n"/>
      <c r="Z1282" s="49" t="n"/>
    </row>
    <row r="1283" ht="16" customHeight="1">
      <c r="A1283" s="27">
        <f>IF($C1283="","","N-"&amp;TEXT(ROW()-3,"0000"))</f>
        <v/>
      </c>
      <c r="B1283" s="46" t="n"/>
      <c r="C1283" s="47" t="n"/>
      <c r="D1283" s="27">
        <f>IF($C1283="","",IF(COUNTIFS(ENVIOS!$A$4:$A$3003,$C1283)=0,"NO EXISTE",IF(COUNTIFS(ENVIOS!$A$4:$A$3003,$C1283)&gt;1,"DUPLICADA","OK")))</f>
        <v/>
      </c>
      <c r="E1283" s="22">
        <f>IF($C1283="","",IFERROR(INDEX(ENVIOS!$C$4:$C$3003,MATCH($C1283,ENVIOS!$A$4:$A$3003,0)),"—"))</f>
        <v/>
      </c>
      <c r="F1283" s="22">
        <f>IF($C1283="","",IFERROR(INDEX(ENVIOS!$D$4:$D$3003,MATCH($C1283,ENVIOS!$A$4:$A$3003,0)),"—"))</f>
        <v/>
      </c>
      <c r="G1283" s="22">
        <f>IF($C1283="","",IFERROR(INDEX(ENVIOS!$E$4:$E$3003,MATCH($C1283,ENVIOS!$A$4:$A$3003,0)),"—"))</f>
        <v/>
      </c>
      <c r="H1283" s="22">
        <f>IF($C1283="","",IFERROR(INDEX(ENVIOS!$F$4:$F$3003,MATCH($C1283,ENVIOS!$A$4:$A$3003,0)),"—"))</f>
        <v/>
      </c>
      <c r="I1283" s="27">
        <f>IF($C1283="","",IFERROR(INDEX(ENVIOS!$G$4:$G$3003,MATCH($C1283,ENVIOS!$A$4:$A$3003,0)),"—"))</f>
        <v/>
      </c>
      <c r="J1283" s="48">
        <f>IF($C1283="","",IFERROR(INDEX(ENVIOS!$B$4:$B$3003,MATCH($C1283,ENVIOS!$A$4:$A$3003,0)),""))</f>
        <v/>
      </c>
      <c r="K1283" s="49" t="n"/>
      <c r="L1283" s="27">
        <f>IF($K1283="","",IFERROR(INDEX(CONFIG!$B$4:$B$43,MATCH($K1283,CONFIG!$A$4:$A$43,0)),"Media"))</f>
        <v/>
      </c>
      <c r="M1283" s="27">
        <f>IF($K1283="","",IFERROR(INDEX(CONFIG!$D$4:$D$43,MATCH($K1283,CONFIG!$A$4:$A$43,0)),"NO"))</f>
        <v/>
      </c>
      <c r="N1283" s="49" t="n"/>
      <c r="O1283" s="27">
        <f>IF($N1283="","",IFERROR(INDEX(CONFIG!$G$4:$G$43,MATCH($N1283,CONFIG!$F$4:$F$43,0)),"Por definir"))</f>
        <v/>
      </c>
      <c r="P1283" s="27">
        <f>IF($N1283="","",IFERROR(INDEX(CONFIG!$H$4:$H$43,MATCH($N1283,CONFIG!$F$4:$F$43,0)),"Por definir"))</f>
        <v/>
      </c>
      <c r="Q1283" s="50" t="n"/>
      <c r="R1283" s="51" t="n"/>
      <c r="S1283" s="49" t="n"/>
      <c r="T1283" s="49" t="n"/>
      <c r="U1283" s="48">
        <f>IF(OR($B1283="",$K1283=""),"",WORKDAY($B1283,IFERROR(INDEX(CONFIG!$C$4:$C$43,MATCH($K1283,CONFIG!$A$4:$A$43,0)),3)))</f>
        <v/>
      </c>
      <c r="V1283" s="46" t="n"/>
      <c r="W1283" s="23">
        <f>IF($B1283="","",IF($V1283&lt;&gt;"",$V1283-$B1283,TODAY()-$B1283))</f>
        <v/>
      </c>
      <c r="X1283" s="27">
        <f>IF($C1283="","",IF(IFERROR(INDEX(CONFIG!$K$4:$K$43,MATCH($S1283,CONFIG!$J$4:$J$43,0)),"NO")="SÍ",IF(OR($V1283="",$U1283=""),"Resuelta",IF($V1283&gt;$U1283,"Resuelta tarde","Resuelta a tiempo")),IF($U1283="","Sin clasificar",IF(TODAY()&gt;$U1283,"Vencida",IF(TODAY()&gt;=$U1283-1,"Por vencer","En plazo")))))</f>
        <v/>
      </c>
      <c r="Y1283" s="49" t="n"/>
      <c r="Z1283" s="49" t="n"/>
    </row>
    <row r="1284" ht="16" customHeight="1">
      <c r="A1284" s="27">
        <f>IF($C1284="","","N-"&amp;TEXT(ROW()-3,"0000"))</f>
        <v/>
      </c>
      <c r="B1284" s="46" t="n"/>
      <c r="C1284" s="47" t="n"/>
      <c r="D1284" s="27">
        <f>IF($C1284="","",IF(COUNTIFS(ENVIOS!$A$4:$A$3003,$C1284)=0,"NO EXISTE",IF(COUNTIFS(ENVIOS!$A$4:$A$3003,$C1284)&gt;1,"DUPLICADA","OK")))</f>
        <v/>
      </c>
      <c r="E1284" s="22">
        <f>IF($C1284="","",IFERROR(INDEX(ENVIOS!$C$4:$C$3003,MATCH($C1284,ENVIOS!$A$4:$A$3003,0)),"—"))</f>
        <v/>
      </c>
      <c r="F1284" s="22">
        <f>IF($C1284="","",IFERROR(INDEX(ENVIOS!$D$4:$D$3003,MATCH($C1284,ENVIOS!$A$4:$A$3003,0)),"—"))</f>
        <v/>
      </c>
      <c r="G1284" s="22">
        <f>IF($C1284="","",IFERROR(INDEX(ENVIOS!$E$4:$E$3003,MATCH($C1284,ENVIOS!$A$4:$A$3003,0)),"—"))</f>
        <v/>
      </c>
      <c r="H1284" s="22">
        <f>IF($C1284="","",IFERROR(INDEX(ENVIOS!$F$4:$F$3003,MATCH($C1284,ENVIOS!$A$4:$A$3003,0)),"—"))</f>
        <v/>
      </c>
      <c r="I1284" s="27">
        <f>IF($C1284="","",IFERROR(INDEX(ENVIOS!$G$4:$G$3003,MATCH($C1284,ENVIOS!$A$4:$A$3003,0)),"—"))</f>
        <v/>
      </c>
      <c r="J1284" s="48">
        <f>IF($C1284="","",IFERROR(INDEX(ENVIOS!$B$4:$B$3003,MATCH($C1284,ENVIOS!$A$4:$A$3003,0)),""))</f>
        <v/>
      </c>
      <c r="K1284" s="49" t="n"/>
      <c r="L1284" s="27">
        <f>IF($K1284="","",IFERROR(INDEX(CONFIG!$B$4:$B$43,MATCH($K1284,CONFIG!$A$4:$A$43,0)),"Media"))</f>
        <v/>
      </c>
      <c r="M1284" s="27">
        <f>IF($K1284="","",IFERROR(INDEX(CONFIG!$D$4:$D$43,MATCH($K1284,CONFIG!$A$4:$A$43,0)),"NO"))</f>
        <v/>
      </c>
      <c r="N1284" s="49" t="n"/>
      <c r="O1284" s="27">
        <f>IF($N1284="","",IFERROR(INDEX(CONFIG!$G$4:$G$43,MATCH($N1284,CONFIG!$F$4:$F$43,0)),"Por definir"))</f>
        <v/>
      </c>
      <c r="P1284" s="27">
        <f>IF($N1284="","",IFERROR(INDEX(CONFIG!$H$4:$H$43,MATCH($N1284,CONFIG!$F$4:$F$43,0)),"Por definir"))</f>
        <v/>
      </c>
      <c r="Q1284" s="50" t="n"/>
      <c r="R1284" s="51" t="n"/>
      <c r="S1284" s="49" t="n"/>
      <c r="T1284" s="49" t="n"/>
      <c r="U1284" s="48">
        <f>IF(OR($B1284="",$K1284=""),"",WORKDAY($B1284,IFERROR(INDEX(CONFIG!$C$4:$C$43,MATCH($K1284,CONFIG!$A$4:$A$43,0)),3)))</f>
        <v/>
      </c>
      <c r="V1284" s="46" t="n"/>
      <c r="W1284" s="23">
        <f>IF($B1284="","",IF($V1284&lt;&gt;"",$V1284-$B1284,TODAY()-$B1284))</f>
        <v/>
      </c>
      <c r="X1284" s="27">
        <f>IF($C1284="","",IF(IFERROR(INDEX(CONFIG!$K$4:$K$43,MATCH($S1284,CONFIG!$J$4:$J$43,0)),"NO")="SÍ",IF(OR($V1284="",$U1284=""),"Resuelta",IF($V1284&gt;$U1284,"Resuelta tarde","Resuelta a tiempo")),IF($U1284="","Sin clasificar",IF(TODAY()&gt;$U1284,"Vencida",IF(TODAY()&gt;=$U1284-1,"Por vencer","En plazo")))))</f>
        <v/>
      </c>
      <c r="Y1284" s="49" t="n"/>
      <c r="Z1284" s="49" t="n"/>
    </row>
    <row r="1285" ht="16" customHeight="1">
      <c r="A1285" s="27">
        <f>IF($C1285="","","N-"&amp;TEXT(ROW()-3,"0000"))</f>
        <v/>
      </c>
      <c r="B1285" s="46" t="n"/>
      <c r="C1285" s="47" t="n"/>
      <c r="D1285" s="27">
        <f>IF($C1285="","",IF(COUNTIFS(ENVIOS!$A$4:$A$3003,$C1285)=0,"NO EXISTE",IF(COUNTIFS(ENVIOS!$A$4:$A$3003,$C1285)&gt;1,"DUPLICADA","OK")))</f>
        <v/>
      </c>
      <c r="E1285" s="22">
        <f>IF($C1285="","",IFERROR(INDEX(ENVIOS!$C$4:$C$3003,MATCH($C1285,ENVIOS!$A$4:$A$3003,0)),"—"))</f>
        <v/>
      </c>
      <c r="F1285" s="22">
        <f>IF($C1285="","",IFERROR(INDEX(ENVIOS!$D$4:$D$3003,MATCH($C1285,ENVIOS!$A$4:$A$3003,0)),"—"))</f>
        <v/>
      </c>
      <c r="G1285" s="22">
        <f>IF($C1285="","",IFERROR(INDEX(ENVIOS!$E$4:$E$3003,MATCH($C1285,ENVIOS!$A$4:$A$3003,0)),"—"))</f>
        <v/>
      </c>
      <c r="H1285" s="22">
        <f>IF($C1285="","",IFERROR(INDEX(ENVIOS!$F$4:$F$3003,MATCH($C1285,ENVIOS!$A$4:$A$3003,0)),"—"))</f>
        <v/>
      </c>
      <c r="I1285" s="27">
        <f>IF($C1285="","",IFERROR(INDEX(ENVIOS!$G$4:$G$3003,MATCH($C1285,ENVIOS!$A$4:$A$3003,0)),"—"))</f>
        <v/>
      </c>
      <c r="J1285" s="48">
        <f>IF($C1285="","",IFERROR(INDEX(ENVIOS!$B$4:$B$3003,MATCH($C1285,ENVIOS!$A$4:$A$3003,0)),""))</f>
        <v/>
      </c>
      <c r="K1285" s="49" t="n"/>
      <c r="L1285" s="27">
        <f>IF($K1285="","",IFERROR(INDEX(CONFIG!$B$4:$B$43,MATCH($K1285,CONFIG!$A$4:$A$43,0)),"Media"))</f>
        <v/>
      </c>
      <c r="M1285" s="27">
        <f>IF($K1285="","",IFERROR(INDEX(CONFIG!$D$4:$D$43,MATCH($K1285,CONFIG!$A$4:$A$43,0)),"NO"))</f>
        <v/>
      </c>
      <c r="N1285" s="49" t="n"/>
      <c r="O1285" s="27">
        <f>IF($N1285="","",IFERROR(INDEX(CONFIG!$G$4:$G$43,MATCH($N1285,CONFIG!$F$4:$F$43,0)),"Por definir"))</f>
        <v/>
      </c>
      <c r="P1285" s="27">
        <f>IF($N1285="","",IFERROR(INDEX(CONFIG!$H$4:$H$43,MATCH($N1285,CONFIG!$F$4:$F$43,0)),"Por definir"))</f>
        <v/>
      </c>
      <c r="Q1285" s="50" t="n"/>
      <c r="R1285" s="51" t="n"/>
      <c r="S1285" s="49" t="n"/>
      <c r="T1285" s="49" t="n"/>
      <c r="U1285" s="48">
        <f>IF(OR($B1285="",$K1285=""),"",WORKDAY($B1285,IFERROR(INDEX(CONFIG!$C$4:$C$43,MATCH($K1285,CONFIG!$A$4:$A$43,0)),3)))</f>
        <v/>
      </c>
      <c r="V1285" s="46" t="n"/>
      <c r="W1285" s="23">
        <f>IF($B1285="","",IF($V1285&lt;&gt;"",$V1285-$B1285,TODAY()-$B1285))</f>
        <v/>
      </c>
      <c r="X1285" s="27">
        <f>IF($C1285="","",IF(IFERROR(INDEX(CONFIG!$K$4:$K$43,MATCH($S1285,CONFIG!$J$4:$J$43,0)),"NO")="SÍ",IF(OR($V1285="",$U1285=""),"Resuelta",IF($V1285&gt;$U1285,"Resuelta tarde","Resuelta a tiempo")),IF($U1285="","Sin clasificar",IF(TODAY()&gt;$U1285,"Vencida",IF(TODAY()&gt;=$U1285-1,"Por vencer","En plazo")))))</f>
        <v/>
      </c>
      <c r="Y1285" s="49" t="n"/>
      <c r="Z1285" s="49" t="n"/>
    </row>
    <row r="1286" ht="16" customHeight="1">
      <c r="A1286" s="27">
        <f>IF($C1286="","","N-"&amp;TEXT(ROW()-3,"0000"))</f>
        <v/>
      </c>
      <c r="B1286" s="46" t="n"/>
      <c r="C1286" s="47" t="n"/>
      <c r="D1286" s="27">
        <f>IF($C1286="","",IF(COUNTIFS(ENVIOS!$A$4:$A$3003,$C1286)=0,"NO EXISTE",IF(COUNTIFS(ENVIOS!$A$4:$A$3003,$C1286)&gt;1,"DUPLICADA","OK")))</f>
        <v/>
      </c>
      <c r="E1286" s="22">
        <f>IF($C1286="","",IFERROR(INDEX(ENVIOS!$C$4:$C$3003,MATCH($C1286,ENVIOS!$A$4:$A$3003,0)),"—"))</f>
        <v/>
      </c>
      <c r="F1286" s="22">
        <f>IF($C1286="","",IFERROR(INDEX(ENVIOS!$D$4:$D$3003,MATCH($C1286,ENVIOS!$A$4:$A$3003,0)),"—"))</f>
        <v/>
      </c>
      <c r="G1286" s="22">
        <f>IF($C1286="","",IFERROR(INDEX(ENVIOS!$E$4:$E$3003,MATCH($C1286,ENVIOS!$A$4:$A$3003,0)),"—"))</f>
        <v/>
      </c>
      <c r="H1286" s="22">
        <f>IF($C1286="","",IFERROR(INDEX(ENVIOS!$F$4:$F$3003,MATCH($C1286,ENVIOS!$A$4:$A$3003,0)),"—"))</f>
        <v/>
      </c>
      <c r="I1286" s="27">
        <f>IF($C1286="","",IFERROR(INDEX(ENVIOS!$G$4:$G$3003,MATCH($C1286,ENVIOS!$A$4:$A$3003,0)),"—"))</f>
        <v/>
      </c>
      <c r="J1286" s="48">
        <f>IF($C1286="","",IFERROR(INDEX(ENVIOS!$B$4:$B$3003,MATCH($C1286,ENVIOS!$A$4:$A$3003,0)),""))</f>
        <v/>
      </c>
      <c r="K1286" s="49" t="n"/>
      <c r="L1286" s="27">
        <f>IF($K1286="","",IFERROR(INDEX(CONFIG!$B$4:$B$43,MATCH($K1286,CONFIG!$A$4:$A$43,0)),"Media"))</f>
        <v/>
      </c>
      <c r="M1286" s="27">
        <f>IF($K1286="","",IFERROR(INDEX(CONFIG!$D$4:$D$43,MATCH($K1286,CONFIG!$A$4:$A$43,0)),"NO"))</f>
        <v/>
      </c>
      <c r="N1286" s="49" t="n"/>
      <c r="O1286" s="27">
        <f>IF($N1286="","",IFERROR(INDEX(CONFIG!$G$4:$G$43,MATCH($N1286,CONFIG!$F$4:$F$43,0)),"Por definir"))</f>
        <v/>
      </c>
      <c r="P1286" s="27">
        <f>IF($N1286="","",IFERROR(INDEX(CONFIG!$H$4:$H$43,MATCH($N1286,CONFIG!$F$4:$F$43,0)),"Por definir"))</f>
        <v/>
      </c>
      <c r="Q1286" s="50" t="n"/>
      <c r="R1286" s="51" t="n"/>
      <c r="S1286" s="49" t="n"/>
      <c r="T1286" s="49" t="n"/>
      <c r="U1286" s="48">
        <f>IF(OR($B1286="",$K1286=""),"",WORKDAY($B1286,IFERROR(INDEX(CONFIG!$C$4:$C$43,MATCH($K1286,CONFIG!$A$4:$A$43,0)),3)))</f>
        <v/>
      </c>
      <c r="V1286" s="46" t="n"/>
      <c r="W1286" s="23">
        <f>IF($B1286="","",IF($V1286&lt;&gt;"",$V1286-$B1286,TODAY()-$B1286))</f>
        <v/>
      </c>
      <c r="X1286" s="27">
        <f>IF($C1286="","",IF(IFERROR(INDEX(CONFIG!$K$4:$K$43,MATCH($S1286,CONFIG!$J$4:$J$43,0)),"NO")="SÍ",IF(OR($V1286="",$U1286=""),"Resuelta",IF($V1286&gt;$U1286,"Resuelta tarde","Resuelta a tiempo")),IF($U1286="","Sin clasificar",IF(TODAY()&gt;$U1286,"Vencida",IF(TODAY()&gt;=$U1286-1,"Por vencer","En plazo")))))</f>
        <v/>
      </c>
      <c r="Y1286" s="49" t="n"/>
      <c r="Z1286" s="49" t="n"/>
    </row>
    <row r="1287" ht="16" customHeight="1">
      <c r="A1287" s="27">
        <f>IF($C1287="","","N-"&amp;TEXT(ROW()-3,"0000"))</f>
        <v/>
      </c>
      <c r="B1287" s="46" t="n"/>
      <c r="C1287" s="47" t="n"/>
      <c r="D1287" s="27">
        <f>IF($C1287="","",IF(COUNTIFS(ENVIOS!$A$4:$A$3003,$C1287)=0,"NO EXISTE",IF(COUNTIFS(ENVIOS!$A$4:$A$3003,$C1287)&gt;1,"DUPLICADA","OK")))</f>
        <v/>
      </c>
      <c r="E1287" s="22">
        <f>IF($C1287="","",IFERROR(INDEX(ENVIOS!$C$4:$C$3003,MATCH($C1287,ENVIOS!$A$4:$A$3003,0)),"—"))</f>
        <v/>
      </c>
      <c r="F1287" s="22">
        <f>IF($C1287="","",IFERROR(INDEX(ENVIOS!$D$4:$D$3003,MATCH($C1287,ENVIOS!$A$4:$A$3003,0)),"—"))</f>
        <v/>
      </c>
      <c r="G1287" s="22">
        <f>IF($C1287="","",IFERROR(INDEX(ENVIOS!$E$4:$E$3003,MATCH($C1287,ENVIOS!$A$4:$A$3003,0)),"—"))</f>
        <v/>
      </c>
      <c r="H1287" s="22">
        <f>IF($C1287="","",IFERROR(INDEX(ENVIOS!$F$4:$F$3003,MATCH($C1287,ENVIOS!$A$4:$A$3003,0)),"—"))</f>
        <v/>
      </c>
      <c r="I1287" s="27">
        <f>IF($C1287="","",IFERROR(INDEX(ENVIOS!$G$4:$G$3003,MATCH($C1287,ENVIOS!$A$4:$A$3003,0)),"—"))</f>
        <v/>
      </c>
      <c r="J1287" s="48">
        <f>IF($C1287="","",IFERROR(INDEX(ENVIOS!$B$4:$B$3003,MATCH($C1287,ENVIOS!$A$4:$A$3003,0)),""))</f>
        <v/>
      </c>
      <c r="K1287" s="49" t="n"/>
      <c r="L1287" s="27">
        <f>IF($K1287="","",IFERROR(INDEX(CONFIG!$B$4:$B$43,MATCH($K1287,CONFIG!$A$4:$A$43,0)),"Media"))</f>
        <v/>
      </c>
      <c r="M1287" s="27">
        <f>IF($K1287="","",IFERROR(INDEX(CONFIG!$D$4:$D$43,MATCH($K1287,CONFIG!$A$4:$A$43,0)),"NO"))</f>
        <v/>
      </c>
      <c r="N1287" s="49" t="n"/>
      <c r="O1287" s="27">
        <f>IF($N1287="","",IFERROR(INDEX(CONFIG!$G$4:$G$43,MATCH($N1287,CONFIG!$F$4:$F$43,0)),"Por definir"))</f>
        <v/>
      </c>
      <c r="P1287" s="27">
        <f>IF($N1287="","",IFERROR(INDEX(CONFIG!$H$4:$H$43,MATCH($N1287,CONFIG!$F$4:$F$43,0)),"Por definir"))</f>
        <v/>
      </c>
      <c r="Q1287" s="50" t="n"/>
      <c r="R1287" s="51" t="n"/>
      <c r="S1287" s="49" t="n"/>
      <c r="T1287" s="49" t="n"/>
      <c r="U1287" s="48">
        <f>IF(OR($B1287="",$K1287=""),"",WORKDAY($B1287,IFERROR(INDEX(CONFIG!$C$4:$C$43,MATCH($K1287,CONFIG!$A$4:$A$43,0)),3)))</f>
        <v/>
      </c>
      <c r="V1287" s="46" t="n"/>
      <c r="W1287" s="23">
        <f>IF($B1287="","",IF($V1287&lt;&gt;"",$V1287-$B1287,TODAY()-$B1287))</f>
        <v/>
      </c>
      <c r="X1287" s="27">
        <f>IF($C1287="","",IF(IFERROR(INDEX(CONFIG!$K$4:$K$43,MATCH($S1287,CONFIG!$J$4:$J$43,0)),"NO")="SÍ",IF(OR($V1287="",$U1287=""),"Resuelta",IF($V1287&gt;$U1287,"Resuelta tarde","Resuelta a tiempo")),IF($U1287="","Sin clasificar",IF(TODAY()&gt;$U1287,"Vencida",IF(TODAY()&gt;=$U1287-1,"Por vencer","En plazo")))))</f>
        <v/>
      </c>
      <c r="Y1287" s="49" t="n"/>
      <c r="Z1287" s="49" t="n"/>
    </row>
    <row r="1288" ht="16" customHeight="1">
      <c r="A1288" s="27">
        <f>IF($C1288="","","N-"&amp;TEXT(ROW()-3,"0000"))</f>
        <v/>
      </c>
      <c r="B1288" s="46" t="n"/>
      <c r="C1288" s="47" t="n"/>
      <c r="D1288" s="27">
        <f>IF($C1288="","",IF(COUNTIFS(ENVIOS!$A$4:$A$3003,$C1288)=0,"NO EXISTE",IF(COUNTIFS(ENVIOS!$A$4:$A$3003,$C1288)&gt;1,"DUPLICADA","OK")))</f>
        <v/>
      </c>
      <c r="E1288" s="22">
        <f>IF($C1288="","",IFERROR(INDEX(ENVIOS!$C$4:$C$3003,MATCH($C1288,ENVIOS!$A$4:$A$3003,0)),"—"))</f>
        <v/>
      </c>
      <c r="F1288" s="22">
        <f>IF($C1288="","",IFERROR(INDEX(ENVIOS!$D$4:$D$3003,MATCH($C1288,ENVIOS!$A$4:$A$3003,0)),"—"))</f>
        <v/>
      </c>
      <c r="G1288" s="22">
        <f>IF($C1288="","",IFERROR(INDEX(ENVIOS!$E$4:$E$3003,MATCH($C1288,ENVIOS!$A$4:$A$3003,0)),"—"))</f>
        <v/>
      </c>
      <c r="H1288" s="22">
        <f>IF($C1288="","",IFERROR(INDEX(ENVIOS!$F$4:$F$3003,MATCH($C1288,ENVIOS!$A$4:$A$3003,0)),"—"))</f>
        <v/>
      </c>
      <c r="I1288" s="27">
        <f>IF($C1288="","",IFERROR(INDEX(ENVIOS!$G$4:$G$3003,MATCH($C1288,ENVIOS!$A$4:$A$3003,0)),"—"))</f>
        <v/>
      </c>
      <c r="J1288" s="48">
        <f>IF($C1288="","",IFERROR(INDEX(ENVIOS!$B$4:$B$3003,MATCH($C1288,ENVIOS!$A$4:$A$3003,0)),""))</f>
        <v/>
      </c>
      <c r="K1288" s="49" t="n"/>
      <c r="L1288" s="27">
        <f>IF($K1288="","",IFERROR(INDEX(CONFIG!$B$4:$B$43,MATCH($K1288,CONFIG!$A$4:$A$43,0)),"Media"))</f>
        <v/>
      </c>
      <c r="M1288" s="27">
        <f>IF($K1288="","",IFERROR(INDEX(CONFIG!$D$4:$D$43,MATCH($K1288,CONFIG!$A$4:$A$43,0)),"NO"))</f>
        <v/>
      </c>
      <c r="N1288" s="49" t="n"/>
      <c r="O1288" s="27">
        <f>IF($N1288="","",IFERROR(INDEX(CONFIG!$G$4:$G$43,MATCH($N1288,CONFIG!$F$4:$F$43,0)),"Por definir"))</f>
        <v/>
      </c>
      <c r="P1288" s="27">
        <f>IF($N1288="","",IFERROR(INDEX(CONFIG!$H$4:$H$43,MATCH($N1288,CONFIG!$F$4:$F$43,0)),"Por definir"))</f>
        <v/>
      </c>
      <c r="Q1288" s="50" t="n"/>
      <c r="R1288" s="51" t="n"/>
      <c r="S1288" s="49" t="n"/>
      <c r="T1288" s="49" t="n"/>
      <c r="U1288" s="48">
        <f>IF(OR($B1288="",$K1288=""),"",WORKDAY($B1288,IFERROR(INDEX(CONFIG!$C$4:$C$43,MATCH($K1288,CONFIG!$A$4:$A$43,0)),3)))</f>
        <v/>
      </c>
      <c r="V1288" s="46" t="n"/>
      <c r="W1288" s="23">
        <f>IF($B1288="","",IF($V1288&lt;&gt;"",$V1288-$B1288,TODAY()-$B1288))</f>
        <v/>
      </c>
      <c r="X1288" s="27">
        <f>IF($C1288="","",IF(IFERROR(INDEX(CONFIG!$K$4:$K$43,MATCH($S1288,CONFIG!$J$4:$J$43,0)),"NO")="SÍ",IF(OR($V1288="",$U1288=""),"Resuelta",IF($V1288&gt;$U1288,"Resuelta tarde","Resuelta a tiempo")),IF($U1288="","Sin clasificar",IF(TODAY()&gt;$U1288,"Vencida",IF(TODAY()&gt;=$U1288-1,"Por vencer","En plazo")))))</f>
        <v/>
      </c>
      <c r="Y1288" s="49" t="n"/>
      <c r="Z1288" s="49" t="n"/>
    </row>
    <row r="1289" ht="16" customHeight="1">
      <c r="A1289" s="27">
        <f>IF($C1289="","","N-"&amp;TEXT(ROW()-3,"0000"))</f>
        <v/>
      </c>
      <c r="B1289" s="46" t="n"/>
      <c r="C1289" s="47" t="n"/>
      <c r="D1289" s="27">
        <f>IF($C1289="","",IF(COUNTIFS(ENVIOS!$A$4:$A$3003,$C1289)=0,"NO EXISTE",IF(COUNTIFS(ENVIOS!$A$4:$A$3003,$C1289)&gt;1,"DUPLICADA","OK")))</f>
        <v/>
      </c>
      <c r="E1289" s="22">
        <f>IF($C1289="","",IFERROR(INDEX(ENVIOS!$C$4:$C$3003,MATCH($C1289,ENVIOS!$A$4:$A$3003,0)),"—"))</f>
        <v/>
      </c>
      <c r="F1289" s="22">
        <f>IF($C1289="","",IFERROR(INDEX(ENVIOS!$D$4:$D$3003,MATCH($C1289,ENVIOS!$A$4:$A$3003,0)),"—"))</f>
        <v/>
      </c>
      <c r="G1289" s="22">
        <f>IF($C1289="","",IFERROR(INDEX(ENVIOS!$E$4:$E$3003,MATCH($C1289,ENVIOS!$A$4:$A$3003,0)),"—"))</f>
        <v/>
      </c>
      <c r="H1289" s="22">
        <f>IF($C1289="","",IFERROR(INDEX(ENVIOS!$F$4:$F$3003,MATCH($C1289,ENVIOS!$A$4:$A$3003,0)),"—"))</f>
        <v/>
      </c>
      <c r="I1289" s="27">
        <f>IF($C1289="","",IFERROR(INDEX(ENVIOS!$G$4:$G$3003,MATCH($C1289,ENVIOS!$A$4:$A$3003,0)),"—"))</f>
        <v/>
      </c>
      <c r="J1289" s="48">
        <f>IF($C1289="","",IFERROR(INDEX(ENVIOS!$B$4:$B$3003,MATCH($C1289,ENVIOS!$A$4:$A$3003,0)),""))</f>
        <v/>
      </c>
      <c r="K1289" s="49" t="n"/>
      <c r="L1289" s="27">
        <f>IF($K1289="","",IFERROR(INDEX(CONFIG!$B$4:$B$43,MATCH($K1289,CONFIG!$A$4:$A$43,0)),"Media"))</f>
        <v/>
      </c>
      <c r="M1289" s="27">
        <f>IF($K1289="","",IFERROR(INDEX(CONFIG!$D$4:$D$43,MATCH($K1289,CONFIG!$A$4:$A$43,0)),"NO"))</f>
        <v/>
      </c>
      <c r="N1289" s="49" t="n"/>
      <c r="O1289" s="27">
        <f>IF($N1289="","",IFERROR(INDEX(CONFIG!$G$4:$G$43,MATCH($N1289,CONFIG!$F$4:$F$43,0)),"Por definir"))</f>
        <v/>
      </c>
      <c r="P1289" s="27">
        <f>IF($N1289="","",IFERROR(INDEX(CONFIG!$H$4:$H$43,MATCH($N1289,CONFIG!$F$4:$F$43,0)),"Por definir"))</f>
        <v/>
      </c>
      <c r="Q1289" s="50" t="n"/>
      <c r="R1289" s="51" t="n"/>
      <c r="S1289" s="49" t="n"/>
      <c r="T1289" s="49" t="n"/>
      <c r="U1289" s="48">
        <f>IF(OR($B1289="",$K1289=""),"",WORKDAY($B1289,IFERROR(INDEX(CONFIG!$C$4:$C$43,MATCH($K1289,CONFIG!$A$4:$A$43,0)),3)))</f>
        <v/>
      </c>
      <c r="V1289" s="46" t="n"/>
      <c r="W1289" s="23">
        <f>IF($B1289="","",IF($V1289&lt;&gt;"",$V1289-$B1289,TODAY()-$B1289))</f>
        <v/>
      </c>
      <c r="X1289" s="27">
        <f>IF($C1289="","",IF(IFERROR(INDEX(CONFIG!$K$4:$K$43,MATCH($S1289,CONFIG!$J$4:$J$43,0)),"NO")="SÍ",IF(OR($V1289="",$U1289=""),"Resuelta",IF($V1289&gt;$U1289,"Resuelta tarde","Resuelta a tiempo")),IF($U1289="","Sin clasificar",IF(TODAY()&gt;$U1289,"Vencida",IF(TODAY()&gt;=$U1289-1,"Por vencer","En plazo")))))</f>
        <v/>
      </c>
      <c r="Y1289" s="49" t="n"/>
      <c r="Z1289" s="49" t="n"/>
    </row>
    <row r="1290" ht="16" customHeight="1">
      <c r="A1290" s="27">
        <f>IF($C1290="","","N-"&amp;TEXT(ROW()-3,"0000"))</f>
        <v/>
      </c>
      <c r="B1290" s="46" t="n"/>
      <c r="C1290" s="47" t="n"/>
      <c r="D1290" s="27">
        <f>IF($C1290="","",IF(COUNTIFS(ENVIOS!$A$4:$A$3003,$C1290)=0,"NO EXISTE",IF(COUNTIFS(ENVIOS!$A$4:$A$3003,$C1290)&gt;1,"DUPLICADA","OK")))</f>
        <v/>
      </c>
      <c r="E1290" s="22">
        <f>IF($C1290="","",IFERROR(INDEX(ENVIOS!$C$4:$C$3003,MATCH($C1290,ENVIOS!$A$4:$A$3003,0)),"—"))</f>
        <v/>
      </c>
      <c r="F1290" s="22">
        <f>IF($C1290="","",IFERROR(INDEX(ENVIOS!$D$4:$D$3003,MATCH($C1290,ENVIOS!$A$4:$A$3003,0)),"—"))</f>
        <v/>
      </c>
      <c r="G1290" s="22">
        <f>IF($C1290="","",IFERROR(INDEX(ENVIOS!$E$4:$E$3003,MATCH($C1290,ENVIOS!$A$4:$A$3003,0)),"—"))</f>
        <v/>
      </c>
      <c r="H1290" s="22">
        <f>IF($C1290="","",IFERROR(INDEX(ENVIOS!$F$4:$F$3003,MATCH($C1290,ENVIOS!$A$4:$A$3003,0)),"—"))</f>
        <v/>
      </c>
      <c r="I1290" s="27">
        <f>IF($C1290="","",IFERROR(INDEX(ENVIOS!$G$4:$G$3003,MATCH($C1290,ENVIOS!$A$4:$A$3003,0)),"—"))</f>
        <v/>
      </c>
      <c r="J1290" s="48">
        <f>IF($C1290="","",IFERROR(INDEX(ENVIOS!$B$4:$B$3003,MATCH($C1290,ENVIOS!$A$4:$A$3003,0)),""))</f>
        <v/>
      </c>
      <c r="K1290" s="49" t="n"/>
      <c r="L1290" s="27">
        <f>IF($K1290="","",IFERROR(INDEX(CONFIG!$B$4:$B$43,MATCH($K1290,CONFIG!$A$4:$A$43,0)),"Media"))</f>
        <v/>
      </c>
      <c r="M1290" s="27">
        <f>IF($K1290="","",IFERROR(INDEX(CONFIG!$D$4:$D$43,MATCH($K1290,CONFIG!$A$4:$A$43,0)),"NO"))</f>
        <v/>
      </c>
      <c r="N1290" s="49" t="n"/>
      <c r="O1290" s="27">
        <f>IF($N1290="","",IFERROR(INDEX(CONFIG!$G$4:$G$43,MATCH($N1290,CONFIG!$F$4:$F$43,0)),"Por definir"))</f>
        <v/>
      </c>
      <c r="P1290" s="27">
        <f>IF($N1290="","",IFERROR(INDEX(CONFIG!$H$4:$H$43,MATCH($N1290,CONFIG!$F$4:$F$43,0)),"Por definir"))</f>
        <v/>
      </c>
      <c r="Q1290" s="50" t="n"/>
      <c r="R1290" s="51" t="n"/>
      <c r="S1290" s="49" t="n"/>
      <c r="T1290" s="49" t="n"/>
      <c r="U1290" s="48">
        <f>IF(OR($B1290="",$K1290=""),"",WORKDAY($B1290,IFERROR(INDEX(CONFIG!$C$4:$C$43,MATCH($K1290,CONFIG!$A$4:$A$43,0)),3)))</f>
        <v/>
      </c>
      <c r="V1290" s="46" t="n"/>
      <c r="W1290" s="23">
        <f>IF($B1290="","",IF($V1290&lt;&gt;"",$V1290-$B1290,TODAY()-$B1290))</f>
        <v/>
      </c>
      <c r="X1290" s="27">
        <f>IF($C1290="","",IF(IFERROR(INDEX(CONFIG!$K$4:$K$43,MATCH($S1290,CONFIG!$J$4:$J$43,0)),"NO")="SÍ",IF(OR($V1290="",$U1290=""),"Resuelta",IF($V1290&gt;$U1290,"Resuelta tarde","Resuelta a tiempo")),IF($U1290="","Sin clasificar",IF(TODAY()&gt;$U1290,"Vencida",IF(TODAY()&gt;=$U1290-1,"Por vencer","En plazo")))))</f>
        <v/>
      </c>
      <c r="Y1290" s="49" t="n"/>
      <c r="Z1290" s="49" t="n"/>
    </row>
    <row r="1291" ht="16" customHeight="1">
      <c r="A1291" s="27">
        <f>IF($C1291="","","N-"&amp;TEXT(ROW()-3,"0000"))</f>
        <v/>
      </c>
      <c r="B1291" s="46" t="n"/>
      <c r="C1291" s="47" t="n"/>
      <c r="D1291" s="27">
        <f>IF($C1291="","",IF(COUNTIFS(ENVIOS!$A$4:$A$3003,$C1291)=0,"NO EXISTE",IF(COUNTIFS(ENVIOS!$A$4:$A$3003,$C1291)&gt;1,"DUPLICADA","OK")))</f>
        <v/>
      </c>
      <c r="E1291" s="22">
        <f>IF($C1291="","",IFERROR(INDEX(ENVIOS!$C$4:$C$3003,MATCH($C1291,ENVIOS!$A$4:$A$3003,0)),"—"))</f>
        <v/>
      </c>
      <c r="F1291" s="22">
        <f>IF($C1291="","",IFERROR(INDEX(ENVIOS!$D$4:$D$3003,MATCH($C1291,ENVIOS!$A$4:$A$3003,0)),"—"))</f>
        <v/>
      </c>
      <c r="G1291" s="22">
        <f>IF($C1291="","",IFERROR(INDEX(ENVIOS!$E$4:$E$3003,MATCH($C1291,ENVIOS!$A$4:$A$3003,0)),"—"))</f>
        <v/>
      </c>
      <c r="H1291" s="22">
        <f>IF($C1291="","",IFERROR(INDEX(ENVIOS!$F$4:$F$3003,MATCH($C1291,ENVIOS!$A$4:$A$3003,0)),"—"))</f>
        <v/>
      </c>
      <c r="I1291" s="27">
        <f>IF($C1291="","",IFERROR(INDEX(ENVIOS!$G$4:$G$3003,MATCH($C1291,ENVIOS!$A$4:$A$3003,0)),"—"))</f>
        <v/>
      </c>
      <c r="J1291" s="48">
        <f>IF($C1291="","",IFERROR(INDEX(ENVIOS!$B$4:$B$3003,MATCH($C1291,ENVIOS!$A$4:$A$3003,0)),""))</f>
        <v/>
      </c>
      <c r="K1291" s="49" t="n"/>
      <c r="L1291" s="27">
        <f>IF($K1291="","",IFERROR(INDEX(CONFIG!$B$4:$B$43,MATCH($K1291,CONFIG!$A$4:$A$43,0)),"Media"))</f>
        <v/>
      </c>
      <c r="M1291" s="27">
        <f>IF($K1291="","",IFERROR(INDEX(CONFIG!$D$4:$D$43,MATCH($K1291,CONFIG!$A$4:$A$43,0)),"NO"))</f>
        <v/>
      </c>
      <c r="N1291" s="49" t="n"/>
      <c r="O1291" s="27">
        <f>IF($N1291="","",IFERROR(INDEX(CONFIG!$G$4:$G$43,MATCH($N1291,CONFIG!$F$4:$F$43,0)),"Por definir"))</f>
        <v/>
      </c>
      <c r="P1291" s="27">
        <f>IF($N1291="","",IFERROR(INDEX(CONFIG!$H$4:$H$43,MATCH($N1291,CONFIG!$F$4:$F$43,0)),"Por definir"))</f>
        <v/>
      </c>
      <c r="Q1291" s="50" t="n"/>
      <c r="R1291" s="51" t="n"/>
      <c r="S1291" s="49" t="n"/>
      <c r="T1291" s="49" t="n"/>
      <c r="U1291" s="48">
        <f>IF(OR($B1291="",$K1291=""),"",WORKDAY($B1291,IFERROR(INDEX(CONFIG!$C$4:$C$43,MATCH($K1291,CONFIG!$A$4:$A$43,0)),3)))</f>
        <v/>
      </c>
      <c r="V1291" s="46" t="n"/>
      <c r="W1291" s="23">
        <f>IF($B1291="","",IF($V1291&lt;&gt;"",$V1291-$B1291,TODAY()-$B1291))</f>
        <v/>
      </c>
      <c r="X1291" s="27">
        <f>IF($C1291="","",IF(IFERROR(INDEX(CONFIG!$K$4:$K$43,MATCH($S1291,CONFIG!$J$4:$J$43,0)),"NO")="SÍ",IF(OR($V1291="",$U1291=""),"Resuelta",IF($V1291&gt;$U1291,"Resuelta tarde","Resuelta a tiempo")),IF($U1291="","Sin clasificar",IF(TODAY()&gt;$U1291,"Vencida",IF(TODAY()&gt;=$U1291-1,"Por vencer","En plazo")))))</f>
        <v/>
      </c>
      <c r="Y1291" s="49" t="n"/>
      <c r="Z1291" s="49" t="n"/>
    </row>
    <row r="1292" ht="16" customHeight="1">
      <c r="A1292" s="27">
        <f>IF($C1292="","","N-"&amp;TEXT(ROW()-3,"0000"))</f>
        <v/>
      </c>
      <c r="B1292" s="46" t="n"/>
      <c r="C1292" s="47" t="n"/>
      <c r="D1292" s="27">
        <f>IF($C1292="","",IF(COUNTIFS(ENVIOS!$A$4:$A$3003,$C1292)=0,"NO EXISTE",IF(COUNTIFS(ENVIOS!$A$4:$A$3003,$C1292)&gt;1,"DUPLICADA","OK")))</f>
        <v/>
      </c>
      <c r="E1292" s="22">
        <f>IF($C1292="","",IFERROR(INDEX(ENVIOS!$C$4:$C$3003,MATCH($C1292,ENVIOS!$A$4:$A$3003,0)),"—"))</f>
        <v/>
      </c>
      <c r="F1292" s="22">
        <f>IF($C1292="","",IFERROR(INDEX(ENVIOS!$D$4:$D$3003,MATCH($C1292,ENVIOS!$A$4:$A$3003,0)),"—"))</f>
        <v/>
      </c>
      <c r="G1292" s="22">
        <f>IF($C1292="","",IFERROR(INDEX(ENVIOS!$E$4:$E$3003,MATCH($C1292,ENVIOS!$A$4:$A$3003,0)),"—"))</f>
        <v/>
      </c>
      <c r="H1292" s="22">
        <f>IF($C1292="","",IFERROR(INDEX(ENVIOS!$F$4:$F$3003,MATCH($C1292,ENVIOS!$A$4:$A$3003,0)),"—"))</f>
        <v/>
      </c>
      <c r="I1292" s="27">
        <f>IF($C1292="","",IFERROR(INDEX(ENVIOS!$G$4:$G$3003,MATCH($C1292,ENVIOS!$A$4:$A$3003,0)),"—"))</f>
        <v/>
      </c>
      <c r="J1292" s="48">
        <f>IF($C1292="","",IFERROR(INDEX(ENVIOS!$B$4:$B$3003,MATCH($C1292,ENVIOS!$A$4:$A$3003,0)),""))</f>
        <v/>
      </c>
      <c r="K1292" s="49" t="n"/>
      <c r="L1292" s="27">
        <f>IF($K1292="","",IFERROR(INDEX(CONFIG!$B$4:$B$43,MATCH($K1292,CONFIG!$A$4:$A$43,0)),"Media"))</f>
        <v/>
      </c>
      <c r="M1292" s="27">
        <f>IF($K1292="","",IFERROR(INDEX(CONFIG!$D$4:$D$43,MATCH($K1292,CONFIG!$A$4:$A$43,0)),"NO"))</f>
        <v/>
      </c>
      <c r="N1292" s="49" t="n"/>
      <c r="O1292" s="27">
        <f>IF($N1292="","",IFERROR(INDEX(CONFIG!$G$4:$G$43,MATCH($N1292,CONFIG!$F$4:$F$43,0)),"Por definir"))</f>
        <v/>
      </c>
      <c r="P1292" s="27">
        <f>IF($N1292="","",IFERROR(INDEX(CONFIG!$H$4:$H$43,MATCH($N1292,CONFIG!$F$4:$F$43,0)),"Por definir"))</f>
        <v/>
      </c>
      <c r="Q1292" s="50" t="n"/>
      <c r="R1292" s="51" t="n"/>
      <c r="S1292" s="49" t="n"/>
      <c r="T1292" s="49" t="n"/>
      <c r="U1292" s="48">
        <f>IF(OR($B1292="",$K1292=""),"",WORKDAY($B1292,IFERROR(INDEX(CONFIG!$C$4:$C$43,MATCH($K1292,CONFIG!$A$4:$A$43,0)),3)))</f>
        <v/>
      </c>
      <c r="V1292" s="46" t="n"/>
      <c r="W1292" s="23">
        <f>IF($B1292="","",IF($V1292&lt;&gt;"",$V1292-$B1292,TODAY()-$B1292))</f>
        <v/>
      </c>
      <c r="X1292" s="27">
        <f>IF($C1292="","",IF(IFERROR(INDEX(CONFIG!$K$4:$K$43,MATCH($S1292,CONFIG!$J$4:$J$43,0)),"NO")="SÍ",IF(OR($V1292="",$U1292=""),"Resuelta",IF($V1292&gt;$U1292,"Resuelta tarde","Resuelta a tiempo")),IF($U1292="","Sin clasificar",IF(TODAY()&gt;$U1292,"Vencida",IF(TODAY()&gt;=$U1292-1,"Por vencer","En plazo")))))</f>
        <v/>
      </c>
      <c r="Y1292" s="49" t="n"/>
      <c r="Z1292" s="49" t="n"/>
    </row>
    <row r="1293" ht="16" customHeight="1">
      <c r="A1293" s="27">
        <f>IF($C1293="","","N-"&amp;TEXT(ROW()-3,"0000"))</f>
        <v/>
      </c>
      <c r="B1293" s="46" t="n"/>
      <c r="C1293" s="47" t="n"/>
      <c r="D1293" s="27">
        <f>IF($C1293="","",IF(COUNTIFS(ENVIOS!$A$4:$A$3003,$C1293)=0,"NO EXISTE",IF(COUNTIFS(ENVIOS!$A$4:$A$3003,$C1293)&gt;1,"DUPLICADA","OK")))</f>
        <v/>
      </c>
      <c r="E1293" s="22">
        <f>IF($C1293="","",IFERROR(INDEX(ENVIOS!$C$4:$C$3003,MATCH($C1293,ENVIOS!$A$4:$A$3003,0)),"—"))</f>
        <v/>
      </c>
      <c r="F1293" s="22">
        <f>IF($C1293="","",IFERROR(INDEX(ENVIOS!$D$4:$D$3003,MATCH($C1293,ENVIOS!$A$4:$A$3003,0)),"—"))</f>
        <v/>
      </c>
      <c r="G1293" s="22">
        <f>IF($C1293="","",IFERROR(INDEX(ENVIOS!$E$4:$E$3003,MATCH($C1293,ENVIOS!$A$4:$A$3003,0)),"—"))</f>
        <v/>
      </c>
      <c r="H1293" s="22">
        <f>IF($C1293="","",IFERROR(INDEX(ENVIOS!$F$4:$F$3003,MATCH($C1293,ENVIOS!$A$4:$A$3003,0)),"—"))</f>
        <v/>
      </c>
      <c r="I1293" s="27">
        <f>IF($C1293="","",IFERROR(INDEX(ENVIOS!$G$4:$G$3003,MATCH($C1293,ENVIOS!$A$4:$A$3003,0)),"—"))</f>
        <v/>
      </c>
      <c r="J1293" s="48">
        <f>IF($C1293="","",IFERROR(INDEX(ENVIOS!$B$4:$B$3003,MATCH($C1293,ENVIOS!$A$4:$A$3003,0)),""))</f>
        <v/>
      </c>
      <c r="K1293" s="49" t="n"/>
      <c r="L1293" s="27">
        <f>IF($K1293="","",IFERROR(INDEX(CONFIG!$B$4:$B$43,MATCH($K1293,CONFIG!$A$4:$A$43,0)),"Media"))</f>
        <v/>
      </c>
      <c r="M1293" s="27">
        <f>IF($K1293="","",IFERROR(INDEX(CONFIG!$D$4:$D$43,MATCH($K1293,CONFIG!$A$4:$A$43,0)),"NO"))</f>
        <v/>
      </c>
      <c r="N1293" s="49" t="n"/>
      <c r="O1293" s="27">
        <f>IF($N1293="","",IFERROR(INDEX(CONFIG!$G$4:$G$43,MATCH($N1293,CONFIG!$F$4:$F$43,0)),"Por definir"))</f>
        <v/>
      </c>
      <c r="P1293" s="27">
        <f>IF($N1293="","",IFERROR(INDEX(CONFIG!$H$4:$H$43,MATCH($N1293,CONFIG!$F$4:$F$43,0)),"Por definir"))</f>
        <v/>
      </c>
      <c r="Q1293" s="50" t="n"/>
      <c r="R1293" s="51" t="n"/>
      <c r="S1293" s="49" t="n"/>
      <c r="T1293" s="49" t="n"/>
      <c r="U1293" s="48">
        <f>IF(OR($B1293="",$K1293=""),"",WORKDAY($B1293,IFERROR(INDEX(CONFIG!$C$4:$C$43,MATCH($K1293,CONFIG!$A$4:$A$43,0)),3)))</f>
        <v/>
      </c>
      <c r="V1293" s="46" t="n"/>
      <c r="W1293" s="23">
        <f>IF($B1293="","",IF($V1293&lt;&gt;"",$V1293-$B1293,TODAY()-$B1293))</f>
        <v/>
      </c>
      <c r="X1293" s="27">
        <f>IF($C1293="","",IF(IFERROR(INDEX(CONFIG!$K$4:$K$43,MATCH($S1293,CONFIG!$J$4:$J$43,0)),"NO")="SÍ",IF(OR($V1293="",$U1293=""),"Resuelta",IF($V1293&gt;$U1293,"Resuelta tarde","Resuelta a tiempo")),IF($U1293="","Sin clasificar",IF(TODAY()&gt;$U1293,"Vencida",IF(TODAY()&gt;=$U1293-1,"Por vencer","En plazo")))))</f>
        <v/>
      </c>
      <c r="Y1293" s="49" t="n"/>
      <c r="Z1293" s="49" t="n"/>
    </row>
    <row r="1294" ht="16" customHeight="1">
      <c r="A1294" s="27">
        <f>IF($C1294="","","N-"&amp;TEXT(ROW()-3,"0000"))</f>
        <v/>
      </c>
      <c r="B1294" s="46" t="n"/>
      <c r="C1294" s="47" t="n"/>
      <c r="D1294" s="27">
        <f>IF($C1294="","",IF(COUNTIFS(ENVIOS!$A$4:$A$3003,$C1294)=0,"NO EXISTE",IF(COUNTIFS(ENVIOS!$A$4:$A$3003,$C1294)&gt;1,"DUPLICADA","OK")))</f>
        <v/>
      </c>
      <c r="E1294" s="22">
        <f>IF($C1294="","",IFERROR(INDEX(ENVIOS!$C$4:$C$3003,MATCH($C1294,ENVIOS!$A$4:$A$3003,0)),"—"))</f>
        <v/>
      </c>
      <c r="F1294" s="22">
        <f>IF($C1294="","",IFERROR(INDEX(ENVIOS!$D$4:$D$3003,MATCH($C1294,ENVIOS!$A$4:$A$3003,0)),"—"))</f>
        <v/>
      </c>
      <c r="G1294" s="22">
        <f>IF($C1294="","",IFERROR(INDEX(ENVIOS!$E$4:$E$3003,MATCH($C1294,ENVIOS!$A$4:$A$3003,0)),"—"))</f>
        <v/>
      </c>
      <c r="H1294" s="22">
        <f>IF($C1294="","",IFERROR(INDEX(ENVIOS!$F$4:$F$3003,MATCH($C1294,ENVIOS!$A$4:$A$3003,0)),"—"))</f>
        <v/>
      </c>
      <c r="I1294" s="27">
        <f>IF($C1294="","",IFERROR(INDEX(ENVIOS!$G$4:$G$3003,MATCH($C1294,ENVIOS!$A$4:$A$3003,0)),"—"))</f>
        <v/>
      </c>
      <c r="J1294" s="48">
        <f>IF($C1294="","",IFERROR(INDEX(ENVIOS!$B$4:$B$3003,MATCH($C1294,ENVIOS!$A$4:$A$3003,0)),""))</f>
        <v/>
      </c>
      <c r="K1294" s="49" t="n"/>
      <c r="L1294" s="27">
        <f>IF($K1294="","",IFERROR(INDEX(CONFIG!$B$4:$B$43,MATCH($K1294,CONFIG!$A$4:$A$43,0)),"Media"))</f>
        <v/>
      </c>
      <c r="M1294" s="27">
        <f>IF($K1294="","",IFERROR(INDEX(CONFIG!$D$4:$D$43,MATCH($K1294,CONFIG!$A$4:$A$43,0)),"NO"))</f>
        <v/>
      </c>
      <c r="N1294" s="49" t="n"/>
      <c r="O1294" s="27">
        <f>IF($N1294="","",IFERROR(INDEX(CONFIG!$G$4:$G$43,MATCH($N1294,CONFIG!$F$4:$F$43,0)),"Por definir"))</f>
        <v/>
      </c>
      <c r="P1294" s="27">
        <f>IF($N1294="","",IFERROR(INDEX(CONFIG!$H$4:$H$43,MATCH($N1294,CONFIG!$F$4:$F$43,0)),"Por definir"))</f>
        <v/>
      </c>
      <c r="Q1294" s="50" t="n"/>
      <c r="R1294" s="51" t="n"/>
      <c r="S1294" s="49" t="n"/>
      <c r="T1294" s="49" t="n"/>
      <c r="U1294" s="48">
        <f>IF(OR($B1294="",$K1294=""),"",WORKDAY($B1294,IFERROR(INDEX(CONFIG!$C$4:$C$43,MATCH($K1294,CONFIG!$A$4:$A$43,0)),3)))</f>
        <v/>
      </c>
      <c r="V1294" s="46" t="n"/>
      <c r="W1294" s="23">
        <f>IF($B1294="","",IF($V1294&lt;&gt;"",$V1294-$B1294,TODAY()-$B1294))</f>
        <v/>
      </c>
      <c r="X1294" s="27">
        <f>IF($C1294="","",IF(IFERROR(INDEX(CONFIG!$K$4:$K$43,MATCH($S1294,CONFIG!$J$4:$J$43,0)),"NO")="SÍ",IF(OR($V1294="",$U1294=""),"Resuelta",IF($V1294&gt;$U1294,"Resuelta tarde","Resuelta a tiempo")),IF($U1294="","Sin clasificar",IF(TODAY()&gt;$U1294,"Vencida",IF(TODAY()&gt;=$U1294-1,"Por vencer","En plazo")))))</f>
        <v/>
      </c>
      <c r="Y1294" s="49" t="n"/>
      <c r="Z1294" s="49" t="n"/>
    </row>
    <row r="1295" ht="16" customHeight="1">
      <c r="A1295" s="27">
        <f>IF($C1295="","","N-"&amp;TEXT(ROW()-3,"0000"))</f>
        <v/>
      </c>
      <c r="B1295" s="46" t="n"/>
      <c r="C1295" s="47" t="n"/>
      <c r="D1295" s="27">
        <f>IF($C1295="","",IF(COUNTIFS(ENVIOS!$A$4:$A$3003,$C1295)=0,"NO EXISTE",IF(COUNTIFS(ENVIOS!$A$4:$A$3003,$C1295)&gt;1,"DUPLICADA","OK")))</f>
        <v/>
      </c>
      <c r="E1295" s="22">
        <f>IF($C1295="","",IFERROR(INDEX(ENVIOS!$C$4:$C$3003,MATCH($C1295,ENVIOS!$A$4:$A$3003,0)),"—"))</f>
        <v/>
      </c>
      <c r="F1295" s="22">
        <f>IF($C1295="","",IFERROR(INDEX(ENVIOS!$D$4:$D$3003,MATCH($C1295,ENVIOS!$A$4:$A$3003,0)),"—"))</f>
        <v/>
      </c>
      <c r="G1295" s="22">
        <f>IF($C1295="","",IFERROR(INDEX(ENVIOS!$E$4:$E$3003,MATCH($C1295,ENVIOS!$A$4:$A$3003,0)),"—"))</f>
        <v/>
      </c>
      <c r="H1295" s="22">
        <f>IF($C1295="","",IFERROR(INDEX(ENVIOS!$F$4:$F$3003,MATCH($C1295,ENVIOS!$A$4:$A$3003,0)),"—"))</f>
        <v/>
      </c>
      <c r="I1295" s="27">
        <f>IF($C1295="","",IFERROR(INDEX(ENVIOS!$G$4:$G$3003,MATCH($C1295,ENVIOS!$A$4:$A$3003,0)),"—"))</f>
        <v/>
      </c>
      <c r="J1295" s="48">
        <f>IF($C1295="","",IFERROR(INDEX(ENVIOS!$B$4:$B$3003,MATCH($C1295,ENVIOS!$A$4:$A$3003,0)),""))</f>
        <v/>
      </c>
      <c r="K1295" s="49" t="n"/>
      <c r="L1295" s="27">
        <f>IF($K1295="","",IFERROR(INDEX(CONFIG!$B$4:$B$43,MATCH($K1295,CONFIG!$A$4:$A$43,0)),"Media"))</f>
        <v/>
      </c>
      <c r="M1295" s="27">
        <f>IF($K1295="","",IFERROR(INDEX(CONFIG!$D$4:$D$43,MATCH($K1295,CONFIG!$A$4:$A$43,0)),"NO"))</f>
        <v/>
      </c>
      <c r="N1295" s="49" t="n"/>
      <c r="O1295" s="27">
        <f>IF($N1295="","",IFERROR(INDEX(CONFIG!$G$4:$G$43,MATCH($N1295,CONFIG!$F$4:$F$43,0)),"Por definir"))</f>
        <v/>
      </c>
      <c r="P1295" s="27">
        <f>IF($N1295="","",IFERROR(INDEX(CONFIG!$H$4:$H$43,MATCH($N1295,CONFIG!$F$4:$F$43,0)),"Por definir"))</f>
        <v/>
      </c>
      <c r="Q1295" s="50" t="n"/>
      <c r="R1295" s="51" t="n"/>
      <c r="S1295" s="49" t="n"/>
      <c r="T1295" s="49" t="n"/>
      <c r="U1295" s="48">
        <f>IF(OR($B1295="",$K1295=""),"",WORKDAY($B1295,IFERROR(INDEX(CONFIG!$C$4:$C$43,MATCH($K1295,CONFIG!$A$4:$A$43,0)),3)))</f>
        <v/>
      </c>
      <c r="V1295" s="46" t="n"/>
      <c r="W1295" s="23">
        <f>IF($B1295="","",IF($V1295&lt;&gt;"",$V1295-$B1295,TODAY()-$B1295))</f>
        <v/>
      </c>
      <c r="X1295" s="27">
        <f>IF($C1295="","",IF(IFERROR(INDEX(CONFIG!$K$4:$K$43,MATCH($S1295,CONFIG!$J$4:$J$43,0)),"NO")="SÍ",IF(OR($V1295="",$U1295=""),"Resuelta",IF($V1295&gt;$U1295,"Resuelta tarde","Resuelta a tiempo")),IF($U1295="","Sin clasificar",IF(TODAY()&gt;$U1295,"Vencida",IF(TODAY()&gt;=$U1295-1,"Por vencer","En plazo")))))</f>
        <v/>
      </c>
      <c r="Y1295" s="49" t="n"/>
      <c r="Z1295" s="49" t="n"/>
    </row>
    <row r="1296" ht="16" customHeight="1">
      <c r="A1296" s="27">
        <f>IF($C1296="","","N-"&amp;TEXT(ROW()-3,"0000"))</f>
        <v/>
      </c>
      <c r="B1296" s="46" t="n"/>
      <c r="C1296" s="47" t="n"/>
      <c r="D1296" s="27">
        <f>IF($C1296="","",IF(COUNTIFS(ENVIOS!$A$4:$A$3003,$C1296)=0,"NO EXISTE",IF(COUNTIFS(ENVIOS!$A$4:$A$3003,$C1296)&gt;1,"DUPLICADA","OK")))</f>
        <v/>
      </c>
      <c r="E1296" s="22">
        <f>IF($C1296="","",IFERROR(INDEX(ENVIOS!$C$4:$C$3003,MATCH($C1296,ENVIOS!$A$4:$A$3003,0)),"—"))</f>
        <v/>
      </c>
      <c r="F1296" s="22">
        <f>IF($C1296="","",IFERROR(INDEX(ENVIOS!$D$4:$D$3003,MATCH($C1296,ENVIOS!$A$4:$A$3003,0)),"—"))</f>
        <v/>
      </c>
      <c r="G1296" s="22">
        <f>IF($C1296="","",IFERROR(INDEX(ENVIOS!$E$4:$E$3003,MATCH($C1296,ENVIOS!$A$4:$A$3003,0)),"—"))</f>
        <v/>
      </c>
      <c r="H1296" s="22">
        <f>IF($C1296="","",IFERROR(INDEX(ENVIOS!$F$4:$F$3003,MATCH($C1296,ENVIOS!$A$4:$A$3003,0)),"—"))</f>
        <v/>
      </c>
      <c r="I1296" s="27">
        <f>IF($C1296="","",IFERROR(INDEX(ENVIOS!$G$4:$G$3003,MATCH($C1296,ENVIOS!$A$4:$A$3003,0)),"—"))</f>
        <v/>
      </c>
      <c r="J1296" s="48">
        <f>IF($C1296="","",IFERROR(INDEX(ENVIOS!$B$4:$B$3003,MATCH($C1296,ENVIOS!$A$4:$A$3003,0)),""))</f>
        <v/>
      </c>
      <c r="K1296" s="49" t="n"/>
      <c r="L1296" s="27">
        <f>IF($K1296="","",IFERROR(INDEX(CONFIG!$B$4:$B$43,MATCH($K1296,CONFIG!$A$4:$A$43,0)),"Media"))</f>
        <v/>
      </c>
      <c r="M1296" s="27">
        <f>IF($K1296="","",IFERROR(INDEX(CONFIG!$D$4:$D$43,MATCH($K1296,CONFIG!$A$4:$A$43,0)),"NO"))</f>
        <v/>
      </c>
      <c r="N1296" s="49" t="n"/>
      <c r="O1296" s="27">
        <f>IF($N1296="","",IFERROR(INDEX(CONFIG!$G$4:$G$43,MATCH($N1296,CONFIG!$F$4:$F$43,0)),"Por definir"))</f>
        <v/>
      </c>
      <c r="P1296" s="27">
        <f>IF($N1296="","",IFERROR(INDEX(CONFIG!$H$4:$H$43,MATCH($N1296,CONFIG!$F$4:$F$43,0)),"Por definir"))</f>
        <v/>
      </c>
      <c r="Q1296" s="50" t="n"/>
      <c r="R1296" s="51" t="n"/>
      <c r="S1296" s="49" t="n"/>
      <c r="T1296" s="49" t="n"/>
      <c r="U1296" s="48">
        <f>IF(OR($B1296="",$K1296=""),"",WORKDAY($B1296,IFERROR(INDEX(CONFIG!$C$4:$C$43,MATCH($K1296,CONFIG!$A$4:$A$43,0)),3)))</f>
        <v/>
      </c>
      <c r="V1296" s="46" t="n"/>
      <c r="W1296" s="23">
        <f>IF($B1296="","",IF($V1296&lt;&gt;"",$V1296-$B1296,TODAY()-$B1296))</f>
        <v/>
      </c>
      <c r="X1296" s="27">
        <f>IF($C1296="","",IF(IFERROR(INDEX(CONFIG!$K$4:$K$43,MATCH($S1296,CONFIG!$J$4:$J$43,0)),"NO")="SÍ",IF(OR($V1296="",$U1296=""),"Resuelta",IF($V1296&gt;$U1296,"Resuelta tarde","Resuelta a tiempo")),IF($U1296="","Sin clasificar",IF(TODAY()&gt;$U1296,"Vencida",IF(TODAY()&gt;=$U1296-1,"Por vencer","En plazo")))))</f>
        <v/>
      </c>
      <c r="Y1296" s="49" t="n"/>
      <c r="Z1296" s="49" t="n"/>
    </row>
    <row r="1297" ht="16" customHeight="1">
      <c r="A1297" s="27">
        <f>IF($C1297="","","N-"&amp;TEXT(ROW()-3,"0000"))</f>
        <v/>
      </c>
      <c r="B1297" s="46" t="n"/>
      <c r="C1297" s="47" t="n"/>
      <c r="D1297" s="27">
        <f>IF($C1297="","",IF(COUNTIFS(ENVIOS!$A$4:$A$3003,$C1297)=0,"NO EXISTE",IF(COUNTIFS(ENVIOS!$A$4:$A$3003,$C1297)&gt;1,"DUPLICADA","OK")))</f>
        <v/>
      </c>
      <c r="E1297" s="22">
        <f>IF($C1297="","",IFERROR(INDEX(ENVIOS!$C$4:$C$3003,MATCH($C1297,ENVIOS!$A$4:$A$3003,0)),"—"))</f>
        <v/>
      </c>
      <c r="F1297" s="22">
        <f>IF($C1297="","",IFERROR(INDEX(ENVIOS!$D$4:$D$3003,MATCH($C1297,ENVIOS!$A$4:$A$3003,0)),"—"))</f>
        <v/>
      </c>
      <c r="G1297" s="22">
        <f>IF($C1297="","",IFERROR(INDEX(ENVIOS!$E$4:$E$3003,MATCH($C1297,ENVIOS!$A$4:$A$3003,0)),"—"))</f>
        <v/>
      </c>
      <c r="H1297" s="22">
        <f>IF($C1297="","",IFERROR(INDEX(ENVIOS!$F$4:$F$3003,MATCH($C1297,ENVIOS!$A$4:$A$3003,0)),"—"))</f>
        <v/>
      </c>
      <c r="I1297" s="27">
        <f>IF($C1297="","",IFERROR(INDEX(ENVIOS!$G$4:$G$3003,MATCH($C1297,ENVIOS!$A$4:$A$3003,0)),"—"))</f>
        <v/>
      </c>
      <c r="J1297" s="48">
        <f>IF($C1297="","",IFERROR(INDEX(ENVIOS!$B$4:$B$3003,MATCH($C1297,ENVIOS!$A$4:$A$3003,0)),""))</f>
        <v/>
      </c>
      <c r="K1297" s="49" t="n"/>
      <c r="L1297" s="27">
        <f>IF($K1297="","",IFERROR(INDEX(CONFIG!$B$4:$B$43,MATCH($K1297,CONFIG!$A$4:$A$43,0)),"Media"))</f>
        <v/>
      </c>
      <c r="M1297" s="27">
        <f>IF($K1297="","",IFERROR(INDEX(CONFIG!$D$4:$D$43,MATCH($K1297,CONFIG!$A$4:$A$43,0)),"NO"))</f>
        <v/>
      </c>
      <c r="N1297" s="49" t="n"/>
      <c r="O1297" s="27">
        <f>IF($N1297="","",IFERROR(INDEX(CONFIG!$G$4:$G$43,MATCH($N1297,CONFIG!$F$4:$F$43,0)),"Por definir"))</f>
        <v/>
      </c>
      <c r="P1297" s="27">
        <f>IF($N1297="","",IFERROR(INDEX(CONFIG!$H$4:$H$43,MATCH($N1297,CONFIG!$F$4:$F$43,0)),"Por definir"))</f>
        <v/>
      </c>
      <c r="Q1297" s="50" t="n"/>
      <c r="R1297" s="51" t="n"/>
      <c r="S1297" s="49" t="n"/>
      <c r="T1297" s="49" t="n"/>
      <c r="U1297" s="48">
        <f>IF(OR($B1297="",$K1297=""),"",WORKDAY($B1297,IFERROR(INDEX(CONFIG!$C$4:$C$43,MATCH($K1297,CONFIG!$A$4:$A$43,0)),3)))</f>
        <v/>
      </c>
      <c r="V1297" s="46" t="n"/>
      <c r="W1297" s="23">
        <f>IF($B1297="","",IF($V1297&lt;&gt;"",$V1297-$B1297,TODAY()-$B1297))</f>
        <v/>
      </c>
      <c r="X1297" s="27">
        <f>IF($C1297="","",IF(IFERROR(INDEX(CONFIG!$K$4:$K$43,MATCH($S1297,CONFIG!$J$4:$J$43,0)),"NO")="SÍ",IF(OR($V1297="",$U1297=""),"Resuelta",IF($V1297&gt;$U1297,"Resuelta tarde","Resuelta a tiempo")),IF($U1297="","Sin clasificar",IF(TODAY()&gt;$U1297,"Vencida",IF(TODAY()&gt;=$U1297-1,"Por vencer","En plazo")))))</f>
        <v/>
      </c>
      <c r="Y1297" s="49" t="n"/>
      <c r="Z1297" s="49" t="n"/>
    </row>
    <row r="1298" ht="16" customHeight="1">
      <c r="A1298" s="27">
        <f>IF($C1298="","","N-"&amp;TEXT(ROW()-3,"0000"))</f>
        <v/>
      </c>
      <c r="B1298" s="46" t="n"/>
      <c r="C1298" s="47" t="n"/>
      <c r="D1298" s="27">
        <f>IF($C1298="","",IF(COUNTIFS(ENVIOS!$A$4:$A$3003,$C1298)=0,"NO EXISTE",IF(COUNTIFS(ENVIOS!$A$4:$A$3003,$C1298)&gt;1,"DUPLICADA","OK")))</f>
        <v/>
      </c>
      <c r="E1298" s="22">
        <f>IF($C1298="","",IFERROR(INDEX(ENVIOS!$C$4:$C$3003,MATCH($C1298,ENVIOS!$A$4:$A$3003,0)),"—"))</f>
        <v/>
      </c>
      <c r="F1298" s="22">
        <f>IF($C1298="","",IFERROR(INDEX(ENVIOS!$D$4:$D$3003,MATCH($C1298,ENVIOS!$A$4:$A$3003,0)),"—"))</f>
        <v/>
      </c>
      <c r="G1298" s="22">
        <f>IF($C1298="","",IFERROR(INDEX(ENVIOS!$E$4:$E$3003,MATCH($C1298,ENVIOS!$A$4:$A$3003,0)),"—"))</f>
        <v/>
      </c>
      <c r="H1298" s="22">
        <f>IF($C1298="","",IFERROR(INDEX(ENVIOS!$F$4:$F$3003,MATCH($C1298,ENVIOS!$A$4:$A$3003,0)),"—"))</f>
        <v/>
      </c>
      <c r="I1298" s="27">
        <f>IF($C1298="","",IFERROR(INDEX(ENVIOS!$G$4:$G$3003,MATCH($C1298,ENVIOS!$A$4:$A$3003,0)),"—"))</f>
        <v/>
      </c>
      <c r="J1298" s="48">
        <f>IF($C1298="","",IFERROR(INDEX(ENVIOS!$B$4:$B$3003,MATCH($C1298,ENVIOS!$A$4:$A$3003,0)),""))</f>
        <v/>
      </c>
      <c r="K1298" s="49" t="n"/>
      <c r="L1298" s="27">
        <f>IF($K1298="","",IFERROR(INDEX(CONFIG!$B$4:$B$43,MATCH($K1298,CONFIG!$A$4:$A$43,0)),"Media"))</f>
        <v/>
      </c>
      <c r="M1298" s="27">
        <f>IF($K1298="","",IFERROR(INDEX(CONFIG!$D$4:$D$43,MATCH($K1298,CONFIG!$A$4:$A$43,0)),"NO"))</f>
        <v/>
      </c>
      <c r="N1298" s="49" t="n"/>
      <c r="O1298" s="27">
        <f>IF($N1298="","",IFERROR(INDEX(CONFIG!$G$4:$G$43,MATCH($N1298,CONFIG!$F$4:$F$43,0)),"Por definir"))</f>
        <v/>
      </c>
      <c r="P1298" s="27">
        <f>IF($N1298="","",IFERROR(INDEX(CONFIG!$H$4:$H$43,MATCH($N1298,CONFIG!$F$4:$F$43,0)),"Por definir"))</f>
        <v/>
      </c>
      <c r="Q1298" s="50" t="n"/>
      <c r="R1298" s="51" t="n"/>
      <c r="S1298" s="49" t="n"/>
      <c r="T1298" s="49" t="n"/>
      <c r="U1298" s="48">
        <f>IF(OR($B1298="",$K1298=""),"",WORKDAY($B1298,IFERROR(INDEX(CONFIG!$C$4:$C$43,MATCH($K1298,CONFIG!$A$4:$A$43,0)),3)))</f>
        <v/>
      </c>
      <c r="V1298" s="46" t="n"/>
      <c r="W1298" s="23">
        <f>IF($B1298="","",IF($V1298&lt;&gt;"",$V1298-$B1298,TODAY()-$B1298))</f>
        <v/>
      </c>
      <c r="X1298" s="27">
        <f>IF($C1298="","",IF(IFERROR(INDEX(CONFIG!$K$4:$K$43,MATCH($S1298,CONFIG!$J$4:$J$43,0)),"NO")="SÍ",IF(OR($V1298="",$U1298=""),"Resuelta",IF($V1298&gt;$U1298,"Resuelta tarde","Resuelta a tiempo")),IF($U1298="","Sin clasificar",IF(TODAY()&gt;$U1298,"Vencida",IF(TODAY()&gt;=$U1298-1,"Por vencer","En plazo")))))</f>
        <v/>
      </c>
      <c r="Y1298" s="49" t="n"/>
      <c r="Z1298" s="49" t="n"/>
    </row>
    <row r="1299" ht="16" customHeight="1">
      <c r="A1299" s="27">
        <f>IF($C1299="","","N-"&amp;TEXT(ROW()-3,"0000"))</f>
        <v/>
      </c>
      <c r="B1299" s="46" t="n"/>
      <c r="C1299" s="47" t="n"/>
      <c r="D1299" s="27">
        <f>IF($C1299="","",IF(COUNTIFS(ENVIOS!$A$4:$A$3003,$C1299)=0,"NO EXISTE",IF(COUNTIFS(ENVIOS!$A$4:$A$3003,$C1299)&gt;1,"DUPLICADA","OK")))</f>
        <v/>
      </c>
      <c r="E1299" s="22">
        <f>IF($C1299="","",IFERROR(INDEX(ENVIOS!$C$4:$C$3003,MATCH($C1299,ENVIOS!$A$4:$A$3003,0)),"—"))</f>
        <v/>
      </c>
      <c r="F1299" s="22">
        <f>IF($C1299="","",IFERROR(INDEX(ENVIOS!$D$4:$D$3003,MATCH($C1299,ENVIOS!$A$4:$A$3003,0)),"—"))</f>
        <v/>
      </c>
      <c r="G1299" s="22">
        <f>IF($C1299="","",IFERROR(INDEX(ENVIOS!$E$4:$E$3003,MATCH($C1299,ENVIOS!$A$4:$A$3003,0)),"—"))</f>
        <v/>
      </c>
      <c r="H1299" s="22">
        <f>IF($C1299="","",IFERROR(INDEX(ENVIOS!$F$4:$F$3003,MATCH($C1299,ENVIOS!$A$4:$A$3003,0)),"—"))</f>
        <v/>
      </c>
      <c r="I1299" s="27">
        <f>IF($C1299="","",IFERROR(INDEX(ENVIOS!$G$4:$G$3003,MATCH($C1299,ENVIOS!$A$4:$A$3003,0)),"—"))</f>
        <v/>
      </c>
      <c r="J1299" s="48">
        <f>IF($C1299="","",IFERROR(INDEX(ENVIOS!$B$4:$B$3003,MATCH($C1299,ENVIOS!$A$4:$A$3003,0)),""))</f>
        <v/>
      </c>
      <c r="K1299" s="49" t="n"/>
      <c r="L1299" s="27">
        <f>IF($K1299="","",IFERROR(INDEX(CONFIG!$B$4:$B$43,MATCH($K1299,CONFIG!$A$4:$A$43,0)),"Media"))</f>
        <v/>
      </c>
      <c r="M1299" s="27">
        <f>IF($K1299="","",IFERROR(INDEX(CONFIG!$D$4:$D$43,MATCH($K1299,CONFIG!$A$4:$A$43,0)),"NO"))</f>
        <v/>
      </c>
      <c r="N1299" s="49" t="n"/>
      <c r="O1299" s="27">
        <f>IF($N1299="","",IFERROR(INDEX(CONFIG!$G$4:$G$43,MATCH($N1299,CONFIG!$F$4:$F$43,0)),"Por definir"))</f>
        <v/>
      </c>
      <c r="P1299" s="27">
        <f>IF($N1299="","",IFERROR(INDEX(CONFIG!$H$4:$H$43,MATCH($N1299,CONFIG!$F$4:$F$43,0)),"Por definir"))</f>
        <v/>
      </c>
      <c r="Q1299" s="50" t="n"/>
      <c r="R1299" s="51" t="n"/>
      <c r="S1299" s="49" t="n"/>
      <c r="T1299" s="49" t="n"/>
      <c r="U1299" s="48">
        <f>IF(OR($B1299="",$K1299=""),"",WORKDAY($B1299,IFERROR(INDEX(CONFIG!$C$4:$C$43,MATCH($K1299,CONFIG!$A$4:$A$43,0)),3)))</f>
        <v/>
      </c>
      <c r="V1299" s="46" t="n"/>
      <c r="W1299" s="23">
        <f>IF($B1299="","",IF($V1299&lt;&gt;"",$V1299-$B1299,TODAY()-$B1299))</f>
        <v/>
      </c>
      <c r="X1299" s="27">
        <f>IF($C1299="","",IF(IFERROR(INDEX(CONFIG!$K$4:$K$43,MATCH($S1299,CONFIG!$J$4:$J$43,0)),"NO")="SÍ",IF(OR($V1299="",$U1299=""),"Resuelta",IF($V1299&gt;$U1299,"Resuelta tarde","Resuelta a tiempo")),IF($U1299="","Sin clasificar",IF(TODAY()&gt;$U1299,"Vencida",IF(TODAY()&gt;=$U1299-1,"Por vencer","En plazo")))))</f>
        <v/>
      </c>
      <c r="Y1299" s="49" t="n"/>
      <c r="Z1299" s="49" t="n"/>
    </row>
    <row r="1300" ht="16" customHeight="1">
      <c r="A1300" s="27">
        <f>IF($C1300="","","N-"&amp;TEXT(ROW()-3,"0000"))</f>
        <v/>
      </c>
      <c r="B1300" s="46" t="n"/>
      <c r="C1300" s="47" t="n"/>
      <c r="D1300" s="27">
        <f>IF($C1300="","",IF(COUNTIFS(ENVIOS!$A$4:$A$3003,$C1300)=0,"NO EXISTE",IF(COUNTIFS(ENVIOS!$A$4:$A$3003,$C1300)&gt;1,"DUPLICADA","OK")))</f>
        <v/>
      </c>
      <c r="E1300" s="22">
        <f>IF($C1300="","",IFERROR(INDEX(ENVIOS!$C$4:$C$3003,MATCH($C1300,ENVIOS!$A$4:$A$3003,0)),"—"))</f>
        <v/>
      </c>
      <c r="F1300" s="22">
        <f>IF($C1300="","",IFERROR(INDEX(ENVIOS!$D$4:$D$3003,MATCH($C1300,ENVIOS!$A$4:$A$3003,0)),"—"))</f>
        <v/>
      </c>
      <c r="G1300" s="22">
        <f>IF($C1300="","",IFERROR(INDEX(ENVIOS!$E$4:$E$3003,MATCH($C1300,ENVIOS!$A$4:$A$3003,0)),"—"))</f>
        <v/>
      </c>
      <c r="H1300" s="22">
        <f>IF($C1300="","",IFERROR(INDEX(ENVIOS!$F$4:$F$3003,MATCH($C1300,ENVIOS!$A$4:$A$3003,0)),"—"))</f>
        <v/>
      </c>
      <c r="I1300" s="27">
        <f>IF($C1300="","",IFERROR(INDEX(ENVIOS!$G$4:$G$3003,MATCH($C1300,ENVIOS!$A$4:$A$3003,0)),"—"))</f>
        <v/>
      </c>
      <c r="J1300" s="48">
        <f>IF($C1300="","",IFERROR(INDEX(ENVIOS!$B$4:$B$3003,MATCH($C1300,ENVIOS!$A$4:$A$3003,0)),""))</f>
        <v/>
      </c>
      <c r="K1300" s="49" t="n"/>
      <c r="L1300" s="27">
        <f>IF($K1300="","",IFERROR(INDEX(CONFIG!$B$4:$B$43,MATCH($K1300,CONFIG!$A$4:$A$43,0)),"Media"))</f>
        <v/>
      </c>
      <c r="M1300" s="27">
        <f>IF($K1300="","",IFERROR(INDEX(CONFIG!$D$4:$D$43,MATCH($K1300,CONFIG!$A$4:$A$43,0)),"NO"))</f>
        <v/>
      </c>
      <c r="N1300" s="49" t="n"/>
      <c r="O1300" s="27">
        <f>IF($N1300="","",IFERROR(INDEX(CONFIG!$G$4:$G$43,MATCH($N1300,CONFIG!$F$4:$F$43,0)),"Por definir"))</f>
        <v/>
      </c>
      <c r="P1300" s="27">
        <f>IF($N1300="","",IFERROR(INDEX(CONFIG!$H$4:$H$43,MATCH($N1300,CONFIG!$F$4:$F$43,0)),"Por definir"))</f>
        <v/>
      </c>
      <c r="Q1300" s="50" t="n"/>
      <c r="R1300" s="51" t="n"/>
      <c r="S1300" s="49" t="n"/>
      <c r="T1300" s="49" t="n"/>
      <c r="U1300" s="48">
        <f>IF(OR($B1300="",$K1300=""),"",WORKDAY($B1300,IFERROR(INDEX(CONFIG!$C$4:$C$43,MATCH($K1300,CONFIG!$A$4:$A$43,0)),3)))</f>
        <v/>
      </c>
      <c r="V1300" s="46" t="n"/>
      <c r="W1300" s="23">
        <f>IF($B1300="","",IF($V1300&lt;&gt;"",$V1300-$B1300,TODAY()-$B1300))</f>
        <v/>
      </c>
      <c r="X1300" s="27">
        <f>IF($C1300="","",IF(IFERROR(INDEX(CONFIG!$K$4:$K$43,MATCH($S1300,CONFIG!$J$4:$J$43,0)),"NO")="SÍ",IF(OR($V1300="",$U1300=""),"Resuelta",IF($V1300&gt;$U1300,"Resuelta tarde","Resuelta a tiempo")),IF($U1300="","Sin clasificar",IF(TODAY()&gt;$U1300,"Vencida",IF(TODAY()&gt;=$U1300-1,"Por vencer","En plazo")))))</f>
        <v/>
      </c>
      <c r="Y1300" s="49" t="n"/>
      <c r="Z1300" s="49" t="n"/>
    </row>
    <row r="1301" ht="16" customHeight="1">
      <c r="A1301" s="27">
        <f>IF($C1301="","","N-"&amp;TEXT(ROW()-3,"0000"))</f>
        <v/>
      </c>
      <c r="B1301" s="46" t="n"/>
      <c r="C1301" s="47" t="n"/>
      <c r="D1301" s="27">
        <f>IF($C1301="","",IF(COUNTIFS(ENVIOS!$A$4:$A$3003,$C1301)=0,"NO EXISTE",IF(COUNTIFS(ENVIOS!$A$4:$A$3003,$C1301)&gt;1,"DUPLICADA","OK")))</f>
        <v/>
      </c>
      <c r="E1301" s="22">
        <f>IF($C1301="","",IFERROR(INDEX(ENVIOS!$C$4:$C$3003,MATCH($C1301,ENVIOS!$A$4:$A$3003,0)),"—"))</f>
        <v/>
      </c>
      <c r="F1301" s="22">
        <f>IF($C1301="","",IFERROR(INDEX(ENVIOS!$D$4:$D$3003,MATCH($C1301,ENVIOS!$A$4:$A$3003,0)),"—"))</f>
        <v/>
      </c>
      <c r="G1301" s="22">
        <f>IF($C1301="","",IFERROR(INDEX(ENVIOS!$E$4:$E$3003,MATCH($C1301,ENVIOS!$A$4:$A$3003,0)),"—"))</f>
        <v/>
      </c>
      <c r="H1301" s="22">
        <f>IF($C1301="","",IFERROR(INDEX(ENVIOS!$F$4:$F$3003,MATCH($C1301,ENVIOS!$A$4:$A$3003,0)),"—"))</f>
        <v/>
      </c>
      <c r="I1301" s="27">
        <f>IF($C1301="","",IFERROR(INDEX(ENVIOS!$G$4:$G$3003,MATCH($C1301,ENVIOS!$A$4:$A$3003,0)),"—"))</f>
        <v/>
      </c>
      <c r="J1301" s="48">
        <f>IF($C1301="","",IFERROR(INDEX(ENVIOS!$B$4:$B$3003,MATCH($C1301,ENVIOS!$A$4:$A$3003,0)),""))</f>
        <v/>
      </c>
      <c r="K1301" s="49" t="n"/>
      <c r="L1301" s="27">
        <f>IF($K1301="","",IFERROR(INDEX(CONFIG!$B$4:$B$43,MATCH($K1301,CONFIG!$A$4:$A$43,0)),"Media"))</f>
        <v/>
      </c>
      <c r="M1301" s="27">
        <f>IF($K1301="","",IFERROR(INDEX(CONFIG!$D$4:$D$43,MATCH($K1301,CONFIG!$A$4:$A$43,0)),"NO"))</f>
        <v/>
      </c>
      <c r="N1301" s="49" t="n"/>
      <c r="O1301" s="27">
        <f>IF($N1301="","",IFERROR(INDEX(CONFIG!$G$4:$G$43,MATCH($N1301,CONFIG!$F$4:$F$43,0)),"Por definir"))</f>
        <v/>
      </c>
      <c r="P1301" s="27">
        <f>IF($N1301="","",IFERROR(INDEX(CONFIG!$H$4:$H$43,MATCH($N1301,CONFIG!$F$4:$F$43,0)),"Por definir"))</f>
        <v/>
      </c>
      <c r="Q1301" s="50" t="n"/>
      <c r="R1301" s="51" t="n"/>
      <c r="S1301" s="49" t="n"/>
      <c r="T1301" s="49" t="n"/>
      <c r="U1301" s="48">
        <f>IF(OR($B1301="",$K1301=""),"",WORKDAY($B1301,IFERROR(INDEX(CONFIG!$C$4:$C$43,MATCH($K1301,CONFIG!$A$4:$A$43,0)),3)))</f>
        <v/>
      </c>
      <c r="V1301" s="46" t="n"/>
      <c r="W1301" s="23">
        <f>IF($B1301="","",IF($V1301&lt;&gt;"",$V1301-$B1301,TODAY()-$B1301))</f>
        <v/>
      </c>
      <c r="X1301" s="27">
        <f>IF($C1301="","",IF(IFERROR(INDEX(CONFIG!$K$4:$K$43,MATCH($S1301,CONFIG!$J$4:$J$43,0)),"NO")="SÍ",IF(OR($V1301="",$U1301=""),"Resuelta",IF($V1301&gt;$U1301,"Resuelta tarde","Resuelta a tiempo")),IF($U1301="","Sin clasificar",IF(TODAY()&gt;$U1301,"Vencida",IF(TODAY()&gt;=$U1301-1,"Por vencer","En plazo")))))</f>
        <v/>
      </c>
      <c r="Y1301" s="49" t="n"/>
      <c r="Z1301" s="49" t="n"/>
    </row>
    <row r="1302" ht="16" customHeight="1">
      <c r="A1302" s="27">
        <f>IF($C1302="","","N-"&amp;TEXT(ROW()-3,"0000"))</f>
        <v/>
      </c>
      <c r="B1302" s="46" t="n"/>
      <c r="C1302" s="47" t="n"/>
      <c r="D1302" s="27">
        <f>IF($C1302="","",IF(COUNTIFS(ENVIOS!$A$4:$A$3003,$C1302)=0,"NO EXISTE",IF(COUNTIFS(ENVIOS!$A$4:$A$3003,$C1302)&gt;1,"DUPLICADA","OK")))</f>
        <v/>
      </c>
      <c r="E1302" s="22">
        <f>IF($C1302="","",IFERROR(INDEX(ENVIOS!$C$4:$C$3003,MATCH($C1302,ENVIOS!$A$4:$A$3003,0)),"—"))</f>
        <v/>
      </c>
      <c r="F1302" s="22">
        <f>IF($C1302="","",IFERROR(INDEX(ENVIOS!$D$4:$D$3003,MATCH($C1302,ENVIOS!$A$4:$A$3003,0)),"—"))</f>
        <v/>
      </c>
      <c r="G1302" s="22">
        <f>IF($C1302="","",IFERROR(INDEX(ENVIOS!$E$4:$E$3003,MATCH($C1302,ENVIOS!$A$4:$A$3003,0)),"—"))</f>
        <v/>
      </c>
      <c r="H1302" s="22">
        <f>IF($C1302="","",IFERROR(INDEX(ENVIOS!$F$4:$F$3003,MATCH($C1302,ENVIOS!$A$4:$A$3003,0)),"—"))</f>
        <v/>
      </c>
      <c r="I1302" s="27">
        <f>IF($C1302="","",IFERROR(INDEX(ENVIOS!$G$4:$G$3003,MATCH($C1302,ENVIOS!$A$4:$A$3003,0)),"—"))</f>
        <v/>
      </c>
      <c r="J1302" s="48">
        <f>IF($C1302="","",IFERROR(INDEX(ENVIOS!$B$4:$B$3003,MATCH($C1302,ENVIOS!$A$4:$A$3003,0)),""))</f>
        <v/>
      </c>
      <c r="K1302" s="49" t="n"/>
      <c r="L1302" s="27">
        <f>IF($K1302="","",IFERROR(INDEX(CONFIG!$B$4:$B$43,MATCH($K1302,CONFIG!$A$4:$A$43,0)),"Media"))</f>
        <v/>
      </c>
      <c r="M1302" s="27">
        <f>IF($K1302="","",IFERROR(INDEX(CONFIG!$D$4:$D$43,MATCH($K1302,CONFIG!$A$4:$A$43,0)),"NO"))</f>
        <v/>
      </c>
      <c r="N1302" s="49" t="n"/>
      <c r="O1302" s="27">
        <f>IF($N1302="","",IFERROR(INDEX(CONFIG!$G$4:$G$43,MATCH($N1302,CONFIG!$F$4:$F$43,0)),"Por definir"))</f>
        <v/>
      </c>
      <c r="P1302" s="27">
        <f>IF($N1302="","",IFERROR(INDEX(CONFIG!$H$4:$H$43,MATCH($N1302,CONFIG!$F$4:$F$43,0)),"Por definir"))</f>
        <v/>
      </c>
      <c r="Q1302" s="50" t="n"/>
      <c r="R1302" s="51" t="n"/>
      <c r="S1302" s="49" t="n"/>
      <c r="T1302" s="49" t="n"/>
      <c r="U1302" s="48">
        <f>IF(OR($B1302="",$K1302=""),"",WORKDAY($B1302,IFERROR(INDEX(CONFIG!$C$4:$C$43,MATCH($K1302,CONFIG!$A$4:$A$43,0)),3)))</f>
        <v/>
      </c>
      <c r="V1302" s="46" t="n"/>
      <c r="W1302" s="23">
        <f>IF($B1302="","",IF($V1302&lt;&gt;"",$V1302-$B1302,TODAY()-$B1302))</f>
        <v/>
      </c>
      <c r="X1302" s="27">
        <f>IF($C1302="","",IF(IFERROR(INDEX(CONFIG!$K$4:$K$43,MATCH($S1302,CONFIG!$J$4:$J$43,0)),"NO")="SÍ",IF(OR($V1302="",$U1302=""),"Resuelta",IF($V1302&gt;$U1302,"Resuelta tarde","Resuelta a tiempo")),IF($U1302="","Sin clasificar",IF(TODAY()&gt;$U1302,"Vencida",IF(TODAY()&gt;=$U1302-1,"Por vencer","En plazo")))))</f>
        <v/>
      </c>
      <c r="Y1302" s="49" t="n"/>
      <c r="Z1302" s="49" t="n"/>
    </row>
    <row r="1303" ht="16" customHeight="1">
      <c r="A1303" s="27">
        <f>IF($C1303="","","N-"&amp;TEXT(ROW()-3,"0000"))</f>
        <v/>
      </c>
      <c r="B1303" s="46" t="n"/>
      <c r="C1303" s="47" t="n"/>
      <c r="D1303" s="27">
        <f>IF($C1303="","",IF(COUNTIFS(ENVIOS!$A$4:$A$3003,$C1303)=0,"NO EXISTE",IF(COUNTIFS(ENVIOS!$A$4:$A$3003,$C1303)&gt;1,"DUPLICADA","OK")))</f>
        <v/>
      </c>
      <c r="E1303" s="22">
        <f>IF($C1303="","",IFERROR(INDEX(ENVIOS!$C$4:$C$3003,MATCH($C1303,ENVIOS!$A$4:$A$3003,0)),"—"))</f>
        <v/>
      </c>
      <c r="F1303" s="22">
        <f>IF($C1303="","",IFERROR(INDEX(ENVIOS!$D$4:$D$3003,MATCH($C1303,ENVIOS!$A$4:$A$3003,0)),"—"))</f>
        <v/>
      </c>
      <c r="G1303" s="22">
        <f>IF($C1303="","",IFERROR(INDEX(ENVIOS!$E$4:$E$3003,MATCH($C1303,ENVIOS!$A$4:$A$3003,0)),"—"))</f>
        <v/>
      </c>
      <c r="H1303" s="22">
        <f>IF($C1303="","",IFERROR(INDEX(ENVIOS!$F$4:$F$3003,MATCH($C1303,ENVIOS!$A$4:$A$3003,0)),"—"))</f>
        <v/>
      </c>
      <c r="I1303" s="27">
        <f>IF($C1303="","",IFERROR(INDEX(ENVIOS!$G$4:$G$3003,MATCH($C1303,ENVIOS!$A$4:$A$3003,0)),"—"))</f>
        <v/>
      </c>
      <c r="J1303" s="48">
        <f>IF($C1303="","",IFERROR(INDEX(ENVIOS!$B$4:$B$3003,MATCH($C1303,ENVIOS!$A$4:$A$3003,0)),""))</f>
        <v/>
      </c>
      <c r="K1303" s="49" t="n"/>
      <c r="L1303" s="27">
        <f>IF($K1303="","",IFERROR(INDEX(CONFIG!$B$4:$B$43,MATCH($K1303,CONFIG!$A$4:$A$43,0)),"Media"))</f>
        <v/>
      </c>
      <c r="M1303" s="27">
        <f>IF($K1303="","",IFERROR(INDEX(CONFIG!$D$4:$D$43,MATCH($K1303,CONFIG!$A$4:$A$43,0)),"NO"))</f>
        <v/>
      </c>
      <c r="N1303" s="49" t="n"/>
      <c r="O1303" s="27">
        <f>IF($N1303="","",IFERROR(INDEX(CONFIG!$G$4:$G$43,MATCH($N1303,CONFIG!$F$4:$F$43,0)),"Por definir"))</f>
        <v/>
      </c>
      <c r="P1303" s="27">
        <f>IF($N1303="","",IFERROR(INDEX(CONFIG!$H$4:$H$43,MATCH($N1303,CONFIG!$F$4:$F$43,0)),"Por definir"))</f>
        <v/>
      </c>
      <c r="Q1303" s="50" t="n"/>
      <c r="R1303" s="51" t="n"/>
      <c r="S1303" s="49" t="n"/>
      <c r="T1303" s="49" t="n"/>
      <c r="U1303" s="48">
        <f>IF(OR($B1303="",$K1303=""),"",WORKDAY($B1303,IFERROR(INDEX(CONFIG!$C$4:$C$43,MATCH($K1303,CONFIG!$A$4:$A$43,0)),3)))</f>
        <v/>
      </c>
      <c r="V1303" s="46" t="n"/>
      <c r="W1303" s="23">
        <f>IF($B1303="","",IF($V1303&lt;&gt;"",$V1303-$B1303,TODAY()-$B1303))</f>
        <v/>
      </c>
      <c r="X1303" s="27">
        <f>IF($C1303="","",IF(IFERROR(INDEX(CONFIG!$K$4:$K$43,MATCH($S1303,CONFIG!$J$4:$J$43,0)),"NO")="SÍ",IF(OR($V1303="",$U1303=""),"Resuelta",IF($V1303&gt;$U1303,"Resuelta tarde","Resuelta a tiempo")),IF($U1303="","Sin clasificar",IF(TODAY()&gt;$U1303,"Vencida",IF(TODAY()&gt;=$U1303-1,"Por vencer","En plazo")))))</f>
        <v/>
      </c>
      <c r="Y1303" s="49" t="n"/>
      <c r="Z1303" s="49" t="n"/>
    </row>
    <row r="1304" ht="16" customHeight="1">
      <c r="A1304" s="27">
        <f>IF($C1304="","","N-"&amp;TEXT(ROW()-3,"0000"))</f>
        <v/>
      </c>
      <c r="B1304" s="46" t="n"/>
      <c r="C1304" s="47" t="n"/>
      <c r="D1304" s="27">
        <f>IF($C1304="","",IF(COUNTIFS(ENVIOS!$A$4:$A$3003,$C1304)=0,"NO EXISTE",IF(COUNTIFS(ENVIOS!$A$4:$A$3003,$C1304)&gt;1,"DUPLICADA","OK")))</f>
        <v/>
      </c>
      <c r="E1304" s="22">
        <f>IF($C1304="","",IFERROR(INDEX(ENVIOS!$C$4:$C$3003,MATCH($C1304,ENVIOS!$A$4:$A$3003,0)),"—"))</f>
        <v/>
      </c>
      <c r="F1304" s="22">
        <f>IF($C1304="","",IFERROR(INDEX(ENVIOS!$D$4:$D$3003,MATCH($C1304,ENVIOS!$A$4:$A$3003,0)),"—"))</f>
        <v/>
      </c>
      <c r="G1304" s="22">
        <f>IF($C1304="","",IFERROR(INDEX(ENVIOS!$E$4:$E$3003,MATCH($C1304,ENVIOS!$A$4:$A$3003,0)),"—"))</f>
        <v/>
      </c>
      <c r="H1304" s="22">
        <f>IF($C1304="","",IFERROR(INDEX(ENVIOS!$F$4:$F$3003,MATCH($C1304,ENVIOS!$A$4:$A$3003,0)),"—"))</f>
        <v/>
      </c>
      <c r="I1304" s="27">
        <f>IF($C1304="","",IFERROR(INDEX(ENVIOS!$G$4:$G$3003,MATCH($C1304,ENVIOS!$A$4:$A$3003,0)),"—"))</f>
        <v/>
      </c>
      <c r="J1304" s="48">
        <f>IF($C1304="","",IFERROR(INDEX(ENVIOS!$B$4:$B$3003,MATCH($C1304,ENVIOS!$A$4:$A$3003,0)),""))</f>
        <v/>
      </c>
      <c r="K1304" s="49" t="n"/>
      <c r="L1304" s="27">
        <f>IF($K1304="","",IFERROR(INDEX(CONFIG!$B$4:$B$43,MATCH($K1304,CONFIG!$A$4:$A$43,0)),"Media"))</f>
        <v/>
      </c>
      <c r="M1304" s="27">
        <f>IF($K1304="","",IFERROR(INDEX(CONFIG!$D$4:$D$43,MATCH($K1304,CONFIG!$A$4:$A$43,0)),"NO"))</f>
        <v/>
      </c>
      <c r="N1304" s="49" t="n"/>
      <c r="O1304" s="27">
        <f>IF($N1304="","",IFERROR(INDEX(CONFIG!$G$4:$G$43,MATCH($N1304,CONFIG!$F$4:$F$43,0)),"Por definir"))</f>
        <v/>
      </c>
      <c r="P1304" s="27">
        <f>IF($N1304="","",IFERROR(INDEX(CONFIG!$H$4:$H$43,MATCH($N1304,CONFIG!$F$4:$F$43,0)),"Por definir"))</f>
        <v/>
      </c>
      <c r="Q1304" s="50" t="n"/>
      <c r="R1304" s="51" t="n"/>
      <c r="S1304" s="49" t="n"/>
      <c r="T1304" s="49" t="n"/>
      <c r="U1304" s="48">
        <f>IF(OR($B1304="",$K1304=""),"",WORKDAY($B1304,IFERROR(INDEX(CONFIG!$C$4:$C$43,MATCH($K1304,CONFIG!$A$4:$A$43,0)),3)))</f>
        <v/>
      </c>
      <c r="V1304" s="46" t="n"/>
      <c r="W1304" s="23">
        <f>IF($B1304="","",IF($V1304&lt;&gt;"",$V1304-$B1304,TODAY()-$B1304))</f>
        <v/>
      </c>
      <c r="X1304" s="27">
        <f>IF($C1304="","",IF(IFERROR(INDEX(CONFIG!$K$4:$K$43,MATCH($S1304,CONFIG!$J$4:$J$43,0)),"NO")="SÍ",IF(OR($V1304="",$U1304=""),"Resuelta",IF($V1304&gt;$U1304,"Resuelta tarde","Resuelta a tiempo")),IF($U1304="","Sin clasificar",IF(TODAY()&gt;$U1304,"Vencida",IF(TODAY()&gt;=$U1304-1,"Por vencer","En plazo")))))</f>
        <v/>
      </c>
      <c r="Y1304" s="49" t="n"/>
      <c r="Z1304" s="49" t="n"/>
    </row>
    <row r="1305" ht="16" customHeight="1">
      <c r="A1305" s="27">
        <f>IF($C1305="","","N-"&amp;TEXT(ROW()-3,"0000"))</f>
        <v/>
      </c>
      <c r="B1305" s="46" t="n"/>
      <c r="C1305" s="47" t="n"/>
      <c r="D1305" s="27">
        <f>IF($C1305="","",IF(COUNTIFS(ENVIOS!$A$4:$A$3003,$C1305)=0,"NO EXISTE",IF(COUNTIFS(ENVIOS!$A$4:$A$3003,$C1305)&gt;1,"DUPLICADA","OK")))</f>
        <v/>
      </c>
      <c r="E1305" s="22">
        <f>IF($C1305="","",IFERROR(INDEX(ENVIOS!$C$4:$C$3003,MATCH($C1305,ENVIOS!$A$4:$A$3003,0)),"—"))</f>
        <v/>
      </c>
      <c r="F1305" s="22">
        <f>IF($C1305="","",IFERROR(INDEX(ENVIOS!$D$4:$D$3003,MATCH($C1305,ENVIOS!$A$4:$A$3003,0)),"—"))</f>
        <v/>
      </c>
      <c r="G1305" s="22">
        <f>IF($C1305="","",IFERROR(INDEX(ENVIOS!$E$4:$E$3003,MATCH($C1305,ENVIOS!$A$4:$A$3003,0)),"—"))</f>
        <v/>
      </c>
      <c r="H1305" s="22">
        <f>IF($C1305="","",IFERROR(INDEX(ENVIOS!$F$4:$F$3003,MATCH($C1305,ENVIOS!$A$4:$A$3003,0)),"—"))</f>
        <v/>
      </c>
      <c r="I1305" s="27">
        <f>IF($C1305="","",IFERROR(INDEX(ENVIOS!$G$4:$G$3003,MATCH($C1305,ENVIOS!$A$4:$A$3003,0)),"—"))</f>
        <v/>
      </c>
      <c r="J1305" s="48">
        <f>IF($C1305="","",IFERROR(INDEX(ENVIOS!$B$4:$B$3003,MATCH($C1305,ENVIOS!$A$4:$A$3003,0)),""))</f>
        <v/>
      </c>
      <c r="K1305" s="49" t="n"/>
      <c r="L1305" s="27">
        <f>IF($K1305="","",IFERROR(INDEX(CONFIG!$B$4:$B$43,MATCH($K1305,CONFIG!$A$4:$A$43,0)),"Media"))</f>
        <v/>
      </c>
      <c r="M1305" s="27">
        <f>IF($K1305="","",IFERROR(INDEX(CONFIG!$D$4:$D$43,MATCH($K1305,CONFIG!$A$4:$A$43,0)),"NO"))</f>
        <v/>
      </c>
      <c r="N1305" s="49" t="n"/>
      <c r="O1305" s="27">
        <f>IF($N1305="","",IFERROR(INDEX(CONFIG!$G$4:$G$43,MATCH($N1305,CONFIG!$F$4:$F$43,0)),"Por definir"))</f>
        <v/>
      </c>
      <c r="P1305" s="27">
        <f>IF($N1305="","",IFERROR(INDEX(CONFIG!$H$4:$H$43,MATCH($N1305,CONFIG!$F$4:$F$43,0)),"Por definir"))</f>
        <v/>
      </c>
      <c r="Q1305" s="50" t="n"/>
      <c r="R1305" s="51" t="n"/>
      <c r="S1305" s="49" t="n"/>
      <c r="T1305" s="49" t="n"/>
      <c r="U1305" s="48">
        <f>IF(OR($B1305="",$K1305=""),"",WORKDAY($B1305,IFERROR(INDEX(CONFIG!$C$4:$C$43,MATCH($K1305,CONFIG!$A$4:$A$43,0)),3)))</f>
        <v/>
      </c>
      <c r="V1305" s="46" t="n"/>
      <c r="W1305" s="23">
        <f>IF($B1305="","",IF($V1305&lt;&gt;"",$V1305-$B1305,TODAY()-$B1305))</f>
        <v/>
      </c>
      <c r="X1305" s="27">
        <f>IF($C1305="","",IF(IFERROR(INDEX(CONFIG!$K$4:$K$43,MATCH($S1305,CONFIG!$J$4:$J$43,0)),"NO")="SÍ",IF(OR($V1305="",$U1305=""),"Resuelta",IF($V1305&gt;$U1305,"Resuelta tarde","Resuelta a tiempo")),IF($U1305="","Sin clasificar",IF(TODAY()&gt;$U1305,"Vencida",IF(TODAY()&gt;=$U1305-1,"Por vencer","En plazo")))))</f>
        <v/>
      </c>
      <c r="Y1305" s="49" t="n"/>
      <c r="Z1305" s="49" t="n"/>
    </row>
    <row r="1306" ht="16" customHeight="1">
      <c r="A1306" s="27">
        <f>IF($C1306="","","N-"&amp;TEXT(ROW()-3,"0000"))</f>
        <v/>
      </c>
      <c r="B1306" s="46" t="n"/>
      <c r="C1306" s="47" t="n"/>
      <c r="D1306" s="27">
        <f>IF($C1306="","",IF(COUNTIFS(ENVIOS!$A$4:$A$3003,$C1306)=0,"NO EXISTE",IF(COUNTIFS(ENVIOS!$A$4:$A$3003,$C1306)&gt;1,"DUPLICADA","OK")))</f>
        <v/>
      </c>
      <c r="E1306" s="22">
        <f>IF($C1306="","",IFERROR(INDEX(ENVIOS!$C$4:$C$3003,MATCH($C1306,ENVIOS!$A$4:$A$3003,0)),"—"))</f>
        <v/>
      </c>
      <c r="F1306" s="22">
        <f>IF($C1306="","",IFERROR(INDEX(ENVIOS!$D$4:$D$3003,MATCH($C1306,ENVIOS!$A$4:$A$3003,0)),"—"))</f>
        <v/>
      </c>
      <c r="G1306" s="22">
        <f>IF($C1306="","",IFERROR(INDEX(ENVIOS!$E$4:$E$3003,MATCH($C1306,ENVIOS!$A$4:$A$3003,0)),"—"))</f>
        <v/>
      </c>
      <c r="H1306" s="22">
        <f>IF($C1306="","",IFERROR(INDEX(ENVIOS!$F$4:$F$3003,MATCH($C1306,ENVIOS!$A$4:$A$3003,0)),"—"))</f>
        <v/>
      </c>
      <c r="I1306" s="27">
        <f>IF($C1306="","",IFERROR(INDEX(ENVIOS!$G$4:$G$3003,MATCH($C1306,ENVIOS!$A$4:$A$3003,0)),"—"))</f>
        <v/>
      </c>
      <c r="J1306" s="48">
        <f>IF($C1306="","",IFERROR(INDEX(ENVIOS!$B$4:$B$3003,MATCH($C1306,ENVIOS!$A$4:$A$3003,0)),""))</f>
        <v/>
      </c>
      <c r="K1306" s="49" t="n"/>
      <c r="L1306" s="27">
        <f>IF($K1306="","",IFERROR(INDEX(CONFIG!$B$4:$B$43,MATCH($K1306,CONFIG!$A$4:$A$43,0)),"Media"))</f>
        <v/>
      </c>
      <c r="M1306" s="27">
        <f>IF($K1306="","",IFERROR(INDEX(CONFIG!$D$4:$D$43,MATCH($K1306,CONFIG!$A$4:$A$43,0)),"NO"))</f>
        <v/>
      </c>
      <c r="N1306" s="49" t="n"/>
      <c r="O1306" s="27">
        <f>IF($N1306="","",IFERROR(INDEX(CONFIG!$G$4:$G$43,MATCH($N1306,CONFIG!$F$4:$F$43,0)),"Por definir"))</f>
        <v/>
      </c>
      <c r="P1306" s="27">
        <f>IF($N1306="","",IFERROR(INDEX(CONFIG!$H$4:$H$43,MATCH($N1306,CONFIG!$F$4:$F$43,0)),"Por definir"))</f>
        <v/>
      </c>
      <c r="Q1306" s="50" t="n"/>
      <c r="R1306" s="51" t="n"/>
      <c r="S1306" s="49" t="n"/>
      <c r="T1306" s="49" t="n"/>
      <c r="U1306" s="48">
        <f>IF(OR($B1306="",$K1306=""),"",WORKDAY($B1306,IFERROR(INDEX(CONFIG!$C$4:$C$43,MATCH($K1306,CONFIG!$A$4:$A$43,0)),3)))</f>
        <v/>
      </c>
      <c r="V1306" s="46" t="n"/>
      <c r="W1306" s="23">
        <f>IF($B1306="","",IF($V1306&lt;&gt;"",$V1306-$B1306,TODAY()-$B1306))</f>
        <v/>
      </c>
      <c r="X1306" s="27">
        <f>IF($C1306="","",IF(IFERROR(INDEX(CONFIG!$K$4:$K$43,MATCH($S1306,CONFIG!$J$4:$J$43,0)),"NO")="SÍ",IF(OR($V1306="",$U1306=""),"Resuelta",IF($V1306&gt;$U1306,"Resuelta tarde","Resuelta a tiempo")),IF($U1306="","Sin clasificar",IF(TODAY()&gt;$U1306,"Vencida",IF(TODAY()&gt;=$U1306-1,"Por vencer","En plazo")))))</f>
        <v/>
      </c>
      <c r="Y1306" s="49" t="n"/>
      <c r="Z1306" s="49" t="n"/>
    </row>
    <row r="1307" ht="16" customHeight="1">
      <c r="A1307" s="27">
        <f>IF($C1307="","","N-"&amp;TEXT(ROW()-3,"0000"))</f>
        <v/>
      </c>
      <c r="B1307" s="46" t="n"/>
      <c r="C1307" s="47" t="n"/>
      <c r="D1307" s="27">
        <f>IF($C1307="","",IF(COUNTIFS(ENVIOS!$A$4:$A$3003,$C1307)=0,"NO EXISTE",IF(COUNTIFS(ENVIOS!$A$4:$A$3003,$C1307)&gt;1,"DUPLICADA","OK")))</f>
        <v/>
      </c>
      <c r="E1307" s="22">
        <f>IF($C1307="","",IFERROR(INDEX(ENVIOS!$C$4:$C$3003,MATCH($C1307,ENVIOS!$A$4:$A$3003,0)),"—"))</f>
        <v/>
      </c>
      <c r="F1307" s="22">
        <f>IF($C1307="","",IFERROR(INDEX(ENVIOS!$D$4:$D$3003,MATCH($C1307,ENVIOS!$A$4:$A$3003,0)),"—"))</f>
        <v/>
      </c>
      <c r="G1307" s="22">
        <f>IF($C1307="","",IFERROR(INDEX(ENVIOS!$E$4:$E$3003,MATCH($C1307,ENVIOS!$A$4:$A$3003,0)),"—"))</f>
        <v/>
      </c>
      <c r="H1307" s="22">
        <f>IF($C1307="","",IFERROR(INDEX(ENVIOS!$F$4:$F$3003,MATCH($C1307,ENVIOS!$A$4:$A$3003,0)),"—"))</f>
        <v/>
      </c>
      <c r="I1307" s="27">
        <f>IF($C1307="","",IFERROR(INDEX(ENVIOS!$G$4:$G$3003,MATCH($C1307,ENVIOS!$A$4:$A$3003,0)),"—"))</f>
        <v/>
      </c>
      <c r="J1307" s="48">
        <f>IF($C1307="","",IFERROR(INDEX(ENVIOS!$B$4:$B$3003,MATCH($C1307,ENVIOS!$A$4:$A$3003,0)),""))</f>
        <v/>
      </c>
      <c r="K1307" s="49" t="n"/>
      <c r="L1307" s="27">
        <f>IF($K1307="","",IFERROR(INDEX(CONFIG!$B$4:$B$43,MATCH($K1307,CONFIG!$A$4:$A$43,0)),"Media"))</f>
        <v/>
      </c>
      <c r="M1307" s="27">
        <f>IF($K1307="","",IFERROR(INDEX(CONFIG!$D$4:$D$43,MATCH($K1307,CONFIG!$A$4:$A$43,0)),"NO"))</f>
        <v/>
      </c>
      <c r="N1307" s="49" t="n"/>
      <c r="O1307" s="27">
        <f>IF($N1307="","",IFERROR(INDEX(CONFIG!$G$4:$G$43,MATCH($N1307,CONFIG!$F$4:$F$43,0)),"Por definir"))</f>
        <v/>
      </c>
      <c r="P1307" s="27">
        <f>IF($N1307="","",IFERROR(INDEX(CONFIG!$H$4:$H$43,MATCH($N1307,CONFIG!$F$4:$F$43,0)),"Por definir"))</f>
        <v/>
      </c>
      <c r="Q1307" s="50" t="n"/>
      <c r="R1307" s="51" t="n"/>
      <c r="S1307" s="49" t="n"/>
      <c r="T1307" s="49" t="n"/>
      <c r="U1307" s="48">
        <f>IF(OR($B1307="",$K1307=""),"",WORKDAY($B1307,IFERROR(INDEX(CONFIG!$C$4:$C$43,MATCH($K1307,CONFIG!$A$4:$A$43,0)),3)))</f>
        <v/>
      </c>
      <c r="V1307" s="46" t="n"/>
      <c r="W1307" s="23">
        <f>IF($B1307="","",IF($V1307&lt;&gt;"",$V1307-$B1307,TODAY()-$B1307))</f>
        <v/>
      </c>
      <c r="X1307" s="27">
        <f>IF($C1307="","",IF(IFERROR(INDEX(CONFIG!$K$4:$K$43,MATCH($S1307,CONFIG!$J$4:$J$43,0)),"NO")="SÍ",IF(OR($V1307="",$U1307=""),"Resuelta",IF($V1307&gt;$U1307,"Resuelta tarde","Resuelta a tiempo")),IF($U1307="","Sin clasificar",IF(TODAY()&gt;$U1307,"Vencida",IF(TODAY()&gt;=$U1307-1,"Por vencer","En plazo")))))</f>
        <v/>
      </c>
      <c r="Y1307" s="49" t="n"/>
      <c r="Z1307" s="49" t="n"/>
    </row>
    <row r="1308" ht="16" customHeight="1">
      <c r="A1308" s="27">
        <f>IF($C1308="","","N-"&amp;TEXT(ROW()-3,"0000"))</f>
        <v/>
      </c>
      <c r="B1308" s="46" t="n"/>
      <c r="C1308" s="47" t="n"/>
      <c r="D1308" s="27">
        <f>IF($C1308="","",IF(COUNTIFS(ENVIOS!$A$4:$A$3003,$C1308)=0,"NO EXISTE",IF(COUNTIFS(ENVIOS!$A$4:$A$3003,$C1308)&gt;1,"DUPLICADA","OK")))</f>
        <v/>
      </c>
      <c r="E1308" s="22">
        <f>IF($C1308="","",IFERROR(INDEX(ENVIOS!$C$4:$C$3003,MATCH($C1308,ENVIOS!$A$4:$A$3003,0)),"—"))</f>
        <v/>
      </c>
      <c r="F1308" s="22">
        <f>IF($C1308="","",IFERROR(INDEX(ENVIOS!$D$4:$D$3003,MATCH($C1308,ENVIOS!$A$4:$A$3003,0)),"—"))</f>
        <v/>
      </c>
      <c r="G1308" s="22">
        <f>IF($C1308="","",IFERROR(INDEX(ENVIOS!$E$4:$E$3003,MATCH($C1308,ENVIOS!$A$4:$A$3003,0)),"—"))</f>
        <v/>
      </c>
      <c r="H1308" s="22">
        <f>IF($C1308="","",IFERROR(INDEX(ENVIOS!$F$4:$F$3003,MATCH($C1308,ENVIOS!$A$4:$A$3003,0)),"—"))</f>
        <v/>
      </c>
      <c r="I1308" s="27">
        <f>IF($C1308="","",IFERROR(INDEX(ENVIOS!$G$4:$G$3003,MATCH($C1308,ENVIOS!$A$4:$A$3003,0)),"—"))</f>
        <v/>
      </c>
      <c r="J1308" s="48">
        <f>IF($C1308="","",IFERROR(INDEX(ENVIOS!$B$4:$B$3003,MATCH($C1308,ENVIOS!$A$4:$A$3003,0)),""))</f>
        <v/>
      </c>
      <c r="K1308" s="49" t="n"/>
      <c r="L1308" s="27">
        <f>IF($K1308="","",IFERROR(INDEX(CONFIG!$B$4:$B$43,MATCH($K1308,CONFIG!$A$4:$A$43,0)),"Media"))</f>
        <v/>
      </c>
      <c r="M1308" s="27">
        <f>IF($K1308="","",IFERROR(INDEX(CONFIG!$D$4:$D$43,MATCH($K1308,CONFIG!$A$4:$A$43,0)),"NO"))</f>
        <v/>
      </c>
      <c r="N1308" s="49" t="n"/>
      <c r="O1308" s="27">
        <f>IF($N1308="","",IFERROR(INDEX(CONFIG!$G$4:$G$43,MATCH($N1308,CONFIG!$F$4:$F$43,0)),"Por definir"))</f>
        <v/>
      </c>
      <c r="P1308" s="27">
        <f>IF($N1308="","",IFERROR(INDEX(CONFIG!$H$4:$H$43,MATCH($N1308,CONFIG!$F$4:$F$43,0)),"Por definir"))</f>
        <v/>
      </c>
      <c r="Q1308" s="50" t="n"/>
      <c r="R1308" s="51" t="n"/>
      <c r="S1308" s="49" t="n"/>
      <c r="T1308" s="49" t="n"/>
      <c r="U1308" s="48">
        <f>IF(OR($B1308="",$K1308=""),"",WORKDAY($B1308,IFERROR(INDEX(CONFIG!$C$4:$C$43,MATCH($K1308,CONFIG!$A$4:$A$43,0)),3)))</f>
        <v/>
      </c>
      <c r="V1308" s="46" t="n"/>
      <c r="W1308" s="23">
        <f>IF($B1308="","",IF($V1308&lt;&gt;"",$V1308-$B1308,TODAY()-$B1308))</f>
        <v/>
      </c>
      <c r="X1308" s="27">
        <f>IF($C1308="","",IF(IFERROR(INDEX(CONFIG!$K$4:$K$43,MATCH($S1308,CONFIG!$J$4:$J$43,0)),"NO")="SÍ",IF(OR($V1308="",$U1308=""),"Resuelta",IF($V1308&gt;$U1308,"Resuelta tarde","Resuelta a tiempo")),IF($U1308="","Sin clasificar",IF(TODAY()&gt;$U1308,"Vencida",IF(TODAY()&gt;=$U1308-1,"Por vencer","En plazo")))))</f>
        <v/>
      </c>
      <c r="Y1308" s="49" t="n"/>
      <c r="Z1308" s="49" t="n"/>
    </row>
    <row r="1309" ht="16" customHeight="1">
      <c r="A1309" s="27">
        <f>IF($C1309="","","N-"&amp;TEXT(ROW()-3,"0000"))</f>
        <v/>
      </c>
      <c r="B1309" s="46" t="n"/>
      <c r="C1309" s="47" t="n"/>
      <c r="D1309" s="27">
        <f>IF($C1309="","",IF(COUNTIFS(ENVIOS!$A$4:$A$3003,$C1309)=0,"NO EXISTE",IF(COUNTIFS(ENVIOS!$A$4:$A$3003,$C1309)&gt;1,"DUPLICADA","OK")))</f>
        <v/>
      </c>
      <c r="E1309" s="22">
        <f>IF($C1309="","",IFERROR(INDEX(ENVIOS!$C$4:$C$3003,MATCH($C1309,ENVIOS!$A$4:$A$3003,0)),"—"))</f>
        <v/>
      </c>
      <c r="F1309" s="22">
        <f>IF($C1309="","",IFERROR(INDEX(ENVIOS!$D$4:$D$3003,MATCH($C1309,ENVIOS!$A$4:$A$3003,0)),"—"))</f>
        <v/>
      </c>
      <c r="G1309" s="22">
        <f>IF($C1309="","",IFERROR(INDEX(ENVIOS!$E$4:$E$3003,MATCH($C1309,ENVIOS!$A$4:$A$3003,0)),"—"))</f>
        <v/>
      </c>
      <c r="H1309" s="22">
        <f>IF($C1309="","",IFERROR(INDEX(ENVIOS!$F$4:$F$3003,MATCH($C1309,ENVIOS!$A$4:$A$3003,0)),"—"))</f>
        <v/>
      </c>
      <c r="I1309" s="27">
        <f>IF($C1309="","",IFERROR(INDEX(ENVIOS!$G$4:$G$3003,MATCH($C1309,ENVIOS!$A$4:$A$3003,0)),"—"))</f>
        <v/>
      </c>
      <c r="J1309" s="48">
        <f>IF($C1309="","",IFERROR(INDEX(ENVIOS!$B$4:$B$3003,MATCH($C1309,ENVIOS!$A$4:$A$3003,0)),""))</f>
        <v/>
      </c>
      <c r="K1309" s="49" t="n"/>
      <c r="L1309" s="27">
        <f>IF($K1309="","",IFERROR(INDEX(CONFIG!$B$4:$B$43,MATCH($K1309,CONFIG!$A$4:$A$43,0)),"Media"))</f>
        <v/>
      </c>
      <c r="M1309" s="27">
        <f>IF($K1309="","",IFERROR(INDEX(CONFIG!$D$4:$D$43,MATCH($K1309,CONFIG!$A$4:$A$43,0)),"NO"))</f>
        <v/>
      </c>
      <c r="N1309" s="49" t="n"/>
      <c r="O1309" s="27">
        <f>IF($N1309="","",IFERROR(INDEX(CONFIG!$G$4:$G$43,MATCH($N1309,CONFIG!$F$4:$F$43,0)),"Por definir"))</f>
        <v/>
      </c>
      <c r="P1309" s="27">
        <f>IF($N1309="","",IFERROR(INDEX(CONFIG!$H$4:$H$43,MATCH($N1309,CONFIG!$F$4:$F$43,0)),"Por definir"))</f>
        <v/>
      </c>
      <c r="Q1309" s="50" t="n"/>
      <c r="R1309" s="51" t="n"/>
      <c r="S1309" s="49" t="n"/>
      <c r="T1309" s="49" t="n"/>
      <c r="U1309" s="48">
        <f>IF(OR($B1309="",$K1309=""),"",WORKDAY($B1309,IFERROR(INDEX(CONFIG!$C$4:$C$43,MATCH($K1309,CONFIG!$A$4:$A$43,0)),3)))</f>
        <v/>
      </c>
      <c r="V1309" s="46" t="n"/>
      <c r="W1309" s="23">
        <f>IF($B1309="","",IF($V1309&lt;&gt;"",$V1309-$B1309,TODAY()-$B1309))</f>
        <v/>
      </c>
      <c r="X1309" s="27">
        <f>IF($C1309="","",IF(IFERROR(INDEX(CONFIG!$K$4:$K$43,MATCH($S1309,CONFIG!$J$4:$J$43,0)),"NO")="SÍ",IF(OR($V1309="",$U1309=""),"Resuelta",IF($V1309&gt;$U1309,"Resuelta tarde","Resuelta a tiempo")),IF($U1309="","Sin clasificar",IF(TODAY()&gt;$U1309,"Vencida",IF(TODAY()&gt;=$U1309-1,"Por vencer","En plazo")))))</f>
        <v/>
      </c>
      <c r="Y1309" s="49" t="n"/>
      <c r="Z1309" s="49" t="n"/>
    </row>
    <row r="1310" ht="16" customHeight="1">
      <c r="A1310" s="27">
        <f>IF($C1310="","","N-"&amp;TEXT(ROW()-3,"0000"))</f>
        <v/>
      </c>
      <c r="B1310" s="46" t="n"/>
      <c r="C1310" s="47" t="n"/>
      <c r="D1310" s="27">
        <f>IF($C1310="","",IF(COUNTIFS(ENVIOS!$A$4:$A$3003,$C1310)=0,"NO EXISTE",IF(COUNTIFS(ENVIOS!$A$4:$A$3003,$C1310)&gt;1,"DUPLICADA","OK")))</f>
        <v/>
      </c>
      <c r="E1310" s="22">
        <f>IF($C1310="","",IFERROR(INDEX(ENVIOS!$C$4:$C$3003,MATCH($C1310,ENVIOS!$A$4:$A$3003,0)),"—"))</f>
        <v/>
      </c>
      <c r="F1310" s="22">
        <f>IF($C1310="","",IFERROR(INDEX(ENVIOS!$D$4:$D$3003,MATCH($C1310,ENVIOS!$A$4:$A$3003,0)),"—"))</f>
        <v/>
      </c>
      <c r="G1310" s="22">
        <f>IF($C1310="","",IFERROR(INDEX(ENVIOS!$E$4:$E$3003,MATCH($C1310,ENVIOS!$A$4:$A$3003,0)),"—"))</f>
        <v/>
      </c>
      <c r="H1310" s="22">
        <f>IF($C1310="","",IFERROR(INDEX(ENVIOS!$F$4:$F$3003,MATCH($C1310,ENVIOS!$A$4:$A$3003,0)),"—"))</f>
        <v/>
      </c>
      <c r="I1310" s="27">
        <f>IF($C1310="","",IFERROR(INDEX(ENVIOS!$G$4:$G$3003,MATCH($C1310,ENVIOS!$A$4:$A$3003,0)),"—"))</f>
        <v/>
      </c>
      <c r="J1310" s="48">
        <f>IF($C1310="","",IFERROR(INDEX(ENVIOS!$B$4:$B$3003,MATCH($C1310,ENVIOS!$A$4:$A$3003,0)),""))</f>
        <v/>
      </c>
      <c r="K1310" s="49" t="n"/>
      <c r="L1310" s="27">
        <f>IF($K1310="","",IFERROR(INDEX(CONFIG!$B$4:$B$43,MATCH($K1310,CONFIG!$A$4:$A$43,0)),"Media"))</f>
        <v/>
      </c>
      <c r="M1310" s="27">
        <f>IF($K1310="","",IFERROR(INDEX(CONFIG!$D$4:$D$43,MATCH($K1310,CONFIG!$A$4:$A$43,0)),"NO"))</f>
        <v/>
      </c>
      <c r="N1310" s="49" t="n"/>
      <c r="O1310" s="27">
        <f>IF($N1310="","",IFERROR(INDEX(CONFIG!$G$4:$G$43,MATCH($N1310,CONFIG!$F$4:$F$43,0)),"Por definir"))</f>
        <v/>
      </c>
      <c r="P1310" s="27">
        <f>IF($N1310="","",IFERROR(INDEX(CONFIG!$H$4:$H$43,MATCH($N1310,CONFIG!$F$4:$F$43,0)),"Por definir"))</f>
        <v/>
      </c>
      <c r="Q1310" s="50" t="n"/>
      <c r="R1310" s="51" t="n"/>
      <c r="S1310" s="49" t="n"/>
      <c r="T1310" s="49" t="n"/>
      <c r="U1310" s="48">
        <f>IF(OR($B1310="",$K1310=""),"",WORKDAY($B1310,IFERROR(INDEX(CONFIG!$C$4:$C$43,MATCH($K1310,CONFIG!$A$4:$A$43,0)),3)))</f>
        <v/>
      </c>
      <c r="V1310" s="46" t="n"/>
      <c r="W1310" s="23">
        <f>IF($B1310="","",IF($V1310&lt;&gt;"",$V1310-$B1310,TODAY()-$B1310))</f>
        <v/>
      </c>
      <c r="X1310" s="27">
        <f>IF($C1310="","",IF(IFERROR(INDEX(CONFIG!$K$4:$K$43,MATCH($S1310,CONFIG!$J$4:$J$43,0)),"NO")="SÍ",IF(OR($V1310="",$U1310=""),"Resuelta",IF($V1310&gt;$U1310,"Resuelta tarde","Resuelta a tiempo")),IF($U1310="","Sin clasificar",IF(TODAY()&gt;$U1310,"Vencida",IF(TODAY()&gt;=$U1310-1,"Por vencer","En plazo")))))</f>
        <v/>
      </c>
      <c r="Y1310" s="49" t="n"/>
      <c r="Z1310" s="49" t="n"/>
    </row>
    <row r="1311" ht="16" customHeight="1">
      <c r="A1311" s="27">
        <f>IF($C1311="","","N-"&amp;TEXT(ROW()-3,"0000"))</f>
        <v/>
      </c>
      <c r="B1311" s="46" t="n"/>
      <c r="C1311" s="47" t="n"/>
      <c r="D1311" s="27">
        <f>IF($C1311="","",IF(COUNTIFS(ENVIOS!$A$4:$A$3003,$C1311)=0,"NO EXISTE",IF(COUNTIFS(ENVIOS!$A$4:$A$3003,$C1311)&gt;1,"DUPLICADA","OK")))</f>
        <v/>
      </c>
      <c r="E1311" s="22">
        <f>IF($C1311="","",IFERROR(INDEX(ENVIOS!$C$4:$C$3003,MATCH($C1311,ENVIOS!$A$4:$A$3003,0)),"—"))</f>
        <v/>
      </c>
      <c r="F1311" s="22">
        <f>IF($C1311="","",IFERROR(INDEX(ENVIOS!$D$4:$D$3003,MATCH($C1311,ENVIOS!$A$4:$A$3003,0)),"—"))</f>
        <v/>
      </c>
      <c r="G1311" s="22">
        <f>IF($C1311="","",IFERROR(INDEX(ENVIOS!$E$4:$E$3003,MATCH($C1311,ENVIOS!$A$4:$A$3003,0)),"—"))</f>
        <v/>
      </c>
      <c r="H1311" s="22">
        <f>IF($C1311="","",IFERROR(INDEX(ENVIOS!$F$4:$F$3003,MATCH($C1311,ENVIOS!$A$4:$A$3003,0)),"—"))</f>
        <v/>
      </c>
      <c r="I1311" s="27">
        <f>IF($C1311="","",IFERROR(INDEX(ENVIOS!$G$4:$G$3003,MATCH($C1311,ENVIOS!$A$4:$A$3003,0)),"—"))</f>
        <v/>
      </c>
      <c r="J1311" s="48">
        <f>IF($C1311="","",IFERROR(INDEX(ENVIOS!$B$4:$B$3003,MATCH($C1311,ENVIOS!$A$4:$A$3003,0)),""))</f>
        <v/>
      </c>
      <c r="K1311" s="49" t="n"/>
      <c r="L1311" s="27">
        <f>IF($K1311="","",IFERROR(INDEX(CONFIG!$B$4:$B$43,MATCH($K1311,CONFIG!$A$4:$A$43,0)),"Media"))</f>
        <v/>
      </c>
      <c r="M1311" s="27">
        <f>IF($K1311="","",IFERROR(INDEX(CONFIG!$D$4:$D$43,MATCH($K1311,CONFIG!$A$4:$A$43,0)),"NO"))</f>
        <v/>
      </c>
      <c r="N1311" s="49" t="n"/>
      <c r="O1311" s="27">
        <f>IF($N1311="","",IFERROR(INDEX(CONFIG!$G$4:$G$43,MATCH($N1311,CONFIG!$F$4:$F$43,0)),"Por definir"))</f>
        <v/>
      </c>
      <c r="P1311" s="27">
        <f>IF($N1311="","",IFERROR(INDEX(CONFIG!$H$4:$H$43,MATCH($N1311,CONFIG!$F$4:$F$43,0)),"Por definir"))</f>
        <v/>
      </c>
      <c r="Q1311" s="50" t="n"/>
      <c r="R1311" s="51" t="n"/>
      <c r="S1311" s="49" t="n"/>
      <c r="T1311" s="49" t="n"/>
      <c r="U1311" s="48">
        <f>IF(OR($B1311="",$K1311=""),"",WORKDAY($B1311,IFERROR(INDEX(CONFIG!$C$4:$C$43,MATCH($K1311,CONFIG!$A$4:$A$43,0)),3)))</f>
        <v/>
      </c>
      <c r="V1311" s="46" t="n"/>
      <c r="W1311" s="23">
        <f>IF($B1311="","",IF($V1311&lt;&gt;"",$V1311-$B1311,TODAY()-$B1311))</f>
        <v/>
      </c>
      <c r="X1311" s="27">
        <f>IF($C1311="","",IF(IFERROR(INDEX(CONFIG!$K$4:$K$43,MATCH($S1311,CONFIG!$J$4:$J$43,0)),"NO")="SÍ",IF(OR($V1311="",$U1311=""),"Resuelta",IF($V1311&gt;$U1311,"Resuelta tarde","Resuelta a tiempo")),IF($U1311="","Sin clasificar",IF(TODAY()&gt;$U1311,"Vencida",IF(TODAY()&gt;=$U1311-1,"Por vencer","En plazo")))))</f>
        <v/>
      </c>
      <c r="Y1311" s="49" t="n"/>
      <c r="Z1311" s="49" t="n"/>
    </row>
    <row r="1312" ht="16" customHeight="1">
      <c r="A1312" s="27">
        <f>IF($C1312="","","N-"&amp;TEXT(ROW()-3,"0000"))</f>
        <v/>
      </c>
      <c r="B1312" s="46" t="n"/>
      <c r="C1312" s="47" t="n"/>
      <c r="D1312" s="27">
        <f>IF($C1312="","",IF(COUNTIFS(ENVIOS!$A$4:$A$3003,$C1312)=0,"NO EXISTE",IF(COUNTIFS(ENVIOS!$A$4:$A$3003,$C1312)&gt;1,"DUPLICADA","OK")))</f>
        <v/>
      </c>
      <c r="E1312" s="22">
        <f>IF($C1312="","",IFERROR(INDEX(ENVIOS!$C$4:$C$3003,MATCH($C1312,ENVIOS!$A$4:$A$3003,0)),"—"))</f>
        <v/>
      </c>
      <c r="F1312" s="22">
        <f>IF($C1312="","",IFERROR(INDEX(ENVIOS!$D$4:$D$3003,MATCH($C1312,ENVIOS!$A$4:$A$3003,0)),"—"))</f>
        <v/>
      </c>
      <c r="G1312" s="22">
        <f>IF($C1312="","",IFERROR(INDEX(ENVIOS!$E$4:$E$3003,MATCH($C1312,ENVIOS!$A$4:$A$3003,0)),"—"))</f>
        <v/>
      </c>
      <c r="H1312" s="22">
        <f>IF($C1312="","",IFERROR(INDEX(ENVIOS!$F$4:$F$3003,MATCH($C1312,ENVIOS!$A$4:$A$3003,0)),"—"))</f>
        <v/>
      </c>
      <c r="I1312" s="27">
        <f>IF($C1312="","",IFERROR(INDEX(ENVIOS!$G$4:$G$3003,MATCH($C1312,ENVIOS!$A$4:$A$3003,0)),"—"))</f>
        <v/>
      </c>
      <c r="J1312" s="48">
        <f>IF($C1312="","",IFERROR(INDEX(ENVIOS!$B$4:$B$3003,MATCH($C1312,ENVIOS!$A$4:$A$3003,0)),""))</f>
        <v/>
      </c>
      <c r="K1312" s="49" t="n"/>
      <c r="L1312" s="27">
        <f>IF($K1312="","",IFERROR(INDEX(CONFIG!$B$4:$B$43,MATCH($K1312,CONFIG!$A$4:$A$43,0)),"Media"))</f>
        <v/>
      </c>
      <c r="M1312" s="27">
        <f>IF($K1312="","",IFERROR(INDEX(CONFIG!$D$4:$D$43,MATCH($K1312,CONFIG!$A$4:$A$43,0)),"NO"))</f>
        <v/>
      </c>
      <c r="N1312" s="49" t="n"/>
      <c r="O1312" s="27">
        <f>IF($N1312="","",IFERROR(INDEX(CONFIG!$G$4:$G$43,MATCH($N1312,CONFIG!$F$4:$F$43,0)),"Por definir"))</f>
        <v/>
      </c>
      <c r="P1312" s="27">
        <f>IF($N1312="","",IFERROR(INDEX(CONFIG!$H$4:$H$43,MATCH($N1312,CONFIG!$F$4:$F$43,0)),"Por definir"))</f>
        <v/>
      </c>
      <c r="Q1312" s="50" t="n"/>
      <c r="R1312" s="51" t="n"/>
      <c r="S1312" s="49" t="n"/>
      <c r="T1312" s="49" t="n"/>
      <c r="U1312" s="48">
        <f>IF(OR($B1312="",$K1312=""),"",WORKDAY($B1312,IFERROR(INDEX(CONFIG!$C$4:$C$43,MATCH($K1312,CONFIG!$A$4:$A$43,0)),3)))</f>
        <v/>
      </c>
      <c r="V1312" s="46" t="n"/>
      <c r="W1312" s="23">
        <f>IF($B1312="","",IF($V1312&lt;&gt;"",$V1312-$B1312,TODAY()-$B1312))</f>
        <v/>
      </c>
      <c r="X1312" s="27">
        <f>IF($C1312="","",IF(IFERROR(INDEX(CONFIG!$K$4:$K$43,MATCH($S1312,CONFIG!$J$4:$J$43,0)),"NO")="SÍ",IF(OR($V1312="",$U1312=""),"Resuelta",IF($V1312&gt;$U1312,"Resuelta tarde","Resuelta a tiempo")),IF($U1312="","Sin clasificar",IF(TODAY()&gt;$U1312,"Vencida",IF(TODAY()&gt;=$U1312-1,"Por vencer","En plazo")))))</f>
        <v/>
      </c>
      <c r="Y1312" s="49" t="n"/>
      <c r="Z1312" s="49" t="n"/>
    </row>
    <row r="1313" ht="16" customHeight="1">
      <c r="A1313" s="27">
        <f>IF($C1313="","","N-"&amp;TEXT(ROW()-3,"0000"))</f>
        <v/>
      </c>
      <c r="B1313" s="46" t="n"/>
      <c r="C1313" s="47" t="n"/>
      <c r="D1313" s="27">
        <f>IF($C1313="","",IF(COUNTIFS(ENVIOS!$A$4:$A$3003,$C1313)=0,"NO EXISTE",IF(COUNTIFS(ENVIOS!$A$4:$A$3003,$C1313)&gt;1,"DUPLICADA","OK")))</f>
        <v/>
      </c>
      <c r="E1313" s="22">
        <f>IF($C1313="","",IFERROR(INDEX(ENVIOS!$C$4:$C$3003,MATCH($C1313,ENVIOS!$A$4:$A$3003,0)),"—"))</f>
        <v/>
      </c>
      <c r="F1313" s="22">
        <f>IF($C1313="","",IFERROR(INDEX(ENVIOS!$D$4:$D$3003,MATCH($C1313,ENVIOS!$A$4:$A$3003,0)),"—"))</f>
        <v/>
      </c>
      <c r="G1313" s="22">
        <f>IF($C1313="","",IFERROR(INDEX(ENVIOS!$E$4:$E$3003,MATCH($C1313,ENVIOS!$A$4:$A$3003,0)),"—"))</f>
        <v/>
      </c>
      <c r="H1313" s="22">
        <f>IF($C1313="","",IFERROR(INDEX(ENVIOS!$F$4:$F$3003,MATCH($C1313,ENVIOS!$A$4:$A$3003,0)),"—"))</f>
        <v/>
      </c>
      <c r="I1313" s="27">
        <f>IF($C1313="","",IFERROR(INDEX(ENVIOS!$G$4:$G$3003,MATCH($C1313,ENVIOS!$A$4:$A$3003,0)),"—"))</f>
        <v/>
      </c>
      <c r="J1313" s="48">
        <f>IF($C1313="","",IFERROR(INDEX(ENVIOS!$B$4:$B$3003,MATCH($C1313,ENVIOS!$A$4:$A$3003,0)),""))</f>
        <v/>
      </c>
      <c r="K1313" s="49" t="n"/>
      <c r="L1313" s="27">
        <f>IF($K1313="","",IFERROR(INDEX(CONFIG!$B$4:$B$43,MATCH($K1313,CONFIG!$A$4:$A$43,0)),"Media"))</f>
        <v/>
      </c>
      <c r="M1313" s="27">
        <f>IF($K1313="","",IFERROR(INDEX(CONFIG!$D$4:$D$43,MATCH($K1313,CONFIG!$A$4:$A$43,0)),"NO"))</f>
        <v/>
      </c>
      <c r="N1313" s="49" t="n"/>
      <c r="O1313" s="27">
        <f>IF($N1313="","",IFERROR(INDEX(CONFIG!$G$4:$G$43,MATCH($N1313,CONFIG!$F$4:$F$43,0)),"Por definir"))</f>
        <v/>
      </c>
      <c r="P1313" s="27">
        <f>IF($N1313="","",IFERROR(INDEX(CONFIG!$H$4:$H$43,MATCH($N1313,CONFIG!$F$4:$F$43,0)),"Por definir"))</f>
        <v/>
      </c>
      <c r="Q1313" s="50" t="n"/>
      <c r="R1313" s="51" t="n"/>
      <c r="S1313" s="49" t="n"/>
      <c r="T1313" s="49" t="n"/>
      <c r="U1313" s="48">
        <f>IF(OR($B1313="",$K1313=""),"",WORKDAY($B1313,IFERROR(INDEX(CONFIG!$C$4:$C$43,MATCH($K1313,CONFIG!$A$4:$A$43,0)),3)))</f>
        <v/>
      </c>
      <c r="V1313" s="46" t="n"/>
      <c r="W1313" s="23">
        <f>IF($B1313="","",IF($V1313&lt;&gt;"",$V1313-$B1313,TODAY()-$B1313))</f>
        <v/>
      </c>
      <c r="X1313" s="27">
        <f>IF($C1313="","",IF(IFERROR(INDEX(CONFIG!$K$4:$K$43,MATCH($S1313,CONFIG!$J$4:$J$43,0)),"NO")="SÍ",IF(OR($V1313="",$U1313=""),"Resuelta",IF($V1313&gt;$U1313,"Resuelta tarde","Resuelta a tiempo")),IF($U1313="","Sin clasificar",IF(TODAY()&gt;$U1313,"Vencida",IF(TODAY()&gt;=$U1313-1,"Por vencer","En plazo")))))</f>
        <v/>
      </c>
      <c r="Y1313" s="49" t="n"/>
      <c r="Z1313" s="49" t="n"/>
    </row>
    <row r="1314" ht="16" customHeight="1">
      <c r="A1314" s="27">
        <f>IF($C1314="","","N-"&amp;TEXT(ROW()-3,"0000"))</f>
        <v/>
      </c>
      <c r="B1314" s="46" t="n"/>
      <c r="C1314" s="47" t="n"/>
      <c r="D1314" s="27">
        <f>IF($C1314="","",IF(COUNTIFS(ENVIOS!$A$4:$A$3003,$C1314)=0,"NO EXISTE",IF(COUNTIFS(ENVIOS!$A$4:$A$3003,$C1314)&gt;1,"DUPLICADA","OK")))</f>
        <v/>
      </c>
      <c r="E1314" s="22">
        <f>IF($C1314="","",IFERROR(INDEX(ENVIOS!$C$4:$C$3003,MATCH($C1314,ENVIOS!$A$4:$A$3003,0)),"—"))</f>
        <v/>
      </c>
      <c r="F1314" s="22">
        <f>IF($C1314="","",IFERROR(INDEX(ENVIOS!$D$4:$D$3003,MATCH($C1314,ENVIOS!$A$4:$A$3003,0)),"—"))</f>
        <v/>
      </c>
      <c r="G1314" s="22">
        <f>IF($C1314="","",IFERROR(INDEX(ENVIOS!$E$4:$E$3003,MATCH($C1314,ENVIOS!$A$4:$A$3003,0)),"—"))</f>
        <v/>
      </c>
      <c r="H1314" s="22">
        <f>IF($C1314="","",IFERROR(INDEX(ENVIOS!$F$4:$F$3003,MATCH($C1314,ENVIOS!$A$4:$A$3003,0)),"—"))</f>
        <v/>
      </c>
      <c r="I1314" s="27">
        <f>IF($C1314="","",IFERROR(INDEX(ENVIOS!$G$4:$G$3003,MATCH($C1314,ENVIOS!$A$4:$A$3003,0)),"—"))</f>
        <v/>
      </c>
      <c r="J1314" s="48">
        <f>IF($C1314="","",IFERROR(INDEX(ENVIOS!$B$4:$B$3003,MATCH($C1314,ENVIOS!$A$4:$A$3003,0)),""))</f>
        <v/>
      </c>
      <c r="K1314" s="49" t="n"/>
      <c r="L1314" s="27">
        <f>IF($K1314="","",IFERROR(INDEX(CONFIG!$B$4:$B$43,MATCH($K1314,CONFIG!$A$4:$A$43,0)),"Media"))</f>
        <v/>
      </c>
      <c r="M1314" s="27">
        <f>IF($K1314="","",IFERROR(INDEX(CONFIG!$D$4:$D$43,MATCH($K1314,CONFIG!$A$4:$A$43,0)),"NO"))</f>
        <v/>
      </c>
      <c r="N1314" s="49" t="n"/>
      <c r="O1314" s="27">
        <f>IF($N1314="","",IFERROR(INDEX(CONFIG!$G$4:$G$43,MATCH($N1314,CONFIG!$F$4:$F$43,0)),"Por definir"))</f>
        <v/>
      </c>
      <c r="P1314" s="27">
        <f>IF($N1314="","",IFERROR(INDEX(CONFIG!$H$4:$H$43,MATCH($N1314,CONFIG!$F$4:$F$43,0)),"Por definir"))</f>
        <v/>
      </c>
      <c r="Q1314" s="50" t="n"/>
      <c r="R1314" s="51" t="n"/>
      <c r="S1314" s="49" t="n"/>
      <c r="T1314" s="49" t="n"/>
      <c r="U1314" s="48">
        <f>IF(OR($B1314="",$K1314=""),"",WORKDAY($B1314,IFERROR(INDEX(CONFIG!$C$4:$C$43,MATCH($K1314,CONFIG!$A$4:$A$43,0)),3)))</f>
        <v/>
      </c>
      <c r="V1314" s="46" t="n"/>
      <c r="W1314" s="23">
        <f>IF($B1314="","",IF($V1314&lt;&gt;"",$V1314-$B1314,TODAY()-$B1314))</f>
        <v/>
      </c>
      <c r="X1314" s="27">
        <f>IF($C1314="","",IF(IFERROR(INDEX(CONFIG!$K$4:$K$43,MATCH($S1314,CONFIG!$J$4:$J$43,0)),"NO")="SÍ",IF(OR($V1314="",$U1314=""),"Resuelta",IF($V1314&gt;$U1314,"Resuelta tarde","Resuelta a tiempo")),IF($U1314="","Sin clasificar",IF(TODAY()&gt;$U1314,"Vencida",IF(TODAY()&gt;=$U1314-1,"Por vencer","En plazo")))))</f>
        <v/>
      </c>
      <c r="Y1314" s="49" t="n"/>
      <c r="Z1314" s="49" t="n"/>
    </row>
    <row r="1315" ht="16" customHeight="1">
      <c r="A1315" s="27">
        <f>IF($C1315="","","N-"&amp;TEXT(ROW()-3,"0000"))</f>
        <v/>
      </c>
      <c r="B1315" s="46" t="n"/>
      <c r="C1315" s="47" t="n"/>
      <c r="D1315" s="27">
        <f>IF($C1315="","",IF(COUNTIFS(ENVIOS!$A$4:$A$3003,$C1315)=0,"NO EXISTE",IF(COUNTIFS(ENVIOS!$A$4:$A$3003,$C1315)&gt;1,"DUPLICADA","OK")))</f>
        <v/>
      </c>
      <c r="E1315" s="22">
        <f>IF($C1315="","",IFERROR(INDEX(ENVIOS!$C$4:$C$3003,MATCH($C1315,ENVIOS!$A$4:$A$3003,0)),"—"))</f>
        <v/>
      </c>
      <c r="F1315" s="22">
        <f>IF($C1315="","",IFERROR(INDEX(ENVIOS!$D$4:$D$3003,MATCH($C1315,ENVIOS!$A$4:$A$3003,0)),"—"))</f>
        <v/>
      </c>
      <c r="G1315" s="22">
        <f>IF($C1315="","",IFERROR(INDEX(ENVIOS!$E$4:$E$3003,MATCH($C1315,ENVIOS!$A$4:$A$3003,0)),"—"))</f>
        <v/>
      </c>
      <c r="H1315" s="22">
        <f>IF($C1315="","",IFERROR(INDEX(ENVIOS!$F$4:$F$3003,MATCH($C1315,ENVIOS!$A$4:$A$3003,0)),"—"))</f>
        <v/>
      </c>
      <c r="I1315" s="27">
        <f>IF($C1315="","",IFERROR(INDEX(ENVIOS!$G$4:$G$3003,MATCH($C1315,ENVIOS!$A$4:$A$3003,0)),"—"))</f>
        <v/>
      </c>
      <c r="J1315" s="48">
        <f>IF($C1315="","",IFERROR(INDEX(ENVIOS!$B$4:$B$3003,MATCH($C1315,ENVIOS!$A$4:$A$3003,0)),""))</f>
        <v/>
      </c>
      <c r="K1315" s="49" t="n"/>
      <c r="L1315" s="27">
        <f>IF($K1315="","",IFERROR(INDEX(CONFIG!$B$4:$B$43,MATCH($K1315,CONFIG!$A$4:$A$43,0)),"Media"))</f>
        <v/>
      </c>
      <c r="M1315" s="27">
        <f>IF($K1315="","",IFERROR(INDEX(CONFIG!$D$4:$D$43,MATCH($K1315,CONFIG!$A$4:$A$43,0)),"NO"))</f>
        <v/>
      </c>
      <c r="N1315" s="49" t="n"/>
      <c r="O1315" s="27">
        <f>IF($N1315="","",IFERROR(INDEX(CONFIG!$G$4:$G$43,MATCH($N1315,CONFIG!$F$4:$F$43,0)),"Por definir"))</f>
        <v/>
      </c>
      <c r="P1315" s="27">
        <f>IF($N1315="","",IFERROR(INDEX(CONFIG!$H$4:$H$43,MATCH($N1315,CONFIG!$F$4:$F$43,0)),"Por definir"))</f>
        <v/>
      </c>
      <c r="Q1315" s="50" t="n"/>
      <c r="R1315" s="51" t="n"/>
      <c r="S1315" s="49" t="n"/>
      <c r="T1315" s="49" t="n"/>
      <c r="U1315" s="48">
        <f>IF(OR($B1315="",$K1315=""),"",WORKDAY($B1315,IFERROR(INDEX(CONFIG!$C$4:$C$43,MATCH($K1315,CONFIG!$A$4:$A$43,0)),3)))</f>
        <v/>
      </c>
      <c r="V1315" s="46" t="n"/>
      <c r="W1315" s="23">
        <f>IF($B1315="","",IF($V1315&lt;&gt;"",$V1315-$B1315,TODAY()-$B1315))</f>
        <v/>
      </c>
      <c r="X1315" s="27">
        <f>IF($C1315="","",IF(IFERROR(INDEX(CONFIG!$K$4:$K$43,MATCH($S1315,CONFIG!$J$4:$J$43,0)),"NO")="SÍ",IF(OR($V1315="",$U1315=""),"Resuelta",IF($V1315&gt;$U1315,"Resuelta tarde","Resuelta a tiempo")),IF($U1315="","Sin clasificar",IF(TODAY()&gt;$U1315,"Vencida",IF(TODAY()&gt;=$U1315-1,"Por vencer","En plazo")))))</f>
        <v/>
      </c>
      <c r="Y1315" s="49" t="n"/>
      <c r="Z1315" s="49" t="n"/>
    </row>
    <row r="1316" ht="16" customHeight="1">
      <c r="A1316" s="27">
        <f>IF($C1316="","","N-"&amp;TEXT(ROW()-3,"0000"))</f>
        <v/>
      </c>
      <c r="B1316" s="46" t="n"/>
      <c r="C1316" s="47" t="n"/>
      <c r="D1316" s="27">
        <f>IF($C1316="","",IF(COUNTIFS(ENVIOS!$A$4:$A$3003,$C1316)=0,"NO EXISTE",IF(COUNTIFS(ENVIOS!$A$4:$A$3003,$C1316)&gt;1,"DUPLICADA","OK")))</f>
        <v/>
      </c>
      <c r="E1316" s="22">
        <f>IF($C1316="","",IFERROR(INDEX(ENVIOS!$C$4:$C$3003,MATCH($C1316,ENVIOS!$A$4:$A$3003,0)),"—"))</f>
        <v/>
      </c>
      <c r="F1316" s="22">
        <f>IF($C1316="","",IFERROR(INDEX(ENVIOS!$D$4:$D$3003,MATCH($C1316,ENVIOS!$A$4:$A$3003,0)),"—"))</f>
        <v/>
      </c>
      <c r="G1316" s="22">
        <f>IF($C1316="","",IFERROR(INDEX(ENVIOS!$E$4:$E$3003,MATCH($C1316,ENVIOS!$A$4:$A$3003,0)),"—"))</f>
        <v/>
      </c>
      <c r="H1316" s="22">
        <f>IF($C1316="","",IFERROR(INDEX(ENVIOS!$F$4:$F$3003,MATCH($C1316,ENVIOS!$A$4:$A$3003,0)),"—"))</f>
        <v/>
      </c>
      <c r="I1316" s="27">
        <f>IF($C1316="","",IFERROR(INDEX(ENVIOS!$G$4:$G$3003,MATCH($C1316,ENVIOS!$A$4:$A$3003,0)),"—"))</f>
        <v/>
      </c>
      <c r="J1316" s="48">
        <f>IF($C1316="","",IFERROR(INDEX(ENVIOS!$B$4:$B$3003,MATCH($C1316,ENVIOS!$A$4:$A$3003,0)),""))</f>
        <v/>
      </c>
      <c r="K1316" s="49" t="n"/>
      <c r="L1316" s="27">
        <f>IF($K1316="","",IFERROR(INDEX(CONFIG!$B$4:$B$43,MATCH($K1316,CONFIG!$A$4:$A$43,0)),"Media"))</f>
        <v/>
      </c>
      <c r="M1316" s="27">
        <f>IF($K1316="","",IFERROR(INDEX(CONFIG!$D$4:$D$43,MATCH($K1316,CONFIG!$A$4:$A$43,0)),"NO"))</f>
        <v/>
      </c>
      <c r="N1316" s="49" t="n"/>
      <c r="O1316" s="27">
        <f>IF($N1316="","",IFERROR(INDEX(CONFIG!$G$4:$G$43,MATCH($N1316,CONFIG!$F$4:$F$43,0)),"Por definir"))</f>
        <v/>
      </c>
      <c r="P1316" s="27">
        <f>IF($N1316="","",IFERROR(INDEX(CONFIG!$H$4:$H$43,MATCH($N1316,CONFIG!$F$4:$F$43,0)),"Por definir"))</f>
        <v/>
      </c>
      <c r="Q1316" s="50" t="n"/>
      <c r="R1316" s="51" t="n"/>
      <c r="S1316" s="49" t="n"/>
      <c r="T1316" s="49" t="n"/>
      <c r="U1316" s="48">
        <f>IF(OR($B1316="",$K1316=""),"",WORKDAY($B1316,IFERROR(INDEX(CONFIG!$C$4:$C$43,MATCH($K1316,CONFIG!$A$4:$A$43,0)),3)))</f>
        <v/>
      </c>
      <c r="V1316" s="46" t="n"/>
      <c r="W1316" s="23">
        <f>IF($B1316="","",IF($V1316&lt;&gt;"",$V1316-$B1316,TODAY()-$B1316))</f>
        <v/>
      </c>
      <c r="X1316" s="27">
        <f>IF($C1316="","",IF(IFERROR(INDEX(CONFIG!$K$4:$K$43,MATCH($S1316,CONFIG!$J$4:$J$43,0)),"NO")="SÍ",IF(OR($V1316="",$U1316=""),"Resuelta",IF($V1316&gt;$U1316,"Resuelta tarde","Resuelta a tiempo")),IF($U1316="","Sin clasificar",IF(TODAY()&gt;$U1316,"Vencida",IF(TODAY()&gt;=$U1316-1,"Por vencer","En plazo")))))</f>
        <v/>
      </c>
      <c r="Y1316" s="49" t="n"/>
      <c r="Z1316" s="49" t="n"/>
    </row>
    <row r="1317" ht="16" customHeight="1">
      <c r="A1317" s="27">
        <f>IF($C1317="","","N-"&amp;TEXT(ROW()-3,"0000"))</f>
        <v/>
      </c>
      <c r="B1317" s="46" t="n"/>
      <c r="C1317" s="47" t="n"/>
      <c r="D1317" s="27">
        <f>IF($C1317="","",IF(COUNTIFS(ENVIOS!$A$4:$A$3003,$C1317)=0,"NO EXISTE",IF(COUNTIFS(ENVIOS!$A$4:$A$3003,$C1317)&gt;1,"DUPLICADA","OK")))</f>
        <v/>
      </c>
      <c r="E1317" s="22">
        <f>IF($C1317="","",IFERROR(INDEX(ENVIOS!$C$4:$C$3003,MATCH($C1317,ENVIOS!$A$4:$A$3003,0)),"—"))</f>
        <v/>
      </c>
      <c r="F1317" s="22">
        <f>IF($C1317="","",IFERROR(INDEX(ENVIOS!$D$4:$D$3003,MATCH($C1317,ENVIOS!$A$4:$A$3003,0)),"—"))</f>
        <v/>
      </c>
      <c r="G1317" s="22">
        <f>IF($C1317="","",IFERROR(INDEX(ENVIOS!$E$4:$E$3003,MATCH($C1317,ENVIOS!$A$4:$A$3003,0)),"—"))</f>
        <v/>
      </c>
      <c r="H1317" s="22">
        <f>IF($C1317="","",IFERROR(INDEX(ENVIOS!$F$4:$F$3003,MATCH($C1317,ENVIOS!$A$4:$A$3003,0)),"—"))</f>
        <v/>
      </c>
      <c r="I1317" s="27">
        <f>IF($C1317="","",IFERROR(INDEX(ENVIOS!$G$4:$G$3003,MATCH($C1317,ENVIOS!$A$4:$A$3003,0)),"—"))</f>
        <v/>
      </c>
      <c r="J1317" s="48">
        <f>IF($C1317="","",IFERROR(INDEX(ENVIOS!$B$4:$B$3003,MATCH($C1317,ENVIOS!$A$4:$A$3003,0)),""))</f>
        <v/>
      </c>
      <c r="K1317" s="49" t="n"/>
      <c r="L1317" s="27">
        <f>IF($K1317="","",IFERROR(INDEX(CONFIG!$B$4:$B$43,MATCH($K1317,CONFIG!$A$4:$A$43,0)),"Media"))</f>
        <v/>
      </c>
      <c r="M1317" s="27">
        <f>IF($K1317="","",IFERROR(INDEX(CONFIG!$D$4:$D$43,MATCH($K1317,CONFIG!$A$4:$A$43,0)),"NO"))</f>
        <v/>
      </c>
      <c r="N1317" s="49" t="n"/>
      <c r="O1317" s="27">
        <f>IF($N1317="","",IFERROR(INDEX(CONFIG!$G$4:$G$43,MATCH($N1317,CONFIG!$F$4:$F$43,0)),"Por definir"))</f>
        <v/>
      </c>
      <c r="P1317" s="27">
        <f>IF($N1317="","",IFERROR(INDEX(CONFIG!$H$4:$H$43,MATCH($N1317,CONFIG!$F$4:$F$43,0)),"Por definir"))</f>
        <v/>
      </c>
      <c r="Q1317" s="50" t="n"/>
      <c r="R1317" s="51" t="n"/>
      <c r="S1317" s="49" t="n"/>
      <c r="T1317" s="49" t="n"/>
      <c r="U1317" s="48">
        <f>IF(OR($B1317="",$K1317=""),"",WORKDAY($B1317,IFERROR(INDEX(CONFIG!$C$4:$C$43,MATCH($K1317,CONFIG!$A$4:$A$43,0)),3)))</f>
        <v/>
      </c>
      <c r="V1317" s="46" t="n"/>
      <c r="W1317" s="23">
        <f>IF($B1317="","",IF($V1317&lt;&gt;"",$V1317-$B1317,TODAY()-$B1317))</f>
        <v/>
      </c>
      <c r="X1317" s="27">
        <f>IF($C1317="","",IF(IFERROR(INDEX(CONFIG!$K$4:$K$43,MATCH($S1317,CONFIG!$J$4:$J$43,0)),"NO")="SÍ",IF(OR($V1317="",$U1317=""),"Resuelta",IF($V1317&gt;$U1317,"Resuelta tarde","Resuelta a tiempo")),IF($U1317="","Sin clasificar",IF(TODAY()&gt;$U1317,"Vencida",IF(TODAY()&gt;=$U1317-1,"Por vencer","En plazo")))))</f>
        <v/>
      </c>
      <c r="Y1317" s="49" t="n"/>
      <c r="Z1317" s="49" t="n"/>
    </row>
    <row r="1318" ht="16" customHeight="1">
      <c r="A1318" s="27">
        <f>IF($C1318="","","N-"&amp;TEXT(ROW()-3,"0000"))</f>
        <v/>
      </c>
      <c r="B1318" s="46" t="n"/>
      <c r="C1318" s="47" t="n"/>
      <c r="D1318" s="27">
        <f>IF($C1318="","",IF(COUNTIFS(ENVIOS!$A$4:$A$3003,$C1318)=0,"NO EXISTE",IF(COUNTIFS(ENVIOS!$A$4:$A$3003,$C1318)&gt;1,"DUPLICADA","OK")))</f>
        <v/>
      </c>
      <c r="E1318" s="22">
        <f>IF($C1318="","",IFERROR(INDEX(ENVIOS!$C$4:$C$3003,MATCH($C1318,ENVIOS!$A$4:$A$3003,0)),"—"))</f>
        <v/>
      </c>
      <c r="F1318" s="22">
        <f>IF($C1318="","",IFERROR(INDEX(ENVIOS!$D$4:$D$3003,MATCH($C1318,ENVIOS!$A$4:$A$3003,0)),"—"))</f>
        <v/>
      </c>
      <c r="G1318" s="22">
        <f>IF($C1318="","",IFERROR(INDEX(ENVIOS!$E$4:$E$3003,MATCH($C1318,ENVIOS!$A$4:$A$3003,0)),"—"))</f>
        <v/>
      </c>
      <c r="H1318" s="22">
        <f>IF($C1318="","",IFERROR(INDEX(ENVIOS!$F$4:$F$3003,MATCH($C1318,ENVIOS!$A$4:$A$3003,0)),"—"))</f>
        <v/>
      </c>
      <c r="I1318" s="27">
        <f>IF($C1318="","",IFERROR(INDEX(ENVIOS!$G$4:$G$3003,MATCH($C1318,ENVIOS!$A$4:$A$3003,0)),"—"))</f>
        <v/>
      </c>
      <c r="J1318" s="48">
        <f>IF($C1318="","",IFERROR(INDEX(ENVIOS!$B$4:$B$3003,MATCH($C1318,ENVIOS!$A$4:$A$3003,0)),""))</f>
        <v/>
      </c>
      <c r="K1318" s="49" t="n"/>
      <c r="L1318" s="27">
        <f>IF($K1318="","",IFERROR(INDEX(CONFIG!$B$4:$B$43,MATCH($K1318,CONFIG!$A$4:$A$43,0)),"Media"))</f>
        <v/>
      </c>
      <c r="M1318" s="27">
        <f>IF($K1318="","",IFERROR(INDEX(CONFIG!$D$4:$D$43,MATCH($K1318,CONFIG!$A$4:$A$43,0)),"NO"))</f>
        <v/>
      </c>
      <c r="N1318" s="49" t="n"/>
      <c r="O1318" s="27">
        <f>IF($N1318="","",IFERROR(INDEX(CONFIG!$G$4:$G$43,MATCH($N1318,CONFIG!$F$4:$F$43,0)),"Por definir"))</f>
        <v/>
      </c>
      <c r="P1318" s="27">
        <f>IF($N1318="","",IFERROR(INDEX(CONFIG!$H$4:$H$43,MATCH($N1318,CONFIG!$F$4:$F$43,0)),"Por definir"))</f>
        <v/>
      </c>
      <c r="Q1318" s="50" t="n"/>
      <c r="R1318" s="51" t="n"/>
      <c r="S1318" s="49" t="n"/>
      <c r="T1318" s="49" t="n"/>
      <c r="U1318" s="48">
        <f>IF(OR($B1318="",$K1318=""),"",WORKDAY($B1318,IFERROR(INDEX(CONFIG!$C$4:$C$43,MATCH($K1318,CONFIG!$A$4:$A$43,0)),3)))</f>
        <v/>
      </c>
      <c r="V1318" s="46" t="n"/>
      <c r="W1318" s="23">
        <f>IF($B1318="","",IF($V1318&lt;&gt;"",$V1318-$B1318,TODAY()-$B1318))</f>
        <v/>
      </c>
      <c r="X1318" s="27">
        <f>IF($C1318="","",IF(IFERROR(INDEX(CONFIG!$K$4:$K$43,MATCH($S1318,CONFIG!$J$4:$J$43,0)),"NO")="SÍ",IF(OR($V1318="",$U1318=""),"Resuelta",IF($V1318&gt;$U1318,"Resuelta tarde","Resuelta a tiempo")),IF($U1318="","Sin clasificar",IF(TODAY()&gt;$U1318,"Vencida",IF(TODAY()&gt;=$U1318-1,"Por vencer","En plazo")))))</f>
        <v/>
      </c>
      <c r="Y1318" s="49" t="n"/>
      <c r="Z1318" s="49" t="n"/>
    </row>
    <row r="1319" ht="16" customHeight="1">
      <c r="A1319" s="27">
        <f>IF($C1319="","","N-"&amp;TEXT(ROW()-3,"0000"))</f>
        <v/>
      </c>
      <c r="B1319" s="46" t="n"/>
      <c r="C1319" s="47" t="n"/>
      <c r="D1319" s="27">
        <f>IF($C1319="","",IF(COUNTIFS(ENVIOS!$A$4:$A$3003,$C1319)=0,"NO EXISTE",IF(COUNTIFS(ENVIOS!$A$4:$A$3003,$C1319)&gt;1,"DUPLICADA","OK")))</f>
        <v/>
      </c>
      <c r="E1319" s="22">
        <f>IF($C1319="","",IFERROR(INDEX(ENVIOS!$C$4:$C$3003,MATCH($C1319,ENVIOS!$A$4:$A$3003,0)),"—"))</f>
        <v/>
      </c>
      <c r="F1319" s="22">
        <f>IF($C1319="","",IFERROR(INDEX(ENVIOS!$D$4:$D$3003,MATCH($C1319,ENVIOS!$A$4:$A$3003,0)),"—"))</f>
        <v/>
      </c>
      <c r="G1319" s="22">
        <f>IF($C1319="","",IFERROR(INDEX(ENVIOS!$E$4:$E$3003,MATCH($C1319,ENVIOS!$A$4:$A$3003,0)),"—"))</f>
        <v/>
      </c>
      <c r="H1319" s="22">
        <f>IF($C1319="","",IFERROR(INDEX(ENVIOS!$F$4:$F$3003,MATCH($C1319,ENVIOS!$A$4:$A$3003,0)),"—"))</f>
        <v/>
      </c>
      <c r="I1319" s="27">
        <f>IF($C1319="","",IFERROR(INDEX(ENVIOS!$G$4:$G$3003,MATCH($C1319,ENVIOS!$A$4:$A$3003,0)),"—"))</f>
        <v/>
      </c>
      <c r="J1319" s="48">
        <f>IF($C1319="","",IFERROR(INDEX(ENVIOS!$B$4:$B$3003,MATCH($C1319,ENVIOS!$A$4:$A$3003,0)),""))</f>
        <v/>
      </c>
      <c r="K1319" s="49" t="n"/>
      <c r="L1319" s="27">
        <f>IF($K1319="","",IFERROR(INDEX(CONFIG!$B$4:$B$43,MATCH($K1319,CONFIG!$A$4:$A$43,0)),"Media"))</f>
        <v/>
      </c>
      <c r="M1319" s="27">
        <f>IF($K1319="","",IFERROR(INDEX(CONFIG!$D$4:$D$43,MATCH($K1319,CONFIG!$A$4:$A$43,0)),"NO"))</f>
        <v/>
      </c>
      <c r="N1319" s="49" t="n"/>
      <c r="O1319" s="27">
        <f>IF($N1319="","",IFERROR(INDEX(CONFIG!$G$4:$G$43,MATCH($N1319,CONFIG!$F$4:$F$43,0)),"Por definir"))</f>
        <v/>
      </c>
      <c r="P1319" s="27">
        <f>IF($N1319="","",IFERROR(INDEX(CONFIG!$H$4:$H$43,MATCH($N1319,CONFIG!$F$4:$F$43,0)),"Por definir"))</f>
        <v/>
      </c>
      <c r="Q1319" s="50" t="n"/>
      <c r="R1319" s="51" t="n"/>
      <c r="S1319" s="49" t="n"/>
      <c r="T1319" s="49" t="n"/>
      <c r="U1319" s="48">
        <f>IF(OR($B1319="",$K1319=""),"",WORKDAY($B1319,IFERROR(INDEX(CONFIG!$C$4:$C$43,MATCH($K1319,CONFIG!$A$4:$A$43,0)),3)))</f>
        <v/>
      </c>
      <c r="V1319" s="46" t="n"/>
      <c r="W1319" s="23">
        <f>IF($B1319="","",IF($V1319&lt;&gt;"",$V1319-$B1319,TODAY()-$B1319))</f>
        <v/>
      </c>
      <c r="X1319" s="27">
        <f>IF($C1319="","",IF(IFERROR(INDEX(CONFIG!$K$4:$K$43,MATCH($S1319,CONFIG!$J$4:$J$43,0)),"NO")="SÍ",IF(OR($V1319="",$U1319=""),"Resuelta",IF($V1319&gt;$U1319,"Resuelta tarde","Resuelta a tiempo")),IF($U1319="","Sin clasificar",IF(TODAY()&gt;$U1319,"Vencida",IF(TODAY()&gt;=$U1319-1,"Por vencer","En plazo")))))</f>
        <v/>
      </c>
      <c r="Y1319" s="49" t="n"/>
      <c r="Z1319" s="49" t="n"/>
    </row>
    <row r="1320" ht="16" customHeight="1">
      <c r="A1320" s="27">
        <f>IF($C1320="","","N-"&amp;TEXT(ROW()-3,"0000"))</f>
        <v/>
      </c>
      <c r="B1320" s="46" t="n"/>
      <c r="C1320" s="47" t="n"/>
      <c r="D1320" s="27">
        <f>IF($C1320="","",IF(COUNTIFS(ENVIOS!$A$4:$A$3003,$C1320)=0,"NO EXISTE",IF(COUNTIFS(ENVIOS!$A$4:$A$3003,$C1320)&gt;1,"DUPLICADA","OK")))</f>
        <v/>
      </c>
      <c r="E1320" s="22">
        <f>IF($C1320="","",IFERROR(INDEX(ENVIOS!$C$4:$C$3003,MATCH($C1320,ENVIOS!$A$4:$A$3003,0)),"—"))</f>
        <v/>
      </c>
      <c r="F1320" s="22">
        <f>IF($C1320="","",IFERROR(INDEX(ENVIOS!$D$4:$D$3003,MATCH($C1320,ENVIOS!$A$4:$A$3003,0)),"—"))</f>
        <v/>
      </c>
      <c r="G1320" s="22">
        <f>IF($C1320="","",IFERROR(INDEX(ENVIOS!$E$4:$E$3003,MATCH($C1320,ENVIOS!$A$4:$A$3003,0)),"—"))</f>
        <v/>
      </c>
      <c r="H1320" s="22">
        <f>IF($C1320="","",IFERROR(INDEX(ENVIOS!$F$4:$F$3003,MATCH($C1320,ENVIOS!$A$4:$A$3003,0)),"—"))</f>
        <v/>
      </c>
      <c r="I1320" s="27">
        <f>IF($C1320="","",IFERROR(INDEX(ENVIOS!$G$4:$G$3003,MATCH($C1320,ENVIOS!$A$4:$A$3003,0)),"—"))</f>
        <v/>
      </c>
      <c r="J1320" s="48">
        <f>IF($C1320="","",IFERROR(INDEX(ENVIOS!$B$4:$B$3003,MATCH($C1320,ENVIOS!$A$4:$A$3003,0)),""))</f>
        <v/>
      </c>
      <c r="K1320" s="49" t="n"/>
      <c r="L1320" s="27">
        <f>IF($K1320="","",IFERROR(INDEX(CONFIG!$B$4:$B$43,MATCH($K1320,CONFIG!$A$4:$A$43,0)),"Media"))</f>
        <v/>
      </c>
      <c r="M1320" s="27">
        <f>IF($K1320="","",IFERROR(INDEX(CONFIG!$D$4:$D$43,MATCH($K1320,CONFIG!$A$4:$A$43,0)),"NO"))</f>
        <v/>
      </c>
      <c r="N1320" s="49" t="n"/>
      <c r="O1320" s="27">
        <f>IF($N1320="","",IFERROR(INDEX(CONFIG!$G$4:$G$43,MATCH($N1320,CONFIG!$F$4:$F$43,0)),"Por definir"))</f>
        <v/>
      </c>
      <c r="P1320" s="27">
        <f>IF($N1320="","",IFERROR(INDEX(CONFIG!$H$4:$H$43,MATCH($N1320,CONFIG!$F$4:$F$43,0)),"Por definir"))</f>
        <v/>
      </c>
      <c r="Q1320" s="50" t="n"/>
      <c r="R1320" s="51" t="n"/>
      <c r="S1320" s="49" t="n"/>
      <c r="T1320" s="49" t="n"/>
      <c r="U1320" s="48">
        <f>IF(OR($B1320="",$K1320=""),"",WORKDAY($B1320,IFERROR(INDEX(CONFIG!$C$4:$C$43,MATCH($K1320,CONFIG!$A$4:$A$43,0)),3)))</f>
        <v/>
      </c>
      <c r="V1320" s="46" t="n"/>
      <c r="W1320" s="23">
        <f>IF($B1320="","",IF($V1320&lt;&gt;"",$V1320-$B1320,TODAY()-$B1320))</f>
        <v/>
      </c>
      <c r="X1320" s="27">
        <f>IF($C1320="","",IF(IFERROR(INDEX(CONFIG!$K$4:$K$43,MATCH($S1320,CONFIG!$J$4:$J$43,0)),"NO")="SÍ",IF(OR($V1320="",$U1320=""),"Resuelta",IF($V1320&gt;$U1320,"Resuelta tarde","Resuelta a tiempo")),IF($U1320="","Sin clasificar",IF(TODAY()&gt;$U1320,"Vencida",IF(TODAY()&gt;=$U1320-1,"Por vencer","En plazo")))))</f>
        <v/>
      </c>
      <c r="Y1320" s="49" t="n"/>
      <c r="Z1320" s="49" t="n"/>
    </row>
    <row r="1321" ht="16" customHeight="1">
      <c r="A1321" s="27">
        <f>IF($C1321="","","N-"&amp;TEXT(ROW()-3,"0000"))</f>
        <v/>
      </c>
      <c r="B1321" s="46" t="n"/>
      <c r="C1321" s="47" t="n"/>
      <c r="D1321" s="27">
        <f>IF($C1321="","",IF(COUNTIFS(ENVIOS!$A$4:$A$3003,$C1321)=0,"NO EXISTE",IF(COUNTIFS(ENVIOS!$A$4:$A$3003,$C1321)&gt;1,"DUPLICADA","OK")))</f>
        <v/>
      </c>
      <c r="E1321" s="22">
        <f>IF($C1321="","",IFERROR(INDEX(ENVIOS!$C$4:$C$3003,MATCH($C1321,ENVIOS!$A$4:$A$3003,0)),"—"))</f>
        <v/>
      </c>
      <c r="F1321" s="22">
        <f>IF($C1321="","",IFERROR(INDEX(ENVIOS!$D$4:$D$3003,MATCH($C1321,ENVIOS!$A$4:$A$3003,0)),"—"))</f>
        <v/>
      </c>
      <c r="G1321" s="22">
        <f>IF($C1321="","",IFERROR(INDEX(ENVIOS!$E$4:$E$3003,MATCH($C1321,ENVIOS!$A$4:$A$3003,0)),"—"))</f>
        <v/>
      </c>
      <c r="H1321" s="22">
        <f>IF($C1321="","",IFERROR(INDEX(ENVIOS!$F$4:$F$3003,MATCH($C1321,ENVIOS!$A$4:$A$3003,0)),"—"))</f>
        <v/>
      </c>
      <c r="I1321" s="27">
        <f>IF($C1321="","",IFERROR(INDEX(ENVIOS!$G$4:$G$3003,MATCH($C1321,ENVIOS!$A$4:$A$3003,0)),"—"))</f>
        <v/>
      </c>
      <c r="J1321" s="48">
        <f>IF($C1321="","",IFERROR(INDEX(ENVIOS!$B$4:$B$3003,MATCH($C1321,ENVIOS!$A$4:$A$3003,0)),""))</f>
        <v/>
      </c>
      <c r="K1321" s="49" t="n"/>
      <c r="L1321" s="27">
        <f>IF($K1321="","",IFERROR(INDEX(CONFIG!$B$4:$B$43,MATCH($K1321,CONFIG!$A$4:$A$43,0)),"Media"))</f>
        <v/>
      </c>
      <c r="M1321" s="27">
        <f>IF($K1321="","",IFERROR(INDEX(CONFIG!$D$4:$D$43,MATCH($K1321,CONFIG!$A$4:$A$43,0)),"NO"))</f>
        <v/>
      </c>
      <c r="N1321" s="49" t="n"/>
      <c r="O1321" s="27">
        <f>IF($N1321="","",IFERROR(INDEX(CONFIG!$G$4:$G$43,MATCH($N1321,CONFIG!$F$4:$F$43,0)),"Por definir"))</f>
        <v/>
      </c>
      <c r="P1321" s="27">
        <f>IF($N1321="","",IFERROR(INDEX(CONFIG!$H$4:$H$43,MATCH($N1321,CONFIG!$F$4:$F$43,0)),"Por definir"))</f>
        <v/>
      </c>
      <c r="Q1321" s="50" t="n"/>
      <c r="R1321" s="51" t="n"/>
      <c r="S1321" s="49" t="n"/>
      <c r="T1321" s="49" t="n"/>
      <c r="U1321" s="48">
        <f>IF(OR($B1321="",$K1321=""),"",WORKDAY($B1321,IFERROR(INDEX(CONFIG!$C$4:$C$43,MATCH($K1321,CONFIG!$A$4:$A$43,0)),3)))</f>
        <v/>
      </c>
      <c r="V1321" s="46" t="n"/>
      <c r="W1321" s="23">
        <f>IF($B1321="","",IF($V1321&lt;&gt;"",$V1321-$B1321,TODAY()-$B1321))</f>
        <v/>
      </c>
      <c r="X1321" s="27">
        <f>IF($C1321="","",IF(IFERROR(INDEX(CONFIG!$K$4:$K$43,MATCH($S1321,CONFIG!$J$4:$J$43,0)),"NO")="SÍ",IF(OR($V1321="",$U1321=""),"Resuelta",IF($V1321&gt;$U1321,"Resuelta tarde","Resuelta a tiempo")),IF($U1321="","Sin clasificar",IF(TODAY()&gt;$U1321,"Vencida",IF(TODAY()&gt;=$U1321-1,"Por vencer","En plazo")))))</f>
        <v/>
      </c>
      <c r="Y1321" s="49" t="n"/>
      <c r="Z1321" s="49" t="n"/>
    </row>
    <row r="1322" ht="16" customHeight="1">
      <c r="A1322" s="27">
        <f>IF($C1322="","","N-"&amp;TEXT(ROW()-3,"0000"))</f>
        <v/>
      </c>
      <c r="B1322" s="46" t="n"/>
      <c r="C1322" s="47" t="n"/>
      <c r="D1322" s="27">
        <f>IF($C1322="","",IF(COUNTIFS(ENVIOS!$A$4:$A$3003,$C1322)=0,"NO EXISTE",IF(COUNTIFS(ENVIOS!$A$4:$A$3003,$C1322)&gt;1,"DUPLICADA","OK")))</f>
        <v/>
      </c>
      <c r="E1322" s="22">
        <f>IF($C1322="","",IFERROR(INDEX(ENVIOS!$C$4:$C$3003,MATCH($C1322,ENVIOS!$A$4:$A$3003,0)),"—"))</f>
        <v/>
      </c>
      <c r="F1322" s="22">
        <f>IF($C1322="","",IFERROR(INDEX(ENVIOS!$D$4:$D$3003,MATCH($C1322,ENVIOS!$A$4:$A$3003,0)),"—"))</f>
        <v/>
      </c>
      <c r="G1322" s="22">
        <f>IF($C1322="","",IFERROR(INDEX(ENVIOS!$E$4:$E$3003,MATCH($C1322,ENVIOS!$A$4:$A$3003,0)),"—"))</f>
        <v/>
      </c>
      <c r="H1322" s="22">
        <f>IF($C1322="","",IFERROR(INDEX(ENVIOS!$F$4:$F$3003,MATCH($C1322,ENVIOS!$A$4:$A$3003,0)),"—"))</f>
        <v/>
      </c>
      <c r="I1322" s="27">
        <f>IF($C1322="","",IFERROR(INDEX(ENVIOS!$G$4:$G$3003,MATCH($C1322,ENVIOS!$A$4:$A$3003,0)),"—"))</f>
        <v/>
      </c>
      <c r="J1322" s="48">
        <f>IF($C1322="","",IFERROR(INDEX(ENVIOS!$B$4:$B$3003,MATCH($C1322,ENVIOS!$A$4:$A$3003,0)),""))</f>
        <v/>
      </c>
      <c r="K1322" s="49" t="n"/>
      <c r="L1322" s="27">
        <f>IF($K1322="","",IFERROR(INDEX(CONFIG!$B$4:$B$43,MATCH($K1322,CONFIG!$A$4:$A$43,0)),"Media"))</f>
        <v/>
      </c>
      <c r="M1322" s="27">
        <f>IF($K1322="","",IFERROR(INDEX(CONFIG!$D$4:$D$43,MATCH($K1322,CONFIG!$A$4:$A$43,0)),"NO"))</f>
        <v/>
      </c>
      <c r="N1322" s="49" t="n"/>
      <c r="O1322" s="27">
        <f>IF($N1322="","",IFERROR(INDEX(CONFIG!$G$4:$G$43,MATCH($N1322,CONFIG!$F$4:$F$43,0)),"Por definir"))</f>
        <v/>
      </c>
      <c r="P1322" s="27">
        <f>IF($N1322="","",IFERROR(INDEX(CONFIG!$H$4:$H$43,MATCH($N1322,CONFIG!$F$4:$F$43,0)),"Por definir"))</f>
        <v/>
      </c>
      <c r="Q1322" s="50" t="n"/>
      <c r="R1322" s="51" t="n"/>
      <c r="S1322" s="49" t="n"/>
      <c r="T1322" s="49" t="n"/>
      <c r="U1322" s="48">
        <f>IF(OR($B1322="",$K1322=""),"",WORKDAY($B1322,IFERROR(INDEX(CONFIG!$C$4:$C$43,MATCH($K1322,CONFIG!$A$4:$A$43,0)),3)))</f>
        <v/>
      </c>
      <c r="V1322" s="46" t="n"/>
      <c r="W1322" s="23">
        <f>IF($B1322="","",IF($V1322&lt;&gt;"",$V1322-$B1322,TODAY()-$B1322))</f>
        <v/>
      </c>
      <c r="X1322" s="27">
        <f>IF($C1322="","",IF(IFERROR(INDEX(CONFIG!$K$4:$K$43,MATCH($S1322,CONFIG!$J$4:$J$43,0)),"NO")="SÍ",IF(OR($V1322="",$U1322=""),"Resuelta",IF($V1322&gt;$U1322,"Resuelta tarde","Resuelta a tiempo")),IF($U1322="","Sin clasificar",IF(TODAY()&gt;$U1322,"Vencida",IF(TODAY()&gt;=$U1322-1,"Por vencer","En plazo")))))</f>
        <v/>
      </c>
      <c r="Y1322" s="49" t="n"/>
      <c r="Z1322" s="49" t="n"/>
    </row>
    <row r="1323" ht="16" customHeight="1">
      <c r="A1323" s="27">
        <f>IF($C1323="","","N-"&amp;TEXT(ROW()-3,"0000"))</f>
        <v/>
      </c>
      <c r="B1323" s="46" t="n"/>
      <c r="C1323" s="47" t="n"/>
      <c r="D1323" s="27">
        <f>IF($C1323="","",IF(COUNTIFS(ENVIOS!$A$4:$A$3003,$C1323)=0,"NO EXISTE",IF(COUNTIFS(ENVIOS!$A$4:$A$3003,$C1323)&gt;1,"DUPLICADA","OK")))</f>
        <v/>
      </c>
      <c r="E1323" s="22">
        <f>IF($C1323="","",IFERROR(INDEX(ENVIOS!$C$4:$C$3003,MATCH($C1323,ENVIOS!$A$4:$A$3003,0)),"—"))</f>
        <v/>
      </c>
      <c r="F1323" s="22">
        <f>IF($C1323="","",IFERROR(INDEX(ENVIOS!$D$4:$D$3003,MATCH($C1323,ENVIOS!$A$4:$A$3003,0)),"—"))</f>
        <v/>
      </c>
      <c r="G1323" s="22">
        <f>IF($C1323="","",IFERROR(INDEX(ENVIOS!$E$4:$E$3003,MATCH($C1323,ENVIOS!$A$4:$A$3003,0)),"—"))</f>
        <v/>
      </c>
      <c r="H1323" s="22">
        <f>IF($C1323="","",IFERROR(INDEX(ENVIOS!$F$4:$F$3003,MATCH($C1323,ENVIOS!$A$4:$A$3003,0)),"—"))</f>
        <v/>
      </c>
      <c r="I1323" s="27">
        <f>IF($C1323="","",IFERROR(INDEX(ENVIOS!$G$4:$G$3003,MATCH($C1323,ENVIOS!$A$4:$A$3003,0)),"—"))</f>
        <v/>
      </c>
      <c r="J1323" s="48">
        <f>IF($C1323="","",IFERROR(INDEX(ENVIOS!$B$4:$B$3003,MATCH($C1323,ENVIOS!$A$4:$A$3003,0)),""))</f>
        <v/>
      </c>
      <c r="K1323" s="49" t="n"/>
      <c r="L1323" s="27">
        <f>IF($K1323="","",IFERROR(INDEX(CONFIG!$B$4:$B$43,MATCH($K1323,CONFIG!$A$4:$A$43,0)),"Media"))</f>
        <v/>
      </c>
      <c r="M1323" s="27">
        <f>IF($K1323="","",IFERROR(INDEX(CONFIG!$D$4:$D$43,MATCH($K1323,CONFIG!$A$4:$A$43,0)),"NO"))</f>
        <v/>
      </c>
      <c r="N1323" s="49" t="n"/>
      <c r="O1323" s="27">
        <f>IF($N1323="","",IFERROR(INDEX(CONFIG!$G$4:$G$43,MATCH($N1323,CONFIG!$F$4:$F$43,0)),"Por definir"))</f>
        <v/>
      </c>
      <c r="P1323" s="27">
        <f>IF($N1323="","",IFERROR(INDEX(CONFIG!$H$4:$H$43,MATCH($N1323,CONFIG!$F$4:$F$43,0)),"Por definir"))</f>
        <v/>
      </c>
      <c r="Q1323" s="50" t="n"/>
      <c r="R1323" s="51" t="n"/>
      <c r="S1323" s="49" t="n"/>
      <c r="T1323" s="49" t="n"/>
      <c r="U1323" s="48">
        <f>IF(OR($B1323="",$K1323=""),"",WORKDAY($B1323,IFERROR(INDEX(CONFIG!$C$4:$C$43,MATCH($K1323,CONFIG!$A$4:$A$43,0)),3)))</f>
        <v/>
      </c>
      <c r="V1323" s="46" t="n"/>
      <c r="W1323" s="23">
        <f>IF($B1323="","",IF($V1323&lt;&gt;"",$V1323-$B1323,TODAY()-$B1323))</f>
        <v/>
      </c>
      <c r="X1323" s="27">
        <f>IF($C1323="","",IF(IFERROR(INDEX(CONFIG!$K$4:$K$43,MATCH($S1323,CONFIG!$J$4:$J$43,0)),"NO")="SÍ",IF(OR($V1323="",$U1323=""),"Resuelta",IF($V1323&gt;$U1323,"Resuelta tarde","Resuelta a tiempo")),IF($U1323="","Sin clasificar",IF(TODAY()&gt;$U1323,"Vencida",IF(TODAY()&gt;=$U1323-1,"Por vencer","En plazo")))))</f>
        <v/>
      </c>
      <c r="Y1323" s="49" t="n"/>
      <c r="Z1323" s="49" t="n"/>
    </row>
    <row r="1324" ht="16" customHeight="1">
      <c r="A1324" s="27">
        <f>IF($C1324="","","N-"&amp;TEXT(ROW()-3,"0000"))</f>
        <v/>
      </c>
      <c r="B1324" s="46" t="n"/>
      <c r="C1324" s="47" t="n"/>
      <c r="D1324" s="27">
        <f>IF($C1324="","",IF(COUNTIFS(ENVIOS!$A$4:$A$3003,$C1324)=0,"NO EXISTE",IF(COUNTIFS(ENVIOS!$A$4:$A$3003,$C1324)&gt;1,"DUPLICADA","OK")))</f>
        <v/>
      </c>
      <c r="E1324" s="22">
        <f>IF($C1324="","",IFERROR(INDEX(ENVIOS!$C$4:$C$3003,MATCH($C1324,ENVIOS!$A$4:$A$3003,0)),"—"))</f>
        <v/>
      </c>
      <c r="F1324" s="22">
        <f>IF($C1324="","",IFERROR(INDEX(ENVIOS!$D$4:$D$3003,MATCH($C1324,ENVIOS!$A$4:$A$3003,0)),"—"))</f>
        <v/>
      </c>
      <c r="G1324" s="22">
        <f>IF($C1324="","",IFERROR(INDEX(ENVIOS!$E$4:$E$3003,MATCH($C1324,ENVIOS!$A$4:$A$3003,0)),"—"))</f>
        <v/>
      </c>
      <c r="H1324" s="22">
        <f>IF($C1324="","",IFERROR(INDEX(ENVIOS!$F$4:$F$3003,MATCH($C1324,ENVIOS!$A$4:$A$3003,0)),"—"))</f>
        <v/>
      </c>
      <c r="I1324" s="27">
        <f>IF($C1324="","",IFERROR(INDEX(ENVIOS!$G$4:$G$3003,MATCH($C1324,ENVIOS!$A$4:$A$3003,0)),"—"))</f>
        <v/>
      </c>
      <c r="J1324" s="48">
        <f>IF($C1324="","",IFERROR(INDEX(ENVIOS!$B$4:$B$3003,MATCH($C1324,ENVIOS!$A$4:$A$3003,0)),""))</f>
        <v/>
      </c>
      <c r="K1324" s="49" t="n"/>
      <c r="L1324" s="27">
        <f>IF($K1324="","",IFERROR(INDEX(CONFIG!$B$4:$B$43,MATCH($K1324,CONFIG!$A$4:$A$43,0)),"Media"))</f>
        <v/>
      </c>
      <c r="M1324" s="27">
        <f>IF($K1324="","",IFERROR(INDEX(CONFIG!$D$4:$D$43,MATCH($K1324,CONFIG!$A$4:$A$43,0)),"NO"))</f>
        <v/>
      </c>
      <c r="N1324" s="49" t="n"/>
      <c r="O1324" s="27">
        <f>IF($N1324="","",IFERROR(INDEX(CONFIG!$G$4:$G$43,MATCH($N1324,CONFIG!$F$4:$F$43,0)),"Por definir"))</f>
        <v/>
      </c>
      <c r="P1324" s="27">
        <f>IF($N1324="","",IFERROR(INDEX(CONFIG!$H$4:$H$43,MATCH($N1324,CONFIG!$F$4:$F$43,0)),"Por definir"))</f>
        <v/>
      </c>
      <c r="Q1324" s="50" t="n"/>
      <c r="R1324" s="51" t="n"/>
      <c r="S1324" s="49" t="n"/>
      <c r="T1324" s="49" t="n"/>
      <c r="U1324" s="48">
        <f>IF(OR($B1324="",$K1324=""),"",WORKDAY($B1324,IFERROR(INDEX(CONFIG!$C$4:$C$43,MATCH($K1324,CONFIG!$A$4:$A$43,0)),3)))</f>
        <v/>
      </c>
      <c r="V1324" s="46" t="n"/>
      <c r="W1324" s="23">
        <f>IF($B1324="","",IF($V1324&lt;&gt;"",$V1324-$B1324,TODAY()-$B1324))</f>
        <v/>
      </c>
      <c r="X1324" s="27">
        <f>IF($C1324="","",IF(IFERROR(INDEX(CONFIG!$K$4:$K$43,MATCH($S1324,CONFIG!$J$4:$J$43,0)),"NO")="SÍ",IF(OR($V1324="",$U1324=""),"Resuelta",IF($V1324&gt;$U1324,"Resuelta tarde","Resuelta a tiempo")),IF($U1324="","Sin clasificar",IF(TODAY()&gt;$U1324,"Vencida",IF(TODAY()&gt;=$U1324-1,"Por vencer","En plazo")))))</f>
        <v/>
      </c>
      <c r="Y1324" s="49" t="n"/>
      <c r="Z1324" s="49" t="n"/>
    </row>
    <row r="1325" ht="16" customHeight="1">
      <c r="A1325" s="27">
        <f>IF($C1325="","","N-"&amp;TEXT(ROW()-3,"0000"))</f>
        <v/>
      </c>
      <c r="B1325" s="46" t="n"/>
      <c r="C1325" s="47" t="n"/>
      <c r="D1325" s="27">
        <f>IF($C1325="","",IF(COUNTIFS(ENVIOS!$A$4:$A$3003,$C1325)=0,"NO EXISTE",IF(COUNTIFS(ENVIOS!$A$4:$A$3003,$C1325)&gt;1,"DUPLICADA","OK")))</f>
        <v/>
      </c>
      <c r="E1325" s="22">
        <f>IF($C1325="","",IFERROR(INDEX(ENVIOS!$C$4:$C$3003,MATCH($C1325,ENVIOS!$A$4:$A$3003,0)),"—"))</f>
        <v/>
      </c>
      <c r="F1325" s="22">
        <f>IF($C1325="","",IFERROR(INDEX(ENVIOS!$D$4:$D$3003,MATCH($C1325,ENVIOS!$A$4:$A$3003,0)),"—"))</f>
        <v/>
      </c>
      <c r="G1325" s="22">
        <f>IF($C1325="","",IFERROR(INDEX(ENVIOS!$E$4:$E$3003,MATCH($C1325,ENVIOS!$A$4:$A$3003,0)),"—"))</f>
        <v/>
      </c>
      <c r="H1325" s="22">
        <f>IF($C1325="","",IFERROR(INDEX(ENVIOS!$F$4:$F$3003,MATCH($C1325,ENVIOS!$A$4:$A$3003,0)),"—"))</f>
        <v/>
      </c>
      <c r="I1325" s="27">
        <f>IF($C1325="","",IFERROR(INDEX(ENVIOS!$G$4:$G$3003,MATCH($C1325,ENVIOS!$A$4:$A$3003,0)),"—"))</f>
        <v/>
      </c>
      <c r="J1325" s="48">
        <f>IF($C1325="","",IFERROR(INDEX(ENVIOS!$B$4:$B$3003,MATCH($C1325,ENVIOS!$A$4:$A$3003,0)),""))</f>
        <v/>
      </c>
      <c r="K1325" s="49" t="n"/>
      <c r="L1325" s="27">
        <f>IF($K1325="","",IFERROR(INDEX(CONFIG!$B$4:$B$43,MATCH($K1325,CONFIG!$A$4:$A$43,0)),"Media"))</f>
        <v/>
      </c>
      <c r="M1325" s="27">
        <f>IF($K1325="","",IFERROR(INDEX(CONFIG!$D$4:$D$43,MATCH($K1325,CONFIG!$A$4:$A$43,0)),"NO"))</f>
        <v/>
      </c>
      <c r="N1325" s="49" t="n"/>
      <c r="O1325" s="27">
        <f>IF($N1325="","",IFERROR(INDEX(CONFIG!$G$4:$G$43,MATCH($N1325,CONFIG!$F$4:$F$43,0)),"Por definir"))</f>
        <v/>
      </c>
      <c r="P1325" s="27">
        <f>IF($N1325="","",IFERROR(INDEX(CONFIG!$H$4:$H$43,MATCH($N1325,CONFIG!$F$4:$F$43,0)),"Por definir"))</f>
        <v/>
      </c>
      <c r="Q1325" s="50" t="n"/>
      <c r="R1325" s="51" t="n"/>
      <c r="S1325" s="49" t="n"/>
      <c r="T1325" s="49" t="n"/>
      <c r="U1325" s="48">
        <f>IF(OR($B1325="",$K1325=""),"",WORKDAY($B1325,IFERROR(INDEX(CONFIG!$C$4:$C$43,MATCH($K1325,CONFIG!$A$4:$A$43,0)),3)))</f>
        <v/>
      </c>
      <c r="V1325" s="46" t="n"/>
      <c r="W1325" s="23">
        <f>IF($B1325="","",IF($V1325&lt;&gt;"",$V1325-$B1325,TODAY()-$B1325))</f>
        <v/>
      </c>
      <c r="X1325" s="27">
        <f>IF($C1325="","",IF(IFERROR(INDEX(CONFIG!$K$4:$K$43,MATCH($S1325,CONFIG!$J$4:$J$43,0)),"NO")="SÍ",IF(OR($V1325="",$U1325=""),"Resuelta",IF($V1325&gt;$U1325,"Resuelta tarde","Resuelta a tiempo")),IF($U1325="","Sin clasificar",IF(TODAY()&gt;$U1325,"Vencida",IF(TODAY()&gt;=$U1325-1,"Por vencer","En plazo")))))</f>
        <v/>
      </c>
      <c r="Y1325" s="49" t="n"/>
      <c r="Z1325" s="49" t="n"/>
    </row>
    <row r="1326" ht="16" customHeight="1">
      <c r="A1326" s="27">
        <f>IF($C1326="","","N-"&amp;TEXT(ROW()-3,"0000"))</f>
        <v/>
      </c>
      <c r="B1326" s="46" t="n"/>
      <c r="C1326" s="47" t="n"/>
      <c r="D1326" s="27">
        <f>IF($C1326="","",IF(COUNTIFS(ENVIOS!$A$4:$A$3003,$C1326)=0,"NO EXISTE",IF(COUNTIFS(ENVIOS!$A$4:$A$3003,$C1326)&gt;1,"DUPLICADA","OK")))</f>
        <v/>
      </c>
      <c r="E1326" s="22">
        <f>IF($C1326="","",IFERROR(INDEX(ENVIOS!$C$4:$C$3003,MATCH($C1326,ENVIOS!$A$4:$A$3003,0)),"—"))</f>
        <v/>
      </c>
      <c r="F1326" s="22">
        <f>IF($C1326="","",IFERROR(INDEX(ENVIOS!$D$4:$D$3003,MATCH($C1326,ENVIOS!$A$4:$A$3003,0)),"—"))</f>
        <v/>
      </c>
      <c r="G1326" s="22">
        <f>IF($C1326="","",IFERROR(INDEX(ENVIOS!$E$4:$E$3003,MATCH($C1326,ENVIOS!$A$4:$A$3003,0)),"—"))</f>
        <v/>
      </c>
      <c r="H1326" s="22">
        <f>IF($C1326="","",IFERROR(INDEX(ENVIOS!$F$4:$F$3003,MATCH($C1326,ENVIOS!$A$4:$A$3003,0)),"—"))</f>
        <v/>
      </c>
      <c r="I1326" s="27">
        <f>IF($C1326="","",IFERROR(INDEX(ENVIOS!$G$4:$G$3003,MATCH($C1326,ENVIOS!$A$4:$A$3003,0)),"—"))</f>
        <v/>
      </c>
      <c r="J1326" s="48">
        <f>IF($C1326="","",IFERROR(INDEX(ENVIOS!$B$4:$B$3003,MATCH($C1326,ENVIOS!$A$4:$A$3003,0)),""))</f>
        <v/>
      </c>
      <c r="K1326" s="49" t="n"/>
      <c r="L1326" s="27">
        <f>IF($K1326="","",IFERROR(INDEX(CONFIG!$B$4:$B$43,MATCH($K1326,CONFIG!$A$4:$A$43,0)),"Media"))</f>
        <v/>
      </c>
      <c r="M1326" s="27">
        <f>IF($K1326="","",IFERROR(INDEX(CONFIG!$D$4:$D$43,MATCH($K1326,CONFIG!$A$4:$A$43,0)),"NO"))</f>
        <v/>
      </c>
      <c r="N1326" s="49" t="n"/>
      <c r="O1326" s="27">
        <f>IF($N1326="","",IFERROR(INDEX(CONFIG!$G$4:$G$43,MATCH($N1326,CONFIG!$F$4:$F$43,0)),"Por definir"))</f>
        <v/>
      </c>
      <c r="P1326" s="27">
        <f>IF($N1326="","",IFERROR(INDEX(CONFIG!$H$4:$H$43,MATCH($N1326,CONFIG!$F$4:$F$43,0)),"Por definir"))</f>
        <v/>
      </c>
      <c r="Q1326" s="50" t="n"/>
      <c r="R1326" s="51" t="n"/>
      <c r="S1326" s="49" t="n"/>
      <c r="T1326" s="49" t="n"/>
      <c r="U1326" s="48">
        <f>IF(OR($B1326="",$K1326=""),"",WORKDAY($B1326,IFERROR(INDEX(CONFIG!$C$4:$C$43,MATCH($K1326,CONFIG!$A$4:$A$43,0)),3)))</f>
        <v/>
      </c>
      <c r="V1326" s="46" t="n"/>
      <c r="W1326" s="23">
        <f>IF($B1326="","",IF($V1326&lt;&gt;"",$V1326-$B1326,TODAY()-$B1326))</f>
        <v/>
      </c>
      <c r="X1326" s="27">
        <f>IF($C1326="","",IF(IFERROR(INDEX(CONFIG!$K$4:$K$43,MATCH($S1326,CONFIG!$J$4:$J$43,0)),"NO")="SÍ",IF(OR($V1326="",$U1326=""),"Resuelta",IF($V1326&gt;$U1326,"Resuelta tarde","Resuelta a tiempo")),IF($U1326="","Sin clasificar",IF(TODAY()&gt;$U1326,"Vencida",IF(TODAY()&gt;=$U1326-1,"Por vencer","En plazo")))))</f>
        <v/>
      </c>
      <c r="Y1326" s="49" t="n"/>
      <c r="Z1326" s="49" t="n"/>
    </row>
    <row r="1327" ht="16" customHeight="1">
      <c r="A1327" s="27">
        <f>IF($C1327="","","N-"&amp;TEXT(ROW()-3,"0000"))</f>
        <v/>
      </c>
      <c r="B1327" s="46" t="n"/>
      <c r="C1327" s="47" t="n"/>
      <c r="D1327" s="27">
        <f>IF($C1327="","",IF(COUNTIFS(ENVIOS!$A$4:$A$3003,$C1327)=0,"NO EXISTE",IF(COUNTIFS(ENVIOS!$A$4:$A$3003,$C1327)&gt;1,"DUPLICADA","OK")))</f>
        <v/>
      </c>
      <c r="E1327" s="22">
        <f>IF($C1327="","",IFERROR(INDEX(ENVIOS!$C$4:$C$3003,MATCH($C1327,ENVIOS!$A$4:$A$3003,0)),"—"))</f>
        <v/>
      </c>
      <c r="F1327" s="22">
        <f>IF($C1327="","",IFERROR(INDEX(ENVIOS!$D$4:$D$3003,MATCH($C1327,ENVIOS!$A$4:$A$3003,0)),"—"))</f>
        <v/>
      </c>
      <c r="G1327" s="22">
        <f>IF($C1327="","",IFERROR(INDEX(ENVIOS!$E$4:$E$3003,MATCH($C1327,ENVIOS!$A$4:$A$3003,0)),"—"))</f>
        <v/>
      </c>
      <c r="H1327" s="22">
        <f>IF($C1327="","",IFERROR(INDEX(ENVIOS!$F$4:$F$3003,MATCH($C1327,ENVIOS!$A$4:$A$3003,0)),"—"))</f>
        <v/>
      </c>
      <c r="I1327" s="27">
        <f>IF($C1327="","",IFERROR(INDEX(ENVIOS!$G$4:$G$3003,MATCH($C1327,ENVIOS!$A$4:$A$3003,0)),"—"))</f>
        <v/>
      </c>
      <c r="J1327" s="48">
        <f>IF($C1327="","",IFERROR(INDEX(ENVIOS!$B$4:$B$3003,MATCH($C1327,ENVIOS!$A$4:$A$3003,0)),""))</f>
        <v/>
      </c>
      <c r="K1327" s="49" t="n"/>
      <c r="L1327" s="27">
        <f>IF($K1327="","",IFERROR(INDEX(CONFIG!$B$4:$B$43,MATCH($K1327,CONFIG!$A$4:$A$43,0)),"Media"))</f>
        <v/>
      </c>
      <c r="M1327" s="27">
        <f>IF($K1327="","",IFERROR(INDEX(CONFIG!$D$4:$D$43,MATCH($K1327,CONFIG!$A$4:$A$43,0)),"NO"))</f>
        <v/>
      </c>
      <c r="N1327" s="49" t="n"/>
      <c r="O1327" s="27">
        <f>IF($N1327="","",IFERROR(INDEX(CONFIG!$G$4:$G$43,MATCH($N1327,CONFIG!$F$4:$F$43,0)),"Por definir"))</f>
        <v/>
      </c>
      <c r="P1327" s="27">
        <f>IF($N1327="","",IFERROR(INDEX(CONFIG!$H$4:$H$43,MATCH($N1327,CONFIG!$F$4:$F$43,0)),"Por definir"))</f>
        <v/>
      </c>
      <c r="Q1327" s="50" t="n"/>
      <c r="R1327" s="51" t="n"/>
      <c r="S1327" s="49" t="n"/>
      <c r="T1327" s="49" t="n"/>
      <c r="U1327" s="48">
        <f>IF(OR($B1327="",$K1327=""),"",WORKDAY($B1327,IFERROR(INDEX(CONFIG!$C$4:$C$43,MATCH($K1327,CONFIG!$A$4:$A$43,0)),3)))</f>
        <v/>
      </c>
      <c r="V1327" s="46" t="n"/>
      <c r="W1327" s="23">
        <f>IF($B1327="","",IF($V1327&lt;&gt;"",$V1327-$B1327,TODAY()-$B1327))</f>
        <v/>
      </c>
      <c r="X1327" s="27">
        <f>IF($C1327="","",IF(IFERROR(INDEX(CONFIG!$K$4:$K$43,MATCH($S1327,CONFIG!$J$4:$J$43,0)),"NO")="SÍ",IF(OR($V1327="",$U1327=""),"Resuelta",IF($V1327&gt;$U1327,"Resuelta tarde","Resuelta a tiempo")),IF($U1327="","Sin clasificar",IF(TODAY()&gt;$U1327,"Vencida",IF(TODAY()&gt;=$U1327-1,"Por vencer","En plazo")))))</f>
        <v/>
      </c>
      <c r="Y1327" s="49" t="n"/>
      <c r="Z1327" s="49" t="n"/>
    </row>
    <row r="1328" ht="16" customHeight="1">
      <c r="A1328" s="27">
        <f>IF($C1328="","","N-"&amp;TEXT(ROW()-3,"0000"))</f>
        <v/>
      </c>
      <c r="B1328" s="46" t="n"/>
      <c r="C1328" s="47" t="n"/>
      <c r="D1328" s="27">
        <f>IF($C1328="","",IF(COUNTIFS(ENVIOS!$A$4:$A$3003,$C1328)=0,"NO EXISTE",IF(COUNTIFS(ENVIOS!$A$4:$A$3003,$C1328)&gt;1,"DUPLICADA","OK")))</f>
        <v/>
      </c>
      <c r="E1328" s="22">
        <f>IF($C1328="","",IFERROR(INDEX(ENVIOS!$C$4:$C$3003,MATCH($C1328,ENVIOS!$A$4:$A$3003,0)),"—"))</f>
        <v/>
      </c>
      <c r="F1328" s="22">
        <f>IF($C1328="","",IFERROR(INDEX(ENVIOS!$D$4:$D$3003,MATCH($C1328,ENVIOS!$A$4:$A$3003,0)),"—"))</f>
        <v/>
      </c>
      <c r="G1328" s="22">
        <f>IF($C1328="","",IFERROR(INDEX(ENVIOS!$E$4:$E$3003,MATCH($C1328,ENVIOS!$A$4:$A$3003,0)),"—"))</f>
        <v/>
      </c>
      <c r="H1328" s="22">
        <f>IF($C1328="","",IFERROR(INDEX(ENVIOS!$F$4:$F$3003,MATCH($C1328,ENVIOS!$A$4:$A$3003,0)),"—"))</f>
        <v/>
      </c>
      <c r="I1328" s="27">
        <f>IF($C1328="","",IFERROR(INDEX(ENVIOS!$G$4:$G$3003,MATCH($C1328,ENVIOS!$A$4:$A$3003,0)),"—"))</f>
        <v/>
      </c>
      <c r="J1328" s="48">
        <f>IF($C1328="","",IFERROR(INDEX(ENVIOS!$B$4:$B$3003,MATCH($C1328,ENVIOS!$A$4:$A$3003,0)),""))</f>
        <v/>
      </c>
      <c r="K1328" s="49" t="n"/>
      <c r="L1328" s="27">
        <f>IF($K1328="","",IFERROR(INDEX(CONFIG!$B$4:$B$43,MATCH($K1328,CONFIG!$A$4:$A$43,0)),"Media"))</f>
        <v/>
      </c>
      <c r="M1328" s="27">
        <f>IF($K1328="","",IFERROR(INDEX(CONFIG!$D$4:$D$43,MATCH($K1328,CONFIG!$A$4:$A$43,0)),"NO"))</f>
        <v/>
      </c>
      <c r="N1328" s="49" t="n"/>
      <c r="O1328" s="27">
        <f>IF($N1328="","",IFERROR(INDEX(CONFIG!$G$4:$G$43,MATCH($N1328,CONFIG!$F$4:$F$43,0)),"Por definir"))</f>
        <v/>
      </c>
      <c r="P1328" s="27">
        <f>IF($N1328="","",IFERROR(INDEX(CONFIG!$H$4:$H$43,MATCH($N1328,CONFIG!$F$4:$F$43,0)),"Por definir"))</f>
        <v/>
      </c>
      <c r="Q1328" s="50" t="n"/>
      <c r="R1328" s="51" t="n"/>
      <c r="S1328" s="49" t="n"/>
      <c r="T1328" s="49" t="n"/>
      <c r="U1328" s="48">
        <f>IF(OR($B1328="",$K1328=""),"",WORKDAY($B1328,IFERROR(INDEX(CONFIG!$C$4:$C$43,MATCH($K1328,CONFIG!$A$4:$A$43,0)),3)))</f>
        <v/>
      </c>
      <c r="V1328" s="46" t="n"/>
      <c r="W1328" s="23">
        <f>IF($B1328="","",IF($V1328&lt;&gt;"",$V1328-$B1328,TODAY()-$B1328))</f>
        <v/>
      </c>
      <c r="X1328" s="27">
        <f>IF($C1328="","",IF(IFERROR(INDEX(CONFIG!$K$4:$K$43,MATCH($S1328,CONFIG!$J$4:$J$43,0)),"NO")="SÍ",IF(OR($V1328="",$U1328=""),"Resuelta",IF($V1328&gt;$U1328,"Resuelta tarde","Resuelta a tiempo")),IF($U1328="","Sin clasificar",IF(TODAY()&gt;$U1328,"Vencida",IF(TODAY()&gt;=$U1328-1,"Por vencer","En plazo")))))</f>
        <v/>
      </c>
      <c r="Y1328" s="49" t="n"/>
      <c r="Z1328" s="49" t="n"/>
    </row>
    <row r="1329" ht="16" customHeight="1">
      <c r="A1329" s="27">
        <f>IF($C1329="","","N-"&amp;TEXT(ROW()-3,"0000"))</f>
        <v/>
      </c>
      <c r="B1329" s="46" t="n"/>
      <c r="C1329" s="47" t="n"/>
      <c r="D1329" s="27">
        <f>IF($C1329="","",IF(COUNTIFS(ENVIOS!$A$4:$A$3003,$C1329)=0,"NO EXISTE",IF(COUNTIFS(ENVIOS!$A$4:$A$3003,$C1329)&gt;1,"DUPLICADA","OK")))</f>
        <v/>
      </c>
      <c r="E1329" s="22">
        <f>IF($C1329="","",IFERROR(INDEX(ENVIOS!$C$4:$C$3003,MATCH($C1329,ENVIOS!$A$4:$A$3003,0)),"—"))</f>
        <v/>
      </c>
      <c r="F1329" s="22">
        <f>IF($C1329="","",IFERROR(INDEX(ENVIOS!$D$4:$D$3003,MATCH($C1329,ENVIOS!$A$4:$A$3003,0)),"—"))</f>
        <v/>
      </c>
      <c r="G1329" s="22">
        <f>IF($C1329="","",IFERROR(INDEX(ENVIOS!$E$4:$E$3003,MATCH($C1329,ENVIOS!$A$4:$A$3003,0)),"—"))</f>
        <v/>
      </c>
      <c r="H1329" s="22">
        <f>IF($C1329="","",IFERROR(INDEX(ENVIOS!$F$4:$F$3003,MATCH($C1329,ENVIOS!$A$4:$A$3003,0)),"—"))</f>
        <v/>
      </c>
      <c r="I1329" s="27">
        <f>IF($C1329="","",IFERROR(INDEX(ENVIOS!$G$4:$G$3003,MATCH($C1329,ENVIOS!$A$4:$A$3003,0)),"—"))</f>
        <v/>
      </c>
      <c r="J1329" s="48">
        <f>IF($C1329="","",IFERROR(INDEX(ENVIOS!$B$4:$B$3003,MATCH($C1329,ENVIOS!$A$4:$A$3003,0)),""))</f>
        <v/>
      </c>
      <c r="K1329" s="49" t="n"/>
      <c r="L1329" s="27">
        <f>IF($K1329="","",IFERROR(INDEX(CONFIG!$B$4:$B$43,MATCH($K1329,CONFIG!$A$4:$A$43,0)),"Media"))</f>
        <v/>
      </c>
      <c r="M1329" s="27">
        <f>IF($K1329="","",IFERROR(INDEX(CONFIG!$D$4:$D$43,MATCH($K1329,CONFIG!$A$4:$A$43,0)),"NO"))</f>
        <v/>
      </c>
      <c r="N1329" s="49" t="n"/>
      <c r="O1329" s="27">
        <f>IF($N1329="","",IFERROR(INDEX(CONFIG!$G$4:$G$43,MATCH($N1329,CONFIG!$F$4:$F$43,0)),"Por definir"))</f>
        <v/>
      </c>
      <c r="P1329" s="27">
        <f>IF($N1329="","",IFERROR(INDEX(CONFIG!$H$4:$H$43,MATCH($N1329,CONFIG!$F$4:$F$43,0)),"Por definir"))</f>
        <v/>
      </c>
      <c r="Q1329" s="50" t="n"/>
      <c r="R1329" s="51" t="n"/>
      <c r="S1329" s="49" t="n"/>
      <c r="T1329" s="49" t="n"/>
      <c r="U1329" s="48">
        <f>IF(OR($B1329="",$K1329=""),"",WORKDAY($B1329,IFERROR(INDEX(CONFIG!$C$4:$C$43,MATCH($K1329,CONFIG!$A$4:$A$43,0)),3)))</f>
        <v/>
      </c>
      <c r="V1329" s="46" t="n"/>
      <c r="W1329" s="23">
        <f>IF($B1329="","",IF($V1329&lt;&gt;"",$V1329-$B1329,TODAY()-$B1329))</f>
        <v/>
      </c>
      <c r="X1329" s="27">
        <f>IF($C1329="","",IF(IFERROR(INDEX(CONFIG!$K$4:$K$43,MATCH($S1329,CONFIG!$J$4:$J$43,0)),"NO")="SÍ",IF(OR($V1329="",$U1329=""),"Resuelta",IF($V1329&gt;$U1329,"Resuelta tarde","Resuelta a tiempo")),IF($U1329="","Sin clasificar",IF(TODAY()&gt;$U1329,"Vencida",IF(TODAY()&gt;=$U1329-1,"Por vencer","En plazo")))))</f>
        <v/>
      </c>
      <c r="Y1329" s="49" t="n"/>
      <c r="Z1329" s="49" t="n"/>
    </row>
    <row r="1330" ht="16" customHeight="1">
      <c r="A1330" s="27">
        <f>IF($C1330="","","N-"&amp;TEXT(ROW()-3,"0000"))</f>
        <v/>
      </c>
      <c r="B1330" s="46" t="n"/>
      <c r="C1330" s="47" t="n"/>
      <c r="D1330" s="27">
        <f>IF($C1330="","",IF(COUNTIFS(ENVIOS!$A$4:$A$3003,$C1330)=0,"NO EXISTE",IF(COUNTIFS(ENVIOS!$A$4:$A$3003,$C1330)&gt;1,"DUPLICADA","OK")))</f>
        <v/>
      </c>
      <c r="E1330" s="22">
        <f>IF($C1330="","",IFERROR(INDEX(ENVIOS!$C$4:$C$3003,MATCH($C1330,ENVIOS!$A$4:$A$3003,0)),"—"))</f>
        <v/>
      </c>
      <c r="F1330" s="22">
        <f>IF($C1330="","",IFERROR(INDEX(ENVIOS!$D$4:$D$3003,MATCH($C1330,ENVIOS!$A$4:$A$3003,0)),"—"))</f>
        <v/>
      </c>
      <c r="G1330" s="22">
        <f>IF($C1330="","",IFERROR(INDEX(ENVIOS!$E$4:$E$3003,MATCH($C1330,ENVIOS!$A$4:$A$3003,0)),"—"))</f>
        <v/>
      </c>
      <c r="H1330" s="22">
        <f>IF($C1330="","",IFERROR(INDEX(ENVIOS!$F$4:$F$3003,MATCH($C1330,ENVIOS!$A$4:$A$3003,0)),"—"))</f>
        <v/>
      </c>
      <c r="I1330" s="27">
        <f>IF($C1330="","",IFERROR(INDEX(ENVIOS!$G$4:$G$3003,MATCH($C1330,ENVIOS!$A$4:$A$3003,0)),"—"))</f>
        <v/>
      </c>
      <c r="J1330" s="48">
        <f>IF($C1330="","",IFERROR(INDEX(ENVIOS!$B$4:$B$3003,MATCH($C1330,ENVIOS!$A$4:$A$3003,0)),""))</f>
        <v/>
      </c>
      <c r="K1330" s="49" t="n"/>
      <c r="L1330" s="27">
        <f>IF($K1330="","",IFERROR(INDEX(CONFIG!$B$4:$B$43,MATCH($K1330,CONFIG!$A$4:$A$43,0)),"Media"))</f>
        <v/>
      </c>
      <c r="M1330" s="27">
        <f>IF($K1330="","",IFERROR(INDEX(CONFIG!$D$4:$D$43,MATCH($K1330,CONFIG!$A$4:$A$43,0)),"NO"))</f>
        <v/>
      </c>
      <c r="N1330" s="49" t="n"/>
      <c r="O1330" s="27">
        <f>IF($N1330="","",IFERROR(INDEX(CONFIG!$G$4:$G$43,MATCH($N1330,CONFIG!$F$4:$F$43,0)),"Por definir"))</f>
        <v/>
      </c>
      <c r="P1330" s="27">
        <f>IF($N1330="","",IFERROR(INDEX(CONFIG!$H$4:$H$43,MATCH($N1330,CONFIG!$F$4:$F$43,0)),"Por definir"))</f>
        <v/>
      </c>
      <c r="Q1330" s="50" t="n"/>
      <c r="R1330" s="51" t="n"/>
      <c r="S1330" s="49" t="n"/>
      <c r="T1330" s="49" t="n"/>
      <c r="U1330" s="48">
        <f>IF(OR($B1330="",$K1330=""),"",WORKDAY($B1330,IFERROR(INDEX(CONFIG!$C$4:$C$43,MATCH($K1330,CONFIG!$A$4:$A$43,0)),3)))</f>
        <v/>
      </c>
      <c r="V1330" s="46" t="n"/>
      <c r="W1330" s="23">
        <f>IF($B1330="","",IF($V1330&lt;&gt;"",$V1330-$B1330,TODAY()-$B1330))</f>
        <v/>
      </c>
      <c r="X1330" s="27">
        <f>IF($C1330="","",IF(IFERROR(INDEX(CONFIG!$K$4:$K$43,MATCH($S1330,CONFIG!$J$4:$J$43,0)),"NO")="SÍ",IF(OR($V1330="",$U1330=""),"Resuelta",IF($V1330&gt;$U1330,"Resuelta tarde","Resuelta a tiempo")),IF($U1330="","Sin clasificar",IF(TODAY()&gt;$U1330,"Vencida",IF(TODAY()&gt;=$U1330-1,"Por vencer","En plazo")))))</f>
        <v/>
      </c>
      <c r="Y1330" s="49" t="n"/>
      <c r="Z1330" s="49" t="n"/>
    </row>
    <row r="1331" ht="16" customHeight="1">
      <c r="A1331" s="27">
        <f>IF($C1331="","","N-"&amp;TEXT(ROW()-3,"0000"))</f>
        <v/>
      </c>
      <c r="B1331" s="46" t="n"/>
      <c r="C1331" s="47" t="n"/>
      <c r="D1331" s="27">
        <f>IF($C1331="","",IF(COUNTIFS(ENVIOS!$A$4:$A$3003,$C1331)=0,"NO EXISTE",IF(COUNTIFS(ENVIOS!$A$4:$A$3003,$C1331)&gt;1,"DUPLICADA","OK")))</f>
        <v/>
      </c>
      <c r="E1331" s="22">
        <f>IF($C1331="","",IFERROR(INDEX(ENVIOS!$C$4:$C$3003,MATCH($C1331,ENVIOS!$A$4:$A$3003,0)),"—"))</f>
        <v/>
      </c>
      <c r="F1331" s="22">
        <f>IF($C1331="","",IFERROR(INDEX(ENVIOS!$D$4:$D$3003,MATCH($C1331,ENVIOS!$A$4:$A$3003,0)),"—"))</f>
        <v/>
      </c>
      <c r="G1331" s="22">
        <f>IF($C1331="","",IFERROR(INDEX(ENVIOS!$E$4:$E$3003,MATCH($C1331,ENVIOS!$A$4:$A$3003,0)),"—"))</f>
        <v/>
      </c>
      <c r="H1331" s="22">
        <f>IF($C1331="","",IFERROR(INDEX(ENVIOS!$F$4:$F$3003,MATCH($C1331,ENVIOS!$A$4:$A$3003,0)),"—"))</f>
        <v/>
      </c>
      <c r="I1331" s="27">
        <f>IF($C1331="","",IFERROR(INDEX(ENVIOS!$G$4:$G$3003,MATCH($C1331,ENVIOS!$A$4:$A$3003,0)),"—"))</f>
        <v/>
      </c>
      <c r="J1331" s="48">
        <f>IF($C1331="","",IFERROR(INDEX(ENVIOS!$B$4:$B$3003,MATCH($C1331,ENVIOS!$A$4:$A$3003,0)),""))</f>
        <v/>
      </c>
      <c r="K1331" s="49" t="n"/>
      <c r="L1331" s="27">
        <f>IF($K1331="","",IFERROR(INDEX(CONFIG!$B$4:$B$43,MATCH($K1331,CONFIG!$A$4:$A$43,0)),"Media"))</f>
        <v/>
      </c>
      <c r="M1331" s="27">
        <f>IF($K1331="","",IFERROR(INDEX(CONFIG!$D$4:$D$43,MATCH($K1331,CONFIG!$A$4:$A$43,0)),"NO"))</f>
        <v/>
      </c>
      <c r="N1331" s="49" t="n"/>
      <c r="O1331" s="27">
        <f>IF($N1331="","",IFERROR(INDEX(CONFIG!$G$4:$G$43,MATCH($N1331,CONFIG!$F$4:$F$43,0)),"Por definir"))</f>
        <v/>
      </c>
      <c r="P1331" s="27">
        <f>IF($N1331="","",IFERROR(INDEX(CONFIG!$H$4:$H$43,MATCH($N1331,CONFIG!$F$4:$F$43,0)),"Por definir"))</f>
        <v/>
      </c>
      <c r="Q1331" s="50" t="n"/>
      <c r="R1331" s="51" t="n"/>
      <c r="S1331" s="49" t="n"/>
      <c r="T1331" s="49" t="n"/>
      <c r="U1331" s="48">
        <f>IF(OR($B1331="",$K1331=""),"",WORKDAY($B1331,IFERROR(INDEX(CONFIG!$C$4:$C$43,MATCH($K1331,CONFIG!$A$4:$A$43,0)),3)))</f>
        <v/>
      </c>
      <c r="V1331" s="46" t="n"/>
      <c r="W1331" s="23">
        <f>IF($B1331="","",IF($V1331&lt;&gt;"",$V1331-$B1331,TODAY()-$B1331))</f>
        <v/>
      </c>
      <c r="X1331" s="27">
        <f>IF($C1331="","",IF(IFERROR(INDEX(CONFIG!$K$4:$K$43,MATCH($S1331,CONFIG!$J$4:$J$43,0)),"NO")="SÍ",IF(OR($V1331="",$U1331=""),"Resuelta",IF($V1331&gt;$U1331,"Resuelta tarde","Resuelta a tiempo")),IF($U1331="","Sin clasificar",IF(TODAY()&gt;$U1331,"Vencida",IF(TODAY()&gt;=$U1331-1,"Por vencer","En plazo")))))</f>
        <v/>
      </c>
      <c r="Y1331" s="49" t="n"/>
      <c r="Z1331" s="49" t="n"/>
    </row>
    <row r="1332" ht="16" customHeight="1">
      <c r="A1332" s="27">
        <f>IF($C1332="","","N-"&amp;TEXT(ROW()-3,"0000"))</f>
        <v/>
      </c>
      <c r="B1332" s="46" t="n"/>
      <c r="C1332" s="47" t="n"/>
      <c r="D1332" s="27">
        <f>IF($C1332="","",IF(COUNTIFS(ENVIOS!$A$4:$A$3003,$C1332)=0,"NO EXISTE",IF(COUNTIFS(ENVIOS!$A$4:$A$3003,$C1332)&gt;1,"DUPLICADA","OK")))</f>
        <v/>
      </c>
      <c r="E1332" s="22">
        <f>IF($C1332="","",IFERROR(INDEX(ENVIOS!$C$4:$C$3003,MATCH($C1332,ENVIOS!$A$4:$A$3003,0)),"—"))</f>
        <v/>
      </c>
      <c r="F1332" s="22">
        <f>IF($C1332="","",IFERROR(INDEX(ENVIOS!$D$4:$D$3003,MATCH($C1332,ENVIOS!$A$4:$A$3003,0)),"—"))</f>
        <v/>
      </c>
      <c r="G1332" s="22">
        <f>IF($C1332="","",IFERROR(INDEX(ENVIOS!$E$4:$E$3003,MATCH($C1332,ENVIOS!$A$4:$A$3003,0)),"—"))</f>
        <v/>
      </c>
      <c r="H1332" s="22">
        <f>IF($C1332="","",IFERROR(INDEX(ENVIOS!$F$4:$F$3003,MATCH($C1332,ENVIOS!$A$4:$A$3003,0)),"—"))</f>
        <v/>
      </c>
      <c r="I1332" s="27">
        <f>IF($C1332="","",IFERROR(INDEX(ENVIOS!$G$4:$G$3003,MATCH($C1332,ENVIOS!$A$4:$A$3003,0)),"—"))</f>
        <v/>
      </c>
      <c r="J1332" s="48">
        <f>IF($C1332="","",IFERROR(INDEX(ENVIOS!$B$4:$B$3003,MATCH($C1332,ENVIOS!$A$4:$A$3003,0)),""))</f>
        <v/>
      </c>
      <c r="K1332" s="49" t="n"/>
      <c r="L1332" s="27">
        <f>IF($K1332="","",IFERROR(INDEX(CONFIG!$B$4:$B$43,MATCH($K1332,CONFIG!$A$4:$A$43,0)),"Media"))</f>
        <v/>
      </c>
      <c r="M1332" s="27">
        <f>IF($K1332="","",IFERROR(INDEX(CONFIG!$D$4:$D$43,MATCH($K1332,CONFIG!$A$4:$A$43,0)),"NO"))</f>
        <v/>
      </c>
      <c r="N1332" s="49" t="n"/>
      <c r="O1332" s="27">
        <f>IF($N1332="","",IFERROR(INDEX(CONFIG!$G$4:$G$43,MATCH($N1332,CONFIG!$F$4:$F$43,0)),"Por definir"))</f>
        <v/>
      </c>
      <c r="P1332" s="27">
        <f>IF($N1332="","",IFERROR(INDEX(CONFIG!$H$4:$H$43,MATCH($N1332,CONFIG!$F$4:$F$43,0)),"Por definir"))</f>
        <v/>
      </c>
      <c r="Q1332" s="50" t="n"/>
      <c r="R1332" s="51" t="n"/>
      <c r="S1332" s="49" t="n"/>
      <c r="T1332" s="49" t="n"/>
      <c r="U1332" s="48">
        <f>IF(OR($B1332="",$K1332=""),"",WORKDAY($B1332,IFERROR(INDEX(CONFIG!$C$4:$C$43,MATCH($K1332,CONFIG!$A$4:$A$43,0)),3)))</f>
        <v/>
      </c>
      <c r="V1332" s="46" t="n"/>
      <c r="W1332" s="23">
        <f>IF($B1332="","",IF($V1332&lt;&gt;"",$V1332-$B1332,TODAY()-$B1332))</f>
        <v/>
      </c>
      <c r="X1332" s="27">
        <f>IF($C1332="","",IF(IFERROR(INDEX(CONFIG!$K$4:$K$43,MATCH($S1332,CONFIG!$J$4:$J$43,0)),"NO")="SÍ",IF(OR($V1332="",$U1332=""),"Resuelta",IF($V1332&gt;$U1332,"Resuelta tarde","Resuelta a tiempo")),IF($U1332="","Sin clasificar",IF(TODAY()&gt;$U1332,"Vencida",IF(TODAY()&gt;=$U1332-1,"Por vencer","En plazo")))))</f>
        <v/>
      </c>
      <c r="Y1332" s="49" t="n"/>
      <c r="Z1332" s="49" t="n"/>
    </row>
    <row r="1333" ht="16" customHeight="1">
      <c r="A1333" s="27">
        <f>IF($C1333="","","N-"&amp;TEXT(ROW()-3,"0000"))</f>
        <v/>
      </c>
      <c r="B1333" s="46" t="n"/>
      <c r="C1333" s="47" t="n"/>
      <c r="D1333" s="27">
        <f>IF($C1333="","",IF(COUNTIFS(ENVIOS!$A$4:$A$3003,$C1333)=0,"NO EXISTE",IF(COUNTIFS(ENVIOS!$A$4:$A$3003,$C1333)&gt;1,"DUPLICADA","OK")))</f>
        <v/>
      </c>
      <c r="E1333" s="22">
        <f>IF($C1333="","",IFERROR(INDEX(ENVIOS!$C$4:$C$3003,MATCH($C1333,ENVIOS!$A$4:$A$3003,0)),"—"))</f>
        <v/>
      </c>
      <c r="F1333" s="22">
        <f>IF($C1333="","",IFERROR(INDEX(ENVIOS!$D$4:$D$3003,MATCH($C1333,ENVIOS!$A$4:$A$3003,0)),"—"))</f>
        <v/>
      </c>
      <c r="G1333" s="22">
        <f>IF($C1333="","",IFERROR(INDEX(ENVIOS!$E$4:$E$3003,MATCH($C1333,ENVIOS!$A$4:$A$3003,0)),"—"))</f>
        <v/>
      </c>
      <c r="H1333" s="22">
        <f>IF($C1333="","",IFERROR(INDEX(ENVIOS!$F$4:$F$3003,MATCH($C1333,ENVIOS!$A$4:$A$3003,0)),"—"))</f>
        <v/>
      </c>
      <c r="I1333" s="27">
        <f>IF($C1333="","",IFERROR(INDEX(ENVIOS!$G$4:$G$3003,MATCH($C1333,ENVIOS!$A$4:$A$3003,0)),"—"))</f>
        <v/>
      </c>
      <c r="J1333" s="48">
        <f>IF($C1333="","",IFERROR(INDEX(ENVIOS!$B$4:$B$3003,MATCH($C1333,ENVIOS!$A$4:$A$3003,0)),""))</f>
        <v/>
      </c>
      <c r="K1333" s="49" t="n"/>
      <c r="L1333" s="27">
        <f>IF($K1333="","",IFERROR(INDEX(CONFIG!$B$4:$B$43,MATCH($K1333,CONFIG!$A$4:$A$43,0)),"Media"))</f>
        <v/>
      </c>
      <c r="M1333" s="27">
        <f>IF($K1333="","",IFERROR(INDEX(CONFIG!$D$4:$D$43,MATCH($K1333,CONFIG!$A$4:$A$43,0)),"NO"))</f>
        <v/>
      </c>
      <c r="N1333" s="49" t="n"/>
      <c r="O1333" s="27">
        <f>IF($N1333="","",IFERROR(INDEX(CONFIG!$G$4:$G$43,MATCH($N1333,CONFIG!$F$4:$F$43,0)),"Por definir"))</f>
        <v/>
      </c>
      <c r="P1333" s="27">
        <f>IF($N1333="","",IFERROR(INDEX(CONFIG!$H$4:$H$43,MATCH($N1333,CONFIG!$F$4:$F$43,0)),"Por definir"))</f>
        <v/>
      </c>
      <c r="Q1333" s="50" t="n"/>
      <c r="R1333" s="51" t="n"/>
      <c r="S1333" s="49" t="n"/>
      <c r="T1333" s="49" t="n"/>
      <c r="U1333" s="48">
        <f>IF(OR($B1333="",$K1333=""),"",WORKDAY($B1333,IFERROR(INDEX(CONFIG!$C$4:$C$43,MATCH($K1333,CONFIG!$A$4:$A$43,0)),3)))</f>
        <v/>
      </c>
      <c r="V1333" s="46" t="n"/>
      <c r="W1333" s="23">
        <f>IF($B1333="","",IF($V1333&lt;&gt;"",$V1333-$B1333,TODAY()-$B1333))</f>
        <v/>
      </c>
      <c r="X1333" s="27">
        <f>IF($C1333="","",IF(IFERROR(INDEX(CONFIG!$K$4:$K$43,MATCH($S1333,CONFIG!$J$4:$J$43,0)),"NO")="SÍ",IF(OR($V1333="",$U1333=""),"Resuelta",IF($V1333&gt;$U1333,"Resuelta tarde","Resuelta a tiempo")),IF($U1333="","Sin clasificar",IF(TODAY()&gt;$U1333,"Vencida",IF(TODAY()&gt;=$U1333-1,"Por vencer","En plazo")))))</f>
        <v/>
      </c>
      <c r="Y1333" s="49" t="n"/>
      <c r="Z1333" s="49" t="n"/>
    </row>
    <row r="1334" ht="16" customHeight="1">
      <c r="A1334" s="27">
        <f>IF($C1334="","","N-"&amp;TEXT(ROW()-3,"0000"))</f>
        <v/>
      </c>
      <c r="B1334" s="46" t="n"/>
      <c r="C1334" s="47" t="n"/>
      <c r="D1334" s="27">
        <f>IF($C1334="","",IF(COUNTIFS(ENVIOS!$A$4:$A$3003,$C1334)=0,"NO EXISTE",IF(COUNTIFS(ENVIOS!$A$4:$A$3003,$C1334)&gt;1,"DUPLICADA","OK")))</f>
        <v/>
      </c>
      <c r="E1334" s="22">
        <f>IF($C1334="","",IFERROR(INDEX(ENVIOS!$C$4:$C$3003,MATCH($C1334,ENVIOS!$A$4:$A$3003,0)),"—"))</f>
        <v/>
      </c>
      <c r="F1334" s="22">
        <f>IF($C1334="","",IFERROR(INDEX(ENVIOS!$D$4:$D$3003,MATCH($C1334,ENVIOS!$A$4:$A$3003,0)),"—"))</f>
        <v/>
      </c>
      <c r="G1334" s="22">
        <f>IF($C1334="","",IFERROR(INDEX(ENVIOS!$E$4:$E$3003,MATCH($C1334,ENVIOS!$A$4:$A$3003,0)),"—"))</f>
        <v/>
      </c>
      <c r="H1334" s="22">
        <f>IF($C1334="","",IFERROR(INDEX(ENVIOS!$F$4:$F$3003,MATCH($C1334,ENVIOS!$A$4:$A$3003,0)),"—"))</f>
        <v/>
      </c>
      <c r="I1334" s="27">
        <f>IF($C1334="","",IFERROR(INDEX(ENVIOS!$G$4:$G$3003,MATCH($C1334,ENVIOS!$A$4:$A$3003,0)),"—"))</f>
        <v/>
      </c>
      <c r="J1334" s="48">
        <f>IF($C1334="","",IFERROR(INDEX(ENVIOS!$B$4:$B$3003,MATCH($C1334,ENVIOS!$A$4:$A$3003,0)),""))</f>
        <v/>
      </c>
      <c r="K1334" s="49" t="n"/>
      <c r="L1334" s="27">
        <f>IF($K1334="","",IFERROR(INDEX(CONFIG!$B$4:$B$43,MATCH($K1334,CONFIG!$A$4:$A$43,0)),"Media"))</f>
        <v/>
      </c>
      <c r="M1334" s="27">
        <f>IF($K1334="","",IFERROR(INDEX(CONFIG!$D$4:$D$43,MATCH($K1334,CONFIG!$A$4:$A$43,0)),"NO"))</f>
        <v/>
      </c>
      <c r="N1334" s="49" t="n"/>
      <c r="O1334" s="27">
        <f>IF($N1334="","",IFERROR(INDEX(CONFIG!$G$4:$G$43,MATCH($N1334,CONFIG!$F$4:$F$43,0)),"Por definir"))</f>
        <v/>
      </c>
      <c r="P1334" s="27">
        <f>IF($N1334="","",IFERROR(INDEX(CONFIG!$H$4:$H$43,MATCH($N1334,CONFIG!$F$4:$F$43,0)),"Por definir"))</f>
        <v/>
      </c>
      <c r="Q1334" s="50" t="n"/>
      <c r="R1334" s="51" t="n"/>
      <c r="S1334" s="49" t="n"/>
      <c r="T1334" s="49" t="n"/>
      <c r="U1334" s="48">
        <f>IF(OR($B1334="",$K1334=""),"",WORKDAY($B1334,IFERROR(INDEX(CONFIG!$C$4:$C$43,MATCH($K1334,CONFIG!$A$4:$A$43,0)),3)))</f>
        <v/>
      </c>
      <c r="V1334" s="46" t="n"/>
      <c r="W1334" s="23">
        <f>IF($B1334="","",IF($V1334&lt;&gt;"",$V1334-$B1334,TODAY()-$B1334))</f>
        <v/>
      </c>
      <c r="X1334" s="27">
        <f>IF($C1334="","",IF(IFERROR(INDEX(CONFIG!$K$4:$K$43,MATCH($S1334,CONFIG!$J$4:$J$43,0)),"NO")="SÍ",IF(OR($V1334="",$U1334=""),"Resuelta",IF($V1334&gt;$U1334,"Resuelta tarde","Resuelta a tiempo")),IF($U1334="","Sin clasificar",IF(TODAY()&gt;$U1334,"Vencida",IF(TODAY()&gt;=$U1334-1,"Por vencer","En plazo")))))</f>
        <v/>
      </c>
      <c r="Y1334" s="49" t="n"/>
      <c r="Z1334" s="49" t="n"/>
    </row>
    <row r="1335" ht="16" customHeight="1">
      <c r="A1335" s="27">
        <f>IF($C1335="","","N-"&amp;TEXT(ROW()-3,"0000"))</f>
        <v/>
      </c>
      <c r="B1335" s="46" t="n"/>
      <c r="C1335" s="47" t="n"/>
      <c r="D1335" s="27">
        <f>IF($C1335="","",IF(COUNTIFS(ENVIOS!$A$4:$A$3003,$C1335)=0,"NO EXISTE",IF(COUNTIFS(ENVIOS!$A$4:$A$3003,$C1335)&gt;1,"DUPLICADA","OK")))</f>
        <v/>
      </c>
      <c r="E1335" s="22">
        <f>IF($C1335="","",IFERROR(INDEX(ENVIOS!$C$4:$C$3003,MATCH($C1335,ENVIOS!$A$4:$A$3003,0)),"—"))</f>
        <v/>
      </c>
      <c r="F1335" s="22">
        <f>IF($C1335="","",IFERROR(INDEX(ENVIOS!$D$4:$D$3003,MATCH($C1335,ENVIOS!$A$4:$A$3003,0)),"—"))</f>
        <v/>
      </c>
      <c r="G1335" s="22">
        <f>IF($C1335="","",IFERROR(INDEX(ENVIOS!$E$4:$E$3003,MATCH($C1335,ENVIOS!$A$4:$A$3003,0)),"—"))</f>
        <v/>
      </c>
      <c r="H1335" s="22">
        <f>IF($C1335="","",IFERROR(INDEX(ENVIOS!$F$4:$F$3003,MATCH($C1335,ENVIOS!$A$4:$A$3003,0)),"—"))</f>
        <v/>
      </c>
      <c r="I1335" s="27">
        <f>IF($C1335="","",IFERROR(INDEX(ENVIOS!$G$4:$G$3003,MATCH($C1335,ENVIOS!$A$4:$A$3003,0)),"—"))</f>
        <v/>
      </c>
      <c r="J1335" s="48">
        <f>IF($C1335="","",IFERROR(INDEX(ENVIOS!$B$4:$B$3003,MATCH($C1335,ENVIOS!$A$4:$A$3003,0)),""))</f>
        <v/>
      </c>
      <c r="K1335" s="49" t="n"/>
      <c r="L1335" s="27">
        <f>IF($K1335="","",IFERROR(INDEX(CONFIG!$B$4:$B$43,MATCH($K1335,CONFIG!$A$4:$A$43,0)),"Media"))</f>
        <v/>
      </c>
      <c r="M1335" s="27">
        <f>IF($K1335="","",IFERROR(INDEX(CONFIG!$D$4:$D$43,MATCH($K1335,CONFIG!$A$4:$A$43,0)),"NO"))</f>
        <v/>
      </c>
      <c r="N1335" s="49" t="n"/>
      <c r="O1335" s="27">
        <f>IF($N1335="","",IFERROR(INDEX(CONFIG!$G$4:$G$43,MATCH($N1335,CONFIG!$F$4:$F$43,0)),"Por definir"))</f>
        <v/>
      </c>
      <c r="P1335" s="27">
        <f>IF($N1335="","",IFERROR(INDEX(CONFIG!$H$4:$H$43,MATCH($N1335,CONFIG!$F$4:$F$43,0)),"Por definir"))</f>
        <v/>
      </c>
      <c r="Q1335" s="50" t="n"/>
      <c r="R1335" s="51" t="n"/>
      <c r="S1335" s="49" t="n"/>
      <c r="T1335" s="49" t="n"/>
      <c r="U1335" s="48">
        <f>IF(OR($B1335="",$K1335=""),"",WORKDAY($B1335,IFERROR(INDEX(CONFIG!$C$4:$C$43,MATCH($K1335,CONFIG!$A$4:$A$43,0)),3)))</f>
        <v/>
      </c>
      <c r="V1335" s="46" t="n"/>
      <c r="W1335" s="23">
        <f>IF($B1335="","",IF($V1335&lt;&gt;"",$V1335-$B1335,TODAY()-$B1335))</f>
        <v/>
      </c>
      <c r="X1335" s="27">
        <f>IF($C1335="","",IF(IFERROR(INDEX(CONFIG!$K$4:$K$43,MATCH($S1335,CONFIG!$J$4:$J$43,0)),"NO")="SÍ",IF(OR($V1335="",$U1335=""),"Resuelta",IF($V1335&gt;$U1335,"Resuelta tarde","Resuelta a tiempo")),IF($U1335="","Sin clasificar",IF(TODAY()&gt;$U1335,"Vencida",IF(TODAY()&gt;=$U1335-1,"Por vencer","En plazo")))))</f>
        <v/>
      </c>
      <c r="Y1335" s="49" t="n"/>
      <c r="Z1335" s="49" t="n"/>
    </row>
    <row r="1336" ht="16" customHeight="1">
      <c r="A1336" s="27">
        <f>IF($C1336="","","N-"&amp;TEXT(ROW()-3,"0000"))</f>
        <v/>
      </c>
      <c r="B1336" s="46" t="n"/>
      <c r="C1336" s="47" t="n"/>
      <c r="D1336" s="27">
        <f>IF($C1336="","",IF(COUNTIFS(ENVIOS!$A$4:$A$3003,$C1336)=0,"NO EXISTE",IF(COUNTIFS(ENVIOS!$A$4:$A$3003,$C1336)&gt;1,"DUPLICADA","OK")))</f>
        <v/>
      </c>
      <c r="E1336" s="22">
        <f>IF($C1336="","",IFERROR(INDEX(ENVIOS!$C$4:$C$3003,MATCH($C1336,ENVIOS!$A$4:$A$3003,0)),"—"))</f>
        <v/>
      </c>
      <c r="F1336" s="22">
        <f>IF($C1336="","",IFERROR(INDEX(ENVIOS!$D$4:$D$3003,MATCH($C1336,ENVIOS!$A$4:$A$3003,0)),"—"))</f>
        <v/>
      </c>
      <c r="G1336" s="22">
        <f>IF($C1336="","",IFERROR(INDEX(ENVIOS!$E$4:$E$3003,MATCH($C1336,ENVIOS!$A$4:$A$3003,0)),"—"))</f>
        <v/>
      </c>
      <c r="H1336" s="22">
        <f>IF($C1336="","",IFERROR(INDEX(ENVIOS!$F$4:$F$3003,MATCH($C1336,ENVIOS!$A$4:$A$3003,0)),"—"))</f>
        <v/>
      </c>
      <c r="I1336" s="27">
        <f>IF($C1336="","",IFERROR(INDEX(ENVIOS!$G$4:$G$3003,MATCH($C1336,ENVIOS!$A$4:$A$3003,0)),"—"))</f>
        <v/>
      </c>
      <c r="J1336" s="48">
        <f>IF($C1336="","",IFERROR(INDEX(ENVIOS!$B$4:$B$3003,MATCH($C1336,ENVIOS!$A$4:$A$3003,0)),""))</f>
        <v/>
      </c>
      <c r="K1336" s="49" t="n"/>
      <c r="L1336" s="27">
        <f>IF($K1336="","",IFERROR(INDEX(CONFIG!$B$4:$B$43,MATCH($K1336,CONFIG!$A$4:$A$43,0)),"Media"))</f>
        <v/>
      </c>
      <c r="M1336" s="27">
        <f>IF($K1336="","",IFERROR(INDEX(CONFIG!$D$4:$D$43,MATCH($K1336,CONFIG!$A$4:$A$43,0)),"NO"))</f>
        <v/>
      </c>
      <c r="N1336" s="49" t="n"/>
      <c r="O1336" s="27">
        <f>IF($N1336="","",IFERROR(INDEX(CONFIG!$G$4:$G$43,MATCH($N1336,CONFIG!$F$4:$F$43,0)),"Por definir"))</f>
        <v/>
      </c>
      <c r="P1336" s="27">
        <f>IF($N1336="","",IFERROR(INDEX(CONFIG!$H$4:$H$43,MATCH($N1336,CONFIG!$F$4:$F$43,0)),"Por definir"))</f>
        <v/>
      </c>
      <c r="Q1336" s="50" t="n"/>
      <c r="R1336" s="51" t="n"/>
      <c r="S1336" s="49" t="n"/>
      <c r="T1336" s="49" t="n"/>
      <c r="U1336" s="48">
        <f>IF(OR($B1336="",$K1336=""),"",WORKDAY($B1336,IFERROR(INDEX(CONFIG!$C$4:$C$43,MATCH($K1336,CONFIG!$A$4:$A$43,0)),3)))</f>
        <v/>
      </c>
      <c r="V1336" s="46" t="n"/>
      <c r="W1336" s="23">
        <f>IF($B1336="","",IF($V1336&lt;&gt;"",$V1336-$B1336,TODAY()-$B1336))</f>
        <v/>
      </c>
      <c r="X1336" s="27">
        <f>IF($C1336="","",IF(IFERROR(INDEX(CONFIG!$K$4:$K$43,MATCH($S1336,CONFIG!$J$4:$J$43,0)),"NO")="SÍ",IF(OR($V1336="",$U1336=""),"Resuelta",IF($V1336&gt;$U1336,"Resuelta tarde","Resuelta a tiempo")),IF($U1336="","Sin clasificar",IF(TODAY()&gt;$U1336,"Vencida",IF(TODAY()&gt;=$U1336-1,"Por vencer","En plazo")))))</f>
        <v/>
      </c>
      <c r="Y1336" s="49" t="n"/>
      <c r="Z1336" s="49" t="n"/>
    </row>
    <row r="1337" ht="16" customHeight="1">
      <c r="A1337" s="27">
        <f>IF($C1337="","","N-"&amp;TEXT(ROW()-3,"0000"))</f>
        <v/>
      </c>
      <c r="B1337" s="46" t="n"/>
      <c r="C1337" s="47" t="n"/>
      <c r="D1337" s="27">
        <f>IF($C1337="","",IF(COUNTIFS(ENVIOS!$A$4:$A$3003,$C1337)=0,"NO EXISTE",IF(COUNTIFS(ENVIOS!$A$4:$A$3003,$C1337)&gt;1,"DUPLICADA","OK")))</f>
        <v/>
      </c>
      <c r="E1337" s="22">
        <f>IF($C1337="","",IFERROR(INDEX(ENVIOS!$C$4:$C$3003,MATCH($C1337,ENVIOS!$A$4:$A$3003,0)),"—"))</f>
        <v/>
      </c>
      <c r="F1337" s="22">
        <f>IF($C1337="","",IFERROR(INDEX(ENVIOS!$D$4:$D$3003,MATCH($C1337,ENVIOS!$A$4:$A$3003,0)),"—"))</f>
        <v/>
      </c>
      <c r="G1337" s="22">
        <f>IF($C1337="","",IFERROR(INDEX(ENVIOS!$E$4:$E$3003,MATCH($C1337,ENVIOS!$A$4:$A$3003,0)),"—"))</f>
        <v/>
      </c>
      <c r="H1337" s="22">
        <f>IF($C1337="","",IFERROR(INDEX(ENVIOS!$F$4:$F$3003,MATCH($C1337,ENVIOS!$A$4:$A$3003,0)),"—"))</f>
        <v/>
      </c>
      <c r="I1337" s="27">
        <f>IF($C1337="","",IFERROR(INDEX(ENVIOS!$G$4:$G$3003,MATCH($C1337,ENVIOS!$A$4:$A$3003,0)),"—"))</f>
        <v/>
      </c>
      <c r="J1337" s="48">
        <f>IF($C1337="","",IFERROR(INDEX(ENVIOS!$B$4:$B$3003,MATCH($C1337,ENVIOS!$A$4:$A$3003,0)),""))</f>
        <v/>
      </c>
      <c r="K1337" s="49" t="n"/>
      <c r="L1337" s="27">
        <f>IF($K1337="","",IFERROR(INDEX(CONFIG!$B$4:$B$43,MATCH($K1337,CONFIG!$A$4:$A$43,0)),"Media"))</f>
        <v/>
      </c>
      <c r="M1337" s="27">
        <f>IF($K1337="","",IFERROR(INDEX(CONFIG!$D$4:$D$43,MATCH($K1337,CONFIG!$A$4:$A$43,0)),"NO"))</f>
        <v/>
      </c>
      <c r="N1337" s="49" t="n"/>
      <c r="O1337" s="27">
        <f>IF($N1337="","",IFERROR(INDEX(CONFIG!$G$4:$G$43,MATCH($N1337,CONFIG!$F$4:$F$43,0)),"Por definir"))</f>
        <v/>
      </c>
      <c r="P1337" s="27">
        <f>IF($N1337="","",IFERROR(INDEX(CONFIG!$H$4:$H$43,MATCH($N1337,CONFIG!$F$4:$F$43,0)),"Por definir"))</f>
        <v/>
      </c>
      <c r="Q1337" s="50" t="n"/>
      <c r="R1337" s="51" t="n"/>
      <c r="S1337" s="49" t="n"/>
      <c r="T1337" s="49" t="n"/>
      <c r="U1337" s="48">
        <f>IF(OR($B1337="",$K1337=""),"",WORKDAY($B1337,IFERROR(INDEX(CONFIG!$C$4:$C$43,MATCH($K1337,CONFIG!$A$4:$A$43,0)),3)))</f>
        <v/>
      </c>
      <c r="V1337" s="46" t="n"/>
      <c r="W1337" s="23">
        <f>IF($B1337="","",IF($V1337&lt;&gt;"",$V1337-$B1337,TODAY()-$B1337))</f>
        <v/>
      </c>
      <c r="X1337" s="27">
        <f>IF($C1337="","",IF(IFERROR(INDEX(CONFIG!$K$4:$K$43,MATCH($S1337,CONFIG!$J$4:$J$43,0)),"NO")="SÍ",IF(OR($V1337="",$U1337=""),"Resuelta",IF($V1337&gt;$U1337,"Resuelta tarde","Resuelta a tiempo")),IF($U1337="","Sin clasificar",IF(TODAY()&gt;$U1337,"Vencida",IF(TODAY()&gt;=$U1337-1,"Por vencer","En plazo")))))</f>
        <v/>
      </c>
      <c r="Y1337" s="49" t="n"/>
      <c r="Z1337" s="49" t="n"/>
    </row>
    <row r="1338" ht="16" customHeight="1">
      <c r="A1338" s="27">
        <f>IF($C1338="","","N-"&amp;TEXT(ROW()-3,"0000"))</f>
        <v/>
      </c>
      <c r="B1338" s="46" t="n"/>
      <c r="C1338" s="47" t="n"/>
      <c r="D1338" s="27">
        <f>IF($C1338="","",IF(COUNTIFS(ENVIOS!$A$4:$A$3003,$C1338)=0,"NO EXISTE",IF(COUNTIFS(ENVIOS!$A$4:$A$3003,$C1338)&gt;1,"DUPLICADA","OK")))</f>
        <v/>
      </c>
      <c r="E1338" s="22">
        <f>IF($C1338="","",IFERROR(INDEX(ENVIOS!$C$4:$C$3003,MATCH($C1338,ENVIOS!$A$4:$A$3003,0)),"—"))</f>
        <v/>
      </c>
      <c r="F1338" s="22">
        <f>IF($C1338="","",IFERROR(INDEX(ENVIOS!$D$4:$D$3003,MATCH($C1338,ENVIOS!$A$4:$A$3003,0)),"—"))</f>
        <v/>
      </c>
      <c r="G1338" s="22">
        <f>IF($C1338="","",IFERROR(INDEX(ENVIOS!$E$4:$E$3003,MATCH($C1338,ENVIOS!$A$4:$A$3003,0)),"—"))</f>
        <v/>
      </c>
      <c r="H1338" s="22">
        <f>IF($C1338="","",IFERROR(INDEX(ENVIOS!$F$4:$F$3003,MATCH($C1338,ENVIOS!$A$4:$A$3003,0)),"—"))</f>
        <v/>
      </c>
      <c r="I1338" s="27">
        <f>IF($C1338="","",IFERROR(INDEX(ENVIOS!$G$4:$G$3003,MATCH($C1338,ENVIOS!$A$4:$A$3003,0)),"—"))</f>
        <v/>
      </c>
      <c r="J1338" s="48">
        <f>IF($C1338="","",IFERROR(INDEX(ENVIOS!$B$4:$B$3003,MATCH($C1338,ENVIOS!$A$4:$A$3003,0)),""))</f>
        <v/>
      </c>
      <c r="K1338" s="49" t="n"/>
      <c r="L1338" s="27">
        <f>IF($K1338="","",IFERROR(INDEX(CONFIG!$B$4:$B$43,MATCH($K1338,CONFIG!$A$4:$A$43,0)),"Media"))</f>
        <v/>
      </c>
      <c r="M1338" s="27">
        <f>IF($K1338="","",IFERROR(INDEX(CONFIG!$D$4:$D$43,MATCH($K1338,CONFIG!$A$4:$A$43,0)),"NO"))</f>
        <v/>
      </c>
      <c r="N1338" s="49" t="n"/>
      <c r="O1338" s="27">
        <f>IF($N1338="","",IFERROR(INDEX(CONFIG!$G$4:$G$43,MATCH($N1338,CONFIG!$F$4:$F$43,0)),"Por definir"))</f>
        <v/>
      </c>
      <c r="P1338" s="27">
        <f>IF($N1338="","",IFERROR(INDEX(CONFIG!$H$4:$H$43,MATCH($N1338,CONFIG!$F$4:$F$43,0)),"Por definir"))</f>
        <v/>
      </c>
      <c r="Q1338" s="50" t="n"/>
      <c r="R1338" s="51" t="n"/>
      <c r="S1338" s="49" t="n"/>
      <c r="T1338" s="49" t="n"/>
      <c r="U1338" s="48">
        <f>IF(OR($B1338="",$K1338=""),"",WORKDAY($B1338,IFERROR(INDEX(CONFIG!$C$4:$C$43,MATCH($K1338,CONFIG!$A$4:$A$43,0)),3)))</f>
        <v/>
      </c>
      <c r="V1338" s="46" t="n"/>
      <c r="W1338" s="23">
        <f>IF($B1338="","",IF($V1338&lt;&gt;"",$V1338-$B1338,TODAY()-$B1338))</f>
        <v/>
      </c>
      <c r="X1338" s="27">
        <f>IF($C1338="","",IF(IFERROR(INDEX(CONFIG!$K$4:$K$43,MATCH($S1338,CONFIG!$J$4:$J$43,0)),"NO")="SÍ",IF(OR($V1338="",$U1338=""),"Resuelta",IF($V1338&gt;$U1338,"Resuelta tarde","Resuelta a tiempo")),IF($U1338="","Sin clasificar",IF(TODAY()&gt;$U1338,"Vencida",IF(TODAY()&gt;=$U1338-1,"Por vencer","En plazo")))))</f>
        <v/>
      </c>
      <c r="Y1338" s="49" t="n"/>
      <c r="Z1338" s="49" t="n"/>
    </row>
    <row r="1339" ht="16" customHeight="1">
      <c r="A1339" s="27">
        <f>IF($C1339="","","N-"&amp;TEXT(ROW()-3,"0000"))</f>
        <v/>
      </c>
      <c r="B1339" s="46" t="n"/>
      <c r="C1339" s="47" t="n"/>
      <c r="D1339" s="27">
        <f>IF($C1339="","",IF(COUNTIFS(ENVIOS!$A$4:$A$3003,$C1339)=0,"NO EXISTE",IF(COUNTIFS(ENVIOS!$A$4:$A$3003,$C1339)&gt;1,"DUPLICADA","OK")))</f>
        <v/>
      </c>
      <c r="E1339" s="22">
        <f>IF($C1339="","",IFERROR(INDEX(ENVIOS!$C$4:$C$3003,MATCH($C1339,ENVIOS!$A$4:$A$3003,0)),"—"))</f>
        <v/>
      </c>
      <c r="F1339" s="22">
        <f>IF($C1339="","",IFERROR(INDEX(ENVIOS!$D$4:$D$3003,MATCH($C1339,ENVIOS!$A$4:$A$3003,0)),"—"))</f>
        <v/>
      </c>
      <c r="G1339" s="22">
        <f>IF($C1339="","",IFERROR(INDEX(ENVIOS!$E$4:$E$3003,MATCH($C1339,ENVIOS!$A$4:$A$3003,0)),"—"))</f>
        <v/>
      </c>
      <c r="H1339" s="22">
        <f>IF($C1339="","",IFERROR(INDEX(ENVIOS!$F$4:$F$3003,MATCH($C1339,ENVIOS!$A$4:$A$3003,0)),"—"))</f>
        <v/>
      </c>
      <c r="I1339" s="27">
        <f>IF($C1339="","",IFERROR(INDEX(ENVIOS!$G$4:$G$3003,MATCH($C1339,ENVIOS!$A$4:$A$3003,0)),"—"))</f>
        <v/>
      </c>
      <c r="J1339" s="48">
        <f>IF($C1339="","",IFERROR(INDEX(ENVIOS!$B$4:$B$3003,MATCH($C1339,ENVIOS!$A$4:$A$3003,0)),""))</f>
        <v/>
      </c>
      <c r="K1339" s="49" t="n"/>
      <c r="L1339" s="27">
        <f>IF($K1339="","",IFERROR(INDEX(CONFIG!$B$4:$B$43,MATCH($K1339,CONFIG!$A$4:$A$43,0)),"Media"))</f>
        <v/>
      </c>
      <c r="M1339" s="27">
        <f>IF($K1339="","",IFERROR(INDEX(CONFIG!$D$4:$D$43,MATCH($K1339,CONFIG!$A$4:$A$43,0)),"NO"))</f>
        <v/>
      </c>
      <c r="N1339" s="49" t="n"/>
      <c r="O1339" s="27">
        <f>IF($N1339="","",IFERROR(INDEX(CONFIG!$G$4:$G$43,MATCH($N1339,CONFIG!$F$4:$F$43,0)),"Por definir"))</f>
        <v/>
      </c>
      <c r="P1339" s="27">
        <f>IF($N1339="","",IFERROR(INDEX(CONFIG!$H$4:$H$43,MATCH($N1339,CONFIG!$F$4:$F$43,0)),"Por definir"))</f>
        <v/>
      </c>
      <c r="Q1339" s="50" t="n"/>
      <c r="R1339" s="51" t="n"/>
      <c r="S1339" s="49" t="n"/>
      <c r="T1339" s="49" t="n"/>
      <c r="U1339" s="48">
        <f>IF(OR($B1339="",$K1339=""),"",WORKDAY($B1339,IFERROR(INDEX(CONFIG!$C$4:$C$43,MATCH($K1339,CONFIG!$A$4:$A$43,0)),3)))</f>
        <v/>
      </c>
      <c r="V1339" s="46" t="n"/>
      <c r="W1339" s="23">
        <f>IF($B1339="","",IF($V1339&lt;&gt;"",$V1339-$B1339,TODAY()-$B1339))</f>
        <v/>
      </c>
      <c r="X1339" s="27">
        <f>IF($C1339="","",IF(IFERROR(INDEX(CONFIG!$K$4:$K$43,MATCH($S1339,CONFIG!$J$4:$J$43,0)),"NO")="SÍ",IF(OR($V1339="",$U1339=""),"Resuelta",IF($V1339&gt;$U1339,"Resuelta tarde","Resuelta a tiempo")),IF($U1339="","Sin clasificar",IF(TODAY()&gt;$U1339,"Vencida",IF(TODAY()&gt;=$U1339-1,"Por vencer","En plazo")))))</f>
        <v/>
      </c>
      <c r="Y1339" s="49" t="n"/>
      <c r="Z1339" s="49" t="n"/>
    </row>
    <row r="1340" ht="16" customHeight="1">
      <c r="A1340" s="27">
        <f>IF($C1340="","","N-"&amp;TEXT(ROW()-3,"0000"))</f>
        <v/>
      </c>
      <c r="B1340" s="46" t="n"/>
      <c r="C1340" s="47" t="n"/>
      <c r="D1340" s="27">
        <f>IF($C1340="","",IF(COUNTIFS(ENVIOS!$A$4:$A$3003,$C1340)=0,"NO EXISTE",IF(COUNTIFS(ENVIOS!$A$4:$A$3003,$C1340)&gt;1,"DUPLICADA","OK")))</f>
        <v/>
      </c>
      <c r="E1340" s="22">
        <f>IF($C1340="","",IFERROR(INDEX(ENVIOS!$C$4:$C$3003,MATCH($C1340,ENVIOS!$A$4:$A$3003,0)),"—"))</f>
        <v/>
      </c>
      <c r="F1340" s="22">
        <f>IF($C1340="","",IFERROR(INDEX(ENVIOS!$D$4:$D$3003,MATCH($C1340,ENVIOS!$A$4:$A$3003,0)),"—"))</f>
        <v/>
      </c>
      <c r="G1340" s="22">
        <f>IF($C1340="","",IFERROR(INDEX(ENVIOS!$E$4:$E$3003,MATCH($C1340,ENVIOS!$A$4:$A$3003,0)),"—"))</f>
        <v/>
      </c>
      <c r="H1340" s="22">
        <f>IF($C1340="","",IFERROR(INDEX(ENVIOS!$F$4:$F$3003,MATCH($C1340,ENVIOS!$A$4:$A$3003,0)),"—"))</f>
        <v/>
      </c>
      <c r="I1340" s="27">
        <f>IF($C1340="","",IFERROR(INDEX(ENVIOS!$G$4:$G$3003,MATCH($C1340,ENVIOS!$A$4:$A$3003,0)),"—"))</f>
        <v/>
      </c>
      <c r="J1340" s="48">
        <f>IF($C1340="","",IFERROR(INDEX(ENVIOS!$B$4:$B$3003,MATCH($C1340,ENVIOS!$A$4:$A$3003,0)),""))</f>
        <v/>
      </c>
      <c r="K1340" s="49" t="n"/>
      <c r="L1340" s="27">
        <f>IF($K1340="","",IFERROR(INDEX(CONFIG!$B$4:$B$43,MATCH($K1340,CONFIG!$A$4:$A$43,0)),"Media"))</f>
        <v/>
      </c>
      <c r="M1340" s="27">
        <f>IF($K1340="","",IFERROR(INDEX(CONFIG!$D$4:$D$43,MATCH($K1340,CONFIG!$A$4:$A$43,0)),"NO"))</f>
        <v/>
      </c>
      <c r="N1340" s="49" t="n"/>
      <c r="O1340" s="27">
        <f>IF($N1340="","",IFERROR(INDEX(CONFIG!$G$4:$G$43,MATCH($N1340,CONFIG!$F$4:$F$43,0)),"Por definir"))</f>
        <v/>
      </c>
      <c r="P1340" s="27">
        <f>IF($N1340="","",IFERROR(INDEX(CONFIG!$H$4:$H$43,MATCH($N1340,CONFIG!$F$4:$F$43,0)),"Por definir"))</f>
        <v/>
      </c>
      <c r="Q1340" s="50" t="n"/>
      <c r="R1340" s="51" t="n"/>
      <c r="S1340" s="49" t="n"/>
      <c r="T1340" s="49" t="n"/>
      <c r="U1340" s="48">
        <f>IF(OR($B1340="",$K1340=""),"",WORKDAY($B1340,IFERROR(INDEX(CONFIG!$C$4:$C$43,MATCH($K1340,CONFIG!$A$4:$A$43,0)),3)))</f>
        <v/>
      </c>
      <c r="V1340" s="46" t="n"/>
      <c r="W1340" s="23">
        <f>IF($B1340="","",IF($V1340&lt;&gt;"",$V1340-$B1340,TODAY()-$B1340))</f>
        <v/>
      </c>
      <c r="X1340" s="27">
        <f>IF($C1340="","",IF(IFERROR(INDEX(CONFIG!$K$4:$K$43,MATCH($S1340,CONFIG!$J$4:$J$43,0)),"NO")="SÍ",IF(OR($V1340="",$U1340=""),"Resuelta",IF($V1340&gt;$U1340,"Resuelta tarde","Resuelta a tiempo")),IF($U1340="","Sin clasificar",IF(TODAY()&gt;$U1340,"Vencida",IF(TODAY()&gt;=$U1340-1,"Por vencer","En plazo")))))</f>
        <v/>
      </c>
      <c r="Y1340" s="49" t="n"/>
      <c r="Z1340" s="49" t="n"/>
    </row>
    <row r="1341" ht="16" customHeight="1">
      <c r="A1341" s="27">
        <f>IF($C1341="","","N-"&amp;TEXT(ROW()-3,"0000"))</f>
        <v/>
      </c>
      <c r="B1341" s="46" t="n"/>
      <c r="C1341" s="47" t="n"/>
      <c r="D1341" s="27">
        <f>IF($C1341="","",IF(COUNTIFS(ENVIOS!$A$4:$A$3003,$C1341)=0,"NO EXISTE",IF(COUNTIFS(ENVIOS!$A$4:$A$3003,$C1341)&gt;1,"DUPLICADA","OK")))</f>
        <v/>
      </c>
      <c r="E1341" s="22">
        <f>IF($C1341="","",IFERROR(INDEX(ENVIOS!$C$4:$C$3003,MATCH($C1341,ENVIOS!$A$4:$A$3003,0)),"—"))</f>
        <v/>
      </c>
      <c r="F1341" s="22">
        <f>IF($C1341="","",IFERROR(INDEX(ENVIOS!$D$4:$D$3003,MATCH($C1341,ENVIOS!$A$4:$A$3003,0)),"—"))</f>
        <v/>
      </c>
      <c r="G1341" s="22">
        <f>IF($C1341="","",IFERROR(INDEX(ENVIOS!$E$4:$E$3003,MATCH($C1341,ENVIOS!$A$4:$A$3003,0)),"—"))</f>
        <v/>
      </c>
      <c r="H1341" s="22">
        <f>IF($C1341="","",IFERROR(INDEX(ENVIOS!$F$4:$F$3003,MATCH($C1341,ENVIOS!$A$4:$A$3003,0)),"—"))</f>
        <v/>
      </c>
      <c r="I1341" s="27">
        <f>IF($C1341="","",IFERROR(INDEX(ENVIOS!$G$4:$G$3003,MATCH($C1341,ENVIOS!$A$4:$A$3003,0)),"—"))</f>
        <v/>
      </c>
      <c r="J1341" s="48">
        <f>IF($C1341="","",IFERROR(INDEX(ENVIOS!$B$4:$B$3003,MATCH($C1341,ENVIOS!$A$4:$A$3003,0)),""))</f>
        <v/>
      </c>
      <c r="K1341" s="49" t="n"/>
      <c r="L1341" s="27">
        <f>IF($K1341="","",IFERROR(INDEX(CONFIG!$B$4:$B$43,MATCH($K1341,CONFIG!$A$4:$A$43,0)),"Media"))</f>
        <v/>
      </c>
      <c r="M1341" s="27">
        <f>IF($K1341="","",IFERROR(INDEX(CONFIG!$D$4:$D$43,MATCH($K1341,CONFIG!$A$4:$A$43,0)),"NO"))</f>
        <v/>
      </c>
      <c r="N1341" s="49" t="n"/>
      <c r="O1341" s="27">
        <f>IF($N1341="","",IFERROR(INDEX(CONFIG!$G$4:$G$43,MATCH($N1341,CONFIG!$F$4:$F$43,0)),"Por definir"))</f>
        <v/>
      </c>
      <c r="P1341" s="27">
        <f>IF($N1341="","",IFERROR(INDEX(CONFIG!$H$4:$H$43,MATCH($N1341,CONFIG!$F$4:$F$43,0)),"Por definir"))</f>
        <v/>
      </c>
      <c r="Q1341" s="50" t="n"/>
      <c r="R1341" s="51" t="n"/>
      <c r="S1341" s="49" t="n"/>
      <c r="T1341" s="49" t="n"/>
      <c r="U1341" s="48">
        <f>IF(OR($B1341="",$K1341=""),"",WORKDAY($B1341,IFERROR(INDEX(CONFIG!$C$4:$C$43,MATCH($K1341,CONFIG!$A$4:$A$43,0)),3)))</f>
        <v/>
      </c>
      <c r="V1341" s="46" t="n"/>
      <c r="W1341" s="23">
        <f>IF($B1341="","",IF($V1341&lt;&gt;"",$V1341-$B1341,TODAY()-$B1341))</f>
        <v/>
      </c>
      <c r="X1341" s="27">
        <f>IF($C1341="","",IF(IFERROR(INDEX(CONFIG!$K$4:$K$43,MATCH($S1341,CONFIG!$J$4:$J$43,0)),"NO")="SÍ",IF(OR($V1341="",$U1341=""),"Resuelta",IF($V1341&gt;$U1341,"Resuelta tarde","Resuelta a tiempo")),IF($U1341="","Sin clasificar",IF(TODAY()&gt;$U1341,"Vencida",IF(TODAY()&gt;=$U1341-1,"Por vencer","En plazo")))))</f>
        <v/>
      </c>
      <c r="Y1341" s="49" t="n"/>
      <c r="Z1341" s="49" t="n"/>
    </row>
    <row r="1342" ht="16" customHeight="1">
      <c r="A1342" s="27">
        <f>IF($C1342="","","N-"&amp;TEXT(ROW()-3,"0000"))</f>
        <v/>
      </c>
      <c r="B1342" s="46" t="n"/>
      <c r="C1342" s="47" t="n"/>
      <c r="D1342" s="27">
        <f>IF($C1342="","",IF(COUNTIFS(ENVIOS!$A$4:$A$3003,$C1342)=0,"NO EXISTE",IF(COUNTIFS(ENVIOS!$A$4:$A$3003,$C1342)&gt;1,"DUPLICADA","OK")))</f>
        <v/>
      </c>
      <c r="E1342" s="22">
        <f>IF($C1342="","",IFERROR(INDEX(ENVIOS!$C$4:$C$3003,MATCH($C1342,ENVIOS!$A$4:$A$3003,0)),"—"))</f>
        <v/>
      </c>
      <c r="F1342" s="22">
        <f>IF($C1342="","",IFERROR(INDEX(ENVIOS!$D$4:$D$3003,MATCH($C1342,ENVIOS!$A$4:$A$3003,0)),"—"))</f>
        <v/>
      </c>
      <c r="G1342" s="22">
        <f>IF($C1342="","",IFERROR(INDEX(ENVIOS!$E$4:$E$3003,MATCH($C1342,ENVIOS!$A$4:$A$3003,0)),"—"))</f>
        <v/>
      </c>
      <c r="H1342" s="22">
        <f>IF($C1342="","",IFERROR(INDEX(ENVIOS!$F$4:$F$3003,MATCH($C1342,ENVIOS!$A$4:$A$3003,0)),"—"))</f>
        <v/>
      </c>
      <c r="I1342" s="27">
        <f>IF($C1342="","",IFERROR(INDEX(ENVIOS!$G$4:$G$3003,MATCH($C1342,ENVIOS!$A$4:$A$3003,0)),"—"))</f>
        <v/>
      </c>
      <c r="J1342" s="48">
        <f>IF($C1342="","",IFERROR(INDEX(ENVIOS!$B$4:$B$3003,MATCH($C1342,ENVIOS!$A$4:$A$3003,0)),""))</f>
        <v/>
      </c>
      <c r="K1342" s="49" t="n"/>
      <c r="L1342" s="27">
        <f>IF($K1342="","",IFERROR(INDEX(CONFIG!$B$4:$B$43,MATCH($K1342,CONFIG!$A$4:$A$43,0)),"Media"))</f>
        <v/>
      </c>
      <c r="M1342" s="27">
        <f>IF($K1342="","",IFERROR(INDEX(CONFIG!$D$4:$D$43,MATCH($K1342,CONFIG!$A$4:$A$43,0)),"NO"))</f>
        <v/>
      </c>
      <c r="N1342" s="49" t="n"/>
      <c r="O1342" s="27">
        <f>IF($N1342="","",IFERROR(INDEX(CONFIG!$G$4:$G$43,MATCH($N1342,CONFIG!$F$4:$F$43,0)),"Por definir"))</f>
        <v/>
      </c>
      <c r="P1342" s="27">
        <f>IF($N1342="","",IFERROR(INDEX(CONFIG!$H$4:$H$43,MATCH($N1342,CONFIG!$F$4:$F$43,0)),"Por definir"))</f>
        <v/>
      </c>
      <c r="Q1342" s="50" t="n"/>
      <c r="R1342" s="51" t="n"/>
      <c r="S1342" s="49" t="n"/>
      <c r="T1342" s="49" t="n"/>
      <c r="U1342" s="48">
        <f>IF(OR($B1342="",$K1342=""),"",WORKDAY($B1342,IFERROR(INDEX(CONFIG!$C$4:$C$43,MATCH($K1342,CONFIG!$A$4:$A$43,0)),3)))</f>
        <v/>
      </c>
      <c r="V1342" s="46" t="n"/>
      <c r="W1342" s="23">
        <f>IF($B1342="","",IF($V1342&lt;&gt;"",$V1342-$B1342,TODAY()-$B1342))</f>
        <v/>
      </c>
      <c r="X1342" s="27">
        <f>IF($C1342="","",IF(IFERROR(INDEX(CONFIG!$K$4:$K$43,MATCH($S1342,CONFIG!$J$4:$J$43,0)),"NO")="SÍ",IF(OR($V1342="",$U1342=""),"Resuelta",IF($V1342&gt;$U1342,"Resuelta tarde","Resuelta a tiempo")),IF($U1342="","Sin clasificar",IF(TODAY()&gt;$U1342,"Vencida",IF(TODAY()&gt;=$U1342-1,"Por vencer","En plazo")))))</f>
        <v/>
      </c>
      <c r="Y1342" s="49" t="n"/>
      <c r="Z1342" s="49" t="n"/>
    </row>
    <row r="1343" ht="16" customHeight="1">
      <c r="A1343" s="27">
        <f>IF($C1343="","","N-"&amp;TEXT(ROW()-3,"0000"))</f>
        <v/>
      </c>
      <c r="B1343" s="46" t="n"/>
      <c r="C1343" s="47" t="n"/>
      <c r="D1343" s="27">
        <f>IF($C1343="","",IF(COUNTIFS(ENVIOS!$A$4:$A$3003,$C1343)=0,"NO EXISTE",IF(COUNTIFS(ENVIOS!$A$4:$A$3003,$C1343)&gt;1,"DUPLICADA","OK")))</f>
        <v/>
      </c>
      <c r="E1343" s="22">
        <f>IF($C1343="","",IFERROR(INDEX(ENVIOS!$C$4:$C$3003,MATCH($C1343,ENVIOS!$A$4:$A$3003,0)),"—"))</f>
        <v/>
      </c>
      <c r="F1343" s="22">
        <f>IF($C1343="","",IFERROR(INDEX(ENVIOS!$D$4:$D$3003,MATCH($C1343,ENVIOS!$A$4:$A$3003,0)),"—"))</f>
        <v/>
      </c>
      <c r="G1343" s="22">
        <f>IF($C1343="","",IFERROR(INDEX(ENVIOS!$E$4:$E$3003,MATCH($C1343,ENVIOS!$A$4:$A$3003,0)),"—"))</f>
        <v/>
      </c>
      <c r="H1343" s="22">
        <f>IF($C1343="","",IFERROR(INDEX(ENVIOS!$F$4:$F$3003,MATCH($C1343,ENVIOS!$A$4:$A$3003,0)),"—"))</f>
        <v/>
      </c>
      <c r="I1343" s="27">
        <f>IF($C1343="","",IFERROR(INDEX(ENVIOS!$G$4:$G$3003,MATCH($C1343,ENVIOS!$A$4:$A$3003,0)),"—"))</f>
        <v/>
      </c>
      <c r="J1343" s="48">
        <f>IF($C1343="","",IFERROR(INDEX(ENVIOS!$B$4:$B$3003,MATCH($C1343,ENVIOS!$A$4:$A$3003,0)),""))</f>
        <v/>
      </c>
      <c r="K1343" s="49" t="n"/>
      <c r="L1343" s="27">
        <f>IF($K1343="","",IFERROR(INDEX(CONFIG!$B$4:$B$43,MATCH($K1343,CONFIG!$A$4:$A$43,0)),"Media"))</f>
        <v/>
      </c>
      <c r="M1343" s="27">
        <f>IF($K1343="","",IFERROR(INDEX(CONFIG!$D$4:$D$43,MATCH($K1343,CONFIG!$A$4:$A$43,0)),"NO"))</f>
        <v/>
      </c>
      <c r="N1343" s="49" t="n"/>
      <c r="O1343" s="27">
        <f>IF($N1343="","",IFERROR(INDEX(CONFIG!$G$4:$G$43,MATCH($N1343,CONFIG!$F$4:$F$43,0)),"Por definir"))</f>
        <v/>
      </c>
      <c r="P1343" s="27">
        <f>IF($N1343="","",IFERROR(INDEX(CONFIG!$H$4:$H$43,MATCH($N1343,CONFIG!$F$4:$F$43,0)),"Por definir"))</f>
        <v/>
      </c>
      <c r="Q1343" s="50" t="n"/>
      <c r="R1343" s="51" t="n"/>
      <c r="S1343" s="49" t="n"/>
      <c r="T1343" s="49" t="n"/>
      <c r="U1343" s="48">
        <f>IF(OR($B1343="",$K1343=""),"",WORKDAY($B1343,IFERROR(INDEX(CONFIG!$C$4:$C$43,MATCH($K1343,CONFIG!$A$4:$A$43,0)),3)))</f>
        <v/>
      </c>
      <c r="V1343" s="46" t="n"/>
      <c r="W1343" s="23">
        <f>IF($B1343="","",IF($V1343&lt;&gt;"",$V1343-$B1343,TODAY()-$B1343))</f>
        <v/>
      </c>
      <c r="X1343" s="27">
        <f>IF($C1343="","",IF(IFERROR(INDEX(CONFIG!$K$4:$K$43,MATCH($S1343,CONFIG!$J$4:$J$43,0)),"NO")="SÍ",IF(OR($V1343="",$U1343=""),"Resuelta",IF($V1343&gt;$U1343,"Resuelta tarde","Resuelta a tiempo")),IF($U1343="","Sin clasificar",IF(TODAY()&gt;$U1343,"Vencida",IF(TODAY()&gt;=$U1343-1,"Por vencer","En plazo")))))</f>
        <v/>
      </c>
      <c r="Y1343" s="49" t="n"/>
      <c r="Z1343" s="49" t="n"/>
    </row>
    <row r="1344" ht="16" customHeight="1">
      <c r="A1344" s="27">
        <f>IF($C1344="","","N-"&amp;TEXT(ROW()-3,"0000"))</f>
        <v/>
      </c>
      <c r="B1344" s="46" t="n"/>
      <c r="C1344" s="47" t="n"/>
      <c r="D1344" s="27">
        <f>IF($C1344="","",IF(COUNTIFS(ENVIOS!$A$4:$A$3003,$C1344)=0,"NO EXISTE",IF(COUNTIFS(ENVIOS!$A$4:$A$3003,$C1344)&gt;1,"DUPLICADA","OK")))</f>
        <v/>
      </c>
      <c r="E1344" s="22">
        <f>IF($C1344="","",IFERROR(INDEX(ENVIOS!$C$4:$C$3003,MATCH($C1344,ENVIOS!$A$4:$A$3003,0)),"—"))</f>
        <v/>
      </c>
      <c r="F1344" s="22">
        <f>IF($C1344="","",IFERROR(INDEX(ENVIOS!$D$4:$D$3003,MATCH($C1344,ENVIOS!$A$4:$A$3003,0)),"—"))</f>
        <v/>
      </c>
      <c r="G1344" s="22">
        <f>IF($C1344="","",IFERROR(INDEX(ENVIOS!$E$4:$E$3003,MATCH($C1344,ENVIOS!$A$4:$A$3003,0)),"—"))</f>
        <v/>
      </c>
      <c r="H1344" s="22">
        <f>IF($C1344="","",IFERROR(INDEX(ENVIOS!$F$4:$F$3003,MATCH($C1344,ENVIOS!$A$4:$A$3003,0)),"—"))</f>
        <v/>
      </c>
      <c r="I1344" s="27">
        <f>IF($C1344="","",IFERROR(INDEX(ENVIOS!$G$4:$G$3003,MATCH($C1344,ENVIOS!$A$4:$A$3003,0)),"—"))</f>
        <v/>
      </c>
      <c r="J1344" s="48">
        <f>IF($C1344="","",IFERROR(INDEX(ENVIOS!$B$4:$B$3003,MATCH($C1344,ENVIOS!$A$4:$A$3003,0)),""))</f>
        <v/>
      </c>
      <c r="K1344" s="49" t="n"/>
      <c r="L1344" s="27">
        <f>IF($K1344="","",IFERROR(INDEX(CONFIG!$B$4:$B$43,MATCH($K1344,CONFIG!$A$4:$A$43,0)),"Media"))</f>
        <v/>
      </c>
      <c r="M1344" s="27">
        <f>IF($K1344="","",IFERROR(INDEX(CONFIG!$D$4:$D$43,MATCH($K1344,CONFIG!$A$4:$A$43,0)),"NO"))</f>
        <v/>
      </c>
      <c r="N1344" s="49" t="n"/>
      <c r="O1344" s="27">
        <f>IF($N1344="","",IFERROR(INDEX(CONFIG!$G$4:$G$43,MATCH($N1344,CONFIG!$F$4:$F$43,0)),"Por definir"))</f>
        <v/>
      </c>
      <c r="P1344" s="27">
        <f>IF($N1344="","",IFERROR(INDEX(CONFIG!$H$4:$H$43,MATCH($N1344,CONFIG!$F$4:$F$43,0)),"Por definir"))</f>
        <v/>
      </c>
      <c r="Q1344" s="50" t="n"/>
      <c r="R1344" s="51" t="n"/>
      <c r="S1344" s="49" t="n"/>
      <c r="T1344" s="49" t="n"/>
      <c r="U1344" s="48">
        <f>IF(OR($B1344="",$K1344=""),"",WORKDAY($B1344,IFERROR(INDEX(CONFIG!$C$4:$C$43,MATCH($K1344,CONFIG!$A$4:$A$43,0)),3)))</f>
        <v/>
      </c>
      <c r="V1344" s="46" t="n"/>
      <c r="W1344" s="23">
        <f>IF($B1344="","",IF($V1344&lt;&gt;"",$V1344-$B1344,TODAY()-$B1344))</f>
        <v/>
      </c>
      <c r="X1344" s="27">
        <f>IF($C1344="","",IF(IFERROR(INDEX(CONFIG!$K$4:$K$43,MATCH($S1344,CONFIG!$J$4:$J$43,0)),"NO")="SÍ",IF(OR($V1344="",$U1344=""),"Resuelta",IF($V1344&gt;$U1344,"Resuelta tarde","Resuelta a tiempo")),IF($U1344="","Sin clasificar",IF(TODAY()&gt;$U1344,"Vencida",IF(TODAY()&gt;=$U1344-1,"Por vencer","En plazo")))))</f>
        <v/>
      </c>
      <c r="Y1344" s="49" t="n"/>
      <c r="Z1344" s="49" t="n"/>
    </row>
    <row r="1345" ht="16" customHeight="1">
      <c r="A1345" s="27">
        <f>IF($C1345="","","N-"&amp;TEXT(ROW()-3,"0000"))</f>
        <v/>
      </c>
      <c r="B1345" s="46" t="n"/>
      <c r="C1345" s="47" t="n"/>
      <c r="D1345" s="27">
        <f>IF($C1345="","",IF(COUNTIFS(ENVIOS!$A$4:$A$3003,$C1345)=0,"NO EXISTE",IF(COUNTIFS(ENVIOS!$A$4:$A$3003,$C1345)&gt;1,"DUPLICADA","OK")))</f>
        <v/>
      </c>
      <c r="E1345" s="22">
        <f>IF($C1345="","",IFERROR(INDEX(ENVIOS!$C$4:$C$3003,MATCH($C1345,ENVIOS!$A$4:$A$3003,0)),"—"))</f>
        <v/>
      </c>
      <c r="F1345" s="22">
        <f>IF($C1345="","",IFERROR(INDEX(ENVIOS!$D$4:$D$3003,MATCH($C1345,ENVIOS!$A$4:$A$3003,0)),"—"))</f>
        <v/>
      </c>
      <c r="G1345" s="22">
        <f>IF($C1345="","",IFERROR(INDEX(ENVIOS!$E$4:$E$3003,MATCH($C1345,ENVIOS!$A$4:$A$3003,0)),"—"))</f>
        <v/>
      </c>
      <c r="H1345" s="22">
        <f>IF($C1345="","",IFERROR(INDEX(ENVIOS!$F$4:$F$3003,MATCH($C1345,ENVIOS!$A$4:$A$3003,0)),"—"))</f>
        <v/>
      </c>
      <c r="I1345" s="27">
        <f>IF($C1345="","",IFERROR(INDEX(ENVIOS!$G$4:$G$3003,MATCH($C1345,ENVIOS!$A$4:$A$3003,0)),"—"))</f>
        <v/>
      </c>
      <c r="J1345" s="48">
        <f>IF($C1345="","",IFERROR(INDEX(ENVIOS!$B$4:$B$3003,MATCH($C1345,ENVIOS!$A$4:$A$3003,0)),""))</f>
        <v/>
      </c>
      <c r="K1345" s="49" t="n"/>
      <c r="L1345" s="27">
        <f>IF($K1345="","",IFERROR(INDEX(CONFIG!$B$4:$B$43,MATCH($K1345,CONFIG!$A$4:$A$43,0)),"Media"))</f>
        <v/>
      </c>
      <c r="M1345" s="27">
        <f>IF($K1345="","",IFERROR(INDEX(CONFIG!$D$4:$D$43,MATCH($K1345,CONFIG!$A$4:$A$43,0)),"NO"))</f>
        <v/>
      </c>
      <c r="N1345" s="49" t="n"/>
      <c r="O1345" s="27">
        <f>IF($N1345="","",IFERROR(INDEX(CONFIG!$G$4:$G$43,MATCH($N1345,CONFIG!$F$4:$F$43,0)),"Por definir"))</f>
        <v/>
      </c>
      <c r="P1345" s="27">
        <f>IF($N1345="","",IFERROR(INDEX(CONFIG!$H$4:$H$43,MATCH($N1345,CONFIG!$F$4:$F$43,0)),"Por definir"))</f>
        <v/>
      </c>
      <c r="Q1345" s="50" t="n"/>
      <c r="R1345" s="51" t="n"/>
      <c r="S1345" s="49" t="n"/>
      <c r="T1345" s="49" t="n"/>
      <c r="U1345" s="48">
        <f>IF(OR($B1345="",$K1345=""),"",WORKDAY($B1345,IFERROR(INDEX(CONFIG!$C$4:$C$43,MATCH($K1345,CONFIG!$A$4:$A$43,0)),3)))</f>
        <v/>
      </c>
      <c r="V1345" s="46" t="n"/>
      <c r="W1345" s="23">
        <f>IF($B1345="","",IF($V1345&lt;&gt;"",$V1345-$B1345,TODAY()-$B1345))</f>
        <v/>
      </c>
      <c r="X1345" s="27">
        <f>IF($C1345="","",IF(IFERROR(INDEX(CONFIG!$K$4:$K$43,MATCH($S1345,CONFIG!$J$4:$J$43,0)),"NO")="SÍ",IF(OR($V1345="",$U1345=""),"Resuelta",IF($V1345&gt;$U1345,"Resuelta tarde","Resuelta a tiempo")),IF($U1345="","Sin clasificar",IF(TODAY()&gt;$U1345,"Vencida",IF(TODAY()&gt;=$U1345-1,"Por vencer","En plazo")))))</f>
        <v/>
      </c>
      <c r="Y1345" s="49" t="n"/>
      <c r="Z1345" s="49" t="n"/>
    </row>
    <row r="1346" ht="16" customHeight="1">
      <c r="A1346" s="27">
        <f>IF($C1346="","","N-"&amp;TEXT(ROW()-3,"0000"))</f>
        <v/>
      </c>
      <c r="B1346" s="46" t="n"/>
      <c r="C1346" s="47" t="n"/>
      <c r="D1346" s="27">
        <f>IF($C1346="","",IF(COUNTIFS(ENVIOS!$A$4:$A$3003,$C1346)=0,"NO EXISTE",IF(COUNTIFS(ENVIOS!$A$4:$A$3003,$C1346)&gt;1,"DUPLICADA","OK")))</f>
        <v/>
      </c>
      <c r="E1346" s="22">
        <f>IF($C1346="","",IFERROR(INDEX(ENVIOS!$C$4:$C$3003,MATCH($C1346,ENVIOS!$A$4:$A$3003,0)),"—"))</f>
        <v/>
      </c>
      <c r="F1346" s="22">
        <f>IF($C1346="","",IFERROR(INDEX(ENVIOS!$D$4:$D$3003,MATCH($C1346,ENVIOS!$A$4:$A$3003,0)),"—"))</f>
        <v/>
      </c>
      <c r="G1346" s="22">
        <f>IF($C1346="","",IFERROR(INDEX(ENVIOS!$E$4:$E$3003,MATCH($C1346,ENVIOS!$A$4:$A$3003,0)),"—"))</f>
        <v/>
      </c>
      <c r="H1346" s="22">
        <f>IF($C1346="","",IFERROR(INDEX(ENVIOS!$F$4:$F$3003,MATCH($C1346,ENVIOS!$A$4:$A$3003,0)),"—"))</f>
        <v/>
      </c>
      <c r="I1346" s="27">
        <f>IF($C1346="","",IFERROR(INDEX(ENVIOS!$G$4:$G$3003,MATCH($C1346,ENVIOS!$A$4:$A$3003,0)),"—"))</f>
        <v/>
      </c>
      <c r="J1346" s="48">
        <f>IF($C1346="","",IFERROR(INDEX(ENVIOS!$B$4:$B$3003,MATCH($C1346,ENVIOS!$A$4:$A$3003,0)),""))</f>
        <v/>
      </c>
      <c r="K1346" s="49" t="n"/>
      <c r="L1346" s="27">
        <f>IF($K1346="","",IFERROR(INDEX(CONFIG!$B$4:$B$43,MATCH($K1346,CONFIG!$A$4:$A$43,0)),"Media"))</f>
        <v/>
      </c>
      <c r="M1346" s="27">
        <f>IF($K1346="","",IFERROR(INDEX(CONFIG!$D$4:$D$43,MATCH($K1346,CONFIG!$A$4:$A$43,0)),"NO"))</f>
        <v/>
      </c>
      <c r="N1346" s="49" t="n"/>
      <c r="O1346" s="27">
        <f>IF($N1346="","",IFERROR(INDEX(CONFIG!$G$4:$G$43,MATCH($N1346,CONFIG!$F$4:$F$43,0)),"Por definir"))</f>
        <v/>
      </c>
      <c r="P1346" s="27">
        <f>IF($N1346="","",IFERROR(INDEX(CONFIG!$H$4:$H$43,MATCH($N1346,CONFIG!$F$4:$F$43,0)),"Por definir"))</f>
        <v/>
      </c>
      <c r="Q1346" s="50" t="n"/>
      <c r="R1346" s="51" t="n"/>
      <c r="S1346" s="49" t="n"/>
      <c r="T1346" s="49" t="n"/>
      <c r="U1346" s="48">
        <f>IF(OR($B1346="",$K1346=""),"",WORKDAY($B1346,IFERROR(INDEX(CONFIG!$C$4:$C$43,MATCH($K1346,CONFIG!$A$4:$A$43,0)),3)))</f>
        <v/>
      </c>
      <c r="V1346" s="46" t="n"/>
      <c r="W1346" s="23">
        <f>IF($B1346="","",IF($V1346&lt;&gt;"",$V1346-$B1346,TODAY()-$B1346))</f>
        <v/>
      </c>
      <c r="X1346" s="27">
        <f>IF($C1346="","",IF(IFERROR(INDEX(CONFIG!$K$4:$K$43,MATCH($S1346,CONFIG!$J$4:$J$43,0)),"NO")="SÍ",IF(OR($V1346="",$U1346=""),"Resuelta",IF($V1346&gt;$U1346,"Resuelta tarde","Resuelta a tiempo")),IF($U1346="","Sin clasificar",IF(TODAY()&gt;$U1346,"Vencida",IF(TODAY()&gt;=$U1346-1,"Por vencer","En plazo")))))</f>
        <v/>
      </c>
      <c r="Y1346" s="49" t="n"/>
      <c r="Z1346" s="49" t="n"/>
    </row>
    <row r="1347" ht="16" customHeight="1">
      <c r="A1347" s="27">
        <f>IF($C1347="","","N-"&amp;TEXT(ROW()-3,"0000"))</f>
        <v/>
      </c>
      <c r="B1347" s="46" t="n"/>
      <c r="C1347" s="47" t="n"/>
      <c r="D1347" s="27">
        <f>IF($C1347="","",IF(COUNTIFS(ENVIOS!$A$4:$A$3003,$C1347)=0,"NO EXISTE",IF(COUNTIFS(ENVIOS!$A$4:$A$3003,$C1347)&gt;1,"DUPLICADA","OK")))</f>
        <v/>
      </c>
      <c r="E1347" s="22">
        <f>IF($C1347="","",IFERROR(INDEX(ENVIOS!$C$4:$C$3003,MATCH($C1347,ENVIOS!$A$4:$A$3003,0)),"—"))</f>
        <v/>
      </c>
      <c r="F1347" s="22">
        <f>IF($C1347="","",IFERROR(INDEX(ENVIOS!$D$4:$D$3003,MATCH($C1347,ENVIOS!$A$4:$A$3003,0)),"—"))</f>
        <v/>
      </c>
      <c r="G1347" s="22">
        <f>IF($C1347="","",IFERROR(INDEX(ENVIOS!$E$4:$E$3003,MATCH($C1347,ENVIOS!$A$4:$A$3003,0)),"—"))</f>
        <v/>
      </c>
      <c r="H1347" s="22">
        <f>IF($C1347="","",IFERROR(INDEX(ENVIOS!$F$4:$F$3003,MATCH($C1347,ENVIOS!$A$4:$A$3003,0)),"—"))</f>
        <v/>
      </c>
      <c r="I1347" s="27">
        <f>IF($C1347="","",IFERROR(INDEX(ENVIOS!$G$4:$G$3003,MATCH($C1347,ENVIOS!$A$4:$A$3003,0)),"—"))</f>
        <v/>
      </c>
      <c r="J1347" s="48">
        <f>IF($C1347="","",IFERROR(INDEX(ENVIOS!$B$4:$B$3003,MATCH($C1347,ENVIOS!$A$4:$A$3003,0)),""))</f>
        <v/>
      </c>
      <c r="K1347" s="49" t="n"/>
      <c r="L1347" s="27">
        <f>IF($K1347="","",IFERROR(INDEX(CONFIG!$B$4:$B$43,MATCH($K1347,CONFIG!$A$4:$A$43,0)),"Media"))</f>
        <v/>
      </c>
      <c r="M1347" s="27">
        <f>IF($K1347="","",IFERROR(INDEX(CONFIG!$D$4:$D$43,MATCH($K1347,CONFIG!$A$4:$A$43,0)),"NO"))</f>
        <v/>
      </c>
      <c r="N1347" s="49" t="n"/>
      <c r="O1347" s="27">
        <f>IF($N1347="","",IFERROR(INDEX(CONFIG!$G$4:$G$43,MATCH($N1347,CONFIG!$F$4:$F$43,0)),"Por definir"))</f>
        <v/>
      </c>
      <c r="P1347" s="27">
        <f>IF($N1347="","",IFERROR(INDEX(CONFIG!$H$4:$H$43,MATCH($N1347,CONFIG!$F$4:$F$43,0)),"Por definir"))</f>
        <v/>
      </c>
      <c r="Q1347" s="50" t="n"/>
      <c r="R1347" s="51" t="n"/>
      <c r="S1347" s="49" t="n"/>
      <c r="T1347" s="49" t="n"/>
      <c r="U1347" s="48">
        <f>IF(OR($B1347="",$K1347=""),"",WORKDAY($B1347,IFERROR(INDEX(CONFIG!$C$4:$C$43,MATCH($K1347,CONFIG!$A$4:$A$43,0)),3)))</f>
        <v/>
      </c>
      <c r="V1347" s="46" t="n"/>
      <c r="W1347" s="23">
        <f>IF($B1347="","",IF($V1347&lt;&gt;"",$V1347-$B1347,TODAY()-$B1347))</f>
        <v/>
      </c>
      <c r="X1347" s="27">
        <f>IF($C1347="","",IF(IFERROR(INDEX(CONFIG!$K$4:$K$43,MATCH($S1347,CONFIG!$J$4:$J$43,0)),"NO")="SÍ",IF(OR($V1347="",$U1347=""),"Resuelta",IF($V1347&gt;$U1347,"Resuelta tarde","Resuelta a tiempo")),IF($U1347="","Sin clasificar",IF(TODAY()&gt;$U1347,"Vencida",IF(TODAY()&gt;=$U1347-1,"Por vencer","En plazo")))))</f>
        <v/>
      </c>
      <c r="Y1347" s="49" t="n"/>
      <c r="Z1347" s="49" t="n"/>
    </row>
    <row r="1348" ht="16" customHeight="1">
      <c r="A1348" s="27">
        <f>IF($C1348="","","N-"&amp;TEXT(ROW()-3,"0000"))</f>
        <v/>
      </c>
      <c r="B1348" s="46" t="n"/>
      <c r="C1348" s="47" t="n"/>
      <c r="D1348" s="27">
        <f>IF($C1348="","",IF(COUNTIFS(ENVIOS!$A$4:$A$3003,$C1348)=0,"NO EXISTE",IF(COUNTIFS(ENVIOS!$A$4:$A$3003,$C1348)&gt;1,"DUPLICADA","OK")))</f>
        <v/>
      </c>
      <c r="E1348" s="22">
        <f>IF($C1348="","",IFERROR(INDEX(ENVIOS!$C$4:$C$3003,MATCH($C1348,ENVIOS!$A$4:$A$3003,0)),"—"))</f>
        <v/>
      </c>
      <c r="F1348" s="22">
        <f>IF($C1348="","",IFERROR(INDEX(ENVIOS!$D$4:$D$3003,MATCH($C1348,ENVIOS!$A$4:$A$3003,0)),"—"))</f>
        <v/>
      </c>
      <c r="G1348" s="22">
        <f>IF($C1348="","",IFERROR(INDEX(ENVIOS!$E$4:$E$3003,MATCH($C1348,ENVIOS!$A$4:$A$3003,0)),"—"))</f>
        <v/>
      </c>
      <c r="H1348" s="22">
        <f>IF($C1348="","",IFERROR(INDEX(ENVIOS!$F$4:$F$3003,MATCH($C1348,ENVIOS!$A$4:$A$3003,0)),"—"))</f>
        <v/>
      </c>
      <c r="I1348" s="27">
        <f>IF($C1348="","",IFERROR(INDEX(ENVIOS!$G$4:$G$3003,MATCH($C1348,ENVIOS!$A$4:$A$3003,0)),"—"))</f>
        <v/>
      </c>
      <c r="J1348" s="48">
        <f>IF($C1348="","",IFERROR(INDEX(ENVIOS!$B$4:$B$3003,MATCH($C1348,ENVIOS!$A$4:$A$3003,0)),""))</f>
        <v/>
      </c>
      <c r="K1348" s="49" t="n"/>
      <c r="L1348" s="27">
        <f>IF($K1348="","",IFERROR(INDEX(CONFIG!$B$4:$B$43,MATCH($K1348,CONFIG!$A$4:$A$43,0)),"Media"))</f>
        <v/>
      </c>
      <c r="M1348" s="27">
        <f>IF($K1348="","",IFERROR(INDEX(CONFIG!$D$4:$D$43,MATCH($K1348,CONFIG!$A$4:$A$43,0)),"NO"))</f>
        <v/>
      </c>
      <c r="N1348" s="49" t="n"/>
      <c r="O1348" s="27">
        <f>IF($N1348="","",IFERROR(INDEX(CONFIG!$G$4:$G$43,MATCH($N1348,CONFIG!$F$4:$F$43,0)),"Por definir"))</f>
        <v/>
      </c>
      <c r="P1348" s="27">
        <f>IF($N1348="","",IFERROR(INDEX(CONFIG!$H$4:$H$43,MATCH($N1348,CONFIG!$F$4:$F$43,0)),"Por definir"))</f>
        <v/>
      </c>
      <c r="Q1348" s="50" t="n"/>
      <c r="R1348" s="51" t="n"/>
      <c r="S1348" s="49" t="n"/>
      <c r="T1348" s="49" t="n"/>
      <c r="U1348" s="48">
        <f>IF(OR($B1348="",$K1348=""),"",WORKDAY($B1348,IFERROR(INDEX(CONFIG!$C$4:$C$43,MATCH($K1348,CONFIG!$A$4:$A$43,0)),3)))</f>
        <v/>
      </c>
      <c r="V1348" s="46" t="n"/>
      <c r="W1348" s="23">
        <f>IF($B1348="","",IF($V1348&lt;&gt;"",$V1348-$B1348,TODAY()-$B1348))</f>
        <v/>
      </c>
      <c r="X1348" s="27">
        <f>IF($C1348="","",IF(IFERROR(INDEX(CONFIG!$K$4:$K$43,MATCH($S1348,CONFIG!$J$4:$J$43,0)),"NO")="SÍ",IF(OR($V1348="",$U1348=""),"Resuelta",IF($V1348&gt;$U1348,"Resuelta tarde","Resuelta a tiempo")),IF($U1348="","Sin clasificar",IF(TODAY()&gt;$U1348,"Vencida",IF(TODAY()&gt;=$U1348-1,"Por vencer","En plazo")))))</f>
        <v/>
      </c>
      <c r="Y1348" s="49" t="n"/>
      <c r="Z1348" s="49" t="n"/>
    </row>
    <row r="1349" ht="16" customHeight="1">
      <c r="A1349" s="27">
        <f>IF($C1349="","","N-"&amp;TEXT(ROW()-3,"0000"))</f>
        <v/>
      </c>
      <c r="B1349" s="46" t="n"/>
      <c r="C1349" s="47" t="n"/>
      <c r="D1349" s="27">
        <f>IF($C1349="","",IF(COUNTIFS(ENVIOS!$A$4:$A$3003,$C1349)=0,"NO EXISTE",IF(COUNTIFS(ENVIOS!$A$4:$A$3003,$C1349)&gt;1,"DUPLICADA","OK")))</f>
        <v/>
      </c>
      <c r="E1349" s="22">
        <f>IF($C1349="","",IFERROR(INDEX(ENVIOS!$C$4:$C$3003,MATCH($C1349,ENVIOS!$A$4:$A$3003,0)),"—"))</f>
        <v/>
      </c>
      <c r="F1349" s="22">
        <f>IF($C1349="","",IFERROR(INDEX(ENVIOS!$D$4:$D$3003,MATCH($C1349,ENVIOS!$A$4:$A$3003,0)),"—"))</f>
        <v/>
      </c>
      <c r="G1349" s="22">
        <f>IF($C1349="","",IFERROR(INDEX(ENVIOS!$E$4:$E$3003,MATCH($C1349,ENVIOS!$A$4:$A$3003,0)),"—"))</f>
        <v/>
      </c>
      <c r="H1349" s="22">
        <f>IF($C1349="","",IFERROR(INDEX(ENVIOS!$F$4:$F$3003,MATCH($C1349,ENVIOS!$A$4:$A$3003,0)),"—"))</f>
        <v/>
      </c>
      <c r="I1349" s="27">
        <f>IF($C1349="","",IFERROR(INDEX(ENVIOS!$G$4:$G$3003,MATCH($C1349,ENVIOS!$A$4:$A$3003,0)),"—"))</f>
        <v/>
      </c>
      <c r="J1349" s="48">
        <f>IF($C1349="","",IFERROR(INDEX(ENVIOS!$B$4:$B$3003,MATCH($C1349,ENVIOS!$A$4:$A$3003,0)),""))</f>
        <v/>
      </c>
      <c r="K1349" s="49" t="n"/>
      <c r="L1349" s="27">
        <f>IF($K1349="","",IFERROR(INDEX(CONFIG!$B$4:$B$43,MATCH($K1349,CONFIG!$A$4:$A$43,0)),"Media"))</f>
        <v/>
      </c>
      <c r="M1349" s="27">
        <f>IF($K1349="","",IFERROR(INDEX(CONFIG!$D$4:$D$43,MATCH($K1349,CONFIG!$A$4:$A$43,0)),"NO"))</f>
        <v/>
      </c>
      <c r="N1349" s="49" t="n"/>
      <c r="O1349" s="27">
        <f>IF($N1349="","",IFERROR(INDEX(CONFIG!$G$4:$G$43,MATCH($N1349,CONFIG!$F$4:$F$43,0)),"Por definir"))</f>
        <v/>
      </c>
      <c r="P1349" s="27">
        <f>IF($N1349="","",IFERROR(INDEX(CONFIG!$H$4:$H$43,MATCH($N1349,CONFIG!$F$4:$F$43,0)),"Por definir"))</f>
        <v/>
      </c>
      <c r="Q1349" s="50" t="n"/>
      <c r="R1349" s="51" t="n"/>
      <c r="S1349" s="49" t="n"/>
      <c r="T1349" s="49" t="n"/>
      <c r="U1349" s="48">
        <f>IF(OR($B1349="",$K1349=""),"",WORKDAY($B1349,IFERROR(INDEX(CONFIG!$C$4:$C$43,MATCH($K1349,CONFIG!$A$4:$A$43,0)),3)))</f>
        <v/>
      </c>
      <c r="V1349" s="46" t="n"/>
      <c r="W1349" s="23">
        <f>IF($B1349="","",IF($V1349&lt;&gt;"",$V1349-$B1349,TODAY()-$B1349))</f>
        <v/>
      </c>
      <c r="X1349" s="27">
        <f>IF($C1349="","",IF(IFERROR(INDEX(CONFIG!$K$4:$K$43,MATCH($S1349,CONFIG!$J$4:$J$43,0)),"NO")="SÍ",IF(OR($V1349="",$U1349=""),"Resuelta",IF($V1349&gt;$U1349,"Resuelta tarde","Resuelta a tiempo")),IF($U1349="","Sin clasificar",IF(TODAY()&gt;$U1349,"Vencida",IF(TODAY()&gt;=$U1349-1,"Por vencer","En plazo")))))</f>
        <v/>
      </c>
      <c r="Y1349" s="49" t="n"/>
      <c r="Z1349" s="49" t="n"/>
    </row>
    <row r="1350" ht="16" customHeight="1">
      <c r="A1350" s="27">
        <f>IF($C1350="","","N-"&amp;TEXT(ROW()-3,"0000"))</f>
        <v/>
      </c>
      <c r="B1350" s="46" t="n"/>
      <c r="C1350" s="47" t="n"/>
      <c r="D1350" s="27">
        <f>IF($C1350="","",IF(COUNTIFS(ENVIOS!$A$4:$A$3003,$C1350)=0,"NO EXISTE",IF(COUNTIFS(ENVIOS!$A$4:$A$3003,$C1350)&gt;1,"DUPLICADA","OK")))</f>
        <v/>
      </c>
      <c r="E1350" s="22">
        <f>IF($C1350="","",IFERROR(INDEX(ENVIOS!$C$4:$C$3003,MATCH($C1350,ENVIOS!$A$4:$A$3003,0)),"—"))</f>
        <v/>
      </c>
      <c r="F1350" s="22">
        <f>IF($C1350="","",IFERROR(INDEX(ENVIOS!$D$4:$D$3003,MATCH($C1350,ENVIOS!$A$4:$A$3003,0)),"—"))</f>
        <v/>
      </c>
      <c r="G1350" s="22">
        <f>IF($C1350="","",IFERROR(INDEX(ENVIOS!$E$4:$E$3003,MATCH($C1350,ENVIOS!$A$4:$A$3003,0)),"—"))</f>
        <v/>
      </c>
      <c r="H1350" s="22">
        <f>IF($C1350="","",IFERROR(INDEX(ENVIOS!$F$4:$F$3003,MATCH($C1350,ENVIOS!$A$4:$A$3003,0)),"—"))</f>
        <v/>
      </c>
      <c r="I1350" s="27">
        <f>IF($C1350="","",IFERROR(INDEX(ENVIOS!$G$4:$G$3003,MATCH($C1350,ENVIOS!$A$4:$A$3003,0)),"—"))</f>
        <v/>
      </c>
      <c r="J1350" s="48">
        <f>IF($C1350="","",IFERROR(INDEX(ENVIOS!$B$4:$B$3003,MATCH($C1350,ENVIOS!$A$4:$A$3003,0)),""))</f>
        <v/>
      </c>
      <c r="K1350" s="49" t="n"/>
      <c r="L1350" s="27">
        <f>IF($K1350="","",IFERROR(INDEX(CONFIG!$B$4:$B$43,MATCH($K1350,CONFIG!$A$4:$A$43,0)),"Media"))</f>
        <v/>
      </c>
      <c r="M1350" s="27">
        <f>IF($K1350="","",IFERROR(INDEX(CONFIG!$D$4:$D$43,MATCH($K1350,CONFIG!$A$4:$A$43,0)),"NO"))</f>
        <v/>
      </c>
      <c r="N1350" s="49" t="n"/>
      <c r="O1350" s="27">
        <f>IF($N1350="","",IFERROR(INDEX(CONFIG!$G$4:$G$43,MATCH($N1350,CONFIG!$F$4:$F$43,0)),"Por definir"))</f>
        <v/>
      </c>
      <c r="P1350" s="27">
        <f>IF($N1350="","",IFERROR(INDEX(CONFIG!$H$4:$H$43,MATCH($N1350,CONFIG!$F$4:$F$43,0)),"Por definir"))</f>
        <v/>
      </c>
      <c r="Q1350" s="50" t="n"/>
      <c r="R1350" s="51" t="n"/>
      <c r="S1350" s="49" t="n"/>
      <c r="T1350" s="49" t="n"/>
      <c r="U1350" s="48">
        <f>IF(OR($B1350="",$K1350=""),"",WORKDAY($B1350,IFERROR(INDEX(CONFIG!$C$4:$C$43,MATCH($K1350,CONFIG!$A$4:$A$43,0)),3)))</f>
        <v/>
      </c>
      <c r="V1350" s="46" t="n"/>
      <c r="W1350" s="23">
        <f>IF($B1350="","",IF($V1350&lt;&gt;"",$V1350-$B1350,TODAY()-$B1350))</f>
        <v/>
      </c>
      <c r="X1350" s="27">
        <f>IF($C1350="","",IF(IFERROR(INDEX(CONFIG!$K$4:$K$43,MATCH($S1350,CONFIG!$J$4:$J$43,0)),"NO")="SÍ",IF(OR($V1350="",$U1350=""),"Resuelta",IF($V1350&gt;$U1350,"Resuelta tarde","Resuelta a tiempo")),IF($U1350="","Sin clasificar",IF(TODAY()&gt;$U1350,"Vencida",IF(TODAY()&gt;=$U1350-1,"Por vencer","En plazo")))))</f>
        <v/>
      </c>
      <c r="Y1350" s="49" t="n"/>
      <c r="Z1350" s="49" t="n"/>
    </row>
    <row r="1351" ht="16" customHeight="1">
      <c r="A1351" s="27">
        <f>IF($C1351="","","N-"&amp;TEXT(ROW()-3,"0000"))</f>
        <v/>
      </c>
      <c r="B1351" s="46" t="n"/>
      <c r="C1351" s="47" t="n"/>
      <c r="D1351" s="27">
        <f>IF($C1351="","",IF(COUNTIFS(ENVIOS!$A$4:$A$3003,$C1351)=0,"NO EXISTE",IF(COUNTIFS(ENVIOS!$A$4:$A$3003,$C1351)&gt;1,"DUPLICADA","OK")))</f>
        <v/>
      </c>
      <c r="E1351" s="22">
        <f>IF($C1351="","",IFERROR(INDEX(ENVIOS!$C$4:$C$3003,MATCH($C1351,ENVIOS!$A$4:$A$3003,0)),"—"))</f>
        <v/>
      </c>
      <c r="F1351" s="22">
        <f>IF($C1351="","",IFERROR(INDEX(ENVIOS!$D$4:$D$3003,MATCH($C1351,ENVIOS!$A$4:$A$3003,0)),"—"))</f>
        <v/>
      </c>
      <c r="G1351" s="22">
        <f>IF($C1351="","",IFERROR(INDEX(ENVIOS!$E$4:$E$3003,MATCH($C1351,ENVIOS!$A$4:$A$3003,0)),"—"))</f>
        <v/>
      </c>
      <c r="H1351" s="22">
        <f>IF($C1351="","",IFERROR(INDEX(ENVIOS!$F$4:$F$3003,MATCH($C1351,ENVIOS!$A$4:$A$3003,0)),"—"))</f>
        <v/>
      </c>
      <c r="I1351" s="27">
        <f>IF($C1351="","",IFERROR(INDEX(ENVIOS!$G$4:$G$3003,MATCH($C1351,ENVIOS!$A$4:$A$3003,0)),"—"))</f>
        <v/>
      </c>
      <c r="J1351" s="48">
        <f>IF($C1351="","",IFERROR(INDEX(ENVIOS!$B$4:$B$3003,MATCH($C1351,ENVIOS!$A$4:$A$3003,0)),""))</f>
        <v/>
      </c>
      <c r="K1351" s="49" t="n"/>
      <c r="L1351" s="27">
        <f>IF($K1351="","",IFERROR(INDEX(CONFIG!$B$4:$B$43,MATCH($K1351,CONFIG!$A$4:$A$43,0)),"Media"))</f>
        <v/>
      </c>
      <c r="M1351" s="27">
        <f>IF($K1351="","",IFERROR(INDEX(CONFIG!$D$4:$D$43,MATCH($K1351,CONFIG!$A$4:$A$43,0)),"NO"))</f>
        <v/>
      </c>
      <c r="N1351" s="49" t="n"/>
      <c r="O1351" s="27">
        <f>IF($N1351="","",IFERROR(INDEX(CONFIG!$G$4:$G$43,MATCH($N1351,CONFIG!$F$4:$F$43,0)),"Por definir"))</f>
        <v/>
      </c>
      <c r="P1351" s="27">
        <f>IF($N1351="","",IFERROR(INDEX(CONFIG!$H$4:$H$43,MATCH($N1351,CONFIG!$F$4:$F$43,0)),"Por definir"))</f>
        <v/>
      </c>
      <c r="Q1351" s="50" t="n"/>
      <c r="R1351" s="51" t="n"/>
      <c r="S1351" s="49" t="n"/>
      <c r="T1351" s="49" t="n"/>
      <c r="U1351" s="48">
        <f>IF(OR($B1351="",$K1351=""),"",WORKDAY($B1351,IFERROR(INDEX(CONFIG!$C$4:$C$43,MATCH($K1351,CONFIG!$A$4:$A$43,0)),3)))</f>
        <v/>
      </c>
      <c r="V1351" s="46" t="n"/>
      <c r="W1351" s="23">
        <f>IF($B1351="","",IF($V1351&lt;&gt;"",$V1351-$B1351,TODAY()-$B1351))</f>
        <v/>
      </c>
      <c r="X1351" s="27">
        <f>IF($C1351="","",IF(IFERROR(INDEX(CONFIG!$K$4:$K$43,MATCH($S1351,CONFIG!$J$4:$J$43,0)),"NO")="SÍ",IF(OR($V1351="",$U1351=""),"Resuelta",IF($V1351&gt;$U1351,"Resuelta tarde","Resuelta a tiempo")),IF($U1351="","Sin clasificar",IF(TODAY()&gt;$U1351,"Vencida",IF(TODAY()&gt;=$U1351-1,"Por vencer","En plazo")))))</f>
        <v/>
      </c>
      <c r="Y1351" s="49" t="n"/>
      <c r="Z1351" s="49" t="n"/>
    </row>
    <row r="1352" ht="16" customHeight="1">
      <c r="A1352" s="27">
        <f>IF($C1352="","","N-"&amp;TEXT(ROW()-3,"0000"))</f>
        <v/>
      </c>
      <c r="B1352" s="46" t="n"/>
      <c r="C1352" s="47" t="n"/>
      <c r="D1352" s="27">
        <f>IF($C1352="","",IF(COUNTIFS(ENVIOS!$A$4:$A$3003,$C1352)=0,"NO EXISTE",IF(COUNTIFS(ENVIOS!$A$4:$A$3003,$C1352)&gt;1,"DUPLICADA","OK")))</f>
        <v/>
      </c>
      <c r="E1352" s="22">
        <f>IF($C1352="","",IFERROR(INDEX(ENVIOS!$C$4:$C$3003,MATCH($C1352,ENVIOS!$A$4:$A$3003,0)),"—"))</f>
        <v/>
      </c>
      <c r="F1352" s="22">
        <f>IF($C1352="","",IFERROR(INDEX(ENVIOS!$D$4:$D$3003,MATCH($C1352,ENVIOS!$A$4:$A$3003,0)),"—"))</f>
        <v/>
      </c>
      <c r="G1352" s="22">
        <f>IF($C1352="","",IFERROR(INDEX(ENVIOS!$E$4:$E$3003,MATCH($C1352,ENVIOS!$A$4:$A$3003,0)),"—"))</f>
        <v/>
      </c>
      <c r="H1352" s="22">
        <f>IF($C1352="","",IFERROR(INDEX(ENVIOS!$F$4:$F$3003,MATCH($C1352,ENVIOS!$A$4:$A$3003,0)),"—"))</f>
        <v/>
      </c>
      <c r="I1352" s="27">
        <f>IF($C1352="","",IFERROR(INDEX(ENVIOS!$G$4:$G$3003,MATCH($C1352,ENVIOS!$A$4:$A$3003,0)),"—"))</f>
        <v/>
      </c>
      <c r="J1352" s="48">
        <f>IF($C1352="","",IFERROR(INDEX(ENVIOS!$B$4:$B$3003,MATCH($C1352,ENVIOS!$A$4:$A$3003,0)),""))</f>
        <v/>
      </c>
      <c r="K1352" s="49" t="n"/>
      <c r="L1352" s="27">
        <f>IF($K1352="","",IFERROR(INDEX(CONFIG!$B$4:$B$43,MATCH($K1352,CONFIG!$A$4:$A$43,0)),"Media"))</f>
        <v/>
      </c>
      <c r="M1352" s="27">
        <f>IF($K1352="","",IFERROR(INDEX(CONFIG!$D$4:$D$43,MATCH($K1352,CONFIG!$A$4:$A$43,0)),"NO"))</f>
        <v/>
      </c>
      <c r="N1352" s="49" t="n"/>
      <c r="O1352" s="27">
        <f>IF($N1352="","",IFERROR(INDEX(CONFIG!$G$4:$G$43,MATCH($N1352,CONFIG!$F$4:$F$43,0)),"Por definir"))</f>
        <v/>
      </c>
      <c r="P1352" s="27">
        <f>IF($N1352="","",IFERROR(INDEX(CONFIG!$H$4:$H$43,MATCH($N1352,CONFIG!$F$4:$F$43,0)),"Por definir"))</f>
        <v/>
      </c>
      <c r="Q1352" s="50" t="n"/>
      <c r="R1352" s="51" t="n"/>
      <c r="S1352" s="49" t="n"/>
      <c r="T1352" s="49" t="n"/>
      <c r="U1352" s="48">
        <f>IF(OR($B1352="",$K1352=""),"",WORKDAY($B1352,IFERROR(INDEX(CONFIG!$C$4:$C$43,MATCH($K1352,CONFIG!$A$4:$A$43,0)),3)))</f>
        <v/>
      </c>
      <c r="V1352" s="46" t="n"/>
      <c r="W1352" s="23">
        <f>IF($B1352="","",IF($V1352&lt;&gt;"",$V1352-$B1352,TODAY()-$B1352))</f>
        <v/>
      </c>
      <c r="X1352" s="27">
        <f>IF($C1352="","",IF(IFERROR(INDEX(CONFIG!$K$4:$K$43,MATCH($S1352,CONFIG!$J$4:$J$43,0)),"NO")="SÍ",IF(OR($V1352="",$U1352=""),"Resuelta",IF($V1352&gt;$U1352,"Resuelta tarde","Resuelta a tiempo")),IF($U1352="","Sin clasificar",IF(TODAY()&gt;$U1352,"Vencida",IF(TODAY()&gt;=$U1352-1,"Por vencer","En plazo")))))</f>
        <v/>
      </c>
      <c r="Y1352" s="49" t="n"/>
      <c r="Z1352" s="49" t="n"/>
    </row>
    <row r="1353" ht="16" customHeight="1">
      <c r="A1353" s="27">
        <f>IF($C1353="","","N-"&amp;TEXT(ROW()-3,"0000"))</f>
        <v/>
      </c>
      <c r="B1353" s="46" t="n"/>
      <c r="C1353" s="47" t="n"/>
      <c r="D1353" s="27">
        <f>IF($C1353="","",IF(COUNTIFS(ENVIOS!$A$4:$A$3003,$C1353)=0,"NO EXISTE",IF(COUNTIFS(ENVIOS!$A$4:$A$3003,$C1353)&gt;1,"DUPLICADA","OK")))</f>
        <v/>
      </c>
      <c r="E1353" s="22">
        <f>IF($C1353="","",IFERROR(INDEX(ENVIOS!$C$4:$C$3003,MATCH($C1353,ENVIOS!$A$4:$A$3003,0)),"—"))</f>
        <v/>
      </c>
      <c r="F1353" s="22">
        <f>IF($C1353="","",IFERROR(INDEX(ENVIOS!$D$4:$D$3003,MATCH($C1353,ENVIOS!$A$4:$A$3003,0)),"—"))</f>
        <v/>
      </c>
      <c r="G1353" s="22">
        <f>IF($C1353="","",IFERROR(INDEX(ENVIOS!$E$4:$E$3003,MATCH($C1353,ENVIOS!$A$4:$A$3003,0)),"—"))</f>
        <v/>
      </c>
      <c r="H1353" s="22">
        <f>IF($C1353="","",IFERROR(INDEX(ENVIOS!$F$4:$F$3003,MATCH($C1353,ENVIOS!$A$4:$A$3003,0)),"—"))</f>
        <v/>
      </c>
      <c r="I1353" s="27">
        <f>IF($C1353="","",IFERROR(INDEX(ENVIOS!$G$4:$G$3003,MATCH($C1353,ENVIOS!$A$4:$A$3003,0)),"—"))</f>
        <v/>
      </c>
      <c r="J1353" s="48">
        <f>IF($C1353="","",IFERROR(INDEX(ENVIOS!$B$4:$B$3003,MATCH($C1353,ENVIOS!$A$4:$A$3003,0)),""))</f>
        <v/>
      </c>
      <c r="K1353" s="49" t="n"/>
      <c r="L1353" s="27">
        <f>IF($K1353="","",IFERROR(INDEX(CONFIG!$B$4:$B$43,MATCH($K1353,CONFIG!$A$4:$A$43,0)),"Media"))</f>
        <v/>
      </c>
      <c r="M1353" s="27">
        <f>IF($K1353="","",IFERROR(INDEX(CONFIG!$D$4:$D$43,MATCH($K1353,CONFIG!$A$4:$A$43,0)),"NO"))</f>
        <v/>
      </c>
      <c r="N1353" s="49" t="n"/>
      <c r="O1353" s="27">
        <f>IF($N1353="","",IFERROR(INDEX(CONFIG!$G$4:$G$43,MATCH($N1353,CONFIG!$F$4:$F$43,0)),"Por definir"))</f>
        <v/>
      </c>
      <c r="P1353" s="27">
        <f>IF($N1353="","",IFERROR(INDEX(CONFIG!$H$4:$H$43,MATCH($N1353,CONFIG!$F$4:$F$43,0)),"Por definir"))</f>
        <v/>
      </c>
      <c r="Q1353" s="50" t="n"/>
      <c r="R1353" s="51" t="n"/>
      <c r="S1353" s="49" t="n"/>
      <c r="T1353" s="49" t="n"/>
      <c r="U1353" s="48">
        <f>IF(OR($B1353="",$K1353=""),"",WORKDAY($B1353,IFERROR(INDEX(CONFIG!$C$4:$C$43,MATCH($K1353,CONFIG!$A$4:$A$43,0)),3)))</f>
        <v/>
      </c>
      <c r="V1353" s="46" t="n"/>
      <c r="W1353" s="23">
        <f>IF($B1353="","",IF($V1353&lt;&gt;"",$V1353-$B1353,TODAY()-$B1353))</f>
        <v/>
      </c>
      <c r="X1353" s="27">
        <f>IF($C1353="","",IF(IFERROR(INDEX(CONFIG!$K$4:$K$43,MATCH($S1353,CONFIG!$J$4:$J$43,0)),"NO")="SÍ",IF(OR($V1353="",$U1353=""),"Resuelta",IF($V1353&gt;$U1353,"Resuelta tarde","Resuelta a tiempo")),IF($U1353="","Sin clasificar",IF(TODAY()&gt;$U1353,"Vencida",IF(TODAY()&gt;=$U1353-1,"Por vencer","En plazo")))))</f>
        <v/>
      </c>
      <c r="Y1353" s="49" t="n"/>
      <c r="Z1353" s="49" t="n"/>
    </row>
    <row r="1354" ht="16" customHeight="1">
      <c r="A1354" s="27">
        <f>IF($C1354="","","N-"&amp;TEXT(ROW()-3,"0000"))</f>
        <v/>
      </c>
      <c r="B1354" s="46" t="n"/>
      <c r="C1354" s="47" t="n"/>
      <c r="D1354" s="27">
        <f>IF($C1354="","",IF(COUNTIFS(ENVIOS!$A$4:$A$3003,$C1354)=0,"NO EXISTE",IF(COUNTIFS(ENVIOS!$A$4:$A$3003,$C1354)&gt;1,"DUPLICADA","OK")))</f>
        <v/>
      </c>
      <c r="E1354" s="22">
        <f>IF($C1354="","",IFERROR(INDEX(ENVIOS!$C$4:$C$3003,MATCH($C1354,ENVIOS!$A$4:$A$3003,0)),"—"))</f>
        <v/>
      </c>
      <c r="F1354" s="22">
        <f>IF($C1354="","",IFERROR(INDEX(ENVIOS!$D$4:$D$3003,MATCH($C1354,ENVIOS!$A$4:$A$3003,0)),"—"))</f>
        <v/>
      </c>
      <c r="G1354" s="22">
        <f>IF($C1354="","",IFERROR(INDEX(ENVIOS!$E$4:$E$3003,MATCH($C1354,ENVIOS!$A$4:$A$3003,0)),"—"))</f>
        <v/>
      </c>
      <c r="H1354" s="22">
        <f>IF($C1354="","",IFERROR(INDEX(ENVIOS!$F$4:$F$3003,MATCH($C1354,ENVIOS!$A$4:$A$3003,0)),"—"))</f>
        <v/>
      </c>
      <c r="I1354" s="27">
        <f>IF($C1354="","",IFERROR(INDEX(ENVIOS!$G$4:$G$3003,MATCH($C1354,ENVIOS!$A$4:$A$3003,0)),"—"))</f>
        <v/>
      </c>
      <c r="J1354" s="48">
        <f>IF($C1354="","",IFERROR(INDEX(ENVIOS!$B$4:$B$3003,MATCH($C1354,ENVIOS!$A$4:$A$3003,0)),""))</f>
        <v/>
      </c>
      <c r="K1354" s="49" t="n"/>
      <c r="L1354" s="27">
        <f>IF($K1354="","",IFERROR(INDEX(CONFIG!$B$4:$B$43,MATCH($K1354,CONFIG!$A$4:$A$43,0)),"Media"))</f>
        <v/>
      </c>
      <c r="M1354" s="27">
        <f>IF($K1354="","",IFERROR(INDEX(CONFIG!$D$4:$D$43,MATCH($K1354,CONFIG!$A$4:$A$43,0)),"NO"))</f>
        <v/>
      </c>
      <c r="N1354" s="49" t="n"/>
      <c r="O1354" s="27">
        <f>IF($N1354="","",IFERROR(INDEX(CONFIG!$G$4:$G$43,MATCH($N1354,CONFIG!$F$4:$F$43,0)),"Por definir"))</f>
        <v/>
      </c>
      <c r="P1354" s="27">
        <f>IF($N1354="","",IFERROR(INDEX(CONFIG!$H$4:$H$43,MATCH($N1354,CONFIG!$F$4:$F$43,0)),"Por definir"))</f>
        <v/>
      </c>
      <c r="Q1354" s="50" t="n"/>
      <c r="R1354" s="51" t="n"/>
      <c r="S1354" s="49" t="n"/>
      <c r="T1354" s="49" t="n"/>
      <c r="U1354" s="48">
        <f>IF(OR($B1354="",$K1354=""),"",WORKDAY($B1354,IFERROR(INDEX(CONFIG!$C$4:$C$43,MATCH($K1354,CONFIG!$A$4:$A$43,0)),3)))</f>
        <v/>
      </c>
      <c r="V1354" s="46" t="n"/>
      <c r="W1354" s="23">
        <f>IF($B1354="","",IF($V1354&lt;&gt;"",$V1354-$B1354,TODAY()-$B1354))</f>
        <v/>
      </c>
      <c r="X1354" s="27">
        <f>IF($C1354="","",IF(IFERROR(INDEX(CONFIG!$K$4:$K$43,MATCH($S1354,CONFIG!$J$4:$J$43,0)),"NO")="SÍ",IF(OR($V1354="",$U1354=""),"Resuelta",IF($V1354&gt;$U1354,"Resuelta tarde","Resuelta a tiempo")),IF($U1354="","Sin clasificar",IF(TODAY()&gt;$U1354,"Vencida",IF(TODAY()&gt;=$U1354-1,"Por vencer","En plazo")))))</f>
        <v/>
      </c>
      <c r="Y1354" s="49" t="n"/>
      <c r="Z1354" s="49" t="n"/>
    </row>
    <row r="1355" ht="16" customHeight="1">
      <c r="A1355" s="27">
        <f>IF($C1355="","","N-"&amp;TEXT(ROW()-3,"0000"))</f>
        <v/>
      </c>
      <c r="B1355" s="46" t="n"/>
      <c r="C1355" s="47" t="n"/>
      <c r="D1355" s="27">
        <f>IF($C1355="","",IF(COUNTIFS(ENVIOS!$A$4:$A$3003,$C1355)=0,"NO EXISTE",IF(COUNTIFS(ENVIOS!$A$4:$A$3003,$C1355)&gt;1,"DUPLICADA","OK")))</f>
        <v/>
      </c>
      <c r="E1355" s="22">
        <f>IF($C1355="","",IFERROR(INDEX(ENVIOS!$C$4:$C$3003,MATCH($C1355,ENVIOS!$A$4:$A$3003,0)),"—"))</f>
        <v/>
      </c>
      <c r="F1355" s="22">
        <f>IF($C1355="","",IFERROR(INDEX(ENVIOS!$D$4:$D$3003,MATCH($C1355,ENVIOS!$A$4:$A$3003,0)),"—"))</f>
        <v/>
      </c>
      <c r="G1355" s="22">
        <f>IF($C1355="","",IFERROR(INDEX(ENVIOS!$E$4:$E$3003,MATCH($C1355,ENVIOS!$A$4:$A$3003,0)),"—"))</f>
        <v/>
      </c>
      <c r="H1355" s="22">
        <f>IF($C1355="","",IFERROR(INDEX(ENVIOS!$F$4:$F$3003,MATCH($C1355,ENVIOS!$A$4:$A$3003,0)),"—"))</f>
        <v/>
      </c>
      <c r="I1355" s="27">
        <f>IF($C1355="","",IFERROR(INDEX(ENVIOS!$G$4:$G$3003,MATCH($C1355,ENVIOS!$A$4:$A$3003,0)),"—"))</f>
        <v/>
      </c>
      <c r="J1355" s="48">
        <f>IF($C1355="","",IFERROR(INDEX(ENVIOS!$B$4:$B$3003,MATCH($C1355,ENVIOS!$A$4:$A$3003,0)),""))</f>
        <v/>
      </c>
      <c r="K1355" s="49" t="n"/>
      <c r="L1355" s="27">
        <f>IF($K1355="","",IFERROR(INDEX(CONFIG!$B$4:$B$43,MATCH($K1355,CONFIG!$A$4:$A$43,0)),"Media"))</f>
        <v/>
      </c>
      <c r="M1355" s="27">
        <f>IF($K1355="","",IFERROR(INDEX(CONFIG!$D$4:$D$43,MATCH($K1355,CONFIG!$A$4:$A$43,0)),"NO"))</f>
        <v/>
      </c>
      <c r="N1355" s="49" t="n"/>
      <c r="O1355" s="27">
        <f>IF($N1355="","",IFERROR(INDEX(CONFIG!$G$4:$G$43,MATCH($N1355,CONFIG!$F$4:$F$43,0)),"Por definir"))</f>
        <v/>
      </c>
      <c r="P1355" s="27">
        <f>IF($N1355="","",IFERROR(INDEX(CONFIG!$H$4:$H$43,MATCH($N1355,CONFIG!$F$4:$F$43,0)),"Por definir"))</f>
        <v/>
      </c>
      <c r="Q1355" s="50" t="n"/>
      <c r="R1355" s="51" t="n"/>
      <c r="S1355" s="49" t="n"/>
      <c r="T1355" s="49" t="n"/>
      <c r="U1355" s="48">
        <f>IF(OR($B1355="",$K1355=""),"",WORKDAY($B1355,IFERROR(INDEX(CONFIG!$C$4:$C$43,MATCH($K1355,CONFIG!$A$4:$A$43,0)),3)))</f>
        <v/>
      </c>
      <c r="V1355" s="46" t="n"/>
      <c r="W1355" s="23">
        <f>IF($B1355="","",IF($V1355&lt;&gt;"",$V1355-$B1355,TODAY()-$B1355))</f>
        <v/>
      </c>
      <c r="X1355" s="27">
        <f>IF($C1355="","",IF(IFERROR(INDEX(CONFIG!$K$4:$K$43,MATCH($S1355,CONFIG!$J$4:$J$43,0)),"NO")="SÍ",IF(OR($V1355="",$U1355=""),"Resuelta",IF($V1355&gt;$U1355,"Resuelta tarde","Resuelta a tiempo")),IF($U1355="","Sin clasificar",IF(TODAY()&gt;$U1355,"Vencida",IF(TODAY()&gt;=$U1355-1,"Por vencer","En plazo")))))</f>
        <v/>
      </c>
      <c r="Y1355" s="49" t="n"/>
      <c r="Z1355" s="49" t="n"/>
    </row>
    <row r="1356" ht="16" customHeight="1">
      <c r="A1356" s="27">
        <f>IF($C1356="","","N-"&amp;TEXT(ROW()-3,"0000"))</f>
        <v/>
      </c>
      <c r="B1356" s="46" t="n"/>
      <c r="C1356" s="47" t="n"/>
      <c r="D1356" s="27">
        <f>IF($C1356="","",IF(COUNTIFS(ENVIOS!$A$4:$A$3003,$C1356)=0,"NO EXISTE",IF(COUNTIFS(ENVIOS!$A$4:$A$3003,$C1356)&gt;1,"DUPLICADA","OK")))</f>
        <v/>
      </c>
      <c r="E1356" s="22">
        <f>IF($C1356="","",IFERROR(INDEX(ENVIOS!$C$4:$C$3003,MATCH($C1356,ENVIOS!$A$4:$A$3003,0)),"—"))</f>
        <v/>
      </c>
      <c r="F1356" s="22">
        <f>IF($C1356="","",IFERROR(INDEX(ENVIOS!$D$4:$D$3003,MATCH($C1356,ENVIOS!$A$4:$A$3003,0)),"—"))</f>
        <v/>
      </c>
      <c r="G1356" s="22">
        <f>IF($C1356="","",IFERROR(INDEX(ENVIOS!$E$4:$E$3003,MATCH($C1356,ENVIOS!$A$4:$A$3003,0)),"—"))</f>
        <v/>
      </c>
      <c r="H1356" s="22">
        <f>IF($C1356="","",IFERROR(INDEX(ENVIOS!$F$4:$F$3003,MATCH($C1356,ENVIOS!$A$4:$A$3003,0)),"—"))</f>
        <v/>
      </c>
      <c r="I1356" s="27">
        <f>IF($C1356="","",IFERROR(INDEX(ENVIOS!$G$4:$G$3003,MATCH($C1356,ENVIOS!$A$4:$A$3003,0)),"—"))</f>
        <v/>
      </c>
      <c r="J1356" s="48">
        <f>IF($C1356="","",IFERROR(INDEX(ENVIOS!$B$4:$B$3003,MATCH($C1356,ENVIOS!$A$4:$A$3003,0)),""))</f>
        <v/>
      </c>
      <c r="K1356" s="49" t="n"/>
      <c r="L1356" s="27">
        <f>IF($K1356="","",IFERROR(INDEX(CONFIG!$B$4:$B$43,MATCH($K1356,CONFIG!$A$4:$A$43,0)),"Media"))</f>
        <v/>
      </c>
      <c r="M1356" s="27">
        <f>IF($K1356="","",IFERROR(INDEX(CONFIG!$D$4:$D$43,MATCH($K1356,CONFIG!$A$4:$A$43,0)),"NO"))</f>
        <v/>
      </c>
      <c r="N1356" s="49" t="n"/>
      <c r="O1356" s="27">
        <f>IF($N1356="","",IFERROR(INDEX(CONFIG!$G$4:$G$43,MATCH($N1356,CONFIG!$F$4:$F$43,0)),"Por definir"))</f>
        <v/>
      </c>
      <c r="P1356" s="27">
        <f>IF($N1356="","",IFERROR(INDEX(CONFIG!$H$4:$H$43,MATCH($N1356,CONFIG!$F$4:$F$43,0)),"Por definir"))</f>
        <v/>
      </c>
      <c r="Q1356" s="50" t="n"/>
      <c r="R1356" s="51" t="n"/>
      <c r="S1356" s="49" t="n"/>
      <c r="T1356" s="49" t="n"/>
      <c r="U1356" s="48">
        <f>IF(OR($B1356="",$K1356=""),"",WORKDAY($B1356,IFERROR(INDEX(CONFIG!$C$4:$C$43,MATCH($K1356,CONFIG!$A$4:$A$43,0)),3)))</f>
        <v/>
      </c>
      <c r="V1356" s="46" t="n"/>
      <c r="W1356" s="23">
        <f>IF($B1356="","",IF($V1356&lt;&gt;"",$V1356-$B1356,TODAY()-$B1356))</f>
        <v/>
      </c>
      <c r="X1356" s="27">
        <f>IF($C1356="","",IF(IFERROR(INDEX(CONFIG!$K$4:$K$43,MATCH($S1356,CONFIG!$J$4:$J$43,0)),"NO")="SÍ",IF(OR($V1356="",$U1356=""),"Resuelta",IF($V1356&gt;$U1356,"Resuelta tarde","Resuelta a tiempo")),IF($U1356="","Sin clasificar",IF(TODAY()&gt;$U1356,"Vencida",IF(TODAY()&gt;=$U1356-1,"Por vencer","En plazo")))))</f>
        <v/>
      </c>
      <c r="Y1356" s="49" t="n"/>
      <c r="Z1356" s="49" t="n"/>
    </row>
    <row r="1357" ht="16" customHeight="1">
      <c r="A1357" s="27">
        <f>IF($C1357="","","N-"&amp;TEXT(ROW()-3,"0000"))</f>
        <v/>
      </c>
      <c r="B1357" s="46" t="n"/>
      <c r="C1357" s="47" t="n"/>
      <c r="D1357" s="27">
        <f>IF($C1357="","",IF(COUNTIFS(ENVIOS!$A$4:$A$3003,$C1357)=0,"NO EXISTE",IF(COUNTIFS(ENVIOS!$A$4:$A$3003,$C1357)&gt;1,"DUPLICADA","OK")))</f>
        <v/>
      </c>
      <c r="E1357" s="22">
        <f>IF($C1357="","",IFERROR(INDEX(ENVIOS!$C$4:$C$3003,MATCH($C1357,ENVIOS!$A$4:$A$3003,0)),"—"))</f>
        <v/>
      </c>
      <c r="F1357" s="22">
        <f>IF($C1357="","",IFERROR(INDEX(ENVIOS!$D$4:$D$3003,MATCH($C1357,ENVIOS!$A$4:$A$3003,0)),"—"))</f>
        <v/>
      </c>
      <c r="G1357" s="22">
        <f>IF($C1357="","",IFERROR(INDEX(ENVIOS!$E$4:$E$3003,MATCH($C1357,ENVIOS!$A$4:$A$3003,0)),"—"))</f>
        <v/>
      </c>
      <c r="H1357" s="22">
        <f>IF($C1357="","",IFERROR(INDEX(ENVIOS!$F$4:$F$3003,MATCH($C1357,ENVIOS!$A$4:$A$3003,0)),"—"))</f>
        <v/>
      </c>
      <c r="I1357" s="27">
        <f>IF($C1357="","",IFERROR(INDEX(ENVIOS!$G$4:$G$3003,MATCH($C1357,ENVIOS!$A$4:$A$3003,0)),"—"))</f>
        <v/>
      </c>
      <c r="J1357" s="48">
        <f>IF($C1357="","",IFERROR(INDEX(ENVIOS!$B$4:$B$3003,MATCH($C1357,ENVIOS!$A$4:$A$3003,0)),""))</f>
        <v/>
      </c>
      <c r="K1357" s="49" t="n"/>
      <c r="L1357" s="27">
        <f>IF($K1357="","",IFERROR(INDEX(CONFIG!$B$4:$B$43,MATCH($K1357,CONFIG!$A$4:$A$43,0)),"Media"))</f>
        <v/>
      </c>
      <c r="M1357" s="27">
        <f>IF($K1357="","",IFERROR(INDEX(CONFIG!$D$4:$D$43,MATCH($K1357,CONFIG!$A$4:$A$43,0)),"NO"))</f>
        <v/>
      </c>
      <c r="N1357" s="49" t="n"/>
      <c r="O1357" s="27">
        <f>IF($N1357="","",IFERROR(INDEX(CONFIG!$G$4:$G$43,MATCH($N1357,CONFIG!$F$4:$F$43,0)),"Por definir"))</f>
        <v/>
      </c>
      <c r="P1357" s="27">
        <f>IF($N1357="","",IFERROR(INDEX(CONFIG!$H$4:$H$43,MATCH($N1357,CONFIG!$F$4:$F$43,0)),"Por definir"))</f>
        <v/>
      </c>
      <c r="Q1357" s="50" t="n"/>
      <c r="R1357" s="51" t="n"/>
      <c r="S1357" s="49" t="n"/>
      <c r="T1357" s="49" t="n"/>
      <c r="U1357" s="48">
        <f>IF(OR($B1357="",$K1357=""),"",WORKDAY($B1357,IFERROR(INDEX(CONFIG!$C$4:$C$43,MATCH($K1357,CONFIG!$A$4:$A$43,0)),3)))</f>
        <v/>
      </c>
      <c r="V1357" s="46" t="n"/>
      <c r="W1357" s="23">
        <f>IF($B1357="","",IF($V1357&lt;&gt;"",$V1357-$B1357,TODAY()-$B1357))</f>
        <v/>
      </c>
      <c r="X1357" s="27">
        <f>IF($C1357="","",IF(IFERROR(INDEX(CONFIG!$K$4:$K$43,MATCH($S1357,CONFIG!$J$4:$J$43,0)),"NO")="SÍ",IF(OR($V1357="",$U1357=""),"Resuelta",IF($V1357&gt;$U1357,"Resuelta tarde","Resuelta a tiempo")),IF($U1357="","Sin clasificar",IF(TODAY()&gt;$U1357,"Vencida",IF(TODAY()&gt;=$U1357-1,"Por vencer","En plazo")))))</f>
        <v/>
      </c>
      <c r="Y1357" s="49" t="n"/>
      <c r="Z1357" s="49" t="n"/>
    </row>
    <row r="1358" ht="16" customHeight="1">
      <c r="A1358" s="27">
        <f>IF($C1358="","","N-"&amp;TEXT(ROW()-3,"0000"))</f>
        <v/>
      </c>
      <c r="B1358" s="46" t="n"/>
      <c r="C1358" s="47" t="n"/>
      <c r="D1358" s="27">
        <f>IF($C1358="","",IF(COUNTIFS(ENVIOS!$A$4:$A$3003,$C1358)=0,"NO EXISTE",IF(COUNTIFS(ENVIOS!$A$4:$A$3003,$C1358)&gt;1,"DUPLICADA","OK")))</f>
        <v/>
      </c>
      <c r="E1358" s="22">
        <f>IF($C1358="","",IFERROR(INDEX(ENVIOS!$C$4:$C$3003,MATCH($C1358,ENVIOS!$A$4:$A$3003,0)),"—"))</f>
        <v/>
      </c>
      <c r="F1358" s="22">
        <f>IF($C1358="","",IFERROR(INDEX(ENVIOS!$D$4:$D$3003,MATCH($C1358,ENVIOS!$A$4:$A$3003,0)),"—"))</f>
        <v/>
      </c>
      <c r="G1358" s="22">
        <f>IF($C1358="","",IFERROR(INDEX(ENVIOS!$E$4:$E$3003,MATCH($C1358,ENVIOS!$A$4:$A$3003,0)),"—"))</f>
        <v/>
      </c>
      <c r="H1358" s="22">
        <f>IF($C1358="","",IFERROR(INDEX(ENVIOS!$F$4:$F$3003,MATCH($C1358,ENVIOS!$A$4:$A$3003,0)),"—"))</f>
        <v/>
      </c>
      <c r="I1358" s="27">
        <f>IF($C1358="","",IFERROR(INDEX(ENVIOS!$G$4:$G$3003,MATCH($C1358,ENVIOS!$A$4:$A$3003,0)),"—"))</f>
        <v/>
      </c>
      <c r="J1358" s="48">
        <f>IF($C1358="","",IFERROR(INDEX(ENVIOS!$B$4:$B$3003,MATCH($C1358,ENVIOS!$A$4:$A$3003,0)),""))</f>
        <v/>
      </c>
      <c r="K1358" s="49" t="n"/>
      <c r="L1358" s="27">
        <f>IF($K1358="","",IFERROR(INDEX(CONFIG!$B$4:$B$43,MATCH($K1358,CONFIG!$A$4:$A$43,0)),"Media"))</f>
        <v/>
      </c>
      <c r="M1358" s="27">
        <f>IF($K1358="","",IFERROR(INDEX(CONFIG!$D$4:$D$43,MATCH($K1358,CONFIG!$A$4:$A$43,0)),"NO"))</f>
        <v/>
      </c>
      <c r="N1358" s="49" t="n"/>
      <c r="O1358" s="27">
        <f>IF($N1358="","",IFERROR(INDEX(CONFIG!$G$4:$G$43,MATCH($N1358,CONFIG!$F$4:$F$43,0)),"Por definir"))</f>
        <v/>
      </c>
      <c r="P1358" s="27">
        <f>IF($N1358="","",IFERROR(INDEX(CONFIG!$H$4:$H$43,MATCH($N1358,CONFIG!$F$4:$F$43,0)),"Por definir"))</f>
        <v/>
      </c>
      <c r="Q1358" s="50" t="n"/>
      <c r="R1358" s="51" t="n"/>
      <c r="S1358" s="49" t="n"/>
      <c r="T1358" s="49" t="n"/>
      <c r="U1358" s="48">
        <f>IF(OR($B1358="",$K1358=""),"",WORKDAY($B1358,IFERROR(INDEX(CONFIG!$C$4:$C$43,MATCH($K1358,CONFIG!$A$4:$A$43,0)),3)))</f>
        <v/>
      </c>
      <c r="V1358" s="46" t="n"/>
      <c r="W1358" s="23">
        <f>IF($B1358="","",IF($V1358&lt;&gt;"",$V1358-$B1358,TODAY()-$B1358))</f>
        <v/>
      </c>
      <c r="X1358" s="27">
        <f>IF($C1358="","",IF(IFERROR(INDEX(CONFIG!$K$4:$K$43,MATCH($S1358,CONFIG!$J$4:$J$43,0)),"NO")="SÍ",IF(OR($V1358="",$U1358=""),"Resuelta",IF($V1358&gt;$U1358,"Resuelta tarde","Resuelta a tiempo")),IF($U1358="","Sin clasificar",IF(TODAY()&gt;$U1358,"Vencida",IF(TODAY()&gt;=$U1358-1,"Por vencer","En plazo")))))</f>
        <v/>
      </c>
      <c r="Y1358" s="49" t="n"/>
      <c r="Z1358" s="49" t="n"/>
    </row>
    <row r="1359" ht="16" customHeight="1">
      <c r="A1359" s="27">
        <f>IF($C1359="","","N-"&amp;TEXT(ROW()-3,"0000"))</f>
        <v/>
      </c>
      <c r="B1359" s="46" t="n"/>
      <c r="C1359" s="47" t="n"/>
      <c r="D1359" s="27">
        <f>IF($C1359="","",IF(COUNTIFS(ENVIOS!$A$4:$A$3003,$C1359)=0,"NO EXISTE",IF(COUNTIFS(ENVIOS!$A$4:$A$3003,$C1359)&gt;1,"DUPLICADA","OK")))</f>
        <v/>
      </c>
      <c r="E1359" s="22">
        <f>IF($C1359="","",IFERROR(INDEX(ENVIOS!$C$4:$C$3003,MATCH($C1359,ENVIOS!$A$4:$A$3003,0)),"—"))</f>
        <v/>
      </c>
      <c r="F1359" s="22">
        <f>IF($C1359="","",IFERROR(INDEX(ENVIOS!$D$4:$D$3003,MATCH($C1359,ENVIOS!$A$4:$A$3003,0)),"—"))</f>
        <v/>
      </c>
      <c r="G1359" s="22">
        <f>IF($C1359="","",IFERROR(INDEX(ENVIOS!$E$4:$E$3003,MATCH($C1359,ENVIOS!$A$4:$A$3003,0)),"—"))</f>
        <v/>
      </c>
      <c r="H1359" s="22">
        <f>IF($C1359="","",IFERROR(INDEX(ENVIOS!$F$4:$F$3003,MATCH($C1359,ENVIOS!$A$4:$A$3003,0)),"—"))</f>
        <v/>
      </c>
      <c r="I1359" s="27">
        <f>IF($C1359="","",IFERROR(INDEX(ENVIOS!$G$4:$G$3003,MATCH($C1359,ENVIOS!$A$4:$A$3003,0)),"—"))</f>
        <v/>
      </c>
      <c r="J1359" s="48">
        <f>IF($C1359="","",IFERROR(INDEX(ENVIOS!$B$4:$B$3003,MATCH($C1359,ENVIOS!$A$4:$A$3003,0)),""))</f>
        <v/>
      </c>
      <c r="K1359" s="49" t="n"/>
      <c r="L1359" s="27">
        <f>IF($K1359="","",IFERROR(INDEX(CONFIG!$B$4:$B$43,MATCH($K1359,CONFIG!$A$4:$A$43,0)),"Media"))</f>
        <v/>
      </c>
      <c r="M1359" s="27">
        <f>IF($K1359="","",IFERROR(INDEX(CONFIG!$D$4:$D$43,MATCH($K1359,CONFIG!$A$4:$A$43,0)),"NO"))</f>
        <v/>
      </c>
      <c r="N1359" s="49" t="n"/>
      <c r="O1359" s="27">
        <f>IF($N1359="","",IFERROR(INDEX(CONFIG!$G$4:$G$43,MATCH($N1359,CONFIG!$F$4:$F$43,0)),"Por definir"))</f>
        <v/>
      </c>
      <c r="P1359" s="27">
        <f>IF($N1359="","",IFERROR(INDEX(CONFIG!$H$4:$H$43,MATCH($N1359,CONFIG!$F$4:$F$43,0)),"Por definir"))</f>
        <v/>
      </c>
      <c r="Q1359" s="50" t="n"/>
      <c r="R1359" s="51" t="n"/>
      <c r="S1359" s="49" t="n"/>
      <c r="T1359" s="49" t="n"/>
      <c r="U1359" s="48">
        <f>IF(OR($B1359="",$K1359=""),"",WORKDAY($B1359,IFERROR(INDEX(CONFIG!$C$4:$C$43,MATCH($K1359,CONFIG!$A$4:$A$43,0)),3)))</f>
        <v/>
      </c>
      <c r="V1359" s="46" t="n"/>
      <c r="W1359" s="23">
        <f>IF($B1359="","",IF($V1359&lt;&gt;"",$V1359-$B1359,TODAY()-$B1359))</f>
        <v/>
      </c>
      <c r="X1359" s="27">
        <f>IF($C1359="","",IF(IFERROR(INDEX(CONFIG!$K$4:$K$43,MATCH($S1359,CONFIG!$J$4:$J$43,0)),"NO")="SÍ",IF(OR($V1359="",$U1359=""),"Resuelta",IF($V1359&gt;$U1359,"Resuelta tarde","Resuelta a tiempo")),IF($U1359="","Sin clasificar",IF(TODAY()&gt;$U1359,"Vencida",IF(TODAY()&gt;=$U1359-1,"Por vencer","En plazo")))))</f>
        <v/>
      </c>
      <c r="Y1359" s="49" t="n"/>
      <c r="Z1359" s="49" t="n"/>
    </row>
    <row r="1360" ht="16" customHeight="1">
      <c r="A1360" s="27">
        <f>IF($C1360="","","N-"&amp;TEXT(ROW()-3,"0000"))</f>
        <v/>
      </c>
      <c r="B1360" s="46" t="n"/>
      <c r="C1360" s="47" t="n"/>
      <c r="D1360" s="27">
        <f>IF($C1360="","",IF(COUNTIFS(ENVIOS!$A$4:$A$3003,$C1360)=0,"NO EXISTE",IF(COUNTIFS(ENVIOS!$A$4:$A$3003,$C1360)&gt;1,"DUPLICADA","OK")))</f>
        <v/>
      </c>
      <c r="E1360" s="22">
        <f>IF($C1360="","",IFERROR(INDEX(ENVIOS!$C$4:$C$3003,MATCH($C1360,ENVIOS!$A$4:$A$3003,0)),"—"))</f>
        <v/>
      </c>
      <c r="F1360" s="22">
        <f>IF($C1360="","",IFERROR(INDEX(ENVIOS!$D$4:$D$3003,MATCH($C1360,ENVIOS!$A$4:$A$3003,0)),"—"))</f>
        <v/>
      </c>
      <c r="G1360" s="22">
        <f>IF($C1360="","",IFERROR(INDEX(ENVIOS!$E$4:$E$3003,MATCH($C1360,ENVIOS!$A$4:$A$3003,0)),"—"))</f>
        <v/>
      </c>
      <c r="H1360" s="22">
        <f>IF($C1360="","",IFERROR(INDEX(ENVIOS!$F$4:$F$3003,MATCH($C1360,ENVIOS!$A$4:$A$3003,0)),"—"))</f>
        <v/>
      </c>
      <c r="I1360" s="27">
        <f>IF($C1360="","",IFERROR(INDEX(ENVIOS!$G$4:$G$3003,MATCH($C1360,ENVIOS!$A$4:$A$3003,0)),"—"))</f>
        <v/>
      </c>
      <c r="J1360" s="48">
        <f>IF($C1360="","",IFERROR(INDEX(ENVIOS!$B$4:$B$3003,MATCH($C1360,ENVIOS!$A$4:$A$3003,0)),""))</f>
        <v/>
      </c>
      <c r="K1360" s="49" t="n"/>
      <c r="L1360" s="27">
        <f>IF($K1360="","",IFERROR(INDEX(CONFIG!$B$4:$B$43,MATCH($K1360,CONFIG!$A$4:$A$43,0)),"Media"))</f>
        <v/>
      </c>
      <c r="M1360" s="27">
        <f>IF($K1360="","",IFERROR(INDEX(CONFIG!$D$4:$D$43,MATCH($K1360,CONFIG!$A$4:$A$43,0)),"NO"))</f>
        <v/>
      </c>
      <c r="N1360" s="49" t="n"/>
      <c r="O1360" s="27">
        <f>IF($N1360="","",IFERROR(INDEX(CONFIG!$G$4:$G$43,MATCH($N1360,CONFIG!$F$4:$F$43,0)),"Por definir"))</f>
        <v/>
      </c>
      <c r="P1360" s="27">
        <f>IF($N1360="","",IFERROR(INDEX(CONFIG!$H$4:$H$43,MATCH($N1360,CONFIG!$F$4:$F$43,0)),"Por definir"))</f>
        <v/>
      </c>
      <c r="Q1360" s="50" t="n"/>
      <c r="R1360" s="51" t="n"/>
      <c r="S1360" s="49" t="n"/>
      <c r="T1360" s="49" t="n"/>
      <c r="U1360" s="48">
        <f>IF(OR($B1360="",$K1360=""),"",WORKDAY($B1360,IFERROR(INDEX(CONFIG!$C$4:$C$43,MATCH($K1360,CONFIG!$A$4:$A$43,0)),3)))</f>
        <v/>
      </c>
      <c r="V1360" s="46" t="n"/>
      <c r="W1360" s="23">
        <f>IF($B1360="","",IF($V1360&lt;&gt;"",$V1360-$B1360,TODAY()-$B1360))</f>
        <v/>
      </c>
      <c r="X1360" s="27">
        <f>IF($C1360="","",IF(IFERROR(INDEX(CONFIG!$K$4:$K$43,MATCH($S1360,CONFIG!$J$4:$J$43,0)),"NO")="SÍ",IF(OR($V1360="",$U1360=""),"Resuelta",IF($V1360&gt;$U1360,"Resuelta tarde","Resuelta a tiempo")),IF($U1360="","Sin clasificar",IF(TODAY()&gt;$U1360,"Vencida",IF(TODAY()&gt;=$U1360-1,"Por vencer","En plazo")))))</f>
        <v/>
      </c>
      <c r="Y1360" s="49" t="n"/>
      <c r="Z1360" s="49" t="n"/>
    </row>
    <row r="1361" ht="16" customHeight="1">
      <c r="A1361" s="27">
        <f>IF($C1361="","","N-"&amp;TEXT(ROW()-3,"0000"))</f>
        <v/>
      </c>
      <c r="B1361" s="46" t="n"/>
      <c r="C1361" s="47" t="n"/>
      <c r="D1361" s="27">
        <f>IF($C1361="","",IF(COUNTIFS(ENVIOS!$A$4:$A$3003,$C1361)=0,"NO EXISTE",IF(COUNTIFS(ENVIOS!$A$4:$A$3003,$C1361)&gt;1,"DUPLICADA","OK")))</f>
        <v/>
      </c>
      <c r="E1361" s="22">
        <f>IF($C1361="","",IFERROR(INDEX(ENVIOS!$C$4:$C$3003,MATCH($C1361,ENVIOS!$A$4:$A$3003,0)),"—"))</f>
        <v/>
      </c>
      <c r="F1361" s="22">
        <f>IF($C1361="","",IFERROR(INDEX(ENVIOS!$D$4:$D$3003,MATCH($C1361,ENVIOS!$A$4:$A$3003,0)),"—"))</f>
        <v/>
      </c>
      <c r="G1361" s="22">
        <f>IF($C1361="","",IFERROR(INDEX(ENVIOS!$E$4:$E$3003,MATCH($C1361,ENVIOS!$A$4:$A$3003,0)),"—"))</f>
        <v/>
      </c>
      <c r="H1361" s="22">
        <f>IF($C1361="","",IFERROR(INDEX(ENVIOS!$F$4:$F$3003,MATCH($C1361,ENVIOS!$A$4:$A$3003,0)),"—"))</f>
        <v/>
      </c>
      <c r="I1361" s="27">
        <f>IF($C1361="","",IFERROR(INDEX(ENVIOS!$G$4:$G$3003,MATCH($C1361,ENVIOS!$A$4:$A$3003,0)),"—"))</f>
        <v/>
      </c>
      <c r="J1361" s="48">
        <f>IF($C1361="","",IFERROR(INDEX(ENVIOS!$B$4:$B$3003,MATCH($C1361,ENVIOS!$A$4:$A$3003,0)),""))</f>
        <v/>
      </c>
      <c r="K1361" s="49" t="n"/>
      <c r="L1361" s="27">
        <f>IF($K1361="","",IFERROR(INDEX(CONFIG!$B$4:$B$43,MATCH($K1361,CONFIG!$A$4:$A$43,0)),"Media"))</f>
        <v/>
      </c>
      <c r="M1361" s="27">
        <f>IF($K1361="","",IFERROR(INDEX(CONFIG!$D$4:$D$43,MATCH($K1361,CONFIG!$A$4:$A$43,0)),"NO"))</f>
        <v/>
      </c>
      <c r="N1361" s="49" t="n"/>
      <c r="O1361" s="27">
        <f>IF($N1361="","",IFERROR(INDEX(CONFIG!$G$4:$G$43,MATCH($N1361,CONFIG!$F$4:$F$43,0)),"Por definir"))</f>
        <v/>
      </c>
      <c r="P1361" s="27">
        <f>IF($N1361="","",IFERROR(INDEX(CONFIG!$H$4:$H$43,MATCH($N1361,CONFIG!$F$4:$F$43,0)),"Por definir"))</f>
        <v/>
      </c>
      <c r="Q1361" s="50" t="n"/>
      <c r="R1361" s="51" t="n"/>
      <c r="S1361" s="49" t="n"/>
      <c r="T1361" s="49" t="n"/>
      <c r="U1361" s="48">
        <f>IF(OR($B1361="",$K1361=""),"",WORKDAY($B1361,IFERROR(INDEX(CONFIG!$C$4:$C$43,MATCH($K1361,CONFIG!$A$4:$A$43,0)),3)))</f>
        <v/>
      </c>
      <c r="V1361" s="46" t="n"/>
      <c r="W1361" s="23">
        <f>IF($B1361="","",IF($V1361&lt;&gt;"",$V1361-$B1361,TODAY()-$B1361))</f>
        <v/>
      </c>
      <c r="X1361" s="27">
        <f>IF($C1361="","",IF(IFERROR(INDEX(CONFIG!$K$4:$K$43,MATCH($S1361,CONFIG!$J$4:$J$43,0)),"NO")="SÍ",IF(OR($V1361="",$U1361=""),"Resuelta",IF($V1361&gt;$U1361,"Resuelta tarde","Resuelta a tiempo")),IF($U1361="","Sin clasificar",IF(TODAY()&gt;$U1361,"Vencida",IF(TODAY()&gt;=$U1361-1,"Por vencer","En plazo")))))</f>
        <v/>
      </c>
      <c r="Y1361" s="49" t="n"/>
      <c r="Z1361" s="49" t="n"/>
    </row>
    <row r="1362" ht="16" customHeight="1">
      <c r="A1362" s="27">
        <f>IF($C1362="","","N-"&amp;TEXT(ROW()-3,"0000"))</f>
        <v/>
      </c>
      <c r="B1362" s="46" t="n"/>
      <c r="C1362" s="47" t="n"/>
      <c r="D1362" s="27">
        <f>IF($C1362="","",IF(COUNTIFS(ENVIOS!$A$4:$A$3003,$C1362)=0,"NO EXISTE",IF(COUNTIFS(ENVIOS!$A$4:$A$3003,$C1362)&gt;1,"DUPLICADA","OK")))</f>
        <v/>
      </c>
      <c r="E1362" s="22">
        <f>IF($C1362="","",IFERROR(INDEX(ENVIOS!$C$4:$C$3003,MATCH($C1362,ENVIOS!$A$4:$A$3003,0)),"—"))</f>
        <v/>
      </c>
      <c r="F1362" s="22">
        <f>IF($C1362="","",IFERROR(INDEX(ENVIOS!$D$4:$D$3003,MATCH($C1362,ENVIOS!$A$4:$A$3003,0)),"—"))</f>
        <v/>
      </c>
      <c r="G1362" s="22">
        <f>IF($C1362="","",IFERROR(INDEX(ENVIOS!$E$4:$E$3003,MATCH($C1362,ENVIOS!$A$4:$A$3003,0)),"—"))</f>
        <v/>
      </c>
      <c r="H1362" s="22">
        <f>IF($C1362="","",IFERROR(INDEX(ENVIOS!$F$4:$F$3003,MATCH($C1362,ENVIOS!$A$4:$A$3003,0)),"—"))</f>
        <v/>
      </c>
      <c r="I1362" s="27">
        <f>IF($C1362="","",IFERROR(INDEX(ENVIOS!$G$4:$G$3003,MATCH($C1362,ENVIOS!$A$4:$A$3003,0)),"—"))</f>
        <v/>
      </c>
      <c r="J1362" s="48">
        <f>IF($C1362="","",IFERROR(INDEX(ENVIOS!$B$4:$B$3003,MATCH($C1362,ENVIOS!$A$4:$A$3003,0)),""))</f>
        <v/>
      </c>
      <c r="K1362" s="49" t="n"/>
      <c r="L1362" s="27">
        <f>IF($K1362="","",IFERROR(INDEX(CONFIG!$B$4:$B$43,MATCH($K1362,CONFIG!$A$4:$A$43,0)),"Media"))</f>
        <v/>
      </c>
      <c r="M1362" s="27">
        <f>IF($K1362="","",IFERROR(INDEX(CONFIG!$D$4:$D$43,MATCH($K1362,CONFIG!$A$4:$A$43,0)),"NO"))</f>
        <v/>
      </c>
      <c r="N1362" s="49" t="n"/>
      <c r="O1362" s="27">
        <f>IF($N1362="","",IFERROR(INDEX(CONFIG!$G$4:$G$43,MATCH($N1362,CONFIG!$F$4:$F$43,0)),"Por definir"))</f>
        <v/>
      </c>
      <c r="P1362" s="27">
        <f>IF($N1362="","",IFERROR(INDEX(CONFIG!$H$4:$H$43,MATCH($N1362,CONFIG!$F$4:$F$43,0)),"Por definir"))</f>
        <v/>
      </c>
      <c r="Q1362" s="50" t="n"/>
      <c r="R1362" s="51" t="n"/>
      <c r="S1362" s="49" t="n"/>
      <c r="T1362" s="49" t="n"/>
      <c r="U1362" s="48">
        <f>IF(OR($B1362="",$K1362=""),"",WORKDAY($B1362,IFERROR(INDEX(CONFIG!$C$4:$C$43,MATCH($K1362,CONFIG!$A$4:$A$43,0)),3)))</f>
        <v/>
      </c>
      <c r="V1362" s="46" t="n"/>
      <c r="W1362" s="23">
        <f>IF($B1362="","",IF($V1362&lt;&gt;"",$V1362-$B1362,TODAY()-$B1362))</f>
        <v/>
      </c>
      <c r="X1362" s="27">
        <f>IF($C1362="","",IF(IFERROR(INDEX(CONFIG!$K$4:$K$43,MATCH($S1362,CONFIG!$J$4:$J$43,0)),"NO")="SÍ",IF(OR($V1362="",$U1362=""),"Resuelta",IF($V1362&gt;$U1362,"Resuelta tarde","Resuelta a tiempo")),IF($U1362="","Sin clasificar",IF(TODAY()&gt;$U1362,"Vencida",IF(TODAY()&gt;=$U1362-1,"Por vencer","En plazo")))))</f>
        <v/>
      </c>
      <c r="Y1362" s="49" t="n"/>
      <c r="Z1362" s="49" t="n"/>
    </row>
    <row r="1363" ht="16" customHeight="1">
      <c r="A1363" s="27">
        <f>IF($C1363="","","N-"&amp;TEXT(ROW()-3,"0000"))</f>
        <v/>
      </c>
      <c r="B1363" s="46" t="n"/>
      <c r="C1363" s="47" t="n"/>
      <c r="D1363" s="27">
        <f>IF($C1363="","",IF(COUNTIFS(ENVIOS!$A$4:$A$3003,$C1363)=0,"NO EXISTE",IF(COUNTIFS(ENVIOS!$A$4:$A$3003,$C1363)&gt;1,"DUPLICADA","OK")))</f>
        <v/>
      </c>
      <c r="E1363" s="22">
        <f>IF($C1363="","",IFERROR(INDEX(ENVIOS!$C$4:$C$3003,MATCH($C1363,ENVIOS!$A$4:$A$3003,0)),"—"))</f>
        <v/>
      </c>
      <c r="F1363" s="22">
        <f>IF($C1363="","",IFERROR(INDEX(ENVIOS!$D$4:$D$3003,MATCH($C1363,ENVIOS!$A$4:$A$3003,0)),"—"))</f>
        <v/>
      </c>
      <c r="G1363" s="22">
        <f>IF($C1363="","",IFERROR(INDEX(ENVIOS!$E$4:$E$3003,MATCH($C1363,ENVIOS!$A$4:$A$3003,0)),"—"))</f>
        <v/>
      </c>
      <c r="H1363" s="22">
        <f>IF($C1363="","",IFERROR(INDEX(ENVIOS!$F$4:$F$3003,MATCH($C1363,ENVIOS!$A$4:$A$3003,0)),"—"))</f>
        <v/>
      </c>
      <c r="I1363" s="27">
        <f>IF($C1363="","",IFERROR(INDEX(ENVIOS!$G$4:$G$3003,MATCH($C1363,ENVIOS!$A$4:$A$3003,0)),"—"))</f>
        <v/>
      </c>
      <c r="J1363" s="48">
        <f>IF($C1363="","",IFERROR(INDEX(ENVIOS!$B$4:$B$3003,MATCH($C1363,ENVIOS!$A$4:$A$3003,0)),""))</f>
        <v/>
      </c>
      <c r="K1363" s="49" t="n"/>
      <c r="L1363" s="27">
        <f>IF($K1363="","",IFERROR(INDEX(CONFIG!$B$4:$B$43,MATCH($K1363,CONFIG!$A$4:$A$43,0)),"Media"))</f>
        <v/>
      </c>
      <c r="M1363" s="27">
        <f>IF($K1363="","",IFERROR(INDEX(CONFIG!$D$4:$D$43,MATCH($K1363,CONFIG!$A$4:$A$43,0)),"NO"))</f>
        <v/>
      </c>
      <c r="N1363" s="49" t="n"/>
      <c r="O1363" s="27">
        <f>IF($N1363="","",IFERROR(INDEX(CONFIG!$G$4:$G$43,MATCH($N1363,CONFIG!$F$4:$F$43,0)),"Por definir"))</f>
        <v/>
      </c>
      <c r="P1363" s="27">
        <f>IF($N1363="","",IFERROR(INDEX(CONFIG!$H$4:$H$43,MATCH($N1363,CONFIG!$F$4:$F$43,0)),"Por definir"))</f>
        <v/>
      </c>
      <c r="Q1363" s="50" t="n"/>
      <c r="R1363" s="51" t="n"/>
      <c r="S1363" s="49" t="n"/>
      <c r="T1363" s="49" t="n"/>
      <c r="U1363" s="48">
        <f>IF(OR($B1363="",$K1363=""),"",WORKDAY($B1363,IFERROR(INDEX(CONFIG!$C$4:$C$43,MATCH($K1363,CONFIG!$A$4:$A$43,0)),3)))</f>
        <v/>
      </c>
      <c r="V1363" s="46" t="n"/>
      <c r="W1363" s="23">
        <f>IF($B1363="","",IF($V1363&lt;&gt;"",$V1363-$B1363,TODAY()-$B1363))</f>
        <v/>
      </c>
      <c r="X1363" s="27">
        <f>IF($C1363="","",IF(IFERROR(INDEX(CONFIG!$K$4:$K$43,MATCH($S1363,CONFIG!$J$4:$J$43,0)),"NO")="SÍ",IF(OR($V1363="",$U1363=""),"Resuelta",IF($V1363&gt;$U1363,"Resuelta tarde","Resuelta a tiempo")),IF($U1363="","Sin clasificar",IF(TODAY()&gt;$U1363,"Vencida",IF(TODAY()&gt;=$U1363-1,"Por vencer","En plazo")))))</f>
        <v/>
      </c>
      <c r="Y1363" s="49" t="n"/>
      <c r="Z1363" s="49" t="n"/>
    </row>
    <row r="1364" ht="16" customHeight="1">
      <c r="A1364" s="27">
        <f>IF($C1364="","","N-"&amp;TEXT(ROW()-3,"0000"))</f>
        <v/>
      </c>
      <c r="B1364" s="46" t="n"/>
      <c r="C1364" s="47" t="n"/>
      <c r="D1364" s="27">
        <f>IF($C1364="","",IF(COUNTIFS(ENVIOS!$A$4:$A$3003,$C1364)=0,"NO EXISTE",IF(COUNTIFS(ENVIOS!$A$4:$A$3003,$C1364)&gt;1,"DUPLICADA","OK")))</f>
        <v/>
      </c>
      <c r="E1364" s="22">
        <f>IF($C1364="","",IFERROR(INDEX(ENVIOS!$C$4:$C$3003,MATCH($C1364,ENVIOS!$A$4:$A$3003,0)),"—"))</f>
        <v/>
      </c>
      <c r="F1364" s="22">
        <f>IF($C1364="","",IFERROR(INDEX(ENVIOS!$D$4:$D$3003,MATCH($C1364,ENVIOS!$A$4:$A$3003,0)),"—"))</f>
        <v/>
      </c>
      <c r="G1364" s="22">
        <f>IF($C1364="","",IFERROR(INDEX(ENVIOS!$E$4:$E$3003,MATCH($C1364,ENVIOS!$A$4:$A$3003,0)),"—"))</f>
        <v/>
      </c>
      <c r="H1364" s="22">
        <f>IF($C1364="","",IFERROR(INDEX(ENVIOS!$F$4:$F$3003,MATCH($C1364,ENVIOS!$A$4:$A$3003,0)),"—"))</f>
        <v/>
      </c>
      <c r="I1364" s="27">
        <f>IF($C1364="","",IFERROR(INDEX(ENVIOS!$G$4:$G$3003,MATCH($C1364,ENVIOS!$A$4:$A$3003,0)),"—"))</f>
        <v/>
      </c>
      <c r="J1364" s="48">
        <f>IF($C1364="","",IFERROR(INDEX(ENVIOS!$B$4:$B$3003,MATCH($C1364,ENVIOS!$A$4:$A$3003,0)),""))</f>
        <v/>
      </c>
      <c r="K1364" s="49" t="n"/>
      <c r="L1364" s="27">
        <f>IF($K1364="","",IFERROR(INDEX(CONFIG!$B$4:$B$43,MATCH($K1364,CONFIG!$A$4:$A$43,0)),"Media"))</f>
        <v/>
      </c>
      <c r="M1364" s="27">
        <f>IF($K1364="","",IFERROR(INDEX(CONFIG!$D$4:$D$43,MATCH($K1364,CONFIG!$A$4:$A$43,0)),"NO"))</f>
        <v/>
      </c>
      <c r="N1364" s="49" t="n"/>
      <c r="O1364" s="27">
        <f>IF($N1364="","",IFERROR(INDEX(CONFIG!$G$4:$G$43,MATCH($N1364,CONFIG!$F$4:$F$43,0)),"Por definir"))</f>
        <v/>
      </c>
      <c r="P1364" s="27">
        <f>IF($N1364="","",IFERROR(INDEX(CONFIG!$H$4:$H$43,MATCH($N1364,CONFIG!$F$4:$F$43,0)),"Por definir"))</f>
        <v/>
      </c>
      <c r="Q1364" s="50" t="n"/>
      <c r="R1364" s="51" t="n"/>
      <c r="S1364" s="49" t="n"/>
      <c r="T1364" s="49" t="n"/>
      <c r="U1364" s="48">
        <f>IF(OR($B1364="",$K1364=""),"",WORKDAY($B1364,IFERROR(INDEX(CONFIG!$C$4:$C$43,MATCH($K1364,CONFIG!$A$4:$A$43,0)),3)))</f>
        <v/>
      </c>
      <c r="V1364" s="46" t="n"/>
      <c r="W1364" s="23">
        <f>IF($B1364="","",IF($V1364&lt;&gt;"",$V1364-$B1364,TODAY()-$B1364))</f>
        <v/>
      </c>
      <c r="X1364" s="27">
        <f>IF($C1364="","",IF(IFERROR(INDEX(CONFIG!$K$4:$K$43,MATCH($S1364,CONFIG!$J$4:$J$43,0)),"NO")="SÍ",IF(OR($V1364="",$U1364=""),"Resuelta",IF($V1364&gt;$U1364,"Resuelta tarde","Resuelta a tiempo")),IF($U1364="","Sin clasificar",IF(TODAY()&gt;$U1364,"Vencida",IF(TODAY()&gt;=$U1364-1,"Por vencer","En plazo")))))</f>
        <v/>
      </c>
      <c r="Y1364" s="49" t="n"/>
      <c r="Z1364" s="49" t="n"/>
    </row>
    <row r="1365" ht="16" customHeight="1">
      <c r="A1365" s="27">
        <f>IF($C1365="","","N-"&amp;TEXT(ROW()-3,"0000"))</f>
        <v/>
      </c>
      <c r="B1365" s="46" t="n"/>
      <c r="C1365" s="47" t="n"/>
      <c r="D1365" s="27">
        <f>IF($C1365="","",IF(COUNTIFS(ENVIOS!$A$4:$A$3003,$C1365)=0,"NO EXISTE",IF(COUNTIFS(ENVIOS!$A$4:$A$3003,$C1365)&gt;1,"DUPLICADA","OK")))</f>
        <v/>
      </c>
      <c r="E1365" s="22">
        <f>IF($C1365="","",IFERROR(INDEX(ENVIOS!$C$4:$C$3003,MATCH($C1365,ENVIOS!$A$4:$A$3003,0)),"—"))</f>
        <v/>
      </c>
      <c r="F1365" s="22">
        <f>IF($C1365="","",IFERROR(INDEX(ENVIOS!$D$4:$D$3003,MATCH($C1365,ENVIOS!$A$4:$A$3003,0)),"—"))</f>
        <v/>
      </c>
      <c r="G1365" s="22">
        <f>IF($C1365="","",IFERROR(INDEX(ENVIOS!$E$4:$E$3003,MATCH($C1365,ENVIOS!$A$4:$A$3003,0)),"—"))</f>
        <v/>
      </c>
      <c r="H1365" s="22">
        <f>IF($C1365="","",IFERROR(INDEX(ENVIOS!$F$4:$F$3003,MATCH($C1365,ENVIOS!$A$4:$A$3003,0)),"—"))</f>
        <v/>
      </c>
      <c r="I1365" s="27">
        <f>IF($C1365="","",IFERROR(INDEX(ENVIOS!$G$4:$G$3003,MATCH($C1365,ENVIOS!$A$4:$A$3003,0)),"—"))</f>
        <v/>
      </c>
      <c r="J1365" s="48">
        <f>IF($C1365="","",IFERROR(INDEX(ENVIOS!$B$4:$B$3003,MATCH($C1365,ENVIOS!$A$4:$A$3003,0)),""))</f>
        <v/>
      </c>
      <c r="K1365" s="49" t="n"/>
      <c r="L1365" s="27">
        <f>IF($K1365="","",IFERROR(INDEX(CONFIG!$B$4:$B$43,MATCH($K1365,CONFIG!$A$4:$A$43,0)),"Media"))</f>
        <v/>
      </c>
      <c r="M1365" s="27">
        <f>IF($K1365="","",IFERROR(INDEX(CONFIG!$D$4:$D$43,MATCH($K1365,CONFIG!$A$4:$A$43,0)),"NO"))</f>
        <v/>
      </c>
      <c r="N1365" s="49" t="n"/>
      <c r="O1365" s="27">
        <f>IF($N1365="","",IFERROR(INDEX(CONFIG!$G$4:$G$43,MATCH($N1365,CONFIG!$F$4:$F$43,0)),"Por definir"))</f>
        <v/>
      </c>
      <c r="P1365" s="27">
        <f>IF($N1365="","",IFERROR(INDEX(CONFIG!$H$4:$H$43,MATCH($N1365,CONFIG!$F$4:$F$43,0)),"Por definir"))</f>
        <v/>
      </c>
      <c r="Q1365" s="50" t="n"/>
      <c r="R1365" s="51" t="n"/>
      <c r="S1365" s="49" t="n"/>
      <c r="T1365" s="49" t="n"/>
      <c r="U1365" s="48">
        <f>IF(OR($B1365="",$K1365=""),"",WORKDAY($B1365,IFERROR(INDEX(CONFIG!$C$4:$C$43,MATCH($K1365,CONFIG!$A$4:$A$43,0)),3)))</f>
        <v/>
      </c>
      <c r="V1365" s="46" t="n"/>
      <c r="W1365" s="23">
        <f>IF($B1365="","",IF($V1365&lt;&gt;"",$V1365-$B1365,TODAY()-$B1365))</f>
        <v/>
      </c>
      <c r="X1365" s="27">
        <f>IF($C1365="","",IF(IFERROR(INDEX(CONFIG!$K$4:$K$43,MATCH($S1365,CONFIG!$J$4:$J$43,0)),"NO")="SÍ",IF(OR($V1365="",$U1365=""),"Resuelta",IF($V1365&gt;$U1365,"Resuelta tarde","Resuelta a tiempo")),IF($U1365="","Sin clasificar",IF(TODAY()&gt;$U1365,"Vencida",IF(TODAY()&gt;=$U1365-1,"Por vencer","En plazo")))))</f>
        <v/>
      </c>
      <c r="Y1365" s="49" t="n"/>
      <c r="Z1365" s="49" t="n"/>
    </row>
    <row r="1366" ht="16" customHeight="1">
      <c r="A1366" s="27">
        <f>IF($C1366="","","N-"&amp;TEXT(ROW()-3,"0000"))</f>
        <v/>
      </c>
      <c r="B1366" s="46" t="n"/>
      <c r="C1366" s="47" t="n"/>
      <c r="D1366" s="27">
        <f>IF($C1366="","",IF(COUNTIFS(ENVIOS!$A$4:$A$3003,$C1366)=0,"NO EXISTE",IF(COUNTIFS(ENVIOS!$A$4:$A$3003,$C1366)&gt;1,"DUPLICADA","OK")))</f>
        <v/>
      </c>
      <c r="E1366" s="22">
        <f>IF($C1366="","",IFERROR(INDEX(ENVIOS!$C$4:$C$3003,MATCH($C1366,ENVIOS!$A$4:$A$3003,0)),"—"))</f>
        <v/>
      </c>
      <c r="F1366" s="22">
        <f>IF($C1366="","",IFERROR(INDEX(ENVIOS!$D$4:$D$3003,MATCH($C1366,ENVIOS!$A$4:$A$3003,0)),"—"))</f>
        <v/>
      </c>
      <c r="G1366" s="22">
        <f>IF($C1366="","",IFERROR(INDEX(ENVIOS!$E$4:$E$3003,MATCH($C1366,ENVIOS!$A$4:$A$3003,0)),"—"))</f>
        <v/>
      </c>
      <c r="H1366" s="22">
        <f>IF($C1366="","",IFERROR(INDEX(ENVIOS!$F$4:$F$3003,MATCH($C1366,ENVIOS!$A$4:$A$3003,0)),"—"))</f>
        <v/>
      </c>
      <c r="I1366" s="27">
        <f>IF($C1366="","",IFERROR(INDEX(ENVIOS!$G$4:$G$3003,MATCH($C1366,ENVIOS!$A$4:$A$3003,0)),"—"))</f>
        <v/>
      </c>
      <c r="J1366" s="48">
        <f>IF($C1366="","",IFERROR(INDEX(ENVIOS!$B$4:$B$3003,MATCH($C1366,ENVIOS!$A$4:$A$3003,0)),""))</f>
        <v/>
      </c>
      <c r="K1366" s="49" t="n"/>
      <c r="L1366" s="27">
        <f>IF($K1366="","",IFERROR(INDEX(CONFIG!$B$4:$B$43,MATCH($K1366,CONFIG!$A$4:$A$43,0)),"Media"))</f>
        <v/>
      </c>
      <c r="M1366" s="27">
        <f>IF($K1366="","",IFERROR(INDEX(CONFIG!$D$4:$D$43,MATCH($K1366,CONFIG!$A$4:$A$43,0)),"NO"))</f>
        <v/>
      </c>
      <c r="N1366" s="49" t="n"/>
      <c r="O1366" s="27">
        <f>IF($N1366="","",IFERROR(INDEX(CONFIG!$G$4:$G$43,MATCH($N1366,CONFIG!$F$4:$F$43,0)),"Por definir"))</f>
        <v/>
      </c>
      <c r="P1366" s="27">
        <f>IF($N1366="","",IFERROR(INDEX(CONFIG!$H$4:$H$43,MATCH($N1366,CONFIG!$F$4:$F$43,0)),"Por definir"))</f>
        <v/>
      </c>
      <c r="Q1366" s="50" t="n"/>
      <c r="R1366" s="51" t="n"/>
      <c r="S1366" s="49" t="n"/>
      <c r="T1366" s="49" t="n"/>
      <c r="U1366" s="48">
        <f>IF(OR($B1366="",$K1366=""),"",WORKDAY($B1366,IFERROR(INDEX(CONFIG!$C$4:$C$43,MATCH($K1366,CONFIG!$A$4:$A$43,0)),3)))</f>
        <v/>
      </c>
      <c r="V1366" s="46" t="n"/>
      <c r="W1366" s="23">
        <f>IF($B1366="","",IF($V1366&lt;&gt;"",$V1366-$B1366,TODAY()-$B1366))</f>
        <v/>
      </c>
      <c r="X1366" s="27">
        <f>IF($C1366="","",IF(IFERROR(INDEX(CONFIG!$K$4:$K$43,MATCH($S1366,CONFIG!$J$4:$J$43,0)),"NO")="SÍ",IF(OR($V1366="",$U1366=""),"Resuelta",IF($V1366&gt;$U1366,"Resuelta tarde","Resuelta a tiempo")),IF($U1366="","Sin clasificar",IF(TODAY()&gt;$U1366,"Vencida",IF(TODAY()&gt;=$U1366-1,"Por vencer","En plazo")))))</f>
        <v/>
      </c>
      <c r="Y1366" s="49" t="n"/>
      <c r="Z1366" s="49" t="n"/>
    </row>
    <row r="1367" ht="16" customHeight="1">
      <c r="A1367" s="27">
        <f>IF($C1367="","","N-"&amp;TEXT(ROW()-3,"0000"))</f>
        <v/>
      </c>
      <c r="B1367" s="46" t="n"/>
      <c r="C1367" s="47" t="n"/>
      <c r="D1367" s="27">
        <f>IF($C1367="","",IF(COUNTIFS(ENVIOS!$A$4:$A$3003,$C1367)=0,"NO EXISTE",IF(COUNTIFS(ENVIOS!$A$4:$A$3003,$C1367)&gt;1,"DUPLICADA","OK")))</f>
        <v/>
      </c>
      <c r="E1367" s="22">
        <f>IF($C1367="","",IFERROR(INDEX(ENVIOS!$C$4:$C$3003,MATCH($C1367,ENVIOS!$A$4:$A$3003,0)),"—"))</f>
        <v/>
      </c>
      <c r="F1367" s="22">
        <f>IF($C1367="","",IFERROR(INDEX(ENVIOS!$D$4:$D$3003,MATCH($C1367,ENVIOS!$A$4:$A$3003,0)),"—"))</f>
        <v/>
      </c>
      <c r="G1367" s="22">
        <f>IF($C1367="","",IFERROR(INDEX(ENVIOS!$E$4:$E$3003,MATCH($C1367,ENVIOS!$A$4:$A$3003,0)),"—"))</f>
        <v/>
      </c>
      <c r="H1367" s="22">
        <f>IF($C1367="","",IFERROR(INDEX(ENVIOS!$F$4:$F$3003,MATCH($C1367,ENVIOS!$A$4:$A$3003,0)),"—"))</f>
        <v/>
      </c>
      <c r="I1367" s="27">
        <f>IF($C1367="","",IFERROR(INDEX(ENVIOS!$G$4:$G$3003,MATCH($C1367,ENVIOS!$A$4:$A$3003,0)),"—"))</f>
        <v/>
      </c>
      <c r="J1367" s="48">
        <f>IF($C1367="","",IFERROR(INDEX(ENVIOS!$B$4:$B$3003,MATCH($C1367,ENVIOS!$A$4:$A$3003,0)),""))</f>
        <v/>
      </c>
      <c r="K1367" s="49" t="n"/>
      <c r="L1367" s="27">
        <f>IF($K1367="","",IFERROR(INDEX(CONFIG!$B$4:$B$43,MATCH($K1367,CONFIG!$A$4:$A$43,0)),"Media"))</f>
        <v/>
      </c>
      <c r="M1367" s="27">
        <f>IF($K1367="","",IFERROR(INDEX(CONFIG!$D$4:$D$43,MATCH($K1367,CONFIG!$A$4:$A$43,0)),"NO"))</f>
        <v/>
      </c>
      <c r="N1367" s="49" t="n"/>
      <c r="O1367" s="27">
        <f>IF($N1367="","",IFERROR(INDEX(CONFIG!$G$4:$G$43,MATCH($N1367,CONFIG!$F$4:$F$43,0)),"Por definir"))</f>
        <v/>
      </c>
      <c r="P1367" s="27">
        <f>IF($N1367="","",IFERROR(INDEX(CONFIG!$H$4:$H$43,MATCH($N1367,CONFIG!$F$4:$F$43,0)),"Por definir"))</f>
        <v/>
      </c>
      <c r="Q1367" s="50" t="n"/>
      <c r="R1367" s="51" t="n"/>
      <c r="S1367" s="49" t="n"/>
      <c r="T1367" s="49" t="n"/>
      <c r="U1367" s="48">
        <f>IF(OR($B1367="",$K1367=""),"",WORKDAY($B1367,IFERROR(INDEX(CONFIG!$C$4:$C$43,MATCH($K1367,CONFIG!$A$4:$A$43,0)),3)))</f>
        <v/>
      </c>
      <c r="V1367" s="46" t="n"/>
      <c r="W1367" s="23">
        <f>IF($B1367="","",IF($V1367&lt;&gt;"",$V1367-$B1367,TODAY()-$B1367))</f>
        <v/>
      </c>
      <c r="X1367" s="27">
        <f>IF($C1367="","",IF(IFERROR(INDEX(CONFIG!$K$4:$K$43,MATCH($S1367,CONFIG!$J$4:$J$43,0)),"NO")="SÍ",IF(OR($V1367="",$U1367=""),"Resuelta",IF($V1367&gt;$U1367,"Resuelta tarde","Resuelta a tiempo")),IF($U1367="","Sin clasificar",IF(TODAY()&gt;$U1367,"Vencida",IF(TODAY()&gt;=$U1367-1,"Por vencer","En plazo")))))</f>
        <v/>
      </c>
      <c r="Y1367" s="49" t="n"/>
      <c r="Z1367" s="49" t="n"/>
    </row>
    <row r="1368" ht="16" customHeight="1">
      <c r="A1368" s="27">
        <f>IF($C1368="","","N-"&amp;TEXT(ROW()-3,"0000"))</f>
        <v/>
      </c>
      <c r="B1368" s="46" t="n"/>
      <c r="C1368" s="47" t="n"/>
      <c r="D1368" s="27">
        <f>IF($C1368="","",IF(COUNTIFS(ENVIOS!$A$4:$A$3003,$C1368)=0,"NO EXISTE",IF(COUNTIFS(ENVIOS!$A$4:$A$3003,$C1368)&gt;1,"DUPLICADA","OK")))</f>
        <v/>
      </c>
      <c r="E1368" s="22">
        <f>IF($C1368="","",IFERROR(INDEX(ENVIOS!$C$4:$C$3003,MATCH($C1368,ENVIOS!$A$4:$A$3003,0)),"—"))</f>
        <v/>
      </c>
      <c r="F1368" s="22">
        <f>IF($C1368="","",IFERROR(INDEX(ENVIOS!$D$4:$D$3003,MATCH($C1368,ENVIOS!$A$4:$A$3003,0)),"—"))</f>
        <v/>
      </c>
      <c r="G1368" s="22">
        <f>IF($C1368="","",IFERROR(INDEX(ENVIOS!$E$4:$E$3003,MATCH($C1368,ENVIOS!$A$4:$A$3003,0)),"—"))</f>
        <v/>
      </c>
      <c r="H1368" s="22">
        <f>IF($C1368="","",IFERROR(INDEX(ENVIOS!$F$4:$F$3003,MATCH($C1368,ENVIOS!$A$4:$A$3003,0)),"—"))</f>
        <v/>
      </c>
      <c r="I1368" s="27">
        <f>IF($C1368="","",IFERROR(INDEX(ENVIOS!$G$4:$G$3003,MATCH($C1368,ENVIOS!$A$4:$A$3003,0)),"—"))</f>
        <v/>
      </c>
      <c r="J1368" s="48">
        <f>IF($C1368="","",IFERROR(INDEX(ENVIOS!$B$4:$B$3003,MATCH($C1368,ENVIOS!$A$4:$A$3003,0)),""))</f>
        <v/>
      </c>
      <c r="K1368" s="49" t="n"/>
      <c r="L1368" s="27">
        <f>IF($K1368="","",IFERROR(INDEX(CONFIG!$B$4:$B$43,MATCH($K1368,CONFIG!$A$4:$A$43,0)),"Media"))</f>
        <v/>
      </c>
      <c r="M1368" s="27">
        <f>IF($K1368="","",IFERROR(INDEX(CONFIG!$D$4:$D$43,MATCH($K1368,CONFIG!$A$4:$A$43,0)),"NO"))</f>
        <v/>
      </c>
      <c r="N1368" s="49" t="n"/>
      <c r="O1368" s="27">
        <f>IF($N1368="","",IFERROR(INDEX(CONFIG!$G$4:$G$43,MATCH($N1368,CONFIG!$F$4:$F$43,0)),"Por definir"))</f>
        <v/>
      </c>
      <c r="P1368" s="27">
        <f>IF($N1368="","",IFERROR(INDEX(CONFIG!$H$4:$H$43,MATCH($N1368,CONFIG!$F$4:$F$43,0)),"Por definir"))</f>
        <v/>
      </c>
      <c r="Q1368" s="50" t="n"/>
      <c r="R1368" s="51" t="n"/>
      <c r="S1368" s="49" t="n"/>
      <c r="T1368" s="49" t="n"/>
      <c r="U1368" s="48">
        <f>IF(OR($B1368="",$K1368=""),"",WORKDAY($B1368,IFERROR(INDEX(CONFIG!$C$4:$C$43,MATCH($K1368,CONFIG!$A$4:$A$43,0)),3)))</f>
        <v/>
      </c>
      <c r="V1368" s="46" t="n"/>
      <c r="W1368" s="23">
        <f>IF($B1368="","",IF($V1368&lt;&gt;"",$V1368-$B1368,TODAY()-$B1368))</f>
        <v/>
      </c>
      <c r="X1368" s="27">
        <f>IF($C1368="","",IF(IFERROR(INDEX(CONFIG!$K$4:$K$43,MATCH($S1368,CONFIG!$J$4:$J$43,0)),"NO")="SÍ",IF(OR($V1368="",$U1368=""),"Resuelta",IF($V1368&gt;$U1368,"Resuelta tarde","Resuelta a tiempo")),IF($U1368="","Sin clasificar",IF(TODAY()&gt;$U1368,"Vencida",IF(TODAY()&gt;=$U1368-1,"Por vencer","En plazo")))))</f>
        <v/>
      </c>
      <c r="Y1368" s="49" t="n"/>
      <c r="Z1368" s="49" t="n"/>
    </row>
    <row r="1369" ht="16" customHeight="1">
      <c r="A1369" s="27">
        <f>IF($C1369="","","N-"&amp;TEXT(ROW()-3,"0000"))</f>
        <v/>
      </c>
      <c r="B1369" s="46" t="n"/>
      <c r="C1369" s="47" t="n"/>
      <c r="D1369" s="27">
        <f>IF($C1369="","",IF(COUNTIFS(ENVIOS!$A$4:$A$3003,$C1369)=0,"NO EXISTE",IF(COUNTIFS(ENVIOS!$A$4:$A$3003,$C1369)&gt;1,"DUPLICADA","OK")))</f>
        <v/>
      </c>
      <c r="E1369" s="22">
        <f>IF($C1369="","",IFERROR(INDEX(ENVIOS!$C$4:$C$3003,MATCH($C1369,ENVIOS!$A$4:$A$3003,0)),"—"))</f>
        <v/>
      </c>
      <c r="F1369" s="22">
        <f>IF($C1369="","",IFERROR(INDEX(ENVIOS!$D$4:$D$3003,MATCH($C1369,ENVIOS!$A$4:$A$3003,0)),"—"))</f>
        <v/>
      </c>
      <c r="G1369" s="22">
        <f>IF($C1369="","",IFERROR(INDEX(ENVIOS!$E$4:$E$3003,MATCH($C1369,ENVIOS!$A$4:$A$3003,0)),"—"))</f>
        <v/>
      </c>
      <c r="H1369" s="22">
        <f>IF($C1369="","",IFERROR(INDEX(ENVIOS!$F$4:$F$3003,MATCH($C1369,ENVIOS!$A$4:$A$3003,0)),"—"))</f>
        <v/>
      </c>
      <c r="I1369" s="27">
        <f>IF($C1369="","",IFERROR(INDEX(ENVIOS!$G$4:$G$3003,MATCH($C1369,ENVIOS!$A$4:$A$3003,0)),"—"))</f>
        <v/>
      </c>
      <c r="J1369" s="48">
        <f>IF($C1369="","",IFERROR(INDEX(ENVIOS!$B$4:$B$3003,MATCH($C1369,ENVIOS!$A$4:$A$3003,0)),""))</f>
        <v/>
      </c>
      <c r="K1369" s="49" t="n"/>
      <c r="L1369" s="27">
        <f>IF($K1369="","",IFERROR(INDEX(CONFIG!$B$4:$B$43,MATCH($K1369,CONFIG!$A$4:$A$43,0)),"Media"))</f>
        <v/>
      </c>
      <c r="M1369" s="27">
        <f>IF($K1369="","",IFERROR(INDEX(CONFIG!$D$4:$D$43,MATCH($K1369,CONFIG!$A$4:$A$43,0)),"NO"))</f>
        <v/>
      </c>
      <c r="N1369" s="49" t="n"/>
      <c r="O1369" s="27">
        <f>IF($N1369="","",IFERROR(INDEX(CONFIG!$G$4:$G$43,MATCH($N1369,CONFIG!$F$4:$F$43,0)),"Por definir"))</f>
        <v/>
      </c>
      <c r="P1369" s="27">
        <f>IF($N1369="","",IFERROR(INDEX(CONFIG!$H$4:$H$43,MATCH($N1369,CONFIG!$F$4:$F$43,0)),"Por definir"))</f>
        <v/>
      </c>
      <c r="Q1369" s="50" t="n"/>
      <c r="R1369" s="51" t="n"/>
      <c r="S1369" s="49" t="n"/>
      <c r="T1369" s="49" t="n"/>
      <c r="U1369" s="48">
        <f>IF(OR($B1369="",$K1369=""),"",WORKDAY($B1369,IFERROR(INDEX(CONFIG!$C$4:$C$43,MATCH($K1369,CONFIG!$A$4:$A$43,0)),3)))</f>
        <v/>
      </c>
      <c r="V1369" s="46" t="n"/>
      <c r="W1369" s="23">
        <f>IF($B1369="","",IF($V1369&lt;&gt;"",$V1369-$B1369,TODAY()-$B1369))</f>
        <v/>
      </c>
      <c r="X1369" s="27">
        <f>IF($C1369="","",IF(IFERROR(INDEX(CONFIG!$K$4:$K$43,MATCH($S1369,CONFIG!$J$4:$J$43,0)),"NO")="SÍ",IF(OR($V1369="",$U1369=""),"Resuelta",IF($V1369&gt;$U1369,"Resuelta tarde","Resuelta a tiempo")),IF($U1369="","Sin clasificar",IF(TODAY()&gt;$U1369,"Vencida",IF(TODAY()&gt;=$U1369-1,"Por vencer","En plazo")))))</f>
        <v/>
      </c>
      <c r="Y1369" s="49" t="n"/>
      <c r="Z1369" s="49" t="n"/>
    </row>
    <row r="1370" ht="16" customHeight="1">
      <c r="A1370" s="27">
        <f>IF($C1370="","","N-"&amp;TEXT(ROW()-3,"0000"))</f>
        <v/>
      </c>
      <c r="B1370" s="46" t="n"/>
      <c r="C1370" s="47" t="n"/>
      <c r="D1370" s="27">
        <f>IF($C1370="","",IF(COUNTIFS(ENVIOS!$A$4:$A$3003,$C1370)=0,"NO EXISTE",IF(COUNTIFS(ENVIOS!$A$4:$A$3003,$C1370)&gt;1,"DUPLICADA","OK")))</f>
        <v/>
      </c>
      <c r="E1370" s="22">
        <f>IF($C1370="","",IFERROR(INDEX(ENVIOS!$C$4:$C$3003,MATCH($C1370,ENVIOS!$A$4:$A$3003,0)),"—"))</f>
        <v/>
      </c>
      <c r="F1370" s="22">
        <f>IF($C1370="","",IFERROR(INDEX(ENVIOS!$D$4:$D$3003,MATCH($C1370,ENVIOS!$A$4:$A$3003,0)),"—"))</f>
        <v/>
      </c>
      <c r="G1370" s="22">
        <f>IF($C1370="","",IFERROR(INDEX(ENVIOS!$E$4:$E$3003,MATCH($C1370,ENVIOS!$A$4:$A$3003,0)),"—"))</f>
        <v/>
      </c>
      <c r="H1370" s="22">
        <f>IF($C1370="","",IFERROR(INDEX(ENVIOS!$F$4:$F$3003,MATCH($C1370,ENVIOS!$A$4:$A$3003,0)),"—"))</f>
        <v/>
      </c>
      <c r="I1370" s="27">
        <f>IF($C1370="","",IFERROR(INDEX(ENVIOS!$G$4:$G$3003,MATCH($C1370,ENVIOS!$A$4:$A$3003,0)),"—"))</f>
        <v/>
      </c>
      <c r="J1370" s="48">
        <f>IF($C1370="","",IFERROR(INDEX(ENVIOS!$B$4:$B$3003,MATCH($C1370,ENVIOS!$A$4:$A$3003,0)),""))</f>
        <v/>
      </c>
      <c r="K1370" s="49" t="n"/>
      <c r="L1370" s="27">
        <f>IF($K1370="","",IFERROR(INDEX(CONFIG!$B$4:$B$43,MATCH($K1370,CONFIG!$A$4:$A$43,0)),"Media"))</f>
        <v/>
      </c>
      <c r="M1370" s="27">
        <f>IF($K1370="","",IFERROR(INDEX(CONFIG!$D$4:$D$43,MATCH($K1370,CONFIG!$A$4:$A$43,0)),"NO"))</f>
        <v/>
      </c>
      <c r="N1370" s="49" t="n"/>
      <c r="O1370" s="27">
        <f>IF($N1370="","",IFERROR(INDEX(CONFIG!$G$4:$G$43,MATCH($N1370,CONFIG!$F$4:$F$43,0)),"Por definir"))</f>
        <v/>
      </c>
      <c r="P1370" s="27">
        <f>IF($N1370="","",IFERROR(INDEX(CONFIG!$H$4:$H$43,MATCH($N1370,CONFIG!$F$4:$F$43,0)),"Por definir"))</f>
        <v/>
      </c>
      <c r="Q1370" s="50" t="n"/>
      <c r="R1370" s="51" t="n"/>
      <c r="S1370" s="49" t="n"/>
      <c r="T1370" s="49" t="n"/>
      <c r="U1370" s="48">
        <f>IF(OR($B1370="",$K1370=""),"",WORKDAY($B1370,IFERROR(INDEX(CONFIG!$C$4:$C$43,MATCH($K1370,CONFIG!$A$4:$A$43,0)),3)))</f>
        <v/>
      </c>
      <c r="V1370" s="46" t="n"/>
      <c r="W1370" s="23">
        <f>IF($B1370="","",IF($V1370&lt;&gt;"",$V1370-$B1370,TODAY()-$B1370))</f>
        <v/>
      </c>
      <c r="X1370" s="27">
        <f>IF($C1370="","",IF(IFERROR(INDEX(CONFIG!$K$4:$K$43,MATCH($S1370,CONFIG!$J$4:$J$43,0)),"NO")="SÍ",IF(OR($V1370="",$U1370=""),"Resuelta",IF($V1370&gt;$U1370,"Resuelta tarde","Resuelta a tiempo")),IF($U1370="","Sin clasificar",IF(TODAY()&gt;$U1370,"Vencida",IF(TODAY()&gt;=$U1370-1,"Por vencer","En plazo")))))</f>
        <v/>
      </c>
      <c r="Y1370" s="49" t="n"/>
      <c r="Z1370" s="49" t="n"/>
    </row>
    <row r="1371" ht="16" customHeight="1">
      <c r="A1371" s="27">
        <f>IF($C1371="","","N-"&amp;TEXT(ROW()-3,"0000"))</f>
        <v/>
      </c>
      <c r="B1371" s="46" t="n"/>
      <c r="C1371" s="47" t="n"/>
      <c r="D1371" s="27">
        <f>IF($C1371="","",IF(COUNTIFS(ENVIOS!$A$4:$A$3003,$C1371)=0,"NO EXISTE",IF(COUNTIFS(ENVIOS!$A$4:$A$3003,$C1371)&gt;1,"DUPLICADA","OK")))</f>
        <v/>
      </c>
      <c r="E1371" s="22">
        <f>IF($C1371="","",IFERROR(INDEX(ENVIOS!$C$4:$C$3003,MATCH($C1371,ENVIOS!$A$4:$A$3003,0)),"—"))</f>
        <v/>
      </c>
      <c r="F1371" s="22">
        <f>IF($C1371="","",IFERROR(INDEX(ENVIOS!$D$4:$D$3003,MATCH($C1371,ENVIOS!$A$4:$A$3003,0)),"—"))</f>
        <v/>
      </c>
      <c r="G1371" s="22">
        <f>IF($C1371="","",IFERROR(INDEX(ENVIOS!$E$4:$E$3003,MATCH($C1371,ENVIOS!$A$4:$A$3003,0)),"—"))</f>
        <v/>
      </c>
      <c r="H1371" s="22">
        <f>IF($C1371="","",IFERROR(INDEX(ENVIOS!$F$4:$F$3003,MATCH($C1371,ENVIOS!$A$4:$A$3003,0)),"—"))</f>
        <v/>
      </c>
      <c r="I1371" s="27">
        <f>IF($C1371="","",IFERROR(INDEX(ENVIOS!$G$4:$G$3003,MATCH($C1371,ENVIOS!$A$4:$A$3003,0)),"—"))</f>
        <v/>
      </c>
      <c r="J1371" s="48">
        <f>IF($C1371="","",IFERROR(INDEX(ENVIOS!$B$4:$B$3003,MATCH($C1371,ENVIOS!$A$4:$A$3003,0)),""))</f>
        <v/>
      </c>
      <c r="K1371" s="49" t="n"/>
      <c r="L1371" s="27">
        <f>IF($K1371="","",IFERROR(INDEX(CONFIG!$B$4:$B$43,MATCH($K1371,CONFIG!$A$4:$A$43,0)),"Media"))</f>
        <v/>
      </c>
      <c r="M1371" s="27">
        <f>IF($K1371="","",IFERROR(INDEX(CONFIG!$D$4:$D$43,MATCH($K1371,CONFIG!$A$4:$A$43,0)),"NO"))</f>
        <v/>
      </c>
      <c r="N1371" s="49" t="n"/>
      <c r="O1371" s="27">
        <f>IF($N1371="","",IFERROR(INDEX(CONFIG!$G$4:$G$43,MATCH($N1371,CONFIG!$F$4:$F$43,0)),"Por definir"))</f>
        <v/>
      </c>
      <c r="P1371" s="27">
        <f>IF($N1371="","",IFERROR(INDEX(CONFIG!$H$4:$H$43,MATCH($N1371,CONFIG!$F$4:$F$43,0)),"Por definir"))</f>
        <v/>
      </c>
      <c r="Q1371" s="50" t="n"/>
      <c r="R1371" s="51" t="n"/>
      <c r="S1371" s="49" t="n"/>
      <c r="T1371" s="49" t="n"/>
      <c r="U1371" s="48">
        <f>IF(OR($B1371="",$K1371=""),"",WORKDAY($B1371,IFERROR(INDEX(CONFIG!$C$4:$C$43,MATCH($K1371,CONFIG!$A$4:$A$43,0)),3)))</f>
        <v/>
      </c>
      <c r="V1371" s="46" t="n"/>
      <c r="W1371" s="23">
        <f>IF($B1371="","",IF($V1371&lt;&gt;"",$V1371-$B1371,TODAY()-$B1371))</f>
        <v/>
      </c>
      <c r="X1371" s="27">
        <f>IF($C1371="","",IF(IFERROR(INDEX(CONFIG!$K$4:$K$43,MATCH($S1371,CONFIG!$J$4:$J$43,0)),"NO")="SÍ",IF(OR($V1371="",$U1371=""),"Resuelta",IF($V1371&gt;$U1371,"Resuelta tarde","Resuelta a tiempo")),IF($U1371="","Sin clasificar",IF(TODAY()&gt;$U1371,"Vencida",IF(TODAY()&gt;=$U1371-1,"Por vencer","En plazo")))))</f>
        <v/>
      </c>
      <c r="Y1371" s="49" t="n"/>
      <c r="Z1371" s="49" t="n"/>
    </row>
    <row r="1372" ht="16" customHeight="1">
      <c r="A1372" s="27">
        <f>IF($C1372="","","N-"&amp;TEXT(ROW()-3,"0000"))</f>
        <v/>
      </c>
      <c r="B1372" s="46" t="n"/>
      <c r="C1372" s="47" t="n"/>
      <c r="D1372" s="27">
        <f>IF($C1372="","",IF(COUNTIFS(ENVIOS!$A$4:$A$3003,$C1372)=0,"NO EXISTE",IF(COUNTIFS(ENVIOS!$A$4:$A$3003,$C1372)&gt;1,"DUPLICADA","OK")))</f>
        <v/>
      </c>
      <c r="E1372" s="22">
        <f>IF($C1372="","",IFERROR(INDEX(ENVIOS!$C$4:$C$3003,MATCH($C1372,ENVIOS!$A$4:$A$3003,0)),"—"))</f>
        <v/>
      </c>
      <c r="F1372" s="22">
        <f>IF($C1372="","",IFERROR(INDEX(ENVIOS!$D$4:$D$3003,MATCH($C1372,ENVIOS!$A$4:$A$3003,0)),"—"))</f>
        <v/>
      </c>
      <c r="G1372" s="22">
        <f>IF($C1372="","",IFERROR(INDEX(ENVIOS!$E$4:$E$3003,MATCH($C1372,ENVIOS!$A$4:$A$3003,0)),"—"))</f>
        <v/>
      </c>
      <c r="H1372" s="22">
        <f>IF($C1372="","",IFERROR(INDEX(ENVIOS!$F$4:$F$3003,MATCH($C1372,ENVIOS!$A$4:$A$3003,0)),"—"))</f>
        <v/>
      </c>
      <c r="I1372" s="27">
        <f>IF($C1372="","",IFERROR(INDEX(ENVIOS!$G$4:$G$3003,MATCH($C1372,ENVIOS!$A$4:$A$3003,0)),"—"))</f>
        <v/>
      </c>
      <c r="J1372" s="48">
        <f>IF($C1372="","",IFERROR(INDEX(ENVIOS!$B$4:$B$3003,MATCH($C1372,ENVIOS!$A$4:$A$3003,0)),""))</f>
        <v/>
      </c>
      <c r="K1372" s="49" t="n"/>
      <c r="L1372" s="27">
        <f>IF($K1372="","",IFERROR(INDEX(CONFIG!$B$4:$B$43,MATCH($K1372,CONFIG!$A$4:$A$43,0)),"Media"))</f>
        <v/>
      </c>
      <c r="M1372" s="27">
        <f>IF($K1372="","",IFERROR(INDEX(CONFIG!$D$4:$D$43,MATCH($K1372,CONFIG!$A$4:$A$43,0)),"NO"))</f>
        <v/>
      </c>
      <c r="N1372" s="49" t="n"/>
      <c r="O1372" s="27">
        <f>IF($N1372="","",IFERROR(INDEX(CONFIG!$G$4:$G$43,MATCH($N1372,CONFIG!$F$4:$F$43,0)),"Por definir"))</f>
        <v/>
      </c>
      <c r="P1372" s="27">
        <f>IF($N1372="","",IFERROR(INDEX(CONFIG!$H$4:$H$43,MATCH($N1372,CONFIG!$F$4:$F$43,0)),"Por definir"))</f>
        <v/>
      </c>
      <c r="Q1372" s="50" t="n"/>
      <c r="R1372" s="51" t="n"/>
      <c r="S1372" s="49" t="n"/>
      <c r="T1372" s="49" t="n"/>
      <c r="U1372" s="48">
        <f>IF(OR($B1372="",$K1372=""),"",WORKDAY($B1372,IFERROR(INDEX(CONFIG!$C$4:$C$43,MATCH($K1372,CONFIG!$A$4:$A$43,0)),3)))</f>
        <v/>
      </c>
      <c r="V1372" s="46" t="n"/>
      <c r="W1372" s="23">
        <f>IF($B1372="","",IF($V1372&lt;&gt;"",$V1372-$B1372,TODAY()-$B1372))</f>
        <v/>
      </c>
      <c r="X1372" s="27">
        <f>IF($C1372="","",IF(IFERROR(INDEX(CONFIG!$K$4:$K$43,MATCH($S1372,CONFIG!$J$4:$J$43,0)),"NO")="SÍ",IF(OR($V1372="",$U1372=""),"Resuelta",IF($V1372&gt;$U1372,"Resuelta tarde","Resuelta a tiempo")),IF($U1372="","Sin clasificar",IF(TODAY()&gt;$U1372,"Vencida",IF(TODAY()&gt;=$U1372-1,"Por vencer","En plazo")))))</f>
        <v/>
      </c>
      <c r="Y1372" s="49" t="n"/>
      <c r="Z1372" s="49" t="n"/>
    </row>
    <row r="1373" ht="16" customHeight="1">
      <c r="A1373" s="27">
        <f>IF($C1373="","","N-"&amp;TEXT(ROW()-3,"0000"))</f>
        <v/>
      </c>
      <c r="B1373" s="46" t="n"/>
      <c r="C1373" s="47" t="n"/>
      <c r="D1373" s="27">
        <f>IF($C1373="","",IF(COUNTIFS(ENVIOS!$A$4:$A$3003,$C1373)=0,"NO EXISTE",IF(COUNTIFS(ENVIOS!$A$4:$A$3003,$C1373)&gt;1,"DUPLICADA","OK")))</f>
        <v/>
      </c>
      <c r="E1373" s="22">
        <f>IF($C1373="","",IFERROR(INDEX(ENVIOS!$C$4:$C$3003,MATCH($C1373,ENVIOS!$A$4:$A$3003,0)),"—"))</f>
        <v/>
      </c>
      <c r="F1373" s="22">
        <f>IF($C1373="","",IFERROR(INDEX(ENVIOS!$D$4:$D$3003,MATCH($C1373,ENVIOS!$A$4:$A$3003,0)),"—"))</f>
        <v/>
      </c>
      <c r="G1373" s="22">
        <f>IF($C1373="","",IFERROR(INDEX(ENVIOS!$E$4:$E$3003,MATCH($C1373,ENVIOS!$A$4:$A$3003,0)),"—"))</f>
        <v/>
      </c>
      <c r="H1373" s="22">
        <f>IF($C1373="","",IFERROR(INDEX(ENVIOS!$F$4:$F$3003,MATCH($C1373,ENVIOS!$A$4:$A$3003,0)),"—"))</f>
        <v/>
      </c>
      <c r="I1373" s="27">
        <f>IF($C1373="","",IFERROR(INDEX(ENVIOS!$G$4:$G$3003,MATCH($C1373,ENVIOS!$A$4:$A$3003,0)),"—"))</f>
        <v/>
      </c>
      <c r="J1373" s="48">
        <f>IF($C1373="","",IFERROR(INDEX(ENVIOS!$B$4:$B$3003,MATCH($C1373,ENVIOS!$A$4:$A$3003,0)),""))</f>
        <v/>
      </c>
      <c r="K1373" s="49" t="n"/>
      <c r="L1373" s="27">
        <f>IF($K1373="","",IFERROR(INDEX(CONFIG!$B$4:$B$43,MATCH($K1373,CONFIG!$A$4:$A$43,0)),"Media"))</f>
        <v/>
      </c>
      <c r="M1373" s="27">
        <f>IF($K1373="","",IFERROR(INDEX(CONFIG!$D$4:$D$43,MATCH($K1373,CONFIG!$A$4:$A$43,0)),"NO"))</f>
        <v/>
      </c>
      <c r="N1373" s="49" t="n"/>
      <c r="O1373" s="27">
        <f>IF($N1373="","",IFERROR(INDEX(CONFIG!$G$4:$G$43,MATCH($N1373,CONFIG!$F$4:$F$43,0)),"Por definir"))</f>
        <v/>
      </c>
      <c r="P1373" s="27">
        <f>IF($N1373="","",IFERROR(INDEX(CONFIG!$H$4:$H$43,MATCH($N1373,CONFIG!$F$4:$F$43,0)),"Por definir"))</f>
        <v/>
      </c>
      <c r="Q1373" s="50" t="n"/>
      <c r="R1373" s="51" t="n"/>
      <c r="S1373" s="49" t="n"/>
      <c r="T1373" s="49" t="n"/>
      <c r="U1373" s="48">
        <f>IF(OR($B1373="",$K1373=""),"",WORKDAY($B1373,IFERROR(INDEX(CONFIG!$C$4:$C$43,MATCH($K1373,CONFIG!$A$4:$A$43,0)),3)))</f>
        <v/>
      </c>
      <c r="V1373" s="46" t="n"/>
      <c r="W1373" s="23">
        <f>IF($B1373="","",IF($V1373&lt;&gt;"",$V1373-$B1373,TODAY()-$B1373))</f>
        <v/>
      </c>
      <c r="X1373" s="27">
        <f>IF($C1373="","",IF(IFERROR(INDEX(CONFIG!$K$4:$K$43,MATCH($S1373,CONFIG!$J$4:$J$43,0)),"NO")="SÍ",IF(OR($V1373="",$U1373=""),"Resuelta",IF($V1373&gt;$U1373,"Resuelta tarde","Resuelta a tiempo")),IF($U1373="","Sin clasificar",IF(TODAY()&gt;$U1373,"Vencida",IF(TODAY()&gt;=$U1373-1,"Por vencer","En plazo")))))</f>
        <v/>
      </c>
      <c r="Y1373" s="49" t="n"/>
      <c r="Z1373" s="49" t="n"/>
    </row>
    <row r="1374" ht="16" customHeight="1">
      <c r="A1374" s="27">
        <f>IF($C1374="","","N-"&amp;TEXT(ROW()-3,"0000"))</f>
        <v/>
      </c>
      <c r="B1374" s="46" t="n"/>
      <c r="C1374" s="47" t="n"/>
      <c r="D1374" s="27">
        <f>IF($C1374="","",IF(COUNTIFS(ENVIOS!$A$4:$A$3003,$C1374)=0,"NO EXISTE",IF(COUNTIFS(ENVIOS!$A$4:$A$3003,$C1374)&gt;1,"DUPLICADA","OK")))</f>
        <v/>
      </c>
      <c r="E1374" s="22">
        <f>IF($C1374="","",IFERROR(INDEX(ENVIOS!$C$4:$C$3003,MATCH($C1374,ENVIOS!$A$4:$A$3003,0)),"—"))</f>
        <v/>
      </c>
      <c r="F1374" s="22">
        <f>IF($C1374="","",IFERROR(INDEX(ENVIOS!$D$4:$D$3003,MATCH($C1374,ENVIOS!$A$4:$A$3003,0)),"—"))</f>
        <v/>
      </c>
      <c r="G1374" s="22">
        <f>IF($C1374="","",IFERROR(INDEX(ENVIOS!$E$4:$E$3003,MATCH($C1374,ENVIOS!$A$4:$A$3003,0)),"—"))</f>
        <v/>
      </c>
      <c r="H1374" s="22">
        <f>IF($C1374="","",IFERROR(INDEX(ENVIOS!$F$4:$F$3003,MATCH($C1374,ENVIOS!$A$4:$A$3003,0)),"—"))</f>
        <v/>
      </c>
      <c r="I1374" s="27">
        <f>IF($C1374="","",IFERROR(INDEX(ENVIOS!$G$4:$G$3003,MATCH($C1374,ENVIOS!$A$4:$A$3003,0)),"—"))</f>
        <v/>
      </c>
      <c r="J1374" s="48">
        <f>IF($C1374="","",IFERROR(INDEX(ENVIOS!$B$4:$B$3003,MATCH($C1374,ENVIOS!$A$4:$A$3003,0)),""))</f>
        <v/>
      </c>
      <c r="K1374" s="49" t="n"/>
      <c r="L1374" s="27">
        <f>IF($K1374="","",IFERROR(INDEX(CONFIG!$B$4:$B$43,MATCH($K1374,CONFIG!$A$4:$A$43,0)),"Media"))</f>
        <v/>
      </c>
      <c r="M1374" s="27">
        <f>IF($K1374="","",IFERROR(INDEX(CONFIG!$D$4:$D$43,MATCH($K1374,CONFIG!$A$4:$A$43,0)),"NO"))</f>
        <v/>
      </c>
      <c r="N1374" s="49" t="n"/>
      <c r="O1374" s="27">
        <f>IF($N1374="","",IFERROR(INDEX(CONFIG!$G$4:$G$43,MATCH($N1374,CONFIG!$F$4:$F$43,0)),"Por definir"))</f>
        <v/>
      </c>
      <c r="P1374" s="27">
        <f>IF($N1374="","",IFERROR(INDEX(CONFIG!$H$4:$H$43,MATCH($N1374,CONFIG!$F$4:$F$43,0)),"Por definir"))</f>
        <v/>
      </c>
      <c r="Q1374" s="50" t="n"/>
      <c r="R1374" s="51" t="n"/>
      <c r="S1374" s="49" t="n"/>
      <c r="T1374" s="49" t="n"/>
      <c r="U1374" s="48">
        <f>IF(OR($B1374="",$K1374=""),"",WORKDAY($B1374,IFERROR(INDEX(CONFIG!$C$4:$C$43,MATCH($K1374,CONFIG!$A$4:$A$43,0)),3)))</f>
        <v/>
      </c>
      <c r="V1374" s="46" t="n"/>
      <c r="W1374" s="23">
        <f>IF($B1374="","",IF($V1374&lt;&gt;"",$V1374-$B1374,TODAY()-$B1374))</f>
        <v/>
      </c>
      <c r="X1374" s="27">
        <f>IF($C1374="","",IF(IFERROR(INDEX(CONFIG!$K$4:$K$43,MATCH($S1374,CONFIG!$J$4:$J$43,0)),"NO")="SÍ",IF(OR($V1374="",$U1374=""),"Resuelta",IF($V1374&gt;$U1374,"Resuelta tarde","Resuelta a tiempo")),IF($U1374="","Sin clasificar",IF(TODAY()&gt;$U1374,"Vencida",IF(TODAY()&gt;=$U1374-1,"Por vencer","En plazo")))))</f>
        <v/>
      </c>
      <c r="Y1374" s="49" t="n"/>
      <c r="Z1374" s="49" t="n"/>
    </row>
    <row r="1375" ht="16" customHeight="1">
      <c r="A1375" s="27">
        <f>IF($C1375="","","N-"&amp;TEXT(ROW()-3,"0000"))</f>
        <v/>
      </c>
      <c r="B1375" s="46" t="n"/>
      <c r="C1375" s="47" t="n"/>
      <c r="D1375" s="27">
        <f>IF($C1375="","",IF(COUNTIFS(ENVIOS!$A$4:$A$3003,$C1375)=0,"NO EXISTE",IF(COUNTIFS(ENVIOS!$A$4:$A$3003,$C1375)&gt;1,"DUPLICADA","OK")))</f>
        <v/>
      </c>
      <c r="E1375" s="22">
        <f>IF($C1375="","",IFERROR(INDEX(ENVIOS!$C$4:$C$3003,MATCH($C1375,ENVIOS!$A$4:$A$3003,0)),"—"))</f>
        <v/>
      </c>
      <c r="F1375" s="22">
        <f>IF($C1375="","",IFERROR(INDEX(ENVIOS!$D$4:$D$3003,MATCH($C1375,ENVIOS!$A$4:$A$3003,0)),"—"))</f>
        <v/>
      </c>
      <c r="G1375" s="22">
        <f>IF($C1375="","",IFERROR(INDEX(ENVIOS!$E$4:$E$3003,MATCH($C1375,ENVIOS!$A$4:$A$3003,0)),"—"))</f>
        <v/>
      </c>
      <c r="H1375" s="22">
        <f>IF($C1375="","",IFERROR(INDEX(ENVIOS!$F$4:$F$3003,MATCH($C1375,ENVIOS!$A$4:$A$3003,0)),"—"))</f>
        <v/>
      </c>
      <c r="I1375" s="27">
        <f>IF($C1375="","",IFERROR(INDEX(ENVIOS!$G$4:$G$3003,MATCH($C1375,ENVIOS!$A$4:$A$3003,0)),"—"))</f>
        <v/>
      </c>
      <c r="J1375" s="48">
        <f>IF($C1375="","",IFERROR(INDEX(ENVIOS!$B$4:$B$3003,MATCH($C1375,ENVIOS!$A$4:$A$3003,0)),""))</f>
        <v/>
      </c>
      <c r="K1375" s="49" t="n"/>
      <c r="L1375" s="27">
        <f>IF($K1375="","",IFERROR(INDEX(CONFIG!$B$4:$B$43,MATCH($K1375,CONFIG!$A$4:$A$43,0)),"Media"))</f>
        <v/>
      </c>
      <c r="M1375" s="27">
        <f>IF($K1375="","",IFERROR(INDEX(CONFIG!$D$4:$D$43,MATCH($K1375,CONFIG!$A$4:$A$43,0)),"NO"))</f>
        <v/>
      </c>
      <c r="N1375" s="49" t="n"/>
      <c r="O1375" s="27">
        <f>IF($N1375="","",IFERROR(INDEX(CONFIG!$G$4:$G$43,MATCH($N1375,CONFIG!$F$4:$F$43,0)),"Por definir"))</f>
        <v/>
      </c>
      <c r="P1375" s="27">
        <f>IF($N1375="","",IFERROR(INDEX(CONFIG!$H$4:$H$43,MATCH($N1375,CONFIG!$F$4:$F$43,0)),"Por definir"))</f>
        <v/>
      </c>
      <c r="Q1375" s="50" t="n"/>
      <c r="R1375" s="51" t="n"/>
      <c r="S1375" s="49" t="n"/>
      <c r="T1375" s="49" t="n"/>
      <c r="U1375" s="48">
        <f>IF(OR($B1375="",$K1375=""),"",WORKDAY($B1375,IFERROR(INDEX(CONFIG!$C$4:$C$43,MATCH($K1375,CONFIG!$A$4:$A$43,0)),3)))</f>
        <v/>
      </c>
      <c r="V1375" s="46" t="n"/>
      <c r="W1375" s="23">
        <f>IF($B1375="","",IF($V1375&lt;&gt;"",$V1375-$B1375,TODAY()-$B1375))</f>
        <v/>
      </c>
      <c r="X1375" s="27">
        <f>IF($C1375="","",IF(IFERROR(INDEX(CONFIG!$K$4:$K$43,MATCH($S1375,CONFIG!$J$4:$J$43,0)),"NO")="SÍ",IF(OR($V1375="",$U1375=""),"Resuelta",IF($V1375&gt;$U1375,"Resuelta tarde","Resuelta a tiempo")),IF($U1375="","Sin clasificar",IF(TODAY()&gt;$U1375,"Vencida",IF(TODAY()&gt;=$U1375-1,"Por vencer","En plazo")))))</f>
        <v/>
      </c>
      <c r="Y1375" s="49" t="n"/>
      <c r="Z1375" s="49" t="n"/>
    </row>
    <row r="1376" ht="16" customHeight="1">
      <c r="A1376" s="27">
        <f>IF($C1376="","","N-"&amp;TEXT(ROW()-3,"0000"))</f>
        <v/>
      </c>
      <c r="B1376" s="46" t="n"/>
      <c r="C1376" s="47" t="n"/>
      <c r="D1376" s="27">
        <f>IF($C1376="","",IF(COUNTIFS(ENVIOS!$A$4:$A$3003,$C1376)=0,"NO EXISTE",IF(COUNTIFS(ENVIOS!$A$4:$A$3003,$C1376)&gt;1,"DUPLICADA","OK")))</f>
        <v/>
      </c>
      <c r="E1376" s="22">
        <f>IF($C1376="","",IFERROR(INDEX(ENVIOS!$C$4:$C$3003,MATCH($C1376,ENVIOS!$A$4:$A$3003,0)),"—"))</f>
        <v/>
      </c>
      <c r="F1376" s="22">
        <f>IF($C1376="","",IFERROR(INDEX(ENVIOS!$D$4:$D$3003,MATCH($C1376,ENVIOS!$A$4:$A$3003,0)),"—"))</f>
        <v/>
      </c>
      <c r="G1376" s="22">
        <f>IF($C1376="","",IFERROR(INDEX(ENVIOS!$E$4:$E$3003,MATCH($C1376,ENVIOS!$A$4:$A$3003,0)),"—"))</f>
        <v/>
      </c>
      <c r="H1376" s="22">
        <f>IF($C1376="","",IFERROR(INDEX(ENVIOS!$F$4:$F$3003,MATCH($C1376,ENVIOS!$A$4:$A$3003,0)),"—"))</f>
        <v/>
      </c>
      <c r="I1376" s="27">
        <f>IF($C1376="","",IFERROR(INDEX(ENVIOS!$G$4:$G$3003,MATCH($C1376,ENVIOS!$A$4:$A$3003,0)),"—"))</f>
        <v/>
      </c>
      <c r="J1376" s="48">
        <f>IF($C1376="","",IFERROR(INDEX(ENVIOS!$B$4:$B$3003,MATCH($C1376,ENVIOS!$A$4:$A$3003,0)),""))</f>
        <v/>
      </c>
      <c r="K1376" s="49" t="n"/>
      <c r="L1376" s="27">
        <f>IF($K1376="","",IFERROR(INDEX(CONFIG!$B$4:$B$43,MATCH($K1376,CONFIG!$A$4:$A$43,0)),"Media"))</f>
        <v/>
      </c>
      <c r="M1376" s="27">
        <f>IF($K1376="","",IFERROR(INDEX(CONFIG!$D$4:$D$43,MATCH($K1376,CONFIG!$A$4:$A$43,0)),"NO"))</f>
        <v/>
      </c>
      <c r="N1376" s="49" t="n"/>
      <c r="O1376" s="27">
        <f>IF($N1376="","",IFERROR(INDEX(CONFIG!$G$4:$G$43,MATCH($N1376,CONFIG!$F$4:$F$43,0)),"Por definir"))</f>
        <v/>
      </c>
      <c r="P1376" s="27">
        <f>IF($N1376="","",IFERROR(INDEX(CONFIG!$H$4:$H$43,MATCH($N1376,CONFIG!$F$4:$F$43,0)),"Por definir"))</f>
        <v/>
      </c>
      <c r="Q1376" s="50" t="n"/>
      <c r="R1376" s="51" t="n"/>
      <c r="S1376" s="49" t="n"/>
      <c r="T1376" s="49" t="n"/>
      <c r="U1376" s="48">
        <f>IF(OR($B1376="",$K1376=""),"",WORKDAY($B1376,IFERROR(INDEX(CONFIG!$C$4:$C$43,MATCH($K1376,CONFIG!$A$4:$A$43,0)),3)))</f>
        <v/>
      </c>
      <c r="V1376" s="46" t="n"/>
      <c r="W1376" s="23">
        <f>IF($B1376="","",IF($V1376&lt;&gt;"",$V1376-$B1376,TODAY()-$B1376))</f>
        <v/>
      </c>
      <c r="X1376" s="27">
        <f>IF($C1376="","",IF(IFERROR(INDEX(CONFIG!$K$4:$K$43,MATCH($S1376,CONFIG!$J$4:$J$43,0)),"NO")="SÍ",IF(OR($V1376="",$U1376=""),"Resuelta",IF($V1376&gt;$U1376,"Resuelta tarde","Resuelta a tiempo")),IF($U1376="","Sin clasificar",IF(TODAY()&gt;$U1376,"Vencida",IF(TODAY()&gt;=$U1376-1,"Por vencer","En plazo")))))</f>
        <v/>
      </c>
      <c r="Y1376" s="49" t="n"/>
      <c r="Z1376" s="49" t="n"/>
    </row>
    <row r="1377" ht="16" customHeight="1">
      <c r="A1377" s="27">
        <f>IF($C1377="","","N-"&amp;TEXT(ROW()-3,"0000"))</f>
        <v/>
      </c>
      <c r="B1377" s="46" t="n"/>
      <c r="C1377" s="47" t="n"/>
      <c r="D1377" s="27">
        <f>IF($C1377="","",IF(COUNTIFS(ENVIOS!$A$4:$A$3003,$C1377)=0,"NO EXISTE",IF(COUNTIFS(ENVIOS!$A$4:$A$3003,$C1377)&gt;1,"DUPLICADA","OK")))</f>
        <v/>
      </c>
      <c r="E1377" s="22">
        <f>IF($C1377="","",IFERROR(INDEX(ENVIOS!$C$4:$C$3003,MATCH($C1377,ENVIOS!$A$4:$A$3003,0)),"—"))</f>
        <v/>
      </c>
      <c r="F1377" s="22">
        <f>IF($C1377="","",IFERROR(INDEX(ENVIOS!$D$4:$D$3003,MATCH($C1377,ENVIOS!$A$4:$A$3003,0)),"—"))</f>
        <v/>
      </c>
      <c r="G1377" s="22">
        <f>IF($C1377="","",IFERROR(INDEX(ENVIOS!$E$4:$E$3003,MATCH($C1377,ENVIOS!$A$4:$A$3003,0)),"—"))</f>
        <v/>
      </c>
      <c r="H1377" s="22">
        <f>IF($C1377="","",IFERROR(INDEX(ENVIOS!$F$4:$F$3003,MATCH($C1377,ENVIOS!$A$4:$A$3003,0)),"—"))</f>
        <v/>
      </c>
      <c r="I1377" s="27">
        <f>IF($C1377="","",IFERROR(INDEX(ENVIOS!$G$4:$G$3003,MATCH($C1377,ENVIOS!$A$4:$A$3003,0)),"—"))</f>
        <v/>
      </c>
      <c r="J1377" s="48">
        <f>IF($C1377="","",IFERROR(INDEX(ENVIOS!$B$4:$B$3003,MATCH($C1377,ENVIOS!$A$4:$A$3003,0)),""))</f>
        <v/>
      </c>
      <c r="K1377" s="49" t="n"/>
      <c r="L1377" s="27">
        <f>IF($K1377="","",IFERROR(INDEX(CONFIG!$B$4:$B$43,MATCH($K1377,CONFIG!$A$4:$A$43,0)),"Media"))</f>
        <v/>
      </c>
      <c r="M1377" s="27">
        <f>IF($K1377="","",IFERROR(INDEX(CONFIG!$D$4:$D$43,MATCH($K1377,CONFIG!$A$4:$A$43,0)),"NO"))</f>
        <v/>
      </c>
      <c r="N1377" s="49" t="n"/>
      <c r="O1377" s="27">
        <f>IF($N1377="","",IFERROR(INDEX(CONFIG!$G$4:$G$43,MATCH($N1377,CONFIG!$F$4:$F$43,0)),"Por definir"))</f>
        <v/>
      </c>
      <c r="P1377" s="27">
        <f>IF($N1377="","",IFERROR(INDEX(CONFIG!$H$4:$H$43,MATCH($N1377,CONFIG!$F$4:$F$43,0)),"Por definir"))</f>
        <v/>
      </c>
      <c r="Q1377" s="50" t="n"/>
      <c r="R1377" s="51" t="n"/>
      <c r="S1377" s="49" t="n"/>
      <c r="T1377" s="49" t="n"/>
      <c r="U1377" s="48">
        <f>IF(OR($B1377="",$K1377=""),"",WORKDAY($B1377,IFERROR(INDEX(CONFIG!$C$4:$C$43,MATCH($K1377,CONFIG!$A$4:$A$43,0)),3)))</f>
        <v/>
      </c>
      <c r="V1377" s="46" t="n"/>
      <c r="W1377" s="23">
        <f>IF($B1377="","",IF($V1377&lt;&gt;"",$V1377-$B1377,TODAY()-$B1377))</f>
        <v/>
      </c>
      <c r="X1377" s="27">
        <f>IF($C1377="","",IF(IFERROR(INDEX(CONFIG!$K$4:$K$43,MATCH($S1377,CONFIG!$J$4:$J$43,0)),"NO")="SÍ",IF(OR($V1377="",$U1377=""),"Resuelta",IF($V1377&gt;$U1377,"Resuelta tarde","Resuelta a tiempo")),IF($U1377="","Sin clasificar",IF(TODAY()&gt;$U1377,"Vencida",IF(TODAY()&gt;=$U1377-1,"Por vencer","En plazo")))))</f>
        <v/>
      </c>
      <c r="Y1377" s="49" t="n"/>
      <c r="Z1377" s="49" t="n"/>
    </row>
    <row r="1378" ht="16" customHeight="1">
      <c r="A1378" s="27">
        <f>IF($C1378="","","N-"&amp;TEXT(ROW()-3,"0000"))</f>
        <v/>
      </c>
      <c r="B1378" s="46" t="n"/>
      <c r="C1378" s="47" t="n"/>
      <c r="D1378" s="27">
        <f>IF($C1378="","",IF(COUNTIFS(ENVIOS!$A$4:$A$3003,$C1378)=0,"NO EXISTE",IF(COUNTIFS(ENVIOS!$A$4:$A$3003,$C1378)&gt;1,"DUPLICADA","OK")))</f>
        <v/>
      </c>
      <c r="E1378" s="22">
        <f>IF($C1378="","",IFERROR(INDEX(ENVIOS!$C$4:$C$3003,MATCH($C1378,ENVIOS!$A$4:$A$3003,0)),"—"))</f>
        <v/>
      </c>
      <c r="F1378" s="22">
        <f>IF($C1378="","",IFERROR(INDEX(ENVIOS!$D$4:$D$3003,MATCH($C1378,ENVIOS!$A$4:$A$3003,0)),"—"))</f>
        <v/>
      </c>
      <c r="G1378" s="22">
        <f>IF($C1378="","",IFERROR(INDEX(ENVIOS!$E$4:$E$3003,MATCH($C1378,ENVIOS!$A$4:$A$3003,0)),"—"))</f>
        <v/>
      </c>
      <c r="H1378" s="22">
        <f>IF($C1378="","",IFERROR(INDEX(ENVIOS!$F$4:$F$3003,MATCH($C1378,ENVIOS!$A$4:$A$3003,0)),"—"))</f>
        <v/>
      </c>
      <c r="I1378" s="27">
        <f>IF($C1378="","",IFERROR(INDEX(ENVIOS!$G$4:$G$3003,MATCH($C1378,ENVIOS!$A$4:$A$3003,0)),"—"))</f>
        <v/>
      </c>
      <c r="J1378" s="48">
        <f>IF($C1378="","",IFERROR(INDEX(ENVIOS!$B$4:$B$3003,MATCH($C1378,ENVIOS!$A$4:$A$3003,0)),""))</f>
        <v/>
      </c>
      <c r="K1378" s="49" t="n"/>
      <c r="L1378" s="27">
        <f>IF($K1378="","",IFERROR(INDEX(CONFIG!$B$4:$B$43,MATCH($K1378,CONFIG!$A$4:$A$43,0)),"Media"))</f>
        <v/>
      </c>
      <c r="M1378" s="27">
        <f>IF($K1378="","",IFERROR(INDEX(CONFIG!$D$4:$D$43,MATCH($K1378,CONFIG!$A$4:$A$43,0)),"NO"))</f>
        <v/>
      </c>
      <c r="N1378" s="49" t="n"/>
      <c r="O1378" s="27">
        <f>IF($N1378="","",IFERROR(INDEX(CONFIG!$G$4:$G$43,MATCH($N1378,CONFIG!$F$4:$F$43,0)),"Por definir"))</f>
        <v/>
      </c>
      <c r="P1378" s="27">
        <f>IF($N1378="","",IFERROR(INDEX(CONFIG!$H$4:$H$43,MATCH($N1378,CONFIG!$F$4:$F$43,0)),"Por definir"))</f>
        <v/>
      </c>
      <c r="Q1378" s="50" t="n"/>
      <c r="R1378" s="51" t="n"/>
      <c r="S1378" s="49" t="n"/>
      <c r="T1378" s="49" t="n"/>
      <c r="U1378" s="48">
        <f>IF(OR($B1378="",$K1378=""),"",WORKDAY($B1378,IFERROR(INDEX(CONFIG!$C$4:$C$43,MATCH($K1378,CONFIG!$A$4:$A$43,0)),3)))</f>
        <v/>
      </c>
      <c r="V1378" s="46" t="n"/>
      <c r="W1378" s="23">
        <f>IF($B1378="","",IF($V1378&lt;&gt;"",$V1378-$B1378,TODAY()-$B1378))</f>
        <v/>
      </c>
      <c r="X1378" s="27">
        <f>IF($C1378="","",IF(IFERROR(INDEX(CONFIG!$K$4:$K$43,MATCH($S1378,CONFIG!$J$4:$J$43,0)),"NO")="SÍ",IF(OR($V1378="",$U1378=""),"Resuelta",IF($V1378&gt;$U1378,"Resuelta tarde","Resuelta a tiempo")),IF($U1378="","Sin clasificar",IF(TODAY()&gt;$U1378,"Vencida",IF(TODAY()&gt;=$U1378-1,"Por vencer","En plazo")))))</f>
        <v/>
      </c>
      <c r="Y1378" s="49" t="n"/>
      <c r="Z1378" s="49" t="n"/>
    </row>
    <row r="1379" ht="16" customHeight="1">
      <c r="A1379" s="27">
        <f>IF($C1379="","","N-"&amp;TEXT(ROW()-3,"0000"))</f>
        <v/>
      </c>
      <c r="B1379" s="46" t="n"/>
      <c r="C1379" s="47" t="n"/>
      <c r="D1379" s="27">
        <f>IF($C1379="","",IF(COUNTIFS(ENVIOS!$A$4:$A$3003,$C1379)=0,"NO EXISTE",IF(COUNTIFS(ENVIOS!$A$4:$A$3003,$C1379)&gt;1,"DUPLICADA","OK")))</f>
        <v/>
      </c>
      <c r="E1379" s="22">
        <f>IF($C1379="","",IFERROR(INDEX(ENVIOS!$C$4:$C$3003,MATCH($C1379,ENVIOS!$A$4:$A$3003,0)),"—"))</f>
        <v/>
      </c>
      <c r="F1379" s="22">
        <f>IF($C1379="","",IFERROR(INDEX(ENVIOS!$D$4:$D$3003,MATCH($C1379,ENVIOS!$A$4:$A$3003,0)),"—"))</f>
        <v/>
      </c>
      <c r="G1379" s="22">
        <f>IF($C1379="","",IFERROR(INDEX(ENVIOS!$E$4:$E$3003,MATCH($C1379,ENVIOS!$A$4:$A$3003,0)),"—"))</f>
        <v/>
      </c>
      <c r="H1379" s="22">
        <f>IF($C1379="","",IFERROR(INDEX(ENVIOS!$F$4:$F$3003,MATCH($C1379,ENVIOS!$A$4:$A$3003,0)),"—"))</f>
        <v/>
      </c>
      <c r="I1379" s="27">
        <f>IF($C1379="","",IFERROR(INDEX(ENVIOS!$G$4:$G$3003,MATCH($C1379,ENVIOS!$A$4:$A$3003,0)),"—"))</f>
        <v/>
      </c>
      <c r="J1379" s="48">
        <f>IF($C1379="","",IFERROR(INDEX(ENVIOS!$B$4:$B$3003,MATCH($C1379,ENVIOS!$A$4:$A$3003,0)),""))</f>
        <v/>
      </c>
      <c r="K1379" s="49" t="n"/>
      <c r="L1379" s="27">
        <f>IF($K1379="","",IFERROR(INDEX(CONFIG!$B$4:$B$43,MATCH($K1379,CONFIG!$A$4:$A$43,0)),"Media"))</f>
        <v/>
      </c>
      <c r="M1379" s="27">
        <f>IF($K1379="","",IFERROR(INDEX(CONFIG!$D$4:$D$43,MATCH($K1379,CONFIG!$A$4:$A$43,0)),"NO"))</f>
        <v/>
      </c>
      <c r="N1379" s="49" t="n"/>
      <c r="O1379" s="27">
        <f>IF($N1379="","",IFERROR(INDEX(CONFIG!$G$4:$G$43,MATCH($N1379,CONFIG!$F$4:$F$43,0)),"Por definir"))</f>
        <v/>
      </c>
      <c r="P1379" s="27">
        <f>IF($N1379="","",IFERROR(INDEX(CONFIG!$H$4:$H$43,MATCH($N1379,CONFIG!$F$4:$F$43,0)),"Por definir"))</f>
        <v/>
      </c>
      <c r="Q1379" s="50" t="n"/>
      <c r="R1379" s="51" t="n"/>
      <c r="S1379" s="49" t="n"/>
      <c r="T1379" s="49" t="n"/>
      <c r="U1379" s="48">
        <f>IF(OR($B1379="",$K1379=""),"",WORKDAY($B1379,IFERROR(INDEX(CONFIG!$C$4:$C$43,MATCH($K1379,CONFIG!$A$4:$A$43,0)),3)))</f>
        <v/>
      </c>
      <c r="V1379" s="46" t="n"/>
      <c r="W1379" s="23">
        <f>IF($B1379="","",IF($V1379&lt;&gt;"",$V1379-$B1379,TODAY()-$B1379))</f>
        <v/>
      </c>
      <c r="X1379" s="27">
        <f>IF($C1379="","",IF(IFERROR(INDEX(CONFIG!$K$4:$K$43,MATCH($S1379,CONFIG!$J$4:$J$43,0)),"NO")="SÍ",IF(OR($V1379="",$U1379=""),"Resuelta",IF($V1379&gt;$U1379,"Resuelta tarde","Resuelta a tiempo")),IF($U1379="","Sin clasificar",IF(TODAY()&gt;$U1379,"Vencida",IF(TODAY()&gt;=$U1379-1,"Por vencer","En plazo")))))</f>
        <v/>
      </c>
      <c r="Y1379" s="49" t="n"/>
      <c r="Z1379" s="49" t="n"/>
    </row>
    <row r="1380" ht="16" customHeight="1">
      <c r="A1380" s="27">
        <f>IF($C1380="","","N-"&amp;TEXT(ROW()-3,"0000"))</f>
        <v/>
      </c>
      <c r="B1380" s="46" t="n"/>
      <c r="C1380" s="47" t="n"/>
      <c r="D1380" s="27">
        <f>IF($C1380="","",IF(COUNTIFS(ENVIOS!$A$4:$A$3003,$C1380)=0,"NO EXISTE",IF(COUNTIFS(ENVIOS!$A$4:$A$3003,$C1380)&gt;1,"DUPLICADA","OK")))</f>
        <v/>
      </c>
      <c r="E1380" s="22">
        <f>IF($C1380="","",IFERROR(INDEX(ENVIOS!$C$4:$C$3003,MATCH($C1380,ENVIOS!$A$4:$A$3003,0)),"—"))</f>
        <v/>
      </c>
      <c r="F1380" s="22">
        <f>IF($C1380="","",IFERROR(INDEX(ENVIOS!$D$4:$D$3003,MATCH($C1380,ENVIOS!$A$4:$A$3003,0)),"—"))</f>
        <v/>
      </c>
      <c r="G1380" s="22">
        <f>IF($C1380="","",IFERROR(INDEX(ENVIOS!$E$4:$E$3003,MATCH($C1380,ENVIOS!$A$4:$A$3003,0)),"—"))</f>
        <v/>
      </c>
      <c r="H1380" s="22">
        <f>IF($C1380="","",IFERROR(INDEX(ENVIOS!$F$4:$F$3003,MATCH($C1380,ENVIOS!$A$4:$A$3003,0)),"—"))</f>
        <v/>
      </c>
      <c r="I1380" s="27">
        <f>IF($C1380="","",IFERROR(INDEX(ENVIOS!$G$4:$G$3003,MATCH($C1380,ENVIOS!$A$4:$A$3003,0)),"—"))</f>
        <v/>
      </c>
      <c r="J1380" s="48">
        <f>IF($C1380="","",IFERROR(INDEX(ENVIOS!$B$4:$B$3003,MATCH($C1380,ENVIOS!$A$4:$A$3003,0)),""))</f>
        <v/>
      </c>
      <c r="K1380" s="49" t="n"/>
      <c r="L1380" s="27">
        <f>IF($K1380="","",IFERROR(INDEX(CONFIG!$B$4:$B$43,MATCH($K1380,CONFIG!$A$4:$A$43,0)),"Media"))</f>
        <v/>
      </c>
      <c r="M1380" s="27">
        <f>IF($K1380="","",IFERROR(INDEX(CONFIG!$D$4:$D$43,MATCH($K1380,CONFIG!$A$4:$A$43,0)),"NO"))</f>
        <v/>
      </c>
      <c r="N1380" s="49" t="n"/>
      <c r="O1380" s="27">
        <f>IF($N1380="","",IFERROR(INDEX(CONFIG!$G$4:$G$43,MATCH($N1380,CONFIG!$F$4:$F$43,0)),"Por definir"))</f>
        <v/>
      </c>
      <c r="P1380" s="27">
        <f>IF($N1380="","",IFERROR(INDEX(CONFIG!$H$4:$H$43,MATCH($N1380,CONFIG!$F$4:$F$43,0)),"Por definir"))</f>
        <v/>
      </c>
      <c r="Q1380" s="50" t="n"/>
      <c r="R1380" s="51" t="n"/>
      <c r="S1380" s="49" t="n"/>
      <c r="T1380" s="49" t="n"/>
      <c r="U1380" s="48">
        <f>IF(OR($B1380="",$K1380=""),"",WORKDAY($B1380,IFERROR(INDEX(CONFIG!$C$4:$C$43,MATCH($K1380,CONFIG!$A$4:$A$43,0)),3)))</f>
        <v/>
      </c>
      <c r="V1380" s="46" t="n"/>
      <c r="W1380" s="23">
        <f>IF($B1380="","",IF($V1380&lt;&gt;"",$V1380-$B1380,TODAY()-$B1380))</f>
        <v/>
      </c>
      <c r="X1380" s="27">
        <f>IF($C1380="","",IF(IFERROR(INDEX(CONFIG!$K$4:$K$43,MATCH($S1380,CONFIG!$J$4:$J$43,0)),"NO")="SÍ",IF(OR($V1380="",$U1380=""),"Resuelta",IF($V1380&gt;$U1380,"Resuelta tarde","Resuelta a tiempo")),IF($U1380="","Sin clasificar",IF(TODAY()&gt;$U1380,"Vencida",IF(TODAY()&gt;=$U1380-1,"Por vencer","En plazo")))))</f>
        <v/>
      </c>
      <c r="Y1380" s="49" t="n"/>
      <c r="Z1380" s="49" t="n"/>
    </row>
    <row r="1381" ht="16" customHeight="1">
      <c r="A1381" s="27">
        <f>IF($C1381="","","N-"&amp;TEXT(ROW()-3,"0000"))</f>
        <v/>
      </c>
      <c r="B1381" s="46" t="n"/>
      <c r="C1381" s="47" t="n"/>
      <c r="D1381" s="27">
        <f>IF($C1381="","",IF(COUNTIFS(ENVIOS!$A$4:$A$3003,$C1381)=0,"NO EXISTE",IF(COUNTIFS(ENVIOS!$A$4:$A$3003,$C1381)&gt;1,"DUPLICADA","OK")))</f>
        <v/>
      </c>
      <c r="E1381" s="22">
        <f>IF($C1381="","",IFERROR(INDEX(ENVIOS!$C$4:$C$3003,MATCH($C1381,ENVIOS!$A$4:$A$3003,0)),"—"))</f>
        <v/>
      </c>
      <c r="F1381" s="22">
        <f>IF($C1381="","",IFERROR(INDEX(ENVIOS!$D$4:$D$3003,MATCH($C1381,ENVIOS!$A$4:$A$3003,0)),"—"))</f>
        <v/>
      </c>
      <c r="G1381" s="22">
        <f>IF($C1381="","",IFERROR(INDEX(ENVIOS!$E$4:$E$3003,MATCH($C1381,ENVIOS!$A$4:$A$3003,0)),"—"))</f>
        <v/>
      </c>
      <c r="H1381" s="22">
        <f>IF($C1381="","",IFERROR(INDEX(ENVIOS!$F$4:$F$3003,MATCH($C1381,ENVIOS!$A$4:$A$3003,0)),"—"))</f>
        <v/>
      </c>
      <c r="I1381" s="27">
        <f>IF($C1381="","",IFERROR(INDEX(ENVIOS!$G$4:$G$3003,MATCH($C1381,ENVIOS!$A$4:$A$3003,0)),"—"))</f>
        <v/>
      </c>
      <c r="J1381" s="48">
        <f>IF($C1381="","",IFERROR(INDEX(ENVIOS!$B$4:$B$3003,MATCH($C1381,ENVIOS!$A$4:$A$3003,0)),""))</f>
        <v/>
      </c>
      <c r="K1381" s="49" t="n"/>
      <c r="L1381" s="27">
        <f>IF($K1381="","",IFERROR(INDEX(CONFIG!$B$4:$B$43,MATCH($K1381,CONFIG!$A$4:$A$43,0)),"Media"))</f>
        <v/>
      </c>
      <c r="M1381" s="27">
        <f>IF($K1381="","",IFERROR(INDEX(CONFIG!$D$4:$D$43,MATCH($K1381,CONFIG!$A$4:$A$43,0)),"NO"))</f>
        <v/>
      </c>
      <c r="N1381" s="49" t="n"/>
      <c r="O1381" s="27">
        <f>IF($N1381="","",IFERROR(INDEX(CONFIG!$G$4:$G$43,MATCH($N1381,CONFIG!$F$4:$F$43,0)),"Por definir"))</f>
        <v/>
      </c>
      <c r="P1381" s="27">
        <f>IF($N1381="","",IFERROR(INDEX(CONFIG!$H$4:$H$43,MATCH($N1381,CONFIG!$F$4:$F$43,0)),"Por definir"))</f>
        <v/>
      </c>
      <c r="Q1381" s="50" t="n"/>
      <c r="R1381" s="51" t="n"/>
      <c r="S1381" s="49" t="n"/>
      <c r="T1381" s="49" t="n"/>
      <c r="U1381" s="48">
        <f>IF(OR($B1381="",$K1381=""),"",WORKDAY($B1381,IFERROR(INDEX(CONFIG!$C$4:$C$43,MATCH($K1381,CONFIG!$A$4:$A$43,0)),3)))</f>
        <v/>
      </c>
      <c r="V1381" s="46" t="n"/>
      <c r="W1381" s="23">
        <f>IF($B1381="","",IF($V1381&lt;&gt;"",$V1381-$B1381,TODAY()-$B1381))</f>
        <v/>
      </c>
      <c r="X1381" s="27">
        <f>IF($C1381="","",IF(IFERROR(INDEX(CONFIG!$K$4:$K$43,MATCH($S1381,CONFIG!$J$4:$J$43,0)),"NO")="SÍ",IF(OR($V1381="",$U1381=""),"Resuelta",IF($V1381&gt;$U1381,"Resuelta tarde","Resuelta a tiempo")),IF($U1381="","Sin clasificar",IF(TODAY()&gt;$U1381,"Vencida",IF(TODAY()&gt;=$U1381-1,"Por vencer","En plazo")))))</f>
        <v/>
      </c>
      <c r="Y1381" s="49" t="n"/>
      <c r="Z1381" s="49" t="n"/>
    </row>
    <row r="1382" ht="16" customHeight="1">
      <c r="A1382" s="27">
        <f>IF($C1382="","","N-"&amp;TEXT(ROW()-3,"0000"))</f>
        <v/>
      </c>
      <c r="B1382" s="46" t="n"/>
      <c r="C1382" s="47" t="n"/>
      <c r="D1382" s="27">
        <f>IF($C1382="","",IF(COUNTIFS(ENVIOS!$A$4:$A$3003,$C1382)=0,"NO EXISTE",IF(COUNTIFS(ENVIOS!$A$4:$A$3003,$C1382)&gt;1,"DUPLICADA","OK")))</f>
        <v/>
      </c>
      <c r="E1382" s="22">
        <f>IF($C1382="","",IFERROR(INDEX(ENVIOS!$C$4:$C$3003,MATCH($C1382,ENVIOS!$A$4:$A$3003,0)),"—"))</f>
        <v/>
      </c>
      <c r="F1382" s="22">
        <f>IF($C1382="","",IFERROR(INDEX(ENVIOS!$D$4:$D$3003,MATCH($C1382,ENVIOS!$A$4:$A$3003,0)),"—"))</f>
        <v/>
      </c>
      <c r="G1382" s="22">
        <f>IF($C1382="","",IFERROR(INDEX(ENVIOS!$E$4:$E$3003,MATCH($C1382,ENVIOS!$A$4:$A$3003,0)),"—"))</f>
        <v/>
      </c>
      <c r="H1382" s="22">
        <f>IF($C1382="","",IFERROR(INDEX(ENVIOS!$F$4:$F$3003,MATCH($C1382,ENVIOS!$A$4:$A$3003,0)),"—"))</f>
        <v/>
      </c>
      <c r="I1382" s="27">
        <f>IF($C1382="","",IFERROR(INDEX(ENVIOS!$G$4:$G$3003,MATCH($C1382,ENVIOS!$A$4:$A$3003,0)),"—"))</f>
        <v/>
      </c>
      <c r="J1382" s="48">
        <f>IF($C1382="","",IFERROR(INDEX(ENVIOS!$B$4:$B$3003,MATCH($C1382,ENVIOS!$A$4:$A$3003,0)),""))</f>
        <v/>
      </c>
      <c r="K1382" s="49" t="n"/>
      <c r="L1382" s="27">
        <f>IF($K1382="","",IFERROR(INDEX(CONFIG!$B$4:$B$43,MATCH($K1382,CONFIG!$A$4:$A$43,0)),"Media"))</f>
        <v/>
      </c>
      <c r="M1382" s="27">
        <f>IF($K1382="","",IFERROR(INDEX(CONFIG!$D$4:$D$43,MATCH($K1382,CONFIG!$A$4:$A$43,0)),"NO"))</f>
        <v/>
      </c>
      <c r="N1382" s="49" t="n"/>
      <c r="O1382" s="27">
        <f>IF($N1382="","",IFERROR(INDEX(CONFIG!$G$4:$G$43,MATCH($N1382,CONFIG!$F$4:$F$43,0)),"Por definir"))</f>
        <v/>
      </c>
      <c r="P1382" s="27">
        <f>IF($N1382="","",IFERROR(INDEX(CONFIG!$H$4:$H$43,MATCH($N1382,CONFIG!$F$4:$F$43,0)),"Por definir"))</f>
        <v/>
      </c>
      <c r="Q1382" s="50" t="n"/>
      <c r="R1382" s="51" t="n"/>
      <c r="S1382" s="49" t="n"/>
      <c r="T1382" s="49" t="n"/>
      <c r="U1382" s="48">
        <f>IF(OR($B1382="",$K1382=""),"",WORKDAY($B1382,IFERROR(INDEX(CONFIG!$C$4:$C$43,MATCH($K1382,CONFIG!$A$4:$A$43,0)),3)))</f>
        <v/>
      </c>
      <c r="V1382" s="46" t="n"/>
      <c r="W1382" s="23">
        <f>IF($B1382="","",IF($V1382&lt;&gt;"",$V1382-$B1382,TODAY()-$B1382))</f>
        <v/>
      </c>
      <c r="X1382" s="27">
        <f>IF($C1382="","",IF(IFERROR(INDEX(CONFIG!$K$4:$K$43,MATCH($S1382,CONFIG!$J$4:$J$43,0)),"NO")="SÍ",IF(OR($V1382="",$U1382=""),"Resuelta",IF($V1382&gt;$U1382,"Resuelta tarde","Resuelta a tiempo")),IF($U1382="","Sin clasificar",IF(TODAY()&gt;$U1382,"Vencida",IF(TODAY()&gt;=$U1382-1,"Por vencer","En plazo")))))</f>
        <v/>
      </c>
      <c r="Y1382" s="49" t="n"/>
      <c r="Z1382" s="49" t="n"/>
    </row>
    <row r="1383" ht="16" customHeight="1">
      <c r="A1383" s="27">
        <f>IF($C1383="","","N-"&amp;TEXT(ROW()-3,"0000"))</f>
        <v/>
      </c>
      <c r="B1383" s="46" t="n"/>
      <c r="C1383" s="47" t="n"/>
      <c r="D1383" s="27">
        <f>IF($C1383="","",IF(COUNTIFS(ENVIOS!$A$4:$A$3003,$C1383)=0,"NO EXISTE",IF(COUNTIFS(ENVIOS!$A$4:$A$3003,$C1383)&gt;1,"DUPLICADA","OK")))</f>
        <v/>
      </c>
      <c r="E1383" s="22">
        <f>IF($C1383="","",IFERROR(INDEX(ENVIOS!$C$4:$C$3003,MATCH($C1383,ENVIOS!$A$4:$A$3003,0)),"—"))</f>
        <v/>
      </c>
      <c r="F1383" s="22">
        <f>IF($C1383="","",IFERROR(INDEX(ENVIOS!$D$4:$D$3003,MATCH($C1383,ENVIOS!$A$4:$A$3003,0)),"—"))</f>
        <v/>
      </c>
      <c r="G1383" s="22">
        <f>IF($C1383="","",IFERROR(INDEX(ENVIOS!$E$4:$E$3003,MATCH($C1383,ENVIOS!$A$4:$A$3003,0)),"—"))</f>
        <v/>
      </c>
      <c r="H1383" s="22">
        <f>IF($C1383="","",IFERROR(INDEX(ENVIOS!$F$4:$F$3003,MATCH($C1383,ENVIOS!$A$4:$A$3003,0)),"—"))</f>
        <v/>
      </c>
      <c r="I1383" s="27">
        <f>IF($C1383="","",IFERROR(INDEX(ENVIOS!$G$4:$G$3003,MATCH($C1383,ENVIOS!$A$4:$A$3003,0)),"—"))</f>
        <v/>
      </c>
      <c r="J1383" s="48">
        <f>IF($C1383="","",IFERROR(INDEX(ENVIOS!$B$4:$B$3003,MATCH($C1383,ENVIOS!$A$4:$A$3003,0)),""))</f>
        <v/>
      </c>
      <c r="K1383" s="49" t="n"/>
      <c r="L1383" s="27">
        <f>IF($K1383="","",IFERROR(INDEX(CONFIG!$B$4:$B$43,MATCH($K1383,CONFIG!$A$4:$A$43,0)),"Media"))</f>
        <v/>
      </c>
      <c r="M1383" s="27">
        <f>IF($K1383="","",IFERROR(INDEX(CONFIG!$D$4:$D$43,MATCH($K1383,CONFIG!$A$4:$A$43,0)),"NO"))</f>
        <v/>
      </c>
      <c r="N1383" s="49" t="n"/>
      <c r="O1383" s="27">
        <f>IF($N1383="","",IFERROR(INDEX(CONFIG!$G$4:$G$43,MATCH($N1383,CONFIG!$F$4:$F$43,0)),"Por definir"))</f>
        <v/>
      </c>
      <c r="P1383" s="27">
        <f>IF($N1383="","",IFERROR(INDEX(CONFIG!$H$4:$H$43,MATCH($N1383,CONFIG!$F$4:$F$43,0)),"Por definir"))</f>
        <v/>
      </c>
      <c r="Q1383" s="50" t="n"/>
      <c r="R1383" s="51" t="n"/>
      <c r="S1383" s="49" t="n"/>
      <c r="T1383" s="49" t="n"/>
      <c r="U1383" s="48">
        <f>IF(OR($B1383="",$K1383=""),"",WORKDAY($B1383,IFERROR(INDEX(CONFIG!$C$4:$C$43,MATCH($K1383,CONFIG!$A$4:$A$43,0)),3)))</f>
        <v/>
      </c>
      <c r="V1383" s="46" t="n"/>
      <c r="W1383" s="23">
        <f>IF($B1383="","",IF($V1383&lt;&gt;"",$V1383-$B1383,TODAY()-$B1383))</f>
        <v/>
      </c>
      <c r="X1383" s="27">
        <f>IF($C1383="","",IF(IFERROR(INDEX(CONFIG!$K$4:$K$43,MATCH($S1383,CONFIG!$J$4:$J$43,0)),"NO")="SÍ",IF(OR($V1383="",$U1383=""),"Resuelta",IF($V1383&gt;$U1383,"Resuelta tarde","Resuelta a tiempo")),IF($U1383="","Sin clasificar",IF(TODAY()&gt;$U1383,"Vencida",IF(TODAY()&gt;=$U1383-1,"Por vencer","En plazo")))))</f>
        <v/>
      </c>
      <c r="Y1383" s="49" t="n"/>
      <c r="Z1383" s="49" t="n"/>
    </row>
    <row r="1384" ht="16" customHeight="1">
      <c r="A1384" s="27">
        <f>IF($C1384="","","N-"&amp;TEXT(ROW()-3,"0000"))</f>
        <v/>
      </c>
      <c r="B1384" s="46" t="n"/>
      <c r="C1384" s="47" t="n"/>
      <c r="D1384" s="27">
        <f>IF($C1384="","",IF(COUNTIFS(ENVIOS!$A$4:$A$3003,$C1384)=0,"NO EXISTE",IF(COUNTIFS(ENVIOS!$A$4:$A$3003,$C1384)&gt;1,"DUPLICADA","OK")))</f>
        <v/>
      </c>
      <c r="E1384" s="22">
        <f>IF($C1384="","",IFERROR(INDEX(ENVIOS!$C$4:$C$3003,MATCH($C1384,ENVIOS!$A$4:$A$3003,0)),"—"))</f>
        <v/>
      </c>
      <c r="F1384" s="22">
        <f>IF($C1384="","",IFERROR(INDEX(ENVIOS!$D$4:$D$3003,MATCH($C1384,ENVIOS!$A$4:$A$3003,0)),"—"))</f>
        <v/>
      </c>
      <c r="G1384" s="22">
        <f>IF($C1384="","",IFERROR(INDEX(ENVIOS!$E$4:$E$3003,MATCH($C1384,ENVIOS!$A$4:$A$3003,0)),"—"))</f>
        <v/>
      </c>
      <c r="H1384" s="22">
        <f>IF($C1384="","",IFERROR(INDEX(ENVIOS!$F$4:$F$3003,MATCH($C1384,ENVIOS!$A$4:$A$3003,0)),"—"))</f>
        <v/>
      </c>
      <c r="I1384" s="27">
        <f>IF($C1384="","",IFERROR(INDEX(ENVIOS!$G$4:$G$3003,MATCH($C1384,ENVIOS!$A$4:$A$3003,0)),"—"))</f>
        <v/>
      </c>
      <c r="J1384" s="48">
        <f>IF($C1384="","",IFERROR(INDEX(ENVIOS!$B$4:$B$3003,MATCH($C1384,ENVIOS!$A$4:$A$3003,0)),""))</f>
        <v/>
      </c>
      <c r="K1384" s="49" t="n"/>
      <c r="L1384" s="27">
        <f>IF($K1384="","",IFERROR(INDEX(CONFIG!$B$4:$B$43,MATCH($K1384,CONFIG!$A$4:$A$43,0)),"Media"))</f>
        <v/>
      </c>
      <c r="M1384" s="27">
        <f>IF($K1384="","",IFERROR(INDEX(CONFIG!$D$4:$D$43,MATCH($K1384,CONFIG!$A$4:$A$43,0)),"NO"))</f>
        <v/>
      </c>
      <c r="N1384" s="49" t="n"/>
      <c r="O1384" s="27">
        <f>IF($N1384="","",IFERROR(INDEX(CONFIG!$G$4:$G$43,MATCH($N1384,CONFIG!$F$4:$F$43,0)),"Por definir"))</f>
        <v/>
      </c>
      <c r="P1384" s="27">
        <f>IF($N1384="","",IFERROR(INDEX(CONFIG!$H$4:$H$43,MATCH($N1384,CONFIG!$F$4:$F$43,0)),"Por definir"))</f>
        <v/>
      </c>
      <c r="Q1384" s="50" t="n"/>
      <c r="R1384" s="51" t="n"/>
      <c r="S1384" s="49" t="n"/>
      <c r="T1384" s="49" t="n"/>
      <c r="U1384" s="48">
        <f>IF(OR($B1384="",$K1384=""),"",WORKDAY($B1384,IFERROR(INDEX(CONFIG!$C$4:$C$43,MATCH($K1384,CONFIG!$A$4:$A$43,0)),3)))</f>
        <v/>
      </c>
      <c r="V1384" s="46" t="n"/>
      <c r="W1384" s="23">
        <f>IF($B1384="","",IF($V1384&lt;&gt;"",$V1384-$B1384,TODAY()-$B1384))</f>
        <v/>
      </c>
      <c r="X1384" s="27">
        <f>IF($C1384="","",IF(IFERROR(INDEX(CONFIG!$K$4:$K$43,MATCH($S1384,CONFIG!$J$4:$J$43,0)),"NO")="SÍ",IF(OR($V1384="",$U1384=""),"Resuelta",IF($V1384&gt;$U1384,"Resuelta tarde","Resuelta a tiempo")),IF($U1384="","Sin clasificar",IF(TODAY()&gt;$U1384,"Vencida",IF(TODAY()&gt;=$U1384-1,"Por vencer","En plazo")))))</f>
        <v/>
      </c>
      <c r="Y1384" s="49" t="n"/>
      <c r="Z1384" s="49" t="n"/>
    </row>
    <row r="1385" ht="16" customHeight="1">
      <c r="A1385" s="27">
        <f>IF($C1385="","","N-"&amp;TEXT(ROW()-3,"0000"))</f>
        <v/>
      </c>
      <c r="B1385" s="46" t="n"/>
      <c r="C1385" s="47" t="n"/>
      <c r="D1385" s="27">
        <f>IF($C1385="","",IF(COUNTIFS(ENVIOS!$A$4:$A$3003,$C1385)=0,"NO EXISTE",IF(COUNTIFS(ENVIOS!$A$4:$A$3003,$C1385)&gt;1,"DUPLICADA","OK")))</f>
        <v/>
      </c>
      <c r="E1385" s="22">
        <f>IF($C1385="","",IFERROR(INDEX(ENVIOS!$C$4:$C$3003,MATCH($C1385,ENVIOS!$A$4:$A$3003,0)),"—"))</f>
        <v/>
      </c>
      <c r="F1385" s="22">
        <f>IF($C1385="","",IFERROR(INDEX(ENVIOS!$D$4:$D$3003,MATCH($C1385,ENVIOS!$A$4:$A$3003,0)),"—"))</f>
        <v/>
      </c>
      <c r="G1385" s="22">
        <f>IF($C1385="","",IFERROR(INDEX(ENVIOS!$E$4:$E$3003,MATCH($C1385,ENVIOS!$A$4:$A$3003,0)),"—"))</f>
        <v/>
      </c>
      <c r="H1385" s="22">
        <f>IF($C1385="","",IFERROR(INDEX(ENVIOS!$F$4:$F$3003,MATCH($C1385,ENVIOS!$A$4:$A$3003,0)),"—"))</f>
        <v/>
      </c>
      <c r="I1385" s="27">
        <f>IF($C1385="","",IFERROR(INDEX(ENVIOS!$G$4:$G$3003,MATCH($C1385,ENVIOS!$A$4:$A$3003,0)),"—"))</f>
        <v/>
      </c>
      <c r="J1385" s="48">
        <f>IF($C1385="","",IFERROR(INDEX(ENVIOS!$B$4:$B$3003,MATCH($C1385,ENVIOS!$A$4:$A$3003,0)),""))</f>
        <v/>
      </c>
      <c r="K1385" s="49" t="n"/>
      <c r="L1385" s="27">
        <f>IF($K1385="","",IFERROR(INDEX(CONFIG!$B$4:$B$43,MATCH($K1385,CONFIG!$A$4:$A$43,0)),"Media"))</f>
        <v/>
      </c>
      <c r="M1385" s="27">
        <f>IF($K1385="","",IFERROR(INDEX(CONFIG!$D$4:$D$43,MATCH($K1385,CONFIG!$A$4:$A$43,0)),"NO"))</f>
        <v/>
      </c>
      <c r="N1385" s="49" t="n"/>
      <c r="O1385" s="27">
        <f>IF($N1385="","",IFERROR(INDEX(CONFIG!$G$4:$G$43,MATCH($N1385,CONFIG!$F$4:$F$43,0)),"Por definir"))</f>
        <v/>
      </c>
      <c r="P1385" s="27">
        <f>IF($N1385="","",IFERROR(INDEX(CONFIG!$H$4:$H$43,MATCH($N1385,CONFIG!$F$4:$F$43,0)),"Por definir"))</f>
        <v/>
      </c>
      <c r="Q1385" s="50" t="n"/>
      <c r="R1385" s="51" t="n"/>
      <c r="S1385" s="49" t="n"/>
      <c r="T1385" s="49" t="n"/>
      <c r="U1385" s="48">
        <f>IF(OR($B1385="",$K1385=""),"",WORKDAY($B1385,IFERROR(INDEX(CONFIG!$C$4:$C$43,MATCH($K1385,CONFIG!$A$4:$A$43,0)),3)))</f>
        <v/>
      </c>
      <c r="V1385" s="46" t="n"/>
      <c r="W1385" s="23">
        <f>IF($B1385="","",IF($V1385&lt;&gt;"",$V1385-$B1385,TODAY()-$B1385))</f>
        <v/>
      </c>
      <c r="X1385" s="27">
        <f>IF($C1385="","",IF(IFERROR(INDEX(CONFIG!$K$4:$K$43,MATCH($S1385,CONFIG!$J$4:$J$43,0)),"NO")="SÍ",IF(OR($V1385="",$U1385=""),"Resuelta",IF($V1385&gt;$U1385,"Resuelta tarde","Resuelta a tiempo")),IF($U1385="","Sin clasificar",IF(TODAY()&gt;$U1385,"Vencida",IF(TODAY()&gt;=$U1385-1,"Por vencer","En plazo")))))</f>
        <v/>
      </c>
      <c r="Y1385" s="49" t="n"/>
      <c r="Z1385" s="49" t="n"/>
    </row>
    <row r="1386" ht="16" customHeight="1">
      <c r="A1386" s="27">
        <f>IF($C1386="","","N-"&amp;TEXT(ROW()-3,"0000"))</f>
        <v/>
      </c>
      <c r="B1386" s="46" t="n"/>
      <c r="C1386" s="47" t="n"/>
      <c r="D1386" s="27">
        <f>IF($C1386="","",IF(COUNTIFS(ENVIOS!$A$4:$A$3003,$C1386)=0,"NO EXISTE",IF(COUNTIFS(ENVIOS!$A$4:$A$3003,$C1386)&gt;1,"DUPLICADA","OK")))</f>
        <v/>
      </c>
      <c r="E1386" s="22">
        <f>IF($C1386="","",IFERROR(INDEX(ENVIOS!$C$4:$C$3003,MATCH($C1386,ENVIOS!$A$4:$A$3003,0)),"—"))</f>
        <v/>
      </c>
      <c r="F1386" s="22">
        <f>IF($C1386="","",IFERROR(INDEX(ENVIOS!$D$4:$D$3003,MATCH($C1386,ENVIOS!$A$4:$A$3003,0)),"—"))</f>
        <v/>
      </c>
      <c r="G1386" s="22">
        <f>IF($C1386="","",IFERROR(INDEX(ENVIOS!$E$4:$E$3003,MATCH($C1386,ENVIOS!$A$4:$A$3003,0)),"—"))</f>
        <v/>
      </c>
      <c r="H1386" s="22">
        <f>IF($C1386="","",IFERROR(INDEX(ENVIOS!$F$4:$F$3003,MATCH($C1386,ENVIOS!$A$4:$A$3003,0)),"—"))</f>
        <v/>
      </c>
      <c r="I1386" s="27">
        <f>IF($C1386="","",IFERROR(INDEX(ENVIOS!$G$4:$G$3003,MATCH($C1386,ENVIOS!$A$4:$A$3003,0)),"—"))</f>
        <v/>
      </c>
      <c r="J1386" s="48">
        <f>IF($C1386="","",IFERROR(INDEX(ENVIOS!$B$4:$B$3003,MATCH($C1386,ENVIOS!$A$4:$A$3003,0)),""))</f>
        <v/>
      </c>
      <c r="K1386" s="49" t="n"/>
      <c r="L1386" s="27">
        <f>IF($K1386="","",IFERROR(INDEX(CONFIG!$B$4:$B$43,MATCH($K1386,CONFIG!$A$4:$A$43,0)),"Media"))</f>
        <v/>
      </c>
      <c r="M1386" s="27">
        <f>IF($K1386="","",IFERROR(INDEX(CONFIG!$D$4:$D$43,MATCH($K1386,CONFIG!$A$4:$A$43,0)),"NO"))</f>
        <v/>
      </c>
      <c r="N1386" s="49" t="n"/>
      <c r="O1386" s="27">
        <f>IF($N1386="","",IFERROR(INDEX(CONFIG!$G$4:$G$43,MATCH($N1386,CONFIG!$F$4:$F$43,0)),"Por definir"))</f>
        <v/>
      </c>
      <c r="P1386" s="27">
        <f>IF($N1386="","",IFERROR(INDEX(CONFIG!$H$4:$H$43,MATCH($N1386,CONFIG!$F$4:$F$43,0)),"Por definir"))</f>
        <v/>
      </c>
      <c r="Q1386" s="50" t="n"/>
      <c r="R1386" s="51" t="n"/>
      <c r="S1386" s="49" t="n"/>
      <c r="T1386" s="49" t="n"/>
      <c r="U1386" s="48">
        <f>IF(OR($B1386="",$K1386=""),"",WORKDAY($B1386,IFERROR(INDEX(CONFIG!$C$4:$C$43,MATCH($K1386,CONFIG!$A$4:$A$43,0)),3)))</f>
        <v/>
      </c>
      <c r="V1386" s="46" t="n"/>
      <c r="W1386" s="23">
        <f>IF($B1386="","",IF($V1386&lt;&gt;"",$V1386-$B1386,TODAY()-$B1386))</f>
        <v/>
      </c>
      <c r="X1386" s="27">
        <f>IF($C1386="","",IF(IFERROR(INDEX(CONFIG!$K$4:$K$43,MATCH($S1386,CONFIG!$J$4:$J$43,0)),"NO")="SÍ",IF(OR($V1386="",$U1386=""),"Resuelta",IF($V1386&gt;$U1386,"Resuelta tarde","Resuelta a tiempo")),IF($U1386="","Sin clasificar",IF(TODAY()&gt;$U1386,"Vencida",IF(TODAY()&gt;=$U1386-1,"Por vencer","En plazo")))))</f>
        <v/>
      </c>
      <c r="Y1386" s="49" t="n"/>
      <c r="Z1386" s="49" t="n"/>
    </row>
    <row r="1387" ht="16" customHeight="1">
      <c r="A1387" s="27">
        <f>IF($C1387="","","N-"&amp;TEXT(ROW()-3,"0000"))</f>
        <v/>
      </c>
      <c r="B1387" s="46" t="n"/>
      <c r="C1387" s="47" t="n"/>
      <c r="D1387" s="27">
        <f>IF($C1387="","",IF(COUNTIFS(ENVIOS!$A$4:$A$3003,$C1387)=0,"NO EXISTE",IF(COUNTIFS(ENVIOS!$A$4:$A$3003,$C1387)&gt;1,"DUPLICADA","OK")))</f>
        <v/>
      </c>
      <c r="E1387" s="22">
        <f>IF($C1387="","",IFERROR(INDEX(ENVIOS!$C$4:$C$3003,MATCH($C1387,ENVIOS!$A$4:$A$3003,0)),"—"))</f>
        <v/>
      </c>
      <c r="F1387" s="22">
        <f>IF($C1387="","",IFERROR(INDEX(ENVIOS!$D$4:$D$3003,MATCH($C1387,ENVIOS!$A$4:$A$3003,0)),"—"))</f>
        <v/>
      </c>
      <c r="G1387" s="22">
        <f>IF($C1387="","",IFERROR(INDEX(ENVIOS!$E$4:$E$3003,MATCH($C1387,ENVIOS!$A$4:$A$3003,0)),"—"))</f>
        <v/>
      </c>
      <c r="H1387" s="22">
        <f>IF($C1387="","",IFERROR(INDEX(ENVIOS!$F$4:$F$3003,MATCH($C1387,ENVIOS!$A$4:$A$3003,0)),"—"))</f>
        <v/>
      </c>
      <c r="I1387" s="27">
        <f>IF($C1387="","",IFERROR(INDEX(ENVIOS!$G$4:$G$3003,MATCH($C1387,ENVIOS!$A$4:$A$3003,0)),"—"))</f>
        <v/>
      </c>
      <c r="J1387" s="48">
        <f>IF($C1387="","",IFERROR(INDEX(ENVIOS!$B$4:$B$3003,MATCH($C1387,ENVIOS!$A$4:$A$3003,0)),""))</f>
        <v/>
      </c>
      <c r="K1387" s="49" t="n"/>
      <c r="L1387" s="27">
        <f>IF($K1387="","",IFERROR(INDEX(CONFIG!$B$4:$B$43,MATCH($K1387,CONFIG!$A$4:$A$43,0)),"Media"))</f>
        <v/>
      </c>
      <c r="M1387" s="27">
        <f>IF($K1387="","",IFERROR(INDEX(CONFIG!$D$4:$D$43,MATCH($K1387,CONFIG!$A$4:$A$43,0)),"NO"))</f>
        <v/>
      </c>
      <c r="N1387" s="49" t="n"/>
      <c r="O1387" s="27">
        <f>IF($N1387="","",IFERROR(INDEX(CONFIG!$G$4:$G$43,MATCH($N1387,CONFIG!$F$4:$F$43,0)),"Por definir"))</f>
        <v/>
      </c>
      <c r="P1387" s="27">
        <f>IF($N1387="","",IFERROR(INDEX(CONFIG!$H$4:$H$43,MATCH($N1387,CONFIG!$F$4:$F$43,0)),"Por definir"))</f>
        <v/>
      </c>
      <c r="Q1387" s="50" t="n"/>
      <c r="R1387" s="51" t="n"/>
      <c r="S1387" s="49" t="n"/>
      <c r="T1387" s="49" t="n"/>
      <c r="U1387" s="48">
        <f>IF(OR($B1387="",$K1387=""),"",WORKDAY($B1387,IFERROR(INDEX(CONFIG!$C$4:$C$43,MATCH($K1387,CONFIG!$A$4:$A$43,0)),3)))</f>
        <v/>
      </c>
      <c r="V1387" s="46" t="n"/>
      <c r="W1387" s="23">
        <f>IF($B1387="","",IF($V1387&lt;&gt;"",$V1387-$B1387,TODAY()-$B1387))</f>
        <v/>
      </c>
      <c r="X1387" s="27">
        <f>IF($C1387="","",IF(IFERROR(INDEX(CONFIG!$K$4:$K$43,MATCH($S1387,CONFIG!$J$4:$J$43,0)),"NO")="SÍ",IF(OR($V1387="",$U1387=""),"Resuelta",IF($V1387&gt;$U1387,"Resuelta tarde","Resuelta a tiempo")),IF($U1387="","Sin clasificar",IF(TODAY()&gt;$U1387,"Vencida",IF(TODAY()&gt;=$U1387-1,"Por vencer","En plazo")))))</f>
        <v/>
      </c>
      <c r="Y1387" s="49" t="n"/>
      <c r="Z1387" s="49" t="n"/>
    </row>
    <row r="1388" ht="16" customHeight="1">
      <c r="A1388" s="27">
        <f>IF($C1388="","","N-"&amp;TEXT(ROW()-3,"0000"))</f>
        <v/>
      </c>
      <c r="B1388" s="46" t="n"/>
      <c r="C1388" s="47" t="n"/>
      <c r="D1388" s="27">
        <f>IF($C1388="","",IF(COUNTIFS(ENVIOS!$A$4:$A$3003,$C1388)=0,"NO EXISTE",IF(COUNTIFS(ENVIOS!$A$4:$A$3003,$C1388)&gt;1,"DUPLICADA","OK")))</f>
        <v/>
      </c>
      <c r="E1388" s="22">
        <f>IF($C1388="","",IFERROR(INDEX(ENVIOS!$C$4:$C$3003,MATCH($C1388,ENVIOS!$A$4:$A$3003,0)),"—"))</f>
        <v/>
      </c>
      <c r="F1388" s="22">
        <f>IF($C1388="","",IFERROR(INDEX(ENVIOS!$D$4:$D$3003,MATCH($C1388,ENVIOS!$A$4:$A$3003,0)),"—"))</f>
        <v/>
      </c>
      <c r="G1388" s="22">
        <f>IF($C1388="","",IFERROR(INDEX(ENVIOS!$E$4:$E$3003,MATCH($C1388,ENVIOS!$A$4:$A$3003,0)),"—"))</f>
        <v/>
      </c>
      <c r="H1388" s="22">
        <f>IF($C1388="","",IFERROR(INDEX(ENVIOS!$F$4:$F$3003,MATCH($C1388,ENVIOS!$A$4:$A$3003,0)),"—"))</f>
        <v/>
      </c>
      <c r="I1388" s="27">
        <f>IF($C1388="","",IFERROR(INDEX(ENVIOS!$G$4:$G$3003,MATCH($C1388,ENVIOS!$A$4:$A$3003,0)),"—"))</f>
        <v/>
      </c>
      <c r="J1388" s="48">
        <f>IF($C1388="","",IFERROR(INDEX(ENVIOS!$B$4:$B$3003,MATCH($C1388,ENVIOS!$A$4:$A$3003,0)),""))</f>
        <v/>
      </c>
      <c r="K1388" s="49" t="n"/>
      <c r="L1388" s="27">
        <f>IF($K1388="","",IFERROR(INDEX(CONFIG!$B$4:$B$43,MATCH($K1388,CONFIG!$A$4:$A$43,0)),"Media"))</f>
        <v/>
      </c>
      <c r="M1388" s="27">
        <f>IF($K1388="","",IFERROR(INDEX(CONFIG!$D$4:$D$43,MATCH($K1388,CONFIG!$A$4:$A$43,0)),"NO"))</f>
        <v/>
      </c>
      <c r="N1388" s="49" t="n"/>
      <c r="O1388" s="27">
        <f>IF($N1388="","",IFERROR(INDEX(CONFIG!$G$4:$G$43,MATCH($N1388,CONFIG!$F$4:$F$43,0)),"Por definir"))</f>
        <v/>
      </c>
      <c r="P1388" s="27">
        <f>IF($N1388="","",IFERROR(INDEX(CONFIG!$H$4:$H$43,MATCH($N1388,CONFIG!$F$4:$F$43,0)),"Por definir"))</f>
        <v/>
      </c>
      <c r="Q1388" s="50" t="n"/>
      <c r="R1388" s="51" t="n"/>
      <c r="S1388" s="49" t="n"/>
      <c r="T1388" s="49" t="n"/>
      <c r="U1388" s="48">
        <f>IF(OR($B1388="",$K1388=""),"",WORKDAY($B1388,IFERROR(INDEX(CONFIG!$C$4:$C$43,MATCH($K1388,CONFIG!$A$4:$A$43,0)),3)))</f>
        <v/>
      </c>
      <c r="V1388" s="46" t="n"/>
      <c r="W1388" s="23">
        <f>IF($B1388="","",IF($V1388&lt;&gt;"",$V1388-$B1388,TODAY()-$B1388))</f>
        <v/>
      </c>
      <c r="X1388" s="27">
        <f>IF($C1388="","",IF(IFERROR(INDEX(CONFIG!$K$4:$K$43,MATCH($S1388,CONFIG!$J$4:$J$43,0)),"NO")="SÍ",IF(OR($V1388="",$U1388=""),"Resuelta",IF($V1388&gt;$U1388,"Resuelta tarde","Resuelta a tiempo")),IF($U1388="","Sin clasificar",IF(TODAY()&gt;$U1388,"Vencida",IF(TODAY()&gt;=$U1388-1,"Por vencer","En plazo")))))</f>
        <v/>
      </c>
      <c r="Y1388" s="49" t="n"/>
      <c r="Z1388" s="49" t="n"/>
    </row>
    <row r="1389" ht="16" customHeight="1">
      <c r="A1389" s="27">
        <f>IF($C1389="","","N-"&amp;TEXT(ROW()-3,"0000"))</f>
        <v/>
      </c>
      <c r="B1389" s="46" t="n"/>
      <c r="C1389" s="47" t="n"/>
      <c r="D1389" s="27">
        <f>IF($C1389="","",IF(COUNTIFS(ENVIOS!$A$4:$A$3003,$C1389)=0,"NO EXISTE",IF(COUNTIFS(ENVIOS!$A$4:$A$3003,$C1389)&gt;1,"DUPLICADA","OK")))</f>
        <v/>
      </c>
      <c r="E1389" s="22">
        <f>IF($C1389="","",IFERROR(INDEX(ENVIOS!$C$4:$C$3003,MATCH($C1389,ENVIOS!$A$4:$A$3003,0)),"—"))</f>
        <v/>
      </c>
      <c r="F1389" s="22">
        <f>IF($C1389="","",IFERROR(INDEX(ENVIOS!$D$4:$D$3003,MATCH($C1389,ENVIOS!$A$4:$A$3003,0)),"—"))</f>
        <v/>
      </c>
      <c r="G1389" s="22">
        <f>IF($C1389="","",IFERROR(INDEX(ENVIOS!$E$4:$E$3003,MATCH($C1389,ENVIOS!$A$4:$A$3003,0)),"—"))</f>
        <v/>
      </c>
      <c r="H1389" s="22">
        <f>IF($C1389="","",IFERROR(INDEX(ENVIOS!$F$4:$F$3003,MATCH($C1389,ENVIOS!$A$4:$A$3003,0)),"—"))</f>
        <v/>
      </c>
      <c r="I1389" s="27">
        <f>IF($C1389="","",IFERROR(INDEX(ENVIOS!$G$4:$G$3003,MATCH($C1389,ENVIOS!$A$4:$A$3003,0)),"—"))</f>
        <v/>
      </c>
      <c r="J1389" s="48">
        <f>IF($C1389="","",IFERROR(INDEX(ENVIOS!$B$4:$B$3003,MATCH($C1389,ENVIOS!$A$4:$A$3003,0)),""))</f>
        <v/>
      </c>
      <c r="K1389" s="49" t="n"/>
      <c r="L1389" s="27">
        <f>IF($K1389="","",IFERROR(INDEX(CONFIG!$B$4:$B$43,MATCH($K1389,CONFIG!$A$4:$A$43,0)),"Media"))</f>
        <v/>
      </c>
      <c r="M1389" s="27">
        <f>IF($K1389="","",IFERROR(INDEX(CONFIG!$D$4:$D$43,MATCH($K1389,CONFIG!$A$4:$A$43,0)),"NO"))</f>
        <v/>
      </c>
      <c r="N1389" s="49" t="n"/>
      <c r="O1389" s="27">
        <f>IF($N1389="","",IFERROR(INDEX(CONFIG!$G$4:$G$43,MATCH($N1389,CONFIG!$F$4:$F$43,0)),"Por definir"))</f>
        <v/>
      </c>
      <c r="P1389" s="27">
        <f>IF($N1389="","",IFERROR(INDEX(CONFIG!$H$4:$H$43,MATCH($N1389,CONFIG!$F$4:$F$43,0)),"Por definir"))</f>
        <v/>
      </c>
      <c r="Q1389" s="50" t="n"/>
      <c r="R1389" s="51" t="n"/>
      <c r="S1389" s="49" t="n"/>
      <c r="T1389" s="49" t="n"/>
      <c r="U1389" s="48">
        <f>IF(OR($B1389="",$K1389=""),"",WORKDAY($B1389,IFERROR(INDEX(CONFIG!$C$4:$C$43,MATCH($K1389,CONFIG!$A$4:$A$43,0)),3)))</f>
        <v/>
      </c>
      <c r="V1389" s="46" t="n"/>
      <c r="W1389" s="23">
        <f>IF($B1389="","",IF($V1389&lt;&gt;"",$V1389-$B1389,TODAY()-$B1389))</f>
        <v/>
      </c>
      <c r="X1389" s="27">
        <f>IF($C1389="","",IF(IFERROR(INDEX(CONFIG!$K$4:$K$43,MATCH($S1389,CONFIG!$J$4:$J$43,0)),"NO")="SÍ",IF(OR($V1389="",$U1389=""),"Resuelta",IF($V1389&gt;$U1389,"Resuelta tarde","Resuelta a tiempo")),IF($U1389="","Sin clasificar",IF(TODAY()&gt;$U1389,"Vencida",IF(TODAY()&gt;=$U1389-1,"Por vencer","En plazo")))))</f>
        <v/>
      </c>
      <c r="Y1389" s="49" t="n"/>
      <c r="Z1389" s="49" t="n"/>
    </row>
    <row r="1390" ht="16" customHeight="1">
      <c r="A1390" s="27">
        <f>IF($C1390="","","N-"&amp;TEXT(ROW()-3,"0000"))</f>
        <v/>
      </c>
      <c r="B1390" s="46" t="n"/>
      <c r="C1390" s="47" t="n"/>
      <c r="D1390" s="27">
        <f>IF($C1390="","",IF(COUNTIFS(ENVIOS!$A$4:$A$3003,$C1390)=0,"NO EXISTE",IF(COUNTIFS(ENVIOS!$A$4:$A$3003,$C1390)&gt;1,"DUPLICADA","OK")))</f>
        <v/>
      </c>
      <c r="E1390" s="22">
        <f>IF($C1390="","",IFERROR(INDEX(ENVIOS!$C$4:$C$3003,MATCH($C1390,ENVIOS!$A$4:$A$3003,0)),"—"))</f>
        <v/>
      </c>
      <c r="F1390" s="22">
        <f>IF($C1390="","",IFERROR(INDEX(ENVIOS!$D$4:$D$3003,MATCH($C1390,ENVIOS!$A$4:$A$3003,0)),"—"))</f>
        <v/>
      </c>
      <c r="G1390" s="22">
        <f>IF($C1390="","",IFERROR(INDEX(ENVIOS!$E$4:$E$3003,MATCH($C1390,ENVIOS!$A$4:$A$3003,0)),"—"))</f>
        <v/>
      </c>
      <c r="H1390" s="22">
        <f>IF($C1390="","",IFERROR(INDEX(ENVIOS!$F$4:$F$3003,MATCH($C1390,ENVIOS!$A$4:$A$3003,0)),"—"))</f>
        <v/>
      </c>
      <c r="I1390" s="27">
        <f>IF($C1390="","",IFERROR(INDEX(ENVIOS!$G$4:$G$3003,MATCH($C1390,ENVIOS!$A$4:$A$3003,0)),"—"))</f>
        <v/>
      </c>
      <c r="J1390" s="48">
        <f>IF($C1390="","",IFERROR(INDEX(ENVIOS!$B$4:$B$3003,MATCH($C1390,ENVIOS!$A$4:$A$3003,0)),""))</f>
        <v/>
      </c>
      <c r="K1390" s="49" t="n"/>
      <c r="L1390" s="27">
        <f>IF($K1390="","",IFERROR(INDEX(CONFIG!$B$4:$B$43,MATCH($K1390,CONFIG!$A$4:$A$43,0)),"Media"))</f>
        <v/>
      </c>
      <c r="M1390" s="27">
        <f>IF($K1390="","",IFERROR(INDEX(CONFIG!$D$4:$D$43,MATCH($K1390,CONFIG!$A$4:$A$43,0)),"NO"))</f>
        <v/>
      </c>
      <c r="N1390" s="49" t="n"/>
      <c r="O1390" s="27">
        <f>IF($N1390="","",IFERROR(INDEX(CONFIG!$G$4:$G$43,MATCH($N1390,CONFIG!$F$4:$F$43,0)),"Por definir"))</f>
        <v/>
      </c>
      <c r="P1390" s="27">
        <f>IF($N1390="","",IFERROR(INDEX(CONFIG!$H$4:$H$43,MATCH($N1390,CONFIG!$F$4:$F$43,0)),"Por definir"))</f>
        <v/>
      </c>
      <c r="Q1390" s="50" t="n"/>
      <c r="R1390" s="51" t="n"/>
      <c r="S1390" s="49" t="n"/>
      <c r="T1390" s="49" t="n"/>
      <c r="U1390" s="48">
        <f>IF(OR($B1390="",$K1390=""),"",WORKDAY($B1390,IFERROR(INDEX(CONFIG!$C$4:$C$43,MATCH($K1390,CONFIG!$A$4:$A$43,0)),3)))</f>
        <v/>
      </c>
      <c r="V1390" s="46" t="n"/>
      <c r="W1390" s="23">
        <f>IF($B1390="","",IF($V1390&lt;&gt;"",$V1390-$B1390,TODAY()-$B1390))</f>
        <v/>
      </c>
      <c r="X1390" s="27">
        <f>IF($C1390="","",IF(IFERROR(INDEX(CONFIG!$K$4:$K$43,MATCH($S1390,CONFIG!$J$4:$J$43,0)),"NO")="SÍ",IF(OR($V1390="",$U1390=""),"Resuelta",IF($V1390&gt;$U1390,"Resuelta tarde","Resuelta a tiempo")),IF($U1390="","Sin clasificar",IF(TODAY()&gt;$U1390,"Vencida",IF(TODAY()&gt;=$U1390-1,"Por vencer","En plazo")))))</f>
        <v/>
      </c>
      <c r="Y1390" s="49" t="n"/>
      <c r="Z1390" s="49" t="n"/>
    </row>
    <row r="1391" ht="16" customHeight="1">
      <c r="A1391" s="27">
        <f>IF($C1391="","","N-"&amp;TEXT(ROW()-3,"0000"))</f>
        <v/>
      </c>
      <c r="B1391" s="46" t="n"/>
      <c r="C1391" s="47" t="n"/>
      <c r="D1391" s="27">
        <f>IF($C1391="","",IF(COUNTIFS(ENVIOS!$A$4:$A$3003,$C1391)=0,"NO EXISTE",IF(COUNTIFS(ENVIOS!$A$4:$A$3003,$C1391)&gt;1,"DUPLICADA","OK")))</f>
        <v/>
      </c>
      <c r="E1391" s="22">
        <f>IF($C1391="","",IFERROR(INDEX(ENVIOS!$C$4:$C$3003,MATCH($C1391,ENVIOS!$A$4:$A$3003,0)),"—"))</f>
        <v/>
      </c>
      <c r="F1391" s="22">
        <f>IF($C1391="","",IFERROR(INDEX(ENVIOS!$D$4:$D$3003,MATCH($C1391,ENVIOS!$A$4:$A$3003,0)),"—"))</f>
        <v/>
      </c>
      <c r="G1391" s="22">
        <f>IF($C1391="","",IFERROR(INDEX(ENVIOS!$E$4:$E$3003,MATCH($C1391,ENVIOS!$A$4:$A$3003,0)),"—"))</f>
        <v/>
      </c>
      <c r="H1391" s="22">
        <f>IF($C1391="","",IFERROR(INDEX(ENVIOS!$F$4:$F$3003,MATCH($C1391,ENVIOS!$A$4:$A$3003,0)),"—"))</f>
        <v/>
      </c>
      <c r="I1391" s="27">
        <f>IF($C1391="","",IFERROR(INDEX(ENVIOS!$G$4:$G$3003,MATCH($C1391,ENVIOS!$A$4:$A$3003,0)),"—"))</f>
        <v/>
      </c>
      <c r="J1391" s="48">
        <f>IF($C1391="","",IFERROR(INDEX(ENVIOS!$B$4:$B$3003,MATCH($C1391,ENVIOS!$A$4:$A$3003,0)),""))</f>
        <v/>
      </c>
      <c r="K1391" s="49" t="n"/>
      <c r="L1391" s="27">
        <f>IF($K1391="","",IFERROR(INDEX(CONFIG!$B$4:$B$43,MATCH($K1391,CONFIG!$A$4:$A$43,0)),"Media"))</f>
        <v/>
      </c>
      <c r="M1391" s="27">
        <f>IF($K1391="","",IFERROR(INDEX(CONFIG!$D$4:$D$43,MATCH($K1391,CONFIG!$A$4:$A$43,0)),"NO"))</f>
        <v/>
      </c>
      <c r="N1391" s="49" t="n"/>
      <c r="O1391" s="27">
        <f>IF($N1391="","",IFERROR(INDEX(CONFIG!$G$4:$G$43,MATCH($N1391,CONFIG!$F$4:$F$43,0)),"Por definir"))</f>
        <v/>
      </c>
      <c r="P1391" s="27">
        <f>IF($N1391="","",IFERROR(INDEX(CONFIG!$H$4:$H$43,MATCH($N1391,CONFIG!$F$4:$F$43,0)),"Por definir"))</f>
        <v/>
      </c>
      <c r="Q1391" s="50" t="n"/>
      <c r="R1391" s="51" t="n"/>
      <c r="S1391" s="49" t="n"/>
      <c r="T1391" s="49" t="n"/>
      <c r="U1391" s="48">
        <f>IF(OR($B1391="",$K1391=""),"",WORKDAY($B1391,IFERROR(INDEX(CONFIG!$C$4:$C$43,MATCH($K1391,CONFIG!$A$4:$A$43,0)),3)))</f>
        <v/>
      </c>
      <c r="V1391" s="46" t="n"/>
      <c r="W1391" s="23">
        <f>IF($B1391="","",IF($V1391&lt;&gt;"",$V1391-$B1391,TODAY()-$B1391))</f>
        <v/>
      </c>
      <c r="X1391" s="27">
        <f>IF($C1391="","",IF(IFERROR(INDEX(CONFIG!$K$4:$K$43,MATCH($S1391,CONFIG!$J$4:$J$43,0)),"NO")="SÍ",IF(OR($V1391="",$U1391=""),"Resuelta",IF($V1391&gt;$U1391,"Resuelta tarde","Resuelta a tiempo")),IF($U1391="","Sin clasificar",IF(TODAY()&gt;$U1391,"Vencida",IF(TODAY()&gt;=$U1391-1,"Por vencer","En plazo")))))</f>
        <v/>
      </c>
      <c r="Y1391" s="49" t="n"/>
      <c r="Z1391" s="49" t="n"/>
    </row>
    <row r="1392" ht="16" customHeight="1">
      <c r="A1392" s="27">
        <f>IF($C1392="","","N-"&amp;TEXT(ROW()-3,"0000"))</f>
        <v/>
      </c>
      <c r="B1392" s="46" t="n"/>
      <c r="C1392" s="47" t="n"/>
      <c r="D1392" s="27">
        <f>IF($C1392="","",IF(COUNTIFS(ENVIOS!$A$4:$A$3003,$C1392)=0,"NO EXISTE",IF(COUNTIFS(ENVIOS!$A$4:$A$3003,$C1392)&gt;1,"DUPLICADA","OK")))</f>
        <v/>
      </c>
      <c r="E1392" s="22">
        <f>IF($C1392="","",IFERROR(INDEX(ENVIOS!$C$4:$C$3003,MATCH($C1392,ENVIOS!$A$4:$A$3003,0)),"—"))</f>
        <v/>
      </c>
      <c r="F1392" s="22">
        <f>IF($C1392="","",IFERROR(INDEX(ENVIOS!$D$4:$D$3003,MATCH($C1392,ENVIOS!$A$4:$A$3003,0)),"—"))</f>
        <v/>
      </c>
      <c r="G1392" s="22">
        <f>IF($C1392="","",IFERROR(INDEX(ENVIOS!$E$4:$E$3003,MATCH($C1392,ENVIOS!$A$4:$A$3003,0)),"—"))</f>
        <v/>
      </c>
      <c r="H1392" s="22">
        <f>IF($C1392="","",IFERROR(INDEX(ENVIOS!$F$4:$F$3003,MATCH($C1392,ENVIOS!$A$4:$A$3003,0)),"—"))</f>
        <v/>
      </c>
      <c r="I1392" s="27">
        <f>IF($C1392="","",IFERROR(INDEX(ENVIOS!$G$4:$G$3003,MATCH($C1392,ENVIOS!$A$4:$A$3003,0)),"—"))</f>
        <v/>
      </c>
      <c r="J1392" s="48">
        <f>IF($C1392="","",IFERROR(INDEX(ENVIOS!$B$4:$B$3003,MATCH($C1392,ENVIOS!$A$4:$A$3003,0)),""))</f>
        <v/>
      </c>
      <c r="K1392" s="49" t="n"/>
      <c r="L1392" s="27">
        <f>IF($K1392="","",IFERROR(INDEX(CONFIG!$B$4:$B$43,MATCH($K1392,CONFIG!$A$4:$A$43,0)),"Media"))</f>
        <v/>
      </c>
      <c r="M1392" s="27">
        <f>IF($K1392="","",IFERROR(INDEX(CONFIG!$D$4:$D$43,MATCH($K1392,CONFIG!$A$4:$A$43,0)),"NO"))</f>
        <v/>
      </c>
      <c r="N1392" s="49" t="n"/>
      <c r="O1392" s="27">
        <f>IF($N1392="","",IFERROR(INDEX(CONFIG!$G$4:$G$43,MATCH($N1392,CONFIG!$F$4:$F$43,0)),"Por definir"))</f>
        <v/>
      </c>
      <c r="P1392" s="27">
        <f>IF($N1392="","",IFERROR(INDEX(CONFIG!$H$4:$H$43,MATCH($N1392,CONFIG!$F$4:$F$43,0)),"Por definir"))</f>
        <v/>
      </c>
      <c r="Q1392" s="50" t="n"/>
      <c r="R1392" s="51" t="n"/>
      <c r="S1392" s="49" t="n"/>
      <c r="T1392" s="49" t="n"/>
      <c r="U1392" s="48">
        <f>IF(OR($B1392="",$K1392=""),"",WORKDAY($B1392,IFERROR(INDEX(CONFIG!$C$4:$C$43,MATCH($K1392,CONFIG!$A$4:$A$43,0)),3)))</f>
        <v/>
      </c>
      <c r="V1392" s="46" t="n"/>
      <c r="W1392" s="23">
        <f>IF($B1392="","",IF($V1392&lt;&gt;"",$V1392-$B1392,TODAY()-$B1392))</f>
        <v/>
      </c>
      <c r="X1392" s="27">
        <f>IF($C1392="","",IF(IFERROR(INDEX(CONFIG!$K$4:$K$43,MATCH($S1392,CONFIG!$J$4:$J$43,0)),"NO")="SÍ",IF(OR($V1392="",$U1392=""),"Resuelta",IF($V1392&gt;$U1392,"Resuelta tarde","Resuelta a tiempo")),IF($U1392="","Sin clasificar",IF(TODAY()&gt;$U1392,"Vencida",IF(TODAY()&gt;=$U1392-1,"Por vencer","En plazo")))))</f>
        <v/>
      </c>
      <c r="Y1392" s="49" t="n"/>
      <c r="Z1392" s="49" t="n"/>
    </row>
    <row r="1393" ht="16" customHeight="1">
      <c r="A1393" s="27">
        <f>IF($C1393="","","N-"&amp;TEXT(ROW()-3,"0000"))</f>
        <v/>
      </c>
      <c r="B1393" s="46" t="n"/>
      <c r="C1393" s="47" t="n"/>
      <c r="D1393" s="27">
        <f>IF($C1393="","",IF(COUNTIFS(ENVIOS!$A$4:$A$3003,$C1393)=0,"NO EXISTE",IF(COUNTIFS(ENVIOS!$A$4:$A$3003,$C1393)&gt;1,"DUPLICADA","OK")))</f>
        <v/>
      </c>
      <c r="E1393" s="22">
        <f>IF($C1393="","",IFERROR(INDEX(ENVIOS!$C$4:$C$3003,MATCH($C1393,ENVIOS!$A$4:$A$3003,0)),"—"))</f>
        <v/>
      </c>
      <c r="F1393" s="22">
        <f>IF($C1393="","",IFERROR(INDEX(ENVIOS!$D$4:$D$3003,MATCH($C1393,ENVIOS!$A$4:$A$3003,0)),"—"))</f>
        <v/>
      </c>
      <c r="G1393" s="22">
        <f>IF($C1393="","",IFERROR(INDEX(ENVIOS!$E$4:$E$3003,MATCH($C1393,ENVIOS!$A$4:$A$3003,0)),"—"))</f>
        <v/>
      </c>
      <c r="H1393" s="22">
        <f>IF($C1393="","",IFERROR(INDEX(ENVIOS!$F$4:$F$3003,MATCH($C1393,ENVIOS!$A$4:$A$3003,0)),"—"))</f>
        <v/>
      </c>
      <c r="I1393" s="27">
        <f>IF($C1393="","",IFERROR(INDEX(ENVIOS!$G$4:$G$3003,MATCH($C1393,ENVIOS!$A$4:$A$3003,0)),"—"))</f>
        <v/>
      </c>
      <c r="J1393" s="48">
        <f>IF($C1393="","",IFERROR(INDEX(ENVIOS!$B$4:$B$3003,MATCH($C1393,ENVIOS!$A$4:$A$3003,0)),""))</f>
        <v/>
      </c>
      <c r="K1393" s="49" t="n"/>
      <c r="L1393" s="27">
        <f>IF($K1393="","",IFERROR(INDEX(CONFIG!$B$4:$B$43,MATCH($K1393,CONFIG!$A$4:$A$43,0)),"Media"))</f>
        <v/>
      </c>
      <c r="M1393" s="27">
        <f>IF($K1393="","",IFERROR(INDEX(CONFIG!$D$4:$D$43,MATCH($K1393,CONFIG!$A$4:$A$43,0)),"NO"))</f>
        <v/>
      </c>
      <c r="N1393" s="49" t="n"/>
      <c r="O1393" s="27">
        <f>IF($N1393="","",IFERROR(INDEX(CONFIG!$G$4:$G$43,MATCH($N1393,CONFIG!$F$4:$F$43,0)),"Por definir"))</f>
        <v/>
      </c>
      <c r="P1393" s="27">
        <f>IF($N1393="","",IFERROR(INDEX(CONFIG!$H$4:$H$43,MATCH($N1393,CONFIG!$F$4:$F$43,0)),"Por definir"))</f>
        <v/>
      </c>
      <c r="Q1393" s="50" t="n"/>
      <c r="R1393" s="51" t="n"/>
      <c r="S1393" s="49" t="n"/>
      <c r="T1393" s="49" t="n"/>
      <c r="U1393" s="48">
        <f>IF(OR($B1393="",$K1393=""),"",WORKDAY($B1393,IFERROR(INDEX(CONFIG!$C$4:$C$43,MATCH($K1393,CONFIG!$A$4:$A$43,0)),3)))</f>
        <v/>
      </c>
      <c r="V1393" s="46" t="n"/>
      <c r="W1393" s="23">
        <f>IF($B1393="","",IF($V1393&lt;&gt;"",$V1393-$B1393,TODAY()-$B1393))</f>
        <v/>
      </c>
      <c r="X1393" s="27">
        <f>IF($C1393="","",IF(IFERROR(INDEX(CONFIG!$K$4:$K$43,MATCH($S1393,CONFIG!$J$4:$J$43,0)),"NO")="SÍ",IF(OR($V1393="",$U1393=""),"Resuelta",IF($V1393&gt;$U1393,"Resuelta tarde","Resuelta a tiempo")),IF($U1393="","Sin clasificar",IF(TODAY()&gt;$U1393,"Vencida",IF(TODAY()&gt;=$U1393-1,"Por vencer","En plazo")))))</f>
        <v/>
      </c>
      <c r="Y1393" s="49" t="n"/>
      <c r="Z1393" s="49" t="n"/>
    </row>
    <row r="1394" ht="16" customHeight="1">
      <c r="A1394" s="27">
        <f>IF($C1394="","","N-"&amp;TEXT(ROW()-3,"0000"))</f>
        <v/>
      </c>
      <c r="B1394" s="46" t="n"/>
      <c r="C1394" s="47" t="n"/>
      <c r="D1394" s="27">
        <f>IF($C1394="","",IF(COUNTIFS(ENVIOS!$A$4:$A$3003,$C1394)=0,"NO EXISTE",IF(COUNTIFS(ENVIOS!$A$4:$A$3003,$C1394)&gt;1,"DUPLICADA","OK")))</f>
        <v/>
      </c>
      <c r="E1394" s="22">
        <f>IF($C1394="","",IFERROR(INDEX(ENVIOS!$C$4:$C$3003,MATCH($C1394,ENVIOS!$A$4:$A$3003,0)),"—"))</f>
        <v/>
      </c>
      <c r="F1394" s="22">
        <f>IF($C1394="","",IFERROR(INDEX(ENVIOS!$D$4:$D$3003,MATCH($C1394,ENVIOS!$A$4:$A$3003,0)),"—"))</f>
        <v/>
      </c>
      <c r="G1394" s="22">
        <f>IF($C1394="","",IFERROR(INDEX(ENVIOS!$E$4:$E$3003,MATCH($C1394,ENVIOS!$A$4:$A$3003,0)),"—"))</f>
        <v/>
      </c>
      <c r="H1394" s="22">
        <f>IF($C1394="","",IFERROR(INDEX(ENVIOS!$F$4:$F$3003,MATCH($C1394,ENVIOS!$A$4:$A$3003,0)),"—"))</f>
        <v/>
      </c>
      <c r="I1394" s="27">
        <f>IF($C1394="","",IFERROR(INDEX(ENVIOS!$G$4:$G$3003,MATCH($C1394,ENVIOS!$A$4:$A$3003,0)),"—"))</f>
        <v/>
      </c>
      <c r="J1394" s="48">
        <f>IF($C1394="","",IFERROR(INDEX(ENVIOS!$B$4:$B$3003,MATCH($C1394,ENVIOS!$A$4:$A$3003,0)),""))</f>
        <v/>
      </c>
      <c r="K1394" s="49" t="n"/>
      <c r="L1394" s="27">
        <f>IF($K1394="","",IFERROR(INDEX(CONFIG!$B$4:$B$43,MATCH($K1394,CONFIG!$A$4:$A$43,0)),"Media"))</f>
        <v/>
      </c>
      <c r="M1394" s="27">
        <f>IF($K1394="","",IFERROR(INDEX(CONFIG!$D$4:$D$43,MATCH($K1394,CONFIG!$A$4:$A$43,0)),"NO"))</f>
        <v/>
      </c>
      <c r="N1394" s="49" t="n"/>
      <c r="O1394" s="27">
        <f>IF($N1394="","",IFERROR(INDEX(CONFIG!$G$4:$G$43,MATCH($N1394,CONFIG!$F$4:$F$43,0)),"Por definir"))</f>
        <v/>
      </c>
      <c r="P1394" s="27">
        <f>IF($N1394="","",IFERROR(INDEX(CONFIG!$H$4:$H$43,MATCH($N1394,CONFIG!$F$4:$F$43,0)),"Por definir"))</f>
        <v/>
      </c>
      <c r="Q1394" s="50" t="n"/>
      <c r="R1394" s="51" t="n"/>
      <c r="S1394" s="49" t="n"/>
      <c r="T1394" s="49" t="n"/>
      <c r="U1394" s="48">
        <f>IF(OR($B1394="",$K1394=""),"",WORKDAY($B1394,IFERROR(INDEX(CONFIG!$C$4:$C$43,MATCH($K1394,CONFIG!$A$4:$A$43,0)),3)))</f>
        <v/>
      </c>
      <c r="V1394" s="46" t="n"/>
      <c r="W1394" s="23">
        <f>IF($B1394="","",IF($V1394&lt;&gt;"",$V1394-$B1394,TODAY()-$B1394))</f>
        <v/>
      </c>
      <c r="X1394" s="27">
        <f>IF($C1394="","",IF(IFERROR(INDEX(CONFIG!$K$4:$K$43,MATCH($S1394,CONFIG!$J$4:$J$43,0)),"NO")="SÍ",IF(OR($V1394="",$U1394=""),"Resuelta",IF($V1394&gt;$U1394,"Resuelta tarde","Resuelta a tiempo")),IF($U1394="","Sin clasificar",IF(TODAY()&gt;$U1394,"Vencida",IF(TODAY()&gt;=$U1394-1,"Por vencer","En plazo")))))</f>
        <v/>
      </c>
      <c r="Y1394" s="49" t="n"/>
      <c r="Z1394" s="49" t="n"/>
    </row>
    <row r="1395" ht="16" customHeight="1">
      <c r="A1395" s="27">
        <f>IF($C1395="","","N-"&amp;TEXT(ROW()-3,"0000"))</f>
        <v/>
      </c>
      <c r="B1395" s="46" t="n"/>
      <c r="C1395" s="47" t="n"/>
      <c r="D1395" s="27">
        <f>IF($C1395="","",IF(COUNTIFS(ENVIOS!$A$4:$A$3003,$C1395)=0,"NO EXISTE",IF(COUNTIFS(ENVIOS!$A$4:$A$3003,$C1395)&gt;1,"DUPLICADA","OK")))</f>
        <v/>
      </c>
      <c r="E1395" s="22">
        <f>IF($C1395="","",IFERROR(INDEX(ENVIOS!$C$4:$C$3003,MATCH($C1395,ENVIOS!$A$4:$A$3003,0)),"—"))</f>
        <v/>
      </c>
      <c r="F1395" s="22">
        <f>IF($C1395="","",IFERROR(INDEX(ENVIOS!$D$4:$D$3003,MATCH($C1395,ENVIOS!$A$4:$A$3003,0)),"—"))</f>
        <v/>
      </c>
      <c r="G1395" s="22">
        <f>IF($C1395="","",IFERROR(INDEX(ENVIOS!$E$4:$E$3003,MATCH($C1395,ENVIOS!$A$4:$A$3003,0)),"—"))</f>
        <v/>
      </c>
      <c r="H1395" s="22">
        <f>IF($C1395="","",IFERROR(INDEX(ENVIOS!$F$4:$F$3003,MATCH($C1395,ENVIOS!$A$4:$A$3003,0)),"—"))</f>
        <v/>
      </c>
      <c r="I1395" s="27">
        <f>IF($C1395="","",IFERROR(INDEX(ENVIOS!$G$4:$G$3003,MATCH($C1395,ENVIOS!$A$4:$A$3003,0)),"—"))</f>
        <v/>
      </c>
      <c r="J1395" s="48">
        <f>IF($C1395="","",IFERROR(INDEX(ENVIOS!$B$4:$B$3003,MATCH($C1395,ENVIOS!$A$4:$A$3003,0)),""))</f>
        <v/>
      </c>
      <c r="K1395" s="49" t="n"/>
      <c r="L1395" s="27">
        <f>IF($K1395="","",IFERROR(INDEX(CONFIG!$B$4:$B$43,MATCH($K1395,CONFIG!$A$4:$A$43,0)),"Media"))</f>
        <v/>
      </c>
      <c r="M1395" s="27">
        <f>IF($K1395="","",IFERROR(INDEX(CONFIG!$D$4:$D$43,MATCH($K1395,CONFIG!$A$4:$A$43,0)),"NO"))</f>
        <v/>
      </c>
      <c r="N1395" s="49" t="n"/>
      <c r="O1395" s="27">
        <f>IF($N1395="","",IFERROR(INDEX(CONFIG!$G$4:$G$43,MATCH($N1395,CONFIG!$F$4:$F$43,0)),"Por definir"))</f>
        <v/>
      </c>
      <c r="P1395" s="27">
        <f>IF($N1395="","",IFERROR(INDEX(CONFIG!$H$4:$H$43,MATCH($N1395,CONFIG!$F$4:$F$43,0)),"Por definir"))</f>
        <v/>
      </c>
      <c r="Q1395" s="50" t="n"/>
      <c r="R1395" s="51" t="n"/>
      <c r="S1395" s="49" t="n"/>
      <c r="T1395" s="49" t="n"/>
      <c r="U1395" s="48">
        <f>IF(OR($B1395="",$K1395=""),"",WORKDAY($B1395,IFERROR(INDEX(CONFIG!$C$4:$C$43,MATCH($K1395,CONFIG!$A$4:$A$43,0)),3)))</f>
        <v/>
      </c>
      <c r="V1395" s="46" t="n"/>
      <c r="W1395" s="23">
        <f>IF($B1395="","",IF($V1395&lt;&gt;"",$V1395-$B1395,TODAY()-$B1395))</f>
        <v/>
      </c>
      <c r="X1395" s="27">
        <f>IF($C1395="","",IF(IFERROR(INDEX(CONFIG!$K$4:$K$43,MATCH($S1395,CONFIG!$J$4:$J$43,0)),"NO")="SÍ",IF(OR($V1395="",$U1395=""),"Resuelta",IF($V1395&gt;$U1395,"Resuelta tarde","Resuelta a tiempo")),IF($U1395="","Sin clasificar",IF(TODAY()&gt;$U1395,"Vencida",IF(TODAY()&gt;=$U1395-1,"Por vencer","En plazo")))))</f>
        <v/>
      </c>
      <c r="Y1395" s="49" t="n"/>
      <c r="Z1395" s="49" t="n"/>
    </row>
    <row r="1396" ht="16" customHeight="1">
      <c r="A1396" s="27">
        <f>IF($C1396="","","N-"&amp;TEXT(ROW()-3,"0000"))</f>
        <v/>
      </c>
      <c r="B1396" s="46" t="n"/>
      <c r="C1396" s="47" t="n"/>
      <c r="D1396" s="27">
        <f>IF($C1396="","",IF(COUNTIFS(ENVIOS!$A$4:$A$3003,$C1396)=0,"NO EXISTE",IF(COUNTIFS(ENVIOS!$A$4:$A$3003,$C1396)&gt;1,"DUPLICADA","OK")))</f>
        <v/>
      </c>
      <c r="E1396" s="22">
        <f>IF($C1396="","",IFERROR(INDEX(ENVIOS!$C$4:$C$3003,MATCH($C1396,ENVIOS!$A$4:$A$3003,0)),"—"))</f>
        <v/>
      </c>
      <c r="F1396" s="22">
        <f>IF($C1396="","",IFERROR(INDEX(ENVIOS!$D$4:$D$3003,MATCH($C1396,ENVIOS!$A$4:$A$3003,0)),"—"))</f>
        <v/>
      </c>
      <c r="G1396" s="22">
        <f>IF($C1396="","",IFERROR(INDEX(ENVIOS!$E$4:$E$3003,MATCH($C1396,ENVIOS!$A$4:$A$3003,0)),"—"))</f>
        <v/>
      </c>
      <c r="H1396" s="22">
        <f>IF($C1396="","",IFERROR(INDEX(ENVIOS!$F$4:$F$3003,MATCH($C1396,ENVIOS!$A$4:$A$3003,0)),"—"))</f>
        <v/>
      </c>
      <c r="I1396" s="27">
        <f>IF($C1396="","",IFERROR(INDEX(ENVIOS!$G$4:$G$3003,MATCH($C1396,ENVIOS!$A$4:$A$3003,0)),"—"))</f>
        <v/>
      </c>
      <c r="J1396" s="48">
        <f>IF($C1396="","",IFERROR(INDEX(ENVIOS!$B$4:$B$3003,MATCH($C1396,ENVIOS!$A$4:$A$3003,0)),""))</f>
        <v/>
      </c>
      <c r="K1396" s="49" t="n"/>
      <c r="L1396" s="27">
        <f>IF($K1396="","",IFERROR(INDEX(CONFIG!$B$4:$B$43,MATCH($K1396,CONFIG!$A$4:$A$43,0)),"Media"))</f>
        <v/>
      </c>
      <c r="M1396" s="27">
        <f>IF($K1396="","",IFERROR(INDEX(CONFIG!$D$4:$D$43,MATCH($K1396,CONFIG!$A$4:$A$43,0)),"NO"))</f>
        <v/>
      </c>
      <c r="N1396" s="49" t="n"/>
      <c r="O1396" s="27">
        <f>IF($N1396="","",IFERROR(INDEX(CONFIG!$G$4:$G$43,MATCH($N1396,CONFIG!$F$4:$F$43,0)),"Por definir"))</f>
        <v/>
      </c>
      <c r="P1396" s="27">
        <f>IF($N1396="","",IFERROR(INDEX(CONFIG!$H$4:$H$43,MATCH($N1396,CONFIG!$F$4:$F$43,0)),"Por definir"))</f>
        <v/>
      </c>
      <c r="Q1396" s="50" t="n"/>
      <c r="R1396" s="51" t="n"/>
      <c r="S1396" s="49" t="n"/>
      <c r="T1396" s="49" t="n"/>
      <c r="U1396" s="48">
        <f>IF(OR($B1396="",$K1396=""),"",WORKDAY($B1396,IFERROR(INDEX(CONFIG!$C$4:$C$43,MATCH($K1396,CONFIG!$A$4:$A$43,0)),3)))</f>
        <v/>
      </c>
      <c r="V1396" s="46" t="n"/>
      <c r="W1396" s="23">
        <f>IF($B1396="","",IF($V1396&lt;&gt;"",$V1396-$B1396,TODAY()-$B1396))</f>
        <v/>
      </c>
      <c r="X1396" s="27">
        <f>IF($C1396="","",IF(IFERROR(INDEX(CONFIG!$K$4:$K$43,MATCH($S1396,CONFIG!$J$4:$J$43,0)),"NO")="SÍ",IF(OR($V1396="",$U1396=""),"Resuelta",IF($V1396&gt;$U1396,"Resuelta tarde","Resuelta a tiempo")),IF($U1396="","Sin clasificar",IF(TODAY()&gt;$U1396,"Vencida",IF(TODAY()&gt;=$U1396-1,"Por vencer","En plazo")))))</f>
        <v/>
      </c>
      <c r="Y1396" s="49" t="n"/>
      <c r="Z1396" s="49" t="n"/>
    </row>
    <row r="1397" ht="16" customHeight="1">
      <c r="A1397" s="27">
        <f>IF($C1397="","","N-"&amp;TEXT(ROW()-3,"0000"))</f>
        <v/>
      </c>
      <c r="B1397" s="46" t="n"/>
      <c r="C1397" s="47" t="n"/>
      <c r="D1397" s="27">
        <f>IF($C1397="","",IF(COUNTIFS(ENVIOS!$A$4:$A$3003,$C1397)=0,"NO EXISTE",IF(COUNTIFS(ENVIOS!$A$4:$A$3003,$C1397)&gt;1,"DUPLICADA","OK")))</f>
        <v/>
      </c>
      <c r="E1397" s="22">
        <f>IF($C1397="","",IFERROR(INDEX(ENVIOS!$C$4:$C$3003,MATCH($C1397,ENVIOS!$A$4:$A$3003,0)),"—"))</f>
        <v/>
      </c>
      <c r="F1397" s="22">
        <f>IF($C1397="","",IFERROR(INDEX(ENVIOS!$D$4:$D$3003,MATCH($C1397,ENVIOS!$A$4:$A$3003,0)),"—"))</f>
        <v/>
      </c>
      <c r="G1397" s="22">
        <f>IF($C1397="","",IFERROR(INDEX(ENVIOS!$E$4:$E$3003,MATCH($C1397,ENVIOS!$A$4:$A$3003,0)),"—"))</f>
        <v/>
      </c>
      <c r="H1397" s="22">
        <f>IF($C1397="","",IFERROR(INDEX(ENVIOS!$F$4:$F$3003,MATCH($C1397,ENVIOS!$A$4:$A$3003,0)),"—"))</f>
        <v/>
      </c>
      <c r="I1397" s="27">
        <f>IF($C1397="","",IFERROR(INDEX(ENVIOS!$G$4:$G$3003,MATCH($C1397,ENVIOS!$A$4:$A$3003,0)),"—"))</f>
        <v/>
      </c>
      <c r="J1397" s="48">
        <f>IF($C1397="","",IFERROR(INDEX(ENVIOS!$B$4:$B$3003,MATCH($C1397,ENVIOS!$A$4:$A$3003,0)),""))</f>
        <v/>
      </c>
      <c r="K1397" s="49" t="n"/>
      <c r="L1397" s="27">
        <f>IF($K1397="","",IFERROR(INDEX(CONFIG!$B$4:$B$43,MATCH($K1397,CONFIG!$A$4:$A$43,0)),"Media"))</f>
        <v/>
      </c>
      <c r="M1397" s="27">
        <f>IF($K1397="","",IFERROR(INDEX(CONFIG!$D$4:$D$43,MATCH($K1397,CONFIG!$A$4:$A$43,0)),"NO"))</f>
        <v/>
      </c>
      <c r="N1397" s="49" t="n"/>
      <c r="O1397" s="27">
        <f>IF($N1397="","",IFERROR(INDEX(CONFIG!$G$4:$G$43,MATCH($N1397,CONFIG!$F$4:$F$43,0)),"Por definir"))</f>
        <v/>
      </c>
      <c r="P1397" s="27">
        <f>IF($N1397="","",IFERROR(INDEX(CONFIG!$H$4:$H$43,MATCH($N1397,CONFIG!$F$4:$F$43,0)),"Por definir"))</f>
        <v/>
      </c>
      <c r="Q1397" s="50" t="n"/>
      <c r="R1397" s="51" t="n"/>
      <c r="S1397" s="49" t="n"/>
      <c r="T1397" s="49" t="n"/>
      <c r="U1397" s="48">
        <f>IF(OR($B1397="",$K1397=""),"",WORKDAY($B1397,IFERROR(INDEX(CONFIG!$C$4:$C$43,MATCH($K1397,CONFIG!$A$4:$A$43,0)),3)))</f>
        <v/>
      </c>
      <c r="V1397" s="46" t="n"/>
      <c r="W1397" s="23">
        <f>IF($B1397="","",IF($V1397&lt;&gt;"",$V1397-$B1397,TODAY()-$B1397))</f>
        <v/>
      </c>
      <c r="X1397" s="27">
        <f>IF($C1397="","",IF(IFERROR(INDEX(CONFIG!$K$4:$K$43,MATCH($S1397,CONFIG!$J$4:$J$43,0)),"NO")="SÍ",IF(OR($V1397="",$U1397=""),"Resuelta",IF($V1397&gt;$U1397,"Resuelta tarde","Resuelta a tiempo")),IF($U1397="","Sin clasificar",IF(TODAY()&gt;$U1397,"Vencida",IF(TODAY()&gt;=$U1397-1,"Por vencer","En plazo")))))</f>
        <v/>
      </c>
      <c r="Y1397" s="49" t="n"/>
      <c r="Z1397" s="49" t="n"/>
    </row>
    <row r="1398" ht="16" customHeight="1">
      <c r="A1398" s="27">
        <f>IF($C1398="","","N-"&amp;TEXT(ROW()-3,"0000"))</f>
        <v/>
      </c>
      <c r="B1398" s="46" t="n"/>
      <c r="C1398" s="47" t="n"/>
      <c r="D1398" s="27">
        <f>IF($C1398="","",IF(COUNTIFS(ENVIOS!$A$4:$A$3003,$C1398)=0,"NO EXISTE",IF(COUNTIFS(ENVIOS!$A$4:$A$3003,$C1398)&gt;1,"DUPLICADA","OK")))</f>
        <v/>
      </c>
      <c r="E1398" s="22">
        <f>IF($C1398="","",IFERROR(INDEX(ENVIOS!$C$4:$C$3003,MATCH($C1398,ENVIOS!$A$4:$A$3003,0)),"—"))</f>
        <v/>
      </c>
      <c r="F1398" s="22">
        <f>IF($C1398="","",IFERROR(INDEX(ENVIOS!$D$4:$D$3003,MATCH($C1398,ENVIOS!$A$4:$A$3003,0)),"—"))</f>
        <v/>
      </c>
      <c r="G1398" s="22">
        <f>IF($C1398="","",IFERROR(INDEX(ENVIOS!$E$4:$E$3003,MATCH($C1398,ENVIOS!$A$4:$A$3003,0)),"—"))</f>
        <v/>
      </c>
      <c r="H1398" s="22">
        <f>IF($C1398="","",IFERROR(INDEX(ENVIOS!$F$4:$F$3003,MATCH($C1398,ENVIOS!$A$4:$A$3003,0)),"—"))</f>
        <v/>
      </c>
      <c r="I1398" s="27">
        <f>IF($C1398="","",IFERROR(INDEX(ENVIOS!$G$4:$G$3003,MATCH($C1398,ENVIOS!$A$4:$A$3003,0)),"—"))</f>
        <v/>
      </c>
      <c r="J1398" s="48">
        <f>IF($C1398="","",IFERROR(INDEX(ENVIOS!$B$4:$B$3003,MATCH($C1398,ENVIOS!$A$4:$A$3003,0)),""))</f>
        <v/>
      </c>
      <c r="K1398" s="49" t="n"/>
      <c r="L1398" s="27">
        <f>IF($K1398="","",IFERROR(INDEX(CONFIG!$B$4:$B$43,MATCH($K1398,CONFIG!$A$4:$A$43,0)),"Media"))</f>
        <v/>
      </c>
      <c r="M1398" s="27">
        <f>IF($K1398="","",IFERROR(INDEX(CONFIG!$D$4:$D$43,MATCH($K1398,CONFIG!$A$4:$A$43,0)),"NO"))</f>
        <v/>
      </c>
      <c r="N1398" s="49" t="n"/>
      <c r="O1398" s="27">
        <f>IF($N1398="","",IFERROR(INDEX(CONFIG!$G$4:$G$43,MATCH($N1398,CONFIG!$F$4:$F$43,0)),"Por definir"))</f>
        <v/>
      </c>
      <c r="P1398" s="27">
        <f>IF($N1398="","",IFERROR(INDEX(CONFIG!$H$4:$H$43,MATCH($N1398,CONFIG!$F$4:$F$43,0)),"Por definir"))</f>
        <v/>
      </c>
      <c r="Q1398" s="50" t="n"/>
      <c r="R1398" s="51" t="n"/>
      <c r="S1398" s="49" t="n"/>
      <c r="T1398" s="49" t="n"/>
      <c r="U1398" s="48">
        <f>IF(OR($B1398="",$K1398=""),"",WORKDAY($B1398,IFERROR(INDEX(CONFIG!$C$4:$C$43,MATCH($K1398,CONFIG!$A$4:$A$43,0)),3)))</f>
        <v/>
      </c>
      <c r="V1398" s="46" t="n"/>
      <c r="W1398" s="23">
        <f>IF($B1398="","",IF($V1398&lt;&gt;"",$V1398-$B1398,TODAY()-$B1398))</f>
        <v/>
      </c>
      <c r="X1398" s="27">
        <f>IF($C1398="","",IF(IFERROR(INDEX(CONFIG!$K$4:$K$43,MATCH($S1398,CONFIG!$J$4:$J$43,0)),"NO")="SÍ",IF(OR($V1398="",$U1398=""),"Resuelta",IF($V1398&gt;$U1398,"Resuelta tarde","Resuelta a tiempo")),IF($U1398="","Sin clasificar",IF(TODAY()&gt;$U1398,"Vencida",IF(TODAY()&gt;=$U1398-1,"Por vencer","En plazo")))))</f>
        <v/>
      </c>
      <c r="Y1398" s="49" t="n"/>
      <c r="Z1398" s="49" t="n"/>
    </row>
    <row r="1399" ht="16" customHeight="1">
      <c r="A1399" s="27">
        <f>IF($C1399="","","N-"&amp;TEXT(ROW()-3,"0000"))</f>
        <v/>
      </c>
      <c r="B1399" s="46" t="n"/>
      <c r="C1399" s="47" t="n"/>
      <c r="D1399" s="27">
        <f>IF($C1399="","",IF(COUNTIFS(ENVIOS!$A$4:$A$3003,$C1399)=0,"NO EXISTE",IF(COUNTIFS(ENVIOS!$A$4:$A$3003,$C1399)&gt;1,"DUPLICADA","OK")))</f>
        <v/>
      </c>
      <c r="E1399" s="22">
        <f>IF($C1399="","",IFERROR(INDEX(ENVIOS!$C$4:$C$3003,MATCH($C1399,ENVIOS!$A$4:$A$3003,0)),"—"))</f>
        <v/>
      </c>
      <c r="F1399" s="22">
        <f>IF($C1399="","",IFERROR(INDEX(ENVIOS!$D$4:$D$3003,MATCH($C1399,ENVIOS!$A$4:$A$3003,0)),"—"))</f>
        <v/>
      </c>
      <c r="G1399" s="22">
        <f>IF($C1399="","",IFERROR(INDEX(ENVIOS!$E$4:$E$3003,MATCH($C1399,ENVIOS!$A$4:$A$3003,0)),"—"))</f>
        <v/>
      </c>
      <c r="H1399" s="22">
        <f>IF($C1399="","",IFERROR(INDEX(ENVIOS!$F$4:$F$3003,MATCH($C1399,ENVIOS!$A$4:$A$3003,0)),"—"))</f>
        <v/>
      </c>
      <c r="I1399" s="27">
        <f>IF($C1399="","",IFERROR(INDEX(ENVIOS!$G$4:$G$3003,MATCH($C1399,ENVIOS!$A$4:$A$3003,0)),"—"))</f>
        <v/>
      </c>
      <c r="J1399" s="48">
        <f>IF($C1399="","",IFERROR(INDEX(ENVIOS!$B$4:$B$3003,MATCH($C1399,ENVIOS!$A$4:$A$3003,0)),""))</f>
        <v/>
      </c>
      <c r="K1399" s="49" t="n"/>
      <c r="L1399" s="27">
        <f>IF($K1399="","",IFERROR(INDEX(CONFIG!$B$4:$B$43,MATCH($K1399,CONFIG!$A$4:$A$43,0)),"Media"))</f>
        <v/>
      </c>
      <c r="M1399" s="27">
        <f>IF($K1399="","",IFERROR(INDEX(CONFIG!$D$4:$D$43,MATCH($K1399,CONFIG!$A$4:$A$43,0)),"NO"))</f>
        <v/>
      </c>
      <c r="N1399" s="49" t="n"/>
      <c r="O1399" s="27">
        <f>IF($N1399="","",IFERROR(INDEX(CONFIG!$G$4:$G$43,MATCH($N1399,CONFIG!$F$4:$F$43,0)),"Por definir"))</f>
        <v/>
      </c>
      <c r="P1399" s="27">
        <f>IF($N1399="","",IFERROR(INDEX(CONFIG!$H$4:$H$43,MATCH($N1399,CONFIG!$F$4:$F$43,0)),"Por definir"))</f>
        <v/>
      </c>
      <c r="Q1399" s="50" t="n"/>
      <c r="R1399" s="51" t="n"/>
      <c r="S1399" s="49" t="n"/>
      <c r="T1399" s="49" t="n"/>
      <c r="U1399" s="48">
        <f>IF(OR($B1399="",$K1399=""),"",WORKDAY($B1399,IFERROR(INDEX(CONFIG!$C$4:$C$43,MATCH($K1399,CONFIG!$A$4:$A$43,0)),3)))</f>
        <v/>
      </c>
      <c r="V1399" s="46" t="n"/>
      <c r="W1399" s="23">
        <f>IF($B1399="","",IF($V1399&lt;&gt;"",$V1399-$B1399,TODAY()-$B1399))</f>
        <v/>
      </c>
      <c r="X1399" s="27">
        <f>IF($C1399="","",IF(IFERROR(INDEX(CONFIG!$K$4:$K$43,MATCH($S1399,CONFIG!$J$4:$J$43,0)),"NO")="SÍ",IF(OR($V1399="",$U1399=""),"Resuelta",IF($V1399&gt;$U1399,"Resuelta tarde","Resuelta a tiempo")),IF($U1399="","Sin clasificar",IF(TODAY()&gt;$U1399,"Vencida",IF(TODAY()&gt;=$U1399-1,"Por vencer","En plazo")))))</f>
        <v/>
      </c>
      <c r="Y1399" s="49" t="n"/>
      <c r="Z1399" s="49" t="n"/>
    </row>
    <row r="1400" ht="16" customHeight="1">
      <c r="A1400" s="27">
        <f>IF($C1400="","","N-"&amp;TEXT(ROW()-3,"0000"))</f>
        <v/>
      </c>
      <c r="B1400" s="46" t="n"/>
      <c r="C1400" s="47" t="n"/>
      <c r="D1400" s="27">
        <f>IF($C1400="","",IF(COUNTIFS(ENVIOS!$A$4:$A$3003,$C1400)=0,"NO EXISTE",IF(COUNTIFS(ENVIOS!$A$4:$A$3003,$C1400)&gt;1,"DUPLICADA","OK")))</f>
        <v/>
      </c>
      <c r="E1400" s="22">
        <f>IF($C1400="","",IFERROR(INDEX(ENVIOS!$C$4:$C$3003,MATCH($C1400,ENVIOS!$A$4:$A$3003,0)),"—"))</f>
        <v/>
      </c>
      <c r="F1400" s="22">
        <f>IF($C1400="","",IFERROR(INDEX(ENVIOS!$D$4:$D$3003,MATCH($C1400,ENVIOS!$A$4:$A$3003,0)),"—"))</f>
        <v/>
      </c>
      <c r="G1400" s="22">
        <f>IF($C1400="","",IFERROR(INDEX(ENVIOS!$E$4:$E$3003,MATCH($C1400,ENVIOS!$A$4:$A$3003,0)),"—"))</f>
        <v/>
      </c>
      <c r="H1400" s="22">
        <f>IF($C1400="","",IFERROR(INDEX(ENVIOS!$F$4:$F$3003,MATCH($C1400,ENVIOS!$A$4:$A$3003,0)),"—"))</f>
        <v/>
      </c>
      <c r="I1400" s="27">
        <f>IF($C1400="","",IFERROR(INDEX(ENVIOS!$G$4:$G$3003,MATCH($C1400,ENVIOS!$A$4:$A$3003,0)),"—"))</f>
        <v/>
      </c>
      <c r="J1400" s="48">
        <f>IF($C1400="","",IFERROR(INDEX(ENVIOS!$B$4:$B$3003,MATCH($C1400,ENVIOS!$A$4:$A$3003,0)),""))</f>
        <v/>
      </c>
      <c r="K1400" s="49" t="n"/>
      <c r="L1400" s="27">
        <f>IF($K1400="","",IFERROR(INDEX(CONFIG!$B$4:$B$43,MATCH($K1400,CONFIG!$A$4:$A$43,0)),"Media"))</f>
        <v/>
      </c>
      <c r="M1400" s="27">
        <f>IF($K1400="","",IFERROR(INDEX(CONFIG!$D$4:$D$43,MATCH($K1400,CONFIG!$A$4:$A$43,0)),"NO"))</f>
        <v/>
      </c>
      <c r="N1400" s="49" t="n"/>
      <c r="O1400" s="27">
        <f>IF($N1400="","",IFERROR(INDEX(CONFIG!$G$4:$G$43,MATCH($N1400,CONFIG!$F$4:$F$43,0)),"Por definir"))</f>
        <v/>
      </c>
      <c r="P1400" s="27">
        <f>IF($N1400="","",IFERROR(INDEX(CONFIG!$H$4:$H$43,MATCH($N1400,CONFIG!$F$4:$F$43,0)),"Por definir"))</f>
        <v/>
      </c>
      <c r="Q1400" s="50" t="n"/>
      <c r="R1400" s="51" t="n"/>
      <c r="S1400" s="49" t="n"/>
      <c r="T1400" s="49" t="n"/>
      <c r="U1400" s="48">
        <f>IF(OR($B1400="",$K1400=""),"",WORKDAY($B1400,IFERROR(INDEX(CONFIG!$C$4:$C$43,MATCH($K1400,CONFIG!$A$4:$A$43,0)),3)))</f>
        <v/>
      </c>
      <c r="V1400" s="46" t="n"/>
      <c r="W1400" s="23">
        <f>IF($B1400="","",IF($V1400&lt;&gt;"",$V1400-$B1400,TODAY()-$B1400))</f>
        <v/>
      </c>
      <c r="X1400" s="27">
        <f>IF($C1400="","",IF(IFERROR(INDEX(CONFIG!$K$4:$K$43,MATCH($S1400,CONFIG!$J$4:$J$43,0)),"NO")="SÍ",IF(OR($V1400="",$U1400=""),"Resuelta",IF($V1400&gt;$U1400,"Resuelta tarde","Resuelta a tiempo")),IF($U1400="","Sin clasificar",IF(TODAY()&gt;$U1400,"Vencida",IF(TODAY()&gt;=$U1400-1,"Por vencer","En plazo")))))</f>
        <v/>
      </c>
      <c r="Y1400" s="49" t="n"/>
      <c r="Z1400" s="49" t="n"/>
    </row>
    <row r="1401" ht="16" customHeight="1">
      <c r="A1401" s="27">
        <f>IF($C1401="","","N-"&amp;TEXT(ROW()-3,"0000"))</f>
        <v/>
      </c>
      <c r="B1401" s="46" t="n"/>
      <c r="C1401" s="47" t="n"/>
      <c r="D1401" s="27">
        <f>IF($C1401="","",IF(COUNTIFS(ENVIOS!$A$4:$A$3003,$C1401)=0,"NO EXISTE",IF(COUNTIFS(ENVIOS!$A$4:$A$3003,$C1401)&gt;1,"DUPLICADA","OK")))</f>
        <v/>
      </c>
      <c r="E1401" s="22">
        <f>IF($C1401="","",IFERROR(INDEX(ENVIOS!$C$4:$C$3003,MATCH($C1401,ENVIOS!$A$4:$A$3003,0)),"—"))</f>
        <v/>
      </c>
      <c r="F1401" s="22">
        <f>IF($C1401="","",IFERROR(INDEX(ENVIOS!$D$4:$D$3003,MATCH($C1401,ENVIOS!$A$4:$A$3003,0)),"—"))</f>
        <v/>
      </c>
      <c r="G1401" s="22">
        <f>IF($C1401="","",IFERROR(INDEX(ENVIOS!$E$4:$E$3003,MATCH($C1401,ENVIOS!$A$4:$A$3003,0)),"—"))</f>
        <v/>
      </c>
      <c r="H1401" s="22">
        <f>IF($C1401="","",IFERROR(INDEX(ENVIOS!$F$4:$F$3003,MATCH($C1401,ENVIOS!$A$4:$A$3003,0)),"—"))</f>
        <v/>
      </c>
      <c r="I1401" s="27">
        <f>IF($C1401="","",IFERROR(INDEX(ENVIOS!$G$4:$G$3003,MATCH($C1401,ENVIOS!$A$4:$A$3003,0)),"—"))</f>
        <v/>
      </c>
      <c r="J1401" s="48">
        <f>IF($C1401="","",IFERROR(INDEX(ENVIOS!$B$4:$B$3003,MATCH($C1401,ENVIOS!$A$4:$A$3003,0)),""))</f>
        <v/>
      </c>
      <c r="K1401" s="49" t="n"/>
      <c r="L1401" s="27">
        <f>IF($K1401="","",IFERROR(INDEX(CONFIG!$B$4:$B$43,MATCH($K1401,CONFIG!$A$4:$A$43,0)),"Media"))</f>
        <v/>
      </c>
      <c r="M1401" s="27">
        <f>IF($K1401="","",IFERROR(INDEX(CONFIG!$D$4:$D$43,MATCH($K1401,CONFIG!$A$4:$A$43,0)),"NO"))</f>
        <v/>
      </c>
      <c r="N1401" s="49" t="n"/>
      <c r="O1401" s="27">
        <f>IF($N1401="","",IFERROR(INDEX(CONFIG!$G$4:$G$43,MATCH($N1401,CONFIG!$F$4:$F$43,0)),"Por definir"))</f>
        <v/>
      </c>
      <c r="P1401" s="27">
        <f>IF($N1401="","",IFERROR(INDEX(CONFIG!$H$4:$H$43,MATCH($N1401,CONFIG!$F$4:$F$43,0)),"Por definir"))</f>
        <v/>
      </c>
      <c r="Q1401" s="50" t="n"/>
      <c r="R1401" s="51" t="n"/>
      <c r="S1401" s="49" t="n"/>
      <c r="T1401" s="49" t="n"/>
      <c r="U1401" s="48">
        <f>IF(OR($B1401="",$K1401=""),"",WORKDAY($B1401,IFERROR(INDEX(CONFIG!$C$4:$C$43,MATCH($K1401,CONFIG!$A$4:$A$43,0)),3)))</f>
        <v/>
      </c>
      <c r="V1401" s="46" t="n"/>
      <c r="W1401" s="23">
        <f>IF($B1401="","",IF($V1401&lt;&gt;"",$V1401-$B1401,TODAY()-$B1401))</f>
        <v/>
      </c>
      <c r="X1401" s="27">
        <f>IF($C1401="","",IF(IFERROR(INDEX(CONFIG!$K$4:$K$43,MATCH($S1401,CONFIG!$J$4:$J$43,0)),"NO")="SÍ",IF(OR($V1401="",$U1401=""),"Resuelta",IF($V1401&gt;$U1401,"Resuelta tarde","Resuelta a tiempo")),IF($U1401="","Sin clasificar",IF(TODAY()&gt;$U1401,"Vencida",IF(TODAY()&gt;=$U1401-1,"Por vencer","En plazo")))))</f>
        <v/>
      </c>
      <c r="Y1401" s="49" t="n"/>
      <c r="Z1401" s="49" t="n"/>
    </row>
    <row r="1402" ht="16" customHeight="1">
      <c r="A1402" s="27">
        <f>IF($C1402="","","N-"&amp;TEXT(ROW()-3,"0000"))</f>
        <v/>
      </c>
      <c r="B1402" s="46" t="n"/>
      <c r="C1402" s="47" t="n"/>
      <c r="D1402" s="27">
        <f>IF($C1402="","",IF(COUNTIFS(ENVIOS!$A$4:$A$3003,$C1402)=0,"NO EXISTE",IF(COUNTIFS(ENVIOS!$A$4:$A$3003,$C1402)&gt;1,"DUPLICADA","OK")))</f>
        <v/>
      </c>
      <c r="E1402" s="22">
        <f>IF($C1402="","",IFERROR(INDEX(ENVIOS!$C$4:$C$3003,MATCH($C1402,ENVIOS!$A$4:$A$3003,0)),"—"))</f>
        <v/>
      </c>
      <c r="F1402" s="22">
        <f>IF($C1402="","",IFERROR(INDEX(ENVIOS!$D$4:$D$3003,MATCH($C1402,ENVIOS!$A$4:$A$3003,0)),"—"))</f>
        <v/>
      </c>
      <c r="G1402" s="22">
        <f>IF($C1402="","",IFERROR(INDEX(ENVIOS!$E$4:$E$3003,MATCH($C1402,ENVIOS!$A$4:$A$3003,0)),"—"))</f>
        <v/>
      </c>
      <c r="H1402" s="22">
        <f>IF($C1402="","",IFERROR(INDEX(ENVIOS!$F$4:$F$3003,MATCH($C1402,ENVIOS!$A$4:$A$3003,0)),"—"))</f>
        <v/>
      </c>
      <c r="I1402" s="27">
        <f>IF($C1402="","",IFERROR(INDEX(ENVIOS!$G$4:$G$3003,MATCH($C1402,ENVIOS!$A$4:$A$3003,0)),"—"))</f>
        <v/>
      </c>
      <c r="J1402" s="48">
        <f>IF($C1402="","",IFERROR(INDEX(ENVIOS!$B$4:$B$3003,MATCH($C1402,ENVIOS!$A$4:$A$3003,0)),""))</f>
        <v/>
      </c>
      <c r="K1402" s="49" t="n"/>
      <c r="L1402" s="27">
        <f>IF($K1402="","",IFERROR(INDEX(CONFIG!$B$4:$B$43,MATCH($K1402,CONFIG!$A$4:$A$43,0)),"Media"))</f>
        <v/>
      </c>
      <c r="M1402" s="27">
        <f>IF($K1402="","",IFERROR(INDEX(CONFIG!$D$4:$D$43,MATCH($K1402,CONFIG!$A$4:$A$43,0)),"NO"))</f>
        <v/>
      </c>
      <c r="N1402" s="49" t="n"/>
      <c r="O1402" s="27">
        <f>IF($N1402="","",IFERROR(INDEX(CONFIG!$G$4:$G$43,MATCH($N1402,CONFIG!$F$4:$F$43,0)),"Por definir"))</f>
        <v/>
      </c>
      <c r="P1402" s="27">
        <f>IF($N1402="","",IFERROR(INDEX(CONFIG!$H$4:$H$43,MATCH($N1402,CONFIG!$F$4:$F$43,0)),"Por definir"))</f>
        <v/>
      </c>
      <c r="Q1402" s="50" t="n"/>
      <c r="R1402" s="51" t="n"/>
      <c r="S1402" s="49" t="n"/>
      <c r="T1402" s="49" t="n"/>
      <c r="U1402" s="48">
        <f>IF(OR($B1402="",$K1402=""),"",WORKDAY($B1402,IFERROR(INDEX(CONFIG!$C$4:$C$43,MATCH($K1402,CONFIG!$A$4:$A$43,0)),3)))</f>
        <v/>
      </c>
      <c r="V1402" s="46" t="n"/>
      <c r="W1402" s="23">
        <f>IF($B1402="","",IF($V1402&lt;&gt;"",$V1402-$B1402,TODAY()-$B1402))</f>
        <v/>
      </c>
      <c r="X1402" s="27">
        <f>IF($C1402="","",IF(IFERROR(INDEX(CONFIG!$K$4:$K$43,MATCH($S1402,CONFIG!$J$4:$J$43,0)),"NO")="SÍ",IF(OR($V1402="",$U1402=""),"Resuelta",IF($V1402&gt;$U1402,"Resuelta tarde","Resuelta a tiempo")),IF($U1402="","Sin clasificar",IF(TODAY()&gt;$U1402,"Vencida",IF(TODAY()&gt;=$U1402-1,"Por vencer","En plazo")))))</f>
        <v/>
      </c>
      <c r="Y1402" s="49" t="n"/>
      <c r="Z1402" s="49" t="n"/>
    </row>
    <row r="1403" ht="16" customHeight="1">
      <c r="A1403" s="27">
        <f>IF($C1403="","","N-"&amp;TEXT(ROW()-3,"0000"))</f>
        <v/>
      </c>
      <c r="B1403" s="46" t="n"/>
      <c r="C1403" s="47" t="n"/>
      <c r="D1403" s="27">
        <f>IF($C1403="","",IF(COUNTIFS(ENVIOS!$A$4:$A$3003,$C1403)=0,"NO EXISTE",IF(COUNTIFS(ENVIOS!$A$4:$A$3003,$C1403)&gt;1,"DUPLICADA","OK")))</f>
        <v/>
      </c>
      <c r="E1403" s="22">
        <f>IF($C1403="","",IFERROR(INDEX(ENVIOS!$C$4:$C$3003,MATCH($C1403,ENVIOS!$A$4:$A$3003,0)),"—"))</f>
        <v/>
      </c>
      <c r="F1403" s="22">
        <f>IF($C1403="","",IFERROR(INDEX(ENVIOS!$D$4:$D$3003,MATCH($C1403,ENVIOS!$A$4:$A$3003,0)),"—"))</f>
        <v/>
      </c>
      <c r="G1403" s="22">
        <f>IF($C1403="","",IFERROR(INDEX(ENVIOS!$E$4:$E$3003,MATCH($C1403,ENVIOS!$A$4:$A$3003,0)),"—"))</f>
        <v/>
      </c>
      <c r="H1403" s="22">
        <f>IF($C1403="","",IFERROR(INDEX(ENVIOS!$F$4:$F$3003,MATCH($C1403,ENVIOS!$A$4:$A$3003,0)),"—"))</f>
        <v/>
      </c>
      <c r="I1403" s="27">
        <f>IF($C1403="","",IFERROR(INDEX(ENVIOS!$G$4:$G$3003,MATCH($C1403,ENVIOS!$A$4:$A$3003,0)),"—"))</f>
        <v/>
      </c>
      <c r="J1403" s="48">
        <f>IF($C1403="","",IFERROR(INDEX(ENVIOS!$B$4:$B$3003,MATCH($C1403,ENVIOS!$A$4:$A$3003,0)),""))</f>
        <v/>
      </c>
      <c r="K1403" s="49" t="n"/>
      <c r="L1403" s="27">
        <f>IF($K1403="","",IFERROR(INDEX(CONFIG!$B$4:$B$43,MATCH($K1403,CONFIG!$A$4:$A$43,0)),"Media"))</f>
        <v/>
      </c>
      <c r="M1403" s="27">
        <f>IF($K1403="","",IFERROR(INDEX(CONFIG!$D$4:$D$43,MATCH($K1403,CONFIG!$A$4:$A$43,0)),"NO"))</f>
        <v/>
      </c>
      <c r="N1403" s="49" t="n"/>
      <c r="O1403" s="27">
        <f>IF($N1403="","",IFERROR(INDEX(CONFIG!$G$4:$G$43,MATCH($N1403,CONFIG!$F$4:$F$43,0)),"Por definir"))</f>
        <v/>
      </c>
      <c r="P1403" s="27">
        <f>IF($N1403="","",IFERROR(INDEX(CONFIG!$H$4:$H$43,MATCH($N1403,CONFIG!$F$4:$F$43,0)),"Por definir"))</f>
        <v/>
      </c>
      <c r="Q1403" s="50" t="n"/>
      <c r="R1403" s="51" t="n"/>
      <c r="S1403" s="49" t="n"/>
      <c r="T1403" s="49" t="n"/>
      <c r="U1403" s="48">
        <f>IF(OR($B1403="",$K1403=""),"",WORKDAY($B1403,IFERROR(INDEX(CONFIG!$C$4:$C$43,MATCH($K1403,CONFIG!$A$4:$A$43,0)),3)))</f>
        <v/>
      </c>
      <c r="V1403" s="46" t="n"/>
      <c r="W1403" s="23">
        <f>IF($B1403="","",IF($V1403&lt;&gt;"",$V1403-$B1403,TODAY()-$B1403))</f>
        <v/>
      </c>
      <c r="X1403" s="27">
        <f>IF($C1403="","",IF(IFERROR(INDEX(CONFIG!$K$4:$K$43,MATCH($S1403,CONFIG!$J$4:$J$43,0)),"NO")="SÍ",IF(OR($V1403="",$U1403=""),"Resuelta",IF($V1403&gt;$U1403,"Resuelta tarde","Resuelta a tiempo")),IF($U1403="","Sin clasificar",IF(TODAY()&gt;$U1403,"Vencida",IF(TODAY()&gt;=$U1403-1,"Por vencer","En plazo")))))</f>
        <v/>
      </c>
      <c r="Y1403" s="49" t="n"/>
      <c r="Z1403" s="49" t="n"/>
    </row>
    <row r="1404" ht="16" customHeight="1">
      <c r="A1404" s="27">
        <f>IF($C1404="","","N-"&amp;TEXT(ROW()-3,"0000"))</f>
        <v/>
      </c>
      <c r="B1404" s="46" t="n"/>
      <c r="C1404" s="47" t="n"/>
      <c r="D1404" s="27">
        <f>IF($C1404="","",IF(COUNTIFS(ENVIOS!$A$4:$A$3003,$C1404)=0,"NO EXISTE",IF(COUNTIFS(ENVIOS!$A$4:$A$3003,$C1404)&gt;1,"DUPLICADA","OK")))</f>
        <v/>
      </c>
      <c r="E1404" s="22">
        <f>IF($C1404="","",IFERROR(INDEX(ENVIOS!$C$4:$C$3003,MATCH($C1404,ENVIOS!$A$4:$A$3003,0)),"—"))</f>
        <v/>
      </c>
      <c r="F1404" s="22">
        <f>IF($C1404="","",IFERROR(INDEX(ENVIOS!$D$4:$D$3003,MATCH($C1404,ENVIOS!$A$4:$A$3003,0)),"—"))</f>
        <v/>
      </c>
      <c r="G1404" s="22">
        <f>IF($C1404="","",IFERROR(INDEX(ENVIOS!$E$4:$E$3003,MATCH($C1404,ENVIOS!$A$4:$A$3003,0)),"—"))</f>
        <v/>
      </c>
      <c r="H1404" s="22">
        <f>IF($C1404="","",IFERROR(INDEX(ENVIOS!$F$4:$F$3003,MATCH($C1404,ENVIOS!$A$4:$A$3003,0)),"—"))</f>
        <v/>
      </c>
      <c r="I1404" s="27">
        <f>IF($C1404="","",IFERROR(INDEX(ENVIOS!$G$4:$G$3003,MATCH($C1404,ENVIOS!$A$4:$A$3003,0)),"—"))</f>
        <v/>
      </c>
      <c r="J1404" s="48">
        <f>IF($C1404="","",IFERROR(INDEX(ENVIOS!$B$4:$B$3003,MATCH($C1404,ENVIOS!$A$4:$A$3003,0)),""))</f>
        <v/>
      </c>
      <c r="K1404" s="49" t="n"/>
      <c r="L1404" s="27">
        <f>IF($K1404="","",IFERROR(INDEX(CONFIG!$B$4:$B$43,MATCH($K1404,CONFIG!$A$4:$A$43,0)),"Media"))</f>
        <v/>
      </c>
      <c r="M1404" s="27">
        <f>IF($K1404="","",IFERROR(INDEX(CONFIG!$D$4:$D$43,MATCH($K1404,CONFIG!$A$4:$A$43,0)),"NO"))</f>
        <v/>
      </c>
      <c r="N1404" s="49" t="n"/>
      <c r="O1404" s="27">
        <f>IF($N1404="","",IFERROR(INDEX(CONFIG!$G$4:$G$43,MATCH($N1404,CONFIG!$F$4:$F$43,0)),"Por definir"))</f>
        <v/>
      </c>
      <c r="P1404" s="27">
        <f>IF($N1404="","",IFERROR(INDEX(CONFIG!$H$4:$H$43,MATCH($N1404,CONFIG!$F$4:$F$43,0)),"Por definir"))</f>
        <v/>
      </c>
      <c r="Q1404" s="50" t="n"/>
      <c r="R1404" s="51" t="n"/>
      <c r="S1404" s="49" t="n"/>
      <c r="T1404" s="49" t="n"/>
      <c r="U1404" s="48">
        <f>IF(OR($B1404="",$K1404=""),"",WORKDAY($B1404,IFERROR(INDEX(CONFIG!$C$4:$C$43,MATCH($K1404,CONFIG!$A$4:$A$43,0)),3)))</f>
        <v/>
      </c>
      <c r="V1404" s="46" t="n"/>
      <c r="W1404" s="23">
        <f>IF($B1404="","",IF($V1404&lt;&gt;"",$V1404-$B1404,TODAY()-$B1404))</f>
        <v/>
      </c>
      <c r="X1404" s="27">
        <f>IF($C1404="","",IF(IFERROR(INDEX(CONFIG!$K$4:$K$43,MATCH($S1404,CONFIG!$J$4:$J$43,0)),"NO")="SÍ",IF(OR($V1404="",$U1404=""),"Resuelta",IF($V1404&gt;$U1404,"Resuelta tarde","Resuelta a tiempo")),IF($U1404="","Sin clasificar",IF(TODAY()&gt;$U1404,"Vencida",IF(TODAY()&gt;=$U1404-1,"Por vencer","En plazo")))))</f>
        <v/>
      </c>
      <c r="Y1404" s="49" t="n"/>
      <c r="Z1404" s="49" t="n"/>
    </row>
    <row r="1405" ht="16" customHeight="1">
      <c r="A1405" s="27">
        <f>IF($C1405="","","N-"&amp;TEXT(ROW()-3,"0000"))</f>
        <v/>
      </c>
      <c r="B1405" s="46" t="n"/>
      <c r="C1405" s="47" t="n"/>
      <c r="D1405" s="27">
        <f>IF($C1405="","",IF(COUNTIFS(ENVIOS!$A$4:$A$3003,$C1405)=0,"NO EXISTE",IF(COUNTIFS(ENVIOS!$A$4:$A$3003,$C1405)&gt;1,"DUPLICADA","OK")))</f>
        <v/>
      </c>
      <c r="E1405" s="22">
        <f>IF($C1405="","",IFERROR(INDEX(ENVIOS!$C$4:$C$3003,MATCH($C1405,ENVIOS!$A$4:$A$3003,0)),"—"))</f>
        <v/>
      </c>
      <c r="F1405" s="22">
        <f>IF($C1405="","",IFERROR(INDEX(ENVIOS!$D$4:$D$3003,MATCH($C1405,ENVIOS!$A$4:$A$3003,0)),"—"))</f>
        <v/>
      </c>
      <c r="G1405" s="22">
        <f>IF($C1405="","",IFERROR(INDEX(ENVIOS!$E$4:$E$3003,MATCH($C1405,ENVIOS!$A$4:$A$3003,0)),"—"))</f>
        <v/>
      </c>
      <c r="H1405" s="22">
        <f>IF($C1405="","",IFERROR(INDEX(ENVIOS!$F$4:$F$3003,MATCH($C1405,ENVIOS!$A$4:$A$3003,0)),"—"))</f>
        <v/>
      </c>
      <c r="I1405" s="27">
        <f>IF($C1405="","",IFERROR(INDEX(ENVIOS!$G$4:$G$3003,MATCH($C1405,ENVIOS!$A$4:$A$3003,0)),"—"))</f>
        <v/>
      </c>
      <c r="J1405" s="48">
        <f>IF($C1405="","",IFERROR(INDEX(ENVIOS!$B$4:$B$3003,MATCH($C1405,ENVIOS!$A$4:$A$3003,0)),""))</f>
        <v/>
      </c>
      <c r="K1405" s="49" t="n"/>
      <c r="L1405" s="27">
        <f>IF($K1405="","",IFERROR(INDEX(CONFIG!$B$4:$B$43,MATCH($K1405,CONFIG!$A$4:$A$43,0)),"Media"))</f>
        <v/>
      </c>
      <c r="M1405" s="27">
        <f>IF($K1405="","",IFERROR(INDEX(CONFIG!$D$4:$D$43,MATCH($K1405,CONFIG!$A$4:$A$43,0)),"NO"))</f>
        <v/>
      </c>
      <c r="N1405" s="49" t="n"/>
      <c r="O1405" s="27">
        <f>IF($N1405="","",IFERROR(INDEX(CONFIG!$G$4:$G$43,MATCH($N1405,CONFIG!$F$4:$F$43,0)),"Por definir"))</f>
        <v/>
      </c>
      <c r="P1405" s="27">
        <f>IF($N1405="","",IFERROR(INDEX(CONFIG!$H$4:$H$43,MATCH($N1405,CONFIG!$F$4:$F$43,0)),"Por definir"))</f>
        <v/>
      </c>
      <c r="Q1405" s="50" t="n"/>
      <c r="R1405" s="51" t="n"/>
      <c r="S1405" s="49" t="n"/>
      <c r="T1405" s="49" t="n"/>
      <c r="U1405" s="48">
        <f>IF(OR($B1405="",$K1405=""),"",WORKDAY($B1405,IFERROR(INDEX(CONFIG!$C$4:$C$43,MATCH($K1405,CONFIG!$A$4:$A$43,0)),3)))</f>
        <v/>
      </c>
      <c r="V1405" s="46" t="n"/>
      <c r="W1405" s="23">
        <f>IF($B1405="","",IF($V1405&lt;&gt;"",$V1405-$B1405,TODAY()-$B1405))</f>
        <v/>
      </c>
      <c r="X1405" s="27">
        <f>IF($C1405="","",IF(IFERROR(INDEX(CONFIG!$K$4:$K$43,MATCH($S1405,CONFIG!$J$4:$J$43,0)),"NO")="SÍ",IF(OR($V1405="",$U1405=""),"Resuelta",IF($V1405&gt;$U1405,"Resuelta tarde","Resuelta a tiempo")),IF($U1405="","Sin clasificar",IF(TODAY()&gt;$U1405,"Vencida",IF(TODAY()&gt;=$U1405-1,"Por vencer","En plazo")))))</f>
        <v/>
      </c>
      <c r="Y1405" s="49" t="n"/>
      <c r="Z1405" s="49" t="n"/>
    </row>
    <row r="1406" ht="16" customHeight="1">
      <c r="A1406" s="27">
        <f>IF($C1406="","","N-"&amp;TEXT(ROW()-3,"0000"))</f>
        <v/>
      </c>
      <c r="B1406" s="46" t="n"/>
      <c r="C1406" s="47" t="n"/>
      <c r="D1406" s="27">
        <f>IF($C1406="","",IF(COUNTIFS(ENVIOS!$A$4:$A$3003,$C1406)=0,"NO EXISTE",IF(COUNTIFS(ENVIOS!$A$4:$A$3003,$C1406)&gt;1,"DUPLICADA","OK")))</f>
        <v/>
      </c>
      <c r="E1406" s="22">
        <f>IF($C1406="","",IFERROR(INDEX(ENVIOS!$C$4:$C$3003,MATCH($C1406,ENVIOS!$A$4:$A$3003,0)),"—"))</f>
        <v/>
      </c>
      <c r="F1406" s="22">
        <f>IF($C1406="","",IFERROR(INDEX(ENVIOS!$D$4:$D$3003,MATCH($C1406,ENVIOS!$A$4:$A$3003,0)),"—"))</f>
        <v/>
      </c>
      <c r="G1406" s="22">
        <f>IF($C1406="","",IFERROR(INDEX(ENVIOS!$E$4:$E$3003,MATCH($C1406,ENVIOS!$A$4:$A$3003,0)),"—"))</f>
        <v/>
      </c>
      <c r="H1406" s="22">
        <f>IF($C1406="","",IFERROR(INDEX(ENVIOS!$F$4:$F$3003,MATCH($C1406,ENVIOS!$A$4:$A$3003,0)),"—"))</f>
        <v/>
      </c>
      <c r="I1406" s="27">
        <f>IF($C1406="","",IFERROR(INDEX(ENVIOS!$G$4:$G$3003,MATCH($C1406,ENVIOS!$A$4:$A$3003,0)),"—"))</f>
        <v/>
      </c>
      <c r="J1406" s="48">
        <f>IF($C1406="","",IFERROR(INDEX(ENVIOS!$B$4:$B$3003,MATCH($C1406,ENVIOS!$A$4:$A$3003,0)),""))</f>
        <v/>
      </c>
      <c r="K1406" s="49" t="n"/>
      <c r="L1406" s="27">
        <f>IF($K1406="","",IFERROR(INDEX(CONFIG!$B$4:$B$43,MATCH($K1406,CONFIG!$A$4:$A$43,0)),"Media"))</f>
        <v/>
      </c>
      <c r="M1406" s="27">
        <f>IF($K1406="","",IFERROR(INDEX(CONFIG!$D$4:$D$43,MATCH($K1406,CONFIG!$A$4:$A$43,0)),"NO"))</f>
        <v/>
      </c>
      <c r="N1406" s="49" t="n"/>
      <c r="O1406" s="27">
        <f>IF($N1406="","",IFERROR(INDEX(CONFIG!$G$4:$G$43,MATCH($N1406,CONFIG!$F$4:$F$43,0)),"Por definir"))</f>
        <v/>
      </c>
      <c r="P1406" s="27">
        <f>IF($N1406="","",IFERROR(INDEX(CONFIG!$H$4:$H$43,MATCH($N1406,CONFIG!$F$4:$F$43,0)),"Por definir"))</f>
        <v/>
      </c>
      <c r="Q1406" s="50" t="n"/>
      <c r="R1406" s="51" t="n"/>
      <c r="S1406" s="49" t="n"/>
      <c r="T1406" s="49" t="n"/>
      <c r="U1406" s="48">
        <f>IF(OR($B1406="",$K1406=""),"",WORKDAY($B1406,IFERROR(INDEX(CONFIG!$C$4:$C$43,MATCH($K1406,CONFIG!$A$4:$A$43,0)),3)))</f>
        <v/>
      </c>
      <c r="V1406" s="46" t="n"/>
      <c r="W1406" s="23">
        <f>IF($B1406="","",IF($V1406&lt;&gt;"",$V1406-$B1406,TODAY()-$B1406))</f>
        <v/>
      </c>
      <c r="X1406" s="27">
        <f>IF($C1406="","",IF(IFERROR(INDEX(CONFIG!$K$4:$K$43,MATCH($S1406,CONFIG!$J$4:$J$43,0)),"NO")="SÍ",IF(OR($V1406="",$U1406=""),"Resuelta",IF($V1406&gt;$U1406,"Resuelta tarde","Resuelta a tiempo")),IF($U1406="","Sin clasificar",IF(TODAY()&gt;$U1406,"Vencida",IF(TODAY()&gt;=$U1406-1,"Por vencer","En plazo")))))</f>
        <v/>
      </c>
      <c r="Y1406" s="49" t="n"/>
      <c r="Z1406" s="49" t="n"/>
    </row>
    <row r="1407" ht="16" customHeight="1">
      <c r="A1407" s="27">
        <f>IF($C1407="","","N-"&amp;TEXT(ROW()-3,"0000"))</f>
        <v/>
      </c>
      <c r="B1407" s="46" t="n"/>
      <c r="C1407" s="47" t="n"/>
      <c r="D1407" s="27">
        <f>IF($C1407="","",IF(COUNTIFS(ENVIOS!$A$4:$A$3003,$C1407)=0,"NO EXISTE",IF(COUNTIFS(ENVIOS!$A$4:$A$3003,$C1407)&gt;1,"DUPLICADA","OK")))</f>
        <v/>
      </c>
      <c r="E1407" s="22">
        <f>IF($C1407="","",IFERROR(INDEX(ENVIOS!$C$4:$C$3003,MATCH($C1407,ENVIOS!$A$4:$A$3003,0)),"—"))</f>
        <v/>
      </c>
      <c r="F1407" s="22">
        <f>IF($C1407="","",IFERROR(INDEX(ENVIOS!$D$4:$D$3003,MATCH($C1407,ENVIOS!$A$4:$A$3003,0)),"—"))</f>
        <v/>
      </c>
      <c r="G1407" s="22">
        <f>IF($C1407="","",IFERROR(INDEX(ENVIOS!$E$4:$E$3003,MATCH($C1407,ENVIOS!$A$4:$A$3003,0)),"—"))</f>
        <v/>
      </c>
      <c r="H1407" s="22">
        <f>IF($C1407="","",IFERROR(INDEX(ENVIOS!$F$4:$F$3003,MATCH($C1407,ENVIOS!$A$4:$A$3003,0)),"—"))</f>
        <v/>
      </c>
      <c r="I1407" s="27">
        <f>IF($C1407="","",IFERROR(INDEX(ENVIOS!$G$4:$G$3003,MATCH($C1407,ENVIOS!$A$4:$A$3003,0)),"—"))</f>
        <v/>
      </c>
      <c r="J1407" s="48">
        <f>IF($C1407="","",IFERROR(INDEX(ENVIOS!$B$4:$B$3003,MATCH($C1407,ENVIOS!$A$4:$A$3003,0)),""))</f>
        <v/>
      </c>
      <c r="K1407" s="49" t="n"/>
      <c r="L1407" s="27">
        <f>IF($K1407="","",IFERROR(INDEX(CONFIG!$B$4:$B$43,MATCH($K1407,CONFIG!$A$4:$A$43,0)),"Media"))</f>
        <v/>
      </c>
      <c r="M1407" s="27">
        <f>IF($K1407="","",IFERROR(INDEX(CONFIG!$D$4:$D$43,MATCH($K1407,CONFIG!$A$4:$A$43,0)),"NO"))</f>
        <v/>
      </c>
      <c r="N1407" s="49" t="n"/>
      <c r="O1407" s="27">
        <f>IF($N1407="","",IFERROR(INDEX(CONFIG!$G$4:$G$43,MATCH($N1407,CONFIG!$F$4:$F$43,0)),"Por definir"))</f>
        <v/>
      </c>
      <c r="P1407" s="27">
        <f>IF($N1407="","",IFERROR(INDEX(CONFIG!$H$4:$H$43,MATCH($N1407,CONFIG!$F$4:$F$43,0)),"Por definir"))</f>
        <v/>
      </c>
      <c r="Q1407" s="50" t="n"/>
      <c r="R1407" s="51" t="n"/>
      <c r="S1407" s="49" t="n"/>
      <c r="T1407" s="49" t="n"/>
      <c r="U1407" s="48">
        <f>IF(OR($B1407="",$K1407=""),"",WORKDAY($B1407,IFERROR(INDEX(CONFIG!$C$4:$C$43,MATCH($K1407,CONFIG!$A$4:$A$43,0)),3)))</f>
        <v/>
      </c>
      <c r="V1407" s="46" t="n"/>
      <c r="W1407" s="23">
        <f>IF($B1407="","",IF($V1407&lt;&gt;"",$V1407-$B1407,TODAY()-$B1407))</f>
        <v/>
      </c>
      <c r="X1407" s="27">
        <f>IF($C1407="","",IF(IFERROR(INDEX(CONFIG!$K$4:$K$43,MATCH($S1407,CONFIG!$J$4:$J$43,0)),"NO")="SÍ",IF(OR($V1407="",$U1407=""),"Resuelta",IF($V1407&gt;$U1407,"Resuelta tarde","Resuelta a tiempo")),IF($U1407="","Sin clasificar",IF(TODAY()&gt;$U1407,"Vencida",IF(TODAY()&gt;=$U1407-1,"Por vencer","En plazo")))))</f>
        <v/>
      </c>
      <c r="Y1407" s="49" t="n"/>
      <c r="Z1407" s="49" t="n"/>
    </row>
    <row r="1408" ht="16" customHeight="1">
      <c r="A1408" s="27">
        <f>IF($C1408="","","N-"&amp;TEXT(ROW()-3,"0000"))</f>
        <v/>
      </c>
      <c r="B1408" s="46" t="n"/>
      <c r="C1408" s="47" t="n"/>
      <c r="D1408" s="27">
        <f>IF($C1408="","",IF(COUNTIFS(ENVIOS!$A$4:$A$3003,$C1408)=0,"NO EXISTE",IF(COUNTIFS(ENVIOS!$A$4:$A$3003,$C1408)&gt;1,"DUPLICADA","OK")))</f>
        <v/>
      </c>
      <c r="E1408" s="22">
        <f>IF($C1408="","",IFERROR(INDEX(ENVIOS!$C$4:$C$3003,MATCH($C1408,ENVIOS!$A$4:$A$3003,0)),"—"))</f>
        <v/>
      </c>
      <c r="F1408" s="22">
        <f>IF($C1408="","",IFERROR(INDEX(ENVIOS!$D$4:$D$3003,MATCH($C1408,ENVIOS!$A$4:$A$3003,0)),"—"))</f>
        <v/>
      </c>
      <c r="G1408" s="22">
        <f>IF($C1408="","",IFERROR(INDEX(ENVIOS!$E$4:$E$3003,MATCH($C1408,ENVIOS!$A$4:$A$3003,0)),"—"))</f>
        <v/>
      </c>
      <c r="H1408" s="22">
        <f>IF($C1408="","",IFERROR(INDEX(ENVIOS!$F$4:$F$3003,MATCH($C1408,ENVIOS!$A$4:$A$3003,0)),"—"))</f>
        <v/>
      </c>
      <c r="I1408" s="27">
        <f>IF($C1408="","",IFERROR(INDEX(ENVIOS!$G$4:$G$3003,MATCH($C1408,ENVIOS!$A$4:$A$3003,0)),"—"))</f>
        <v/>
      </c>
      <c r="J1408" s="48">
        <f>IF($C1408="","",IFERROR(INDEX(ENVIOS!$B$4:$B$3003,MATCH($C1408,ENVIOS!$A$4:$A$3003,0)),""))</f>
        <v/>
      </c>
      <c r="K1408" s="49" t="n"/>
      <c r="L1408" s="27">
        <f>IF($K1408="","",IFERROR(INDEX(CONFIG!$B$4:$B$43,MATCH($K1408,CONFIG!$A$4:$A$43,0)),"Media"))</f>
        <v/>
      </c>
      <c r="M1408" s="27">
        <f>IF($K1408="","",IFERROR(INDEX(CONFIG!$D$4:$D$43,MATCH($K1408,CONFIG!$A$4:$A$43,0)),"NO"))</f>
        <v/>
      </c>
      <c r="N1408" s="49" t="n"/>
      <c r="O1408" s="27">
        <f>IF($N1408="","",IFERROR(INDEX(CONFIG!$G$4:$G$43,MATCH($N1408,CONFIG!$F$4:$F$43,0)),"Por definir"))</f>
        <v/>
      </c>
      <c r="P1408" s="27">
        <f>IF($N1408="","",IFERROR(INDEX(CONFIG!$H$4:$H$43,MATCH($N1408,CONFIG!$F$4:$F$43,0)),"Por definir"))</f>
        <v/>
      </c>
      <c r="Q1408" s="50" t="n"/>
      <c r="R1408" s="51" t="n"/>
      <c r="S1408" s="49" t="n"/>
      <c r="T1408" s="49" t="n"/>
      <c r="U1408" s="48">
        <f>IF(OR($B1408="",$K1408=""),"",WORKDAY($B1408,IFERROR(INDEX(CONFIG!$C$4:$C$43,MATCH($K1408,CONFIG!$A$4:$A$43,0)),3)))</f>
        <v/>
      </c>
      <c r="V1408" s="46" t="n"/>
      <c r="W1408" s="23">
        <f>IF($B1408="","",IF($V1408&lt;&gt;"",$V1408-$B1408,TODAY()-$B1408))</f>
        <v/>
      </c>
      <c r="X1408" s="27">
        <f>IF($C1408="","",IF(IFERROR(INDEX(CONFIG!$K$4:$K$43,MATCH($S1408,CONFIG!$J$4:$J$43,0)),"NO")="SÍ",IF(OR($V1408="",$U1408=""),"Resuelta",IF($V1408&gt;$U1408,"Resuelta tarde","Resuelta a tiempo")),IF($U1408="","Sin clasificar",IF(TODAY()&gt;$U1408,"Vencida",IF(TODAY()&gt;=$U1408-1,"Por vencer","En plazo")))))</f>
        <v/>
      </c>
      <c r="Y1408" s="49" t="n"/>
      <c r="Z1408" s="49" t="n"/>
    </row>
    <row r="1409" ht="16" customHeight="1">
      <c r="A1409" s="27">
        <f>IF($C1409="","","N-"&amp;TEXT(ROW()-3,"0000"))</f>
        <v/>
      </c>
      <c r="B1409" s="46" t="n"/>
      <c r="C1409" s="47" t="n"/>
      <c r="D1409" s="27">
        <f>IF($C1409="","",IF(COUNTIFS(ENVIOS!$A$4:$A$3003,$C1409)=0,"NO EXISTE",IF(COUNTIFS(ENVIOS!$A$4:$A$3003,$C1409)&gt;1,"DUPLICADA","OK")))</f>
        <v/>
      </c>
      <c r="E1409" s="22">
        <f>IF($C1409="","",IFERROR(INDEX(ENVIOS!$C$4:$C$3003,MATCH($C1409,ENVIOS!$A$4:$A$3003,0)),"—"))</f>
        <v/>
      </c>
      <c r="F1409" s="22">
        <f>IF($C1409="","",IFERROR(INDEX(ENVIOS!$D$4:$D$3003,MATCH($C1409,ENVIOS!$A$4:$A$3003,0)),"—"))</f>
        <v/>
      </c>
      <c r="G1409" s="22">
        <f>IF($C1409="","",IFERROR(INDEX(ENVIOS!$E$4:$E$3003,MATCH($C1409,ENVIOS!$A$4:$A$3003,0)),"—"))</f>
        <v/>
      </c>
      <c r="H1409" s="22">
        <f>IF($C1409="","",IFERROR(INDEX(ENVIOS!$F$4:$F$3003,MATCH($C1409,ENVIOS!$A$4:$A$3003,0)),"—"))</f>
        <v/>
      </c>
      <c r="I1409" s="27">
        <f>IF($C1409="","",IFERROR(INDEX(ENVIOS!$G$4:$G$3003,MATCH($C1409,ENVIOS!$A$4:$A$3003,0)),"—"))</f>
        <v/>
      </c>
      <c r="J1409" s="48">
        <f>IF($C1409="","",IFERROR(INDEX(ENVIOS!$B$4:$B$3003,MATCH($C1409,ENVIOS!$A$4:$A$3003,0)),""))</f>
        <v/>
      </c>
      <c r="K1409" s="49" t="n"/>
      <c r="L1409" s="27">
        <f>IF($K1409="","",IFERROR(INDEX(CONFIG!$B$4:$B$43,MATCH($K1409,CONFIG!$A$4:$A$43,0)),"Media"))</f>
        <v/>
      </c>
      <c r="M1409" s="27">
        <f>IF($K1409="","",IFERROR(INDEX(CONFIG!$D$4:$D$43,MATCH($K1409,CONFIG!$A$4:$A$43,0)),"NO"))</f>
        <v/>
      </c>
      <c r="N1409" s="49" t="n"/>
      <c r="O1409" s="27">
        <f>IF($N1409="","",IFERROR(INDEX(CONFIG!$G$4:$G$43,MATCH($N1409,CONFIG!$F$4:$F$43,0)),"Por definir"))</f>
        <v/>
      </c>
      <c r="P1409" s="27">
        <f>IF($N1409="","",IFERROR(INDEX(CONFIG!$H$4:$H$43,MATCH($N1409,CONFIG!$F$4:$F$43,0)),"Por definir"))</f>
        <v/>
      </c>
      <c r="Q1409" s="50" t="n"/>
      <c r="R1409" s="51" t="n"/>
      <c r="S1409" s="49" t="n"/>
      <c r="T1409" s="49" t="n"/>
      <c r="U1409" s="48">
        <f>IF(OR($B1409="",$K1409=""),"",WORKDAY($B1409,IFERROR(INDEX(CONFIG!$C$4:$C$43,MATCH($K1409,CONFIG!$A$4:$A$43,0)),3)))</f>
        <v/>
      </c>
      <c r="V1409" s="46" t="n"/>
      <c r="W1409" s="23">
        <f>IF($B1409="","",IF($V1409&lt;&gt;"",$V1409-$B1409,TODAY()-$B1409))</f>
        <v/>
      </c>
      <c r="X1409" s="27">
        <f>IF($C1409="","",IF(IFERROR(INDEX(CONFIG!$K$4:$K$43,MATCH($S1409,CONFIG!$J$4:$J$43,0)),"NO")="SÍ",IF(OR($V1409="",$U1409=""),"Resuelta",IF($V1409&gt;$U1409,"Resuelta tarde","Resuelta a tiempo")),IF($U1409="","Sin clasificar",IF(TODAY()&gt;$U1409,"Vencida",IF(TODAY()&gt;=$U1409-1,"Por vencer","En plazo")))))</f>
        <v/>
      </c>
      <c r="Y1409" s="49" t="n"/>
      <c r="Z1409" s="49" t="n"/>
    </row>
    <row r="1410" ht="16" customHeight="1">
      <c r="A1410" s="27">
        <f>IF($C1410="","","N-"&amp;TEXT(ROW()-3,"0000"))</f>
        <v/>
      </c>
      <c r="B1410" s="46" t="n"/>
      <c r="C1410" s="47" t="n"/>
      <c r="D1410" s="27">
        <f>IF($C1410="","",IF(COUNTIFS(ENVIOS!$A$4:$A$3003,$C1410)=0,"NO EXISTE",IF(COUNTIFS(ENVIOS!$A$4:$A$3003,$C1410)&gt;1,"DUPLICADA","OK")))</f>
        <v/>
      </c>
      <c r="E1410" s="22">
        <f>IF($C1410="","",IFERROR(INDEX(ENVIOS!$C$4:$C$3003,MATCH($C1410,ENVIOS!$A$4:$A$3003,0)),"—"))</f>
        <v/>
      </c>
      <c r="F1410" s="22">
        <f>IF($C1410="","",IFERROR(INDEX(ENVIOS!$D$4:$D$3003,MATCH($C1410,ENVIOS!$A$4:$A$3003,0)),"—"))</f>
        <v/>
      </c>
      <c r="G1410" s="22">
        <f>IF($C1410="","",IFERROR(INDEX(ENVIOS!$E$4:$E$3003,MATCH($C1410,ENVIOS!$A$4:$A$3003,0)),"—"))</f>
        <v/>
      </c>
      <c r="H1410" s="22">
        <f>IF($C1410="","",IFERROR(INDEX(ENVIOS!$F$4:$F$3003,MATCH($C1410,ENVIOS!$A$4:$A$3003,0)),"—"))</f>
        <v/>
      </c>
      <c r="I1410" s="27">
        <f>IF($C1410="","",IFERROR(INDEX(ENVIOS!$G$4:$G$3003,MATCH($C1410,ENVIOS!$A$4:$A$3003,0)),"—"))</f>
        <v/>
      </c>
      <c r="J1410" s="48">
        <f>IF($C1410="","",IFERROR(INDEX(ENVIOS!$B$4:$B$3003,MATCH($C1410,ENVIOS!$A$4:$A$3003,0)),""))</f>
        <v/>
      </c>
      <c r="K1410" s="49" t="n"/>
      <c r="L1410" s="27">
        <f>IF($K1410="","",IFERROR(INDEX(CONFIG!$B$4:$B$43,MATCH($K1410,CONFIG!$A$4:$A$43,0)),"Media"))</f>
        <v/>
      </c>
      <c r="M1410" s="27">
        <f>IF($K1410="","",IFERROR(INDEX(CONFIG!$D$4:$D$43,MATCH($K1410,CONFIG!$A$4:$A$43,0)),"NO"))</f>
        <v/>
      </c>
      <c r="N1410" s="49" t="n"/>
      <c r="O1410" s="27">
        <f>IF($N1410="","",IFERROR(INDEX(CONFIG!$G$4:$G$43,MATCH($N1410,CONFIG!$F$4:$F$43,0)),"Por definir"))</f>
        <v/>
      </c>
      <c r="P1410" s="27">
        <f>IF($N1410="","",IFERROR(INDEX(CONFIG!$H$4:$H$43,MATCH($N1410,CONFIG!$F$4:$F$43,0)),"Por definir"))</f>
        <v/>
      </c>
      <c r="Q1410" s="50" t="n"/>
      <c r="R1410" s="51" t="n"/>
      <c r="S1410" s="49" t="n"/>
      <c r="T1410" s="49" t="n"/>
      <c r="U1410" s="48">
        <f>IF(OR($B1410="",$K1410=""),"",WORKDAY($B1410,IFERROR(INDEX(CONFIG!$C$4:$C$43,MATCH($K1410,CONFIG!$A$4:$A$43,0)),3)))</f>
        <v/>
      </c>
      <c r="V1410" s="46" t="n"/>
      <c r="W1410" s="23">
        <f>IF($B1410="","",IF($V1410&lt;&gt;"",$V1410-$B1410,TODAY()-$B1410))</f>
        <v/>
      </c>
      <c r="X1410" s="27">
        <f>IF($C1410="","",IF(IFERROR(INDEX(CONFIG!$K$4:$K$43,MATCH($S1410,CONFIG!$J$4:$J$43,0)),"NO")="SÍ",IF(OR($V1410="",$U1410=""),"Resuelta",IF($V1410&gt;$U1410,"Resuelta tarde","Resuelta a tiempo")),IF($U1410="","Sin clasificar",IF(TODAY()&gt;$U1410,"Vencida",IF(TODAY()&gt;=$U1410-1,"Por vencer","En plazo")))))</f>
        <v/>
      </c>
      <c r="Y1410" s="49" t="n"/>
      <c r="Z1410" s="49" t="n"/>
    </row>
    <row r="1411" ht="16" customHeight="1">
      <c r="A1411" s="27">
        <f>IF($C1411="","","N-"&amp;TEXT(ROW()-3,"0000"))</f>
        <v/>
      </c>
      <c r="B1411" s="46" t="n"/>
      <c r="C1411" s="47" t="n"/>
      <c r="D1411" s="27">
        <f>IF($C1411="","",IF(COUNTIFS(ENVIOS!$A$4:$A$3003,$C1411)=0,"NO EXISTE",IF(COUNTIFS(ENVIOS!$A$4:$A$3003,$C1411)&gt;1,"DUPLICADA","OK")))</f>
        <v/>
      </c>
      <c r="E1411" s="22">
        <f>IF($C1411="","",IFERROR(INDEX(ENVIOS!$C$4:$C$3003,MATCH($C1411,ENVIOS!$A$4:$A$3003,0)),"—"))</f>
        <v/>
      </c>
      <c r="F1411" s="22">
        <f>IF($C1411="","",IFERROR(INDEX(ENVIOS!$D$4:$D$3003,MATCH($C1411,ENVIOS!$A$4:$A$3003,0)),"—"))</f>
        <v/>
      </c>
      <c r="G1411" s="22">
        <f>IF($C1411="","",IFERROR(INDEX(ENVIOS!$E$4:$E$3003,MATCH($C1411,ENVIOS!$A$4:$A$3003,0)),"—"))</f>
        <v/>
      </c>
      <c r="H1411" s="22">
        <f>IF($C1411="","",IFERROR(INDEX(ENVIOS!$F$4:$F$3003,MATCH($C1411,ENVIOS!$A$4:$A$3003,0)),"—"))</f>
        <v/>
      </c>
      <c r="I1411" s="27">
        <f>IF($C1411="","",IFERROR(INDEX(ENVIOS!$G$4:$G$3003,MATCH($C1411,ENVIOS!$A$4:$A$3003,0)),"—"))</f>
        <v/>
      </c>
      <c r="J1411" s="48">
        <f>IF($C1411="","",IFERROR(INDEX(ENVIOS!$B$4:$B$3003,MATCH($C1411,ENVIOS!$A$4:$A$3003,0)),""))</f>
        <v/>
      </c>
      <c r="K1411" s="49" t="n"/>
      <c r="L1411" s="27">
        <f>IF($K1411="","",IFERROR(INDEX(CONFIG!$B$4:$B$43,MATCH($K1411,CONFIG!$A$4:$A$43,0)),"Media"))</f>
        <v/>
      </c>
      <c r="M1411" s="27">
        <f>IF($K1411="","",IFERROR(INDEX(CONFIG!$D$4:$D$43,MATCH($K1411,CONFIG!$A$4:$A$43,0)),"NO"))</f>
        <v/>
      </c>
      <c r="N1411" s="49" t="n"/>
      <c r="O1411" s="27">
        <f>IF($N1411="","",IFERROR(INDEX(CONFIG!$G$4:$G$43,MATCH($N1411,CONFIG!$F$4:$F$43,0)),"Por definir"))</f>
        <v/>
      </c>
      <c r="P1411" s="27">
        <f>IF($N1411="","",IFERROR(INDEX(CONFIG!$H$4:$H$43,MATCH($N1411,CONFIG!$F$4:$F$43,0)),"Por definir"))</f>
        <v/>
      </c>
      <c r="Q1411" s="50" t="n"/>
      <c r="R1411" s="51" t="n"/>
      <c r="S1411" s="49" t="n"/>
      <c r="T1411" s="49" t="n"/>
      <c r="U1411" s="48">
        <f>IF(OR($B1411="",$K1411=""),"",WORKDAY($B1411,IFERROR(INDEX(CONFIG!$C$4:$C$43,MATCH($K1411,CONFIG!$A$4:$A$43,0)),3)))</f>
        <v/>
      </c>
      <c r="V1411" s="46" t="n"/>
      <c r="W1411" s="23">
        <f>IF($B1411="","",IF($V1411&lt;&gt;"",$V1411-$B1411,TODAY()-$B1411))</f>
        <v/>
      </c>
      <c r="X1411" s="27">
        <f>IF($C1411="","",IF(IFERROR(INDEX(CONFIG!$K$4:$K$43,MATCH($S1411,CONFIG!$J$4:$J$43,0)),"NO")="SÍ",IF(OR($V1411="",$U1411=""),"Resuelta",IF($V1411&gt;$U1411,"Resuelta tarde","Resuelta a tiempo")),IF($U1411="","Sin clasificar",IF(TODAY()&gt;$U1411,"Vencida",IF(TODAY()&gt;=$U1411-1,"Por vencer","En plazo")))))</f>
        <v/>
      </c>
      <c r="Y1411" s="49" t="n"/>
      <c r="Z1411" s="49" t="n"/>
    </row>
    <row r="1412" ht="16" customHeight="1">
      <c r="A1412" s="27">
        <f>IF($C1412="","","N-"&amp;TEXT(ROW()-3,"0000"))</f>
        <v/>
      </c>
      <c r="B1412" s="46" t="n"/>
      <c r="C1412" s="47" t="n"/>
      <c r="D1412" s="27">
        <f>IF($C1412="","",IF(COUNTIFS(ENVIOS!$A$4:$A$3003,$C1412)=0,"NO EXISTE",IF(COUNTIFS(ENVIOS!$A$4:$A$3003,$C1412)&gt;1,"DUPLICADA","OK")))</f>
        <v/>
      </c>
      <c r="E1412" s="22">
        <f>IF($C1412="","",IFERROR(INDEX(ENVIOS!$C$4:$C$3003,MATCH($C1412,ENVIOS!$A$4:$A$3003,0)),"—"))</f>
        <v/>
      </c>
      <c r="F1412" s="22">
        <f>IF($C1412="","",IFERROR(INDEX(ENVIOS!$D$4:$D$3003,MATCH($C1412,ENVIOS!$A$4:$A$3003,0)),"—"))</f>
        <v/>
      </c>
      <c r="G1412" s="22">
        <f>IF($C1412="","",IFERROR(INDEX(ENVIOS!$E$4:$E$3003,MATCH($C1412,ENVIOS!$A$4:$A$3003,0)),"—"))</f>
        <v/>
      </c>
      <c r="H1412" s="22">
        <f>IF($C1412="","",IFERROR(INDEX(ENVIOS!$F$4:$F$3003,MATCH($C1412,ENVIOS!$A$4:$A$3003,0)),"—"))</f>
        <v/>
      </c>
      <c r="I1412" s="27">
        <f>IF($C1412="","",IFERROR(INDEX(ENVIOS!$G$4:$G$3003,MATCH($C1412,ENVIOS!$A$4:$A$3003,0)),"—"))</f>
        <v/>
      </c>
      <c r="J1412" s="48">
        <f>IF($C1412="","",IFERROR(INDEX(ENVIOS!$B$4:$B$3003,MATCH($C1412,ENVIOS!$A$4:$A$3003,0)),""))</f>
        <v/>
      </c>
      <c r="K1412" s="49" t="n"/>
      <c r="L1412" s="27">
        <f>IF($K1412="","",IFERROR(INDEX(CONFIG!$B$4:$B$43,MATCH($K1412,CONFIG!$A$4:$A$43,0)),"Media"))</f>
        <v/>
      </c>
      <c r="M1412" s="27">
        <f>IF($K1412="","",IFERROR(INDEX(CONFIG!$D$4:$D$43,MATCH($K1412,CONFIG!$A$4:$A$43,0)),"NO"))</f>
        <v/>
      </c>
      <c r="N1412" s="49" t="n"/>
      <c r="O1412" s="27">
        <f>IF($N1412="","",IFERROR(INDEX(CONFIG!$G$4:$G$43,MATCH($N1412,CONFIG!$F$4:$F$43,0)),"Por definir"))</f>
        <v/>
      </c>
      <c r="P1412" s="27">
        <f>IF($N1412="","",IFERROR(INDEX(CONFIG!$H$4:$H$43,MATCH($N1412,CONFIG!$F$4:$F$43,0)),"Por definir"))</f>
        <v/>
      </c>
      <c r="Q1412" s="50" t="n"/>
      <c r="R1412" s="51" t="n"/>
      <c r="S1412" s="49" t="n"/>
      <c r="T1412" s="49" t="n"/>
      <c r="U1412" s="48">
        <f>IF(OR($B1412="",$K1412=""),"",WORKDAY($B1412,IFERROR(INDEX(CONFIG!$C$4:$C$43,MATCH($K1412,CONFIG!$A$4:$A$43,0)),3)))</f>
        <v/>
      </c>
      <c r="V1412" s="46" t="n"/>
      <c r="W1412" s="23">
        <f>IF($B1412="","",IF($V1412&lt;&gt;"",$V1412-$B1412,TODAY()-$B1412))</f>
        <v/>
      </c>
      <c r="X1412" s="27">
        <f>IF($C1412="","",IF(IFERROR(INDEX(CONFIG!$K$4:$K$43,MATCH($S1412,CONFIG!$J$4:$J$43,0)),"NO")="SÍ",IF(OR($V1412="",$U1412=""),"Resuelta",IF($V1412&gt;$U1412,"Resuelta tarde","Resuelta a tiempo")),IF($U1412="","Sin clasificar",IF(TODAY()&gt;$U1412,"Vencida",IF(TODAY()&gt;=$U1412-1,"Por vencer","En plazo")))))</f>
        <v/>
      </c>
      <c r="Y1412" s="49" t="n"/>
      <c r="Z1412" s="49" t="n"/>
    </row>
    <row r="1413" ht="16" customHeight="1">
      <c r="A1413" s="27">
        <f>IF($C1413="","","N-"&amp;TEXT(ROW()-3,"0000"))</f>
        <v/>
      </c>
      <c r="B1413" s="46" t="n"/>
      <c r="C1413" s="47" t="n"/>
      <c r="D1413" s="27">
        <f>IF($C1413="","",IF(COUNTIFS(ENVIOS!$A$4:$A$3003,$C1413)=0,"NO EXISTE",IF(COUNTIFS(ENVIOS!$A$4:$A$3003,$C1413)&gt;1,"DUPLICADA","OK")))</f>
        <v/>
      </c>
      <c r="E1413" s="22">
        <f>IF($C1413="","",IFERROR(INDEX(ENVIOS!$C$4:$C$3003,MATCH($C1413,ENVIOS!$A$4:$A$3003,0)),"—"))</f>
        <v/>
      </c>
      <c r="F1413" s="22">
        <f>IF($C1413="","",IFERROR(INDEX(ENVIOS!$D$4:$D$3003,MATCH($C1413,ENVIOS!$A$4:$A$3003,0)),"—"))</f>
        <v/>
      </c>
      <c r="G1413" s="22">
        <f>IF($C1413="","",IFERROR(INDEX(ENVIOS!$E$4:$E$3003,MATCH($C1413,ENVIOS!$A$4:$A$3003,0)),"—"))</f>
        <v/>
      </c>
      <c r="H1413" s="22">
        <f>IF($C1413="","",IFERROR(INDEX(ENVIOS!$F$4:$F$3003,MATCH($C1413,ENVIOS!$A$4:$A$3003,0)),"—"))</f>
        <v/>
      </c>
      <c r="I1413" s="27">
        <f>IF($C1413="","",IFERROR(INDEX(ENVIOS!$G$4:$G$3003,MATCH($C1413,ENVIOS!$A$4:$A$3003,0)),"—"))</f>
        <v/>
      </c>
      <c r="J1413" s="48">
        <f>IF($C1413="","",IFERROR(INDEX(ENVIOS!$B$4:$B$3003,MATCH($C1413,ENVIOS!$A$4:$A$3003,0)),""))</f>
        <v/>
      </c>
      <c r="K1413" s="49" t="n"/>
      <c r="L1413" s="27">
        <f>IF($K1413="","",IFERROR(INDEX(CONFIG!$B$4:$B$43,MATCH($K1413,CONFIG!$A$4:$A$43,0)),"Media"))</f>
        <v/>
      </c>
      <c r="M1413" s="27">
        <f>IF($K1413="","",IFERROR(INDEX(CONFIG!$D$4:$D$43,MATCH($K1413,CONFIG!$A$4:$A$43,0)),"NO"))</f>
        <v/>
      </c>
      <c r="N1413" s="49" t="n"/>
      <c r="O1413" s="27">
        <f>IF($N1413="","",IFERROR(INDEX(CONFIG!$G$4:$G$43,MATCH($N1413,CONFIG!$F$4:$F$43,0)),"Por definir"))</f>
        <v/>
      </c>
      <c r="P1413" s="27">
        <f>IF($N1413="","",IFERROR(INDEX(CONFIG!$H$4:$H$43,MATCH($N1413,CONFIG!$F$4:$F$43,0)),"Por definir"))</f>
        <v/>
      </c>
      <c r="Q1413" s="50" t="n"/>
      <c r="R1413" s="51" t="n"/>
      <c r="S1413" s="49" t="n"/>
      <c r="T1413" s="49" t="n"/>
      <c r="U1413" s="48">
        <f>IF(OR($B1413="",$K1413=""),"",WORKDAY($B1413,IFERROR(INDEX(CONFIG!$C$4:$C$43,MATCH($K1413,CONFIG!$A$4:$A$43,0)),3)))</f>
        <v/>
      </c>
      <c r="V1413" s="46" t="n"/>
      <c r="W1413" s="23">
        <f>IF($B1413="","",IF($V1413&lt;&gt;"",$V1413-$B1413,TODAY()-$B1413))</f>
        <v/>
      </c>
      <c r="X1413" s="27">
        <f>IF($C1413="","",IF(IFERROR(INDEX(CONFIG!$K$4:$K$43,MATCH($S1413,CONFIG!$J$4:$J$43,0)),"NO")="SÍ",IF(OR($V1413="",$U1413=""),"Resuelta",IF($V1413&gt;$U1413,"Resuelta tarde","Resuelta a tiempo")),IF($U1413="","Sin clasificar",IF(TODAY()&gt;$U1413,"Vencida",IF(TODAY()&gt;=$U1413-1,"Por vencer","En plazo")))))</f>
        <v/>
      </c>
      <c r="Y1413" s="49" t="n"/>
      <c r="Z1413" s="49" t="n"/>
    </row>
    <row r="1414" ht="16" customHeight="1">
      <c r="A1414" s="27">
        <f>IF($C1414="","","N-"&amp;TEXT(ROW()-3,"0000"))</f>
        <v/>
      </c>
      <c r="B1414" s="46" t="n"/>
      <c r="C1414" s="47" t="n"/>
      <c r="D1414" s="27">
        <f>IF($C1414="","",IF(COUNTIFS(ENVIOS!$A$4:$A$3003,$C1414)=0,"NO EXISTE",IF(COUNTIFS(ENVIOS!$A$4:$A$3003,$C1414)&gt;1,"DUPLICADA","OK")))</f>
        <v/>
      </c>
      <c r="E1414" s="22">
        <f>IF($C1414="","",IFERROR(INDEX(ENVIOS!$C$4:$C$3003,MATCH($C1414,ENVIOS!$A$4:$A$3003,0)),"—"))</f>
        <v/>
      </c>
      <c r="F1414" s="22">
        <f>IF($C1414="","",IFERROR(INDEX(ENVIOS!$D$4:$D$3003,MATCH($C1414,ENVIOS!$A$4:$A$3003,0)),"—"))</f>
        <v/>
      </c>
      <c r="G1414" s="22">
        <f>IF($C1414="","",IFERROR(INDEX(ENVIOS!$E$4:$E$3003,MATCH($C1414,ENVIOS!$A$4:$A$3003,0)),"—"))</f>
        <v/>
      </c>
      <c r="H1414" s="22">
        <f>IF($C1414="","",IFERROR(INDEX(ENVIOS!$F$4:$F$3003,MATCH($C1414,ENVIOS!$A$4:$A$3003,0)),"—"))</f>
        <v/>
      </c>
      <c r="I1414" s="27">
        <f>IF($C1414="","",IFERROR(INDEX(ENVIOS!$G$4:$G$3003,MATCH($C1414,ENVIOS!$A$4:$A$3003,0)),"—"))</f>
        <v/>
      </c>
      <c r="J1414" s="48">
        <f>IF($C1414="","",IFERROR(INDEX(ENVIOS!$B$4:$B$3003,MATCH($C1414,ENVIOS!$A$4:$A$3003,0)),""))</f>
        <v/>
      </c>
      <c r="K1414" s="49" t="n"/>
      <c r="L1414" s="27">
        <f>IF($K1414="","",IFERROR(INDEX(CONFIG!$B$4:$B$43,MATCH($K1414,CONFIG!$A$4:$A$43,0)),"Media"))</f>
        <v/>
      </c>
      <c r="M1414" s="27">
        <f>IF($K1414="","",IFERROR(INDEX(CONFIG!$D$4:$D$43,MATCH($K1414,CONFIG!$A$4:$A$43,0)),"NO"))</f>
        <v/>
      </c>
      <c r="N1414" s="49" t="n"/>
      <c r="O1414" s="27">
        <f>IF($N1414="","",IFERROR(INDEX(CONFIG!$G$4:$G$43,MATCH($N1414,CONFIG!$F$4:$F$43,0)),"Por definir"))</f>
        <v/>
      </c>
      <c r="P1414" s="27">
        <f>IF($N1414="","",IFERROR(INDEX(CONFIG!$H$4:$H$43,MATCH($N1414,CONFIG!$F$4:$F$43,0)),"Por definir"))</f>
        <v/>
      </c>
      <c r="Q1414" s="50" t="n"/>
      <c r="R1414" s="51" t="n"/>
      <c r="S1414" s="49" t="n"/>
      <c r="T1414" s="49" t="n"/>
      <c r="U1414" s="48">
        <f>IF(OR($B1414="",$K1414=""),"",WORKDAY($B1414,IFERROR(INDEX(CONFIG!$C$4:$C$43,MATCH($K1414,CONFIG!$A$4:$A$43,0)),3)))</f>
        <v/>
      </c>
      <c r="V1414" s="46" t="n"/>
      <c r="W1414" s="23">
        <f>IF($B1414="","",IF($V1414&lt;&gt;"",$V1414-$B1414,TODAY()-$B1414))</f>
        <v/>
      </c>
      <c r="X1414" s="27">
        <f>IF($C1414="","",IF(IFERROR(INDEX(CONFIG!$K$4:$K$43,MATCH($S1414,CONFIG!$J$4:$J$43,0)),"NO")="SÍ",IF(OR($V1414="",$U1414=""),"Resuelta",IF($V1414&gt;$U1414,"Resuelta tarde","Resuelta a tiempo")),IF($U1414="","Sin clasificar",IF(TODAY()&gt;$U1414,"Vencida",IF(TODAY()&gt;=$U1414-1,"Por vencer","En plazo")))))</f>
        <v/>
      </c>
      <c r="Y1414" s="49" t="n"/>
      <c r="Z1414" s="49" t="n"/>
    </row>
    <row r="1415" ht="16" customHeight="1">
      <c r="A1415" s="27">
        <f>IF($C1415="","","N-"&amp;TEXT(ROW()-3,"0000"))</f>
        <v/>
      </c>
      <c r="B1415" s="46" t="n"/>
      <c r="C1415" s="47" t="n"/>
      <c r="D1415" s="27">
        <f>IF($C1415="","",IF(COUNTIFS(ENVIOS!$A$4:$A$3003,$C1415)=0,"NO EXISTE",IF(COUNTIFS(ENVIOS!$A$4:$A$3003,$C1415)&gt;1,"DUPLICADA","OK")))</f>
        <v/>
      </c>
      <c r="E1415" s="22">
        <f>IF($C1415="","",IFERROR(INDEX(ENVIOS!$C$4:$C$3003,MATCH($C1415,ENVIOS!$A$4:$A$3003,0)),"—"))</f>
        <v/>
      </c>
      <c r="F1415" s="22">
        <f>IF($C1415="","",IFERROR(INDEX(ENVIOS!$D$4:$D$3003,MATCH($C1415,ENVIOS!$A$4:$A$3003,0)),"—"))</f>
        <v/>
      </c>
      <c r="G1415" s="22">
        <f>IF($C1415="","",IFERROR(INDEX(ENVIOS!$E$4:$E$3003,MATCH($C1415,ENVIOS!$A$4:$A$3003,0)),"—"))</f>
        <v/>
      </c>
      <c r="H1415" s="22">
        <f>IF($C1415="","",IFERROR(INDEX(ENVIOS!$F$4:$F$3003,MATCH($C1415,ENVIOS!$A$4:$A$3003,0)),"—"))</f>
        <v/>
      </c>
      <c r="I1415" s="27">
        <f>IF($C1415="","",IFERROR(INDEX(ENVIOS!$G$4:$G$3003,MATCH($C1415,ENVIOS!$A$4:$A$3003,0)),"—"))</f>
        <v/>
      </c>
      <c r="J1415" s="48">
        <f>IF($C1415="","",IFERROR(INDEX(ENVIOS!$B$4:$B$3003,MATCH($C1415,ENVIOS!$A$4:$A$3003,0)),""))</f>
        <v/>
      </c>
      <c r="K1415" s="49" t="n"/>
      <c r="L1415" s="27">
        <f>IF($K1415="","",IFERROR(INDEX(CONFIG!$B$4:$B$43,MATCH($K1415,CONFIG!$A$4:$A$43,0)),"Media"))</f>
        <v/>
      </c>
      <c r="M1415" s="27">
        <f>IF($K1415="","",IFERROR(INDEX(CONFIG!$D$4:$D$43,MATCH($K1415,CONFIG!$A$4:$A$43,0)),"NO"))</f>
        <v/>
      </c>
      <c r="N1415" s="49" t="n"/>
      <c r="O1415" s="27">
        <f>IF($N1415="","",IFERROR(INDEX(CONFIG!$G$4:$G$43,MATCH($N1415,CONFIG!$F$4:$F$43,0)),"Por definir"))</f>
        <v/>
      </c>
      <c r="P1415" s="27">
        <f>IF($N1415="","",IFERROR(INDEX(CONFIG!$H$4:$H$43,MATCH($N1415,CONFIG!$F$4:$F$43,0)),"Por definir"))</f>
        <v/>
      </c>
      <c r="Q1415" s="50" t="n"/>
      <c r="R1415" s="51" t="n"/>
      <c r="S1415" s="49" t="n"/>
      <c r="T1415" s="49" t="n"/>
      <c r="U1415" s="48">
        <f>IF(OR($B1415="",$K1415=""),"",WORKDAY($B1415,IFERROR(INDEX(CONFIG!$C$4:$C$43,MATCH($K1415,CONFIG!$A$4:$A$43,0)),3)))</f>
        <v/>
      </c>
      <c r="V1415" s="46" t="n"/>
      <c r="W1415" s="23">
        <f>IF($B1415="","",IF($V1415&lt;&gt;"",$V1415-$B1415,TODAY()-$B1415))</f>
        <v/>
      </c>
      <c r="X1415" s="27">
        <f>IF($C1415="","",IF(IFERROR(INDEX(CONFIG!$K$4:$K$43,MATCH($S1415,CONFIG!$J$4:$J$43,0)),"NO")="SÍ",IF(OR($V1415="",$U1415=""),"Resuelta",IF($V1415&gt;$U1415,"Resuelta tarde","Resuelta a tiempo")),IF($U1415="","Sin clasificar",IF(TODAY()&gt;$U1415,"Vencida",IF(TODAY()&gt;=$U1415-1,"Por vencer","En plazo")))))</f>
        <v/>
      </c>
      <c r="Y1415" s="49" t="n"/>
      <c r="Z1415" s="49" t="n"/>
    </row>
    <row r="1416" ht="16" customHeight="1">
      <c r="A1416" s="27">
        <f>IF($C1416="","","N-"&amp;TEXT(ROW()-3,"0000"))</f>
        <v/>
      </c>
      <c r="B1416" s="46" t="n"/>
      <c r="C1416" s="47" t="n"/>
      <c r="D1416" s="27">
        <f>IF($C1416="","",IF(COUNTIFS(ENVIOS!$A$4:$A$3003,$C1416)=0,"NO EXISTE",IF(COUNTIFS(ENVIOS!$A$4:$A$3003,$C1416)&gt;1,"DUPLICADA","OK")))</f>
        <v/>
      </c>
      <c r="E1416" s="22">
        <f>IF($C1416="","",IFERROR(INDEX(ENVIOS!$C$4:$C$3003,MATCH($C1416,ENVIOS!$A$4:$A$3003,0)),"—"))</f>
        <v/>
      </c>
      <c r="F1416" s="22">
        <f>IF($C1416="","",IFERROR(INDEX(ENVIOS!$D$4:$D$3003,MATCH($C1416,ENVIOS!$A$4:$A$3003,0)),"—"))</f>
        <v/>
      </c>
      <c r="G1416" s="22">
        <f>IF($C1416="","",IFERROR(INDEX(ENVIOS!$E$4:$E$3003,MATCH($C1416,ENVIOS!$A$4:$A$3003,0)),"—"))</f>
        <v/>
      </c>
      <c r="H1416" s="22">
        <f>IF($C1416="","",IFERROR(INDEX(ENVIOS!$F$4:$F$3003,MATCH($C1416,ENVIOS!$A$4:$A$3003,0)),"—"))</f>
        <v/>
      </c>
      <c r="I1416" s="27">
        <f>IF($C1416="","",IFERROR(INDEX(ENVIOS!$G$4:$G$3003,MATCH($C1416,ENVIOS!$A$4:$A$3003,0)),"—"))</f>
        <v/>
      </c>
      <c r="J1416" s="48">
        <f>IF($C1416="","",IFERROR(INDEX(ENVIOS!$B$4:$B$3003,MATCH($C1416,ENVIOS!$A$4:$A$3003,0)),""))</f>
        <v/>
      </c>
      <c r="K1416" s="49" t="n"/>
      <c r="L1416" s="27">
        <f>IF($K1416="","",IFERROR(INDEX(CONFIG!$B$4:$B$43,MATCH($K1416,CONFIG!$A$4:$A$43,0)),"Media"))</f>
        <v/>
      </c>
      <c r="M1416" s="27">
        <f>IF($K1416="","",IFERROR(INDEX(CONFIG!$D$4:$D$43,MATCH($K1416,CONFIG!$A$4:$A$43,0)),"NO"))</f>
        <v/>
      </c>
      <c r="N1416" s="49" t="n"/>
      <c r="O1416" s="27">
        <f>IF($N1416="","",IFERROR(INDEX(CONFIG!$G$4:$G$43,MATCH($N1416,CONFIG!$F$4:$F$43,0)),"Por definir"))</f>
        <v/>
      </c>
      <c r="P1416" s="27">
        <f>IF($N1416="","",IFERROR(INDEX(CONFIG!$H$4:$H$43,MATCH($N1416,CONFIG!$F$4:$F$43,0)),"Por definir"))</f>
        <v/>
      </c>
      <c r="Q1416" s="50" t="n"/>
      <c r="R1416" s="51" t="n"/>
      <c r="S1416" s="49" t="n"/>
      <c r="T1416" s="49" t="n"/>
      <c r="U1416" s="48">
        <f>IF(OR($B1416="",$K1416=""),"",WORKDAY($B1416,IFERROR(INDEX(CONFIG!$C$4:$C$43,MATCH($K1416,CONFIG!$A$4:$A$43,0)),3)))</f>
        <v/>
      </c>
      <c r="V1416" s="46" t="n"/>
      <c r="W1416" s="23">
        <f>IF($B1416="","",IF($V1416&lt;&gt;"",$V1416-$B1416,TODAY()-$B1416))</f>
        <v/>
      </c>
      <c r="X1416" s="27">
        <f>IF($C1416="","",IF(IFERROR(INDEX(CONFIG!$K$4:$K$43,MATCH($S1416,CONFIG!$J$4:$J$43,0)),"NO")="SÍ",IF(OR($V1416="",$U1416=""),"Resuelta",IF($V1416&gt;$U1416,"Resuelta tarde","Resuelta a tiempo")),IF($U1416="","Sin clasificar",IF(TODAY()&gt;$U1416,"Vencida",IF(TODAY()&gt;=$U1416-1,"Por vencer","En plazo")))))</f>
        <v/>
      </c>
      <c r="Y1416" s="49" t="n"/>
      <c r="Z1416" s="49" t="n"/>
    </row>
    <row r="1417" ht="16" customHeight="1">
      <c r="A1417" s="27">
        <f>IF($C1417="","","N-"&amp;TEXT(ROW()-3,"0000"))</f>
        <v/>
      </c>
      <c r="B1417" s="46" t="n"/>
      <c r="C1417" s="47" t="n"/>
      <c r="D1417" s="27">
        <f>IF($C1417="","",IF(COUNTIFS(ENVIOS!$A$4:$A$3003,$C1417)=0,"NO EXISTE",IF(COUNTIFS(ENVIOS!$A$4:$A$3003,$C1417)&gt;1,"DUPLICADA","OK")))</f>
        <v/>
      </c>
      <c r="E1417" s="22">
        <f>IF($C1417="","",IFERROR(INDEX(ENVIOS!$C$4:$C$3003,MATCH($C1417,ENVIOS!$A$4:$A$3003,0)),"—"))</f>
        <v/>
      </c>
      <c r="F1417" s="22">
        <f>IF($C1417="","",IFERROR(INDEX(ENVIOS!$D$4:$D$3003,MATCH($C1417,ENVIOS!$A$4:$A$3003,0)),"—"))</f>
        <v/>
      </c>
      <c r="G1417" s="22">
        <f>IF($C1417="","",IFERROR(INDEX(ENVIOS!$E$4:$E$3003,MATCH($C1417,ENVIOS!$A$4:$A$3003,0)),"—"))</f>
        <v/>
      </c>
      <c r="H1417" s="22">
        <f>IF($C1417="","",IFERROR(INDEX(ENVIOS!$F$4:$F$3003,MATCH($C1417,ENVIOS!$A$4:$A$3003,0)),"—"))</f>
        <v/>
      </c>
      <c r="I1417" s="27">
        <f>IF($C1417="","",IFERROR(INDEX(ENVIOS!$G$4:$G$3003,MATCH($C1417,ENVIOS!$A$4:$A$3003,0)),"—"))</f>
        <v/>
      </c>
      <c r="J1417" s="48">
        <f>IF($C1417="","",IFERROR(INDEX(ENVIOS!$B$4:$B$3003,MATCH($C1417,ENVIOS!$A$4:$A$3003,0)),""))</f>
        <v/>
      </c>
      <c r="K1417" s="49" t="n"/>
      <c r="L1417" s="27">
        <f>IF($K1417="","",IFERROR(INDEX(CONFIG!$B$4:$B$43,MATCH($K1417,CONFIG!$A$4:$A$43,0)),"Media"))</f>
        <v/>
      </c>
      <c r="M1417" s="27">
        <f>IF($K1417="","",IFERROR(INDEX(CONFIG!$D$4:$D$43,MATCH($K1417,CONFIG!$A$4:$A$43,0)),"NO"))</f>
        <v/>
      </c>
      <c r="N1417" s="49" t="n"/>
      <c r="O1417" s="27">
        <f>IF($N1417="","",IFERROR(INDEX(CONFIG!$G$4:$G$43,MATCH($N1417,CONFIG!$F$4:$F$43,0)),"Por definir"))</f>
        <v/>
      </c>
      <c r="P1417" s="27">
        <f>IF($N1417="","",IFERROR(INDEX(CONFIG!$H$4:$H$43,MATCH($N1417,CONFIG!$F$4:$F$43,0)),"Por definir"))</f>
        <v/>
      </c>
      <c r="Q1417" s="50" t="n"/>
      <c r="R1417" s="51" t="n"/>
      <c r="S1417" s="49" t="n"/>
      <c r="T1417" s="49" t="n"/>
      <c r="U1417" s="48">
        <f>IF(OR($B1417="",$K1417=""),"",WORKDAY($B1417,IFERROR(INDEX(CONFIG!$C$4:$C$43,MATCH($K1417,CONFIG!$A$4:$A$43,0)),3)))</f>
        <v/>
      </c>
      <c r="V1417" s="46" t="n"/>
      <c r="W1417" s="23">
        <f>IF($B1417="","",IF($V1417&lt;&gt;"",$V1417-$B1417,TODAY()-$B1417))</f>
        <v/>
      </c>
      <c r="X1417" s="27">
        <f>IF($C1417="","",IF(IFERROR(INDEX(CONFIG!$K$4:$K$43,MATCH($S1417,CONFIG!$J$4:$J$43,0)),"NO")="SÍ",IF(OR($V1417="",$U1417=""),"Resuelta",IF($V1417&gt;$U1417,"Resuelta tarde","Resuelta a tiempo")),IF($U1417="","Sin clasificar",IF(TODAY()&gt;$U1417,"Vencida",IF(TODAY()&gt;=$U1417-1,"Por vencer","En plazo")))))</f>
        <v/>
      </c>
      <c r="Y1417" s="49" t="n"/>
      <c r="Z1417" s="49" t="n"/>
    </row>
    <row r="1418" ht="16" customHeight="1">
      <c r="A1418" s="27">
        <f>IF($C1418="","","N-"&amp;TEXT(ROW()-3,"0000"))</f>
        <v/>
      </c>
      <c r="B1418" s="46" t="n"/>
      <c r="C1418" s="47" t="n"/>
      <c r="D1418" s="27">
        <f>IF($C1418="","",IF(COUNTIFS(ENVIOS!$A$4:$A$3003,$C1418)=0,"NO EXISTE",IF(COUNTIFS(ENVIOS!$A$4:$A$3003,$C1418)&gt;1,"DUPLICADA","OK")))</f>
        <v/>
      </c>
      <c r="E1418" s="22">
        <f>IF($C1418="","",IFERROR(INDEX(ENVIOS!$C$4:$C$3003,MATCH($C1418,ENVIOS!$A$4:$A$3003,0)),"—"))</f>
        <v/>
      </c>
      <c r="F1418" s="22">
        <f>IF($C1418="","",IFERROR(INDEX(ENVIOS!$D$4:$D$3003,MATCH($C1418,ENVIOS!$A$4:$A$3003,0)),"—"))</f>
        <v/>
      </c>
      <c r="G1418" s="22">
        <f>IF($C1418="","",IFERROR(INDEX(ENVIOS!$E$4:$E$3003,MATCH($C1418,ENVIOS!$A$4:$A$3003,0)),"—"))</f>
        <v/>
      </c>
      <c r="H1418" s="22">
        <f>IF($C1418="","",IFERROR(INDEX(ENVIOS!$F$4:$F$3003,MATCH($C1418,ENVIOS!$A$4:$A$3003,0)),"—"))</f>
        <v/>
      </c>
      <c r="I1418" s="27">
        <f>IF($C1418="","",IFERROR(INDEX(ENVIOS!$G$4:$G$3003,MATCH($C1418,ENVIOS!$A$4:$A$3003,0)),"—"))</f>
        <v/>
      </c>
      <c r="J1418" s="48">
        <f>IF($C1418="","",IFERROR(INDEX(ENVIOS!$B$4:$B$3003,MATCH($C1418,ENVIOS!$A$4:$A$3003,0)),""))</f>
        <v/>
      </c>
      <c r="K1418" s="49" t="n"/>
      <c r="L1418" s="27">
        <f>IF($K1418="","",IFERROR(INDEX(CONFIG!$B$4:$B$43,MATCH($K1418,CONFIG!$A$4:$A$43,0)),"Media"))</f>
        <v/>
      </c>
      <c r="M1418" s="27">
        <f>IF($K1418="","",IFERROR(INDEX(CONFIG!$D$4:$D$43,MATCH($K1418,CONFIG!$A$4:$A$43,0)),"NO"))</f>
        <v/>
      </c>
      <c r="N1418" s="49" t="n"/>
      <c r="O1418" s="27">
        <f>IF($N1418="","",IFERROR(INDEX(CONFIG!$G$4:$G$43,MATCH($N1418,CONFIG!$F$4:$F$43,0)),"Por definir"))</f>
        <v/>
      </c>
      <c r="P1418" s="27">
        <f>IF($N1418="","",IFERROR(INDEX(CONFIG!$H$4:$H$43,MATCH($N1418,CONFIG!$F$4:$F$43,0)),"Por definir"))</f>
        <v/>
      </c>
      <c r="Q1418" s="50" t="n"/>
      <c r="R1418" s="51" t="n"/>
      <c r="S1418" s="49" t="n"/>
      <c r="T1418" s="49" t="n"/>
      <c r="U1418" s="48">
        <f>IF(OR($B1418="",$K1418=""),"",WORKDAY($B1418,IFERROR(INDEX(CONFIG!$C$4:$C$43,MATCH($K1418,CONFIG!$A$4:$A$43,0)),3)))</f>
        <v/>
      </c>
      <c r="V1418" s="46" t="n"/>
      <c r="W1418" s="23">
        <f>IF($B1418="","",IF($V1418&lt;&gt;"",$V1418-$B1418,TODAY()-$B1418))</f>
        <v/>
      </c>
      <c r="X1418" s="27">
        <f>IF($C1418="","",IF(IFERROR(INDEX(CONFIG!$K$4:$K$43,MATCH($S1418,CONFIG!$J$4:$J$43,0)),"NO")="SÍ",IF(OR($V1418="",$U1418=""),"Resuelta",IF($V1418&gt;$U1418,"Resuelta tarde","Resuelta a tiempo")),IF($U1418="","Sin clasificar",IF(TODAY()&gt;$U1418,"Vencida",IF(TODAY()&gt;=$U1418-1,"Por vencer","En plazo")))))</f>
        <v/>
      </c>
      <c r="Y1418" s="49" t="n"/>
      <c r="Z1418" s="49" t="n"/>
    </row>
    <row r="1419" ht="16" customHeight="1">
      <c r="A1419" s="27">
        <f>IF($C1419="","","N-"&amp;TEXT(ROW()-3,"0000"))</f>
        <v/>
      </c>
      <c r="B1419" s="46" t="n"/>
      <c r="C1419" s="47" t="n"/>
      <c r="D1419" s="27">
        <f>IF($C1419="","",IF(COUNTIFS(ENVIOS!$A$4:$A$3003,$C1419)=0,"NO EXISTE",IF(COUNTIFS(ENVIOS!$A$4:$A$3003,$C1419)&gt;1,"DUPLICADA","OK")))</f>
        <v/>
      </c>
      <c r="E1419" s="22">
        <f>IF($C1419="","",IFERROR(INDEX(ENVIOS!$C$4:$C$3003,MATCH($C1419,ENVIOS!$A$4:$A$3003,0)),"—"))</f>
        <v/>
      </c>
      <c r="F1419" s="22">
        <f>IF($C1419="","",IFERROR(INDEX(ENVIOS!$D$4:$D$3003,MATCH($C1419,ENVIOS!$A$4:$A$3003,0)),"—"))</f>
        <v/>
      </c>
      <c r="G1419" s="22">
        <f>IF($C1419="","",IFERROR(INDEX(ENVIOS!$E$4:$E$3003,MATCH($C1419,ENVIOS!$A$4:$A$3003,0)),"—"))</f>
        <v/>
      </c>
      <c r="H1419" s="22">
        <f>IF($C1419="","",IFERROR(INDEX(ENVIOS!$F$4:$F$3003,MATCH($C1419,ENVIOS!$A$4:$A$3003,0)),"—"))</f>
        <v/>
      </c>
      <c r="I1419" s="27">
        <f>IF($C1419="","",IFERROR(INDEX(ENVIOS!$G$4:$G$3003,MATCH($C1419,ENVIOS!$A$4:$A$3003,0)),"—"))</f>
        <v/>
      </c>
      <c r="J1419" s="48">
        <f>IF($C1419="","",IFERROR(INDEX(ENVIOS!$B$4:$B$3003,MATCH($C1419,ENVIOS!$A$4:$A$3003,0)),""))</f>
        <v/>
      </c>
      <c r="K1419" s="49" t="n"/>
      <c r="L1419" s="27">
        <f>IF($K1419="","",IFERROR(INDEX(CONFIG!$B$4:$B$43,MATCH($K1419,CONFIG!$A$4:$A$43,0)),"Media"))</f>
        <v/>
      </c>
      <c r="M1419" s="27">
        <f>IF($K1419="","",IFERROR(INDEX(CONFIG!$D$4:$D$43,MATCH($K1419,CONFIG!$A$4:$A$43,0)),"NO"))</f>
        <v/>
      </c>
      <c r="N1419" s="49" t="n"/>
      <c r="O1419" s="27">
        <f>IF($N1419="","",IFERROR(INDEX(CONFIG!$G$4:$G$43,MATCH($N1419,CONFIG!$F$4:$F$43,0)),"Por definir"))</f>
        <v/>
      </c>
      <c r="P1419" s="27">
        <f>IF($N1419="","",IFERROR(INDEX(CONFIG!$H$4:$H$43,MATCH($N1419,CONFIG!$F$4:$F$43,0)),"Por definir"))</f>
        <v/>
      </c>
      <c r="Q1419" s="50" t="n"/>
      <c r="R1419" s="51" t="n"/>
      <c r="S1419" s="49" t="n"/>
      <c r="T1419" s="49" t="n"/>
      <c r="U1419" s="48">
        <f>IF(OR($B1419="",$K1419=""),"",WORKDAY($B1419,IFERROR(INDEX(CONFIG!$C$4:$C$43,MATCH($K1419,CONFIG!$A$4:$A$43,0)),3)))</f>
        <v/>
      </c>
      <c r="V1419" s="46" t="n"/>
      <c r="W1419" s="23">
        <f>IF($B1419="","",IF($V1419&lt;&gt;"",$V1419-$B1419,TODAY()-$B1419))</f>
        <v/>
      </c>
      <c r="X1419" s="27">
        <f>IF($C1419="","",IF(IFERROR(INDEX(CONFIG!$K$4:$K$43,MATCH($S1419,CONFIG!$J$4:$J$43,0)),"NO")="SÍ",IF(OR($V1419="",$U1419=""),"Resuelta",IF($V1419&gt;$U1419,"Resuelta tarde","Resuelta a tiempo")),IF($U1419="","Sin clasificar",IF(TODAY()&gt;$U1419,"Vencida",IF(TODAY()&gt;=$U1419-1,"Por vencer","En plazo")))))</f>
        <v/>
      </c>
      <c r="Y1419" s="49" t="n"/>
      <c r="Z1419" s="49" t="n"/>
    </row>
    <row r="1420" ht="16" customHeight="1">
      <c r="A1420" s="27">
        <f>IF($C1420="","","N-"&amp;TEXT(ROW()-3,"0000"))</f>
        <v/>
      </c>
      <c r="B1420" s="46" t="n"/>
      <c r="C1420" s="47" t="n"/>
      <c r="D1420" s="27">
        <f>IF($C1420="","",IF(COUNTIFS(ENVIOS!$A$4:$A$3003,$C1420)=0,"NO EXISTE",IF(COUNTIFS(ENVIOS!$A$4:$A$3003,$C1420)&gt;1,"DUPLICADA","OK")))</f>
        <v/>
      </c>
      <c r="E1420" s="22">
        <f>IF($C1420="","",IFERROR(INDEX(ENVIOS!$C$4:$C$3003,MATCH($C1420,ENVIOS!$A$4:$A$3003,0)),"—"))</f>
        <v/>
      </c>
      <c r="F1420" s="22">
        <f>IF($C1420="","",IFERROR(INDEX(ENVIOS!$D$4:$D$3003,MATCH($C1420,ENVIOS!$A$4:$A$3003,0)),"—"))</f>
        <v/>
      </c>
      <c r="G1420" s="22">
        <f>IF($C1420="","",IFERROR(INDEX(ENVIOS!$E$4:$E$3003,MATCH($C1420,ENVIOS!$A$4:$A$3003,0)),"—"))</f>
        <v/>
      </c>
      <c r="H1420" s="22">
        <f>IF($C1420="","",IFERROR(INDEX(ENVIOS!$F$4:$F$3003,MATCH($C1420,ENVIOS!$A$4:$A$3003,0)),"—"))</f>
        <v/>
      </c>
      <c r="I1420" s="27">
        <f>IF($C1420="","",IFERROR(INDEX(ENVIOS!$G$4:$G$3003,MATCH($C1420,ENVIOS!$A$4:$A$3003,0)),"—"))</f>
        <v/>
      </c>
      <c r="J1420" s="48">
        <f>IF($C1420="","",IFERROR(INDEX(ENVIOS!$B$4:$B$3003,MATCH($C1420,ENVIOS!$A$4:$A$3003,0)),""))</f>
        <v/>
      </c>
      <c r="K1420" s="49" t="n"/>
      <c r="L1420" s="27">
        <f>IF($K1420="","",IFERROR(INDEX(CONFIG!$B$4:$B$43,MATCH($K1420,CONFIG!$A$4:$A$43,0)),"Media"))</f>
        <v/>
      </c>
      <c r="M1420" s="27">
        <f>IF($K1420="","",IFERROR(INDEX(CONFIG!$D$4:$D$43,MATCH($K1420,CONFIG!$A$4:$A$43,0)),"NO"))</f>
        <v/>
      </c>
      <c r="N1420" s="49" t="n"/>
      <c r="O1420" s="27">
        <f>IF($N1420="","",IFERROR(INDEX(CONFIG!$G$4:$G$43,MATCH($N1420,CONFIG!$F$4:$F$43,0)),"Por definir"))</f>
        <v/>
      </c>
      <c r="P1420" s="27">
        <f>IF($N1420="","",IFERROR(INDEX(CONFIG!$H$4:$H$43,MATCH($N1420,CONFIG!$F$4:$F$43,0)),"Por definir"))</f>
        <v/>
      </c>
      <c r="Q1420" s="50" t="n"/>
      <c r="R1420" s="51" t="n"/>
      <c r="S1420" s="49" t="n"/>
      <c r="T1420" s="49" t="n"/>
      <c r="U1420" s="48">
        <f>IF(OR($B1420="",$K1420=""),"",WORKDAY($B1420,IFERROR(INDEX(CONFIG!$C$4:$C$43,MATCH($K1420,CONFIG!$A$4:$A$43,0)),3)))</f>
        <v/>
      </c>
      <c r="V1420" s="46" t="n"/>
      <c r="W1420" s="23">
        <f>IF($B1420="","",IF($V1420&lt;&gt;"",$V1420-$B1420,TODAY()-$B1420))</f>
        <v/>
      </c>
      <c r="X1420" s="27">
        <f>IF($C1420="","",IF(IFERROR(INDEX(CONFIG!$K$4:$K$43,MATCH($S1420,CONFIG!$J$4:$J$43,0)),"NO")="SÍ",IF(OR($V1420="",$U1420=""),"Resuelta",IF($V1420&gt;$U1420,"Resuelta tarde","Resuelta a tiempo")),IF($U1420="","Sin clasificar",IF(TODAY()&gt;$U1420,"Vencida",IF(TODAY()&gt;=$U1420-1,"Por vencer","En plazo")))))</f>
        <v/>
      </c>
      <c r="Y1420" s="49" t="n"/>
      <c r="Z1420" s="49" t="n"/>
    </row>
    <row r="1421" ht="16" customHeight="1">
      <c r="A1421" s="27">
        <f>IF($C1421="","","N-"&amp;TEXT(ROW()-3,"0000"))</f>
        <v/>
      </c>
      <c r="B1421" s="46" t="n"/>
      <c r="C1421" s="47" t="n"/>
      <c r="D1421" s="27">
        <f>IF($C1421="","",IF(COUNTIFS(ENVIOS!$A$4:$A$3003,$C1421)=0,"NO EXISTE",IF(COUNTIFS(ENVIOS!$A$4:$A$3003,$C1421)&gt;1,"DUPLICADA","OK")))</f>
        <v/>
      </c>
      <c r="E1421" s="22">
        <f>IF($C1421="","",IFERROR(INDEX(ENVIOS!$C$4:$C$3003,MATCH($C1421,ENVIOS!$A$4:$A$3003,0)),"—"))</f>
        <v/>
      </c>
      <c r="F1421" s="22">
        <f>IF($C1421="","",IFERROR(INDEX(ENVIOS!$D$4:$D$3003,MATCH($C1421,ENVIOS!$A$4:$A$3003,0)),"—"))</f>
        <v/>
      </c>
      <c r="G1421" s="22">
        <f>IF($C1421="","",IFERROR(INDEX(ENVIOS!$E$4:$E$3003,MATCH($C1421,ENVIOS!$A$4:$A$3003,0)),"—"))</f>
        <v/>
      </c>
      <c r="H1421" s="22">
        <f>IF($C1421="","",IFERROR(INDEX(ENVIOS!$F$4:$F$3003,MATCH($C1421,ENVIOS!$A$4:$A$3003,0)),"—"))</f>
        <v/>
      </c>
      <c r="I1421" s="27">
        <f>IF($C1421="","",IFERROR(INDEX(ENVIOS!$G$4:$G$3003,MATCH($C1421,ENVIOS!$A$4:$A$3003,0)),"—"))</f>
        <v/>
      </c>
      <c r="J1421" s="48">
        <f>IF($C1421="","",IFERROR(INDEX(ENVIOS!$B$4:$B$3003,MATCH($C1421,ENVIOS!$A$4:$A$3003,0)),""))</f>
        <v/>
      </c>
      <c r="K1421" s="49" t="n"/>
      <c r="L1421" s="27">
        <f>IF($K1421="","",IFERROR(INDEX(CONFIG!$B$4:$B$43,MATCH($K1421,CONFIG!$A$4:$A$43,0)),"Media"))</f>
        <v/>
      </c>
      <c r="M1421" s="27">
        <f>IF($K1421="","",IFERROR(INDEX(CONFIG!$D$4:$D$43,MATCH($K1421,CONFIG!$A$4:$A$43,0)),"NO"))</f>
        <v/>
      </c>
      <c r="N1421" s="49" t="n"/>
      <c r="O1421" s="27">
        <f>IF($N1421="","",IFERROR(INDEX(CONFIG!$G$4:$G$43,MATCH($N1421,CONFIG!$F$4:$F$43,0)),"Por definir"))</f>
        <v/>
      </c>
      <c r="P1421" s="27">
        <f>IF($N1421="","",IFERROR(INDEX(CONFIG!$H$4:$H$43,MATCH($N1421,CONFIG!$F$4:$F$43,0)),"Por definir"))</f>
        <v/>
      </c>
      <c r="Q1421" s="50" t="n"/>
      <c r="R1421" s="51" t="n"/>
      <c r="S1421" s="49" t="n"/>
      <c r="T1421" s="49" t="n"/>
      <c r="U1421" s="48">
        <f>IF(OR($B1421="",$K1421=""),"",WORKDAY($B1421,IFERROR(INDEX(CONFIG!$C$4:$C$43,MATCH($K1421,CONFIG!$A$4:$A$43,0)),3)))</f>
        <v/>
      </c>
      <c r="V1421" s="46" t="n"/>
      <c r="W1421" s="23">
        <f>IF($B1421="","",IF($V1421&lt;&gt;"",$V1421-$B1421,TODAY()-$B1421))</f>
        <v/>
      </c>
      <c r="X1421" s="27">
        <f>IF($C1421="","",IF(IFERROR(INDEX(CONFIG!$K$4:$K$43,MATCH($S1421,CONFIG!$J$4:$J$43,0)),"NO")="SÍ",IF(OR($V1421="",$U1421=""),"Resuelta",IF($V1421&gt;$U1421,"Resuelta tarde","Resuelta a tiempo")),IF($U1421="","Sin clasificar",IF(TODAY()&gt;$U1421,"Vencida",IF(TODAY()&gt;=$U1421-1,"Por vencer","En plazo")))))</f>
        <v/>
      </c>
      <c r="Y1421" s="49" t="n"/>
      <c r="Z1421" s="49" t="n"/>
    </row>
    <row r="1422" ht="16" customHeight="1">
      <c r="A1422" s="27">
        <f>IF($C1422="","","N-"&amp;TEXT(ROW()-3,"0000"))</f>
        <v/>
      </c>
      <c r="B1422" s="46" t="n"/>
      <c r="C1422" s="47" t="n"/>
      <c r="D1422" s="27">
        <f>IF($C1422="","",IF(COUNTIFS(ENVIOS!$A$4:$A$3003,$C1422)=0,"NO EXISTE",IF(COUNTIFS(ENVIOS!$A$4:$A$3003,$C1422)&gt;1,"DUPLICADA","OK")))</f>
        <v/>
      </c>
      <c r="E1422" s="22">
        <f>IF($C1422="","",IFERROR(INDEX(ENVIOS!$C$4:$C$3003,MATCH($C1422,ENVIOS!$A$4:$A$3003,0)),"—"))</f>
        <v/>
      </c>
      <c r="F1422" s="22">
        <f>IF($C1422="","",IFERROR(INDEX(ENVIOS!$D$4:$D$3003,MATCH($C1422,ENVIOS!$A$4:$A$3003,0)),"—"))</f>
        <v/>
      </c>
      <c r="G1422" s="22">
        <f>IF($C1422="","",IFERROR(INDEX(ENVIOS!$E$4:$E$3003,MATCH($C1422,ENVIOS!$A$4:$A$3003,0)),"—"))</f>
        <v/>
      </c>
      <c r="H1422" s="22">
        <f>IF($C1422="","",IFERROR(INDEX(ENVIOS!$F$4:$F$3003,MATCH($C1422,ENVIOS!$A$4:$A$3003,0)),"—"))</f>
        <v/>
      </c>
      <c r="I1422" s="27">
        <f>IF($C1422="","",IFERROR(INDEX(ENVIOS!$G$4:$G$3003,MATCH($C1422,ENVIOS!$A$4:$A$3003,0)),"—"))</f>
        <v/>
      </c>
      <c r="J1422" s="48">
        <f>IF($C1422="","",IFERROR(INDEX(ENVIOS!$B$4:$B$3003,MATCH($C1422,ENVIOS!$A$4:$A$3003,0)),""))</f>
        <v/>
      </c>
      <c r="K1422" s="49" t="n"/>
      <c r="L1422" s="27">
        <f>IF($K1422="","",IFERROR(INDEX(CONFIG!$B$4:$B$43,MATCH($K1422,CONFIG!$A$4:$A$43,0)),"Media"))</f>
        <v/>
      </c>
      <c r="M1422" s="27">
        <f>IF($K1422="","",IFERROR(INDEX(CONFIG!$D$4:$D$43,MATCH($K1422,CONFIG!$A$4:$A$43,0)),"NO"))</f>
        <v/>
      </c>
      <c r="N1422" s="49" t="n"/>
      <c r="O1422" s="27">
        <f>IF($N1422="","",IFERROR(INDEX(CONFIG!$G$4:$G$43,MATCH($N1422,CONFIG!$F$4:$F$43,0)),"Por definir"))</f>
        <v/>
      </c>
      <c r="P1422" s="27">
        <f>IF($N1422="","",IFERROR(INDEX(CONFIG!$H$4:$H$43,MATCH($N1422,CONFIG!$F$4:$F$43,0)),"Por definir"))</f>
        <v/>
      </c>
      <c r="Q1422" s="50" t="n"/>
      <c r="R1422" s="51" t="n"/>
      <c r="S1422" s="49" t="n"/>
      <c r="T1422" s="49" t="n"/>
      <c r="U1422" s="48">
        <f>IF(OR($B1422="",$K1422=""),"",WORKDAY($B1422,IFERROR(INDEX(CONFIG!$C$4:$C$43,MATCH($K1422,CONFIG!$A$4:$A$43,0)),3)))</f>
        <v/>
      </c>
      <c r="V1422" s="46" t="n"/>
      <c r="W1422" s="23">
        <f>IF($B1422="","",IF($V1422&lt;&gt;"",$V1422-$B1422,TODAY()-$B1422))</f>
        <v/>
      </c>
      <c r="X1422" s="27">
        <f>IF($C1422="","",IF(IFERROR(INDEX(CONFIG!$K$4:$K$43,MATCH($S1422,CONFIG!$J$4:$J$43,0)),"NO")="SÍ",IF(OR($V1422="",$U1422=""),"Resuelta",IF($V1422&gt;$U1422,"Resuelta tarde","Resuelta a tiempo")),IF($U1422="","Sin clasificar",IF(TODAY()&gt;$U1422,"Vencida",IF(TODAY()&gt;=$U1422-1,"Por vencer","En plazo")))))</f>
        <v/>
      </c>
      <c r="Y1422" s="49" t="n"/>
      <c r="Z1422" s="49" t="n"/>
    </row>
    <row r="1423" ht="16" customHeight="1">
      <c r="A1423" s="27">
        <f>IF($C1423="","","N-"&amp;TEXT(ROW()-3,"0000"))</f>
        <v/>
      </c>
      <c r="B1423" s="46" t="n"/>
      <c r="C1423" s="47" t="n"/>
      <c r="D1423" s="27">
        <f>IF($C1423="","",IF(COUNTIFS(ENVIOS!$A$4:$A$3003,$C1423)=0,"NO EXISTE",IF(COUNTIFS(ENVIOS!$A$4:$A$3003,$C1423)&gt;1,"DUPLICADA","OK")))</f>
        <v/>
      </c>
      <c r="E1423" s="22">
        <f>IF($C1423="","",IFERROR(INDEX(ENVIOS!$C$4:$C$3003,MATCH($C1423,ENVIOS!$A$4:$A$3003,0)),"—"))</f>
        <v/>
      </c>
      <c r="F1423" s="22">
        <f>IF($C1423="","",IFERROR(INDEX(ENVIOS!$D$4:$D$3003,MATCH($C1423,ENVIOS!$A$4:$A$3003,0)),"—"))</f>
        <v/>
      </c>
      <c r="G1423" s="22">
        <f>IF($C1423="","",IFERROR(INDEX(ENVIOS!$E$4:$E$3003,MATCH($C1423,ENVIOS!$A$4:$A$3003,0)),"—"))</f>
        <v/>
      </c>
      <c r="H1423" s="22">
        <f>IF($C1423="","",IFERROR(INDEX(ENVIOS!$F$4:$F$3003,MATCH($C1423,ENVIOS!$A$4:$A$3003,0)),"—"))</f>
        <v/>
      </c>
      <c r="I1423" s="27">
        <f>IF($C1423="","",IFERROR(INDEX(ENVIOS!$G$4:$G$3003,MATCH($C1423,ENVIOS!$A$4:$A$3003,0)),"—"))</f>
        <v/>
      </c>
      <c r="J1423" s="48">
        <f>IF($C1423="","",IFERROR(INDEX(ENVIOS!$B$4:$B$3003,MATCH($C1423,ENVIOS!$A$4:$A$3003,0)),""))</f>
        <v/>
      </c>
      <c r="K1423" s="49" t="n"/>
      <c r="L1423" s="27">
        <f>IF($K1423="","",IFERROR(INDEX(CONFIG!$B$4:$B$43,MATCH($K1423,CONFIG!$A$4:$A$43,0)),"Media"))</f>
        <v/>
      </c>
      <c r="M1423" s="27">
        <f>IF($K1423="","",IFERROR(INDEX(CONFIG!$D$4:$D$43,MATCH($K1423,CONFIG!$A$4:$A$43,0)),"NO"))</f>
        <v/>
      </c>
      <c r="N1423" s="49" t="n"/>
      <c r="O1423" s="27">
        <f>IF($N1423="","",IFERROR(INDEX(CONFIG!$G$4:$G$43,MATCH($N1423,CONFIG!$F$4:$F$43,0)),"Por definir"))</f>
        <v/>
      </c>
      <c r="P1423" s="27">
        <f>IF($N1423="","",IFERROR(INDEX(CONFIG!$H$4:$H$43,MATCH($N1423,CONFIG!$F$4:$F$43,0)),"Por definir"))</f>
        <v/>
      </c>
      <c r="Q1423" s="50" t="n"/>
      <c r="R1423" s="51" t="n"/>
      <c r="S1423" s="49" t="n"/>
      <c r="T1423" s="49" t="n"/>
      <c r="U1423" s="48">
        <f>IF(OR($B1423="",$K1423=""),"",WORKDAY($B1423,IFERROR(INDEX(CONFIG!$C$4:$C$43,MATCH($K1423,CONFIG!$A$4:$A$43,0)),3)))</f>
        <v/>
      </c>
      <c r="V1423" s="46" t="n"/>
      <c r="W1423" s="23">
        <f>IF($B1423="","",IF($V1423&lt;&gt;"",$V1423-$B1423,TODAY()-$B1423))</f>
        <v/>
      </c>
      <c r="X1423" s="27">
        <f>IF($C1423="","",IF(IFERROR(INDEX(CONFIG!$K$4:$K$43,MATCH($S1423,CONFIG!$J$4:$J$43,0)),"NO")="SÍ",IF(OR($V1423="",$U1423=""),"Resuelta",IF($V1423&gt;$U1423,"Resuelta tarde","Resuelta a tiempo")),IF($U1423="","Sin clasificar",IF(TODAY()&gt;$U1423,"Vencida",IF(TODAY()&gt;=$U1423-1,"Por vencer","En plazo")))))</f>
        <v/>
      </c>
      <c r="Y1423" s="49" t="n"/>
      <c r="Z1423" s="49" t="n"/>
    </row>
    <row r="1424" ht="16" customHeight="1">
      <c r="A1424" s="27">
        <f>IF($C1424="","","N-"&amp;TEXT(ROW()-3,"0000"))</f>
        <v/>
      </c>
      <c r="B1424" s="46" t="n"/>
      <c r="C1424" s="47" t="n"/>
      <c r="D1424" s="27">
        <f>IF($C1424="","",IF(COUNTIFS(ENVIOS!$A$4:$A$3003,$C1424)=0,"NO EXISTE",IF(COUNTIFS(ENVIOS!$A$4:$A$3003,$C1424)&gt;1,"DUPLICADA","OK")))</f>
        <v/>
      </c>
      <c r="E1424" s="22">
        <f>IF($C1424="","",IFERROR(INDEX(ENVIOS!$C$4:$C$3003,MATCH($C1424,ENVIOS!$A$4:$A$3003,0)),"—"))</f>
        <v/>
      </c>
      <c r="F1424" s="22">
        <f>IF($C1424="","",IFERROR(INDEX(ENVIOS!$D$4:$D$3003,MATCH($C1424,ENVIOS!$A$4:$A$3003,0)),"—"))</f>
        <v/>
      </c>
      <c r="G1424" s="22">
        <f>IF($C1424="","",IFERROR(INDEX(ENVIOS!$E$4:$E$3003,MATCH($C1424,ENVIOS!$A$4:$A$3003,0)),"—"))</f>
        <v/>
      </c>
      <c r="H1424" s="22">
        <f>IF($C1424="","",IFERROR(INDEX(ENVIOS!$F$4:$F$3003,MATCH($C1424,ENVIOS!$A$4:$A$3003,0)),"—"))</f>
        <v/>
      </c>
      <c r="I1424" s="27">
        <f>IF($C1424="","",IFERROR(INDEX(ENVIOS!$G$4:$G$3003,MATCH($C1424,ENVIOS!$A$4:$A$3003,0)),"—"))</f>
        <v/>
      </c>
      <c r="J1424" s="48">
        <f>IF($C1424="","",IFERROR(INDEX(ENVIOS!$B$4:$B$3003,MATCH($C1424,ENVIOS!$A$4:$A$3003,0)),""))</f>
        <v/>
      </c>
      <c r="K1424" s="49" t="n"/>
      <c r="L1424" s="27">
        <f>IF($K1424="","",IFERROR(INDEX(CONFIG!$B$4:$B$43,MATCH($K1424,CONFIG!$A$4:$A$43,0)),"Media"))</f>
        <v/>
      </c>
      <c r="M1424" s="27">
        <f>IF($K1424="","",IFERROR(INDEX(CONFIG!$D$4:$D$43,MATCH($K1424,CONFIG!$A$4:$A$43,0)),"NO"))</f>
        <v/>
      </c>
      <c r="N1424" s="49" t="n"/>
      <c r="O1424" s="27">
        <f>IF($N1424="","",IFERROR(INDEX(CONFIG!$G$4:$G$43,MATCH($N1424,CONFIG!$F$4:$F$43,0)),"Por definir"))</f>
        <v/>
      </c>
      <c r="P1424" s="27">
        <f>IF($N1424="","",IFERROR(INDEX(CONFIG!$H$4:$H$43,MATCH($N1424,CONFIG!$F$4:$F$43,0)),"Por definir"))</f>
        <v/>
      </c>
      <c r="Q1424" s="50" t="n"/>
      <c r="R1424" s="51" t="n"/>
      <c r="S1424" s="49" t="n"/>
      <c r="T1424" s="49" t="n"/>
      <c r="U1424" s="48">
        <f>IF(OR($B1424="",$K1424=""),"",WORKDAY($B1424,IFERROR(INDEX(CONFIG!$C$4:$C$43,MATCH($K1424,CONFIG!$A$4:$A$43,0)),3)))</f>
        <v/>
      </c>
      <c r="V1424" s="46" t="n"/>
      <c r="W1424" s="23">
        <f>IF($B1424="","",IF($V1424&lt;&gt;"",$V1424-$B1424,TODAY()-$B1424))</f>
        <v/>
      </c>
      <c r="X1424" s="27">
        <f>IF($C1424="","",IF(IFERROR(INDEX(CONFIG!$K$4:$K$43,MATCH($S1424,CONFIG!$J$4:$J$43,0)),"NO")="SÍ",IF(OR($V1424="",$U1424=""),"Resuelta",IF($V1424&gt;$U1424,"Resuelta tarde","Resuelta a tiempo")),IF($U1424="","Sin clasificar",IF(TODAY()&gt;$U1424,"Vencida",IF(TODAY()&gt;=$U1424-1,"Por vencer","En plazo")))))</f>
        <v/>
      </c>
      <c r="Y1424" s="49" t="n"/>
      <c r="Z1424" s="49" t="n"/>
    </row>
    <row r="1425" ht="16" customHeight="1">
      <c r="A1425" s="27">
        <f>IF($C1425="","","N-"&amp;TEXT(ROW()-3,"0000"))</f>
        <v/>
      </c>
      <c r="B1425" s="46" t="n"/>
      <c r="C1425" s="47" t="n"/>
      <c r="D1425" s="27">
        <f>IF($C1425="","",IF(COUNTIFS(ENVIOS!$A$4:$A$3003,$C1425)=0,"NO EXISTE",IF(COUNTIFS(ENVIOS!$A$4:$A$3003,$C1425)&gt;1,"DUPLICADA","OK")))</f>
        <v/>
      </c>
      <c r="E1425" s="22">
        <f>IF($C1425="","",IFERROR(INDEX(ENVIOS!$C$4:$C$3003,MATCH($C1425,ENVIOS!$A$4:$A$3003,0)),"—"))</f>
        <v/>
      </c>
      <c r="F1425" s="22">
        <f>IF($C1425="","",IFERROR(INDEX(ENVIOS!$D$4:$D$3003,MATCH($C1425,ENVIOS!$A$4:$A$3003,0)),"—"))</f>
        <v/>
      </c>
      <c r="G1425" s="22">
        <f>IF($C1425="","",IFERROR(INDEX(ENVIOS!$E$4:$E$3003,MATCH($C1425,ENVIOS!$A$4:$A$3003,0)),"—"))</f>
        <v/>
      </c>
      <c r="H1425" s="22">
        <f>IF($C1425="","",IFERROR(INDEX(ENVIOS!$F$4:$F$3003,MATCH($C1425,ENVIOS!$A$4:$A$3003,0)),"—"))</f>
        <v/>
      </c>
      <c r="I1425" s="27">
        <f>IF($C1425="","",IFERROR(INDEX(ENVIOS!$G$4:$G$3003,MATCH($C1425,ENVIOS!$A$4:$A$3003,0)),"—"))</f>
        <v/>
      </c>
      <c r="J1425" s="48">
        <f>IF($C1425="","",IFERROR(INDEX(ENVIOS!$B$4:$B$3003,MATCH($C1425,ENVIOS!$A$4:$A$3003,0)),""))</f>
        <v/>
      </c>
      <c r="K1425" s="49" t="n"/>
      <c r="L1425" s="27">
        <f>IF($K1425="","",IFERROR(INDEX(CONFIG!$B$4:$B$43,MATCH($K1425,CONFIG!$A$4:$A$43,0)),"Media"))</f>
        <v/>
      </c>
      <c r="M1425" s="27">
        <f>IF($K1425="","",IFERROR(INDEX(CONFIG!$D$4:$D$43,MATCH($K1425,CONFIG!$A$4:$A$43,0)),"NO"))</f>
        <v/>
      </c>
      <c r="N1425" s="49" t="n"/>
      <c r="O1425" s="27">
        <f>IF($N1425="","",IFERROR(INDEX(CONFIG!$G$4:$G$43,MATCH($N1425,CONFIG!$F$4:$F$43,0)),"Por definir"))</f>
        <v/>
      </c>
      <c r="P1425" s="27">
        <f>IF($N1425="","",IFERROR(INDEX(CONFIG!$H$4:$H$43,MATCH($N1425,CONFIG!$F$4:$F$43,0)),"Por definir"))</f>
        <v/>
      </c>
      <c r="Q1425" s="50" t="n"/>
      <c r="R1425" s="51" t="n"/>
      <c r="S1425" s="49" t="n"/>
      <c r="T1425" s="49" t="n"/>
      <c r="U1425" s="48">
        <f>IF(OR($B1425="",$K1425=""),"",WORKDAY($B1425,IFERROR(INDEX(CONFIG!$C$4:$C$43,MATCH($K1425,CONFIG!$A$4:$A$43,0)),3)))</f>
        <v/>
      </c>
      <c r="V1425" s="46" t="n"/>
      <c r="W1425" s="23">
        <f>IF($B1425="","",IF($V1425&lt;&gt;"",$V1425-$B1425,TODAY()-$B1425))</f>
        <v/>
      </c>
      <c r="X1425" s="27">
        <f>IF($C1425="","",IF(IFERROR(INDEX(CONFIG!$K$4:$K$43,MATCH($S1425,CONFIG!$J$4:$J$43,0)),"NO")="SÍ",IF(OR($V1425="",$U1425=""),"Resuelta",IF($V1425&gt;$U1425,"Resuelta tarde","Resuelta a tiempo")),IF($U1425="","Sin clasificar",IF(TODAY()&gt;$U1425,"Vencida",IF(TODAY()&gt;=$U1425-1,"Por vencer","En plazo")))))</f>
        <v/>
      </c>
      <c r="Y1425" s="49" t="n"/>
      <c r="Z1425" s="49" t="n"/>
    </row>
    <row r="1426" ht="16" customHeight="1">
      <c r="A1426" s="27">
        <f>IF($C1426="","","N-"&amp;TEXT(ROW()-3,"0000"))</f>
        <v/>
      </c>
      <c r="B1426" s="46" t="n"/>
      <c r="C1426" s="47" t="n"/>
      <c r="D1426" s="27">
        <f>IF($C1426="","",IF(COUNTIFS(ENVIOS!$A$4:$A$3003,$C1426)=0,"NO EXISTE",IF(COUNTIFS(ENVIOS!$A$4:$A$3003,$C1426)&gt;1,"DUPLICADA","OK")))</f>
        <v/>
      </c>
      <c r="E1426" s="22">
        <f>IF($C1426="","",IFERROR(INDEX(ENVIOS!$C$4:$C$3003,MATCH($C1426,ENVIOS!$A$4:$A$3003,0)),"—"))</f>
        <v/>
      </c>
      <c r="F1426" s="22">
        <f>IF($C1426="","",IFERROR(INDEX(ENVIOS!$D$4:$D$3003,MATCH($C1426,ENVIOS!$A$4:$A$3003,0)),"—"))</f>
        <v/>
      </c>
      <c r="G1426" s="22">
        <f>IF($C1426="","",IFERROR(INDEX(ENVIOS!$E$4:$E$3003,MATCH($C1426,ENVIOS!$A$4:$A$3003,0)),"—"))</f>
        <v/>
      </c>
      <c r="H1426" s="22">
        <f>IF($C1426="","",IFERROR(INDEX(ENVIOS!$F$4:$F$3003,MATCH($C1426,ENVIOS!$A$4:$A$3003,0)),"—"))</f>
        <v/>
      </c>
      <c r="I1426" s="27">
        <f>IF($C1426="","",IFERROR(INDEX(ENVIOS!$G$4:$G$3003,MATCH($C1426,ENVIOS!$A$4:$A$3003,0)),"—"))</f>
        <v/>
      </c>
      <c r="J1426" s="48">
        <f>IF($C1426="","",IFERROR(INDEX(ENVIOS!$B$4:$B$3003,MATCH($C1426,ENVIOS!$A$4:$A$3003,0)),""))</f>
        <v/>
      </c>
      <c r="K1426" s="49" t="n"/>
      <c r="L1426" s="27">
        <f>IF($K1426="","",IFERROR(INDEX(CONFIG!$B$4:$B$43,MATCH($K1426,CONFIG!$A$4:$A$43,0)),"Media"))</f>
        <v/>
      </c>
      <c r="M1426" s="27">
        <f>IF($K1426="","",IFERROR(INDEX(CONFIG!$D$4:$D$43,MATCH($K1426,CONFIG!$A$4:$A$43,0)),"NO"))</f>
        <v/>
      </c>
      <c r="N1426" s="49" t="n"/>
      <c r="O1426" s="27">
        <f>IF($N1426="","",IFERROR(INDEX(CONFIG!$G$4:$G$43,MATCH($N1426,CONFIG!$F$4:$F$43,0)),"Por definir"))</f>
        <v/>
      </c>
      <c r="P1426" s="27">
        <f>IF($N1426="","",IFERROR(INDEX(CONFIG!$H$4:$H$43,MATCH($N1426,CONFIG!$F$4:$F$43,0)),"Por definir"))</f>
        <v/>
      </c>
      <c r="Q1426" s="50" t="n"/>
      <c r="R1426" s="51" t="n"/>
      <c r="S1426" s="49" t="n"/>
      <c r="T1426" s="49" t="n"/>
      <c r="U1426" s="48">
        <f>IF(OR($B1426="",$K1426=""),"",WORKDAY($B1426,IFERROR(INDEX(CONFIG!$C$4:$C$43,MATCH($K1426,CONFIG!$A$4:$A$43,0)),3)))</f>
        <v/>
      </c>
      <c r="V1426" s="46" t="n"/>
      <c r="W1426" s="23">
        <f>IF($B1426="","",IF($V1426&lt;&gt;"",$V1426-$B1426,TODAY()-$B1426))</f>
        <v/>
      </c>
      <c r="X1426" s="27">
        <f>IF($C1426="","",IF(IFERROR(INDEX(CONFIG!$K$4:$K$43,MATCH($S1426,CONFIG!$J$4:$J$43,0)),"NO")="SÍ",IF(OR($V1426="",$U1426=""),"Resuelta",IF($V1426&gt;$U1426,"Resuelta tarde","Resuelta a tiempo")),IF($U1426="","Sin clasificar",IF(TODAY()&gt;$U1426,"Vencida",IF(TODAY()&gt;=$U1426-1,"Por vencer","En plazo")))))</f>
        <v/>
      </c>
      <c r="Y1426" s="49" t="n"/>
      <c r="Z1426" s="49" t="n"/>
    </row>
    <row r="1427" ht="16" customHeight="1">
      <c r="A1427" s="27">
        <f>IF($C1427="","","N-"&amp;TEXT(ROW()-3,"0000"))</f>
        <v/>
      </c>
      <c r="B1427" s="46" t="n"/>
      <c r="C1427" s="47" t="n"/>
      <c r="D1427" s="27">
        <f>IF($C1427="","",IF(COUNTIFS(ENVIOS!$A$4:$A$3003,$C1427)=0,"NO EXISTE",IF(COUNTIFS(ENVIOS!$A$4:$A$3003,$C1427)&gt;1,"DUPLICADA","OK")))</f>
        <v/>
      </c>
      <c r="E1427" s="22">
        <f>IF($C1427="","",IFERROR(INDEX(ENVIOS!$C$4:$C$3003,MATCH($C1427,ENVIOS!$A$4:$A$3003,0)),"—"))</f>
        <v/>
      </c>
      <c r="F1427" s="22">
        <f>IF($C1427="","",IFERROR(INDEX(ENVIOS!$D$4:$D$3003,MATCH($C1427,ENVIOS!$A$4:$A$3003,0)),"—"))</f>
        <v/>
      </c>
      <c r="G1427" s="22">
        <f>IF($C1427="","",IFERROR(INDEX(ENVIOS!$E$4:$E$3003,MATCH($C1427,ENVIOS!$A$4:$A$3003,0)),"—"))</f>
        <v/>
      </c>
      <c r="H1427" s="22">
        <f>IF($C1427="","",IFERROR(INDEX(ENVIOS!$F$4:$F$3003,MATCH($C1427,ENVIOS!$A$4:$A$3003,0)),"—"))</f>
        <v/>
      </c>
      <c r="I1427" s="27">
        <f>IF($C1427="","",IFERROR(INDEX(ENVIOS!$G$4:$G$3003,MATCH($C1427,ENVIOS!$A$4:$A$3003,0)),"—"))</f>
        <v/>
      </c>
      <c r="J1427" s="48">
        <f>IF($C1427="","",IFERROR(INDEX(ENVIOS!$B$4:$B$3003,MATCH($C1427,ENVIOS!$A$4:$A$3003,0)),""))</f>
        <v/>
      </c>
      <c r="K1427" s="49" t="n"/>
      <c r="L1427" s="27">
        <f>IF($K1427="","",IFERROR(INDEX(CONFIG!$B$4:$B$43,MATCH($K1427,CONFIG!$A$4:$A$43,0)),"Media"))</f>
        <v/>
      </c>
      <c r="M1427" s="27">
        <f>IF($K1427="","",IFERROR(INDEX(CONFIG!$D$4:$D$43,MATCH($K1427,CONFIG!$A$4:$A$43,0)),"NO"))</f>
        <v/>
      </c>
      <c r="N1427" s="49" t="n"/>
      <c r="O1427" s="27">
        <f>IF($N1427="","",IFERROR(INDEX(CONFIG!$G$4:$G$43,MATCH($N1427,CONFIG!$F$4:$F$43,0)),"Por definir"))</f>
        <v/>
      </c>
      <c r="P1427" s="27">
        <f>IF($N1427="","",IFERROR(INDEX(CONFIG!$H$4:$H$43,MATCH($N1427,CONFIG!$F$4:$F$43,0)),"Por definir"))</f>
        <v/>
      </c>
      <c r="Q1427" s="50" t="n"/>
      <c r="R1427" s="51" t="n"/>
      <c r="S1427" s="49" t="n"/>
      <c r="T1427" s="49" t="n"/>
      <c r="U1427" s="48">
        <f>IF(OR($B1427="",$K1427=""),"",WORKDAY($B1427,IFERROR(INDEX(CONFIG!$C$4:$C$43,MATCH($K1427,CONFIG!$A$4:$A$43,0)),3)))</f>
        <v/>
      </c>
      <c r="V1427" s="46" t="n"/>
      <c r="W1427" s="23">
        <f>IF($B1427="","",IF($V1427&lt;&gt;"",$V1427-$B1427,TODAY()-$B1427))</f>
        <v/>
      </c>
      <c r="X1427" s="27">
        <f>IF($C1427="","",IF(IFERROR(INDEX(CONFIG!$K$4:$K$43,MATCH($S1427,CONFIG!$J$4:$J$43,0)),"NO")="SÍ",IF(OR($V1427="",$U1427=""),"Resuelta",IF($V1427&gt;$U1427,"Resuelta tarde","Resuelta a tiempo")),IF($U1427="","Sin clasificar",IF(TODAY()&gt;$U1427,"Vencida",IF(TODAY()&gt;=$U1427-1,"Por vencer","En plazo")))))</f>
        <v/>
      </c>
      <c r="Y1427" s="49" t="n"/>
      <c r="Z1427" s="49" t="n"/>
    </row>
    <row r="1428" ht="16" customHeight="1">
      <c r="A1428" s="27">
        <f>IF($C1428="","","N-"&amp;TEXT(ROW()-3,"0000"))</f>
        <v/>
      </c>
      <c r="B1428" s="46" t="n"/>
      <c r="C1428" s="47" t="n"/>
      <c r="D1428" s="27">
        <f>IF($C1428="","",IF(COUNTIFS(ENVIOS!$A$4:$A$3003,$C1428)=0,"NO EXISTE",IF(COUNTIFS(ENVIOS!$A$4:$A$3003,$C1428)&gt;1,"DUPLICADA","OK")))</f>
        <v/>
      </c>
      <c r="E1428" s="22">
        <f>IF($C1428="","",IFERROR(INDEX(ENVIOS!$C$4:$C$3003,MATCH($C1428,ENVIOS!$A$4:$A$3003,0)),"—"))</f>
        <v/>
      </c>
      <c r="F1428" s="22">
        <f>IF($C1428="","",IFERROR(INDEX(ENVIOS!$D$4:$D$3003,MATCH($C1428,ENVIOS!$A$4:$A$3003,0)),"—"))</f>
        <v/>
      </c>
      <c r="G1428" s="22">
        <f>IF($C1428="","",IFERROR(INDEX(ENVIOS!$E$4:$E$3003,MATCH($C1428,ENVIOS!$A$4:$A$3003,0)),"—"))</f>
        <v/>
      </c>
      <c r="H1428" s="22">
        <f>IF($C1428="","",IFERROR(INDEX(ENVIOS!$F$4:$F$3003,MATCH($C1428,ENVIOS!$A$4:$A$3003,0)),"—"))</f>
        <v/>
      </c>
      <c r="I1428" s="27">
        <f>IF($C1428="","",IFERROR(INDEX(ENVIOS!$G$4:$G$3003,MATCH($C1428,ENVIOS!$A$4:$A$3003,0)),"—"))</f>
        <v/>
      </c>
      <c r="J1428" s="48">
        <f>IF($C1428="","",IFERROR(INDEX(ENVIOS!$B$4:$B$3003,MATCH($C1428,ENVIOS!$A$4:$A$3003,0)),""))</f>
        <v/>
      </c>
      <c r="K1428" s="49" t="n"/>
      <c r="L1428" s="27">
        <f>IF($K1428="","",IFERROR(INDEX(CONFIG!$B$4:$B$43,MATCH($K1428,CONFIG!$A$4:$A$43,0)),"Media"))</f>
        <v/>
      </c>
      <c r="M1428" s="27">
        <f>IF($K1428="","",IFERROR(INDEX(CONFIG!$D$4:$D$43,MATCH($K1428,CONFIG!$A$4:$A$43,0)),"NO"))</f>
        <v/>
      </c>
      <c r="N1428" s="49" t="n"/>
      <c r="O1428" s="27">
        <f>IF($N1428="","",IFERROR(INDEX(CONFIG!$G$4:$G$43,MATCH($N1428,CONFIG!$F$4:$F$43,0)),"Por definir"))</f>
        <v/>
      </c>
      <c r="P1428" s="27">
        <f>IF($N1428="","",IFERROR(INDEX(CONFIG!$H$4:$H$43,MATCH($N1428,CONFIG!$F$4:$F$43,0)),"Por definir"))</f>
        <v/>
      </c>
      <c r="Q1428" s="50" t="n"/>
      <c r="R1428" s="51" t="n"/>
      <c r="S1428" s="49" t="n"/>
      <c r="T1428" s="49" t="n"/>
      <c r="U1428" s="48">
        <f>IF(OR($B1428="",$K1428=""),"",WORKDAY($B1428,IFERROR(INDEX(CONFIG!$C$4:$C$43,MATCH($K1428,CONFIG!$A$4:$A$43,0)),3)))</f>
        <v/>
      </c>
      <c r="V1428" s="46" t="n"/>
      <c r="W1428" s="23">
        <f>IF($B1428="","",IF($V1428&lt;&gt;"",$V1428-$B1428,TODAY()-$B1428))</f>
        <v/>
      </c>
      <c r="X1428" s="27">
        <f>IF($C1428="","",IF(IFERROR(INDEX(CONFIG!$K$4:$K$43,MATCH($S1428,CONFIG!$J$4:$J$43,0)),"NO")="SÍ",IF(OR($V1428="",$U1428=""),"Resuelta",IF($V1428&gt;$U1428,"Resuelta tarde","Resuelta a tiempo")),IF($U1428="","Sin clasificar",IF(TODAY()&gt;$U1428,"Vencida",IF(TODAY()&gt;=$U1428-1,"Por vencer","En plazo")))))</f>
        <v/>
      </c>
      <c r="Y1428" s="49" t="n"/>
      <c r="Z1428" s="49" t="n"/>
    </row>
    <row r="1429" ht="16" customHeight="1">
      <c r="A1429" s="27">
        <f>IF($C1429="","","N-"&amp;TEXT(ROW()-3,"0000"))</f>
        <v/>
      </c>
      <c r="B1429" s="46" t="n"/>
      <c r="C1429" s="47" t="n"/>
      <c r="D1429" s="27">
        <f>IF($C1429="","",IF(COUNTIFS(ENVIOS!$A$4:$A$3003,$C1429)=0,"NO EXISTE",IF(COUNTIFS(ENVIOS!$A$4:$A$3003,$C1429)&gt;1,"DUPLICADA","OK")))</f>
        <v/>
      </c>
      <c r="E1429" s="22">
        <f>IF($C1429="","",IFERROR(INDEX(ENVIOS!$C$4:$C$3003,MATCH($C1429,ENVIOS!$A$4:$A$3003,0)),"—"))</f>
        <v/>
      </c>
      <c r="F1429" s="22">
        <f>IF($C1429="","",IFERROR(INDEX(ENVIOS!$D$4:$D$3003,MATCH($C1429,ENVIOS!$A$4:$A$3003,0)),"—"))</f>
        <v/>
      </c>
      <c r="G1429" s="22">
        <f>IF($C1429="","",IFERROR(INDEX(ENVIOS!$E$4:$E$3003,MATCH($C1429,ENVIOS!$A$4:$A$3003,0)),"—"))</f>
        <v/>
      </c>
      <c r="H1429" s="22">
        <f>IF($C1429="","",IFERROR(INDEX(ENVIOS!$F$4:$F$3003,MATCH($C1429,ENVIOS!$A$4:$A$3003,0)),"—"))</f>
        <v/>
      </c>
      <c r="I1429" s="27">
        <f>IF($C1429="","",IFERROR(INDEX(ENVIOS!$G$4:$G$3003,MATCH($C1429,ENVIOS!$A$4:$A$3003,0)),"—"))</f>
        <v/>
      </c>
      <c r="J1429" s="48">
        <f>IF($C1429="","",IFERROR(INDEX(ENVIOS!$B$4:$B$3003,MATCH($C1429,ENVIOS!$A$4:$A$3003,0)),""))</f>
        <v/>
      </c>
      <c r="K1429" s="49" t="n"/>
      <c r="L1429" s="27">
        <f>IF($K1429="","",IFERROR(INDEX(CONFIG!$B$4:$B$43,MATCH($K1429,CONFIG!$A$4:$A$43,0)),"Media"))</f>
        <v/>
      </c>
      <c r="M1429" s="27">
        <f>IF($K1429="","",IFERROR(INDEX(CONFIG!$D$4:$D$43,MATCH($K1429,CONFIG!$A$4:$A$43,0)),"NO"))</f>
        <v/>
      </c>
      <c r="N1429" s="49" t="n"/>
      <c r="O1429" s="27">
        <f>IF($N1429="","",IFERROR(INDEX(CONFIG!$G$4:$G$43,MATCH($N1429,CONFIG!$F$4:$F$43,0)),"Por definir"))</f>
        <v/>
      </c>
      <c r="P1429" s="27">
        <f>IF($N1429="","",IFERROR(INDEX(CONFIG!$H$4:$H$43,MATCH($N1429,CONFIG!$F$4:$F$43,0)),"Por definir"))</f>
        <v/>
      </c>
      <c r="Q1429" s="50" t="n"/>
      <c r="R1429" s="51" t="n"/>
      <c r="S1429" s="49" t="n"/>
      <c r="T1429" s="49" t="n"/>
      <c r="U1429" s="48">
        <f>IF(OR($B1429="",$K1429=""),"",WORKDAY($B1429,IFERROR(INDEX(CONFIG!$C$4:$C$43,MATCH($K1429,CONFIG!$A$4:$A$43,0)),3)))</f>
        <v/>
      </c>
      <c r="V1429" s="46" t="n"/>
      <c r="W1429" s="23">
        <f>IF($B1429="","",IF($V1429&lt;&gt;"",$V1429-$B1429,TODAY()-$B1429))</f>
        <v/>
      </c>
      <c r="X1429" s="27">
        <f>IF($C1429="","",IF(IFERROR(INDEX(CONFIG!$K$4:$K$43,MATCH($S1429,CONFIG!$J$4:$J$43,0)),"NO")="SÍ",IF(OR($V1429="",$U1429=""),"Resuelta",IF($V1429&gt;$U1429,"Resuelta tarde","Resuelta a tiempo")),IF($U1429="","Sin clasificar",IF(TODAY()&gt;$U1429,"Vencida",IF(TODAY()&gt;=$U1429-1,"Por vencer","En plazo")))))</f>
        <v/>
      </c>
      <c r="Y1429" s="49" t="n"/>
      <c r="Z1429" s="49" t="n"/>
    </row>
    <row r="1430" ht="16" customHeight="1">
      <c r="A1430" s="27">
        <f>IF($C1430="","","N-"&amp;TEXT(ROW()-3,"0000"))</f>
        <v/>
      </c>
      <c r="B1430" s="46" t="n"/>
      <c r="C1430" s="47" t="n"/>
      <c r="D1430" s="27">
        <f>IF($C1430="","",IF(COUNTIFS(ENVIOS!$A$4:$A$3003,$C1430)=0,"NO EXISTE",IF(COUNTIFS(ENVIOS!$A$4:$A$3003,$C1430)&gt;1,"DUPLICADA","OK")))</f>
        <v/>
      </c>
      <c r="E1430" s="22">
        <f>IF($C1430="","",IFERROR(INDEX(ENVIOS!$C$4:$C$3003,MATCH($C1430,ENVIOS!$A$4:$A$3003,0)),"—"))</f>
        <v/>
      </c>
      <c r="F1430" s="22">
        <f>IF($C1430="","",IFERROR(INDEX(ENVIOS!$D$4:$D$3003,MATCH($C1430,ENVIOS!$A$4:$A$3003,0)),"—"))</f>
        <v/>
      </c>
      <c r="G1430" s="22">
        <f>IF($C1430="","",IFERROR(INDEX(ENVIOS!$E$4:$E$3003,MATCH($C1430,ENVIOS!$A$4:$A$3003,0)),"—"))</f>
        <v/>
      </c>
      <c r="H1430" s="22">
        <f>IF($C1430="","",IFERROR(INDEX(ENVIOS!$F$4:$F$3003,MATCH($C1430,ENVIOS!$A$4:$A$3003,0)),"—"))</f>
        <v/>
      </c>
      <c r="I1430" s="27">
        <f>IF($C1430="","",IFERROR(INDEX(ENVIOS!$G$4:$G$3003,MATCH($C1430,ENVIOS!$A$4:$A$3003,0)),"—"))</f>
        <v/>
      </c>
      <c r="J1430" s="48">
        <f>IF($C1430="","",IFERROR(INDEX(ENVIOS!$B$4:$B$3003,MATCH($C1430,ENVIOS!$A$4:$A$3003,0)),""))</f>
        <v/>
      </c>
      <c r="K1430" s="49" t="n"/>
      <c r="L1430" s="27">
        <f>IF($K1430="","",IFERROR(INDEX(CONFIG!$B$4:$B$43,MATCH($K1430,CONFIG!$A$4:$A$43,0)),"Media"))</f>
        <v/>
      </c>
      <c r="M1430" s="27">
        <f>IF($K1430="","",IFERROR(INDEX(CONFIG!$D$4:$D$43,MATCH($K1430,CONFIG!$A$4:$A$43,0)),"NO"))</f>
        <v/>
      </c>
      <c r="N1430" s="49" t="n"/>
      <c r="O1430" s="27">
        <f>IF($N1430="","",IFERROR(INDEX(CONFIG!$G$4:$G$43,MATCH($N1430,CONFIG!$F$4:$F$43,0)),"Por definir"))</f>
        <v/>
      </c>
      <c r="P1430" s="27">
        <f>IF($N1430="","",IFERROR(INDEX(CONFIG!$H$4:$H$43,MATCH($N1430,CONFIG!$F$4:$F$43,0)),"Por definir"))</f>
        <v/>
      </c>
      <c r="Q1430" s="50" t="n"/>
      <c r="R1430" s="51" t="n"/>
      <c r="S1430" s="49" t="n"/>
      <c r="T1430" s="49" t="n"/>
      <c r="U1430" s="48">
        <f>IF(OR($B1430="",$K1430=""),"",WORKDAY($B1430,IFERROR(INDEX(CONFIG!$C$4:$C$43,MATCH($K1430,CONFIG!$A$4:$A$43,0)),3)))</f>
        <v/>
      </c>
      <c r="V1430" s="46" t="n"/>
      <c r="W1430" s="23">
        <f>IF($B1430="","",IF($V1430&lt;&gt;"",$V1430-$B1430,TODAY()-$B1430))</f>
        <v/>
      </c>
      <c r="X1430" s="27">
        <f>IF($C1430="","",IF(IFERROR(INDEX(CONFIG!$K$4:$K$43,MATCH($S1430,CONFIG!$J$4:$J$43,0)),"NO")="SÍ",IF(OR($V1430="",$U1430=""),"Resuelta",IF($V1430&gt;$U1430,"Resuelta tarde","Resuelta a tiempo")),IF($U1430="","Sin clasificar",IF(TODAY()&gt;$U1430,"Vencida",IF(TODAY()&gt;=$U1430-1,"Por vencer","En plazo")))))</f>
        <v/>
      </c>
      <c r="Y1430" s="49" t="n"/>
      <c r="Z1430" s="49" t="n"/>
    </row>
    <row r="1431" ht="16" customHeight="1">
      <c r="A1431" s="27">
        <f>IF($C1431="","","N-"&amp;TEXT(ROW()-3,"0000"))</f>
        <v/>
      </c>
      <c r="B1431" s="46" t="n"/>
      <c r="C1431" s="47" t="n"/>
      <c r="D1431" s="27">
        <f>IF($C1431="","",IF(COUNTIFS(ENVIOS!$A$4:$A$3003,$C1431)=0,"NO EXISTE",IF(COUNTIFS(ENVIOS!$A$4:$A$3003,$C1431)&gt;1,"DUPLICADA","OK")))</f>
        <v/>
      </c>
      <c r="E1431" s="22">
        <f>IF($C1431="","",IFERROR(INDEX(ENVIOS!$C$4:$C$3003,MATCH($C1431,ENVIOS!$A$4:$A$3003,0)),"—"))</f>
        <v/>
      </c>
      <c r="F1431" s="22">
        <f>IF($C1431="","",IFERROR(INDEX(ENVIOS!$D$4:$D$3003,MATCH($C1431,ENVIOS!$A$4:$A$3003,0)),"—"))</f>
        <v/>
      </c>
      <c r="G1431" s="22">
        <f>IF($C1431="","",IFERROR(INDEX(ENVIOS!$E$4:$E$3003,MATCH($C1431,ENVIOS!$A$4:$A$3003,0)),"—"))</f>
        <v/>
      </c>
      <c r="H1431" s="22">
        <f>IF($C1431="","",IFERROR(INDEX(ENVIOS!$F$4:$F$3003,MATCH($C1431,ENVIOS!$A$4:$A$3003,0)),"—"))</f>
        <v/>
      </c>
      <c r="I1431" s="27">
        <f>IF($C1431="","",IFERROR(INDEX(ENVIOS!$G$4:$G$3003,MATCH($C1431,ENVIOS!$A$4:$A$3003,0)),"—"))</f>
        <v/>
      </c>
      <c r="J1431" s="48">
        <f>IF($C1431="","",IFERROR(INDEX(ENVIOS!$B$4:$B$3003,MATCH($C1431,ENVIOS!$A$4:$A$3003,0)),""))</f>
        <v/>
      </c>
      <c r="K1431" s="49" t="n"/>
      <c r="L1431" s="27">
        <f>IF($K1431="","",IFERROR(INDEX(CONFIG!$B$4:$B$43,MATCH($K1431,CONFIG!$A$4:$A$43,0)),"Media"))</f>
        <v/>
      </c>
      <c r="M1431" s="27">
        <f>IF($K1431="","",IFERROR(INDEX(CONFIG!$D$4:$D$43,MATCH($K1431,CONFIG!$A$4:$A$43,0)),"NO"))</f>
        <v/>
      </c>
      <c r="N1431" s="49" t="n"/>
      <c r="O1431" s="27">
        <f>IF($N1431="","",IFERROR(INDEX(CONFIG!$G$4:$G$43,MATCH($N1431,CONFIG!$F$4:$F$43,0)),"Por definir"))</f>
        <v/>
      </c>
      <c r="P1431" s="27">
        <f>IF($N1431="","",IFERROR(INDEX(CONFIG!$H$4:$H$43,MATCH($N1431,CONFIG!$F$4:$F$43,0)),"Por definir"))</f>
        <v/>
      </c>
      <c r="Q1431" s="50" t="n"/>
      <c r="R1431" s="51" t="n"/>
      <c r="S1431" s="49" t="n"/>
      <c r="T1431" s="49" t="n"/>
      <c r="U1431" s="48">
        <f>IF(OR($B1431="",$K1431=""),"",WORKDAY($B1431,IFERROR(INDEX(CONFIG!$C$4:$C$43,MATCH($K1431,CONFIG!$A$4:$A$43,0)),3)))</f>
        <v/>
      </c>
      <c r="V1431" s="46" t="n"/>
      <c r="W1431" s="23">
        <f>IF($B1431="","",IF($V1431&lt;&gt;"",$V1431-$B1431,TODAY()-$B1431))</f>
        <v/>
      </c>
      <c r="X1431" s="27">
        <f>IF($C1431="","",IF(IFERROR(INDEX(CONFIG!$K$4:$K$43,MATCH($S1431,CONFIG!$J$4:$J$43,0)),"NO")="SÍ",IF(OR($V1431="",$U1431=""),"Resuelta",IF($V1431&gt;$U1431,"Resuelta tarde","Resuelta a tiempo")),IF($U1431="","Sin clasificar",IF(TODAY()&gt;$U1431,"Vencida",IF(TODAY()&gt;=$U1431-1,"Por vencer","En plazo")))))</f>
        <v/>
      </c>
      <c r="Y1431" s="49" t="n"/>
      <c r="Z1431" s="49" t="n"/>
    </row>
    <row r="1432" ht="16" customHeight="1">
      <c r="A1432" s="27">
        <f>IF($C1432="","","N-"&amp;TEXT(ROW()-3,"0000"))</f>
        <v/>
      </c>
      <c r="B1432" s="46" t="n"/>
      <c r="C1432" s="47" t="n"/>
      <c r="D1432" s="27">
        <f>IF($C1432="","",IF(COUNTIFS(ENVIOS!$A$4:$A$3003,$C1432)=0,"NO EXISTE",IF(COUNTIFS(ENVIOS!$A$4:$A$3003,$C1432)&gt;1,"DUPLICADA","OK")))</f>
        <v/>
      </c>
      <c r="E1432" s="22">
        <f>IF($C1432="","",IFERROR(INDEX(ENVIOS!$C$4:$C$3003,MATCH($C1432,ENVIOS!$A$4:$A$3003,0)),"—"))</f>
        <v/>
      </c>
      <c r="F1432" s="22">
        <f>IF($C1432="","",IFERROR(INDEX(ENVIOS!$D$4:$D$3003,MATCH($C1432,ENVIOS!$A$4:$A$3003,0)),"—"))</f>
        <v/>
      </c>
      <c r="G1432" s="22">
        <f>IF($C1432="","",IFERROR(INDEX(ENVIOS!$E$4:$E$3003,MATCH($C1432,ENVIOS!$A$4:$A$3003,0)),"—"))</f>
        <v/>
      </c>
      <c r="H1432" s="22">
        <f>IF($C1432="","",IFERROR(INDEX(ENVIOS!$F$4:$F$3003,MATCH($C1432,ENVIOS!$A$4:$A$3003,0)),"—"))</f>
        <v/>
      </c>
      <c r="I1432" s="27">
        <f>IF($C1432="","",IFERROR(INDEX(ENVIOS!$G$4:$G$3003,MATCH($C1432,ENVIOS!$A$4:$A$3003,0)),"—"))</f>
        <v/>
      </c>
      <c r="J1432" s="48">
        <f>IF($C1432="","",IFERROR(INDEX(ENVIOS!$B$4:$B$3003,MATCH($C1432,ENVIOS!$A$4:$A$3003,0)),""))</f>
        <v/>
      </c>
      <c r="K1432" s="49" t="n"/>
      <c r="L1432" s="27">
        <f>IF($K1432="","",IFERROR(INDEX(CONFIG!$B$4:$B$43,MATCH($K1432,CONFIG!$A$4:$A$43,0)),"Media"))</f>
        <v/>
      </c>
      <c r="M1432" s="27">
        <f>IF($K1432="","",IFERROR(INDEX(CONFIG!$D$4:$D$43,MATCH($K1432,CONFIG!$A$4:$A$43,0)),"NO"))</f>
        <v/>
      </c>
      <c r="N1432" s="49" t="n"/>
      <c r="O1432" s="27">
        <f>IF($N1432="","",IFERROR(INDEX(CONFIG!$G$4:$G$43,MATCH($N1432,CONFIG!$F$4:$F$43,0)),"Por definir"))</f>
        <v/>
      </c>
      <c r="P1432" s="27">
        <f>IF($N1432="","",IFERROR(INDEX(CONFIG!$H$4:$H$43,MATCH($N1432,CONFIG!$F$4:$F$43,0)),"Por definir"))</f>
        <v/>
      </c>
      <c r="Q1432" s="50" t="n"/>
      <c r="R1432" s="51" t="n"/>
      <c r="S1432" s="49" t="n"/>
      <c r="T1432" s="49" t="n"/>
      <c r="U1432" s="48">
        <f>IF(OR($B1432="",$K1432=""),"",WORKDAY($B1432,IFERROR(INDEX(CONFIG!$C$4:$C$43,MATCH($K1432,CONFIG!$A$4:$A$43,0)),3)))</f>
        <v/>
      </c>
      <c r="V1432" s="46" t="n"/>
      <c r="W1432" s="23">
        <f>IF($B1432="","",IF($V1432&lt;&gt;"",$V1432-$B1432,TODAY()-$B1432))</f>
        <v/>
      </c>
      <c r="X1432" s="27">
        <f>IF($C1432="","",IF(IFERROR(INDEX(CONFIG!$K$4:$K$43,MATCH($S1432,CONFIG!$J$4:$J$43,0)),"NO")="SÍ",IF(OR($V1432="",$U1432=""),"Resuelta",IF($V1432&gt;$U1432,"Resuelta tarde","Resuelta a tiempo")),IF($U1432="","Sin clasificar",IF(TODAY()&gt;$U1432,"Vencida",IF(TODAY()&gt;=$U1432-1,"Por vencer","En plazo")))))</f>
        <v/>
      </c>
      <c r="Y1432" s="49" t="n"/>
      <c r="Z1432" s="49" t="n"/>
    </row>
    <row r="1433" ht="16" customHeight="1">
      <c r="A1433" s="27">
        <f>IF($C1433="","","N-"&amp;TEXT(ROW()-3,"0000"))</f>
        <v/>
      </c>
      <c r="B1433" s="46" t="n"/>
      <c r="C1433" s="47" t="n"/>
      <c r="D1433" s="27">
        <f>IF($C1433="","",IF(COUNTIFS(ENVIOS!$A$4:$A$3003,$C1433)=0,"NO EXISTE",IF(COUNTIFS(ENVIOS!$A$4:$A$3003,$C1433)&gt;1,"DUPLICADA","OK")))</f>
        <v/>
      </c>
      <c r="E1433" s="22">
        <f>IF($C1433="","",IFERROR(INDEX(ENVIOS!$C$4:$C$3003,MATCH($C1433,ENVIOS!$A$4:$A$3003,0)),"—"))</f>
        <v/>
      </c>
      <c r="F1433" s="22">
        <f>IF($C1433="","",IFERROR(INDEX(ENVIOS!$D$4:$D$3003,MATCH($C1433,ENVIOS!$A$4:$A$3003,0)),"—"))</f>
        <v/>
      </c>
      <c r="G1433" s="22">
        <f>IF($C1433="","",IFERROR(INDEX(ENVIOS!$E$4:$E$3003,MATCH($C1433,ENVIOS!$A$4:$A$3003,0)),"—"))</f>
        <v/>
      </c>
      <c r="H1433" s="22">
        <f>IF($C1433="","",IFERROR(INDEX(ENVIOS!$F$4:$F$3003,MATCH($C1433,ENVIOS!$A$4:$A$3003,0)),"—"))</f>
        <v/>
      </c>
      <c r="I1433" s="27">
        <f>IF($C1433="","",IFERROR(INDEX(ENVIOS!$G$4:$G$3003,MATCH($C1433,ENVIOS!$A$4:$A$3003,0)),"—"))</f>
        <v/>
      </c>
      <c r="J1433" s="48">
        <f>IF($C1433="","",IFERROR(INDEX(ENVIOS!$B$4:$B$3003,MATCH($C1433,ENVIOS!$A$4:$A$3003,0)),""))</f>
        <v/>
      </c>
      <c r="K1433" s="49" t="n"/>
      <c r="L1433" s="27">
        <f>IF($K1433="","",IFERROR(INDEX(CONFIG!$B$4:$B$43,MATCH($K1433,CONFIG!$A$4:$A$43,0)),"Media"))</f>
        <v/>
      </c>
      <c r="M1433" s="27">
        <f>IF($K1433="","",IFERROR(INDEX(CONFIG!$D$4:$D$43,MATCH($K1433,CONFIG!$A$4:$A$43,0)),"NO"))</f>
        <v/>
      </c>
      <c r="N1433" s="49" t="n"/>
      <c r="O1433" s="27">
        <f>IF($N1433="","",IFERROR(INDEX(CONFIG!$G$4:$G$43,MATCH($N1433,CONFIG!$F$4:$F$43,0)),"Por definir"))</f>
        <v/>
      </c>
      <c r="P1433" s="27">
        <f>IF($N1433="","",IFERROR(INDEX(CONFIG!$H$4:$H$43,MATCH($N1433,CONFIG!$F$4:$F$43,0)),"Por definir"))</f>
        <v/>
      </c>
      <c r="Q1433" s="50" t="n"/>
      <c r="R1433" s="51" t="n"/>
      <c r="S1433" s="49" t="n"/>
      <c r="T1433" s="49" t="n"/>
      <c r="U1433" s="48">
        <f>IF(OR($B1433="",$K1433=""),"",WORKDAY($B1433,IFERROR(INDEX(CONFIG!$C$4:$C$43,MATCH($K1433,CONFIG!$A$4:$A$43,0)),3)))</f>
        <v/>
      </c>
      <c r="V1433" s="46" t="n"/>
      <c r="W1433" s="23">
        <f>IF($B1433="","",IF($V1433&lt;&gt;"",$V1433-$B1433,TODAY()-$B1433))</f>
        <v/>
      </c>
      <c r="X1433" s="27">
        <f>IF($C1433="","",IF(IFERROR(INDEX(CONFIG!$K$4:$K$43,MATCH($S1433,CONFIG!$J$4:$J$43,0)),"NO")="SÍ",IF(OR($V1433="",$U1433=""),"Resuelta",IF($V1433&gt;$U1433,"Resuelta tarde","Resuelta a tiempo")),IF($U1433="","Sin clasificar",IF(TODAY()&gt;$U1433,"Vencida",IF(TODAY()&gt;=$U1433-1,"Por vencer","En plazo")))))</f>
        <v/>
      </c>
      <c r="Y1433" s="49" t="n"/>
      <c r="Z1433" s="49" t="n"/>
    </row>
    <row r="1434" ht="16" customHeight="1">
      <c r="A1434" s="27">
        <f>IF($C1434="","","N-"&amp;TEXT(ROW()-3,"0000"))</f>
        <v/>
      </c>
      <c r="B1434" s="46" t="n"/>
      <c r="C1434" s="47" t="n"/>
      <c r="D1434" s="27">
        <f>IF($C1434="","",IF(COUNTIFS(ENVIOS!$A$4:$A$3003,$C1434)=0,"NO EXISTE",IF(COUNTIFS(ENVIOS!$A$4:$A$3003,$C1434)&gt;1,"DUPLICADA","OK")))</f>
        <v/>
      </c>
      <c r="E1434" s="22">
        <f>IF($C1434="","",IFERROR(INDEX(ENVIOS!$C$4:$C$3003,MATCH($C1434,ENVIOS!$A$4:$A$3003,0)),"—"))</f>
        <v/>
      </c>
      <c r="F1434" s="22">
        <f>IF($C1434="","",IFERROR(INDEX(ENVIOS!$D$4:$D$3003,MATCH($C1434,ENVIOS!$A$4:$A$3003,0)),"—"))</f>
        <v/>
      </c>
      <c r="G1434" s="22">
        <f>IF($C1434="","",IFERROR(INDEX(ENVIOS!$E$4:$E$3003,MATCH($C1434,ENVIOS!$A$4:$A$3003,0)),"—"))</f>
        <v/>
      </c>
      <c r="H1434" s="22">
        <f>IF($C1434="","",IFERROR(INDEX(ENVIOS!$F$4:$F$3003,MATCH($C1434,ENVIOS!$A$4:$A$3003,0)),"—"))</f>
        <v/>
      </c>
      <c r="I1434" s="27">
        <f>IF($C1434="","",IFERROR(INDEX(ENVIOS!$G$4:$G$3003,MATCH($C1434,ENVIOS!$A$4:$A$3003,0)),"—"))</f>
        <v/>
      </c>
      <c r="J1434" s="48">
        <f>IF($C1434="","",IFERROR(INDEX(ENVIOS!$B$4:$B$3003,MATCH($C1434,ENVIOS!$A$4:$A$3003,0)),""))</f>
        <v/>
      </c>
      <c r="K1434" s="49" t="n"/>
      <c r="L1434" s="27">
        <f>IF($K1434="","",IFERROR(INDEX(CONFIG!$B$4:$B$43,MATCH($K1434,CONFIG!$A$4:$A$43,0)),"Media"))</f>
        <v/>
      </c>
      <c r="M1434" s="27">
        <f>IF($K1434="","",IFERROR(INDEX(CONFIG!$D$4:$D$43,MATCH($K1434,CONFIG!$A$4:$A$43,0)),"NO"))</f>
        <v/>
      </c>
      <c r="N1434" s="49" t="n"/>
      <c r="O1434" s="27">
        <f>IF($N1434="","",IFERROR(INDEX(CONFIG!$G$4:$G$43,MATCH($N1434,CONFIG!$F$4:$F$43,0)),"Por definir"))</f>
        <v/>
      </c>
      <c r="P1434" s="27">
        <f>IF($N1434="","",IFERROR(INDEX(CONFIG!$H$4:$H$43,MATCH($N1434,CONFIG!$F$4:$F$43,0)),"Por definir"))</f>
        <v/>
      </c>
      <c r="Q1434" s="50" t="n"/>
      <c r="R1434" s="51" t="n"/>
      <c r="S1434" s="49" t="n"/>
      <c r="T1434" s="49" t="n"/>
      <c r="U1434" s="48">
        <f>IF(OR($B1434="",$K1434=""),"",WORKDAY($B1434,IFERROR(INDEX(CONFIG!$C$4:$C$43,MATCH($K1434,CONFIG!$A$4:$A$43,0)),3)))</f>
        <v/>
      </c>
      <c r="V1434" s="46" t="n"/>
      <c r="W1434" s="23">
        <f>IF($B1434="","",IF($V1434&lt;&gt;"",$V1434-$B1434,TODAY()-$B1434))</f>
        <v/>
      </c>
      <c r="X1434" s="27">
        <f>IF($C1434="","",IF(IFERROR(INDEX(CONFIG!$K$4:$K$43,MATCH($S1434,CONFIG!$J$4:$J$43,0)),"NO")="SÍ",IF(OR($V1434="",$U1434=""),"Resuelta",IF($V1434&gt;$U1434,"Resuelta tarde","Resuelta a tiempo")),IF($U1434="","Sin clasificar",IF(TODAY()&gt;$U1434,"Vencida",IF(TODAY()&gt;=$U1434-1,"Por vencer","En plazo")))))</f>
        <v/>
      </c>
      <c r="Y1434" s="49" t="n"/>
      <c r="Z1434" s="49" t="n"/>
    </row>
    <row r="1435" ht="16" customHeight="1">
      <c r="A1435" s="27">
        <f>IF($C1435="","","N-"&amp;TEXT(ROW()-3,"0000"))</f>
        <v/>
      </c>
      <c r="B1435" s="46" t="n"/>
      <c r="C1435" s="47" t="n"/>
      <c r="D1435" s="27">
        <f>IF($C1435="","",IF(COUNTIFS(ENVIOS!$A$4:$A$3003,$C1435)=0,"NO EXISTE",IF(COUNTIFS(ENVIOS!$A$4:$A$3003,$C1435)&gt;1,"DUPLICADA","OK")))</f>
        <v/>
      </c>
      <c r="E1435" s="22">
        <f>IF($C1435="","",IFERROR(INDEX(ENVIOS!$C$4:$C$3003,MATCH($C1435,ENVIOS!$A$4:$A$3003,0)),"—"))</f>
        <v/>
      </c>
      <c r="F1435" s="22">
        <f>IF($C1435="","",IFERROR(INDEX(ENVIOS!$D$4:$D$3003,MATCH($C1435,ENVIOS!$A$4:$A$3003,0)),"—"))</f>
        <v/>
      </c>
      <c r="G1435" s="22">
        <f>IF($C1435="","",IFERROR(INDEX(ENVIOS!$E$4:$E$3003,MATCH($C1435,ENVIOS!$A$4:$A$3003,0)),"—"))</f>
        <v/>
      </c>
      <c r="H1435" s="22">
        <f>IF($C1435="","",IFERROR(INDEX(ENVIOS!$F$4:$F$3003,MATCH($C1435,ENVIOS!$A$4:$A$3003,0)),"—"))</f>
        <v/>
      </c>
      <c r="I1435" s="27">
        <f>IF($C1435="","",IFERROR(INDEX(ENVIOS!$G$4:$G$3003,MATCH($C1435,ENVIOS!$A$4:$A$3003,0)),"—"))</f>
        <v/>
      </c>
      <c r="J1435" s="48">
        <f>IF($C1435="","",IFERROR(INDEX(ENVIOS!$B$4:$B$3003,MATCH($C1435,ENVIOS!$A$4:$A$3003,0)),""))</f>
        <v/>
      </c>
      <c r="K1435" s="49" t="n"/>
      <c r="L1435" s="27">
        <f>IF($K1435="","",IFERROR(INDEX(CONFIG!$B$4:$B$43,MATCH($K1435,CONFIG!$A$4:$A$43,0)),"Media"))</f>
        <v/>
      </c>
      <c r="M1435" s="27">
        <f>IF($K1435="","",IFERROR(INDEX(CONFIG!$D$4:$D$43,MATCH($K1435,CONFIG!$A$4:$A$43,0)),"NO"))</f>
        <v/>
      </c>
      <c r="N1435" s="49" t="n"/>
      <c r="O1435" s="27">
        <f>IF($N1435="","",IFERROR(INDEX(CONFIG!$G$4:$G$43,MATCH($N1435,CONFIG!$F$4:$F$43,0)),"Por definir"))</f>
        <v/>
      </c>
      <c r="P1435" s="27">
        <f>IF($N1435="","",IFERROR(INDEX(CONFIG!$H$4:$H$43,MATCH($N1435,CONFIG!$F$4:$F$43,0)),"Por definir"))</f>
        <v/>
      </c>
      <c r="Q1435" s="50" t="n"/>
      <c r="R1435" s="51" t="n"/>
      <c r="S1435" s="49" t="n"/>
      <c r="T1435" s="49" t="n"/>
      <c r="U1435" s="48">
        <f>IF(OR($B1435="",$K1435=""),"",WORKDAY($B1435,IFERROR(INDEX(CONFIG!$C$4:$C$43,MATCH($K1435,CONFIG!$A$4:$A$43,0)),3)))</f>
        <v/>
      </c>
      <c r="V1435" s="46" t="n"/>
      <c r="W1435" s="23">
        <f>IF($B1435="","",IF($V1435&lt;&gt;"",$V1435-$B1435,TODAY()-$B1435))</f>
        <v/>
      </c>
      <c r="X1435" s="27">
        <f>IF($C1435="","",IF(IFERROR(INDEX(CONFIG!$K$4:$K$43,MATCH($S1435,CONFIG!$J$4:$J$43,0)),"NO")="SÍ",IF(OR($V1435="",$U1435=""),"Resuelta",IF($V1435&gt;$U1435,"Resuelta tarde","Resuelta a tiempo")),IF($U1435="","Sin clasificar",IF(TODAY()&gt;$U1435,"Vencida",IF(TODAY()&gt;=$U1435-1,"Por vencer","En plazo")))))</f>
        <v/>
      </c>
      <c r="Y1435" s="49" t="n"/>
      <c r="Z1435" s="49" t="n"/>
    </row>
    <row r="1436" ht="16" customHeight="1">
      <c r="A1436" s="27">
        <f>IF($C1436="","","N-"&amp;TEXT(ROW()-3,"0000"))</f>
        <v/>
      </c>
      <c r="B1436" s="46" t="n"/>
      <c r="C1436" s="47" t="n"/>
      <c r="D1436" s="27">
        <f>IF($C1436="","",IF(COUNTIFS(ENVIOS!$A$4:$A$3003,$C1436)=0,"NO EXISTE",IF(COUNTIFS(ENVIOS!$A$4:$A$3003,$C1436)&gt;1,"DUPLICADA","OK")))</f>
        <v/>
      </c>
      <c r="E1436" s="22">
        <f>IF($C1436="","",IFERROR(INDEX(ENVIOS!$C$4:$C$3003,MATCH($C1436,ENVIOS!$A$4:$A$3003,0)),"—"))</f>
        <v/>
      </c>
      <c r="F1436" s="22">
        <f>IF($C1436="","",IFERROR(INDEX(ENVIOS!$D$4:$D$3003,MATCH($C1436,ENVIOS!$A$4:$A$3003,0)),"—"))</f>
        <v/>
      </c>
      <c r="G1436" s="22">
        <f>IF($C1436="","",IFERROR(INDEX(ENVIOS!$E$4:$E$3003,MATCH($C1436,ENVIOS!$A$4:$A$3003,0)),"—"))</f>
        <v/>
      </c>
      <c r="H1436" s="22">
        <f>IF($C1436="","",IFERROR(INDEX(ENVIOS!$F$4:$F$3003,MATCH($C1436,ENVIOS!$A$4:$A$3003,0)),"—"))</f>
        <v/>
      </c>
      <c r="I1436" s="27">
        <f>IF($C1436="","",IFERROR(INDEX(ENVIOS!$G$4:$G$3003,MATCH($C1436,ENVIOS!$A$4:$A$3003,0)),"—"))</f>
        <v/>
      </c>
      <c r="J1436" s="48">
        <f>IF($C1436="","",IFERROR(INDEX(ENVIOS!$B$4:$B$3003,MATCH($C1436,ENVIOS!$A$4:$A$3003,0)),""))</f>
        <v/>
      </c>
      <c r="K1436" s="49" t="n"/>
      <c r="L1436" s="27">
        <f>IF($K1436="","",IFERROR(INDEX(CONFIG!$B$4:$B$43,MATCH($K1436,CONFIG!$A$4:$A$43,0)),"Media"))</f>
        <v/>
      </c>
      <c r="M1436" s="27">
        <f>IF($K1436="","",IFERROR(INDEX(CONFIG!$D$4:$D$43,MATCH($K1436,CONFIG!$A$4:$A$43,0)),"NO"))</f>
        <v/>
      </c>
      <c r="N1436" s="49" t="n"/>
      <c r="O1436" s="27">
        <f>IF($N1436="","",IFERROR(INDEX(CONFIG!$G$4:$G$43,MATCH($N1436,CONFIG!$F$4:$F$43,0)),"Por definir"))</f>
        <v/>
      </c>
      <c r="P1436" s="27">
        <f>IF($N1436="","",IFERROR(INDEX(CONFIG!$H$4:$H$43,MATCH($N1436,CONFIG!$F$4:$F$43,0)),"Por definir"))</f>
        <v/>
      </c>
      <c r="Q1436" s="50" t="n"/>
      <c r="R1436" s="51" t="n"/>
      <c r="S1436" s="49" t="n"/>
      <c r="T1436" s="49" t="n"/>
      <c r="U1436" s="48">
        <f>IF(OR($B1436="",$K1436=""),"",WORKDAY($B1436,IFERROR(INDEX(CONFIG!$C$4:$C$43,MATCH($K1436,CONFIG!$A$4:$A$43,0)),3)))</f>
        <v/>
      </c>
      <c r="V1436" s="46" t="n"/>
      <c r="W1436" s="23">
        <f>IF($B1436="","",IF($V1436&lt;&gt;"",$V1436-$B1436,TODAY()-$B1436))</f>
        <v/>
      </c>
      <c r="X1436" s="27">
        <f>IF($C1436="","",IF(IFERROR(INDEX(CONFIG!$K$4:$K$43,MATCH($S1436,CONFIG!$J$4:$J$43,0)),"NO")="SÍ",IF(OR($V1436="",$U1436=""),"Resuelta",IF($V1436&gt;$U1436,"Resuelta tarde","Resuelta a tiempo")),IF($U1436="","Sin clasificar",IF(TODAY()&gt;$U1436,"Vencida",IF(TODAY()&gt;=$U1436-1,"Por vencer","En plazo")))))</f>
        <v/>
      </c>
      <c r="Y1436" s="49" t="n"/>
      <c r="Z1436" s="49" t="n"/>
    </row>
    <row r="1437" ht="16" customHeight="1">
      <c r="A1437" s="27">
        <f>IF($C1437="","","N-"&amp;TEXT(ROW()-3,"0000"))</f>
        <v/>
      </c>
      <c r="B1437" s="46" t="n"/>
      <c r="C1437" s="47" t="n"/>
      <c r="D1437" s="27">
        <f>IF($C1437="","",IF(COUNTIFS(ENVIOS!$A$4:$A$3003,$C1437)=0,"NO EXISTE",IF(COUNTIFS(ENVIOS!$A$4:$A$3003,$C1437)&gt;1,"DUPLICADA","OK")))</f>
        <v/>
      </c>
      <c r="E1437" s="22">
        <f>IF($C1437="","",IFERROR(INDEX(ENVIOS!$C$4:$C$3003,MATCH($C1437,ENVIOS!$A$4:$A$3003,0)),"—"))</f>
        <v/>
      </c>
      <c r="F1437" s="22">
        <f>IF($C1437="","",IFERROR(INDEX(ENVIOS!$D$4:$D$3003,MATCH($C1437,ENVIOS!$A$4:$A$3003,0)),"—"))</f>
        <v/>
      </c>
      <c r="G1437" s="22">
        <f>IF($C1437="","",IFERROR(INDEX(ENVIOS!$E$4:$E$3003,MATCH($C1437,ENVIOS!$A$4:$A$3003,0)),"—"))</f>
        <v/>
      </c>
      <c r="H1437" s="22">
        <f>IF($C1437="","",IFERROR(INDEX(ENVIOS!$F$4:$F$3003,MATCH($C1437,ENVIOS!$A$4:$A$3003,0)),"—"))</f>
        <v/>
      </c>
      <c r="I1437" s="27">
        <f>IF($C1437="","",IFERROR(INDEX(ENVIOS!$G$4:$G$3003,MATCH($C1437,ENVIOS!$A$4:$A$3003,0)),"—"))</f>
        <v/>
      </c>
      <c r="J1437" s="48">
        <f>IF($C1437="","",IFERROR(INDEX(ENVIOS!$B$4:$B$3003,MATCH($C1437,ENVIOS!$A$4:$A$3003,0)),""))</f>
        <v/>
      </c>
      <c r="K1437" s="49" t="n"/>
      <c r="L1437" s="27">
        <f>IF($K1437="","",IFERROR(INDEX(CONFIG!$B$4:$B$43,MATCH($K1437,CONFIG!$A$4:$A$43,0)),"Media"))</f>
        <v/>
      </c>
      <c r="M1437" s="27">
        <f>IF($K1437="","",IFERROR(INDEX(CONFIG!$D$4:$D$43,MATCH($K1437,CONFIG!$A$4:$A$43,0)),"NO"))</f>
        <v/>
      </c>
      <c r="N1437" s="49" t="n"/>
      <c r="O1437" s="27">
        <f>IF($N1437="","",IFERROR(INDEX(CONFIG!$G$4:$G$43,MATCH($N1437,CONFIG!$F$4:$F$43,0)),"Por definir"))</f>
        <v/>
      </c>
      <c r="P1437" s="27">
        <f>IF($N1437="","",IFERROR(INDEX(CONFIG!$H$4:$H$43,MATCH($N1437,CONFIG!$F$4:$F$43,0)),"Por definir"))</f>
        <v/>
      </c>
      <c r="Q1437" s="50" t="n"/>
      <c r="R1437" s="51" t="n"/>
      <c r="S1437" s="49" t="n"/>
      <c r="T1437" s="49" t="n"/>
      <c r="U1437" s="48">
        <f>IF(OR($B1437="",$K1437=""),"",WORKDAY($B1437,IFERROR(INDEX(CONFIG!$C$4:$C$43,MATCH($K1437,CONFIG!$A$4:$A$43,0)),3)))</f>
        <v/>
      </c>
      <c r="V1437" s="46" t="n"/>
      <c r="W1437" s="23">
        <f>IF($B1437="","",IF($V1437&lt;&gt;"",$V1437-$B1437,TODAY()-$B1437))</f>
        <v/>
      </c>
      <c r="X1437" s="27">
        <f>IF($C1437="","",IF(IFERROR(INDEX(CONFIG!$K$4:$K$43,MATCH($S1437,CONFIG!$J$4:$J$43,0)),"NO")="SÍ",IF(OR($V1437="",$U1437=""),"Resuelta",IF($V1437&gt;$U1437,"Resuelta tarde","Resuelta a tiempo")),IF($U1437="","Sin clasificar",IF(TODAY()&gt;$U1437,"Vencida",IF(TODAY()&gt;=$U1437-1,"Por vencer","En plazo")))))</f>
        <v/>
      </c>
      <c r="Y1437" s="49" t="n"/>
      <c r="Z1437" s="49" t="n"/>
    </row>
    <row r="1438" ht="16" customHeight="1">
      <c r="A1438" s="27">
        <f>IF($C1438="","","N-"&amp;TEXT(ROW()-3,"0000"))</f>
        <v/>
      </c>
      <c r="B1438" s="46" t="n"/>
      <c r="C1438" s="47" t="n"/>
      <c r="D1438" s="27">
        <f>IF($C1438="","",IF(COUNTIFS(ENVIOS!$A$4:$A$3003,$C1438)=0,"NO EXISTE",IF(COUNTIFS(ENVIOS!$A$4:$A$3003,$C1438)&gt;1,"DUPLICADA","OK")))</f>
        <v/>
      </c>
      <c r="E1438" s="22">
        <f>IF($C1438="","",IFERROR(INDEX(ENVIOS!$C$4:$C$3003,MATCH($C1438,ENVIOS!$A$4:$A$3003,0)),"—"))</f>
        <v/>
      </c>
      <c r="F1438" s="22">
        <f>IF($C1438="","",IFERROR(INDEX(ENVIOS!$D$4:$D$3003,MATCH($C1438,ENVIOS!$A$4:$A$3003,0)),"—"))</f>
        <v/>
      </c>
      <c r="G1438" s="22">
        <f>IF($C1438="","",IFERROR(INDEX(ENVIOS!$E$4:$E$3003,MATCH($C1438,ENVIOS!$A$4:$A$3003,0)),"—"))</f>
        <v/>
      </c>
      <c r="H1438" s="22">
        <f>IF($C1438="","",IFERROR(INDEX(ENVIOS!$F$4:$F$3003,MATCH($C1438,ENVIOS!$A$4:$A$3003,0)),"—"))</f>
        <v/>
      </c>
      <c r="I1438" s="27">
        <f>IF($C1438="","",IFERROR(INDEX(ENVIOS!$G$4:$G$3003,MATCH($C1438,ENVIOS!$A$4:$A$3003,0)),"—"))</f>
        <v/>
      </c>
      <c r="J1438" s="48">
        <f>IF($C1438="","",IFERROR(INDEX(ENVIOS!$B$4:$B$3003,MATCH($C1438,ENVIOS!$A$4:$A$3003,0)),""))</f>
        <v/>
      </c>
      <c r="K1438" s="49" t="n"/>
      <c r="L1438" s="27">
        <f>IF($K1438="","",IFERROR(INDEX(CONFIG!$B$4:$B$43,MATCH($K1438,CONFIG!$A$4:$A$43,0)),"Media"))</f>
        <v/>
      </c>
      <c r="M1438" s="27">
        <f>IF($K1438="","",IFERROR(INDEX(CONFIG!$D$4:$D$43,MATCH($K1438,CONFIG!$A$4:$A$43,0)),"NO"))</f>
        <v/>
      </c>
      <c r="N1438" s="49" t="n"/>
      <c r="O1438" s="27">
        <f>IF($N1438="","",IFERROR(INDEX(CONFIG!$G$4:$G$43,MATCH($N1438,CONFIG!$F$4:$F$43,0)),"Por definir"))</f>
        <v/>
      </c>
      <c r="P1438" s="27">
        <f>IF($N1438="","",IFERROR(INDEX(CONFIG!$H$4:$H$43,MATCH($N1438,CONFIG!$F$4:$F$43,0)),"Por definir"))</f>
        <v/>
      </c>
      <c r="Q1438" s="50" t="n"/>
      <c r="R1438" s="51" t="n"/>
      <c r="S1438" s="49" t="n"/>
      <c r="T1438" s="49" t="n"/>
      <c r="U1438" s="48">
        <f>IF(OR($B1438="",$K1438=""),"",WORKDAY($B1438,IFERROR(INDEX(CONFIG!$C$4:$C$43,MATCH($K1438,CONFIG!$A$4:$A$43,0)),3)))</f>
        <v/>
      </c>
      <c r="V1438" s="46" t="n"/>
      <c r="W1438" s="23">
        <f>IF($B1438="","",IF($V1438&lt;&gt;"",$V1438-$B1438,TODAY()-$B1438))</f>
        <v/>
      </c>
      <c r="X1438" s="27">
        <f>IF($C1438="","",IF(IFERROR(INDEX(CONFIG!$K$4:$K$43,MATCH($S1438,CONFIG!$J$4:$J$43,0)),"NO")="SÍ",IF(OR($V1438="",$U1438=""),"Resuelta",IF($V1438&gt;$U1438,"Resuelta tarde","Resuelta a tiempo")),IF($U1438="","Sin clasificar",IF(TODAY()&gt;$U1438,"Vencida",IF(TODAY()&gt;=$U1438-1,"Por vencer","En plazo")))))</f>
        <v/>
      </c>
      <c r="Y1438" s="49" t="n"/>
      <c r="Z1438" s="49" t="n"/>
    </row>
    <row r="1439" ht="16" customHeight="1">
      <c r="A1439" s="27">
        <f>IF($C1439="","","N-"&amp;TEXT(ROW()-3,"0000"))</f>
        <v/>
      </c>
      <c r="B1439" s="46" t="n"/>
      <c r="C1439" s="47" t="n"/>
      <c r="D1439" s="27">
        <f>IF($C1439="","",IF(COUNTIFS(ENVIOS!$A$4:$A$3003,$C1439)=0,"NO EXISTE",IF(COUNTIFS(ENVIOS!$A$4:$A$3003,$C1439)&gt;1,"DUPLICADA","OK")))</f>
        <v/>
      </c>
      <c r="E1439" s="22">
        <f>IF($C1439="","",IFERROR(INDEX(ENVIOS!$C$4:$C$3003,MATCH($C1439,ENVIOS!$A$4:$A$3003,0)),"—"))</f>
        <v/>
      </c>
      <c r="F1439" s="22">
        <f>IF($C1439="","",IFERROR(INDEX(ENVIOS!$D$4:$D$3003,MATCH($C1439,ENVIOS!$A$4:$A$3003,0)),"—"))</f>
        <v/>
      </c>
      <c r="G1439" s="22">
        <f>IF($C1439="","",IFERROR(INDEX(ENVIOS!$E$4:$E$3003,MATCH($C1439,ENVIOS!$A$4:$A$3003,0)),"—"))</f>
        <v/>
      </c>
      <c r="H1439" s="22">
        <f>IF($C1439="","",IFERROR(INDEX(ENVIOS!$F$4:$F$3003,MATCH($C1439,ENVIOS!$A$4:$A$3003,0)),"—"))</f>
        <v/>
      </c>
      <c r="I1439" s="27">
        <f>IF($C1439="","",IFERROR(INDEX(ENVIOS!$G$4:$G$3003,MATCH($C1439,ENVIOS!$A$4:$A$3003,0)),"—"))</f>
        <v/>
      </c>
      <c r="J1439" s="48">
        <f>IF($C1439="","",IFERROR(INDEX(ENVIOS!$B$4:$B$3003,MATCH($C1439,ENVIOS!$A$4:$A$3003,0)),""))</f>
        <v/>
      </c>
      <c r="K1439" s="49" t="n"/>
      <c r="L1439" s="27">
        <f>IF($K1439="","",IFERROR(INDEX(CONFIG!$B$4:$B$43,MATCH($K1439,CONFIG!$A$4:$A$43,0)),"Media"))</f>
        <v/>
      </c>
      <c r="M1439" s="27">
        <f>IF($K1439="","",IFERROR(INDEX(CONFIG!$D$4:$D$43,MATCH($K1439,CONFIG!$A$4:$A$43,0)),"NO"))</f>
        <v/>
      </c>
      <c r="N1439" s="49" t="n"/>
      <c r="O1439" s="27">
        <f>IF($N1439="","",IFERROR(INDEX(CONFIG!$G$4:$G$43,MATCH($N1439,CONFIG!$F$4:$F$43,0)),"Por definir"))</f>
        <v/>
      </c>
      <c r="P1439" s="27">
        <f>IF($N1439="","",IFERROR(INDEX(CONFIG!$H$4:$H$43,MATCH($N1439,CONFIG!$F$4:$F$43,0)),"Por definir"))</f>
        <v/>
      </c>
      <c r="Q1439" s="50" t="n"/>
      <c r="R1439" s="51" t="n"/>
      <c r="S1439" s="49" t="n"/>
      <c r="T1439" s="49" t="n"/>
      <c r="U1439" s="48">
        <f>IF(OR($B1439="",$K1439=""),"",WORKDAY($B1439,IFERROR(INDEX(CONFIG!$C$4:$C$43,MATCH($K1439,CONFIG!$A$4:$A$43,0)),3)))</f>
        <v/>
      </c>
      <c r="V1439" s="46" t="n"/>
      <c r="W1439" s="23">
        <f>IF($B1439="","",IF($V1439&lt;&gt;"",$V1439-$B1439,TODAY()-$B1439))</f>
        <v/>
      </c>
      <c r="X1439" s="27">
        <f>IF($C1439="","",IF(IFERROR(INDEX(CONFIG!$K$4:$K$43,MATCH($S1439,CONFIG!$J$4:$J$43,0)),"NO")="SÍ",IF(OR($V1439="",$U1439=""),"Resuelta",IF($V1439&gt;$U1439,"Resuelta tarde","Resuelta a tiempo")),IF($U1439="","Sin clasificar",IF(TODAY()&gt;$U1439,"Vencida",IF(TODAY()&gt;=$U1439-1,"Por vencer","En plazo")))))</f>
        <v/>
      </c>
      <c r="Y1439" s="49" t="n"/>
      <c r="Z1439" s="49" t="n"/>
    </row>
    <row r="1440" ht="16" customHeight="1">
      <c r="A1440" s="27">
        <f>IF($C1440="","","N-"&amp;TEXT(ROW()-3,"0000"))</f>
        <v/>
      </c>
      <c r="B1440" s="46" t="n"/>
      <c r="C1440" s="47" t="n"/>
      <c r="D1440" s="27">
        <f>IF($C1440="","",IF(COUNTIFS(ENVIOS!$A$4:$A$3003,$C1440)=0,"NO EXISTE",IF(COUNTIFS(ENVIOS!$A$4:$A$3003,$C1440)&gt;1,"DUPLICADA","OK")))</f>
        <v/>
      </c>
      <c r="E1440" s="22">
        <f>IF($C1440="","",IFERROR(INDEX(ENVIOS!$C$4:$C$3003,MATCH($C1440,ENVIOS!$A$4:$A$3003,0)),"—"))</f>
        <v/>
      </c>
      <c r="F1440" s="22">
        <f>IF($C1440="","",IFERROR(INDEX(ENVIOS!$D$4:$D$3003,MATCH($C1440,ENVIOS!$A$4:$A$3003,0)),"—"))</f>
        <v/>
      </c>
      <c r="G1440" s="22">
        <f>IF($C1440="","",IFERROR(INDEX(ENVIOS!$E$4:$E$3003,MATCH($C1440,ENVIOS!$A$4:$A$3003,0)),"—"))</f>
        <v/>
      </c>
      <c r="H1440" s="22">
        <f>IF($C1440="","",IFERROR(INDEX(ENVIOS!$F$4:$F$3003,MATCH($C1440,ENVIOS!$A$4:$A$3003,0)),"—"))</f>
        <v/>
      </c>
      <c r="I1440" s="27">
        <f>IF($C1440="","",IFERROR(INDEX(ENVIOS!$G$4:$G$3003,MATCH($C1440,ENVIOS!$A$4:$A$3003,0)),"—"))</f>
        <v/>
      </c>
      <c r="J1440" s="48">
        <f>IF($C1440="","",IFERROR(INDEX(ENVIOS!$B$4:$B$3003,MATCH($C1440,ENVIOS!$A$4:$A$3003,0)),""))</f>
        <v/>
      </c>
      <c r="K1440" s="49" t="n"/>
      <c r="L1440" s="27">
        <f>IF($K1440="","",IFERROR(INDEX(CONFIG!$B$4:$B$43,MATCH($K1440,CONFIG!$A$4:$A$43,0)),"Media"))</f>
        <v/>
      </c>
      <c r="M1440" s="27">
        <f>IF($K1440="","",IFERROR(INDEX(CONFIG!$D$4:$D$43,MATCH($K1440,CONFIG!$A$4:$A$43,0)),"NO"))</f>
        <v/>
      </c>
      <c r="N1440" s="49" t="n"/>
      <c r="O1440" s="27">
        <f>IF($N1440="","",IFERROR(INDEX(CONFIG!$G$4:$G$43,MATCH($N1440,CONFIG!$F$4:$F$43,0)),"Por definir"))</f>
        <v/>
      </c>
      <c r="P1440" s="27">
        <f>IF($N1440="","",IFERROR(INDEX(CONFIG!$H$4:$H$43,MATCH($N1440,CONFIG!$F$4:$F$43,0)),"Por definir"))</f>
        <v/>
      </c>
      <c r="Q1440" s="50" t="n"/>
      <c r="R1440" s="51" t="n"/>
      <c r="S1440" s="49" t="n"/>
      <c r="T1440" s="49" t="n"/>
      <c r="U1440" s="48">
        <f>IF(OR($B1440="",$K1440=""),"",WORKDAY($B1440,IFERROR(INDEX(CONFIG!$C$4:$C$43,MATCH($K1440,CONFIG!$A$4:$A$43,0)),3)))</f>
        <v/>
      </c>
      <c r="V1440" s="46" t="n"/>
      <c r="W1440" s="23">
        <f>IF($B1440="","",IF($V1440&lt;&gt;"",$V1440-$B1440,TODAY()-$B1440))</f>
        <v/>
      </c>
      <c r="X1440" s="27">
        <f>IF($C1440="","",IF(IFERROR(INDEX(CONFIG!$K$4:$K$43,MATCH($S1440,CONFIG!$J$4:$J$43,0)),"NO")="SÍ",IF(OR($V1440="",$U1440=""),"Resuelta",IF($V1440&gt;$U1440,"Resuelta tarde","Resuelta a tiempo")),IF($U1440="","Sin clasificar",IF(TODAY()&gt;$U1440,"Vencida",IF(TODAY()&gt;=$U1440-1,"Por vencer","En plazo")))))</f>
        <v/>
      </c>
      <c r="Y1440" s="49" t="n"/>
      <c r="Z1440" s="49" t="n"/>
    </row>
    <row r="1441" ht="16" customHeight="1">
      <c r="A1441" s="27">
        <f>IF($C1441="","","N-"&amp;TEXT(ROW()-3,"0000"))</f>
        <v/>
      </c>
      <c r="B1441" s="46" t="n"/>
      <c r="C1441" s="47" t="n"/>
      <c r="D1441" s="27">
        <f>IF($C1441="","",IF(COUNTIFS(ENVIOS!$A$4:$A$3003,$C1441)=0,"NO EXISTE",IF(COUNTIFS(ENVIOS!$A$4:$A$3003,$C1441)&gt;1,"DUPLICADA","OK")))</f>
        <v/>
      </c>
      <c r="E1441" s="22">
        <f>IF($C1441="","",IFERROR(INDEX(ENVIOS!$C$4:$C$3003,MATCH($C1441,ENVIOS!$A$4:$A$3003,0)),"—"))</f>
        <v/>
      </c>
      <c r="F1441" s="22">
        <f>IF($C1441="","",IFERROR(INDEX(ENVIOS!$D$4:$D$3003,MATCH($C1441,ENVIOS!$A$4:$A$3003,0)),"—"))</f>
        <v/>
      </c>
      <c r="G1441" s="22">
        <f>IF($C1441="","",IFERROR(INDEX(ENVIOS!$E$4:$E$3003,MATCH($C1441,ENVIOS!$A$4:$A$3003,0)),"—"))</f>
        <v/>
      </c>
      <c r="H1441" s="22">
        <f>IF($C1441="","",IFERROR(INDEX(ENVIOS!$F$4:$F$3003,MATCH($C1441,ENVIOS!$A$4:$A$3003,0)),"—"))</f>
        <v/>
      </c>
      <c r="I1441" s="27">
        <f>IF($C1441="","",IFERROR(INDEX(ENVIOS!$G$4:$G$3003,MATCH($C1441,ENVIOS!$A$4:$A$3003,0)),"—"))</f>
        <v/>
      </c>
      <c r="J1441" s="48">
        <f>IF($C1441="","",IFERROR(INDEX(ENVIOS!$B$4:$B$3003,MATCH($C1441,ENVIOS!$A$4:$A$3003,0)),""))</f>
        <v/>
      </c>
      <c r="K1441" s="49" t="n"/>
      <c r="L1441" s="27">
        <f>IF($K1441="","",IFERROR(INDEX(CONFIG!$B$4:$B$43,MATCH($K1441,CONFIG!$A$4:$A$43,0)),"Media"))</f>
        <v/>
      </c>
      <c r="M1441" s="27">
        <f>IF($K1441="","",IFERROR(INDEX(CONFIG!$D$4:$D$43,MATCH($K1441,CONFIG!$A$4:$A$43,0)),"NO"))</f>
        <v/>
      </c>
      <c r="N1441" s="49" t="n"/>
      <c r="O1441" s="27">
        <f>IF($N1441="","",IFERROR(INDEX(CONFIG!$G$4:$G$43,MATCH($N1441,CONFIG!$F$4:$F$43,0)),"Por definir"))</f>
        <v/>
      </c>
      <c r="P1441" s="27">
        <f>IF($N1441="","",IFERROR(INDEX(CONFIG!$H$4:$H$43,MATCH($N1441,CONFIG!$F$4:$F$43,0)),"Por definir"))</f>
        <v/>
      </c>
      <c r="Q1441" s="50" t="n"/>
      <c r="R1441" s="51" t="n"/>
      <c r="S1441" s="49" t="n"/>
      <c r="T1441" s="49" t="n"/>
      <c r="U1441" s="48">
        <f>IF(OR($B1441="",$K1441=""),"",WORKDAY($B1441,IFERROR(INDEX(CONFIG!$C$4:$C$43,MATCH($K1441,CONFIG!$A$4:$A$43,0)),3)))</f>
        <v/>
      </c>
      <c r="V1441" s="46" t="n"/>
      <c r="W1441" s="23">
        <f>IF($B1441="","",IF($V1441&lt;&gt;"",$V1441-$B1441,TODAY()-$B1441))</f>
        <v/>
      </c>
      <c r="X1441" s="27">
        <f>IF($C1441="","",IF(IFERROR(INDEX(CONFIG!$K$4:$K$43,MATCH($S1441,CONFIG!$J$4:$J$43,0)),"NO")="SÍ",IF(OR($V1441="",$U1441=""),"Resuelta",IF($V1441&gt;$U1441,"Resuelta tarde","Resuelta a tiempo")),IF($U1441="","Sin clasificar",IF(TODAY()&gt;$U1441,"Vencida",IF(TODAY()&gt;=$U1441-1,"Por vencer","En plazo")))))</f>
        <v/>
      </c>
      <c r="Y1441" s="49" t="n"/>
      <c r="Z1441" s="49" t="n"/>
    </row>
    <row r="1442" ht="16" customHeight="1">
      <c r="A1442" s="27">
        <f>IF($C1442="","","N-"&amp;TEXT(ROW()-3,"0000"))</f>
        <v/>
      </c>
      <c r="B1442" s="46" t="n"/>
      <c r="C1442" s="47" t="n"/>
      <c r="D1442" s="27">
        <f>IF($C1442="","",IF(COUNTIFS(ENVIOS!$A$4:$A$3003,$C1442)=0,"NO EXISTE",IF(COUNTIFS(ENVIOS!$A$4:$A$3003,$C1442)&gt;1,"DUPLICADA","OK")))</f>
        <v/>
      </c>
      <c r="E1442" s="22">
        <f>IF($C1442="","",IFERROR(INDEX(ENVIOS!$C$4:$C$3003,MATCH($C1442,ENVIOS!$A$4:$A$3003,0)),"—"))</f>
        <v/>
      </c>
      <c r="F1442" s="22">
        <f>IF($C1442="","",IFERROR(INDEX(ENVIOS!$D$4:$D$3003,MATCH($C1442,ENVIOS!$A$4:$A$3003,0)),"—"))</f>
        <v/>
      </c>
      <c r="G1442" s="22">
        <f>IF($C1442="","",IFERROR(INDEX(ENVIOS!$E$4:$E$3003,MATCH($C1442,ENVIOS!$A$4:$A$3003,0)),"—"))</f>
        <v/>
      </c>
      <c r="H1442" s="22">
        <f>IF($C1442="","",IFERROR(INDEX(ENVIOS!$F$4:$F$3003,MATCH($C1442,ENVIOS!$A$4:$A$3003,0)),"—"))</f>
        <v/>
      </c>
      <c r="I1442" s="27">
        <f>IF($C1442="","",IFERROR(INDEX(ENVIOS!$G$4:$G$3003,MATCH($C1442,ENVIOS!$A$4:$A$3003,0)),"—"))</f>
        <v/>
      </c>
      <c r="J1442" s="48">
        <f>IF($C1442="","",IFERROR(INDEX(ENVIOS!$B$4:$B$3003,MATCH($C1442,ENVIOS!$A$4:$A$3003,0)),""))</f>
        <v/>
      </c>
      <c r="K1442" s="49" t="n"/>
      <c r="L1442" s="27">
        <f>IF($K1442="","",IFERROR(INDEX(CONFIG!$B$4:$B$43,MATCH($K1442,CONFIG!$A$4:$A$43,0)),"Media"))</f>
        <v/>
      </c>
      <c r="M1442" s="27">
        <f>IF($K1442="","",IFERROR(INDEX(CONFIG!$D$4:$D$43,MATCH($K1442,CONFIG!$A$4:$A$43,0)),"NO"))</f>
        <v/>
      </c>
      <c r="N1442" s="49" t="n"/>
      <c r="O1442" s="27">
        <f>IF($N1442="","",IFERROR(INDEX(CONFIG!$G$4:$G$43,MATCH($N1442,CONFIG!$F$4:$F$43,0)),"Por definir"))</f>
        <v/>
      </c>
      <c r="P1442" s="27">
        <f>IF($N1442="","",IFERROR(INDEX(CONFIG!$H$4:$H$43,MATCH($N1442,CONFIG!$F$4:$F$43,0)),"Por definir"))</f>
        <v/>
      </c>
      <c r="Q1442" s="50" t="n"/>
      <c r="R1442" s="51" t="n"/>
      <c r="S1442" s="49" t="n"/>
      <c r="T1442" s="49" t="n"/>
      <c r="U1442" s="48">
        <f>IF(OR($B1442="",$K1442=""),"",WORKDAY($B1442,IFERROR(INDEX(CONFIG!$C$4:$C$43,MATCH($K1442,CONFIG!$A$4:$A$43,0)),3)))</f>
        <v/>
      </c>
      <c r="V1442" s="46" t="n"/>
      <c r="W1442" s="23">
        <f>IF($B1442="","",IF($V1442&lt;&gt;"",$V1442-$B1442,TODAY()-$B1442))</f>
        <v/>
      </c>
      <c r="X1442" s="27">
        <f>IF($C1442="","",IF(IFERROR(INDEX(CONFIG!$K$4:$K$43,MATCH($S1442,CONFIG!$J$4:$J$43,0)),"NO")="SÍ",IF(OR($V1442="",$U1442=""),"Resuelta",IF($V1442&gt;$U1442,"Resuelta tarde","Resuelta a tiempo")),IF($U1442="","Sin clasificar",IF(TODAY()&gt;$U1442,"Vencida",IF(TODAY()&gt;=$U1442-1,"Por vencer","En plazo")))))</f>
        <v/>
      </c>
      <c r="Y1442" s="49" t="n"/>
      <c r="Z1442" s="49" t="n"/>
    </row>
    <row r="1443" ht="16" customHeight="1">
      <c r="A1443" s="27">
        <f>IF($C1443="","","N-"&amp;TEXT(ROW()-3,"0000"))</f>
        <v/>
      </c>
      <c r="B1443" s="46" t="n"/>
      <c r="C1443" s="47" t="n"/>
      <c r="D1443" s="27">
        <f>IF($C1443="","",IF(COUNTIFS(ENVIOS!$A$4:$A$3003,$C1443)=0,"NO EXISTE",IF(COUNTIFS(ENVIOS!$A$4:$A$3003,$C1443)&gt;1,"DUPLICADA","OK")))</f>
        <v/>
      </c>
      <c r="E1443" s="22">
        <f>IF($C1443="","",IFERROR(INDEX(ENVIOS!$C$4:$C$3003,MATCH($C1443,ENVIOS!$A$4:$A$3003,0)),"—"))</f>
        <v/>
      </c>
      <c r="F1443" s="22">
        <f>IF($C1443="","",IFERROR(INDEX(ENVIOS!$D$4:$D$3003,MATCH($C1443,ENVIOS!$A$4:$A$3003,0)),"—"))</f>
        <v/>
      </c>
      <c r="G1443" s="22">
        <f>IF($C1443="","",IFERROR(INDEX(ENVIOS!$E$4:$E$3003,MATCH($C1443,ENVIOS!$A$4:$A$3003,0)),"—"))</f>
        <v/>
      </c>
      <c r="H1443" s="22">
        <f>IF($C1443="","",IFERROR(INDEX(ENVIOS!$F$4:$F$3003,MATCH($C1443,ENVIOS!$A$4:$A$3003,0)),"—"))</f>
        <v/>
      </c>
      <c r="I1443" s="27">
        <f>IF($C1443="","",IFERROR(INDEX(ENVIOS!$G$4:$G$3003,MATCH($C1443,ENVIOS!$A$4:$A$3003,0)),"—"))</f>
        <v/>
      </c>
      <c r="J1443" s="48">
        <f>IF($C1443="","",IFERROR(INDEX(ENVIOS!$B$4:$B$3003,MATCH($C1443,ENVIOS!$A$4:$A$3003,0)),""))</f>
        <v/>
      </c>
      <c r="K1443" s="49" t="n"/>
      <c r="L1443" s="27">
        <f>IF($K1443="","",IFERROR(INDEX(CONFIG!$B$4:$B$43,MATCH($K1443,CONFIG!$A$4:$A$43,0)),"Media"))</f>
        <v/>
      </c>
      <c r="M1443" s="27">
        <f>IF($K1443="","",IFERROR(INDEX(CONFIG!$D$4:$D$43,MATCH($K1443,CONFIG!$A$4:$A$43,0)),"NO"))</f>
        <v/>
      </c>
      <c r="N1443" s="49" t="n"/>
      <c r="O1443" s="27">
        <f>IF($N1443="","",IFERROR(INDEX(CONFIG!$G$4:$G$43,MATCH($N1443,CONFIG!$F$4:$F$43,0)),"Por definir"))</f>
        <v/>
      </c>
      <c r="P1443" s="27">
        <f>IF($N1443="","",IFERROR(INDEX(CONFIG!$H$4:$H$43,MATCH($N1443,CONFIG!$F$4:$F$43,0)),"Por definir"))</f>
        <v/>
      </c>
      <c r="Q1443" s="50" t="n"/>
      <c r="R1443" s="51" t="n"/>
      <c r="S1443" s="49" t="n"/>
      <c r="T1443" s="49" t="n"/>
      <c r="U1443" s="48">
        <f>IF(OR($B1443="",$K1443=""),"",WORKDAY($B1443,IFERROR(INDEX(CONFIG!$C$4:$C$43,MATCH($K1443,CONFIG!$A$4:$A$43,0)),3)))</f>
        <v/>
      </c>
      <c r="V1443" s="46" t="n"/>
      <c r="W1443" s="23">
        <f>IF($B1443="","",IF($V1443&lt;&gt;"",$V1443-$B1443,TODAY()-$B1443))</f>
        <v/>
      </c>
      <c r="X1443" s="27">
        <f>IF($C1443="","",IF(IFERROR(INDEX(CONFIG!$K$4:$K$43,MATCH($S1443,CONFIG!$J$4:$J$43,0)),"NO")="SÍ",IF(OR($V1443="",$U1443=""),"Resuelta",IF($V1443&gt;$U1443,"Resuelta tarde","Resuelta a tiempo")),IF($U1443="","Sin clasificar",IF(TODAY()&gt;$U1443,"Vencida",IF(TODAY()&gt;=$U1443-1,"Por vencer","En plazo")))))</f>
        <v/>
      </c>
      <c r="Y1443" s="49" t="n"/>
      <c r="Z1443" s="49" t="n"/>
    </row>
    <row r="1444" ht="16" customHeight="1">
      <c r="A1444" s="27">
        <f>IF($C1444="","","N-"&amp;TEXT(ROW()-3,"0000"))</f>
        <v/>
      </c>
      <c r="B1444" s="46" t="n"/>
      <c r="C1444" s="47" t="n"/>
      <c r="D1444" s="27">
        <f>IF($C1444="","",IF(COUNTIFS(ENVIOS!$A$4:$A$3003,$C1444)=0,"NO EXISTE",IF(COUNTIFS(ENVIOS!$A$4:$A$3003,$C1444)&gt;1,"DUPLICADA","OK")))</f>
        <v/>
      </c>
      <c r="E1444" s="22">
        <f>IF($C1444="","",IFERROR(INDEX(ENVIOS!$C$4:$C$3003,MATCH($C1444,ENVIOS!$A$4:$A$3003,0)),"—"))</f>
        <v/>
      </c>
      <c r="F1444" s="22">
        <f>IF($C1444="","",IFERROR(INDEX(ENVIOS!$D$4:$D$3003,MATCH($C1444,ENVIOS!$A$4:$A$3003,0)),"—"))</f>
        <v/>
      </c>
      <c r="G1444" s="22">
        <f>IF($C1444="","",IFERROR(INDEX(ENVIOS!$E$4:$E$3003,MATCH($C1444,ENVIOS!$A$4:$A$3003,0)),"—"))</f>
        <v/>
      </c>
      <c r="H1444" s="22">
        <f>IF($C1444="","",IFERROR(INDEX(ENVIOS!$F$4:$F$3003,MATCH($C1444,ENVIOS!$A$4:$A$3003,0)),"—"))</f>
        <v/>
      </c>
      <c r="I1444" s="27">
        <f>IF($C1444="","",IFERROR(INDEX(ENVIOS!$G$4:$G$3003,MATCH($C1444,ENVIOS!$A$4:$A$3003,0)),"—"))</f>
        <v/>
      </c>
      <c r="J1444" s="48">
        <f>IF($C1444="","",IFERROR(INDEX(ENVIOS!$B$4:$B$3003,MATCH($C1444,ENVIOS!$A$4:$A$3003,0)),""))</f>
        <v/>
      </c>
      <c r="K1444" s="49" t="n"/>
      <c r="L1444" s="27">
        <f>IF($K1444="","",IFERROR(INDEX(CONFIG!$B$4:$B$43,MATCH($K1444,CONFIG!$A$4:$A$43,0)),"Media"))</f>
        <v/>
      </c>
      <c r="M1444" s="27">
        <f>IF($K1444="","",IFERROR(INDEX(CONFIG!$D$4:$D$43,MATCH($K1444,CONFIG!$A$4:$A$43,0)),"NO"))</f>
        <v/>
      </c>
      <c r="N1444" s="49" t="n"/>
      <c r="O1444" s="27">
        <f>IF($N1444="","",IFERROR(INDEX(CONFIG!$G$4:$G$43,MATCH($N1444,CONFIG!$F$4:$F$43,0)),"Por definir"))</f>
        <v/>
      </c>
      <c r="P1444" s="27">
        <f>IF($N1444="","",IFERROR(INDEX(CONFIG!$H$4:$H$43,MATCH($N1444,CONFIG!$F$4:$F$43,0)),"Por definir"))</f>
        <v/>
      </c>
      <c r="Q1444" s="50" t="n"/>
      <c r="R1444" s="51" t="n"/>
      <c r="S1444" s="49" t="n"/>
      <c r="T1444" s="49" t="n"/>
      <c r="U1444" s="48">
        <f>IF(OR($B1444="",$K1444=""),"",WORKDAY($B1444,IFERROR(INDEX(CONFIG!$C$4:$C$43,MATCH($K1444,CONFIG!$A$4:$A$43,0)),3)))</f>
        <v/>
      </c>
      <c r="V1444" s="46" t="n"/>
      <c r="W1444" s="23">
        <f>IF($B1444="","",IF($V1444&lt;&gt;"",$V1444-$B1444,TODAY()-$B1444))</f>
        <v/>
      </c>
      <c r="X1444" s="27">
        <f>IF($C1444="","",IF(IFERROR(INDEX(CONFIG!$K$4:$K$43,MATCH($S1444,CONFIG!$J$4:$J$43,0)),"NO")="SÍ",IF(OR($V1444="",$U1444=""),"Resuelta",IF($V1444&gt;$U1444,"Resuelta tarde","Resuelta a tiempo")),IF($U1444="","Sin clasificar",IF(TODAY()&gt;$U1444,"Vencida",IF(TODAY()&gt;=$U1444-1,"Por vencer","En plazo")))))</f>
        <v/>
      </c>
      <c r="Y1444" s="49" t="n"/>
      <c r="Z1444" s="49" t="n"/>
    </row>
    <row r="1445" ht="16" customHeight="1">
      <c r="A1445" s="27">
        <f>IF($C1445="","","N-"&amp;TEXT(ROW()-3,"0000"))</f>
        <v/>
      </c>
      <c r="B1445" s="46" t="n"/>
      <c r="C1445" s="47" t="n"/>
      <c r="D1445" s="27">
        <f>IF($C1445="","",IF(COUNTIFS(ENVIOS!$A$4:$A$3003,$C1445)=0,"NO EXISTE",IF(COUNTIFS(ENVIOS!$A$4:$A$3003,$C1445)&gt;1,"DUPLICADA","OK")))</f>
        <v/>
      </c>
      <c r="E1445" s="22">
        <f>IF($C1445="","",IFERROR(INDEX(ENVIOS!$C$4:$C$3003,MATCH($C1445,ENVIOS!$A$4:$A$3003,0)),"—"))</f>
        <v/>
      </c>
      <c r="F1445" s="22">
        <f>IF($C1445="","",IFERROR(INDEX(ENVIOS!$D$4:$D$3003,MATCH($C1445,ENVIOS!$A$4:$A$3003,0)),"—"))</f>
        <v/>
      </c>
      <c r="G1445" s="22">
        <f>IF($C1445="","",IFERROR(INDEX(ENVIOS!$E$4:$E$3003,MATCH($C1445,ENVIOS!$A$4:$A$3003,0)),"—"))</f>
        <v/>
      </c>
      <c r="H1445" s="22">
        <f>IF($C1445="","",IFERROR(INDEX(ENVIOS!$F$4:$F$3003,MATCH($C1445,ENVIOS!$A$4:$A$3003,0)),"—"))</f>
        <v/>
      </c>
      <c r="I1445" s="27">
        <f>IF($C1445="","",IFERROR(INDEX(ENVIOS!$G$4:$G$3003,MATCH($C1445,ENVIOS!$A$4:$A$3003,0)),"—"))</f>
        <v/>
      </c>
      <c r="J1445" s="48">
        <f>IF($C1445="","",IFERROR(INDEX(ENVIOS!$B$4:$B$3003,MATCH($C1445,ENVIOS!$A$4:$A$3003,0)),""))</f>
        <v/>
      </c>
      <c r="K1445" s="49" t="n"/>
      <c r="L1445" s="27">
        <f>IF($K1445="","",IFERROR(INDEX(CONFIG!$B$4:$B$43,MATCH($K1445,CONFIG!$A$4:$A$43,0)),"Media"))</f>
        <v/>
      </c>
      <c r="M1445" s="27">
        <f>IF($K1445="","",IFERROR(INDEX(CONFIG!$D$4:$D$43,MATCH($K1445,CONFIG!$A$4:$A$43,0)),"NO"))</f>
        <v/>
      </c>
      <c r="N1445" s="49" t="n"/>
      <c r="O1445" s="27">
        <f>IF($N1445="","",IFERROR(INDEX(CONFIG!$G$4:$G$43,MATCH($N1445,CONFIG!$F$4:$F$43,0)),"Por definir"))</f>
        <v/>
      </c>
      <c r="P1445" s="27">
        <f>IF($N1445="","",IFERROR(INDEX(CONFIG!$H$4:$H$43,MATCH($N1445,CONFIG!$F$4:$F$43,0)),"Por definir"))</f>
        <v/>
      </c>
      <c r="Q1445" s="50" t="n"/>
      <c r="R1445" s="51" t="n"/>
      <c r="S1445" s="49" t="n"/>
      <c r="T1445" s="49" t="n"/>
      <c r="U1445" s="48">
        <f>IF(OR($B1445="",$K1445=""),"",WORKDAY($B1445,IFERROR(INDEX(CONFIG!$C$4:$C$43,MATCH($K1445,CONFIG!$A$4:$A$43,0)),3)))</f>
        <v/>
      </c>
      <c r="V1445" s="46" t="n"/>
      <c r="W1445" s="23">
        <f>IF($B1445="","",IF($V1445&lt;&gt;"",$V1445-$B1445,TODAY()-$B1445))</f>
        <v/>
      </c>
      <c r="X1445" s="27">
        <f>IF($C1445="","",IF(IFERROR(INDEX(CONFIG!$K$4:$K$43,MATCH($S1445,CONFIG!$J$4:$J$43,0)),"NO")="SÍ",IF(OR($V1445="",$U1445=""),"Resuelta",IF($V1445&gt;$U1445,"Resuelta tarde","Resuelta a tiempo")),IF($U1445="","Sin clasificar",IF(TODAY()&gt;$U1445,"Vencida",IF(TODAY()&gt;=$U1445-1,"Por vencer","En plazo")))))</f>
        <v/>
      </c>
      <c r="Y1445" s="49" t="n"/>
      <c r="Z1445" s="49" t="n"/>
    </row>
    <row r="1446" ht="16" customHeight="1">
      <c r="A1446" s="27">
        <f>IF($C1446="","","N-"&amp;TEXT(ROW()-3,"0000"))</f>
        <v/>
      </c>
      <c r="B1446" s="46" t="n"/>
      <c r="C1446" s="47" t="n"/>
      <c r="D1446" s="27">
        <f>IF($C1446="","",IF(COUNTIFS(ENVIOS!$A$4:$A$3003,$C1446)=0,"NO EXISTE",IF(COUNTIFS(ENVIOS!$A$4:$A$3003,$C1446)&gt;1,"DUPLICADA","OK")))</f>
        <v/>
      </c>
      <c r="E1446" s="22">
        <f>IF($C1446="","",IFERROR(INDEX(ENVIOS!$C$4:$C$3003,MATCH($C1446,ENVIOS!$A$4:$A$3003,0)),"—"))</f>
        <v/>
      </c>
      <c r="F1446" s="22">
        <f>IF($C1446="","",IFERROR(INDEX(ENVIOS!$D$4:$D$3003,MATCH($C1446,ENVIOS!$A$4:$A$3003,0)),"—"))</f>
        <v/>
      </c>
      <c r="G1446" s="22">
        <f>IF($C1446="","",IFERROR(INDEX(ENVIOS!$E$4:$E$3003,MATCH($C1446,ENVIOS!$A$4:$A$3003,0)),"—"))</f>
        <v/>
      </c>
      <c r="H1446" s="22">
        <f>IF($C1446="","",IFERROR(INDEX(ENVIOS!$F$4:$F$3003,MATCH($C1446,ENVIOS!$A$4:$A$3003,0)),"—"))</f>
        <v/>
      </c>
      <c r="I1446" s="27">
        <f>IF($C1446="","",IFERROR(INDEX(ENVIOS!$G$4:$G$3003,MATCH($C1446,ENVIOS!$A$4:$A$3003,0)),"—"))</f>
        <v/>
      </c>
      <c r="J1446" s="48">
        <f>IF($C1446="","",IFERROR(INDEX(ENVIOS!$B$4:$B$3003,MATCH($C1446,ENVIOS!$A$4:$A$3003,0)),""))</f>
        <v/>
      </c>
      <c r="K1446" s="49" t="n"/>
      <c r="L1446" s="27">
        <f>IF($K1446="","",IFERROR(INDEX(CONFIG!$B$4:$B$43,MATCH($K1446,CONFIG!$A$4:$A$43,0)),"Media"))</f>
        <v/>
      </c>
      <c r="M1446" s="27">
        <f>IF($K1446="","",IFERROR(INDEX(CONFIG!$D$4:$D$43,MATCH($K1446,CONFIG!$A$4:$A$43,0)),"NO"))</f>
        <v/>
      </c>
      <c r="N1446" s="49" t="n"/>
      <c r="O1446" s="27">
        <f>IF($N1446="","",IFERROR(INDEX(CONFIG!$G$4:$G$43,MATCH($N1446,CONFIG!$F$4:$F$43,0)),"Por definir"))</f>
        <v/>
      </c>
      <c r="P1446" s="27">
        <f>IF($N1446="","",IFERROR(INDEX(CONFIG!$H$4:$H$43,MATCH($N1446,CONFIG!$F$4:$F$43,0)),"Por definir"))</f>
        <v/>
      </c>
      <c r="Q1446" s="50" t="n"/>
      <c r="R1446" s="51" t="n"/>
      <c r="S1446" s="49" t="n"/>
      <c r="T1446" s="49" t="n"/>
      <c r="U1446" s="48">
        <f>IF(OR($B1446="",$K1446=""),"",WORKDAY($B1446,IFERROR(INDEX(CONFIG!$C$4:$C$43,MATCH($K1446,CONFIG!$A$4:$A$43,0)),3)))</f>
        <v/>
      </c>
      <c r="V1446" s="46" t="n"/>
      <c r="W1446" s="23">
        <f>IF($B1446="","",IF($V1446&lt;&gt;"",$V1446-$B1446,TODAY()-$B1446))</f>
        <v/>
      </c>
      <c r="X1446" s="27">
        <f>IF($C1446="","",IF(IFERROR(INDEX(CONFIG!$K$4:$K$43,MATCH($S1446,CONFIG!$J$4:$J$43,0)),"NO")="SÍ",IF(OR($V1446="",$U1446=""),"Resuelta",IF($V1446&gt;$U1446,"Resuelta tarde","Resuelta a tiempo")),IF($U1446="","Sin clasificar",IF(TODAY()&gt;$U1446,"Vencida",IF(TODAY()&gt;=$U1446-1,"Por vencer","En plazo")))))</f>
        <v/>
      </c>
      <c r="Y1446" s="49" t="n"/>
      <c r="Z1446" s="49" t="n"/>
    </row>
    <row r="1447" ht="16" customHeight="1">
      <c r="A1447" s="27">
        <f>IF($C1447="","","N-"&amp;TEXT(ROW()-3,"0000"))</f>
        <v/>
      </c>
      <c r="B1447" s="46" t="n"/>
      <c r="C1447" s="47" t="n"/>
      <c r="D1447" s="27">
        <f>IF($C1447="","",IF(COUNTIFS(ENVIOS!$A$4:$A$3003,$C1447)=0,"NO EXISTE",IF(COUNTIFS(ENVIOS!$A$4:$A$3003,$C1447)&gt;1,"DUPLICADA","OK")))</f>
        <v/>
      </c>
      <c r="E1447" s="22">
        <f>IF($C1447="","",IFERROR(INDEX(ENVIOS!$C$4:$C$3003,MATCH($C1447,ENVIOS!$A$4:$A$3003,0)),"—"))</f>
        <v/>
      </c>
      <c r="F1447" s="22">
        <f>IF($C1447="","",IFERROR(INDEX(ENVIOS!$D$4:$D$3003,MATCH($C1447,ENVIOS!$A$4:$A$3003,0)),"—"))</f>
        <v/>
      </c>
      <c r="G1447" s="22">
        <f>IF($C1447="","",IFERROR(INDEX(ENVIOS!$E$4:$E$3003,MATCH($C1447,ENVIOS!$A$4:$A$3003,0)),"—"))</f>
        <v/>
      </c>
      <c r="H1447" s="22">
        <f>IF($C1447="","",IFERROR(INDEX(ENVIOS!$F$4:$F$3003,MATCH($C1447,ENVIOS!$A$4:$A$3003,0)),"—"))</f>
        <v/>
      </c>
      <c r="I1447" s="27">
        <f>IF($C1447="","",IFERROR(INDEX(ENVIOS!$G$4:$G$3003,MATCH($C1447,ENVIOS!$A$4:$A$3003,0)),"—"))</f>
        <v/>
      </c>
      <c r="J1447" s="48">
        <f>IF($C1447="","",IFERROR(INDEX(ENVIOS!$B$4:$B$3003,MATCH($C1447,ENVIOS!$A$4:$A$3003,0)),""))</f>
        <v/>
      </c>
      <c r="K1447" s="49" t="n"/>
      <c r="L1447" s="27">
        <f>IF($K1447="","",IFERROR(INDEX(CONFIG!$B$4:$B$43,MATCH($K1447,CONFIG!$A$4:$A$43,0)),"Media"))</f>
        <v/>
      </c>
      <c r="M1447" s="27">
        <f>IF($K1447="","",IFERROR(INDEX(CONFIG!$D$4:$D$43,MATCH($K1447,CONFIG!$A$4:$A$43,0)),"NO"))</f>
        <v/>
      </c>
      <c r="N1447" s="49" t="n"/>
      <c r="O1447" s="27">
        <f>IF($N1447="","",IFERROR(INDEX(CONFIG!$G$4:$G$43,MATCH($N1447,CONFIG!$F$4:$F$43,0)),"Por definir"))</f>
        <v/>
      </c>
      <c r="P1447" s="27">
        <f>IF($N1447="","",IFERROR(INDEX(CONFIG!$H$4:$H$43,MATCH($N1447,CONFIG!$F$4:$F$43,0)),"Por definir"))</f>
        <v/>
      </c>
      <c r="Q1447" s="50" t="n"/>
      <c r="R1447" s="51" t="n"/>
      <c r="S1447" s="49" t="n"/>
      <c r="T1447" s="49" t="n"/>
      <c r="U1447" s="48">
        <f>IF(OR($B1447="",$K1447=""),"",WORKDAY($B1447,IFERROR(INDEX(CONFIG!$C$4:$C$43,MATCH($K1447,CONFIG!$A$4:$A$43,0)),3)))</f>
        <v/>
      </c>
      <c r="V1447" s="46" t="n"/>
      <c r="W1447" s="23">
        <f>IF($B1447="","",IF($V1447&lt;&gt;"",$V1447-$B1447,TODAY()-$B1447))</f>
        <v/>
      </c>
      <c r="X1447" s="27">
        <f>IF($C1447="","",IF(IFERROR(INDEX(CONFIG!$K$4:$K$43,MATCH($S1447,CONFIG!$J$4:$J$43,0)),"NO")="SÍ",IF(OR($V1447="",$U1447=""),"Resuelta",IF($V1447&gt;$U1447,"Resuelta tarde","Resuelta a tiempo")),IF($U1447="","Sin clasificar",IF(TODAY()&gt;$U1447,"Vencida",IF(TODAY()&gt;=$U1447-1,"Por vencer","En plazo")))))</f>
        <v/>
      </c>
      <c r="Y1447" s="49" t="n"/>
      <c r="Z1447" s="49" t="n"/>
    </row>
    <row r="1448" ht="16" customHeight="1">
      <c r="A1448" s="27">
        <f>IF($C1448="","","N-"&amp;TEXT(ROW()-3,"0000"))</f>
        <v/>
      </c>
      <c r="B1448" s="46" t="n"/>
      <c r="C1448" s="47" t="n"/>
      <c r="D1448" s="27">
        <f>IF($C1448="","",IF(COUNTIFS(ENVIOS!$A$4:$A$3003,$C1448)=0,"NO EXISTE",IF(COUNTIFS(ENVIOS!$A$4:$A$3003,$C1448)&gt;1,"DUPLICADA","OK")))</f>
        <v/>
      </c>
      <c r="E1448" s="22">
        <f>IF($C1448="","",IFERROR(INDEX(ENVIOS!$C$4:$C$3003,MATCH($C1448,ENVIOS!$A$4:$A$3003,0)),"—"))</f>
        <v/>
      </c>
      <c r="F1448" s="22">
        <f>IF($C1448="","",IFERROR(INDEX(ENVIOS!$D$4:$D$3003,MATCH($C1448,ENVIOS!$A$4:$A$3003,0)),"—"))</f>
        <v/>
      </c>
      <c r="G1448" s="22">
        <f>IF($C1448="","",IFERROR(INDEX(ENVIOS!$E$4:$E$3003,MATCH($C1448,ENVIOS!$A$4:$A$3003,0)),"—"))</f>
        <v/>
      </c>
      <c r="H1448" s="22">
        <f>IF($C1448="","",IFERROR(INDEX(ENVIOS!$F$4:$F$3003,MATCH($C1448,ENVIOS!$A$4:$A$3003,0)),"—"))</f>
        <v/>
      </c>
      <c r="I1448" s="27">
        <f>IF($C1448="","",IFERROR(INDEX(ENVIOS!$G$4:$G$3003,MATCH($C1448,ENVIOS!$A$4:$A$3003,0)),"—"))</f>
        <v/>
      </c>
      <c r="J1448" s="48">
        <f>IF($C1448="","",IFERROR(INDEX(ENVIOS!$B$4:$B$3003,MATCH($C1448,ENVIOS!$A$4:$A$3003,0)),""))</f>
        <v/>
      </c>
      <c r="K1448" s="49" t="n"/>
      <c r="L1448" s="27">
        <f>IF($K1448="","",IFERROR(INDEX(CONFIG!$B$4:$B$43,MATCH($K1448,CONFIG!$A$4:$A$43,0)),"Media"))</f>
        <v/>
      </c>
      <c r="M1448" s="27">
        <f>IF($K1448="","",IFERROR(INDEX(CONFIG!$D$4:$D$43,MATCH($K1448,CONFIG!$A$4:$A$43,0)),"NO"))</f>
        <v/>
      </c>
      <c r="N1448" s="49" t="n"/>
      <c r="O1448" s="27">
        <f>IF($N1448="","",IFERROR(INDEX(CONFIG!$G$4:$G$43,MATCH($N1448,CONFIG!$F$4:$F$43,0)),"Por definir"))</f>
        <v/>
      </c>
      <c r="P1448" s="27">
        <f>IF($N1448="","",IFERROR(INDEX(CONFIG!$H$4:$H$43,MATCH($N1448,CONFIG!$F$4:$F$43,0)),"Por definir"))</f>
        <v/>
      </c>
      <c r="Q1448" s="50" t="n"/>
      <c r="R1448" s="51" t="n"/>
      <c r="S1448" s="49" t="n"/>
      <c r="T1448" s="49" t="n"/>
      <c r="U1448" s="48">
        <f>IF(OR($B1448="",$K1448=""),"",WORKDAY($B1448,IFERROR(INDEX(CONFIG!$C$4:$C$43,MATCH($K1448,CONFIG!$A$4:$A$43,0)),3)))</f>
        <v/>
      </c>
      <c r="V1448" s="46" t="n"/>
      <c r="W1448" s="23">
        <f>IF($B1448="","",IF($V1448&lt;&gt;"",$V1448-$B1448,TODAY()-$B1448))</f>
        <v/>
      </c>
      <c r="X1448" s="27">
        <f>IF($C1448="","",IF(IFERROR(INDEX(CONFIG!$K$4:$K$43,MATCH($S1448,CONFIG!$J$4:$J$43,0)),"NO")="SÍ",IF(OR($V1448="",$U1448=""),"Resuelta",IF($V1448&gt;$U1448,"Resuelta tarde","Resuelta a tiempo")),IF($U1448="","Sin clasificar",IF(TODAY()&gt;$U1448,"Vencida",IF(TODAY()&gt;=$U1448-1,"Por vencer","En plazo")))))</f>
        <v/>
      </c>
      <c r="Y1448" s="49" t="n"/>
      <c r="Z1448" s="49" t="n"/>
    </row>
    <row r="1449" ht="16" customHeight="1">
      <c r="A1449" s="27">
        <f>IF($C1449="","","N-"&amp;TEXT(ROW()-3,"0000"))</f>
        <v/>
      </c>
      <c r="B1449" s="46" t="n"/>
      <c r="C1449" s="47" t="n"/>
      <c r="D1449" s="27">
        <f>IF($C1449="","",IF(COUNTIFS(ENVIOS!$A$4:$A$3003,$C1449)=0,"NO EXISTE",IF(COUNTIFS(ENVIOS!$A$4:$A$3003,$C1449)&gt;1,"DUPLICADA","OK")))</f>
        <v/>
      </c>
      <c r="E1449" s="22">
        <f>IF($C1449="","",IFERROR(INDEX(ENVIOS!$C$4:$C$3003,MATCH($C1449,ENVIOS!$A$4:$A$3003,0)),"—"))</f>
        <v/>
      </c>
      <c r="F1449" s="22">
        <f>IF($C1449="","",IFERROR(INDEX(ENVIOS!$D$4:$D$3003,MATCH($C1449,ENVIOS!$A$4:$A$3003,0)),"—"))</f>
        <v/>
      </c>
      <c r="G1449" s="22">
        <f>IF($C1449="","",IFERROR(INDEX(ENVIOS!$E$4:$E$3003,MATCH($C1449,ENVIOS!$A$4:$A$3003,0)),"—"))</f>
        <v/>
      </c>
      <c r="H1449" s="22">
        <f>IF($C1449="","",IFERROR(INDEX(ENVIOS!$F$4:$F$3003,MATCH($C1449,ENVIOS!$A$4:$A$3003,0)),"—"))</f>
        <v/>
      </c>
      <c r="I1449" s="27">
        <f>IF($C1449="","",IFERROR(INDEX(ENVIOS!$G$4:$G$3003,MATCH($C1449,ENVIOS!$A$4:$A$3003,0)),"—"))</f>
        <v/>
      </c>
      <c r="J1449" s="48">
        <f>IF($C1449="","",IFERROR(INDEX(ENVIOS!$B$4:$B$3003,MATCH($C1449,ENVIOS!$A$4:$A$3003,0)),""))</f>
        <v/>
      </c>
      <c r="K1449" s="49" t="n"/>
      <c r="L1449" s="27">
        <f>IF($K1449="","",IFERROR(INDEX(CONFIG!$B$4:$B$43,MATCH($K1449,CONFIG!$A$4:$A$43,0)),"Media"))</f>
        <v/>
      </c>
      <c r="M1449" s="27">
        <f>IF($K1449="","",IFERROR(INDEX(CONFIG!$D$4:$D$43,MATCH($K1449,CONFIG!$A$4:$A$43,0)),"NO"))</f>
        <v/>
      </c>
      <c r="N1449" s="49" t="n"/>
      <c r="O1449" s="27">
        <f>IF($N1449="","",IFERROR(INDEX(CONFIG!$G$4:$G$43,MATCH($N1449,CONFIG!$F$4:$F$43,0)),"Por definir"))</f>
        <v/>
      </c>
      <c r="P1449" s="27">
        <f>IF($N1449="","",IFERROR(INDEX(CONFIG!$H$4:$H$43,MATCH($N1449,CONFIG!$F$4:$F$43,0)),"Por definir"))</f>
        <v/>
      </c>
      <c r="Q1449" s="50" t="n"/>
      <c r="R1449" s="51" t="n"/>
      <c r="S1449" s="49" t="n"/>
      <c r="T1449" s="49" t="n"/>
      <c r="U1449" s="48">
        <f>IF(OR($B1449="",$K1449=""),"",WORKDAY($B1449,IFERROR(INDEX(CONFIG!$C$4:$C$43,MATCH($K1449,CONFIG!$A$4:$A$43,0)),3)))</f>
        <v/>
      </c>
      <c r="V1449" s="46" t="n"/>
      <c r="W1449" s="23">
        <f>IF($B1449="","",IF($V1449&lt;&gt;"",$V1449-$B1449,TODAY()-$B1449))</f>
        <v/>
      </c>
      <c r="X1449" s="27">
        <f>IF($C1449="","",IF(IFERROR(INDEX(CONFIG!$K$4:$K$43,MATCH($S1449,CONFIG!$J$4:$J$43,0)),"NO")="SÍ",IF(OR($V1449="",$U1449=""),"Resuelta",IF($V1449&gt;$U1449,"Resuelta tarde","Resuelta a tiempo")),IF($U1449="","Sin clasificar",IF(TODAY()&gt;$U1449,"Vencida",IF(TODAY()&gt;=$U1449-1,"Por vencer","En plazo")))))</f>
        <v/>
      </c>
      <c r="Y1449" s="49" t="n"/>
      <c r="Z1449" s="49" t="n"/>
    </row>
    <row r="1450" ht="16" customHeight="1">
      <c r="A1450" s="27">
        <f>IF($C1450="","","N-"&amp;TEXT(ROW()-3,"0000"))</f>
        <v/>
      </c>
      <c r="B1450" s="46" t="n"/>
      <c r="C1450" s="47" t="n"/>
      <c r="D1450" s="27">
        <f>IF($C1450="","",IF(COUNTIFS(ENVIOS!$A$4:$A$3003,$C1450)=0,"NO EXISTE",IF(COUNTIFS(ENVIOS!$A$4:$A$3003,$C1450)&gt;1,"DUPLICADA","OK")))</f>
        <v/>
      </c>
      <c r="E1450" s="22">
        <f>IF($C1450="","",IFERROR(INDEX(ENVIOS!$C$4:$C$3003,MATCH($C1450,ENVIOS!$A$4:$A$3003,0)),"—"))</f>
        <v/>
      </c>
      <c r="F1450" s="22">
        <f>IF($C1450="","",IFERROR(INDEX(ENVIOS!$D$4:$D$3003,MATCH($C1450,ENVIOS!$A$4:$A$3003,0)),"—"))</f>
        <v/>
      </c>
      <c r="G1450" s="22">
        <f>IF($C1450="","",IFERROR(INDEX(ENVIOS!$E$4:$E$3003,MATCH($C1450,ENVIOS!$A$4:$A$3003,0)),"—"))</f>
        <v/>
      </c>
      <c r="H1450" s="22">
        <f>IF($C1450="","",IFERROR(INDEX(ENVIOS!$F$4:$F$3003,MATCH($C1450,ENVIOS!$A$4:$A$3003,0)),"—"))</f>
        <v/>
      </c>
      <c r="I1450" s="27">
        <f>IF($C1450="","",IFERROR(INDEX(ENVIOS!$G$4:$G$3003,MATCH($C1450,ENVIOS!$A$4:$A$3003,0)),"—"))</f>
        <v/>
      </c>
      <c r="J1450" s="48">
        <f>IF($C1450="","",IFERROR(INDEX(ENVIOS!$B$4:$B$3003,MATCH($C1450,ENVIOS!$A$4:$A$3003,0)),""))</f>
        <v/>
      </c>
      <c r="K1450" s="49" t="n"/>
      <c r="L1450" s="27">
        <f>IF($K1450="","",IFERROR(INDEX(CONFIG!$B$4:$B$43,MATCH($K1450,CONFIG!$A$4:$A$43,0)),"Media"))</f>
        <v/>
      </c>
      <c r="M1450" s="27">
        <f>IF($K1450="","",IFERROR(INDEX(CONFIG!$D$4:$D$43,MATCH($K1450,CONFIG!$A$4:$A$43,0)),"NO"))</f>
        <v/>
      </c>
      <c r="N1450" s="49" t="n"/>
      <c r="O1450" s="27">
        <f>IF($N1450="","",IFERROR(INDEX(CONFIG!$G$4:$G$43,MATCH($N1450,CONFIG!$F$4:$F$43,0)),"Por definir"))</f>
        <v/>
      </c>
      <c r="P1450" s="27">
        <f>IF($N1450="","",IFERROR(INDEX(CONFIG!$H$4:$H$43,MATCH($N1450,CONFIG!$F$4:$F$43,0)),"Por definir"))</f>
        <v/>
      </c>
      <c r="Q1450" s="50" t="n"/>
      <c r="R1450" s="51" t="n"/>
      <c r="S1450" s="49" t="n"/>
      <c r="T1450" s="49" t="n"/>
      <c r="U1450" s="48">
        <f>IF(OR($B1450="",$K1450=""),"",WORKDAY($B1450,IFERROR(INDEX(CONFIG!$C$4:$C$43,MATCH($K1450,CONFIG!$A$4:$A$43,0)),3)))</f>
        <v/>
      </c>
      <c r="V1450" s="46" t="n"/>
      <c r="W1450" s="23">
        <f>IF($B1450="","",IF($V1450&lt;&gt;"",$V1450-$B1450,TODAY()-$B1450))</f>
        <v/>
      </c>
      <c r="X1450" s="27">
        <f>IF($C1450="","",IF(IFERROR(INDEX(CONFIG!$K$4:$K$43,MATCH($S1450,CONFIG!$J$4:$J$43,0)),"NO")="SÍ",IF(OR($V1450="",$U1450=""),"Resuelta",IF($V1450&gt;$U1450,"Resuelta tarde","Resuelta a tiempo")),IF($U1450="","Sin clasificar",IF(TODAY()&gt;$U1450,"Vencida",IF(TODAY()&gt;=$U1450-1,"Por vencer","En plazo")))))</f>
        <v/>
      </c>
      <c r="Y1450" s="49" t="n"/>
      <c r="Z1450" s="49" t="n"/>
    </row>
    <row r="1451" ht="16" customHeight="1">
      <c r="A1451" s="27">
        <f>IF($C1451="","","N-"&amp;TEXT(ROW()-3,"0000"))</f>
        <v/>
      </c>
      <c r="B1451" s="46" t="n"/>
      <c r="C1451" s="47" t="n"/>
      <c r="D1451" s="27">
        <f>IF($C1451="","",IF(COUNTIFS(ENVIOS!$A$4:$A$3003,$C1451)=0,"NO EXISTE",IF(COUNTIFS(ENVIOS!$A$4:$A$3003,$C1451)&gt;1,"DUPLICADA","OK")))</f>
        <v/>
      </c>
      <c r="E1451" s="22">
        <f>IF($C1451="","",IFERROR(INDEX(ENVIOS!$C$4:$C$3003,MATCH($C1451,ENVIOS!$A$4:$A$3003,0)),"—"))</f>
        <v/>
      </c>
      <c r="F1451" s="22">
        <f>IF($C1451="","",IFERROR(INDEX(ENVIOS!$D$4:$D$3003,MATCH($C1451,ENVIOS!$A$4:$A$3003,0)),"—"))</f>
        <v/>
      </c>
      <c r="G1451" s="22">
        <f>IF($C1451="","",IFERROR(INDEX(ENVIOS!$E$4:$E$3003,MATCH($C1451,ENVIOS!$A$4:$A$3003,0)),"—"))</f>
        <v/>
      </c>
      <c r="H1451" s="22">
        <f>IF($C1451="","",IFERROR(INDEX(ENVIOS!$F$4:$F$3003,MATCH($C1451,ENVIOS!$A$4:$A$3003,0)),"—"))</f>
        <v/>
      </c>
      <c r="I1451" s="27">
        <f>IF($C1451="","",IFERROR(INDEX(ENVIOS!$G$4:$G$3003,MATCH($C1451,ENVIOS!$A$4:$A$3003,0)),"—"))</f>
        <v/>
      </c>
      <c r="J1451" s="48">
        <f>IF($C1451="","",IFERROR(INDEX(ENVIOS!$B$4:$B$3003,MATCH($C1451,ENVIOS!$A$4:$A$3003,0)),""))</f>
        <v/>
      </c>
      <c r="K1451" s="49" t="n"/>
      <c r="L1451" s="27">
        <f>IF($K1451="","",IFERROR(INDEX(CONFIG!$B$4:$B$43,MATCH($K1451,CONFIG!$A$4:$A$43,0)),"Media"))</f>
        <v/>
      </c>
      <c r="M1451" s="27">
        <f>IF($K1451="","",IFERROR(INDEX(CONFIG!$D$4:$D$43,MATCH($K1451,CONFIG!$A$4:$A$43,0)),"NO"))</f>
        <v/>
      </c>
      <c r="N1451" s="49" t="n"/>
      <c r="O1451" s="27">
        <f>IF($N1451="","",IFERROR(INDEX(CONFIG!$G$4:$G$43,MATCH($N1451,CONFIG!$F$4:$F$43,0)),"Por definir"))</f>
        <v/>
      </c>
      <c r="P1451" s="27">
        <f>IF($N1451="","",IFERROR(INDEX(CONFIG!$H$4:$H$43,MATCH($N1451,CONFIG!$F$4:$F$43,0)),"Por definir"))</f>
        <v/>
      </c>
      <c r="Q1451" s="50" t="n"/>
      <c r="R1451" s="51" t="n"/>
      <c r="S1451" s="49" t="n"/>
      <c r="T1451" s="49" t="n"/>
      <c r="U1451" s="48">
        <f>IF(OR($B1451="",$K1451=""),"",WORKDAY($B1451,IFERROR(INDEX(CONFIG!$C$4:$C$43,MATCH($K1451,CONFIG!$A$4:$A$43,0)),3)))</f>
        <v/>
      </c>
      <c r="V1451" s="46" t="n"/>
      <c r="W1451" s="23">
        <f>IF($B1451="","",IF($V1451&lt;&gt;"",$V1451-$B1451,TODAY()-$B1451))</f>
        <v/>
      </c>
      <c r="X1451" s="27">
        <f>IF($C1451="","",IF(IFERROR(INDEX(CONFIG!$K$4:$K$43,MATCH($S1451,CONFIG!$J$4:$J$43,0)),"NO")="SÍ",IF(OR($V1451="",$U1451=""),"Resuelta",IF($V1451&gt;$U1451,"Resuelta tarde","Resuelta a tiempo")),IF($U1451="","Sin clasificar",IF(TODAY()&gt;$U1451,"Vencida",IF(TODAY()&gt;=$U1451-1,"Por vencer","En plazo")))))</f>
        <v/>
      </c>
      <c r="Y1451" s="49" t="n"/>
      <c r="Z1451" s="49" t="n"/>
    </row>
    <row r="1452" ht="16" customHeight="1">
      <c r="A1452" s="27">
        <f>IF($C1452="","","N-"&amp;TEXT(ROW()-3,"0000"))</f>
        <v/>
      </c>
      <c r="B1452" s="46" t="n"/>
      <c r="C1452" s="47" t="n"/>
      <c r="D1452" s="27">
        <f>IF($C1452="","",IF(COUNTIFS(ENVIOS!$A$4:$A$3003,$C1452)=0,"NO EXISTE",IF(COUNTIFS(ENVIOS!$A$4:$A$3003,$C1452)&gt;1,"DUPLICADA","OK")))</f>
        <v/>
      </c>
      <c r="E1452" s="22">
        <f>IF($C1452="","",IFERROR(INDEX(ENVIOS!$C$4:$C$3003,MATCH($C1452,ENVIOS!$A$4:$A$3003,0)),"—"))</f>
        <v/>
      </c>
      <c r="F1452" s="22">
        <f>IF($C1452="","",IFERROR(INDEX(ENVIOS!$D$4:$D$3003,MATCH($C1452,ENVIOS!$A$4:$A$3003,0)),"—"))</f>
        <v/>
      </c>
      <c r="G1452" s="22">
        <f>IF($C1452="","",IFERROR(INDEX(ENVIOS!$E$4:$E$3003,MATCH($C1452,ENVIOS!$A$4:$A$3003,0)),"—"))</f>
        <v/>
      </c>
      <c r="H1452" s="22">
        <f>IF($C1452="","",IFERROR(INDEX(ENVIOS!$F$4:$F$3003,MATCH($C1452,ENVIOS!$A$4:$A$3003,0)),"—"))</f>
        <v/>
      </c>
      <c r="I1452" s="27">
        <f>IF($C1452="","",IFERROR(INDEX(ENVIOS!$G$4:$G$3003,MATCH($C1452,ENVIOS!$A$4:$A$3003,0)),"—"))</f>
        <v/>
      </c>
      <c r="J1452" s="48">
        <f>IF($C1452="","",IFERROR(INDEX(ENVIOS!$B$4:$B$3003,MATCH($C1452,ENVIOS!$A$4:$A$3003,0)),""))</f>
        <v/>
      </c>
      <c r="K1452" s="49" t="n"/>
      <c r="L1452" s="27">
        <f>IF($K1452="","",IFERROR(INDEX(CONFIG!$B$4:$B$43,MATCH($K1452,CONFIG!$A$4:$A$43,0)),"Media"))</f>
        <v/>
      </c>
      <c r="M1452" s="27">
        <f>IF($K1452="","",IFERROR(INDEX(CONFIG!$D$4:$D$43,MATCH($K1452,CONFIG!$A$4:$A$43,0)),"NO"))</f>
        <v/>
      </c>
      <c r="N1452" s="49" t="n"/>
      <c r="O1452" s="27">
        <f>IF($N1452="","",IFERROR(INDEX(CONFIG!$G$4:$G$43,MATCH($N1452,CONFIG!$F$4:$F$43,0)),"Por definir"))</f>
        <v/>
      </c>
      <c r="P1452" s="27">
        <f>IF($N1452="","",IFERROR(INDEX(CONFIG!$H$4:$H$43,MATCH($N1452,CONFIG!$F$4:$F$43,0)),"Por definir"))</f>
        <v/>
      </c>
      <c r="Q1452" s="50" t="n"/>
      <c r="R1452" s="51" t="n"/>
      <c r="S1452" s="49" t="n"/>
      <c r="T1452" s="49" t="n"/>
      <c r="U1452" s="48">
        <f>IF(OR($B1452="",$K1452=""),"",WORKDAY($B1452,IFERROR(INDEX(CONFIG!$C$4:$C$43,MATCH($K1452,CONFIG!$A$4:$A$43,0)),3)))</f>
        <v/>
      </c>
      <c r="V1452" s="46" t="n"/>
      <c r="W1452" s="23">
        <f>IF($B1452="","",IF($V1452&lt;&gt;"",$V1452-$B1452,TODAY()-$B1452))</f>
        <v/>
      </c>
      <c r="X1452" s="27">
        <f>IF($C1452="","",IF(IFERROR(INDEX(CONFIG!$K$4:$K$43,MATCH($S1452,CONFIG!$J$4:$J$43,0)),"NO")="SÍ",IF(OR($V1452="",$U1452=""),"Resuelta",IF($V1452&gt;$U1452,"Resuelta tarde","Resuelta a tiempo")),IF($U1452="","Sin clasificar",IF(TODAY()&gt;$U1452,"Vencida",IF(TODAY()&gt;=$U1452-1,"Por vencer","En plazo")))))</f>
        <v/>
      </c>
      <c r="Y1452" s="49" t="n"/>
      <c r="Z1452" s="49" t="n"/>
    </row>
    <row r="1453" ht="16" customHeight="1">
      <c r="A1453" s="27">
        <f>IF($C1453="","","N-"&amp;TEXT(ROW()-3,"0000"))</f>
        <v/>
      </c>
      <c r="B1453" s="46" t="n"/>
      <c r="C1453" s="47" t="n"/>
      <c r="D1453" s="27">
        <f>IF($C1453="","",IF(COUNTIFS(ENVIOS!$A$4:$A$3003,$C1453)=0,"NO EXISTE",IF(COUNTIFS(ENVIOS!$A$4:$A$3003,$C1453)&gt;1,"DUPLICADA","OK")))</f>
        <v/>
      </c>
      <c r="E1453" s="22">
        <f>IF($C1453="","",IFERROR(INDEX(ENVIOS!$C$4:$C$3003,MATCH($C1453,ENVIOS!$A$4:$A$3003,0)),"—"))</f>
        <v/>
      </c>
      <c r="F1453" s="22">
        <f>IF($C1453="","",IFERROR(INDEX(ENVIOS!$D$4:$D$3003,MATCH($C1453,ENVIOS!$A$4:$A$3003,0)),"—"))</f>
        <v/>
      </c>
      <c r="G1453" s="22">
        <f>IF($C1453="","",IFERROR(INDEX(ENVIOS!$E$4:$E$3003,MATCH($C1453,ENVIOS!$A$4:$A$3003,0)),"—"))</f>
        <v/>
      </c>
      <c r="H1453" s="22">
        <f>IF($C1453="","",IFERROR(INDEX(ENVIOS!$F$4:$F$3003,MATCH($C1453,ENVIOS!$A$4:$A$3003,0)),"—"))</f>
        <v/>
      </c>
      <c r="I1453" s="27">
        <f>IF($C1453="","",IFERROR(INDEX(ENVIOS!$G$4:$G$3003,MATCH($C1453,ENVIOS!$A$4:$A$3003,0)),"—"))</f>
        <v/>
      </c>
      <c r="J1453" s="48">
        <f>IF($C1453="","",IFERROR(INDEX(ENVIOS!$B$4:$B$3003,MATCH($C1453,ENVIOS!$A$4:$A$3003,0)),""))</f>
        <v/>
      </c>
      <c r="K1453" s="49" t="n"/>
      <c r="L1453" s="27">
        <f>IF($K1453="","",IFERROR(INDEX(CONFIG!$B$4:$B$43,MATCH($K1453,CONFIG!$A$4:$A$43,0)),"Media"))</f>
        <v/>
      </c>
      <c r="M1453" s="27">
        <f>IF($K1453="","",IFERROR(INDEX(CONFIG!$D$4:$D$43,MATCH($K1453,CONFIG!$A$4:$A$43,0)),"NO"))</f>
        <v/>
      </c>
      <c r="N1453" s="49" t="n"/>
      <c r="O1453" s="27">
        <f>IF($N1453="","",IFERROR(INDEX(CONFIG!$G$4:$G$43,MATCH($N1453,CONFIG!$F$4:$F$43,0)),"Por definir"))</f>
        <v/>
      </c>
      <c r="P1453" s="27">
        <f>IF($N1453="","",IFERROR(INDEX(CONFIG!$H$4:$H$43,MATCH($N1453,CONFIG!$F$4:$F$43,0)),"Por definir"))</f>
        <v/>
      </c>
      <c r="Q1453" s="50" t="n"/>
      <c r="R1453" s="51" t="n"/>
      <c r="S1453" s="49" t="n"/>
      <c r="T1453" s="49" t="n"/>
      <c r="U1453" s="48">
        <f>IF(OR($B1453="",$K1453=""),"",WORKDAY($B1453,IFERROR(INDEX(CONFIG!$C$4:$C$43,MATCH($K1453,CONFIG!$A$4:$A$43,0)),3)))</f>
        <v/>
      </c>
      <c r="V1453" s="46" t="n"/>
      <c r="W1453" s="23">
        <f>IF($B1453="","",IF($V1453&lt;&gt;"",$V1453-$B1453,TODAY()-$B1453))</f>
        <v/>
      </c>
      <c r="X1453" s="27">
        <f>IF($C1453="","",IF(IFERROR(INDEX(CONFIG!$K$4:$K$43,MATCH($S1453,CONFIG!$J$4:$J$43,0)),"NO")="SÍ",IF(OR($V1453="",$U1453=""),"Resuelta",IF($V1453&gt;$U1453,"Resuelta tarde","Resuelta a tiempo")),IF($U1453="","Sin clasificar",IF(TODAY()&gt;$U1453,"Vencida",IF(TODAY()&gt;=$U1453-1,"Por vencer","En plazo")))))</f>
        <v/>
      </c>
      <c r="Y1453" s="49" t="n"/>
      <c r="Z1453" s="49" t="n"/>
    </row>
    <row r="1454" ht="16" customHeight="1">
      <c r="A1454" s="27">
        <f>IF($C1454="","","N-"&amp;TEXT(ROW()-3,"0000"))</f>
        <v/>
      </c>
      <c r="B1454" s="46" t="n"/>
      <c r="C1454" s="47" t="n"/>
      <c r="D1454" s="27">
        <f>IF($C1454="","",IF(COUNTIFS(ENVIOS!$A$4:$A$3003,$C1454)=0,"NO EXISTE",IF(COUNTIFS(ENVIOS!$A$4:$A$3003,$C1454)&gt;1,"DUPLICADA","OK")))</f>
        <v/>
      </c>
      <c r="E1454" s="22">
        <f>IF($C1454="","",IFERROR(INDEX(ENVIOS!$C$4:$C$3003,MATCH($C1454,ENVIOS!$A$4:$A$3003,0)),"—"))</f>
        <v/>
      </c>
      <c r="F1454" s="22">
        <f>IF($C1454="","",IFERROR(INDEX(ENVIOS!$D$4:$D$3003,MATCH($C1454,ENVIOS!$A$4:$A$3003,0)),"—"))</f>
        <v/>
      </c>
      <c r="G1454" s="22">
        <f>IF($C1454="","",IFERROR(INDEX(ENVIOS!$E$4:$E$3003,MATCH($C1454,ENVIOS!$A$4:$A$3003,0)),"—"))</f>
        <v/>
      </c>
      <c r="H1454" s="22">
        <f>IF($C1454="","",IFERROR(INDEX(ENVIOS!$F$4:$F$3003,MATCH($C1454,ENVIOS!$A$4:$A$3003,0)),"—"))</f>
        <v/>
      </c>
      <c r="I1454" s="27">
        <f>IF($C1454="","",IFERROR(INDEX(ENVIOS!$G$4:$G$3003,MATCH($C1454,ENVIOS!$A$4:$A$3003,0)),"—"))</f>
        <v/>
      </c>
      <c r="J1454" s="48">
        <f>IF($C1454="","",IFERROR(INDEX(ENVIOS!$B$4:$B$3003,MATCH($C1454,ENVIOS!$A$4:$A$3003,0)),""))</f>
        <v/>
      </c>
      <c r="K1454" s="49" t="n"/>
      <c r="L1454" s="27">
        <f>IF($K1454="","",IFERROR(INDEX(CONFIG!$B$4:$B$43,MATCH($K1454,CONFIG!$A$4:$A$43,0)),"Media"))</f>
        <v/>
      </c>
      <c r="M1454" s="27">
        <f>IF($K1454="","",IFERROR(INDEX(CONFIG!$D$4:$D$43,MATCH($K1454,CONFIG!$A$4:$A$43,0)),"NO"))</f>
        <v/>
      </c>
      <c r="N1454" s="49" t="n"/>
      <c r="O1454" s="27">
        <f>IF($N1454="","",IFERROR(INDEX(CONFIG!$G$4:$G$43,MATCH($N1454,CONFIG!$F$4:$F$43,0)),"Por definir"))</f>
        <v/>
      </c>
      <c r="P1454" s="27">
        <f>IF($N1454="","",IFERROR(INDEX(CONFIG!$H$4:$H$43,MATCH($N1454,CONFIG!$F$4:$F$43,0)),"Por definir"))</f>
        <v/>
      </c>
      <c r="Q1454" s="50" t="n"/>
      <c r="R1454" s="51" t="n"/>
      <c r="S1454" s="49" t="n"/>
      <c r="T1454" s="49" t="n"/>
      <c r="U1454" s="48">
        <f>IF(OR($B1454="",$K1454=""),"",WORKDAY($B1454,IFERROR(INDEX(CONFIG!$C$4:$C$43,MATCH($K1454,CONFIG!$A$4:$A$43,0)),3)))</f>
        <v/>
      </c>
      <c r="V1454" s="46" t="n"/>
      <c r="W1454" s="23">
        <f>IF($B1454="","",IF($V1454&lt;&gt;"",$V1454-$B1454,TODAY()-$B1454))</f>
        <v/>
      </c>
      <c r="X1454" s="27">
        <f>IF($C1454="","",IF(IFERROR(INDEX(CONFIG!$K$4:$K$43,MATCH($S1454,CONFIG!$J$4:$J$43,0)),"NO")="SÍ",IF(OR($V1454="",$U1454=""),"Resuelta",IF($V1454&gt;$U1454,"Resuelta tarde","Resuelta a tiempo")),IF($U1454="","Sin clasificar",IF(TODAY()&gt;$U1454,"Vencida",IF(TODAY()&gt;=$U1454-1,"Por vencer","En plazo")))))</f>
        <v/>
      </c>
      <c r="Y1454" s="49" t="n"/>
      <c r="Z1454" s="49" t="n"/>
    </row>
    <row r="1455" ht="16" customHeight="1">
      <c r="A1455" s="27">
        <f>IF($C1455="","","N-"&amp;TEXT(ROW()-3,"0000"))</f>
        <v/>
      </c>
      <c r="B1455" s="46" t="n"/>
      <c r="C1455" s="47" t="n"/>
      <c r="D1455" s="27">
        <f>IF($C1455="","",IF(COUNTIFS(ENVIOS!$A$4:$A$3003,$C1455)=0,"NO EXISTE",IF(COUNTIFS(ENVIOS!$A$4:$A$3003,$C1455)&gt;1,"DUPLICADA","OK")))</f>
        <v/>
      </c>
      <c r="E1455" s="22">
        <f>IF($C1455="","",IFERROR(INDEX(ENVIOS!$C$4:$C$3003,MATCH($C1455,ENVIOS!$A$4:$A$3003,0)),"—"))</f>
        <v/>
      </c>
      <c r="F1455" s="22">
        <f>IF($C1455="","",IFERROR(INDEX(ENVIOS!$D$4:$D$3003,MATCH($C1455,ENVIOS!$A$4:$A$3003,0)),"—"))</f>
        <v/>
      </c>
      <c r="G1455" s="22">
        <f>IF($C1455="","",IFERROR(INDEX(ENVIOS!$E$4:$E$3003,MATCH($C1455,ENVIOS!$A$4:$A$3003,0)),"—"))</f>
        <v/>
      </c>
      <c r="H1455" s="22">
        <f>IF($C1455="","",IFERROR(INDEX(ENVIOS!$F$4:$F$3003,MATCH($C1455,ENVIOS!$A$4:$A$3003,0)),"—"))</f>
        <v/>
      </c>
      <c r="I1455" s="27">
        <f>IF($C1455="","",IFERROR(INDEX(ENVIOS!$G$4:$G$3003,MATCH($C1455,ENVIOS!$A$4:$A$3003,0)),"—"))</f>
        <v/>
      </c>
      <c r="J1455" s="48">
        <f>IF($C1455="","",IFERROR(INDEX(ENVIOS!$B$4:$B$3003,MATCH($C1455,ENVIOS!$A$4:$A$3003,0)),""))</f>
        <v/>
      </c>
      <c r="K1455" s="49" t="n"/>
      <c r="L1455" s="27">
        <f>IF($K1455="","",IFERROR(INDEX(CONFIG!$B$4:$B$43,MATCH($K1455,CONFIG!$A$4:$A$43,0)),"Media"))</f>
        <v/>
      </c>
      <c r="M1455" s="27">
        <f>IF($K1455="","",IFERROR(INDEX(CONFIG!$D$4:$D$43,MATCH($K1455,CONFIG!$A$4:$A$43,0)),"NO"))</f>
        <v/>
      </c>
      <c r="N1455" s="49" t="n"/>
      <c r="O1455" s="27">
        <f>IF($N1455="","",IFERROR(INDEX(CONFIG!$G$4:$G$43,MATCH($N1455,CONFIG!$F$4:$F$43,0)),"Por definir"))</f>
        <v/>
      </c>
      <c r="P1455" s="27">
        <f>IF($N1455="","",IFERROR(INDEX(CONFIG!$H$4:$H$43,MATCH($N1455,CONFIG!$F$4:$F$43,0)),"Por definir"))</f>
        <v/>
      </c>
      <c r="Q1455" s="50" t="n"/>
      <c r="R1455" s="51" t="n"/>
      <c r="S1455" s="49" t="n"/>
      <c r="T1455" s="49" t="n"/>
      <c r="U1455" s="48">
        <f>IF(OR($B1455="",$K1455=""),"",WORKDAY($B1455,IFERROR(INDEX(CONFIG!$C$4:$C$43,MATCH($K1455,CONFIG!$A$4:$A$43,0)),3)))</f>
        <v/>
      </c>
      <c r="V1455" s="46" t="n"/>
      <c r="W1455" s="23">
        <f>IF($B1455="","",IF($V1455&lt;&gt;"",$V1455-$B1455,TODAY()-$B1455))</f>
        <v/>
      </c>
      <c r="X1455" s="27">
        <f>IF($C1455="","",IF(IFERROR(INDEX(CONFIG!$K$4:$K$43,MATCH($S1455,CONFIG!$J$4:$J$43,0)),"NO")="SÍ",IF(OR($V1455="",$U1455=""),"Resuelta",IF($V1455&gt;$U1455,"Resuelta tarde","Resuelta a tiempo")),IF($U1455="","Sin clasificar",IF(TODAY()&gt;$U1455,"Vencida",IF(TODAY()&gt;=$U1455-1,"Por vencer","En plazo")))))</f>
        <v/>
      </c>
      <c r="Y1455" s="49" t="n"/>
      <c r="Z1455" s="49" t="n"/>
    </row>
    <row r="1456" ht="16" customHeight="1">
      <c r="A1456" s="27">
        <f>IF($C1456="","","N-"&amp;TEXT(ROW()-3,"0000"))</f>
        <v/>
      </c>
      <c r="B1456" s="46" t="n"/>
      <c r="C1456" s="47" t="n"/>
      <c r="D1456" s="27">
        <f>IF($C1456="","",IF(COUNTIFS(ENVIOS!$A$4:$A$3003,$C1456)=0,"NO EXISTE",IF(COUNTIFS(ENVIOS!$A$4:$A$3003,$C1456)&gt;1,"DUPLICADA","OK")))</f>
        <v/>
      </c>
      <c r="E1456" s="22">
        <f>IF($C1456="","",IFERROR(INDEX(ENVIOS!$C$4:$C$3003,MATCH($C1456,ENVIOS!$A$4:$A$3003,0)),"—"))</f>
        <v/>
      </c>
      <c r="F1456" s="22">
        <f>IF($C1456="","",IFERROR(INDEX(ENVIOS!$D$4:$D$3003,MATCH($C1456,ENVIOS!$A$4:$A$3003,0)),"—"))</f>
        <v/>
      </c>
      <c r="G1456" s="22">
        <f>IF($C1456="","",IFERROR(INDEX(ENVIOS!$E$4:$E$3003,MATCH($C1456,ENVIOS!$A$4:$A$3003,0)),"—"))</f>
        <v/>
      </c>
      <c r="H1456" s="22">
        <f>IF($C1456="","",IFERROR(INDEX(ENVIOS!$F$4:$F$3003,MATCH($C1456,ENVIOS!$A$4:$A$3003,0)),"—"))</f>
        <v/>
      </c>
      <c r="I1456" s="27">
        <f>IF($C1456="","",IFERROR(INDEX(ENVIOS!$G$4:$G$3003,MATCH($C1456,ENVIOS!$A$4:$A$3003,0)),"—"))</f>
        <v/>
      </c>
      <c r="J1456" s="48">
        <f>IF($C1456="","",IFERROR(INDEX(ENVIOS!$B$4:$B$3003,MATCH($C1456,ENVIOS!$A$4:$A$3003,0)),""))</f>
        <v/>
      </c>
      <c r="K1456" s="49" t="n"/>
      <c r="L1456" s="27">
        <f>IF($K1456="","",IFERROR(INDEX(CONFIG!$B$4:$B$43,MATCH($K1456,CONFIG!$A$4:$A$43,0)),"Media"))</f>
        <v/>
      </c>
      <c r="M1456" s="27">
        <f>IF($K1456="","",IFERROR(INDEX(CONFIG!$D$4:$D$43,MATCH($K1456,CONFIG!$A$4:$A$43,0)),"NO"))</f>
        <v/>
      </c>
      <c r="N1456" s="49" t="n"/>
      <c r="O1456" s="27">
        <f>IF($N1456="","",IFERROR(INDEX(CONFIG!$G$4:$G$43,MATCH($N1456,CONFIG!$F$4:$F$43,0)),"Por definir"))</f>
        <v/>
      </c>
      <c r="P1456" s="27">
        <f>IF($N1456="","",IFERROR(INDEX(CONFIG!$H$4:$H$43,MATCH($N1456,CONFIG!$F$4:$F$43,0)),"Por definir"))</f>
        <v/>
      </c>
      <c r="Q1456" s="50" t="n"/>
      <c r="R1456" s="51" t="n"/>
      <c r="S1456" s="49" t="n"/>
      <c r="T1456" s="49" t="n"/>
      <c r="U1456" s="48">
        <f>IF(OR($B1456="",$K1456=""),"",WORKDAY($B1456,IFERROR(INDEX(CONFIG!$C$4:$C$43,MATCH($K1456,CONFIG!$A$4:$A$43,0)),3)))</f>
        <v/>
      </c>
      <c r="V1456" s="46" t="n"/>
      <c r="W1456" s="23">
        <f>IF($B1456="","",IF($V1456&lt;&gt;"",$V1456-$B1456,TODAY()-$B1456))</f>
        <v/>
      </c>
      <c r="X1456" s="27">
        <f>IF($C1456="","",IF(IFERROR(INDEX(CONFIG!$K$4:$K$43,MATCH($S1456,CONFIG!$J$4:$J$43,0)),"NO")="SÍ",IF(OR($V1456="",$U1456=""),"Resuelta",IF($V1456&gt;$U1456,"Resuelta tarde","Resuelta a tiempo")),IF($U1456="","Sin clasificar",IF(TODAY()&gt;$U1456,"Vencida",IF(TODAY()&gt;=$U1456-1,"Por vencer","En plazo")))))</f>
        <v/>
      </c>
      <c r="Y1456" s="49" t="n"/>
      <c r="Z1456" s="49" t="n"/>
    </row>
    <row r="1457" ht="16" customHeight="1">
      <c r="A1457" s="27">
        <f>IF($C1457="","","N-"&amp;TEXT(ROW()-3,"0000"))</f>
        <v/>
      </c>
      <c r="B1457" s="46" t="n"/>
      <c r="C1457" s="47" t="n"/>
      <c r="D1457" s="27">
        <f>IF($C1457="","",IF(COUNTIFS(ENVIOS!$A$4:$A$3003,$C1457)=0,"NO EXISTE",IF(COUNTIFS(ENVIOS!$A$4:$A$3003,$C1457)&gt;1,"DUPLICADA","OK")))</f>
        <v/>
      </c>
      <c r="E1457" s="22">
        <f>IF($C1457="","",IFERROR(INDEX(ENVIOS!$C$4:$C$3003,MATCH($C1457,ENVIOS!$A$4:$A$3003,0)),"—"))</f>
        <v/>
      </c>
      <c r="F1457" s="22">
        <f>IF($C1457="","",IFERROR(INDEX(ENVIOS!$D$4:$D$3003,MATCH($C1457,ENVIOS!$A$4:$A$3003,0)),"—"))</f>
        <v/>
      </c>
      <c r="G1457" s="22">
        <f>IF($C1457="","",IFERROR(INDEX(ENVIOS!$E$4:$E$3003,MATCH($C1457,ENVIOS!$A$4:$A$3003,0)),"—"))</f>
        <v/>
      </c>
      <c r="H1457" s="22">
        <f>IF($C1457="","",IFERROR(INDEX(ENVIOS!$F$4:$F$3003,MATCH($C1457,ENVIOS!$A$4:$A$3003,0)),"—"))</f>
        <v/>
      </c>
      <c r="I1457" s="27">
        <f>IF($C1457="","",IFERROR(INDEX(ENVIOS!$G$4:$G$3003,MATCH($C1457,ENVIOS!$A$4:$A$3003,0)),"—"))</f>
        <v/>
      </c>
      <c r="J1457" s="48">
        <f>IF($C1457="","",IFERROR(INDEX(ENVIOS!$B$4:$B$3003,MATCH($C1457,ENVIOS!$A$4:$A$3003,0)),""))</f>
        <v/>
      </c>
      <c r="K1457" s="49" t="n"/>
      <c r="L1457" s="27">
        <f>IF($K1457="","",IFERROR(INDEX(CONFIG!$B$4:$B$43,MATCH($K1457,CONFIG!$A$4:$A$43,0)),"Media"))</f>
        <v/>
      </c>
      <c r="M1457" s="27">
        <f>IF($K1457="","",IFERROR(INDEX(CONFIG!$D$4:$D$43,MATCH($K1457,CONFIG!$A$4:$A$43,0)),"NO"))</f>
        <v/>
      </c>
      <c r="N1457" s="49" t="n"/>
      <c r="O1457" s="27">
        <f>IF($N1457="","",IFERROR(INDEX(CONFIG!$G$4:$G$43,MATCH($N1457,CONFIG!$F$4:$F$43,0)),"Por definir"))</f>
        <v/>
      </c>
      <c r="P1457" s="27">
        <f>IF($N1457="","",IFERROR(INDEX(CONFIG!$H$4:$H$43,MATCH($N1457,CONFIG!$F$4:$F$43,0)),"Por definir"))</f>
        <v/>
      </c>
      <c r="Q1457" s="50" t="n"/>
      <c r="R1457" s="51" t="n"/>
      <c r="S1457" s="49" t="n"/>
      <c r="T1457" s="49" t="n"/>
      <c r="U1457" s="48">
        <f>IF(OR($B1457="",$K1457=""),"",WORKDAY($B1457,IFERROR(INDEX(CONFIG!$C$4:$C$43,MATCH($K1457,CONFIG!$A$4:$A$43,0)),3)))</f>
        <v/>
      </c>
      <c r="V1457" s="46" t="n"/>
      <c r="W1457" s="23">
        <f>IF($B1457="","",IF($V1457&lt;&gt;"",$V1457-$B1457,TODAY()-$B1457))</f>
        <v/>
      </c>
      <c r="X1457" s="27">
        <f>IF($C1457="","",IF(IFERROR(INDEX(CONFIG!$K$4:$K$43,MATCH($S1457,CONFIG!$J$4:$J$43,0)),"NO")="SÍ",IF(OR($V1457="",$U1457=""),"Resuelta",IF($V1457&gt;$U1457,"Resuelta tarde","Resuelta a tiempo")),IF($U1457="","Sin clasificar",IF(TODAY()&gt;$U1457,"Vencida",IF(TODAY()&gt;=$U1457-1,"Por vencer","En plazo")))))</f>
        <v/>
      </c>
      <c r="Y1457" s="49" t="n"/>
      <c r="Z1457" s="49" t="n"/>
    </row>
    <row r="1458" ht="16" customHeight="1">
      <c r="A1458" s="27">
        <f>IF($C1458="","","N-"&amp;TEXT(ROW()-3,"0000"))</f>
        <v/>
      </c>
      <c r="B1458" s="46" t="n"/>
      <c r="C1458" s="47" t="n"/>
      <c r="D1458" s="27">
        <f>IF($C1458="","",IF(COUNTIFS(ENVIOS!$A$4:$A$3003,$C1458)=0,"NO EXISTE",IF(COUNTIFS(ENVIOS!$A$4:$A$3003,$C1458)&gt;1,"DUPLICADA","OK")))</f>
        <v/>
      </c>
      <c r="E1458" s="22">
        <f>IF($C1458="","",IFERROR(INDEX(ENVIOS!$C$4:$C$3003,MATCH($C1458,ENVIOS!$A$4:$A$3003,0)),"—"))</f>
        <v/>
      </c>
      <c r="F1458" s="22">
        <f>IF($C1458="","",IFERROR(INDEX(ENVIOS!$D$4:$D$3003,MATCH($C1458,ENVIOS!$A$4:$A$3003,0)),"—"))</f>
        <v/>
      </c>
      <c r="G1458" s="22">
        <f>IF($C1458="","",IFERROR(INDEX(ENVIOS!$E$4:$E$3003,MATCH($C1458,ENVIOS!$A$4:$A$3003,0)),"—"))</f>
        <v/>
      </c>
      <c r="H1458" s="22">
        <f>IF($C1458="","",IFERROR(INDEX(ENVIOS!$F$4:$F$3003,MATCH($C1458,ENVIOS!$A$4:$A$3003,0)),"—"))</f>
        <v/>
      </c>
      <c r="I1458" s="27">
        <f>IF($C1458="","",IFERROR(INDEX(ENVIOS!$G$4:$G$3003,MATCH($C1458,ENVIOS!$A$4:$A$3003,0)),"—"))</f>
        <v/>
      </c>
      <c r="J1458" s="48">
        <f>IF($C1458="","",IFERROR(INDEX(ENVIOS!$B$4:$B$3003,MATCH($C1458,ENVIOS!$A$4:$A$3003,0)),""))</f>
        <v/>
      </c>
      <c r="K1458" s="49" t="n"/>
      <c r="L1458" s="27">
        <f>IF($K1458="","",IFERROR(INDEX(CONFIG!$B$4:$B$43,MATCH($K1458,CONFIG!$A$4:$A$43,0)),"Media"))</f>
        <v/>
      </c>
      <c r="M1458" s="27">
        <f>IF($K1458="","",IFERROR(INDEX(CONFIG!$D$4:$D$43,MATCH($K1458,CONFIG!$A$4:$A$43,0)),"NO"))</f>
        <v/>
      </c>
      <c r="N1458" s="49" t="n"/>
      <c r="O1458" s="27">
        <f>IF($N1458="","",IFERROR(INDEX(CONFIG!$G$4:$G$43,MATCH($N1458,CONFIG!$F$4:$F$43,0)),"Por definir"))</f>
        <v/>
      </c>
      <c r="P1458" s="27">
        <f>IF($N1458="","",IFERROR(INDEX(CONFIG!$H$4:$H$43,MATCH($N1458,CONFIG!$F$4:$F$43,0)),"Por definir"))</f>
        <v/>
      </c>
      <c r="Q1458" s="50" t="n"/>
      <c r="R1458" s="51" t="n"/>
      <c r="S1458" s="49" t="n"/>
      <c r="T1458" s="49" t="n"/>
      <c r="U1458" s="48">
        <f>IF(OR($B1458="",$K1458=""),"",WORKDAY($B1458,IFERROR(INDEX(CONFIG!$C$4:$C$43,MATCH($K1458,CONFIG!$A$4:$A$43,0)),3)))</f>
        <v/>
      </c>
      <c r="V1458" s="46" t="n"/>
      <c r="W1458" s="23">
        <f>IF($B1458="","",IF($V1458&lt;&gt;"",$V1458-$B1458,TODAY()-$B1458))</f>
        <v/>
      </c>
      <c r="X1458" s="27">
        <f>IF($C1458="","",IF(IFERROR(INDEX(CONFIG!$K$4:$K$43,MATCH($S1458,CONFIG!$J$4:$J$43,0)),"NO")="SÍ",IF(OR($V1458="",$U1458=""),"Resuelta",IF($V1458&gt;$U1458,"Resuelta tarde","Resuelta a tiempo")),IF($U1458="","Sin clasificar",IF(TODAY()&gt;$U1458,"Vencida",IF(TODAY()&gt;=$U1458-1,"Por vencer","En plazo")))))</f>
        <v/>
      </c>
      <c r="Y1458" s="49" t="n"/>
      <c r="Z1458" s="49" t="n"/>
    </row>
    <row r="1459" ht="16" customHeight="1">
      <c r="A1459" s="27">
        <f>IF($C1459="","","N-"&amp;TEXT(ROW()-3,"0000"))</f>
        <v/>
      </c>
      <c r="B1459" s="46" t="n"/>
      <c r="C1459" s="47" t="n"/>
      <c r="D1459" s="27">
        <f>IF($C1459="","",IF(COUNTIFS(ENVIOS!$A$4:$A$3003,$C1459)=0,"NO EXISTE",IF(COUNTIFS(ENVIOS!$A$4:$A$3003,$C1459)&gt;1,"DUPLICADA","OK")))</f>
        <v/>
      </c>
      <c r="E1459" s="22">
        <f>IF($C1459="","",IFERROR(INDEX(ENVIOS!$C$4:$C$3003,MATCH($C1459,ENVIOS!$A$4:$A$3003,0)),"—"))</f>
        <v/>
      </c>
      <c r="F1459" s="22">
        <f>IF($C1459="","",IFERROR(INDEX(ENVIOS!$D$4:$D$3003,MATCH($C1459,ENVIOS!$A$4:$A$3003,0)),"—"))</f>
        <v/>
      </c>
      <c r="G1459" s="22">
        <f>IF($C1459="","",IFERROR(INDEX(ENVIOS!$E$4:$E$3003,MATCH($C1459,ENVIOS!$A$4:$A$3003,0)),"—"))</f>
        <v/>
      </c>
      <c r="H1459" s="22">
        <f>IF($C1459="","",IFERROR(INDEX(ENVIOS!$F$4:$F$3003,MATCH($C1459,ENVIOS!$A$4:$A$3003,0)),"—"))</f>
        <v/>
      </c>
      <c r="I1459" s="27">
        <f>IF($C1459="","",IFERROR(INDEX(ENVIOS!$G$4:$G$3003,MATCH($C1459,ENVIOS!$A$4:$A$3003,0)),"—"))</f>
        <v/>
      </c>
      <c r="J1459" s="48">
        <f>IF($C1459="","",IFERROR(INDEX(ENVIOS!$B$4:$B$3003,MATCH($C1459,ENVIOS!$A$4:$A$3003,0)),""))</f>
        <v/>
      </c>
      <c r="K1459" s="49" t="n"/>
      <c r="L1459" s="27">
        <f>IF($K1459="","",IFERROR(INDEX(CONFIG!$B$4:$B$43,MATCH($K1459,CONFIG!$A$4:$A$43,0)),"Media"))</f>
        <v/>
      </c>
      <c r="M1459" s="27">
        <f>IF($K1459="","",IFERROR(INDEX(CONFIG!$D$4:$D$43,MATCH($K1459,CONFIG!$A$4:$A$43,0)),"NO"))</f>
        <v/>
      </c>
      <c r="N1459" s="49" t="n"/>
      <c r="O1459" s="27">
        <f>IF($N1459="","",IFERROR(INDEX(CONFIG!$G$4:$G$43,MATCH($N1459,CONFIG!$F$4:$F$43,0)),"Por definir"))</f>
        <v/>
      </c>
      <c r="P1459" s="27">
        <f>IF($N1459="","",IFERROR(INDEX(CONFIG!$H$4:$H$43,MATCH($N1459,CONFIG!$F$4:$F$43,0)),"Por definir"))</f>
        <v/>
      </c>
      <c r="Q1459" s="50" t="n"/>
      <c r="R1459" s="51" t="n"/>
      <c r="S1459" s="49" t="n"/>
      <c r="T1459" s="49" t="n"/>
      <c r="U1459" s="48">
        <f>IF(OR($B1459="",$K1459=""),"",WORKDAY($B1459,IFERROR(INDEX(CONFIG!$C$4:$C$43,MATCH($K1459,CONFIG!$A$4:$A$43,0)),3)))</f>
        <v/>
      </c>
      <c r="V1459" s="46" t="n"/>
      <c r="W1459" s="23">
        <f>IF($B1459="","",IF($V1459&lt;&gt;"",$V1459-$B1459,TODAY()-$B1459))</f>
        <v/>
      </c>
      <c r="X1459" s="27">
        <f>IF($C1459="","",IF(IFERROR(INDEX(CONFIG!$K$4:$K$43,MATCH($S1459,CONFIG!$J$4:$J$43,0)),"NO")="SÍ",IF(OR($V1459="",$U1459=""),"Resuelta",IF($V1459&gt;$U1459,"Resuelta tarde","Resuelta a tiempo")),IF($U1459="","Sin clasificar",IF(TODAY()&gt;$U1459,"Vencida",IF(TODAY()&gt;=$U1459-1,"Por vencer","En plazo")))))</f>
        <v/>
      </c>
      <c r="Y1459" s="49" t="n"/>
      <c r="Z1459" s="49" t="n"/>
    </row>
    <row r="1460" ht="16" customHeight="1">
      <c r="A1460" s="27">
        <f>IF($C1460="","","N-"&amp;TEXT(ROW()-3,"0000"))</f>
        <v/>
      </c>
      <c r="B1460" s="46" t="n"/>
      <c r="C1460" s="47" t="n"/>
      <c r="D1460" s="27">
        <f>IF($C1460="","",IF(COUNTIFS(ENVIOS!$A$4:$A$3003,$C1460)=0,"NO EXISTE",IF(COUNTIFS(ENVIOS!$A$4:$A$3003,$C1460)&gt;1,"DUPLICADA","OK")))</f>
        <v/>
      </c>
      <c r="E1460" s="22">
        <f>IF($C1460="","",IFERROR(INDEX(ENVIOS!$C$4:$C$3003,MATCH($C1460,ENVIOS!$A$4:$A$3003,0)),"—"))</f>
        <v/>
      </c>
      <c r="F1460" s="22">
        <f>IF($C1460="","",IFERROR(INDEX(ENVIOS!$D$4:$D$3003,MATCH($C1460,ENVIOS!$A$4:$A$3003,0)),"—"))</f>
        <v/>
      </c>
      <c r="G1460" s="22">
        <f>IF($C1460="","",IFERROR(INDEX(ENVIOS!$E$4:$E$3003,MATCH($C1460,ENVIOS!$A$4:$A$3003,0)),"—"))</f>
        <v/>
      </c>
      <c r="H1460" s="22">
        <f>IF($C1460="","",IFERROR(INDEX(ENVIOS!$F$4:$F$3003,MATCH($C1460,ENVIOS!$A$4:$A$3003,0)),"—"))</f>
        <v/>
      </c>
      <c r="I1460" s="27">
        <f>IF($C1460="","",IFERROR(INDEX(ENVIOS!$G$4:$G$3003,MATCH($C1460,ENVIOS!$A$4:$A$3003,0)),"—"))</f>
        <v/>
      </c>
      <c r="J1460" s="48">
        <f>IF($C1460="","",IFERROR(INDEX(ENVIOS!$B$4:$B$3003,MATCH($C1460,ENVIOS!$A$4:$A$3003,0)),""))</f>
        <v/>
      </c>
      <c r="K1460" s="49" t="n"/>
      <c r="L1460" s="27">
        <f>IF($K1460="","",IFERROR(INDEX(CONFIG!$B$4:$B$43,MATCH($K1460,CONFIG!$A$4:$A$43,0)),"Media"))</f>
        <v/>
      </c>
      <c r="M1460" s="27">
        <f>IF($K1460="","",IFERROR(INDEX(CONFIG!$D$4:$D$43,MATCH($K1460,CONFIG!$A$4:$A$43,0)),"NO"))</f>
        <v/>
      </c>
      <c r="N1460" s="49" t="n"/>
      <c r="O1460" s="27">
        <f>IF($N1460="","",IFERROR(INDEX(CONFIG!$G$4:$G$43,MATCH($N1460,CONFIG!$F$4:$F$43,0)),"Por definir"))</f>
        <v/>
      </c>
      <c r="P1460" s="27">
        <f>IF($N1460="","",IFERROR(INDEX(CONFIG!$H$4:$H$43,MATCH($N1460,CONFIG!$F$4:$F$43,0)),"Por definir"))</f>
        <v/>
      </c>
      <c r="Q1460" s="50" t="n"/>
      <c r="R1460" s="51" t="n"/>
      <c r="S1460" s="49" t="n"/>
      <c r="T1460" s="49" t="n"/>
      <c r="U1460" s="48">
        <f>IF(OR($B1460="",$K1460=""),"",WORKDAY($B1460,IFERROR(INDEX(CONFIG!$C$4:$C$43,MATCH($K1460,CONFIG!$A$4:$A$43,0)),3)))</f>
        <v/>
      </c>
      <c r="V1460" s="46" t="n"/>
      <c r="W1460" s="23">
        <f>IF($B1460="","",IF($V1460&lt;&gt;"",$V1460-$B1460,TODAY()-$B1460))</f>
        <v/>
      </c>
      <c r="X1460" s="27">
        <f>IF($C1460="","",IF(IFERROR(INDEX(CONFIG!$K$4:$K$43,MATCH($S1460,CONFIG!$J$4:$J$43,0)),"NO")="SÍ",IF(OR($V1460="",$U1460=""),"Resuelta",IF($V1460&gt;$U1460,"Resuelta tarde","Resuelta a tiempo")),IF($U1460="","Sin clasificar",IF(TODAY()&gt;$U1460,"Vencida",IF(TODAY()&gt;=$U1460-1,"Por vencer","En plazo")))))</f>
        <v/>
      </c>
      <c r="Y1460" s="49" t="n"/>
      <c r="Z1460" s="49" t="n"/>
    </row>
    <row r="1461" ht="16" customHeight="1">
      <c r="A1461" s="27">
        <f>IF($C1461="","","N-"&amp;TEXT(ROW()-3,"0000"))</f>
        <v/>
      </c>
      <c r="B1461" s="46" t="n"/>
      <c r="C1461" s="47" t="n"/>
      <c r="D1461" s="27">
        <f>IF($C1461="","",IF(COUNTIFS(ENVIOS!$A$4:$A$3003,$C1461)=0,"NO EXISTE",IF(COUNTIFS(ENVIOS!$A$4:$A$3003,$C1461)&gt;1,"DUPLICADA","OK")))</f>
        <v/>
      </c>
      <c r="E1461" s="22">
        <f>IF($C1461="","",IFERROR(INDEX(ENVIOS!$C$4:$C$3003,MATCH($C1461,ENVIOS!$A$4:$A$3003,0)),"—"))</f>
        <v/>
      </c>
      <c r="F1461" s="22">
        <f>IF($C1461="","",IFERROR(INDEX(ENVIOS!$D$4:$D$3003,MATCH($C1461,ENVIOS!$A$4:$A$3003,0)),"—"))</f>
        <v/>
      </c>
      <c r="G1461" s="22">
        <f>IF($C1461="","",IFERROR(INDEX(ENVIOS!$E$4:$E$3003,MATCH($C1461,ENVIOS!$A$4:$A$3003,0)),"—"))</f>
        <v/>
      </c>
      <c r="H1461" s="22">
        <f>IF($C1461="","",IFERROR(INDEX(ENVIOS!$F$4:$F$3003,MATCH($C1461,ENVIOS!$A$4:$A$3003,0)),"—"))</f>
        <v/>
      </c>
      <c r="I1461" s="27">
        <f>IF($C1461="","",IFERROR(INDEX(ENVIOS!$G$4:$G$3003,MATCH($C1461,ENVIOS!$A$4:$A$3003,0)),"—"))</f>
        <v/>
      </c>
      <c r="J1461" s="48">
        <f>IF($C1461="","",IFERROR(INDEX(ENVIOS!$B$4:$B$3003,MATCH($C1461,ENVIOS!$A$4:$A$3003,0)),""))</f>
        <v/>
      </c>
      <c r="K1461" s="49" t="n"/>
      <c r="L1461" s="27">
        <f>IF($K1461="","",IFERROR(INDEX(CONFIG!$B$4:$B$43,MATCH($K1461,CONFIG!$A$4:$A$43,0)),"Media"))</f>
        <v/>
      </c>
      <c r="M1461" s="27">
        <f>IF($K1461="","",IFERROR(INDEX(CONFIG!$D$4:$D$43,MATCH($K1461,CONFIG!$A$4:$A$43,0)),"NO"))</f>
        <v/>
      </c>
      <c r="N1461" s="49" t="n"/>
      <c r="O1461" s="27">
        <f>IF($N1461="","",IFERROR(INDEX(CONFIG!$G$4:$G$43,MATCH($N1461,CONFIG!$F$4:$F$43,0)),"Por definir"))</f>
        <v/>
      </c>
      <c r="P1461" s="27">
        <f>IF($N1461="","",IFERROR(INDEX(CONFIG!$H$4:$H$43,MATCH($N1461,CONFIG!$F$4:$F$43,0)),"Por definir"))</f>
        <v/>
      </c>
      <c r="Q1461" s="50" t="n"/>
      <c r="R1461" s="51" t="n"/>
      <c r="S1461" s="49" t="n"/>
      <c r="T1461" s="49" t="n"/>
      <c r="U1461" s="48">
        <f>IF(OR($B1461="",$K1461=""),"",WORKDAY($B1461,IFERROR(INDEX(CONFIG!$C$4:$C$43,MATCH($K1461,CONFIG!$A$4:$A$43,0)),3)))</f>
        <v/>
      </c>
      <c r="V1461" s="46" t="n"/>
      <c r="W1461" s="23">
        <f>IF($B1461="","",IF($V1461&lt;&gt;"",$V1461-$B1461,TODAY()-$B1461))</f>
        <v/>
      </c>
      <c r="X1461" s="27">
        <f>IF($C1461="","",IF(IFERROR(INDEX(CONFIG!$K$4:$K$43,MATCH($S1461,CONFIG!$J$4:$J$43,0)),"NO")="SÍ",IF(OR($V1461="",$U1461=""),"Resuelta",IF($V1461&gt;$U1461,"Resuelta tarde","Resuelta a tiempo")),IF($U1461="","Sin clasificar",IF(TODAY()&gt;$U1461,"Vencida",IF(TODAY()&gt;=$U1461-1,"Por vencer","En plazo")))))</f>
        <v/>
      </c>
      <c r="Y1461" s="49" t="n"/>
      <c r="Z1461" s="49" t="n"/>
    </row>
    <row r="1462" ht="16" customHeight="1">
      <c r="A1462" s="27">
        <f>IF($C1462="","","N-"&amp;TEXT(ROW()-3,"0000"))</f>
        <v/>
      </c>
      <c r="B1462" s="46" t="n"/>
      <c r="C1462" s="47" t="n"/>
      <c r="D1462" s="27">
        <f>IF($C1462="","",IF(COUNTIFS(ENVIOS!$A$4:$A$3003,$C1462)=0,"NO EXISTE",IF(COUNTIFS(ENVIOS!$A$4:$A$3003,$C1462)&gt;1,"DUPLICADA","OK")))</f>
        <v/>
      </c>
      <c r="E1462" s="22">
        <f>IF($C1462="","",IFERROR(INDEX(ENVIOS!$C$4:$C$3003,MATCH($C1462,ENVIOS!$A$4:$A$3003,0)),"—"))</f>
        <v/>
      </c>
      <c r="F1462" s="22">
        <f>IF($C1462="","",IFERROR(INDEX(ENVIOS!$D$4:$D$3003,MATCH($C1462,ENVIOS!$A$4:$A$3003,0)),"—"))</f>
        <v/>
      </c>
      <c r="G1462" s="22">
        <f>IF($C1462="","",IFERROR(INDEX(ENVIOS!$E$4:$E$3003,MATCH($C1462,ENVIOS!$A$4:$A$3003,0)),"—"))</f>
        <v/>
      </c>
      <c r="H1462" s="22">
        <f>IF($C1462="","",IFERROR(INDEX(ENVIOS!$F$4:$F$3003,MATCH($C1462,ENVIOS!$A$4:$A$3003,0)),"—"))</f>
        <v/>
      </c>
      <c r="I1462" s="27">
        <f>IF($C1462="","",IFERROR(INDEX(ENVIOS!$G$4:$G$3003,MATCH($C1462,ENVIOS!$A$4:$A$3003,0)),"—"))</f>
        <v/>
      </c>
      <c r="J1462" s="48">
        <f>IF($C1462="","",IFERROR(INDEX(ENVIOS!$B$4:$B$3003,MATCH($C1462,ENVIOS!$A$4:$A$3003,0)),""))</f>
        <v/>
      </c>
      <c r="K1462" s="49" t="n"/>
      <c r="L1462" s="27">
        <f>IF($K1462="","",IFERROR(INDEX(CONFIG!$B$4:$B$43,MATCH($K1462,CONFIG!$A$4:$A$43,0)),"Media"))</f>
        <v/>
      </c>
      <c r="M1462" s="27">
        <f>IF($K1462="","",IFERROR(INDEX(CONFIG!$D$4:$D$43,MATCH($K1462,CONFIG!$A$4:$A$43,0)),"NO"))</f>
        <v/>
      </c>
      <c r="N1462" s="49" t="n"/>
      <c r="O1462" s="27">
        <f>IF($N1462="","",IFERROR(INDEX(CONFIG!$G$4:$G$43,MATCH($N1462,CONFIG!$F$4:$F$43,0)),"Por definir"))</f>
        <v/>
      </c>
      <c r="P1462" s="27">
        <f>IF($N1462="","",IFERROR(INDEX(CONFIG!$H$4:$H$43,MATCH($N1462,CONFIG!$F$4:$F$43,0)),"Por definir"))</f>
        <v/>
      </c>
      <c r="Q1462" s="50" t="n"/>
      <c r="R1462" s="51" t="n"/>
      <c r="S1462" s="49" t="n"/>
      <c r="T1462" s="49" t="n"/>
      <c r="U1462" s="48">
        <f>IF(OR($B1462="",$K1462=""),"",WORKDAY($B1462,IFERROR(INDEX(CONFIG!$C$4:$C$43,MATCH($K1462,CONFIG!$A$4:$A$43,0)),3)))</f>
        <v/>
      </c>
      <c r="V1462" s="46" t="n"/>
      <c r="W1462" s="23">
        <f>IF($B1462="","",IF($V1462&lt;&gt;"",$V1462-$B1462,TODAY()-$B1462))</f>
        <v/>
      </c>
      <c r="X1462" s="27">
        <f>IF($C1462="","",IF(IFERROR(INDEX(CONFIG!$K$4:$K$43,MATCH($S1462,CONFIG!$J$4:$J$43,0)),"NO")="SÍ",IF(OR($V1462="",$U1462=""),"Resuelta",IF($V1462&gt;$U1462,"Resuelta tarde","Resuelta a tiempo")),IF($U1462="","Sin clasificar",IF(TODAY()&gt;$U1462,"Vencida",IF(TODAY()&gt;=$U1462-1,"Por vencer","En plazo")))))</f>
        <v/>
      </c>
      <c r="Y1462" s="49" t="n"/>
      <c r="Z1462" s="49" t="n"/>
    </row>
    <row r="1463" ht="16" customHeight="1">
      <c r="A1463" s="27">
        <f>IF($C1463="","","N-"&amp;TEXT(ROW()-3,"0000"))</f>
        <v/>
      </c>
      <c r="B1463" s="46" t="n"/>
      <c r="C1463" s="47" t="n"/>
      <c r="D1463" s="27">
        <f>IF($C1463="","",IF(COUNTIFS(ENVIOS!$A$4:$A$3003,$C1463)=0,"NO EXISTE",IF(COUNTIFS(ENVIOS!$A$4:$A$3003,$C1463)&gt;1,"DUPLICADA","OK")))</f>
        <v/>
      </c>
      <c r="E1463" s="22">
        <f>IF($C1463="","",IFERROR(INDEX(ENVIOS!$C$4:$C$3003,MATCH($C1463,ENVIOS!$A$4:$A$3003,0)),"—"))</f>
        <v/>
      </c>
      <c r="F1463" s="22">
        <f>IF($C1463="","",IFERROR(INDEX(ENVIOS!$D$4:$D$3003,MATCH($C1463,ENVIOS!$A$4:$A$3003,0)),"—"))</f>
        <v/>
      </c>
      <c r="G1463" s="22">
        <f>IF($C1463="","",IFERROR(INDEX(ENVIOS!$E$4:$E$3003,MATCH($C1463,ENVIOS!$A$4:$A$3003,0)),"—"))</f>
        <v/>
      </c>
      <c r="H1463" s="22">
        <f>IF($C1463="","",IFERROR(INDEX(ENVIOS!$F$4:$F$3003,MATCH($C1463,ENVIOS!$A$4:$A$3003,0)),"—"))</f>
        <v/>
      </c>
      <c r="I1463" s="27">
        <f>IF($C1463="","",IFERROR(INDEX(ENVIOS!$G$4:$G$3003,MATCH($C1463,ENVIOS!$A$4:$A$3003,0)),"—"))</f>
        <v/>
      </c>
      <c r="J1463" s="48">
        <f>IF($C1463="","",IFERROR(INDEX(ENVIOS!$B$4:$B$3003,MATCH($C1463,ENVIOS!$A$4:$A$3003,0)),""))</f>
        <v/>
      </c>
      <c r="K1463" s="49" t="n"/>
      <c r="L1463" s="27">
        <f>IF($K1463="","",IFERROR(INDEX(CONFIG!$B$4:$B$43,MATCH($K1463,CONFIG!$A$4:$A$43,0)),"Media"))</f>
        <v/>
      </c>
      <c r="M1463" s="27">
        <f>IF($K1463="","",IFERROR(INDEX(CONFIG!$D$4:$D$43,MATCH($K1463,CONFIG!$A$4:$A$43,0)),"NO"))</f>
        <v/>
      </c>
      <c r="N1463" s="49" t="n"/>
      <c r="O1463" s="27">
        <f>IF($N1463="","",IFERROR(INDEX(CONFIG!$G$4:$G$43,MATCH($N1463,CONFIG!$F$4:$F$43,0)),"Por definir"))</f>
        <v/>
      </c>
      <c r="P1463" s="27">
        <f>IF($N1463="","",IFERROR(INDEX(CONFIG!$H$4:$H$43,MATCH($N1463,CONFIG!$F$4:$F$43,0)),"Por definir"))</f>
        <v/>
      </c>
      <c r="Q1463" s="50" t="n"/>
      <c r="R1463" s="51" t="n"/>
      <c r="S1463" s="49" t="n"/>
      <c r="T1463" s="49" t="n"/>
      <c r="U1463" s="48">
        <f>IF(OR($B1463="",$K1463=""),"",WORKDAY($B1463,IFERROR(INDEX(CONFIG!$C$4:$C$43,MATCH($K1463,CONFIG!$A$4:$A$43,0)),3)))</f>
        <v/>
      </c>
      <c r="V1463" s="46" t="n"/>
      <c r="W1463" s="23">
        <f>IF($B1463="","",IF($V1463&lt;&gt;"",$V1463-$B1463,TODAY()-$B1463))</f>
        <v/>
      </c>
      <c r="X1463" s="27">
        <f>IF($C1463="","",IF(IFERROR(INDEX(CONFIG!$K$4:$K$43,MATCH($S1463,CONFIG!$J$4:$J$43,0)),"NO")="SÍ",IF(OR($V1463="",$U1463=""),"Resuelta",IF($V1463&gt;$U1463,"Resuelta tarde","Resuelta a tiempo")),IF($U1463="","Sin clasificar",IF(TODAY()&gt;$U1463,"Vencida",IF(TODAY()&gt;=$U1463-1,"Por vencer","En plazo")))))</f>
        <v/>
      </c>
      <c r="Y1463" s="49" t="n"/>
      <c r="Z1463" s="49" t="n"/>
    </row>
    <row r="1464" ht="16" customHeight="1">
      <c r="A1464" s="27">
        <f>IF($C1464="","","N-"&amp;TEXT(ROW()-3,"0000"))</f>
        <v/>
      </c>
      <c r="B1464" s="46" t="n"/>
      <c r="C1464" s="47" t="n"/>
      <c r="D1464" s="27">
        <f>IF($C1464="","",IF(COUNTIFS(ENVIOS!$A$4:$A$3003,$C1464)=0,"NO EXISTE",IF(COUNTIFS(ENVIOS!$A$4:$A$3003,$C1464)&gt;1,"DUPLICADA","OK")))</f>
        <v/>
      </c>
      <c r="E1464" s="22">
        <f>IF($C1464="","",IFERROR(INDEX(ENVIOS!$C$4:$C$3003,MATCH($C1464,ENVIOS!$A$4:$A$3003,0)),"—"))</f>
        <v/>
      </c>
      <c r="F1464" s="22">
        <f>IF($C1464="","",IFERROR(INDEX(ENVIOS!$D$4:$D$3003,MATCH($C1464,ENVIOS!$A$4:$A$3003,0)),"—"))</f>
        <v/>
      </c>
      <c r="G1464" s="22">
        <f>IF($C1464="","",IFERROR(INDEX(ENVIOS!$E$4:$E$3003,MATCH($C1464,ENVIOS!$A$4:$A$3003,0)),"—"))</f>
        <v/>
      </c>
      <c r="H1464" s="22">
        <f>IF($C1464="","",IFERROR(INDEX(ENVIOS!$F$4:$F$3003,MATCH($C1464,ENVIOS!$A$4:$A$3003,0)),"—"))</f>
        <v/>
      </c>
      <c r="I1464" s="27">
        <f>IF($C1464="","",IFERROR(INDEX(ENVIOS!$G$4:$G$3003,MATCH($C1464,ENVIOS!$A$4:$A$3003,0)),"—"))</f>
        <v/>
      </c>
      <c r="J1464" s="48">
        <f>IF($C1464="","",IFERROR(INDEX(ENVIOS!$B$4:$B$3003,MATCH($C1464,ENVIOS!$A$4:$A$3003,0)),""))</f>
        <v/>
      </c>
      <c r="K1464" s="49" t="n"/>
      <c r="L1464" s="27">
        <f>IF($K1464="","",IFERROR(INDEX(CONFIG!$B$4:$B$43,MATCH($K1464,CONFIG!$A$4:$A$43,0)),"Media"))</f>
        <v/>
      </c>
      <c r="M1464" s="27">
        <f>IF($K1464="","",IFERROR(INDEX(CONFIG!$D$4:$D$43,MATCH($K1464,CONFIG!$A$4:$A$43,0)),"NO"))</f>
        <v/>
      </c>
      <c r="N1464" s="49" t="n"/>
      <c r="O1464" s="27">
        <f>IF($N1464="","",IFERROR(INDEX(CONFIG!$G$4:$G$43,MATCH($N1464,CONFIG!$F$4:$F$43,0)),"Por definir"))</f>
        <v/>
      </c>
      <c r="P1464" s="27">
        <f>IF($N1464="","",IFERROR(INDEX(CONFIG!$H$4:$H$43,MATCH($N1464,CONFIG!$F$4:$F$43,0)),"Por definir"))</f>
        <v/>
      </c>
      <c r="Q1464" s="50" t="n"/>
      <c r="R1464" s="51" t="n"/>
      <c r="S1464" s="49" t="n"/>
      <c r="T1464" s="49" t="n"/>
      <c r="U1464" s="48">
        <f>IF(OR($B1464="",$K1464=""),"",WORKDAY($B1464,IFERROR(INDEX(CONFIG!$C$4:$C$43,MATCH($K1464,CONFIG!$A$4:$A$43,0)),3)))</f>
        <v/>
      </c>
      <c r="V1464" s="46" t="n"/>
      <c r="W1464" s="23">
        <f>IF($B1464="","",IF($V1464&lt;&gt;"",$V1464-$B1464,TODAY()-$B1464))</f>
        <v/>
      </c>
      <c r="X1464" s="27">
        <f>IF($C1464="","",IF(IFERROR(INDEX(CONFIG!$K$4:$K$43,MATCH($S1464,CONFIG!$J$4:$J$43,0)),"NO")="SÍ",IF(OR($V1464="",$U1464=""),"Resuelta",IF($V1464&gt;$U1464,"Resuelta tarde","Resuelta a tiempo")),IF($U1464="","Sin clasificar",IF(TODAY()&gt;$U1464,"Vencida",IF(TODAY()&gt;=$U1464-1,"Por vencer","En plazo")))))</f>
        <v/>
      </c>
      <c r="Y1464" s="49" t="n"/>
      <c r="Z1464" s="49" t="n"/>
    </row>
    <row r="1465" ht="16" customHeight="1">
      <c r="A1465" s="27">
        <f>IF($C1465="","","N-"&amp;TEXT(ROW()-3,"0000"))</f>
        <v/>
      </c>
      <c r="B1465" s="46" t="n"/>
      <c r="C1465" s="47" t="n"/>
      <c r="D1465" s="27">
        <f>IF($C1465="","",IF(COUNTIFS(ENVIOS!$A$4:$A$3003,$C1465)=0,"NO EXISTE",IF(COUNTIFS(ENVIOS!$A$4:$A$3003,$C1465)&gt;1,"DUPLICADA","OK")))</f>
        <v/>
      </c>
      <c r="E1465" s="22">
        <f>IF($C1465="","",IFERROR(INDEX(ENVIOS!$C$4:$C$3003,MATCH($C1465,ENVIOS!$A$4:$A$3003,0)),"—"))</f>
        <v/>
      </c>
      <c r="F1465" s="22">
        <f>IF($C1465="","",IFERROR(INDEX(ENVIOS!$D$4:$D$3003,MATCH($C1465,ENVIOS!$A$4:$A$3003,0)),"—"))</f>
        <v/>
      </c>
      <c r="G1465" s="22">
        <f>IF($C1465="","",IFERROR(INDEX(ENVIOS!$E$4:$E$3003,MATCH($C1465,ENVIOS!$A$4:$A$3003,0)),"—"))</f>
        <v/>
      </c>
      <c r="H1465" s="22">
        <f>IF($C1465="","",IFERROR(INDEX(ENVIOS!$F$4:$F$3003,MATCH($C1465,ENVIOS!$A$4:$A$3003,0)),"—"))</f>
        <v/>
      </c>
      <c r="I1465" s="27">
        <f>IF($C1465="","",IFERROR(INDEX(ENVIOS!$G$4:$G$3003,MATCH($C1465,ENVIOS!$A$4:$A$3003,0)),"—"))</f>
        <v/>
      </c>
      <c r="J1465" s="48">
        <f>IF($C1465="","",IFERROR(INDEX(ENVIOS!$B$4:$B$3003,MATCH($C1465,ENVIOS!$A$4:$A$3003,0)),""))</f>
        <v/>
      </c>
      <c r="K1465" s="49" t="n"/>
      <c r="L1465" s="27">
        <f>IF($K1465="","",IFERROR(INDEX(CONFIG!$B$4:$B$43,MATCH($K1465,CONFIG!$A$4:$A$43,0)),"Media"))</f>
        <v/>
      </c>
      <c r="M1465" s="27">
        <f>IF($K1465="","",IFERROR(INDEX(CONFIG!$D$4:$D$43,MATCH($K1465,CONFIG!$A$4:$A$43,0)),"NO"))</f>
        <v/>
      </c>
      <c r="N1465" s="49" t="n"/>
      <c r="O1465" s="27">
        <f>IF($N1465="","",IFERROR(INDEX(CONFIG!$G$4:$G$43,MATCH($N1465,CONFIG!$F$4:$F$43,0)),"Por definir"))</f>
        <v/>
      </c>
      <c r="P1465" s="27">
        <f>IF($N1465="","",IFERROR(INDEX(CONFIG!$H$4:$H$43,MATCH($N1465,CONFIG!$F$4:$F$43,0)),"Por definir"))</f>
        <v/>
      </c>
      <c r="Q1465" s="50" t="n"/>
      <c r="R1465" s="51" t="n"/>
      <c r="S1465" s="49" t="n"/>
      <c r="T1465" s="49" t="n"/>
      <c r="U1465" s="48">
        <f>IF(OR($B1465="",$K1465=""),"",WORKDAY($B1465,IFERROR(INDEX(CONFIG!$C$4:$C$43,MATCH($K1465,CONFIG!$A$4:$A$43,0)),3)))</f>
        <v/>
      </c>
      <c r="V1465" s="46" t="n"/>
      <c r="W1465" s="23">
        <f>IF($B1465="","",IF($V1465&lt;&gt;"",$V1465-$B1465,TODAY()-$B1465))</f>
        <v/>
      </c>
      <c r="X1465" s="27">
        <f>IF($C1465="","",IF(IFERROR(INDEX(CONFIG!$K$4:$K$43,MATCH($S1465,CONFIG!$J$4:$J$43,0)),"NO")="SÍ",IF(OR($V1465="",$U1465=""),"Resuelta",IF($V1465&gt;$U1465,"Resuelta tarde","Resuelta a tiempo")),IF($U1465="","Sin clasificar",IF(TODAY()&gt;$U1465,"Vencida",IF(TODAY()&gt;=$U1465-1,"Por vencer","En plazo")))))</f>
        <v/>
      </c>
      <c r="Y1465" s="49" t="n"/>
      <c r="Z1465" s="49" t="n"/>
    </row>
    <row r="1466" ht="16" customHeight="1">
      <c r="A1466" s="27">
        <f>IF($C1466="","","N-"&amp;TEXT(ROW()-3,"0000"))</f>
        <v/>
      </c>
      <c r="B1466" s="46" t="n"/>
      <c r="C1466" s="47" t="n"/>
      <c r="D1466" s="27">
        <f>IF($C1466="","",IF(COUNTIFS(ENVIOS!$A$4:$A$3003,$C1466)=0,"NO EXISTE",IF(COUNTIFS(ENVIOS!$A$4:$A$3003,$C1466)&gt;1,"DUPLICADA","OK")))</f>
        <v/>
      </c>
      <c r="E1466" s="22">
        <f>IF($C1466="","",IFERROR(INDEX(ENVIOS!$C$4:$C$3003,MATCH($C1466,ENVIOS!$A$4:$A$3003,0)),"—"))</f>
        <v/>
      </c>
      <c r="F1466" s="22">
        <f>IF($C1466="","",IFERROR(INDEX(ENVIOS!$D$4:$D$3003,MATCH($C1466,ENVIOS!$A$4:$A$3003,0)),"—"))</f>
        <v/>
      </c>
      <c r="G1466" s="22">
        <f>IF($C1466="","",IFERROR(INDEX(ENVIOS!$E$4:$E$3003,MATCH($C1466,ENVIOS!$A$4:$A$3003,0)),"—"))</f>
        <v/>
      </c>
      <c r="H1466" s="22">
        <f>IF($C1466="","",IFERROR(INDEX(ENVIOS!$F$4:$F$3003,MATCH($C1466,ENVIOS!$A$4:$A$3003,0)),"—"))</f>
        <v/>
      </c>
      <c r="I1466" s="27">
        <f>IF($C1466="","",IFERROR(INDEX(ENVIOS!$G$4:$G$3003,MATCH($C1466,ENVIOS!$A$4:$A$3003,0)),"—"))</f>
        <v/>
      </c>
      <c r="J1466" s="48">
        <f>IF($C1466="","",IFERROR(INDEX(ENVIOS!$B$4:$B$3003,MATCH($C1466,ENVIOS!$A$4:$A$3003,0)),""))</f>
        <v/>
      </c>
      <c r="K1466" s="49" t="n"/>
      <c r="L1466" s="27">
        <f>IF($K1466="","",IFERROR(INDEX(CONFIG!$B$4:$B$43,MATCH($K1466,CONFIG!$A$4:$A$43,0)),"Media"))</f>
        <v/>
      </c>
      <c r="M1466" s="27">
        <f>IF($K1466="","",IFERROR(INDEX(CONFIG!$D$4:$D$43,MATCH($K1466,CONFIG!$A$4:$A$43,0)),"NO"))</f>
        <v/>
      </c>
      <c r="N1466" s="49" t="n"/>
      <c r="O1466" s="27">
        <f>IF($N1466="","",IFERROR(INDEX(CONFIG!$G$4:$G$43,MATCH($N1466,CONFIG!$F$4:$F$43,0)),"Por definir"))</f>
        <v/>
      </c>
      <c r="P1466" s="27">
        <f>IF($N1466="","",IFERROR(INDEX(CONFIG!$H$4:$H$43,MATCH($N1466,CONFIG!$F$4:$F$43,0)),"Por definir"))</f>
        <v/>
      </c>
      <c r="Q1466" s="50" t="n"/>
      <c r="R1466" s="51" t="n"/>
      <c r="S1466" s="49" t="n"/>
      <c r="T1466" s="49" t="n"/>
      <c r="U1466" s="48">
        <f>IF(OR($B1466="",$K1466=""),"",WORKDAY($B1466,IFERROR(INDEX(CONFIG!$C$4:$C$43,MATCH($K1466,CONFIG!$A$4:$A$43,0)),3)))</f>
        <v/>
      </c>
      <c r="V1466" s="46" t="n"/>
      <c r="W1466" s="23">
        <f>IF($B1466="","",IF($V1466&lt;&gt;"",$V1466-$B1466,TODAY()-$B1466))</f>
        <v/>
      </c>
      <c r="X1466" s="27">
        <f>IF($C1466="","",IF(IFERROR(INDEX(CONFIG!$K$4:$K$43,MATCH($S1466,CONFIG!$J$4:$J$43,0)),"NO")="SÍ",IF(OR($V1466="",$U1466=""),"Resuelta",IF($V1466&gt;$U1466,"Resuelta tarde","Resuelta a tiempo")),IF($U1466="","Sin clasificar",IF(TODAY()&gt;$U1466,"Vencida",IF(TODAY()&gt;=$U1466-1,"Por vencer","En plazo")))))</f>
        <v/>
      </c>
      <c r="Y1466" s="49" t="n"/>
      <c r="Z1466" s="49" t="n"/>
    </row>
    <row r="1467" ht="16" customHeight="1">
      <c r="A1467" s="27">
        <f>IF($C1467="","","N-"&amp;TEXT(ROW()-3,"0000"))</f>
        <v/>
      </c>
      <c r="B1467" s="46" t="n"/>
      <c r="C1467" s="47" t="n"/>
      <c r="D1467" s="27">
        <f>IF($C1467="","",IF(COUNTIFS(ENVIOS!$A$4:$A$3003,$C1467)=0,"NO EXISTE",IF(COUNTIFS(ENVIOS!$A$4:$A$3003,$C1467)&gt;1,"DUPLICADA","OK")))</f>
        <v/>
      </c>
      <c r="E1467" s="22">
        <f>IF($C1467="","",IFERROR(INDEX(ENVIOS!$C$4:$C$3003,MATCH($C1467,ENVIOS!$A$4:$A$3003,0)),"—"))</f>
        <v/>
      </c>
      <c r="F1467" s="22">
        <f>IF($C1467="","",IFERROR(INDEX(ENVIOS!$D$4:$D$3003,MATCH($C1467,ENVIOS!$A$4:$A$3003,0)),"—"))</f>
        <v/>
      </c>
      <c r="G1467" s="22">
        <f>IF($C1467="","",IFERROR(INDEX(ENVIOS!$E$4:$E$3003,MATCH($C1467,ENVIOS!$A$4:$A$3003,0)),"—"))</f>
        <v/>
      </c>
      <c r="H1467" s="22">
        <f>IF($C1467="","",IFERROR(INDEX(ENVIOS!$F$4:$F$3003,MATCH($C1467,ENVIOS!$A$4:$A$3003,0)),"—"))</f>
        <v/>
      </c>
      <c r="I1467" s="27">
        <f>IF($C1467="","",IFERROR(INDEX(ENVIOS!$G$4:$G$3003,MATCH($C1467,ENVIOS!$A$4:$A$3003,0)),"—"))</f>
        <v/>
      </c>
      <c r="J1467" s="48">
        <f>IF($C1467="","",IFERROR(INDEX(ENVIOS!$B$4:$B$3003,MATCH($C1467,ENVIOS!$A$4:$A$3003,0)),""))</f>
        <v/>
      </c>
      <c r="K1467" s="49" t="n"/>
      <c r="L1467" s="27">
        <f>IF($K1467="","",IFERROR(INDEX(CONFIG!$B$4:$B$43,MATCH($K1467,CONFIG!$A$4:$A$43,0)),"Media"))</f>
        <v/>
      </c>
      <c r="M1467" s="27">
        <f>IF($K1467="","",IFERROR(INDEX(CONFIG!$D$4:$D$43,MATCH($K1467,CONFIG!$A$4:$A$43,0)),"NO"))</f>
        <v/>
      </c>
      <c r="N1467" s="49" t="n"/>
      <c r="O1467" s="27">
        <f>IF($N1467="","",IFERROR(INDEX(CONFIG!$G$4:$G$43,MATCH($N1467,CONFIG!$F$4:$F$43,0)),"Por definir"))</f>
        <v/>
      </c>
      <c r="P1467" s="27">
        <f>IF($N1467="","",IFERROR(INDEX(CONFIG!$H$4:$H$43,MATCH($N1467,CONFIG!$F$4:$F$43,0)),"Por definir"))</f>
        <v/>
      </c>
      <c r="Q1467" s="50" t="n"/>
      <c r="R1467" s="51" t="n"/>
      <c r="S1467" s="49" t="n"/>
      <c r="T1467" s="49" t="n"/>
      <c r="U1467" s="48">
        <f>IF(OR($B1467="",$K1467=""),"",WORKDAY($B1467,IFERROR(INDEX(CONFIG!$C$4:$C$43,MATCH($K1467,CONFIG!$A$4:$A$43,0)),3)))</f>
        <v/>
      </c>
      <c r="V1467" s="46" t="n"/>
      <c r="W1467" s="23">
        <f>IF($B1467="","",IF($V1467&lt;&gt;"",$V1467-$B1467,TODAY()-$B1467))</f>
        <v/>
      </c>
      <c r="X1467" s="27">
        <f>IF($C1467="","",IF(IFERROR(INDEX(CONFIG!$K$4:$K$43,MATCH($S1467,CONFIG!$J$4:$J$43,0)),"NO")="SÍ",IF(OR($V1467="",$U1467=""),"Resuelta",IF($V1467&gt;$U1467,"Resuelta tarde","Resuelta a tiempo")),IF($U1467="","Sin clasificar",IF(TODAY()&gt;$U1467,"Vencida",IF(TODAY()&gt;=$U1467-1,"Por vencer","En plazo")))))</f>
        <v/>
      </c>
      <c r="Y1467" s="49" t="n"/>
      <c r="Z1467" s="49" t="n"/>
    </row>
    <row r="1468" ht="16" customHeight="1">
      <c r="A1468" s="27">
        <f>IF($C1468="","","N-"&amp;TEXT(ROW()-3,"0000"))</f>
        <v/>
      </c>
      <c r="B1468" s="46" t="n"/>
      <c r="C1468" s="47" t="n"/>
      <c r="D1468" s="27">
        <f>IF($C1468="","",IF(COUNTIFS(ENVIOS!$A$4:$A$3003,$C1468)=0,"NO EXISTE",IF(COUNTIFS(ENVIOS!$A$4:$A$3003,$C1468)&gt;1,"DUPLICADA","OK")))</f>
        <v/>
      </c>
      <c r="E1468" s="22">
        <f>IF($C1468="","",IFERROR(INDEX(ENVIOS!$C$4:$C$3003,MATCH($C1468,ENVIOS!$A$4:$A$3003,0)),"—"))</f>
        <v/>
      </c>
      <c r="F1468" s="22">
        <f>IF($C1468="","",IFERROR(INDEX(ENVIOS!$D$4:$D$3003,MATCH($C1468,ENVIOS!$A$4:$A$3003,0)),"—"))</f>
        <v/>
      </c>
      <c r="G1468" s="22">
        <f>IF($C1468="","",IFERROR(INDEX(ENVIOS!$E$4:$E$3003,MATCH($C1468,ENVIOS!$A$4:$A$3003,0)),"—"))</f>
        <v/>
      </c>
      <c r="H1468" s="22">
        <f>IF($C1468="","",IFERROR(INDEX(ENVIOS!$F$4:$F$3003,MATCH($C1468,ENVIOS!$A$4:$A$3003,0)),"—"))</f>
        <v/>
      </c>
      <c r="I1468" s="27">
        <f>IF($C1468="","",IFERROR(INDEX(ENVIOS!$G$4:$G$3003,MATCH($C1468,ENVIOS!$A$4:$A$3003,0)),"—"))</f>
        <v/>
      </c>
      <c r="J1468" s="48">
        <f>IF($C1468="","",IFERROR(INDEX(ENVIOS!$B$4:$B$3003,MATCH($C1468,ENVIOS!$A$4:$A$3003,0)),""))</f>
        <v/>
      </c>
      <c r="K1468" s="49" t="n"/>
      <c r="L1468" s="27">
        <f>IF($K1468="","",IFERROR(INDEX(CONFIG!$B$4:$B$43,MATCH($K1468,CONFIG!$A$4:$A$43,0)),"Media"))</f>
        <v/>
      </c>
      <c r="M1468" s="27">
        <f>IF($K1468="","",IFERROR(INDEX(CONFIG!$D$4:$D$43,MATCH($K1468,CONFIG!$A$4:$A$43,0)),"NO"))</f>
        <v/>
      </c>
      <c r="N1468" s="49" t="n"/>
      <c r="O1468" s="27">
        <f>IF($N1468="","",IFERROR(INDEX(CONFIG!$G$4:$G$43,MATCH($N1468,CONFIG!$F$4:$F$43,0)),"Por definir"))</f>
        <v/>
      </c>
      <c r="P1468" s="27">
        <f>IF($N1468="","",IFERROR(INDEX(CONFIG!$H$4:$H$43,MATCH($N1468,CONFIG!$F$4:$F$43,0)),"Por definir"))</f>
        <v/>
      </c>
      <c r="Q1468" s="50" t="n"/>
      <c r="R1468" s="51" t="n"/>
      <c r="S1468" s="49" t="n"/>
      <c r="T1468" s="49" t="n"/>
      <c r="U1468" s="48">
        <f>IF(OR($B1468="",$K1468=""),"",WORKDAY($B1468,IFERROR(INDEX(CONFIG!$C$4:$C$43,MATCH($K1468,CONFIG!$A$4:$A$43,0)),3)))</f>
        <v/>
      </c>
      <c r="V1468" s="46" t="n"/>
      <c r="W1468" s="23">
        <f>IF($B1468="","",IF($V1468&lt;&gt;"",$V1468-$B1468,TODAY()-$B1468))</f>
        <v/>
      </c>
      <c r="X1468" s="27">
        <f>IF($C1468="","",IF(IFERROR(INDEX(CONFIG!$K$4:$K$43,MATCH($S1468,CONFIG!$J$4:$J$43,0)),"NO")="SÍ",IF(OR($V1468="",$U1468=""),"Resuelta",IF($V1468&gt;$U1468,"Resuelta tarde","Resuelta a tiempo")),IF($U1468="","Sin clasificar",IF(TODAY()&gt;$U1468,"Vencida",IF(TODAY()&gt;=$U1468-1,"Por vencer","En plazo")))))</f>
        <v/>
      </c>
      <c r="Y1468" s="49" t="n"/>
      <c r="Z1468" s="49" t="n"/>
    </row>
    <row r="1469" ht="16" customHeight="1">
      <c r="A1469" s="27">
        <f>IF($C1469="","","N-"&amp;TEXT(ROW()-3,"0000"))</f>
        <v/>
      </c>
      <c r="B1469" s="46" t="n"/>
      <c r="C1469" s="47" t="n"/>
      <c r="D1469" s="27">
        <f>IF($C1469="","",IF(COUNTIFS(ENVIOS!$A$4:$A$3003,$C1469)=0,"NO EXISTE",IF(COUNTIFS(ENVIOS!$A$4:$A$3003,$C1469)&gt;1,"DUPLICADA","OK")))</f>
        <v/>
      </c>
      <c r="E1469" s="22">
        <f>IF($C1469="","",IFERROR(INDEX(ENVIOS!$C$4:$C$3003,MATCH($C1469,ENVIOS!$A$4:$A$3003,0)),"—"))</f>
        <v/>
      </c>
      <c r="F1469" s="22">
        <f>IF($C1469="","",IFERROR(INDEX(ENVIOS!$D$4:$D$3003,MATCH($C1469,ENVIOS!$A$4:$A$3003,0)),"—"))</f>
        <v/>
      </c>
      <c r="G1469" s="22">
        <f>IF($C1469="","",IFERROR(INDEX(ENVIOS!$E$4:$E$3003,MATCH($C1469,ENVIOS!$A$4:$A$3003,0)),"—"))</f>
        <v/>
      </c>
      <c r="H1469" s="22">
        <f>IF($C1469="","",IFERROR(INDEX(ENVIOS!$F$4:$F$3003,MATCH($C1469,ENVIOS!$A$4:$A$3003,0)),"—"))</f>
        <v/>
      </c>
      <c r="I1469" s="27">
        <f>IF($C1469="","",IFERROR(INDEX(ENVIOS!$G$4:$G$3003,MATCH($C1469,ENVIOS!$A$4:$A$3003,0)),"—"))</f>
        <v/>
      </c>
      <c r="J1469" s="48">
        <f>IF($C1469="","",IFERROR(INDEX(ENVIOS!$B$4:$B$3003,MATCH($C1469,ENVIOS!$A$4:$A$3003,0)),""))</f>
        <v/>
      </c>
      <c r="K1469" s="49" t="n"/>
      <c r="L1469" s="27">
        <f>IF($K1469="","",IFERROR(INDEX(CONFIG!$B$4:$B$43,MATCH($K1469,CONFIG!$A$4:$A$43,0)),"Media"))</f>
        <v/>
      </c>
      <c r="M1469" s="27">
        <f>IF($K1469="","",IFERROR(INDEX(CONFIG!$D$4:$D$43,MATCH($K1469,CONFIG!$A$4:$A$43,0)),"NO"))</f>
        <v/>
      </c>
      <c r="N1469" s="49" t="n"/>
      <c r="O1469" s="27">
        <f>IF($N1469="","",IFERROR(INDEX(CONFIG!$G$4:$G$43,MATCH($N1469,CONFIG!$F$4:$F$43,0)),"Por definir"))</f>
        <v/>
      </c>
      <c r="P1469" s="27">
        <f>IF($N1469="","",IFERROR(INDEX(CONFIG!$H$4:$H$43,MATCH($N1469,CONFIG!$F$4:$F$43,0)),"Por definir"))</f>
        <v/>
      </c>
      <c r="Q1469" s="50" t="n"/>
      <c r="R1469" s="51" t="n"/>
      <c r="S1469" s="49" t="n"/>
      <c r="T1469" s="49" t="n"/>
      <c r="U1469" s="48">
        <f>IF(OR($B1469="",$K1469=""),"",WORKDAY($B1469,IFERROR(INDEX(CONFIG!$C$4:$C$43,MATCH($K1469,CONFIG!$A$4:$A$43,0)),3)))</f>
        <v/>
      </c>
      <c r="V1469" s="46" t="n"/>
      <c r="W1469" s="23">
        <f>IF($B1469="","",IF($V1469&lt;&gt;"",$V1469-$B1469,TODAY()-$B1469))</f>
        <v/>
      </c>
      <c r="X1469" s="27">
        <f>IF($C1469="","",IF(IFERROR(INDEX(CONFIG!$K$4:$K$43,MATCH($S1469,CONFIG!$J$4:$J$43,0)),"NO")="SÍ",IF(OR($V1469="",$U1469=""),"Resuelta",IF($V1469&gt;$U1469,"Resuelta tarde","Resuelta a tiempo")),IF($U1469="","Sin clasificar",IF(TODAY()&gt;$U1469,"Vencida",IF(TODAY()&gt;=$U1469-1,"Por vencer","En plazo")))))</f>
        <v/>
      </c>
      <c r="Y1469" s="49" t="n"/>
      <c r="Z1469" s="49" t="n"/>
    </row>
    <row r="1470" ht="16" customHeight="1">
      <c r="A1470" s="27">
        <f>IF($C1470="","","N-"&amp;TEXT(ROW()-3,"0000"))</f>
        <v/>
      </c>
      <c r="B1470" s="46" t="n"/>
      <c r="C1470" s="47" t="n"/>
      <c r="D1470" s="27">
        <f>IF($C1470="","",IF(COUNTIFS(ENVIOS!$A$4:$A$3003,$C1470)=0,"NO EXISTE",IF(COUNTIFS(ENVIOS!$A$4:$A$3003,$C1470)&gt;1,"DUPLICADA","OK")))</f>
        <v/>
      </c>
      <c r="E1470" s="22">
        <f>IF($C1470="","",IFERROR(INDEX(ENVIOS!$C$4:$C$3003,MATCH($C1470,ENVIOS!$A$4:$A$3003,0)),"—"))</f>
        <v/>
      </c>
      <c r="F1470" s="22">
        <f>IF($C1470="","",IFERROR(INDEX(ENVIOS!$D$4:$D$3003,MATCH($C1470,ENVIOS!$A$4:$A$3003,0)),"—"))</f>
        <v/>
      </c>
      <c r="G1470" s="22">
        <f>IF($C1470="","",IFERROR(INDEX(ENVIOS!$E$4:$E$3003,MATCH($C1470,ENVIOS!$A$4:$A$3003,0)),"—"))</f>
        <v/>
      </c>
      <c r="H1470" s="22">
        <f>IF($C1470="","",IFERROR(INDEX(ENVIOS!$F$4:$F$3003,MATCH($C1470,ENVIOS!$A$4:$A$3003,0)),"—"))</f>
        <v/>
      </c>
      <c r="I1470" s="27">
        <f>IF($C1470="","",IFERROR(INDEX(ENVIOS!$G$4:$G$3003,MATCH($C1470,ENVIOS!$A$4:$A$3003,0)),"—"))</f>
        <v/>
      </c>
      <c r="J1470" s="48">
        <f>IF($C1470="","",IFERROR(INDEX(ENVIOS!$B$4:$B$3003,MATCH($C1470,ENVIOS!$A$4:$A$3003,0)),""))</f>
        <v/>
      </c>
      <c r="K1470" s="49" t="n"/>
      <c r="L1470" s="27">
        <f>IF($K1470="","",IFERROR(INDEX(CONFIG!$B$4:$B$43,MATCH($K1470,CONFIG!$A$4:$A$43,0)),"Media"))</f>
        <v/>
      </c>
      <c r="M1470" s="27">
        <f>IF($K1470="","",IFERROR(INDEX(CONFIG!$D$4:$D$43,MATCH($K1470,CONFIG!$A$4:$A$43,0)),"NO"))</f>
        <v/>
      </c>
      <c r="N1470" s="49" t="n"/>
      <c r="O1470" s="27">
        <f>IF($N1470="","",IFERROR(INDEX(CONFIG!$G$4:$G$43,MATCH($N1470,CONFIG!$F$4:$F$43,0)),"Por definir"))</f>
        <v/>
      </c>
      <c r="P1470" s="27">
        <f>IF($N1470="","",IFERROR(INDEX(CONFIG!$H$4:$H$43,MATCH($N1470,CONFIG!$F$4:$F$43,0)),"Por definir"))</f>
        <v/>
      </c>
      <c r="Q1470" s="50" t="n"/>
      <c r="R1470" s="51" t="n"/>
      <c r="S1470" s="49" t="n"/>
      <c r="T1470" s="49" t="n"/>
      <c r="U1470" s="48">
        <f>IF(OR($B1470="",$K1470=""),"",WORKDAY($B1470,IFERROR(INDEX(CONFIG!$C$4:$C$43,MATCH($K1470,CONFIG!$A$4:$A$43,0)),3)))</f>
        <v/>
      </c>
      <c r="V1470" s="46" t="n"/>
      <c r="W1470" s="23">
        <f>IF($B1470="","",IF($V1470&lt;&gt;"",$V1470-$B1470,TODAY()-$B1470))</f>
        <v/>
      </c>
      <c r="X1470" s="27">
        <f>IF($C1470="","",IF(IFERROR(INDEX(CONFIG!$K$4:$K$43,MATCH($S1470,CONFIG!$J$4:$J$43,0)),"NO")="SÍ",IF(OR($V1470="",$U1470=""),"Resuelta",IF($V1470&gt;$U1470,"Resuelta tarde","Resuelta a tiempo")),IF($U1470="","Sin clasificar",IF(TODAY()&gt;$U1470,"Vencida",IF(TODAY()&gt;=$U1470-1,"Por vencer","En plazo")))))</f>
        <v/>
      </c>
      <c r="Y1470" s="49" t="n"/>
      <c r="Z1470" s="49" t="n"/>
    </row>
    <row r="1471" ht="16" customHeight="1">
      <c r="A1471" s="27">
        <f>IF($C1471="","","N-"&amp;TEXT(ROW()-3,"0000"))</f>
        <v/>
      </c>
      <c r="B1471" s="46" t="n"/>
      <c r="C1471" s="47" t="n"/>
      <c r="D1471" s="27">
        <f>IF($C1471="","",IF(COUNTIFS(ENVIOS!$A$4:$A$3003,$C1471)=0,"NO EXISTE",IF(COUNTIFS(ENVIOS!$A$4:$A$3003,$C1471)&gt;1,"DUPLICADA","OK")))</f>
        <v/>
      </c>
      <c r="E1471" s="22">
        <f>IF($C1471="","",IFERROR(INDEX(ENVIOS!$C$4:$C$3003,MATCH($C1471,ENVIOS!$A$4:$A$3003,0)),"—"))</f>
        <v/>
      </c>
      <c r="F1471" s="22">
        <f>IF($C1471="","",IFERROR(INDEX(ENVIOS!$D$4:$D$3003,MATCH($C1471,ENVIOS!$A$4:$A$3003,0)),"—"))</f>
        <v/>
      </c>
      <c r="G1471" s="22">
        <f>IF($C1471="","",IFERROR(INDEX(ENVIOS!$E$4:$E$3003,MATCH($C1471,ENVIOS!$A$4:$A$3003,0)),"—"))</f>
        <v/>
      </c>
      <c r="H1471" s="22">
        <f>IF($C1471="","",IFERROR(INDEX(ENVIOS!$F$4:$F$3003,MATCH($C1471,ENVIOS!$A$4:$A$3003,0)),"—"))</f>
        <v/>
      </c>
      <c r="I1471" s="27">
        <f>IF($C1471="","",IFERROR(INDEX(ENVIOS!$G$4:$G$3003,MATCH($C1471,ENVIOS!$A$4:$A$3003,0)),"—"))</f>
        <v/>
      </c>
      <c r="J1471" s="48">
        <f>IF($C1471="","",IFERROR(INDEX(ENVIOS!$B$4:$B$3003,MATCH($C1471,ENVIOS!$A$4:$A$3003,0)),""))</f>
        <v/>
      </c>
      <c r="K1471" s="49" t="n"/>
      <c r="L1471" s="27">
        <f>IF($K1471="","",IFERROR(INDEX(CONFIG!$B$4:$B$43,MATCH($K1471,CONFIG!$A$4:$A$43,0)),"Media"))</f>
        <v/>
      </c>
      <c r="M1471" s="27">
        <f>IF($K1471="","",IFERROR(INDEX(CONFIG!$D$4:$D$43,MATCH($K1471,CONFIG!$A$4:$A$43,0)),"NO"))</f>
        <v/>
      </c>
      <c r="N1471" s="49" t="n"/>
      <c r="O1471" s="27">
        <f>IF($N1471="","",IFERROR(INDEX(CONFIG!$G$4:$G$43,MATCH($N1471,CONFIG!$F$4:$F$43,0)),"Por definir"))</f>
        <v/>
      </c>
      <c r="P1471" s="27">
        <f>IF($N1471="","",IFERROR(INDEX(CONFIG!$H$4:$H$43,MATCH($N1471,CONFIG!$F$4:$F$43,0)),"Por definir"))</f>
        <v/>
      </c>
      <c r="Q1471" s="50" t="n"/>
      <c r="R1471" s="51" t="n"/>
      <c r="S1471" s="49" t="n"/>
      <c r="T1471" s="49" t="n"/>
      <c r="U1471" s="48">
        <f>IF(OR($B1471="",$K1471=""),"",WORKDAY($B1471,IFERROR(INDEX(CONFIG!$C$4:$C$43,MATCH($K1471,CONFIG!$A$4:$A$43,0)),3)))</f>
        <v/>
      </c>
      <c r="V1471" s="46" t="n"/>
      <c r="W1471" s="23">
        <f>IF($B1471="","",IF($V1471&lt;&gt;"",$V1471-$B1471,TODAY()-$B1471))</f>
        <v/>
      </c>
      <c r="X1471" s="27">
        <f>IF($C1471="","",IF(IFERROR(INDEX(CONFIG!$K$4:$K$43,MATCH($S1471,CONFIG!$J$4:$J$43,0)),"NO")="SÍ",IF(OR($V1471="",$U1471=""),"Resuelta",IF($V1471&gt;$U1471,"Resuelta tarde","Resuelta a tiempo")),IF($U1471="","Sin clasificar",IF(TODAY()&gt;$U1471,"Vencida",IF(TODAY()&gt;=$U1471-1,"Por vencer","En plazo")))))</f>
        <v/>
      </c>
      <c r="Y1471" s="49" t="n"/>
      <c r="Z1471" s="49" t="n"/>
    </row>
    <row r="1472" ht="16" customHeight="1">
      <c r="A1472" s="27">
        <f>IF($C1472="","","N-"&amp;TEXT(ROW()-3,"0000"))</f>
        <v/>
      </c>
      <c r="B1472" s="46" t="n"/>
      <c r="C1472" s="47" t="n"/>
      <c r="D1472" s="27">
        <f>IF($C1472="","",IF(COUNTIFS(ENVIOS!$A$4:$A$3003,$C1472)=0,"NO EXISTE",IF(COUNTIFS(ENVIOS!$A$4:$A$3003,$C1472)&gt;1,"DUPLICADA","OK")))</f>
        <v/>
      </c>
      <c r="E1472" s="22">
        <f>IF($C1472="","",IFERROR(INDEX(ENVIOS!$C$4:$C$3003,MATCH($C1472,ENVIOS!$A$4:$A$3003,0)),"—"))</f>
        <v/>
      </c>
      <c r="F1472" s="22">
        <f>IF($C1472="","",IFERROR(INDEX(ENVIOS!$D$4:$D$3003,MATCH($C1472,ENVIOS!$A$4:$A$3003,0)),"—"))</f>
        <v/>
      </c>
      <c r="G1472" s="22">
        <f>IF($C1472="","",IFERROR(INDEX(ENVIOS!$E$4:$E$3003,MATCH($C1472,ENVIOS!$A$4:$A$3003,0)),"—"))</f>
        <v/>
      </c>
      <c r="H1472" s="22">
        <f>IF($C1472="","",IFERROR(INDEX(ENVIOS!$F$4:$F$3003,MATCH($C1472,ENVIOS!$A$4:$A$3003,0)),"—"))</f>
        <v/>
      </c>
      <c r="I1472" s="27">
        <f>IF($C1472="","",IFERROR(INDEX(ENVIOS!$G$4:$G$3003,MATCH($C1472,ENVIOS!$A$4:$A$3003,0)),"—"))</f>
        <v/>
      </c>
      <c r="J1472" s="48">
        <f>IF($C1472="","",IFERROR(INDEX(ENVIOS!$B$4:$B$3003,MATCH($C1472,ENVIOS!$A$4:$A$3003,0)),""))</f>
        <v/>
      </c>
      <c r="K1472" s="49" t="n"/>
      <c r="L1472" s="27">
        <f>IF($K1472="","",IFERROR(INDEX(CONFIG!$B$4:$B$43,MATCH($K1472,CONFIG!$A$4:$A$43,0)),"Media"))</f>
        <v/>
      </c>
      <c r="M1472" s="27">
        <f>IF($K1472="","",IFERROR(INDEX(CONFIG!$D$4:$D$43,MATCH($K1472,CONFIG!$A$4:$A$43,0)),"NO"))</f>
        <v/>
      </c>
      <c r="N1472" s="49" t="n"/>
      <c r="O1472" s="27">
        <f>IF($N1472="","",IFERROR(INDEX(CONFIG!$G$4:$G$43,MATCH($N1472,CONFIG!$F$4:$F$43,0)),"Por definir"))</f>
        <v/>
      </c>
      <c r="P1472" s="27">
        <f>IF($N1472="","",IFERROR(INDEX(CONFIG!$H$4:$H$43,MATCH($N1472,CONFIG!$F$4:$F$43,0)),"Por definir"))</f>
        <v/>
      </c>
      <c r="Q1472" s="50" t="n"/>
      <c r="R1472" s="51" t="n"/>
      <c r="S1472" s="49" t="n"/>
      <c r="T1472" s="49" t="n"/>
      <c r="U1472" s="48">
        <f>IF(OR($B1472="",$K1472=""),"",WORKDAY($B1472,IFERROR(INDEX(CONFIG!$C$4:$C$43,MATCH($K1472,CONFIG!$A$4:$A$43,0)),3)))</f>
        <v/>
      </c>
      <c r="V1472" s="46" t="n"/>
      <c r="W1472" s="23">
        <f>IF($B1472="","",IF($V1472&lt;&gt;"",$V1472-$B1472,TODAY()-$B1472))</f>
        <v/>
      </c>
      <c r="X1472" s="27">
        <f>IF($C1472="","",IF(IFERROR(INDEX(CONFIG!$K$4:$K$43,MATCH($S1472,CONFIG!$J$4:$J$43,0)),"NO")="SÍ",IF(OR($V1472="",$U1472=""),"Resuelta",IF($V1472&gt;$U1472,"Resuelta tarde","Resuelta a tiempo")),IF($U1472="","Sin clasificar",IF(TODAY()&gt;$U1472,"Vencida",IF(TODAY()&gt;=$U1472-1,"Por vencer","En plazo")))))</f>
        <v/>
      </c>
      <c r="Y1472" s="49" t="n"/>
      <c r="Z1472" s="49" t="n"/>
    </row>
    <row r="1473" ht="16" customHeight="1">
      <c r="A1473" s="27">
        <f>IF($C1473="","","N-"&amp;TEXT(ROW()-3,"0000"))</f>
        <v/>
      </c>
      <c r="B1473" s="46" t="n"/>
      <c r="C1473" s="47" t="n"/>
      <c r="D1473" s="27">
        <f>IF($C1473="","",IF(COUNTIFS(ENVIOS!$A$4:$A$3003,$C1473)=0,"NO EXISTE",IF(COUNTIFS(ENVIOS!$A$4:$A$3003,$C1473)&gt;1,"DUPLICADA","OK")))</f>
        <v/>
      </c>
      <c r="E1473" s="22">
        <f>IF($C1473="","",IFERROR(INDEX(ENVIOS!$C$4:$C$3003,MATCH($C1473,ENVIOS!$A$4:$A$3003,0)),"—"))</f>
        <v/>
      </c>
      <c r="F1473" s="22">
        <f>IF($C1473="","",IFERROR(INDEX(ENVIOS!$D$4:$D$3003,MATCH($C1473,ENVIOS!$A$4:$A$3003,0)),"—"))</f>
        <v/>
      </c>
      <c r="G1473" s="22">
        <f>IF($C1473="","",IFERROR(INDEX(ENVIOS!$E$4:$E$3003,MATCH($C1473,ENVIOS!$A$4:$A$3003,0)),"—"))</f>
        <v/>
      </c>
      <c r="H1473" s="22">
        <f>IF($C1473="","",IFERROR(INDEX(ENVIOS!$F$4:$F$3003,MATCH($C1473,ENVIOS!$A$4:$A$3003,0)),"—"))</f>
        <v/>
      </c>
      <c r="I1473" s="27">
        <f>IF($C1473="","",IFERROR(INDEX(ENVIOS!$G$4:$G$3003,MATCH($C1473,ENVIOS!$A$4:$A$3003,0)),"—"))</f>
        <v/>
      </c>
      <c r="J1473" s="48">
        <f>IF($C1473="","",IFERROR(INDEX(ENVIOS!$B$4:$B$3003,MATCH($C1473,ENVIOS!$A$4:$A$3003,0)),""))</f>
        <v/>
      </c>
      <c r="K1473" s="49" t="n"/>
      <c r="L1473" s="27">
        <f>IF($K1473="","",IFERROR(INDEX(CONFIG!$B$4:$B$43,MATCH($K1473,CONFIG!$A$4:$A$43,0)),"Media"))</f>
        <v/>
      </c>
      <c r="M1473" s="27">
        <f>IF($K1473="","",IFERROR(INDEX(CONFIG!$D$4:$D$43,MATCH($K1473,CONFIG!$A$4:$A$43,0)),"NO"))</f>
        <v/>
      </c>
      <c r="N1473" s="49" t="n"/>
      <c r="O1473" s="27">
        <f>IF($N1473="","",IFERROR(INDEX(CONFIG!$G$4:$G$43,MATCH($N1473,CONFIG!$F$4:$F$43,0)),"Por definir"))</f>
        <v/>
      </c>
      <c r="P1473" s="27">
        <f>IF($N1473="","",IFERROR(INDEX(CONFIG!$H$4:$H$43,MATCH($N1473,CONFIG!$F$4:$F$43,0)),"Por definir"))</f>
        <v/>
      </c>
      <c r="Q1473" s="50" t="n"/>
      <c r="R1473" s="51" t="n"/>
      <c r="S1473" s="49" t="n"/>
      <c r="T1473" s="49" t="n"/>
      <c r="U1473" s="48">
        <f>IF(OR($B1473="",$K1473=""),"",WORKDAY($B1473,IFERROR(INDEX(CONFIG!$C$4:$C$43,MATCH($K1473,CONFIG!$A$4:$A$43,0)),3)))</f>
        <v/>
      </c>
      <c r="V1473" s="46" t="n"/>
      <c r="W1473" s="23">
        <f>IF($B1473="","",IF($V1473&lt;&gt;"",$V1473-$B1473,TODAY()-$B1473))</f>
        <v/>
      </c>
      <c r="X1473" s="27">
        <f>IF($C1473="","",IF(IFERROR(INDEX(CONFIG!$K$4:$K$43,MATCH($S1473,CONFIG!$J$4:$J$43,0)),"NO")="SÍ",IF(OR($V1473="",$U1473=""),"Resuelta",IF($V1473&gt;$U1473,"Resuelta tarde","Resuelta a tiempo")),IF($U1473="","Sin clasificar",IF(TODAY()&gt;$U1473,"Vencida",IF(TODAY()&gt;=$U1473-1,"Por vencer","En plazo")))))</f>
        <v/>
      </c>
      <c r="Y1473" s="49" t="n"/>
      <c r="Z1473" s="49" t="n"/>
    </row>
    <row r="1474" ht="16" customHeight="1">
      <c r="A1474" s="27">
        <f>IF($C1474="","","N-"&amp;TEXT(ROW()-3,"0000"))</f>
        <v/>
      </c>
      <c r="B1474" s="46" t="n"/>
      <c r="C1474" s="47" t="n"/>
      <c r="D1474" s="27">
        <f>IF($C1474="","",IF(COUNTIFS(ENVIOS!$A$4:$A$3003,$C1474)=0,"NO EXISTE",IF(COUNTIFS(ENVIOS!$A$4:$A$3003,$C1474)&gt;1,"DUPLICADA","OK")))</f>
        <v/>
      </c>
      <c r="E1474" s="22">
        <f>IF($C1474="","",IFERROR(INDEX(ENVIOS!$C$4:$C$3003,MATCH($C1474,ENVIOS!$A$4:$A$3003,0)),"—"))</f>
        <v/>
      </c>
      <c r="F1474" s="22">
        <f>IF($C1474="","",IFERROR(INDEX(ENVIOS!$D$4:$D$3003,MATCH($C1474,ENVIOS!$A$4:$A$3003,0)),"—"))</f>
        <v/>
      </c>
      <c r="G1474" s="22">
        <f>IF($C1474="","",IFERROR(INDEX(ENVIOS!$E$4:$E$3003,MATCH($C1474,ENVIOS!$A$4:$A$3003,0)),"—"))</f>
        <v/>
      </c>
      <c r="H1474" s="22">
        <f>IF($C1474="","",IFERROR(INDEX(ENVIOS!$F$4:$F$3003,MATCH($C1474,ENVIOS!$A$4:$A$3003,0)),"—"))</f>
        <v/>
      </c>
      <c r="I1474" s="27">
        <f>IF($C1474="","",IFERROR(INDEX(ENVIOS!$G$4:$G$3003,MATCH($C1474,ENVIOS!$A$4:$A$3003,0)),"—"))</f>
        <v/>
      </c>
      <c r="J1474" s="48">
        <f>IF($C1474="","",IFERROR(INDEX(ENVIOS!$B$4:$B$3003,MATCH($C1474,ENVIOS!$A$4:$A$3003,0)),""))</f>
        <v/>
      </c>
      <c r="K1474" s="49" t="n"/>
      <c r="L1474" s="27">
        <f>IF($K1474="","",IFERROR(INDEX(CONFIG!$B$4:$B$43,MATCH($K1474,CONFIG!$A$4:$A$43,0)),"Media"))</f>
        <v/>
      </c>
      <c r="M1474" s="27">
        <f>IF($K1474="","",IFERROR(INDEX(CONFIG!$D$4:$D$43,MATCH($K1474,CONFIG!$A$4:$A$43,0)),"NO"))</f>
        <v/>
      </c>
      <c r="N1474" s="49" t="n"/>
      <c r="O1474" s="27">
        <f>IF($N1474="","",IFERROR(INDEX(CONFIG!$G$4:$G$43,MATCH($N1474,CONFIG!$F$4:$F$43,0)),"Por definir"))</f>
        <v/>
      </c>
      <c r="P1474" s="27">
        <f>IF($N1474="","",IFERROR(INDEX(CONFIG!$H$4:$H$43,MATCH($N1474,CONFIG!$F$4:$F$43,0)),"Por definir"))</f>
        <v/>
      </c>
      <c r="Q1474" s="50" t="n"/>
      <c r="R1474" s="51" t="n"/>
      <c r="S1474" s="49" t="n"/>
      <c r="T1474" s="49" t="n"/>
      <c r="U1474" s="48">
        <f>IF(OR($B1474="",$K1474=""),"",WORKDAY($B1474,IFERROR(INDEX(CONFIG!$C$4:$C$43,MATCH($K1474,CONFIG!$A$4:$A$43,0)),3)))</f>
        <v/>
      </c>
      <c r="V1474" s="46" t="n"/>
      <c r="W1474" s="23">
        <f>IF($B1474="","",IF($V1474&lt;&gt;"",$V1474-$B1474,TODAY()-$B1474))</f>
        <v/>
      </c>
      <c r="X1474" s="27">
        <f>IF($C1474="","",IF(IFERROR(INDEX(CONFIG!$K$4:$K$43,MATCH($S1474,CONFIG!$J$4:$J$43,0)),"NO")="SÍ",IF(OR($V1474="",$U1474=""),"Resuelta",IF($V1474&gt;$U1474,"Resuelta tarde","Resuelta a tiempo")),IF($U1474="","Sin clasificar",IF(TODAY()&gt;$U1474,"Vencida",IF(TODAY()&gt;=$U1474-1,"Por vencer","En plazo")))))</f>
        <v/>
      </c>
      <c r="Y1474" s="49" t="n"/>
      <c r="Z1474" s="49" t="n"/>
    </row>
    <row r="1475" ht="16" customHeight="1">
      <c r="A1475" s="27">
        <f>IF($C1475="","","N-"&amp;TEXT(ROW()-3,"0000"))</f>
        <v/>
      </c>
      <c r="B1475" s="46" t="n"/>
      <c r="C1475" s="47" t="n"/>
      <c r="D1475" s="27">
        <f>IF($C1475="","",IF(COUNTIFS(ENVIOS!$A$4:$A$3003,$C1475)=0,"NO EXISTE",IF(COUNTIFS(ENVIOS!$A$4:$A$3003,$C1475)&gt;1,"DUPLICADA","OK")))</f>
        <v/>
      </c>
      <c r="E1475" s="22">
        <f>IF($C1475="","",IFERROR(INDEX(ENVIOS!$C$4:$C$3003,MATCH($C1475,ENVIOS!$A$4:$A$3003,0)),"—"))</f>
        <v/>
      </c>
      <c r="F1475" s="22">
        <f>IF($C1475="","",IFERROR(INDEX(ENVIOS!$D$4:$D$3003,MATCH($C1475,ENVIOS!$A$4:$A$3003,0)),"—"))</f>
        <v/>
      </c>
      <c r="G1475" s="22">
        <f>IF($C1475="","",IFERROR(INDEX(ENVIOS!$E$4:$E$3003,MATCH($C1475,ENVIOS!$A$4:$A$3003,0)),"—"))</f>
        <v/>
      </c>
      <c r="H1475" s="22">
        <f>IF($C1475="","",IFERROR(INDEX(ENVIOS!$F$4:$F$3003,MATCH($C1475,ENVIOS!$A$4:$A$3003,0)),"—"))</f>
        <v/>
      </c>
      <c r="I1475" s="27">
        <f>IF($C1475="","",IFERROR(INDEX(ENVIOS!$G$4:$G$3003,MATCH($C1475,ENVIOS!$A$4:$A$3003,0)),"—"))</f>
        <v/>
      </c>
      <c r="J1475" s="48">
        <f>IF($C1475="","",IFERROR(INDEX(ENVIOS!$B$4:$B$3003,MATCH($C1475,ENVIOS!$A$4:$A$3003,0)),""))</f>
        <v/>
      </c>
      <c r="K1475" s="49" t="n"/>
      <c r="L1475" s="27">
        <f>IF($K1475="","",IFERROR(INDEX(CONFIG!$B$4:$B$43,MATCH($K1475,CONFIG!$A$4:$A$43,0)),"Media"))</f>
        <v/>
      </c>
      <c r="M1475" s="27">
        <f>IF($K1475="","",IFERROR(INDEX(CONFIG!$D$4:$D$43,MATCH($K1475,CONFIG!$A$4:$A$43,0)),"NO"))</f>
        <v/>
      </c>
      <c r="N1475" s="49" t="n"/>
      <c r="O1475" s="27">
        <f>IF($N1475="","",IFERROR(INDEX(CONFIG!$G$4:$G$43,MATCH($N1475,CONFIG!$F$4:$F$43,0)),"Por definir"))</f>
        <v/>
      </c>
      <c r="P1475" s="27">
        <f>IF($N1475="","",IFERROR(INDEX(CONFIG!$H$4:$H$43,MATCH($N1475,CONFIG!$F$4:$F$43,0)),"Por definir"))</f>
        <v/>
      </c>
      <c r="Q1475" s="50" t="n"/>
      <c r="R1475" s="51" t="n"/>
      <c r="S1475" s="49" t="n"/>
      <c r="T1475" s="49" t="n"/>
      <c r="U1475" s="48">
        <f>IF(OR($B1475="",$K1475=""),"",WORKDAY($B1475,IFERROR(INDEX(CONFIG!$C$4:$C$43,MATCH($K1475,CONFIG!$A$4:$A$43,0)),3)))</f>
        <v/>
      </c>
      <c r="V1475" s="46" t="n"/>
      <c r="W1475" s="23">
        <f>IF($B1475="","",IF($V1475&lt;&gt;"",$V1475-$B1475,TODAY()-$B1475))</f>
        <v/>
      </c>
      <c r="X1475" s="27">
        <f>IF($C1475="","",IF(IFERROR(INDEX(CONFIG!$K$4:$K$43,MATCH($S1475,CONFIG!$J$4:$J$43,0)),"NO")="SÍ",IF(OR($V1475="",$U1475=""),"Resuelta",IF($V1475&gt;$U1475,"Resuelta tarde","Resuelta a tiempo")),IF($U1475="","Sin clasificar",IF(TODAY()&gt;$U1475,"Vencida",IF(TODAY()&gt;=$U1475-1,"Por vencer","En plazo")))))</f>
        <v/>
      </c>
      <c r="Y1475" s="49" t="n"/>
      <c r="Z1475" s="49" t="n"/>
    </row>
    <row r="1476" ht="16" customHeight="1">
      <c r="A1476" s="27">
        <f>IF($C1476="","","N-"&amp;TEXT(ROW()-3,"0000"))</f>
        <v/>
      </c>
      <c r="B1476" s="46" t="n"/>
      <c r="C1476" s="47" t="n"/>
      <c r="D1476" s="27">
        <f>IF($C1476="","",IF(COUNTIFS(ENVIOS!$A$4:$A$3003,$C1476)=0,"NO EXISTE",IF(COUNTIFS(ENVIOS!$A$4:$A$3003,$C1476)&gt;1,"DUPLICADA","OK")))</f>
        <v/>
      </c>
      <c r="E1476" s="22">
        <f>IF($C1476="","",IFERROR(INDEX(ENVIOS!$C$4:$C$3003,MATCH($C1476,ENVIOS!$A$4:$A$3003,0)),"—"))</f>
        <v/>
      </c>
      <c r="F1476" s="22">
        <f>IF($C1476="","",IFERROR(INDEX(ENVIOS!$D$4:$D$3003,MATCH($C1476,ENVIOS!$A$4:$A$3003,0)),"—"))</f>
        <v/>
      </c>
      <c r="G1476" s="22">
        <f>IF($C1476="","",IFERROR(INDEX(ENVIOS!$E$4:$E$3003,MATCH($C1476,ENVIOS!$A$4:$A$3003,0)),"—"))</f>
        <v/>
      </c>
      <c r="H1476" s="22">
        <f>IF($C1476="","",IFERROR(INDEX(ENVIOS!$F$4:$F$3003,MATCH($C1476,ENVIOS!$A$4:$A$3003,0)),"—"))</f>
        <v/>
      </c>
      <c r="I1476" s="27">
        <f>IF($C1476="","",IFERROR(INDEX(ENVIOS!$G$4:$G$3003,MATCH($C1476,ENVIOS!$A$4:$A$3003,0)),"—"))</f>
        <v/>
      </c>
      <c r="J1476" s="48">
        <f>IF($C1476="","",IFERROR(INDEX(ENVIOS!$B$4:$B$3003,MATCH($C1476,ENVIOS!$A$4:$A$3003,0)),""))</f>
        <v/>
      </c>
      <c r="K1476" s="49" t="n"/>
      <c r="L1476" s="27">
        <f>IF($K1476="","",IFERROR(INDEX(CONFIG!$B$4:$B$43,MATCH($K1476,CONFIG!$A$4:$A$43,0)),"Media"))</f>
        <v/>
      </c>
      <c r="M1476" s="27">
        <f>IF($K1476="","",IFERROR(INDEX(CONFIG!$D$4:$D$43,MATCH($K1476,CONFIG!$A$4:$A$43,0)),"NO"))</f>
        <v/>
      </c>
      <c r="N1476" s="49" t="n"/>
      <c r="O1476" s="27">
        <f>IF($N1476="","",IFERROR(INDEX(CONFIG!$G$4:$G$43,MATCH($N1476,CONFIG!$F$4:$F$43,0)),"Por definir"))</f>
        <v/>
      </c>
      <c r="P1476" s="27">
        <f>IF($N1476="","",IFERROR(INDEX(CONFIG!$H$4:$H$43,MATCH($N1476,CONFIG!$F$4:$F$43,0)),"Por definir"))</f>
        <v/>
      </c>
      <c r="Q1476" s="50" t="n"/>
      <c r="R1476" s="51" t="n"/>
      <c r="S1476" s="49" t="n"/>
      <c r="T1476" s="49" t="n"/>
      <c r="U1476" s="48">
        <f>IF(OR($B1476="",$K1476=""),"",WORKDAY($B1476,IFERROR(INDEX(CONFIG!$C$4:$C$43,MATCH($K1476,CONFIG!$A$4:$A$43,0)),3)))</f>
        <v/>
      </c>
      <c r="V1476" s="46" t="n"/>
      <c r="W1476" s="23">
        <f>IF($B1476="","",IF($V1476&lt;&gt;"",$V1476-$B1476,TODAY()-$B1476))</f>
        <v/>
      </c>
      <c r="X1476" s="27">
        <f>IF($C1476="","",IF(IFERROR(INDEX(CONFIG!$K$4:$K$43,MATCH($S1476,CONFIG!$J$4:$J$43,0)),"NO")="SÍ",IF(OR($V1476="",$U1476=""),"Resuelta",IF($V1476&gt;$U1476,"Resuelta tarde","Resuelta a tiempo")),IF($U1476="","Sin clasificar",IF(TODAY()&gt;$U1476,"Vencida",IF(TODAY()&gt;=$U1476-1,"Por vencer","En plazo")))))</f>
        <v/>
      </c>
      <c r="Y1476" s="49" t="n"/>
      <c r="Z1476" s="49" t="n"/>
    </row>
    <row r="1477" ht="16" customHeight="1">
      <c r="A1477" s="27">
        <f>IF($C1477="","","N-"&amp;TEXT(ROW()-3,"0000"))</f>
        <v/>
      </c>
      <c r="B1477" s="46" t="n"/>
      <c r="C1477" s="47" t="n"/>
      <c r="D1477" s="27">
        <f>IF($C1477="","",IF(COUNTIFS(ENVIOS!$A$4:$A$3003,$C1477)=0,"NO EXISTE",IF(COUNTIFS(ENVIOS!$A$4:$A$3003,$C1477)&gt;1,"DUPLICADA","OK")))</f>
        <v/>
      </c>
      <c r="E1477" s="22">
        <f>IF($C1477="","",IFERROR(INDEX(ENVIOS!$C$4:$C$3003,MATCH($C1477,ENVIOS!$A$4:$A$3003,0)),"—"))</f>
        <v/>
      </c>
      <c r="F1477" s="22">
        <f>IF($C1477="","",IFERROR(INDEX(ENVIOS!$D$4:$D$3003,MATCH($C1477,ENVIOS!$A$4:$A$3003,0)),"—"))</f>
        <v/>
      </c>
      <c r="G1477" s="22">
        <f>IF($C1477="","",IFERROR(INDEX(ENVIOS!$E$4:$E$3003,MATCH($C1477,ENVIOS!$A$4:$A$3003,0)),"—"))</f>
        <v/>
      </c>
      <c r="H1477" s="22">
        <f>IF($C1477="","",IFERROR(INDEX(ENVIOS!$F$4:$F$3003,MATCH($C1477,ENVIOS!$A$4:$A$3003,0)),"—"))</f>
        <v/>
      </c>
      <c r="I1477" s="27">
        <f>IF($C1477="","",IFERROR(INDEX(ENVIOS!$G$4:$G$3003,MATCH($C1477,ENVIOS!$A$4:$A$3003,0)),"—"))</f>
        <v/>
      </c>
      <c r="J1477" s="48">
        <f>IF($C1477="","",IFERROR(INDEX(ENVIOS!$B$4:$B$3003,MATCH($C1477,ENVIOS!$A$4:$A$3003,0)),""))</f>
        <v/>
      </c>
      <c r="K1477" s="49" t="n"/>
      <c r="L1477" s="27">
        <f>IF($K1477="","",IFERROR(INDEX(CONFIG!$B$4:$B$43,MATCH($K1477,CONFIG!$A$4:$A$43,0)),"Media"))</f>
        <v/>
      </c>
      <c r="M1477" s="27">
        <f>IF($K1477="","",IFERROR(INDEX(CONFIG!$D$4:$D$43,MATCH($K1477,CONFIG!$A$4:$A$43,0)),"NO"))</f>
        <v/>
      </c>
      <c r="N1477" s="49" t="n"/>
      <c r="O1477" s="27">
        <f>IF($N1477="","",IFERROR(INDEX(CONFIG!$G$4:$G$43,MATCH($N1477,CONFIG!$F$4:$F$43,0)),"Por definir"))</f>
        <v/>
      </c>
      <c r="P1477" s="27">
        <f>IF($N1477="","",IFERROR(INDEX(CONFIG!$H$4:$H$43,MATCH($N1477,CONFIG!$F$4:$F$43,0)),"Por definir"))</f>
        <v/>
      </c>
      <c r="Q1477" s="50" t="n"/>
      <c r="R1477" s="51" t="n"/>
      <c r="S1477" s="49" t="n"/>
      <c r="T1477" s="49" t="n"/>
      <c r="U1477" s="48">
        <f>IF(OR($B1477="",$K1477=""),"",WORKDAY($B1477,IFERROR(INDEX(CONFIG!$C$4:$C$43,MATCH($K1477,CONFIG!$A$4:$A$43,0)),3)))</f>
        <v/>
      </c>
      <c r="V1477" s="46" t="n"/>
      <c r="W1477" s="23">
        <f>IF($B1477="","",IF($V1477&lt;&gt;"",$V1477-$B1477,TODAY()-$B1477))</f>
        <v/>
      </c>
      <c r="X1477" s="27">
        <f>IF($C1477="","",IF(IFERROR(INDEX(CONFIG!$K$4:$K$43,MATCH($S1477,CONFIG!$J$4:$J$43,0)),"NO")="SÍ",IF(OR($V1477="",$U1477=""),"Resuelta",IF($V1477&gt;$U1477,"Resuelta tarde","Resuelta a tiempo")),IF($U1477="","Sin clasificar",IF(TODAY()&gt;$U1477,"Vencida",IF(TODAY()&gt;=$U1477-1,"Por vencer","En plazo")))))</f>
        <v/>
      </c>
      <c r="Y1477" s="49" t="n"/>
      <c r="Z1477" s="49" t="n"/>
    </row>
    <row r="1478" ht="16" customHeight="1">
      <c r="A1478" s="27">
        <f>IF($C1478="","","N-"&amp;TEXT(ROW()-3,"0000"))</f>
        <v/>
      </c>
      <c r="B1478" s="46" t="n"/>
      <c r="C1478" s="47" t="n"/>
      <c r="D1478" s="27">
        <f>IF($C1478="","",IF(COUNTIFS(ENVIOS!$A$4:$A$3003,$C1478)=0,"NO EXISTE",IF(COUNTIFS(ENVIOS!$A$4:$A$3003,$C1478)&gt;1,"DUPLICADA","OK")))</f>
        <v/>
      </c>
      <c r="E1478" s="22">
        <f>IF($C1478="","",IFERROR(INDEX(ENVIOS!$C$4:$C$3003,MATCH($C1478,ENVIOS!$A$4:$A$3003,0)),"—"))</f>
        <v/>
      </c>
      <c r="F1478" s="22">
        <f>IF($C1478="","",IFERROR(INDEX(ENVIOS!$D$4:$D$3003,MATCH($C1478,ENVIOS!$A$4:$A$3003,0)),"—"))</f>
        <v/>
      </c>
      <c r="G1478" s="22">
        <f>IF($C1478="","",IFERROR(INDEX(ENVIOS!$E$4:$E$3003,MATCH($C1478,ENVIOS!$A$4:$A$3003,0)),"—"))</f>
        <v/>
      </c>
      <c r="H1478" s="22">
        <f>IF($C1478="","",IFERROR(INDEX(ENVIOS!$F$4:$F$3003,MATCH($C1478,ENVIOS!$A$4:$A$3003,0)),"—"))</f>
        <v/>
      </c>
      <c r="I1478" s="27">
        <f>IF($C1478="","",IFERROR(INDEX(ENVIOS!$G$4:$G$3003,MATCH($C1478,ENVIOS!$A$4:$A$3003,0)),"—"))</f>
        <v/>
      </c>
      <c r="J1478" s="48">
        <f>IF($C1478="","",IFERROR(INDEX(ENVIOS!$B$4:$B$3003,MATCH($C1478,ENVIOS!$A$4:$A$3003,0)),""))</f>
        <v/>
      </c>
      <c r="K1478" s="49" t="n"/>
      <c r="L1478" s="27">
        <f>IF($K1478="","",IFERROR(INDEX(CONFIG!$B$4:$B$43,MATCH($K1478,CONFIG!$A$4:$A$43,0)),"Media"))</f>
        <v/>
      </c>
      <c r="M1478" s="27">
        <f>IF($K1478="","",IFERROR(INDEX(CONFIG!$D$4:$D$43,MATCH($K1478,CONFIG!$A$4:$A$43,0)),"NO"))</f>
        <v/>
      </c>
      <c r="N1478" s="49" t="n"/>
      <c r="O1478" s="27">
        <f>IF($N1478="","",IFERROR(INDEX(CONFIG!$G$4:$G$43,MATCH($N1478,CONFIG!$F$4:$F$43,0)),"Por definir"))</f>
        <v/>
      </c>
      <c r="P1478" s="27">
        <f>IF($N1478="","",IFERROR(INDEX(CONFIG!$H$4:$H$43,MATCH($N1478,CONFIG!$F$4:$F$43,0)),"Por definir"))</f>
        <v/>
      </c>
      <c r="Q1478" s="50" t="n"/>
      <c r="R1478" s="51" t="n"/>
      <c r="S1478" s="49" t="n"/>
      <c r="T1478" s="49" t="n"/>
      <c r="U1478" s="48">
        <f>IF(OR($B1478="",$K1478=""),"",WORKDAY($B1478,IFERROR(INDEX(CONFIG!$C$4:$C$43,MATCH($K1478,CONFIG!$A$4:$A$43,0)),3)))</f>
        <v/>
      </c>
      <c r="V1478" s="46" t="n"/>
      <c r="W1478" s="23">
        <f>IF($B1478="","",IF($V1478&lt;&gt;"",$V1478-$B1478,TODAY()-$B1478))</f>
        <v/>
      </c>
      <c r="X1478" s="27">
        <f>IF($C1478="","",IF(IFERROR(INDEX(CONFIG!$K$4:$K$43,MATCH($S1478,CONFIG!$J$4:$J$43,0)),"NO")="SÍ",IF(OR($V1478="",$U1478=""),"Resuelta",IF($V1478&gt;$U1478,"Resuelta tarde","Resuelta a tiempo")),IF($U1478="","Sin clasificar",IF(TODAY()&gt;$U1478,"Vencida",IF(TODAY()&gt;=$U1478-1,"Por vencer","En plazo")))))</f>
        <v/>
      </c>
      <c r="Y1478" s="49" t="n"/>
      <c r="Z1478" s="49" t="n"/>
    </row>
    <row r="1479" ht="16" customHeight="1">
      <c r="A1479" s="27">
        <f>IF($C1479="","","N-"&amp;TEXT(ROW()-3,"0000"))</f>
        <v/>
      </c>
      <c r="B1479" s="46" t="n"/>
      <c r="C1479" s="47" t="n"/>
      <c r="D1479" s="27">
        <f>IF($C1479="","",IF(COUNTIFS(ENVIOS!$A$4:$A$3003,$C1479)=0,"NO EXISTE",IF(COUNTIFS(ENVIOS!$A$4:$A$3003,$C1479)&gt;1,"DUPLICADA","OK")))</f>
        <v/>
      </c>
      <c r="E1479" s="22">
        <f>IF($C1479="","",IFERROR(INDEX(ENVIOS!$C$4:$C$3003,MATCH($C1479,ENVIOS!$A$4:$A$3003,0)),"—"))</f>
        <v/>
      </c>
      <c r="F1479" s="22">
        <f>IF($C1479="","",IFERROR(INDEX(ENVIOS!$D$4:$D$3003,MATCH($C1479,ENVIOS!$A$4:$A$3003,0)),"—"))</f>
        <v/>
      </c>
      <c r="G1479" s="22">
        <f>IF($C1479="","",IFERROR(INDEX(ENVIOS!$E$4:$E$3003,MATCH($C1479,ENVIOS!$A$4:$A$3003,0)),"—"))</f>
        <v/>
      </c>
      <c r="H1479" s="22">
        <f>IF($C1479="","",IFERROR(INDEX(ENVIOS!$F$4:$F$3003,MATCH($C1479,ENVIOS!$A$4:$A$3003,0)),"—"))</f>
        <v/>
      </c>
      <c r="I1479" s="27">
        <f>IF($C1479="","",IFERROR(INDEX(ENVIOS!$G$4:$G$3003,MATCH($C1479,ENVIOS!$A$4:$A$3003,0)),"—"))</f>
        <v/>
      </c>
      <c r="J1479" s="48">
        <f>IF($C1479="","",IFERROR(INDEX(ENVIOS!$B$4:$B$3003,MATCH($C1479,ENVIOS!$A$4:$A$3003,0)),""))</f>
        <v/>
      </c>
      <c r="K1479" s="49" t="n"/>
      <c r="L1479" s="27">
        <f>IF($K1479="","",IFERROR(INDEX(CONFIG!$B$4:$B$43,MATCH($K1479,CONFIG!$A$4:$A$43,0)),"Media"))</f>
        <v/>
      </c>
      <c r="M1479" s="27">
        <f>IF($K1479="","",IFERROR(INDEX(CONFIG!$D$4:$D$43,MATCH($K1479,CONFIG!$A$4:$A$43,0)),"NO"))</f>
        <v/>
      </c>
      <c r="N1479" s="49" t="n"/>
      <c r="O1479" s="27">
        <f>IF($N1479="","",IFERROR(INDEX(CONFIG!$G$4:$G$43,MATCH($N1479,CONFIG!$F$4:$F$43,0)),"Por definir"))</f>
        <v/>
      </c>
      <c r="P1479" s="27">
        <f>IF($N1479="","",IFERROR(INDEX(CONFIG!$H$4:$H$43,MATCH($N1479,CONFIG!$F$4:$F$43,0)),"Por definir"))</f>
        <v/>
      </c>
      <c r="Q1479" s="50" t="n"/>
      <c r="R1479" s="51" t="n"/>
      <c r="S1479" s="49" t="n"/>
      <c r="T1479" s="49" t="n"/>
      <c r="U1479" s="48">
        <f>IF(OR($B1479="",$K1479=""),"",WORKDAY($B1479,IFERROR(INDEX(CONFIG!$C$4:$C$43,MATCH($K1479,CONFIG!$A$4:$A$43,0)),3)))</f>
        <v/>
      </c>
      <c r="V1479" s="46" t="n"/>
      <c r="W1479" s="23">
        <f>IF($B1479="","",IF($V1479&lt;&gt;"",$V1479-$B1479,TODAY()-$B1479))</f>
        <v/>
      </c>
      <c r="X1479" s="27">
        <f>IF($C1479="","",IF(IFERROR(INDEX(CONFIG!$K$4:$K$43,MATCH($S1479,CONFIG!$J$4:$J$43,0)),"NO")="SÍ",IF(OR($V1479="",$U1479=""),"Resuelta",IF($V1479&gt;$U1479,"Resuelta tarde","Resuelta a tiempo")),IF($U1479="","Sin clasificar",IF(TODAY()&gt;$U1479,"Vencida",IF(TODAY()&gt;=$U1479-1,"Por vencer","En plazo")))))</f>
        <v/>
      </c>
      <c r="Y1479" s="49" t="n"/>
      <c r="Z1479" s="49" t="n"/>
    </row>
    <row r="1480" ht="16" customHeight="1">
      <c r="A1480" s="27">
        <f>IF($C1480="","","N-"&amp;TEXT(ROW()-3,"0000"))</f>
        <v/>
      </c>
      <c r="B1480" s="46" t="n"/>
      <c r="C1480" s="47" t="n"/>
      <c r="D1480" s="27">
        <f>IF($C1480="","",IF(COUNTIFS(ENVIOS!$A$4:$A$3003,$C1480)=0,"NO EXISTE",IF(COUNTIFS(ENVIOS!$A$4:$A$3003,$C1480)&gt;1,"DUPLICADA","OK")))</f>
        <v/>
      </c>
      <c r="E1480" s="22">
        <f>IF($C1480="","",IFERROR(INDEX(ENVIOS!$C$4:$C$3003,MATCH($C1480,ENVIOS!$A$4:$A$3003,0)),"—"))</f>
        <v/>
      </c>
      <c r="F1480" s="22">
        <f>IF($C1480="","",IFERROR(INDEX(ENVIOS!$D$4:$D$3003,MATCH($C1480,ENVIOS!$A$4:$A$3003,0)),"—"))</f>
        <v/>
      </c>
      <c r="G1480" s="22">
        <f>IF($C1480="","",IFERROR(INDEX(ENVIOS!$E$4:$E$3003,MATCH($C1480,ENVIOS!$A$4:$A$3003,0)),"—"))</f>
        <v/>
      </c>
      <c r="H1480" s="22">
        <f>IF($C1480="","",IFERROR(INDEX(ENVIOS!$F$4:$F$3003,MATCH($C1480,ENVIOS!$A$4:$A$3003,0)),"—"))</f>
        <v/>
      </c>
      <c r="I1480" s="27">
        <f>IF($C1480="","",IFERROR(INDEX(ENVIOS!$G$4:$G$3003,MATCH($C1480,ENVIOS!$A$4:$A$3003,0)),"—"))</f>
        <v/>
      </c>
      <c r="J1480" s="48">
        <f>IF($C1480="","",IFERROR(INDEX(ENVIOS!$B$4:$B$3003,MATCH($C1480,ENVIOS!$A$4:$A$3003,0)),""))</f>
        <v/>
      </c>
      <c r="K1480" s="49" t="n"/>
      <c r="L1480" s="27">
        <f>IF($K1480="","",IFERROR(INDEX(CONFIG!$B$4:$B$43,MATCH($K1480,CONFIG!$A$4:$A$43,0)),"Media"))</f>
        <v/>
      </c>
      <c r="M1480" s="27">
        <f>IF($K1480="","",IFERROR(INDEX(CONFIG!$D$4:$D$43,MATCH($K1480,CONFIG!$A$4:$A$43,0)),"NO"))</f>
        <v/>
      </c>
      <c r="N1480" s="49" t="n"/>
      <c r="O1480" s="27">
        <f>IF($N1480="","",IFERROR(INDEX(CONFIG!$G$4:$G$43,MATCH($N1480,CONFIG!$F$4:$F$43,0)),"Por definir"))</f>
        <v/>
      </c>
      <c r="P1480" s="27">
        <f>IF($N1480="","",IFERROR(INDEX(CONFIG!$H$4:$H$43,MATCH($N1480,CONFIG!$F$4:$F$43,0)),"Por definir"))</f>
        <v/>
      </c>
      <c r="Q1480" s="50" t="n"/>
      <c r="R1480" s="51" t="n"/>
      <c r="S1480" s="49" t="n"/>
      <c r="T1480" s="49" t="n"/>
      <c r="U1480" s="48">
        <f>IF(OR($B1480="",$K1480=""),"",WORKDAY($B1480,IFERROR(INDEX(CONFIG!$C$4:$C$43,MATCH($K1480,CONFIG!$A$4:$A$43,0)),3)))</f>
        <v/>
      </c>
      <c r="V1480" s="46" t="n"/>
      <c r="W1480" s="23">
        <f>IF($B1480="","",IF($V1480&lt;&gt;"",$V1480-$B1480,TODAY()-$B1480))</f>
        <v/>
      </c>
      <c r="X1480" s="27">
        <f>IF($C1480="","",IF(IFERROR(INDEX(CONFIG!$K$4:$K$43,MATCH($S1480,CONFIG!$J$4:$J$43,0)),"NO")="SÍ",IF(OR($V1480="",$U1480=""),"Resuelta",IF($V1480&gt;$U1480,"Resuelta tarde","Resuelta a tiempo")),IF($U1480="","Sin clasificar",IF(TODAY()&gt;$U1480,"Vencida",IF(TODAY()&gt;=$U1480-1,"Por vencer","En plazo")))))</f>
        <v/>
      </c>
      <c r="Y1480" s="49" t="n"/>
      <c r="Z1480" s="49" t="n"/>
    </row>
    <row r="1481" ht="16" customHeight="1">
      <c r="A1481" s="27">
        <f>IF($C1481="","","N-"&amp;TEXT(ROW()-3,"0000"))</f>
        <v/>
      </c>
      <c r="B1481" s="46" t="n"/>
      <c r="C1481" s="47" t="n"/>
      <c r="D1481" s="27">
        <f>IF($C1481="","",IF(COUNTIFS(ENVIOS!$A$4:$A$3003,$C1481)=0,"NO EXISTE",IF(COUNTIFS(ENVIOS!$A$4:$A$3003,$C1481)&gt;1,"DUPLICADA","OK")))</f>
        <v/>
      </c>
      <c r="E1481" s="22">
        <f>IF($C1481="","",IFERROR(INDEX(ENVIOS!$C$4:$C$3003,MATCH($C1481,ENVIOS!$A$4:$A$3003,0)),"—"))</f>
        <v/>
      </c>
      <c r="F1481" s="22">
        <f>IF($C1481="","",IFERROR(INDEX(ENVIOS!$D$4:$D$3003,MATCH($C1481,ENVIOS!$A$4:$A$3003,0)),"—"))</f>
        <v/>
      </c>
      <c r="G1481" s="22">
        <f>IF($C1481="","",IFERROR(INDEX(ENVIOS!$E$4:$E$3003,MATCH($C1481,ENVIOS!$A$4:$A$3003,0)),"—"))</f>
        <v/>
      </c>
      <c r="H1481" s="22">
        <f>IF($C1481="","",IFERROR(INDEX(ENVIOS!$F$4:$F$3003,MATCH($C1481,ENVIOS!$A$4:$A$3003,0)),"—"))</f>
        <v/>
      </c>
      <c r="I1481" s="27">
        <f>IF($C1481="","",IFERROR(INDEX(ENVIOS!$G$4:$G$3003,MATCH($C1481,ENVIOS!$A$4:$A$3003,0)),"—"))</f>
        <v/>
      </c>
      <c r="J1481" s="48">
        <f>IF($C1481="","",IFERROR(INDEX(ENVIOS!$B$4:$B$3003,MATCH($C1481,ENVIOS!$A$4:$A$3003,0)),""))</f>
        <v/>
      </c>
      <c r="K1481" s="49" t="n"/>
      <c r="L1481" s="27">
        <f>IF($K1481="","",IFERROR(INDEX(CONFIG!$B$4:$B$43,MATCH($K1481,CONFIG!$A$4:$A$43,0)),"Media"))</f>
        <v/>
      </c>
      <c r="M1481" s="27">
        <f>IF($K1481="","",IFERROR(INDEX(CONFIG!$D$4:$D$43,MATCH($K1481,CONFIG!$A$4:$A$43,0)),"NO"))</f>
        <v/>
      </c>
      <c r="N1481" s="49" t="n"/>
      <c r="O1481" s="27">
        <f>IF($N1481="","",IFERROR(INDEX(CONFIG!$G$4:$G$43,MATCH($N1481,CONFIG!$F$4:$F$43,0)),"Por definir"))</f>
        <v/>
      </c>
      <c r="P1481" s="27">
        <f>IF($N1481="","",IFERROR(INDEX(CONFIG!$H$4:$H$43,MATCH($N1481,CONFIG!$F$4:$F$43,0)),"Por definir"))</f>
        <v/>
      </c>
      <c r="Q1481" s="50" t="n"/>
      <c r="R1481" s="51" t="n"/>
      <c r="S1481" s="49" t="n"/>
      <c r="T1481" s="49" t="n"/>
      <c r="U1481" s="48">
        <f>IF(OR($B1481="",$K1481=""),"",WORKDAY($B1481,IFERROR(INDEX(CONFIG!$C$4:$C$43,MATCH($K1481,CONFIG!$A$4:$A$43,0)),3)))</f>
        <v/>
      </c>
      <c r="V1481" s="46" t="n"/>
      <c r="W1481" s="23">
        <f>IF($B1481="","",IF($V1481&lt;&gt;"",$V1481-$B1481,TODAY()-$B1481))</f>
        <v/>
      </c>
      <c r="X1481" s="27">
        <f>IF($C1481="","",IF(IFERROR(INDEX(CONFIG!$K$4:$K$43,MATCH($S1481,CONFIG!$J$4:$J$43,0)),"NO")="SÍ",IF(OR($V1481="",$U1481=""),"Resuelta",IF($V1481&gt;$U1481,"Resuelta tarde","Resuelta a tiempo")),IF($U1481="","Sin clasificar",IF(TODAY()&gt;$U1481,"Vencida",IF(TODAY()&gt;=$U1481-1,"Por vencer","En plazo")))))</f>
        <v/>
      </c>
      <c r="Y1481" s="49" t="n"/>
      <c r="Z1481" s="49" t="n"/>
    </row>
    <row r="1482" ht="16" customHeight="1">
      <c r="A1482" s="27">
        <f>IF($C1482="","","N-"&amp;TEXT(ROW()-3,"0000"))</f>
        <v/>
      </c>
      <c r="B1482" s="46" t="n"/>
      <c r="C1482" s="47" t="n"/>
      <c r="D1482" s="27">
        <f>IF($C1482="","",IF(COUNTIFS(ENVIOS!$A$4:$A$3003,$C1482)=0,"NO EXISTE",IF(COUNTIFS(ENVIOS!$A$4:$A$3003,$C1482)&gt;1,"DUPLICADA","OK")))</f>
        <v/>
      </c>
      <c r="E1482" s="22">
        <f>IF($C1482="","",IFERROR(INDEX(ENVIOS!$C$4:$C$3003,MATCH($C1482,ENVIOS!$A$4:$A$3003,0)),"—"))</f>
        <v/>
      </c>
      <c r="F1482" s="22">
        <f>IF($C1482="","",IFERROR(INDEX(ENVIOS!$D$4:$D$3003,MATCH($C1482,ENVIOS!$A$4:$A$3003,0)),"—"))</f>
        <v/>
      </c>
      <c r="G1482" s="22">
        <f>IF($C1482="","",IFERROR(INDEX(ENVIOS!$E$4:$E$3003,MATCH($C1482,ENVIOS!$A$4:$A$3003,0)),"—"))</f>
        <v/>
      </c>
      <c r="H1482" s="22">
        <f>IF($C1482="","",IFERROR(INDEX(ENVIOS!$F$4:$F$3003,MATCH($C1482,ENVIOS!$A$4:$A$3003,0)),"—"))</f>
        <v/>
      </c>
      <c r="I1482" s="27">
        <f>IF($C1482="","",IFERROR(INDEX(ENVIOS!$G$4:$G$3003,MATCH($C1482,ENVIOS!$A$4:$A$3003,0)),"—"))</f>
        <v/>
      </c>
      <c r="J1482" s="48">
        <f>IF($C1482="","",IFERROR(INDEX(ENVIOS!$B$4:$B$3003,MATCH($C1482,ENVIOS!$A$4:$A$3003,0)),""))</f>
        <v/>
      </c>
      <c r="K1482" s="49" t="n"/>
      <c r="L1482" s="27">
        <f>IF($K1482="","",IFERROR(INDEX(CONFIG!$B$4:$B$43,MATCH($K1482,CONFIG!$A$4:$A$43,0)),"Media"))</f>
        <v/>
      </c>
      <c r="M1482" s="27">
        <f>IF($K1482="","",IFERROR(INDEX(CONFIG!$D$4:$D$43,MATCH($K1482,CONFIG!$A$4:$A$43,0)),"NO"))</f>
        <v/>
      </c>
      <c r="N1482" s="49" t="n"/>
      <c r="O1482" s="27">
        <f>IF($N1482="","",IFERROR(INDEX(CONFIG!$G$4:$G$43,MATCH($N1482,CONFIG!$F$4:$F$43,0)),"Por definir"))</f>
        <v/>
      </c>
      <c r="P1482" s="27">
        <f>IF($N1482="","",IFERROR(INDEX(CONFIG!$H$4:$H$43,MATCH($N1482,CONFIG!$F$4:$F$43,0)),"Por definir"))</f>
        <v/>
      </c>
      <c r="Q1482" s="50" t="n"/>
      <c r="R1482" s="51" t="n"/>
      <c r="S1482" s="49" t="n"/>
      <c r="T1482" s="49" t="n"/>
      <c r="U1482" s="48">
        <f>IF(OR($B1482="",$K1482=""),"",WORKDAY($B1482,IFERROR(INDEX(CONFIG!$C$4:$C$43,MATCH($K1482,CONFIG!$A$4:$A$43,0)),3)))</f>
        <v/>
      </c>
      <c r="V1482" s="46" t="n"/>
      <c r="W1482" s="23">
        <f>IF($B1482="","",IF($V1482&lt;&gt;"",$V1482-$B1482,TODAY()-$B1482))</f>
        <v/>
      </c>
      <c r="X1482" s="27">
        <f>IF($C1482="","",IF(IFERROR(INDEX(CONFIG!$K$4:$K$43,MATCH($S1482,CONFIG!$J$4:$J$43,0)),"NO")="SÍ",IF(OR($V1482="",$U1482=""),"Resuelta",IF($V1482&gt;$U1482,"Resuelta tarde","Resuelta a tiempo")),IF($U1482="","Sin clasificar",IF(TODAY()&gt;$U1482,"Vencida",IF(TODAY()&gt;=$U1482-1,"Por vencer","En plazo")))))</f>
        <v/>
      </c>
      <c r="Y1482" s="49" t="n"/>
      <c r="Z1482" s="49" t="n"/>
    </row>
    <row r="1483" ht="16" customHeight="1">
      <c r="A1483" s="27">
        <f>IF($C1483="","","N-"&amp;TEXT(ROW()-3,"0000"))</f>
        <v/>
      </c>
      <c r="B1483" s="46" t="n"/>
      <c r="C1483" s="47" t="n"/>
      <c r="D1483" s="27">
        <f>IF($C1483="","",IF(COUNTIFS(ENVIOS!$A$4:$A$3003,$C1483)=0,"NO EXISTE",IF(COUNTIFS(ENVIOS!$A$4:$A$3003,$C1483)&gt;1,"DUPLICADA","OK")))</f>
        <v/>
      </c>
      <c r="E1483" s="22">
        <f>IF($C1483="","",IFERROR(INDEX(ENVIOS!$C$4:$C$3003,MATCH($C1483,ENVIOS!$A$4:$A$3003,0)),"—"))</f>
        <v/>
      </c>
      <c r="F1483" s="22">
        <f>IF($C1483="","",IFERROR(INDEX(ENVIOS!$D$4:$D$3003,MATCH($C1483,ENVIOS!$A$4:$A$3003,0)),"—"))</f>
        <v/>
      </c>
      <c r="G1483" s="22">
        <f>IF($C1483="","",IFERROR(INDEX(ENVIOS!$E$4:$E$3003,MATCH($C1483,ENVIOS!$A$4:$A$3003,0)),"—"))</f>
        <v/>
      </c>
      <c r="H1483" s="22">
        <f>IF($C1483="","",IFERROR(INDEX(ENVIOS!$F$4:$F$3003,MATCH($C1483,ENVIOS!$A$4:$A$3003,0)),"—"))</f>
        <v/>
      </c>
      <c r="I1483" s="27">
        <f>IF($C1483="","",IFERROR(INDEX(ENVIOS!$G$4:$G$3003,MATCH($C1483,ENVIOS!$A$4:$A$3003,0)),"—"))</f>
        <v/>
      </c>
      <c r="J1483" s="48">
        <f>IF($C1483="","",IFERROR(INDEX(ENVIOS!$B$4:$B$3003,MATCH($C1483,ENVIOS!$A$4:$A$3003,0)),""))</f>
        <v/>
      </c>
      <c r="K1483" s="49" t="n"/>
      <c r="L1483" s="27">
        <f>IF($K1483="","",IFERROR(INDEX(CONFIG!$B$4:$B$43,MATCH($K1483,CONFIG!$A$4:$A$43,0)),"Media"))</f>
        <v/>
      </c>
      <c r="M1483" s="27">
        <f>IF($K1483="","",IFERROR(INDEX(CONFIG!$D$4:$D$43,MATCH($K1483,CONFIG!$A$4:$A$43,0)),"NO"))</f>
        <v/>
      </c>
      <c r="N1483" s="49" t="n"/>
      <c r="O1483" s="27">
        <f>IF($N1483="","",IFERROR(INDEX(CONFIG!$G$4:$G$43,MATCH($N1483,CONFIG!$F$4:$F$43,0)),"Por definir"))</f>
        <v/>
      </c>
      <c r="P1483" s="27">
        <f>IF($N1483="","",IFERROR(INDEX(CONFIG!$H$4:$H$43,MATCH($N1483,CONFIG!$F$4:$F$43,0)),"Por definir"))</f>
        <v/>
      </c>
      <c r="Q1483" s="50" t="n"/>
      <c r="R1483" s="51" t="n"/>
      <c r="S1483" s="49" t="n"/>
      <c r="T1483" s="49" t="n"/>
      <c r="U1483" s="48">
        <f>IF(OR($B1483="",$K1483=""),"",WORKDAY($B1483,IFERROR(INDEX(CONFIG!$C$4:$C$43,MATCH($K1483,CONFIG!$A$4:$A$43,0)),3)))</f>
        <v/>
      </c>
      <c r="V1483" s="46" t="n"/>
      <c r="W1483" s="23">
        <f>IF($B1483="","",IF($V1483&lt;&gt;"",$V1483-$B1483,TODAY()-$B1483))</f>
        <v/>
      </c>
      <c r="X1483" s="27">
        <f>IF($C1483="","",IF(IFERROR(INDEX(CONFIG!$K$4:$K$43,MATCH($S1483,CONFIG!$J$4:$J$43,0)),"NO")="SÍ",IF(OR($V1483="",$U1483=""),"Resuelta",IF($V1483&gt;$U1483,"Resuelta tarde","Resuelta a tiempo")),IF($U1483="","Sin clasificar",IF(TODAY()&gt;$U1483,"Vencida",IF(TODAY()&gt;=$U1483-1,"Por vencer","En plazo")))))</f>
        <v/>
      </c>
      <c r="Y1483" s="49" t="n"/>
      <c r="Z1483" s="49" t="n"/>
    </row>
    <row r="1484" ht="16" customHeight="1">
      <c r="A1484" s="27">
        <f>IF($C1484="","","N-"&amp;TEXT(ROW()-3,"0000"))</f>
        <v/>
      </c>
      <c r="B1484" s="46" t="n"/>
      <c r="C1484" s="47" t="n"/>
      <c r="D1484" s="27">
        <f>IF($C1484="","",IF(COUNTIFS(ENVIOS!$A$4:$A$3003,$C1484)=0,"NO EXISTE",IF(COUNTIFS(ENVIOS!$A$4:$A$3003,$C1484)&gt;1,"DUPLICADA","OK")))</f>
        <v/>
      </c>
      <c r="E1484" s="22">
        <f>IF($C1484="","",IFERROR(INDEX(ENVIOS!$C$4:$C$3003,MATCH($C1484,ENVIOS!$A$4:$A$3003,0)),"—"))</f>
        <v/>
      </c>
      <c r="F1484" s="22">
        <f>IF($C1484="","",IFERROR(INDEX(ENVIOS!$D$4:$D$3003,MATCH($C1484,ENVIOS!$A$4:$A$3003,0)),"—"))</f>
        <v/>
      </c>
      <c r="G1484" s="22">
        <f>IF($C1484="","",IFERROR(INDEX(ENVIOS!$E$4:$E$3003,MATCH($C1484,ENVIOS!$A$4:$A$3003,0)),"—"))</f>
        <v/>
      </c>
      <c r="H1484" s="22">
        <f>IF($C1484="","",IFERROR(INDEX(ENVIOS!$F$4:$F$3003,MATCH($C1484,ENVIOS!$A$4:$A$3003,0)),"—"))</f>
        <v/>
      </c>
      <c r="I1484" s="27">
        <f>IF($C1484="","",IFERROR(INDEX(ENVIOS!$G$4:$G$3003,MATCH($C1484,ENVIOS!$A$4:$A$3003,0)),"—"))</f>
        <v/>
      </c>
      <c r="J1484" s="48">
        <f>IF($C1484="","",IFERROR(INDEX(ENVIOS!$B$4:$B$3003,MATCH($C1484,ENVIOS!$A$4:$A$3003,0)),""))</f>
        <v/>
      </c>
      <c r="K1484" s="49" t="n"/>
      <c r="L1484" s="27">
        <f>IF($K1484="","",IFERROR(INDEX(CONFIG!$B$4:$B$43,MATCH($K1484,CONFIG!$A$4:$A$43,0)),"Media"))</f>
        <v/>
      </c>
      <c r="M1484" s="27">
        <f>IF($K1484="","",IFERROR(INDEX(CONFIG!$D$4:$D$43,MATCH($K1484,CONFIG!$A$4:$A$43,0)),"NO"))</f>
        <v/>
      </c>
      <c r="N1484" s="49" t="n"/>
      <c r="O1484" s="27">
        <f>IF($N1484="","",IFERROR(INDEX(CONFIG!$G$4:$G$43,MATCH($N1484,CONFIG!$F$4:$F$43,0)),"Por definir"))</f>
        <v/>
      </c>
      <c r="P1484" s="27">
        <f>IF($N1484="","",IFERROR(INDEX(CONFIG!$H$4:$H$43,MATCH($N1484,CONFIG!$F$4:$F$43,0)),"Por definir"))</f>
        <v/>
      </c>
      <c r="Q1484" s="50" t="n"/>
      <c r="R1484" s="51" t="n"/>
      <c r="S1484" s="49" t="n"/>
      <c r="T1484" s="49" t="n"/>
      <c r="U1484" s="48">
        <f>IF(OR($B1484="",$K1484=""),"",WORKDAY($B1484,IFERROR(INDEX(CONFIG!$C$4:$C$43,MATCH($K1484,CONFIG!$A$4:$A$43,0)),3)))</f>
        <v/>
      </c>
      <c r="V1484" s="46" t="n"/>
      <c r="W1484" s="23">
        <f>IF($B1484="","",IF($V1484&lt;&gt;"",$V1484-$B1484,TODAY()-$B1484))</f>
        <v/>
      </c>
      <c r="X1484" s="27">
        <f>IF($C1484="","",IF(IFERROR(INDEX(CONFIG!$K$4:$K$43,MATCH($S1484,CONFIG!$J$4:$J$43,0)),"NO")="SÍ",IF(OR($V1484="",$U1484=""),"Resuelta",IF($V1484&gt;$U1484,"Resuelta tarde","Resuelta a tiempo")),IF($U1484="","Sin clasificar",IF(TODAY()&gt;$U1484,"Vencida",IF(TODAY()&gt;=$U1484-1,"Por vencer","En plazo")))))</f>
        <v/>
      </c>
      <c r="Y1484" s="49" t="n"/>
      <c r="Z1484" s="49" t="n"/>
    </row>
    <row r="1485" ht="16" customHeight="1">
      <c r="A1485" s="27">
        <f>IF($C1485="","","N-"&amp;TEXT(ROW()-3,"0000"))</f>
        <v/>
      </c>
      <c r="B1485" s="46" t="n"/>
      <c r="C1485" s="47" t="n"/>
      <c r="D1485" s="27">
        <f>IF($C1485="","",IF(COUNTIFS(ENVIOS!$A$4:$A$3003,$C1485)=0,"NO EXISTE",IF(COUNTIFS(ENVIOS!$A$4:$A$3003,$C1485)&gt;1,"DUPLICADA","OK")))</f>
        <v/>
      </c>
      <c r="E1485" s="22">
        <f>IF($C1485="","",IFERROR(INDEX(ENVIOS!$C$4:$C$3003,MATCH($C1485,ENVIOS!$A$4:$A$3003,0)),"—"))</f>
        <v/>
      </c>
      <c r="F1485" s="22">
        <f>IF($C1485="","",IFERROR(INDEX(ENVIOS!$D$4:$D$3003,MATCH($C1485,ENVIOS!$A$4:$A$3003,0)),"—"))</f>
        <v/>
      </c>
      <c r="G1485" s="22">
        <f>IF($C1485="","",IFERROR(INDEX(ENVIOS!$E$4:$E$3003,MATCH($C1485,ENVIOS!$A$4:$A$3003,0)),"—"))</f>
        <v/>
      </c>
      <c r="H1485" s="22">
        <f>IF($C1485="","",IFERROR(INDEX(ENVIOS!$F$4:$F$3003,MATCH($C1485,ENVIOS!$A$4:$A$3003,0)),"—"))</f>
        <v/>
      </c>
      <c r="I1485" s="27">
        <f>IF($C1485="","",IFERROR(INDEX(ENVIOS!$G$4:$G$3003,MATCH($C1485,ENVIOS!$A$4:$A$3003,0)),"—"))</f>
        <v/>
      </c>
      <c r="J1485" s="48">
        <f>IF($C1485="","",IFERROR(INDEX(ENVIOS!$B$4:$B$3003,MATCH($C1485,ENVIOS!$A$4:$A$3003,0)),""))</f>
        <v/>
      </c>
      <c r="K1485" s="49" t="n"/>
      <c r="L1485" s="27">
        <f>IF($K1485="","",IFERROR(INDEX(CONFIG!$B$4:$B$43,MATCH($K1485,CONFIG!$A$4:$A$43,0)),"Media"))</f>
        <v/>
      </c>
      <c r="M1485" s="27">
        <f>IF($K1485="","",IFERROR(INDEX(CONFIG!$D$4:$D$43,MATCH($K1485,CONFIG!$A$4:$A$43,0)),"NO"))</f>
        <v/>
      </c>
      <c r="N1485" s="49" t="n"/>
      <c r="O1485" s="27">
        <f>IF($N1485="","",IFERROR(INDEX(CONFIG!$G$4:$G$43,MATCH($N1485,CONFIG!$F$4:$F$43,0)),"Por definir"))</f>
        <v/>
      </c>
      <c r="P1485" s="27">
        <f>IF($N1485="","",IFERROR(INDEX(CONFIG!$H$4:$H$43,MATCH($N1485,CONFIG!$F$4:$F$43,0)),"Por definir"))</f>
        <v/>
      </c>
      <c r="Q1485" s="50" t="n"/>
      <c r="R1485" s="51" t="n"/>
      <c r="S1485" s="49" t="n"/>
      <c r="T1485" s="49" t="n"/>
      <c r="U1485" s="48">
        <f>IF(OR($B1485="",$K1485=""),"",WORKDAY($B1485,IFERROR(INDEX(CONFIG!$C$4:$C$43,MATCH($K1485,CONFIG!$A$4:$A$43,0)),3)))</f>
        <v/>
      </c>
      <c r="V1485" s="46" t="n"/>
      <c r="W1485" s="23">
        <f>IF($B1485="","",IF($V1485&lt;&gt;"",$V1485-$B1485,TODAY()-$B1485))</f>
        <v/>
      </c>
      <c r="X1485" s="27">
        <f>IF($C1485="","",IF(IFERROR(INDEX(CONFIG!$K$4:$K$43,MATCH($S1485,CONFIG!$J$4:$J$43,0)),"NO")="SÍ",IF(OR($V1485="",$U1485=""),"Resuelta",IF($V1485&gt;$U1485,"Resuelta tarde","Resuelta a tiempo")),IF($U1485="","Sin clasificar",IF(TODAY()&gt;$U1485,"Vencida",IF(TODAY()&gt;=$U1485-1,"Por vencer","En plazo")))))</f>
        <v/>
      </c>
      <c r="Y1485" s="49" t="n"/>
      <c r="Z1485" s="49" t="n"/>
    </row>
    <row r="1486" ht="16" customHeight="1">
      <c r="A1486" s="27">
        <f>IF($C1486="","","N-"&amp;TEXT(ROW()-3,"0000"))</f>
        <v/>
      </c>
      <c r="B1486" s="46" t="n"/>
      <c r="C1486" s="47" t="n"/>
      <c r="D1486" s="27">
        <f>IF($C1486="","",IF(COUNTIFS(ENVIOS!$A$4:$A$3003,$C1486)=0,"NO EXISTE",IF(COUNTIFS(ENVIOS!$A$4:$A$3003,$C1486)&gt;1,"DUPLICADA","OK")))</f>
        <v/>
      </c>
      <c r="E1486" s="22">
        <f>IF($C1486="","",IFERROR(INDEX(ENVIOS!$C$4:$C$3003,MATCH($C1486,ENVIOS!$A$4:$A$3003,0)),"—"))</f>
        <v/>
      </c>
      <c r="F1486" s="22">
        <f>IF($C1486="","",IFERROR(INDEX(ENVIOS!$D$4:$D$3003,MATCH($C1486,ENVIOS!$A$4:$A$3003,0)),"—"))</f>
        <v/>
      </c>
      <c r="G1486" s="22">
        <f>IF($C1486="","",IFERROR(INDEX(ENVIOS!$E$4:$E$3003,MATCH($C1486,ENVIOS!$A$4:$A$3003,0)),"—"))</f>
        <v/>
      </c>
      <c r="H1486" s="22">
        <f>IF($C1486="","",IFERROR(INDEX(ENVIOS!$F$4:$F$3003,MATCH($C1486,ENVIOS!$A$4:$A$3003,0)),"—"))</f>
        <v/>
      </c>
      <c r="I1486" s="27">
        <f>IF($C1486="","",IFERROR(INDEX(ENVIOS!$G$4:$G$3003,MATCH($C1486,ENVIOS!$A$4:$A$3003,0)),"—"))</f>
        <v/>
      </c>
      <c r="J1486" s="48">
        <f>IF($C1486="","",IFERROR(INDEX(ENVIOS!$B$4:$B$3003,MATCH($C1486,ENVIOS!$A$4:$A$3003,0)),""))</f>
        <v/>
      </c>
      <c r="K1486" s="49" t="n"/>
      <c r="L1486" s="27">
        <f>IF($K1486="","",IFERROR(INDEX(CONFIG!$B$4:$B$43,MATCH($K1486,CONFIG!$A$4:$A$43,0)),"Media"))</f>
        <v/>
      </c>
      <c r="M1486" s="27">
        <f>IF($K1486="","",IFERROR(INDEX(CONFIG!$D$4:$D$43,MATCH($K1486,CONFIG!$A$4:$A$43,0)),"NO"))</f>
        <v/>
      </c>
      <c r="N1486" s="49" t="n"/>
      <c r="O1486" s="27">
        <f>IF($N1486="","",IFERROR(INDEX(CONFIG!$G$4:$G$43,MATCH($N1486,CONFIG!$F$4:$F$43,0)),"Por definir"))</f>
        <v/>
      </c>
      <c r="P1486" s="27">
        <f>IF($N1486="","",IFERROR(INDEX(CONFIG!$H$4:$H$43,MATCH($N1486,CONFIG!$F$4:$F$43,0)),"Por definir"))</f>
        <v/>
      </c>
      <c r="Q1486" s="50" t="n"/>
      <c r="R1486" s="51" t="n"/>
      <c r="S1486" s="49" t="n"/>
      <c r="T1486" s="49" t="n"/>
      <c r="U1486" s="48">
        <f>IF(OR($B1486="",$K1486=""),"",WORKDAY($B1486,IFERROR(INDEX(CONFIG!$C$4:$C$43,MATCH($K1486,CONFIG!$A$4:$A$43,0)),3)))</f>
        <v/>
      </c>
      <c r="V1486" s="46" t="n"/>
      <c r="W1486" s="23">
        <f>IF($B1486="","",IF($V1486&lt;&gt;"",$V1486-$B1486,TODAY()-$B1486))</f>
        <v/>
      </c>
      <c r="X1486" s="27">
        <f>IF($C1486="","",IF(IFERROR(INDEX(CONFIG!$K$4:$K$43,MATCH($S1486,CONFIG!$J$4:$J$43,0)),"NO")="SÍ",IF(OR($V1486="",$U1486=""),"Resuelta",IF($V1486&gt;$U1486,"Resuelta tarde","Resuelta a tiempo")),IF($U1486="","Sin clasificar",IF(TODAY()&gt;$U1486,"Vencida",IF(TODAY()&gt;=$U1486-1,"Por vencer","En plazo")))))</f>
        <v/>
      </c>
      <c r="Y1486" s="49" t="n"/>
      <c r="Z1486" s="49" t="n"/>
    </row>
    <row r="1487" ht="16" customHeight="1">
      <c r="A1487" s="27">
        <f>IF($C1487="","","N-"&amp;TEXT(ROW()-3,"0000"))</f>
        <v/>
      </c>
      <c r="B1487" s="46" t="n"/>
      <c r="C1487" s="47" t="n"/>
      <c r="D1487" s="27">
        <f>IF($C1487="","",IF(COUNTIFS(ENVIOS!$A$4:$A$3003,$C1487)=0,"NO EXISTE",IF(COUNTIFS(ENVIOS!$A$4:$A$3003,$C1487)&gt;1,"DUPLICADA","OK")))</f>
        <v/>
      </c>
      <c r="E1487" s="22">
        <f>IF($C1487="","",IFERROR(INDEX(ENVIOS!$C$4:$C$3003,MATCH($C1487,ENVIOS!$A$4:$A$3003,0)),"—"))</f>
        <v/>
      </c>
      <c r="F1487" s="22">
        <f>IF($C1487="","",IFERROR(INDEX(ENVIOS!$D$4:$D$3003,MATCH($C1487,ENVIOS!$A$4:$A$3003,0)),"—"))</f>
        <v/>
      </c>
      <c r="G1487" s="22">
        <f>IF($C1487="","",IFERROR(INDEX(ENVIOS!$E$4:$E$3003,MATCH($C1487,ENVIOS!$A$4:$A$3003,0)),"—"))</f>
        <v/>
      </c>
      <c r="H1487" s="22">
        <f>IF($C1487="","",IFERROR(INDEX(ENVIOS!$F$4:$F$3003,MATCH($C1487,ENVIOS!$A$4:$A$3003,0)),"—"))</f>
        <v/>
      </c>
      <c r="I1487" s="27">
        <f>IF($C1487="","",IFERROR(INDEX(ENVIOS!$G$4:$G$3003,MATCH($C1487,ENVIOS!$A$4:$A$3003,0)),"—"))</f>
        <v/>
      </c>
      <c r="J1487" s="48">
        <f>IF($C1487="","",IFERROR(INDEX(ENVIOS!$B$4:$B$3003,MATCH($C1487,ENVIOS!$A$4:$A$3003,0)),""))</f>
        <v/>
      </c>
      <c r="K1487" s="49" t="n"/>
      <c r="L1487" s="27">
        <f>IF($K1487="","",IFERROR(INDEX(CONFIG!$B$4:$B$43,MATCH($K1487,CONFIG!$A$4:$A$43,0)),"Media"))</f>
        <v/>
      </c>
      <c r="M1487" s="27">
        <f>IF($K1487="","",IFERROR(INDEX(CONFIG!$D$4:$D$43,MATCH($K1487,CONFIG!$A$4:$A$43,0)),"NO"))</f>
        <v/>
      </c>
      <c r="N1487" s="49" t="n"/>
      <c r="O1487" s="27">
        <f>IF($N1487="","",IFERROR(INDEX(CONFIG!$G$4:$G$43,MATCH($N1487,CONFIG!$F$4:$F$43,0)),"Por definir"))</f>
        <v/>
      </c>
      <c r="P1487" s="27">
        <f>IF($N1487="","",IFERROR(INDEX(CONFIG!$H$4:$H$43,MATCH($N1487,CONFIG!$F$4:$F$43,0)),"Por definir"))</f>
        <v/>
      </c>
      <c r="Q1487" s="50" t="n"/>
      <c r="R1487" s="51" t="n"/>
      <c r="S1487" s="49" t="n"/>
      <c r="T1487" s="49" t="n"/>
      <c r="U1487" s="48">
        <f>IF(OR($B1487="",$K1487=""),"",WORKDAY($B1487,IFERROR(INDEX(CONFIG!$C$4:$C$43,MATCH($K1487,CONFIG!$A$4:$A$43,0)),3)))</f>
        <v/>
      </c>
      <c r="V1487" s="46" t="n"/>
      <c r="W1487" s="23">
        <f>IF($B1487="","",IF($V1487&lt;&gt;"",$V1487-$B1487,TODAY()-$B1487))</f>
        <v/>
      </c>
      <c r="X1487" s="27">
        <f>IF($C1487="","",IF(IFERROR(INDEX(CONFIG!$K$4:$K$43,MATCH($S1487,CONFIG!$J$4:$J$43,0)),"NO")="SÍ",IF(OR($V1487="",$U1487=""),"Resuelta",IF($V1487&gt;$U1487,"Resuelta tarde","Resuelta a tiempo")),IF($U1487="","Sin clasificar",IF(TODAY()&gt;$U1487,"Vencida",IF(TODAY()&gt;=$U1487-1,"Por vencer","En plazo")))))</f>
        <v/>
      </c>
      <c r="Y1487" s="49" t="n"/>
      <c r="Z1487" s="49" t="n"/>
    </row>
    <row r="1488" ht="16" customHeight="1">
      <c r="A1488" s="27">
        <f>IF($C1488="","","N-"&amp;TEXT(ROW()-3,"0000"))</f>
        <v/>
      </c>
      <c r="B1488" s="46" t="n"/>
      <c r="C1488" s="47" t="n"/>
      <c r="D1488" s="27">
        <f>IF($C1488="","",IF(COUNTIFS(ENVIOS!$A$4:$A$3003,$C1488)=0,"NO EXISTE",IF(COUNTIFS(ENVIOS!$A$4:$A$3003,$C1488)&gt;1,"DUPLICADA","OK")))</f>
        <v/>
      </c>
      <c r="E1488" s="22">
        <f>IF($C1488="","",IFERROR(INDEX(ENVIOS!$C$4:$C$3003,MATCH($C1488,ENVIOS!$A$4:$A$3003,0)),"—"))</f>
        <v/>
      </c>
      <c r="F1488" s="22">
        <f>IF($C1488="","",IFERROR(INDEX(ENVIOS!$D$4:$D$3003,MATCH($C1488,ENVIOS!$A$4:$A$3003,0)),"—"))</f>
        <v/>
      </c>
      <c r="G1488" s="22">
        <f>IF($C1488="","",IFERROR(INDEX(ENVIOS!$E$4:$E$3003,MATCH($C1488,ENVIOS!$A$4:$A$3003,0)),"—"))</f>
        <v/>
      </c>
      <c r="H1488" s="22">
        <f>IF($C1488="","",IFERROR(INDEX(ENVIOS!$F$4:$F$3003,MATCH($C1488,ENVIOS!$A$4:$A$3003,0)),"—"))</f>
        <v/>
      </c>
      <c r="I1488" s="27">
        <f>IF($C1488="","",IFERROR(INDEX(ENVIOS!$G$4:$G$3003,MATCH($C1488,ENVIOS!$A$4:$A$3003,0)),"—"))</f>
        <v/>
      </c>
      <c r="J1488" s="48">
        <f>IF($C1488="","",IFERROR(INDEX(ENVIOS!$B$4:$B$3003,MATCH($C1488,ENVIOS!$A$4:$A$3003,0)),""))</f>
        <v/>
      </c>
      <c r="K1488" s="49" t="n"/>
      <c r="L1488" s="27">
        <f>IF($K1488="","",IFERROR(INDEX(CONFIG!$B$4:$B$43,MATCH($K1488,CONFIG!$A$4:$A$43,0)),"Media"))</f>
        <v/>
      </c>
      <c r="M1488" s="27">
        <f>IF($K1488="","",IFERROR(INDEX(CONFIG!$D$4:$D$43,MATCH($K1488,CONFIG!$A$4:$A$43,0)),"NO"))</f>
        <v/>
      </c>
      <c r="N1488" s="49" t="n"/>
      <c r="O1488" s="27">
        <f>IF($N1488="","",IFERROR(INDEX(CONFIG!$G$4:$G$43,MATCH($N1488,CONFIG!$F$4:$F$43,0)),"Por definir"))</f>
        <v/>
      </c>
      <c r="P1488" s="27">
        <f>IF($N1488="","",IFERROR(INDEX(CONFIG!$H$4:$H$43,MATCH($N1488,CONFIG!$F$4:$F$43,0)),"Por definir"))</f>
        <v/>
      </c>
      <c r="Q1488" s="50" t="n"/>
      <c r="R1488" s="51" t="n"/>
      <c r="S1488" s="49" t="n"/>
      <c r="T1488" s="49" t="n"/>
      <c r="U1488" s="48">
        <f>IF(OR($B1488="",$K1488=""),"",WORKDAY($B1488,IFERROR(INDEX(CONFIG!$C$4:$C$43,MATCH($K1488,CONFIG!$A$4:$A$43,0)),3)))</f>
        <v/>
      </c>
      <c r="V1488" s="46" t="n"/>
      <c r="W1488" s="23">
        <f>IF($B1488="","",IF($V1488&lt;&gt;"",$V1488-$B1488,TODAY()-$B1488))</f>
        <v/>
      </c>
      <c r="X1488" s="27">
        <f>IF($C1488="","",IF(IFERROR(INDEX(CONFIG!$K$4:$K$43,MATCH($S1488,CONFIG!$J$4:$J$43,0)),"NO")="SÍ",IF(OR($V1488="",$U1488=""),"Resuelta",IF($V1488&gt;$U1488,"Resuelta tarde","Resuelta a tiempo")),IF($U1488="","Sin clasificar",IF(TODAY()&gt;$U1488,"Vencida",IF(TODAY()&gt;=$U1488-1,"Por vencer","En plazo")))))</f>
        <v/>
      </c>
      <c r="Y1488" s="49" t="n"/>
      <c r="Z1488" s="49" t="n"/>
    </row>
    <row r="1489" ht="16" customHeight="1">
      <c r="A1489" s="27">
        <f>IF($C1489="","","N-"&amp;TEXT(ROW()-3,"0000"))</f>
        <v/>
      </c>
      <c r="B1489" s="46" t="n"/>
      <c r="C1489" s="47" t="n"/>
      <c r="D1489" s="27">
        <f>IF($C1489="","",IF(COUNTIFS(ENVIOS!$A$4:$A$3003,$C1489)=0,"NO EXISTE",IF(COUNTIFS(ENVIOS!$A$4:$A$3003,$C1489)&gt;1,"DUPLICADA","OK")))</f>
        <v/>
      </c>
      <c r="E1489" s="22">
        <f>IF($C1489="","",IFERROR(INDEX(ENVIOS!$C$4:$C$3003,MATCH($C1489,ENVIOS!$A$4:$A$3003,0)),"—"))</f>
        <v/>
      </c>
      <c r="F1489" s="22">
        <f>IF($C1489="","",IFERROR(INDEX(ENVIOS!$D$4:$D$3003,MATCH($C1489,ENVIOS!$A$4:$A$3003,0)),"—"))</f>
        <v/>
      </c>
      <c r="G1489" s="22">
        <f>IF($C1489="","",IFERROR(INDEX(ENVIOS!$E$4:$E$3003,MATCH($C1489,ENVIOS!$A$4:$A$3003,0)),"—"))</f>
        <v/>
      </c>
      <c r="H1489" s="22">
        <f>IF($C1489="","",IFERROR(INDEX(ENVIOS!$F$4:$F$3003,MATCH($C1489,ENVIOS!$A$4:$A$3003,0)),"—"))</f>
        <v/>
      </c>
      <c r="I1489" s="27">
        <f>IF($C1489="","",IFERROR(INDEX(ENVIOS!$G$4:$G$3003,MATCH($C1489,ENVIOS!$A$4:$A$3003,0)),"—"))</f>
        <v/>
      </c>
      <c r="J1489" s="48">
        <f>IF($C1489="","",IFERROR(INDEX(ENVIOS!$B$4:$B$3003,MATCH($C1489,ENVIOS!$A$4:$A$3003,0)),""))</f>
        <v/>
      </c>
      <c r="K1489" s="49" t="n"/>
      <c r="L1489" s="27">
        <f>IF($K1489="","",IFERROR(INDEX(CONFIG!$B$4:$B$43,MATCH($K1489,CONFIG!$A$4:$A$43,0)),"Media"))</f>
        <v/>
      </c>
      <c r="M1489" s="27">
        <f>IF($K1489="","",IFERROR(INDEX(CONFIG!$D$4:$D$43,MATCH($K1489,CONFIG!$A$4:$A$43,0)),"NO"))</f>
        <v/>
      </c>
      <c r="N1489" s="49" t="n"/>
      <c r="O1489" s="27">
        <f>IF($N1489="","",IFERROR(INDEX(CONFIG!$G$4:$G$43,MATCH($N1489,CONFIG!$F$4:$F$43,0)),"Por definir"))</f>
        <v/>
      </c>
      <c r="P1489" s="27">
        <f>IF($N1489="","",IFERROR(INDEX(CONFIG!$H$4:$H$43,MATCH($N1489,CONFIG!$F$4:$F$43,0)),"Por definir"))</f>
        <v/>
      </c>
      <c r="Q1489" s="50" t="n"/>
      <c r="R1489" s="51" t="n"/>
      <c r="S1489" s="49" t="n"/>
      <c r="T1489" s="49" t="n"/>
      <c r="U1489" s="48">
        <f>IF(OR($B1489="",$K1489=""),"",WORKDAY($B1489,IFERROR(INDEX(CONFIG!$C$4:$C$43,MATCH($K1489,CONFIG!$A$4:$A$43,0)),3)))</f>
        <v/>
      </c>
      <c r="V1489" s="46" t="n"/>
      <c r="W1489" s="23">
        <f>IF($B1489="","",IF($V1489&lt;&gt;"",$V1489-$B1489,TODAY()-$B1489))</f>
        <v/>
      </c>
      <c r="X1489" s="27">
        <f>IF($C1489="","",IF(IFERROR(INDEX(CONFIG!$K$4:$K$43,MATCH($S1489,CONFIG!$J$4:$J$43,0)),"NO")="SÍ",IF(OR($V1489="",$U1489=""),"Resuelta",IF($V1489&gt;$U1489,"Resuelta tarde","Resuelta a tiempo")),IF($U1489="","Sin clasificar",IF(TODAY()&gt;$U1489,"Vencida",IF(TODAY()&gt;=$U1489-1,"Por vencer","En plazo")))))</f>
        <v/>
      </c>
      <c r="Y1489" s="49" t="n"/>
      <c r="Z1489" s="49" t="n"/>
    </row>
    <row r="1490" ht="16" customHeight="1">
      <c r="A1490" s="27">
        <f>IF($C1490="","","N-"&amp;TEXT(ROW()-3,"0000"))</f>
        <v/>
      </c>
      <c r="B1490" s="46" t="n"/>
      <c r="C1490" s="47" t="n"/>
      <c r="D1490" s="27">
        <f>IF($C1490="","",IF(COUNTIFS(ENVIOS!$A$4:$A$3003,$C1490)=0,"NO EXISTE",IF(COUNTIFS(ENVIOS!$A$4:$A$3003,$C1490)&gt;1,"DUPLICADA","OK")))</f>
        <v/>
      </c>
      <c r="E1490" s="22">
        <f>IF($C1490="","",IFERROR(INDEX(ENVIOS!$C$4:$C$3003,MATCH($C1490,ENVIOS!$A$4:$A$3003,0)),"—"))</f>
        <v/>
      </c>
      <c r="F1490" s="22">
        <f>IF($C1490="","",IFERROR(INDEX(ENVIOS!$D$4:$D$3003,MATCH($C1490,ENVIOS!$A$4:$A$3003,0)),"—"))</f>
        <v/>
      </c>
      <c r="G1490" s="22">
        <f>IF($C1490="","",IFERROR(INDEX(ENVIOS!$E$4:$E$3003,MATCH($C1490,ENVIOS!$A$4:$A$3003,0)),"—"))</f>
        <v/>
      </c>
      <c r="H1490" s="22">
        <f>IF($C1490="","",IFERROR(INDEX(ENVIOS!$F$4:$F$3003,MATCH($C1490,ENVIOS!$A$4:$A$3003,0)),"—"))</f>
        <v/>
      </c>
      <c r="I1490" s="27">
        <f>IF($C1490="","",IFERROR(INDEX(ENVIOS!$G$4:$G$3003,MATCH($C1490,ENVIOS!$A$4:$A$3003,0)),"—"))</f>
        <v/>
      </c>
      <c r="J1490" s="48">
        <f>IF($C1490="","",IFERROR(INDEX(ENVIOS!$B$4:$B$3003,MATCH($C1490,ENVIOS!$A$4:$A$3003,0)),""))</f>
        <v/>
      </c>
      <c r="K1490" s="49" t="n"/>
      <c r="L1490" s="27">
        <f>IF($K1490="","",IFERROR(INDEX(CONFIG!$B$4:$B$43,MATCH($K1490,CONFIG!$A$4:$A$43,0)),"Media"))</f>
        <v/>
      </c>
      <c r="M1490" s="27">
        <f>IF($K1490="","",IFERROR(INDEX(CONFIG!$D$4:$D$43,MATCH($K1490,CONFIG!$A$4:$A$43,0)),"NO"))</f>
        <v/>
      </c>
      <c r="N1490" s="49" t="n"/>
      <c r="O1490" s="27">
        <f>IF($N1490="","",IFERROR(INDEX(CONFIG!$G$4:$G$43,MATCH($N1490,CONFIG!$F$4:$F$43,0)),"Por definir"))</f>
        <v/>
      </c>
      <c r="P1490" s="27">
        <f>IF($N1490="","",IFERROR(INDEX(CONFIG!$H$4:$H$43,MATCH($N1490,CONFIG!$F$4:$F$43,0)),"Por definir"))</f>
        <v/>
      </c>
      <c r="Q1490" s="50" t="n"/>
      <c r="R1490" s="51" t="n"/>
      <c r="S1490" s="49" t="n"/>
      <c r="T1490" s="49" t="n"/>
      <c r="U1490" s="48">
        <f>IF(OR($B1490="",$K1490=""),"",WORKDAY($B1490,IFERROR(INDEX(CONFIG!$C$4:$C$43,MATCH($K1490,CONFIG!$A$4:$A$43,0)),3)))</f>
        <v/>
      </c>
      <c r="V1490" s="46" t="n"/>
      <c r="W1490" s="23">
        <f>IF($B1490="","",IF($V1490&lt;&gt;"",$V1490-$B1490,TODAY()-$B1490))</f>
        <v/>
      </c>
      <c r="X1490" s="27">
        <f>IF($C1490="","",IF(IFERROR(INDEX(CONFIG!$K$4:$K$43,MATCH($S1490,CONFIG!$J$4:$J$43,0)),"NO")="SÍ",IF(OR($V1490="",$U1490=""),"Resuelta",IF($V1490&gt;$U1490,"Resuelta tarde","Resuelta a tiempo")),IF($U1490="","Sin clasificar",IF(TODAY()&gt;$U1490,"Vencida",IF(TODAY()&gt;=$U1490-1,"Por vencer","En plazo")))))</f>
        <v/>
      </c>
      <c r="Y1490" s="49" t="n"/>
      <c r="Z1490" s="49" t="n"/>
    </row>
    <row r="1491" ht="16" customHeight="1">
      <c r="A1491" s="27">
        <f>IF($C1491="","","N-"&amp;TEXT(ROW()-3,"0000"))</f>
        <v/>
      </c>
      <c r="B1491" s="46" t="n"/>
      <c r="C1491" s="47" t="n"/>
      <c r="D1491" s="27">
        <f>IF($C1491="","",IF(COUNTIFS(ENVIOS!$A$4:$A$3003,$C1491)=0,"NO EXISTE",IF(COUNTIFS(ENVIOS!$A$4:$A$3003,$C1491)&gt;1,"DUPLICADA","OK")))</f>
        <v/>
      </c>
      <c r="E1491" s="22">
        <f>IF($C1491="","",IFERROR(INDEX(ENVIOS!$C$4:$C$3003,MATCH($C1491,ENVIOS!$A$4:$A$3003,0)),"—"))</f>
        <v/>
      </c>
      <c r="F1491" s="22">
        <f>IF($C1491="","",IFERROR(INDEX(ENVIOS!$D$4:$D$3003,MATCH($C1491,ENVIOS!$A$4:$A$3003,0)),"—"))</f>
        <v/>
      </c>
      <c r="G1491" s="22">
        <f>IF($C1491="","",IFERROR(INDEX(ENVIOS!$E$4:$E$3003,MATCH($C1491,ENVIOS!$A$4:$A$3003,0)),"—"))</f>
        <v/>
      </c>
      <c r="H1491" s="22">
        <f>IF($C1491="","",IFERROR(INDEX(ENVIOS!$F$4:$F$3003,MATCH($C1491,ENVIOS!$A$4:$A$3003,0)),"—"))</f>
        <v/>
      </c>
      <c r="I1491" s="27">
        <f>IF($C1491="","",IFERROR(INDEX(ENVIOS!$G$4:$G$3003,MATCH($C1491,ENVIOS!$A$4:$A$3003,0)),"—"))</f>
        <v/>
      </c>
      <c r="J1491" s="48">
        <f>IF($C1491="","",IFERROR(INDEX(ENVIOS!$B$4:$B$3003,MATCH($C1491,ENVIOS!$A$4:$A$3003,0)),""))</f>
        <v/>
      </c>
      <c r="K1491" s="49" t="n"/>
      <c r="L1491" s="27">
        <f>IF($K1491="","",IFERROR(INDEX(CONFIG!$B$4:$B$43,MATCH($K1491,CONFIG!$A$4:$A$43,0)),"Media"))</f>
        <v/>
      </c>
      <c r="M1491" s="27">
        <f>IF($K1491="","",IFERROR(INDEX(CONFIG!$D$4:$D$43,MATCH($K1491,CONFIG!$A$4:$A$43,0)),"NO"))</f>
        <v/>
      </c>
      <c r="N1491" s="49" t="n"/>
      <c r="O1491" s="27">
        <f>IF($N1491="","",IFERROR(INDEX(CONFIG!$G$4:$G$43,MATCH($N1491,CONFIG!$F$4:$F$43,0)),"Por definir"))</f>
        <v/>
      </c>
      <c r="P1491" s="27">
        <f>IF($N1491="","",IFERROR(INDEX(CONFIG!$H$4:$H$43,MATCH($N1491,CONFIG!$F$4:$F$43,0)),"Por definir"))</f>
        <v/>
      </c>
      <c r="Q1491" s="50" t="n"/>
      <c r="R1491" s="51" t="n"/>
      <c r="S1491" s="49" t="n"/>
      <c r="T1491" s="49" t="n"/>
      <c r="U1491" s="48">
        <f>IF(OR($B1491="",$K1491=""),"",WORKDAY($B1491,IFERROR(INDEX(CONFIG!$C$4:$C$43,MATCH($K1491,CONFIG!$A$4:$A$43,0)),3)))</f>
        <v/>
      </c>
      <c r="V1491" s="46" t="n"/>
      <c r="W1491" s="23">
        <f>IF($B1491="","",IF($V1491&lt;&gt;"",$V1491-$B1491,TODAY()-$B1491))</f>
        <v/>
      </c>
      <c r="X1491" s="27">
        <f>IF($C1491="","",IF(IFERROR(INDEX(CONFIG!$K$4:$K$43,MATCH($S1491,CONFIG!$J$4:$J$43,0)),"NO")="SÍ",IF(OR($V1491="",$U1491=""),"Resuelta",IF($V1491&gt;$U1491,"Resuelta tarde","Resuelta a tiempo")),IF($U1491="","Sin clasificar",IF(TODAY()&gt;$U1491,"Vencida",IF(TODAY()&gt;=$U1491-1,"Por vencer","En plazo")))))</f>
        <v/>
      </c>
      <c r="Y1491" s="49" t="n"/>
      <c r="Z1491" s="49" t="n"/>
    </row>
    <row r="1492" ht="16" customHeight="1">
      <c r="A1492" s="27">
        <f>IF($C1492="","","N-"&amp;TEXT(ROW()-3,"0000"))</f>
        <v/>
      </c>
      <c r="B1492" s="46" t="n"/>
      <c r="C1492" s="47" t="n"/>
      <c r="D1492" s="27">
        <f>IF($C1492="","",IF(COUNTIFS(ENVIOS!$A$4:$A$3003,$C1492)=0,"NO EXISTE",IF(COUNTIFS(ENVIOS!$A$4:$A$3003,$C1492)&gt;1,"DUPLICADA","OK")))</f>
        <v/>
      </c>
      <c r="E1492" s="22">
        <f>IF($C1492="","",IFERROR(INDEX(ENVIOS!$C$4:$C$3003,MATCH($C1492,ENVIOS!$A$4:$A$3003,0)),"—"))</f>
        <v/>
      </c>
      <c r="F1492" s="22">
        <f>IF($C1492="","",IFERROR(INDEX(ENVIOS!$D$4:$D$3003,MATCH($C1492,ENVIOS!$A$4:$A$3003,0)),"—"))</f>
        <v/>
      </c>
      <c r="G1492" s="22">
        <f>IF($C1492="","",IFERROR(INDEX(ENVIOS!$E$4:$E$3003,MATCH($C1492,ENVIOS!$A$4:$A$3003,0)),"—"))</f>
        <v/>
      </c>
      <c r="H1492" s="22">
        <f>IF($C1492="","",IFERROR(INDEX(ENVIOS!$F$4:$F$3003,MATCH($C1492,ENVIOS!$A$4:$A$3003,0)),"—"))</f>
        <v/>
      </c>
      <c r="I1492" s="27">
        <f>IF($C1492="","",IFERROR(INDEX(ENVIOS!$G$4:$G$3003,MATCH($C1492,ENVIOS!$A$4:$A$3003,0)),"—"))</f>
        <v/>
      </c>
      <c r="J1492" s="48">
        <f>IF($C1492="","",IFERROR(INDEX(ENVIOS!$B$4:$B$3003,MATCH($C1492,ENVIOS!$A$4:$A$3003,0)),""))</f>
        <v/>
      </c>
      <c r="K1492" s="49" t="n"/>
      <c r="L1492" s="27">
        <f>IF($K1492="","",IFERROR(INDEX(CONFIG!$B$4:$B$43,MATCH($K1492,CONFIG!$A$4:$A$43,0)),"Media"))</f>
        <v/>
      </c>
      <c r="M1492" s="27">
        <f>IF($K1492="","",IFERROR(INDEX(CONFIG!$D$4:$D$43,MATCH($K1492,CONFIG!$A$4:$A$43,0)),"NO"))</f>
        <v/>
      </c>
      <c r="N1492" s="49" t="n"/>
      <c r="O1492" s="27">
        <f>IF($N1492="","",IFERROR(INDEX(CONFIG!$G$4:$G$43,MATCH($N1492,CONFIG!$F$4:$F$43,0)),"Por definir"))</f>
        <v/>
      </c>
      <c r="P1492" s="27">
        <f>IF($N1492="","",IFERROR(INDEX(CONFIG!$H$4:$H$43,MATCH($N1492,CONFIG!$F$4:$F$43,0)),"Por definir"))</f>
        <v/>
      </c>
      <c r="Q1492" s="50" t="n"/>
      <c r="R1492" s="51" t="n"/>
      <c r="S1492" s="49" t="n"/>
      <c r="T1492" s="49" t="n"/>
      <c r="U1492" s="48">
        <f>IF(OR($B1492="",$K1492=""),"",WORKDAY($B1492,IFERROR(INDEX(CONFIG!$C$4:$C$43,MATCH($K1492,CONFIG!$A$4:$A$43,0)),3)))</f>
        <v/>
      </c>
      <c r="V1492" s="46" t="n"/>
      <c r="W1492" s="23">
        <f>IF($B1492="","",IF($V1492&lt;&gt;"",$V1492-$B1492,TODAY()-$B1492))</f>
        <v/>
      </c>
      <c r="X1492" s="27">
        <f>IF($C1492="","",IF(IFERROR(INDEX(CONFIG!$K$4:$K$43,MATCH($S1492,CONFIG!$J$4:$J$43,0)),"NO")="SÍ",IF(OR($V1492="",$U1492=""),"Resuelta",IF($V1492&gt;$U1492,"Resuelta tarde","Resuelta a tiempo")),IF($U1492="","Sin clasificar",IF(TODAY()&gt;$U1492,"Vencida",IF(TODAY()&gt;=$U1492-1,"Por vencer","En plazo")))))</f>
        <v/>
      </c>
      <c r="Y1492" s="49" t="n"/>
      <c r="Z1492" s="49" t="n"/>
    </row>
    <row r="1493" ht="16" customHeight="1">
      <c r="A1493" s="27">
        <f>IF($C1493="","","N-"&amp;TEXT(ROW()-3,"0000"))</f>
        <v/>
      </c>
      <c r="B1493" s="46" t="n"/>
      <c r="C1493" s="47" t="n"/>
      <c r="D1493" s="27">
        <f>IF($C1493="","",IF(COUNTIFS(ENVIOS!$A$4:$A$3003,$C1493)=0,"NO EXISTE",IF(COUNTIFS(ENVIOS!$A$4:$A$3003,$C1493)&gt;1,"DUPLICADA","OK")))</f>
        <v/>
      </c>
      <c r="E1493" s="22">
        <f>IF($C1493="","",IFERROR(INDEX(ENVIOS!$C$4:$C$3003,MATCH($C1493,ENVIOS!$A$4:$A$3003,0)),"—"))</f>
        <v/>
      </c>
      <c r="F1493" s="22">
        <f>IF($C1493="","",IFERROR(INDEX(ENVIOS!$D$4:$D$3003,MATCH($C1493,ENVIOS!$A$4:$A$3003,0)),"—"))</f>
        <v/>
      </c>
      <c r="G1493" s="22">
        <f>IF($C1493="","",IFERROR(INDEX(ENVIOS!$E$4:$E$3003,MATCH($C1493,ENVIOS!$A$4:$A$3003,0)),"—"))</f>
        <v/>
      </c>
      <c r="H1493" s="22">
        <f>IF($C1493="","",IFERROR(INDEX(ENVIOS!$F$4:$F$3003,MATCH($C1493,ENVIOS!$A$4:$A$3003,0)),"—"))</f>
        <v/>
      </c>
      <c r="I1493" s="27">
        <f>IF($C1493="","",IFERROR(INDEX(ENVIOS!$G$4:$G$3003,MATCH($C1493,ENVIOS!$A$4:$A$3003,0)),"—"))</f>
        <v/>
      </c>
      <c r="J1493" s="48">
        <f>IF($C1493="","",IFERROR(INDEX(ENVIOS!$B$4:$B$3003,MATCH($C1493,ENVIOS!$A$4:$A$3003,0)),""))</f>
        <v/>
      </c>
      <c r="K1493" s="49" t="n"/>
      <c r="L1493" s="27">
        <f>IF($K1493="","",IFERROR(INDEX(CONFIG!$B$4:$B$43,MATCH($K1493,CONFIG!$A$4:$A$43,0)),"Media"))</f>
        <v/>
      </c>
      <c r="M1493" s="27">
        <f>IF($K1493="","",IFERROR(INDEX(CONFIG!$D$4:$D$43,MATCH($K1493,CONFIG!$A$4:$A$43,0)),"NO"))</f>
        <v/>
      </c>
      <c r="N1493" s="49" t="n"/>
      <c r="O1493" s="27">
        <f>IF($N1493="","",IFERROR(INDEX(CONFIG!$G$4:$G$43,MATCH($N1493,CONFIG!$F$4:$F$43,0)),"Por definir"))</f>
        <v/>
      </c>
      <c r="P1493" s="27">
        <f>IF($N1493="","",IFERROR(INDEX(CONFIG!$H$4:$H$43,MATCH($N1493,CONFIG!$F$4:$F$43,0)),"Por definir"))</f>
        <v/>
      </c>
      <c r="Q1493" s="50" t="n"/>
      <c r="R1493" s="51" t="n"/>
      <c r="S1493" s="49" t="n"/>
      <c r="T1493" s="49" t="n"/>
      <c r="U1493" s="48">
        <f>IF(OR($B1493="",$K1493=""),"",WORKDAY($B1493,IFERROR(INDEX(CONFIG!$C$4:$C$43,MATCH($K1493,CONFIG!$A$4:$A$43,0)),3)))</f>
        <v/>
      </c>
      <c r="V1493" s="46" t="n"/>
      <c r="W1493" s="23">
        <f>IF($B1493="","",IF($V1493&lt;&gt;"",$V1493-$B1493,TODAY()-$B1493))</f>
        <v/>
      </c>
      <c r="X1493" s="27">
        <f>IF($C1493="","",IF(IFERROR(INDEX(CONFIG!$K$4:$K$43,MATCH($S1493,CONFIG!$J$4:$J$43,0)),"NO")="SÍ",IF(OR($V1493="",$U1493=""),"Resuelta",IF($V1493&gt;$U1493,"Resuelta tarde","Resuelta a tiempo")),IF($U1493="","Sin clasificar",IF(TODAY()&gt;$U1493,"Vencida",IF(TODAY()&gt;=$U1493-1,"Por vencer","En plazo")))))</f>
        <v/>
      </c>
      <c r="Y1493" s="49" t="n"/>
      <c r="Z1493" s="49" t="n"/>
    </row>
    <row r="1494" ht="16" customHeight="1">
      <c r="A1494" s="27">
        <f>IF($C1494="","","N-"&amp;TEXT(ROW()-3,"0000"))</f>
        <v/>
      </c>
      <c r="B1494" s="46" t="n"/>
      <c r="C1494" s="47" t="n"/>
      <c r="D1494" s="27">
        <f>IF($C1494="","",IF(COUNTIFS(ENVIOS!$A$4:$A$3003,$C1494)=0,"NO EXISTE",IF(COUNTIFS(ENVIOS!$A$4:$A$3003,$C1494)&gt;1,"DUPLICADA","OK")))</f>
        <v/>
      </c>
      <c r="E1494" s="22">
        <f>IF($C1494="","",IFERROR(INDEX(ENVIOS!$C$4:$C$3003,MATCH($C1494,ENVIOS!$A$4:$A$3003,0)),"—"))</f>
        <v/>
      </c>
      <c r="F1494" s="22">
        <f>IF($C1494="","",IFERROR(INDEX(ENVIOS!$D$4:$D$3003,MATCH($C1494,ENVIOS!$A$4:$A$3003,0)),"—"))</f>
        <v/>
      </c>
      <c r="G1494" s="22">
        <f>IF($C1494="","",IFERROR(INDEX(ENVIOS!$E$4:$E$3003,MATCH($C1494,ENVIOS!$A$4:$A$3003,0)),"—"))</f>
        <v/>
      </c>
      <c r="H1494" s="22">
        <f>IF($C1494="","",IFERROR(INDEX(ENVIOS!$F$4:$F$3003,MATCH($C1494,ENVIOS!$A$4:$A$3003,0)),"—"))</f>
        <v/>
      </c>
      <c r="I1494" s="27">
        <f>IF($C1494="","",IFERROR(INDEX(ENVIOS!$G$4:$G$3003,MATCH($C1494,ENVIOS!$A$4:$A$3003,0)),"—"))</f>
        <v/>
      </c>
      <c r="J1494" s="48">
        <f>IF($C1494="","",IFERROR(INDEX(ENVIOS!$B$4:$B$3003,MATCH($C1494,ENVIOS!$A$4:$A$3003,0)),""))</f>
        <v/>
      </c>
      <c r="K1494" s="49" t="n"/>
      <c r="L1494" s="27">
        <f>IF($K1494="","",IFERROR(INDEX(CONFIG!$B$4:$B$43,MATCH($K1494,CONFIG!$A$4:$A$43,0)),"Media"))</f>
        <v/>
      </c>
      <c r="M1494" s="27">
        <f>IF($K1494="","",IFERROR(INDEX(CONFIG!$D$4:$D$43,MATCH($K1494,CONFIG!$A$4:$A$43,0)),"NO"))</f>
        <v/>
      </c>
      <c r="N1494" s="49" t="n"/>
      <c r="O1494" s="27">
        <f>IF($N1494="","",IFERROR(INDEX(CONFIG!$G$4:$G$43,MATCH($N1494,CONFIG!$F$4:$F$43,0)),"Por definir"))</f>
        <v/>
      </c>
      <c r="P1494" s="27">
        <f>IF($N1494="","",IFERROR(INDEX(CONFIG!$H$4:$H$43,MATCH($N1494,CONFIG!$F$4:$F$43,0)),"Por definir"))</f>
        <v/>
      </c>
      <c r="Q1494" s="50" t="n"/>
      <c r="R1494" s="51" t="n"/>
      <c r="S1494" s="49" t="n"/>
      <c r="T1494" s="49" t="n"/>
      <c r="U1494" s="48">
        <f>IF(OR($B1494="",$K1494=""),"",WORKDAY($B1494,IFERROR(INDEX(CONFIG!$C$4:$C$43,MATCH($K1494,CONFIG!$A$4:$A$43,0)),3)))</f>
        <v/>
      </c>
      <c r="V1494" s="46" t="n"/>
      <c r="W1494" s="23">
        <f>IF($B1494="","",IF($V1494&lt;&gt;"",$V1494-$B1494,TODAY()-$B1494))</f>
        <v/>
      </c>
      <c r="X1494" s="27">
        <f>IF($C1494="","",IF(IFERROR(INDEX(CONFIG!$K$4:$K$43,MATCH($S1494,CONFIG!$J$4:$J$43,0)),"NO")="SÍ",IF(OR($V1494="",$U1494=""),"Resuelta",IF($V1494&gt;$U1494,"Resuelta tarde","Resuelta a tiempo")),IF($U1494="","Sin clasificar",IF(TODAY()&gt;$U1494,"Vencida",IF(TODAY()&gt;=$U1494-1,"Por vencer","En plazo")))))</f>
        <v/>
      </c>
      <c r="Y1494" s="49" t="n"/>
      <c r="Z1494" s="49" t="n"/>
    </row>
    <row r="1495" ht="16" customHeight="1">
      <c r="A1495" s="27">
        <f>IF($C1495="","","N-"&amp;TEXT(ROW()-3,"0000"))</f>
        <v/>
      </c>
      <c r="B1495" s="46" t="n"/>
      <c r="C1495" s="47" t="n"/>
      <c r="D1495" s="27">
        <f>IF($C1495="","",IF(COUNTIFS(ENVIOS!$A$4:$A$3003,$C1495)=0,"NO EXISTE",IF(COUNTIFS(ENVIOS!$A$4:$A$3003,$C1495)&gt;1,"DUPLICADA","OK")))</f>
        <v/>
      </c>
      <c r="E1495" s="22">
        <f>IF($C1495="","",IFERROR(INDEX(ENVIOS!$C$4:$C$3003,MATCH($C1495,ENVIOS!$A$4:$A$3003,0)),"—"))</f>
        <v/>
      </c>
      <c r="F1495" s="22">
        <f>IF($C1495="","",IFERROR(INDEX(ENVIOS!$D$4:$D$3003,MATCH($C1495,ENVIOS!$A$4:$A$3003,0)),"—"))</f>
        <v/>
      </c>
      <c r="G1495" s="22">
        <f>IF($C1495="","",IFERROR(INDEX(ENVIOS!$E$4:$E$3003,MATCH($C1495,ENVIOS!$A$4:$A$3003,0)),"—"))</f>
        <v/>
      </c>
      <c r="H1495" s="22">
        <f>IF($C1495="","",IFERROR(INDEX(ENVIOS!$F$4:$F$3003,MATCH($C1495,ENVIOS!$A$4:$A$3003,0)),"—"))</f>
        <v/>
      </c>
      <c r="I1495" s="27">
        <f>IF($C1495="","",IFERROR(INDEX(ENVIOS!$G$4:$G$3003,MATCH($C1495,ENVIOS!$A$4:$A$3003,0)),"—"))</f>
        <v/>
      </c>
      <c r="J1495" s="48">
        <f>IF($C1495="","",IFERROR(INDEX(ENVIOS!$B$4:$B$3003,MATCH($C1495,ENVIOS!$A$4:$A$3003,0)),""))</f>
        <v/>
      </c>
      <c r="K1495" s="49" t="n"/>
      <c r="L1495" s="27">
        <f>IF($K1495="","",IFERROR(INDEX(CONFIG!$B$4:$B$43,MATCH($K1495,CONFIG!$A$4:$A$43,0)),"Media"))</f>
        <v/>
      </c>
      <c r="M1495" s="27">
        <f>IF($K1495="","",IFERROR(INDEX(CONFIG!$D$4:$D$43,MATCH($K1495,CONFIG!$A$4:$A$43,0)),"NO"))</f>
        <v/>
      </c>
      <c r="N1495" s="49" t="n"/>
      <c r="O1495" s="27">
        <f>IF($N1495="","",IFERROR(INDEX(CONFIG!$G$4:$G$43,MATCH($N1495,CONFIG!$F$4:$F$43,0)),"Por definir"))</f>
        <v/>
      </c>
      <c r="P1495" s="27">
        <f>IF($N1495="","",IFERROR(INDEX(CONFIG!$H$4:$H$43,MATCH($N1495,CONFIG!$F$4:$F$43,0)),"Por definir"))</f>
        <v/>
      </c>
      <c r="Q1495" s="50" t="n"/>
      <c r="R1495" s="51" t="n"/>
      <c r="S1495" s="49" t="n"/>
      <c r="T1495" s="49" t="n"/>
      <c r="U1495" s="48">
        <f>IF(OR($B1495="",$K1495=""),"",WORKDAY($B1495,IFERROR(INDEX(CONFIG!$C$4:$C$43,MATCH($K1495,CONFIG!$A$4:$A$43,0)),3)))</f>
        <v/>
      </c>
      <c r="V1495" s="46" t="n"/>
      <c r="W1495" s="23">
        <f>IF($B1495="","",IF($V1495&lt;&gt;"",$V1495-$B1495,TODAY()-$B1495))</f>
        <v/>
      </c>
      <c r="X1495" s="27">
        <f>IF($C1495="","",IF(IFERROR(INDEX(CONFIG!$K$4:$K$43,MATCH($S1495,CONFIG!$J$4:$J$43,0)),"NO")="SÍ",IF(OR($V1495="",$U1495=""),"Resuelta",IF($V1495&gt;$U1495,"Resuelta tarde","Resuelta a tiempo")),IF($U1495="","Sin clasificar",IF(TODAY()&gt;$U1495,"Vencida",IF(TODAY()&gt;=$U1495-1,"Por vencer","En plazo")))))</f>
        <v/>
      </c>
      <c r="Y1495" s="49" t="n"/>
      <c r="Z1495" s="49" t="n"/>
    </row>
    <row r="1496" ht="16" customHeight="1">
      <c r="A1496" s="27">
        <f>IF($C1496="","","N-"&amp;TEXT(ROW()-3,"0000"))</f>
        <v/>
      </c>
      <c r="B1496" s="46" t="n"/>
      <c r="C1496" s="47" t="n"/>
      <c r="D1496" s="27">
        <f>IF($C1496="","",IF(COUNTIFS(ENVIOS!$A$4:$A$3003,$C1496)=0,"NO EXISTE",IF(COUNTIFS(ENVIOS!$A$4:$A$3003,$C1496)&gt;1,"DUPLICADA","OK")))</f>
        <v/>
      </c>
      <c r="E1496" s="22">
        <f>IF($C1496="","",IFERROR(INDEX(ENVIOS!$C$4:$C$3003,MATCH($C1496,ENVIOS!$A$4:$A$3003,0)),"—"))</f>
        <v/>
      </c>
      <c r="F1496" s="22">
        <f>IF($C1496="","",IFERROR(INDEX(ENVIOS!$D$4:$D$3003,MATCH($C1496,ENVIOS!$A$4:$A$3003,0)),"—"))</f>
        <v/>
      </c>
      <c r="G1496" s="22">
        <f>IF($C1496="","",IFERROR(INDEX(ENVIOS!$E$4:$E$3003,MATCH($C1496,ENVIOS!$A$4:$A$3003,0)),"—"))</f>
        <v/>
      </c>
      <c r="H1496" s="22">
        <f>IF($C1496="","",IFERROR(INDEX(ENVIOS!$F$4:$F$3003,MATCH($C1496,ENVIOS!$A$4:$A$3003,0)),"—"))</f>
        <v/>
      </c>
      <c r="I1496" s="27">
        <f>IF($C1496="","",IFERROR(INDEX(ENVIOS!$G$4:$G$3003,MATCH($C1496,ENVIOS!$A$4:$A$3003,0)),"—"))</f>
        <v/>
      </c>
      <c r="J1496" s="48">
        <f>IF($C1496="","",IFERROR(INDEX(ENVIOS!$B$4:$B$3003,MATCH($C1496,ENVIOS!$A$4:$A$3003,0)),""))</f>
        <v/>
      </c>
      <c r="K1496" s="49" t="n"/>
      <c r="L1496" s="27">
        <f>IF($K1496="","",IFERROR(INDEX(CONFIG!$B$4:$B$43,MATCH($K1496,CONFIG!$A$4:$A$43,0)),"Media"))</f>
        <v/>
      </c>
      <c r="M1496" s="27">
        <f>IF($K1496="","",IFERROR(INDEX(CONFIG!$D$4:$D$43,MATCH($K1496,CONFIG!$A$4:$A$43,0)),"NO"))</f>
        <v/>
      </c>
      <c r="N1496" s="49" t="n"/>
      <c r="O1496" s="27">
        <f>IF($N1496="","",IFERROR(INDEX(CONFIG!$G$4:$G$43,MATCH($N1496,CONFIG!$F$4:$F$43,0)),"Por definir"))</f>
        <v/>
      </c>
      <c r="P1496" s="27">
        <f>IF($N1496="","",IFERROR(INDEX(CONFIG!$H$4:$H$43,MATCH($N1496,CONFIG!$F$4:$F$43,0)),"Por definir"))</f>
        <v/>
      </c>
      <c r="Q1496" s="50" t="n"/>
      <c r="R1496" s="51" t="n"/>
      <c r="S1496" s="49" t="n"/>
      <c r="T1496" s="49" t="n"/>
      <c r="U1496" s="48">
        <f>IF(OR($B1496="",$K1496=""),"",WORKDAY($B1496,IFERROR(INDEX(CONFIG!$C$4:$C$43,MATCH($K1496,CONFIG!$A$4:$A$43,0)),3)))</f>
        <v/>
      </c>
      <c r="V1496" s="46" t="n"/>
      <c r="W1496" s="23">
        <f>IF($B1496="","",IF($V1496&lt;&gt;"",$V1496-$B1496,TODAY()-$B1496))</f>
        <v/>
      </c>
      <c r="X1496" s="27">
        <f>IF($C1496="","",IF(IFERROR(INDEX(CONFIG!$K$4:$K$43,MATCH($S1496,CONFIG!$J$4:$J$43,0)),"NO")="SÍ",IF(OR($V1496="",$U1496=""),"Resuelta",IF($V1496&gt;$U1496,"Resuelta tarde","Resuelta a tiempo")),IF($U1496="","Sin clasificar",IF(TODAY()&gt;$U1496,"Vencida",IF(TODAY()&gt;=$U1496-1,"Por vencer","En plazo")))))</f>
        <v/>
      </c>
      <c r="Y1496" s="49" t="n"/>
      <c r="Z1496" s="49" t="n"/>
    </row>
    <row r="1497" ht="16" customHeight="1">
      <c r="A1497" s="27">
        <f>IF($C1497="","","N-"&amp;TEXT(ROW()-3,"0000"))</f>
        <v/>
      </c>
      <c r="B1497" s="46" t="n"/>
      <c r="C1497" s="47" t="n"/>
      <c r="D1497" s="27">
        <f>IF($C1497="","",IF(COUNTIFS(ENVIOS!$A$4:$A$3003,$C1497)=0,"NO EXISTE",IF(COUNTIFS(ENVIOS!$A$4:$A$3003,$C1497)&gt;1,"DUPLICADA","OK")))</f>
        <v/>
      </c>
      <c r="E1497" s="22">
        <f>IF($C1497="","",IFERROR(INDEX(ENVIOS!$C$4:$C$3003,MATCH($C1497,ENVIOS!$A$4:$A$3003,0)),"—"))</f>
        <v/>
      </c>
      <c r="F1497" s="22">
        <f>IF($C1497="","",IFERROR(INDEX(ENVIOS!$D$4:$D$3003,MATCH($C1497,ENVIOS!$A$4:$A$3003,0)),"—"))</f>
        <v/>
      </c>
      <c r="G1497" s="22">
        <f>IF($C1497="","",IFERROR(INDEX(ENVIOS!$E$4:$E$3003,MATCH($C1497,ENVIOS!$A$4:$A$3003,0)),"—"))</f>
        <v/>
      </c>
      <c r="H1497" s="22">
        <f>IF($C1497="","",IFERROR(INDEX(ENVIOS!$F$4:$F$3003,MATCH($C1497,ENVIOS!$A$4:$A$3003,0)),"—"))</f>
        <v/>
      </c>
      <c r="I1497" s="27">
        <f>IF($C1497="","",IFERROR(INDEX(ENVIOS!$G$4:$G$3003,MATCH($C1497,ENVIOS!$A$4:$A$3003,0)),"—"))</f>
        <v/>
      </c>
      <c r="J1497" s="48">
        <f>IF($C1497="","",IFERROR(INDEX(ENVIOS!$B$4:$B$3003,MATCH($C1497,ENVIOS!$A$4:$A$3003,0)),""))</f>
        <v/>
      </c>
      <c r="K1497" s="49" t="n"/>
      <c r="L1497" s="27">
        <f>IF($K1497="","",IFERROR(INDEX(CONFIG!$B$4:$B$43,MATCH($K1497,CONFIG!$A$4:$A$43,0)),"Media"))</f>
        <v/>
      </c>
      <c r="M1497" s="27">
        <f>IF($K1497="","",IFERROR(INDEX(CONFIG!$D$4:$D$43,MATCH($K1497,CONFIG!$A$4:$A$43,0)),"NO"))</f>
        <v/>
      </c>
      <c r="N1497" s="49" t="n"/>
      <c r="O1497" s="27">
        <f>IF($N1497="","",IFERROR(INDEX(CONFIG!$G$4:$G$43,MATCH($N1497,CONFIG!$F$4:$F$43,0)),"Por definir"))</f>
        <v/>
      </c>
      <c r="P1497" s="27">
        <f>IF($N1497="","",IFERROR(INDEX(CONFIG!$H$4:$H$43,MATCH($N1497,CONFIG!$F$4:$F$43,0)),"Por definir"))</f>
        <v/>
      </c>
      <c r="Q1497" s="50" t="n"/>
      <c r="R1497" s="51" t="n"/>
      <c r="S1497" s="49" t="n"/>
      <c r="T1497" s="49" t="n"/>
      <c r="U1497" s="48">
        <f>IF(OR($B1497="",$K1497=""),"",WORKDAY($B1497,IFERROR(INDEX(CONFIG!$C$4:$C$43,MATCH($K1497,CONFIG!$A$4:$A$43,0)),3)))</f>
        <v/>
      </c>
      <c r="V1497" s="46" t="n"/>
      <c r="W1497" s="23">
        <f>IF($B1497="","",IF($V1497&lt;&gt;"",$V1497-$B1497,TODAY()-$B1497))</f>
        <v/>
      </c>
      <c r="X1497" s="27">
        <f>IF($C1497="","",IF(IFERROR(INDEX(CONFIG!$K$4:$K$43,MATCH($S1497,CONFIG!$J$4:$J$43,0)),"NO")="SÍ",IF(OR($V1497="",$U1497=""),"Resuelta",IF($V1497&gt;$U1497,"Resuelta tarde","Resuelta a tiempo")),IF($U1497="","Sin clasificar",IF(TODAY()&gt;$U1497,"Vencida",IF(TODAY()&gt;=$U1497-1,"Por vencer","En plazo")))))</f>
        <v/>
      </c>
      <c r="Y1497" s="49" t="n"/>
      <c r="Z1497" s="49" t="n"/>
    </row>
    <row r="1498" ht="16" customHeight="1">
      <c r="A1498" s="27">
        <f>IF($C1498="","","N-"&amp;TEXT(ROW()-3,"0000"))</f>
        <v/>
      </c>
      <c r="B1498" s="46" t="n"/>
      <c r="C1498" s="47" t="n"/>
      <c r="D1498" s="27">
        <f>IF($C1498="","",IF(COUNTIFS(ENVIOS!$A$4:$A$3003,$C1498)=0,"NO EXISTE",IF(COUNTIFS(ENVIOS!$A$4:$A$3003,$C1498)&gt;1,"DUPLICADA","OK")))</f>
        <v/>
      </c>
      <c r="E1498" s="22">
        <f>IF($C1498="","",IFERROR(INDEX(ENVIOS!$C$4:$C$3003,MATCH($C1498,ENVIOS!$A$4:$A$3003,0)),"—"))</f>
        <v/>
      </c>
      <c r="F1498" s="22">
        <f>IF($C1498="","",IFERROR(INDEX(ENVIOS!$D$4:$D$3003,MATCH($C1498,ENVIOS!$A$4:$A$3003,0)),"—"))</f>
        <v/>
      </c>
      <c r="G1498" s="22">
        <f>IF($C1498="","",IFERROR(INDEX(ENVIOS!$E$4:$E$3003,MATCH($C1498,ENVIOS!$A$4:$A$3003,0)),"—"))</f>
        <v/>
      </c>
      <c r="H1498" s="22">
        <f>IF($C1498="","",IFERROR(INDEX(ENVIOS!$F$4:$F$3003,MATCH($C1498,ENVIOS!$A$4:$A$3003,0)),"—"))</f>
        <v/>
      </c>
      <c r="I1498" s="27">
        <f>IF($C1498="","",IFERROR(INDEX(ENVIOS!$G$4:$G$3003,MATCH($C1498,ENVIOS!$A$4:$A$3003,0)),"—"))</f>
        <v/>
      </c>
      <c r="J1498" s="48">
        <f>IF($C1498="","",IFERROR(INDEX(ENVIOS!$B$4:$B$3003,MATCH($C1498,ENVIOS!$A$4:$A$3003,0)),""))</f>
        <v/>
      </c>
      <c r="K1498" s="49" t="n"/>
      <c r="L1498" s="27">
        <f>IF($K1498="","",IFERROR(INDEX(CONFIG!$B$4:$B$43,MATCH($K1498,CONFIG!$A$4:$A$43,0)),"Media"))</f>
        <v/>
      </c>
      <c r="M1498" s="27">
        <f>IF($K1498="","",IFERROR(INDEX(CONFIG!$D$4:$D$43,MATCH($K1498,CONFIG!$A$4:$A$43,0)),"NO"))</f>
        <v/>
      </c>
      <c r="N1498" s="49" t="n"/>
      <c r="O1498" s="27">
        <f>IF($N1498="","",IFERROR(INDEX(CONFIG!$G$4:$G$43,MATCH($N1498,CONFIG!$F$4:$F$43,0)),"Por definir"))</f>
        <v/>
      </c>
      <c r="P1498" s="27">
        <f>IF($N1498="","",IFERROR(INDEX(CONFIG!$H$4:$H$43,MATCH($N1498,CONFIG!$F$4:$F$43,0)),"Por definir"))</f>
        <v/>
      </c>
      <c r="Q1498" s="50" t="n"/>
      <c r="R1498" s="51" t="n"/>
      <c r="S1498" s="49" t="n"/>
      <c r="T1498" s="49" t="n"/>
      <c r="U1498" s="48">
        <f>IF(OR($B1498="",$K1498=""),"",WORKDAY($B1498,IFERROR(INDEX(CONFIG!$C$4:$C$43,MATCH($K1498,CONFIG!$A$4:$A$43,0)),3)))</f>
        <v/>
      </c>
      <c r="V1498" s="46" t="n"/>
      <c r="W1498" s="23">
        <f>IF($B1498="","",IF($V1498&lt;&gt;"",$V1498-$B1498,TODAY()-$B1498))</f>
        <v/>
      </c>
      <c r="X1498" s="27">
        <f>IF($C1498="","",IF(IFERROR(INDEX(CONFIG!$K$4:$K$43,MATCH($S1498,CONFIG!$J$4:$J$43,0)),"NO")="SÍ",IF(OR($V1498="",$U1498=""),"Resuelta",IF($V1498&gt;$U1498,"Resuelta tarde","Resuelta a tiempo")),IF($U1498="","Sin clasificar",IF(TODAY()&gt;$U1498,"Vencida",IF(TODAY()&gt;=$U1498-1,"Por vencer","En plazo")))))</f>
        <v/>
      </c>
      <c r="Y1498" s="49" t="n"/>
      <c r="Z1498" s="49" t="n"/>
    </row>
    <row r="1499" ht="16" customHeight="1">
      <c r="A1499" s="27">
        <f>IF($C1499="","","N-"&amp;TEXT(ROW()-3,"0000"))</f>
        <v/>
      </c>
      <c r="B1499" s="46" t="n"/>
      <c r="C1499" s="47" t="n"/>
      <c r="D1499" s="27">
        <f>IF($C1499="","",IF(COUNTIFS(ENVIOS!$A$4:$A$3003,$C1499)=0,"NO EXISTE",IF(COUNTIFS(ENVIOS!$A$4:$A$3003,$C1499)&gt;1,"DUPLICADA","OK")))</f>
        <v/>
      </c>
      <c r="E1499" s="22">
        <f>IF($C1499="","",IFERROR(INDEX(ENVIOS!$C$4:$C$3003,MATCH($C1499,ENVIOS!$A$4:$A$3003,0)),"—"))</f>
        <v/>
      </c>
      <c r="F1499" s="22">
        <f>IF($C1499="","",IFERROR(INDEX(ENVIOS!$D$4:$D$3003,MATCH($C1499,ENVIOS!$A$4:$A$3003,0)),"—"))</f>
        <v/>
      </c>
      <c r="G1499" s="22">
        <f>IF($C1499="","",IFERROR(INDEX(ENVIOS!$E$4:$E$3003,MATCH($C1499,ENVIOS!$A$4:$A$3003,0)),"—"))</f>
        <v/>
      </c>
      <c r="H1499" s="22">
        <f>IF($C1499="","",IFERROR(INDEX(ENVIOS!$F$4:$F$3003,MATCH($C1499,ENVIOS!$A$4:$A$3003,0)),"—"))</f>
        <v/>
      </c>
      <c r="I1499" s="27">
        <f>IF($C1499="","",IFERROR(INDEX(ENVIOS!$G$4:$G$3003,MATCH($C1499,ENVIOS!$A$4:$A$3003,0)),"—"))</f>
        <v/>
      </c>
      <c r="J1499" s="48">
        <f>IF($C1499="","",IFERROR(INDEX(ENVIOS!$B$4:$B$3003,MATCH($C1499,ENVIOS!$A$4:$A$3003,0)),""))</f>
        <v/>
      </c>
      <c r="K1499" s="49" t="n"/>
      <c r="L1499" s="27">
        <f>IF($K1499="","",IFERROR(INDEX(CONFIG!$B$4:$B$43,MATCH($K1499,CONFIG!$A$4:$A$43,0)),"Media"))</f>
        <v/>
      </c>
      <c r="M1499" s="27">
        <f>IF($K1499="","",IFERROR(INDEX(CONFIG!$D$4:$D$43,MATCH($K1499,CONFIG!$A$4:$A$43,0)),"NO"))</f>
        <v/>
      </c>
      <c r="N1499" s="49" t="n"/>
      <c r="O1499" s="27">
        <f>IF($N1499="","",IFERROR(INDEX(CONFIG!$G$4:$G$43,MATCH($N1499,CONFIG!$F$4:$F$43,0)),"Por definir"))</f>
        <v/>
      </c>
      <c r="P1499" s="27">
        <f>IF($N1499="","",IFERROR(INDEX(CONFIG!$H$4:$H$43,MATCH($N1499,CONFIG!$F$4:$F$43,0)),"Por definir"))</f>
        <v/>
      </c>
      <c r="Q1499" s="50" t="n"/>
      <c r="R1499" s="51" t="n"/>
      <c r="S1499" s="49" t="n"/>
      <c r="T1499" s="49" t="n"/>
      <c r="U1499" s="48">
        <f>IF(OR($B1499="",$K1499=""),"",WORKDAY($B1499,IFERROR(INDEX(CONFIG!$C$4:$C$43,MATCH($K1499,CONFIG!$A$4:$A$43,0)),3)))</f>
        <v/>
      </c>
      <c r="V1499" s="46" t="n"/>
      <c r="W1499" s="23">
        <f>IF($B1499="","",IF($V1499&lt;&gt;"",$V1499-$B1499,TODAY()-$B1499))</f>
        <v/>
      </c>
      <c r="X1499" s="27">
        <f>IF($C1499="","",IF(IFERROR(INDEX(CONFIG!$K$4:$K$43,MATCH($S1499,CONFIG!$J$4:$J$43,0)),"NO")="SÍ",IF(OR($V1499="",$U1499=""),"Resuelta",IF($V1499&gt;$U1499,"Resuelta tarde","Resuelta a tiempo")),IF($U1499="","Sin clasificar",IF(TODAY()&gt;$U1499,"Vencida",IF(TODAY()&gt;=$U1499-1,"Por vencer","En plazo")))))</f>
        <v/>
      </c>
      <c r="Y1499" s="49" t="n"/>
      <c r="Z1499" s="49" t="n"/>
    </row>
    <row r="1500" ht="16" customHeight="1">
      <c r="A1500" s="27">
        <f>IF($C1500="","","N-"&amp;TEXT(ROW()-3,"0000"))</f>
        <v/>
      </c>
      <c r="B1500" s="46" t="n"/>
      <c r="C1500" s="47" t="n"/>
      <c r="D1500" s="27">
        <f>IF($C1500="","",IF(COUNTIFS(ENVIOS!$A$4:$A$3003,$C1500)=0,"NO EXISTE",IF(COUNTIFS(ENVIOS!$A$4:$A$3003,$C1500)&gt;1,"DUPLICADA","OK")))</f>
        <v/>
      </c>
      <c r="E1500" s="22">
        <f>IF($C1500="","",IFERROR(INDEX(ENVIOS!$C$4:$C$3003,MATCH($C1500,ENVIOS!$A$4:$A$3003,0)),"—"))</f>
        <v/>
      </c>
      <c r="F1500" s="22">
        <f>IF($C1500="","",IFERROR(INDEX(ENVIOS!$D$4:$D$3003,MATCH($C1500,ENVIOS!$A$4:$A$3003,0)),"—"))</f>
        <v/>
      </c>
      <c r="G1500" s="22">
        <f>IF($C1500="","",IFERROR(INDEX(ENVIOS!$E$4:$E$3003,MATCH($C1500,ENVIOS!$A$4:$A$3003,0)),"—"))</f>
        <v/>
      </c>
      <c r="H1500" s="22">
        <f>IF($C1500="","",IFERROR(INDEX(ENVIOS!$F$4:$F$3003,MATCH($C1500,ENVIOS!$A$4:$A$3003,0)),"—"))</f>
        <v/>
      </c>
      <c r="I1500" s="27">
        <f>IF($C1500="","",IFERROR(INDEX(ENVIOS!$G$4:$G$3003,MATCH($C1500,ENVIOS!$A$4:$A$3003,0)),"—"))</f>
        <v/>
      </c>
      <c r="J1500" s="48">
        <f>IF($C1500="","",IFERROR(INDEX(ENVIOS!$B$4:$B$3003,MATCH($C1500,ENVIOS!$A$4:$A$3003,0)),""))</f>
        <v/>
      </c>
      <c r="K1500" s="49" t="n"/>
      <c r="L1500" s="27">
        <f>IF($K1500="","",IFERROR(INDEX(CONFIG!$B$4:$B$43,MATCH($K1500,CONFIG!$A$4:$A$43,0)),"Media"))</f>
        <v/>
      </c>
      <c r="M1500" s="27">
        <f>IF($K1500="","",IFERROR(INDEX(CONFIG!$D$4:$D$43,MATCH($K1500,CONFIG!$A$4:$A$43,0)),"NO"))</f>
        <v/>
      </c>
      <c r="N1500" s="49" t="n"/>
      <c r="O1500" s="27">
        <f>IF($N1500="","",IFERROR(INDEX(CONFIG!$G$4:$G$43,MATCH($N1500,CONFIG!$F$4:$F$43,0)),"Por definir"))</f>
        <v/>
      </c>
      <c r="P1500" s="27">
        <f>IF($N1500="","",IFERROR(INDEX(CONFIG!$H$4:$H$43,MATCH($N1500,CONFIG!$F$4:$F$43,0)),"Por definir"))</f>
        <v/>
      </c>
      <c r="Q1500" s="50" t="n"/>
      <c r="R1500" s="51" t="n"/>
      <c r="S1500" s="49" t="n"/>
      <c r="T1500" s="49" t="n"/>
      <c r="U1500" s="48">
        <f>IF(OR($B1500="",$K1500=""),"",WORKDAY($B1500,IFERROR(INDEX(CONFIG!$C$4:$C$43,MATCH($K1500,CONFIG!$A$4:$A$43,0)),3)))</f>
        <v/>
      </c>
      <c r="V1500" s="46" t="n"/>
      <c r="W1500" s="23">
        <f>IF($B1500="","",IF($V1500&lt;&gt;"",$V1500-$B1500,TODAY()-$B1500))</f>
        <v/>
      </c>
      <c r="X1500" s="27">
        <f>IF($C1500="","",IF(IFERROR(INDEX(CONFIG!$K$4:$K$43,MATCH($S1500,CONFIG!$J$4:$J$43,0)),"NO")="SÍ",IF(OR($V1500="",$U1500=""),"Resuelta",IF($V1500&gt;$U1500,"Resuelta tarde","Resuelta a tiempo")),IF($U1500="","Sin clasificar",IF(TODAY()&gt;$U1500,"Vencida",IF(TODAY()&gt;=$U1500-1,"Por vencer","En plazo")))))</f>
        <v/>
      </c>
      <c r="Y1500" s="49" t="n"/>
      <c r="Z1500" s="49" t="n"/>
    </row>
    <row r="1501" ht="16" customHeight="1">
      <c r="A1501" s="27">
        <f>IF($C1501="","","N-"&amp;TEXT(ROW()-3,"0000"))</f>
        <v/>
      </c>
      <c r="B1501" s="46" t="n"/>
      <c r="C1501" s="47" t="n"/>
      <c r="D1501" s="27">
        <f>IF($C1501="","",IF(COUNTIFS(ENVIOS!$A$4:$A$3003,$C1501)=0,"NO EXISTE",IF(COUNTIFS(ENVIOS!$A$4:$A$3003,$C1501)&gt;1,"DUPLICADA","OK")))</f>
        <v/>
      </c>
      <c r="E1501" s="22">
        <f>IF($C1501="","",IFERROR(INDEX(ENVIOS!$C$4:$C$3003,MATCH($C1501,ENVIOS!$A$4:$A$3003,0)),"—"))</f>
        <v/>
      </c>
      <c r="F1501" s="22">
        <f>IF($C1501="","",IFERROR(INDEX(ENVIOS!$D$4:$D$3003,MATCH($C1501,ENVIOS!$A$4:$A$3003,0)),"—"))</f>
        <v/>
      </c>
      <c r="G1501" s="22">
        <f>IF($C1501="","",IFERROR(INDEX(ENVIOS!$E$4:$E$3003,MATCH($C1501,ENVIOS!$A$4:$A$3003,0)),"—"))</f>
        <v/>
      </c>
      <c r="H1501" s="22">
        <f>IF($C1501="","",IFERROR(INDEX(ENVIOS!$F$4:$F$3003,MATCH($C1501,ENVIOS!$A$4:$A$3003,0)),"—"))</f>
        <v/>
      </c>
      <c r="I1501" s="27">
        <f>IF($C1501="","",IFERROR(INDEX(ENVIOS!$G$4:$G$3003,MATCH($C1501,ENVIOS!$A$4:$A$3003,0)),"—"))</f>
        <v/>
      </c>
      <c r="J1501" s="48">
        <f>IF($C1501="","",IFERROR(INDEX(ENVIOS!$B$4:$B$3003,MATCH($C1501,ENVIOS!$A$4:$A$3003,0)),""))</f>
        <v/>
      </c>
      <c r="K1501" s="49" t="n"/>
      <c r="L1501" s="27">
        <f>IF($K1501="","",IFERROR(INDEX(CONFIG!$B$4:$B$43,MATCH($K1501,CONFIG!$A$4:$A$43,0)),"Media"))</f>
        <v/>
      </c>
      <c r="M1501" s="27">
        <f>IF($K1501="","",IFERROR(INDEX(CONFIG!$D$4:$D$43,MATCH($K1501,CONFIG!$A$4:$A$43,0)),"NO"))</f>
        <v/>
      </c>
      <c r="N1501" s="49" t="n"/>
      <c r="O1501" s="27">
        <f>IF($N1501="","",IFERROR(INDEX(CONFIG!$G$4:$G$43,MATCH($N1501,CONFIG!$F$4:$F$43,0)),"Por definir"))</f>
        <v/>
      </c>
      <c r="P1501" s="27">
        <f>IF($N1501="","",IFERROR(INDEX(CONFIG!$H$4:$H$43,MATCH($N1501,CONFIG!$F$4:$F$43,0)),"Por definir"))</f>
        <v/>
      </c>
      <c r="Q1501" s="50" t="n"/>
      <c r="R1501" s="51" t="n"/>
      <c r="S1501" s="49" t="n"/>
      <c r="T1501" s="49" t="n"/>
      <c r="U1501" s="48">
        <f>IF(OR($B1501="",$K1501=""),"",WORKDAY($B1501,IFERROR(INDEX(CONFIG!$C$4:$C$43,MATCH($K1501,CONFIG!$A$4:$A$43,0)),3)))</f>
        <v/>
      </c>
      <c r="V1501" s="46" t="n"/>
      <c r="W1501" s="23">
        <f>IF($B1501="","",IF($V1501&lt;&gt;"",$V1501-$B1501,TODAY()-$B1501))</f>
        <v/>
      </c>
      <c r="X1501" s="27">
        <f>IF($C1501="","",IF(IFERROR(INDEX(CONFIG!$K$4:$K$43,MATCH($S1501,CONFIG!$J$4:$J$43,0)),"NO")="SÍ",IF(OR($V1501="",$U1501=""),"Resuelta",IF($V1501&gt;$U1501,"Resuelta tarde","Resuelta a tiempo")),IF($U1501="","Sin clasificar",IF(TODAY()&gt;$U1501,"Vencida",IF(TODAY()&gt;=$U1501-1,"Por vencer","En plazo")))))</f>
        <v/>
      </c>
      <c r="Y1501" s="49" t="n"/>
      <c r="Z1501" s="49" t="n"/>
    </row>
    <row r="1502" ht="16" customHeight="1">
      <c r="A1502" s="27">
        <f>IF($C1502="","","N-"&amp;TEXT(ROW()-3,"0000"))</f>
        <v/>
      </c>
      <c r="B1502" s="46" t="n"/>
      <c r="C1502" s="47" t="n"/>
      <c r="D1502" s="27">
        <f>IF($C1502="","",IF(COUNTIFS(ENVIOS!$A$4:$A$3003,$C1502)=0,"NO EXISTE",IF(COUNTIFS(ENVIOS!$A$4:$A$3003,$C1502)&gt;1,"DUPLICADA","OK")))</f>
        <v/>
      </c>
      <c r="E1502" s="22">
        <f>IF($C1502="","",IFERROR(INDEX(ENVIOS!$C$4:$C$3003,MATCH($C1502,ENVIOS!$A$4:$A$3003,0)),"—"))</f>
        <v/>
      </c>
      <c r="F1502" s="22">
        <f>IF($C1502="","",IFERROR(INDEX(ENVIOS!$D$4:$D$3003,MATCH($C1502,ENVIOS!$A$4:$A$3003,0)),"—"))</f>
        <v/>
      </c>
      <c r="G1502" s="22">
        <f>IF($C1502="","",IFERROR(INDEX(ENVIOS!$E$4:$E$3003,MATCH($C1502,ENVIOS!$A$4:$A$3003,0)),"—"))</f>
        <v/>
      </c>
      <c r="H1502" s="22">
        <f>IF($C1502="","",IFERROR(INDEX(ENVIOS!$F$4:$F$3003,MATCH($C1502,ENVIOS!$A$4:$A$3003,0)),"—"))</f>
        <v/>
      </c>
      <c r="I1502" s="27">
        <f>IF($C1502="","",IFERROR(INDEX(ENVIOS!$G$4:$G$3003,MATCH($C1502,ENVIOS!$A$4:$A$3003,0)),"—"))</f>
        <v/>
      </c>
      <c r="J1502" s="48">
        <f>IF($C1502="","",IFERROR(INDEX(ENVIOS!$B$4:$B$3003,MATCH($C1502,ENVIOS!$A$4:$A$3003,0)),""))</f>
        <v/>
      </c>
      <c r="K1502" s="49" t="n"/>
      <c r="L1502" s="27">
        <f>IF($K1502="","",IFERROR(INDEX(CONFIG!$B$4:$B$43,MATCH($K1502,CONFIG!$A$4:$A$43,0)),"Media"))</f>
        <v/>
      </c>
      <c r="M1502" s="27">
        <f>IF($K1502="","",IFERROR(INDEX(CONFIG!$D$4:$D$43,MATCH($K1502,CONFIG!$A$4:$A$43,0)),"NO"))</f>
        <v/>
      </c>
      <c r="N1502" s="49" t="n"/>
      <c r="O1502" s="27">
        <f>IF($N1502="","",IFERROR(INDEX(CONFIG!$G$4:$G$43,MATCH($N1502,CONFIG!$F$4:$F$43,0)),"Por definir"))</f>
        <v/>
      </c>
      <c r="P1502" s="27">
        <f>IF($N1502="","",IFERROR(INDEX(CONFIG!$H$4:$H$43,MATCH($N1502,CONFIG!$F$4:$F$43,0)),"Por definir"))</f>
        <v/>
      </c>
      <c r="Q1502" s="50" t="n"/>
      <c r="R1502" s="51" t="n"/>
      <c r="S1502" s="49" t="n"/>
      <c r="T1502" s="49" t="n"/>
      <c r="U1502" s="48">
        <f>IF(OR($B1502="",$K1502=""),"",WORKDAY($B1502,IFERROR(INDEX(CONFIG!$C$4:$C$43,MATCH($K1502,CONFIG!$A$4:$A$43,0)),3)))</f>
        <v/>
      </c>
      <c r="V1502" s="46" t="n"/>
      <c r="W1502" s="23">
        <f>IF($B1502="","",IF($V1502&lt;&gt;"",$V1502-$B1502,TODAY()-$B1502))</f>
        <v/>
      </c>
      <c r="X1502" s="27">
        <f>IF($C1502="","",IF(IFERROR(INDEX(CONFIG!$K$4:$K$43,MATCH($S1502,CONFIG!$J$4:$J$43,0)),"NO")="SÍ",IF(OR($V1502="",$U1502=""),"Resuelta",IF($V1502&gt;$U1502,"Resuelta tarde","Resuelta a tiempo")),IF($U1502="","Sin clasificar",IF(TODAY()&gt;$U1502,"Vencida",IF(TODAY()&gt;=$U1502-1,"Por vencer","En plazo")))))</f>
        <v/>
      </c>
      <c r="Y1502" s="49" t="n"/>
      <c r="Z1502" s="49" t="n"/>
    </row>
    <row r="1503" ht="16" customHeight="1">
      <c r="A1503" s="27">
        <f>IF($C1503="","","N-"&amp;TEXT(ROW()-3,"0000"))</f>
        <v/>
      </c>
      <c r="B1503" s="46" t="n"/>
      <c r="C1503" s="47" t="n"/>
      <c r="D1503" s="27">
        <f>IF($C1503="","",IF(COUNTIFS(ENVIOS!$A$4:$A$3003,$C1503)=0,"NO EXISTE",IF(COUNTIFS(ENVIOS!$A$4:$A$3003,$C1503)&gt;1,"DUPLICADA","OK")))</f>
        <v/>
      </c>
      <c r="E1503" s="22">
        <f>IF($C1503="","",IFERROR(INDEX(ENVIOS!$C$4:$C$3003,MATCH($C1503,ENVIOS!$A$4:$A$3003,0)),"—"))</f>
        <v/>
      </c>
      <c r="F1503" s="22">
        <f>IF($C1503="","",IFERROR(INDEX(ENVIOS!$D$4:$D$3003,MATCH($C1503,ENVIOS!$A$4:$A$3003,0)),"—"))</f>
        <v/>
      </c>
      <c r="G1503" s="22">
        <f>IF($C1503="","",IFERROR(INDEX(ENVIOS!$E$4:$E$3003,MATCH($C1503,ENVIOS!$A$4:$A$3003,0)),"—"))</f>
        <v/>
      </c>
      <c r="H1503" s="22">
        <f>IF($C1503="","",IFERROR(INDEX(ENVIOS!$F$4:$F$3003,MATCH($C1503,ENVIOS!$A$4:$A$3003,0)),"—"))</f>
        <v/>
      </c>
      <c r="I1503" s="27">
        <f>IF($C1503="","",IFERROR(INDEX(ENVIOS!$G$4:$G$3003,MATCH($C1503,ENVIOS!$A$4:$A$3003,0)),"—"))</f>
        <v/>
      </c>
      <c r="J1503" s="48">
        <f>IF($C1503="","",IFERROR(INDEX(ENVIOS!$B$4:$B$3003,MATCH($C1503,ENVIOS!$A$4:$A$3003,0)),""))</f>
        <v/>
      </c>
      <c r="K1503" s="49" t="n"/>
      <c r="L1503" s="27">
        <f>IF($K1503="","",IFERROR(INDEX(CONFIG!$B$4:$B$43,MATCH($K1503,CONFIG!$A$4:$A$43,0)),"Media"))</f>
        <v/>
      </c>
      <c r="M1503" s="27">
        <f>IF($K1503="","",IFERROR(INDEX(CONFIG!$D$4:$D$43,MATCH($K1503,CONFIG!$A$4:$A$43,0)),"NO"))</f>
        <v/>
      </c>
      <c r="N1503" s="49" t="n"/>
      <c r="O1503" s="27">
        <f>IF($N1503="","",IFERROR(INDEX(CONFIG!$G$4:$G$43,MATCH($N1503,CONFIG!$F$4:$F$43,0)),"Por definir"))</f>
        <v/>
      </c>
      <c r="P1503" s="27">
        <f>IF($N1503="","",IFERROR(INDEX(CONFIG!$H$4:$H$43,MATCH($N1503,CONFIG!$F$4:$F$43,0)),"Por definir"))</f>
        <v/>
      </c>
      <c r="Q1503" s="50" t="n"/>
      <c r="R1503" s="51" t="n"/>
      <c r="S1503" s="49" t="n"/>
      <c r="T1503" s="49" t="n"/>
      <c r="U1503" s="48">
        <f>IF(OR($B1503="",$K1503=""),"",WORKDAY($B1503,IFERROR(INDEX(CONFIG!$C$4:$C$43,MATCH($K1503,CONFIG!$A$4:$A$43,0)),3)))</f>
        <v/>
      </c>
      <c r="V1503" s="46" t="n"/>
      <c r="W1503" s="23">
        <f>IF($B1503="","",IF($V1503&lt;&gt;"",$V1503-$B1503,TODAY()-$B1503))</f>
        <v/>
      </c>
      <c r="X1503" s="27">
        <f>IF($C1503="","",IF(IFERROR(INDEX(CONFIG!$K$4:$K$43,MATCH($S1503,CONFIG!$J$4:$J$43,0)),"NO")="SÍ",IF(OR($V1503="",$U1503=""),"Resuelta",IF($V1503&gt;$U1503,"Resuelta tarde","Resuelta a tiempo")),IF($U1503="","Sin clasificar",IF(TODAY()&gt;$U1503,"Vencida",IF(TODAY()&gt;=$U1503-1,"Por vencer","En plazo")))))</f>
        <v/>
      </c>
      <c r="Y1503" s="49" t="n"/>
      <c r="Z1503" s="4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3:Z1503"/>
  <mergeCells count="6">
    <mergeCell ref="K2:P2"/>
    <mergeCell ref="S2:X2"/>
    <mergeCell ref="Q2:R2"/>
    <mergeCell ref="A1:Z1"/>
    <mergeCell ref="Y2:Z2"/>
    <mergeCell ref="A2:J2"/>
  </mergeCells>
  <conditionalFormatting sqref="X4:X1503">
    <cfRule type="cellIs" priority="1" operator="equal" dxfId="3">
      <formula>"En plazo"</formula>
    </cfRule>
    <cfRule type="cellIs" priority="2" operator="equal" dxfId="5">
      <formula>"Por vencer"</formula>
    </cfRule>
    <cfRule type="cellIs" priority="3" operator="equal" dxfId="6">
      <formula>"Vencida"</formula>
    </cfRule>
    <cfRule type="cellIs" priority="4" operator="equal" dxfId="4">
      <formula>"Resuelta a tiempo"</formula>
    </cfRule>
    <cfRule type="cellIs" priority="5" operator="equal" dxfId="9">
      <formula>"Resuelta tarde"</formula>
    </cfRule>
    <cfRule type="cellIs" priority="6" operator="equal" dxfId="8">
      <formula>"Resuelta"</formula>
    </cfRule>
    <cfRule type="cellIs" priority="7" operator="equal" dxfId="8">
      <formula>"Sin clasificar"</formula>
    </cfRule>
  </conditionalFormatting>
  <conditionalFormatting sqref="L4:L1503">
    <cfRule type="cellIs" priority="8" operator="equal" dxfId="7">
      <formula>"Crítica"</formula>
    </cfRule>
    <cfRule type="cellIs" priority="9" operator="equal" dxfId="6">
      <formula>"Alta"</formula>
    </cfRule>
    <cfRule type="cellIs" priority="10" operator="equal" dxfId="5">
      <formula>"Media"</formula>
    </cfRule>
    <cfRule type="cellIs" priority="11" operator="equal" dxfId="3">
      <formula>"Baja"</formula>
    </cfRule>
  </conditionalFormatting>
  <conditionalFormatting sqref="M4:M1503">
    <cfRule type="cellIs" priority="12" operator="equal" dxfId="5">
      <formula>"SÍ"</formula>
    </cfRule>
  </conditionalFormatting>
  <conditionalFormatting sqref="D4:D1503">
    <cfRule type="cellIs" priority="13" operator="equal" dxfId="3">
      <formula>"OK"</formula>
    </cfRule>
    <cfRule type="cellIs" priority="14" operator="equal" dxfId="6">
      <formula>"NO EXISTE"</formula>
    </cfRule>
    <cfRule type="cellIs" priority="15" operator="equal" dxfId="5">
      <formula>"DUPLICADA"</formula>
    </cfRule>
  </conditionalFormatting>
  <conditionalFormatting sqref="S4:S1503">
    <cfRule type="expression" priority="16" dxfId="6">
      <formula>$S4="Sin gestionar"</formula>
    </cfRule>
    <cfRule type="expression" priority="17" dxfId="3">
      <formula>AND($S4&lt;&gt;"",IFERROR(INDEX(CONFIG!$K$4:$K$43,MATCH($S4,CONFIG!$J$4:$J$43,0)),"NO")="SÍ")</formula>
    </cfRule>
    <cfRule type="expression" priority="18" dxfId="5">
      <formula>AND($S4&lt;&gt;"",IFERROR(INDEX(CONFIG!$K$4:$K$43,MATCH($S4,CONFIG!$J$4:$J$43,0)),"NO")="NO")</formula>
    </cfRule>
  </conditionalFormatting>
  <conditionalFormatting sqref="V4:V1503">
    <cfRule type="expression" priority="19" dxfId="6">
      <formula>AND($V4="",$X4="Resuelta")</formula>
    </cfRule>
  </conditionalFormatting>
  <conditionalFormatting sqref="R4:R1503">
    <cfRule type="dataBar" priority="20">
      <dataBar showValue="1">
        <cfvo type="num" val="0"/>
        <cfvo type="percentile" val="95"/>
        <color rgb="00D97706"/>
      </dataBar>
    </cfRule>
  </conditionalFormatting>
  <conditionalFormatting sqref="W4:W1503">
    <cfRule type="dataBar" priority="21">
      <dataBar showValue="1">
        <cfvo type="num" val="0"/>
        <cfvo type="percentile" val="95"/>
        <color rgb="0094A3B8"/>
      </dataBar>
    </cfRule>
  </conditionalFormatting>
  <conditionalFormatting sqref="A4:Z1503">
    <cfRule type="expression" priority="22" dxfId="10">
      <formula>$X4="Vencida"</formula>
    </cfRule>
  </conditionalFormatting>
  <dataValidations count="8">
    <dataValidation sqref="K4:K1503" showDropDown="0" showInputMessage="1" showErrorMessage="1" allowBlank="1" errorTitle="Tipo no válido" error="Elíjalo de la lista. Para agregar uno nuevo vaya a CONFIG, columna A." promptTitle="Tipo de novedad" prompt="Define la gravedad y el plazo (SLA)." type="list">
      <formula1>TIPOS_NOVEDAD</formula1>
    </dataValidation>
    <dataValidation sqref="N4:N1503" showDropDown="0" showInputMessage="1" showErrorMessage="1" allowBlank="1" errorTitle="Causa no válida" error="Elíjala de la lista. Para agregar una nueva vaya a CONFIG, columna F." promptTitle="Causa raíz" prompt="Por qué pasó. Define la familia 6M y el área responsable." type="list">
      <formula1>CAUSAS_RAIZ</formula1>
    </dataValidation>
    <dataValidation sqref="S4:S1503" showDropDown="0" showInputMessage="1" showErrorMessage="1" allowBlank="1" errorTitle="Estado no válido" error="Elíjalo de la lista. Para agregar uno nuevo vaya a CONFIG, columna J." promptTitle="Estado" prompt="Los estados con ¿CIERRA EL CASO? = SÍ detienen el conteo de días." type="list">
      <formula1>ESTADOS_NOVEDAD</formula1>
    </dataValidation>
    <dataValidation sqref="T4:T1503" showDropDown="0" showInputMessage="0" showErrorMessage="1" allowBlank="1" errorTitle="Responsable no válido" error="Elíjalo de la lista (CONFIG, columna O)." type="list">
      <formula1>RESPONSABLES</formula1>
    </dataValidation>
    <dataValidation sqref="B4:B1503" showDropDown="0" showInputMessage="0" showErrorMessage="1" allowBlank="1" errorTitle="Fecha no válida" error="Escriba una fecha real (dd/mm/aaaa)." type="date" operator="between">
      <formula1>DATE(2020,1,1)</formula1>
      <formula2>DATE(2040,12,31)</formula2>
    </dataValidation>
    <dataValidation sqref="V4:V1503" showDropDown="0" showInputMessage="0" showErrorMessage="1" allowBlank="1" errorTitle="Fecha de solución inválida" error="No puede ser anterior a la fecha de la novedad." type="custom">
      <formula1>OR($V4="",AND(ISNUMBER($V4),$V4&gt;=$B4))</formula1>
    </dataValidation>
    <dataValidation sqref="Q4:Q1503" showDropDown="0" showInputMessage="0" showErrorMessage="1" allowBlank="1" errorTitle="Valor inválido" error="Debe ser un número mayor o igual a 0." type="decimal" operator="greaterThanOrEqual">
      <formula1>0</formula1>
    </dataValidation>
    <dataValidation sqref="R4:R1503" showDropDown="0" showInputMessage="0" showErrorMessage="1" allowBlank="1" errorTitle="Valor inválido" error="Debe ser un número mayor o igual a 0.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A1:P30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32" customWidth="1" min="3" max="3"/>
    <col width="18" customWidth="1" min="4" max="4"/>
    <col width="20" customWidth="1" min="5" max="5"/>
    <col width="22" customWidth="1" min="6" max="6"/>
    <col width="10" customWidth="1" min="7" max="7"/>
    <col width="13" customWidth="1" min="8" max="8"/>
    <col width="15" customWidth="1" min="9" max="9"/>
    <col width="15" customWidth="1" min="10" max="10"/>
    <col width="15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</cols>
  <sheetData>
    <row r="1" ht="34" customHeight="1">
      <c r="A1" s="1" t="inlineStr">
        <is>
          <t>ENVÍOS · base de despachos</t>
        </is>
      </c>
    </row>
    <row r="2" ht="17" customHeight="1">
      <c r="A2" s="43" t="inlineStr">
        <is>
          <t>① SE DIGITA AL DESPACHAR  ·  pegue o escriba aquí</t>
        </is>
      </c>
      <c r="K2" s="44" t="inlineStr">
        <is>
          <t>② AL ENTREGAR</t>
        </is>
      </c>
      <c r="L2" s="43" t="inlineStr">
        <is>
          <t>③ SE CALCULA SOLO  ·  no escriba en esta zona</t>
        </is>
      </c>
    </row>
    <row r="3" ht="34" customHeight="1">
      <c r="A3" s="45" t="inlineStr">
        <is>
          <t>Nº Guía / Remisión</t>
        </is>
      </c>
      <c r="B3" s="45" t="inlineStr">
        <is>
          <t>Fecha despacho</t>
        </is>
      </c>
      <c r="C3" s="45" t="inlineStr">
        <is>
          <t>Cliente</t>
        </is>
      </c>
      <c r="D3" s="45" t="inlineStr">
        <is>
          <t>Ciudad destino</t>
        </is>
      </c>
      <c r="E3" s="45" t="inlineStr">
        <is>
          <t>Transportadora</t>
        </is>
      </c>
      <c r="F3" s="45" t="inlineStr">
        <is>
          <t>Conductor</t>
        </is>
      </c>
      <c r="G3" s="45" t="inlineStr">
        <is>
          <t>Placa</t>
        </is>
      </c>
      <c r="H3" s="45" t="inlineStr">
        <is>
          <t>Unidades enviadas</t>
        </is>
      </c>
      <c r="I3" s="45" t="inlineStr">
        <is>
          <t>Valor del envío</t>
        </is>
      </c>
      <c r="J3" s="45" t="inlineStr">
        <is>
          <t>Fecha promesa de entrega</t>
        </is>
      </c>
      <c r="K3" s="45" t="inlineStr">
        <is>
          <t>Fecha de entrega real</t>
        </is>
      </c>
      <c r="L3" s="21" t="inlineStr">
        <is>
          <t>Días en ruta</t>
        </is>
      </c>
      <c r="M3" s="21" t="inlineStr">
        <is>
          <t>¿Llegó a tiempo?</t>
        </is>
      </c>
      <c r="N3" s="21" t="inlineStr">
        <is>
          <t>Novedades</t>
        </is>
      </c>
      <c r="O3" s="21" t="inlineStr">
        <is>
          <t>¿Llegó completa?</t>
        </is>
      </c>
      <c r="P3" s="21" t="inlineStr">
        <is>
          <t>OTIF</t>
        </is>
      </c>
    </row>
    <row r="4" ht="16" customHeight="1">
      <c r="A4" s="47" t="n"/>
      <c r="B4" s="46" t="n"/>
      <c r="C4" s="49" t="n"/>
      <c r="D4" s="49" t="n"/>
      <c r="E4" s="49" t="n"/>
      <c r="F4" s="49" t="n"/>
      <c r="G4" s="47" t="n"/>
      <c r="H4" s="50" t="n"/>
      <c r="I4" s="51" t="n"/>
      <c r="J4" s="46" t="n"/>
      <c r="K4" s="46" t="n"/>
      <c r="L4" s="23">
        <f>IF(OR($A4="",$B4=""),"",IF($K4&lt;&gt;"",$K4-$B4,TODAY()-$B4))</f>
        <v/>
      </c>
      <c r="M4" s="27">
        <f>IF(OR($A4="",$J4=""),"",IF($K4="",IF(TODAY()&gt;$J4,"Atrasado","En ruta"),IF($K4&lt;=$J4,"Sí","No")))</f>
        <v/>
      </c>
      <c r="N4" s="23">
        <f>IF($A4="","",COUNTIFS(NOVEDADES!$C$4:$C$1503,$A4))</f>
        <v/>
      </c>
      <c r="O4" s="27">
        <f>IF($A4="","",IF(COUNTIFS(NOVEDADES!$C$4:$C$1503,$A4,NOVEDADES!$M$4:$M$1503,"SÍ")&gt;0,"No","Sí"))</f>
        <v/>
      </c>
      <c r="P4" s="27">
        <f>IF(OR($A4="",$K4=""),"",IF(AND($M4="Sí",$O4="Sí"),"OTIF","Falló"))</f>
        <v/>
      </c>
    </row>
    <row r="5" ht="16" customHeight="1">
      <c r="A5" s="47" t="n"/>
      <c r="B5" s="46" t="n"/>
      <c r="C5" s="49" t="n"/>
      <c r="D5" s="49" t="n"/>
      <c r="E5" s="49" t="n"/>
      <c r="F5" s="49" t="n"/>
      <c r="G5" s="47" t="n"/>
      <c r="H5" s="50" t="n"/>
      <c r="I5" s="51" t="n"/>
      <c r="J5" s="46" t="n"/>
      <c r="K5" s="46" t="n"/>
      <c r="L5" s="23">
        <f>IF(OR($A5="",$B5=""),"",IF($K5&lt;&gt;"",$K5-$B5,TODAY()-$B5))</f>
        <v/>
      </c>
      <c r="M5" s="27">
        <f>IF(OR($A5="",$J5=""),"",IF($K5="",IF(TODAY()&gt;$J5,"Atrasado","En ruta"),IF($K5&lt;=$J5,"Sí","No")))</f>
        <v/>
      </c>
      <c r="N5" s="23">
        <f>IF($A5="","",COUNTIFS(NOVEDADES!$C$4:$C$1503,$A5))</f>
        <v/>
      </c>
      <c r="O5" s="27">
        <f>IF($A5="","",IF(COUNTIFS(NOVEDADES!$C$4:$C$1503,$A5,NOVEDADES!$M$4:$M$1503,"SÍ")&gt;0,"No","Sí"))</f>
        <v/>
      </c>
      <c r="P5" s="27">
        <f>IF(OR($A5="",$K5=""),"",IF(AND($M5="Sí",$O5="Sí"),"OTIF","Falló"))</f>
        <v/>
      </c>
    </row>
    <row r="6" ht="16" customHeight="1">
      <c r="A6" s="47" t="n"/>
      <c r="B6" s="46" t="n"/>
      <c r="C6" s="49" t="n"/>
      <c r="D6" s="49" t="n"/>
      <c r="E6" s="49" t="n"/>
      <c r="F6" s="49" t="n"/>
      <c r="G6" s="47" t="n"/>
      <c r="H6" s="50" t="n"/>
      <c r="I6" s="51" t="n"/>
      <c r="J6" s="46" t="n"/>
      <c r="K6" s="46" t="n"/>
      <c r="L6" s="23">
        <f>IF(OR($A6="",$B6=""),"",IF($K6&lt;&gt;"",$K6-$B6,TODAY()-$B6))</f>
        <v/>
      </c>
      <c r="M6" s="27">
        <f>IF(OR($A6="",$J6=""),"",IF($K6="",IF(TODAY()&gt;$J6,"Atrasado","En ruta"),IF($K6&lt;=$J6,"Sí","No")))</f>
        <v/>
      </c>
      <c r="N6" s="23">
        <f>IF($A6="","",COUNTIFS(NOVEDADES!$C$4:$C$1503,$A6))</f>
        <v/>
      </c>
      <c r="O6" s="27">
        <f>IF($A6="","",IF(COUNTIFS(NOVEDADES!$C$4:$C$1503,$A6,NOVEDADES!$M$4:$M$1503,"SÍ")&gt;0,"No","Sí"))</f>
        <v/>
      </c>
      <c r="P6" s="27">
        <f>IF(OR($A6="",$K6=""),"",IF(AND($M6="Sí",$O6="Sí"),"OTIF","Falló"))</f>
        <v/>
      </c>
    </row>
    <row r="7" ht="16" customHeight="1">
      <c r="A7" s="47" t="n"/>
      <c r="B7" s="46" t="n"/>
      <c r="C7" s="49" t="n"/>
      <c r="D7" s="49" t="n"/>
      <c r="E7" s="49" t="n"/>
      <c r="F7" s="49" t="n"/>
      <c r="G7" s="47" t="n"/>
      <c r="H7" s="50" t="n"/>
      <c r="I7" s="51" t="n"/>
      <c r="J7" s="46" t="n"/>
      <c r="K7" s="46" t="n"/>
      <c r="L7" s="23">
        <f>IF(OR($A7="",$B7=""),"",IF($K7&lt;&gt;"",$K7-$B7,TODAY()-$B7))</f>
        <v/>
      </c>
      <c r="M7" s="27">
        <f>IF(OR($A7="",$J7=""),"",IF($K7="",IF(TODAY()&gt;$J7,"Atrasado","En ruta"),IF($K7&lt;=$J7,"Sí","No")))</f>
        <v/>
      </c>
      <c r="N7" s="23">
        <f>IF($A7="","",COUNTIFS(NOVEDADES!$C$4:$C$1503,$A7))</f>
        <v/>
      </c>
      <c r="O7" s="27">
        <f>IF($A7="","",IF(COUNTIFS(NOVEDADES!$C$4:$C$1503,$A7,NOVEDADES!$M$4:$M$1503,"SÍ")&gt;0,"No","Sí"))</f>
        <v/>
      </c>
      <c r="P7" s="27">
        <f>IF(OR($A7="",$K7=""),"",IF(AND($M7="Sí",$O7="Sí"),"OTIF","Falló"))</f>
        <v/>
      </c>
    </row>
    <row r="8" ht="16" customHeight="1">
      <c r="A8" s="47" t="n"/>
      <c r="B8" s="46" t="n"/>
      <c r="C8" s="49" t="n"/>
      <c r="D8" s="49" t="n"/>
      <c r="E8" s="49" t="n"/>
      <c r="F8" s="49" t="n"/>
      <c r="G8" s="47" t="n"/>
      <c r="H8" s="50" t="n"/>
      <c r="I8" s="51" t="n"/>
      <c r="J8" s="46" t="n"/>
      <c r="K8" s="46" t="n"/>
      <c r="L8" s="23">
        <f>IF(OR($A8="",$B8=""),"",IF($K8&lt;&gt;"",$K8-$B8,TODAY()-$B8))</f>
        <v/>
      </c>
      <c r="M8" s="27">
        <f>IF(OR($A8="",$J8=""),"",IF($K8="",IF(TODAY()&gt;$J8,"Atrasado","En ruta"),IF($K8&lt;=$J8,"Sí","No")))</f>
        <v/>
      </c>
      <c r="N8" s="23">
        <f>IF($A8="","",COUNTIFS(NOVEDADES!$C$4:$C$1503,$A8))</f>
        <v/>
      </c>
      <c r="O8" s="27">
        <f>IF($A8="","",IF(COUNTIFS(NOVEDADES!$C$4:$C$1503,$A8,NOVEDADES!$M$4:$M$1503,"SÍ")&gt;0,"No","Sí"))</f>
        <v/>
      </c>
      <c r="P8" s="27">
        <f>IF(OR($A8="",$K8=""),"",IF(AND($M8="Sí",$O8="Sí"),"OTIF","Falló"))</f>
        <v/>
      </c>
    </row>
    <row r="9" ht="16" customHeight="1">
      <c r="A9" s="47" t="n"/>
      <c r="B9" s="46" t="n"/>
      <c r="C9" s="49" t="n"/>
      <c r="D9" s="49" t="n"/>
      <c r="E9" s="49" t="n"/>
      <c r="F9" s="49" t="n"/>
      <c r="G9" s="47" t="n"/>
      <c r="H9" s="50" t="n"/>
      <c r="I9" s="51" t="n"/>
      <c r="J9" s="46" t="n"/>
      <c r="K9" s="46" t="n"/>
      <c r="L9" s="23">
        <f>IF(OR($A9="",$B9=""),"",IF($K9&lt;&gt;"",$K9-$B9,TODAY()-$B9))</f>
        <v/>
      </c>
      <c r="M9" s="27">
        <f>IF(OR($A9="",$J9=""),"",IF($K9="",IF(TODAY()&gt;$J9,"Atrasado","En ruta"),IF($K9&lt;=$J9,"Sí","No")))</f>
        <v/>
      </c>
      <c r="N9" s="23">
        <f>IF($A9="","",COUNTIFS(NOVEDADES!$C$4:$C$1503,$A9))</f>
        <v/>
      </c>
      <c r="O9" s="27">
        <f>IF($A9="","",IF(COUNTIFS(NOVEDADES!$C$4:$C$1503,$A9,NOVEDADES!$M$4:$M$1503,"SÍ")&gt;0,"No","Sí"))</f>
        <v/>
      </c>
      <c r="P9" s="27">
        <f>IF(OR($A9="",$K9=""),"",IF(AND($M9="Sí",$O9="Sí"),"OTIF","Falló"))</f>
        <v/>
      </c>
    </row>
    <row r="10" ht="16" customHeight="1">
      <c r="A10" s="47" t="n"/>
      <c r="B10" s="46" t="n"/>
      <c r="C10" s="49" t="n"/>
      <c r="D10" s="49" t="n"/>
      <c r="E10" s="49" t="n"/>
      <c r="F10" s="49" t="n"/>
      <c r="G10" s="47" t="n"/>
      <c r="H10" s="50" t="n"/>
      <c r="I10" s="51" t="n"/>
      <c r="J10" s="46" t="n"/>
      <c r="K10" s="46" t="n"/>
      <c r="L10" s="23">
        <f>IF(OR($A10="",$B10=""),"",IF($K10&lt;&gt;"",$K10-$B10,TODAY()-$B10))</f>
        <v/>
      </c>
      <c r="M10" s="27">
        <f>IF(OR($A10="",$J10=""),"",IF($K10="",IF(TODAY()&gt;$J10,"Atrasado","En ruta"),IF($K10&lt;=$J10,"Sí","No")))</f>
        <v/>
      </c>
      <c r="N10" s="23">
        <f>IF($A10="","",COUNTIFS(NOVEDADES!$C$4:$C$1503,$A10))</f>
        <v/>
      </c>
      <c r="O10" s="27">
        <f>IF($A10="","",IF(COUNTIFS(NOVEDADES!$C$4:$C$1503,$A10,NOVEDADES!$M$4:$M$1503,"SÍ")&gt;0,"No","Sí"))</f>
        <v/>
      </c>
      <c r="P10" s="27">
        <f>IF(OR($A10="",$K10=""),"",IF(AND($M10="Sí",$O10="Sí"),"OTIF","Falló"))</f>
        <v/>
      </c>
    </row>
    <row r="11" ht="16" customHeight="1">
      <c r="A11" s="47" t="n"/>
      <c r="B11" s="46" t="n"/>
      <c r="C11" s="49" t="n"/>
      <c r="D11" s="49" t="n"/>
      <c r="E11" s="49" t="n"/>
      <c r="F11" s="49" t="n"/>
      <c r="G11" s="47" t="n"/>
      <c r="H11" s="50" t="n"/>
      <c r="I11" s="51" t="n"/>
      <c r="J11" s="46" t="n"/>
      <c r="K11" s="46" t="n"/>
      <c r="L11" s="23">
        <f>IF(OR($A11="",$B11=""),"",IF($K11&lt;&gt;"",$K11-$B11,TODAY()-$B11))</f>
        <v/>
      </c>
      <c r="M11" s="27">
        <f>IF(OR($A11="",$J11=""),"",IF($K11="",IF(TODAY()&gt;$J11,"Atrasado","En ruta"),IF($K11&lt;=$J11,"Sí","No")))</f>
        <v/>
      </c>
      <c r="N11" s="23">
        <f>IF($A11="","",COUNTIFS(NOVEDADES!$C$4:$C$1503,$A11))</f>
        <v/>
      </c>
      <c r="O11" s="27">
        <f>IF($A11="","",IF(COUNTIFS(NOVEDADES!$C$4:$C$1503,$A11,NOVEDADES!$M$4:$M$1503,"SÍ")&gt;0,"No","Sí"))</f>
        <v/>
      </c>
      <c r="P11" s="27">
        <f>IF(OR($A11="",$K11=""),"",IF(AND($M11="Sí",$O11="Sí"),"OTIF","Falló"))</f>
        <v/>
      </c>
    </row>
    <row r="12" ht="16" customHeight="1">
      <c r="A12" s="47" t="n"/>
      <c r="B12" s="46" t="n"/>
      <c r="C12" s="49" t="n"/>
      <c r="D12" s="49" t="n"/>
      <c r="E12" s="49" t="n"/>
      <c r="F12" s="49" t="n"/>
      <c r="G12" s="47" t="n"/>
      <c r="H12" s="50" t="n"/>
      <c r="I12" s="51" t="n"/>
      <c r="J12" s="46" t="n"/>
      <c r="K12" s="46" t="n"/>
      <c r="L12" s="23">
        <f>IF(OR($A12="",$B12=""),"",IF($K12&lt;&gt;"",$K12-$B12,TODAY()-$B12))</f>
        <v/>
      </c>
      <c r="M12" s="27">
        <f>IF(OR($A12="",$J12=""),"",IF($K12="",IF(TODAY()&gt;$J12,"Atrasado","En ruta"),IF($K12&lt;=$J12,"Sí","No")))</f>
        <v/>
      </c>
      <c r="N12" s="23">
        <f>IF($A12="","",COUNTIFS(NOVEDADES!$C$4:$C$1503,$A12))</f>
        <v/>
      </c>
      <c r="O12" s="27">
        <f>IF($A12="","",IF(COUNTIFS(NOVEDADES!$C$4:$C$1503,$A12,NOVEDADES!$M$4:$M$1503,"SÍ")&gt;0,"No","Sí"))</f>
        <v/>
      </c>
      <c r="P12" s="27">
        <f>IF(OR($A12="",$K12=""),"",IF(AND($M12="Sí",$O12="Sí"),"OTIF","Falló"))</f>
        <v/>
      </c>
    </row>
    <row r="13" ht="16" customHeight="1">
      <c r="A13" s="47" t="n"/>
      <c r="B13" s="46" t="n"/>
      <c r="C13" s="49" t="n"/>
      <c r="D13" s="49" t="n"/>
      <c r="E13" s="49" t="n"/>
      <c r="F13" s="49" t="n"/>
      <c r="G13" s="47" t="n"/>
      <c r="H13" s="50" t="n"/>
      <c r="I13" s="51" t="n"/>
      <c r="J13" s="46" t="n"/>
      <c r="K13" s="46" t="n"/>
      <c r="L13" s="23">
        <f>IF(OR($A13="",$B13=""),"",IF($K13&lt;&gt;"",$K13-$B13,TODAY()-$B13))</f>
        <v/>
      </c>
      <c r="M13" s="27">
        <f>IF(OR($A13="",$J13=""),"",IF($K13="",IF(TODAY()&gt;$J13,"Atrasado","En ruta"),IF($K13&lt;=$J13,"Sí","No")))</f>
        <v/>
      </c>
      <c r="N13" s="23">
        <f>IF($A13="","",COUNTIFS(NOVEDADES!$C$4:$C$1503,$A13))</f>
        <v/>
      </c>
      <c r="O13" s="27">
        <f>IF($A13="","",IF(COUNTIFS(NOVEDADES!$C$4:$C$1503,$A13,NOVEDADES!$M$4:$M$1503,"SÍ")&gt;0,"No","Sí"))</f>
        <v/>
      </c>
      <c r="P13" s="27">
        <f>IF(OR($A13="",$K13=""),"",IF(AND($M13="Sí",$O13="Sí"),"OTIF","Falló"))</f>
        <v/>
      </c>
    </row>
    <row r="14" ht="16" customHeight="1">
      <c r="A14" s="47" t="n"/>
      <c r="B14" s="46" t="n"/>
      <c r="C14" s="49" t="n"/>
      <c r="D14" s="49" t="n"/>
      <c r="E14" s="49" t="n"/>
      <c r="F14" s="49" t="n"/>
      <c r="G14" s="47" t="n"/>
      <c r="H14" s="50" t="n"/>
      <c r="I14" s="51" t="n"/>
      <c r="J14" s="46" t="n"/>
      <c r="K14" s="46" t="n"/>
      <c r="L14" s="23">
        <f>IF(OR($A14="",$B14=""),"",IF($K14&lt;&gt;"",$K14-$B14,TODAY()-$B14))</f>
        <v/>
      </c>
      <c r="M14" s="27">
        <f>IF(OR($A14="",$J14=""),"",IF($K14="",IF(TODAY()&gt;$J14,"Atrasado","En ruta"),IF($K14&lt;=$J14,"Sí","No")))</f>
        <v/>
      </c>
      <c r="N14" s="23">
        <f>IF($A14="","",COUNTIFS(NOVEDADES!$C$4:$C$1503,$A14))</f>
        <v/>
      </c>
      <c r="O14" s="27">
        <f>IF($A14="","",IF(COUNTIFS(NOVEDADES!$C$4:$C$1503,$A14,NOVEDADES!$M$4:$M$1503,"SÍ")&gt;0,"No","Sí"))</f>
        <v/>
      </c>
      <c r="P14" s="27">
        <f>IF(OR($A14="",$K14=""),"",IF(AND($M14="Sí",$O14="Sí"),"OTIF","Falló"))</f>
        <v/>
      </c>
    </row>
    <row r="15" ht="16" customHeight="1">
      <c r="A15" s="47" t="n"/>
      <c r="B15" s="46" t="n"/>
      <c r="C15" s="49" t="n"/>
      <c r="D15" s="49" t="n"/>
      <c r="E15" s="49" t="n"/>
      <c r="F15" s="49" t="n"/>
      <c r="G15" s="47" t="n"/>
      <c r="H15" s="50" t="n"/>
      <c r="I15" s="51" t="n"/>
      <c r="J15" s="46" t="n"/>
      <c r="K15" s="46" t="n"/>
      <c r="L15" s="23">
        <f>IF(OR($A15="",$B15=""),"",IF($K15&lt;&gt;"",$K15-$B15,TODAY()-$B15))</f>
        <v/>
      </c>
      <c r="M15" s="27">
        <f>IF(OR($A15="",$J15=""),"",IF($K15="",IF(TODAY()&gt;$J15,"Atrasado","En ruta"),IF($K15&lt;=$J15,"Sí","No")))</f>
        <v/>
      </c>
      <c r="N15" s="23">
        <f>IF($A15="","",COUNTIFS(NOVEDADES!$C$4:$C$1503,$A15))</f>
        <v/>
      </c>
      <c r="O15" s="27">
        <f>IF($A15="","",IF(COUNTIFS(NOVEDADES!$C$4:$C$1503,$A15,NOVEDADES!$M$4:$M$1503,"SÍ")&gt;0,"No","Sí"))</f>
        <v/>
      </c>
      <c r="P15" s="27">
        <f>IF(OR($A15="",$K15=""),"",IF(AND($M15="Sí",$O15="Sí"),"OTIF","Falló"))</f>
        <v/>
      </c>
    </row>
    <row r="16" ht="16" customHeight="1">
      <c r="A16" s="47" t="n"/>
      <c r="B16" s="46" t="n"/>
      <c r="C16" s="49" t="n"/>
      <c r="D16" s="49" t="n"/>
      <c r="E16" s="49" t="n"/>
      <c r="F16" s="49" t="n"/>
      <c r="G16" s="47" t="n"/>
      <c r="H16" s="50" t="n"/>
      <c r="I16" s="51" t="n"/>
      <c r="J16" s="46" t="n"/>
      <c r="K16" s="46" t="n"/>
      <c r="L16" s="23">
        <f>IF(OR($A16="",$B16=""),"",IF($K16&lt;&gt;"",$K16-$B16,TODAY()-$B16))</f>
        <v/>
      </c>
      <c r="M16" s="27">
        <f>IF(OR($A16="",$J16=""),"",IF($K16="",IF(TODAY()&gt;$J16,"Atrasado","En ruta"),IF($K16&lt;=$J16,"Sí","No")))</f>
        <v/>
      </c>
      <c r="N16" s="23">
        <f>IF($A16="","",COUNTIFS(NOVEDADES!$C$4:$C$1503,$A16))</f>
        <v/>
      </c>
      <c r="O16" s="27">
        <f>IF($A16="","",IF(COUNTIFS(NOVEDADES!$C$4:$C$1503,$A16,NOVEDADES!$M$4:$M$1503,"SÍ")&gt;0,"No","Sí"))</f>
        <v/>
      </c>
      <c r="P16" s="27">
        <f>IF(OR($A16="",$K16=""),"",IF(AND($M16="Sí",$O16="Sí"),"OTIF","Falló"))</f>
        <v/>
      </c>
    </row>
    <row r="17" ht="16" customHeight="1">
      <c r="A17" s="47" t="n"/>
      <c r="B17" s="46" t="n"/>
      <c r="C17" s="49" t="n"/>
      <c r="D17" s="49" t="n"/>
      <c r="E17" s="49" t="n"/>
      <c r="F17" s="49" t="n"/>
      <c r="G17" s="47" t="n"/>
      <c r="H17" s="50" t="n"/>
      <c r="I17" s="51" t="n"/>
      <c r="J17" s="46" t="n"/>
      <c r="K17" s="46" t="n"/>
      <c r="L17" s="23">
        <f>IF(OR($A17="",$B17=""),"",IF($K17&lt;&gt;"",$K17-$B17,TODAY()-$B17))</f>
        <v/>
      </c>
      <c r="M17" s="27">
        <f>IF(OR($A17="",$J17=""),"",IF($K17="",IF(TODAY()&gt;$J17,"Atrasado","En ruta"),IF($K17&lt;=$J17,"Sí","No")))</f>
        <v/>
      </c>
      <c r="N17" s="23">
        <f>IF($A17="","",COUNTIFS(NOVEDADES!$C$4:$C$1503,$A17))</f>
        <v/>
      </c>
      <c r="O17" s="27">
        <f>IF($A17="","",IF(COUNTIFS(NOVEDADES!$C$4:$C$1503,$A17,NOVEDADES!$M$4:$M$1503,"SÍ")&gt;0,"No","Sí"))</f>
        <v/>
      </c>
      <c r="P17" s="27">
        <f>IF(OR($A17="",$K17=""),"",IF(AND($M17="Sí",$O17="Sí"),"OTIF","Falló"))</f>
        <v/>
      </c>
    </row>
    <row r="18" ht="16" customHeight="1">
      <c r="A18" s="47" t="n"/>
      <c r="B18" s="46" t="n"/>
      <c r="C18" s="49" t="n"/>
      <c r="D18" s="49" t="n"/>
      <c r="E18" s="49" t="n"/>
      <c r="F18" s="49" t="n"/>
      <c r="G18" s="47" t="n"/>
      <c r="H18" s="50" t="n"/>
      <c r="I18" s="51" t="n"/>
      <c r="J18" s="46" t="n"/>
      <c r="K18" s="46" t="n"/>
      <c r="L18" s="23">
        <f>IF(OR($A18="",$B18=""),"",IF($K18&lt;&gt;"",$K18-$B18,TODAY()-$B18))</f>
        <v/>
      </c>
      <c r="M18" s="27">
        <f>IF(OR($A18="",$J18=""),"",IF($K18="",IF(TODAY()&gt;$J18,"Atrasado","En ruta"),IF($K18&lt;=$J18,"Sí","No")))</f>
        <v/>
      </c>
      <c r="N18" s="23">
        <f>IF($A18="","",COUNTIFS(NOVEDADES!$C$4:$C$1503,$A18))</f>
        <v/>
      </c>
      <c r="O18" s="27">
        <f>IF($A18="","",IF(COUNTIFS(NOVEDADES!$C$4:$C$1503,$A18,NOVEDADES!$M$4:$M$1503,"SÍ")&gt;0,"No","Sí"))</f>
        <v/>
      </c>
      <c r="P18" s="27">
        <f>IF(OR($A18="",$K18=""),"",IF(AND($M18="Sí",$O18="Sí"),"OTIF","Falló"))</f>
        <v/>
      </c>
    </row>
    <row r="19" ht="16" customHeight="1">
      <c r="A19" s="47" t="n"/>
      <c r="B19" s="46" t="n"/>
      <c r="C19" s="49" t="n"/>
      <c r="D19" s="49" t="n"/>
      <c r="E19" s="49" t="n"/>
      <c r="F19" s="49" t="n"/>
      <c r="G19" s="47" t="n"/>
      <c r="H19" s="50" t="n"/>
      <c r="I19" s="51" t="n"/>
      <c r="J19" s="46" t="n"/>
      <c r="K19" s="46" t="n"/>
      <c r="L19" s="23">
        <f>IF(OR($A19="",$B19=""),"",IF($K19&lt;&gt;"",$K19-$B19,TODAY()-$B19))</f>
        <v/>
      </c>
      <c r="M19" s="27">
        <f>IF(OR($A19="",$J19=""),"",IF($K19="",IF(TODAY()&gt;$J19,"Atrasado","En ruta"),IF($K19&lt;=$J19,"Sí","No")))</f>
        <v/>
      </c>
      <c r="N19" s="23">
        <f>IF($A19="","",COUNTIFS(NOVEDADES!$C$4:$C$1503,$A19))</f>
        <v/>
      </c>
      <c r="O19" s="27">
        <f>IF($A19="","",IF(COUNTIFS(NOVEDADES!$C$4:$C$1503,$A19,NOVEDADES!$M$4:$M$1503,"SÍ")&gt;0,"No","Sí"))</f>
        <v/>
      </c>
      <c r="P19" s="27">
        <f>IF(OR($A19="",$K19=""),"",IF(AND($M19="Sí",$O19="Sí"),"OTIF","Falló"))</f>
        <v/>
      </c>
    </row>
    <row r="20" ht="16" customHeight="1">
      <c r="A20" s="47" t="n"/>
      <c r="B20" s="46" t="n"/>
      <c r="C20" s="49" t="n"/>
      <c r="D20" s="49" t="n"/>
      <c r="E20" s="49" t="n"/>
      <c r="F20" s="49" t="n"/>
      <c r="G20" s="47" t="n"/>
      <c r="H20" s="50" t="n"/>
      <c r="I20" s="51" t="n"/>
      <c r="J20" s="46" t="n"/>
      <c r="K20" s="46" t="n"/>
      <c r="L20" s="23">
        <f>IF(OR($A20="",$B20=""),"",IF($K20&lt;&gt;"",$K20-$B20,TODAY()-$B20))</f>
        <v/>
      </c>
      <c r="M20" s="27">
        <f>IF(OR($A20="",$J20=""),"",IF($K20="",IF(TODAY()&gt;$J20,"Atrasado","En ruta"),IF($K20&lt;=$J20,"Sí","No")))</f>
        <v/>
      </c>
      <c r="N20" s="23">
        <f>IF($A20="","",COUNTIFS(NOVEDADES!$C$4:$C$1503,$A20))</f>
        <v/>
      </c>
      <c r="O20" s="27">
        <f>IF($A20="","",IF(COUNTIFS(NOVEDADES!$C$4:$C$1503,$A20,NOVEDADES!$M$4:$M$1503,"SÍ")&gt;0,"No","Sí"))</f>
        <v/>
      </c>
      <c r="P20" s="27">
        <f>IF(OR($A20="",$K20=""),"",IF(AND($M20="Sí",$O20="Sí"),"OTIF","Falló"))</f>
        <v/>
      </c>
    </row>
    <row r="21" ht="16" customHeight="1">
      <c r="A21" s="47" t="n"/>
      <c r="B21" s="46" t="n"/>
      <c r="C21" s="49" t="n"/>
      <c r="D21" s="49" t="n"/>
      <c r="E21" s="49" t="n"/>
      <c r="F21" s="49" t="n"/>
      <c r="G21" s="47" t="n"/>
      <c r="H21" s="50" t="n"/>
      <c r="I21" s="51" t="n"/>
      <c r="J21" s="46" t="n"/>
      <c r="K21" s="46" t="n"/>
      <c r="L21" s="23">
        <f>IF(OR($A21="",$B21=""),"",IF($K21&lt;&gt;"",$K21-$B21,TODAY()-$B21))</f>
        <v/>
      </c>
      <c r="M21" s="27">
        <f>IF(OR($A21="",$J21=""),"",IF($K21="",IF(TODAY()&gt;$J21,"Atrasado","En ruta"),IF($K21&lt;=$J21,"Sí","No")))</f>
        <v/>
      </c>
      <c r="N21" s="23">
        <f>IF($A21="","",COUNTIFS(NOVEDADES!$C$4:$C$1503,$A21))</f>
        <v/>
      </c>
      <c r="O21" s="27">
        <f>IF($A21="","",IF(COUNTIFS(NOVEDADES!$C$4:$C$1503,$A21,NOVEDADES!$M$4:$M$1503,"SÍ")&gt;0,"No","Sí"))</f>
        <v/>
      </c>
      <c r="P21" s="27">
        <f>IF(OR($A21="",$K21=""),"",IF(AND($M21="Sí",$O21="Sí"),"OTIF","Falló"))</f>
        <v/>
      </c>
    </row>
    <row r="22" ht="16" customHeight="1">
      <c r="A22" s="47" t="n"/>
      <c r="B22" s="46" t="n"/>
      <c r="C22" s="49" t="n"/>
      <c r="D22" s="49" t="n"/>
      <c r="E22" s="49" t="n"/>
      <c r="F22" s="49" t="n"/>
      <c r="G22" s="47" t="n"/>
      <c r="H22" s="50" t="n"/>
      <c r="I22" s="51" t="n"/>
      <c r="J22" s="46" t="n"/>
      <c r="K22" s="46" t="n"/>
      <c r="L22" s="23">
        <f>IF(OR($A22="",$B22=""),"",IF($K22&lt;&gt;"",$K22-$B22,TODAY()-$B22))</f>
        <v/>
      </c>
      <c r="M22" s="27">
        <f>IF(OR($A22="",$J22=""),"",IF($K22="",IF(TODAY()&gt;$J22,"Atrasado","En ruta"),IF($K22&lt;=$J22,"Sí","No")))</f>
        <v/>
      </c>
      <c r="N22" s="23">
        <f>IF($A22="","",COUNTIFS(NOVEDADES!$C$4:$C$1503,$A22))</f>
        <v/>
      </c>
      <c r="O22" s="27">
        <f>IF($A22="","",IF(COUNTIFS(NOVEDADES!$C$4:$C$1503,$A22,NOVEDADES!$M$4:$M$1503,"SÍ")&gt;0,"No","Sí"))</f>
        <v/>
      </c>
      <c r="P22" s="27">
        <f>IF(OR($A22="",$K22=""),"",IF(AND($M22="Sí",$O22="Sí"),"OTIF","Falló"))</f>
        <v/>
      </c>
    </row>
    <row r="23" ht="16" customHeight="1">
      <c r="A23" s="47" t="n"/>
      <c r="B23" s="46" t="n"/>
      <c r="C23" s="49" t="n"/>
      <c r="D23" s="49" t="n"/>
      <c r="E23" s="49" t="n"/>
      <c r="F23" s="49" t="n"/>
      <c r="G23" s="47" t="n"/>
      <c r="H23" s="50" t="n"/>
      <c r="I23" s="51" t="n"/>
      <c r="J23" s="46" t="n"/>
      <c r="K23" s="46" t="n"/>
      <c r="L23" s="23">
        <f>IF(OR($A23="",$B23=""),"",IF($K23&lt;&gt;"",$K23-$B23,TODAY()-$B23))</f>
        <v/>
      </c>
      <c r="M23" s="27">
        <f>IF(OR($A23="",$J23=""),"",IF($K23="",IF(TODAY()&gt;$J23,"Atrasado","En ruta"),IF($K23&lt;=$J23,"Sí","No")))</f>
        <v/>
      </c>
      <c r="N23" s="23">
        <f>IF($A23="","",COUNTIFS(NOVEDADES!$C$4:$C$1503,$A23))</f>
        <v/>
      </c>
      <c r="O23" s="27">
        <f>IF($A23="","",IF(COUNTIFS(NOVEDADES!$C$4:$C$1503,$A23,NOVEDADES!$M$4:$M$1503,"SÍ")&gt;0,"No","Sí"))</f>
        <v/>
      </c>
      <c r="P23" s="27">
        <f>IF(OR($A23="",$K23=""),"",IF(AND($M23="Sí",$O23="Sí"),"OTIF","Falló"))</f>
        <v/>
      </c>
    </row>
    <row r="24" ht="16" customHeight="1">
      <c r="A24" s="47" t="n"/>
      <c r="B24" s="46" t="n"/>
      <c r="C24" s="49" t="n"/>
      <c r="D24" s="49" t="n"/>
      <c r="E24" s="49" t="n"/>
      <c r="F24" s="49" t="n"/>
      <c r="G24" s="47" t="n"/>
      <c r="H24" s="50" t="n"/>
      <c r="I24" s="51" t="n"/>
      <c r="J24" s="46" t="n"/>
      <c r="K24" s="46" t="n"/>
      <c r="L24" s="23">
        <f>IF(OR($A24="",$B24=""),"",IF($K24&lt;&gt;"",$K24-$B24,TODAY()-$B24))</f>
        <v/>
      </c>
      <c r="M24" s="27">
        <f>IF(OR($A24="",$J24=""),"",IF($K24="",IF(TODAY()&gt;$J24,"Atrasado","En ruta"),IF($K24&lt;=$J24,"Sí","No")))</f>
        <v/>
      </c>
      <c r="N24" s="23">
        <f>IF($A24="","",COUNTIFS(NOVEDADES!$C$4:$C$1503,$A24))</f>
        <v/>
      </c>
      <c r="O24" s="27">
        <f>IF($A24="","",IF(COUNTIFS(NOVEDADES!$C$4:$C$1503,$A24,NOVEDADES!$M$4:$M$1503,"SÍ")&gt;0,"No","Sí"))</f>
        <v/>
      </c>
      <c r="P24" s="27">
        <f>IF(OR($A24="",$K24=""),"",IF(AND($M24="Sí",$O24="Sí"),"OTIF","Falló"))</f>
        <v/>
      </c>
    </row>
    <row r="25" ht="16" customHeight="1">
      <c r="A25" s="47" t="n"/>
      <c r="B25" s="46" t="n"/>
      <c r="C25" s="49" t="n"/>
      <c r="D25" s="49" t="n"/>
      <c r="E25" s="49" t="n"/>
      <c r="F25" s="49" t="n"/>
      <c r="G25" s="47" t="n"/>
      <c r="H25" s="50" t="n"/>
      <c r="I25" s="51" t="n"/>
      <c r="J25" s="46" t="n"/>
      <c r="K25" s="46" t="n"/>
      <c r="L25" s="23">
        <f>IF(OR($A25="",$B25=""),"",IF($K25&lt;&gt;"",$K25-$B25,TODAY()-$B25))</f>
        <v/>
      </c>
      <c r="M25" s="27">
        <f>IF(OR($A25="",$J25=""),"",IF($K25="",IF(TODAY()&gt;$J25,"Atrasado","En ruta"),IF($K25&lt;=$J25,"Sí","No")))</f>
        <v/>
      </c>
      <c r="N25" s="23">
        <f>IF($A25="","",COUNTIFS(NOVEDADES!$C$4:$C$1503,$A25))</f>
        <v/>
      </c>
      <c r="O25" s="27">
        <f>IF($A25="","",IF(COUNTIFS(NOVEDADES!$C$4:$C$1503,$A25,NOVEDADES!$M$4:$M$1503,"SÍ")&gt;0,"No","Sí"))</f>
        <v/>
      </c>
      <c r="P25" s="27">
        <f>IF(OR($A25="",$K25=""),"",IF(AND($M25="Sí",$O25="Sí"),"OTIF","Falló"))</f>
        <v/>
      </c>
    </row>
    <row r="26" ht="16" customHeight="1">
      <c r="A26" s="47" t="n"/>
      <c r="B26" s="46" t="n"/>
      <c r="C26" s="49" t="n"/>
      <c r="D26" s="49" t="n"/>
      <c r="E26" s="49" t="n"/>
      <c r="F26" s="49" t="n"/>
      <c r="G26" s="47" t="n"/>
      <c r="H26" s="50" t="n"/>
      <c r="I26" s="51" t="n"/>
      <c r="J26" s="46" t="n"/>
      <c r="K26" s="46" t="n"/>
      <c r="L26" s="23">
        <f>IF(OR($A26="",$B26=""),"",IF($K26&lt;&gt;"",$K26-$B26,TODAY()-$B26))</f>
        <v/>
      </c>
      <c r="M26" s="27">
        <f>IF(OR($A26="",$J26=""),"",IF($K26="",IF(TODAY()&gt;$J26,"Atrasado","En ruta"),IF($K26&lt;=$J26,"Sí","No")))</f>
        <v/>
      </c>
      <c r="N26" s="23">
        <f>IF($A26="","",COUNTIFS(NOVEDADES!$C$4:$C$1503,$A26))</f>
        <v/>
      </c>
      <c r="O26" s="27">
        <f>IF($A26="","",IF(COUNTIFS(NOVEDADES!$C$4:$C$1503,$A26,NOVEDADES!$M$4:$M$1503,"SÍ")&gt;0,"No","Sí"))</f>
        <v/>
      </c>
      <c r="P26" s="27">
        <f>IF(OR($A26="",$K26=""),"",IF(AND($M26="Sí",$O26="Sí"),"OTIF","Falló"))</f>
        <v/>
      </c>
    </row>
    <row r="27" ht="16" customHeight="1">
      <c r="A27" s="47" t="n"/>
      <c r="B27" s="46" t="n"/>
      <c r="C27" s="49" t="n"/>
      <c r="D27" s="49" t="n"/>
      <c r="E27" s="49" t="n"/>
      <c r="F27" s="49" t="n"/>
      <c r="G27" s="47" t="n"/>
      <c r="H27" s="50" t="n"/>
      <c r="I27" s="51" t="n"/>
      <c r="J27" s="46" t="n"/>
      <c r="K27" s="46" t="n"/>
      <c r="L27" s="23">
        <f>IF(OR($A27="",$B27=""),"",IF($K27&lt;&gt;"",$K27-$B27,TODAY()-$B27))</f>
        <v/>
      </c>
      <c r="M27" s="27">
        <f>IF(OR($A27="",$J27=""),"",IF($K27="",IF(TODAY()&gt;$J27,"Atrasado","En ruta"),IF($K27&lt;=$J27,"Sí","No")))</f>
        <v/>
      </c>
      <c r="N27" s="23">
        <f>IF($A27="","",COUNTIFS(NOVEDADES!$C$4:$C$1503,$A27))</f>
        <v/>
      </c>
      <c r="O27" s="27">
        <f>IF($A27="","",IF(COUNTIFS(NOVEDADES!$C$4:$C$1503,$A27,NOVEDADES!$M$4:$M$1503,"SÍ")&gt;0,"No","Sí"))</f>
        <v/>
      </c>
      <c r="P27" s="27">
        <f>IF(OR($A27="",$K27=""),"",IF(AND($M27="Sí",$O27="Sí"),"OTIF","Falló"))</f>
        <v/>
      </c>
    </row>
    <row r="28" ht="16" customHeight="1">
      <c r="A28" s="47" t="n"/>
      <c r="B28" s="46" t="n"/>
      <c r="C28" s="49" t="n"/>
      <c r="D28" s="49" t="n"/>
      <c r="E28" s="49" t="n"/>
      <c r="F28" s="49" t="n"/>
      <c r="G28" s="47" t="n"/>
      <c r="H28" s="50" t="n"/>
      <c r="I28" s="51" t="n"/>
      <c r="J28" s="46" t="n"/>
      <c r="K28" s="46" t="n"/>
      <c r="L28" s="23">
        <f>IF(OR($A28="",$B28=""),"",IF($K28&lt;&gt;"",$K28-$B28,TODAY()-$B28))</f>
        <v/>
      </c>
      <c r="M28" s="27">
        <f>IF(OR($A28="",$J28=""),"",IF($K28="",IF(TODAY()&gt;$J28,"Atrasado","En ruta"),IF($K28&lt;=$J28,"Sí","No")))</f>
        <v/>
      </c>
      <c r="N28" s="23">
        <f>IF($A28="","",COUNTIFS(NOVEDADES!$C$4:$C$1503,$A28))</f>
        <v/>
      </c>
      <c r="O28" s="27">
        <f>IF($A28="","",IF(COUNTIFS(NOVEDADES!$C$4:$C$1503,$A28,NOVEDADES!$M$4:$M$1503,"SÍ")&gt;0,"No","Sí"))</f>
        <v/>
      </c>
      <c r="P28" s="27">
        <f>IF(OR($A28="",$K28=""),"",IF(AND($M28="Sí",$O28="Sí"),"OTIF","Falló"))</f>
        <v/>
      </c>
    </row>
    <row r="29" ht="16" customHeight="1">
      <c r="A29" s="47" t="n"/>
      <c r="B29" s="46" t="n"/>
      <c r="C29" s="49" t="n"/>
      <c r="D29" s="49" t="n"/>
      <c r="E29" s="49" t="n"/>
      <c r="F29" s="49" t="n"/>
      <c r="G29" s="47" t="n"/>
      <c r="H29" s="50" t="n"/>
      <c r="I29" s="51" t="n"/>
      <c r="J29" s="46" t="n"/>
      <c r="K29" s="46" t="n"/>
      <c r="L29" s="23">
        <f>IF(OR($A29="",$B29=""),"",IF($K29&lt;&gt;"",$K29-$B29,TODAY()-$B29))</f>
        <v/>
      </c>
      <c r="M29" s="27">
        <f>IF(OR($A29="",$J29=""),"",IF($K29="",IF(TODAY()&gt;$J29,"Atrasado","En ruta"),IF($K29&lt;=$J29,"Sí","No")))</f>
        <v/>
      </c>
      <c r="N29" s="23">
        <f>IF($A29="","",COUNTIFS(NOVEDADES!$C$4:$C$1503,$A29))</f>
        <v/>
      </c>
      <c r="O29" s="27">
        <f>IF($A29="","",IF(COUNTIFS(NOVEDADES!$C$4:$C$1503,$A29,NOVEDADES!$M$4:$M$1503,"SÍ")&gt;0,"No","Sí"))</f>
        <v/>
      </c>
      <c r="P29" s="27">
        <f>IF(OR($A29="",$K29=""),"",IF(AND($M29="Sí",$O29="Sí"),"OTIF","Falló"))</f>
        <v/>
      </c>
    </row>
    <row r="30" ht="16" customHeight="1">
      <c r="A30" s="47" t="n"/>
      <c r="B30" s="46" t="n"/>
      <c r="C30" s="49" t="n"/>
      <c r="D30" s="49" t="n"/>
      <c r="E30" s="49" t="n"/>
      <c r="F30" s="49" t="n"/>
      <c r="G30" s="47" t="n"/>
      <c r="H30" s="50" t="n"/>
      <c r="I30" s="51" t="n"/>
      <c r="J30" s="46" t="n"/>
      <c r="K30" s="46" t="n"/>
      <c r="L30" s="23">
        <f>IF(OR($A30="",$B30=""),"",IF($K30&lt;&gt;"",$K30-$B30,TODAY()-$B30))</f>
        <v/>
      </c>
      <c r="M30" s="27">
        <f>IF(OR($A30="",$J30=""),"",IF($K30="",IF(TODAY()&gt;$J30,"Atrasado","En ruta"),IF($K30&lt;=$J30,"Sí","No")))</f>
        <v/>
      </c>
      <c r="N30" s="23">
        <f>IF($A30="","",COUNTIFS(NOVEDADES!$C$4:$C$1503,$A30))</f>
        <v/>
      </c>
      <c r="O30" s="27">
        <f>IF($A30="","",IF(COUNTIFS(NOVEDADES!$C$4:$C$1503,$A30,NOVEDADES!$M$4:$M$1503,"SÍ")&gt;0,"No","Sí"))</f>
        <v/>
      </c>
      <c r="P30" s="27">
        <f>IF(OR($A30="",$K30=""),"",IF(AND($M30="Sí",$O30="Sí"),"OTIF","Falló"))</f>
        <v/>
      </c>
    </row>
    <row r="31" ht="16" customHeight="1">
      <c r="A31" s="47" t="n"/>
      <c r="B31" s="46" t="n"/>
      <c r="C31" s="49" t="n"/>
      <c r="D31" s="49" t="n"/>
      <c r="E31" s="49" t="n"/>
      <c r="F31" s="49" t="n"/>
      <c r="G31" s="47" t="n"/>
      <c r="H31" s="50" t="n"/>
      <c r="I31" s="51" t="n"/>
      <c r="J31" s="46" t="n"/>
      <c r="K31" s="46" t="n"/>
      <c r="L31" s="23">
        <f>IF(OR($A31="",$B31=""),"",IF($K31&lt;&gt;"",$K31-$B31,TODAY()-$B31))</f>
        <v/>
      </c>
      <c r="M31" s="27">
        <f>IF(OR($A31="",$J31=""),"",IF($K31="",IF(TODAY()&gt;$J31,"Atrasado","En ruta"),IF($K31&lt;=$J31,"Sí","No")))</f>
        <v/>
      </c>
      <c r="N31" s="23">
        <f>IF($A31="","",COUNTIFS(NOVEDADES!$C$4:$C$1503,$A31))</f>
        <v/>
      </c>
      <c r="O31" s="27">
        <f>IF($A31="","",IF(COUNTIFS(NOVEDADES!$C$4:$C$1503,$A31,NOVEDADES!$M$4:$M$1503,"SÍ")&gt;0,"No","Sí"))</f>
        <v/>
      </c>
      <c r="P31" s="27">
        <f>IF(OR($A31="",$K31=""),"",IF(AND($M31="Sí",$O31="Sí"),"OTIF","Falló"))</f>
        <v/>
      </c>
    </row>
    <row r="32" ht="16" customHeight="1">
      <c r="A32" s="47" t="n"/>
      <c r="B32" s="46" t="n"/>
      <c r="C32" s="49" t="n"/>
      <c r="D32" s="49" t="n"/>
      <c r="E32" s="49" t="n"/>
      <c r="F32" s="49" t="n"/>
      <c r="G32" s="47" t="n"/>
      <c r="H32" s="50" t="n"/>
      <c r="I32" s="51" t="n"/>
      <c r="J32" s="46" t="n"/>
      <c r="K32" s="46" t="n"/>
      <c r="L32" s="23">
        <f>IF(OR($A32="",$B32=""),"",IF($K32&lt;&gt;"",$K32-$B32,TODAY()-$B32))</f>
        <v/>
      </c>
      <c r="M32" s="27">
        <f>IF(OR($A32="",$J32=""),"",IF($K32="",IF(TODAY()&gt;$J32,"Atrasado","En ruta"),IF($K32&lt;=$J32,"Sí","No")))</f>
        <v/>
      </c>
      <c r="N32" s="23">
        <f>IF($A32="","",COUNTIFS(NOVEDADES!$C$4:$C$1503,$A32))</f>
        <v/>
      </c>
      <c r="O32" s="27">
        <f>IF($A32="","",IF(COUNTIFS(NOVEDADES!$C$4:$C$1503,$A32,NOVEDADES!$M$4:$M$1503,"SÍ")&gt;0,"No","Sí"))</f>
        <v/>
      </c>
      <c r="P32" s="27">
        <f>IF(OR($A32="",$K32=""),"",IF(AND($M32="Sí",$O32="Sí"),"OTIF","Falló"))</f>
        <v/>
      </c>
    </row>
    <row r="33" ht="16" customHeight="1">
      <c r="A33" s="47" t="n"/>
      <c r="B33" s="46" t="n"/>
      <c r="C33" s="49" t="n"/>
      <c r="D33" s="49" t="n"/>
      <c r="E33" s="49" t="n"/>
      <c r="F33" s="49" t="n"/>
      <c r="G33" s="47" t="n"/>
      <c r="H33" s="50" t="n"/>
      <c r="I33" s="51" t="n"/>
      <c r="J33" s="46" t="n"/>
      <c r="K33" s="46" t="n"/>
      <c r="L33" s="23">
        <f>IF(OR($A33="",$B33=""),"",IF($K33&lt;&gt;"",$K33-$B33,TODAY()-$B33))</f>
        <v/>
      </c>
      <c r="M33" s="27">
        <f>IF(OR($A33="",$J33=""),"",IF($K33="",IF(TODAY()&gt;$J33,"Atrasado","En ruta"),IF($K33&lt;=$J33,"Sí","No")))</f>
        <v/>
      </c>
      <c r="N33" s="23">
        <f>IF($A33="","",COUNTIFS(NOVEDADES!$C$4:$C$1503,$A33))</f>
        <v/>
      </c>
      <c r="O33" s="27">
        <f>IF($A33="","",IF(COUNTIFS(NOVEDADES!$C$4:$C$1503,$A33,NOVEDADES!$M$4:$M$1503,"SÍ")&gt;0,"No","Sí"))</f>
        <v/>
      </c>
      <c r="P33" s="27">
        <f>IF(OR($A33="",$K33=""),"",IF(AND($M33="Sí",$O33="Sí"),"OTIF","Falló"))</f>
        <v/>
      </c>
    </row>
    <row r="34" ht="16" customHeight="1">
      <c r="A34" s="47" t="n"/>
      <c r="B34" s="46" t="n"/>
      <c r="C34" s="49" t="n"/>
      <c r="D34" s="49" t="n"/>
      <c r="E34" s="49" t="n"/>
      <c r="F34" s="49" t="n"/>
      <c r="G34" s="47" t="n"/>
      <c r="H34" s="50" t="n"/>
      <c r="I34" s="51" t="n"/>
      <c r="J34" s="46" t="n"/>
      <c r="K34" s="46" t="n"/>
      <c r="L34" s="23">
        <f>IF(OR($A34="",$B34=""),"",IF($K34&lt;&gt;"",$K34-$B34,TODAY()-$B34))</f>
        <v/>
      </c>
      <c r="M34" s="27">
        <f>IF(OR($A34="",$J34=""),"",IF($K34="",IF(TODAY()&gt;$J34,"Atrasado","En ruta"),IF($K34&lt;=$J34,"Sí","No")))</f>
        <v/>
      </c>
      <c r="N34" s="23">
        <f>IF($A34="","",COUNTIFS(NOVEDADES!$C$4:$C$1503,$A34))</f>
        <v/>
      </c>
      <c r="O34" s="27">
        <f>IF($A34="","",IF(COUNTIFS(NOVEDADES!$C$4:$C$1503,$A34,NOVEDADES!$M$4:$M$1503,"SÍ")&gt;0,"No","Sí"))</f>
        <v/>
      </c>
      <c r="P34" s="27">
        <f>IF(OR($A34="",$K34=""),"",IF(AND($M34="Sí",$O34="Sí"),"OTIF","Falló"))</f>
        <v/>
      </c>
    </row>
    <row r="35" ht="16" customHeight="1">
      <c r="A35" s="47" t="n"/>
      <c r="B35" s="46" t="n"/>
      <c r="C35" s="49" t="n"/>
      <c r="D35" s="49" t="n"/>
      <c r="E35" s="49" t="n"/>
      <c r="F35" s="49" t="n"/>
      <c r="G35" s="47" t="n"/>
      <c r="H35" s="50" t="n"/>
      <c r="I35" s="51" t="n"/>
      <c r="J35" s="46" t="n"/>
      <c r="K35" s="46" t="n"/>
      <c r="L35" s="23">
        <f>IF(OR($A35="",$B35=""),"",IF($K35&lt;&gt;"",$K35-$B35,TODAY()-$B35))</f>
        <v/>
      </c>
      <c r="M35" s="27">
        <f>IF(OR($A35="",$J35=""),"",IF($K35="",IF(TODAY()&gt;$J35,"Atrasado","En ruta"),IF($K35&lt;=$J35,"Sí","No")))</f>
        <v/>
      </c>
      <c r="N35" s="23">
        <f>IF($A35="","",COUNTIFS(NOVEDADES!$C$4:$C$1503,$A35))</f>
        <v/>
      </c>
      <c r="O35" s="27">
        <f>IF($A35="","",IF(COUNTIFS(NOVEDADES!$C$4:$C$1503,$A35,NOVEDADES!$M$4:$M$1503,"SÍ")&gt;0,"No","Sí"))</f>
        <v/>
      </c>
      <c r="P35" s="27">
        <f>IF(OR($A35="",$K35=""),"",IF(AND($M35="Sí",$O35="Sí"),"OTIF","Falló"))</f>
        <v/>
      </c>
    </row>
    <row r="36" ht="16" customHeight="1">
      <c r="A36" s="47" t="n"/>
      <c r="B36" s="46" t="n"/>
      <c r="C36" s="49" t="n"/>
      <c r="D36" s="49" t="n"/>
      <c r="E36" s="49" t="n"/>
      <c r="F36" s="49" t="n"/>
      <c r="G36" s="47" t="n"/>
      <c r="H36" s="50" t="n"/>
      <c r="I36" s="51" t="n"/>
      <c r="J36" s="46" t="n"/>
      <c r="K36" s="46" t="n"/>
      <c r="L36" s="23">
        <f>IF(OR($A36="",$B36=""),"",IF($K36&lt;&gt;"",$K36-$B36,TODAY()-$B36))</f>
        <v/>
      </c>
      <c r="M36" s="27">
        <f>IF(OR($A36="",$J36=""),"",IF($K36="",IF(TODAY()&gt;$J36,"Atrasado","En ruta"),IF($K36&lt;=$J36,"Sí","No")))</f>
        <v/>
      </c>
      <c r="N36" s="23">
        <f>IF($A36="","",COUNTIFS(NOVEDADES!$C$4:$C$1503,$A36))</f>
        <v/>
      </c>
      <c r="O36" s="27">
        <f>IF($A36="","",IF(COUNTIFS(NOVEDADES!$C$4:$C$1503,$A36,NOVEDADES!$M$4:$M$1503,"SÍ")&gt;0,"No","Sí"))</f>
        <v/>
      </c>
      <c r="P36" s="27">
        <f>IF(OR($A36="",$K36=""),"",IF(AND($M36="Sí",$O36="Sí"),"OTIF","Falló"))</f>
        <v/>
      </c>
    </row>
    <row r="37" ht="16" customHeight="1">
      <c r="A37" s="47" t="n"/>
      <c r="B37" s="46" t="n"/>
      <c r="C37" s="49" t="n"/>
      <c r="D37" s="49" t="n"/>
      <c r="E37" s="49" t="n"/>
      <c r="F37" s="49" t="n"/>
      <c r="G37" s="47" t="n"/>
      <c r="H37" s="50" t="n"/>
      <c r="I37" s="51" t="n"/>
      <c r="J37" s="46" t="n"/>
      <c r="K37" s="46" t="n"/>
      <c r="L37" s="23">
        <f>IF(OR($A37="",$B37=""),"",IF($K37&lt;&gt;"",$K37-$B37,TODAY()-$B37))</f>
        <v/>
      </c>
      <c r="M37" s="27">
        <f>IF(OR($A37="",$J37=""),"",IF($K37="",IF(TODAY()&gt;$J37,"Atrasado","En ruta"),IF($K37&lt;=$J37,"Sí","No")))</f>
        <v/>
      </c>
      <c r="N37" s="23">
        <f>IF($A37="","",COUNTIFS(NOVEDADES!$C$4:$C$1503,$A37))</f>
        <v/>
      </c>
      <c r="O37" s="27">
        <f>IF($A37="","",IF(COUNTIFS(NOVEDADES!$C$4:$C$1503,$A37,NOVEDADES!$M$4:$M$1503,"SÍ")&gt;0,"No","Sí"))</f>
        <v/>
      </c>
      <c r="P37" s="27">
        <f>IF(OR($A37="",$K37=""),"",IF(AND($M37="Sí",$O37="Sí"),"OTIF","Falló"))</f>
        <v/>
      </c>
    </row>
    <row r="38" ht="16" customHeight="1">
      <c r="A38" s="47" t="n"/>
      <c r="B38" s="46" t="n"/>
      <c r="C38" s="49" t="n"/>
      <c r="D38" s="49" t="n"/>
      <c r="E38" s="49" t="n"/>
      <c r="F38" s="49" t="n"/>
      <c r="G38" s="47" t="n"/>
      <c r="H38" s="50" t="n"/>
      <c r="I38" s="51" t="n"/>
      <c r="J38" s="46" t="n"/>
      <c r="K38" s="46" t="n"/>
      <c r="L38" s="23">
        <f>IF(OR($A38="",$B38=""),"",IF($K38&lt;&gt;"",$K38-$B38,TODAY()-$B38))</f>
        <v/>
      </c>
      <c r="M38" s="27">
        <f>IF(OR($A38="",$J38=""),"",IF($K38="",IF(TODAY()&gt;$J38,"Atrasado","En ruta"),IF($K38&lt;=$J38,"Sí","No")))</f>
        <v/>
      </c>
      <c r="N38" s="23">
        <f>IF($A38="","",COUNTIFS(NOVEDADES!$C$4:$C$1503,$A38))</f>
        <v/>
      </c>
      <c r="O38" s="27">
        <f>IF($A38="","",IF(COUNTIFS(NOVEDADES!$C$4:$C$1503,$A38,NOVEDADES!$M$4:$M$1503,"SÍ")&gt;0,"No","Sí"))</f>
        <v/>
      </c>
      <c r="P38" s="27">
        <f>IF(OR($A38="",$K38=""),"",IF(AND($M38="Sí",$O38="Sí"),"OTIF","Falló"))</f>
        <v/>
      </c>
    </row>
    <row r="39" ht="16" customHeight="1">
      <c r="A39" s="47" t="n"/>
      <c r="B39" s="46" t="n"/>
      <c r="C39" s="49" t="n"/>
      <c r="D39" s="49" t="n"/>
      <c r="E39" s="49" t="n"/>
      <c r="F39" s="49" t="n"/>
      <c r="G39" s="47" t="n"/>
      <c r="H39" s="50" t="n"/>
      <c r="I39" s="51" t="n"/>
      <c r="J39" s="46" t="n"/>
      <c r="K39" s="46" t="n"/>
      <c r="L39" s="23">
        <f>IF(OR($A39="",$B39=""),"",IF($K39&lt;&gt;"",$K39-$B39,TODAY()-$B39))</f>
        <v/>
      </c>
      <c r="M39" s="27">
        <f>IF(OR($A39="",$J39=""),"",IF($K39="",IF(TODAY()&gt;$J39,"Atrasado","En ruta"),IF($K39&lt;=$J39,"Sí","No")))</f>
        <v/>
      </c>
      <c r="N39" s="23">
        <f>IF($A39="","",COUNTIFS(NOVEDADES!$C$4:$C$1503,$A39))</f>
        <v/>
      </c>
      <c r="O39" s="27">
        <f>IF($A39="","",IF(COUNTIFS(NOVEDADES!$C$4:$C$1503,$A39,NOVEDADES!$M$4:$M$1503,"SÍ")&gt;0,"No","Sí"))</f>
        <v/>
      </c>
      <c r="P39" s="27">
        <f>IF(OR($A39="",$K39=""),"",IF(AND($M39="Sí",$O39="Sí"),"OTIF","Falló"))</f>
        <v/>
      </c>
    </row>
    <row r="40" ht="16" customHeight="1">
      <c r="A40" s="47" t="n"/>
      <c r="B40" s="46" t="n"/>
      <c r="C40" s="49" t="n"/>
      <c r="D40" s="49" t="n"/>
      <c r="E40" s="49" t="n"/>
      <c r="F40" s="49" t="n"/>
      <c r="G40" s="47" t="n"/>
      <c r="H40" s="50" t="n"/>
      <c r="I40" s="51" t="n"/>
      <c r="J40" s="46" t="n"/>
      <c r="K40" s="46" t="n"/>
      <c r="L40" s="23">
        <f>IF(OR($A40="",$B40=""),"",IF($K40&lt;&gt;"",$K40-$B40,TODAY()-$B40))</f>
        <v/>
      </c>
      <c r="M40" s="27">
        <f>IF(OR($A40="",$J40=""),"",IF($K40="",IF(TODAY()&gt;$J40,"Atrasado","En ruta"),IF($K40&lt;=$J40,"Sí","No")))</f>
        <v/>
      </c>
      <c r="N40" s="23">
        <f>IF($A40="","",COUNTIFS(NOVEDADES!$C$4:$C$1503,$A40))</f>
        <v/>
      </c>
      <c r="O40" s="27">
        <f>IF($A40="","",IF(COUNTIFS(NOVEDADES!$C$4:$C$1503,$A40,NOVEDADES!$M$4:$M$1503,"SÍ")&gt;0,"No","Sí"))</f>
        <v/>
      </c>
      <c r="P40" s="27">
        <f>IF(OR($A40="",$K40=""),"",IF(AND($M40="Sí",$O40="Sí"),"OTIF","Falló"))</f>
        <v/>
      </c>
    </row>
    <row r="41" ht="16" customHeight="1">
      <c r="A41" s="47" t="n"/>
      <c r="B41" s="46" t="n"/>
      <c r="C41" s="49" t="n"/>
      <c r="D41" s="49" t="n"/>
      <c r="E41" s="49" t="n"/>
      <c r="F41" s="49" t="n"/>
      <c r="G41" s="47" t="n"/>
      <c r="H41" s="50" t="n"/>
      <c r="I41" s="51" t="n"/>
      <c r="J41" s="46" t="n"/>
      <c r="K41" s="46" t="n"/>
      <c r="L41" s="23">
        <f>IF(OR($A41="",$B41=""),"",IF($K41&lt;&gt;"",$K41-$B41,TODAY()-$B41))</f>
        <v/>
      </c>
      <c r="M41" s="27">
        <f>IF(OR($A41="",$J41=""),"",IF($K41="",IF(TODAY()&gt;$J41,"Atrasado","En ruta"),IF($K41&lt;=$J41,"Sí","No")))</f>
        <v/>
      </c>
      <c r="N41" s="23">
        <f>IF($A41="","",COUNTIFS(NOVEDADES!$C$4:$C$1503,$A41))</f>
        <v/>
      </c>
      <c r="O41" s="27">
        <f>IF($A41="","",IF(COUNTIFS(NOVEDADES!$C$4:$C$1503,$A41,NOVEDADES!$M$4:$M$1503,"SÍ")&gt;0,"No","Sí"))</f>
        <v/>
      </c>
      <c r="P41" s="27">
        <f>IF(OR($A41="",$K41=""),"",IF(AND($M41="Sí",$O41="Sí"),"OTIF","Falló"))</f>
        <v/>
      </c>
    </row>
    <row r="42" ht="16" customHeight="1">
      <c r="A42" s="47" t="n"/>
      <c r="B42" s="46" t="n"/>
      <c r="C42" s="49" t="n"/>
      <c r="D42" s="49" t="n"/>
      <c r="E42" s="49" t="n"/>
      <c r="F42" s="49" t="n"/>
      <c r="G42" s="47" t="n"/>
      <c r="H42" s="50" t="n"/>
      <c r="I42" s="51" t="n"/>
      <c r="J42" s="46" t="n"/>
      <c r="K42" s="46" t="n"/>
      <c r="L42" s="23">
        <f>IF(OR($A42="",$B42=""),"",IF($K42&lt;&gt;"",$K42-$B42,TODAY()-$B42))</f>
        <v/>
      </c>
      <c r="M42" s="27">
        <f>IF(OR($A42="",$J42=""),"",IF($K42="",IF(TODAY()&gt;$J42,"Atrasado","En ruta"),IF($K42&lt;=$J42,"Sí","No")))</f>
        <v/>
      </c>
      <c r="N42" s="23">
        <f>IF($A42="","",COUNTIFS(NOVEDADES!$C$4:$C$1503,$A42))</f>
        <v/>
      </c>
      <c r="O42" s="27">
        <f>IF($A42="","",IF(COUNTIFS(NOVEDADES!$C$4:$C$1503,$A42,NOVEDADES!$M$4:$M$1503,"SÍ")&gt;0,"No","Sí"))</f>
        <v/>
      </c>
      <c r="P42" s="27">
        <f>IF(OR($A42="",$K42=""),"",IF(AND($M42="Sí",$O42="Sí"),"OTIF","Falló"))</f>
        <v/>
      </c>
    </row>
    <row r="43" ht="16" customHeight="1">
      <c r="A43" s="47" t="n"/>
      <c r="B43" s="46" t="n"/>
      <c r="C43" s="49" t="n"/>
      <c r="D43" s="49" t="n"/>
      <c r="E43" s="49" t="n"/>
      <c r="F43" s="49" t="n"/>
      <c r="G43" s="47" t="n"/>
      <c r="H43" s="50" t="n"/>
      <c r="I43" s="51" t="n"/>
      <c r="J43" s="46" t="n"/>
      <c r="K43" s="46" t="n"/>
      <c r="L43" s="23">
        <f>IF(OR($A43="",$B43=""),"",IF($K43&lt;&gt;"",$K43-$B43,TODAY()-$B43))</f>
        <v/>
      </c>
      <c r="M43" s="27">
        <f>IF(OR($A43="",$J43=""),"",IF($K43="",IF(TODAY()&gt;$J43,"Atrasado","En ruta"),IF($K43&lt;=$J43,"Sí","No")))</f>
        <v/>
      </c>
      <c r="N43" s="23">
        <f>IF($A43="","",COUNTIFS(NOVEDADES!$C$4:$C$1503,$A43))</f>
        <v/>
      </c>
      <c r="O43" s="27">
        <f>IF($A43="","",IF(COUNTIFS(NOVEDADES!$C$4:$C$1503,$A43,NOVEDADES!$M$4:$M$1503,"SÍ")&gt;0,"No","Sí"))</f>
        <v/>
      </c>
      <c r="P43" s="27">
        <f>IF(OR($A43="",$K43=""),"",IF(AND($M43="Sí",$O43="Sí"),"OTIF","Falló"))</f>
        <v/>
      </c>
    </row>
    <row r="44" ht="16" customHeight="1">
      <c r="A44" s="47" t="n"/>
      <c r="B44" s="46" t="n"/>
      <c r="C44" s="49" t="n"/>
      <c r="D44" s="49" t="n"/>
      <c r="E44" s="49" t="n"/>
      <c r="F44" s="49" t="n"/>
      <c r="G44" s="47" t="n"/>
      <c r="H44" s="50" t="n"/>
      <c r="I44" s="51" t="n"/>
      <c r="J44" s="46" t="n"/>
      <c r="K44" s="46" t="n"/>
      <c r="L44" s="23">
        <f>IF(OR($A44="",$B44=""),"",IF($K44&lt;&gt;"",$K44-$B44,TODAY()-$B44))</f>
        <v/>
      </c>
      <c r="M44" s="27">
        <f>IF(OR($A44="",$J44=""),"",IF($K44="",IF(TODAY()&gt;$J44,"Atrasado","En ruta"),IF($K44&lt;=$J44,"Sí","No")))</f>
        <v/>
      </c>
      <c r="N44" s="23">
        <f>IF($A44="","",COUNTIFS(NOVEDADES!$C$4:$C$1503,$A44))</f>
        <v/>
      </c>
      <c r="O44" s="27">
        <f>IF($A44="","",IF(COUNTIFS(NOVEDADES!$C$4:$C$1503,$A44,NOVEDADES!$M$4:$M$1503,"SÍ")&gt;0,"No","Sí"))</f>
        <v/>
      </c>
      <c r="P44" s="27">
        <f>IF(OR($A44="",$K44=""),"",IF(AND($M44="Sí",$O44="Sí"),"OTIF","Falló"))</f>
        <v/>
      </c>
    </row>
    <row r="45" ht="16" customHeight="1">
      <c r="A45" s="47" t="n"/>
      <c r="B45" s="46" t="n"/>
      <c r="C45" s="49" t="n"/>
      <c r="D45" s="49" t="n"/>
      <c r="E45" s="49" t="n"/>
      <c r="F45" s="49" t="n"/>
      <c r="G45" s="47" t="n"/>
      <c r="H45" s="50" t="n"/>
      <c r="I45" s="51" t="n"/>
      <c r="J45" s="46" t="n"/>
      <c r="K45" s="46" t="n"/>
      <c r="L45" s="23">
        <f>IF(OR($A45="",$B45=""),"",IF($K45&lt;&gt;"",$K45-$B45,TODAY()-$B45))</f>
        <v/>
      </c>
      <c r="M45" s="27">
        <f>IF(OR($A45="",$J45=""),"",IF($K45="",IF(TODAY()&gt;$J45,"Atrasado","En ruta"),IF($K45&lt;=$J45,"Sí","No")))</f>
        <v/>
      </c>
      <c r="N45" s="23">
        <f>IF($A45="","",COUNTIFS(NOVEDADES!$C$4:$C$1503,$A45))</f>
        <v/>
      </c>
      <c r="O45" s="27">
        <f>IF($A45="","",IF(COUNTIFS(NOVEDADES!$C$4:$C$1503,$A45,NOVEDADES!$M$4:$M$1503,"SÍ")&gt;0,"No","Sí"))</f>
        <v/>
      </c>
      <c r="P45" s="27">
        <f>IF(OR($A45="",$K45=""),"",IF(AND($M45="Sí",$O45="Sí"),"OTIF","Falló"))</f>
        <v/>
      </c>
    </row>
    <row r="46" ht="16" customHeight="1">
      <c r="A46" s="47" t="n"/>
      <c r="B46" s="46" t="n"/>
      <c r="C46" s="49" t="n"/>
      <c r="D46" s="49" t="n"/>
      <c r="E46" s="49" t="n"/>
      <c r="F46" s="49" t="n"/>
      <c r="G46" s="47" t="n"/>
      <c r="H46" s="50" t="n"/>
      <c r="I46" s="51" t="n"/>
      <c r="J46" s="46" t="n"/>
      <c r="K46" s="46" t="n"/>
      <c r="L46" s="23">
        <f>IF(OR($A46="",$B46=""),"",IF($K46&lt;&gt;"",$K46-$B46,TODAY()-$B46))</f>
        <v/>
      </c>
      <c r="M46" s="27">
        <f>IF(OR($A46="",$J46=""),"",IF($K46="",IF(TODAY()&gt;$J46,"Atrasado","En ruta"),IF($K46&lt;=$J46,"Sí","No")))</f>
        <v/>
      </c>
      <c r="N46" s="23">
        <f>IF($A46="","",COUNTIFS(NOVEDADES!$C$4:$C$1503,$A46))</f>
        <v/>
      </c>
      <c r="O46" s="27">
        <f>IF($A46="","",IF(COUNTIFS(NOVEDADES!$C$4:$C$1503,$A46,NOVEDADES!$M$4:$M$1503,"SÍ")&gt;0,"No","Sí"))</f>
        <v/>
      </c>
      <c r="P46" s="27">
        <f>IF(OR($A46="",$K46=""),"",IF(AND($M46="Sí",$O46="Sí"),"OTIF","Falló"))</f>
        <v/>
      </c>
    </row>
    <row r="47" ht="16" customHeight="1">
      <c r="A47" s="47" t="n"/>
      <c r="B47" s="46" t="n"/>
      <c r="C47" s="49" t="n"/>
      <c r="D47" s="49" t="n"/>
      <c r="E47" s="49" t="n"/>
      <c r="F47" s="49" t="n"/>
      <c r="G47" s="47" t="n"/>
      <c r="H47" s="50" t="n"/>
      <c r="I47" s="51" t="n"/>
      <c r="J47" s="46" t="n"/>
      <c r="K47" s="46" t="n"/>
      <c r="L47" s="23">
        <f>IF(OR($A47="",$B47=""),"",IF($K47&lt;&gt;"",$K47-$B47,TODAY()-$B47))</f>
        <v/>
      </c>
      <c r="M47" s="27">
        <f>IF(OR($A47="",$J47=""),"",IF($K47="",IF(TODAY()&gt;$J47,"Atrasado","En ruta"),IF($K47&lt;=$J47,"Sí","No")))</f>
        <v/>
      </c>
      <c r="N47" s="23">
        <f>IF($A47="","",COUNTIFS(NOVEDADES!$C$4:$C$1503,$A47))</f>
        <v/>
      </c>
      <c r="O47" s="27">
        <f>IF($A47="","",IF(COUNTIFS(NOVEDADES!$C$4:$C$1503,$A47,NOVEDADES!$M$4:$M$1503,"SÍ")&gt;0,"No","Sí"))</f>
        <v/>
      </c>
      <c r="P47" s="27">
        <f>IF(OR($A47="",$K47=""),"",IF(AND($M47="Sí",$O47="Sí"),"OTIF","Falló"))</f>
        <v/>
      </c>
    </row>
    <row r="48" ht="16" customHeight="1">
      <c r="A48" s="47" t="n"/>
      <c r="B48" s="46" t="n"/>
      <c r="C48" s="49" t="n"/>
      <c r="D48" s="49" t="n"/>
      <c r="E48" s="49" t="n"/>
      <c r="F48" s="49" t="n"/>
      <c r="G48" s="47" t="n"/>
      <c r="H48" s="50" t="n"/>
      <c r="I48" s="51" t="n"/>
      <c r="J48" s="46" t="n"/>
      <c r="K48" s="46" t="n"/>
      <c r="L48" s="23">
        <f>IF(OR($A48="",$B48=""),"",IF($K48&lt;&gt;"",$K48-$B48,TODAY()-$B48))</f>
        <v/>
      </c>
      <c r="M48" s="27">
        <f>IF(OR($A48="",$J48=""),"",IF($K48="",IF(TODAY()&gt;$J48,"Atrasado","En ruta"),IF($K48&lt;=$J48,"Sí","No")))</f>
        <v/>
      </c>
      <c r="N48" s="23">
        <f>IF($A48="","",COUNTIFS(NOVEDADES!$C$4:$C$1503,$A48))</f>
        <v/>
      </c>
      <c r="O48" s="27">
        <f>IF($A48="","",IF(COUNTIFS(NOVEDADES!$C$4:$C$1503,$A48,NOVEDADES!$M$4:$M$1503,"SÍ")&gt;0,"No","Sí"))</f>
        <v/>
      </c>
      <c r="P48" s="27">
        <f>IF(OR($A48="",$K48=""),"",IF(AND($M48="Sí",$O48="Sí"),"OTIF","Falló"))</f>
        <v/>
      </c>
    </row>
    <row r="49" ht="16" customHeight="1">
      <c r="A49" s="47" t="n"/>
      <c r="B49" s="46" t="n"/>
      <c r="C49" s="49" t="n"/>
      <c r="D49" s="49" t="n"/>
      <c r="E49" s="49" t="n"/>
      <c r="F49" s="49" t="n"/>
      <c r="G49" s="47" t="n"/>
      <c r="H49" s="50" t="n"/>
      <c r="I49" s="51" t="n"/>
      <c r="J49" s="46" t="n"/>
      <c r="K49" s="46" t="n"/>
      <c r="L49" s="23">
        <f>IF(OR($A49="",$B49=""),"",IF($K49&lt;&gt;"",$K49-$B49,TODAY()-$B49))</f>
        <v/>
      </c>
      <c r="M49" s="27">
        <f>IF(OR($A49="",$J49=""),"",IF($K49="",IF(TODAY()&gt;$J49,"Atrasado","En ruta"),IF($K49&lt;=$J49,"Sí","No")))</f>
        <v/>
      </c>
      <c r="N49" s="23">
        <f>IF($A49="","",COUNTIFS(NOVEDADES!$C$4:$C$1503,$A49))</f>
        <v/>
      </c>
      <c r="O49" s="27">
        <f>IF($A49="","",IF(COUNTIFS(NOVEDADES!$C$4:$C$1503,$A49,NOVEDADES!$M$4:$M$1503,"SÍ")&gt;0,"No","Sí"))</f>
        <v/>
      </c>
      <c r="P49" s="27">
        <f>IF(OR($A49="",$K49=""),"",IF(AND($M49="Sí",$O49="Sí"),"OTIF","Falló"))</f>
        <v/>
      </c>
    </row>
    <row r="50" ht="16" customHeight="1">
      <c r="A50" s="47" t="n"/>
      <c r="B50" s="46" t="n"/>
      <c r="C50" s="49" t="n"/>
      <c r="D50" s="49" t="n"/>
      <c r="E50" s="49" t="n"/>
      <c r="F50" s="49" t="n"/>
      <c r="G50" s="47" t="n"/>
      <c r="H50" s="50" t="n"/>
      <c r="I50" s="51" t="n"/>
      <c r="J50" s="46" t="n"/>
      <c r="K50" s="46" t="n"/>
      <c r="L50" s="23">
        <f>IF(OR($A50="",$B50=""),"",IF($K50&lt;&gt;"",$K50-$B50,TODAY()-$B50))</f>
        <v/>
      </c>
      <c r="M50" s="27">
        <f>IF(OR($A50="",$J50=""),"",IF($K50="",IF(TODAY()&gt;$J50,"Atrasado","En ruta"),IF($K50&lt;=$J50,"Sí","No")))</f>
        <v/>
      </c>
      <c r="N50" s="23">
        <f>IF($A50="","",COUNTIFS(NOVEDADES!$C$4:$C$1503,$A50))</f>
        <v/>
      </c>
      <c r="O50" s="27">
        <f>IF($A50="","",IF(COUNTIFS(NOVEDADES!$C$4:$C$1503,$A50,NOVEDADES!$M$4:$M$1503,"SÍ")&gt;0,"No","Sí"))</f>
        <v/>
      </c>
      <c r="P50" s="27">
        <f>IF(OR($A50="",$K50=""),"",IF(AND($M50="Sí",$O50="Sí"),"OTIF","Falló"))</f>
        <v/>
      </c>
    </row>
    <row r="51" ht="16" customHeight="1">
      <c r="A51" s="47" t="n"/>
      <c r="B51" s="46" t="n"/>
      <c r="C51" s="49" t="n"/>
      <c r="D51" s="49" t="n"/>
      <c r="E51" s="49" t="n"/>
      <c r="F51" s="49" t="n"/>
      <c r="G51" s="47" t="n"/>
      <c r="H51" s="50" t="n"/>
      <c r="I51" s="51" t="n"/>
      <c r="J51" s="46" t="n"/>
      <c r="K51" s="46" t="n"/>
      <c r="L51" s="23">
        <f>IF(OR($A51="",$B51=""),"",IF($K51&lt;&gt;"",$K51-$B51,TODAY()-$B51))</f>
        <v/>
      </c>
      <c r="M51" s="27">
        <f>IF(OR($A51="",$J51=""),"",IF($K51="",IF(TODAY()&gt;$J51,"Atrasado","En ruta"),IF($K51&lt;=$J51,"Sí","No")))</f>
        <v/>
      </c>
      <c r="N51" s="23">
        <f>IF($A51="","",COUNTIFS(NOVEDADES!$C$4:$C$1503,$A51))</f>
        <v/>
      </c>
      <c r="O51" s="27">
        <f>IF($A51="","",IF(COUNTIFS(NOVEDADES!$C$4:$C$1503,$A51,NOVEDADES!$M$4:$M$1503,"SÍ")&gt;0,"No","Sí"))</f>
        <v/>
      </c>
      <c r="P51" s="27">
        <f>IF(OR($A51="",$K51=""),"",IF(AND($M51="Sí",$O51="Sí"),"OTIF","Falló"))</f>
        <v/>
      </c>
    </row>
    <row r="52" ht="16" customHeight="1">
      <c r="A52" s="47" t="n"/>
      <c r="B52" s="46" t="n"/>
      <c r="C52" s="49" t="n"/>
      <c r="D52" s="49" t="n"/>
      <c r="E52" s="49" t="n"/>
      <c r="F52" s="49" t="n"/>
      <c r="G52" s="47" t="n"/>
      <c r="H52" s="50" t="n"/>
      <c r="I52" s="51" t="n"/>
      <c r="J52" s="46" t="n"/>
      <c r="K52" s="46" t="n"/>
      <c r="L52" s="23">
        <f>IF(OR($A52="",$B52=""),"",IF($K52&lt;&gt;"",$K52-$B52,TODAY()-$B52))</f>
        <v/>
      </c>
      <c r="M52" s="27">
        <f>IF(OR($A52="",$J52=""),"",IF($K52="",IF(TODAY()&gt;$J52,"Atrasado","En ruta"),IF($K52&lt;=$J52,"Sí","No")))</f>
        <v/>
      </c>
      <c r="N52" s="23">
        <f>IF($A52="","",COUNTIFS(NOVEDADES!$C$4:$C$1503,$A52))</f>
        <v/>
      </c>
      <c r="O52" s="27">
        <f>IF($A52="","",IF(COUNTIFS(NOVEDADES!$C$4:$C$1503,$A52,NOVEDADES!$M$4:$M$1503,"SÍ")&gt;0,"No","Sí"))</f>
        <v/>
      </c>
      <c r="P52" s="27">
        <f>IF(OR($A52="",$K52=""),"",IF(AND($M52="Sí",$O52="Sí"),"OTIF","Falló"))</f>
        <v/>
      </c>
    </row>
    <row r="53" ht="16" customHeight="1">
      <c r="A53" s="47" t="n"/>
      <c r="B53" s="46" t="n"/>
      <c r="C53" s="49" t="n"/>
      <c r="D53" s="49" t="n"/>
      <c r="E53" s="49" t="n"/>
      <c r="F53" s="49" t="n"/>
      <c r="G53" s="47" t="n"/>
      <c r="H53" s="50" t="n"/>
      <c r="I53" s="51" t="n"/>
      <c r="J53" s="46" t="n"/>
      <c r="K53" s="46" t="n"/>
      <c r="L53" s="23">
        <f>IF(OR($A53="",$B53=""),"",IF($K53&lt;&gt;"",$K53-$B53,TODAY()-$B53))</f>
        <v/>
      </c>
      <c r="M53" s="27">
        <f>IF(OR($A53="",$J53=""),"",IF($K53="",IF(TODAY()&gt;$J53,"Atrasado","En ruta"),IF($K53&lt;=$J53,"Sí","No")))</f>
        <v/>
      </c>
      <c r="N53" s="23">
        <f>IF($A53="","",COUNTIFS(NOVEDADES!$C$4:$C$1503,$A53))</f>
        <v/>
      </c>
      <c r="O53" s="27">
        <f>IF($A53="","",IF(COUNTIFS(NOVEDADES!$C$4:$C$1503,$A53,NOVEDADES!$M$4:$M$1503,"SÍ")&gt;0,"No","Sí"))</f>
        <v/>
      </c>
      <c r="P53" s="27">
        <f>IF(OR($A53="",$K53=""),"",IF(AND($M53="Sí",$O53="Sí"),"OTIF","Falló"))</f>
        <v/>
      </c>
    </row>
    <row r="54" ht="16" customHeight="1">
      <c r="A54" s="47" t="n"/>
      <c r="B54" s="46" t="n"/>
      <c r="C54" s="49" t="n"/>
      <c r="D54" s="49" t="n"/>
      <c r="E54" s="49" t="n"/>
      <c r="F54" s="49" t="n"/>
      <c r="G54" s="47" t="n"/>
      <c r="H54" s="50" t="n"/>
      <c r="I54" s="51" t="n"/>
      <c r="J54" s="46" t="n"/>
      <c r="K54" s="46" t="n"/>
      <c r="L54" s="23">
        <f>IF(OR($A54="",$B54=""),"",IF($K54&lt;&gt;"",$K54-$B54,TODAY()-$B54))</f>
        <v/>
      </c>
      <c r="M54" s="27">
        <f>IF(OR($A54="",$J54=""),"",IF($K54="",IF(TODAY()&gt;$J54,"Atrasado","En ruta"),IF($K54&lt;=$J54,"Sí","No")))</f>
        <v/>
      </c>
      <c r="N54" s="23">
        <f>IF($A54="","",COUNTIFS(NOVEDADES!$C$4:$C$1503,$A54))</f>
        <v/>
      </c>
      <c r="O54" s="27">
        <f>IF($A54="","",IF(COUNTIFS(NOVEDADES!$C$4:$C$1503,$A54,NOVEDADES!$M$4:$M$1503,"SÍ")&gt;0,"No","Sí"))</f>
        <v/>
      </c>
      <c r="P54" s="27">
        <f>IF(OR($A54="",$K54=""),"",IF(AND($M54="Sí",$O54="Sí"),"OTIF","Falló"))</f>
        <v/>
      </c>
    </row>
    <row r="55" ht="16" customHeight="1">
      <c r="A55" s="47" t="n"/>
      <c r="B55" s="46" t="n"/>
      <c r="C55" s="49" t="n"/>
      <c r="D55" s="49" t="n"/>
      <c r="E55" s="49" t="n"/>
      <c r="F55" s="49" t="n"/>
      <c r="G55" s="47" t="n"/>
      <c r="H55" s="50" t="n"/>
      <c r="I55" s="51" t="n"/>
      <c r="J55" s="46" t="n"/>
      <c r="K55" s="46" t="n"/>
      <c r="L55" s="23">
        <f>IF(OR($A55="",$B55=""),"",IF($K55&lt;&gt;"",$K55-$B55,TODAY()-$B55))</f>
        <v/>
      </c>
      <c r="M55" s="27">
        <f>IF(OR($A55="",$J55=""),"",IF($K55="",IF(TODAY()&gt;$J55,"Atrasado","En ruta"),IF($K55&lt;=$J55,"Sí","No")))</f>
        <v/>
      </c>
      <c r="N55" s="23">
        <f>IF($A55="","",COUNTIFS(NOVEDADES!$C$4:$C$1503,$A55))</f>
        <v/>
      </c>
      <c r="O55" s="27">
        <f>IF($A55="","",IF(COUNTIFS(NOVEDADES!$C$4:$C$1503,$A55,NOVEDADES!$M$4:$M$1503,"SÍ")&gt;0,"No","Sí"))</f>
        <v/>
      </c>
      <c r="P55" s="27">
        <f>IF(OR($A55="",$K55=""),"",IF(AND($M55="Sí",$O55="Sí"),"OTIF","Falló"))</f>
        <v/>
      </c>
    </row>
    <row r="56" ht="16" customHeight="1">
      <c r="A56" s="47" t="n"/>
      <c r="B56" s="46" t="n"/>
      <c r="C56" s="49" t="n"/>
      <c r="D56" s="49" t="n"/>
      <c r="E56" s="49" t="n"/>
      <c r="F56" s="49" t="n"/>
      <c r="G56" s="47" t="n"/>
      <c r="H56" s="50" t="n"/>
      <c r="I56" s="51" t="n"/>
      <c r="J56" s="46" t="n"/>
      <c r="K56" s="46" t="n"/>
      <c r="L56" s="23">
        <f>IF(OR($A56="",$B56=""),"",IF($K56&lt;&gt;"",$K56-$B56,TODAY()-$B56))</f>
        <v/>
      </c>
      <c r="M56" s="27">
        <f>IF(OR($A56="",$J56=""),"",IF($K56="",IF(TODAY()&gt;$J56,"Atrasado","En ruta"),IF($K56&lt;=$J56,"Sí","No")))</f>
        <v/>
      </c>
      <c r="N56" s="23">
        <f>IF($A56="","",COUNTIFS(NOVEDADES!$C$4:$C$1503,$A56))</f>
        <v/>
      </c>
      <c r="O56" s="27">
        <f>IF($A56="","",IF(COUNTIFS(NOVEDADES!$C$4:$C$1503,$A56,NOVEDADES!$M$4:$M$1503,"SÍ")&gt;0,"No","Sí"))</f>
        <v/>
      </c>
      <c r="P56" s="27">
        <f>IF(OR($A56="",$K56=""),"",IF(AND($M56="Sí",$O56="Sí"),"OTIF","Falló"))</f>
        <v/>
      </c>
    </row>
    <row r="57" ht="16" customHeight="1">
      <c r="A57" s="47" t="n"/>
      <c r="B57" s="46" t="n"/>
      <c r="C57" s="49" t="n"/>
      <c r="D57" s="49" t="n"/>
      <c r="E57" s="49" t="n"/>
      <c r="F57" s="49" t="n"/>
      <c r="G57" s="47" t="n"/>
      <c r="H57" s="50" t="n"/>
      <c r="I57" s="51" t="n"/>
      <c r="J57" s="46" t="n"/>
      <c r="K57" s="46" t="n"/>
      <c r="L57" s="23">
        <f>IF(OR($A57="",$B57=""),"",IF($K57&lt;&gt;"",$K57-$B57,TODAY()-$B57))</f>
        <v/>
      </c>
      <c r="M57" s="27">
        <f>IF(OR($A57="",$J57=""),"",IF($K57="",IF(TODAY()&gt;$J57,"Atrasado","En ruta"),IF($K57&lt;=$J57,"Sí","No")))</f>
        <v/>
      </c>
      <c r="N57" s="23">
        <f>IF($A57="","",COUNTIFS(NOVEDADES!$C$4:$C$1503,$A57))</f>
        <v/>
      </c>
      <c r="O57" s="27">
        <f>IF($A57="","",IF(COUNTIFS(NOVEDADES!$C$4:$C$1503,$A57,NOVEDADES!$M$4:$M$1503,"SÍ")&gt;0,"No","Sí"))</f>
        <v/>
      </c>
      <c r="P57" s="27">
        <f>IF(OR($A57="",$K57=""),"",IF(AND($M57="Sí",$O57="Sí"),"OTIF","Falló"))</f>
        <v/>
      </c>
    </row>
    <row r="58" ht="16" customHeight="1">
      <c r="A58" s="47" t="n"/>
      <c r="B58" s="46" t="n"/>
      <c r="C58" s="49" t="n"/>
      <c r="D58" s="49" t="n"/>
      <c r="E58" s="49" t="n"/>
      <c r="F58" s="49" t="n"/>
      <c r="G58" s="47" t="n"/>
      <c r="H58" s="50" t="n"/>
      <c r="I58" s="51" t="n"/>
      <c r="J58" s="46" t="n"/>
      <c r="K58" s="46" t="n"/>
      <c r="L58" s="23">
        <f>IF(OR($A58="",$B58=""),"",IF($K58&lt;&gt;"",$K58-$B58,TODAY()-$B58))</f>
        <v/>
      </c>
      <c r="M58" s="27">
        <f>IF(OR($A58="",$J58=""),"",IF($K58="",IF(TODAY()&gt;$J58,"Atrasado","En ruta"),IF($K58&lt;=$J58,"Sí","No")))</f>
        <v/>
      </c>
      <c r="N58" s="23">
        <f>IF($A58="","",COUNTIFS(NOVEDADES!$C$4:$C$1503,$A58))</f>
        <v/>
      </c>
      <c r="O58" s="27">
        <f>IF($A58="","",IF(COUNTIFS(NOVEDADES!$C$4:$C$1503,$A58,NOVEDADES!$M$4:$M$1503,"SÍ")&gt;0,"No","Sí"))</f>
        <v/>
      </c>
      <c r="P58" s="27">
        <f>IF(OR($A58="",$K58=""),"",IF(AND($M58="Sí",$O58="Sí"),"OTIF","Falló"))</f>
        <v/>
      </c>
    </row>
    <row r="59" ht="16" customHeight="1">
      <c r="A59" s="47" t="n"/>
      <c r="B59" s="46" t="n"/>
      <c r="C59" s="49" t="n"/>
      <c r="D59" s="49" t="n"/>
      <c r="E59" s="49" t="n"/>
      <c r="F59" s="49" t="n"/>
      <c r="G59" s="47" t="n"/>
      <c r="H59" s="50" t="n"/>
      <c r="I59" s="51" t="n"/>
      <c r="J59" s="46" t="n"/>
      <c r="K59" s="46" t="n"/>
      <c r="L59" s="23">
        <f>IF(OR($A59="",$B59=""),"",IF($K59&lt;&gt;"",$K59-$B59,TODAY()-$B59))</f>
        <v/>
      </c>
      <c r="M59" s="27">
        <f>IF(OR($A59="",$J59=""),"",IF($K59="",IF(TODAY()&gt;$J59,"Atrasado","En ruta"),IF($K59&lt;=$J59,"Sí","No")))</f>
        <v/>
      </c>
      <c r="N59" s="23">
        <f>IF($A59="","",COUNTIFS(NOVEDADES!$C$4:$C$1503,$A59))</f>
        <v/>
      </c>
      <c r="O59" s="27">
        <f>IF($A59="","",IF(COUNTIFS(NOVEDADES!$C$4:$C$1503,$A59,NOVEDADES!$M$4:$M$1503,"SÍ")&gt;0,"No","Sí"))</f>
        <v/>
      </c>
      <c r="P59" s="27">
        <f>IF(OR($A59="",$K59=""),"",IF(AND($M59="Sí",$O59="Sí"),"OTIF","Falló"))</f>
        <v/>
      </c>
    </row>
    <row r="60" ht="16" customHeight="1">
      <c r="A60" s="47" t="n"/>
      <c r="B60" s="46" t="n"/>
      <c r="C60" s="49" t="n"/>
      <c r="D60" s="49" t="n"/>
      <c r="E60" s="49" t="n"/>
      <c r="F60" s="49" t="n"/>
      <c r="G60" s="47" t="n"/>
      <c r="H60" s="50" t="n"/>
      <c r="I60" s="51" t="n"/>
      <c r="J60" s="46" t="n"/>
      <c r="K60" s="46" t="n"/>
      <c r="L60" s="23">
        <f>IF(OR($A60="",$B60=""),"",IF($K60&lt;&gt;"",$K60-$B60,TODAY()-$B60))</f>
        <v/>
      </c>
      <c r="M60" s="27">
        <f>IF(OR($A60="",$J60=""),"",IF($K60="",IF(TODAY()&gt;$J60,"Atrasado","En ruta"),IF($K60&lt;=$J60,"Sí","No")))</f>
        <v/>
      </c>
      <c r="N60" s="23">
        <f>IF($A60="","",COUNTIFS(NOVEDADES!$C$4:$C$1503,$A60))</f>
        <v/>
      </c>
      <c r="O60" s="27">
        <f>IF($A60="","",IF(COUNTIFS(NOVEDADES!$C$4:$C$1503,$A60,NOVEDADES!$M$4:$M$1503,"SÍ")&gt;0,"No","Sí"))</f>
        <v/>
      </c>
      <c r="P60" s="27">
        <f>IF(OR($A60="",$K60=""),"",IF(AND($M60="Sí",$O60="Sí"),"OTIF","Falló"))</f>
        <v/>
      </c>
    </row>
    <row r="61" ht="16" customHeight="1">
      <c r="A61" s="47" t="n"/>
      <c r="B61" s="46" t="n"/>
      <c r="C61" s="49" t="n"/>
      <c r="D61" s="49" t="n"/>
      <c r="E61" s="49" t="n"/>
      <c r="F61" s="49" t="n"/>
      <c r="G61" s="47" t="n"/>
      <c r="H61" s="50" t="n"/>
      <c r="I61" s="51" t="n"/>
      <c r="J61" s="46" t="n"/>
      <c r="K61" s="46" t="n"/>
      <c r="L61" s="23">
        <f>IF(OR($A61="",$B61=""),"",IF($K61&lt;&gt;"",$K61-$B61,TODAY()-$B61))</f>
        <v/>
      </c>
      <c r="M61" s="27">
        <f>IF(OR($A61="",$J61=""),"",IF($K61="",IF(TODAY()&gt;$J61,"Atrasado","En ruta"),IF($K61&lt;=$J61,"Sí","No")))</f>
        <v/>
      </c>
      <c r="N61" s="23">
        <f>IF($A61="","",COUNTIFS(NOVEDADES!$C$4:$C$1503,$A61))</f>
        <v/>
      </c>
      <c r="O61" s="27">
        <f>IF($A61="","",IF(COUNTIFS(NOVEDADES!$C$4:$C$1503,$A61,NOVEDADES!$M$4:$M$1503,"SÍ")&gt;0,"No","Sí"))</f>
        <v/>
      </c>
      <c r="P61" s="27">
        <f>IF(OR($A61="",$K61=""),"",IF(AND($M61="Sí",$O61="Sí"),"OTIF","Falló"))</f>
        <v/>
      </c>
    </row>
    <row r="62" ht="16" customHeight="1">
      <c r="A62" s="47" t="n"/>
      <c r="B62" s="46" t="n"/>
      <c r="C62" s="49" t="n"/>
      <c r="D62" s="49" t="n"/>
      <c r="E62" s="49" t="n"/>
      <c r="F62" s="49" t="n"/>
      <c r="G62" s="47" t="n"/>
      <c r="H62" s="50" t="n"/>
      <c r="I62" s="51" t="n"/>
      <c r="J62" s="46" t="n"/>
      <c r="K62" s="46" t="n"/>
      <c r="L62" s="23">
        <f>IF(OR($A62="",$B62=""),"",IF($K62&lt;&gt;"",$K62-$B62,TODAY()-$B62))</f>
        <v/>
      </c>
      <c r="M62" s="27">
        <f>IF(OR($A62="",$J62=""),"",IF($K62="",IF(TODAY()&gt;$J62,"Atrasado","En ruta"),IF($K62&lt;=$J62,"Sí","No")))</f>
        <v/>
      </c>
      <c r="N62" s="23">
        <f>IF($A62="","",COUNTIFS(NOVEDADES!$C$4:$C$1503,$A62))</f>
        <v/>
      </c>
      <c r="O62" s="27">
        <f>IF($A62="","",IF(COUNTIFS(NOVEDADES!$C$4:$C$1503,$A62,NOVEDADES!$M$4:$M$1503,"SÍ")&gt;0,"No","Sí"))</f>
        <v/>
      </c>
      <c r="P62" s="27">
        <f>IF(OR($A62="",$K62=""),"",IF(AND($M62="Sí",$O62="Sí"),"OTIF","Falló"))</f>
        <v/>
      </c>
    </row>
    <row r="63" ht="16" customHeight="1">
      <c r="A63" s="47" t="n"/>
      <c r="B63" s="46" t="n"/>
      <c r="C63" s="49" t="n"/>
      <c r="D63" s="49" t="n"/>
      <c r="E63" s="49" t="n"/>
      <c r="F63" s="49" t="n"/>
      <c r="G63" s="47" t="n"/>
      <c r="H63" s="50" t="n"/>
      <c r="I63" s="51" t="n"/>
      <c r="J63" s="46" t="n"/>
      <c r="K63" s="46" t="n"/>
      <c r="L63" s="23">
        <f>IF(OR($A63="",$B63=""),"",IF($K63&lt;&gt;"",$K63-$B63,TODAY()-$B63))</f>
        <v/>
      </c>
      <c r="M63" s="27">
        <f>IF(OR($A63="",$J63=""),"",IF($K63="",IF(TODAY()&gt;$J63,"Atrasado","En ruta"),IF($K63&lt;=$J63,"Sí","No")))</f>
        <v/>
      </c>
      <c r="N63" s="23">
        <f>IF($A63="","",COUNTIFS(NOVEDADES!$C$4:$C$1503,$A63))</f>
        <v/>
      </c>
      <c r="O63" s="27">
        <f>IF($A63="","",IF(COUNTIFS(NOVEDADES!$C$4:$C$1503,$A63,NOVEDADES!$M$4:$M$1503,"SÍ")&gt;0,"No","Sí"))</f>
        <v/>
      </c>
      <c r="P63" s="27">
        <f>IF(OR($A63="",$K63=""),"",IF(AND($M63="Sí",$O63="Sí"),"OTIF","Falló"))</f>
        <v/>
      </c>
    </row>
    <row r="64" ht="16" customHeight="1">
      <c r="A64" s="47" t="n"/>
      <c r="B64" s="46" t="n"/>
      <c r="C64" s="49" t="n"/>
      <c r="D64" s="49" t="n"/>
      <c r="E64" s="49" t="n"/>
      <c r="F64" s="49" t="n"/>
      <c r="G64" s="47" t="n"/>
      <c r="H64" s="50" t="n"/>
      <c r="I64" s="51" t="n"/>
      <c r="J64" s="46" t="n"/>
      <c r="K64" s="46" t="n"/>
      <c r="L64" s="23">
        <f>IF(OR($A64="",$B64=""),"",IF($K64&lt;&gt;"",$K64-$B64,TODAY()-$B64))</f>
        <v/>
      </c>
      <c r="M64" s="27">
        <f>IF(OR($A64="",$J64=""),"",IF($K64="",IF(TODAY()&gt;$J64,"Atrasado","En ruta"),IF($K64&lt;=$J64,"Sí","No")))</f>
        <v/>
      </c>
      <c r="N64" s="23">
        <f>IF($A64="","",COUNTIFS(NOVEDADES!$C$4:$C$1503,$A64))</f>
        <v/>
      </c>
      <c r="O64" s="27">
        <f>IF($A64="","",IF(COUNTIFS(NOVEDADES!$C$4:$C$1503,$A64,NOVEDADES!$M$4:$M$1503,"SÍ")&gt;0,"No","Sí"))</f>
        <v/>
      </c>
      <c r="P64" s="27">
        <f>IF(OR($A64="",$K64=""),"",IF(AND($M64="Sí",$O64="Sí"),"OTIF","Falló"))</f>
        <v/>
      </c>
    </row>
    <row r="65" ht="16" customHeight="1">
      <c r="A65" s="47" t="n"/>
      <c r="B65" s="46" t="n"/>
      <c r="C65" s="49" t="n"/>
      <c r="D65" s="49" t="n"/>
      <c r="E65" s="49" t="n"/>
      <c r="F65" s="49" t="n"/>
      <c r="G65" s="47" t="n"/>
      <c r="H65" s="50" t="n"/>
      <c r="I65" s="51" t="n"/>
      <c r="J65" s="46" t="n"/>
      <c r="K65" s="46" t="n"/>
      <c r="L65" s="23">
        <f>IF(OR($A65="",$B65=""),"",IF($K65&lt;&gt;"",$K65-$B65,TODAY()-$B65))</f>
        <v/>
      </c>
      <c r="M65" s="27">
        <f>IF(OR($A65="",$J65=""),"",IF($K65="",IF(TODAY()&gt;$J65,"Atrasado","En ruta"),IF($K65&lt;=$J65,"Sí","No")))</f>
        <v/>
      </c>
      <c r="N65" s="23">
        <f>IF($A65="","",COUNTIFS(NOVEDADES!$C$4:$C$1503,$A65))</f>
        <v/>
      </c>
      <c r="O65" s="27">
        <f>IF($A65="","",IF(COUNTIFS(NOVEDADES!$C$4:$C$1503,$A65,NOVEDADES!$M$4:$M$1503,"SÍ")&gt;0,"No","Sí"))</f>
        <v/>
      </c>
      <c r="P65" s="27">
        <f>IF(OR($A65="",$K65=""),"",IF(AND($M65="Sí",$O65="Sí"),"OTIF","Falló"))</f>
        <v/>
      </c>
    </row>
    <row r="66" ht="16" customHeight="1">
      <c r="A66" s="47" t="n"/>
      <c r="B66" s="46" t="n"/>
      <c r="C66" s="49" t="n"/>
      <c r="D66" s="49" t="n"/>
      <c r="E66" s="49" t="n"/>
      <c r="F66" s="49" t="n"/>
      <c r="G66" s="47" t="n"/>
      <c r="H66" s="50" t="n"/>
      <c r="I66" s="51" t="n"/>
      <c r="J66" s="46" t="n"/>
      <c r="K66" s="46" t="n"/>
      <c r="L66" s="23">
        <f>IF(OR($A66="",$B66=""),"",IF($K66&lt;&gt;"",$K66-$B66,TODAY()-$B66))</f>
        <v/>
      </c>
      <c r="M66" s="27">
        <f>IF(OR($A66="",$J66=""),"",IF($K66="",IF(TODAY()&gt;$J66,"Atrasado","En ruta"),IF($K66&lt;=$J66,"Sí","No")))</f>
        <v/>
      </c>
      <c r="N66" s="23">
        <f>IF($A66="","",COUNTIFS(NOVEDADES!$C$4:$C$1503,$A66))</f>
        <v/>
      </c>
      <c r="O66" s="27">
        <f>IF($A66="","",IF(COUNTIFS(NOVEDADES!$C$4:$C$1503,$A66,NOVEDADES!$M$4:$M$1503,"SÍ")&gt;0,"No","Sí"))</f>
        <v/>
      </c>
      <c r="P66" s="27">
        <f>IF(OR($A66="",$K66=""),"",IF(AND($M66="Sí",$O66="Sí"),"OTIF","Falló"))</f>
        <v/>
      </c>
    </row>
    <row r="67" ht="16" customHeight="1">
      <c r="A67" s="47" t="n"/>
      <c r="B67" s="46" t="n"/>
      <c r="C67" s="49" t="n"/>
      <c r="D67" s="49" t="n"/>
      <c r="E67" s="49" t="n"/>
      <c r="F67" s="49" t="n"/>
      <c r="G67" s="47" t="n"/>
      <c r="H67" s="50" t="n"/>
      <c r="I67" s="51" t="n"/>
      <c r="J67" s="46" t="n"/>
      <c r="K67" s="46" t="n"/>
      <c r="L67" s="23">
        <f>IF(OR($A67="",$B67=""),"",IF($K67&lt;&gt;"",$K67-$B67,TODAY()-$B67))</f>
        <v/>
      </c>
      <c r="M67" s="27">
        <f>IF(OR($A67="",$J67=""),"",IF($K67="",IF(TODAY()&gt;$J67,"Atrasado","En ruta"),IF($K67&lt;=$J67,"Sí","No")))</f>
        <v/>
      </c>
      <c r="N67" s="23">
        <f>IF($A67="","",COUNTIFS(NOVEDADES!$C$4:$C$1503,$A67))</f>
        <v/>
      </c>
      <c r="O67" s="27">
        <f>IF($A67="","",IF(COUNTIFS(NOVEDADES!$C$4:$C$1503,$A67,NOVEDADES!$M$4:$M$1503,"SÍ")&gt;0,"No","Sí"))</f>
        <v/>
      </c>
      <c r="P67" s="27">
        <f>IF(OR($A67="",$K67=""),"",IF(AND($M67="Sí",$O67="Sí"),"OTIF","Falló"))</f>
        <v/>
      </c>
    </row>
    <row r="68" ht="16" customHeight="1">
      <c r="A68" s="47" t="n"/>
      <c r="B68" s="46" t="n"/>
      <c r="C68" s="49" t="n"/>
      <c r="D68" s="49" t="n"/>
      <c r="E68" s="49" t="n"/>
      <c r="F68" s="49" t="n"/>
      <c r="G68" s="47" t="n"/>
      <c r="H68" s="50" t="n"/>
      <c r="I68" s="51" t="n"/>
      <c r="J68" s="46" t="n"/>
      <c r="K68" s="46" t="n"/>
      <c r="L68" s="23">
        <f>IF(OR($A68="",$B68=""),"",IF($K68&lt;&gt;"",$K68-$B68,TODAY()-$B68))</f>
        <v/>
      </c>
      <c r="M68" s="27">
        <f>IF(OR($A68="",$J68=""),"",IF($K68="",IF(TODAY()&gt;$J68,"Atrasado","En ruta"),IF($K68&lt;=$J68,"Sí","No")))</f>
        <v/>
      </c>
      <c r="N68" s="23">
        <f>IF($A68="","",COUNTIFS(NOVEDADES!$C$4:$C$1503,$A68))</f>
        <v/>
      </c>
      <c r="O68" s="27">
        <f>IF($A68="","",IF(COUNTIFS(NOVEDADES!$C$4:$C$1503,$A68,NOVEDADES!$M$4:$M$1503,"SÍ")&gt;0,"No","Sí"))</f>
        <v/>
      </c>
      <c r="P68" s="27">
        <f>IF(OR($A68="",$K68=""),"",IF(AND($M68="Sí",$O68="Sí"),"OTIF","Falló"))</f>
        <v/>
      </c>
    </row>
    <row r="69" ht="16" customHeight="1">
      <c r="A69" s="47" t="n"/>
      <c r="B69" s="46" t="n"/>
      <c r="C69" s="49" t="n"/>
      <c r="D69" s="49" t="n"/>
      <c r="E69" s="49" t="n"/>
      <c r="F69" s="49" t="n"/>
      <c r="G69" s="47" t="n"/>
      <c r="H69" s="50" t="n"/>
      <c r="I69" s="51" t="n"/>
      <c r="J69" s="46" t="n"/>
      <c r="K69" s="46" t="n"/>
      <c r="L69" s="23">
        <f>IF(OR($A69="",$B69=""),"",IF($K69&lt;&gt;"",$K69-$B69,TODAY()-$B69))</f>
        <v/>
      </c>
      <c r="M69" s="27">
        <f>IF(OR($A69="",$J69=""),"",IF($K69="",IF(TODAY()&gt;$J69,"Atrasado","En ruta"),IF($K69&lt;=$J69,"Sí","No")))</f>
        <v/>
      </c>
      <c r="N69" s="23">
        <f>IF($A69="","",COUNTIFS(NOVEDADES!$C$4:$C$1503,$A69))</f>
        <v/>
      </c>
      <c r="O69" s="27">
        <f>IF($A69="","",IF(COUNTIFS(NOVEDADES!$C$4:$C$1503,$A69,NOVEDADES!$M$4:$M$1503,"SÍ")&gt;0,"No","Sí"))</f>
        <v/>
      </c>
      <c r="P69" s="27">
        <f>IF(OR($A69="",$K69=""),"",IF(AND($M69="Sí",$O69="Sí"),"OTIF","Falló"))</f>
        <v/>
      </c>
    </row>
    <row r="70" ht="16" customHeight="1">
      <c r="A70" s="47" t="n"/>
      <c r="B70" s="46" t="n"/>
      <c r="C70" s="49" t="n"/>
      <c r="D70" s="49" t="n"/>
      <c r="E70" s="49" t="n"/>
      <c r="F70" s="49" t="n"/>
      <c r="G70" s="47" t="n"/>
      <c r="H70" s="50" t="n"/>
      <c r="I70" s="51" t="n"/>
      <c r="J70" s="46" t="n"/>
      <c r="K70" s="46" t="n"/>
      <c r="L70" s="23">
        <f>IF(OR($A70="",$B70=""),"",IF($K70&lt;&gt;"",$K70-$B70,TODAY()-$B70))</f>
        <v/>
      </c>
      <c r="M70" s="27">
        <f>IF(OR($A70="",$J70=""),"",IF($K70="",IF(TODAY()&gt;$J70,"Atrasado","En ruta"),IF($K70&lt;=$J70,"Sí","No")))</f>
        <v/>
      </c>
      <c r="N70" s="23">
        <f>IF($A70="","",COUNTIFS(NOVEDADES!$C$4:$C$1503,$A70))</f>
        <v/>
      </c>
      <c r="O70" s="27">
        <f>IF($A70="","",IF(COUNTIFS(NOVEDADES!$C$4:$C$1503,$A70,NOVEDADES!$M$4:$M$1503,"SÍ")&gt;0,"No","Sí"))</f>
        <v/>
      </c>
      <c r="P70" s="27">
        <f>IF(OR($A70="",$K70=""),"",IF(AND($M70="Sí",$O70="Sí"),"OTIF","Falló"))</f>
        <v/>
      </c>
    </row>
    <row r="71" ht="16" customHeight="1">
      <c r="A71" s="47" t="n"/>
      <c r="B71" s="46" t="n"/>
      <c r="C71" s="49" t="n"/>
      <c r="D71" s="49" t="n"/>
      <c r="E71" s="49" t="n"/>
      <c r="F71" s="49" t="n"/>
      <c r="G71" s="47" t="n"/>
      <c r="H71" s="50" t="n"/>
      <c r="I71" s="51" t="n"/>
      <c r="J71" s="46" t="n"/>
      <c r="K71" s="46" t="n"/>
      <c r="L71" s="23">
        <f>IF(OR($A71="",$B71=""),"",IF($K71&lt;&gt;"",$K71-$B71,TODAY()-$B71))</f>
        <v/>
      </c>
      <c r="M71" s="27">
        <f>IF(OR($A71="",$J71=""),"",IF($K71="",IF(TODAY()&gt;$J71,"Atrasado","En ruta"),IF($K71&lt;=$J71,"Sí","No")))</f>
        <v/>
      </c>
      <c r="N71" s="23">
        <f>IF($A71="","",COUNTIFS(NOVEDADES!$C$4:$C$1503,$A71))</f>
        <v/>
      </c>
      <c r="O71" s="27">
        <f>IF($A71="","",IF(COUNTIFS(NOVEDADES!$C$4:$C$1503,$A71,NOVEDADES!$M$4:$M$1503,"SÍ")&gt;0,"No","Sí"))</f>
        <v/>
      </c>
      <c r="P71" s="27">
        <f>IF(OR($A71="",$K71=""),"",IF(AND($M71="Sí",$O71="Sí"),"OTIF","Falló"))</f>
        <v/>
      </c>
    </row>
    <row r="72" ht="16" customHeight="1">
      <c r="A72" s="47" t="n"/>
      <c r="B72" s="46" t="n"/>
      <c r="C72" s="49" t="n"/>
      <c r="D72" s="49" t="n"/>
      <c r="E72" s="49" t="n"/>
      <c r="F72" s="49" t="n"/>
      <c r="G72" s="47" t="n"/>
      <c r="H72" s="50" t="n"/>
      <c r="I72" s="51" t="n"/>
      <c r="J72" s="46" t="n"/>
      <c r="K72" s="46" t="n"/>
      <c r="L72" s="23">
        <f>IF(OR($A72="",$B72=""),"",IF($K72&lt;&gt;"",$K72-$B72,TODAY()-$B72))</f>
        <v/>
      </c>
      <c r="M72" s="27">
        <f>IF(OR($A72="",$J72=""),"",IF($K72="",IF(TODAY()&gt;$J72,"Atrasado","En ruta"),IF($K72&lt;=$J72,"Sí","No")))</f>
        <v/>
      </c>
      <c r="N72" s="23">
        <f>IF($A72="","",COUNTIFS(NOVEDADES!$C$4:$C$1503,$A72))</f>
        <v/>
      </c>
      <c r="O72" s="27">
        <f>IF($A72="","",IF(COUNTIFS(NOVEDADES!$C$4:$C$1503,$A72,NOVEDADES!$M$4:$M$1503,"SÍ")&gt;0,"No","Sí"))</f>
        <v/>
      </c>
      <c r="P72" s="27">
        <f>IF(OR($A72="",$K72=""),"",IF(AND($M72="Sí",$O72="Sí"),"OTIF","Falló"))</f>
        <v/>
      </c>
    </row>
    <row r="73" ht="16" customHeight="1">
      <c r="A73" s="47" t="n"/>
      <c r="B73" s="46" t="n"/>
      <c r="C73" s="49" t="n"/>
      <c r="D73" s="49" t="n"/>
      <c r="E73" s="49" t="n"/>
      <c r="F73" s="49" t="n"/>
      <c r="G73" s="47" t="n"/>
      <c r="H73" s="50" t="n"/>
      <c r="I73" s="51" t="n"/>
      <c r="J73" s="46" t="n"/>
      <c r="K73" s="46" t="n"/>
      <c r="L73" s="23">
        <f>IF(OR($A73="",$B73=""),"",IF($K73&lt;&gt;"",$K73-$B73,TODAY()-$B73))</f>
        <v/>
      </c>
      <c r="M73" s="27">
        <f>IF(OR($A73="",$J73=""),"",IF($K73="",IF(TODAY()&gt;$J73,"Atrasado","En ruta"),IF($K73&lt;=$J73,"Sí","No")))</f>
        <v/>
      </c>
      <c r="N73" s="23">
        <f>IF($A73="","",COUNTIFS(NOVEDADES!$C$4:$C$1503,$A73))</f>
        <v/>
      </c>
      <c r="O73" s="27">
        <f>IF($A73="","",IF(COUNTIFS(NOVEDADES!$C$4:$C$1503,$A73,NOVEDADES!$M$4:$M$1503,"SÍ")&gt;0,"No","Sí"))</f>
        <v/>
      </c>
      <c r="P73" s="27">
        <f>IF(OR($A73="",$K73=""),"",IF(AND($M73="Sí",$O73="Sí"),"OTIF","Falló"))</f>
        <v/>
      </c>
    </row>
    <row r="74" ht="16" customHeight="1">
      <c r="A74" s="47" t="n"/>
      <c r="B74" s="46" t="n"/>
      <c r="C74" s="49" t="n"/>
      <c r="D74" s="49" t="n"/>
      <c r="E74" s="49" t="n"/>
      <c r="F74" s="49" t="n"/>
      <c r="G74" s="47" t="n"/>
      <c r="H74" s="50" t="n"/>
      <c r="I74" s="51" t="n"/>
      <c r="J74" s="46" t="n"/>
      <c r="K74" s="46" t="n"/>
      <c r="L74" s="23">
        <f>IF(OR($A74="",$B74=""),"",IF($K74&lt;&gt;"",$K74-$B74,TODAY()-$B74))</f>
        <v/>
      </c>
      <c r="M74" s="27">
        <f>IF(OR($A74="",$J74=""),"",IF($K74="",IF(TODAY()&gt;$J74,"Atrasado","En ruta"),IF($K74&lt;=$J74,"Sí","No")))</f>
        <v/>
      </c>
      <c r="N74" s="23">
        <f>IF($A74="","",COUNTIFS(NOVEDADES!$C$4:$C$1503,$A74))</f>
        <v/>
      </c>
      <c r="O74" s="27">
        <f>IF($A74="","",IF(COUNTIFS(NOVEDADES!$C$4:$C$1503,$A74,NOVEDADES!$M$4:$M$1503,"SÍ")&gt;0,"No","Sí"))</f>
        <v/>
      </c>
      <c r="P74" s="27">
        <f>IF(OR($A74="",$K74=""),"",IF(AND($M74="Sí",$O74="Sí"),"OTIF","Falló"))</f>
        <v/>
      </c>
    </row>
    <row r="75" ht="16" customHeight="1">
      <c r="A75" s="47" t="n"/>
      <c r="B75" s="46" t="n"/>
      <c r="C75" s="49" t="n"/>
      <c r="D75" s="49" t="n"/>
      <c r="E75" s="49" t="n"/>
      <c r="F75" s="49" t="n"/>
      <c r="G75" s="47" t="n"/>
      <c r="H75" s="50" t="n"/>
      <c r="I75" s="51" t="n"/>
      <c r="J75" s="46" t="n"/>
      <c r="K75" s="46" t="n"/>
      <c r="L75" s="23">
        <f>IF(OR($A75="",$B75=""),"",IF($K75&lt;&gt;"",$K75-$B75,TODAY()-$B75))</f>
        <v/>
      </c>
      <c r="M75" s="27">
        <f>IF(OR($A75="",$J75=""),"",IF($K75="",IF(TODAY()&gt;$J75,"Atrasado","En ruta"),IF($K75&lt;=$J75,"Sí","No")))</f>
        <v/>
      </c>
      <c r="N75" s="23">
        <f>IF($A75="","",COUNTIFS(NOVEDADES!$C$4:$C$1503,$A75))</f>
        <v/>
      </c>
      <c r="O75" s="27">
        <f>IF($A75="","",IF(COUNTIFS(NOVEDADES!$C$4:$C$1503,$A75,NOVEDADES!$M$4:$M$1503,"SÍ")&gt;0,"No","Sí"))</f>
        <v/>
      </c>
      <c r="P75" s="27">
        <f>IF(OR($A75="",$K75=""),"",IF(AND($M75="Sí",$O75="Sí"),"OTIF","Falló"))</f>
        <v/>
      </c>
    </row>
    <row r="76" ht="16" customHeight="1">
      <c r="A76" s="47" t="n"/>
      <c r="B76" s="46" t="n"/>
      <c r="C76" s="49" t="n"/>
      <c r="D76" s="49" t="n"/>
      <c r="E76" s="49" t="n"/>
      <c r="F76" s="49" t="n"/>
      <c r="G76" s="47" t="n"/>
      <c r="H76" s="50" t="n"/>
      <c r="I76" s="51" t="n"/>
      <c r="J76" s="46" t="n"/>
      <c r="K76" s="46" t="n"/>
      <c r="L76" s="23">
        <f>IF(OR($A76="",$B76=""),"",IF($K76&lt;&gt;"",$K76-$B76,TODAY()-$B76))</f>
        <v/>
      </c>
      <c r="M76" s="27">
        <f>IF(OR($A76="",$J76=""),"",IF($K76="",IF(TODAY()&gt;$J76,"Atrasado","En ruta"),IF($K76&lt;=$J76,"Sí","No")))</f>
        <v/>
      </c>
      <c r="N76" s="23">
        <f>IF($A76="","",COUNTIFS(NOVEDADES!$C$4:$C$1503,$A76))</f>
        <v/>
      </c>
      <c r="O76" s="27">
        <f>IF($A76="","",IF(COUNTIFS(NOVEDADES!$C$4:$C$1503,$A76,NOVEDADES!$M$4:$M$1503,"SÍ")&gt;0,"No","Sí"))</f>
        <v/>
      </c>
      <c r="P76" s="27">
        <f>IF(OR($A76="",$K76=""),"",IF(AND($M76="Sí",$O76="Sí"),"OTIF","Falló"))</f>
        <v/>
      </c>
    </row>
    <row r="77" ht="16" customHeight="1">
      <c r="A77" s="47" t="n"/>
      <c r="B77" s="46" t="n"/>
      <c r="C77" s="49" t="n"/>
      <c r="D77" s="49" t="n"/>
      <c r="E77" s="49" t="n"/>
      <c r="F77" s="49" t="n"/>
      <c r="G77" s="47" t="n"/>
      <c r="H77" s="50" t="n"/>
      <c r="I77" s="51" t="n"/>
      <c r="J77" s="46" t="n"/>
      <c r="K77" s="46" t="n"/>
      <c r="L77" s="23">
        <f>IF(OR($A77="",$B77=""),"",IF($K77&lt;&gt;"",$K77-$B77,TODAY()-$B77))</f>
        <v/>
      </c>
      <c r="M77" s="27">
        <f>IF(OR($A77="",$J77=""),"",IF($K77="",IF(TODAY()&gt;$J77,"Atrasado","En ruta"),IF($K77&lt;=$J77,"Sí","No")))</f>
        <v/>
      </c>
      <c r="N77" s="23">
        <f>IF($A77="","",COUNTIFS(NOVEDADES!$C$4:$C$1503,$A77))</f>
        <v/>
      </c>
      <c r="O77" s="27">
        <f>IF($A77="","",IF(COUNTIFS(NOVEDADES!$C$4:$C$1503,$A77,NOVEDADES!$M$4:$M$1503,"SÍ")&gt;0,"No","Sí"))</f>
        <v/>
      </c>
      <c r="P77" s="27">
        <f>IF(OR($A77="",$K77=""),"",IF(AND($M77="Sí",$O77="Sí"),"OTIF","Falló"))</f>
        <v/>
      </c>
    </row>
    <row r="78" ht="16" customHeight="1">
      <c r="A78" s="47" t="n"/>
      <c r="B78" s="46" t="n"/>
      <c r="C78" s="49" t="n"/>
      <c r="D78" s="49" t="n"/>
      <c r="E78" s="49" t="n"/>
      <c r="F78" s="49" t="n"/>
      <c r="G78" s="47" t="n"/>
      <c r="H78" s="50" t="n"/>
      <c r="I78" s="51" t="n"/>
      <c r="J78" s="46" t="n"/>
      <c r="K78" s="46" t="n"/>
      <c r="L78" s="23">
        <f>IF(OR($A78="",$B78=""),"",IF($K78&lt;&gt;"",$K78-$B78,TODAY()-$B78))</f>
        <v/>
      </c>
      <c r="M78" s="27">
        <f>IF(OR($A78="",$J78=""),"",IF($K78="",IF(TODAY()&gt;$J78,"Atrasado","En ruta"),IF($K78&lt;=$J78,"Sí","No")))</f>
        <v/>
      </c>
      <c r="N78" s="23">
        <f>IF($A78="","",COUNTIFS(NOVEDADES!$C$4:$C$1503,$A78))</f>
        <v/>
      </c>
      <c r="O78" s="27">
        <f>IF($A78="","",IF(COUNTIFS(NOVEDADES!$C$4:$C$1503,$A78,NOVEDADES!$M$4:$M$1503,"SÍ")&gt;0,"No","Sí"))</f>
        <v/>
      </c>
      <c r="P78" s="27">
        <f>IF(OR($A78="",$K78=""),"",IF(AND($M78="Sí",$O78="Sí"),"OTIF","Falló"))</f>
        <v/>
      </c>
    </row>
    <row r="79" ht="16" customHeight="1">
      <c r="A79" s="47" t="n"/>
      <c r="B79" s="46" t="n"/>
      <c r="C79" s="49" t="n"/>
      <c r="D79" s="49" t="n"/>
      <c r="E79" s="49" t="n"/>
      <c r="F79" s="49" t="n"/>
      <c r="G79" s="47" t="n"/>
      <c r="H79" s="50" t="n"/>
      <c r="I79" s="51" t="n"/>
      <c r="J79" s="46" t="n"/>
      <c r="K79" s="46" t="n"/>
      <c r="L79" s="23">
        <f>IF(OR($A79="",$B79=""),"",IF($K79&lt;&gt;"",$K79-$B79,TODAY()-$B79))</f>
        <v/>
      </c>
      <c r="M79" s="27">
        <f>IF(OR($A79="",$J79=""),"",IF($K79="",IF(TODAY()&gt;$J79,"Atrasado","En ruta"),IF($K79&lt;=$J79,"Sí","No")))</f>
        <v/>
      </c>
      <c r="N79" s="23">
        <f>IF($A79="","",COUNTIFS(NOVEDADES!$C$4:$C$1503,$A79))</f>
        <v/>
      </c>
      <c r="O79" s="27">
        <f>IF($A79="","",IF(COUNTIFS(NOVEDADES!$C$4:$C$1503,$A79,NOVEDADES!$M$4:$M$1503,"SÍ")&gt;0,"No","Sí"))</f>
        <v/>
      </c>
      <c r="P79" s="27">
        <f>IF(OR($A79="",$K79=""),"",IF(AND($M79="Sí",$O79="Sí"),"OTIF","Falló"))</f>
        <v/>
      </c>
    </row>
    <row r="80" ht="16" customHeight="1">
      <c r="A80" s="47" t="n"/>
      <c r="B80" s="46" t="n"/>
      <c r="C80" s="49" t="n"/>
      <c r="D80" s="49" t="n"/>
      <c r="E80" s="49" t="n"/>
      <c r="F80" s="49" t="n"/>
      <c r="G80" s="47" t="n"/>
      <c r="H80" s="50" t="n"/>
      <c r="I80" s="51" t="n"/>
      <c r="J80" s="46" t="n"/>
      <c r="K80" s="46" t="n"/>
      <c r="L80" s="23">
        <f>IF(OR($A80="",$B80=""),"",IF($K80&lt;&gt;"",$K80-$B80,TODAY()-$B80))</f>
        <v/>
      </c>
      <c r="M80" s="27">
        <f>IF(OR($A80="",$J80=""),"",IF($K80="",IF(TODAY()&gt;$J80,"Atrasado","En ruta"),IF($K80&lt;=$J80,"Sí","No")))</f>
        <v/>
      </c>
      <c r="N80" s="23">
        <f>IF($A80="","",COUNTIFS(NOVEDADES!$C$4:$C$1503,$A80))</f>
        <v/>
      </c>
      <c r="O80" s="27">
        <f>IF($A80="","",IF(COUNTIFS(NOVEDADES!$C$4:$C$1503,$A80,NOVEDADES!$M$4:$M$1503,"SÍ")&gt;0,"No","Sí"))</f>
        <v/>
      </c>
      <c r="P80" s="27">
        <f>IF(OR($A80="",$K80=""),"",IF(AND($M80="Sí",$O80="Sí"),"OTIF","Falló"))</f>
        <v/>
      </c>
    </row>
    <row r="81" ht="16" customHeight="1">
      <c r="A81" s="47" t="n"/>
      <c r="B81" s="46" t="n"/>
      <c r="C81" s="49" t="n"/>
      <c r="D81" s="49" t="n"/>
      <c r="E81" s="49" t="n"/>
      <c r="F81" s="49" t="n"/>
      <c r="G81" s="47" t="n"/>
      <c r="H81" s="50" t="n"/>
      <c r="I81" s="51" t="n"/>
      <c r="J81" s="46" t="n"/>
      <c r="K81" s="46" t="n"/>
      <c r="L81" s="23">
        <f>IF(OR($A81="",$B81=""),"",IF($K81&lt;&gt;"",$K81-$B81,TODAY()-$B81))</f>
        <v/>
      </c>
      <c r="M81" s="27">
        <f>IF(OR($A81="",$J81=""),"",IF($K81="",IF(TODAY()&gt;$J81,"Atrasado","En ruta"),IF($K81&lt;=$J81,"Sí","No")))</f>
        <v/>
      </c>
      <c r="N81" s="23">
        <f>IF($A81="","",COUNTIFS(NOVEDADES!$C$4:$C$1503,$A81))</f>
        <v/>
      </c>
      <c r="O81" s="27">
        <f>IF($A81="","",IF(COUNTIFS(NOVEDADES!$C$4:$C$1503,$A81,NOVEDADES!$M$4:$M$1503,"SÍ")&gt;0,"No","Sí"))</f>
        <v/>
      </c>
      <c r="P81" s="27">
        <f>IF(OR($A81="",$K81=""),"",IF(AND($M81="Sí",$O81="Sí"),"OTIF","Falló"))</f>
        <v/>
      </c>
    </row>
    <row r="82" ht="16" customHeight="1">
      <c r="A82" s="47" t="n"/>
      <c r="B82" s="46" t="n"/>
      <c r="C82" s="49" t="n"/>
      <c r="D82" s="49" t="n"/>
      <c r="E82" s="49" t="n"/>
      <c r="F82" s="49" t="n"/>
      <c r="G82" s="47" t="n"/>
      <c r="H82" s="50" t="n"/>
      <c r="I82" s="51" t="n"/>
      <c r="J82" s="46" t="n"/>
      <c r="K82" s="46" t="n"/>
      <c r="L82" s="23">
        <f>IF(OR($A82="",$B82=""),"",IF($K82&lt;&gt;"",$K82-$B82,TODAY()-$B82))</f>
        <v/>
      </c>
      <c r="M82" s="27">
        <f>IF(OR($A82="",$J82=""),"",IF($K82="",IF(TODAY()&gt;$J82,"Atrasado","En ruta"),IF($K82&lt;=$J82,"Sí","No")))</f>
        <v/>
      </c>
      <c r="N82" s="23">
        <f>IF($A82="","",COUNTIFS(NOVEDADES!$C$4:$C$1503,$A82))</f>
        <v/>
      </c>
      <c r="O82" s="27">
        <f>IF($A82="","",IF(COUNTIFS(NOVEDADES!$C$4:$C$1503,$A82,NOVEDADES!$M$4:$M$1503,"SÍ")&gt;0,"No","Sí"))</f>
        <v/>
      </c>
      <c r="P82" s="27">
        <f>IF(OR($A82="",$K82=""),"",IF(AND($M82="Sí",$O82="Sí"),"OTIF","Falló"))</f>
        <v/>
      </c>
    </row>
    <row r="83" ht="16" customHeight="1">
      <c r="A83" s="47" t="n"/>
      <c r="B83" s="46" t="n"/>
      <c r="C83" s="49" t="n"/>
      <c r="D83" s="49" t="n"/>
      <c r="E83" s="49" t="n"/>
      <c r="F83" s="49" t="n"/>
      <c r="G83" s="47" t="n"/>
      <c r="H83" s="50" t="n"/>
      <c r="I83" s="51" t="n"/>
      <c r="J83" s="46" t="n"/>
      <c r="K83" s="46" t="n"/>
      <c r="L83" s="23">
        <f>IF(OR($A83="",$B83=""),"",IF($K83&lt;&gt;"",$K83-$B83,TODAY()-$B83))</f>
        <v/>
      </c>
      <c r="M83" s="27">
        <f>IF(OR($A83="",$J83=""),"",IF($K83="",IF(TODAY()&gt;$J83,"Atrasado","En ruta"),IF($K83&lt;=$J83,"Sí","No")))</f>
        <v/>
      </c>
      <c r="N83" s="23">
        <f>IF($A83="","",COUNTIFS(NOVEDADES!$C$4:$C$1503,$A83))</f>
        <v/>
      </c>
      <c r="O83" s="27">
        <f>IF($A83="","",IF(COUNTIFS(NOVEDADES!$C$4:$C$1503,$A83,NOVEDADES!$M$4:$M$1503,"SÍ")&gt;0,"No","Sí"))</f>
        <v/>
      </c>
      <c r="P83" s="27">
        <f>IF(OR($A83="",$K83=""),"",IF(AND($M83="Sí",$O83="Sí"),"OTIF","Falló"))</f>
        <v/>
      </c>
    </row>
    <row r="84" ht="16" customHeight="1">
      <c r="A84" s="47" t="n"/>
      <c r="B84" s="46" t="n"/>
      <c r="C84" s="49" t="n"/>
      <c r="D84" s="49" t="n"/>
      <c r="E84" s="49" t="n"/>
      <c r="F84" s="49" t="n"/>
      <c r="G84" s="47" t="n"/>
      <c r="H84" s="50" t="n"/>
      <c r="I84" s="51" t="n"/>
      <c r="J84" s="46" t="n"/>
      <c r="K84" s="46" t="n"/>
      <c r="L84" s="23">
        <f>IF(OR($A84="",$B84=""),"",IF($K84&lt;&gt;"",$K84-$B84,TODAY()-$B84))</f>
        <v/>
      </c>
      <c r="M84" s="27">
        <f>IF(OR($A84="",$J84=""),"",IF($K84="",IF(TODAY()&gt;$J84,"Atrasado","En ruta"),IF($K84&lt;=$J84,"Sí","No")))</f>
        <v/>
      </c>
      <c r="N84" s="23">
        <f>IF($A84="","",COUNTIFS(NOVEDADES!$C$4:$C$1503,$A84))</f>
        <v/>
      </c>
      <c r="O84" s="27">
        <f>IF($A84="","",IF(COUNTIFS(NOVEDADES!$C$4:$C$1503,$A84,NOVEDADES!$M$4:$M$1503,"SÍ")&gt;0,"No","Sí"))</f>
        <v/>
      </c>
      <c r="P84" s="27">
        <f>IF(OR($A84="",$K84=""),"",IF(AND($M84="Sí",$O84="Sí"),"OTIF","Falló"))</f>
        <v/>
      </c>
    </row>
    <row r="85" ht="16" customHeight="1">
      <c r="A85" s="47" t="n"/>
      <c r="B85" s="46" t="n"/>
      <c r="C85" s="49" t="n"/>
      <c r="D85" s="49" t="n"/>
      <c r="E85" s="49" t="n"/>
      <c r="F85" s="49" t="n"/>
      <c r="G85" s="47" t="n"/>
      <c r="H85" s="50" t="n"/>
      <c r="I85" s="51" t="n"/>
      <c r="J85" s="46" t="n"/>
      <c r="K85" s="46" t="n"/>
      <c r="L85" s="23">
        <f>IF(OR($A85="",$B85=""),"",IF($K85&lt;&gt;"",$K85-$B85,TODAY()-$B85))</f>
        <v/>
      </c>
      <c r="M85" s="27">
        <f>IF(OR($A85="",$J85=""),"",IF($K85="",IF(TODAY()&gt;$J85,"Atrasado","En ruta"),IF($K85&lt;=$J85,"Sí","No")))</f>
        <v/>
      </c>
      <c r="N85" s="23">
        <f>IF($A85="","",COUNTIFS(NOVEDADES!$C$4:$C$1503,$A85))</f>
        <v/>
      </c>
      <c r="O85" s="27">
        <f>IF($A85="","",IF(COUNTIFS(NOVEDADES!$C$4:$C$1503,$A85,NOVEDADES!$M$4:$M$1503,"SÍ")&gt;0,"No","Sí"))</f>
        <v/>
      </c>
      <c r="P85" s="27">
        <f>IF(OR($A85="",$K85=""),"",IF(AND($M85="Sí",$O85="Sí"),"OTIF","Falló"))</f>
        <v/>
      </c>
    </row>
    <row r="86" ht="16" customHeight="1">
      <c r="A86" s="47" t="n"/>
      <c r="B86" s="46" t="n"/>
      <c r="C86" s="49" t="n"/>
      <c r="D86" s="49" t="n"/>
      <c r="E86" s="49" t="n"/>
      <c r="F86" s="49" t="n"/>
      <c r="G86" s="47" t="n"/>
      <c r="H86" s="50" t="n"/>
      <c r="I86" s="51" t="n"/>
      <c r="J86" s="46" t="n"/>
      <c r="K86" s="46" t="n"/>
      <c r="L86" s="23">
        <f>IF(OR($A86="",$B86=""),"",IF($K86&lt;&gt;"",$K86-$B86,TODAY()-$B86))</f>
        <v/>
      </c>
      <c r="M86" s="27">
        <f>IF(OR($A86="",$J86=""),"",IF($K86="",IF(TODAY()&gt;$J86,"Atrasado","En ruta"),IF($K86&lt;=$J86,"Sí","No")))</f>
        <v/>
      </c>
      <c r="N86" s="23">
        <f>IF($A86="","",COUNTIFS(NOVEDADES!$C$4:$C$1503,$A86))</f>
        <v/>
      </c>
      <c r="O86" s="27">
        <f>IF($A86="","",IF(COUNTIFS(NOVEDADES!$C$4:$C$1503,$A86,NOVEDADES!$M$4:$M$1503,"SÍ")&gt;0,"No","Sí"))</f>
        <v/>
      </c>
      <c r="P86" s="27">
        <f>IF(OR($A86="",$K86=""),"",IF(AND($M86="Sí",$O86="Sí"),"OTIF","Falló"))</f>
        <v/>
      </c>
    </row>
    <row r="87" ht="16" customHeight="1">
      <c r="A87" s="47" t="n"/>
      <c r="B87" s="46" t="n"/>
      <c r="C87" s="49" t="n"/>
      <c r="D87" s="49" t="n"/>
      <c r="E87" s="49" t="n"/>
      <c r="F87" s="49" t="n"/>
      <c r="G87" s="47" t="n"/>
      <c r="H87" s="50" t="n"/>
      <c r="I87" s="51" t="n"/>
      <c r="J87" s="46" t="n"/>
      <c r="K87" s="46" t="n"/>
      <c r="L87" s="23">
        <f>IF(OR($A87="",$B87=""),"",IF($K87&lt;&gt;"",$K87-$B87,TODAY()-$B87))</f>
        <v/>
      </c>
      <c r="M87" s="27">
        <f>IF(OR($A87="",$J87=""),"",IF($K87="",IF(TODAY()&gt;$J87,"Atrasado","En ruta"),IF($K87&lt;=$J87,"Sí","No")))</f>
        <v/>
      </c>
      <c r="N87" s="23">
        <f>IF($A87="","",COUNTIFS(NOVEDADES!$C$4:$C$1503,$A87))</f>
        <v/>
      </c>
      <c r="O87" s="27">
        <f>IF($A87="","",IF(COUNTIFS(NOVEDADES!$C$4:$C$1503,$A87,NOVEDADES!$M$4:$M$1503,"SÍ")&gt;0,"No","Sí"))</f>
        <v/>
      </c>
      <c r="P87" s="27">
        <f>IF(OR($A87="",$K87=""),"",IF(AND($M87="Sí",$O87="Sí"),"OTIF","Falló"))</f>
        <v/>
      </c>
    </row>
    <row r="88" ht="16" customHeight="1">
      <c r="A88" s="47" t="n"/>
      <c r="B88" s="46" t="n"/>
      <c r="C88" s="49" t="n"/>
      <c r="D88" s="49" t="n"/>
      <c r="E88" s="49" t="n"/>
      <c r="F88" s="49" t="n"/>
      <c r="G88" s="47" t="n"/>
      <c r="H88" s="50" t="n"/>
      <c r="I88" s="51" t="n"/>
      <c r="J88" s="46" t="n"/>
      <c r="K88" s="46" t="n"/>
      <c r="L88" s="23">
        <f>IF(OR($A88="",$B88=""),"",IF($K88&lt;&gt;"",$K88-$B88,TODAY()-$B88))</f>
        <v/>
      </c>
      <c r="M88" s="27">
        <f>IF(OR($A88="",$J88=""),"",IF($K88="",IF(TODAY()&gt;$J88,"Atrasado","En ruta"),IF($K88&lt;=$J88,"Sí","No")))</f>
        <v/>
      </c>
      <c r="N88" s="23">
        <f>IF($A88="","",COUNTIFS(NOVEDADES!$C$4:$C$1503,$A88))</f>
        <v/>
      </c>
      <c r="O88" s="27">
        <f>IF($A88="","",IF(COUNTIFS(NOVEDADES!$C$4:$C$1503,$A88,NOVEDADES!$M$4:$M$1503,"SÍ")&gt;0,"No","Sí"))</f>
        <v/>
      </c>
      <c r="P88" s="27">
        <f>IF(OR($A88="",$K88=""),"",IF(AND($M88="Sí",$O88="Sí"),"OTIF","Falló"))</f>
        <v/>
      </c>
    </row>
    <row r="89" ht="16" customHeight="1">
      <c r="A89" s="47" t="n"/>
      <c r="B89" s="46" t="n"/>
      <c r="C89" s="49" t="n"/>
      <c r="D89" s="49" t="n"/>
      <c r="E89" s="49" t="n"/>
      <c r="F89" s="49" t="n"/>
      <c r="G89" s="47" t="n"/>
      <c r="H89" s="50" t="n"/>
      <c r="I89" s="51" t="n"/>
      <c r="J89" s="46" t="n"/>
      <c r="K89" s="46" t="n"/>
      <c r="L89" s="23">
        <f>IF(OR($A89="",$B89=""),"",IF($K89&lt;&gt;"",$K89-$B89,TODAY()-$B89))</f>
        <v/>
      </c>
      <c r="M89" s="27">
        <f>IF(OR($A89="",$J89=""),"",IF($K89="",IF(TODAY()&gt;$J89,"Atrasado","En ruta"),IF($K89&lt;=$J89,"Sí","No")))</f>
        <v/>
      </c>
      <c r="N89" s="23">
        <f>IF($A89="","",COUNTIFS(NOVEDADES!$C$4:$C$1503,$A89))</f>
        <v/>
      </c>
      <c r="O89" s="27">
        <f>IF($A89="","",IF(COUNTIFS(NOVEDADES!$C$4:$C$1503,$A89,NOVEDADES!$M$4:$M$1503,"SÍ")&gt;0,"No","Sí"))</f>
        <v/>
      </c>
      <c r="P89" s="27">
        <f>IF(OR($A89="",$K89=""),"",IF(AND($M89="Sí",$O89="Sí"),"OTIF","Falló"))</f>
        <v/>
      </c>
    </row>
    <row r="90" ht="16" customHeight="1">
      <c r="A90" s="47" t="n"/>
      <c r="B90" s="46" t="n"/>
      <c r="C90" s="49" t="n"/>
      <c r="D90" s="49" t="n"/>
      <c r="E90" s="49" t="n"/>
      <c r="F90" s="49" t="n"/>
      <c r="G90" s="47" t="n"/>
      <c r="H90" s="50" t="n"/>
      <c r="I90" s="51" t="n"/>
      <c r="J90" s="46" t="n"/>
      <c r="K90" s="46" t="n"/>
      <c r="L90" s="23">
        <f>IF(OR($A90="",$B90=""),"",IF($K90&lt;&gt;"",$K90-$B90,TODAY()-$B90))</f>
        <v/>
      </c>
      <c r="M90" s="27">
        <f>IF(OR($A90="",$J90=""),"",IF($K90="",IF(TODAY()&gt;$J90,"Atrasado","En ruta"),IF($K90&lt;=$J90,"Sí","No")))</f>
        <v/>
      </c>
      <c r="N90" s="23">
        <f>IF($A90="","",COUNTIFS(NOVEDADES!$C$4:$C$1503,$A90))</f>
        <v/>
      </c>
      <c r="O90" s="27">
        <f>IF($A90="","",IF(COUNTIFS(NOVEDADES!$C$4:$C$1503,$A90,NOVEDADES!$M$4:$M$1503,"SÍ")&gt;0,"No","Sí"))</f>
        <v/>
      </c>
      <c r="P90" s="27">
        <f>IF(OR($A90="",$K90=""),"",IF(AND($M90="Sí",$O90="Sí"),"OTIF","Falló"))</f>
        <v/>
      </c>
    </row>
    <row r="91" ht="16" customHeight="1">
      <c r="A91" s="47" t="n"/>
      <c r="B91" s="46" t="n"/>
      <c r="C91" s="49" t="n"/>
      <c r="D91" s="49" t="n"/>
      <c r="E91" s="49" t="n"/>
      <c r="F91" s="49" t="n"/>
      <c r="G91" s="47" t="n"/>
      <c r="H91" s="50" t="n"/>
      <c r="I91" s="51" t="n"/>
      <c r="J91" s="46" t="n"/>
      <c r="K91" s="46" t="n"/>
      <c r="L91" s="23">
        <f>IF(OR($A91="",$B91=""),"",IF($K91&lt;&gt;"",$K91-$B91,TODAY()-$B91))</f>
        <v/>
      </c>
      <c r="M91" s="27">
        <f>IF(OR($A91="",$J91=""),"",IF($K91="",IF(TODAY()&gt;$J91,"Atrasado","En ruta"),IF($K91&lt;=$J91,"Sí","No")))</f>
        <v/>
      </c>
      <c r="N91" s="23">
        <f>IF($A91="","",COUNTIFS(NOVEDADES!$C$4:$C$1503,$A91))</f>
        <v/>
      </c>
      <c r="O91" s="27">
        <f>IF($A91="","",IF(COUNTIFS(NOVEDADES!$C$4:$C$1503,$A91,NOVEDADES!$M$4:$M$1503,"SÍ")&gt;0,"No","Sí"))</f>
        <v/>
      </c>
      <c r="P91" s="27">
        <f>IF(OR($A91="",$K91=""),"",IF(AND($M91="Sí",$O91="Sí"),"OTIF","Falló"))</f>
        <v/>
      </c>
    </row>
    <row r="92" ht="16" customHeight="1">
      <c r="A92" s="47" t="n"/>
      <c r="B92" s="46" t="n"/>
      <c r="C92" s="49" t="n"/>
      <c r="D92" s="49" t="n"/>
      <c r="E92" s="49" t="n"/>
      <c r="F92" s="49" t="n"/>
      <c r="G92" s="47" t="n"/>
      <c r="H92" s="50" t="n"/>
      <c r="I92" s="51" t="n"/>
      <c r="J92" s="46" t="n"/>
      <c r="K92" s="46" t="n"/>
      <c r="L92" s="23">
        <f>IF(OR($A92="",$B92=""),"",IF($K92&lt;&gt;"",$K92-$B92,TODAY()-$B92))</f>
        <v/>
      </c>
      <c r="M92" s="27">
        <f>IF(OR($A92="",$J92=""),"",IF($K92="",IF(TODAY()&gt;$J92,"Atrasado","En ruta"),IF($K92&lt;=$J92,"Sí","No")))</f>
        <v/>
      </c>
      <c r="N92" s="23">
        <f>IF($A92="","",COUNTIFS(NOVEDADES!$C$4:$C$1503,$A92))</f>
        <v/>
      </c>
      <c r="O92" s="27">
        <f>IF($A92="","",IF(COUNTIFS(NOVEDADES!$C$4:$C$1503,$A92,NOVEDADES!$M$4:$M$1503,"SÍ")&gt;0,"No","Sí"))</f>
        <v/>
      </c>
      <c r="P92" s="27">
        <f>IF(OR($A92="",$K92=""),"",IF(AND($M92="Sí",$O92="Sí"),"OTIF","Falló"))</f>
        <v/>
      </c>
    </row>
    <row r="93" ht="16" customHeight="1">
      <c r="A93" s="47" t="n"/>
      <c r="B93" s="46" t="n"/>
      <c r="C93" s="49" t="n"/>
      <c r="D93" s="49" t="n"/>
      <c r="E93" s="49" t="n"/>
      <c r="F93" s="49" t="n"/>
      <c r="G93" s="47" t="n"/>
      <c r="H93" s="50" t="n"/>
      <c r="I93" s="51" t="n"/>
      <c r="J93" s="46" t="n"/>
      <c r="K93" s="46" t="n"/>
      <c r="L93" s="23">
        <f>IF(OR($A93="",$B93=""),"",IF($K93&lt;&gt;"",$K93-$B93,TODAY()-$B93))</f>
        <v/>
      </c>
      <c r="M93" s="27">
        <f>IF(OR($A93="",$J93=""),"",IF($K93="",IF(TODAY()&gt;$J93,"Atrasado","En ruta"),IF($K93&lt;=$J93,"Sí","No")))</f>
        <v/>
      </c>
      <c r="N93" s="23">
        <f>IF($A93="","",COUNTIFS(NOVEDADES!$C$4:$C$1503,$A93))</f>
        <v/>
      </c>
      <c r="O93" s="27">
        <f>IF($A93="","",IF(COUNTIFS(NOVEDADES!$C$4:$C$1503,$A93,NOVEDADES!$M$4:$M$1503,"SÍ")&gt;0,"No","Sí"))</f>
        <v/>
      </c>
      <c r="P93" s="27">
        <f>IF(OR($A93="",$K93=""),"",IF(AND($M93="Sí",$O93="Sí"),"OTIF","Falló"))</f>
        <v/>
      </c>
    </row>
    <row r="94" ht="16" customHeight="1">
      <c r="A94" s="47" t="n"/>
      <c r="B94" s="46" t="n"/>
      <c r="C94" s="49" t="n"/>
      <c r="D94" s="49" t="n"/>
      <c r="E94" s="49" t="n"/>
      <c r="F94" s="49" t="n"/>
      <c r="G94" s="47" t="n"/>
      <c r="H94" s="50" t="n"/>
      <c r="I94" s="51" t="n"/>
      <c r="J94" s="46" t="n"/>
      <c r="K94" s="46" t="n"/>
      <c r="L94" s="23">
        <f>IF(OR($A94="",$B94=""),"",IF($K94&lt;&gt;"",$K94-$B94,TODAY()-$B94))</f>
        <v/>
      </c>
      <c r="M94" s="27">
        <f>IF(OR($A94="",$J94=""),"",IF($K94="",IF(TODAY()&gt;$J94,"Atrasado","En ruta"),IF($K94&lt;=$J94,"Sí","No")))</f>
        <v/>
      </c>
      <c r="N94" s="23">
        <f>IF($A94="","",COUNTIFS(NOVEDADES!$C$4:$C$1503,$A94))</f>
        <v/>
      </c>
      <c r="O94" s="27">
        <f>IF($A94="","",IF(COUNTIFS(NOVEDADES!$C$4:$C$1503,$A94,NOVEDADES!$M$4:$M$1503,"SÍ")&gt;0,"No","Sí"))</f>
        <v/>
      </c>
      <c r="P94" s="27">
        <f>IF(OR($A94="",$K94=""),"",IF(AND($M94="Sí",$O94="Sí"),"OTIF","Falló"))</f>
        <v/>
      </c>
    </row>
    <row r="95" ht="16" customHeight="1">
      <c r="A95" s="47" t="n"/>
      <c r="B95" s="46" t="n"/>
      <c r="C95" s="49" t="n"/>
      <c r="D95" s="49" t="n"/>
      <c r="E95" s="49" t="n"/>
      <c r="F95" s="49" t="n"/>
      <c r="G95" s="47" t="n"/>
      <c r="H95" s="50" t="n"/>
      <c r="I95" s="51" t="n"/>
      <c r="J95" s="46" t="n"/>
      <c r="K95" s="46" t="n"/>
      <c r="L95" s="23">
        <f>IF(OR($A95="",$B95=""),"",IF($K95&lt;&gt;"",$K95-$B95,TODAY()-$B95))</f>
        <v/>
      </c>
      <c r="M95" s="27">
        <f>IF(OR($A95="",$J95=""),"",IF($K95="",IF(TODAY()&gt;$J95,"Atrasado","En ruta"),IF($K95&lt;=$J95,"Sí","No")))</f>
        <v/>
      </c>
      <c r="N95" s="23">
        <f>IF($A95="","",COUNTIFS(NOVEDADES!$C$4:$C$1503,$A95))</f>
        <v/>
      </c>
      <c r="O95" s="27">
        <f>IF($A95="","",IF(COUNTIFS(NOVEDADES!$C$4:$C$1503,$A95,NOVEDADES!$M$4:$M$1503,"SÍ")&gt;0,"No","Sí"))</f>
        <v/>
      </c>
      <c r="P95" s="27">
        <f>IF(OR($A95="",$K95=""),"",IF(AND($M95="Sí",$O95="Sí"),"OTIF","Falló"))</f>
        <v/>
      </c>
    </row>
    <row r="96" ht="16" customHeight="1">
      <c r="A96" s="47" t="n"/>
      <c r="B96" s="46" t="n"/>
      <c r="C96" s="49" t="n"/>
      <c r="D96" s="49" t="n"/>
      <c r="E96" s="49" t="n"/>
      <c r="F96" s="49" t="n"/>
      <c r="G96" s="47" t="n"/>
      <c r="H96" s="50" t="n"/>
      <c r="I96" s="51" t="n"/>
      <c r="J96" s="46" t="n"/>
      <c r="K96" s="46" t="n"/>
      <c r="L96" s="23">
        <f>IF(OR($A96="",$B96=""),"",IF($K96&lt;&gt;"",$K96-$B96,TODAY()-$B96))</f>
        <v/>
      </c>
      <c r="M96" s="27">
        <f>IF(OR($A96="",$J96=""),"",IF($K96="",IF(TODAY()&gt;$J96,"Atrasado","En ruta"),IF($K96&lt;=$J96,"Sí","No")))</f>
        <v/>
      </c>
      <c r="N96" s="23">
        <f>IF($A96="","",COUNTIFS(NOVEDADES!$C$4:$C$1503,$A96))</f>
        <v/>
      </c>
      <c r="O96" s="27">
        <f>IF($A96="","",IF(COUNTIFS(NOVEDADES!$C$4:$C$1503,$A96,NOVEDADES!$M$4:$M$1503,"SÍ")&gt;0,"No","Sí"))</f>
        <v/>
      </c>
      <c r="P96" s="27">
        <f>IF(OR($A96="",$K96=""),"",IF(AND($M96="Sí",$O96="Sí"),"OTIF","Falló"))</f>
        <v/>
      </c>
    </row>
    <row r="97" ht="16" customHeight="1">
      <c r="A97" s="47" t="n"/>
      <c r="B97" s="46" t="n"/>
      <c r="C97" s="49" t="n"/>
      <c r="D97" s="49" t="n"/>
      <c r="E97" s="49" t="n"/>
      <c r="F97" s="49" t="n"/>
      <c r="G97" s="47" t="n"/>
      <c r="H97" s="50" t="n"/>
      <c r="I97" s="51" t="n"/>
      <c r="J97" s="46" t="n"/>
      <c r="K97" s="46" t="n"/>
      <c r="L97" s="23">
        <f>IF(OR($A97="",$B97=""),"",IF($K97&lt;&gt;"",$K97-$B97,TODAY()-$B97))</f>
        <v/>
      </c>
      <c r="M97" s="27">
        <f>IF(OR($A97="",$J97=""),"",IF($K97="",IF(TODAY()&gt;$J97,"Atrasado","En ruta"),IF($K97&lt;=$J97,"Sí","No")))</f>
        <v/>
      </c>
      <c r="N97" s="23">
        <f>IF($A97="","",COUNTIFS(NOVEDADES!$C$4:$C$1503,$A97))</f>
        <v/>
      </c>
      <c r="O97" s="27">
        <f>IF($A97="","",IF(COUNTIFS(NOVEDADES!$C$4:$C$1503,$A97,NOVEDADES!$M$4:$M$1503,"SÍ")&gt;0,"No","Sí"))</f>
        <v/>
      </c>
      <c r="P97" s="27">
        <f>IF(OR($A97="",$K97=""),"",IF(AND($M97="Sí",$O97="Sí"),"OTIF","Falló"))</f>
        <v/>
      </c>
    </row>
    <row r="98" ht="16" customHeight="1">
      <c r="A98" s="47" t="n"/>
      <c r="B98" s="46" t="n"/>
      <c r="C98" s="49" t="n"/>
      <c r="D98" s="49" t="n"/>
      <c r="E98" s="49" t="n"/>
      <c r="F98" s="49" t="n"/>
      <c r="G98" s="47" t="n"/>
      <c r="H98" s="50" t="n"/>
      <c r="I98" s="51" t="n"/>
      <c r="J98" s="46" t="n"/>
      <c r="K98" s="46" t="n"/>
      <c r="L98" s="23">
        <f>IF(OR($A98="",$B98=""),"",IF($K98&lt;&gt;"",$K98-$B98,TODAY()-$B98))</f>
        <v/>
      </c>
      <c r="M98" s="27">
        <f>IF(OR($A98="",$J98=""),"",IF($K98="",IF(TODAY()&gt;$J98,"Atrasado","En ruta"),IF($K98&lt;=$J98,"Sí","No")))</f>
        <v/>
      </c>
      <c r="N98" s="23">
        <f>IF($A98="","",COUNTIFS(NOVEDADES!$C$4:$C$1503,$A98))</f>
        <v/>
      </c>
      <c r="O98" s="27">
        <f>IF($A98="","",IF(COUNTIFS(NOVEDADES!$C$4:$C$1503,$A98,NOVEDADES!$M$4:$M$1503,"SÍ")&gt;0,"No","Sí"))</f>
        <v/>
      </c>
      <c r="P98" s="27">
        <f>IF(OR($A98="",$K98=""),"",IF(AND($M98="Sí",$O98="Sí"),"OTIF","Falló"))</f>
        <v/>
      </c>
    </row>
    <row r="99" ht="16" customHeight="1">
      <c r="A99" s="47" t="n"/>
      <c r="B99" s="46" t="n"/>
      <c r="C99" s="49" t="n"/>
      <c r="D99" s="49" t="n"/>
      <c r="E99" s="49" t="n"/>
      <c r="F99" s="49" t="n"/>
      <c r="G99" s="47" t="n"/>
      <c r="H99" s="50" t="n"/>
      <c r="I99" s="51" t="n"/>
      <c r="J99" s="46" t="n"/>
      <c r="K99" s="46" t="n"/>
      <c r="L99" s="23">
        <f>IF(OR($A99="",$B99=""),"",IF($K99&lt;&gt;"",$K99-$B99,TODAY()-$B99))</f>
        <v/>
      </c>
      <c r="M99" s="27">
        <f>IF(OR($A99="",$J99=""),"",IF($K99="",IF(TODAY()&gt;$J99,"Atrasado","En ruta"),IF($K99&lt;=$J99,"Sí","No")))</f>
        <v/>
      </c>
      <c r="N99" s="23">
        <f>IF($A99="","",COUNTIFS(NOVEDADES!$C$4:$C$1503,$A99))</f>
        <v/>
      </c>
      <c r="O99" s="27">
        <f>IF($A99="","",IF(COUNTIFS(NOVEDADES!$C$4:$C$1503,$A99,NOVEDADES!$M$4:$M$1503,"SÍ")&gt;0,"No","Sí"))</f>
        <v/>
      </c>
      <c r="P99" s="27">
        <f>IF(OR($A99="",$K99=""),"",IF(AND($M99="Sí",$O99="Sí"),"OTIF","Falló"))</f>
        <v/>
      </c>
    </row>
    <row r="100" ht="16" customHeight="1">
      <c r="A100" s="47" t="n"/>
      <c r="B100" s="46" t="n"/>
      <c r="C100" s="49" t="n"/>
      <c r="D100" s="49" t="n"/>
      <c r="E100" s="49" t="n"/>
      <c r="F100" s="49" t="n"/>
      <c r="G100" s="47" t="n"/>
      <c r="H100" s="50" t="n"/>
      <c r="I100" s="51" t="n"/>
      <c r="J100" s="46" t="n"/>
      <c r="K100" s="46" t="n"/>
      <c r="L100" s="23">
        <f>IF(OR($A100="",$B100=""),"",IF($K100&lt;&gt;"",$K100-$B100,TODAY()-$B100))</f>
        <v/>
      </c>
      <c r="M100" s="27">
        <f>IF(OR($A100="",$J100=""),"",IF($K100="",IF(TODAY()&gt;$J100,"Atrasado","En ruta"),IF($K100&lt;=$J100,"Sí","No")))</f>
        <v/>
      </c>
      <c r="N100" s="23">
        <f>IF($A100="","",COUNTIFS(NOVEDADES!$C$4:$C$1503,$A100))</f>
        <v/>
      </c>
      <c r="O100" s="27">
        <f>IF($A100="","",IF(COUNTIFS(NOVEDADES!$C$4:$C$1503,$A100,NOVEDADES!$M$4:$M$1503,"SÍ")&gt;0,"No","Sí"))</f>
        <v/>
      </c>
      <c r="P100" s="27">
        <f>IF(OR($A100="",$K100=""),"",IF(AND($M100="Sí",$O100="Sí"),"OTIF","Falló"))</f>
        <v/>
      </c>
    </row>
    <row r="101" ht="16" customHeight="1">
      <c r="A101" s="47" t="n"/>
      <c r="B101" s="46" t="n"/>
      <c r="C101" s="49" t="n"/>
      <c r="D101" s="49" t="n"/>
      <c r="E101" s="49" t="n"/>
      <c r="F101" s="49" t="n"/>
      <c r="G101" s="47" t="n"/>
      <c r="H101" s="50" t="n"/>
      <c r="I101" s="51" t="n"/>
      <c r="J101" s="46" t="n"/>
      <c r="K101" s="46" t="n"/>
      <c r="L101" s="23">
        <f>IF(OR($A101="",$B101=""),"",IF($K101&lt;&gt;"",$K101-$B101,TODAY()-$B101))</f>
        <v/>
      </c>
      <c r="M101" s="27">
        <f>IF(OR($A101="",$J101=""),"",IF($K101="",IF(TODAY()&gt;$J101,"Atrasado","En ruta"),IF($K101&lt;=$J101,"Sí","No")))</f>
        <v/>
      </c>
      <c r="N101" s="23">
        <f>IF($A101="","",COUNTIFS(NOVEDADES!$C$4:$C$1503,$A101))</f>
        <v/>
      </c>
      <c r="O101" s="27">
        <f>IF($A101="","",IF(COUNTIFS(NOVEDADES!$C$4:$C$1503,$A101,NOVEDADES!$M$4:$M$1503,"SÍ")&gt;0,"No","Sí"))</f>
        <v/>
      </c>
      <c r="P101" s="27">
        <f>IF(OR($A101="",$K101=""),"",IF(AND($M101="Sí",$O101="Sí"),"OTIF","Falló"))</f>
        <v/>
      </c>
    </row>
    <row r="102" ht="16" customHeight="1">
      <c r="A102" s="47" t="n"/>
      <c r="B102" s="46" t="n"/>
      <c r="C102" s="49" t="n"/>
      <c r="D102" s="49" t="n"/>
      <c r="E102" s="49" t="n"/>
      <c r="F102" s="49" t="n"/>
      <c r="G102" s="47" t="n"/>
      <c r="H102" s="50" t="n"/>
      <c r="I102" s="51" t="n"/>
      <c r="J102" s="46" t="n"/>
      <c r="K102" s="46" t="n"/>
      <c r="L102" s="23">
        <f>IF(OR($A102="",$B102=""),"",IF($K102&lt;&gt;"",$K102-$B102,TODAY()-$B102))</f>
        <v/>
      </c>
      <c r="M102" s="27">
        <f>IF(OR($A102="",$J102=""),"",IF($K102="",IF(TODAY()&gt;$J102,"Atrasado","En ruta"),IF($K102&lt;=$J102,"Sí","No")))</f>
        <v/>
      </c>
      <c r="N102" s="23">
        <f>IF($A102="","",COUNTIFS(NOVEDADES!$C$4:$C$1503,$A102))</f>
        <v/>
      </c>
      <c r="O102" s="27">
        <f>IF($A102="","",IF(COUNTIFS(NOVEDADES!$C$4:$C$1503,$A102,NOVEDADES!$M$4:$M$1503,"SÍ")&gt;0,"No","Sí"))</f>
        <v/>
      </c>
      <c r="P102" s="27">
        <f>IF(OR($A102="",$K102=""),"",IF(AND($M102="Sí",$O102="Sí"),"OTIF","Falló"))</f>
        <v/>
      </c>
    </row>
    <row r="103" ht="16" customHeight="1">
      <c r="A103" s="47" t="n"/>
      <c r="B103" s="46" t="n"/>
      <c r="C103" s="49" t="n"/>
      <c r="D103" s="49" t="n"/>
      <c r="E103" s="49" t="n"/>
      <c r="F103" s="49" t="n"/>
      <c r="G103" s="47" t="n"/>
      <c r="H103" s="50" t="n"/>
      <c r="I103" s="51" t="n"/>
      <c r="J103" s="46" t="n"/>
      <c r="K103" s="46" t="n"/>
      <c r="L103" s="23">
        <f>IF(OR($A103="",$B103=""),"",IF($K103&lt;&gt;"",$K103-$B103,TODAY()-$B103))</f>
        <v/>
      </c>
      <c r="M103" s="27">
        <f>IF(OR($A103="",$J103=""),"",IF($K103="",IF(TODAY()&gt;$J103,"Atrasado","En ruta"),IF($K103&lt;=$J103,"Sí","No")))</f>
        <v/>
      </c>
      <c r="N103" s="23">
        <f>IF($A103="","",COUNTIFS(NOVEDADES!$C$4:$C$1503,$A103))</f>
        <v/>
      </c>
      <c r="O103" s="27">
        <f>IF($A103="","",IF(COUNTIFS(NOVEDADES!$C$4:$C$1503,$A103,NOVEDADES!$M$4:$M$1503,"SÍ")&gt;0,"No","Sí"))</f>
        <v/>
      </c>
      <c r="P103" s="27">
        <f>IF(OR($A103="",$K103=""),"",IF(AND($M103="Sí",$O103="Sí"),"OTIF","Falló"))</f>
        <v/>
      </c>
    </row>
    <row r="104" ht="16" customHeight="1">
      <c r="A104" s="47" t="n"/>
      <c r="B104" s="46" t="n"/>
      <c r="C104" s="49" t="n"/>
      <c r="D104" s="49" t="n"/>
      <c r="E104" s="49" t="n"/>
      <c r="F104" s="49" t="n"/>
      <c r="G104" s="47" t="n"/>
      <c r="H104" s="50" t="n"/>
      <c r="I104" s="51" t="n"/>
      <c r="J104" s="46" t="n"/>
      <c r="K104" s="46" t="n"/>
      <c r="L104" s="23">
        <f>IF(OR($A104="",$B104=""),"",IF($K104&lt;&gt;"",$K104-$B104,TODAY()-$B104))</f>
        <v/>
      </c>
      <c r="M104" s="27">
        <f>IF(OR($A104="",$J104=""),"",IF($K104="",IF(TODAY()&gt;$J104,"Atrasado","En ruta"),IF($K104&lt;=$J104,"Sí","No")))</f>
        <v/>
      </c>
      <c r="N104" s="23">
        <f>IF($A104="","",COUNTIFS(NOVEDADES!$C$4:$C$1503,$A104))</f>
        <v/>
      </c>
      <c r="O104" s="27">
        <f>IF($A104="","",IF(COUNTIFS(NOVEDADES!$C$4:$C$1503,$A104,NOVEDADES!$M$4:$M$1503,"SÍ")&gt;0,"No","Sí"))</f>
        <v/>
      </c>
      <c r="P104" s="27">
        <f>IF(OR($A104="",$K104=""),"",IF(AND($M104="Sí",$O104="Sí"),"OTIF","Falló"))</f>
        <v/>
      </c>
    </row>
    <row r="105" ht="16" customHeight="1">
      <c r="A105" s="47" t="n"/>
      <c r="B105" s="46" t="n"/>
      <c r="C105" s="49" t="n"/>
      <c r="D105" s="49" t="n"/>
      <c r="E105" s="49" t="n"/>
      <c r="F105" s="49" t="n"/>
      <c r="G105" s="47" t="n"/>
      <c r="H105" s="50" t="n"/>
      <c r="I105" s="51" t="n"/>
      <c r="J105" s="46" t="n"/>
      <c r="K105" s="46" t="n"/>
      <c r="L105" s="23">
        <f>IF(OR($A105="",$B105=""),"",IF($K105&lt;&gt;"",$K105-$B105,TODAY()-$B105))</f>
        <v/>
      </c>
      <c r="M105" s="27">
        <f>IF(OR($A105="",$J105=""),"",IF($K105="",IF(TODAY()&gt;$J105,"Atrasado","En ruta"),IF($K105&lt;=$J105,"Sí","No")))</f>
        <v/>
      </c>
      <c r="N105" s="23">
        <f>IF($A105="","",COUNTIFS(NOVEDADES!$C$4:$C$1503,$A105))</f>
        <v/>
      </c>
      <c r="O105" s="27">
        <f>IF($A105="","",IF(COUNTIFS(NOVEDADES!$C$4:$C$1503,$A105,NOVEDADES!$M$4:$M$1503,"SÍ")&gt;0,"No","Sí"))</f>
        <v/>
      </c>
      <c r="P105" s="27">
        <f>IF(OR($A105="",$K105=""),"",IF(AND($M105="Sí",$O105="Sí"),"OTIF","Falló"))</f>
        <v/>
      </c>
    </row>
    <row r="106" ht="16" customHeight="1">
      <c r="A106" s="47" t="n"/>
      <c r="B106" s="46" t="n"/>
      <c r="C106" s="49" t="n"/>
      <c r="D106" s="49" t="n"/>
      <c r="E106" s="49" t="n"/>
      <c r="F106" s="49" t="n"/>
      <c r="G106" s="47" t="n"/>
      <c r="H106" s="50" t="n"/>
      <c r="I106" s="51" t="n"/>
      <c r="J106" s="46" t="n"/>
      <c r="K106" s="46" t="n"/>
      <c r="L106" s="23">
        <f>IF(OR($A106="",$B106=""),"",IF($K106&lt;&gt;"",$K106-$B106,TODAY()-$B106))</f>
        <v/>
      </c>
      <c r="M106" s="27">
        <f>IF(OR($A106="",$J106=""),"",IF($K106="",IF(TODAY()&gt;$J106,"Atrasado","En ruta"),IF($K106&lt;=$J106,"Sí","No")))</f>
        <v/>
      </c>
      <c r="N106" s="23">
        <f>IF($A106="","",COUNTIFS(NOVEDADES!$C$4:$C$1503,$A106))</f>
        <v/>
      </c>
      <c r="O106" s="27">
        <f>IF($A106="","",IF(COUNTIFS(NOVEDADES!$C$4:$C$1503,$A106,NOVEDADES!$M$4:$M$1503,"SÍ")&gt;0,"No","Sí"))</f>
        <v/>
      </c>
      <c r="P106" s="27">
        <f>IF(OR($A106="",$K106=""),"",IF(AND($M106="Sí",$O106="Sí"),"OTIF","Falló"))</f>
        <v/>
      </c>
    </row>
    <row r="107" ht="16" customHeight="1">
      <c r="A107" s="47" t="n"/>
      <c r="B107" s="46" t="n"/>
      <c r="C107" s="49" t="n"/>
      <c r="D107" s="49" t="n"/>
      <c r="E107" s="49" t="n"/>
      <c r="F107" s="49" t="n"/>
      <c r="G107" s="47" t="n"/>
      <c r="H107" s="50" t="n"/>
      <c r="I107" s="51" t="n"/>
      <c r="J107" s="46" t="n"/>
      <c r="K107" s="46" t="n"/>
      <c r="L107" s="23">
        <f>IF(OR($A107="",$B107=""),"",IF($K107&lt;&gt;"",$K107-$B107,TODAY()-$B107))</f>
        <v/>
      </c>
      <c r="M107" s="27">
        <f>IF(OR($A107="",$J107=""),"",IF($K107="",IF(TODAY()&gt;$J107,"Atrasado","En ruta"),IF($K107&lt;=$J107,"Sí","No")))</f>
        <v/>
      </c>
      <c r="N107" s="23">
        <f>IF($A107="","",COUNTIFS(NOVEDADES!$C$4:$C$1503,$A107))</f>
        <v/>
      </c>
      <c r="O107" s="27">
        <f>IF($A107="","",IF(COUNTIFS(NOVEDADES!$C$4:$C$1503,$A107,NOVEDADES!$M$4:$M$1503,"SÍ")&gt;0,"No","Sí"))</f>
        <v/>
      </c>
      <c r="P107" s="27">
        <f>IF(OR($A107="",$K107=""),"",IF(AND($M107="Sí",$O107="Sí"),"OTIF","Falló"))</f>
        <v/>
      </c>
    </row>
    <row r="108" ht="16" customHeight="1">
      <c r="A108" s="47" t="n"/>
      <c r="B108" s="46" t="n"/>
      <c r="C108" s="49" t="n"/>
      <c r="D108" s="49" t="n"/>
      <c r="E108" s="49" t="n"/>
      <c r="F108" s="49" t="n"/>
      <c r="G108" s="47" t="n"/>
      <c r="H108" s="50" t="n"/>
      <c r="I108" s="51" t="n"/>
      <c r="J108" s="46" t="n"/>
      <c r="K108" s="46" t="n"/>
      <c r="L108" s="23">
        <f>IF(OR($A108="",$B108=""),"",IF($K108&lt;&gt;"",$K108-$B108,TODAY()-$B108))</f>
        <v/>
      </c>
      <c r="M108" s="27">
        <f>IF(OR($A108="",$J108=""),"",IF($K108="",IF(TODAY()&gt;$J108,"Atrasado","En ruta"),IF($K108&lt;=$J108,"Sí","No")))</f>
        <v/>
      </c>
      <c r="N108" s="23">
        <f>IF($A108="","",COUNTIFS(NOVEDADES!$C$4:$C$1503,$A108))</f>
        <v/>
      </c>
      <c r="O108" s="27">
        <f>IF($A108="","",IF(COUNTIFS(NOVEDADES!$C$4:$C$1503,$A108,NOVEDADES!$M$4:$M$1503,"SÍ")&gt;0,"No","Sí"))</f>
        <v/>
      </c>
      <c r="P108" s="27">
        <f>IF(OR($A108="",$K108=""),"",IF(AND($M108="Sí",$O108="Sí"),"OTIF","Falló"))</f>
        <v/>
      </c>
    </row>
    <row r="109" ht="16" customHeight="1">
      <c r="A109" s="47" t="n"/>
      <c r="B109" s="46" t="n"/>
      <c r="C109" s="49" t="n"/>
      <c r="D109" s="49" t="n"/>
      <c r="E109" s="49" t="n"/>
      <c r="F109" s="49" t="n"/>
      <c r="G109" s="47" t="n"/>
      <c r="H109" s="50" t="n"/>
      <c r="I109" s="51" t="n"/>
      <c r="J109" s="46" t="n"/>
      <c r="K109" s="46" t="n"/>
      <c r="L109" s="23">
        <f>IF(OR($A109="",$B109=""),"",IF($K109&lt;&gt;"",$K109-$B109,TODAY()-$B109))</f>
        <v/>
      </c>
      <c r="M109" s="27">
        <f>IF(OR($A109="",$J109=""),"",IF($K109="",IF(TODAY()&gt;$J109,"Atrasado","En ruta"),IF($K109&lt;=$J109,"Sí","No")))</f>
        <v/>
      </c>
      <c r="N109" s="23">
        <f>IF($A109="","",COUNTIFS(NOVEDADES!$C$4:$C$1503,$A109))</f>
        <v/>
      </c>
      <c r="O109" s="27">
        <f>IF($A109="","",IF(COUNTIFS(NOVEDADES!$C$4:$C$1503,$A109,NOVEDADES!$M$4:$M$1503,"SÍ")&gt;0,"No","Sí"))</f>
        <v/>
      </c>
      <c r="P109" s="27">
        <f>IF(OR($A109="",$K109=""),"",IF(AND($M109="Sí",$O109="Sí"),"OTIF","Falló"))</f>
        <v/>
      </c>
    </row>
    <row r="110" ht="16" customHeight="1">
      <c r="A110" s="47" t="n"/>
      <c r="B110" s="46" t="n"/>
      <c r="C110" s="49" t="n"/>
      <c r="D110" s="49" t="n"/>
      <c r="E110" s="49" t="n"/>
      <c r="F110" s="49" t="n"/>
      <c r="G110" s="47" t="n"/>
      <c r="H110" s="50" t="n"/>
      <c r="I110" s="51" t="n"/>
      <c r="J110" s="46" t="n"/>
      <c r="K110" s="46" t="n"/>
      <c r="L110" s="23">
        <f>IF(OR($A110="",$B110=""),"",IF($K110&lt;&gt;"",$K110-$B110,TODAY()-$B110))</f>
        <v/>
      </c>
      <c r="M110" s="27">
        <f>IF(OR($A110="",$J110=""),"",IF($K110="",IF(TODAY()&gt;$J110,"Atrasado","En ruta"),IF($K110&lt;=$J110,"Sí","No")))</f>
        <v/>
      </c>
      <c r="N110" s="23">
        <f>IF($A110="","",COUNTIFS(NOVEDADES!$C$4:$C$1503,$A110))</f>
        <v/>
      </c>
      <c r="O110" s="27">
        <f>IF($A110="","",IF(COUNTIFS(NOVEDADES!$C$4:$C$1503,$A110,NOVEDADES!$M$4:$M$1503,"SÍ")&gt;0,"No","Sí"))</f>
        <v/>
      </c>
      <c r="P110" s="27">
        <f>IF(OR($A110="",$K110=""),"",IF(AND($M110="Sí",$O110="Sí"),"OTIF","Falló"))</f>
        <v/>
      </c>
    </row>
    <row r="111" ht="16" customHeight="1">
      <c r="A111" s="47" t="n"/>
      <c r="B111" s="46" t="n"/>
      <c r="C111" s="49" t="n"/>
      <c r="D111" s="49" t="n"/>
      <c r="E111" s="49" t="n"/>
      <c r="F111" s="49" t="n"/>
      <c r="G111" s="47" t="n"/>
      <c r="H111" s="50" t="n"/>
      <c r="I111" s="51" t="n"/>
      <c r="J111" s="46" t="n"/>
      <c r="K111" s="46" t="n"/>
      <c r="L111" s="23">
        <f>IF(OR($A111="",$B111=""),"",IF($K111&lt;&gt;"",$K111-$B111,TODAY()-$B111))</f>
        <v/>
      </c>
      <c r="M111" s="27">
        <f>IF(OR($A111="",$J111=""),"",IF($K111="",IF(TODAY()&gt;$J111,"Atrasado","En ruta"),IF($K111&lt;=$J111,"Sí","No")))</f>
        <v/>
      </c>
      <c r="N111" s="23">
        <f>IF($A111="","",COUNTIFS(NOVEDADES!$C$4:$C$1503,$A111))</f>
        <v/>
      </c>
      <c r="O111" s="27">
        <f>IF($A111="","",IF(COUNTIFS(NOVEDADES!$C$4:$C$1503,$A111,NOVEDADES!$M$4:$M$1503,"SÍ")&gt;0,"No","Sí"))</f>
        <v/>
      </c>
      <c r="P111" s="27">
        <f>IF(OR($A111="",$K111=""),"",IF(AND($M111="Sí",$O111="Sí"),"OTIF","Falló"))</f>
        <v/>
      </c>
    </row>
    <row r="112" ht="16" customHeight="1">
      <c r="A112" s="47" t="n"/>
      <c r="B112" s="46" t="n"/>
      <c r="C112" s="49" t="n"/>
      <c r="D112" s="49" t="n"/>
      <c r="E112" s="49" t="n"/>
      <c r="F112" s="49" t="n"/>
      <c r="G112" s="47" t="n"/>
      <c r="H112" s="50" t="n"/>
      <c r="I112" s="51" t="n"/>
      <c r="J112" s="46" t="n"/>
      <c r="K112" s="46" t="n"/>
      <c r="L112" s="23">
        <f>IF(OR($A112="",$B112=""),"",IF($K112&lt;&gt;"",$K112-$B112,TODAY()-$B112))</f>
        <v/>
      </c>
      <c r="M112" s="27">
        <f>IF(OR($A112="",$J112=""),"",IF($K112="",IF(TODAY()&gt;$J112,"Atrasado","En ruta"),IF($K112&lt;=$J112,"Sí","No")))</f>
        <v/>
      </c>
      <c r="N112" s="23">
        <f>IF($A112="","",COUNTIFS(NOVEDADES!$C$4:$C$1503,$A112))</f>
        <v/>
      </c>
      <c r="O112" s="27">
        <f>IF($A112="","",IF(COUNTIFS(NOVEDADES!$C$4:$C$1503,$A112,NOVEDADES!$M$4:$M$1503,"SÍ")&gt;0,"No","Sí"))</f>
        <v/>
      </c>
      <c r="P112" s="27">
        <f>IF(OR($A112="",$K112=""),"",IF(AND($M112="Sí",$O112="Sí"),"OTIF","Falló"))</f>
        <v/>
      </c>
    </row>
    <row r="113" ht="16" customHeight="1">
      <c r="A113" s="47" t="n"/>
      <c r="B113" s="46" t="n"/>
      <c r="C113" s="49" t="n"/>
      <c r="D113" s="49" t="n"/>
      <c r="E113" s="49" t="n"/>
      <c r="F113" s="49" t="n"/>
      <c r="G113" s="47" t="n"/>
      <c r="H113" s="50" t="n"/>
      <c r="I113" s="51" t="n"/>
      <c r="J113" s="46" t="n"/>
      <c r="K113" s="46" t="n"/>
      <c r="L113" s="23">
        <f>IF(OR($A113="",$B113=""),"",IF($K113&lt;&gt;"",$K113-$B113,TODAY()-$B113))</f>
        <v/>
      </c>
      <c r="M113" s="27">
        <f>IF(OR($A113="",$J113=""),"",IF($K113="",IF(TODAY()&gt;$J113,"Atrasado","En ruta"),IF($K113&lt;=$J113,"Sí","No")))</f>
        <v/>
      </c>
      <c r="N113" s="23">
        <f>IF($A113="","",COUNTIFS(NOVEDADES!$C$4:$C$1503,$A113))</f>
        <v/>
      </c>
      <c r="O113" s="27">
        <f>IF($A113="","",IF(COUNTIFS(NOVEDADES!$C$4:$C$1503,$A113,NOVEDADES!$M$4:$M$1503,"SÍ")&gt;0,"No","Sí"))</f>
        <v/>
      </c>
      <c r="P113" s="27">
        <f>IF(OR($A113="",$K113=""),"",IF(AND($M113="Sí",$O113="Sí"),"OTIF","Falló"))</f>
        <v/>
      </c>
    </row>
    <row r="114" ht="16" customHeight="1">
      <c r="A114" s="47" t="n"/>
      <c r="B114" s="46" t="n"/>
      <c r="C114" s="49" t="n"/>
      <c r="D114" s="49" t="n"/>
      <c r="E114" s="49" t="n"/>
      <c r="F114" s="49" t="n"/>
      <c r="G114" s="47" t="n"/>
      <c r="H114" s="50" t="n"/>
      <c r="I114" s="51" t="n"/>
      <c r="J114" s="46" t="n"/>
      <c r="K114" s="46" t="n"/>
      <c r="L114" s="23">
        <f>IF(OR($A114="",$B114=""),"",IF($K114&lt;&gt;"",$K114-$B114,TODAY()-$B114))</f>
        <v/>
      </c>
      <c r="M114" s="27">
        <f>IF(OR($A114="",$J114=""),"",IF($K114="",IF(TODAY()&gt;$J114,"Atrasado","En ruta"),IF($K114&lt;=$J114,"Sí","No")))</f>
        <v/>
      </c>
      <c r="N114" s="23">
        <f>IF($A114="","",COUNTIFS(NOVEDADES!$C$4:$C$1503,$A114))</f>
        <v/>
      </c>
      <c r="O114" s="27">
        <f>IF($A114="","",IF(COUNTIFS(NOVEDADES!$C$4:$C$1503,$A114,NOVEDADES!$M$4:$M$1503,"SÍ")&gt;0,"No","Sí"))</f>
        <v/>
      </c>
      <c r="P114" s="27">
        <f>IF(OR($A114="",$K114=""),"",IF(AND($M114="Sí",$O114="Sí"),"OTIF","Falló"))</f>
        <v/>
      </c>
    </row>
    <row r="115" ht="16" customHeight="1">
      <c r="A115" s="47" t="n"/>
      <c r="B115" s="46" t="n"/>
      <c r="C115" s="49" t="n"/>
      <c r="D115" s="49" t="n"/>
      <c r="E115" s="49" t="n"/>
      <c r="F115" s="49" t="n"/>
      <c r="G115" s="47" t="n"/>
      <c r="H115" s="50" t="n"/>
      <c r="I115" s="51" t="n"/>
      <c r="J115" s="46" t="n"/>
      <c r="K115" s="46" t="n"/>
      <c r="L115" s="23">
        <f>IF(OR($A115="",$B115=""),"",IF($K115&lt;&gt;"",$K115-$B115,TODAY()-$B115))</f>
        <v/>
      </c>
      <c r="M115" s="27">
        <f>IF(OR($A115="",$J115=""),"",IF($K115="",IF(TODAY()&gt;$J115,"Atrasado","En ruta"),IF($K115&lt;=$J115,"Sí","No")))</f>
        <v/>
      </c>
      <c r="N115" s="23">
        <f>IF($A115="","",COUNTIFS(NOVEDADES!$C$4:$C$1503,$A115))</f>
        <v/>
      </c>
      <c r="O115" s="27">
        <f>IF($A115="","",IF(COUNTIFS(NOVEDADES!$C$4:$C$1503,$A115,NOVEDADES!$M$4:$M$1503,"SÍ")&gt;0,"No","Sí"))</f>
        <v/>
      </c>
      <c r="P115" s="27">
        <f>IF(OR($A115="",$K115=""),"",IF(AND($M115="Sí",$O115="Sí"),"OTIF","Falló"))</f>
        <v/>
      </c>
    </row>
    <row r="116" ht="16" customHeight="1">
      <c r="A116" s="47" t="n"/>
      <c r="B116" s="46" t="n"/>
      <c r="C116" s="49" t="n"/>
      <c r="D116" s="49" t="n"/>
      <c r="E116" s="49" t="n"/>
      <c r="F116" s="49" t="n"/>
      <c r="G116" s="47" t="n"/>
      <c r="H116" s="50" t="n"/>
      <c r="I116" s="51" t="n"/>
      <c r="J116" s="46" t="n"/>
      <c r="K116" s="46" t="n"/>
      <c r="L116" s="23">
        <f>IF(OR($A116="",$B116=""),"",IF($K116&lt;&gt;"",$K116-$B116,TODAY()-$B116))</f>
        <v/>
      </c>
      <c r="M116" s="27">
        <f>IF(OR($A116="",$J116=""),"",IF($K116="",IF(TODAY()&gt;$J116,"Atrasado","En ruta"),IF($K116&lt;=$J116,"Sí","No")))</f>
        <v/>
      </c>
      <c r="N116" s="23">
        <f>IF($A116="","",COUNTIFS(NOVEDADES!$C$4:$C$1503,$A116))</f>
        <v/>
      </c>
      <c r="O116" s="27">
        <f>IF($A116="","",IF(COUNTIFS(NOVEDADES!$C$4:$C$1503,$A116,NOVEDADES!$M$4:$M$1503,"SÍ")&gt;0,"No","Sí"))</f>
        <v/>
      </c>
      <c r="P116" s="27">
        <f>IF(OR($A116="",$K116=""),"",IF(AND($M116="Sí",$O116="Sí"),"OTIF","Falló"))</f>
        <v/>
      </c>
    </row>
    <row r="117" ht="16" customHeight="1">
      <c r="A117" s="47" t="n"/>
      <c r="B117" s="46" t="n"/>
      <c r="C117" s="49" t="n"/>
      <c r="D117" s="49" t="n"/>
      <c r="E117" s="49" t="n"/>
      <c r="F117" s="49" t="n"/>
      <c r="G117" s="47" t="n"/>
      <c r="H117" s="50" t="n"/>
      <c r="I117" s="51" t="n"/>
      <c r="J117" s="46" t="n"/>
      <c r="K117" s="46" t="n"/>
      <c r="L117" s="23">
        <f>IF(OR($A117="",$B117=""),"",IF($K117&lt;&gt;"",$K117-$B117,TODAY()-$B117))</f>
        <v/>
      </c>
      <c r="M117" s="27">
        <f>IF(OR($A117="",$J117=""),"",IF($K117="",IF(TODAY()&gt;$J117,"Atrasado","En ruta"),IF($K117&lt;=$J117,"Sí","No")))</f>
        <v/>
      </c>
      <c r="N117" s="23">
        <f>IF($A117="","",COUNTIFS(NOVEDADES!$C$4:$C$1503,$A117))</f>
        <v/>
      </c>
      <c r="O117" s="27">
        <f>IF($A117="","",IF(COUNTIFS(NOVEDADES!$C$4:$C$1503,$A117,NOVEDADES!$M$4:$M$1503,"SÍ")&gt;0,"No","Sí"))</f>
        <v/>
      </c>
      <c r="P117" s="27">
        <f>IF(OR($A117="",$K117=""),"",IF(AND($M117="Sí",$O117="Sí"),"OTIF","Falló"))</f>
        <v/>
      </c>
    </row>
    <row r="118" ht="16" customHeight="1">
      <c r="A118" s="47" t="n"/>
      <c r="B118" s="46" t="n"/>
      <c r="C118" s="49" t="n"/>
      <c r="D118" s="49" t="n"/>
      <c r="E118" s="49" t="n"/>
      <c r="F118" s="49" t="n"/>
      <c r="G118" s="47" t="n"/>
      <c r="H118" s="50" t="n"/>
      <c r="I118" s="51" t="n"/>
      <c r="J118" s="46" t="n"/>
      <c r="K118" s="46" t="n"/>
      <c r="L118" s="23">
        <f>IF(OR($A118="",$B118=""),"",IF($K118&lt;&gt;"",$K118-$B118,TODAY()-$B118))</f>
        <v/>
      </c>
      <c r="M118" s="27">
        <f>IF(OR($A118="",$J118=""),"",IF($K118="",IF(TODAY()&gt;$J118,"Atrasado","En ruta"),IF($K118&lt;=$J118,"Sí","No")))</f>
        <v/>
      </c>
      <c r="N118" s="23">
        <f>IF($A118="","",COUNTIFS(NOVEDADES!$C$4:$C$1503,$A118))</f>
        <v/>
      </c>
      <c r="O118" s="27">
        <f>IF($A118="","",IF(COUNTIFS(NOVEDADES!$C$4:$C$1503,$A118,NOVEDADES!$M$4:$M$1503,"SÍ")&gt;0,"No","Sí"))</f>
        <v/>
      </c>
      <c r="P118" s="27">
        <f>IF(OR($A118="",$K118=""),"",IF(AND($M118="Sí",$O118="Sí"),"OTIF","Falló"))</f>
        <v/>
      </c>
    </row>
    <row r="119" ht="16" customHeight="1">
      <c r="A119" s="47" t="n"/>
      <c r="B119" s="46" t="n"/>
      <c r="C119" s="49" t="n"/>
      <c r="D119" s="49" t="n"/>
      <c r="E119" s="49" t="n"/>
      <c r="F119" s="49" t="n"/>
      <c r="G119" s="47" t="n"/>
      <c r="H119" s="50" t="n"/>
      <c r="I119" s="51" t="n"/>
      <c r="J119" s="46" t="n"/>
      <c r="K119" s="46" t="n"/>
      <c r="L119" s="23">
        <f>IF(OR($A119="",$B119=""),"",IF($K119&lt;&gt;"",$K119-$B119,TODAY()-$B119))</f>
        <v/>
      </c>
      <c r="M119" s="27">
        <f>IF(OR($A119="",$J119=""),"",IF($K119="",IF(TODAY()&gt;$J119,"Atrasado","En ruta"),IF($K119&lt;=$J119,"Sí","No")))</f>
        <v/>
      </c>
      <c r="N119" s="23">
        <f>IF($A119="","",COUNTIFS(NOVEDADES!$C$4:$C$1503,$A119))</f>
        <v/>
      </c>
      <c r="O119" s="27">
        <f>IF($A119="","",IF(COUNTIFS(NOVEDADES!$C$4:$C$1503,$A119,NOVEDADES!$M$4:$M$1503,"SÍ")&gt;0,"No","Sí"))</f>
        <v/>
      </c>
      <c r="P119" s="27">
        <f>IF(OR($A119="",$K119=""),"",IF(AND($M119="Sí",$O119="Sí"),"OTIF","Falló"))</f>
        <v/>
      </c>
    </row>
    <row r="120" ht="16" customHeight="1">
      <c r="A120" s="47" t="n"/>
      <c r="B120" s="46" t="n"/>
      <c r="C120" s="49" t="n"/>
      <c r="D120" s="49" t="n"/>
      <c r="E120" s="49" t="n"/>
      <c r="F120" s="49" t="n"/>
      <c r="G120" s="47" t="n"/>
      <c r="H120" s="50" t="n"/>
      <c r="I120" s="51" t="n"/>
      <c r="J120" s="46" t="n"/>
      <c r="K120" s="46" t="n"/>
      <c r="L120" s="23">
        <f>IF(OR($A120="",$B120=""),"",IF($K120&lt;&gt;"",$K120-$B120,TODAY()-$B120))</f>
        <v/>
      </c>
      <c r="M120" s="27">
        <f>IF(OR($A120="",$J120=""),"",IF($K120="",IF(TODAY()&gt;$J120,"Atrasado","En ruta"),IF($K120&lt;=$J120,"Sí","No")))</f>
        <v/>
      </c>
      <c r="N120" s="23">
        <f>IF($A120="","",COUNTIFS(NOVEDADES!$C$4:$C$1503,$A120))</f>
        <v/>
      </c>
      <c r="O120" s="27">
        <f>IF($A120="","",IF(COUNTIFS(NOVEDADES!$C$4:$C$1503,$A120,NOVEDADES!$M$4:$M$1503,"SÍ")&gt;0,"No","Sí"))</f>
        <v/>
      </c>
      <c r="P120" s="27">
        <f>IF(OR($A120="",$K120=""),"",IF(AND($M120="Sí",$O120="Sí"),"OTIF","Falló"))</f>
        <v/>
      </c>
    </row>
    <row r="121" ht="16" customHeight="1">
      <c r="A121" s="47" t="n"/>
      <c r="B121" s="46" t="n"/>
      <c r="C121" s="49" t="n"/>
      <c r="D121" s="49" t="n"/>
      <c r="E121" s="49" t="n"/>
      <c r="F121" s="49" t="n"/>
      <c r="G121" s="47" t="n"/>
      <c r="H121" s="50" t="n"/>
      <c r="I121" s="51" t="n"/>
      <c r="J121" s="46" t="n"/>
      <c r="K121" s="46" t="n"/>
      <c r="L121" s="23">
        <f>IF(OR($A121="",$B121=""),"",IF($K121&lt;&gt;"",$K121-$B121,TODAY()-$B121))</f>
        <v/>
      </c>
      <c r="M121" s="27">
        <f>IF(OR($A121="",$J121=""),"",IF($K121="",IF(TODAY()&gt;$J121,"Atrasado","En ruta"),IF($K121&lt;=$J121,"Sí","No")))</f>
        <v/>
      </c>
      <c r="N121" s="23">
        <f>IF($A121="","",COUNTIFS(NOVEDADES!$C$4:$C$1503,$A121))</f>
        <v/>
      </c>
      <c r="O121" s="27">
        <f>IF($A121="","",IF(COUNTIFS(NOVEDADES!$C$4:$C$1503,$A121,NOVEDADES!$M$4:$M$1503,"SÍ")&gt;0,"No","Sí"))</f>
        <v/>
      </c>
      <c r="P121" s="27">
        <f>IF(OR($A121="",$K121=""),"",IF(AND($M121="Sí",$O121="Sí"),"OTIF","Falló"))</f>
        <v/>
      </c>
    </row>
    <row r="122" ht="16" customHeight="1">
      <c r="A122" s="47" t="n"/>
      <c r="B122" s="46" t="n"/>
      <c r="C122" s="49" t="n"/>
      <c r="D122" s="49" t="n"/>
      <c r="E122" s="49" t="n"/>
      <c r="F122" s="49" t="n"/>
      <c r="G122" s="47" t="n"/>
      <c r="H122" s="50" t="n"/>
      <c r="I122" s="51" t="n"/>
      <c r="J122" s="46" t="n"/>
      <c r="K122" s="46" t="n"/>
      <c r="L122" s="23">
        <f>IF(OR($A122="",$B122=""),"",IF($K122&lt;&gt;"",$K122-$B122,TODAY()-$B122))</f>
        <v/>
      </c>
      <c r="M122" s="27">
        <f>IF(OR($A122="",$J122=""),"",IF($K122="",IF(TODAY()&gt;$J122,"Atrasado","En ruta"),IF($K122&lt;=$J122,"Sí","No")))</f>
        <v/>
      </c>
      <c r="N122" s="23">
        <f>IF($A122="","",COUNTIFS(NOVEDADES!$C$4:$C$1503,$A122))</f>
        <v/>
      </c>
      <c r="O122" s="27">
        <f>IF($A122="","",IF(COUNTIFS(NOVEDADES!$C$4:$C$1503,$A122,NOVEDADES!$M$4:$M$1503,"SÍ")&gt;0,"No","Sí"))</f>
        <v/>
      </c>
      <c r="P122" s="27">
        <f>IF(OR($A122="",$K122=""),"",IF(AND($M122="Sí",$O122="Sí"),"OTIF","Falló"))</f>
        <v/>
      </c>
    </row>
    <row r="123" ht="16" customHeight="1">
      <c r="A123" s="47" t="n"/>
      <c r="B123" s="46" t="n"/>
      <c r="C123" s="49" t="n"/>
      <c r="D123" s="49" t="n"/>
      <c r="E123" s="49" t="n"/>
      <c r="F123" s="49" t="n"/>
      <c r="G123" s="47" t="n"/>
      <c r="H123" s="50" t="n"/>
      <c r="I123" s="51" t="n"/>
      <c r="J123" s="46" t="n"/>
      <c r="K123" s="46" t="n"/>
      <c r="L123" s="23">
        <f>IF(OR($A123="",$B123=""),"",IF($K123&lt;&gt;"",$K123-$B123,TODAY()-$B123))</f>
        <v/>
      </c>
      <c r="M123" s="27">
        <f>IF(OR($A123="",$J123=""),"",IF($K123="",IF(TODAY()&gt;$J123,"Atrasado","En ruta"),IF($K123&lt;=$J123,"Sí","No")))</f>
        <v/>
      </c>
      <c r="N123" s="23">
        <f>IF($A123="","",COUNTIFS(NOVEDADES!$C$4:$C$1503,$A123))</f>
        <v/>
      </c>
      <c r="O123" s="27">
        <f>IF($A123="","",IF(COUNTIFS(NOVEDADES!$C$4:$C$1503,$A123,NOVEDADES!$M$4:$M$1503,"SÍ")&gt;0,"No","Sí"))</f>
        <v/>
      </c>
      <c r="P123" s="27">
        <f>IF(OR($A123="",$K123=""),"",IF(AND($M123="Sí",$O123="Sí"),"OTIF","Falló"))</f>
        <v/>
      </c>
    </row>
    <row r="124" ht="16" customHeight="1">
      <c r="A124" s="47" t="n"/>
      <c r="B124" s="46" t="n"/>
      <c r="C124" s="49" t="n"/>
      <c r="D124" s="49" t="n"/>
      <c r="E124" s="49" t="n"/>
      <c r="F124" s="49" t="n"/>
      <c r="G124" s="47" t="n"/>
      <c r="H124" s="50" t="n"/>
      <c r="I124" s="51" t="n"/>
      <c r="J124" s="46" t="n"/>
      <c r="K124" s="46" t="n"/>
      <c r="L124" s="23">
        <f>IF(OR($A124="",$B124=""),"",IF($K124&lt;&gt;"",$K124-$B124,TODAY()-$B124))</f>
        <v/>
      </c>
      <c r="M124" s="27">
        <f>IF(OR($A124="",$J124=""),"",IF($K124="",IF(TODAY()&gt;$J124,"Atrasado","En ruta"),IF($K124&lt;=$J124,"Sí","No")))</f>
        <v/>
      </c>
      <c r="N124" s="23">
        <f>IF($A124="","",COUNTIFS(NOVEDADES!$C$4:$C$1503,$A124))</f>
        <v/>
      </c>
      <c r="O124" s="27">
        <f>IF($A124="","",IF(COUNTIFS(NOVEDADES!$C$4:$C$1503,$A124,NOVEDADES!$M$4:$M$1503,"SÍ")&gt;0,"No","Sí"))</f>
        <v/>
      </c>
      <c r="P124" s="27">
        <f>IF(OR($A124="",$K124=""),"",IF(AND($M124="Sí",$O124="Sí"),"OTIF","Falló"))</f>
        <v/>
      </c>
    </row>
    <row r="125" ht="16" customHeight="1">
      <c r="A125" s="47" t="n"/>
      <c r="B125" s="46" t="n"/>
      <c r="C125" s="49" t="n"/>
      <c r="D125" s="49" t="n"/>
      <c r="E125" s="49" t="n"/>
      <c r="F125" s="49" t="n"/>
      <c r="G125" s="47" t="n"/>
      <c r="H125" s="50" t="n"/>
      <c r="I125" s="51" t="n"/>
      <c r="J125" s="46" t="n"/>
      <c r="K125" s="46" t="n"/>
      <c r="L125" s="23">
        <f>IF(OR($A125="",$B125=""),"",IF($K125&lt;&gt;"",$K125-$B125,TODAY()-$B125))</f>
        <v/>
      </c>
      <c r="M125" s="27">
        <f>IF(OR($A125="",$J125=""),"",IF($K125="",IF(TODAY()&gt;$J125,"Atrasado","En ruta"),IF($K125&lt;=$J125,"Sí","No")))</f>
        <v/>
      </c>
      <c r="N125" s="23">
        <f>IF($A125="","",COUNTIFS(NOVEDADES!$C$4:$C$1503,$A125))</f>
        <v/>
      </c>
      <c r="O125" s="27">
        <f>IF($A125="","",IF(COUNTIFS(NOVEDADES!$C$4:$C$1503,$A125,NOVEDADES!$M$4:$M$1503,"SÍ")&gt;0,"No","Sí"))</f>
        <v/>
      </c>
      <c r="P125" s="27">
        <f>IF(OR($A125="",$K125=""),"",IF(AND($M125="Sí",$O125="Sí"),"OTIF","Falló"))</f>
        <v/>
      </c>
    </row>
    <row r="126" ht="16" customHeight="1">
      <c r="A126" s="47" t="n"/>
      <c r="B126" s="46" t="n"/>
      <c r="C126" s="49" t="n"/>
      <c r="D126" s="49" t="n"/>
      <c r="E126" s="49" t="n"/>
      <c r="F126" s="49" t="n"/>
      <c r="G126" s="47" t="n"/>
      <c r="H126" s="50" t="n"/>
      <c r="I126" s="51" t="n"/>
      <c r="J126" s="46" t="n"/>
      <c r="K126" s="46" t="n"/>
      <c r="L126" s="23">
        <f>IF(OR($A126="",$B126=""),"",IF($K126&lt;&gt;"",$K126-$B126,TODAY()-$B126))</f>
        <v/>
      </c>
      <c r="M126" s="27">
        <f>IF(OR($A126="",$J126=""),"",IF($K126="",IF(TODAY()&gt;$J126,"Atrasado","En ruta"),IF($K126&lt;=$J126,"Sí","No")))</f>
        <v/>
      </c>
      <c r="N126" s="23">
        <f>IF($A126="","",COUNTIFS(NOVEDADES!$C$4:$C$1503,$A126))</f>
        <v/>
      </c>
      <c r="O126" s="27">
        <f>IF($A126="","",IF(COUNTIFS(NOVEDADES!$C$4:$C$1503,$A126,NOVEDADES!$M$4:$M$1503,"SÍ")&gt;0,"No","Sí"))</f>
        <v/>
      </c>
      <c r="P126" s="27">
        <f>IF(OR($A126="",$K126=""),"",IF(AND($M126="Sí",$O126="Sí"),"OTIF","Falló"))</f>
        <v/>
      </c>
    </row>
    <row r="127" ht="16" customHeight="1">
      <c r="A127" s="47" t="n"/>
      <c r="B127" s="46" t="n"/>
      <c r="C127" s="49" t="n"/>
      <c r="D127" s="49" t="n"/>
      <c r="E127" s="49" t="n"/>
      <c r="F127" s="49" t="n"/>
      <c r="G127" s="47" t="n"/>
      <c r="H127" s="50" t="n"/>
      <c r="I127" s="51" t="n"/>
      <c r="J127" s="46" t="n"/>
      <c r="K127" s="46" t="n"/>
      <c r="L127" s="23">
        <f>IF(OR($A127="",$B127=""),"",IF($K127&lt;&gt;"",$K127-$B127,TODAY()-$B127))</f>
        <v/>
      </c>
      <c r="M127" s="27">
        <f>IF(OR($A127="",$J127=""),"",IF($K127="",IF(TODAY()&gt;$J127,"Atrasado","En ruta"),IF($K127&lt;=$J127,"Sí","No")))</f>
        <v/>
      </c>
      <c r="N127" s="23">
        <f>IF($A127="","",COUNTIFS(NOVEDADES!$C$4:$C$1503,$A127))</f>
        <v/>
      </c>
      <c r="O127" s="27">
        <f>IF($A127="","",IF(COUNTIFS(NOVEDADES!$C$4:$C$1503,$A127,NOVEDADES!$M$4:$M$1503,"SÍ")&gt;0,"No","Sí"))</f>
        <v/>
      </c>
      <c r="P127" s="27">
        <f>IF(OR($A127="",$K127=""),"",IF(AND($M127="Sí",$O127="Sí"),"OTIF","Falló"))</f>
        <v/>
      </c>
    </row>
    <row r="128" ht="16" customHeight="1">
      <c r="A128" s="47" t="n"/>
      <c r="B128" s="46" t="n"/>
      <c r="C128" s="49" t="n"/>
      <c r="D128" s="49" t="n"/>
      <c r="E128" s="49" t="n"/>
      <c r="F128" s="49" t="n"/>
      <c r="G128" s="47" t="n"/>
      <c r="H128" s="50" t="n"/>
      <c r="I128" s="51" t="n"/>
      <c r="J128" s="46" t="n"/>
      <c r="K128" s="46" t="n"/>
      <c r="L128" s="23">
        <f>IF(OR($A128="",$B128=""),"",IF($K128&lt;&gt;"",$K128-$B128,TODAY()-$B128))</f>
        <v/>
      </c>
      <c r="M128" s="27">
        <f>IF(OR($A128="",$J128=""),"",IF($K128="",IF(TODAY()&gt;$J128,"Atrasado","En ruta"),IF($K128&lt;=$J128,"Sí","No")))</f>
        <v/>
      </c>
      <c r="N128" s="23">
        <f>IF($A128="","",COUNTIFS(NOVEDADES!$C$4:$C$1503,$A128))</f>
        <v/>
      </c>
      <c r="O128" s="27">
        <f>IF($A128="","",IF(COUNTIFS(NOVEDADES!$C$4:$C$1503,$A128,NOVEDADES!$M$4:$M$1503,"SÍ")&gt;0,"No","Sí"))</f>
        <v/>
      </c>
      <c r="P128" s="27">
        <f>IF(OR($A128="",$K128=""),"",IF(AND($M128="Sí",$O128="Sí"),"OTIF","Falló"))</f>
        <v/>
      </c>
    </row>
    <row r="129" ht="16" customHeight="1">
      <c r="A129" s="47" t="n"/>
      <c r="B129" s="46" t="n"/>
      <c r="C129" s="49" t="n"/>
      <c r="D129" s="49" t="n"/>
      <c r="E129" s="49" t="n"/>
      <c r="F129" s="49" t="n"/>
      <c r="G129" s="47" t="n"/>
      <c r="H129" s="50" t="n"/>
      <c r="I129" s="51" t="n"/>
      <c r="J129" s="46" t="n"/>
      <c r="K129" s="46" t="n"/>
      <c r="L129" s="23">
        <f>IF(OR($A129="",$B129=""),"",IF($K129&lt;&gt;"",$K129-$B129,TODAY()-$B129))</f>
        <v/>
      </c>
      <c r="M129" s="27">
        <f>IF(OR($A129="",$J129=""),"",IF($K129="",IF(TODAY()&gt;$J129,"Atrasado","En ruta"),IF($K129&lt;=$J129,"Sí","No")))</f>
        <v/>
      </c>
      <c r="N129" s="23">
        <f>IF($A129="","",COUNTIFS(NOVEDADES!$C$4:$C$1503,$A129))</f>
        <v/>
      </c>
      <c r="O129" s="27">
        <f>IF($A129="","",IF(COUNTIFS(NOVEDADES!$C$4:$C$1503,$A129,NOVEDADES!$M$4:$M$1503,"SÍ")&gt;0,"No","Sí"))</f>
        <v/>
      </c>
      <c r="P129" s="27">
        <f>IF(OR($A129="",$K129=""),"",IF(AND($M129="Sí",$O129="Sí"),"OTIF","Falló"))</f>
        <v/>
      </c>
    </row>
    <row r="130" ht="16" customHeight="1">
      <c r="A130" s="47" t="n"/>
      <c r="B130" s="46" t="n"/>
      <c r="C130" s="49" t="n"/>
      <c r="D130" s="49" t="n"/>
      <c r="E130" s="49" t="n"/>
      <c r="F130" s="49" t="n"/>
      <c r="G130" s="47" t="n"/>
      <c r="H130" s="50" t="n"/>
      <c r="I130" s="51" t="n"/>
      <c r="J130" s="46" t="n"/>
      <c r="K130" s="46" t="n"/>
      <c r="L130" s="23">
        <f>IF(OR($A130="",$B130=""),"",IF($K130&lt;&gt;"",$K130-$B130,TODAY()-$B130))</f>
        <v/>
      </c>
      <c r="M130" s="27">
        <f>IF(OR($A130="",$J130=""),"",IF($K130="",IF(TODAY()&gt;$J130,"Atrasado","En ruta"),IF($K130&lt;=$J130,"Sí","No")))</f>
        <v/>
      </c>
      <c r="N130" s="23">
        <f>IF($A130="","",COUNTIFS(NOVEDADES!$C$4:$C$1503,$A130))</f>
        <v/>
      </c>
      <c r="O130" s="27">
        <f>IF($A130="","",IF(COUNTIFS(NOVEDADES!$C$4:$C$1503,$A130,NOVEDADES!$M$4:$M$1503,"SÍ")&gt;0,"No","Sí"))</f>
        <v/>
      </c>
      <c r="P130" s="27">
        <f>IF(OR($A130="",$K130=""),"",IF(AND($M130="Sí",$O130="Sí"),"OTIF","Falló"))</f>
        <v/>
      </c>
    </row>
    <row r="131" ht="16" customHeight="1">
      <c r="A131" s="47" t="n"/>
      <c r="B131" s="46" t="n"/>
      <c r="C131" s="49" t="n"/>
      <c r="D131" s="49" t="n"/>
      <c r="E131" s="49" t="n"/>
      <c r="F131" s="49" t="n"/>
      <c r="G131" s="47" t="n"/>
      <c r="H131" s="50" t="n"/>
      <c r="I131" s="51" t="n"/>
      <c r="J131" s="46" t="n"/>
      <c r="K131" s="46" t="n"/>
      <c r="L131" s="23">
        <f>IF(OR($A131="",$B131=""),"",IF($K131&lt;&gt;"",$K131-$B131,TODAY()-$B131))</f>
        <v/>
      </c>
      <c r="M131" s="27">
        <f>IF(OR($A131="",$J131=""),"",IF($K131="",IF(TODAY()&gt;$J131,"Atrasado","En ruta"),IF($K131&lt;=$J131,"Sí","No")))</f>
        <v/>
      </c>
      <c r="N131" s="23">
        <f>IF($A131="","",COUNTIFS(NOVEDADES!$C$4:$C$1503,$A131))</f>
        <v/>
      </c>
      <c r="O131" s="27">
        <f>IF($A131="","",IF(COUNTIFS(NOVEDADES!$C$4:$C$1503,$A131,NOVEDADES!$M$4:$M$1503,"SÍ")&gt;0,"No","Sí"))</f>
        <v/>
      </c>
      <c r="P131" s="27">
        <f>IF(OR($A131="",$K131=""),"",IF(AND($M131="Sí",$O131="Sí"),"OTIF","Falló"))</f>
        <v/>
      </c>
    </row>
    <row r="132" ht="16" customHeight="1">
      <c r="A132" s="47" t="n"/>
      <c r="B132" s="46" t="n"/>
      <c r="C132" s="49" t="n"/>
      <c r="D132" s="49" t="n"/>
      <c r="E132" s="49" t="n"/>
      <c r="F132" s="49" t="n"/>
      <c r="G132" s="47" t="n"/>
      <c r="H132" s="50" t="n"/>
      <c r="I132" s="51" t="n"/>
      <c r="J132" s="46" t="n"/>
      <c r="K132" s="46" t="n"/>
      <c r="L132" s="23">
        <f>IF(OR($A132="",$B132=""),"",IF($K132&lt;&gt;"",$K132-$B132,TODAY()-$B132))</f>
        <v/>
      </c>
      <c r="M132" s="27">
        <f>IF(OR($A132="",$J132=""),"",IF($K132="",IF(TODAY()&gt;$J132,"Atrasado","En ruta"),IF($K132&lt;=$J132,"Sí","No")))</f>
        <v/>
      </c>
      <c r="N132" s="23">
        <f>IF($A132="","",COUNTIFS(NOVEDADES!$C$4:$C$1503,$A132))</f>
        <v/>
      </c>
      <c r="O132" s="27">
        <f>IF($A132="","",IF(COUNTIFS(NOVEDADES!$C$4:$C$1503,$A132,NOVEDADES!$M$4:$M$1503,"SÍ")&gt;0,"No","Sí"))</f>
        <v/>
      </c>
      <c r="P132" s="27">
        <f>IF(OR($A132="",$K132=""),"",IF(AND($M132="Sí",$O132="Sí"),"OTIF","Falló"))</f>
        <v/>
      </c>
    </row>
    <row r="133" ht="16" customHeight="1">
      <c r="A133" s="47" t="n"/>
      <c r="B133" s="46" t="n"/>
      <c r="C133" s="49" t="n"/>
      <c r="D133" s="49" t="n"/>
      <c r="E133" s="49" t="n"/>
      <c r="F133" s="49" t="n"/>
      <c r="G133" s="47" t="n"/>
      <c r="H133" s="50" t="n"/>
      <c r="I133" s="51" t="n"/>
      <c r="J133" s="46" t="n"/>
      <c r="K133" s="46" t="n"/>
      <c r="L133" s="23">
        <f>IF(OR($A133="",$B133=""),"",IF($K133&lt;&gt;"",$K133-$B133,TODAY()-$B133))</f>
        <v/>
      </c>
      <c r="M133" s="27">
        <f>IF(OR($A133="",$J133=""),"",IF($K133="",IF(TODAY()&gt;$J133,"Atrasado","En ruta"),IF($K133&lt;=$J133,"Sí","No")))</f>
        <v/>
      </c>
      <c r="N133" s="23">
        <f>IF($A133="","",COUNTIFS(NOVEDADES!$C$4:$C$1503,$A133))</f>
        <v/>
      </c>
      <c r="O133" s="27">
        <f>IF($A133="","",IF(COUNTIFS(NOVEDADES!$C$4:$C$1503,$A133,NOVEDADES!$M$4:$M$1503,"SÍ")&gt;0,"No","Sí"))</f>
        <v/>
      </c>
      <c r="P133" s="27">
        <f>IF(OR($A133="",$K133=""),"",IF(AND($M133="Sí",$O133="Sí"),"OTIF","Falló"))</f>
        <v/>
      </c>
    </row>
    <row r="134" ht="16" customHeight="1">
      <c r="A134" s="47" t="n"/>
      <c r="B134" s="46" t="n"/>
      <c r="C134" s="49" t="n"/>
      <c r="D134" s="49" t="n"/>
      <c r="E134" s="49" t="n"/>
      <c r="F134" s="49" t="n"/>
      <c r="G134" s="47" t="n"/>
      <c r="H134" s="50" t="n"/>
      <c r="I134" s="51" t="n"/>
      <c r="J134" s="46" t="n"/>
      <c r="K134" s="46" t="n"/>
      <c r="L134" s="23">
        <f>IF(OR($A134="",$B134=""),"",IF($K134&lt;&gt;"",$K134-$B134,TODAY()-$B134))</f>
        <v/>
      </c>
      <c r="M134" s="27">
        <f>IF(OR($A134="",$J134=""),"",IF($K134="",IF(TODAY()&gt;$J134,"Atrasado","En ruta"),IF($K134&lt;=$J134,"Sí","No")))</f>
        <v/>
      </c>
      <c r="N134" s="23">
        <f>IF($A134="","",COUNTIFS(NOVEDADES!$C$4:$C$1503,$A134))</f>
        <v/>
      </c>
      <c r="O134" s="27">
        <f>IF($A134="","",IF(COUNTIFS(NOVEDADES!$C$4:$C$1503,$A134,NOVEDADES!$M$4:$M$1503,"SÍ")&gt;0,"No","Sí"))</f>
        <v/>
      </c>
      <c r="P134" s="27">
        <f>IF(OR($A134="",$K134=""),"",IF(AND($M134="Sí",$O134="Sí"),"OTIF","Falló"))</f>
        <v/>
      </c>
    </row>
    <row r="135" ht="16" customHeight="1">
      <c r="A135" s="47" t="n"/>
      <c r="B135" s="46" t="n"/>
      <c r="C135" s="49" t="n"/>
      <c r="D135" s="49" t="n"/>
      <c r="E135" s="49" t="n"/>
      <c r="F135" s="49" t="n"/>
      <c r="G135" s="47" t="n"/>
      <c r="H135" s="50" t="n"/>
      <c r="I135" s="51" t="n"/>
      <c r="J135" s="46" t="n"/>
      <c r="K135" s="46" t="n"/>
      <c r="L135" s="23">
        <f>IF(OR($A135="",$B135=""),"",IF($K135&lt;&gt;"",$K135-$B135,TODAY()-$B135))</f>
        <v/>
      </c>
      <c r="M135" s="27">
        <f>IF(OR($A135="",$J135=""),"",IF($K135="",IF(TODAY()&gt;$J135,"Atrasado","En ruta"),IF($K135&lt;=$J135,"Sí","No")))</f>
        <v/>
      </c>
      <c r="N135" s="23">
        <f>IF($A135="","",COUNTIFS(NOVEDADES!$C$4:$C$1503,$A135))</f>
        <v/>
      </c>
      <c r="O135" s="27">
        <f>IF($A135="","",IF(COUNTIFS(NOVEDADES!$C$4:$C$1503,$A135,NOVEDADES!$M$4:$M$1503,"SÍ")&gt;0,"No","Sí"))</f>
        <v/>
      </c>
      <c r="P135" s="27">
        <f>IF(OR($A135="",$K135=""),"",IF(AND($M135="Sí",$O135="Sí"),"OTIF","Falló"))</f>
        <v/>
      </c>
    </row>
    <row r="136" ht="16" customHeight="1">
      <c r="A136" s="47" t="n"/>
      <c r="B136" s="46" t="n"/>
      <c r="C136" s="49" t="n"/>
      <c r="D136" s="49" t="n"/>
      <c r="E136" s="49" t="n"/>
      <c r="F136" s="49" t="n"/>
      <c r="G136" s="47" t="n"/>
      <c r="H136" s="50" t="n"/>
      <c r="I136" s="51" t="n"/>
      <c r="J136" s="46" t="n"/>
      <c r="K136" s="46" t="n"/>
      <c r="L136" s="23">
        <f>IF(OR($A136="",$B136=""),"",IF($K136&lt;&gt;"",$K136-$B136,TODAY()-$B136))</f>
        <v/>
      </c>
      <c r="M136" s="27">
        <f>IF(OR($A136="",$J136=""),"",IF($K136="",IF(TODAY()&gt;$J136,"Atrasado","En ruta"),IF($K136&lt;=$J136,"Sí","No")))</f>
        <v/>
      </c>
      <c r="N136" s="23">
        <f>IF($A136="","",COUNTIFS(NOVEDADES!$C$4:$C$1503,$A136))</f>
        <v/>
      </c>
      <c r="O136" s="27">
        <f>IF($A136="","",IF(COUNTIFS(NOVEDADES!$C$4:$C$1503,$A136,NOVEDADES!$M$4:$M$1503,"SÍ")&gt;0,"No","Sí"))</f>
        <v/>
      </c>
      <c r="P136" s="27">
        <f>IF(OR($A136="",$K136=""),"",IF(AND($M136="Sí",$O136="Sí"),"OTIF","Falló"))</f>
        <v/>
      </c>
    </row>
    <row r="137" ht="16" customHeight="1">
      <c r="A137" s="47" t="n"/>
      <c r="B137" s="46" t="n"/>
      <c r="C137" s="49" t="n"/>
      <c r="D137" s="49" t="n"/>
      <c r="E137" s="49" t="n"/>
      <c r="F137" s="49" t="n"/>
      <c r="G137" s="47" t="n"/>
      <c r="H137" s="50" t="n"/>
      <c r="I137" s="51" t="n"/>
      <c r="J137" s="46" t="n"/>
      <c r="K137" s="46" t="n"/>
      <c r="L137" s="23">
        <f>IF(OR($A137="",$B137=""),"",IF($K137&lt;&gt;"",$K137-$B137,TODAY()-$B137))</f>
        <v/>
      </c>
      <c r="M137" s="27">
        <f>IF(OR($A137="",$J137=""),"",IF($K137="",IF(TODAY()&gt;$J137,"Atrasado","En ruta"),IF($K137&lt;=$J137,"Sí","No")))</f>
        <v/>
      </c>
      <c r="N137" s="23">
        <f>IF($A137="","",COUNTIFS(NOVEDADES!$C$4:$C$1503,$A137))</f>
        <v/>
      </c>
      <c r="O137" s="27">
        <f>IF($A137="","",IF(COUNTIFS(NOVEDADES!$C$4:$C$1503,$A137,NOVEDADES!$M$4:$M$1503,"SÍ")&gt;0,"No","Sí"))</f>
        <v/>
      </c>
      <c r="P137" s="27">
        <f>IF(OR($A137="",$K137=""),"",IF(AND($M137="Sí",$O137="Sí"),"OTIF","Falló"))</f>
        <v/>
      </c>
    </row>
    <row r="138" ht="16" customHeight="1">
      <c r="A138" s="47" t="n"/>
      <c r="B138" s="46" t="n"/>
      <c r="C138" s="49" t="n"/>
      <c r="D138" s="49" t="n"/>
      <c r="E138" s="49" t="n"/>
      <c r="F138" s="49" t="n"/>
      <c r="G138" s="47" t="n"/>
      <c r="H138" s="50" t="n"/>
      <c r="I138" s="51" t="n"/>
      <c r="J138" s="46" t="n"/>
      <c r="K138" s="46" t="n"/>
      <c r="L138" s="23">
        <f>IF(OR($A138="",$B138=""),"",IF($K138&lt;&gt;"",$K138-$B138,TODAY()-$B138))</f>
        <v/>
      </c>
      <c r="M138" s="27">
        <f>IF(OR($A138="",$J138=""),"",IF($K138="",IF(TODAY()&gt;$J138,"Atrasado","En ruta"),IF($K138&lt;=$J138,"Sí","No")))</f>
        <v/>
      </c>
      <c r="N138" s="23">
        <f>IF($A138="","",COUNTIFS(NOVEDADES!$C$4:$C$1503,$A138))</f>
        <v/>
      </c>
      <c r="O138" s="27">
        <f>IF($A138="","",IF(COUNTIFS(NOVEDADES!$C$4:$C$1503,$A138,NOVEDADES!$M$4:$M$1503,"SÍ")&gt;0,"No","Sí"))</f>
        <v/>
      </c>
      <c r="P138" s="27">
        <f>IF(OR($A138="",$K138=""),"",IF(AND($M138="Sí",$O138="Sí"),"OTIF","Falló"))</f>
        <v/>
      </c>
    </row>
    <row r="139" ht="16" customHeight="1">
      <c r="A139" s="47" t="n"/>
      <c r="B139" s="46" t="n"/>
      <c r="C139" s="49" t="n"/>
      <c r="D139" s="49" t="n"/>
      <c r="E139" s="49" t="n"/>
      <c r="F139" s="49" t="n"/>
      <c r="G139" s="47" t="n"/>
      <c r="H139" s="50" t="n"/>
      <c r="I139" s="51" t="n"/>
      <c r="J139" s="46" t="n"/>
      <c r="K139" s="46" t="n"/>
      <c r="L139" s="23">
        <f>IF(OR($A139="",$B139=""),"",IF($K139&lt;&gt;"",$K139-$B139,TODAY()-$B139))</f>
        <v/>
      </c>
      <c r="M139" s="27">
        <f>IF(OR($A139="",$J139=""),"",IF($K139="",IF(TODAY()&gt;$J139,"Atrasado","En ruta"),IF($K139&lt;=$J139,"Sí","No")))</f>
        <v/>
      </c>
      <c r="N139" s="23">
        <f>IF($A139="","",COUNTIFS(NOVEDADES!$C$4:$C$1503,$A139))</f>
        <v/>
      </c>
      <c r="O139" s="27">
        <f>IF($A139="","",IF(COUNTIFS(NOVEDADES!$C$4:$C$1503,$A139,NOVEDADES!$M$4:$M$1503,"SÍ")&gt;0,"No","Sí"))</f>
        <v/>
      </c>
      <c r="P139" s="27">
        <f>IF(OR($A139="",$K139=""),"",IF(AND($M139="Sí",$O139="Sí"),"OTIF","Falló"))</f>
        <v/>
      </c>
    </row>
    <row r="140" ht="16" customHeight="1">
      <c r="A140" s="47" t="n"/>
      <c r="B140" s="46" t="n"/>
      <c r="C140" s="49" t="n"/>
      <c r="D140" s="49" t="n"/>
      <c r="E140" s="49" t="n"/>
      <c r="F140" s="49" t="n"/>
      <c r="G140" s="47" t="n"/>
      <c r="H140" s="50" t="n"/>
      <c r="I140" s="51" t="n"/>
      <c r="J140" s="46" t="n"/>
      <c r="K140" s="46" t="n"/>
      <c r="L140" s="23">
        <f>IF(OR($A140="",$B140=""),"",IF($K140&lt;&gt;"",$K140-$B140,TODAY()-$B140))</f>
        <v/>
      </c>
      <c r="M140" s="27">
        <f>IF(OR($A140="",$J140=""),"",IF($K140="",IF(TODAY()&gt;$J140,"Atrasado","En ruta"),IF($K140&lt;=$J140,"Sí","No")))</f>
        <v/>
      </c>
      <c r="N140" s="23">
        <f>IF($A140="","",COUNTIFS(NOVEDADES!$C$4:$C$1503,$A140))</f>
        <v/>
      </c>
      <c r="O140" s="27">
        <f>IF($A140="","",IF(COUNTIFS(NOVEDADES!$C$4:$C$1503,$A140,NOVEDADES!$M$4:$M$1503,"SÍ")&gt;0,"No","Sí"))</f>
        <v/>
      </c>
      <c r="P140" s="27">
        <f>IF(OR($A140="",$K140=""),"",IF(AND($M140="Sí",$O140="Sí"),"OTIF","Falló"))</f>
        <v/>
      </c>
    </row>
    <row r="141" ht="16" customHeight="1">
      <c r="A141" s="47" t="n"/>
      <c r="B141" s="46" t="n"/>
      <c r="C141" s="49" t="n"/>
      <c r="D141" s="49" t="n"/>
      <c r="E141" s="49" t="n"/>
      <c r="F141" s="49" t="n"/>
      <c r="G141" s="47" t="n"/>
      <c r="H141" s="50" t="n"/>
      <c r="I141" s="51" t="n"/>
      <c r="J141" s="46" t="n"/>
      <c r="K141" s="46" t="n"/>
      <c r="L141" s="23">
        <f>IF(OR($A141="",$B141=""),"",IF($K141&lt;&gt;"",$K141-$B141,TODAY()-$B141))</f>
        <v/>
      </c>
      <c r="M141" s="27">
        <f>IF(OR($A141="",$J141=""),"",IF($K141="",IF(TODAY()&gt;$J141,"Atrasado","En ruta"),IF($K141&lt;=$J141,"Sí","No")))</f>
        <v/>
      </c>
      <c r="N141" s="23">
        <f>IF($A141="","",COUNTIFS(NOVEDADES!$C$4:$C$1503,$A141))</f>
        <v/>
      </c>
      <c r="O141" s="27">
        <f>IF($A141="","",IF(COUNTIFS(NOVEDADES!$C$4:$C$1503,$A141,NOVEDADES!$M$4:$M$1503,"SÍ")&gt;0,"No","Sí"))</f>
        <v/>
      </c>
      <c r="P141" s="27">
        <f>IF(OR($A141="",$K141=""),"",IF(AND($M141="Sí",$O141="Sí"),"OTIF","Falló"))</f>
        <v/>
      </c>
    </row>
    <row r="142" ht="16" customHeight="1">
      <c r="A142" s="47" t="n"/>
      <c r="B142" s="46" t="n"/>
      <c r="C142" s="49" t="n"/>
      <c r="D142" s="49" t="n"/>
      <c r="E142" s="49" t="n"/>
      <c r="F142" s="49" t="n"/>
      <c r="G142" s="47" t="n"/>
      <c r="H142" s="50" t="n"/>
      <c r="I142" s="51" t="n"/>
      <c r="J142" s="46" t="n"/>
      <c r="K142" s="46" t="n"/>
      <c r="L142" s="23">
        <f>IF(OR($A142="",$B142=""),"",IF($K142&lt;&gt;"",$K142-$B142,TODAY()-$B142))</f>
        <v/>
      </c>
      <c r="M142" s="27">
        <f>IF(OR($A142="",$J142=""),"",IF($K142="",IF(TODAY()&gt;$J142,"Atrasado","En ruta"),IF($K142&lt;=$J142,"Sí","No")))</f>
        <v/>
      </c>
      <c r="N142" s="23">
        <f>IF($A142="","",COUNTIFS(NOVEDADES!$C$4:$C$1503,$A142))</f>
        <v/>
      </c>
      <c r="O142" s="27">
        <f>IF($A142="","",IF(COUNTIFS(NOVEDADES!$C$4:$C$1503,$A142,NOVEDADES!$M$4:$M$1503,"SÍ")&gt;0,"No","Sí"))</f>
        <v/>
      </c>
      <c r="P142" s="27">
        <f>IF(OR($A142="",$K142=""),"",IF(AND($M142="Sí",$O142="Sí"),"OTIF","Falló"))</f>
        <v/>
      </c>
    </row>
    <row r="143" ht="16" customHeight="1">
      <c r="A143" s="47" t="n"/>
      <c r="B143" s="46" t="n"/>
      <c r="C143" s="49" t="n"/>
      <c r="D143" s="49" t="n"/>
      <c r="E143" s="49" t="n"/>
      <c r="F143" s="49" t="n"/>
      <c r="G143" s="47" t="n"/>
      <c r="H143" s="50" t="n"/>
      <c r="I143" s="51" t="n"/>
      <c r="J143" s="46" t="n"/>
      <c r="K143" s="46" t="n"/>
      <c r="L143" s="23">
        <f>IF(OR($A143="",$B143=""),"",IF($K143&lt;&gt;"",$K143-$B143,TODAY()-$B143))</f>
        <v/>
      </c>
      <c r="M143" s="27">
        <f>IF(OR($A143="",$J143=""),"",IF($K143="",IF(TODAY()&gt;$J143,"Atrasado","En ruta"),IF($K143&lt;=$J143,"Sí","No")))</f>
        <v/>
      </c>
      <c r="N143" s="23">
        <f>IF($A143="","",COUNTIFS(NOVEDADES!$C$4:$C$1503,$A143))</f>
        <v/>
      </c>
      <c r="O143" s="27">
        <f>IF($A143="","",IF(COUNTIFS(NOVEDADES!$C$4:$C$1503,$A143,NOVEDADES!$M$4:$M$1503,"SÍ")&gt;0,"No","Sí"))</f>
        <v/>
      </c>
      <c r="P143" s="27">
        <f>IF(OR($A143="",$K143=""),"",IF(AND($M143="Sí",$O143="Sí"),"OTIF","Falló"))</f>
        <v/>
      </c>
    </row>
    <row r="144" ht="16" customHeight="1">
      <c r="A144" s="47" t="n"/>
      <c r="B144" s="46" t="n"/>
      <c r="C144" s="49" t="n"/>
      <c r="D144" s="49" t="n"/>
      <c r="E144" s="49" t="n"/>
      <c r="F144" s="49" t="n"/>
      <c r="G144" s="47" t="n"/>
      <c r="H144" s="50" t="n"/>
      <c r="I144" s="51" t="n"/>
      <c r="J144" s="46" t="n"/>
      <c r="K144" s="46" t="n"/>
      <c r="L144" s="23">
        <f>IF(OR($A144="",$B144=""),"",IF($K144&lt;&gt;"",$K144-$B144,TODAY()-$B144))</f>
        <v/>
      </c>
      <c r="M144" s="27">
        <f>IF(OR($A144="",$J144=""),"",IF($K144="",IF(TODAY()&gt;$J144,"Atrasado","En ruta"),IF($K144&lt;=$J144,"Sí","No")))</f>
        <v/>
      </c>
      <c r="N144" s="23">
        <f>IF($A144="","",COUNTIFS(NOVEDADES!$C$4:$C$1503,$A144))</f>
        <v/>
      </c>
      <c r="O144" s="27">
        <f>IF($A144="","",IF(COUNTIFS(NOVEDADES!$C$4:$C$1503,$A144,NOVEDADES!$M$4:$M$1503,"SÍ")&gt;0,"No","Sí"))</f>
        <v/>
      </c>
      <c r="P144" s="27">
        <f>IF(OR($A144="",$K144=""),"",IF(AND($M144="Sí",$O144="Sí"),"OTIF","Falló"))</f>
        <v/>
      </c>
    </row>
    <row r="145" ht="16" customHeight="1">
      <c r="A145" s="47" t="n"/>
      <c r="B145" s="46" t="n"/>
      <c r="C145" s="49" t="n"/>
      <c r="D145" s="49" t="n"/>
      <c r="E145" s="49" t="n"/>
      <c r="F145" s="49" t="n"/>
      <c r="G145" s="47" t="n"/>
      <c r="H145" s="50" t="n"/>
      <c r="I145" s="51" t="n"/>
      <c r="J145" s="46" t="n"/>
      <c r="K145" s="46" t="n"/>
      <c r="L145" s="23">
        <f>IF(OR($A145="",$B145=""),"",IF($K145&lt;&gt;"",$K145-$B145,TODAY()-$B145))</f>
        <v/>
      </c>
      <c r="M145" s="27">
        <f>IF(OR($A145="",$J145=""),"",IF($K145="",IF(TODAY()&gt;$J145,"Atrasado","En ruta"),IF($K145&lt;=$J145,"Sí","No")))</f>
        <v/>
      </c>
      <c r="N145" s="23">
        <f>IF($A145="","",COUNTIFS(NOVEDADES!$C$4:$C$1503,$A145))</f>
        <v/>
      </c>
      <c r="O145" s="27">
        <f>IF($A145="","",IF(COUNTIFS(NOVEDADES!$C$4:$C$1503,$A145,NOVEDADES!$M$4:$M$1503,"SÍ")&gt;0,"No","Sí"))</f>
        <v/>
      </c>
      <c r="P145" s="27">
        <f>IF(OR($A145="",$K145=""),"",IF(AND($M145="Sí",$O145="Sí"),"OTIF","Falló"))</f>
        <v/>
      </c>
    </row>
    <row r="146" ht="16" customHeight="1">
      <c r="A146" s="47" t="n"/>
      <c r="B146" s="46" t="n"/>
      <c r="C146" s="49" t="n"/>
      <c r="D146" s="49" t="n"/>
      <c r="E146" s="49" t="n"/>
      <c r="F146" s="49" t="n"/>
      <c r="G146" s="47" t="n"/>
      <c r="H146" s="50" t="n"/>
      <c r="I146" s="51" t="n"/>
      <c r="J146" s="46" t="n"/>
      <c r="K146" s="46" t="n"/>
      <c r="L146" s="23">
        <f>IF(OR($A146="",$B146=""),"",IF($K146&lt;&gt;"",$K146-$B146,TODAY()-$B146))</f>
        <v/>
      </c>
      <c r="M146" s="27">
        <f>IF(OR($A146="",$J146=""),"",IF($K146="",IF(TODAY()&gt;$J146,"Atrasado","En ruta"),IF($K146&lt;=$J146,"Sí","No")))</f>
        <v/>
      </c>
      <c r="N146" s="23">
        <f>IF($A146="","",COUNTIFS(NOVEDADES!$C$4:$C$1503,$A146))</f>
        <v/>
      </c>
      <c r="O146" s="27">
        <f>IF($A146="","",IF(COUNTIFS(NOVEDADES!$C$4:$C$1503,$A146,NOVEDADES!$M$4:$M$1503,"SÍ")&gt;0,"No","Sí"))</f>
        <v/>
      </c>
      <c r="P146" s="27">
        <f>IF(OR($A146="",$K146=""),"",IF(AND($M146="Sí",$O146="Sí"),"OTIF","Falló"))</f>
        <v/>
      </c>
    </row>
    <row r="147" ht="16" customHeight="1">
      <c r="A147" s="47" t="n"/>
      <c r="B147" s="46" t="n"/>
      <c r="C147" s="49" t="n"/>
      <c r="D147" s="49" t="n"/>
      <c r="E147" s="49" t="n"/>
      <c r="F147" s="49" t="n"/>
      <c r="G147" s="47" t="n"/>
      <c r="H147" s="50" t="n"/>
      <c r="I147" s="51" t="n"/>
      <c r="J147" s="46" t="n"/>
      <c r="K147" s="46" t="n"/>
      <c r="L147" s="23">
        <f>IF(OR($A147="",$B147=""),"",IF($K147&lt;&gt;"",$K147-$B147,TODAY()-$B147))</f>
        <v/>
      </c>
      <c r="M147" s="27">
        <f>IF(OR($A147="",$J147=""),"",IF($K147="",IF(TODAY()&gt;$J147,"Atrasado","En ruta"),IF($K147&lt;=$J147,"Sí","No")))</f>
        <v/>
      </c>
      <c r="N147" s="23">
        <f>IF($A147="","",COUNTIFS(NOVEDADES!$C$4:$C$1503,$A147))</f>
        <v/>
      </c>
      <c r="O147" s="27">
        <f>IF($A147="","",IF(COUNTIFS(NOVEDADES!$C$4:$C$1503,$A147,NOVEDADES!$M$4:$M$1503,"SÍ")&gt;0,"No","Sí"))</f>
        <v/>
      </c>
      <c r="P147" s="27">
        <f>IF(OR($A147="",$K147=""),"",IF(AND($M147="Sí",$O147="Sí"),"OTIF","Falló"))</f>
        <v/>
      </c>
    </row>
    <row r="148" ht="16" customHeight="1">
      <c r="A148" s="47" t="n"/>
      <c r="B148" s="46" t="n"/>
      <c r="C148" s="49" t="n"/>
      <c r="D148" s="49" t="n"/>
      <c r="E148" s="49" t="n"/>
      <c r="F148" s="49" t="n"/>
      <c r="G148" s="47" t="n"/>
      <c r="H148" s="50" t="n"/>
      <c r="I148" s="51" t="n"/>
      <c r="J148" s="46" t="n"/>
      <c r="K148" s="46" t="n"/>
      <c r="L148" s="23">
        <f>IF(OR($A148="",$B148=""),"",IF($K148&lt;&gt;"",$K148-$B148,TODAY()-$B148))</f>
        <v/>
      </c>
      <c r="M148" s="27">
        <f>IF(OR($A148="",$J148=""),"",IF($K148="",IF(TODAY()&gt;$J148,"Atrasado","En ruta"),IF($K148&lt;=$J148,"Sí","No")))</f>
        <v/>
      </c>
      <c r="N148" s="23">
        <f>IF($A148="","",COUNTIFS(NOVEDADES!$C$4:$C$1503,$A148))</f>
        <v/>
      </c>
      <c r="O148" s="27">
        <f>IF($A148="","",IF(COUNTIFS(NOVEDADES!$C$4:$C$1503,$A148,NOVEDADES!$M$4:$M$1503,"SÍ")&gt;0,"No","Sí"))</f>
        <v/>
      </c>
      <c r="P148" s="27">
        <f>IF(OR($A148="",$K148=""),"",IF(AND($M148="Sí",$O148="Sí"),"OTIF","Falló"))</f>
        <v/>
      </c>
    </row>
    <row r="149" ht="16" customHeight="1">
      <c r="A149" s="47" t="n"/>
      <c r="B149" s="46" t="n"/>
      <c r="C149" s="49" t="n"/>
      <c r="D149" s="49" t="n"/>
      <c r="E149" s="49" t="n"/>
      <c r="F149" s="49" t="n"/>
      <c r="G149" s="47" t="n"/>
      <c r="H149" s="50" t="n"/>
      <c r="I149" s="51" t="n"/>
      <c r="J149" s="46" t="n"/>
      <c r="K149" s="46" t="n"/>
      <c r="L149" s="23">
        <f>IF(OR($A149="",$B149=""),"",IF($K149&lt;&gt;"",$K149-$B149,TODAY()-$B149))</f>
        <v/>
      </c>
      <c r="M149" s="27">
        <f>IF(OR($A149="",$J149=""),"",IF($K149="",IF(TODAY()&gt;$J149,"Atrasado","En ruta"),IF($K149&lt;=$J149,"Sí","No")))</f>
        <v/>
      </c>
      <c r="N149" s="23">
        <f>IF($A149="","",COUNTIFS(NOVEDADES!$C$4:$C$1503,$A149))</f>
        <v/>
      </c>
      <c r="O149" s="27">
        <f>IF($A149="","",IF(COUNTIFS(NOVEDADES!$C$4:$C$1503,$A149,NOVEDADES!$M$4:$M$1503,"SÍ")&gt;0,"No","Sí"))</f>
        <v/>
      </c>
      <c r="P149" s="27">
        <f>IF(OR($A149="",$K149=""),"",IF(AND($M149="Sí",$O149="Sí"),"OTIF","Falló"))</f>
        <v/>
      </c>
    </row>
    <row r="150" ht="16" customHeight="1">
      <c r="A150" s="47" t="n"/>
      <c r="B150" s="46" t="n"/>
      <c r="C150" s="49" t="n"/>
      <c r="D150" s="49" t="n"/>
      <c r="E150" s="49" t="n"/>
      <c r="F150" s="49" t="n"/>
      <c r="G150" s="47" t="n"/>
      <c r="H150" s="50" t="n"/>
      <c r="I150" s="51" t="n"/>
      <c r="J150" s="46" t="n"/>
      <c r="K150" s="46" t="n"/>
      <c r="L150" s="23">
        <f>IF(OR($A150="",$B150=""),"",IF($K150&lt;&gt;"",$K150-$B150,TODAY()-$B150))</f>
        <v/>
      </c>
      <c r="M150" s="27">
        <f>IF(OR($A150="",$J150=""),"",IF($K150="",IF(TODAY()&gt;$J150,"Atrasado","En ruta"),IF($K150&lt;=$J150,"Sí","No")))</f>
        <v/>
      </c>
      <c r="N150" s="23">
        <f>IF($A150="","",COUNTIFS(NOVEDADES!$C$4:$C$1503,$A150))</f>
        <v/>
      </c>
      <c r="O150" s="27">
        <f>IF($A150="","",IF(COUNTIFS(NOVEDADES!$C$4:$C$1503,$A150,NOVEDADES!$M$4:$M$1503,"SÍ")&gt;0,"No","Sí"))</f>
        <v/>
      </c>
      <c r="P150" s="27">
        <f>IF(OR($A150="",$K150=""),"",IF(AND($M150="Sí",$O150="Sí"),"OTIF","Falló"))</f>
        <v/>
      </c>
    </row>
    <row r="151" ht="16" customHeight="1">
      <c r="A151" s="47" t="n"/>
      <c r="B151" s="46" t="n"/>
      <c r="C151" s="49" t="n"/>
      <c r="D151" s="49" t="n"/>
      <c r="E151" s="49" t="n"/>
      <c r="F151" s="49" t="n"/>
      <c r="G151" s="47" t="n"/>
      <c r="H151" s="50" t="n"/>
      <c r="I151" s="51" t="n"/>
      <c r="J151" s="46" t="n"/>
      <c r="K151" s="46" t="n"/>
      <c r="L151" s="23">
        <f>IF(OR($A151="",$B151=""),"",IF($K151&lt;&gt;"",$K151-$B151,TODAY()-$B151))</f>
        <v/>
      </c>
      <c r="M151" s="27">
        <f>IF(OR($A151="",$J151=""),"",IF($K151="",IF(TODAY()&gt;$J151,"Atrasado","En ruta"),IF($K151&lt;=$J151,"Sí","No")))</f>
        <v/>
      </c>
      <c r="N151" s="23">
        <f>IF($A151="","",COUNTIFS(NOVEDADES!$C$4:$C$1503,$A151))</f>
        <v/>
      </c>
      <c r="O151" s="27">
        <f>IF($A151="","",IF(COUNTIFS(NOVEDADES!$C$4:$C$1503,$A151,NOVEDADES!$M$4:$M$1503,"SÍ")&gt;0,"No","Sí"))</f>
        <v/>
      </c>
      <c r="P151" s="27">
        <f>IF(OR($A151="",$K151=""),"",IF(AND($M151="Sí",$O151="Sí"),"OTIF","Falló"))</f>
        <v/>
      </c>
    </row>
    <row r="152" ht="16" customHeight="1">
      <c r="A152" s="47" t="n"/>
      <c r="B152" s="46" t="n"/>
      <c r="C152" s="49" t="n"/>
      <c r="D152" s="49" t="n"/>
      <c r="E152" s="49" t="n"/>
      <c r="F152" s="49" t="n"/>
      <c r="G152" s="47" t="n"/>
      <c r="H152" s="50" t="n"/>
      <c r="I152" s="51" t="n"/>
      <c r="J152" s="46" t="n"/>
      <c r="K152" s="46" t="n"/>
      <c r="L152" s="23">
        <f>IF(OR($A152="",$B152=""),"",IF($K152&lt;&gt;"",$K152-$B152,TODAY()-$B152))</f>
        <v/>
      </c>
      <c r="M152" s="27">
        <f>IF(OR($A152="",$J152=""),"",IF($K152="",IF(TODAY()&gt;$J152,"Atrasado","En ruta"),IF($K152&lt;=$J152,"Sí","No")))</f>
        <v/>
      </c>
      <c r="N152" s="23">
        <f>IF($A152="","",COUNTIFS(NOVEDADES!$C$4:$C$1503,$A152))</f>
        <v/>
      </c>
      <c r="O152" s="27">
        <f>IF($A152="","",IF(COUNTIFS(NOVEDADES!$C$4:$C$1503,$A152,NOVEDADES!$M$4:$M$1503,"SÍ")&gt;0,"No","Sí"))</f>
        <v/>
      </c>
      <c r="P152" s="27">
        <f>IF(OR($A152="",$K152=""),"",IF(AND($M152="Sí",$O152="Sí"),"OTIF","Falló"))</f>
        <v/>
      </c>
    </row>
    <row r="153" ht="16" customHeight="1">
      <c r="A153" s="47" t="n"/>
      <c r="B153" s="46" t="n"/>
      <c r="C153" s="49" t="n"/>
      <c r="D153" s="49" t="n"/>
      <c r="E153" s="49" t="n"/>
      <c r="F153" s="49" t="n"/>
      <c r="G153" s="47" t="n"/>
      <c r="H153" s="50" t="n"/>
      <c r="I153" s="51" t="n"/>
      <c r="J153" s="46" t="n"/>
      <c r="K153" s="46" t="n"/>
      <c r="L153" s="23">
        <f>IF(OR($A153="",$B153=""),"",IF($K153&lt;&gt;"",$K153-$B153,TODAY()-$B153))</f>
        <v/>
      </c>
      <c r="M153" s="27">
        <f>IF(OR($A153="",$J153=""),"",IF($K153="",IF(TODAY()&gt;$J153,"Atrasado","En ruta"),IF($K153&lt;=$J153,"Sí","No")))</f>
        <v/>
      </c>
      <c r="N153" s="23">
        <f>IF($A153="","",COUNTIFS(NOVEDADES!$C$4:$C$1503,$A153))</f>
        <v/>
      </c>
      <c r="O153" s="27">
        <f>IF($A153="","",IF(COUNTIFS(NOVEDADES!$C$4:$C$1503,$A153,NOVEDADES!$M$4:$M$1503,"SÍ")&gt;0,"No","Sí"))</f>
        <v/>
      </c>
      <c r="P153" s="27">
        <f>IF(OR($A153="",$K153=""),"",IF(AND($M153="Sí",$O153="Sí"),"OTIF","Falló"))</f>
        <v/>
      </c>
    </row>
    <row r="154" ht="16" customHeight="1">
      <c r="A154" s="47" t="n"/>
      <c r="B154" s="46" t="n"/>
      <c r="C154" s="49" t="n"/>
      <c r="D154" s="49" t="n"/>
      <c r="E154" s="49" t="n"/>
      <c r="F154" s="49" t="n"/>
      <c r="G154" s="47" t="n"/>
      <c r="H154" s="50" t="n"/>
      <c r="I154" s="51" t="n"/>
      <c r="J154" s="46" t="n"/>
      <c r="K154" s="46" t="n"/>
      <c r="L154" s="23">
        <f>IF(OR($A154="",$B154=""),"",IF($K154&lt;&gt;"",$K154-$B154,TODAY()-$B154))</f>
        <v/>
      </c>
      <c r="M154" s="27">
        <f>IF(OR($A154="",$J154=""),"",IF($K154="",IF(TODAY()&gt;$J154,"Atrasado","En ruta"),IF($K154&lt;=$J154,"Sí","No")))</f>
        <v/>
      </c>
      <c r="N154" s="23">
        <f>IF($A154="","",COUNTIFS(NOVEDADES!$C$4:$C$1503,$A154))</f>
        <v/>
      </c>
      <c r="O154" s="27">
        <f>IF($A154="","",IF(COUNTIFS(NOVEDADES!$C$4:$C$1503,$A154,NOVEDADES!$M$4:$M$1503,"SÍ")&gt;0,"No","Sí"))</f>
        <v/>
      </c>
      <c r="P154" s="27">
        <f>IF(OR($A154="",$K154=""),"",IF(AND($M154="Sí",$O154="Sí"),"OTIF","Falló"))</f>
        <v/>
      </c>
    </row>
    <row r="155" ht="16" customHeight="1">
      <c r="A155" s="47" t="n"/>
      <c r="B155" s="46" t="n"/>
      <c r="C155" s="49" t="n"/>
      <c r="D155" s="49" t="n"/>
      <c r="E155" s="49" t="n"/>
      <c r="F155" s="49" t="n"/>
      <c r="G155" s="47" t="n"/>
      <c r="H155" s="50" t="n"/>
      <c r="I155" s="51" t="n"/>
      <c r="J155" s="46" t="n"/>
      <c r="K155" s="46" t="n"/>
      <c r="L155" s="23">
        <f>IF(OR($A155="",$B155=""),"",IF($K155&lt;&gt;"",$K155-$B155,TODAY()-$B155))</f>
        <v/>
      </c>
      <c r="M155" s="27">
        <f>IF(OR($A155="",$J155=""),"",IF($K155="",IF(TODAY()&gt;$J155,"Atrasado","En ruta"),IF($K155&lt;=$J155,"Sí","No")))</f>
        <v/>
      </c>
      <c r="N155" s="23">
        <f>IF($A155="","",COUNTIFS(NOVEDADES!$C$4:$C$1503,$A155))</f>
        <v/>
      </c>
      <c r="O155" s="27">
        <f>IF($A155="","",IF(COUNTIFS(NOVEDADES!$C$4:$C$1503,$A155,NOVEDADES!$M$4:$M$1503,"SÍ")&gt;0,"No","Sí"))</f>
        <v/>
      </c>
      <c r="P155" s="27">
        <f>IF(OR($A155="",$K155=""),"",IF(AND($M155="Sí",$O155="Sí"),"OTIF","Falló"))</f>
        <v/>
      </c>
    </row>
    <row r="156" ht="16" customHeight="1">
      <c r="A156" s="47" t="n"/>
      <c r="B156" s="46" t="n"/>
      <c r="C156" s="49" t="n"/>
      <c r="D156" s="49" t="n"/>
      <c r="E156" s="49" t="n"/>
      <c r="F156" s="49" t="n"/>
      <c r="G156" s="47" t="n"/>
      <c r="H156" s="50" t="n"/>
      <c r="I156" s="51" t="n"/>
      <c r="J156" s="46" t="n"/>
      <c r="K156" s="46" t="n"/>
      <c r="L156" s="23">
        <f>IF(OR($A156="",$B156=""),"",IF($K156&lt;&gt;"",$K156-$B156,TODAY()-$B156))</f>
        <v/>
      </c>
      <c r="M156" s="27">
        <f>IF(OR($A156="",$J156=""),"",IF($K156="",IF(TODAY()&gt;$J156,"Atrasado","En ruta"),IF($K156&lt;=$J156,"Sí","No")))</f>
        <v/>
      </c>
      <c r="N156" s="23">
        <f>IF($A156="","",COUNTIFS(NOVEDADES!$C$4:$C$1503,$A156))</f>
        <v/>
      </c>
      <c r="O156" s="27">
        <f>IF($A156="","",IF(COUNTIFS(NOVEDADES!$C$4:$C$1503,$A156,NOVEDADES!$M$4:$M$1503,"SÍ")&gt;0,"No","Sí"))</f>
        <v/>
      </c>
      <c r="P156" s="27">
        <f>IF(OR($A156="",$K156=""),"",IF(AND($M156="Sí",$O156="Sí"),"OTIF","Falló"))</f>
        <v/>
      </c>
    </row>
    <row r="157" ht="16" customHeight="1">
      <c r="A157" s="47" t="n"/>
      <c r="B157" s="46" t="n"/>
      <c r="C157" s="49" t="n"/>
      <c r="D157" s="49" t="n"/>
      <c r="E157" s="49" t="n"/>
      <c r="F157" s="49" t="n"/>
      <c r="G157" s="47" t="n"/>
      <c r="H157" s="50" t="n"/>
      <c r="I157" s="51" t="n"/>
      <c r="J157" s="46" t="n"/>
      <c r="K157" s="46" t="n"/>
      <c r="L157" s="23">
        <f>IF(OR($A157="",$B157=""),"",IF($K157&lt;&gt;"",$K157-$B157,TODAY()-$B157))</f>
        <v/>
      </c>
      <c r="M157" s="27">
        <f>IF(OR($A157="",$J157=""),"",IF($K157="",IF(TODAY()&gt;$J157,"Atrasado","En ruta"),IF($K157&lt;=$J157,"Sí","No")))</f>
        <v/>
      </c>
      <c r="N157" s="23">
        <f>IF($A157="","",COUNTIFS(NOVEDADES!$C$4:$C$1503,$A157))</f>
        <v/>
      </c>
      <c r="O157" s="27">
        <f>IF($A157="","",IF(COUNTIFS(NOVEDADES!$C$4:$C$1503,$A157,NOVEDADES!$M$4:$M$1503,"SÍ")&gt;0,"No","Sí"))</f>
        <v/>
      </c>
      <c r="P157" s="27">
        <f>IF(OR($A157="",$K157=""),"",IF(AND($M157="Sí",$O157="Sí"),"OTIF","Falló"))</f>
        <v/>
      </c>
    </row>
    <row r="158" ht="16" customHeight="1">
      <c r="A158" s="47" t="n"/>
      <c r="B158" s="46" t="n"/>
      <c r="C158" s="49" t="n"/>
      <c r="D158" s="49" t="n"/>
      <c r="E158" s="49" t="n"/>
      <c r="F158" s="49" t="n"/>
      <c r="G158" s="47" t="n"/>
      <c r="H158" s="50" t="n"/>
      <c r="I158" s="51" t="n"/>
      <c r="J158" s="46" t="n"/>
      <c r="K158" s="46" t="n"/>
      <c r="L158" s="23">
        <f>IF(OR($A158="",$B158=""),"",IF($K158&lt;&gt;"",$K158-$B158,TODAY()-$B158))</f>
        <v/>
      </c>
      <c r="M158" s="27">
        <f>IF(OR($A158="",$J158=""),"",IF($K158="",IF(TODAY()&gt;$J158,"Atrasado","En ruta"),IF($K158&lt;=$J158,"Sí","No")))</f>
        <v/>
      </c>
      <c r="N158" s="23">
        <f>IF($A158="","",COUNTIFS(NOVEDADES!$C$4:$C$1503,$A158))</f>
        <v/>
      </c>
      <c r="O158" s="27">
        <f>IF($A158="","",IF(COUNTIFS(NOVEDADES!$C$4:$C$1503,$A158,NOVEDADES!$M$4:$M$1503,"SÍ")&gt;0,"No","Sí"))</f>
        <v/>
      </c>
      <c r="P158" s="27">
        <f>IF(OR($A158="",$K158=""),"",IF(AND($M158="Sí",$O158="Sí"),"OTIF","Falló"))</f>
        <v/>
      </c>
    </row>
    <row r="159" ht="16" customHeight="1">
      <c r="A159" s="47" t="n"/>
      <c r="B159" s="46" t="n"/>
      <c r="C159" s="49" t="n"/>
      <c r="D159" s="49" t="n"/>
      <c r="E159" s="49" t="n"/>
      <c r="F159" s="49" t="n"/>
      <c r="G159" s="47" t="n"/>
      <c r="H159" s="50" t="n"/>
      <c r="I159" s="51" t="n"/>
      <c r="J159" s="46" t="n"/>
      <c r="K159" s="46" t="n"/>
      <c r="L159" s="23">
        <f>IF(OR($A159="",$B159=""),"",IF($K159&lt;&gt;"",$K159-$B159,TODAY()-$B159))</f>
        <v/>
      </c>
      <c r="M159" s="27">
        <f>IF(OR($A159="",$J159=""),"",IF($K159="",IF(TODAY()&gt;$J159,"Atrasado","En ruta"),IF($K159&lt;=$J159,"Sí","No")))</f>
        <v/>
      </c>
      <c r="N159" s="23">
        <f>IF($A159="","",COUNTIFS(NOVEDADES!$C$4:$C$1503,$A159))</f>
        <v/>
      </c>
      <c r="O159" s="27">
        <f>IF($A159="","",IF(COUNTIFS(NOVEDADES!$C$4:$C$1503,$A159,NOVEDADES!$M$4:$M$1503,"SÍ")&gt;0,"No","Sí"))</f>
        <v/>
      </c>
      <c r="P159" s="27">
        <f>IF(OR($A159="",$K159=""),"",IF(AND($M159="Sí",$O159="Sí"),"OTIF","Falló"))</f>
        <v/>
      </c>
    </row>
    <row r="160" ht="16" customHeight="1">
      <c r="A160" s="47" t="n"/>
      <c r="B160" s="46" t="n"/>
      <c r="C160" s="49" t="n"/>
      <c r="D160" s="49" t="n"/>
      <c r="E160" s="49" t="n"/>
      <c r="F160" s="49" t="n"/>
      <c r="G160" s="47" t="n"/>
      <c r="H160" s="50" t="n"/>
      <c r="I160" s="51" t="n"/>
      <c r="J160" s="46" t="n"/>
      <c r="K160" s="46" t="n"/>
      <c r="L160" s="23">
        <f>IF(OR($A160="",$B160=""),"",IF($K160&lt;&gt;"",$K160-$B160,TODAY()-$B160))</f>
        <v/>
      </c>
      <c r="M160" s="27">
        <f>IF(OR($A160="",$J160=""),"",IF($K160="",IF(TODAY()&gt;$J160,"Atrasado","En ruta"),IF($K160&lt;=$J160,"Sí","No")))</f>
        <v/>
      </c>
      <c r="N160" s="23">
        <f>IF($A160="","",COUNTIFS(NOVEDADES!$C$4:$C$1503,$A160))</f>
        <v/>
      </c>
      <c r="O160" s="27">
        <f>IF($A160="","",IF(COUNTIFS(NOVEDADES!$C$4:$C$1503,$A160,NOVEDADES!$M$4:$M$1503,"SÍ")&gt;0,"No","Sí"))</f>
        <v/>
      </c>
      <c r="P160" s="27">
        <f>IF(OR($A160="",$K160=""),"",IF(AND($M160="Sí",$O160="Sí"),"OTIF","Falló"))</f>
        <v/>
      </c>
    </row>
    <row r="161" ht="16" customHeight="1">
      <c r="A161" s="47" t="n"/>
      <c r="B161" s="46" t="n"/>
      <c r="C161" s="49" t="n"/>
      <c r="D161" s="49" t="n"/>
      <c r="E161" s="49" t="n"/>
      <c r="F161" s="49" t="n"/>
      <c r="G161" s="47" t="n"/>
      <c r="H161" s="50" t="n"/>
      <c r="I161" s="51" t="n"/>
      <c r="J161" s="46" t="n"/>
      <c r="K161" s="46" t="n"/>
      <c r="L161" s="23">
        <f>IF(OR($A161="",$B161=""),"",IF($K161&lt;&gt;"",$K161-$B161,TODAY()-$B161))</f>
        <v/>
      </c>
      <c r="M161" s="27">
        <f>IF(OR($A161="",$J161=""),"",IF($K161="",IF(TODAY()&gt;$J161,"Atrasado","En ruta"),IF($K161&lt;=$J161,"Sí","No")))</f>
        <v/>
      </c>
      <c r="N161" s="23">
        <f>IF($A161="","",COUNTIFS(NOVEDADES!$C$4:$C$1503,$A161))</f>
        <v/>
      </c>
      <c r="O161" s="27">
        <f>IF($A161="","",IF(COUNTIFS(NOVEDADES!$C$4:$C$1503,$A161,NOVEDADES!$M$4:$M$1503,"SÍ")&gt;0,"No","Sí"))</f>
        <v/>
      </c>
      <c r="P161" s="27">
        <f>IF(OR($A161="",$K161=""),"",IF(AND($M161="Sí",$O161="Sí"),"OTIF","Falló"))</f>
        <v/>
      </c>
    </row>
    <row r="162" ht="16" customHeight="1">
      <c r="A162" s="47" t="n"/>
      <c r="B162" s="46" t="n"/>
      <c r="C162" s="49" t="n"/>
      <c r="D162" s="49" t="n"/>
      <c r="E162" s="49" t="n"/>
      <c r="F162" s="49" t="n"/>
      <c r="G162" s="47" t="n"/>
      <c r="H162" s="50" t="n"/>
      <c r="I162" s="51" t="n"/>
      <c r="J162" s="46" t="n"/>
      <c r="K162" s="46" t="n"/>
      <c r="L162" s="23">
        <f>IF(OR($A162="",$B162=""),"",IF($K162&lt;&gt;"",$K162-$B162,TODAY()-$B162))</f>
        <v/>
      </c>
      <c r="M162" s="27">
        <f>IF(OR($A162="",$J162=""),"",IF($K162="",IF(TODAY()&gt;$J162,"Atrasado","En ruta"),IF($K162&lt;=$J162,"Sí","No")))</f>
        <v/>
      </c>
      <c r="N162" s="23">
        <f>IF($A162="","",COUNTIFS(NOVEDADES!$C$4:$C$1503,$A162))</f>
        <v/>
      </c>
      <c r="O162" s="27">
        <f>IF($A162="","",IF(COUNTIFS(NOVEDADES!$C$4:$C$1503,$A162,NOVEDADES!$M$4:$M$1503,"SÍ")&gt;0,"No","Sí"))</f>
        <v/>
      </c>
      <c r="P162" s="27">
        <f>IF(OR($A162="",$K162=""),"",IF(AND($M162="Sí",$O162="Sí"),"OTIF","Falló"))</f>
        <v/>
      </c>
    </row>
    <row r="163" ht="16" customHeight="1">
      <c r="A163" s="47" t="n"/>
      <c r="B163" s="46" t="n"/>
      <c r="C163" s="49" t="n"/>
      <c r="D163" s="49" t="n"/>
      <c r="E163" s="49" t="n"/>
      <c r="F163" s="49" t="n"/>
      <c r="G163" s="47" t="n"/>
      <c r="H163" s="50" t="n"/>
      <c r="I163" s="51" t="n"/>
      <c r="J163" s="46" t="n"/>
      <c r="K163" s="46" t="n"/>
      <c r="L163" s="23">
        <f>IF(OR($A163="",$B163=""),"",IF($K163&lt;&gt;"",$K163-$B163,TODAY()-$B163))</f>
        <v/>
      </c>
      <c r="M163" s="27">
        <f>IF(OR($A163="",$J163=""),"",IF($K163="",IF(TODAY()&gt;$J163,"Atrasado","En ruta"),IF($K163&lt;=$J163,"Sí","No")))</f>
        <v/>
      </c>
      <c r="N163" s="23">
        <f>IF($A163="","",COUNTIFS(NOVEDADES!$C$4:$C$1503,$A163))</f>
        <v/>
      </c>
      <c r="O163" s="27">
        <f>IF($A163="","",IF(COUNTIFS(NOVEDADES!$C$4:$C$1503,$A163,NOVEDADES!$M$4:$M$1503,"SÍ")&gt;0,"No","Sí"))</f>
        <v/>
      </c>
      <c r="P163" s="27">
        <f>IF(OR($A163="",$K163=""),"",IF(AND($M163="Sí",$O163="Sí"),"OTIF","Falló"))</f>
        <v/>
      </c>
    </row>
    <row r="164" ht="16" customHeight="1">
      <c r="A164" s="47" t="n"/>
      <c r="B164" s="46" t="n"/>
      <c r="C164" s="49" t="n"/>
      <c r="D164" s="49" t="n"/>
      <c r="E164" s="49" t="n"/>
      <c r="F164" s="49" t="n"/>
      <c r="G164" s="47" t="n"/>
      <c r="H164" s="50" t="n"/>
      <c r="I164" s="51" t="n"/>
      <c r="J164" s="46" t="n"/>
      <c r="K164" s="46" t="n"/>
      <c r="L164" s="23">
        <f>IF(OR($A164="",$B164=""),"",IF($K164&lt;&gt;"",$K164-$B164,TODAY()-$B164))</f>
        <v/>
      </c>
      <c r="M164" s="27">
        <f>IF(OR($A164="",$J164=""),"",IF($K164="",IF(TODAY()&gt;$J164,"Atrasado","En ruta"),IF($K164&lt;=$J164,"Sí","No")))</f>
        <v/>
      </c>
      <c r="N164" s="23">
        <f>IF($A164="","",COUNTIFS(NOVEDADES!$C$4:$C$1503,$A164))</f>
        <v/>
      </c>
      <c r="O164" s="27">
        <f>IF($A164="","",IF(COUNTIFS(NOVEDADES!$C$4:$C$1503,$A164,NOVEDADES!$M$4:$M$1503,"SÍ")&gt;0,"No","Sí"))</f>
        <v/>
      </c>
      <c r="P164" s="27">
        <f>IF(OR($A164="",$K164=""),"",IF(AND($M164="Sí",$O164="Sí"),"OTIF","Falló"))</f>
        <v/>
      </c>
    </row>
    <row r="165" ht="16" customHeight="1">
      <c r="A165" s="47" t="n"/>
      <c r="B165" s="46" t="n"/>
      <c r="C165" s="49" t="n"/>
      <c r="D165" s="49" t="n"/>
      <c r="E165" s="49" t="n"/>
      <c r="F165" s="49" t="n"/>
      <c r="G165" s="47" t="n"/>
      <c r="H165" s="50" t="n"/>
      <c r="I165" s="51" t="n"/>
      <c r="J165" s="46" t="n"/>
      <c r="K165" s="46" t="n"/>
      <c r="L165" s="23">
        <f>IF(OR($A165="",$B165=""),"",IF($K165&lt;&gt;"",$K165-$B165,TODAY()-$B165))</f>
        <v/>
      </c>
      <c r="M165" s="27">
        <f>IF(OR($A165="",$J165=""),"",IF($K165="",IF(TODAY()&gt;$J165,"Atrasado","En ruta"),IF($K165&lt;=$J165,"Sí","No")))</f>
        <v/>
      </c>
      <c r="N165" s="23">
        <f>IF($A165="","",COUNTIFS(NOVEDADES!$C$4:$C$1503,$A165))</f>
        <v/>
      </c>
      <c r="O165" s="27">
        <f>IF($A165="","",IF(COUNTIFS(NOVEDADES!$C$4:$C$1503,$A165,NOVEDADES!$M$4:$M$1503,"SÍ")&gt;0,"No","Sí"))</f>
        <v/>
      </c>
      <c r="P165" s="27">
        <f>IF(OR($A165="",$K165=""),"",IF(AND($M165="Sí",$O165="Sí"),"OTIF","Falló"))</f>
        <v/>
      </c>
    </row>
    <row r="166" ht="16" customHeight="1">
      <c r="A166" s="47" t="n"/>
      <c r="B166" s="46" t="n"/>
      <c r="C166" s="49" t="n"/>
      <c r="D166" s="49" t="n"/>
      <c r="E166" s="49" t="n"/>
      <c r="F166" s="49" t="n"/>
      <c r="G166" s="47" t="n"/>
      <c r="H166" s="50" t="n"/>
      <c r="I166" s="51" t="n"/>
      <c r="J166" s="46" t="n"/>
      <c r="K166" s="46" t="n"/>
      <c r="L166" s="23">
        <f>IF(OR($A166="",$B166=""),"",IF($K166&lt;&gt;"",$K166-$B166,TODAY()-$B166))</f>
        <v/>
      </c>
      <c r="M166" s="27">
        <f>IF(OR($A166="",$J166=""),"",IF($K166="",IF(TODAY()&gt;$J166,"Atrasado","En ruta"),IF($K166&lt;=$J166,"Sí","No")))</f>
        <v/>
      </c>
      <c r="N166" s="23">
        <f>IF($A166="","",COUNTIFS(NOVEDADES!$C$4:$C$1503,$A166))</f>
        <v/>
      </c>
      <c r="O166" s="27">
        <f>IF($A166="","",IF(COUNTIFS(NOVEDADES!$C$4:$C$1503,$A166,NOVEDADES!$M$4:$M$1503,"SÍ")&gt;0,"No","Sí"))</f>
        <v/>
      </c>
      <c r="P166" s="27">
        <f>IF(OR($A166="",$K166=""),"",IF(AND($M166="Sí",$O166="Sí"),"OTIF","Falló"))</f>
        <v/>
      </c>
    </row>
    <row r="167" ht="16" customHeight="1">
      <c r="A167" s="47" t="n"/>
      <c r="B167" s="46" t="n"/>
      <c r="C167" s="49" t="n"/>
      <c r="D167" s="49" t="n"/>
      <c r="E167" s="49" t="n"/>
      <c r="F167" s="49" t="n"/>
      <c r="G167" s="47" t="n"/>
      <c r="H167" s="50" t="n"/>
      <c r="I167" s="51" t="n"/>
      <c r="J167" s="46" t="n"/>
      <c r="K167" s="46" t="n"/>
      <c r="L167" s="23">
        <f>IF(OR($A167="",$B167=""),"",IF($K167&lt;&gt;"",$K167-$B167,TODAY()-$B167))</f>
        <v/>
      </c>
      <c r="M167" s="27">
        <f>IF(OR($A167="",$J167=""),"",IF($K167="",IF(TODAY()&gt;$J167,"Atrasado","En ruta"),IF($K167&lt;=$J167,"Sí","No")))</f>
        <v/>
      </c>
      <c r="N167" s="23">
        <f>IF($A167="","",COUNTIFS(NOVEDADES!$C$4:$C$1503,$A167))</f>
        <v/>
      </c>
      <c r="O167" s="27">
        <f>IF($A167="","",IF(COUNTIFS(NOVEDADES!$C$4:$C$1503,$A167,NOVEDADES!$M$4:$M$1503,"SÍ")&gt;0,"No","Sí"))</f>
        <v/>
      </c>
      <c r="P167" s="27">
        <f>IF(OR($A167="",$K167=""),"",IF(AND($M167="Sí",$O167="Sí"),"OTIF","Falló"))</f>
        <v/>
      </c>
    </row>
    <row r="168" ht="16" customHeight="1">
      <c r="A168" s="47" t="n"/>
      <c r="B168" s="46" t="n"/>
      <c r="C168" s="49" t="n"/>
      <c r="D168" s="49" t="n"/>
      <c r="E168" s="49" t="n"/>
      <c r="F168" s="49" t="n"/>
      <c r="G168" s="47" t="n"/>
      <c r="H168" s="50" t="n"/>
      <c r="I168" s="51" t="n"/>
      <c r="J168" s="46" t="n"/>
      <c r="K168" s="46" t="n"/>
      <c r="L168" s="23">
        <f>IF(OR($A168="",$B168=""),"",IF($K168&lt;&gt;"",$K168-$B168,TODAY()-$B168))</f>
        <v/>
      </c>
      <c r="M168" s="27">
        <f>IF(OR($A168="",$J168=""),"",IF($K168="",IF(TODAY()&gt;$J168,"Atrasado","En ruta"),IF($K168&lt;=$J168,"Sí","No")))</f>
        <v/>
      </c>
      <c r="N168" s="23">
        <f>IF($A168="","",COUNTIFS(NOVEDADES!$C$4:$C$1503,$A168))</f>
        <v/>
      </c>
      <c r="O168" s="27">
        <f>IF($A168="","",IF(COUNTIFS(NOVEDADES!$C$4:$C$1503,$A168,NOVEDADES!$M$4:$M$1503,"SÍ")&gt;0,"No","Sí"))</f>
        <v/>
      </c>
      <c r="P168" s="27">
        <f>IF(OR($A168="",$K168=""),"",IF(AND($M168="Sí",$O168="Sí"),"OTIF","Falló"))</f>
        <v/>
      </c>
    </row>
    <row r="169" ht="16" customHeight="1">
      <c r="A169" s="47" t="n"/>
      <c r="B169" s="46" t="n"/>
      <c r="C169" s="49" t="n"/>
      <c r="D169" s="49" t="n"/>
      <c r="E169" s="49" t="n"/>
      <c r="F169" s="49" t="n"/>
      <c r="G169" s="47" t="n"/>
      <c r="H169" s="50" t="n"/>
      <c r="I169" s="51" t="n"/>
      <c r="J169" s="46" t="n"/>
      <c r="K169" s="46" t="n"/>
      <c r="L169" s="23">
        <f>IF(OR($A169="",$B169=""),"",IF($K169&lt;&gt;"",$K169-$B169,TODAY()-$B169))</f>
        <v/>
      </c>
      <c r="M169" s="27">
        <f>IF(OR($A169="",$J169=""),"",IF($K169="",IF(TODAY()&gt;$J169,"Atrasado","En ruta"),IF($K169&lt;=$J169,"Sí","No")))</f>
        <v/>
      </c>
      <c r="N169" s="23">
        <f>IF($A169="","",COUNTIFS(NOVEDADES!$C$4:$C$1503,$A169))</f>
        <v/>
      </c>
      <c r="O169" s="27">
        <f>IF($A169="","",IF(COUNTIFS(NOVEDADES!$C$4:$C$1503,$A169,NOVEDADES!$M$4:$M$1503,"SÍ")&gt;0,"No","Sí"))</f>
        <v/>
      </c>
      <c r="P169" s="27">
        <f>IF(OR($A169="",$K169=""),"",IF(AND($M169="Sí",$O169="Sí"),"OTIF","Falló"))</f>
        <v/>
      </c>
    </row>
    <row r="170" ht="16" customHeight="1">
      <c r="A170" s="47" t="n"/>
      <c r="B170" s="46" t="n"/>
      <c r="C170" s="49" t="n"/>
      <c r="D170" s="49" t="n"/>
      <c r="E170" s="49" t="n"/>
      <c r="F170" s="49" t="n"/>
      <c r="G170" s="47" t="n"/>
      <c r="H170" s="50" t="n"/>
      <c r="I170" s="51" t="n"/>
      <c r="J170" s="46" t="n"/>
      <c r="K170" s="46" t="n"/>
      <c r="L170" s="23">
        <f>IF(OR($A170="",$B170=""),"",IF($K170&lt;&gt;"",$K170-$B170,TODAY()-$B170))</f>
        <v/>
      </c>
      <c r="M170" s="27">
        <f>IF(OR($A170="",$J170=""),"",IF($K170="",IF(TODAY()&gt;$J170,"Atrasado","En ruta"),IF($K170&lt;=$J170,"Sí","No")))</f>
        <v/>
      </c>
      <c r="N170" s="23">
        <f>IF($A170="","",COUNTIFS(NOVEDADES!$C$4:$C$1503,$A170))</f>
        <v/>
      </c>
      <c r="O170" s="27">
        <f>IF($A170="","",IF(COUNTIFS(NOVEDADES!$C$4:$C$1503,$A170,NOVEDADES!$M$4:$M$1503,"SÍ")&gt;0,"No","Sí"))</f>
        <v/>
      </c>
      <c r="P170" s="27">
        <f>IF(OR($A170="",$K170=""),"",IF(AND($M170="Sí",$O170="Sí"),"OTIF","Falló"))</f>
        <v/>
      </c>
    </row>
    <row r="171" ht="16" customHeight="1">
      <c r="A171" s="47" t="n"/>
      <c r="B171" s="46" t="n"/>
      <c r="C171" s="49" t="n"/>
      <c r="D171" s="49" t="n"/>
      <c r="E171" s="49" t="n"/>
      <c r="F171" s="49" t="n"/>
      <c r="G171" s="47" t="n"/>
      <c r="H171" s="50" t="n"/>
      <c r="I171" s="51" t="n"/>
      <c r="J171" s="46" t="n"/>
      <c r="K171" s="46" t="n"/>
      <c r="L171" s="23">
        <f>IF(OR($A171="",$B171=""),"",IF($K171&lt;&gt;"",$K171-$B171,TODAY()-$B171))</f>
        <v/>
      </c>
      <c r="M171" s="27">
        <f>IF(OR($A171="",$J171=""),"",IF($K171="",IF(TODAY()&gt;$J171,"Atrasado","En ruta"),IF($K171&lt;=$J171,"Sí","No")))</f>
        <v/>
      </c>
      <c r="N171" s="23">
        <f>IF($A171="","",COUNTIFS(NOVEDADES!$C$4:$C$1503,$A171))</f>
        <v/>
      </c>
      <c r="O171" s="27">
        <f>IF($A171="","",IF(COUNTIFS(NOVEDADES!$C$4:$C$1503,$A171,NOVEDADES!$M$4:$M$1503,"SÍ")&gt;0,"No","Sí"))</f>
        <v/>
      </c>
      <c r="P171" s="27">
        <f>IF(OR($A171="",$K171=""),"",IF(AND($M171="Sí",$O171="Sí"),"OTIF","Falló"))</f>
        <v/>
      </c>
    </row>
    <row r="172" ht="16" customHeight="1">
      <c r="A172" s="47" t="n"/>
      <c r="B172" s="46" t="n"/>
      <c r="C172" s="49" t="n"/>
      <c r="D172" s="49" t="n"/>
      <c r="E172" s="49" t="n"/>
      <c r="F172" s="49" t="n"/>
      <c r="G172" s="47" t="n"/>
      <c r="H172" s="50" t="n"/>
      <c r="I172" s="51" t="n"/>
      <c r="J172" s="46" t="n"/>
      <c r="K172" s="46" t="n"/>
      <c r="L172" s="23">
        <f>IF(OR($A172="",$B172=""),"",IF($K172&lt;&gt;"",$K172-$B172,TODAY()-$B172))</f>
        <v/>
      </c>
      <c r="M172" s="27">
        <f>IF(OR($A172="",$J172=""),"",IF($K172="",IF(TODAY()&gt;$J172,"Atrasado","En ruta"),IF($K172&lt;=$J172,"Sí","No")))</f>
        <v/>
      </c>
      <c r="N172" s="23">
        <f>IF($A172="","",COUNTIFS(NOVEDADES!$C$4:$C$1503,$A172))</f>
        <v/>
      </c>
      <c r="O172" s="27">
        <f>IF($A172="","",IF(COUNTIFS(NOVEDADES!$C$4:$C$1503,$A172,NOVEDADES!$M$4:$M$1503,"SÍ")&gt;0,"No","Sí"))</f>
        <v/>
      </c>
      <c r="P172" s="27">
        <f>IF(OR($A172="",$K172=""),"",IF(AND($M172="Sí",$O172="Sí"),"OTIF","Falló"))</f>
        <v/>
      </c>
    </row>
    <row r="173" ht="16" customHeight="1">
      <c r="A173" s="47" t="n"/>
      <c r="B173" s="46" t="n"/>
      <c r="C173" s="49" t="n"/>
      <c r="D173" s="49" t="n"/>
      <c r="E173" s="49" t="n"/>
      <c r="F173" s="49" t="n"/>
      <c r="G173" s="47" t="n"/>
      <c r="H173" s="50" t="n"/>
      <c r="I173" s="51" t="n"/>
      <c r="J173" s="46" t="n"/>
      <c r="K173" s="46" t="n"/>
      <c r="L173" s="23">
        <f>IF(OR($A173="",$B173=""),"",IF($K173&lt;&gt;"",$K173-$B173,TODAY()-$B173))</f>
        <v/>
      </c>
      <c r="M173" s="27">
        <f>IF(OR($A173="",$J173=""),"",IF($K173="",IF(TODAY()&gt;$J173,"Atrasado","En ruta"),IF($K173&lt;=$J173,"Sí","No")))</f>
        <v/>
      </c>
      <c r="N173" s="23">
        <f>IF($A173="","",COUNTIFS(NOVEDADES!$C$4:$C$1503,$A173))</f>
        <v/>
      </c>
      <c r="O173" s="27">
        <f>IF($A173="","",IF(COUNTIFS(NOVEDADES!$C$4:$C$1503,$A173,NOVEDADES!$M$4:$M$1503,"SÍ")&gt;0,"No","Sí"))</f>
        <v/>
      </c>
      <c r="P173" s="27">
        <f>IF(OR($A173="",$K173=""),"",IF(AND($M173="Sí",$O173="Sí"),"OTIF","Falló"))</f>
        <v/>
      </c>
    </row>
    <row r="174" ht="16" customHeight="1">
      <c r="A174" s="47" t="n"/>
      <c r="B174" s="46" t="n"/>
      <c r="C174" s="49" t="n"/>
      <c r="D174" s="49" t="n"/>
      <c r="E174" s="49" t="n"/>
      <c r="F174" s="49" t="n"/>
      <c r="G174" s="47" t="n"/>
      <c r="H174" s="50" t="n"/>
      <c r="I174" s="51" t="n"/>
      <c r="J174" s="46" t="n"/>
      <c r="K174" s="46" t="n"/>
      <c r="L174" s="23">
        <f>IF(OR($A174="",$B174=""),"",IF($K174&lt;&gt;"",$K174-$B174,TODAY()-$B174))</f>
        <v/>
      </c>
      <c r="M174" s="27">
        <f>IF(OR($A174="",$J174=""),"",IF($K174="",IF(TODAY()&gt;$J174,"Atrasado","En ruta"),IF($K174&lt;=$J174,"Sí","No")))</f>
        <v/>
      </c>
      <c r="N174" s="23">
        <f>IF($A174="","",COUNTIFS(NOVEDADES!$C$4:$C$1503,$A174))</f>
        <v/>
      </c>
      <c r="O174" s="27">
        <f>IF($A174="","",IF(COUNTIFS(NOVEDADES!$C$4:$C$1503,$A174,NOVEDADES!$M$4:$M$1503,"SÍ")&gt;0,"No","Sí"))</f>
        <v/>
      </c>
      <c r="P174" s="27">
        <f>IF(OR($A174="",$K174=""),"",IF(AND($M174="Sí",$O174="Sí"),"OTIF","Falló"))</f>
        <v/>
      </c>
    </row>
    <row r="175" ht="16" customHeight="1">
      <c r="A175" s="47" t="n"/>
      <c r="B175" s="46" t="n"/>
      <c r="C175" s="49" t="n"/>
      <c r="D175" s="49" t="n"/>
      <c r="E175" s="49" t="n"/>
      <c r="F175" s="49" t="n"/>
      <c r="G175" s="47" t="n"/>
      <c r="H175" s="50" t="n"/>
      <c r="I175" s="51" t="n"/>
      <c r="J175" s="46" t="n"/>
      <c r="K175" s="46" t="n"/>
      <c r="L175" s="23">
        <f>IF(OR($A175="",$B175=""),"",IF($K175&lt;&gt;"",$K175-$B175,TODAY()-$B175))</f>
        <v/>
      </c>
      <c r="M175" s="27">
        <f>IF(OR($A175="",$J175=""),"",IF($K175="",IF(TODAY()&gt;$J175,"Atrasado","En ruta"),IF($K175&lt;=$J175,"Sí","No")))</f>
        <v/>
      </c>
      <c r="N175" s="23">
        <f>IF($A175="","",COUNTIFS(NOVEDADES!$C$4:$C$1503,$A175))</f>
        <v/>
      </c>
      <c r="O175" s="27">
        <f>IF($A175="","",IF(COUNTIFS(NOVEDADES!$C$4:$C$1503,$A175,NOVEDADES!$M$4:$M$1503,"SÍ")&gt;0,"No","Sí"))</f>
        <v/>
      </c>
      <c r="P175" s="27">
        <f>IF(OR($A175="",$K175=""),"",IF(AND($M175="Sí",$O175="Sí"),"OTIF","Falló"))</f>
        <v/>
      </c>
    </row>
    <row r="176" ht="16" customHeight="1">
      <c r="A176" s="47" t="n"/>
      <c r="B176" s="46" t="n"/>
      <c r="C176" s="49" t="n"/>
      <c r="D176" s="49" t="n"/>
      <c r="E176" s="49" t="n"/>
      <c r="F176" s="49" t="n"/>
      <c r="G176" s="47" t="n"/>
      <c r="H176" s="50" t="n"/>
      <c r="I176" s="51" t="n"/>
      <c r="J176" s="46" t="n"/>
      <c r="K176" s="46" t="n"/>
      <c r="L176" s="23">
        <f>IF(OR($A176="",$B176=""),"",IF($K176&lt;&gt;"",$K176-$B176,TODAY()-$B176))</f>
        <v/>
      </c>
      <c r="M176" s="27">
        <f>IF(OR($A176="",$J176=""),"",IF($K176="",IF(TODAY()&gt;$J176,"Atrasado","En ruta"),IF($K176&lt;=$J176,"Sí","No")))</f>
        <v/>
      </c>
      <c r="N176" s="23">
        <f>IF($A176="","",COUNTIFS(NOVEDADES!$C$4:$C$1503,$A176))</f>
        <v/>
      </c>
      <c r="O176" s="27">
        <f>IF($A176="","",IF(COUNTIFS(NOVEDADES!$C$4:$C$1503,$A176,NOVEDADES!$M$4:$M$1503,"SÍ")&gt;0,"No","Sí"))</f>
        <v/>
      </c>
      <c r="P176" s="27">
        <f>IF(OR($A176="",$K176=""),"",IF(AND($M176="Sí",$O176="Sí"),"OTIF","Falló"))</f>
        <v/>
      </c>
    </row>
    <row r="177" ht="16" customHeight="1">
      <c r="A177" s="47" t="n"/>
      <c r="B177" s="46" t="n"/>
      <c r="C177" s="49" t="n"/>
      <c r="D177" s="49" t="n"/>
      <c r="E177" s="49" t="n"/>
      <c r="F177" s="49" t="n"/>
      <c r="G177" s="47" t="n"/>
      <c r="H177" s="50" t="n"/>
      <c r="I177" s="51" t="n"/>
      <c r="J177" s="46" t="n"/>
      <c r="K177" s="46" t="n"/>
      <c r="L177" s="23">
        <f>IF(OR($A177="",$B177=""),"",IF($K177&lt;&gt;"",$K177-$B177,TODAY()-$B177))</f>
        <v/>
      </c>
      <c r="M177" s="27">
        <f>IF(OR($A177="",$J177=""),"",IF($K177="",IF(TODAY()&gt;$J177,"Atrasado","En ruta"),IF($K177&lt;=$J177,"Sí","No")))</f>
        <v/>
      </c>
      <c r="N177" s="23">
        <f>IF($A177="","",COUNTIFS(NOVEDADES!$C$4:$C$1503,$A177))</f>
        <v/>
      </c>
      <c r="O177" s="27">
        <f>IF($A177="","",IF(COUNTIFS(NOVEDADES!$C$4:$C$1503,$A177,NOVEDADES!$M$4:$M$1503,"SÍ")&gt;0,"No","Sí"))</f>
        <v/>
      </c>
      <c r="P177" s="27">
        <f>IF(OR($A177="",$K177=""),"",IF(AND($M177="Sí",$O177="Sí"),"OTIF","Falló"))</f>
        <v/>
      </c>
    </row>
    <row r="178" ht="16" customHeight="1">
      <c r="A178" s="47" t="n"/>
      <c r="B178" s="46" t="n"/>
      <c r="C178" s="49" t="n"/>
      <c r="D178" s="49" t="n"/>
      <c r="E178" s="49" t="n"/>
      <c r="F178" s="49" t="n"/>
      <c r="G178" s="47" t="n"/>
      <c r="H178" s="50" t="n"/>
      <c r="I178" s="51" t="n"/>
      <c r="J178" s="46" t="n"/>
      <c r="K178" s="46" t="n"/>
      <c r="L178" s="23">
        <f>IF(OR($A178="",$B178=""),"",IF($K178&lt;&gt;"",$K178-$B178,TODAY()-$B178))</f>
        <v/>
      </c>
      <c r="M178" s="27">
        <f>IF(OR($A178="",$J178=""),"",IF($K178="",IF(TODAY()&gt;$J178,"Atrasado","En ruta"),IF($K178&lt;=$J178,"Sí","No")))</f>
        <v/>
      </c>
      <c r="N178" s="23">
        <f>IF($A178="","",COUNTIFS(NOVEDADES!$C$4:$C$1503,$A178))</f>
        <v/>
      </c>
      <c r="O178" s="27">
        <f>IF($A178="","",IF(COUNTIFS(NOVEDADES!$C$4:$C$1503,$A178,NOVEDADES!$M$4:$M$1503,"SÍ")&gt;0,"No","Sí"))</f>
        <v/>
      </c>
      <c r="P178" s="27">
        <f>IF(OR($A178="",$K178=""),"",IF(AND($M178="Sí",$O178="Sí"),"OTIF","Falló"))</f>
        <v/>
      </c>
    </row>
    <row r="179" ht="16" customHeight="1">
      <c r="A179" s="47" t="n"/>
      <c r="B179" s="46" t="n"/>
      <c r="C179" s="49" t="n"/>
      <c r="D179" s="49" t="n"/>
      <c r="E179" s="49" t="n"/>
      <c r="F179" s="49" t="n"/>
      <c r="G179" s="47" t="n"/>
      <c r="H179" s="50" t="n"/>
      <c r="I179" s="51" t="n"/>
      <c r="J179" s="46" t="n"/>
      <c r="K179" s="46" t="n"/>
      <c r="L179" s="23">
        <f>IF(OR($A179="",$B179=""),"",IF($K179&lt;&gt;"",$K179-$B179,TODAY()-$B179))</f>
        <v/>
      </c>
      <c r="M179" s="27">
        <f>IF(OR($A179="",$J179=""),"",IF($K179="",IF(TODAY()&gt;$J179,"Atrasado","En ruta"),IF($K179&lt;=$J179,"Sí","No")))</f>
        <v/>
      </c>
      <c r="N179" s="23">
        <f>IF($A179="","",COUNTIFS(NOVEDADES!$C$4:$C$1503,$A179))</f>
        <v/>
      </c>
      <c r="O179" s="27">
        <f>IF($A179="","",IF(COUNTIFS(NOVEDADES!$C$4:$C$1503,$A179,NOVEDADES!$M$4:$M$1503,"SÍ")&gt;0,"No","Sí"))</f>
        <v/>
      </c>
      <c r="P179" s="27">
        <f>IF(OR($A179="",$K179=""),"",IF(AND($M179="Sí",$O179="Sí"),"OTIF","Falló"))</f>
        <v/>
      </c>
    </row>
    <row r="180" ht="16" customHeight="1">
      <c r="A180" s="47" t="n"/>
      <c r="B180" s="46" t="n"/>
      <c r="C180" s="49" t="n"/>
      <c r="D180" s="49" t="n"/>
      <c r="E180" s="49" t="n"/>
      <c r="F180" s="49" t="n"/>
      <c r="G180" s="47" t="n"/>
      <c r="H180" s="50" t="n"/>
      <c r="I180" s="51" t="n"/>
      <c r="J180" s="46" t="n"/>
      <c r="K180" s="46" t="n"/>
      <c r="L180" s="23">
        <f>IF(OR($A180="",$B180=""),"",IF($K180&lt;&gt;"",$K180-$B180,TODAY()-$B180))</f>
        <v/>
      </c>
      <c r="M180" s="27">
        <f>IF(OR($A180="",$J180=""),"",IF($K180="",IF(TODAY()&gt;$J180,"Atrasado","En ruta"),IF($K180&lt;=$J180,"Sí","No")))</f>
        <v/>
      </c>
      <c r="N180" s="23">
        <f>IF($A180="","",COUNTIFS(NOVEDADES!$C$4:$C$1503,$A180))</f>
        <v/>
      </c>
      <c r="O180" s="27">
        <f>IF($A180="","",IF(COUNTIFS(NOVEDADES!$C$4:$C$1503,$A180,NOVEDADES!$M$4:$M$1503,"SÍ")&gt;0,"No","Sí"))</f>
        <v/>
      </c>
      <c r="P180" s="27">
        <f>IF(OR($A180="",$K180=""),"",IF(AND($M180="Sí",$O180="Sí"),"OTIF","Falló"))</f>
        <v/>
      </c>
    </row>
    <row r="181" ht="16" customHeight="1">
      <c r="A181" s="47" t="n"/>
      <c r="B181" s="46" t="n"/>
      <c r="C181" s="49" t="n"/>
      <c r="D181" s="49" t="n"/>
      <c r="E181" s="49" t="n"/>
      <c r="F181" s="49" t="n"/>
      <c r="G181" s="47" t="n"/>
      <c r="H181" s="50" t="n"/>
      <c r="I181" s="51" t="n"/>
      <c r="J181" s="46" t="n"/>
      <c r="K181" s="46" t="n"/>
      <c r="L181" s="23">
        <f>IF(OR($A181="",$B181=""),"",IF($K181&lt;&gt;"",$K181-$B181,TODAY()-$B181))</f>
        <v/>
      </c>
      <c r="M181" s="27">
        <f>IF(OR($A181="",$J181=""),"",IF($K181="",IF(TODAY()&gt;$J181,"Atrasado","En ruta"),IF($K181&lt;=$J181,"Sí","No")))</f>
        <v/>
      </c>
      <c r="N181" s="23">
        <f>IF($A181="","",COUNTIFS(NOVEDADES!$C$4:$C$1503,$A181))</f>
        <v/>
      </c>
      <c r="O181" s="27">
        <f>IF($A181="","",IF(COUNTIFS(NOVEDADES!$C$4:$C$1503,$A181,NOVEDADES!$M$4:$M$1503,"SÍ")&gt;0,"No","Sí"))</f>
        <v/>
      </c>
      <c r="P181" s="27">
        <f>IF(OR($A181="",$K181=""),"",IF(AND($M181="Sí",$O181="Sí"),"OTIF","Falló"))</f>
        <v/>
      </c>
    </row>
    <row r="182" ht="16" customHeight="1">
      <c r="A182" s="47" t="n"/>
      <c r="B182" s="46" t="n"/>
      <c r="C182" s="49" t="n"/>
      <c r="D182" s="49" t="n"/>
      <c r="E182" s="49" t="n"/>
      <c r="F182" s="49" t="n"/>
      <c r="G182" s="47" t="n"/>
      <c r="H182" s="50" t="n"/>
      <c r="I182" s="51" t="n"/>
      <c r="J182" s="46" t="n"/>
      <c r="K182" s="46" t="n"/>
      <c r="L182" s="23">
        <f>IF(OR($A182="",$B182=""),"",IF($K182&lt;&gt;"",$K182-$B182,TODAY()-$B182))</f>
        <v/>
      </c>
      <c r="M182" s="27">
        <f>IF(OR($A182="",$J182=""),"",IF($K182="",IF(TODAY()&gt;$J182,"Atrasado","En ruta"),IF($K182&lt;=$J182,"Sí","No")))</f>
        <v/>
      </c>
      <c r="N182" s="23">
        <f>IF($A182="","",COUNTIFS(NOVEDADES!$C$4:$C$1503,$A182))</f>
        <v/>
      </c>
      <c r="O182" s="27">
        <f>IF($A182="","",IF(COUNTIFS(NOVEDADES!$C$4:$C$1503,$A182,NOVEDADES!$M$4:$M$1503,"SÍ")&gt;0,"No","Sí"))</f>
        <v/>
      </c>
      <c r="P182" s="27">
        <f>IF(OR($A182="",$K182=""),"",IF(AND($M182="Sí",$O182="Sí"),"OTIF","Falló"))</f>
        <v/>
      </c>
    </row>
    <row r="183" ht="16" customHeight="1">
      <c r="A183" s="47" t="n"/>
      <c r="B183" s="46" t="n"/>
      <c r="C183" s="49" t="n"/>
      <c r="D183" s="49" t="n"/>
      <c r="E183" s="49" t="n"/>
      <c r="F183" s="49" t="n"/>
      <c r="G183" s="47" t="n"/>
      <c r="H183" s="50" t="n"/>
      <c r="I183" s="51" t="n"/>
      <c r="J183" s="46" t="n"/>
      <c r="K183" s="46" t="n"/>
      <c r="L183" s="23">
        <f>IF(OR($A183="",$B183=""),"",IF($K183&lt;&gt;"",$K183-$B183,TODAY()-$B183))</f>
        <v/>
      </c>
      <c r="M183" s="27">
        <f>IF(OR($A183="",$J183=""),"",IF($K183="",IF(TODAY()&gt;$J183,"Atrasado","En ruta"),IF($K183&lt;=$J183,"Sí","No")))</f>
        <v/>
      </c>
      <c r="N183" s="23">
        <f>IF($A183="","",COUNTIFS(NOVEDADES!$C$4:$C$1503,$A183))</f>
        <v/>
      </c>
      <c r="O183" s="27">
        <f>IF($A183="","",IF(COUNTIFS(NOVEDADES!$C$4:$C$1503,$A183,NOVEDADES!$M$4:$M$1503,"SÍ")&gt;0,"No","Sí"))</f>
        <v/>
      </c>
      <c r="P183" s="27">
        <f>IF(OR($A183="",$K183=""),"",IF(AND($M183="Sí",$O183="Sí"),"OTIF","Falló"))</f>
        <v/>
      </c>
    </row>
    <row r="184" ht="16" customHeight="1">
      <c r="A184" s="47" t="n"/>
      <c r="B184" s="46" t="n"/>
      <c r="C184" s="49" t="n"/>
      <c r="D184" s="49" t="n"/>
      <c r="E184" s="49" t="n"/>
      <c r="F184" s="49" t="n"/>
      <c r="G184" s="47" t="n"/>
      <c r="H184" s="50" t="n"/>
      <c r="I184" s="51" t="n"/>
      <c r="J184" s="46" t="n"/>
      <c r="K184" s="46" t="n"/>
      <c r="L184" s="23">
        <f>IF(OR($A184="",$B184=""),"",IF($K184&lt;&gt;"",$K184-$B184,TODAY()-$B184))</f>
        <v/>
      </c>
      <c r="M184" s="27">
        <f>IF(OR($A184="",$J184=""),"",IF($K184="",IF(TODAY()&gt;$J184,"Atrasado","En ruta"),IF($K184&lt;=$J184,"Sí","No")))</f>
        <v/>
      </c>
      <c r="N184" s="23">
        <f>IF($A184="","",COUNTIFS(NOVEDADES!$C$4:$C$1503,$A184))</f>
        <v/>
      </c>
      <c r="O184" s="27">
        <f>IF($A184="","",IF(COUNTIFS(NOVEDADES!$C$4:$C$1503,$A184,NOVEDADES!$M$4:$M$1503,"SÍ")&gt;0,"No","Sí"))</f>
        <v/>
      </c>
      <c r="P184" s="27">
        <f>IF(OR($A184="",$K184=""),"",IF(AND($M184="Sí",$O184="Sí"),"OTIF","Falló"))</f>
        <v/>
      </c>
    </row>
    <row r="185" ht="16" customHeight="1">
      <c r="A185" s="47" t="n"/>
      <c r="B185" s="46" t="n"/>
      <c r="C185" s="49" t="n"/>
      <c r="D185" s="49" t="n"/>
      <c r="E185" s="49" t="n"/>
      <c r="F185" s="49" t="n"/>
      <c r="G185" s="47" t="n"/>
      <c r="H185" s="50" t="n"/>
      <c r="I185" s="51" t="n"/>
      <c r="J185" s="46" t="n"/>
      <c r="K185" s="46" t="n"/>
      <c r="L185" s="23">
        <f>IF(OR($A185="",$B185=""),"",IF($K185&lt;&gt;"",$K185-$B185,TODAY()-$B185))</f>
        <v/>
      </c>
      <c r="M185" s="27">
        <f>IF(OR($A185="",$J185=""),"",IF($K185="",IF(TODAY()&gt;$J185,"Atrasado","En ruta"),IF($K185&lt;=$J185,"Sí","No")))</f>
        <v/>
      </c>
      <c r="N185" s="23">
        <f>IF($A185="","",COUNTIFS(NOVEDADES!$C$4:$C$1503,$A185))</f>
        <v/>
      </c>
      <c r="O185" s="27">
        <f>IF($A185="","",IF(COUNTIFS(NOVEDADES!$C$4:$C$1503,$A185,NOVEDADES!$M$4:$M$1503,"SÍ")&gt;0,"No","Sí"))</f>
        <v/>
      </c>
      <c r="P185" s="27">
        <f>IF(OR($A185="",$K185=""),"",IF(AND($M185="Sí",$O185="Sí"),"OTIF","Falló"))</f>
        <v/>
      </c>
    </row>
    <row r="186" ht="16" customHeight="1">
      <c r="A186" s="47" t="n"/>
      <c r="B186" s="46" t="n"/>
      <c r="C186" s="49" t="n"/>
      <c r="D186" s="49" t="n"/>
      <c r="E186" s="49" t="n"/>
      <c r="F186" s="49" t="n"/>
      <c r="G186" s="47" t="n"/>
      <c r="H186" s="50" t="n"/>
      <c r="I186" s="51" t="n"/>
      <c r="J186" s="46" t="n"/>
      <c r="K186" s="46" t="n"/>
      <c r="L186" s="23">
        <f>IF(OR($A186="",$B186=""),"",IF($K186&lt;&gt;"",$K186-$B186,TODAY()-$B186))</f>
        <v/>
      </c>
      <c r="M186" s="27">
        <f>IF(OR($A186="",$J186=""),"",IF($K186="",IF(TODAY()&gt;$J186,"Atrasado","En ruta"),IF($K186&lt;=$J186,"Sí","No")))</f>
        <v/>
      </c>
      <c r="N186" s="23">
        <f>IF($A186="","",COUNTIFS(NOVEDADES!$C$4:$C$1503,$A186))</f>
        <v/>
      </c>
      <c r="O186" s="27">
        <f>IF($A186="","",IF(COUNTIFS(NOVEDADES!$C$4:$C$1503,$A186,NOVEDADES!$M$4:$M$1503,"SÍ")&gt;0,"No","Sí"))</f>
        <v/>
      </c>
      <c r="P186" s="27">
        <f>IF(OR($A186="",$K186=""),"",IF(AND($M186="Sí",$O186="Sí"),"OTIF","Falló"))</f>
        <v/>
      </c>
    </row>
    <row r="187" ht="16" customHeight="1">
      <c r="A187" s="47" t="n"/>
      <c r="B187" s="46" t="n"/>
      <c r="C187" s="49" t="n"/>
      <c r="D187" s="49" t="n"/>
      <c r="E187" s="49" t="n"/>
      <c r="F187" s="49" t="n"/>
      <c r="G187" s="47" t="n"/>
      <c r="H187" s="50" t="n"/>
      <c r="I187" s="51" t="n"/>
      <c r="J187" s="46" t="n"/>
      <c r="K187" s="46" t="n"/>
      <c r="L187" s="23">
        <f>IF(OR($A187="",$B187=""),"",IF($K187&lt;&gt;"",$K187-$B187,TODAY()-$B187))</f>
        <v/>
      </c>
      <c r="M187" s="27">
        <f>IF(OR($A187="",$J187=""),"",IF($K187="",IF(TODAY()&gt;$J187,"Atrasado","En ruta"),IF($K187&lt;=$J187,"Sí","No")))</f>
        <v/>
      </c>
      <c r="N187" s="23">
        <f>IF($A187="","",COUNTIFS(NOVEDADES!$C$4:$C$1503,$A187))</f>
        <v/>
      </c>
      <c r="O187" s="27">
        <f>IF($A187="","",IF(COUNTIFS(NOVEDADES!$C$4:$C$1503,$A187,NOVEDADES!$M$4:$M$1503,"SÍ")&gt;0,"No","Sí"))</f>
        <v/>
      </c>
      <c r="P187" s="27">
        <f>IF(OR($A187="",$K187=""),"",IF(AND($M187="Sí",$O187="Sí"),"OTIF","Falló"))</f>
        <v/>
      </c>
    </row>
    <row r="188" ht="16" customHeight="1">
      <c r="A188" s="47" t="n"/>
      <c r="B188" s="46" t="n"/>
      <c r="C188" s="49" t="n"/>
      <c r="D188" s="49" t="n"/>
      <c r="E188" s="49" t="n"/>
      <c r="F188" s="49" t="n"/>
      <c r="G188" s="47" t="n"/>
      <c r="H188" s="50" t="n"/>
      <c r="I188" s="51" t="n"/>
      <c r="J188" s="46" t="n"/>
      <c r="K188" s="46" t="n"/>
      <c r="L188" s="23">
        <f>IF(OR($A188="",$B188=""),"",IF($K188&lt;&gt;"",$K188-$B188,TODAY()-$B188))</f>
        <v/>
      </c>
      <c r="M188" s="27">
        <f>IF(OR($A188="",$J188=""),"",IF($K188="",IF(TODAY()&gt;$J188,"Atrasado","En ruta"),IF($K188&lt;=$J188,"Sí","No")))</f>
        <v/>
      </c>
      <c r="N188" s="23">
        <f>IF($A188="","",COUNTIFS(NOVEDADES!$C$4:$C$1503,$A188))</f>
        <v/>
      </c>
      <c r="O188" s="27">
        <f>IF($A188="","",IF(COUNTIFS(NOVEDADES!$C$4:$C$1503,$A188,NOVEDADES!$M$4:$M$1503,"SÍ")&gt;0,"No","Sí"))</f>
        <v/>
      </c>
      <c r="P188" s="27">
        <f>IF(OR($A188="",$K188=""),"",IF(AND($M188="Sí",$O188="Sí"),"OTIF","Falló"))</f>
        <v/>
      </c>
    </row>
    <row r="189" ht="16" customHeight="1">
      <c r="A189" s="47" t="n"/>
      <c r="B189" s="46" t="n"/>
      <c r="C189" s="49" t="n"/>
      <c r="D189" s="49" t="n"/>
      <c r="E189" s="49" t="n"/>
      <c r="F189" s="49" t="n"/>
      <c r="G189" s="47" t="n"/>
      <c r="H189" s="50" t="n"/>
      <c r="I189" s="51" t="n"/>
      <c r="J189" s="46" t="n"/>
      <c r="K189" s="46" t="n"/>
      <c r="L189" s="23">
        <f>IF(OR($A189="",$B189=""),"",IF($K189&lt;&gt;"",$K189-$B189,TODAY()-$B189))</f>
        <v/>
      </c>
      <c r="M189" s="27">
        <f>IF(OR($A189="",$J189=""),"",IF($K189="",IF(TODAY()&gt;$J189,"Atrasado","En ruta"),IF($K189&lt;=$J189,"Sí","No")))</f>
        <v/>
      </c>
      <c r="N189" s="23">
        <f>IF($A189="","",COUNTIFS(NOVEDADES!$C$4:$C$1503,$A189))</f>
        <v/>
      </c>
      <c r="O189" s="27">
        <f>IF($A189="","",IF(COUNTIFS(NOVEDADES!$C$4:$C$1503,$A189,NOVEDADES!$M$4:$M$1503,"SÍ")&gt;0,"No","Sí"))</f>
        <v/>
      </c>
      <c r="P189" s="27">
        <f>IF(OR($A189="",$K189=""),"",IF(AND($M189="Sí",$O189="Sí"),"OTIF","Falló"))</f>
        <v/>
      </c>
    </row>
    <row r="190" ht="16" customHeight="1">
      <c r="A190" s="47" t="n"/>
      <c r="B190" s="46" t="n"/>
      <c r="C190" s="49" t="n"/>
      <c r="D190" s="49" t="n"/>
      <c r="E190" s="49" t="n"/>
      <c r="F190" s="49" t="n"/>
      <c r="G190" s="47" t="n"/>
      <c r="H190" s="50" t="n"/>
      <c r="I190" s="51" t="n"/>
      <c r="J190" s="46" t="n"/>
      <c r="K190" s="46" t="n"/>
      <c r="L190" s="23">
        <f>IF(OR($A190="",$B190=""),"",IF($K190&lt;&gt;"",$K190-$B190,TODAY()-$B190))</f>
        <v/>
      </c>
      <c r="M190" s="27">
        <f>IF(OR($A190="",$J190=""),"",IF($K190="",IF(TODAY()&gt;$J190,"Atrasado","En ruta"),IF($K190&lt;=$J190,"Sí","No")))</f>
        <v/>
      </c>
      <c r="N190" s="23">
        <f>IF($A190="","",COUNTIFS(NOVEDADES!$C$4:$C$1503,$A190))</f>
        <v/>
      </c>
      <c r="O190" s="27">
        <f>IF($A190="","",IF(COUNTIFS(NOVEDADES!$C$4:$C$1503,$A190,NOVEDADES!$M$4:$M$1503,"SÍ")&gt;0,"No","Sí"))</f>
        <v/>
      </c>
      <c r="P190" s="27">
        <f>IF(OR($A190="",$K190=""),"",IF(AND($M190="Sí",$O190="Sí"),"OTIF","Falló"))</f>
        <v/>
      </c>
    </row>
    <row r="191" ht="16" customHeight="1">
      <c r="A191" s="47" t="n"/>
      <c r="B191" s="46" t="n"/>
      <c r="C191" s="49" t="n"/>
      <c r="D191" s="49" t="n"/>
      <c r="E191" s="49" t="n"/>
      <c r="F191" s="49" t="n"/>
      <c r="G191" s="47" t="n"/>
      <c r="H191" s="50" t="n"/>
      <c r="I191" s="51" t="n"/>
      <c r="J191" s="46" t="n"/>
      <c r="K191" s="46" t="n"/>
      <c r="L191" s="23">
        <f>IF(OR($A191="",$B191=""),"",IF($K191&lt;&gt;"",$K191-$B191,TODAY()-$B191))</f>
        <v/>
      </c>
      <c r="M191" s="27">
        <f>IF(OR($A191="",$J191=""),"",IF($K191="",IF(TODAY()&gt;$J191,"Atrasado","En ruta"),IF($K191&lt;=$J191,"Sí","No")))</f>
        <v/>
      </c>
      <c r="N191" s="23">
        <f>IF($A191="","",COUNTIFS(NOVEDADES!$C$4:$C$1503,$A191))</f>
        <v/>
      </c>
      <c r="O191" s="27">
        <f>IF($A191="","",IF(COUNTIFS(NOVEDADES!$C$4:$C$1503,$A191,NOVEDADES!$M$4:$M$1503,"SÍ")&gt;0,"No","Sí"))</f>
        <v/>
      </c>
      <c r="P191" s="27">
        <f>IF(OR($A191="",$K191=""),"",IF(AND($M191="Sí",$O191="Sí"),"OTIF","Falló"))</f>
        <v/>
      </c>
    </row>
    <row r="192" ht="16" customHeight="1">
      <c r="A192" s="47" t="n"/>
      <c r="B192" s="46" t="n"/>
      <c r="C192" s="49" t="n"/>
      <c r="D192" s="49" t="n"/>
      <c r="E192" s="49" t="n"/>
      <c r="F192" s="49" t="n"/>
      <c r="G192" s="47" t="n"/>
      <c r="H192" s="50" t="n"/>
      <c r="I192" s="51" t="n"/>
      <c r="J192" s="46" t="n"/>
      <c r="K192" s="46" t="n"/>
      <c r="L192" s="23">
        <f>IF(OR($A192="",$B192=""),"",IF($K192&lt;&gt;"",$K192-$B192,TODAY()-$B192))</f>
        <v/>
      </c>
      <c r="M192" s="27">
        <f>IF(OR($A192="",$J192=""),"",IF($K192="",IF(TODAY()&gt;$J192,"Atrasado","En ruta"),IF($K192&lt;=$J192,"Sí","No")))</f>
        <v/>
      </c>
      <c r="N192" s="23">
        <f>IF($A192="","",COUNTIFS(NOVEDADES!$C$4:$C$1503,$A192))</f>
        <v/>
      </c>
      <c r="O192" s="27">
        <f>IF($A192="","",IF(COUNTIFS(NOVEDADES!$C$4:$C$1503,$A192,NOVEDADES!$M$4:$M$1503,"SÍ")&gt;0,"No","Sí"))</f>
        <v/>
      </c>
      <c r="P192" s="27">
        <f>IF(OR($A192="",$K192=""),"",IF(AND($M192="Sí",$O192="Sí"),"OTIF","Falló"))</f>
        <v/>
      </c>
    </row>
    <row r="193" ht="16" customHeight="1">
      <c r="A193" s="47" t="n"/>
      <c r="B193" s="46" t="n"/>
      <c r="C193" s="49" t="n"/>
      <c r="D193" s="49" t="n"/>
      <c r="E193" s="49" t="n"/>
      <c r="F193" s="49" t="n"/>
      <c r="G193" s="47" t="n"/>
      <c r="H193" s="50" t="n"/>
      <c r="I193" s="51" t="n"/>
      <c r="J193" s="46" t="n"/>
      <c r="K193" s="46" t="n"/>
      <c r="L193" s="23">
        <f>IF(OR($A193="",$B193=""),"",IF($K193&lt;&gt;"",$K193-$B193,TODAY()-$B193))</f>
        <v/>
      </c>
      <c r="M193" s="27">
        <f>IF(OR($A193="",$J193=""),"",IF($K193="",IF(TODAY()&gt;$J193,"Atrasado","En ruta"),IF($K193&lt;=$J193,"Sí","No")))</f>
        <v/>
      </c>
      <c r="N193" s="23">
        <f>IF($A193="","",COUNTIFS(NOVEDADES!$C$4:$C$1503,$A193))</f>
        <v/>
      </c>
      <c r="O193" s="27">
        <f>IF($A193="","",IF(COUNTIFS(NOVEDADES!$C$4:$C$1503,$A193,NOVEDADES!$M$4:$M$1503,"SÍ")&gt;0,"No","Sí"))</f>
        <v/>
      </c>
      <c r="P193" s="27">
        <f>IF(OR($A193="",$K193=""),"",IF(AND($M193="Sí",$O193="Sí"),"OTIF","Falló"))</f>
        <v/>
      </c>
    </row>
    <row r="194" ht="16" customHeight="1">
      <c r="A194" s="47" t="n"/>
      <c r="B194" s="46" t="n"/>
      <c r="C194" s="49" t="n"/>
      <c r="D194" s="49" t="n"/>
      <c r="E194" s="49" t="n"/>
      <c r="F194" s="49" t="n"/>
      <c r="G194" s="47" t="n"/>
      <c r="H194" s="50" t="n"/>
      <c r="I194" s="51" t="n"/>
      <c r="J194" s="46" t="n"/>
      <c r="K194" s="46" t="n"/>
      <c r="L194" s="23">
        <f>IF(OR($A194="",$B194=""),"",IF($K194&lt;&gt;"",$K194-$B194,TODAY()-$B194))</f>
        <v/>
      </c>
      <c r="M194" s="27">
        <f>IF(OR($A194="",$J194=""),"",IF($K194="",IF(TODAY()&gt;$J194,"Atrasado","En ruta"),IF($K194&lt;=$J194,"Sí","No")))</f>
        <v/>
      </c>
      <c r="N194" s="23">
        <f>IF($A194="","",COUNTIFS(NOVEDADES!$C$4:$C$1503,$A194))</f>
        <v/>
      </c>
      <c r="O194" s="27">
        <f>IF($A194="","",IF(COUNTIFS(NOVEDADES!$C$4:$C$1503,$A194,NOVEDADES!$M$4:$M$1503,"SÍ")&gt;0,"No","Sí"))</f>
        <v/>
      </c>
      <c r="P194" s="27">
        <f>IF(OR($A194="",$K194=""),"",IF(AND($M194="Sí",$O194="Sí"),"OTIF","Falló"))</f>
        <v/>
      </c>
    </row>
    <row r="195" ht="16" customHeight="1">
      <c r="A195" s="47" t="n"/>
      <c r="B195" s="46" t="n"/>
      <c r="C195" s="49" t="n"/>
      <c r="D195" s="49" t="n"/>
      <c r="E195" s="49" t="n"/>
      <c r="F195" s="49" t="n"/>
      <c r="G195" s="47" t="n"/>
      <c r="H195" s="50" t="n"/>
      <c r="I195" s="51" t="n"/>
      <c r="J195" s="46" t="n"/>
      <c r="K195" s="46" t="n"/>
      <c r="L195" s="23">
        <f>IF(OR($A195="",$B195=""),"",IF($K195&lt;&gt;"",$K195-$B195,TODAY()-$B195))</f>
        <v/>
      </c>
      <c r="M195" s="27">
        <f>IF(OR($A195="",$J195=""),"",IF($K195="",IF(TODAY()&gt;$J195,"Atrasado","En ruta"),IF($K195&lt;=$J195,"Sí","No")))</f>
        <v/>
      </c>
      <c r="N195" s="23">
        <f>IF($A195="","",COUNTIFS(NOVEDADES!$C$4:$C$1503,$A195))</f>
        <v/>
      </c>
      <c r="O195" s="27">
        <f>IF($A195="","",IF(COUNTIFS(NOVEDADES!$C$4:$C$1503,$A195,NOVEDADES!$M$4:$M$1503,"SÍ")&gt;0,"No","Sí"))</f>
        <v/>
      </c>
      <c r="P195" s="27">
        <f>IF(OR($A195="",$K195=""),"",IF(AND($M195="Sí",$O195="Sí"),"OTIF","Falló"))</f>
        <v/>
      </c>
    </row>
    <row r="196" ht="16" customHeight="1">
      <c r="A196" s="47" t="n"/>
      <c r="B196" s="46" t="n"/>
      <c r="C196" s="49" t="n"/>
      <c r="D196" s="49" t="n"/>
      <c r="E196" s="49" t="n"/>
      <c r="F196" s="49" t="n"/>
      <c r="G196" s="47" t="n"/>
      <c r="H196" s="50" t="n"/>
      <c r="I196" s="51" t="n"/>
      <c r="J196" s="46" t="n"/>
      <c r="K196" s="46" t="n"/>
      <c r="L196" s="23">
        <f>IF(OR($A196="",$B196=""),"",IF($K196&lt;&gt;"",$K196-$B196,TODAY()-$B196))</f>
        <v/>
      </c>
      <c r="M196" s="27">
        <f>IF(OR($A196="",$J196=""),"",IF($K196="",IF(TODAY()&gt;$J196,"Atrasado","En ruta"),IF($K196&lt;=$J196,"Sí","No")))</f>
        <v/>
      </c>
      <c r="N196" s="23">
        <f>IF($A196="","",COUNTIFS(NOVEDADES!$C$4:$C$1503,$A196))</f>
        <v/>
      </c>
      <c r="O196" s="27">
        <f>IF($A196="","",IF(COUNTIFS(NOVEDADES!$C$4:$C$1503,$A196,NOVEDADES!$M$4:$M$1503,"SÍ")&gt;0,"No","Sí"))</f>
        <v/>
      </c>
      <c r="P196" s="27">
        <f>IF(OR($A196="",$K196=""),"",IF(AND($M196="Sí",$O196="Sí"),"OTIF","Falló"))</f>
        <v/>
      </c>
    </row>
    <row r="197" ht="16" customHeight="1">
      <c r="A197" s="47" t="n"/>
      <c r="B197" s="46" t="n"/>
      <c r="C197" s="49" t="n"/>
      <c r="D197" s="49" t="n"/>
      <c r="E197" s="49" t="n"/>
      <c r="F197" s="49" t="n"/>
      <c r="G197" s="47" t="n"/>
      <c r="H197" s="50" t="n"/>
      <c r="I197" s="51" t="n"/>
      <c r="J197" s="46" t="n"/>
      <c r="K197" s="46" t="n"/>
      <c r="L197" s="23">
        <f>IF(OR($A197="",$B197=""),"",IF($K197&lt;&gt;"",$K197-$B197,TODAY()-$B197))</f>
        <v/>
      </c>
      <c r="M197" s="27">
        <f>IF(OR($A197="",$J197=""),"",IF($K197="",IF(TODAY()&gt;$J197,"Atrasado","En ruta"),IF($K197&lt;=$J197,"Sí","No")))</f>
        <v/>
      </c>
      <c r="N197" s="23">
        <f>IF($A197="","",COUNTIFS(NOVEDADES!$C$4:$C$1503,$A197))</f>
        <v/>
      </c>
      <c r="O197" s="27">
        <f>IF($A197="","",IF(COUNTIFS(NOVEDADES!$C$4:$C$1503,$A197,NOVEDADES!$M$4:$M$1503,"SÍ")&gt;0,"No","Sí"))</f>
        <v/>
      </c>
      <c r="P197" s="27">
        <f>IF(OR($A197="",$K197=""),"",IF(AND($M197="Sí",$O197="Sí"),"OTIF","Falló"))</f>
        <v/>
      </c>
    </row>
    <row r="198" ht="16" customHeight="1">
      <c r="A198" s="47" t="n"/>
      <c r="B198" s="46" t="n"/>
      <c r="C198" s="49" t="n"/>
      <c r="D198" s="49" t="n"/>
      <c r="E198" s="49" t="n"/>
      <c r="F198" s="49" t="n"/>
      <c r="G198" s="47" t="n"/>
      <c r="H198" s="50" t="n"/>
      <c r="I198" s="51" t="n"/>
      <c r="J198" s="46" t="n"/>
      <c r="K198" s="46" t="n"/>
      <c r="L198" s="23">
        <f>IF(OR($A198="",$B198=""),"",IF($K198&lt;&gt;"",$K198-$B198,TODAY()-$B198))</f>
        <v/>
      </c>
      <c r="M198" s="27">
        <f>IF(OR($A198="",$J198=""),"",IF($K198="",IF(TODAY()&gt;$J198,"Atrasado","En ruta"),IF($K198&lt;=$J198,"Sí","No")))</f>
        <v/>
      </c>
      <c r="N198" s="23">
        <f>IF($A198="","",COUNTIFS(NOVEDADES!$C$4:$C$1503,$A198))</f>
        <v/>
      </c>
      <c r="O198" s="27">
        <f>IF($A198="","",IF(COUNTIFS(NOVEDADES!$C$4:$C$1503,$A198,NOVEDADES!$M$4:$M$1503,"SÍ")&gt;0,"No","Sí"))</f>
        <v/>
      </c>
      <c r="P198" s="27">
        <f>IF(OR($A198="",$K198=""),"",IF(AND($M198="Sí",$O198="Sí"),"OTIF","Falló"))</f>
        <v/>
      </c>
    </row>
    <row r="199" ht="16" customHeight="1">
      <c r="A199" s="47" t="n"/>
      <c r="B199" s="46" t="n"/>
      <c r="C199" s="49" t="n"/>
      <c r="D199" s="49" t="n"/>
      <c r="E199" s="49" t="n"/>
      <c r="F199" s="49" t="n"/>
      <c r="G199" s="47" t="n"/>
      <c r="H199" s="50" t="n"/>
      <c r="I199" s="51" t="n"/>
      <c r="J199" s="46" t="n"/>
      <c r="K199" s="46" t="n"/>
      <c r="L199" s="23">
        <f>IF(OR($A199="",$B199=""),"",IF($K199&lt;&gt;"",$K199-$B199,TODAY()-$B199))</f>
        <v/>
      </c>
      <c r="M199" s="27">
        <f>IF(OR($A199="",$J199=""),"",IF($K199="",IF(TODAY()&gt;$J199,"Atrasado","En ruta"),IF($K199&lt;=$J199,"Sí","No")))</f>
        <v/>
      </c>
      <c r="N199" s="23">
        <f>IF($A199="","",COUNTIFS(NOVEDADES!$C$4:$C$1503,$A199))</f>
        <v/>
      </c>
      <c r="O199" s="27">
        <f>IF($A199="","",IF(COUNTIFS(NOVEDADES!$C$4:$C$1503,$A199,NOVEDADES!$M$4:$M$1503,"SÍ")&gt;0,"No","Sí"))</f>
        <v/>
      </c>
      <c r="P199" s="27">
        <f>IF(OR($A199="",$K199=""),"",IF(AND($M199="Sí",$O199="Sí"),"OTIF","Falló"))</f>
        <v/>
      </c>
    </row>
    <row r="200" ht="16" customHeight="1">
      <c r="A200" s="47" t="n"/>
      <c r="B200" s="46" t="n"/>
      <c r="C200" s="49" t="n"/>
      <c r="D200" s="49" t="n"/>
      <c r="E200" s="49" t="n"/>
      <c r="F200" s="49" t="n"/>
      <c r="G200" s="47" t="n"/>
      <c r="H200" s="50" t="n"/>
      <c r="I200" s="51" t="n"/>
      <c r="J200" s="46" t="n"/>
      <c r="K200" s="46" t="n"/>
      <c r="L200" s="23">
        <f>IF(OR($A200="",$B200=""),"",IF($K200&lt;&gt;"",$K200-$B200,TODAY()-$B200))</f>
        <v/>
      </c>
      <c r="M200" s="27">
        <f>IF(OR($A200="",$J200=""),"",IF($K200="",IF(TODAY()&gt;$J200,"Atrasado","En ruta"),IF($K200&lt;=$J200,"Sí","No")))</f>
        <v/>
      </c>
      <c r="N200" s="23">
        <f>IF($A200="","",COUNTIFS(NOVEDADES!$C$4:$C$1503,$A200))</f>
        <v/>
      </c>
      <c r="O200" s="27">
        <f>IF($A200="","",IF(COUNTIFS(NOVEDADES!$C$4:$C$1503,$A200,NOVEDADES!$M$4:$M$1503,"SÍ")&gt;0,"No","Sí"))</f>
        <v/>
      </c>
      <c r="P200" s="27">
        <f>IF(OR($A200="",$K200=""),"",IF(AND($M200="Sí",$O200="Sí"),"OTIF","Falló"))</f>
        <v/>
      </c>
    </row>
    <row r="201" ht="16" customHeight="1">
      <c r="A201" s="47" t="n"/>
      <c r="B201" s="46" t="n"/>
      <c r="C201" s="49" t="n"/>
      <c r="D201" s="49" t="n"/>
      <c r="E201" s="49" t="n"/>
      <c r="F201" s="49" t="n"/>
      <c r="G201" s="47" t="n"/>
      <c r="H201" s="50" t="n"/>
      <c r="I201" s="51" t="n"/>
      <c r="J201" s="46" t="n"/>
      <c r="K201" s="46" t="n"/>
      <c r="L201" s="23">
        <f>IF(OR($A201="",$B201=""),"",IF($K201&lt;&gt;"",$K201-$B201,TODAY()-$B201))</f>
        <v/>
      </c>
      <c r="M201" s="27">
        <f>IF(OR($A201="",$J201=""),"",IF($K201="",IF(TODAY()&gt;$J201,"Atrasado","En ruta"),IF($K201&lt;=$J201,"Sí","No")))</f>
        <v/>
      </c>
      <c r="N201" s="23">
        <f>IF($A201="","",COUNTIFS(NOVEDADES!$C$4:$C$1503,$A201))</f>
        <v/>
      </c>
      <c r="O201" s="27">
        <f>IF($A201="","",IF(COUNTIFS(NOVEDADES!$C$4:$C$1503,$A201,NOVEDADES!$M$4:$M$1503,"SÍ")&gt;0,"No","Sí"))</f>
        <v/>
      </c>
      <c r="P201" s="27">
        <f>IF(OR($A201="",$K201=""),"",IF(AND($M201="Sí",$O201="Sí"),"OTIF","Falló"))</f>
        <v/>
      </c>
    </row>
    <row r="202" ht="16" customHeight="1">
      <c r="A202" s="47" t="n"/>
      <c r="B202" s="46" t="n"/>
      <c r="C202" s="49" t="n"/>
      <c r="D202" s="49" t="n"/>
      <c r="E202" s="49" t="n"/>
      <c r="F202" s="49" t="n"/>
      <c r="G202" s="47" t="n"/>
      <c r="H202" s="50" t="n"/>
      <c r="I202" s="51" t="n"/>
      <c r="J202" s="46" t="n"/>
      <c r="K202" s="46" t="n"/>
      <c r="L202" s="23">
        <f>IF(OR($A202="",$B202=""),"",IF($K202&lt;&gt;"",$K202-$B202,TODAY()-$B202))</f>
        <v/>
      </c>
      <c r="M202" s="27">
        <f>IF(OR($A202="",$J202=""),"",IF($K202="",IF(TODAY()&gt;$J202,"Atrasado","En ruta"),IF($K202&lt;=$J202,"Sí","No")))</f>
        <v/>
      </c>
      <c r="N202" s="23">
        <f>IF($A202="","",COUNTIFS(NOVEDADES!$C$4:$C$1503,$A202))</f>
        <v/>
      </c>
      <c r="O202" s="27">
        <f>IF($A202="","",IF(COUNTIFS(NOVEDADES!$C$4:$C$1503,$A202,NOVEDADES!$M$4:$M$1503,"SÍ")&gt;0,"No","Sí"))</f>
        <v/>
      </c>
      <c r="P202" s="27">
        <f>IF(OR($A202="",$K202=""),"",IF(AND($M202="Sí",$O202="Sí"),"OTIF","Falló"))</f>
        <v/>
      </c>
    </row>
    <row r="203" ht="16" customHeight="1">
      <c r="A203" s="47" t="n"/>
      <c r="B203" s="46" t="n"/>
      <c r="C203" s="49" t="n"/>
      <c r="D203" s="49" t="n"/>
      <c r="E203" s="49" t="n"/>
      <c r="F203" s="49" t="n"/>
      <c r="G203" s="47" t="n"/>
      <c r="H203" s="50" t="n"/>
      <c r="I203" s="51" t="n"/>
      <c r="J203" s="46" t="n"/>
      <c r="K203" s="46" t="n"/>
      <c r="L203" s="23">
        <f>IF(OR($A203="",$B203=""),"",IF($K203&lt;&gt;"",$K203-$B203,TODAY()-$B203))</f>
        <v/>
      </c>
      <c r="M203" s="27">
        <f>IF(OR($A203="",$J203=""),"",IF($K203="",IF(TODAY()&gt;$J203,"Atrasado","En ruta"),IF($K203&lt;=$J203,"Sí","No")))</f>
        <v/>
      </c>
      <c r="N203" s="23">
        <f>IF($A203="","",COUNTIFS(NOVEDADES!$C$4:$C$1503,$A203))</f>
        <v/>
      </c>
      <c r="O203" s="27">
        <f>IF($A203="","",IF(COUNTIFS(NOVEDADES!$C$4:$C$1503,$A203,NOVEDADES!$M$4:$M$1503,"SÍ")&gt;0,"No","Sí"))</f>
        <v/>
      </c>
      <c r="P203" s="27">
        <f>IF(OR($A203="",$K203=""),"",IF(AND($M203="Sí",$O203="Sí"),"OTIF","Falló"))</f>
        <v/>
      </c>
    </row>
    <row r="204" ht="16" customHeight="1">
      <c r="A204" s="47" t="n"/>
      <c r="B204" s="46" t="n"/>
      <c r="C204" s="49" t="n"/>
      <c r="D204" s="49" t="n"/>
      <c r="E204" s="49" t="n"/>
      <c r="F204" s="49" t="n"/>
      <c r="G204" s="47" t="n"/>
      <c r="H204" s="50" t="n"/>
      <c r="I204" s="51" t="n"/>
      <c r="J204" s="46" t="n"/>
      <c r="K204" s="46" t="n"/>
      <c r="L204" s="23">
        <f>IF(OR($A204="",$B204=""),"",IF($K204&lt;&gt;"",$K204-$B204,TODAY()-$B204))</f>
        <v/>
      </c>
      <c r="M204" s="27">
        <f>IF(OR($A204="",$J204=""),"",IF($K204="",IF(TODAY()&gt;$J204,"Atrasado","En ruta"),IF($K204&lt;=$J204,"Sí","No")))</f>
        <v/>
      </c>
      <c r="N204" s="23">
        <f>IF($A204="","",COUNTIFS(NOVEDADES!$C$4:$C$1503,$A204))</f>
        <v/>
      </c>
      <c r="O204" s="27">
        <f>IF($A204="","",IF(COUNTIFS(NOVEDADES!$C$4:$C$1503,$A204,NOVEDADES!$M$4:$M$1503,"SÍ")&gt;0,"No","Sí"))</f>
        <v/>
      </c>
      <c r="P204" s="27">
        <f>IF(OR($A204="",$K204=""),"",IF(AND($M204="Sí",$O204="Sí"),"OTIF","Falló"))</f>
        <v/>
      </c>
    </row>
    <row r="205" ht="16" customHeight="1">
      <c r="A205" s="47" t="n"/>
      <c r="B205" s="46" t="n"/>
      <c r="C205" s="49" t="n"/>
      <c r="D205" s="49" t="n"/>
      <c r="E205" s="49" t="n"/>
      <c r="F205" s="49" t="n"/>
      <c r="G205" s="47" t="n"/>
      <c r="H205" s="50" t="n"/>
      <c r="I205" s="51" t="n"/>
      <c r="J205" s="46" t="n"/>
      <c r="K205" s="46" t="n"/>
      <c r="L205" s="23">
        <f>IF(OR($A205="",$B205=""),"",IF($K205&lt;&gt;"",$K205-$B205,TODAY()-$B205))</f>
        <v/>
      </c>
      <c r="M205" s="27">
        <f>IF(OR($A205="",$J205=""),"",IF($K205="",IF(TODAY()&gt;$J205,"Atrasado","En ruta"),IF($K205&lt;=$J205,"Sí","No")))</f>
        <v/>
      </c>
      <c r="N205" s="23">
        <f>IF($A205="","",COUNTIFS(NOVEDADES!$C$4:$C$1503,$A205))</f>
        <v/>
      </c>
      <c r="O205" s="27">
        <f>IF($A205="","",IF(COUNTIFS(NOVEDADES!$C$4:$C$1503,$A205,NOVEDADES!$M$4:$M$1503,"SÍ")&gt;0,"No","Sí"))</f>
        <v/>
      </c>
      <c r="P205" s="27">
        <f>IF(OR($A205="",$K205=""),"",IF(AND($M205="Sí",$O205="Sí"),"OTIF","Falló"))</f>
        <v/>
      </c>
    </row>
    <row r="206" ht="16" customHeight="1">
      <c r="A206" s="47" t="n"/>
      <c r="B206" s="46" t="n"/>
      <c r="C206" s="49" t="n"/>
      <c r="D206" s="49" t="n"/>
      <c r="E206" s="49" t="n"/>
      <c r="F206" s="49" t="n"/>
      <c r="G206" s="47" t="n"/>
      <c r="H206" s="50" t="n"/>
      <c r="I206" s="51" t="n"/>
      <c r="J206" s="46" t="n"/>
      <c r="K206" s="46" t="n"/>
      <c r="L206" s="23">
        <f>IF(OR($A206="",$B206=""),"",IF($K206&lt;&gt;"",$K206-$B206,TODAY()-$B206))</f>
        <v/>
      </c>
      <c r="M206" s="27">
        <f>IF(OR($A206="",$J206=""),"",IF($K206="",IF(TODAY()&gt;$J206,"Atrasado","En ruta"),IF($K206&lt;=$J206,"Sí","No")))</f>
        <v/>
      </c>
      <c r="N206" s="23">
        <f>IF($A206="","",COUNTIFS(NOVEDADES!$C$4:$C$1503,$A206))</f>
        <v/>
      </c>
      <c r="O206" s="27">
        <f>IF($A206="","",IF(COUNTIFS(NOVEDADES!$C$4:$C$1503,$A206,NOVEDADES!$M$4:$M$1503,"SÍ")&gt;0,"No","Sí"))</f>
        <v/>
      </c>
      <c r="P206" s="27">
        <f>IF(OR($A206="",$K206=""),"",IF(AND($M206="Sí",$O206="Sí"),"OTIF","Falló"))</f>
        <v/>
      </c>
    </row>
    <row r="207" ht="16" customHeight="1">
      <c r="A207" s="47" t="n"/>
      <c r="B207" s="46" t="n"/>
      <c r="C207" s="49" t="n"/>
      <c r="D207" s="49" t="n"/>
      <c r="E207" s="49" t="n"/>
      <c r="F207" s="49" t="n"/>
      <c r="G207" s="47" t="n"/>
      <c r="H207" s="50" t="n"/>
      <c r="I207" s="51" t="n"/>
      <c r="J207" s="46" t="n"/>
      <c r="K207" s="46" t="n"/>
      <c r="L207" s="23">
        <f>IF(OR($A207="",$B207=""),"",IF($K207&lt;&gt;"",$K207-$B207,TODAY()-$B207))</f>
        <v/>
      </c>
      <c r="M207" s="27">
        <f>IF(OR($A207="",$J207=""),"",IF($K207="",IF(TODAY()&gt;$J207,"Atrasado","En ruta"),IF($K207&lt;=$J207,"Sí","No")))</f>
        <v/>
      </c>
      <c r="N207" s="23">
        <f>IF($A207="","",COUNTIFS(NOVEDADES!$C$4:$C$1503,$A207))</f>
        <v/>
      </c>
      <c r="O207" s="27">
        <f>IF($A207="","",IF(COUNTIFS(NOVEDADES!$C$4:$C$1503,$A207,NOVEDADES!$M$4:$M$1503,"SÍ")&gt;0,"No","Sí"))</f>
        <v/>
      </c>
      <c r="P207" s="27">
        <f>IF(OR($A207="",$K207=""),"",IF(AND($M207="Sí",$O207="Sí"),"OTIF","Falló"))</f>
        <v/>
      </c>
    </row>
    <row r="208" ht="16" customHeight="1">
      <c r="A208" s="47" t="n"/>
      <c r="B208" s="46" t="n"/>
      <c r="C208" s="49" t="n"/>
      <c r="D208" s="49" t="n"/>
      <c r="E208" s="49" t="n"/>
      <c r="F208" s="49" t="n"/>
      <c r="G208" s="47" t="n"/>
      <c r="H208" s="50" t="n"/>
      <c r="I208" s="51" t="n"/>
      <c r="J208" s="46" t="n"/>
      <c r="K208" s="46" t="n"/>
      <c r="L208" s="23">
        <f>IF(OR($A208="",$B208=""),"",IF($K208&lt;&gt;"",$K208-$B208,TODAY()-$B208))</f>
        <v/>
      </c>
      <c r="M208" s="27">
        <f>IF(OR($A208="",$J208=""),"",IF($K208="",IF(TODAY()&gt;$J208,"Atrasado","En ruta"),IF($K208&lt;=$J208,"Sí","No")))</f>
        <v/>
      </c>
      <c r="N208" s="23">
        <f>IF($A208="","",COUNTIFS(NOVEDADES!$C$4:$C$1503,$A208))</f>
        <v/>
      </c>
      <c r="O208" s="27">
        <f>IF($A208="","",IF(COUNTIFS(NOVEDADES!$C$4:$C$1503,$A208,NOVEDADES!$M$4:$M$1503,"SÍ")&gt;0,"No","Sí"))</f>
        <v/>
      </c>
      <c r="P208" s="27">
        <f>IF(OR($A208="",$K208=""),"",IF(AND($M208="Sí",$O208="Sí"),"OTIF","Falló"))</f>
        <v/>
      </c>
    </row>
    <row r="209" ht="16" customHeight="1">
      <c r="A209" s="47" t="n"/>
      <c r="B209" s="46" t="n"/>
      <c r="C209" s="49" t="n"/>
      <c r="D209" s="49" t="n"/>
      <c r="E209" s="49" t="n"/>
      <c r="F209" s="49" t="n"/>
      <c r="G209" s="47" t="n"/>
      <c r="H209" s="50" t="n"/>
      <c r="I209" s="51" t="n"/>
      <c r="J209" s="46" t="n"/>
      <c r="K209" s="46" t="n"/>
      <c r="L209" s="23">
        <f>IF(OR($A209="",$B209=""),"",IF($K209&lt;&gt;"",$K209-$B209,TODAY()-$B209))</f>
        <v/>
      </c>
      <c r="M209" s="27">
        <f>IF(OR($A209="",$J209=""),"",IF($K209="",IF(TODAY()&gt;$J209,"Atrasado","En ruta"),IF($K209&lt;=$J209,"Sí","No")))</f>
        <v/>
      </c>
      <c r="N209" s="23">
        <f>IF($A209="","",COUNTIFS(NOVEDADES!$C$4:$C$1503,$A209))</f>
        <v/>
      </c>
      <c r="O209" s="27">
        <f>IF($A209="","",IF(COUNTIFS(NOVEDADES!$C$4:$C$1503,$A209,NOVEDADES!$M$4:$M$1503,"SÍ")&gt;0,"No","Sí"))</f>
        <v/>
      </c>
      <c r="P209" s="27">
        <f>IF(OR($A209="",$K209=""),"",IF(AND($M209="Sí",$O209="Sí"),"OTIF","Falló"))</f>
        <v/>
      </c>
    </row>
    <row r="210" ht="16" customHeight="1">
      <c r="A210" s="47" t="n"/>
      <c r="B210" s="46" t="n"/>
      <c r="C210" s="49" t="n"/>
      <c r="D210" s="49" t="n"/>
      <c r="E210" s="49" t="n"/>
      <c r="F210" s="49" t="n"/>
      <c r="G210" s="47" t="n"/>
      <c r="H210" s="50" t="n"/>
      <c r="I210" s="51" t="n"/>
      <c r="J210" s="46" t="n"/>
      <c r="K210" s="46" t="n"/>
      <c r="L210" s="23">
        <f>IF(OR($A210="",$B210=""),"",IF($K210&lt;&gt;"",$K210-$B210,TODAY()-$B210))</f>
        <v/>
      </c>
      <c r="M210" s="27">
        <f>IF(OR($A210="",$J210=""),"",IF($K210="",IF(TODAY()&gt;$J210,"Atrasado","En ruta"),IF($K210&lt;=$J210,"Sí","No")))</f>
        <v/>
      </c>
      <c r="N210" s="23">
        <f>IF($A210="","",COUNTIFS(NOVEDADES!$C$4:$C$1503,$A210))</f>
        <v/>
      </c>
      <c r="O210" s="27">
        <f>IF($A210="","",IF(COUNTIFS(NOVEDADES!$C$4:$C$1503,$A210,NOVEDADES!$M$4:$M$1503,"SÍ")&gt;0,"No","Sí"))</f>
        <v/>
      </c>
      <c r="P210" s="27">
        <f>IF(OR($A210="",$K210=""),"",IF(AND($M210="Sí",$O210="Sí"),"OTIF","Falló"))</f>
        <v/>
      </c>
    </row>
    <row r="211" ht="16" customHeight="1">
      <c r="A211" s="47" t="n"/>
      <c r="B211" s="46" t="n"/>
      <c r="C211" s="49" t="n"/>
      <c r="D211" s="49" t="n"/>
      <c r="E211" s="49" t="n"/>
      <c r="F211" s="49" t="n"/>
      <c r="G211" s="47" t="n"/>
      <c r="H211" s="50" t="n"/>
      <c r="I211" s="51" t="n"/>
      <c r="J211" s="46" t="n"/>
      <c r="K211" s="46" t="n"/>
      <c r="L211" s="23">
        <f>IF(OR($A211="",$B211=""),"",IF($K211&lt;&gt;"",$K211-$B211,TODAY()-$B211))</f>
        <v/>
      </c>
      <c r="M211" s="27">
        <f>IF(OR($A211="",$J211=""),"",IF($K211="",IF(TODAY()&gt;$J211,"Atrasado","En ruta"),IF($K211&lt;=$J211,"Sí","No")))</f>
        <v/>
      </c>
      <c r="N211" s="23">
        <f>IF($A211="","",COUNTIFS(NOVEDADES!$C$4:$C$1503,$A211))</f>
        <v/>
      </c>
      <c r="O211" s="27">
        <f>IF($A211="","",IF(COUNTIFS(NOVEDADES!$C$4:$C$1503,$A211,NOVEDADES!$M$4:$M$1503,"SÍ")&gt;0,"No","Sí"))</f>
        <v/>
      </c>
      <c r="P211" s="27">
        <f>IF(OR($A211="",$K211=""),"",IF(AND($M211="Sí",$O211="Sí"),"OTIF","Falló"))</f>
        <v/>
      </c>
    </row>
    <row r="212" ht="16" customHeight="1">
      <c r="A212" s="47" t="n"/>
      <c r="B212" s="46" t="n"/>
      <c r="C212" s="49" t="n"/>
      <c r="D212" s="49" t="n"/>
      <c r="E212" s="49" t="n"/>
      <c r="F212" s="49" t="n"/>
      <c r="G212" s="47" t="n"/>
      <c r="H212" s="50" t="n"/>
      <c r="I212" s="51" t="n"/>
      <c r="J212" s="46" t="n"/>
      <c r="K212" s="46" t="n"/>
      <c r="L212" s="23">
        <f>IF(OR($A212="",$B212=""),"",IF($K212&lt;&gt;"",$K212-$B212,TODAY()-$B212))</f>
        <v/>
      </c>
      <c r="M212" s="27">
        <f>IF(OR($A212="",$J212=""),"",IF($K212="",IF(TODAY()&gt;$J212,"Atrasado","En ruta"),IF($K212&lt;=$J212,"Sí","No")))</f>
        <v/>
      </c>
      <c r="N212" s="23">
        <f>IF($A212="","",COUNTIFS(NOVEDADES!$C$4:$C$1503,$A212))</f>
        <v/>
      </c>
      <c r="O212" s="27">
        <f>IF($A212="","",IF(COUNTIFS(NOVEDADES!$C$4:$C$1503,$A212,NOVEDADES!$M$4:$M$1503,"SÍ")&gt;0,"No","Sí"))</f>
        <v/>
      </c>
      <c r="P212" s="27">
        <f>IF(OR($A212="",$K212=""),"",IF(AND($M212="Sí",$O212="Sí"),"OTIF","Falló"))</f>
        <v/>
      </c>
    </row>
    <row r="213" ht="16" customHeight="1">
      <c r="A213" s="47" t="n"/>
      <c r="B213" s="46" t="n"/>
      <c r="C213" s="49" t="n"/>
      <c r="D213" s="49" t="n"/>
      <c r="E213" s="49" t="n"/>
      <c r="F213" s="49" t="n"/>
      <c r="G213" s="47" t="n"/>
      <c r="H213" s="50" t="n"/>
      <c r="I213" s="51" t="n"/>
      <c r="J213" s="46" t="n"/>
      <c r="K213" s="46" t="n"/>
      <c r="L213" s="23">
        <f>IF(OR($A213="",$B213=""),"",IF($K213&lt;&gt;"",$K213-$B213,TODAY()-$B213))</f>
        <v/>
      </c>
      <c r="M213" s="27">
        <f>IF(OR($A213="",$J213=""),"",IF($K213="",IF(TODAY()&gt;$J213,"Atrasado","En ruta"),IF($K213&lt;=$J213,"Sí","No")))</f>
        <v/>
      </c>
      <c r="N213" s="23">
        <f>IF($A213="","",COUNTIFS(NOVEDADES!$C$4:$C$1503,$A213))</f>
        <v/>
      </c>
      <c r="O213" s="27">
        <f>IF($A213="","",IF(COUNTIFS(NOVEDADES!$C$4:$C$1503,$A213,NOVEDADES!$M$4:$M$1503,"SÍ")&gt;0,"No","Sí"))</f>
        <v/>
      </c>
      <c r="P213" s="27">
        <f>IF(OR($A213="",$K213=""),"",IF(AND($M213="Sí",$O213="Sí"),"OTIF","Falló"))</f>
        <v/>
      </c>
    </row>
    <row r="214" ht="16" customHeight="1">
      <c r="A214" s="47" t="n"/>
      <c r="B214" s="46" t="n"/>
      <c r="C214" s="49" t="n"/>
      <c r="D214" s="49" t="n"/>
      <c r="E214" s="49" t="n"/>
      <c r="F214" s="49" t="n"/>
      <c r="G214" s="47" t="n"/>
      <c r="H214" s="50" t="n"/>
      <c r="I214" s="51" t="n"/>
      <c r="J214" s="46" t="n"/>
      <c r="K214" s="46" t="n"/>
      <c r="L214" s="23">
        <f>IF(OR($A214="",$B214=""),"",IF($K214&lt;&gt;"",$K214-$B214,TODAY()-$B214))</f>
        <v/>
      </c>
      <c r="M214" s="27">
        <f>IF(OR($A214="",$J214=""),"",IF($K214="",IF(TODAY()&gt;$J214,"Atrasado","En ruta"),IF($K214&lt;=$J214,"Sí","No")))</f>
        <v/>
      </c>
      <c r="N214" s="23">
        <f>IF($A214="","",COUNTIFS(NOVEDADES!$C$4:$C$1503,$A214))</f>
        <v/>
      </c>
      <c r="O214" s="27">
        <f>IF($A214="","",IF(COUNTIFS(NOVEDADES!$C$4:$C$1503,$A214,NOVEDADES!$M$4:$M$1503,"SÍ")&gt;0,"No","Sí"))</f>
        <v/>
      </c>
      <c r="P214" s="27">
        <f>IF(OR($A214="",$K214=""),"",IF(AND($M214="Sí",$O214="Sí"),"OTIF","Falló"))</f>
        <v/>
      </c>
    </row>
    <row r="215" ht="16" customHeight="1">
      <c r="A215" s="47" t="n"/>
      <c r="B215" s="46" t="n"/>
      <c r="C215" s="49" t="n"/>
      <c r="D215" s="49" t="n"/>
      <c r="E215" s="49" t="n"/>
      <c r="F215" s="49" t="n"/>
      <c r="G215" s="47" t="n"/>
      <c r="H215" s="50" t="n"/>
      <c r="I215" s="51" t="n"/>
      <c r="J215" s="46" t="n"/>
      <c r="K215" s="46" t="n"/>
      <c r="L215" s="23">
        <f>IF(OR($A215="",$B215=""),"",IF($K215&lt;&gt;"",$K215-$B215,TODAY()-$B215))</f>
        <v/>
      </c>
      <c r="M215" s="27">
        <f>IF(OR($A215="",$J215=""),"",IF($K215="",IF(TODAY()&gt;$J215,"Atrasado","En ruta"),IF($K215&lt;=$J215,"Sí","No")))</f>
        <v/>
      </c>
      <c r="N215" s="23">
        <f>IF($A215="","",COUNTIFS(NOVEDADES!$C$4:$C$1503,$A215))</f>
        <v/>
      </c>
      <c r="O215" s="27">
        <f>IF($A215="","",IF(COUNTIFS(NOVEDADES!$C$4:$C$1503,$A215,NOVEDADES!$M$4:$M$1503,"SÍ")&gt;0,"No","Sí"))</f>
        <v/>
      </c>
      <c r="P215" s="27">
        <f>IF(OR($A215="",$K215=""),"",IF(AND($M215="Sí",$O215="Sí"),"OTIF","Falló"))</f>
        <v/>
      </c>
    </row>
    <row r="216" ht="16" customHeight="1">
      <c r="A216" s="47" t="n"/>
      <c r="B216" s="46" t="n"/>
      <c r="C216" s="49" t="n"/>
      <c r="D216" s="49" t="n"/>
      <c r="E216" s="49" t="n"/>
      <c r="F216" s="49" t="n"/>
      <c r="G216" s="47" t="n"/>
      <c r="H216" s="50" t="n"/>
      <c r="I216" s="51" t="n"/>
      <c r="J216" s="46" t="n"/>
      <c r="K216" s="46" t="n"/>
      <c r="L216" s="23">
        <f>IF(OR($A216="",$B216=""),"",IF($K216&lt;&gt;"",$K216-$B216,TODAY()-$B216))</f>
        <v/>
      </c>
      <c r="M216" s="27">
        <f>IF(OR($A216="",$J216=""),"",IF($K216="",IF(TODAY()&gt;$J216,"Atrasado","En ruta"),IF($K216&lt;=$J216,"Sí","No")))</f>
        <v/>
      </c>
      <c r="N216" s="23">
        <f>IF($A216="","",COUNTIFS(NOVEDADES!$C$4:$C$1503,$A216))</f>
        <v/>
      </c>
      <c r="O216" s="27">
        <f>IF($A216="","",IF(COUNTIFS(NOVEDADES!$C$4:$C$1503,$A216,NOVEDADES!$M$4:$M$1503,"SÍ")&gt;0,"No","Sí"))</f>
        <v/>
      </c>
      <c r="P216" s="27">
        <f>IF(OR($A216="",$K216=""),"",IF(AND($M216="Sí",$O216="Sí"),"OTIF","Falló"))</f>
        <v/>
      </c>
    </row>
    <row r="217" ht="16" customHeight="1">
      <c r="A217" s="47" t="n"/>
      <c r="B217" s="46" t="n"/>
      <c r="C217" s="49" t="n"/>
      <c r="D217" s="49" t="n"/>
      <c r="E217" s="49" t="n"/>
      <c r="F217" s="49" t="n"/>
      <c r="G217" s="47" t="n"/>
      <c r="H217" s="50" t="n"/>
      <c r="I217" s="51" t="n"/>
      <c r="J217" s="46" t="n"/>
      <c r="K217" s="46" t="n"/>
      <c r="L217" s="23">
        <f>IF(OR($A217="",$B217=""),"",IF($K217&lt;&gt;"",$K217-$B217,TODAY()-$B217))</f>
        <v/>
      </c>
      <c r="M217" s="27">
        <f>IF(OR($A217="",$J217=""),"",IF($K217="",IF(TODAY()&gt;$J217,"Atrasado","En ruta"),IF($K217&lt;=$J217,"Sí","No")))</f>
        <v/>
      </c>
      <c r="N217" s="23">
        <f>IF($A217="","",COUNTIFS(NOVEDADES!$C$4:$C$1503,$A217))</f>
        <v/>
      </c>
      <c r="O217" s="27">
        <f>IF($A217="","",IF(COUNTIFS(NOVEDADES!$C$4:$C$1503,$A217,NOVEDADES!$M$4:$M$1503,"SÍ")&gt;0,"No","Sí"))</f>
        <v/>
      </c>
      <c r="P217" s="27">
        <f>IF(OR($A217="",$K217=""),"",IF(AND($M217="Sí",$O217="Sí"),"OTIF","Falló"))</f>
        <v/>
      </c>
    </row>
    <row r="218" ht="16" customHeight="1">
      <c r="A218" s="47" t="n"/>
      <c r="B218" s="46" t="n"/>
      <c r="C218" s="49" t="n"/>
      <c r="D218" s="49" t="n"/>
      <c r="E218" s="49" t="n"/>
      <c r="F218" s="49" t="n"/>
      <c r="G218" s="47" t="n"/>
      <c r="H218" s="50" t="n"/>
      <c r="I218" s="51" t="n"/>
      <c r="J218" s="46" t="n"/>
      <c r="K218" s="46" t="n"/>
      <c r="L218" s="23">
        <f>IF(OR($A218="",$B218=""),"",IF($K218&lt;&gt;"",$K218-$B218,TODAY()-$B218))</f>
        <v/>
      </c>
      <c r="M218" s="27">
        <f>IF(OR($A218="",$J218=""),"",IF($K218="",IF(TODAY()&gt;$J218,"Atrasado","En ruta"),IF($K218&lt;=$J218,"Sí","No")))</f>
        <v/>
      </c>
      <c r="N218" s="23">
        <f>IF($A218="","",COUNTIFS(NOVEDADES!$C$4:$C$1503,$A218))</f>
        <v/>
      </c>
      <c r="O218" s="27">
        <f>IF($A218="","",IF(COUNTIFS(NOVEDADES!$C$4:$C$1503,$A218,NOVEDADES!$M$4:$M$1503,"SÍ")&gt;0,"No","Sí"))</f>
        <v/>
      </c>
      <c r="P218" s="27">
        <f>IF(OR($A218="",$K218=""),"",IF(AND($M218="Sí",$O218="Sí"),"OTIF","Falló"))</f>
        <v/>
      </c>
    </row>
    <row r="219" ht="16" customHeight="1">
      <c r="A219" s="47" t="n"/>
      <c r="B219" s="46" t="n"/>
      <c r="C219" s="49" t="n"/>
      <c r="D219" s="49" t="n"/>
      <c r="E219" s="49" t="n"/>
      <c r="F219" s="49" t="n"/>
      <c r="G219" s="47" t="n"/>
      <c r="H219" s="50" t="n"/>
      <c r="I219" s="51" t="n"/>
      <c r="J219" s="46" t="n"/>
      <c r="K219" s="46" t="n"/>
      <c r="L219" s="23">
        <f>IF(OR($A219="",$B219=""),"",IF($K219&lt;&gt;"",$K219-$B219,TODAY()-$B219))</f>
        <v/>
      </c>
      <c r="M219" s="27">
        <f>IF(OR($A219="",$J219=""),"",IF($K219="",IF(TODAY()&gt;$J219,"Atrasado","En ruta"),IF($K219&lt;=$J219,"Sí","No")))</f>
        <v/>
      </c>
      <c r="N219" s="23">
        <f>IF($A219="","",COUNTIFS(NOVEDADES!$C$4:$C$1503,$A219))</f>
        <v/>
      </c>
      <c r="O219" s="27">
        <f>IF($A219="","",IF(COUNTIFS(NOVEDADES!$C$4:$C$1503,$A219,NOVEDADES!$M$4:$M$1503,"SÍ")&gt;0,"No","Sí"))</f>
        <v/>
      </c>
      <c r="P219" s="27">
        <f>IF(OR($A219="",$K219=""),"",IF(AND($M219="Sí",$O219="Sí"),"OTIF","Falló"))</f>
        <v/>
      </c>
    </row>
    <row r="220" ht="16" customHeight="1">
      <c r="A220" s="47" t="n"/>
      <c r="B220" s="46" t="n"/>
      <c r="C220" s="49" t="n"/>
      <c r="D220" s="49" t="n"/>
      <c r="E220" s="49" t="n"/>
      <c r="F220" s="49" t="n"/>
      <c r="G220" s="47" t="n"/>
      <c r="H220" s="50" t="n"/>
      <c r="I220" s="51" t="n"/>
      <c r="J220" s="46" t="n"/>
      <c r="K220" s="46" t="n"/>
      <c r="L220" s="23">
        <f>IF(OR($A220="",$B220=""),"",IF($K220&lt;&gt;"",$K220-$B220,TODAY()-$B220))</f>
        <v/>
      </c>
      <c r="M220" s="27">
        <f>IF(OR($A220="",$J220=""),"",IF($K220="",IF(TODAY()&gt;$J220,"Atrasado","En ruta"),IF($K220&lt;=$J220,"Sí","No")))</f>
        <v/>
      </c>
      <c r="N220" s="23">
        <f>IF($A220="","",COUNTIFS(NOVEDADES!$C$4:$C$1503,$A220))</f>
        <v/>
      </c>
      <c r="O220" s="27">
        <f>IF($A220="","",IF(COUNTIFS(NOVEDADES!$C$4:$C$1503,$A220,NOVEDADES!$M$4:$M$1503,"SÍ")&gt;0,"No","Sí"))</f>
        <v/>
      </c>
      <c r="P220" s="27">
        <f>IF(OR($A220="",$K220=""),"",IF(AND($M220="Sí",$O220="Sí"),"OTIF","Falló"))</f>
        <v/>
      </c>
    </row>
    <row r="221" ht="16" customHeight="1">
      <c r="A221" s="47" t="n"/>
      <c r="B221" s="46" t="n"/>
      <c r="C221" s="49" t="n"/>
      <c r="D221" s="49" t="n"/>
      <c r="E221" s="49" t="n"/>
      <c r="F221" s="49" t="n"/>
      <c r="G221" s="47" t="n"/>
      <c r="H221" s="50" t="n"/>
      <c r="I221" s="51" t="n"/>
      <c r="J221" s="46" t="n"/>
      <c r="K221" s="46" t="n"/>
      <c r="L221" s="23">
        <f>IF(OR($A221="",$B221=""),"",IF($K221&lt;&gt;"",$K221-$B221,TODAY()-$B221))</f>
        <v/>
      </c>
      <c r="M221" s="27">
        <f>IF(OR($A221="",$J221=""),"",IF($K221="",IF(TODAY()&gt;$J221,"Atrasado","En ruta"),IF($K221&lt;=$J221,"Sí","No")))</f>
        <v/>
      </c>
      <c r="N221" s="23">
        <f>IF($A221="","",COUNTIFS(NOVEDADES!$C$4:$C$1503,$A221))</f>
        <v/>
      </c>
      <c r="O221" s="27">
        <f>IF($A221="","",IF(COUNTIFS(NOVEDADES!$C$4:$C$1503,$A221,NOVEDADES!$M$4:$M$1503,"SÍ")&gt;0,"No","Sí"))</f>
        <v/>
      </c>
      <c r="P221" s="27">
        <f>IF(OR($A221="",$K221=""),"",IF(AND($M221="Sí",$O221="Sí"),"OTIF","Falló"))</f>
        <v/>
      </c>
    </row>
    <row r="222" ht="16" customHeight="1">
      <c r="A222" s="47" t="n"/>
      <c r="B222" s="46" t="n"/>
      <c r="C222" s="49" t="n"/>
      <c r="D222" s="49" t="n"/>
      <c r="E222" s="49" t="n"/>
      <c r="F222" s="49" t="n"/>
      <c r="G222" s="47" t="n"/>
      <c r="H222" s="50" t="n"/>
      <c r="I222" s="51" t="n"/>
      <c r="J222" s="46" t="n"/>
      <c r="K222" s="46" t="n"/>
      <c r="L222" s="23">
        <f>IF(OR($A222="",$B222=""),"",IF($K222&lt;&gt;"",$K222-$B222,TODAY()-$B222))</f>
        <v/>
      </c>
      <c r="M222" s="27">
        <f>IF(OR($A222="",$J222=""),"",IF($K222="",IF(TODAY()&gt;$J222,"Atrasado","En ruta"),IF($K222&lt;=$J222,"Sí","No")))</f>
        <v/>
      </c>
      <c r="N222" s="23">
        <f>IF($A222="","",COUNTIFS(NOVEDADES!$C$4:$C$1503,$A222))</f>
        <v/>
      </c>
      <c r="O222" s="27">
        <f>IF($A222="","",IF(COUNTIFS(NOVEDADES!$C$4:$C$1503,$A222,NOVEDADES!$M$4:$M$1503,"SÍ")&gt;0,"No","Sí"))</f>
        <v/>
      </c>
      <c r="P222" s="27">
        <f>IF(OR($A222="",$K222=""),"",IF(AND($M222="Sí",$O222="Sí"),"OTIF","Falló"))</f>
        <v/>
      </c>
    </row>
    <row r="223" ht="16" customHeight="1">
      <c r="A223" s="47" t="n"/>
      <c r="B223" s="46" t="n"/>
      <c r="C223" s="49" t="n"/>
      <c r="D223" s="49" t="n"/>
      <c r="E223" s="49" t="n"/>
      <c r="F223" s="49" t="n"/>
      <c r="G223" s="47" t="n"/>
      <c r="H223" s="50" t="n"/>
      <c r="I223" s="51" t="n"/>
      <c r="J223" s="46" t="n"/>
      <c r="K223" s="46" t="n"/>
      <c r="L223" s="23">
        <f>IF(OR($A223="",$B223=""),"",IF($K223&lt;&gt;"",$K223-$B223,TODAY()-$B223))</f>
        <v/>
      </c>
      <c r="M223" s="27">
        <f>IF(OR($A223="",$J223=""),"",IF($K223="",IF(TODAY()&gt;$J223,"Atrasado","En ruta"),IF($K223&lt;=$J223,"Sí","No")))</f>
        <v/>
      </c>
      <c r="N223" s="23">
        <f>IF($A223="","",COUNTIFS(NOVEDADES!$C$4:$C$1503,$A223))</f>
        <v/>
      </c>
      <c r="O223" s="27">
        <f>IF($A223="","",IF(COUNTIFS(NOVEDADES!$C$4:$C$1503,$A223,NOVEDADES!$M$4:$M$1503,"SÍ")&gt;0,"No","Sí"))</f>
        <v/>
      </c>
      <c r="P223" s="27">
        <f>IF(OR($A223="",$K223=""),"",IF(AND($M223="Sí",$O223="Sí"),"OTIF","Falló"))</f>
        <v/>
      </c>
    </row>
    <row r="224" ht="16" customHeight="1">
      <c r="A224" s="47" t="n"/>
      <c r="B224" s="46" t="n"/>
      <c r="C224" s="49" t="n"/>
      <c r="D224" s="49" t="n"/>
      <c r="E224" s="49" t="n"/>
      <c r="F224" s="49" t="n"/>
      <c r="G224" s="47" t="n"/>
      <c r="H224" s="50" t="n"/>
      <c r="I224" s="51" t="n"/>
      <c r="J224" s="46" t="n"/>
      <c r="K224" s="46" t="n"/>
      <c r="L224" s="23">
        <f>IF(OR($A224="",$B224=""),"",IF($K224&lt;&gt;"",$K224-$B224,TODAY()-$B224))</f>
        <v/>
      </c>
      <c r="M224" s="27">
        <f>IF(OR($A224="",$J224=""),"",IF($K224="",IF(TODAY()&gt;$J224,"Atrasado","En ruta"),IF($K224&lt;=$J224,"Sí","No")))</f>
        <v/>
      </c>
      <c r="N224" s="23">
        <f>IF($A224="","",COUNTIFS(NOVEDADES!$C$4:$C$1503,$A224))</f>
        <v/>
      </c>
      <c r="O224" s="27">
        <f>IF($A224="","",IF(COUNTIFS(NOVEDADES!$C$4:$C$1503,$A224,NOVEDADES!$M$4:$M$1503,"SÍ")&gt;0,"No","Sí"))</f>
        <v/>
      </c>
      <c r="P224" s="27">
        <f>IF(OR($A224="",$K224=""),"",IF(AND($M224="Sí",$O224="Sí"),"OTIF","Falló"))</f>
        <v/>
      </c>
    </row>
    <row r="225" ht="16" customHeight="1">
      <c r="A225" s="47" t="n"/>
      <c r="B225" s="46" t="n"/>
      <c r="C225" s="49" t="n"/>
      <c r="D225" s="49" t="n"/>
      <c r="E225" s="49" t="n"/>
      <c r="F225" s="49" t="n"/>
      <c r="G225" s="47" t="n"/>
      <c r="H225" s="50" t="n"/>
      <c r="I225" s="51" t="n"/>
      <c r="J225" s="46" t="n"/>
      <c r="K225" s="46" t="n"/>
      <c r="L225" s="23">
        <f>IF(OR($A225="",$B225=""),"",IF($K225&lt;&gt;"",$K225-$B225,TODAY()-$B225))</f>
        <v/>
      </c>
      <c r="M225" s="27">
        <f>IF(OR($A225="",$J225=""),"",IF($K225="",IF(TODAY()&gt;$J225,"Atrasado","En ruta"),IF($K225&lt;=$J225,"Sí","No")))</f>
        <v/>
      </c>
      <c r="N225" s="23">
        <f>IF($A225="","",COUNTIFS(NOVEDADES!$C$4:$C$1503,$A225))</f>
        <v/>
      </c>
      <c r="O225" s="27">
        <f>IF($A225="","",IF(COUNTIFS(NOVEDADES!$C$4:$C$1503,$A225,NOVEDADES!$M$4:$M$1503,"SÍ")&gt;0,"No","Sí"))</f>
        <v/>
      </c>
      <c r="P225" s="27">
        <f>IF(OR($A225="",$K225=""),"",IF(AND($M225="Sí",$O225="Sí"),"OTIF","Falló"))</f>
        <v/>
      </c>
    </row>
    <row r="226" ht="16" customHeight="1">
      <c r="A226" s="47" t="n"/>
      <c r="B226" s="46" t="n"/>
      <c r="C226" s="49" t="n"/>
      <c r="D226" s="49" t="n"/>
      <c r="E226" s="49" t="n"/>
      <c r="F226" s="49" t="n"/>
      <c r="G226" s="47" t="n"/>
      <c r="H226" s="50" t="n"/>
      <c r="I226" s="51" t="n"/>
      <c r="J226" s="46" t="n"/>
      <c r="K226" s="46" t="n"/>
      <c r="L226" s="23">
        <f>IF(OR($A226="",$B226=""),"",IF($K226&lt;&gt;"",$K226-$B226,TODAY()-$B226))</f>
        <v/>
      </c>
      <c r="M226" s="27">
        <f>IF(OR($A226="",$J226=""),"",IF($K226="",IF(TODAY()&gt;$J226,"Atrasado","En ruta"),IF($K226&lt;=$J226,"Sí","No")))</f>
        <v/>
      </c>
      <c r="N226" s="23">
        <f>IF($A226="","",COUNTIFS(NOVEDADES!$C$4:$C$1503,$A226))</f>
        <v/>
      </c>
      <c r="O226" s="27">
        <f>IF($A226="","",IF(COUNTIFS(NOVEDADES!$C$4:$C$1503,$A226,NOVEDADES!$M$4:$M$1503,"SÍ")&gt;0,"No","Sí"))</f>
        <v/>
      </c>
      <c r="P226" s="27">
        <f>IF(OR($A226="",$K226=""),"",IF(AND($M226="Sí",$O226="Sí"),"OTIF","Falló"))</f>
        <v/>
      </c>
    </row>
    <row r="227" ht="16" customHeight="1">
      <c r="A227" s="47" t="n"/>
      <c r="B227" s="46" t="n"/>
      <c r="C227" s="49" t="n"/>
      <c r="D227" s="49" t="n"/>
      <c r="E227" s="49" t="n"/>
      <c r="F227" s="49" t="n"/>
      <c r="G227" s="47" t="n"/>
      <c r="H227" s="50" t="n"/>
      <c r="I227" s="51" t="n"/>
      <c r="J227" s="46" t="n"/>
      <c r="K227" s="46" t="n"/>
      <c r="L227" s="23">
        <f>IF(OR($A227="",$B227=""),"",IF($K227&lt;&gt;"",$K227-$B227,TODAY()-$B227))</f>
        <v/>
      </c>
      <c r="M227" s="27">
        <f>IF(OR($A227="",$J227=""),"",IF($K227="",IF(TODAY()&gt;$J227,"Atrasado","En ruta"),IF($K227&lt;=$J227,"Sí","No")))</f>
        <v/>
      </c>
      <c r="N227" s="23">
        <f>IF($A227="","",COUNTIFS(NOVEDADES!$C$4:$C$1503,$A227))</f>
        <v/>
      </c>
      <c r="O227" s="27">
        <f>IF($A227="","",IF(COUNTIFS(NOVEDADES!$C$4:$C$1503,$A227,NOVEDADES!$M$4:$M$1503,"SÍ")&gt;0,"No","Sí"))</f>
        <v/>
      </c>
      <c r="P227" s="27">
        <f>IF(OR($A227="",$K227=""),"",IF(AND($M227="Sí",$O227="Sí"),"OTIF","Falló"))</f>
        <v/>
      </c>
    </row>
    <row r="228" ht="16" customHeight="1">
      <c r="A228" s="47" t="n"/>
      <c r="B228" s="46" t="n"/>
      <c r="C228" s="49" t="n"/>
      <c r="D228" s="49" t="n"/>
      <c r="E228" s="49" t="n"/>
      <c r="F228" s="49" t="n"/>
      <c r="G228" s="47" t="n"/>
      <c r="H228" s="50" t="n"/>
      <c r="I228" s="51" t="n"/>
      <c r="J228" s="46" t="n"/>
      <c r="K228" s="46" t="n"/>
      <c r="L228" s="23">
        <f>IF(OR($A228="",$B228=""),"",IF($K228&lt;&gt;"",$K228-$B228,TODAY()-$B228))</f>
        <v/>
      </c>
      <c r="M228" s="27">
        <f>IF(OR($A228="",$J228=""),"",IF($K228="",IF(TODAY()&gt;$J228,"Atrasado","En ruta"),IF($K228&lt;=$J228,"Sí","No")))</f>
        <v/>
      </c>
      <c r="N228" s="23">
        <f>IF($A228="","",COUNTIFS(NOVEDADES!$C$4:$C$1503,$A228))</f>
        <v/>
      </c>
      <c r="O228" s="27">
        <f>IF($A228="","",IF(COUNTIFS(NOVEDADES!$C$4:$C$1503,$A228,NOVEDADES!$M$4:$M$1503,"SÍ")&gt;0,"No","Sí"))</f>
        <v/>
      </c>
      <c r="P228" s="27">
        <f>IF(OR($A228="",$K228=""),"",IF(AND($M228="Sí",$O228="Sí"),"OTIF","Falló"))</f>
        <v/>
      </c>
    </row>
    <row r="229" ht="16" customHeight="1">
      <c r="A229" s="47" t="n"/>
      <c r="B229" s="46" t="n"/>
      <c r="C229" s="49" t="n"/>
      <c r="D229" s="49" t="n"/>
      <c r="E229" s="49" t="n"/>
      <c r="F229" s="49" t="n"/>
      <c r="G229" s="47" t="n"/>
      <c r="H229" s="50" t="n"/>
      <c r="I229" s="51" t="n"/>
      <c r="J229" s="46" t="n"/>
      <c r="K229" s="46" t="n"/>
      <c r="L229" s="23">
        <f>IF(OR($A229="",$B229=""),"",IF($K229&lt;&gt;"",$K229-$B229,TODAY()-$B229))</f>
        <v/>
      </c>
      <c r="M229" s="27">
        <f>IF(OR($A229="",$J229=""),"",IF($K229="",IF(TODAY()&gt;$J229,"Atrasado","En ruta"),IF($K229&lt;=$J229,"Sí","No")))</f>
        <v/>
      </c>
      <c r="N229" s="23">
        <f>IF($A229="","",COUNTIFS(NOVEDADES!$C$4:$C$1503,$A229))</f>
        <v/>
      </c>
      <c r="O229" s="27">
        <f>IF($A229="","",IF(COUNTIFS(NOVEDADES!$C$4:$C$1503,$A229,NOVEDADES!$M$4:$M$1503,"SÍ")&gt;0,"No","Sí"))</f>
        <v/>
      </c>
      <c r="P229" s="27">
        <f>IF(OR($A229="",$K229=""),"",IF(AND($M229="Sí",$O229="Sí"),"OTIF","Falló"))</f>
        <v/>
      </c>
    </row>
    <row r="230" ht="16" customHeight="1">
      <c r="A230" s="47" t="n"/>
      <c r="B230" s="46" t="n"/>
      <c r="C230" s="49" t="n"/>
      <c r="D230" s="49" t="n"/>
      <c r="E230" s="49" t="n"/>
      <c r="F230" s="49" t="n"/>
      <c r="G230" s="47" t="n"/>
      <c r="H230" s="50" t="n"/>
      <c r="I230" s="51" t="n"/>
      <c r="J230" s="46" t="n"/>
      <c r="K230" s="46" t="n"/>
      <c r="L230" s="23">
        <f>IF(OR($A230="",$B230=""),"",IF($K230&lt;&gt;"",$K230-$B230,TODAY()-$B230))</f>
        <v/>
      </c>
      <c r="M230" s="27">
        <f>IF(OR($A230="",$J230=""),"",IF($K230="",IF(TODAY()&gt;$J230,"Atrasado","En ruta"),IF($K230&lt;=$J230,"Sí","No")))</f>
        <v/>
      </c>
      <c r="N230" s="23">
        <f>IF($A230="","",COUNTIFS(NOVEDADES!$C$4:$C$1503,$A230))</f>
        <v/>
      </c>
      <c r="O230" s="27">
        <f>IF($A230="","",IF(COUNTIFS(NOVEDADES!$C$4:$C$1503,$A230,NOVEDADES!$M$4:$M$1503,"SÍ")&gt;0,"No","Sí"))</f>
        <v/>
      </c>
      <c r="P230" s="27">
        <f>IF(OR($A230="",$K230=""),"",IF(AND($M230="Sí",$O230="Sí"),"OTIF","Falló"))</f>
        <v/>
      </c>
    </row>
    <row r="231" ht="16" customHeight="1">
      <c r="A231" s="47" t="n"/>
      <c r="B231" s="46" t="n"/>
      <c r="C231" s="49" t="n"/>
      <c r="D231" s="49" t="n"/>
      <c r="E231" s="49" t="n"/>
      <c r="F231" s="49" t="n"/>
      <c r="G231" s="47" t="n"/>
      <c r="H231" s="50" t="n"/>
      <c r="I231" s="51" t="n"/>
      <c r="J231" s="46" t="n"/>
      <c r="K231" s="46" t="n"/>
      <c r="L231" s="23">
        <f>IF(OR($A231="",$B231=""),"",IF($K231&lt;&gt;"",$K231-$B231,TODAY()-$B231))</f>
        <v/>
      </c>
      <c r="M231" s="27">
        <f>IF(OR($A231="",$J231=""),"",IF($K231="",IF(TODAY()&gt;$J231,"Atrasado","En ruta"),IF($K231&lt;=$J231,"Sí","No")))</f>
        <v/>
      </c>
      <c r="N231" s="23">
        <f>IF($A231="","",COUNTIFS(NOVEDADES!$C$4:$C$1503,$A231))</f>
        <v/>
      </c>
      <c r="O231" s="27">
        <f>IF($A231="","",IF(COUNTIFS(NOVEDADES!$C$4:$C$1503,$A231,NOVEDADES!$M$4:$M$1503,"SÍ")&gt;0,"No","Sí"))</f>
        <v/>
      </c>
      <c r="P231" s="27">
        <f>IF(OR($A231="",$K231=""),"",IF(AND($M231="Sí",$O231="Sí"),"OTIF","Falló"))</f>
        <v/>
      </c>
    </row>
    <row r="232" ht="16" customHeight="1">
      <c r="A232" s="47" t="n"/>
      <c r="B232" s="46" t="n"/>
      <c r="C232" s="49" t="n"/>
      <c r="D232" s="49" t="n"/>
      <c r="E232" s="49" t="n"/>
      <c r="F232" s="49" t="n"/>
      <c r="G232" s="47" t="n"/>
      <c r="H232" s="50" t="n"/>
      <c r="I232" s="51" t="n"/>
      <c r="J232" s="46" t="n"/>
      <c r="K232" s="46" t="n"/>
      <c r="L232" s="23">
        <f>IF(OR($A232="",$B232=""),"",IF($K232&lt;&gt;"",$K232-$B232,TODAY()-$B232))</f>
        <v/>
      </c>
      <c r="M232" s="27">
        <f>IF(OR($A232="",$J232=""),"",IF($K232="",IF(TODAY()&gt;$J232,"Atrasado","En ruta"),IF($K232&lt;=$J232,"Sí","No")))</f>
        <v/>
      </c>
      <c r="N232" s="23">
        <f>IF($A232="","",COUNTIFS(NOVEDADES!$C$4:$C$1503,$A232))</f>
        <v/>
      </c>
      <c r="O232" s="27">
        <f>IF($A232="","",IF(COUNTIFS(NOVEDADES!$C$4:$C$1503,$A232,NOVEDADES!$M$4:$M$1503,"SÍ")&gt;0,"No","Sí"))</f>
        <v/>
      </c>
      <c r="P232" s="27">
        <f>IF(OR($A232="",$K232=""),"",IF(AND($M232="Sí",$O232="Sí"),"OTIF","Falló"))</f>
        <v/>
      </c>
    </row>
    <row r="233" ht="16" customHeight="1">
      <c r="A233" s="47" t="n"/>
      <c r="B233" s="46" t="n"/>
      <c r="C233" s="49" t="n"/>
      <c r="D233" s="49" t="n"/>
      <c r="E233" s="49" t="n"/>
      <c r="F233" s="49" t="n"/>
      <c r="G233" s="47" t="n"/>
      <c r="H233" s="50" t="n"/>
      <c r="I233" s="51" t="n"/>
      <c r="J233" s="46" t="n"/>
      <c r="K233" s="46" t="n"/>
      <c r="L233" s="23">
        <f>IF(OR($A233="",$B233=""),"",IF($K233&lt;&gt;"",$K233-$B233,TODAY()-$B233))</f>
        <v/>
      </c>
      <c r="M233" s="27">
        <f>IF(OR($A233="",$J233=""),"",IF($K233="",IF(TODAY()&gt;$J233,"Atrasado","En ruta"),IF($K233&lt;=$J233,"Sí","No")))</f>
        <v/>
      </c>
      <c r="N233" s="23">
        <f>IF($A233="","",COUNTIFS(NOVEDADES!$C$4:$C$1503,$A233))</f>
        <v/>
      </c>
      <c r="O233" s="27">
        <f>IF($A233="","",IF(COUNTIFS(NOVEDADES!$C$4:$C$1503,$A233,NOVEDADES!$M$4:$M$1503,"SÍ")&gt;0,"No","Sí"))</f>
        <v/>
      </c>
      <c r="P233" s="27">
        <f>IF(OR($A233="",$K233=""),"",IF(AND($M233="Sí",$O233="Sí"),"OTIF","Falló"))</f>
        <v/>
      </c>
    </row>
    <row r="234" ht="16" customHeight="1">
      <c r="A234" s="47" t="n"/>
      <c r="B234" s="46" t="n"/>
      <c r="C234" s="49" t="n"/>
      <c r="D234" s="49" t="n"/>
      <c r="E234" s="49" t="n"/>
      <c r="F234" s="49" t="n"/>
      <c r="G234" s="47" t="n"/>
      <c r="H234" s="50" t="n"/>
      <c r="I234" s="51" t="n"/>
      <c r="J234" s="46" t="n"/>
      <c r="K234" s="46" t="n"/>
      <c r="L234" s="23">
        <f>IF(OR($A234="",$B234=""),"",IF($K234&lt;&gt;"",$K234-$B234,TODAY()-$B234))</f>
        <v/>
      </c>
      <c r="M234" s="27">
        <f>IF(OR($A234="",$J234=""),"",IF($K234="",IF(TODAY()&gt;$J234,"Atrasado","En ruta"),IF($K234&lt;=$J234,"Sí","No")))</f>
        <v/>
      </c>
      <c r="N234" s="23">
        <f>IF($A234="","",COUNTIFS(NOVEDADES!$C$4:$C$1503,$A234))</f>
        <v/>
      </c>
      <c r="O234" s="27">
        <f>IF($A234="","",IF(COUNTIFS(NOVEDADES!$C$4:$C$1503,$A234,NOVEDADES!$M$4:$M$1503,"SÍ")&gt;0,"No","Sí"))</f>
        <v/>
      </c>
      <c r="P234" s="27">
        <f>IF(OR($A234="",$K234=""),"",IF(AND($M234="Sí",$O234="Sí"),"OTIF","Falló"))</f>
        <v/>
      </c>
    </row>
    <row r="235" ht="16" customHeight="1">
      <c r="A235" s="47" t="n"/>
      <c r="B235" s="46" t="n"/>
      <c r="C235" s="49" t="n"/>
      <c r="D235" s="49" t="n"/>
      <c r="E235" s="49" t="n"/>
      <c r="F235" s="49" t="n"/>
      <c r="G235" s="47" t="n"/>
      <c r="H235" s="50" t="n"/>
      <c r="I235" s="51" t="n"/>
      <c r="J235" s="46" t="n"/>
      <c r="K235" s="46" t="n"/>
      <c r="L235" s="23">
        <f>IF(OR($A235="",$B235=""),"",IF($K235&lt;&gt;"",$K235-$B235,TODAY()-$B235))</f>
        <v/>
      </c>
      <c r="M235" s="27">
        <f>IF(OR($A235="",$J235=""),"",IF($K235="",IF(TODAY()&gt;$J235,"Atrasado","En ruta"),IF($K235&lt;=$J235,"Sí","No")))</f>
        <v/>
      </c>
      <c r="N235" s="23">
        <f>IF($A235="","",COUNTIFS(NOVEDADES!$C$4:$C$1503,$A235))</f>
        <v/>
      </c>
      <c r="O235" s="27">
        <f>IF($A235="","",IF(COUNTIFS(NOVEDADES!$C$4:$C$1503,$A235,NOVEDADES!$M$4:$M$1503,"SÍ")&gt;0,"No","Sí"))</f>
        <v/>
      </c>
      <c r="P235" s="27">
        <f>IF(OR($A235="",$K235=""),"",IF(AND($M235="Sí",$O235="Sí"),"OTIF","Falló"))</f>
        <v/>
      </c>
    </row>
    <row r="236" ht="16" customHeight="1">
      <c r="A236" s="47" t="n"/>
      <c r="B236" s="46" t="n"/>
      <c r="C236" s="49" t="n"/>
      <c r="D236" s="49" t="n"/>
      <c r="E236" s="49" t="n"/>
      <c r="F236" s="49" t="n"/>
      <c r="G236" s="47" t="n"/>
      <c r="H236" s="50" t="n"/>
      <c r="I236" s="51" t="n"/>
      <c r="J236" s="46" t="n"/>
      <c r="K236" s="46" t="n"/>
      <c r="L236" s="23">
        <f>IF(OR($A236="",$B236=""),"",IF($K236&lt;&gt;"",$K236-$B236,TODAY()-$B236))</f>
        <v/>
      </c>
      <c r="M236" s="27">
        <f>IF(OR($A236="",$J236=""),"",IF($K236="",IF(TODAY()&gt;$J236,"Atrasado","En ruta"),IF($K236&lt;=$J236,"Sí","No")))</f>
        <v/>
      </c>
      <c r="N236" s="23">
        <f>IF($A236="","",COUNTIFS(NOVEDADES!$C$4:$C$1503,$A236))</f>
        <v/>
      </c>
      <c r="O236" s="27">
        <f>IF($A236="","",IF(COUNTIFS(NOVEDADES!$C$4:$C$1503,$A236,NOVEDADES!$M$4:$M$1503,"SÍ")&gt;0,"No","Sí"))</f>
        <v/>
      </c>
      <c r="P236" s="27">
        <f>IF(OR($A236="",$K236=""),"",IF(AND($M236="Sí",$O236="Sí"),"OTIF","Falló"))</f>
        <v/>
      </c>
    </row>
    <row r="237" ht="16" customHeight="1">
      <c r="A237" s="47" t="n"/>
      <c r="B237" s="46" t="n"/>
      <c r="C237" s="49" t="n"/>
      <c r="D237" s="49" t="n"/>
      <c r="E237" s="49" t="n"/>
      <c r="F237" s="49" t="n"/>
      <c r="G237" s="47" t="n"/>
      <c r="H237" s="50" t="n"/>
      <c r="I237" s="51" t="n"/>
      <c r="J237" s="46" t="n"/>
      <c r="K237" s="46" t="n"/>
      <c r="L237" s="23">
        <f>IF(OR($A237="",$B237=""),"",IF($K237&lt;&gt;"",$K237-$B237,TODAY()-$B237))</f>
        <v/>
      </c>
      <c r="M237" s="27">
        <f>IF(OR($A237="",$J237=""),"",IF($K237="",IF(TODAY()&gt;$J237,"Atrasado","En ruta"),IF($K237&lt;=$J237,"Sí","No")))</f>
        <v/>
      </c>
      <c r="N237" s="23">
        <f>IF($A237="","",COUNTIFS(NOVEDADES!$C$4:$C$1503,$A237))</f>
        <v/>
      </c>
      <c r="O237" s="27">
        <f>IF($A237="","",IF(COUNTIFS(NOVEDADES!$C$4:$C$1503,$A237,NOVEDADES!$M$4:$M$1503,"SÍ")&gt;0,"No","Sí"))</f>
        <v/>
      </c>
      <c r="P237" s="27">
        <f>IF(OR($A237="",$K237=""),"",IF(AND($M237="Sí",$O237="Sí"),"OTIF","Falló"))</f>
        <v/>
      </c>
    </row>
    <row r="238" ht="16" customHeight="1">
      <c r="A238" s="47" t="n"/>
      <c r="B238" s="46" t="n"/>
      <c r="C238" s="49" t="n"/>
      <c r="D238" s="49" t="n"/>
      <c r="E238" s="49" t="n"/>
      <c r="F238" s="49" t="n"/>
      <c r="G238" s="47" t="n"/>
      <c r="H238" s="50" t="n"/>
      <c r="I238" s="51" t="n"/>
      <c r="J238" s="46" t="n"/>
      <c r="K238" s="46" t="n"/>
      <c r="L238" s="23">
        <f>IF(OR($A238="",$B238=""),"",IF($K238&lt;&gt;"",$K238-$B238,TODAY()-$B238))</f>
        <v/>
      </c>
      <c r="M238" s="27">
        <f>IF(OR($A238="",$J238=""),"",IF($K238="",IF(TODAY()&gt;$J238,"Atrasado","En ruta"),IF($K238&lt;=$J238,"Sí","No")))</f>
        <v/>
      </c>
      <c r="N238" s="23">
        <f>IF($A238="","",COUNTIFS(NOVEDADES!$C$4:$C$1503,$A238))</f>
        <v/>
      </c>
      <c r="O238" s="27">
        <f>IF($A238="","",IF(COUNTIFS(NOVEDADES!$C$4:$C$1503,$A238,NOVEDADES!$M$4:$M$1503,"SÍ")&gt;0,"No","Sí"))</f>
        <v/>
      </c>
      <c r="P238" s="27">
        <f>IF(OR($A238="",$K238=""),"",IF(AND($M238="Sí",$O238="Sí"),"OTIF","Falló"))</f>
        <v/>
      </c>
    </row>
    <row r="239" ht="16" customHeight="1">
      <c r="A239" s="47" t="n"/>
      <c r="B239" s="46" t="n"/>
      <c r="C239" s="49" t="n"/>
      <c r="D239" s="49" t="n"/>
      <c r="E239" s="49" t="n"/>
      <c r="F239" s="49" t="n"/>
      <c r="G239" s="47" t="n"/>
      <c r="H239" s="50" t="n"/>
      <c r="I239" s="51" t="n"/>
      <c r="J239" s="46" t="n"/>
      <c r="K239" s="46" t="n"/>
      <c r="L239" s="23">
        <f>IF(OR($A239="",$B239=""),"",IF($K239&lt;&gt;"",$K239-$B239,TODAY()-$B239))</f>
        <v/>
      </c>
      <c r="M239" s="27">
        <f>IF(OR($A239="",$J239=""),"",IF($K239="",IF(TODAY()&gt;$J239,"Atrasado","En ruta"),IF($K239&lt;=$J239,"Sí","No")))</f>
        <v/>
      </c>
      <c r="N239" s="23">
        <f>IF($A239="","",COUNTIFS(NOVEDADES!$C$4:$C$1503,$A239))</f>
        <v/>
      </c>
      <c r="O239" s="27">
        <f>IF($A239="","",IF(COUNTIFS(NOVEDADES!$C$4:$C$1503,$A239,NOVEDADES!$M$4:$M$1503,"SÍ")&gt;0,"No","Sí"))</f>
        <v/>
      </c>
      <c r="P239" s="27">
        <f>IF(OR($A239="",$K239=""),"",IF(AND($M239="Sí",$O239="Sí"),"OTIF","Falló"))</f>
        <v/>
      </c>
    </row>
    <row r="240" ht="16" customHeight="1">
      <c r="A240" s="47" t="n"/>
      <c r="B240" s="46" t="n"/>
      <c r="C240" s="49" t="n"/>
      <c r="D240" s="49" t="n"/>
      <c r="E240" s="49" t="n"/>
      <c r="F240" s="49" t="n"/>
      <c r="G240" s="47" t="n"/>
      <c r="H240" s="50" t="n"/>
      <c r="I240" s="51" t="n"/>
      <c r="J240" s="46" t="n"/>
      <c r="K240" s="46" t="n"/>
      <c r="L240" s="23">
        <f>IF(OR($A240="",$B240=""),"",IF($K240&lt;&gt;"",$K240-$B240,TODAY()-$B240))</f>
        <v/>
      </c>
      <c r="M240" s="27">
        <f>IF(OR($A240="",$J240=""),"",IF($K240="",IF(TODAY()&gt;$J240,"Atrasado","En ruta"),IF($K240&lt;=$J240,"Sí","No")))</f>
        <v/>
      </c>
      <c r="N240" s="23">
        <f>IF($A240="","",COUNTIFS(NOVEDADES!$C$4:$C$1503,$A240))</f>
        <v/>
      </c>
      <c r="O240" s="27">
        <f>IF($A240="","",IF(COUNTIFS(NOVEDADES!$C$4:$C$1503,$A240,NOVEDADES!$M$4:$M$1503,"SÍ")&gt;0,"No","Sí"))</f>
        <v/>
      </c>
      <c r="P240" s="27">
        <f>IF(OR($A240="",$K240=""),"",IF(AND($M240="Sí",$O240="Sí"),"OTIF","Falló"))</f>
        <v/>
      </c>
    </row>
    <row r="241" ht="16" customHeight="1">
      <c r="A241" s="47" t="n"/>
      <c r="B241" s="46" t="n"/>
      <c r="C241" s="49" t="n"/>
      <c r="D241" s="49" t="n"/>
      <c r="E241" s="49" t="n"/>
      <c r="F241" s="49" t="n"/>
      <c r="G241" s="47" t="n"/>
      <c r="H241" s="50" t="n"/>
      <c r="I241" s="51" t="n"/>
      <c r="J241" s="46" t="n"/>
      <c r="K241" s="46" t="n"/>
      <c r="L241" s="23">
        <f>IF(OR($A241="",$B241=""),"",IF($K241&lt;&gt;"",$K241-$B241,TODAY()-$B241))</f>
        <v/>
      </c>
      <c r="M241" s="27">
        <f>IF(OR($A241="",$J241=""),"",IF($K241="",IF(TODAY()&gt;$J241,"Atrasado","En ruta"),IF($K241&lt;=$J241,"Sí","No")))</f>
        <v/>
      </c>
      <c r="N241" s="23">
        <f>IF($A241="","",COUNTIFS(NOVEDADES!$C$4:$C$1503,$A241))</f>
        <v/>
      </c>
      <c r="O241" s="27">
        <f>IF($A241="","",IF(COUNTIFS(NOVEDADES!$C$4:$C$1503,$A241,NOVEDADES!$M$4:$M$1503,"SÍ")&gt;0,"No","Sí"))</f>
        <v/>
      </c>
      <c r="P241" s="27">
        <f>IF(OR($A241="",$K241=""),"",IF(AND($M241="Sí",$O241="Sí"),"OTIF","Falló"))</f>
        <v/>
      </c>
    </row>
    <row r="242" ht="16" customHeight="1">
      <c r="A242" s="47" t="n"/>
      <c r="B242" s="46" t="n"/>
      <c r="C242" s="49" t="n"/>
      <c r="D242" s="49" t="n"/>
      <c r="E242" s="49" t="n"/>
      <c r="F242" s="49" t="n"/>
      <c r="G242" s="47" t="n"/>
      <c r="H242" s="50" t="n"/>
      <c r="I242" s="51" t="n"/>
      <c r="J242" s="46" t="n"/>
      <c r="K242" s="46" t="n"/>
      <c r="L242" s="23">
        <f>IF(OR($A242="",$B242=""),"",IF($K242&lt;&gt;"",$K242-$B242,TODAY()-$B242))</f>
        <v/>
      </c>
      <c r="M242" s="27">
        <f>IF(OR($A242="",$J242=""),"",IF($K242="",IF(TODAY()&gt;$J242,"Atrasado","En ruta"),IF($K242&lt;=$J242,"Sí","No")))</f>
        <v/>
      </c>
      <c r="N242" s="23">
        <f>IF($A242="","",COUNTIFS(NOVEDADES!$C$4:$C$1503,$A242))</f>
        <v/>
      </c>
      <c r="O242" s="27">
        <f>IF($A242="","",IF(COUNTIFS(NOVEDADES!$C$4:$C$1503,$A242,NOVEDADES!$M$4:$M$1503,"SÍ")&gt;0,"No","Sí"))</f>
        <v/>
      </c>
      <c r="P242" s="27">
        <f>IF(OR($A242="",$K242=""),"",IF(AND($M242="Sí",$O242="Sí"),"OTIF","Falló"))</f>
        <v/>
      </c>
    </row>
    <row r="243" ht="16" customHeight="1">
      <c r="A243" s="47" t="n"/>
      <c r="B243" s="46" t="n"/>
      <c r="C243" s="49" t="n"/>
      <c r="D243" s="49" t="n"/>
      <c r="E243" s="49" t="n"/>
      <c r="F243" s="49" t="n"/>
      <c r="G243" s="47" t="n"/>
      <c r="H243" s="50" t="n"/>
      <c r="I243" s="51" t="n"/>
      <c r="J243" s="46" t="n"/>
      <c r="K243" s="46" t="n"/>
      <c r="L243" s="23">
        <f>IF(OR($A243="",$B243=""),"",IF($K243&lt;&gt;"",$K243-$B243,TODAY()-$B243))</f>
        <v/>
      </c>
      <c r="M243" s="27">
        <f>IF(OR($A243="",$J243=""),"",IF($K243="",IF(TODAY()&gt;$J243,"Atrasado","En ruta"),IF($K243&lt;=$J243,"Sí","No")))</f>
        <v/>
      </c>
      <c r="N243" s="23">
        <f>IF($A243="","",COUNTIFS(NOVEDADES!$C$4:$C$1503,$A243))</f>
        <v/>
      </c>
      <c r="O243" s="27">
        <f>IF($A243="","",IF(COUNTIFS(NOVEDADES!$C$4:$C$1503,$A243,NOVEDADES!$M$4:$M$1503,"SÍ")&gt;0,"No","Sí"))</f>
        <v/>
      </c>
      <c r="P243" s="27">
        <f>IF(OR($A243="",$K243=""),"",IF(AND($M243="Sí",$O243="Sí"),"OTIF","Falló"))</f>
        <v/>
      </c>
    </row>
    <row r="244" ht="16" customHeight="1">
      <c r="A244" s="47" t="n"/>
      <c r="B244" s="46" t="n"/>
      <c r="C244" s="49" t="n"/>
      <c r="D244" s="49" t="n"/>
      <c r="E244" s="49" t="n"/>
      <c r="F244" s="49" t="n"/>
      <c r="G244" s="47" t="n"/>
      <c r="H244" s="50" t="n"/>
      <c r="I244" s="51" t="n"/>
      <c r="J244" s="46" t="n"/>
      <c r="K244" s="46" t="n"/>
      <c r="L244" s="23">
        <f>IF(OR($A244="",$B244=""),"",IF($K244&lt;&gt;"",$K244-$B244,TODAY()-$B244))</f>
        <v/>
      </c>
      <c r="M244" s="27">
        <f>IF(OR($A244="",$J244=""),"",IF($K244="",IF(TODAY()&gt;$J244,"Atrasado","En ruta"),IF($K244&lt;=$J244,"Sí","No")))</f>
        <v/>
      </c>
      <c r="N244" s="23">
        <f>IF($A244="","",COUNTIFS(NOVEDADES!$C$4:$C$1503,$A244))</f>
        <v/>
      </c>
      <c r="O244" s="27">
        <f>IF($A244="","",IF(COUNTIFS(NOVEDADES!$C$4:$C$1503,$A244,NOVEDADES!$M$4:$M$1503,"SÍ")&gt;0,"No","Sí"))</f>
        <v/>
      </c>
      <c r="P244" s="27">
        <f>IF(OR($A244="",$K244=""),"",IF(AND($M244="Sí",$O244="Sí"),"OTIF","Falló"))</f>
        <v/>
      </c>
    </row>
    <row r="245" ht="16" customHeight="1">
      <c r="A245" s="47" t="n"/>
      <c r="B245" s="46" t="n"/>
      <c r="C245" s="49" t="n"/>
      <c r="D245" s="49" t="n"/>
      <c r="E245" s="49" t="n"/>
      <c r="F245" s="49" t="n"/>
      <c r="G245" s="47" t="n"/>
      <c r="H245" s="50" t="n"/>
      <c r="I245" s="51" t="n"/>
      <c r="J245" s="46" t="n"/>
      <c r="K245" s="46" t="n"/>
      <c r="L245" s="23">
        <f>IF(OR($A245="",$B245=""),"",IF($K245&lt;&gt;"",$K245-$B245,TODAY()-$B245))</f>
        <v/>
      </c>
      <c r="M245" s="27">
        <f>IF(OR($A245="",$J245=""),"",IF($K245="",IF(TODAY()&gt;$J245,"Atrasado","En ruta"),IF($K245&lt;=$J245,"Sí","No")))</f>
        <v/>
      </c>
      <c r="N245" s="23">
        <f>IF($A245="","",COUNTIFS(NOVEDADES!$C$4:$C$1503,$A245))</f>
        <v/>
      </c>
      <c r="O245" s="27">
        <f>IF($A245="","",IF(COUNTIFS(NOVEDADES!$C$4:$C$1503,$A245,NOVEDADES!$M$4:$M$1503,"SÍ")&gt;0,"No","Sí"))</f>
        <v/>
      </c>
      <c r="P245" s="27">
        <f>IF(OR($A245="",$K245=""),"",IF(AND($M245="Sí",$O245="Sí"),"OTIF","Falló"))</f>
        <v/>
      </c>
    </row>
    <row r="246" ht="16" customHeight="1">
      <c r="A246" s="47" t="n"/>
      <c r="B246" s="46" t="n"/>
      <c r="C246" s="49" t="n"/>
      <c r="D246" s="49" t="n"/>
      <c r="E246" s="49" t="n"/>
      <c r="F246" s="49" t="n"/>
      <c r="G246" s="47" t="n"/>
      <c r="H246" s="50" t="n"/>
      <c r="I246" s="51" t="n"/>
      <c r="J246" s="46" t="n"/>
      <c r="K246" s="46" t="n"/>
      <c r="L246" s="23">
        <f>IF(OR($A246="",$B246=""),"",IF($K246&lt;&gt;"",$K246-$B246,TODAY()-$B246))</f>
        <v/>
      </c>
      <c r="M246" s="27">
        <f>IF(OR($A246="",$J246=""),"",IF($K246="",IF(TODAY()&gt;$J246,"Atrasado","En ruta"),IF($K246&lt;=$J246,"Sí","No")))</f>
        <v/>
      </c>
      <c r="N246" s="23">
        <f>IF($A246="","",COUNTIFS(NOVEDADES!$C$4:$C$1503,$A246))</f>
        <v/>
      </c>
      <c r="O246" s="27">
        <f>IF($A246="","",IF(COUNTIFS(NOVEDADES!$C$4:$C$1503,$A246,NOVEDADES!$M$4:$M$1503,"SÍ")&gt;0,"No","Sí"))</f>
        <v/>
      </c>
      <c r="P246" s="27">
        <f>IF(OR($A246="",$K246=""),"",IF(AND($M246="Sí",$O246="Sí"),"OTIF","Falló"))</f>
        <v/>
      </c>
    </row>
    <row r="247" ht="16" customHeight="1">
      <c r="A247" s="47" t="n"/>
      <c r="B247" s="46" t="n"/>
      <c r="C247" s="49" t="n"/>
      <c r="D247" s="49" t="n"/>
      <c r="E247" s="49" t="n"/>
      <c r="F247" s="49" t="n"/>
      <c r="G247" s="47" t="n"/>
      <c r="H247" s="50" t="n"/>
      <c r="I247" s="51" t="n"/>
      <c r="J247" s="46" t="n"/>
      <c r="K247" s="46" t="n"/>
      <c r="L247" s="23">
        <f>IF(OR($A247="",$B247=""),"",IF($K247&lt;&gt;"",$K247-$B247,TODAY()-$B247))</f>
        <v/>
      </c>
      <c r="M247" s="27">
        <f>IF(OR($A247="",$J247=""),"",IF($K247="",IF(TODAY()&gt;$J247,"Atrasado","En ruta"),IF($K247&lt;=$J247,"Sí","No")))</f>
        <v/>
      </c>
      <c r="N247" s="23">
        <f>IF($A247="","",COUNTIFS(NOVEDADES!$C$4:$C$1503,$A247))</f>
        <v/>
      </c>
      <c r="O247" s="27">
        <f>IF($A247="","",IF(COUNTIFS(NOVEDADES!$C$4:$C$1503,$A247,NOVEDADES!$M$4:$M$1503,"SÍ")&gt;0,"No","Sí"))</f>
        <v/>
      </c>
      <c r="P247" s="27">
        <f>IF(OR($A247="",$K247=""),"",IF(AND($M247="Sí",$O247="Sí"),"OTIF","Falló"))</f>
        <v/>
      </c>
    </row>
    <row r="248" ht="16" customHeight="1">
      <c r="A248" s="47" t="n"/>
      <c r="B248" s="46" t="n"/>
      <c r="C248" s="49" t="n"/>
      <c r="D248" s="49" t="n"/>
      <c r="E248" s="49" t="n"/>
      <c r="F248" s="49" t="n"/>
      <c r="G248" s="47" t="n"/>
      <c r="H248" s="50" t="n"/>
      <c r="I248" s="51" t="n"/>
      <c r="J248" s="46" t="n"/>
      <c r="K248" s="46" t="n"/>
      <c r="L248" s="23">
        <f>IF(OR($A248="",$B248=""),"",IF($K248&lt;&gt;"",$K248-$B248,TODAY()-$B248))</f>
        <v/>
      </c>
      <c r="M248" s="27">
        <f>IF(OR($A248="",$J248=""),"",IF($K248="",IF(TODAY()&gt;$J248,"Atrasado","En ruta"),IF($K248&lt;=$J248,"Sí","No")))</f>
        <v/>
      </c>
      <c r="N248" s="23">
        <f>IF($A248="","",COUNTIFS(NOVEDADES!$C$4:$C$1503,$A248))</f>
        <v/>
      </c>
      <c r="O248" s="27">
        <f>IF($A248="","",IF(COUNTIFS(NOVEDADES!$C$4:$C$1503,$A248,NOVEDADES!$M$4:$M$1503,"SÍ")&gt;0,"No","Sí"))</f>
        <v/>
      </c>
      <c r="P248" s="27">
        <f>IF(OR($A248="",$K248=""),"",IF(AND($M248="Sí",$O248="Sí"),"OTIF","Falló"))</f>
        <v/>
      </c>
    </row>
    <row r="249" ht="16" customHeight="1">
      <c r="A249" s="47" t="n"/>
      <c r="B249" s="46" t="n"/>
      <c r="C249" s="49" t="n"/>
      <c r="D249" s="49" t="n"/>
      <c r="E249" s="49" t="n"/>
      <c r="F249" s="49" t="n"/>
      <c r="G249" s="47" t="n"/>
      <c r="H249" s="50" t="n"/>
      <c r="I249" s="51" t="n"/>
      <c r="J249" s="46" t="n"/>
      <c r="K249" s="46" t="n"/>
      <c r="L249" s="23">
        <f>IF(OR($A249="",$B249=""),"",IF($K249&lt;&gt;"",$K249-$B249,TODAY()-$B249))</f>
        <v/>
      </c>
      <c r="M249" s="27">
        <f>IF(OR($A249="",$J249=""),"",IF($K249="",IF(TODAY()&gt;$J249,"Atrasado","En ruta"),IF($K249&lt;=$J249,"Sí","No")))</f>
        <v/>
      </c>
      <c r="N249" s="23">
        <f>IF($A249="","",COUNTIFS(NOVEDADES!$C$4:$C$1503,$A249))</f>
        <v/>
      </c>
      <c r="O249" s="27">
        <f>IF($A249="","",IF(COUNTIFS(NOVEDADES!$C$4:$C$1503,$A249,NOVEDADES!$M$4:$M$1503,"SÍ")&gt;0,"No","Sí"))</f>
        <v/>
      </c>
      <c r="P249" s="27">
        <f>IF(OR($A249="",$K249=""),"",IF(AND($M249="Sí",$O249="Sí"),"OTIF","Falló"))</f>
        <v/>
      </c>
    </row>
    <row r="250" ht="16" customHeight="1">
      <c r="A250" s="47" t="n"/>
      <c r="B250" s="46" t="n"/>
      <c r="C250" s="49" t="n"/>
      <c r="D250" s="49" t="n"/>
      <c r="E250" s="49" t="n"/>
      <c r="F250" s="49" t="n"/>
      <c r="G250" s="47" t="n"/>
      <c r="H250" s="50" t="n"/>
      <c r="I250" s="51" t="n"/>
      <c r="J250" s="46" t="n"/>
      <c r="K250" s="46" t="n"/>
      <c r="L250" s="23">
        <f>IF(OR($A250="",$B250=""),"",IF($K250&lt;&gt;"",$K250-$B250,TODAY()-$B250))</f>
        <v/>
      </c>
      <c r="M250" s="27">
        <f>IF(OR($A250="",$J250=""),"",IF($K250="",IF(TODAY()&gt;$J250,"Atrasado","En ruta"),IF($K250&lt;=$J250,"Sí","No")))</f>
        <v/>
      </c>
      <c r="N250" s="23">
        <f>IF($A250="","",COUNTIFS(NOVEDADES!$C$4:$C$1503,$A250))</f>
        <v/>
      </c>
      <c r="O250" s="27">
        <f>IF($A250="","",IF(COUNTIFS(NOVEDADES!$C$4:$C$1503,$A250,NOVEDADES!$M$4:$M$1503,"SÍ")&gt;0,"No","Sí"))</f>
        <v/>
      </c>
      <c r="P250" s="27">
        <f>IF(OR($A250="",$K250=""),"",IF(AND($M250="Sí",$O250="Sí"),"OTIF","Falló"))</f>
        <v/>
      </c>
    </row>
    <row r="251" ht="16" customHeight="1">
      <c r="A251" s="47" t="n"/>
      <c r="B251" s="46" t="n"/>
      <c r="C251" s="49" t="n"/>
      <c r="D251" s="49" t="n"/>
      <c r="E251" s="49" t="n"/>
      <c r="F251" s="49" t="n"/>
      <c r="G251" s="47" t="n"/>
      <c r="H251" s="50" t="n"/>
      <c r="I251" s="51" t="n"/>
      <c r="J251" s="46" t="n"/>
      <c r="K251" s="46" t="n"/>
      <c r="L251" s="23">
        <f>IF(OR($A251="",$B251=""),"",IF($K251&lt;&gt;"",$K251-$B251,TODAY()-$B251))</f>
        <v/>
      </c>
      <c r="M251" s="27">
        <f>IF(OR($A251="",$J251=""),"",IF($K251="",IF(TODAY()&gt;$J251,"Atrasado","En ruta"),IF($K251&lt;=$J251,"Sí","No")))</f>
        <v/>
      </c>
      <c r="N251" s="23">
        <f>IF($A251="","",COUNTIFS(NOVEDADES!$C$4:$C$1503,$A251))</f>
        <v/>
      </c>
      <c r="O251" s="27">
        <f>IF($A251="","",IF(COUNTIFS(NOVEDADES!$C$4:$C$1503,$A251,NOVEDADES!$M$4:$M$1503,"SÍ")&gt;0,"No","Sí"))</f>
        <v/>
      </c>
      <c r="P251" s="27">
        <f>IF(OR($A251="",$K251=""),"",IF(AND($M251="Sí",$O251="Sí"),"OTIF","Falló"))</f>
        <v/>
      </c>
    </row>
    <row r="252" ht="16" customHeight="1">
      <c r="A252" s="47" t="n"/>
      <c r="B252" s="46" t="n"/>
      <c r="C252" s="49" t="n"/>
      <c r="D252" s="49" t="n"/>
      <c r="E252" s="49" t="n"/>
      <c r="F252" s="49" t="n"/>
      <c r="G252" s="47" t="n"/>
      <c r="H252" s="50" t="n"/>
      <c r="I252" s="51" t="n"/>
      <c r="J252" s="46" t="n"/>
      <c r="K252" s="46" t="n"/>
      <c r="L252" s="23">
        <f>IF(OR($A252="",$B252=""),"",IF($K252&lt;&gt;"",$K252-$B252,TODAY()-$B252))</f>
        <v/>
      </c>
      <c r="M252" s="27">
        <f>IF(OR($A252="",$J252=""),"",IF($K252="",IF(TODAY()&gt;$J252,"Atrasado","En ruta"),IF($K252&lt;=$J252,"Sí","No")))</f>
        <v/>
      </c>
      <c r="N252" s="23">
        <f>IF($A252="","",COUNTIFS(NOVEDADES!$C$4:$C$1503,$A252))</f>
        <v/>
      </c>
      <c r="O252" s="27">
        <f>IF($A252="","",IF(COUNTIFS(NOVEDADES!$C$4:$C$1503,$A252,NOVEDADES!$M$4:$M$1503,"SÍ")&gt;0,"No","Sí"))</f>
        <v/>
      </c>
      <c r="P252" s="27">
        <f>IF(OR($A252="",$K252=""),"",IF(AND($M252="Sí",$O252="Sí"),"OTIF","Falló"))</f>
        <v/>
      </c>
    </row>
    <row r="253" ht="16" customHeight="1">
      <c r="A253" s="47" t="n"/>
      <c r="B253" s="46" t="n"/>
      <c r="C253" s="49" t="n"/>
      <c r="D253" s="49" t="n"/>
      <c r="E253" s="49" t="n"/>
      <c r="F253" s="49" t="n"/>
      <c r="G253" s="47" t="n"/>
      <c r="H253" s="50" t="n"/>
      <c r="I253" s="51" t="n"/>
      <c r="J253" s="46" t="n"/>
      <c r="K253" s="46" t="n"/>
      <c r="L253" s="23">
        <f>IF(OR($A253="",$B253=""),"",IF($K253&lt;&gt;"",$K253-$B253,TODAY()-$B253))</f>
        <v/>
      </c>
      <c r="M253" s="27">
        <f>IF(OR($A253="",$J253=""),"",IF($K253="",IF(TODAY()&gt;$J253,"Atrasado","En ruta"),IF($K253&lt;=$J253,"Sí","No")))</f>
        <v/>
      </c>
      <c r="N253" s="23">
        <f>IF($A253="","",COUNTIFS(NOVEDADES!$C$4:$C$1503,$A253))</f>
        <v/>
      </c>
      <c r="O253" s="27">
        <f>IF($A253="","",IF(COUNTIFS(NOVEDADES!$C$4:$C$1503,$A253,NOVEDADES!$M$4:$M$1503,"SÍ")&gt;0,"No","Sí"))</f>
        <v/>
      </c>
      <c r="P253" s="27">
        <f>IF(OR($A253="",$K253=""),"",IF(AND($M253="Sí",$O253="Sí"),"OTIF","Falló"))</f>
        <v/>
      </c>
    </row>
    <row r="254" ht="16" customHeight="1">
      <c r="A254" s="47" t="n"/>
      <c r="B254" s="46" t="n"/>
      <c r="C254" s="49" t="n"/>
      <c r="D254" s="49" t="n"/>
      <c r="E254" s="49" t="n"/>
      <c r="F254" s="49" t="n"/>
      <c r="G254" s="47" t="n"/>
      <c r="H254" s="50" t="n"/>
      <c r="I254" s="51" t="n"/>
      <c r="J254" s="46" t="n"/>
      <c r="K254" s="46" t="n"/>
      <c r="L254" s="23">
        <f>IF(OR($A254="",$B254=""),"",IF($K254&lt;&gt;"",$K254-$B254,TODAY()-$B254))</f>
        <v/>
      </c>
      <c r="M254" s="27">
        <f>IF(OR($A254="",$J254=""),"",IF($K254="",IF(TODAY()&gt;$J254,"Atrasado","En ruta"),IF($K254&lt;=$J254,"Sí","No")))</f>
        <v/>
      </c>
      <c r="N254" s="23">
        <f>IF($A254="","",COUNTIFS(NOVEDADES!$C$4:$C$1503,$A254))</f>
        <v/>
      </c>
      <c r="O254" s="27">
        <f>IF($A254="","",IF(COUNTIFS(NOVEDADES!$C$4:$C$1503,$A254,NOVEDADES!$M$4:$M$1503,"SÍ")&gt;0,"No","Sí"))</f>
        <v/>
      </c>
      <c r="P254" s="27">
        <f>IF(OR($A254="",$K254=""),"",IF(AND($M254="Sí",$O254="Sí"),"OTIF","Falló"))</f>
        <v/>
      </c>
    </row>
    <row r="255" ht="16" customHeight="1">
      <c r="A255" s="47" t="n"/>
      <c r="B255" s="46" t="n"/>
      <c r="C255" s="49" t="n"/>
      <c r="D255" s="49" t="n"/>
      <c r="E255" s="49" t="n"/>
      <c r="F255" s="49" t="n"/>
      <c r="G255" s="47" t="n"/>
      <c r="H255" s="50" t="n"/>
      <c r="I255" s="51" t="n"/>
      <c r="J255" s="46" t="n"/>
      <c r="K255" s="46" t="n"/>
      <c r="L255" s="23">
        <f>IF(OR($A255="",$B255=""),"",IF($K255&lt;&gt;"",$K255-$B255,TODAY()-$B255))</f>
        <v/>
      </c>
      <c r="M255" s="27">
        <f>IF(OR($A255="",$J255=""),"",IF($K255="",IF(TODAY()&gt;$J255,"Atrasado","En ruta"),IF($K255&lt;=$J255,"Sí","No")))</f>
        <v/>
      </c>
      <c r="N255" s="23">
        <f>IF($A255="","",COUNTIFS(NOVEDADES!$C$4:$C$1503,$A255))</f>
        <v/>
      </c>
      <c r="O255" s="27">
        <f>IF($A255="","",IF(COUNTIFS(NOVEDADES!$C$4:$C$1503,$A255,NOVEDADES!$M$4:$M$1503,"SÍ")&gt;0,"No","Sí"))</f>
        <v/>
      </c>
      <c r="P255" s="27">
        <f>IF(OR($A255="",$K255=""),"",IF(AND($M255="Sí",$O255="Sí"),"OTIF","Falló"))</f>
        <v/>
      </c>
    </row>
    <row r="256" ht="16" customHeight="1">
      <c r="A256" s="47" t="n"/>
      <c r="B256" s="46" t="n"/>
      <c r="C256" s="49" t="n"/>
      <c r="D256" s="49" t="n"/>
      <c r="E256" s="49" t="n"/>
      <c r="F256" s="49" t="n"/>
      <c r="G256" s="47" t="n"/>
      <c r="H256" s="50" t="n"/>
      <c r="I256" s="51" t="n"/>
      <c r="J256" s="46" t="n"/>
      <c r="K256" s="46" t="n"/>
      <c r="L256" s="23">
        <f>IF(OR($A256="",$B256=""),"",IF($K256&lt;&gt;"",$K256-$B256,TODAY()-$B256))</f>
        <v/>
      </c>
      <c r="M256" s="27">
        <f>IF(OR($A256="",$J256=""),"",IF($K256="",IF(TODAY()&gt;$J256,"Atrasado","En ruta"),IF($K256&lt;=$J256,"Sí","No")))</f>
        <v/>
      </c>
      <c r="N256" s="23">
        <f>IF($A256="","",COUNTIFS(NOVEDADES!$C$4:$C$1503,$A256))</f>
        <v/>
      </c>
      <c r="O256" s="27">
        <f>IF($A256="","",IF(COUNTIFS(NOVEDADES!$C$4:$C$1503,$A256,NOVEDADES!$M$4:$M$1503,"SÍ")&gt;0,"No","Sí"))</f>
        <v/>
      </c>
      <c r="P256" s="27">
        <f>IF(OR($A256="",$K256=""),"",IF(AND($M256="Sí",$O256="Sí"),"OTIF","Falló"))</f>
        <v/>
      </c>
    </row>
    <row r="257" ht="16" customHeight="1">
      <c r="A257" s="47" t="n"/>
      <c r="B257" s="46" t="n"/>
      <c r="C257" s="49" t="n"/>
      <c r="D257" s="49" t="n"/>
      <c r="E257" s="49" t="n"/>
      <c r="F257" s="49" t="n"/>
      <c r="G257" s="47" t="n"/>
      <c r="H257" s="50" t="n"/>
      <c r="I257" s="51" t="n"/>
      <c r="J257" s="46" t="n"/>
      <c r="K257" s="46" t="n"/>
      <c r="L257" s="23">
        <f>IF(OR($A257="",$B257=""),"",IF($K257&lt;&gt;"",$K257-$B257,TODAY()-$B257))</f>
        <v/>
      </c>
      <c r="M257" s="27">
        <f>IF(OR($A257="",$J257=""),"",IF($K257="",IF(TODAY()&gt;$J257,"Atrasado","En ruta"),IF($K257&lt;=$J257,"Sí","No")))</f>
        <v/>
      </c>
      <c r="N257" s="23">
        <f>IF($A257="","",COUNTIFS(NOVEDADES!$C$4:$C$1503,$A257))</f>
        <v/>
      </c>
      <c r="O257" s="27">
        <f>IF($A257="","",IF(COUNTIFS(NOVEDADES!$C$4:$C$1503,$A257,NOVEDADES!$M$4:$M$1503,"SÍ")&gt;0,"No","Sí"))</f>
        <v/>
      </c>
      <c r="P257" s="27">
        <f>IF(OR($A257="",$K257=""),"",IF(AND($M257="Sí",$O257="Sí"),"OTIF","Falló"))</f>
        <v/>
      </c>
    </row>
    <row r="258" ht="16" customHeight="1">
      <c r="A258" s="47" t="n"/>
      <c r="B258" s="46" t="n"/>
      <c r="C258" s="49" t="n"/>
      <c r="D258" s="49" t="n"/>
      <c r="E258" s="49" t="n"/>
      <c r="F258" s="49" t="n"/>
      <c r="G258" s="47" t="n"/>
      <c r="H258" s="50" t="n"/>
      <c r="I258" s="51" t="n"/>
      <c r="J258" s="46" t="n"/>
      <c r="K258" s="46" t="n"/>
      <c r="L258" s="23">
        <f>IF(OR($A258="",$B258=""),"",IF($K258&lt;&gt;"",$K258-$B258,TODAY()-$B258))</f>
        <v/>
      </c>
      <c r="M258" s="27">
        <f>IF(OR($A258="",$J258=""),"",IF($K258="",IF(TODAY()&gt;$J258,"Atrasado","En ruta"),IF($K258&lt;=$J258,"Sí","No")))</f>
        <v/>
      </c>
      <c r="N258" s="23">
        <f>IF($A258="","",COUNTIFS(NOVEDADES!$C$4:$C$1503,$A258))</f>
        <v/>
      </c>
      <c r="O258" s="27">
        <f>IF($A258="","",IF(COUNTIFS(NOVEDADES!$C$4:$C$1503,$A258,NOVEDADES!$M$4:$M$1503,"SÍ")&gt;0,"No","Sí"))</f>
        <v/>
      </c>
      <c r="P258" s="27">
        <f>IF(OR($A258="",$K258=""),"",IF(AND($M258="Sí",$O258="Sí"),"OTIF","Falló"))</f>
        <v/>
      </c>
    </row>
    <row r="259" ht="16" customHeight="1">
      <c r="A259" s="47" t="n"/>
      <c r="B259" s="46" t="n"/>
      <c r="C259" s="49" t="n"/>
      <c r="D259" s="49" t="n"/>
      <c r="E259" s="49" t="n"/>
      <c r="F259" s="49" t="n"/>
      <c r="G259" s="47" t="n"/>
      <c r="H259" s="50" t="n"/>
      <c r="I259" s="51" t="n"/>
      <c r="J259" s="46" t="n"/>
      <c r="K259" s="46" t="n"/>
      <c r="L259" s="23">
        <f>IF(OR($A259="",$B259=""),"",IF($K259&lt;&gt;"",$K259-$B259,TODAY()-$B259))</f>
        <v/>
      </c>
      <c r="M259" s="27">
        <f>IF(OR($A259="",$J259=""),"",IF($K259="",IF(TODAY()&gt;$J259,"Atrasado","En ruta"),IF($K259&lt;=$J259,"Sí","No")))</f>
        <v/>
      </c>
      <c r="N259" s="23">
        <f>IF($A259="","",COUNTIFS(NOVEDADES!$C$4:$C$1503,$A259))</f>
        <v/>
      </c>
      <c r="O259" s="27">
        <f>IF($A259="","",IF(COUNTIFS(NOVEDADES!$C$4:$C$1503,$A259,NOVEDADES!$M$4:$M$1503,"SÍ")&gt;0,"No","Sí"))</f>
        <v/>
      </c>
      <c r="P259" s="27">
        <f>IF(OR($A259="",$K259=""),"",IF(AND($M259="Sí",$O259="Sí"),"OTIF","Falló"))</f>
        <v/>
      </c>
    </row>
    <row r="260" ht="16" customHeight="1">
      <c r="A260" s="47" t="n"/>
      <c r="B260" s="46" t="n"/>
      <c r="C260" s="49" t="n"/>
      <c r="D260" s="49" t="n"/>
      <c r="E260" s="49" t="n"/>
      <c r="F260" s="49" t="n"/>
      <c r="G260" s="47" t="n"/>
      <c r="H260" s="50" t="n"/>
      <c r="I260" s="51" t="n"/>
      <c r="J260" s="46" t="n"/>
      <c r="K260" s="46" t="n"/>
      <c r="L260" s="23">
        <f>IF(OR($A260="",$B260=""),"",IF($K260&lt;&gt;"",$K260-$B260,TODAY()-$B260))</f>
        <v/>
      </c>
      <c r="M260" s="27">
        <f>IF(OR($A260="",$J260=""),"",IF($K260="",IF(TODAY()&gt;$J260,"Atrasado","En ruta"),IF($K260&lt;=$J260,"Sí","No")))</f>
        <v/>
      </c>
      <c r="N260" s="23">
        <f>IF($A260="","",COUNTIFS(NOVEDADES!$C$4:$C$1503,$A260))</f>
        <v/>
      </c>
      <c r="O260" s="27">
        <f>IF($A260="","",IF(COUNTIFS(NOVEDADES!$C$4:$C$1503,$A260,NOVEDADES!$M$4:$M$1503,"SÍ")&gt;0,"No","Sí"))</f>
        <v/>
      </c>
      <c r="P260" s="27">
        <f>IF(OR($A260="",$K260=""),"",IF(AND($M260="Sí",$O260="Sí"),"OTIF","Falló"))</f>
        <v/>
      </c>
    </row>
    <row r="261" ht="16" customHeight="1">
      <c r="A261" s="47" t="n"/>
      <c r="B261" s="46" t="n"/>
      <c r="C261" s="49" t="n"/>
      <c r="D261" s="49" t="n"/>
      <c r="E261" s="49" t="n"/>
      <c r="F261" s="49" t="n"/>
      <c r="G261" s="47" t="n"/>
      <c r="H261" s="50" t="n"/>
      <c r="I261" s="51" t="n"/>
      <c r="J261" s="46" t="n"/>
      <c r="K261" s="46" t="n"/>
      <c r="L261" s="23">
        <f>IF(OR($A261="",$B261=""),"",IF($K261&lt;&gt;"",$K261-$B261,TODAY()-$B261))</f>
        <v/>
      </c>
      <c r="M261" s="27">
        <f>IF(OR($A261="",$J261=""),"",IF($K261="",IF(TODAY()&gt;$J261,"Atrasado","En ruta"),IF($K261&lt;=$J261,"Sí","No")))</f>
        <v/>
      </c>
      <c r="N261" s="23">
        <f>IF($A261="","",COUNTIFS(NOVEDADES!$C$4:$C$1503,$A261))</f>
        <v/>
      </c>
      <c r="O261" s="27">
        <f>IF($A261="","",IF(COUNTIFS(NOVEDADES!$C$4:$C$1503,$A261,NOVEDADES!$M$4:$M$1503,"SÍ")&gt;0,"No","Sí"))</f>
        <v/>
      </c>
      <c r="P261" s="27">
        <f>IF(OR($A261="",$K261=""),"",IF(AND($M261="Sí",$O261="Sí"),"OTIF","Falló"))</f>
        <v/>
      </c>
    </row>
    <row r="262" ht="16" customHeight="1">
      <c r="A262" s="47" t="n"/>
      <c r="B262" s="46" t="n"/>
      <c r="C262" s="49" t="n"/>
      <c r="D262" s="49" t="n"/>
      <c r="E262" s="49" t="n"/>
      <c r="F262" s="49" t="n"/>
      <c r="G262" s="47" t="n"/>
      <c r="H262" s="50" t="n"/>
      <c r="I262" s="51" t="n"/>
      <c r="J262" s="46" t="n"/>
      <c r="K262" s="46" t="n"/>
      <c r="L262" s="23">
        <f>IF(OR($A262="",$B262=""),"",IF($K262&lt;&gt;"",$K262-$B262,TODAY()-$B262))</f>
        <v/>
      </c>
      <c r="M262" s="27">
        <f>IF(OR($A262="",$J262=""),"",IF($K262="",IF(TODAY()&gt;$J262,"Atrasado","En ruta"),IF($K262&lt;=$J262,"Sí","No")))</f>
        <v/>
      </c>
      <c r="N262" s="23">
        <f>IF($A262="","",COUNTIFS(NOVEDADES!$C$4:$C$1503,$A262))</f>
        <v/>
      </c>
      <c r="O262" s="27">
        <f>IF($A262="","",IF(COUNTIFS(NOVEDADES!$C$4:$C$1503,$A262,NOVEDADES!$M$4:$M$1503,"SÍ")&gt;0,"No","Sí"))</f>
        <v/>
      </c>
      <c r="P262" s="27">
        <f>IF(OR($A262="",$K262=""),"",IF(AND($M262="Sí",$O262="Sí"),"OTIF","Falló"))</f>
        <v/>
      </c>
    </row>
    <row r="263" ht="16" customHeight="1">
      <c r="A263" s="47" t="n"/>
      <c r="B263" s="46" t="n"/>
      <c r="C263" s="49" t="n"/>
      <c r="D263" s="49" t="n"/>
      <c r="E263" s="49" t="n"/>
      <c r="F263" s="49" t="n"/>
      <c r="G263" s="47" t="n"/>
      <c r="H263" s="50" t="n"/>
      <c r="I263" s="51" t="n"/>
      <c r="J263" s="46" t="n"/>
      <c r="K263" s="46" t="n"/>
      <c r="L263" s="23">
        <f>IF(OR($A263="",$B263=""),"",IF($K263&lt;&gt;"",$K263-$B263,TODAY()-$B263))</f>
        <v/>
      </c>
      <c r="M263" s="27">
        <f>IF(OR($A263="",$J263=""),"",IF($K263="",IF(TODAY()&gt;$J263,"Atrasado","En ruta"),IF($K263&lt;=$J263,"Sí","No")))</f>
        <v/>
      </c>
      <c r="N263" s="23">
        <f>IF($A263="","",COUNTIFS(NOVEDADES!$C$4:$C$1503,$A263))</f>
        <v/>
      </c>
      <c r="O263" s="27">
        <f>IF($A263="","",IF(COUNTIFS(NOVEDADES!$C$4:$C$1503,$A263,NOVEDADES!$M$4:$M$1503,"SÍ")&gt;0,"No","Sí"))</f>
        <v/>
      </c>
      <c r="P263" s="27">
        <f>IF(OR($A263="",$K263=""),"",IF(AND($M263="Sí",$O263="Sí"),"OTIF","Falló"))</f>
        <v/>
      </c>
    </row>
    <row r="264" ht="16" customHeight="1">
      <c r="A264" s="47" t="n"/>
      <c r="B264" s="46" t="n"/>
      <c r="C264" s="49" t="n"/>
      <c r="D264" s="49" t="n"/>
      <c r="E264" s="49" t="n"/>
      <c r="F264" s="49" t="n"/>
      <c r="G264" s="47" t="n"/>
      <c r="H264" s="50" t="n"/>
      <c r="I264" s="51" t="n"/>
      <c r="J264" s="46" t="n"/>
      <c r="K264" s="46" t="n"/>
      <c r="L264" s="23">
        <f>IF(OR($A264="",$B264=""),"",IF($K264&lt;&gt;"",$K264-$B264,TODAY()-$B264))</f>
        <v/>
      </c>
      <c r="M264" s="27">
        <f>IF(OR($A264="",$J264=""),"",IF($K264="",IF(TODAY()&gt;$J264,"Atrasado","En ruta"),IF($K264&lt;=$J264,"Sí","No")))</f>
        <v/>
      </c>
      <c r="N264" s="23">
        <f>IF($A264="","",COUNTIFS(NOVEDADES!$C$4:$C$1503,$A264))</f>
        <v/>
      </c>
      <c r="O264" s="27">
        <f>IF($A264="","",IF(COUNTIFS(NOVEDADES!$C$4:$C$1503,$A264,NOVEDADES!$M$4:$M$1503,"SÍ")&gt;0,"No","Sí"))</f>
        <v/>
      </c>
      <c r="P264" s="27">
        <f>IF(OR($A264="",$K264=""),"",IF(AND($M264="Sí",$O264="Sí"),"OTIF","Falló"))</f>
        <v/>
      </c>
    </row>
    <row r="265" ht="16" customHeight="1">
      <c r="A265" s="47" t="n"/>
      <c r="B265" s="46" t="n"/>
      <c r="C265" s="49" t="n"/>
      <c r="D265" s="49" t="n"/>
      <c r="E265" s="49" t="n"/>
      <c r="F265" s="49" t="n"/>
      <c r="G265" s="47" t="n"/>
      <c r="H265" s="50" t="n"/>
      <c r="I265" s="51" t="n"/>
      <c r="J265" s="46" t="n"/>
      <c r="K265" s="46" t="n"/>
      <c r="L265" s="23">
        <f>IF(OR($A265="",$B265=""),"",IF($K265&lt;&gt;"",$K265-$B265,TODAY()-$B265))</f>
        <v/>
      </c>
      <c r="M265" s="27">
        <f>IF(OR($A265="",$J265=""),"",IF($K265="",IF(TODAY()&gt;$J265,"Atrasado","En ruta"),IF($K265&lt;=$J265,"Sí","No")))</f>
        <v/>
      </c>
      <c r="N265" s="23">
        <f>IF($A265="","",COUNTIFS(NOVEDADES!$C$4:$C$1503,$A265))</f>
        <v/>
      </c>
      <c r="O265" s="27">
        <f>IF($A265="","",IF(COUNTIFS(NOVEDADES!$C$4:$C$1503,$A265,NOVEDADES!$M$4:$M$1503,"SÍ")&gt;0,"No","Sí"))</f>
        <v/>
      </c>
      <c r="P265" s="27">
        <f>IF(OR($A265="",$K265=""),"",IF(AND($M265="Sí",$O265="Sí"),"OTIF","Falló"))</f>
        <v/>
      </c>
    </row>
    <row r="266" ht="16" customHeight="1">
      <c r="A266" s="47" t="n"/>
      <c r="B266" s="46" t="n"/>
      <c r="C266" s="49" t="n"/>
      <c r="D266" s="49" t="n"/>
      <c r="E266" s="49" t="n"/>
      <c r="F266" s="49" t="n"/>
      <c r="G266" s="47" t="n"/>
      <c r="H266" s="50" t="n"/>
      <c r="I266" s="51" t="n"/>
      <c r="J266" s="46" t="n"/>
      <c r="K266" s="46" t="n"/>
      <c r="L266" s="23">
        <f>IF(OR($A266="",$B266=""),"",IF($K266&lt;&gt;"",$K266-$B266,TODAY()-$B266))</f>
        <v/>
      </c>
      <c r="M266" s="27">
        <f>IF(OR($A266="",$J266=""),"",IF($K266="",IF(TODAY()&gt;$J266,"Atrasado","En ruta"),IF($K266&lt;=$J266,"Sí","No")))</f>
        <v/>
      </c>
      <c r="N266" s="23">
        <f>IF($A266="","",COUNTIFS(NOVEDADES!$C$4:$C$1503,$A266))</f>
        <v/>
      </c>
      <c r="O266" s="27">
        <f>IF($A266="","",IF(COUNTIFS(NOVEDADES!$C$4:$C$1503,$A266,NOVEDADES!$M$4:$M$1503,"SÍ")&gt;0,"No","Sí"))</f>
        <v/>
      </c>
      <c r="P266" s="27">
        <f>IF(OR($A266="",$K266=""),"",IF(AND($M266="Sí",$O266="Sí"),"OTIF","Falló"))</f>
        <v/>
      </c>
    </row>
    <row r="267" ht="16" customHeight="1">
      <c r="A267" s="47" t="n"/>
      <c r="B267" s="46" t="n"/>
      <c r="C267" s="49" t="n"/>
      <c r="D267" s="49" t="n"/>
      <c r="E267" s="49" t="n"/>
      <c r="F267" s="49" t="n"/>
      <c r="G267" s="47" t="n"/>
      <c r="H267" s="50" t="n"/>
      <c r="I267" s="51" t="n"/>
      <c r="J267" s="46" t="n"/>
      <c r="K267" s="46" t="n"/>
      <c r="L267" s="23">
        <f>IF(OR($A267="",$B267=""),"",IF($K267&lt;&gt;"",$K267-$B267,TODAY()-$B267))</f>
        <v/>
      </c>
      <c r="M267" s="27">
        <f>IF(OR($A267="",$J267=""),"",IF($K267="",IF(TODAY()&gt;$J267,"Atrasado","En ruta"),IF($K267&lt;=$J267,"Sí","No")))</f>
        <v/>
      </c>
      <c r="N267" s="23">
        <f>IF($A267="","",COUNTIFS(NOVEDADES!$C$4:$C$1503,$A267))</f>
        <v/>
      </c>
      <c r="O267" s="27">
        <f>IF($A267="","",IF(COUNTIFS(NOVEDADES!$C$4:$C$1503,$A267,NOVEDADES!$M$4:$M$1503,"SÍ")&gt;0,"No","Sí"))</f>
        <v/>
      </c>
      <c r="P267" s="27">
        <f>IF(OR($A267="",$K267=""),"",IF(AND($M267="Sí",$O267="Sí"),"OTIF","Falló"))</f>
        <v/>
      </c>
    </row>
    <row r="268" ht="16" customHeight="1">
      <c r="A268" s="47" t="n"/>
      <c r="B268" s="46" t="n"/>
      <c r="C268" s="49" t="n"/>
      <c r="D268" s="49" t="n"/>
      <c r="E268" s="49" t="n"/>
      <c r="F268" s="49" t="n"/>
      <c r="G268" s="47" t="n"/>
      <c r="H268" s="50" t="n"/>
      <c r="I268" s="51" t="n"/>
      <c r="J268" s="46" t="n"/>
      <c r="K268" s="46" t="n"/>
      <c r="L268" s="23">
        <f>IF(OR($A268="",$B268=""),"",IF($K268&lt;&gt;"",$K268-$B268,TODAY()-$B268))</f>
        <v/>
      </c>
      <c r="M268" s="27">
        <f>IF(OR($A268="",$J268=""),"",IF($K268="",IF(TODAY()&gt;$J268,"Atrasado","En ruta"),IF($K268&lt;=$J268,"Sí","No")))</f>
        <v/>
      </c>
      <c r="N268" s="23">
        <f>IF($A268="","",COUNTIFS(NOVEDADES!$C$4:$C$1503,$A268))</f>
        <v/>
      </c>
      <c r="O268" s="27">
        <f>IF($A268="","",IF(COUNTIFS(NOVEDADES!$C$4:$C$1503,$A268,NOVEDADES!$M$4:$M$1503,"SÍ")&gt;0,"No","Sí"))</f>
        <v/>
      </c>
      <c r="P268" s="27">
        <f>IF(OR($A268="",$K268=""),"",IF(AND($M268="Sí",$O268="Sí"),"OTIF","Falló"))</f>
        <v/>
      </c>
    </row>
    <row r="269" ht="16" customHeight="1">
      <c r="A269" s="47" t="n"/>
      <c r="B269" s="46" t="n"/>
      <c r="C269" s="49" t="n"/>
      <c r="D269" s="49" t="n"/>
      <c r="E269" s="49" t="n"/>
      <c r="F269" s="49" t="n"/>
      <c r="G269" s="47" t="n"/>
      <c r="H269" s="50" t="n"/>
      <c r="I269" s="51" t="n"/>
      <c r="J269" s="46" t="n"/>
      <c r="K269" s="46" t="n"/>
      <c r="L269" s="23">
        <f>IF(OR($A269="",$B269=""),"",IF($K269&lt;&gt;"",$K269-$B269,TODAY()-$B269))</f>
        <v/>
      </c>
      <c r="M269" s="27">
        <f>IF(OR($A269="",$J269=""),"",IF($K269="",IF(TODAY()&gt;$J269,"Atrasado","En ruta"),IF($K269&lt;=$J269,"Sí","No")))</f>
        <v/>
      </c>
      <c r="N269" s="23">
        <f>IF($A269="","",COUNTIFS(NOVEDADES!$C$4:$C$1503,$A269))</f>
        <v/>
      </c>
      <c r="O269" s="27">
        <f>IF($A269="","",IF(COUNTIFS(NOVEDADES!$C$4:$C$1503,$A269,NOVEDADES!$M$4:$M$1503,"SÍ")&gt;0,"No","Sí"))</f>
        <v/>
      </c>
      <c r="P269" s="27">
        <f>IF(OR($A269="",$K269=""),"",IF(AND($M269="Sí",$O269="Sí"),"OTIF","Falló"))</f>
        <v/>
      </c>
    </row>
    <row r="270" ht="16" customHeight="1">
      <c r="A270" s="47" t="n"/>
      <c r="B270" s="46" t="n"/>
      <c r="C270" s="49" t="n"/>
      <c r="D270" s="49" t="n"/>
      <c r="E270" s="49" t="n"/>
      <c r="F270" s="49" t="n"/>
      <c r="G270" s="47" t="n"/>
      <c r="H270" s="50" t="n"/>
      <c r="I270" s="51" t="n"/>
      <c r="J270" s="46" t="n"/>
      <c r="K270" s="46" t="n"/>
      <c r="L270" s="23">
        <f>IF(OR($A270="",$B270=""),"",IF($K270&lt;&gt;"",$K270-$B270,TODAY()-$B270))</f>
        <v/>
      </c>
      <c r="M270" s="27">
        <f>IF(OR($A270="",$J270=""),"",IF($K270="",IF(TODAY()&gt;$J270,"Atrasado","En ruta"),IF($K270&lt;=$J270,"Sí","No")))</f>
        <v/>
      </c>
      <c r="N270" s="23">
        <f>IF($A270="","",COUNTIFS(NOVEDADES!$C$4:$C$1503,$A270))</f>
        <v/>
      </c>
      <c r="O270" s="27">
        <f>IF($A270="","",IF(COUNTIFS(NOVEDADES!$C$4:$C$1503,$A270,NOVEDADES!$M$4:$M$1503,"SÍ")&gt;0,"No","Sí"))</f>
        <v/>
      </c>
      <c r="P270" s="27">
        <f>IF(OR($A270="",$K270=""),"",IF(AND($M270="Sí",$O270="Sí"),"OTIF","Falló"))</f>
        <v/>
      </c>
    </row>
    <row r="271" ht="16" customHeight="1">
      <c r="A271" s="47" t="n"/>
      <c r="B271" s="46" t="n"/>
      <c r="C271" s="49" t="n"/>
      <c r="D271" s="49" t="n"/>
      <c r="E271" s="49" t="n"/>
      <c r="F271" s="49" t="n"/>
      <c r="G271" s="47" t="n"/>
      <c r="H271" s="50" t="n"/>
      <c r="I271" s="51" t="n"/>
      <c r="J271" s="46" t="n"/>
      <c r="K271" s="46" t="n"/>
      <c r="L271" s="23">
        <f>IF(OR($A271="",$B271=""),"",IF($K271&lt;&gt;"",$K271-$B271,TODAY()-$B271))</f>
        <v/>
      </c>
      <c r="M271" s="27">
        <f>IF(OR($A271="",$J271=""),"",IF($K271="",IF(TODAY()&gt;$J271,"Atrasado","En ruta"),IF($K271&lt;=$J271,"Sí","No")))</f>
        <v/>
      </c>
      <c r="N271" s="23">
        <f>IF($A271="","",COUNTIFS(NOVEDADES!$C$4:$C$1503,$A271))</f>
        <v/>
      </c>
      <c r="O271" s="27">
        <f>IF($A271="","",IF(COUNTIFS(NOVEDADES!$C$4:$C$1503,$A271,NOVEDADES!$M$4:$M$1503,"SÍ")&gt;0,"No","Sí"))</f>
        <v/>
      </c>
      <c r="P271" s="27">
        <f>IF(OR($A271="",$K271=""),"",IF(AND($M271="Sí",$O271="Sí"),"OTIF","Falló"))</f>
        <v/>
      </c>
    </row>
    <row r="272" ht="16" customHeight="1">
      <c r="A272" s="47" t="n"/>
      <c r="B272" s="46" t="n"/>
      <c r="C272" s="49" t="n"/>
      <c r="D272" s="49" t="n"/>
      <c r="E272" s="49" t="n"/>
      <c r="F272" s="49" t="n"/>
      <c r="G272" s="47" t="n"/>
      <c r="H272" s="50" t="n"/>
      <c r="I272" s="51" t="n"/>
      <c r="J272" s="46" t="n"/>
      <c r="K272" s="46" t="n"/>
      <c r="L272" s="23">
        <f>IF(OR($A272="",$B272=""),"",IF($K272&lt;&gt;"",$K272-$B272,TODAY()-$B272))</f>
        <v/>
      </c>
      <c r="M272" s="27">
        <f>IF(OR($A272="",$J272=""),"",IF($K272="",IF(TODAY()&gt;$J272,"Atrasado","En ruta"),IF($K272&lt;=$J272,"Sí","No")))</f>
        <v/>
      </c>
      <c r="N272" s="23">
        <f>IF($A272="","",COUNTIFS(NOVEDADES!$C$4:$C$1503,$A272))</f>
        <v/>
      </c>
      <c r="O272" s="27">
        <f>IF($A272="","",IF(COUNTIFS(NOVEDADES!$C$4:$C$1503,$A272,NOVEDADES!$M$4:$M$1503,"SÍ")&gt;0,"No","Sí"))</f>
        <v/>
      </c>
      <c r="P272" s="27">
        <f>IF(OR($A272="",$K272=""),"",IF(AND($M272="Sí",$O272="Sí"),"OTIF","Falló"))</f>
        <v/>
      </c>
    </row>
    <row r="273" ht="16" customHeight="1">
      <c r="A273" s="47" t="n"/>
      <c r="B273" s="46" t="n"/>
      <c r="C273" s="49" t="n"/>
      <c r="D273" s="49" t="n"/>
      <c r="E273" s="49" t="n"/>
      <c r="F273" s="49" t="n"/>
      <c r="G273" s="47" t="n"/>
      <c r="H273" s="50" t="n"/>
      <c r="I273" s="51" t="n"/>
      <c r="J273" s="46" t="n"/>
      <c r="K273" s="46" t="n"/>
      <c r="L273" s="23">
        <f>IF(OR($A273="",$B273=""),"",IF($K273&lt;&gt;"",$K273-$B273,TODAY()-$B273))</f>
        <v/>
      </c>
      <c r="M273" s="27">
        <f>IF(OR($A273="",$J273=""),"",IF($K273="",IF(TODAY()&gt;$J273,"Atrasado","En ruta"),IF($K273&lt;=$J273,"Sí","No")))</f>
        <v/>
      </c>
      <c r="N273" s="23">
        <f>IF($A273="","",COUNTIFS(NOVEDADES!$C$4:$C$1503,$A273))</f>
        <v/>
      </c>
      <c r="O273" s="27">
        <f>IF($A273="","",IF(COUNTIFS(NOVEDADES!$C$4:$C$1503,$A273,NOVEDADES!$M$4:$M$1503,"SÍ")&gt;0,"No","Sí"))</f>
        <v/>
      </c>
      <c r="P273" s="27">
        <f>IF(OR($A273="",$K273=""),"",IF(AND($M273="Sí",$O273="Sí"),"OTIF","Falló"))</f>
        <v/>
      </c>
    </row>
    <row r="274" ht="16" customHeight="1">
      <c r="A274" s="47" t="n"/>
      <c r="B274" s="46" t="n"/>
      <c r="C274" s="49" t="n"/>
      <c r="D274" s="49" t="n"/>
      <c r="E274" s="49" t="n"/>
      <c r="F274" s="49" t="n"/>
      <c r="G274" s="47" t="n"/>
      <c r="H274" s="50" t="n"/>
      <c r="I274" s="51" t="n"/>
      <c r="J274" s="46" t="n"/>
      <c r="K274" s="46" t="n"/>
      <c r="L274" s="23">
        <f>IF(OR($A274="",$B274=""),"",IF($K274&lt;&gt;"",$K274-$B274,TODAY()-$B274))</f>
        <v/>
      </c>
      <c r="M274" s="27">
        <f>IF(OR($A274="",$J274=""),"",IF($K274="",IF(TODAY()&gt;$J274,"Atrasado","En ruta"),IF($K274&lt;=$J274,"Sí","No")))</f>
        <v/>
      </c>
      <c r="N274" s="23">
        <f>IF($A274="","",COUNTIFS(NOVEDADES!$C$4:$C$1503,$A274))</f>
        <v/>
      </c>
      <c r="O274" s="27">
        <f>IF($A274="","",IF(COUNTIFS(NOVEDADES!$C$4:$C$1503,$A274,NOVEDADES!$M$4:$M$1503,"SÍ")&gt;0,"No","Sí"))</f>
        <v/>
      </c>
      <c r="P274" s="27">
        <f>IF(OR($A274="",$K274=""),"",IF(AND($M274="Sí",$O274="Sí"),"OTIF","Falló"))</f>
        <v/>
      </c>
    </row>
    <row r="275" ht="16" customHeight="1">
      <c r="A275" s="47" t="n"/>
      <c r="B275" s="46" t="n"/>
      <c r="C275" s="49" t="n"/>
      <c r="D275" s="49" t="n"/>
      <c r="E275" s="49" t="n"/>
      <c r="F275" s="49" t="n"/>
      <c r="G275" s="47" t="n"/>
      <c r="H275" s="50" t="n"/>
      <c r="I275" s="51" t="n"/>
      <c r="J275" s="46" t="n"/>
      <c r="K275" s="46" t="n"/>
      <c r="L275" s="23">
        <f>IF(OR($A275="",$B275=""),"",IF($K275&lt;&gt;"",$K275-$B275,TODAY()-$B275))</f>
        <v/>
      </c>
      <c r="M275" s="27">
        <f>IF(OR($A275="",$J275=""),"",IF($K275="",IF(TODAY()&gt;$J275,"Atrasado","En ruta"),IF($K275&lt;=$J275,"Sí","No")))</f>
        <v/>
      </c>
      <c r="N275" s="23">
        <f>IF($A275="","",COUNTIFS(NOVEDADES!$C$4:$C$1503,$A275))</f>
        <v/>
      </c>
      <c r="O275" s="27">
        <f>IF($A275="","",IF(COUNTIFS(NOVEDADES!$C$4:$C$1503,$A275,NOVEDADES!$M$4:$M$1503,"SÍ")&gt;0,"No","Sí"))</f>
        <v/>
      </c>
      <c r="P275" s="27">
        <f>IF(OR($A275="",$K275=""),"",IF(AND($M275="Sí",$O275="Sí"),"OTIF","Falló"))</f>
        <v/>
      </c>
    </row>
    <row r="276" ht="16" customHeight="1">
      <c r="A276" s="47" t="n"/>
      <c r="B276" s="46" t="n"/>
      <c r="C276" s="49" t="n"/>
      <c r="D276" s="49" t="n"/>
      <c r="E276" s="49" t="n"/>
      <c r="F276" s="49" t="n"/>
      <c r="G276" s="47" t="n"/>
      <c r="H276" s="50" t="n"/>
      <c r="I276" s="51" t="n"/>
      <c r="J276" s="46" t="n"/>
      <c r="K276" s="46" t="n"/>
      <c r="L276" s="23">
        <f>IF(OR($A276="",$B276=""),"",IF($K276&lt;&gt;"",$K276-$B276,TODAY()-$B276))</f>
        <v/>
      </c>
      <c r="M276" s="27">
        <f>IF(OR($A276="",$J276=""),"",IF($K276="",IF(TODAY()&gt;$J276,"Atrasado","En ruta"),IF($K276&lt;=$J276,"Sí","No")))</f>
        <v/>
      </c>
      <c r="N276" s="23">
        <f>IF($A276="","",COUNTIFS(NOVEDADES!$C$4:$C$1503,$A276))</f>
        <v/>
      </c>
      <c r="O276" s="27">
        <f>IF($A276="","",IF(COUNTIFS(NOVEDADES!$C$4:$C$1503,$A276,NOVEDADES!$M$4:$M$1503,"SÍ")&gt;0,"No","Sí"))</f>
        <v/>
      </c>
      <c r="P276" s="27">
        <f>IF(OR($A276="",$K276=""),"",IF(AND($M276="Sí",$O276="Sí"),"OTIF","Falló"))</f>
        <v/>
      </c>
    </row>
    <row r="277" ht="16" customHeight="1">
      <c r="A277" s="47" t="n"/>
      <c r="B277" s="46" t="n"/>
      <c r="C277" s="49" t="n"/>
      <c r="D277" s="49" t="n"/>
      <c r="E277" s="49" t="n"/>
      <c r="F277" s="49" t="n"/>
      <c r="G277" s="47" t="n"/>
      <c r="H277" s="50" t="n"/>
      <c r="I277" s="51" t="n"/>
      <c r="J277" s="46" t="n"/>
      <c r="K277" s="46" t="n"/>
      <c r="L277" s="23">
        <f>IF(OR($A277="",$B277=""),"",IF($K277&lt;&gt;"",$K277-$B277,TODAY()-$B277))</f>
        <v/>
      </c>
      <c r="M277" s="27">
        <f>IF(OR($A277="",$J277=""),"",IF($K277="",IF(TODAY()&gt;$J277,"Atrasado","En ruta"),IF($K277&lt;=$J277,"Sí","No")))</f>
        <v/>
      </c>
      <c r="N277" s="23">
        <f>IF($A277="","",COUNTIFS(NOVEDADES!$C$4:$C$1503,$A277))</f>
        <v/>
      </c>
      <c r="O277" s="27">
        <f>IF($A277="","",IF(COUNTIFS(NOVEDADES!$C$4:$C$1503,$A277,NOVEDADES!$M$4:$M$1503,"SÍ")&gt;0,"No","Sí"))</f>
        <v/>
      </c>
      <c r="P277" s="27">
        <f>IF(OR($A277="",$K277=""),"",IF(AND($M277="Sí",$O277="Sí"),"OTIF","Falló"))</f>
        <v/>
      </c>
    </row>
    <row r="278" ht="16" customHeight="1">
      <c r="A278" s="47" t="n"/>
      <c r="B278" s="46" t="n"/>
      <c r="C278" s="49" t="n"/>
      <c r="D278" s="49" t="n"/>
      <c r="E278" s="49" t="n"/>
      <c r="F278" s="49" t="n"/>
      <c r="G278" s="47" t="n"/>
      <c r="H278" s="50" t="n"/>
      <c r="I278" s="51" t="n"/>
      <c r="J278" s="46" t="n"/>
      <c r="K278" s="46" t="n"/>
      <c r="L278" s="23">
        <f>IF(OR($A278="",$B278=""),"",IF($K278&lt;&gt;"",$K278-$B278,TODAY()-$B278))</f>
        <v/>
      </c>
      <c r="M278" s="27">
        <f>IF(OR($A278="",$J278=""),"",IF($K278="",IF(TODAY()&gt;$J278,"Atrasado","En ruta"),IF($K278&lt;=$J278,"Sí","No")))</f>
        <v/>
      </c>
      <c r="N278" s="23">
        <f>IF($A278="","",COUNTIFS(NOVEDADES!$C$4:$C$1503,$A278))</f>
        <v/>
      </c>
      <c r="O278" s="27">
        <f>IF($A278="","",IF(COUNTIFS(NOVEDADES!$C$4:$C$1503,$A278,NOVEDADES!$M$4:$M$1503,"SÍ")&gt;0,"No","Sí"))</f>
        <v/>
      </c>
      <c r="P278" s="27">
        <f>IF(OR($A278="",$K278=""),"",IF(AND($M278="Sí",$O278="Sí"),"OTIF","Falló"))</f>
        <v/>
      </c>
    </row>
    <row r="279" ht="16" customHeight="1">
      <c r="A279" s="47" t="n"/>
      <c r="B279" s="46" t="n"/>
      <c r="C279" s="49" t="n"/>
      <c r="D279" s="49" t="n"/>
      <c r="E279" s="49" t="n"/>
      <c r="F279" s="49" t="n"/>
      <c r="G279" s="47" t="n"/>
      <c r="H279" s="50" t="n"/>
      <c r="I279" s="51" t="n"/>
      <c r="J279" s="46" t="n"/>
      <c r="K279" s="46" t="n"/>
      <c r="L279" s="23">
        <f>IF(OR($A279="",$B279=""),"",IF($K279&lt;&gt;"",$K279-$B279,TODAY()-$B279))</f>
        <v/>
      </c>
      <c r="M279" s="27">
        <f>IF(OR($A279="",$J279=""),"",IF($K279="",IF(TODAY()&gt;$J279,"Atrasado","En ruta"),IF($K279&lt;=$J279,"Sí","No")))</f>
        <v/>
      </c>
      <c r="N279" s="23">
        <f>IF($A279="","",COUNTIFS(NOVEDADES!$C$4:$C$1503,$A279))</f>
        <v/>
      </c>
      <c r="O279" s="27">
        <f>IF($A279="","",IF(COUNTIFS(NOVEDADES!$C$4:$C$1503,$A279,NOVEDADES!$M$4:$M$1503,"SÍ")&gt;0,"No","Sí"))</f>
        <v/>
      </c>
      <c r="P279" s="27">
        <f>IF(OR($A279="",$K279=""),"",IF(AND($M279="Sí",$O279="Sí"),"OTIF","Falló"))</f>
        <v/>
      </c>
    </row>
    <row r="280" ht="16" customHeight="1">
      <c r="A280" s="47" t="n"/>
      <c r="B280" s="46" t="n"/>
      <c r="C280" s="49" t="n"/>
      <c r="D280" s="49" t="n"/>
      <c r="E280" s="49" t="n"/>
      <c r="F280" s="49" t="n"/>
      <c r="G280" s="47" t="n"/>
      <c r="H280" s="50" t="n"/>
      <c r="I280" s="51" t="n"/>
      <c r="J280" s="46" t="n"/>
      <c r="K280" s="46" t="n"/>
      <c r="L280" s="23">
        <f>IF(OR($A280="",$B280=""),"",IF($K280&lt;&gt;"",$K280-$B280,TODAY()-$B280))</f>
        <v/>
      </c>
      <c r="M280" s="27">
        <f>IF(OR($A280="",$J280=""),"",IF($K280="",IF(TODAY()&gt;$J280,"Atrasado","En ruta"),IF($K280&lt;=$J280,"Sí","No")))</f>
        <v/>
      </c>
      <c r="N280" s="23">
        <f>IF($A280="","",COUNTIFS(NOVEDADES!$C$4:$C$1503,$A280))</f>
        <v/>
      </c>
      <c r="O280" s="27">
        <f>IF($A280="","",IF(COUNTIFS(NOVEDADES!$C$4:$C$1503,$A280,NOVEDADES!$M$4:$M$1503,"SÍ")&gt;0,"No","Sí"))</f>
        <v/>
      </c>
      <c r="P280" s="27">
        <f>IF(OR($A280="",$K280=""),"",IF(AND($M280="Sí",$O280="Sí"),"OTIF","Falló"))</f>
        <v/>
      </c>
    </row>
    <row r="281" ht="16" customHeight="1">
      <c r="A281" s="47" t="n"/>
      <c r="B281" s="46" t="n"/>
      <c r="C281" s="49" t="n"/>
      <c r="D281" s="49" t="n"/>
      <c r="E281" s="49" t="n"/>
      <c r="F281" s="49" t="n"/>
      <c r="G281" s="47" t="n"/>
      <c r="H281" s="50" t="n"/>
      <c r="I281" s="51" t="n"/>
      <c r="J281" s="46" t="n"/>
      <c r="K281" s="46" t="n"/>
      <c r="L281" s="23">
        <f>IF(OR($A281="",$B281=""),"",IF($K281&lt;&gt;"",$K281-$B281,TODAY()-$B281))</f>
        <v/>
      </c>
      <c r="M281" s="27">
        <f>IF(OR($A281="",$J281=""),"",IF($K281="",IF(TODAY()&gt;$J281,"Atrasado","En ruta"),IF($K281&lt;=$J281,"Sí","No")))</f>
        <v/>
      </c>
      <c r="N281" s="23">
        <f>IF($A281="","",COUNTIFS(NOVEDADES!$C$4:$C$1503,$A281))</f>
        <v/>
      </c>
      <c r="O281" s="27">
        <f>IF($A281="","",IF(COUNTIFS(NOVEDADES!$C$4:$C$1503,$A281,NOVEDADES!$M$4:$M$1503,"SÍ")&gt;0,"No","Sí"))</f>
        <v/>
      </c>
      <c r="P281" s="27">
        <f>IF(OR($A281="",$K281=""),"",IF(AND($M281="Sí",$O281="Sí"),"OTIF","Falló"))</f>
        <v/>
      </c>
    </row>
    <row r="282" ht="16" customHeight="1">
      <c r="A282" s="47" t="n"/>
      <c r="B282" s="46" t="n"/>
      <c r="C282" s="49" t="n"/>
      <c r="D282" s="49" t="n"/>
      <c r="E282" s="49" t="n"/>
      <c r="F282" s="49" t="n"/>
      <c r="G282" s="47" t="n"/>
      <c r="H282" s="50" t="n"/>
      <c r="I282" s="51" t="n"/>
      <c r="J282" s="46" t="n"/>
      <c r="K282" s="46" t="n"/>
      <c r="L282" s="23">
        <f>IF(OR($A282="",$B282=""),"",IF($K282&lt;&gt;"",$K282-$B282,TODAY()-$B282))</f>
        <v/>
      </c>
      <c r="M282" s="27">
        <f>IF(OR($A282="",$J282=""),"",IF($K282="",IF(TODAY()&gt;$J282,"Atrasado","En ruta"),IF($K282&lt;=$J282,"Sí","No")))</f>
        <v/>
      </c>
      <c r="N282" s="23">
        <f>IF($A282="","",COUNTIFS(NOVEDADES!$C$4:$C$1503,$A282))</f>
        <v/>
      </c>
      <c r="O282" s="27">
        <f>IF($A282="","",IF(COUNTIFS(NOVEDADES!$C$4:$C$1503,$A282,NOVEDADES!$M$4:$M$1503,"SÍ")&gt;0,"No","Sí"))</f>
        <v/>
      </c>
      <c r="P282" s="27">
        <f>IF(OR($A282="",$K282=""),"",IF(AND($M282="Sí",$O282="Sí"),"OTIF","Falló"))</f>
        <v/>
      </c>
    </row>
    <row r="283" ht="16" customHeight="1">
      <c r="A283" s="47" t="n"/>
      <c r="B283" s="46" t="n"/>
      <c r="C283" s="49" t="n"/>
      <c r="D283" s="49" t="n"/>
      <c r="E283" s="49" t="n"/>
      <c r="F283" s="49" t="n"/>
      <c r="G283" s="47" t="n"/>
      <c r="H283" s="50" t="n"/>
      <c r="I283" s="51" t="n"/>
      <c r="J283" s="46" t="n"/>
      <c r="K283" s="46" t="n"/>
      <c r="L283" s="23">
        <f>IF(OR($A283="",$B283=""),"",IF($K283&lt;&gt;"",$K283-$B283,TODAY()-$B283))</f>
        <v/>
      </c>
      <c r="M283" s="27">
        <f>IF(OR($A283="",$J283=""),"",IF($K283="",IF(TODAY()&gt;$J283,"Atrasado","En ruta"),IF($K283&lt;=$J283,"Sí","No")))</f>
        <v/>
      </c>
      <c r="N283" s="23">
        <f>IF($A283="","",COUNTIFS(NOVEDADES!$C$4:$C$1503,$A283))</f>
        <v/>
      </c>
      <c r="O283" s="27">
        <f>IF($A283="","",IF(COUNTIFS(NOVEDADES!$C$4:$C$1503,$A283,NOVEDADES!$M$4:$M$1503,"SÍ")&gt;0,"No","Sí"))</f>
        <v/>
      </c>
      <c r="P283" s="27">
        <f>IF(OR($A283="",$K283=""),"",IF(AND($M283="Sí",$O283="Sí"),"OTIF","Falló"))</f>
        <v/>
      </c>
    </row>
    <row r="284" ht="16" customHeight="1">
      <c r="A284" s="47" t="n"/>
      <c r="B284" s="46" t="n"/>
      <c r="C284" s="49" t="n"/>
      <c r="D284" s="49" t="n"/>
      <c r="E284" s="49" t="n"/>
      <c r="F284" s="49" t="n"/>
      <c r="G284" s="47" t="n"/>
      <c r="H284" s="50" t="n"/>
      <c r="I284" s="51" t="n"/>
      <c r="J284" s="46" t="n"/>
      <c r="K284" s="46" t="n"/>
      <c r="L284" s="23">
        <f>IF(OR($A284="",$B284=""),"",IF($K284&lt;&gt;"",$K284-$B284,TODAY()-$B284))</f>
        <v/>
      </c>
      <c r="M284" s="27">
        <f>IF(OR($A284="",$J284=""),"",IF($K284="",IF(TODAY()&gt;$J284,"Atrasado","En ruta"),IF($K284&lt;=$J284,"Sí","No")))</f>
        <v/>
      </c>
      <c r="N284" s="23">
        <f>IF($A284="","",COUNTIFS(NOVEDADES!$C$4:$C$1503,$A284))</f>
        <v/>
      </c>
      <c r="O284" s="27">
        <f>IF($A284="","",IF(COUNTIFS(NOVEDADES!$C$4:$C$1503,$A284,NOVEDADES!$M$4:$M$1503,"SÍ")&gt;0,"No","Sí"))</f>
        <v/>
      </c>
      <c r="P284" s="27">
        <f>IF(OR($A284="",$K284=""),"",IF(AND($M284="Sí",$O284="Sí"),"OTIF","Falló"))</f>
        <v/>
      </c>
    </row>
    <row r="285" ht="16" customHeight="1">
      <c r="A285" s="47" t="n"/>
      <c r="B285" s="46" t="n"/>
      <c r="C285" s="49" t="n"/>
      <c r="D285" s="49" t="n"/>
      <c r="E285" s="49" t="n"/>
      <c r="F285" s="49" t="n"/>
      <c r="G285" s="47" t="n"/>
      <c r="H285" s="50" t="n"/>
      <c r="I285" s="51" t="n"/>
      <c r="J285" s="46" t="n"/>
      <c r="K285" s="46" t="n"/>
      <c r="L285" s="23">
        <f>IF(OR($A285="",$B285=""),"",IF($K285&lt;&gt;"",$K285-$B285,TODAY()-$B285))</f>
        <v/>
      </c>
      <c r="M285" s="27">
        <f>IF(OR($A285="",$J285=""),"",IF($K285="",IF(TODAY()&gt;$J285,"Atrasado","En ruta"),IF($K285&lt;=$J285,"Sí","No")))</f>
        <v/>
      </c>
      <c r="N285" s="23">
        <f>IF($A285="","",COUNTIFS(NOVEDADES!$C$4:$C$1503,$A285))</f>
        <v/>
      </c>
      <c r="O285" s="27">
        <f>IF($A285="","",IF(COUNTIFS(NOVEDADES!$C$4:$C$1503,$A285,NOVEDADES!$M$4:$M$1503,"SÍ")&gt;0,"No","Sí"))</f>
        <v/>
      </c>
      <c r="P285" s="27">
        <f>IF(OR($A285="",$K285=""),"",IF(AND($M285="Sí",$O285="Sí"),"OTIF","Falló"))</f>
        <v/>
      </c>
    </row>
    <row r="286" ht="16" customHeight="1">
      <c r="A286" s="47" t="n"/>
      <c r="B286" s="46" t="n"/>
      <c r="C286" s="49" t="n"/>
      <c r="D286" s="49" t="n"/>
      <c r="E286" s="49" t="n"/>
      <c r="F286" s="49" t="n"/>
      <c r="G286" s="47" t="n"/>
      <c r="H286" s="50" t="n"/>
      <c r="I286" s="51" t="n"/>
      <c r="J286" s="46" t="n"/>
      <c r="K286" s="46" t="n"/>
      <c r="L286" s="23">
        <f>IF(OR($A286="",$B286=""),"",IF($K286&lt;&gt;"",$K286-$B286,TODAY()-$B286))</f>
        <v/>
      </c>
      <c r="M286" s="27">
        <f>IF(OR($A286="",$J286=""),"",IF($K286="",IF(TODAY()&gt;$J286,"Atrasado","En ruta"),IF($K286&lt;=$J286,"Sí","No")))</f>
        <v/>
      </c>
      <c r="N286" s="23">
        <f>IF($A286="","",COUNTIFS(NOVEDADES!$C$4:$C$1503,$A286))</f>
        <v/>
      </c>
      <c r="O286" s="27">
        <f>IF($A286="","",IF(COUNTIFS(NOVEDADES!$C$4:$C$1503,$A286,NOVEDADES!$M$4:$M$1503,"SÍ")&gt;0,"No","Sí"))</f>
        <v/>
      </c>
      <c r="P286" s="27">
        <f>IF(OR($A286="",$K286=""),"",IF(AND($M286="Sí",$O286="Sí"),"OTIF","Falló"))</f>
        <v/>
      </c>
    </row>
    <row r="287" ht="16" customHeight="1">
      <c r="A287" s="47" t="n"/>
      <c r="B287" s="46" t="n"/>
      <c r="C287" s="49" t="n"/>
      <c r="D287" s="49" t="n"/>
      <c r="E287" s="49" t="n"/>
      <c r="F287" s="49" t="n"/>
      <c r="G287" s="47" t="n"/>
      <c r="H287" s="50" t="n"/>
      <c r="I287" s="51" t="n"/>
      <c r="J287" s="46" t="n"/>
      <c r="K287" s="46" t="n"/>
      <c r="L287" s="23">
        <f>IF(OR($A287="",$B287=""),"",IF($K287&lt;&gt;"",$K287-$B287,TODAY()-$B287))</f>
        <v/>
      </c>
      <c r="M287" s="27">
        <f>IF(OR($A287="",$J287=""),"",IF($K287="",IF(TODAY()&gt;$J287,"Atrasado","En ruta"),IF($K287&lt;=$J287,"Sí","No")))</f>
        <v/>
      </c>
      <c r="N287" s="23">
        <f>IF($A287="","",COUNTIFS(NOVEDADES!$C$4:$C$1503,$A287))</f>
        <v/>
      </c>
      <c r="O287" s="27">
        <f>IF($A287="","",IF(COUNTIFS(NOVEDADES!$C$4:$C$1503,$A287,NOVEDADES!$M$4:$M$1503,"SÍ")&gt;0,"No","Sí"))</f>
        <v/>
      </c>
      <c r="P287" s="27">
        <f>IF(OR($A287="",$K287=""),"",IF(AND($M287="Sí",$O287="Sí"),"OTIF","Falló"))</f>
        <v/>
      </c>
    </row>
    <row r="288" ht="16" customHeight="1">
      <c r="A288" s="47" t="n"/>
      <c r="B288" s="46" t="n"/>
      <c r="C288" s="49" t="n"/>
      <c r="D288" s="49" t="n"/>
      <c r="E288" s="49" t="n"/>
      <c r="F288" s="49" t="n"/>
      <c r="G288" s="47" t="n"/>
      <c r="H288" s="50" t="n"/>
      <c r="I288" s="51" t="n"/>
      <c r="J288" s="46" t="n"/>
      <c r="K288" s="46" t="n"/>
      <c r="L288" s="23">
        <f>IF(OR($A288="",$B288=""),"",IF($K288&lt;&gt;"",$K288-$B288,TODAY()-$B288))</f>
        <v/>
      </c>
      <c r="M288" s="27">
        <f>IF(OR($A288="",$J288=""),"",IF($K288="",IF(TODAY()&gt;$J288,"Atrasado","En ruta"),IF($K288&lt;=$J288,"Sí","No")))</f>
        <v/>
      </c>
      <c r="N288" s="23">
        <f>IF($A288="","",COUNTIFS(NOVEDADES!$C$4:$C$1503,$A288))</f>
        <v/>
      </c>
      <c r="O288" s="27">
        <f>IF($A288="","",IF(COUNTIFS(NOVEDADES!$C$4:$C$1503,$A288,NOVEDADES!$M$4:$M$1503,"SÍ")&gt;0,"No","Sí"))</f>
        <v/>
      </c>
      <c r="P288" s="27">
        <f>IF(OR($A288="",$K288=""),"",IF(AND($M288="Sí",$O288="Sí"),"OTIF","Falló"))</f>
        <v/>
      </c>
    </row>
    <row r="289" ht="16" customHeight="1">
      <c r="A289" s="47" t="n"/>
      <c r="B289" s="46" t="n"/>
      <c r="C289" s="49" t="n"/>
      <c r="D289" s="49" t="n"/>
      <c r="E289" s="49" t="n"/>
      <c r="F289" s="49" t="n"/>
      <c r="G289" s="47" t="n"/>
      <c r="H289" s="50" t="n"/>
      <c r="I289" s="51" t="n"/>
      <c r="J289" s="46" t="n"/>
      <c r="K289" s="46" t="n"/>
      <c r="L289" s="23">
        <f>IF(OR($A289="",$B289=""),"",IF($K289&lt;&gt;"",$K289-$B289,TODAY()-$B289))</f>
        <v/>
      </c>
      <c r="M289" s="27">
        <f>IF(OR($A289="",$J289=""),"",IF($K289="",IF(TODAY()&gt;$J289,"Atrasado","En ruta"),IF($K289&lt;=$J289,"Sí","No")))</f>
        <v/>
      </c>
      <c r="N289" s="23">
        <f>IF($A289="","",COUNTIFS(NOVEDADES!$C$4:$C$1503,$A289))</f>
        <v/>
      </c>
      <c r="O289" s="27">
        <f>IF($A289="","",IF(COUNTIFS(NOVEDADES!$C$4:$C$1503,$A289,NOVEDADES!$M$4:$M$1503,"SÍ")&gt;0,"No","Sí"))</f>
        <v/>
      </c>
      <c r="P289" s="27">
        <f>IF(OR($A289="",$K289=""),"",IF(AND($M289="Sí",$O289="Sí"),"OTIF","Falló"))</f>
        <v/>
      </c>
    </row>
    <row r="290" ht="16" customHeight="1">
      <c r="A290" s="47" t="n"/>
      <c r="B290" s="46" t="n"/>
      <c r="C290" s="49" t="n"/>
      <c r="D290" s="49" t="n"/>
      <c r="E290" s="49" t="n"/>
      <c r="F290" s="49" t="n"/>
      <c r="G290" s="47" t="n"/>
      <c r="H290" s="50" t="n"/>
      <c r="I290" s="51" t="n"/>
      <c r="J290" s="46" t="n"/>
      <c r="K290" s="46" t="n"/>
      <c r="L290" s="23">
        <f>IF(OR($A290="",$B290=""),"",IF($K290&lt;&gt;"",$K290-$B290,TODAY()-$B290))</f>
        <v/>
      </c>
      <c r="M290" s="27">
        <f>IF(OR($A290="",$J290=""),"",IF($K290="",IF(TODAY()&gt;$J290,"Atrasado","En ruta"),IF($K290&lt;=$J290,"Sí","No")))</f>
        <v/>
      </c>
      <c r="N290" s="23">
        <f>IF($A290="","",COUNTIFS(NOVEDADES!$C$4:$C$1503,$A290))</f>
        <v/>
      </c>
      <c r="O290" s="27">
        <f>IF($A290="","",IF(COUNTIFS(NOVEDADES!$C$4:$C$1503,$A290,NOVEDADES!$M$4:$M$1503,"SÍ")&gt;0,"No","Sí"))</f>
        <v/>
      </c>
      <c r="P290" s="27">
        <f>IF(OR($A290="",$K290=""),"",IF(AND($M290="Sí",$O290="Sí"),"OTIF","Falló"))</f>
        <v/>
      </c>
    </row>
    <row r="291" ht="16" customHeight="1">
      <c r="A291" s="47" t="n"/>
      <c r="B291" s="46" t="n"/>
      <c r="C291" s="49" t="n"/>
      <c r="D291" s="49" t="n"/>
      <c r="E291" s="49" t="n"/>
      <c r="F291" s="49" t="n"/>
      <c r="G291" s="47" t="n"/>
      <c r="H291" s="50" t="n"/>
      <c r="I291" s="51" t="n"/>
      <c r="J291" s="46" t="n"/>
      <c r="K291" s="46" t="n"/>
      <c r="L291" s="23">
        <f>IF(OR($A291="",$B291=""),"",IF($K291&lt;&gt;"",$K291-$B291,TODAY()-$B291))</f>
        <v/>
      </c>
      <c r="M291" s="27">
        <f>IF(OR($A291="",$J291=""),"",IF($K291="",IF(TODAY()&gt;$J291,"Atrasado","En ruta"),IF($K291&lt;=$J291,"Sí","No")))</f>
        <v/>
      </c>
      <c r="N291" s="23">
        <f>IF($A291="","",COUNTIFS(NOVEDADES!$C$4:$C$1503,$A291))</f>
        <v/>
      </c>
      <c r="O291" s="27">
        <f>IF($A291="","",IF(COUNTIFS(NOVEDADES!$C$4:$C$1503,$A291,NOVEDADES!$M$4:$M$1503,"SÍ")&gt;0,"No","Sí"))</f>
        <v/>
      </c>
      <c r="P291" s="27">
        <f>IF(OR($A291="",$K291=""),"",IF(AND($M291="Sí",$O291="Sí"),"OTIF","Falló"))</f>
        <v/>
      </c>
    </row>
    <row r="292" ht="16" customHeight="1">
      <c r="A292" s="47" t="n"/>
      <c r="B292" s="46" t="n"/>
      <c r="C292" s="49" t="n"/>
      <c r="D292" s="49" t="n"/>
      <c r="E292" s="49" t="n"/>
      <c r="F292" s="49" t="n"/>
      <c r="G292" s="47" t="n"/>
      <c r="H292" s="50" t="n"/>
      <c r="I292" s="51" t="n"/>
      <c r="J292" s="46" t="n"/>
      <c r="K292" s="46" t="n"/>
      <c r="L292" s="23">
        <f>IF(OR($A292="",$B292=""),"",IF($K292&lt;&gt;"",$K292-$B292,TODAY()-$B292))</f>
        <v/>
      </c>
      <c r="M292" s="27">
        <f>IF(OR($A292="",$J292=""),"",IF($K292="",IF(TODAY()&gt;$J292,"Atrasado","En ruta"),IF($K292&lt;=$J292,"Sí","No")))</f>
        <v/>
      </c>
      <c r="N292" s="23">
        <f>IF($A292="","",COUNTIFS(NOVEDADES!$C$4:$C$1503,$A292))</f>
        <v/>
      </c>
      <c r="O292" s="27">
        <f>IF($A292="","",IF(COUNTIFS(NOVEDADES!$C$4:$C$1503,$A292,NOVEDADES!$M$4:$M$1503,"SÍ")&gt;0,"No","Sí"))</f>
        <v/>
      </c>
      <c r="P292" s="27">
        <f>IF(OR($A292="",$K292=""),"",IF(AND($M292="Sí",$O292="Sí"),"OTIF","Falló"))</f>
        <v/>
      </c>
    </row>
    <row r="293" ht="16" customHeight="1">
      <c r="A293" s="47" t="n"/>
      <c r="B293" s="46" t="n"/>
      <c r="C293" s="49" t="n"/>
      <c r="D293" s="49" t="n"/>
      <c r="E293" s="49" t="n"/>
      <c r="F293" s="49" t="n"/>
      <c r="G293" s="47" t="n"/>
      <c r="H293" s="50" t="n"/>
      <c r="I293" s="51" t="n"/>
      <c r="J293" s="46" t="n"/>
      <c r="K293" s="46" t="n"/>
      <c r="L293" s="23">
        <f>IF(OR($A293="",$B293=""),"",IF($K293&lt;&gt;"",$K293-$B293,TODAY()-$B293))</f>
        <v/>
      </c>
      <c r="M293" s="27">
        <f>IF(OR($A293="",$J293=""),"",IF($K293="",IF(TODAY()&gt;$J293,"Atrasado","En ruta"),IF($K293&lt;=$J293,"Sí","No")))</f>
        <v/>
      </c>
      <c r="N293" s="23">
        <f>IF($A293="","",COUNTIFS(NOVEDADES!$C$4:$C$1503,$A293))</f>
        <v/>
      </c>
      <c r="O293" s="27">
        <f>IF($A293="","",IF(COUNTIFS(NOVEDADES!$C$4:$C$1503,$A293,NOVEDADES!$M$4:$M$1503,"SÍ")&gt;0,"No","Sí"))</f>
        <v/>
      </c>
      <c r="P293" s="27">
        <f>IF(OR($A293="",$K293=""),"",IF(AND($M293="Sí",$O293="Sí"),"OTIF","Falló"))</f>
        <v/>
      </c>
    </row>
    <row r="294" ht="16" customHeight="1">
      <c r="A294" s="47" t="n"/>
      <c r="B294" s="46" t="n"/>
      <c r="C294" s="49" t="n"/>
      <c r="D294" s="49" t="n"/>
      <c r="E294" s="49" t="n"/>
      <c r="F294" s="49" t="n"/>
      <c r="G294" s="47" t="n"/>
      <c r="H294" s="50" t="n"/>
      <c r="I294" s="51" t="n"/>
      <c r="J294" s="46" t="n"/>
      <c r="K294" s="46" t="n"/>
      <c r="L294" s="23">
        <f>IF(OR($A294="",$B294=""),"",IF($K294&lt;&gt;"",$K294-$B294,TODAY()-$B294))</f>
        <v/>
      </c>
      <c r="M294" s="27">
        <f>IF(OR($A294="",$J294=""),"",IF($K294="",IF(TODAY()&gt;$J294,"Atrasado","En ruta"),IF($K294&lt;=$J294,"Sí","No")))</f>
        <v/>
      </c>
      <c r="N294" s="23">
        <f>IF($A294="","",COUNTIFS(NOVEDADES!$C$4:$C$1503,$A294))</f>
        <v/>
      </c>
      <c r="O294" s="27">
        <f>IF($A294="","",IF(COUNTIFS(NOVEDADES!$C$4:$C$1503,$A294,NOVEDADES!$M$4:$M$1503,"SÍ")&gt;0,"No","Sí"))</f>
        <v/>
      </c>
      <c r="P294" s="27">
        <f>IF(OR($A294="",$K294=""),"",IF(AND($M294="Sí",$O294="Sí"),"OTIF","Falló"))</f>
        <v/>
      </c>
    </row>
    <row r="295" ht="16" customHeight="1">
      <c r="A295" s="47" t="n"/>
      <c r="B295" s="46" t="n"/>
      <c r="C295" s="49" t="n"/>
      <c r="D295" s="49" t="n"/>
      <c r="E295" s="49" t="n"/>
      <c r="F295" s="49" t="n"/>
      <c r="G295" s="47" t="n"/>
      <c r="H295" s="50" t="n"/>
      <c r="I295" s="51" t="n"/>
      <c r="J295" s="46" t="n"/>
      <c r="K295" s="46" t="n"/>
      <c r="L295" s="23">
        <f>IF(OR($A295="",$B295=""),"",IF($K295&lt;&gt;"",$K295-$B295,TODAY()-$B295))</f>
        <v/>
      </c>
      <c r="M295" s="27">
        <f>IF(OR($A295="",$J295=""),"",IF($K295="",IF(TODAY()&gt;$J295,"Atrasado","En ruta"),IF($K295&lt;=$J295,"Sí","No")))</f>
        <v/>
      </c>
      <c r="N295" s="23">
        <f>IF($A295="","",COUNTIFS(NOVEDADES!$C$4:$C$1503,$A295))</f>
        <v/>
      </c>
      <c r="O295" s="27">
        <f>IF($A295="","",IF(COUNTIFS(NOVEDADES!$C$4:$C$1503,$A295,NOVEDADES!$M$4:$M$1503,"SÍ")&gt;0,"No","Sí"))</f>
        <v/>
      </c>
      <c r="P295" s="27">
        <f>IF(OR($A295="",$K295=""),"",IF(AND($M295="Sí",$O295="Sí"),"OTIF","Falló"))</f>
        <v/>
      </c>
    </row>
    <row r="296" ht="16" customHeight="1">
      <c r="A296" s="47" t="n"/>
      <c r="B296" s="46" t="n"/>
      <c r="C296" s="49" t="n"/>
      <c r="D296" s="49" t="n"/>
      <c r="E296" s="49" t="n"/>
      <c r="F296" s="49" t="n"/>
      <c r="G296" s="47" t="n"/>
      <c r="H296" s="50" t="n"/>
      <c r="I296" s="51" t="n"/>
      <c r="J296" s="46" t="n"/>
      <c r="K296" s="46" t="n"/>
      <c r="L296" s="23">
        <f>IF(OR($A296="",$B296=""),"",IF($K296&lt;&gt;"",$K296-$B296,TODAY()-$B296))</f>
        <v/>
      </c>
      <c r="M296" s="27">
        <f>IF(OR($A296="",$J296=""),"",IF($K296="",IF(TODAY()&gt;$J296,"Atrasado","En ruta"),IF($K296&lt;=$J296,"Sí","No")))</f>
        <v/>
      </c>
      <c r="N296" s="23">
        <f>IF($A296="","",COUNTIFS(NOVEDADES!$C$4:$C$1503,$A296))</f>
        <v/>
      </c>
      <c r="O296" s="27">
        <f>IF($A296="","",IF(COUNTIFS(NOVEDADES!$C$4:$C$1503,$A296,NOVEDADES!$M$4:$M$1503,"SÍ")&gt;0,"No","Sí"))</f>
        <v/>
      </c>
      <c r="P296" s="27">
        <f>IF(OR($A296="",$K296=""),"",IF(AND($M296="Sí",$O296="Sí"),"OTIF","Falló"))</f>
        <v/>
      </c>
    </row>
    <row r="297" ht="16" customHeight="1">
      <c r="A297" s="47" t="n"/>
      <c r="B297" s="46" t="n"/>
      <c r="C297" s="49" t="n"/>
      <c r="D297" s="49" t="n"/>
      <c r="E297" s="49" t="n"/>
      <c r="F297" s="49" t="n"/>
      <c r="G297" s="47" t="n"/>
      <c r="H297" s="50" t="n"/>
      <c r="I297" s="51" t="n"/>
      <c r="J297" s="46" t="n"/>
      <c r="K297" s="46" t="n"/>
      <c r="L297" s="23">
        <f>IF(OR($A297="",$B297=""),"",IF($K297&lt;&gt;"",$K297-$B297,TODAY()-$B297))</f>
        <v/>
      </c>
      <c r="M297" s="27">
        <f>IF(OR($A297="",$J297=""),"",IF($K297="",IF(TODAY()&gt;$J297,"Atrasado","En ruta"),IF($K297&lt;=$J297,"Sí","No")))</f>
        <v/>
      </c>
      <c r="N297" s="23">
        <f>IF($A297="","",COUNTIFS(NOVEDADES!$C$4:$C$1503,$A297))</f>
        <v/>
      </c>
      <c r="O297" s="27">
        <f>IF($A297="","",IF(COUNTIFS(NOVEDADES!$C$4:$C$1503,$A297,NOVEDADES!$M$4:$M$1503,"SÍ")&gt;0,"No","Sí"))</f>
        <v/>
      </c>
      <c r="P297" s="27">
        <f>IF(OR($A297="",$K297=""),"",IF(AND($M297="Sí",$O297="Sí"),"OTIF","Falló"))</f>
        <v/>
      </c>
    </row>
    <row r="298" ht="16" customHeight="1">
      <c r="A298" s="47" t="n"/>
      <c r="B298" s="46" t="n"/>
      <c r="C298" s="49" t="n"/>
      <c r="D298" s="49" t="n"/>
      <c r="E298" s="49" t="n"/>
      <c r="F298" s="49" t="n"/>
      <c r="G298" s="47" t="n"/>
      <c r="H298" s="50" t="n"/>
      <c r="I298" s="51" t="n"/>
      <c r="J298" s="46" t="n"/>
      <c r="K298" s="46" t="n"/>
      <c r="L298" s="23">
        <f>IF(OR($A298="",$B298=""),"",IF($K298&lt;&gt;"",$K298-$B298,TODAY()-$B298))</f>
        <v/>
      </c>
      <c r="M298" s="27">
        <f>IF(OR($A298="",$J298=""),"",IF($K298="",IF(TODAY()&gt;$J298,"Atrasado","En ruta"),IF($K298&lt;=$J298,"Sí","No")))</f>
        <v/>
      </c>
      <c r="N298" s="23">
        <f>IF($A298="","",COUNTIFS(NOVEDADES!$C$4:$C$1503,$A298))</f>
        <v/>
      </c>
      <c r="O298" s="27">
        <f>IF($A298="","",IF(COUNTIFS(NOVEDADES!$C$4:$C$1503,$A298,NOVEDADES!$M$4:$M$1503,"SÍ")&gt;0,"No","Sí"))</f>
        <v/>
      </c>
      <c r="P298" s="27">
        <f>IF(OR($A298="",$K298=""),"",IF(AND($M298="Sí",$O298="Sí"),"OTIF","Falló"))</f>
        <v/>
      </c>
    </row>
    <row r="299" ht="16" customHeight="1">
      <c r="A299" s="47" t="n"/>
      <c r="B299" s="46" t="n"/>
      <c r="C299" s="49" t="n"/>
      <c r="D299" s="49" t="n"/>
      <c r="E299" s="49" t="n"/>
      <c r="F299" s="49" t="n"/>
      <c r="G299" s="47" t="n"/>
      <c r="H299" s="50" t="n"/>
      <c r="I299" s="51" t="n"/>
      <c r="J299" s="46" t="n"/>
      <c r="K299" s="46" t="n"/>
      <c r="L299" s="23">
        <f>IF(OR($A299="",$B299=""),"",IF($K299&lt;&gt;"",$K299-$B299,TODAY()-$B299))</f>
        <v/>
      </c>
      <c r="M299" s="27">
        <f>IF(OR($A299="",$J299=""),"",IF($K299="",IF(TODAY()&gt;$J299,"Atrasado","En ruta"),IF($K299&lt;=$J299,"Sí","No")))</f>
        <v/>
      </c>
      <c r="N299" s="23">
        <f>IF($A299="","",COUNTIFS(NOVEDADES!$C$4:$C$1503,$A299))</f>
        <v/>
      </c>
      <c r="O299" s="27">
        <f>IF($A299="","",IF(COUNTIFS(NOVEDADES!$C$4:$C$1503,$A299,NOVEDADES!$M$4:$M$1503,"SÍ")&gt;0,"No","Sí"))</f>
        <v/>
      </c>
      <c r="P299" s="27">
        <f>IF(OR($A299="",$K299=""),"",IF(AND($M299="Sí",$O299="Sí"),"OTIF","Falló"))</f>
        <v/>
      </c>
    </row>
    <row r="300" ht="16" customHeight="1">
      <c r="A300" s="47" t="n"/>
      <c r="B300" s="46" t="n"/>
      <c r="C300" s="49" t="n"/>
      <c r="D300" s="49" t="n"/>
      <c r="E300" s="49" t="n"/>
      <c r="F300" s="49" t="n"/>
      <c r="G300" s="47" t="n"/>
      <c r="H300" s="50" t="n"/>
      <c r="I300" s="51" t="n"/>
      <c r="J300" s="46" t="n"/>
      <c r="K300" s="46" t="n"/>
      <c r="L300" s="23">
        <f>IF(OR($A300="",$B300=""),"",IF($K300&lt;&gt;"",$K300-$B300,TODAY()-$B300))</f>
        <v/>
      </c>
      <c r="M300" s="27">
        <f>IF(OR($A300="",$J300=""),"",IF($K300="",IF(TODAY()&gt;$J300,"Atrasado","En ruta"),IF($K300&lt;=$J300,"Sí","No")))</f>
        <v/>
      </c>
      <c r="N300" s="23">
        <f>IF($A300="","",COUNTIFS(NOVEDADES!$C$4:$C$1503,$A300))</f>
        <v/>
      </c>
      <c r="O300" s="27">
        <f>IF($A300="","",IF(COUNTIFS(NOVEDADES!$C$4:$C$1503,$A300,NOVEDADES!$M$4:$M$1503,"SÍ")&gt;0,"No","Sí"))</f>
        <v/>
      </c>
      <c r="P300" s="27">
        <f>IF(OR($A300="",$K300=""),"",IF(AND($M300="Sí",$O300="Sí"),"OTIF","Falló"))</f>
        <v/>
      </c>
    </row>
    <row r="301" ht="16" customHeight="1">
      <c r="A301" s="47" t="n"/>
      <c r="B301" s="46" t="n"/>
      <c r="C301" s="49" t="n"/>
      <c r="D301" s="49" t="n"/>
      <c r="E301" s="49" t="n"/>
      <c r="F301" s="49" t="n"/>
      <c r="G301" s="47" t="n"/>
      <c r="H301" s="50" t="n"/>
      <c r="I301" s="51" t="n"/>
      <c r="J301" s="46" t="n"/>
      <c r="K301" s="46" t="n"/>
      <c r="L301" s="23">
        <f>IF(OR($A301="",$B301=""),"",IF($K301&lt;&gt;"",$K301-$B301,TODAY()-$B301))</f>
        <v/>
      </c>
      <c r="M301" s="27">
        <f>IF(OR($A301="",$J301=""),"",IF($K301="",IF(TODAY()&gt;$J301,"Atrasado","En ruta"),IF($K301&lt;=$J301,"Sí","No")))</f>
        <v/>
      </c>
      <c r="N301" s="23">
        <f>IF($A301="","",COUNTIFS(NOVEDADES!$C$4:$C$1503,$A301))</f>
        <v/>
      </c>
      <c r="O301" s="27">
        <f>IF($A301="","",IF(COUNTIFS(NOVEDADES!$C$4:$C$1503,$A301,NOVEDADES!$M$4:$M$1503,"SÍ")&gt;0,"No","Sí"))</f>
        <v/>
      </c>
      <c r="P301" s="27">
        <f>IF(OR($A301="",$K301=""),"",IF(AND($M301="Sí",$O301="Sí"),"OTIF","Falló"))</f>
        <v/>
      </c>
    </row>
    <row r="302" ht="16" customHeight="1">
      <c r="A302" s="47" t="n"/>
      <c r="B302" s="46" t="n"/>
      <c r="C302" s="49" t="n"/>
      <c r="D302" s="49" t="n"/>
      <c r="E302" s="49" t="n"/>
      <c r="F302" s="49" t="n"/>
      <c r="G302" s="47" t="n"/>
      <c r="H302" s="50" t="n"/>
      <c r="I302" s="51" t="n"/>
      <c r="J302" s="46" t="n"/>
      <c r="K302" s="46" t="n"/>
      <c r="L302" s="23">
        <f>IF(OR($A302="",$B302=""),"",IF($K302&lt;&gt;"",$K302-$B302,TODAY()-$B302))</f>
        <v/>
      </c>
      <c r="M302" s="27">
        <f>IF(OR($A302="",$J302=""),"",IF($K302="",IF(TODAY()&gt;$J302,"Atrasado","En ruta"),IF($K302&lt;=$J302,"Sí","No")))</f>
        <v/>
      </c>
      <c r="N302" s="23">
        <f>IF($A302="","",COUNTIFS(NOVEDADES!$C$4:$C$1503,$A302))</f>
        <v/>
      </c>
      <c r="O302" s="27">
        <f>IF($A302="","",IF(COUNTIFS(NOVEDADES!$C$4:$C$1503,$A302,NOVEDADES!$M$4:$M$1503,"SÍ")&gt;0,"No","Sí"))</f>
        <v/>
      </c>
      <c r="P302" s="27">
        <f>IF(OR($A302="",$K302=""),"",IF(AND($M302="Sí",$O302="Sí"),"OTIF","Falló"))</f>
        <v/>
      </c>
    </row>
    <row r="303" ht="16" customHeight="1">
      <c r="A303" s="47" t="n"/>
      <c r="B303" s="46" t="n"/>
      <c r="C303" s="49" t="n"/>
      <c r="D303" s="49" t="n"/>
      <c r="E303" s="49" t="n"/>
      <c r="F303" s="49" t="n"/>
      <c r="G303" s="47" t="n"/>
      <c r="H303" s="50" t="n"/>
      <c r="I303" s="51" t="n"/>
      <c r="J303" s="46" t="n"/>
      <c r="K303" s="46" t="n"/>
      <c r="L303" s="23">
        <f>IF(OR($A303="",$B303=""),"",IF($K303&lt;&gt;"",$K303-$B303,TODAY()-$B303))</f>
        <v/>
      </c>
      <c r="M303" s="27">
        <f>IF(OR($A303="",$J303=""),"",IF($K303="",IF(TODAY()&gt;$J303,"Atrasado","En ruta"),IF($K303&lt;=$J303,"Sí","No")))</f>
        <v/>
      </c>
      <c r="N303" s="23">
        <f>IF($A303="","",COUNTIFS(NOVEDADES!$C$4:$C$1503,$A303))</f>
        <v/>
      </c>
      <c r="O303" s="27">
        <f>IF($A303="","",IF(COUNTIFS(NOVEDADES!$C$4:$C$1503,$A303,NOVEDADES!$M$4:$M$1503,"SÍ")&gt;0,"No","Sí"))</f>
        <v/>
      </c>
      <c r="P303" s="27">
        <f>IF(OR($A303="",$K303=""),"",IF(AND($M303="Sí",$O303="Sí"),"OTIF","Falló"))</f>
        <v/>
      </c>
    </row>
    <row r="304" ht="16" customHeight="1">
      <c r="A304" s="47" t="n"/>
      <c r="B304" s="46" t="n"/>
      <c r="C304" s="49" t="n"/>
      <c r="D304" s="49" t="n"/>
      <c r="E304" s="49" t="n"/>
      <c r="F304" s="49" t="n"/>
      <c r="G304" s="47" t="n"/>
      <c r="H304" s="50" t="n"/>
      <c r="I304" s="51" t="n"/>
      <c r="J304" s="46" t="n"/>
      <c r="K304" s="46" t="n"/>
      <c r="L304" s="23">
        <f>IF(OR($A304="",$B304=""),"",IF($K304&lt;&gt;"",$K304-$B304,TODAY()-$B304))</f>
        <v/>
      </c>
      <c r="M304" s="27">
        <f>IF(OR($A304="",$J304=""),"",IF($K304="",IF(TODAY()&gt;$J304,"Atrasado","En ruta"),IF($K304&lt;=$J304,"Sí","No")))</f>
        <v/>
      </c>
      <c r="N304" s="23">
        <f>IF($A304="","",COUNTIFS(NOVEDADES!$C$4:$C$1503,$A304))</f>
        <v/>
      </c>
      <c r="O304" s="27">
        <f>IF($A304="","",IF(COUNTIFS(NOVEDADES!$C$4:$C$1503,$A304,NOVEDADES!$M$4:$M$1503,"SÍ")&gt;0,"No","Sí"))</f>
        <v/>
      </c>
      <c r="P304" s="27">
        <f>IF(OR($A304="",$K304=""),"",IF(AND($M304="Sí",$O304="Sí"),"OTIF","Falló"))</f>
        <v/>
      </c>
    </row>
    <row r="305" ht="16" customHeight="1">
      <c r="A305" s="47" t="n"/>
      <c r="B305" s="46" t="n"/>
      <c r="C305" s="49" t="n"/>
      <c r="D305" s="49" t="n"/>
      <c r="E305" s="49" t="n"/>
      <c r="F305" s="49" t="n"/>
      <c r="G305" s="47" t="n"/>
      <c r="H305" s="50" t="n"/>
      <c r="I305" s="51" t="n"/>
      <c r="J305" s="46" t="n"/>
      <c r="K305" s="46" t="n"/>
      <c r="L305" s="23">
        <f>IF(OR($A305="",$B305=""),"",IF($K305&lt;&gt;"",$K305-$B305,TODAY()-$B305))</f>
        <v/>
      </c>
      <c r="M305" s="27">
        <f>IF(OR($A305="",$J305=""),"",IF($K305="",IF(TODAY()&gt;$J305,"Atrasado","En ruta"),IF($K305&lt;=$J305,"Sí","No")))</f>
        <v/>
      </c>
      <c r="N305" s="23">
        <f>IF($A305="","",COUNTIFS(NOVEDADES!$C$4:$C$1503,$A305))</f>
        <v/>
      </c>
      <c r="O305" s="27">
        <f>IF($A305="","",IF(COUNTIFS(NOVEDADES!$C$4:$C$1503,$A305,NOVEDADES!$M$4:$M$1503,"SÍ")&gt;0,"No","Sí"))</f>
        <v/>
      </c>
      <c r="P305" s="27">
        <f>IF(OR($A305="",$K305=""),"",IF(AND($M305="Sí",$O305="Sí"),"OTIF","Falló"))</f>
        <v/>
      </c>
    </row>
    <row r="306" ht="16" customHeight="1">
      <c r="A306" s="47" t="n"/>
      <c r="B306" s="46" t="n"/>
      <c r="C306" s="49" t="n"/>
      <c r="D306" s="49" t="n"/>
      <c r="E306" s="49" t="n"/>
      <c r="F306" s="49" t="n"/>
      <c r="G306" s="47" t="n"/>
      <c r="H306" s="50" t="n"/>
      <c r="I306" s="51" t="n"/>
      <c r="J306" s="46" t="n"/>
      <c r="K306" s="46" t="n"/>
      <c r="L306" s="23">
        <f>IF(OR($A306="",$B306=""),"",IF($K306&lt;&gt;"",$K306-$B306,TODAY()-$B306))</f>
        <v/>
      </c>
      <c r="M306" s="27">
        <f>IF(OR($A306="",$J306=""),"",IF($K306="",IF(TODAY()&gt;$J306,"Atrasado","En ruta"),IF($K306&lt;=$J306,"Sí","No")))</f>
        <v/>
      </c>
      <c r="N306" s="23">
        <f>IF($A306="","",COUNTIFS(NOVEDADES!$C$4:$C$1503,$A306))</f>
        <v/>
      </c>
      <c r="O306" s="27">
        <f>IF($A306="","",IF(COUNTIFS(NOVEDADES!$C$4:$C$1503,$A306,NOVEDADES!$M$4:$M$1503,"SÍ")&gt;0,"No","Sí"))</f>
        <v/>
      </c>
      <c r="P306" s="27">
        <f>IF(OR($A306="",$K306=""),"",IF(AND($M306="Sí",$O306="Sí"),"OTIF","Falló"))</f>
        <v/>
      </c>
    </row>
    <row r="307" ht="16" customHeight="1">
      <c r="A307" s="47" t="n"/>
      <c r="B307" s="46" t="n"/>
      <c r="C307" s="49" t="n"/>
      <c r="D307" s="49" t="n"/>
      <c r="E307" s="49" t="n"/>
      <c r="F307" s="49" t="n"/>
      <c r="G307" s="47" t="n"/>
      <c r="H307" s="50" t="n"/>
      <c r="I307" s="51" t="n"/>
      <c r="J307" s="46" t="n"/>
      <c r="K307" s="46" t="n"/>
      <c r="L307" s="23">
        <f>IF(OR($A307="",$B307=""),"",IF($K307&lt;&gt;"",$K307-$B307,TODAY()-$B307))</f>
        <v/>
      </c>
      <c r="M307" s="27">
        <f>IF(OR($A307="",$J307=""),"",IF($K307="",IF(TODAY()&gt;$J307,"Atrasado","En ruta"),IF($K307&lt;=$J307,"Sí","No")))</f>
        <v/>
      </c>
      <c r="N307" s="23">
        <f>IF($A307="","",COUNTIFS(NOVEDADES!$C$4:$C$1503,$A307))</f>
        <v/>
      </c>
      <c r="O307" s="27">
        <f>IF($A307="","",IF(COUNTIFS(NOVEDADES!$C$4:$C$1503,$A307,NOVEDADES!$M$4:$M$1503,"SÍ")&gt;0,"No","Sí"))</f>
        <v/>
      </c>
      <c r="P307" s="27">
        <f>IF(OR($A307="",$K307=""),"",IF(AND($M307="Sí",$O307="Sí"),"OTIF","Falló"))</f>
        <v/>
      </c>
    </row>
    <row r="308" ht="16" customHeight="1">
      <c r="A308" s="47" t="n"/>
      <c r="B308" s="46" t="n"/>
      <c r="C308" s="49" t="n"/>
      <c r="D308" s="49" t="n"/>
      <c r="E308" s="49" t="n"/>
      <c r="F308" s="49" t="n"/>
      <c r="G308" s="47" t="n"/>
      <c r="H308" s="50" t="n"/>
      <c r="I308" s="51" t="n"/>
      <c r="J308" s="46" t="n"/>
      <c r="K308" s="46" t="n"/>
      <c r="L308" s="23">
        <f>IF(OR($A308="",$B308=""),"",IF($K308&lt;&gt;"",$K308-$B308,TODAY()-$B308))</f>
        <v/>
      </c>
      <c r="M308" s="27">
        <f>IF(OR($A308="",$J308=""),"",IF($K308="",IF(TODAY()&gt;$J308,"Atrasado","En ruta"),IF($K308&lt;=$J308,"Sí","No")))</f>
        <v/>
      </c>
      <c r="N308" s="23">
        <f>IF($A308="","",COUNTIFS(NOVEDADES!$C$4:$C$1503,$A308))</f>
        <v/>
      </c>
      <c r="O308" s="27">
        <f>IF($A308="","",IF(COUNTIFS(NOVEDADES!$C$4:$C$1503,$A308,NOVEDADES!$M$4:$M$1503,"SÍ")&gt;0,"No","Sí"))</f>
        <v/>
      </c>
      <c r="P308" s="27">
        <f>IF(OR($A308="",$K308=""),"",IF(AND($M308="Sí",$O308="Sí"),"OTIF","Falló"))</f>
        <v/>
      </c>
    </row>
    <row r="309" ht="16" customHeight="1">
      <c r="A309" s="47" t="n"/>
      <c r="B309" s="46" t="n"/>
      <c r="C309" s="49" t="n"/>
      <c r="D309" s="49" t="n"/>
      <c r="E309" s="49" t="n"/>
      <c r="F309" s="49" t="n"/>
      <c r="G309" s="47" t="n"/>
      <c r="H309" s="50" t="n"/>
      <c r="I309" s="51" t="n"/>
      <c r="J309" s="46" t="n"/>
      <c r="K309" s="46" t="n"/>
      <c r="L309" s="23">
        <f>IF(OR($A309="",$B309=""),"",IF($K309&lt;&gt;"",$K309-$B309,TODAY()-$B309))</f>
        <v/>
      </c>
      <c r="M309" s="27">
        <f>IF(OR($A309="",$J309=""),"",IF($K309="",IF(TODAY()&gt;$J309,"Atrasado","En ruta"),IF($K309&lt;=$J309,"Sí","No")))</f>
        <v/>
      </c>
      <c r="N309" s="23">
        <f>IF($A309="","",COUNTIFS(NOVEDADES!$C$4:$C$1503,$A309))</f>
        <v/>
      </c>
      <c r="O309" s="27">
        <f>IF($A309="","",IF(COUNTIFS(NOVEDADES!$C$4:$C$1503,$A309,NOVEDADES!$M$4:$M$1503,"SÍ")&gt;0,"No","Sí"))</f>
        <v/>
      </c>
      <c r="P309" s="27">
        <f>IF(OR($A309="",$K309=""),"",IF(AND($M309="Sí",$O309="Sí"),"OTIF","Falló"))</f>
        <v/>
      </c>
    </row>
    <row r="310" ht="16" customHeight="1">
      <c r="A310" s="47" t="n"/>
      <c r="B310" s="46" t="n"/>
      <c r="C310" s="49" t="n"/>
      <c r="D310" s="49" t="n"/>
      <c r="E310" s="49" t="n"/>
      <c r="F310" s="49" t="n"/>
      <c r="G310" s="47" t="n"/>
      <c r="H310" s="50" t="n"/>
      <c r="I310" s="51" t="n"/>
      <c r="J310" s="46" t="n"/>
      <c r="K310" s="46" t="n"/>
      <c r="L310" s="23">
        <f>IF(OR($A310="",$B310=""),"",IF($K310&lt;&gt;"",$K310-$B310,TODAY()-$B310))</f>
        <v/>
      </c>
      <c r="M310" s="27">
        <f>IF(OR($A310="",$J310=""),"",IF($K310="",IF(TODAY()&gt;$J310,"Atrasado","En ruta"),IF($K310&lt;=$J310,"Sí","No")))</f>
        <v/>
      </c>
      <c r="N310" s="23">
        <f>IF($A310="","",COUNTIFS(NOVEDADES!$C$4:$C$1503,$A310))</f>
        <v/>
      </c>
      <c r="O310" s="27">
        <f>IF($A310="","",IF(COUNTIFS(NOVEDADES!$C$4:$C$1503,$A310,NOVEDADES!$M$4:$M$1503,"SÍ")&gt;0,"No","Sí"))</f>
        <v/>
      </c>
      <c r="P310" s="27">
        <f>IF(OR($A310="",$K310=""),"",IF(AND($M310="Sí",$O310="Sí"),"OTIF","Falló"))</f>
        <v/>
      </c>
    </row>
    <row r="311" ht="16" customHeight="1">
      <c r="A311" s="47" t="n"/>
      <c r="B311" s="46" t="n"/>
      <c r="C311" s="49" t="n"/>
      <c r="D311" s="49" t="n"/>
      <c r="E311" s="49" t="n"/>
      <c r="F311" s="49" t="n"/>
      <c r="G311" s="47" t="n"/>
      <c r="H311" s="50" t="n"/>
      <c r="I311" s="51" t="n"/>
      <c r="J311" s="46" t="n"/>
      <c r="K311" s="46" t="n"/>
      <c r="L311" s="23">
        <f>IF(OR($A311="",$B311=""),"",IF($K311&lt;&gt;"",$K311-$B311,TODAY()-$B311))</f>
        <v/>
      </c>
      <c r="M311" s="27">
        <f>IF(OR($A311="",$J311=""),"",IF($K311="",IF(TODAY()&gt;$J311,"Atrasado","En ruta"),IF($K311&lt;=$J311,"Sí","No")))</f>
        <v/>
      </c>
      <c r="N311" s="23">
        <f>IF($A311="","",COUNTIFS(NOVEDADES!$C$4:$C$1503,$A311))</f>
        <v/>
      </c>
      <c r="O311" s="27">
        <f>IF($A311="","",IF(COUNTIFS(NOVEDADES!$C$4:$C$1503,$A311,NOVEDADES!$M$4:$M$1503,"SÍ")&gt;0,"No","Sí"))</f>
        <v/>
      </c>
      <c r="P311" s="27">
        <f>IF(OR($A311="",$K311=""),"",IF(AND($M311="Sí",$O311="Sí"),"OTIF","Falló"))</f>
        <v/>
      </c>
    </row>
    <row r="312" ht="16" customHeight="1">
      <c r="A312" s="47" t="n"/>
      <c r="B312" s="46" t="n"/>
      <c r="C312" s="49" t="n"/>
      <c r="D312" s="49" t="n"/>
      <c r="E312" s="49" t="n"/>
      <c r="F312" s="49" t="n"/>
      <c r="G312" s="47" t="n"/>
      <c r="H312" s="50" t="n"/>
      <c r="I312" s="51" t="n"/>
      <c r="J312" s="46" t="n"/>
      <c r="K312" s="46" t="n"/>
      <c r="L312" s="23">
        <f>IF(OR($A312="",$B312=""),"",IF($K312&lt;&gt;"",$K312-$B312,TODAY()-$B312))</f>
        <v/>
      </c>
      <c r="M312" s="27">
        <f>IF(OR($A312="",$J312=""),"",IF($K312="",IF(TODAY()&gt;$J312,"Atrasado","En ruta"),IF($K312&lt;=$J312,"Sí","No")))</f>
        <v/>
      </c>
      <c r="N312" s="23">
        <f>IF($A312="","",COUNTIFS(NOVEDADES!$C$4:$C$1503,$A312))</f>
        <v/>
      </c>
      <c r="O312" s="27">
        <f>IF($A312="","",IF(COUNTIFS(NOVEDADES!$C$4:$C$1503,$A312,NOVEDADES!$M$4:$M$1503,"SÍ")&gt;0,"No","Sí"))</f>
        <v/>
      </c>
      <c r="P312" s="27">
        <f>IF(OR($A312="",$K312=""),"",IF(AND($M312="Sí",$O312="Sí"),"OTIF","Falló"))</f>
        <v/>
      </c>
    </row>
    <row r="313" ht="16" customHeight="1">
      <c r="A313" s="47" t="n"/>
      <c r="B313" s="46" t="n"/>
      <c r="C313" s="49" t="n"/>
      <c r="D313" s="49" t="n"/>
      <c r="E313" s="49" t="n"/>
      <c r="F313" s="49" t="n"/>
      <c r="G313" s="47" t="n"/>
      <c r="H313" s="50" t="n"/>
      <c r="I313" s="51" t="n"/>
      <c r="J313" s="46" t="n"/>
      <c r="K313" s="46" t="n"/>
      <c r="L313" s="23">
        <f>IF(OR($A313="",$B313=""),"",IF($K313&lt;&gt;"",$K313-$B313,TODAY()-$B313))</f>
        <v/>
      </c>
      <c r="M313" s="27">
        <f>IF(OR($A313="",$J313=""),"",IF($K313="",IF(TODAY()&gt;$J313,"Atrasado","En ruta"),IF($K313&lt;=$J313,"Sí","No")))</f>
        <v/>
      </c>
      <c r="N313" s="23">
        <f>IF($A313="","",COUNTIFS(NOVEDADES!$C$4:$C$1503,$A313))</f>
        <v/>
      </c>
      <c r="O313" s="27">
        <f>IF($A313="","",IF(COUNTIFS(NOVEDADES!$C$4:$C$1503,$A313,NOVEDADES!$M$4:$M$1503,"SÍ")&gt;0,"No","Sí"))</f>
        <v/>
      </c>
      <c r="P313" s="27">
        <f>IF(OR($A313="",$K313=""),"",IF(AND($M313="Sí",$O313="Sí"),"OTIF","Falló"))</f>
        <v/>
      </c>
    </row>
    <row r="314" ht="16" customHeight="1">
      <c r="A314" s="47" t="n"/>
      <c r="B314" s="46" t="n"/>
      <c r="C314" s="49" t="n"/>
      <c r="D314" s="49" t="n"/>
      <c r="E314" s="49" t="n"/>
      <c r="F314" s="49" t="n"/>
      <c r="G314" s="47" t="n"/>
      <c r="H314" s="50" t="n"/>
      <c r="I314" s="51" t="n"/>
      <c r="J314" s="46" t="n"/>
      <c r="K314" s="46" t="n"/>
      <c r="L314" s="23">
        <f>IF(OR($A314="",$B314=""),"",IF($K314&lt;&gt;"",$K314-$B314,TODAY()-$B314))</f>
        <v/>
      </c>
      <c r="M314" s="27">
        <f>IF(OR($A314="",$J314=""),"",IF($K314="",IF(TODAY()&gt;$J314,"Atrasado","En ruta"),IF($K314&lt;=$J314,"Sí","No")))</f>
        <v/>
      </c>
      <c r="N314" s="23">
        <f>IF($A314="","",COUNTIFS(NOVEDADES!$C$4:$C$1503,$A314))</f>
        <v/>
      </c>
      <c r="O314" s="27">
        <f>IF($A314="","",IF(COUNTIFS(NOVEDADES!$C$4:$C$1503,$A314,NOVEDADES!$M$4:$M$1503,"SÍ")&gt;0,"No","Sí"))</f>
        <v/>
      </c>
      <c r="P314" s="27">
        <f>IF(OR($A314="",$K314=""),"",IF(AND($M314="Sí",$O314="Sí"),"OTIF","Falló"))</f>
        <v/>
      </c>
    </row>
    <row r="315" ht="16" customHeight="1">
      <c r="A315" s="47" t="n"/>
      <c r="B315" s="46" t="n"/>
      <c r="C315" s="49" t="n"/>
      <c r="D315" s="49" t="n"/>
      <c r="E315" s="49" t="n"/>
      <c r="F315" s="49" t="n"/>
      <c r="G315" s="47" t="n"/>
      <c r="H315" s="50" t="n"/>
      <c r="I315" s="51" t="n"/>
      <c r="J315" s="46" t="n"/>
      <c r="K315" s="46" t="n"/>
      <c r="L315" s="23">
        <f>IF(OR($A315="",$B315=""),"",IF($K315&lt;&gt;"",$K315-$B315,TODAY()-$B315))</f>
        <v/>
      </c>
      <c r="M315" s="27">
        <f>IF(OR($A315="",$J315=""),"",IF($K315="",IF(TODAY()&gt;$J315,"Atrasado","En ruta"),IF($K315&lt;=$J315,"Sí","No")))</f>
        <v/>
      </c>
      <c r="N315" s="23">
        <f>IF($A315="","",COUNTIFS(NOVEDADES!$C$4:$C$1503,$A315))</f>
        <v/>
      </c>
      <c r="O315" s="27">
        <f>IF($A315="","",IF(COUNTIFS(NOVEDADES!$C$4:$C$1503,$A315,NOVEDADES!$M$4:$M$1503,"SÍ")&gt;0,"No","Sí"))</f>
        <v/>
      </c>
      <c r="P315" s="27">
        <f>IF(OR($A315="",$K315=""),"",IF(AND($M315="Sí",$O315="Sí"),"OTIF","Falló"))</f>
        <v/>
      </c>
    </row>
    <row r="316" ht="16" customHeight="1">
      <c r="A316" s="47" t="n"/>
      <c r="B316" s="46" t="n"/>
      <c r="C316" s="49" t="n"/>
      <c r="D316" s="49" t="n"/>
      <c r="E316" s="49" t="n"/>
      <c r="F316" s="49" t="n"/>
      <c r="G316" s="47" t="n"/>
      <c r="H316" s="50" t="n"/>
      <c r="I316" s="51" t="n"/>
      <c r="J316" s="46" t="n"/>
      <c r="K316" s="46" t="n"/>
      <c r="L316" s="23">
        <f>IF(OR($A316="",$B316=""),"",IF($K316&lt;&gt;"",$K316-$B316,TODAY()-$B316))</f>
        <v/>
      </c>
      <c r="M316" s="27">
        <f>IF(OR($A316="",$J316=""),"",IF($K316="",IF(TODAY()&gt;$J316,"Atrasado","En ruta"),IF($K316&lt;=$J316,"Sí","No")))</f>
        <v/>
      </c>
      <c r="N316" s="23">
        <f>IF($A316="","",COUNTIFS(NOVEDADES!$C$4:$C$1503,$A316))</f>
        <v/>
      </c>
      <c r="O316" s="27">
        <f>IF($A316="","",IF(COUNTIFS(NOVEDADES!$C$4:$C$1503,$A316,NOVEDADES!$M$4:$M$1503,"SÍ")&gt;0,"No","Sí"))</f>
        <v/>
      </c>
      <c r="P316" s="27">
        <f>IF(OR($A316="",$K316=""),"",IF(AND($M316="Sí",$O316="Sí"),"OTIF","Falló"))</f>
        <v/>
      </c>
    </row>
    <row r="317" ht="16" customHeight="1">
      <c r="A317" s="47" t="n"/>
      <c r="B317" s="46" t="n"/>
      <c r="C317" s="49" t="n"/>
      <c r="D317" s="49" t="n"/>
      <c r="E317" s="49" t="n"/>
      <c r="F317" s="49" t="n"/>
      <c r="G317" s="47" t="n"/>
      <c r="H317" s="50" t="n"/>
      <c r="I317" s="51" t="n"/>
      <c r="J317" s="46" t="n"/>
      <c r="K317" s="46" t="n"/>
      <c r="L317" s="23">
        <f>IF(OR($A317="",$B317=""),"",IF($K317&lt;&gt;"",$K317-$B317,TODAY()-$B317))</f>
        <v/>
      </c>
      <c r="M317" s="27">
        <f>IF(OR($A317="",$J317=""),"",IF($K317="",IF(TODAY()&gt;$J317,"Atrasado","En ruta"),IF($K317&lt;=$J317,"Sí","No")))</f>
        <v/>
      </c>
      <c r="N317" s="23">
        <f>IF($A317="","",COUNTIFS(NOVEDADES!$C$4:$C$1503,$A317))</f>
        <v/>
      </c>
      <c r="O317" s="27">
        <f>IF($A317="","",IF(COUNTIFS(NOVEDADES!$C$4:$C$1503,$A317,NOVEDADES!$M$4:$M$1503,"SÍ")&gt;0,"No","Sí"))</f>
        <v/>
      </c>
      <c r="P317" s="27">
        <f>IF(OR($A317="",$K317=""),"",IF(AND($M317="Sí",$O317="Sí"),"OTIF","Falló"))</f>
        <v/>
      </c>
    </row>
    <row r="318" ht="16" customHeight="1">
      <c r="A318" s="47" t="n"/>
      <c r="B318" s="46" t="n"/>
      <c r="C318" s="49" t="n"/>
      <c r="D318" s="49" t="n"/>
      <c r="E318" s="49" t="n"/>
      <c r="F318" s="49" t="n"/>
      <c r="G318" s="47" t="n"/>
      <c r="H318" s="50" t="n"/>
      <c r="I318" s="51" t="n"/>
      <c r="J318" s="46" t="n"/>
      <c r="K318" s="46" t="n"/>
      <c r="L318" s="23">
        <f>IF(OR($A318="",$B318=""),"",IF($K318&lt;&gt;"",$K318-$B318,TODAY()-$B318))</f>
        <v/>
      </c>
      <c r="M318" s="27">
        <f>IF(OR($A318="",$J318=""),"",IF($K318="",IF(TODAY()&gt;$J318,"Atrasado","En ruta"),IF($K318&lt;=$J318,"Sí","No")))</f>
        <v/>
      </c>
      <c r="N318" s="23">
        <f>IF($A318="","",COUNTIFS(NOVEDADES!$C$4:$C$1503,$A318))</f>
        <v/>
      </c>
      <c r="O318" s="27">
        <f>IF($A318="","",IF(COUNTIFS(NOVEDADES!$C$4:$C$1503,$A318,NOVEDADES!$M$4:$M$1503,"SÍ")&gt;0,"No","Sí"))</f>
        <v/>
      </c>
      <c r="P318" s="27">
        <f>IF(OR($A318="",$K318=""),"",IF(AND($M318="Sí",$O318="Sí"),"OTIF","Falló"))</f>
        <v/>
      </c>
    </row>
    <row r="319" ht="16" customHeight="1">
      <c r="A319" s="47" t="n"/>
      <c r="B319" s="46" t="n"/>
      <c r="C319" s="49" t="n"/>
      <c r="D319" s="49" t="n"/>
      <c r="E319" s="49" t="n"/>
      <c r="F319" s="49" t="n"/>
      <c r="G319" s="47" t="n"/>
      <c r="H319" s="50" t="n"/>
      <c r="I319" s="51" t="n"/>
      <c r="J319" s="46" t="n"/>
      <c r="K319" s="46" t="n"/>
      <c r="L319" s="23">
        <f>IF(OR($A319="",$B319=""),"",IF($K319&lt;&gt;"",$K319-$B319,TODAY()-$B319))</f>
        <v/>
      </c>
      <c r="M319" s="27">
        <f>IF(OR($A319="",$J319=""),"",IF($K319="",IF(TODAY()&gt;$J319,"Atrasado","En ruta"),IF($K319&lt;=$J319,"Sí","No")))</f>
        <v/>
      </c>
      <c r="N319" s="23">
        <f>IF($A319="","",COUNTIFS(NOVEDADES!$C$4:$C$1503,$A319))</f>
        <v/>
      </c>
      <c r="O319" s="27">
        <f>IF($A319="","",IF(COUNTIFS(NOVEDADES!$C$4:$C$1503,$A319,NOVEDADES!$M$4:$M$1503,"SÍ")&gt;0,"No","Sí"))</f>
        <v/>
      </c>
      <c r="P319" s="27">
        <f>IF(OR($A319="",$K319=""),"",IF(AND($M319="Sí",$O319="Sí"),"OTIF","Falló"))</f>
        <v/>
      </c>
    </row>
    <row r="320" ht="16" customHeight="1">
      <c r="A320" s="47" t="n"/>
      <c r="B320" s="46" t="n"/>
      <c r="C320" s="49" t="n"/>
      <c r="D320" s="49" t="n"/>
      <c r="E320" s="49" t="n"/>
      <c r="F320" s="49" t="n"/>
      <c r="G320" s="47" t="n"/>
      <c r="H320" s="50" t="n"/>
      <c r="I320" s="51" t="n"/>
      <c r="J320" s="46" t="n"/>
      <c r="K320" s="46" t="n"/>
      <c r="L320" s="23">
        <f>IF(OR($A320="",$B320=""),"",IF($K320&lt;&gt;"",$K320-$B320,TODAY()-$B320))</f>
        <v/>
      </c>
      <c r="M320" s="27">
        <f>IF(OR($A320="",$J320=""),"",IF($K320="",IF(TODAY()&gt;$J320,"Atrasado","En ruta"),IF($K320&lt;=$J320,"Sí","No")))</f>
        <v/>
      </c>
      <c r="N320" s="23">
        <f>IF($A320="","",COUNTIFS(NOVEDADES!$C$4:$C$1503,$A320))</f>
        <v/>
      </c>
      <c r="O320" s="27">
        <f>IF($A320="","",IF(COUNTIFS(NOVEDADES!$C$4:$C$1503,$A320,NOVEDADES!$M$4:$M$1503,"SÍ")&gt;0,"No","Sí"))</f>
        <v/>
      </c>
      <c r="P320" s="27">
        <f>IF(OR($A320="",$K320=""),"",IF(AND($M320="Sí",$O320="Sí"),"OTIF","Falló"))</f>
        <v/>
      </c>
    </row>
    <row r="321" ht="16" customHeight="1">
      <c r="A321" s="47" t="n"/>
      <c r="B321" s="46" t="n"/>
      <c r="C321" s="49" t="n"/>
      <c r="D321" s="49" t="n"/>
      <c r="E321" s="49" t="n"/>
      <c r="F321" s="49" t="n"/>
      <c r="G321" s="47" t="n"/>
      <c r="H321" s="50" t="n"/>
      <c r="I321" s="51" t="n"/>
      <c r="J321" s="46" t="n"/>
      <c r="K321" s="46" t="n"/>
      <c r="L321" s="23">
        <f>IF(OR($A321="",$B321=""),"",IF($K321&lt;&gt;"",$K321-$B321,TODAY()-$B321))</f>
        <v/>
      </c>
      <c r="M321" s="27">
        <f>IF(OR($A321="",$J321=""),"",IF($K321="",IF(TODAY()&gt;$J321,"Atrasado","En ruta"),IF($K321&lt;=$J321,"Sí","No")))</f>
        <v/>
      </c>
      <c r="N321" s="23">
        <f>IF($A321="","",COUNTIFS(NOVEDADES!$C$4:$C$1503,$A321))</f>
        <v/>
      </c>
      <c r="O321" s="27">
        <f>IF($A321="","",IF(COUNTIFS(NOVEDADES!$C$4:$C$1503,$A321,NOVEDADES!$M$4:$M$1503,"SÍ")&gt;0,"No","Sí"))</f>
        <v/>
      </c>
      <c r="P321" s="27">
        <f>IF(OR($A321="",$K321=""),"",IF(AND($M321="Sí",$O321="Sí"),"OTIF","Falló"))</f>
        <v/>
      </c>
    </row>
    <row r="322" ht="16" customHeight="1">
      <c r="A322" s="47" t="n"/>
      <c r="B322" s="46" t="n"/>
      <c r="C322" s="49" t="n"/>
      <c r="D322" s="49" t="n"/>
      <c r="E322" s="49" t="n"/>
      <c r="F322" s="49" t="n"/>
      <c r="G322" s="47" t="n"/>
      <c r="H322" s="50" t="n"/>
      <c r="I322" s="51" t="n"/>
      <c r="J322" s="46" t="n"/>
      <c r="K322" s="46" t="n"/>
      <c r="L322" s="23">
        <f>IF(OR($A322="",$B322=""),"",IF($K322&lt;&gt;"",$K322-$B322,TODAY()-$B322))</f>
        <v/>
      </c>
      <c r="M322" s="27">
        <f>IF(OR($A322="",$J322=""),"",IF($K322="",IF(TODAY()&gt;$J322,"Atrasado","En ruta"),IF($K322&lt;=$J322,"Sí","No")))</f>
        <v/>
      </c>
      <c r="N322" s="23">
        <f>IF($A322="","",COUNTIFS(NOVEDADES!$C$4:$C$1503,$A322))</f>
        <v/>
      </c>
      <c r="O322" s="27">
        <f>IF($A322="","",IF(COUNTIFS(NOVEDADES!$C$4:$C$1503,$A322,NOVEDADES!$M$4:$M$1503,"SÍ")&gt;0,"No","Sí"))</f>
        <v/>
      </c>
      <c r="P322" s="27">
        <f>IF(OR($A322="",$K322=""),"",IF(AND($M322="Sí",$O322="Sí"),"OTIF","Falló"))</f>
        <v/>
      </c>
    </row>
    <row r="323" ht="16" customHeight="1">
      <c r="A323" s="47" t="n"/>
      <c r="B323" s="46" t="n"/>
      <c r="C323" s="49" t="n"/>
      <c r="D323" s="49" t="n"/>
      <c r="E323" s="49" t="n"/>
      <c r="F323" s="49" t="n"/>
      <c r="G323" s="47" t="n"/>
      <c r="H323" s="50" t="n"/>
      <c r="I323" s="51" t="n"/>
      <c r="J323" s="46" t="n"/>
      <c r="K323" s="46" t="n"/>
      <c r="L323" s="23">
        <f>IF(OR($A323="",$B323=""),"",IF($K323&lt;&gt;"",$K323-$B323,TODAY()-$B323))</f>
        <v/>
      </c>
      <c r="M323" s="27">
        <f>IF(OR($A323="",$J323=""),"",IF($K323="",IF(TODAY()&gt;$J323,"Atrasado","En ruta"),IF($K323&lt;=$J323,"Sí","No")))</f>
        <v/>
      </c>
      <c r="N323" s="23">
        <f>IF($A323="","",COUNTIFS(NOVEDADES!$C$4:$C$1503,$A323))</f>
        <v/>
      </c>
      <c r="O323" s="27">
        <f>IF($A323="","",IF(COUNTIFS(NOVEDADES!$C$4:$C$1503,$A323,NOVEDADES!$M$4:$M$1503,"SÍ")&gt;0,"No","Sí"))</f>
        <v/>
      </c>
      <c r="P323" s="27">
        <f>IF(OR($A323="",$K323=""),"",IF(AND($M323="Sí",$O323="Sí"),"OTIF","Falló"))</f>
        <v/>
      </c>
    </row>
    <row r="324" ht="16" customHeight="1">
      <c r="A324" s="47" t="n"/>
      <c r="B324" s="46" t="n"/>
      <c r="C324" s="49" t="n"/>
      <c r="D324" s="49" t="n"/>
      <c r="E324" s="49" t="n"/>
      <c r="F324" s="49" t="n"/>
      <c r="G324" s="47" t="n"/>
      <c r="H324" s="50" t="n"/>
      <c r="I324" s="51" t="n"/>
      <c r="J324" s="46" t="n"/>
      <c r="K324" s="46" t="n"/>
      <c r="L324" s="23">
        <f>IF(OR($A324="",$B324=""),"",IF($K324&lt;&gt;"",$K324-$B324,TODAY()-$B324))</f>
        <v/>
      </c>
      <c r="M324" s="27">
        <f>IF(OR($A324="",$J324=""),"",IF($K324="",IF(TODAY()&gt;$J324,"Atrasado","En ruta"),IF($K324&lt;=$J324,"Sí","No")))</f>
        <v/>
      </c>
      <c r="N324" s="23">
        <f>IF($A324="","",COUNTIFS(NOVEDADES!$C$4:$C$1503,$A324))</f>
        <v/>
      </c>
      <c r="O324" s="27">
        <f>IF($A324="","",IF(COUNTIFS(NOVEDADES!$C$4:$C$1503,$A324,NOVEDADES!$M$4:$M$1503,"SÍ")&gt;0,"No","Sí"))</f>
        <v/>
      </c>
      <c r="P324" s="27">
        <f>IF(OR($A324="",$K324=""),"",IF(AND($M324="Sí",$O324="Sí"),"OTIF","Falló"))</f>
        <v/>
      </c>
    </row>
    <row r="325" ht="16" customHeight="1">
      <c r="A325" s="47" t="n"/>
      <c r="B325" s="46" t="n"/>
      <c r="C325" s="49" t="n"/>
      <c r="D325" s="49" t="n"/>
      <c r="E325" s="49" t="n"/>
      <c r="F325" s="49" t="n"/>
      <c r="G325" s="47" t="n"/>
      <c r="H325" s="50" t="n"/>
      <c r="I325" s="51" t="n"/>
      <c r="J325" s="46" t="n"/>
      <c r="K325" s="46" t="n"/>
      <c r="L325" s="23">
        <f>IF(OR($A325="",$B325=""),"",IF($K325&lt;&gt;"",$K325-$B325,TODAY()-$B325))</f>
        <v/>
      </c>
      <c r="M325" s="27">
        <f>IF(OR($A325="",$J325=""),"",IF($K325="",IF(TODAY()&gt;$J325,"Atrasado","En ruta"),IF($K325&lt;=$J325,"Sí","No")))</f>
        <v/>
      </c>
      <c r="N325" s="23">
        <f>IF($A325="","",COUNTIFS(NOVEDADES!$C$4:$C$1503,$A325))</f>
        <v/>
      </c>
      <c r="O325" s="27">
        <f>IF($A325="","",IF(COUNTIFS(NOVEDADES!$C$4:$C$1503,$A325,NOVEDADES!$M$4:$M$1503,"SÍ")&gt;0,"No","Sí"))</f>
        <v/>
      </c>
      <c r="P325" s="27">
        <f>IF(OR($A325="",$K325=""),"",IF(AND($M325="Sí",$O325="Sí"),"OTIF","Falló"))</f>
        <v/>
      </c>
    </row>
    <row r="326" ht="16" customHeight="1">
      <c r="A326" s="47" t="n"/>
      <c r="B326" s="46" t="n"/>
      <c r="C326" s="49" t="n"/>
      <c r="D326" s="49" t="n"/>
      <c r="E326" s="49" t="n"/>
      <c r="F326" s="49" t="n"/>
      <c r="G326" s="47" t="n"/>
      <c r="H326" s="50" t="n"/>
      <c r="I326" s="51" t="n"/>
      <c r="J326" s="46" t="n"/>
      <c r="K326" s="46" t="n"/>
      <c r="L326" s="23">
        <f>IF(OR($A326="",$B326=""),"",IF($K326&lt;&gt;"",$K326-$B326,TODAY()-$B326))</f>
        <v/>
      </c>
      <c r="M326" s="27">
        <f>IF(OR($A326="",$J326=""),"",IF($K326="",IF(TODAY()&gt;$J326,"Atrasado","En ruta"),IF($K326&lt;=$J326,"Sí","No")))</f>
        <v/>
      </c>
      <c r="N326" s="23">
        <f>IF($A326="","",COUNTIFS(NOVEDADES!$C$4:$C$1503,$A326))</f>
        <v/>
      </c>
      <c r="O326" s="27">
        <f>IF($A326="","",IF(COUNTIFS(NOVEDADES!$C$4:$C$1503,$A326,NOVEDADES!$M$4:$M$1503,"SÍ")&gt;0,"No","Sí"))</f>
        <v/>
      </c>
      <c r="P326" s="27">
        <f>IF(OR($A326="",$K326=""),"",IF(AND($M326="Sí",$O326="Sí"),"OTIF","Falló"))</f>
        <v/>
      </c>
    </row>
    <row r="327" ht="16" customHeight="1">
      <c r="A327" s="47" t="n"/>
      <c r="B327" s="46" t="n"/>
      <c r="C327" s="49" t="n"/>
      <c r="D327" s="49" t="n"/>
      <c r="E327" s="49" t="n"/>
      <c r="F327" s="49" t="n"/>
      <c r="G327" s="47" t="n"/>
      <c r="H327" s="50" t="n"/>
      <c r="I327" s="51" t="n"/>
      <c r="J327" s="46" t="n"/>
      <c r="K327" s="46" t="n"/>
      <c r="L327" s="23">
        <f>IF(OR($A327="",$B327=""),"",IF($K327&lt;&gt;"",$K327-$B327,TODAY()-$B327))</f>
        <v/>
      </c>
      <c r="M327" s="27">
        <f>IF(OR($A327="",$J327=""),"",IF($K327="",IF(TODAY()&gt;$J327,"Atrasado","En ruta"),IF($K327&lt;=$J327,"Sí","No")))</f>
        <v/>
      </c>
      <c r="N327" s="23">
        <f>IF($A327="","",COUNTIFS(NOVEDADES!$C$4:$C$1503,$A327))</f>
        <v/>
      </c>
      <c r="O327" s="27">
        <f>IF($A327="","",IF(COUNTIFS(NOVEDADES!$C$4:$C$1503,$A327,NOVEDADES!$M$4:$M$1503,"SÍ")&gt;0,"No","Sí"))</f>
        <v/>
      </c>
      <c r="P327" s="27">
        <f>IF(OR($A327="",$K327=""),"",IF(AND($M327="Sí",$O327="Sí"),"OTIF","Falló"))</f>
        <v/>
      </c>
    </row>
    <row r="328" ht="16" customHeight="1">
      <c r="A328" s="47" t="n"/>
      <c r="B328" s="46" t="n"/>
      <c r="C328" s="49" t="n"/>
      <c r="D328" s="49" t="n"/>
      <c r="E328" s="49" t="n"/>
      <c r="F328" s="49" t="n"/>
      <c r="G328" s="47" t="n"/>
      <c r="H328" s="50" t="n"/>
      <c r="I328" s="51" t="n"/>
      <c r="J328" s="46" t="n"/>
      <c r="K328" s="46" t="n"/>
      <c r="L328" s="23">
        <f>IF(OR($A328="",$B328=""),"",IF($K328&lt;&gt;"",$K328-$B328,TODAY()-$B328))</f>
        <v/>
      </c>
      <c r="M328" s="27">
        <f>IF(OR($A328="",$J328=""),"",IF($K328="",IF(TODAY()&gt;$J328,"Atrasado","En ruta"),IF($K328&lt;=$J328,"Sí","No")))</f>
        <v/>
      </c>
      <c r="N328" s="23">
        <f>IF($A328="","",COUNTIFS(NOVEDADES!$C$4:$C$1503,$A328))</f>
        <v/>
      </c>
      <c r="O328" s="27">
        <f>IF($A328="","",IF(COUNTIFS(NOVEDADES!$C$4:$C$1503,$A328,NOVEDADES!$M$4:$M$1503,"SÍ")&gt;0,"No","Sí"))</f>
        <v/>
      </c>
      <c r="P328" s="27">
        <f>IF(OR($A328="",$K328=""),"",IF(AND($M328="Sí",$O328="Sí"),"OTIF","Falló"))</f>
        <v/>
      </c>
    </row>
    <row r="329" ht="16" customHeight="1">
      <c r="A329" s="47" t="n"/>
      <c r="B329" s="46" t="n"/>
      <c r="C329" s="49" t="n"/>
      <c r="D329" s="49" t="n"/>
      <c r="E329" s="49" t="n"/>
      <c r="F329" s="49" t="n"/>
      <c r="G329" s="47" t="n"/>
      <c r="H329" s="50" t="n"/>
      <c r="I329" s="51" t="n"/>
      <c r="J329" s="46" t="n"/>
      <c r="K329" s="46" t="n"/>
      <c r="L329" s="23">
        <f>IF(OR($A329="",$B329=""),"",IF($K329&lt;&gt;"",$K329-$B329,TODAY()-$B329))</f>
        <v/>
      </c>
      <c r="M329" s="27">
        <f>IF(OR($A329="",$J329=""),"",IF($K329="",IF(TODAY()&gt;$J329,"Atrasado","En ruta"),IF($K329&lt;=$J329,"Sí","No")))</f>
        <v/>
      </c>
      <c r="N329" s="23">
        <f>IF($A329="","",COUNTIFS(NOVEDADES!$C$4:$C$1503,$A329))</f>
        <v/>
      </c>
      <c r="O329" s="27">
        <f>IF($A329="","",IF(COUNTIFS(NOVEDADES!$C$4:$C$1503,$A329,NOVEDADES!$M$4:$M$1503,"SÍ")&gt;0,"No","Sí"))</f>
        <v/>
      </c>
      <c r="P329" s="27">
        <f>IF(OR($A329="",$K329=""),"",IF(AND($M329="Sí",$O329="Sí"),"OTIF","Falló"))</f>
        <v/>
      </c>
    </row>
    <row r="330" ht="16" customHeight="1">
      <c r="A330" s="47" t="n"/>
      <c r="B330" s="46" t="n"/>
      <c r="C330" s="49" t="n"/>
      <c r="D330" s="49" t="n"/>
      <c r="E330" s="49" t="n"/>
      <c r="F330" s="49" t="n"/>
      <c r="G330" s="47" t="n"/>
      <c r="H330" s="50" t="n"/>
      <c r="I330" s="51" t="n"/>
      <c r="J330" s="46" t="n"/>
      <c r="K330" s="46" t="n"/>
      <c r="L330" s="23">
        <f>IF(OR($A330="",$B330=""),"",IF($K330&lt;&gt;"",$K330-$B330,TODAY()-$B330))</f>
        <v/>
      </c>
      <c r="M330" s="27">
        <f>IF(OR($A330="",$J330=""),"",IF($K330="",IF(TODAY()&gt;$J330,"Atrasado","En ruta"),IF($K330&lt;=$J330,"Sí","No")))</f>
        <v/>
      </c>
      <c r="N330" s="23">
        <f>IF($A330="","",COUNTIFS(NOVEDADES!$C$4:$C$1503,$A330))</f>
        <v/>
      </c>
      <c r="O330" s="27">
        <f>IF($A330="","",IF(COUNTIFS(NOVEDADES!$C$4:$C$1503,$A330,NOVEDADES!$M$4:$M$1503,"SÍ")&gt;0,"No","Sí"))</f>
        <v/>
      </c>
      <c r="P330" s="27">
        <f>IF(OR($A330="",$K330=""),"",IF(AND($M330="Sí",$O330="Sí"),"OTIF","Falló"))</f>
        <v/>
      </c>
    </row>
    <row r="331" ht="16" customHeight="1">
      <c r="A331" s="47" t="n"/>
      <c r="B331" s="46" t="n"/>
      <c r="C331" s="49" t="n"/>
      <c r="D331" s="49" t="n"/>
      <c r="E331" s="49" t="n"/>
      <c r="F331" s="49" t="n"/>
      <c r="G331" s="47" t="n"/>
      <c r="H331" s="50" t="n"/>
      <c r="I331" s="51" t="n"/>
      <c r="J331" s="46" t="n"/>
      <c r="K331" s="46" t="n"/>
      <c r="L331" s="23">
        <f>IF(OR($A331="",$B331=""),"",IF($K331&lt;&gt;"",$K331-$B331,TODAY()-$B331))</f>
        <v/>
      </c>
      <c r="M331" s="27">
        <f>IF(OR($A331="",$J331=""),"",IF($K331="",IF(TODAY()&gt;$J331,"Atrasado","En ruta"),IF($K331&lt;=$J331,"Sí","No")))</f>
        <v/>
      </c>
      <c r="N331" s="23">
        <f>IF($A331="","",COUNTIFS(NOVEDADES!$C$4:$C$1503,$A331))</f>
        <v/>
      </c>
      <c r="O331" s="27">
        <f>IF($A331="","",IF(COUNTIFS(NOVEDADES!$C$4:$C$1503,$A331,NOVEDADES!$M$4:$M$1503,"SÍ")&gt;0,"No","Sí"))</f>
        <v/>
      </c>
      <c r="P331" s="27">
        <f>IF(OR($A331="",$K331=""),"",IF(AND($M331="Sí",$O331="Sí"),"OTIF","Falló"))</f>
        <v/>
      </c>
    </row>
    <row r="332" ht="16" customHeight="1">
      <c r="A332" s="47" t="n"/>
      <c r="B332" s="46" t="n"/>
      <c r="C332" s="49" t="n"/>
      <c r="D332" s="49" t="n"/>
      <c r="E332" s="49" t="n"/>
      <c r="F332" s="49" t="n"/>
      <c r="G332" s="47" t="n"/>
      <c r="H332" s="50" t="n"/>
      <c r="I332" s="51" t="n"/>
      <c r="J332" s="46" t="n"/>
      <c r="K332" s="46" t="n"/>
      <c r="L332" s="23">
        <f>IF(OR($A332="",$B332=""),"",IF($K332&lt;&gt;"",$K332-$B332,TODAY()-$B332))</f>
        <v/>
      </c>
      <c r="M332" s="27">
        <f>IF(OR($A332="",$J332=""),"",IF($K332="",IF(TODAY()&gt;$J332,"Atrasado","En ruta"),IF($K332&lt;=$J332,"Sí","No")))</f>
        <v/>
      </c>
      <c r="N332" s="23">
        <f>IF($A332="","",COUNTIFS(NOVEDADES!$C$4:$C$1503,$A332))</f>
        <v/>
      </c>
      <c r="O332" s="27">
        <f>IF($A332="","",IF(COUNTIFS(NOVEDADES!$C$4:$C$1503,$A332,NOVEDADES!$M$4:$M$1503,"SÍ")&gt;0,"No","Sí"))</f>
        <v/>
      </c>
      <c r="P332" s="27">
        <f>IF(OR($A332="",$K332=""),"",IF(AND($M332="Sí",$O332="Sí"),"OTIF","Falló"))</f>
        <v/>
      </c>
    </row>
    <row r="333" ht="16" customHeight="1">
      <c r="A333" s="47" t="n"/>
      <c r="B333" s="46" t="n"/>
      <c r="C333" s="49" t="n"/>
      <c r="D333" s="49" t="n"/>
      <c r="E333" s="49" t="n"/>
      <c r="F333" s="49" t="n"/>
      <c r="G333" s="47" t="n"/>
      <c r="H333" s="50" t="n"/>
      <c r="I333" s="51" t="n"/>
      <c r="J333" s="46" t="n"/>
      <c r="K333" s="46" t="n"/>
      <c r="L333" s="23">
        <f>IF(OR($A333="",$B333=""),"",IF($K333&lt;&gt;"",$K333-$B333,TODAY()-$B333))</f>
        <v/>
      </c>
      <c r="M333" s="27">
        <f>IF(OR($A333="",$J333=""),"",IF($K333="",IF(TODAY()&gt;$J333,"Atrasado","En ruta"),IF($K333&lt;=$J333,"Sí","No")))</f>
        <v/>
      </c>
      <c r="N333" s="23">
        <f>IF($A333="","",COUNTIFS(NOVEDADES!$C$4:$C$1503,$A333))</f>
        <v/>
      </c>
      <c r="O333" s="27">
        <f>IF($A333="","",IF(COUNTIFS(NOVEDADES!$C$4:$C$1503,$A333,NOVEDADES!$M$4:$M$1503,"SÍ")&gt;0,"No","Sí"))</f>
        <v/>
      </c>
      <c r="P333" s="27">
        <f>IF(OR($A333="",$K333=""),"",IF(AND($M333="Sí",$O333="Sí"),"OTIF","Falló"))</f>
        <v/>
      </c>
    </row>
    <row r="334" ht="16" customHeight="1">
      <c r="A334" s="47" t="n"/>
      <c r="B334" s="46" t="n"/>
      <c r="C334" s="49" t="n"/>
      <c r="D334" s="49" t="n"/>
      <c r="E334" s="49" t="n"/>
      <c r="F334" s="49" t="n"/>
      <c r="G334" s="47" t="n"/>
      <c r="H334" s="50" t="n"/>
      <c r="I334" s="51" t="n"/>
      <c r="J334" s="46" t="n"/>
      <c r="K334" s="46" t="n"/>
      <c r="L334" s="23">
        <f>IF(OR($A334="",$B334=""),"",IF($K334&lt;&gt;"",$K334-$B334,TODAY()-$B334))</f>
        <v/>
      </c>
      <c r="M334" s="27">
        <f>IF(OR($A334="",$J334=""),"",IF($K334="",IF(TODAY()&gt;$J334,"Atrasado","En ruta"),IF($K334&lt;=$J334,"Sí","No")))</f>
        <v/>
      </c>
      <c r="N334" s="23">
        <f>IF($A334="","",COUNTIFS(NOVEDADES!$C$4:$C$1503,$A334))</f>
        <v/>
      </c>
      <c r="O334" s="27">
        <f>IF($A334="","",IF(COUNTIFS(NOVEDADES!$C$4:$C$1503,$A334,NOVEDADES!$M$4:$M$1503,"SÍ")&gt;0,"No","Sí"))</f>
        <v/>
      </c>
      <c r="P334" s="27">
        <f>IF(OR($A334="",$K334=""),"",IF(AND($M334="Sí",$O334="Sí"),"OTIF","Falló"))</f>
        <v/>
      </c>
    </row>
    <row r="335" ht="16" customHeight="1">
      <c r="A335" s="47" t="n"/>
      <c r="B335" s="46" t="n"/>
      <c r="C335" s="49" t="n"/>
      <c r="D335" s="49" t="n"/>
      <c r="E335" s="49" t="n"/>
      <c r="F335" s="49" t="n"/>
      <c r="G335" s="47" t="n"/>
      <c r="H335" s="50" t="n"/>
      <c r="I335" s="51" t="n"/>
      <c r="J335" s="46" t="n"/>
      <c r="K335" s="46" t="n"/>
      <c r="L335" s="23">
        <f>IF(OR($A335="",$B335=""),"",IF($K335&lt;&gt;"",$K335-$B335,TODAY()-$B335))</f>
        <v/>
      </c>
      <c r="M335" s="27">
        <f>IF(OR($A335="",$J335=""),"",IF($K335="",IF(TODAY()&gt;$J335,"Atrasado","En ruta"),IF($K335&lt;=$J335,"Sí","No")))</f>
        <v/>
      </c>
      <c r="N335" s="23">
        <f>IF($A335="","",COUNTIFS(NOVEDADES!$C$4:$C$1503,$A335))</f>
        <v/>
      </c>
      <c r="O335" s="27">
        <f>IF($A335="","",IF(COUNTIFS(NOVEDADES!$C$4:$C$1503,$A335,NOVEDADES!$M$4:$M$1503,"SÍ")&gt;0,"No","Sí"))</f>
        <v/>
      </c>
      <c r="P335" s="27">
        <f>IF(OR($A335="",$K335=""),"",IF(AND($M335="Sí",$O335="Sí"),"OTIF","Falló"))</f>
        <v/>
      </c>
    </row>
    <row r="336" ht="16" customHeight="1">
      <c r="A336" s="47" t="n"/>
      <c r="B336" s="46" t="n"/>
      <c r="C336" s="49" t="n"/>
      <c r="D336" s="49" t="n"/>
      <c r="E336" s="49" t="n"/>
      <c r="F336" s="49" t="n"/>
      <c r="G336" s="47" t="n"/>
      <c r="H336" s="50" t="n"/>
      <c r="I336" s="51" t="n"/>
      <c r="J336" s="46" t="n"/>
      <c r="K336" s="46" t="n"/>
      <c r="L336" s="23">
        <f>IF(OR($A336="",$B336=""),"",IF($K336&lt;&gt;"",$K336-$B336,TODAY()-$B336))</f>
        <v/>
      </c>
      <c r="M336" s="27">
        <f>IF(OR($A336="",$J336=""),"",IF($K336="",IF(TODAY()&gt;$J336,"Atrasado","En ruta"),IF($K336&lt;=$J336,"Sí","No")))</f>
        <v/>
      </c>
      <c r="N336" s="23">
        <f>IF($A336="","",COUNTIFS(NOVEDADES!$C$4:$C$1503,$A336))</f>
        <v/>
      </c>
      <c r="O336" s="27">
        <f>IF($A336="","",IF(COUNTIFS(NOVEDADES!$C$4:$C$1503,$A336,NOVEDADES!$M$4:$M$1503,"SÍ")&gt;0,"No","Sí"))</f>
        <v/>
      </c>
      <c r="P336" s="27">
        <f>IF(OR($A336="",$K336=""),"",IF(AND($M336="Sí",$O336="Sí"),"OTIF","Falló"))</f>
        <v/>
      </c>
    </row>
    <row r="337" ht="16" customHeight="1">
      <c r="A337" s="47" t="n"/>
      <c r="B337" s="46" t="n"/>
      <c r="C337" s="49" t="n"/>
      <c r="D337" s="49" t="n"/>
      <c r="E337" s="49" t="n"/>
      <c r="F337" s="49" t="n"/>
      <c r="G337" s="47" t="n"/>
      <c r="H337" s="50" t="n"/>
      <c r="I337" s="51" t="n"/>
      <c r="J337" s="46" t="n"/>
      <c r="K337" s="46" t="n"/>
      <c r="L337" s="23">
        <f>IF(OR($A337="",$B337=""),"",IF($K337&lt;&gt;"",$K337-$B337,TODAY()-$B337))</f>
        <v/>
      </c>
      <c r="M337" s="27">
        <f>IF(OR($A337="",$J337=""),"",IF($K337="",IF(TODAY()&gt;$J337,"Atrasado","En ruta"),IF($K337&lt;=$J337,"Sí","No")))</f>
        <v/>
      </c>
      <c r="N337" s="23">
        <f>IF($A337="","",COUNTIFS(NOVEDADES!$C$4:$C$1503,$A337))</f>
        <v/>
      </c>
      <c r="O337" s="27">
        <f>IF($A337="","",IF(COUNTIFS(NOVEDADES!$C$4:$C$1503,$A337,NOVEDADES!$M$4:$M$1503,"SÍ")&gt;0,"No","Sí"))</f>
        <v/>
      </c>
      <c r="P337" s="27">
        <f>IF(OR($A337="",$K337=""),"",IF(AND($M337="Sí",$O337="Sí"),"OTIF","Falló"))</f>
        <v/>
      </c>
    </row>
    <row r="338" ht="16" customHeight="1">
      <c r="A338" s="47" t="n"/>
      <c r="B338" s="46" t="n"/>
      <c r="C338" s="49" t="n"/>
      <c r="D338" s="49" t="n"/>
      <c r="E338" s="49" t="n"/>
      <c r="F338" s="49" t="n"/>
      <c r="G338" s="47" t="n"/>
      <c r="H338" s="50" t="n"/>
      <c r="I338" s="51" t="n"/>
      <c r="J338" s="46" t="n"/>
      <c r="K338" s="46" t="n"/>
      <c r="L338" s="23">
        <f>IF(OR($A338="",$B338=""),"",IF($K338&lt;&gt;"",$K338-$B338,TODAY()-$B338))</f>
        <v/>
      </c>
      <c r="M338" s="27">
        <f>IF(OR($A338="",$J338=""),"",IF($K338="",IF(TODAY()&gt;$J338,"Atrasado","En ruta"),IF($K338&lt;=$J338,"Sí","No")))</f>
        <v/>
      </c>
      <c r="N338" s="23">
        <f>IF($A338="","",COUNTIFS(NOVEDADES!$C$4:$C$1503,$A338))</f>
        <v/>
      </c>
      <c r="O338" s="27">
        <f>IF($A338="","",IF(COUNTIFS(NOVEDADES!$C$4:$C$1503,$A338,NOVEDADES!$M$4:$M$1503,"SÍ")&gt;0,"No","Sí"))</f>
        <v/>
      </c>
      <c r="P338" s="27">
        <f>IF(OR($A338="",$K338=""),"",IF(AND($M338="Sí",$O338="Sí"),"OTIF","Falló"))</f>
        <v/>
      </c>
    </row>
    <row r="339" ht="16" customHeight="1">
      <c r="A339" s="47" t="n"/>
      <c r="B339" s="46" t="n"/>
      <c r="C339" s="49" t="n"/>
      <c r="D339" s="49" t="n"/>
      <c r="E339" s="49" t="n"/>
      <c r="F339" s="49" t="n"/>
      <c r="G339" s="47" t="n"/>
      <c r="H339" s="50" t="n"/>
      <c r="I339" s="51" t="n"/>
      <c r="J339" s="46" t="n"/>
      <c r="K339" s="46" t="n"/>
      <c r="L339" s="23">
        <f>IF(OR($A339="",$B339=""),"",IF($K339&lt;&gt;"",$K339-$B339,TODAY()-$B339))</f>
        <v/>
      </c>
      <c r="M339" s="27">
        <f>IF(OR($A339="",$J339=""),"",IF($K339="",IF(TODAY()&gt;$J339,"Atrasado","En ruta"),IF($K339&lt;=$J339,"Sí","No")))</f>
        <v/>
      </c>
      <c r="N339" s="23">
        <f>IF($A339="","",COUNTIFS(NOVEDADES!$C$4:$C$1503,$A339))</f>
        <v/>
      </c>
      <c r="O339" s="27">
        <f>IF($A339="","",IF(COUNTIFS(NOVEDADES!$C$4:$C$1503,$A339,NOVEDADES!$M$4:$M$1503,"SÍ")&gt;0,"No","Sí"))</f>
        <v/>
      </c>
      <c r="P339" s="27">
        <f>IF(OR($A339="",$K339=""),"",IF(AND($M339="Sí",$O339="Sí"),"OTIF","Falló"))</f>
        <v/>
      </c>
    </row>
    <row r="340" ht="16" customHeight="1">
      <c r="A340" s="47" t="n"/>
      <c r="B340" s="46" t="n"/>
      <c r="C340" s="49" t="n"/>
      <c r="D340" s="49" t="n"/>
      <c r="E340" s="49" t="n"/>
      <c r="F340" s="49" t="n"/>
      <c r="G340" s="47" t="n"/>
      <c r="H340" s="50" t="n"/>
      <c r="I340" s="51" t="n"/>
      <c r="J340" s="46" t="n"/>
      <c r="K340" s="46" t="n"/>
      <c r="L340" s="23">
        <f>IF(OR($A340="",$B340=""),"",IF($K340&lt;&gt;"",$K340-$B340,TODAY()-$B340))</f>
        <v/>
      </c>
      <c r="M340" s="27">
        <f>IF(OR($A340="",$J340=""),"",IF($K340="",IF(TODAY()&gt;$J340,"Atrasado","En ruta"),IF($K340&lt;=$J340,"Sí","No")))</f>
        <v/>
      </c>
      <c r="N340" s="23">
        <f>IF($A340="","",COUNTIFS(NOVEDADES!$C$4:$C$1503,$A340))</f>
        <v/>
      </c>
      <c r="O340" s="27">
        <f>IF($A340="","",IF(COUNTIFS(NOVEDADES!$C$4:$C$1503,$A340,NOVEDADES!$M$4:$M$1503,"SÍ")&gt;0,"No","Sí"))</f>
        <v/>
      </c>
      <c r="P340" s="27">
        <f>IF(OR($A340="",$K340=""),"",IF(AND($M340="Sí",$O340="Sí"),"OTIF","Falló"))</f>
        <v/>
      </c>
    </row>
    <row r="341" ht="16" customHeight="1">
      <c r="A341" s="47" t="n"/>
      <c r="B341" s="46" t="n"/>
      <c r="C341" s="49" t="n"/>
      <c r="D341" s="49" t="n"/>
      <c r="E341" s="49" t="n"/>
      <c r="F341" s="49" t="n"/>
      <c r="G341" s="47" t="n"/>
      <c r="H341" s="50" t="n"/>
      <c r="I341" s="51" t="n"/>
      <c r="J341" s="46" t="n"/>
      <c r="K341" s="46" t="n"/>
      <c r="L341" s="23">
        <f>IF(OR($A341="",$B341=""),"",IF($K341&lt;&gt;"",$K341-$B341,TODAY()-$B341))</f>
        <v/>
      </c>
      <c r="M341" s="27">
        <f>IF(OR($A341="",$J341=""),"",IF($K341="",IF(TODAY()&gt;$J341,"Atrasado","En ruta"),IF($K341&lt;=$J341,"Sí","No")))</f>
        <v/>
      </c>
      <c r="N341" s="23">
        <f>IF($A341="","",COUNTIFS(NOVEDADES!$C$4:$C$1503,$A341))</f>
        <v/>
      </c>
      <c r="O341" s="27">
        <f>IF($A341="","",IF(COUNTIFS(NOVEDADES!$C$4:$C$1503,$A341,NOVEDADES!$M$4:$M$1503,"SÍ")&gt;0,"No","Sí"))</f>
        <v/>
      </c>
      <c r="P341" s="27">
        <f>IF(OR($A341="",$K341=""),"",IF(AND($M341="Sí",$O341="Sí"),"OTIF","Falló"))</f>
        <v/>
      </c>
    </row>
    <row r="342" ht="16" customHeight="1">
      <c r="A342" s="47" t="n"/>
      <c r="B342" s="46" t="n"/>
      <c r="C342" s="49" t="n"/>
      <c r="D342" s="49" t="n"/>
      <c r="E342" s="49" t="n"/>
      <c r="F342" s="49" t="n"/>
      <c r="G342" s="47" t="n"/>
      <c r="H342" s="50" t="n"/>
      <c r="I342" s="51" t="n"/>
      <c r="J342" s="46" t="n"/>
      <c r="K342" s="46" t="n"/>
      <c r="L342" s="23">
        <f>IF(OR($A342="",$B342=""),"",IF($K342&lt;&gt;"",$K342-$B342,TODAY()-$B342))</f>
        <v/>
      </c>
      <c r="M342" s="27">
        <f>IF(OR($A342="",$J342=""),"",IF($K342="",IF(TODAY()&gt;$J342,"Atrasado","En ruta"),IF($K342&lt;=$J342,"Sí","No")))</f>
        <v/>
      </c>
      <c r="N342" s="23">
        <f>IF($A342="","",COUNTIFS(NOVEDADES!$C$4:$C$1503,$A342))</f>
        <v/>
      </c>
      <c r="O342" s="27">
        <f>IF($A342="","",IF(COUNTIFS(NOVEDADES!$C$4:$C$1503,$A342,NOVEDADES!$M$4:$M$1503,"SÍ")&gt;0,"No","Sí"))</f>
        <v/>
      </c>
      <c r="P342" s="27">
        <f>IF(OR($A342="",$K342=""),"",IF(AND($M342="Sí",$O342="Sí"),"OTIF","Falló"))</f>
        <v/>
      </c>
    </row>
    <row r="343" ht="16" customHeight="1">
      <c r="A343" s="47" t="n"/>
      <c r="B343" s="46" t="n"/>
      <c r="C343" s="49" t="n"/>
      <c r="D343" s="49" t="n"/>
      <c r="E343" s="49" t="n"/>
      <c r="F343" s="49" t="n"/>
      <c r="G343" s="47" t="n"/>
      <c r="H343" s="50" t="n"/>
      <c r="I343" s="51" t="n"/>
      <c r="J343" s="46" t="n"/>
      <c r="K343" s="46" t="n"/>
      <c r="L343" s="23">
        <f>IF(OR($A343="",$B343=""),"",IF($K343&lt;&gt;"",$K343-$B343,TODAY()-$B343))</f>
        <v/>
      </c>
      <c r="M343" s="27">
        <f>IF(OR($A343="",$J343=""),"",IF($K343="",IF(TODAY()&gt;$J343,"Atrasado","En ruta"),IF($K343&lt;=$J343,"Sí","No")))</f>
        <v/>
      </c>
      <c r="N343" s="23">
        <f>IF($A343="","",COUNTIFS(NOVEDADES!$C$4:$C$1503,$A343))</f>
        <v/>
      </c>
      <c r="O343" s="27">
        <f>IF($A343="","",IF(COUNTIFS(NOVEDADES!$C$4:$C$1503,$A343,NOVEDADES!$M$4:$M$1503,"SÍ")&gt;0,"No","Sí"))</f>
        <v/>
      </c>
      <c r="P343" s="27">
        <f>IF(OR($A343="",$K343=""),"",IF(AND($M343="Sí",$O343="Sí"),"OTIF","Falló"))</f>
        <v/>
      </c>
    </row>
    <row r="344" ht="16" customHeight="1">
      <c r="A344" s="47" t="n"/>
      <c r="B344" s="46" t="n"/>
      <c r="C344" s="49" t="n"/>
      <c r="D344" s="49" t="n"/>
      <c r="E344" s="49" t="n"/>
      <c r="F344" s="49" t="n"/>
      <c r="G344" s="47" t="n"/>
      <c r="H344" s="50" t="n"/>
      <c r="I344" s="51" t="n"/>
      <c r="J344" s="46" t="n"/>
      <c r="K344" s="46" t="n"/>
      <c r="L344" s="23">
        <f>IF(OR($A344="",$B344=""),"",IF($K344&lt;&gt;"",$K344-$B344,TODAY()-$B344))</f>
        <v/>
      </c>
      <c r="M344" s="27">
        <f>IF(OR($A344="",$J344=""),"",IF($K344="",IF(TODAY()&gt;$J344,"Atrasado","En ruta"),IF($K344&lt;=$J344,"Sí","No")))</f>
        <v/>
      </c>
      <c r="N344" s="23">
        <f>IF($A344="","",COUNTIFS(NOVEDADES!$C$4:$C$1503,$A344))</f>
        <v/>
      </c>
      <c r="O344" s="27">
        <f>IF($A344="","",IF(COUNTIFS(NOVEDADES!$C$4:$C$1503,$A344,NOVEDADES!$M$4:$M$1503,"SÍ")&gt;0,"No","Sí"))</f>
        <v/>
      </c>
      <c r="P344" s="27">
        <f>IF(OR($A344="",$K344=""),"",IF(AND($M344="Sí",$O344="Sí"),"OTIF","Falló"))</f>
        <v/>
      </c>
    </row>
    <row r="345" ht="16" customHeight="1">
      <c r="A345" s="47" t="n"/>
      <c r="B345" s="46" t="n"/>
      <c r="C345" s="49" t="n"/>
      <c r="D345" s="49" t="n"/>
      <c r="E345" s="49" t="n"/>
      <c r="F345" s="49" t="n"/>
      <c r="G345" s="47" t="n"/>
      <c r="H345" s="50" t="n"/>
      <c r="I345" s="51" t="n"/>
      <c r="J345" s="46" t="n"/>
      <c r="K345" s="46" t="n"/>
      <c r="L345" s="23">
        <f>IF(OR($A345="",$B345=""),"",IF($K345&lt;&gt;"",$K345-$B345,TODAY()-$B345))</f>
        <v/>
      </c>
      <c r="M345" s="27">
        <f>IF(OR($A345="",$J345=""),"",IF($K345="",IF(TODAY()&gt;$J345,"Atrasado","En ruta"),IF($K345&lt;=$J345,"Sí","No")))</f>
        <v/>
      </c>
      <c r="N345" s="23">
        <f>IF($A345="","",COUNTIFS(NOVEDADES!$C$4:$C$1503,$A345))</f>
        <v/>
      </c>
      <c r="O345" s="27">
        <f>IF($A345="","",IF(COUNTIFS(NOVEDADES!$C$4:$C$1503,$A345,NOVEDADES!$M$4:$M$1503,"SÍ")&gt;0,"No","Sí"))</f>
        <v/>
      </c>
      <c r="P345" s="27">
        <f>IF(OR($A345="",$K345=""),"",IF(AND($M345="Sí",$O345="Sí"),"OTIF","Falló"))</f>
        <v/>
      </c>
    </row>
    <row r="346" ht="16" customHeight="1">
      <c r="A346" s="47" t="n"/>
      <c r="B346" s="46" t="n"/>
      <c r="C346" s="49" t="n"/>
      <c r="D346" s="49" t="n"/>
      <c r="E346" s="49" t="n"/>
      <c r="F346" s="49" t="n"/>
      <c r="G346" s="47" t="n"/>
      <c r="H346" s="50" t="n"/>
      <c r="I346" s="51" t="n"/>
      <c r="J346" s="46" t="n"/>
      <c r="K346" s="46" t="n"/>
      <c r="L346" s="23">
        <f>IF(OR($A346="",$B346=""),"",IF($K346&lt;&gt;"",$K346-$B346,TODAY()-$B346))</f>
        <v/>
      </c>
      <c r="M346" s="27">
        <f>IF(OR($A346="",$J346=""),"",IF($K346="",IF(TODAY()&gt;$J346,"Atrasado","En ruta"),IF($K346&lt;=$J346,"Sí","No")))</f>
        <v/>
      </c>
      <c r="N346" s="23">
        <f>IF($A346="","",COUNTIFS(NOVEDADES!$C$4:$C$1503,$A346))</f>
        <v/>
      </c>
      <c r="O346" s="27">
        <f>IF($A346="","",IF(COUNTIFS(NOVEDADES!$C$4:$C$1503,$A346,NOVEDADES!$M$4:$M$1503,"SÍ")&gt;0,"No","Sí"))</f>
        <v/>
      </c>
      <c r="P346" s="27">
        <f>IF(OR($A346="",$K346=""),"",IF(AND($M346="Sí",$O346="Sí"),"OTIF","Falló"))</f>
        <v/>
      </c>
    </row>
    <row r="347" ht="16" customHeight="1">
      <c r="A347" s="47" t="n"/>
      <c r="B347" s="46" t="n"/>
      <c r="C347" s="49" t="n"/>
      <c r="D347" s="49" t="n"/>
      <c r="E347" s="49" t="n"/>
      <c r="F347" s="49" t="n"/>
      <c r="G347" s="47" t="n"/>
      <c r="H347" s="50" t="n"/>
      <c r="I347" s="51" t="n"/>
      <c r="J347" s="46" t="n"/>
      <c r="K347" s="46" t="n"/>
      <c r="L347" s="23">
        <f>IF(OR($A347="",$B347=""),"",IF($K347&lt;&gt;"",$K347-$B347,TODAY()-$B347))</f>
        <v/>
      </c>
      <c r="M347" s="27">
        <f>IF(OR($A347="",$J347=""),"",IF($K347="",IF(TODAY()&gt;$J347,"Atrasado","En ruta"),IF($K347&lt;=$J347,"Sí","No")))</f>
        <v/>
      </c>
      <c r="N347" s="23">
        <f>IF($A347="","",COUNTIFS(NOVEDADES!$C$4:$C$1503,$A347))</f>
        <v/>
      </c>
      <c r="O347" s="27">
        <f>IF($A347="","",IF(COUNTIFS(NOVEDADES!$C$4:$C$1503,$A347,NOVEDADES!$M$4:$M$1503,"SÍ")&gt;0,"No","Sí"))</f>
        <v/>
      </c>
      <c r="P347" s="27">
        <f>IF(OR($A347="",$K347=""),"",IF(AND($M347="Sí",$O347="Sí"),"OTIF","Falló"))</f>
        <v/>
      </c>
    </row>
    <row r="348" ht="16" customHeight="1">
      <c r="A348" s="47" t="n"/>
      <c r="B348" s="46" t="n"/>
      <c r="C348" s="49" t="n"/>
      <c r="D348" s="49" t="n"/>
      <c r="E348" s="49" t="n"/>
      <c r="F348" s="49" t="n"/>
      <c r="G348" s="47" t="n"/>
      <c r="H348" s="50" t="n"/>
      <c r="I348" s="51" t="n"/>
      <c r="J348" s="46" t="n"/>
      <c r="K348" s="46" t="n"/>
      <c r="L348" s="23">
        <f>IF(OR($A348="",$B348=""),"",IF($K348&lt;&gt;"",$K348-$B348,TODAY()-$B348))</f>
        <v/>
      </c>
      <c r="M348" s="27">
        <f>IF(OR($A348="",$J348=""),"",IF($K348="",IF(TODAY()&gt;$J348,"Atrasado","En ruta"),IF($K348&lt;=$J348,"Sí","No")))</f>
        <v/>
      </c>
      <c r="N348" s="23">
        <f>IF($A348="","",COUNTIFS(NOVEDADES!$C$4:$C$1503,$A348))</f>
        <v/>
      </c>
      <c r="O348" s="27">
        <f>IF($A348="","",IF(COUNTIFS(NOVEDADES!$C$4:$C$1503,$A348,NOVEDADES!$M$4:$M$1503,"SÍ")&gt;0,"No","Sí"))</f>
        <v/>
      </c>
      <c r="P348" s="27">
        <f>IF(OR($A348="",$K348=""),"",IF(AND($M348="Sí",$O348="Sí"),"OTIF","Falló"))</f>
        <v/>
      </c>
    </row>
    <row r="349" ht="16" customHeight="1">
      <c r="A349" s="47" t="n"/>
      <c r="B349" s="46" t="n"/>
      <c r="C349" s="49" t="n"/>
      <c r="D349" s="49" t="n"/>
      <c r="E349" s="49" t="n"/>
      <c r="F349" s="49" t="n"/>
      <c r="G349" s="47" t="n"/>
      <c r="H349" s="50" t="n"/>
      <c r="I349" s="51" t="n"/>
      <c r="J349" s="46" t="n"/>
      <c r="K349" s="46" t="n"/>
      <c r="L349" s="23">
        <f>IF(OR($A349="",$B349=""),"",IF($K349&lt;&gt;"",$K349-$B349,TODAY()-$B349))</f>
        <v/>
      </c>
      <c r="M349" s="27">
        <f>IF(OR($A349="",$J349=""),"",IF($K349="",IF(TODAY()&gt;$J349,"Atrasado","En ruta"),IF($K349&lt;=$J349,"Sí","No")))</f>
        <v/>
      </c>
      <c r="N349" s="23">
        <f>IF($A349="","",COUNTIFS(NOVEDADES!$C$4:$C$1503,$A349))</f>
        <v/>
      </c>
      <c r="O349" s="27">
        <f>IF($A349="","",IF(COUNTIFS(NOVEDADES!$C$4:$C$1503,$A349,NOVEDADES!$M$4:$M$1503,"SÍ")&gt;0,"No","Sí"))</f>
        <v/>
      </c>
      <c r="P349" s="27">
        <f>IF(OR($A349="",$K349=""),"",IF(AND($M349="Sí",$O349="Sí"),"OTIF","Falló"))</f>
        <v/>
      </c>
    </row>
    <row r="350" ht="16" customHeight="1">
      <c r="A350" s="47" t="n"/>
      <c r="B350" s="46" t="n"/>
      <c r="C350" s="49" t="n"/>
      <c r="D350" s="49" t="n"/>
      <c r="E350" s="49" t="n"/>
      <c r="F350" s="49" t="n"/>
      <c r="G350" s="47" t="n"/>
      <c r="H350" s="50" t="n"/>
      <c r="I350" s="51" t="n"/>
      <c r="J350" s="46" t="n"/>
      <c r="K350" s="46" t="n"/>
      <c r="L350" s="23">
        <f>IF(OR($A350="",$B350=""),"",IF($K350&lt;&gt;"",$K350-$B350,TODAY()-$B350))</f>
        <v/>
      </c>
      <c r="M350" s="27">
        <f>IF(OR($A350="",$J350=""),"",IF($K350="",IF(TODAY()&gt;$J350,"Atrasado","En ruta"),IF($K350&lt;=$J350,"Sí","No")))</f>
        <v/>
      </c>
      <c r="N350" s="23">
        <f>IF($A350="","",COUNTIFS(NOVEDADES!$C$4:$C$1503,$A350))</f>
        <v/>
      </c>
      <c r="O350" s="27">
        <f>IF($A350="","",IF(COUNTIFS(NOVEDADES!$C$4:$C$1503,$A350,NOVEDADES!$M$4:$M$1503,"SÍ")&gt;0,"No","Sí"))</f>
        <v/>
      </c>
      <c r="P350" s="27">
        <f>IF(OR($A350="",$K350=""),"",IF(AND($M350="Sí",$O350="Sí"),"OTIF","Falló"))</f>
        <v/>
      </c>
    </row>
    <row r="351" ht="16" customHeight="1">
      <c r="A351" s="47" t="n"/>
      <c r="B351" s="46" t="n"/>
      <c r="C351" s="49" t="n"/>
      <c r="D351" s="49" t="n"/>
      <c r="E351" s="49" t="n"/>
      <c r="F351" s="49" t="n"/>
      <c r="G351" s="47" t="n"/>
      <c r="H351" s="50" t="n"/>
      <c r="I351" s="51" t="n"/>
      <c r="J351" s="46" t="n"/>
      <c r="K351" s="46" t="n"/>
      <c r="L351" s="23">
        <f>IF(OR($A351="",$B351=""),"",IF($K351&lt;&gt;"",$K351-$B351,TODAY()-$B351))</f>
        <v/>
      </c>
      <c r="M351" s="27">
        <f>IF(OR($A351="",$J351=""),"",IF($K351="",IF(TODAY()&gt;$J351,"Atrasado","En ruta"),IF($K351&lt;=$J351,"Sí","No")))</f>
        <v/>
      </c>
      <c r="N351" s="23">
        <f>IF($A351="","",COUNTIFS(NOVEDADES!$C$4:$C$1503,$A351))</f>
        <v/>
      </c>
      <c r="O351" s="27">
        <f>IF($A351="","",IF(COUNTIFS(NOVEDADES!$C$4:$C$1503,$A351,NOVEDADES!$M$4:$M$1503,"SÍ")&gt;0,"No","Sí"))</f>
        <v/>
      </c>
      <c r="P351" s="27">
        <f>IF(OR($A351="",$K351=""),"",IF(AND($M351="Sí",$O351="Sí"),"OTIF","Falló"))</f>
        <v/>
      </c>
    </row>
    <row r="352" ht="16" customHeight="1">
      <c r="A352" s="47" t="n"/>
      <c r="B352" s="46" t="n"/>
      <c r="C352" s="49" t="n"/>
      <c r="D352" s="49" t="n"/>
      <c r="E352" s="49" t="n"/>
      <c r="F352" s="49" t="n"/>
      <c r="G352" s="47" t="n"/>
      <c r="H352" s="50" t="n"/>
      <c r="I352" s="51" t="n"/>
      <c r="J352" s="46" t="n"/>
      <c r="K352" s="46" t="n"/>
      <c r="L352" s="23">
        <f>IF(OR($A352="",$B352=""),"",IF($K352&lt;&gt;"",$K352-$B352,TODAY()-$B352))</f>
        <v/>
      </c>
      <c r="M352" s="27">
        <f>IF(OR($A352="",$J352=""),"",IF($K352="",IF(TODAY()&gt;$J352,"Atrasado","En ruta"),IF($K352&lt;=$J352,"Sí","No")))</f>
        <v/>
      </c>
      <c r="N352" s="23">
        <f>IF($A352="","",COUNTIFS(NOVEDADES!$C$4:$C$1503,$A352))</f>
        <v/>
      </c>
      <c r="O352" s="27">
        <f>IF($A352="","",IF(COUNTIFS(NOVEDADES!$C$4:$C$1503,$A352,NOVEDADES!$M$4:$M$1503,"SÍ")&gt;0,"No","Sí"))</f>
        <v/>
      </c>
      <c r="P352" s="27">
        <f>IF(OR($A352="",$K352=""),"",IF(AND($M352="Sí",$O352="Sí"),"OTIF","Falló"))</f>
        <v/>
      </c>
    </row>
    <row r="353" ht="16" customHeight="1">
      <c r="A353" s="47" t="n"/>
      <c r="B353" s="46" t="n"/>
      <c r="C353" s="49" t="n"/>
      <c r="D353" s="49" t="n"/>
      <c r="E353" s="49" t="n"/>
      <c r="F353" s="49" t="n"/>
      <c r="G353" s="47" t="n"/>
      <c r="H353" s="50" t="n"/>
      <c r="I353" s="51" t="n"/>
      <c r="J353" s="46" t="n"/>
      <c r="K353" s="46" t="n"/>
      <c r="L353" s="23">
        <f>IF(OR($A353="",$B353=""),"",IF($K353&lt;&gt;"",$K353-$B353,TODAY()-$B353))</f>
        <v/>
      </c>
      <c r="M353" s="27">
        <f>IF(OR($A353="",$J353=""),"",IF($K353="",IF(TODAY()&gt;$J353,"Atrasado","En ruta"),IF($K353&lt;=$J353,"Sí","No")))</f>
        <v/>
      </c>
      <c r="N353" s="23">
        <f>IF($A353="","",COUNTIFS(NOVEDADES!$C$4:$C$1503,$A353))</f>
        <v/>
      </c>
      <c r="O353" s="27">
        <f>IF($A353="","",IF(COUNTIFS(NOVEDADES!$C$4:$C$1503,$A353,NOVEDADES!$M$4:$M$1503,"SÍ")&gt;0,"No","Sí"))</f>
        <v/>
      </c>
      <c r="P353" s="27">
        <f>IF(OR($A353="",$K353=""),"",IF(AND($M353="Sí",$O353="Sí"),"OTIF","Falló"))</f>
        <v/>
      </c>
    </row>
    <row r="354" ht="16" customHeight="1">
      <c r="A354" s="47" t="n"/>
      <c r="B354" s="46" t="n"/>
      <c r="C354" s="49" t="n"/>
      <c r="D354" s="49" t="n"/>
      <c r="E354" s="49" t="n"/>
      <c r="F354" s="49" t="n"/>
      <c r="G354" s="47" t="n"/>
      <c r="H354" s="50" t="n"/>
      <c r="I354" s="51" t="n"/>
      <c r="J354" s="46" t="n"/>
      <c r="K354" s="46" t="n"/>
      <c r="L354" s="23">
        <f>IF(OR($A354="",$B354=""),"",IF($K354&lt;&gt;"",$K354-$B354,TODAY()-$B354))</f>
        <v/>
      </c>
      <c r="M354" s="27">
        <f>IF(OR($A354="",$J354=""),"",IF($K354="",IF(TODAY()&gt;$J354,"Atrasado","En ruta"),IF($K354&lt;=$J354,"Sí","No")))</f>
        <v/>
      </c>
      <c r="N354" s="23">
        <f>IF($A354="","",COUNTIFS(NOVEDADES!$C$4:$C$1503,$A354))</f>
        <v/>
      </c>
      <c r="O354" s="27">
        <f>IF($A354="","",IF(COUNTIFS(NOVEDADES!$C$4:$C$1503,$A354,NOVEDADES!$M$4:$M$1503,"SÍ")&gt;0,"No","Sí"))</f>
        <v/>
      </c>
      <c r="P354" s="27">
        <f>IF(OR($A354="",$K354=""),"",IF(AND($M354="Sí",$O354="Sí"),"OTIF","Falló"))</f>
        <v/>
      </c>
    </row>
    <row r="355" ht="16" customHeight="1">
      <c r="A355" s="47" t="n"/>
      <c r="B355" s="46" t="n"/>
      <c r="C355" s="49" t="n"/>
      <c r="D355" s="49" t="n"/>
      <c r="E355" s="49" t="n"/>
      <c r="F355" s="49" t="n"/>
      <c r="G355" s="47" t="n"/>
      <c r="H355" s="50" t="n"/>
      <c r="I355" s="51" t="n"/>
      <c r="J355" s="46" t="n"/>
      <c r="K355" s="46" t="n"/>
      <c r="L355" s="23">
        <f>IF(OR($A355="",$B355=""),"",IF($K355&lt;&gt;"",$K355-$B355,TODAY()-$B355))</f>
        <v/>
      </c>
      <c r="M355" s="27">
        <f>IF(OR($A355="",$J355=""),"",IF($K355="",IF(TODAY()&gt;$J355,"Atrasado","En ruta"),IF($K355&lt;=$J355,"Sí","No")))</f>
        <v/>
      </c>
      <c r="N355" s="23">
        <f>IF($A355="","",COUNTIFS(NOVEDADES!$C$4:$C$1503,$A355))</f>
        <v/>
      </c>
      <c r="O355" s="27">
        <f>IF($A355="","",IF(COUNTIFS(NOVEDADES!$C$4:$C$1503,$A355,NOVEDADES!$M$4:$M$1503,"SÍ")&gt;0,"No","Sí"))</f>
        <v/>
      </c>
      <c r="P355" s="27">
        <f>IF(OR($A355="",$K355=""),"",IF(AND($M355="Sí",$O355="Sí"),"OTIF","Falló"))</f>
        <v/>
      </c>
    </row>
    <row r="356" ht="16" customHeight="1">
      <c r="A356" s="47" t="n"/>
      <c r="B356" s="46" t="n"/>
      <c r="C356" s="49" t="n"/>
      <c r="D356" s="49" t="n"/>
      <c r="E356" s="49" t="n"/>
      <c r="F356" s="49" t="n"/>
      <c r="G356" s="47" t="n"/>
      <c r="H356" s="50" t="n"/>
      <c r="I356" s="51" t="n"/>
      <c r="J356" s="46" t="n"/>
      <c r="K356" s="46" t="n"/>
      <c r="L356" s="23">
        <f>IF(OR($A356="",$B356=""),"",IF($K356&lt;&gt;"",$K356-$B356,TODAY()-$B356))</f>
        <v/>
      </c>
      <c r="M356" s="27">
        <f>IF(OR($A356="",$J356=""),"",IF($K356="",IF(TODAY()&gt;$J356,"Atrasado","En ruta"),IF($K356&lt;=$J356,"Sí","No")))</f>
        <v/>
      </c>
      <c r="N356" s="23">
        <f>IF($A356="","",COUNTIFS(NOVEDADES!$C$4:$C$1503,$A356))</f>
        <v/>
      </c>
      <c r="O356" s="27">
        <f>IF($A356="","",IF(COUNTIFS(NOVEDADES!$C$4:$C$1503,$A356,NOVEDADES!$M$4:$M$1503,"SÍ")&gt;0,"No","Sí"))</f>
        <v/>
      </c>
      <c r="P356" s="27">
        <f>IF(OR($A356="",$K356=""),"",IF(AND($M356="Sí",$O356="Sí"),"OTIF","Falló"))</f>
        <v/>
      </c>
    </row>
    <row r="357" ht="16" customHeight="1">
      <c r="A357" s="47" t="n"/>
      <c r="B357" s="46" t="n"/>
      <c r="C357" s="49" t="n"/>
      <c r="D357" s="49" t="n"/>
      <c r="E357" s="49" t="n"/>
      <c r="F357" s="49" t="n"/>
      <c r="G357" s="47" t="n"/>
      <c r="H357" s="50" t="n"/>
      <c r="I357" s="51" t="n"/>
      <c r="J357" s="46" t="n"/>
      <c r="K357" s="46" t="n"/>
      <c r="L357" s="23">
        <f>IF(OR($A357="",$B357=""),"",IF($K357&lt;&gt;"",$K357-$B357,TODAY()-$B357))</f>
        <v/>
      </c>
      <c r="M357" s="27">
        <f>IF(OR($A357="",$J357=""),"",IF($K357="",IF(TODAY()&gt;$J357,"Atrasado","En ruta"),IF($K357&lt;=$J357,"Sí","No")))</f>
        <v/>
      </c>
      <c r="N357" s="23">
        <f>IF($A357="","",COUNTIFS(NOVEDADES!$C$4:$C$1503,$A357))</f>
        <v/>
      </c>
      <c r="O357" s="27">
        <f>IF($A357="","",IF(COUNTIFS(NOVEDADES!$C$4:$C$1503,$A357,NOVEDADES!$M$4:$M$1503,"SÍ")&gt;0,"No","Sí"))</f>
        <v/>
      </c>
      <c r="P357" s="27">
        <f>IF(OR($A357="",$K357=""),"",IF(AND($M357="Sí",$O357="Sí"),"OTIF","Falló"))</f>
        <v/>
      </c>
    </row>
    <row r="358" ht="16" customHeight="1">
      <c r="A358" s="47" t="n"/>
      <c r="B358" s="46" t="n"/>
      <c r="C358" s="49" t="n"/>
      <c r="D358" s="49" t="n"/>
      <c r="E358" s="49" t="n"/>
      <c r="F358" s="49" t="n"/>
      <c r="G358" s="47" t="n"/>
      <c r="H358" s="50" t="n"/>
      <c r="I358" s="51" t="n"/>
      <c r="J358" s="46" t="n"/>
      <c r="K358" s="46" t="n"/>
      <c r="L358" s="23">
        <f>IF(OR($A358="",$B358=""),"",IF($K358&lt;&gt;"",$K358-$B358,TODAY()-$B358))</f>
        <v/>
      </c>
      <c r="M358" s="27">
        <f>IF(OR($A358="",$J358=""),"",IF($K358="",IF(TODAY()&gt;$J358,"Atrasado","En ruta"),IF($K358&lt;=$J358,"Sí","No")))</f>
        <v/>
      </c>
      <c r="N358" s="23">
        <f>IF($A358="","",COUNTIFS(NOVEDADES!$C$4:$C$1503,$A358))</f>
        <v/>
      </c>
      <c r="O358" s="27">
        <f>IF($A358="","",IF(COUNTIFS(NOVEDADES!$C$4:$C$1503,$A358,NOVEDADES!$M$4:$M$1503,"SÍ")&gt;0,"No","Sí"))</f>
        <v/>
      </c>
      <c r="P358" s="27">
        <f>IF(OR($A358="",$K358=""),"",IF(AND($M358="Sí",$O358="Sí"),"OTIF","Falló"))</f>
        <v/>
      </c>
    </row>
    <row r="359" ht="16" customHeight="1">
      <c r="A359" s="47" t="n"/>
      <c r="B359" s="46" t="n"/>
      <c r="C359" s="49" t="n"/>
      <c r="D359" s="49" t="n"/>
      <c r="E359" s="49" t="n"/>
      <c r="F359" s="49" t="n"/>
      <c r="G359" s="47" t="n"/>
      <c r="H359" s="50" t="n"/>
      <c r="I359" s="51" t="n"/>
      <c r="J359" s="46" t="n"/>
      <c r="K359" s="46" t="n"/>
      <c r="L359" s="23">
        <f>IF(OR($A359="",$B359=""),"",IF($K359&lt;&gt;"",$K359-$B359,TODAY()-$B359))</f>
        <v/>
      </c>
      <c r="M359" s="27">
        <f>IF(OR($A359="",$J359=""),"",IF($K359="",IF(TODAY()&gt;$J359,"Atrasado","En ruta"),IF($K359&lt;=$J359,"Sí","No")))</f>
        <v/>
      </c>
      <c r="N359" s="23">
        <f>IF($A359="","",COUNTIFS(NOVEDADES!$C$4:$C$1503,$A359))</f>
        <v/>
      </c>
      <c r="O359" s="27">
        <f>IF($A359="","",IF(COUNTIFS(NOVEDADES!$C$4:$C$1503,$A359,NOVEDADES!$M$4:$M$1503,"SÍ")&gt;0,"No","Sí"))</f>
        <v/>
      </c>
      <c r="P359" s="27">
        <f>IF(OR($A359="",$K359=""),"",IF(AND($M359="Sí",$O359="Sí"),"OTIF","Falló"))</f>
        <v/>
      </c>
    </row>
    <row r="360" ht="16" customHeight="1">
      <c r="A360" s="47" t="n"/>
      <c r="B360" s="46" t="n"/>
      <c r="C360" s="49" t="n"/>
      <c r="D360" s="49" t="n"/>
      <c r="E360" s="49" t="n"/>
      <c r="F360" s="49" t="n"/>
      <c r="G360" s="47" t="n"/>
      <c r="H360" s="50" t="n"/>
      <c r="I360" s="51" t="n"/>
      <c r="J360" s="46" t="n"/>
      <c r="K360" s="46" t="n"/>
      <c r="L360" s="23">
        <f>IF(OR($A360="",$B360=""),"",IF($K360&lt;&gt;"",$K360-$B360,TODAY()-$B360))</f>
        <v/>
      </c>
      <c r="M360" s="27">
        <f>IF(OR($A360="",$J360=""),"",IF($K360="",IF(TODAY()&gt;$J360,"Atrasado","En ruta"),IF($K360&lt;=$J360,"Sí","No")))</f>
        <v/>
      </c>
      <c r="N360" s="23">
        <f>IF($A360="","",COUNTIFS(NOVEDADES!$C$4:$C$1503,$A360))</f>
        <v/>
      </c>
      <c r="O360" s="27">
        <f>IF($A360="","",IF(COUNTIFS(NOVEDADES!$C$4:$C$1503,$A360,NOVEDADES!$M$4:$M$1503,"SÍ")&gt;0,"No","Sí"))</f>
        <v/>
      </c>
      <c r="P360" s="27">
        <f>IF(OR($A360="",$K360=""),"",IF(AND($M360="Sí",$O360="Sí"),"OTIF","Falló"))</f>
        <v/>
      </c>
    </row>
    <row r="361" ht="16" customHeight="1">
      <c r="A361" s="47" t="n"/>
      <c r="B361" s="46" t="n"/>
      <c r="C361" s="49" t="n"/>
      <c r="D361" s="49" t="n"/>
      <c r="E361" s="49" t="n"/>
      <c r="F361" s="49" t="n"/>
      <c r="G361" s="47" t="n"/>
      <c r="H361" s="50" t="n"/>
      <c r="I361" s="51" t="n"/>
      <c r="J361" s="46" t="n"/>
      <c r="K361" s="46" t="n"/>
      <c r="L361" s="23">
        <f>IF(OR($A361="",$B361=""),"",IF($K361&lt;&gt;"",$K361-$B361,TODAY()-$B361))</f>
        <v/>
      </c>
      <c r="M361" s="27">
        <f>IF(OR($A361="",$J361=""),"",IF($K361="",IF(TODAY()&gt;$J361,"Atrasado","En ruta"),IF($K361&lt;=$J361,"Sí","No")))</f>
        <v/>
      </c>
      <c r="N361" s="23">
        <f>IF($A361="","",COUNTIFS(NOVEDADES!$C$4:$C$1503,$A361))</f>
        <v/>
      </c>
      <c r="O361" s="27">
        <f>IF($A361="","",IF(COUNTIFS(NOVEDADES!$C$4:$C$1503,$A361,NOVEDADES!$M$4:$M$1503,"SÍ")&gt;0,"No","Sí"))</f>
        <v/>
      </c>
      <c r="P361" s="27">
        <f>IF(OR($A361="",$K361=""),"",IF(AND($M361="Sí",$O361="Sí"),"OTIF","Falló"))</f>
        <v/>
      </c>
    </row>
    <row r="362" ht="16" customHeight="1">
      <c r="A362" s="47" t="n"/>
      <c r="B362" s="46" t="n"/>
      <c r="C362" s="49" t="n"/>
      <c r="D362" s="49" t="n"/>
      <c r="E362" s="49" t="n"/>
      <c r="F362" s="49" t="n"/>
      <c r="G362" s="47" t="n"/>
      <c r="H362" s="50" t="n"/>
      <c r="I362" s="51" t="n"/>
      <c r="J362" s="46" t="n"/>
      <c r="K362" s="46" t="n"/>
      <c r="L362" s="23">
        <f>IF(OR($A362="",$B362=""),"",IF($K362&lt;&gt;"",$K362-$B362,TODAY()-$B362))</f>
        <v/>
      </c>
      <c r="M362" s="27">
        <f>IF(OR($A362="",$J362=""),"",IF($K362="",IF(TODAY()&gt;$J362,"Atrasado","En ruta"),IF($K362&lt;=$J362,"Sí","No")))</f>
        <v/>
      </c>
      <c r="N362" s="23">
        <f>IF($A362="","",COUNTIFS(NOVEDADES!$C$4:$C$1503,$A362))</f>
        <v/>
      </c>
      <c r="O362" s="27">
        <f>IF($A362="","",IF(COUNTIFS(NOVEDADES!$C$4:$C$1503,$A362,NOVEDADES!$M$4:$M$1503,"SÍ")&gt;0,"No","Sí"))</f>
        <v/>
      </c>
      <c r="P362" s="27">
        <f>IF(OR($A362="",$K362=""),"",IF(AND($M362="Sí",$O362="Sí"),"OTIF","Falló"))</f>
        <v/>
      </c>
    </row>
    <row r="363" ht="16" customHeight="1">
      <c r="A363" s="47" t="n"/>
      <c r="B363" s="46" t="n"/>
      <c r="C363" s="49" t="n"/>
      <c r="D363" s="49" t="n"/>
      <c r="E363" s="49" t="n"/>
      <c r="F363" s="49" t="n"/>
      <c r="G363" s="47" t="n"/>
      <c r="H363" s="50" t="n"/>
      <c r="I363" s="51" t="n"/>
      <c r="J363" s="46" t="n"/>
      <c r="K363" s="46" t="n"/>
      <c r="L363" s="23">
        <f>IF(OR($A363="",$B363=""),"",IF($K363&lt;&gt;"",$K363-$B363,TODAY()-$B363))</f>
        <v/>
      </c>
      <c r="M363" s="27">
        <f>IF(OR($A363="",$J363=""),"",IF($K363="",IF(TODAY()&gt;$J363,"Atrasado","En ruta"),IF($K363&lt;=$J363,"Sí","No")))</f>
        <v/>
      </c>
      <c r="N363" s="23">
        <f>IF($A363="","",COUNTIFS(NOVEDADES!$C$4:$C$1503,$A363))</f>
        <v/>
      </c>
      <c r="O363" s="27">
        <f>IF($A363="","",IF(COUNTIFS(NOVEDADES!$C$4:$C$1503,$A363,NOVEDADES!$M$4:$M$1503,"SÍ")&gt;0,"No","Sí"))</f>
        <v/>
      </c>
      <c r="P363" s="27">
        <f>IF(OR($A363="",$K363=""),"",IF(AND($M363="Sí",$O363="Sí"),"OTIF","Falló"))</f>
        <v/>
      </c>
    </row>
    <row r="364" ht="16" customHeight="1">
      <c r="A364" s="47" t="n"/>
      <c r="B364" s="46" t="n"/>
      <c r="C364" s="49" t="n"/>
      <c r="D364" s="49" t="n"/>
      <c r="E364" s="49" t="n"/>
      <c r="F364" s="49" t="n"/>
      <c r="G364" s="47" t="n"/>
      <c r="H364" s="50" t="n"/>
      <c r="I364" s="51" t="n"/>
      <c r="J364" s="46" t="n"/>
      <c r="K364" s="46" t="n"/>
      <c r="L364" s="23">
        <f>IF(OR($A364="",$B364=""),"",IF($K364&lt;&gt;"",$K364-$B364,TODAY()-$B364))</f>
        <v/>
      </c>
      <c r="M364" s="27">
        <f>IF(OR($A364="",$J364=""),"",IF($K364="",IF(TODAY()&gt;$J364,"Atrasado","En ruta"),IF($K364&lt;=$J364,"Sí","No")))</f>
        <v/>
      </c>
      <c r="N364" s="23">
        <f>IF($A364="","",COUNTIFS(NOVEDADES!$C$4:$C$1503,$A364))</f>
        <v/>
      </c>
      <c r="O364" s="27">
        <f>IF($A364="","",IF(COUNTIFS(NOVEDADES!$C$4:$C$1503,$A364,NOVEDADES!$M$4:$M$1503,"SÍ")&gt;0,"No","Sí"))</f>
        <v/>
      </c>
      <c r="P364" s="27">
        <f>IF(OR($A364="",$K364=""),"",IF(AND($M364="Sí",$O364="Sí"),"OTIF","Falló"))</f>
        <v/>
      </c>
    </row>
    <row r="365" ht="16" customHeight="1">
      <c r="A365" s="47" t="n"/>
      <c r="B365" s="46" t="n"/>
      <c r="C365" s="49" t="n"/>
      <c r="D365" s="49" t="n"/>
      <c r="E365" s="49" t="n"/>
      <c r="F365" s="49" t="n"/>
      <c r="G365" s="47" t="n"/>
      <c r="H365" s="50" t="n"/>
      <c r="I365" s="51" t="n"/>
      <c r="J365" s="46" t="n"/>
      <c r="K365" s="46" t="n"/>
      <c r="L365" s="23">
        <f>IF(OR($A365="",$B365=""),"",IF($K365&lt;&gt;"",$K365-$B365,TODAY()-$B365))</f>
        <v/>
      </c>
      <c r="M365" s="27">
        <f>IF(OR($A365="",$J365=""),"",IF($K365="",IF(TODAY()&gt;$J365,"Atrasado","En ruta"),IF($K365&lt;=$J365,"Sí","No")))</f>
        <v/>
      </c>
      <c r="N365" s="23">
        <f>IF($A365="","",COUNTIFS(NOVEDADES!$C$4:$C$1503,$A365))</f>
        <v/>
      </c>
      <c r="O365" s="27">
        <f>IF($A365="","",IF(COUNTIFS(NOVEDADES!$C$4:$C$1503,$A365,NOVEDADES!$M$4:$M$1503,"SÍ")&gt;0,"No","Sí"))</f>
        <v/>
      </c>
      <c r="P365" s="27">
        <f>IF(OR($A365="",$K365=""),"",IF(AND($M365="Sí",$O365="Sí"),"OTIF","Falló"))</f>
        <v/>
      </c>
    </row>
    <row r="366" ht="16" customHeight="1">
      <c r="A366" s="47" t="n"/>
      <c r="B366" s="46" t="n"/>
      <c r="C366" s="49" t="n"/>
      <c r="D366" s="49" t="n"/>
      <c r="E366" s="49" t="n"/>
      <c r="F366" s="49" t="n"/>
      <c r="G366" s="47" t="n"/>
      <c r="H366" s="50" t="n"/>
      <c r="I366" s="51" t="n"/>
      <c r="J366" s="46" t="n"/>
      <c r="K366" s="46" t="n"/>
      <c r="L366" s="23">
        <f>IF(OR($A366="",$B366=""),"",IF($K366&lt;&gt;"",$K366-$B366,TODAY()-$B366))</f>
        <v/>
      </c>
      <c r="M366" s="27">
        <f>IF(OR($A366="",$J366=""),"",IF($K366="",IF(TODAY()&gt;$J366,"Atrasado","En ruta"),IF($K366&lt;=$J366,"Sí","No")))</f>
        <v/>
      </c>
      <c r="N366" s="23">
        <f>IF($A366="","",COUNTIFS(NOVEDADES!$C$4:$C$1503,$A366))</f>
        <v/>
      </c>
      <c r="O366" s="27">
        <f>IF($A366="","",IF(COUNTIFS(NOVEDADES!$C$4:$C$1503,$A366,NOVEDADES!$M$4:$M$1503,"SÍ")&gt;0,"No","Sí"))</f>
        <v/>
      </c>
      <c r="P366" s="27">
        <f>IF(OR($A366="",$K366=""),"",IF(AND($M366="Sí",$O366="Sí"),"OTIF","Falló"))</f>
        <v/>
      </c>
    </row>
    <row r="367" ht="16" customHeight="1">
      <c r="A367" s="47" t="n"/>
      <c r="B367" s="46" t="n"/>
      <c r="C367" s="49" t="n"/>
      <c r="D367" s="49" t="n"/>
      <c r="E367" s="49" t="n"/>
      <c r="F367" s="49" t="n"/>
      <c r="G367" s="47" t="n"/>
      <c r="H367" s="50" t="n"/>
      <c r="I367" s="51" t="n"/>
      <c r="J367" s="46" t="n"/>
      <c r="K367" s="46" t="n"/>
      <c r="L367" s="23">
        <f>IF(OR($A367="",$B367=""),"",IF($K367&lt;&gt;"",$K367-$B367,TODAY()-$B367))</f>
        <v/>
      </c>
      <c r="M367" s="27">
        <f>IF(OR($A367="",$J367=""),"",IF($K367="",IF(TODAY()&gt;$J367,"Atrasado","En ruta"),IF($K367&lt;=$J367,"Sí","No")))</f>
        <v/>
      </c>
      <c r="N367" s="23">
        <f>IF($A367="","",COUNTIFS(NOVEDADES!$C$4:$C$1503,$A367))</f>
        <v/>
      </c>
      <c r="O367" s="27">
        <f>IF($A367="","",IF(COUNTIFS(NOVEDADES!$C$4:$C$1503,$A367,NOVEDADES!$M$4:$M$1503,"SÍ")&gt;0,"No","Sí"))</f>
        <v/>
      </c>
      <c r="P367" s="27">
        <f>IF(OR($A367="",$K367=""),"",IF(AND($M367="Sí",$O367="Sí"),"OTIF","Falló"))</f>
        <v/>
      </c>
    </row>
    <row r="368" ht="16" customHeight="1">
      <c r="A368" s="47" t="n"/>
      <c r="B368" s="46" t="n"/>
      <c r="C368" s="49" t="n"/>
      <c r="D368" s="49" t="n"/>
      <c r="E368" s="49" t="n"/>
      <c r="F368" s="49" t="n"/>
      <c r="G368" s="47" t="n"/>
      <c r="H368" s="50" t="n"/>
      <c r="I368" s="51" t="n"/>
      <c r="J368" s="46" t="n"/>
      <c r="K368" s="46" t="n"/>
      <c r="L368" s="23">
        <f>IF(OR($A368="",$B368=""),"",IF($K368&lt;&gt;"",$K368-$B368,TODAY()-$B368))</f>
        <v/>
      </c>
      <c r="M368" s="27">
        <f>IF(OR($A368="",$J368=""),"",IF($K368="",IF(TODAY()&gt;$J368,"Atrasado","En ruta"),IF($K368&lt;=$J368,"Sí","No")))</f>
        <v/>
      </c>
      <c r="N368" s="23">
        <f>IF($A368="","",COUNTIFS(NOVEDADES!$C$4:$C$1503,$A368))</f>
        <v/>
      </c>
      <c r="O368" s="27">
        <f>IF($A368="","",IF(COUNTIFS(NOVEDADES!$C$4:$C$1503,$A368,NOVEDADES!$M$4:$M$1503,"SÍ")&gt;0,"No","Sí"))</f>
        <v/>
      </c>
      <c r="P368" s="27">
        <f>IF(OR($A368="",$K368=""),"",IF(AND($M368="Sí",$O368="Sí"),"OTIF","Falló"))</f>
        <v/>
      </c>
    </row>
    <row r="369" ht="16" customHeight="1">
      <c r="A369" s="47" t="n"/>
      <c r="B369" s="46" t="n"/>
      <c r="C369" s="49" t="n"/>
      <c r="D369" s="49" t="n"/>
      <c r="E369" s="49" t="n"/>
      <c r="F369" s="49" t="n"/>
      <c r="G369" s="47" t="n"/>
      <c r="H369" s="50" t="n"/>
      <c r="I369" s="51" t="n"/>
      <c r="J369" s="46" t="n"/>
      <c r="K369" s="46" t="n"/>
      <c r="L369" s="23">
        <f>IF(OR($A369="",$B369=""),"",IF($K369&lt;&gt;"",$K369-$B369,TODAY()-$B369))</f>
        <v/>
      </c>
      <c r="M369" s="27">
        <f>IF(OR($A369="",$J369=""),"",IF($K369="",IF(TODAY()&gt;$J369,"Atrasado","En ruta"),IF($K369&lt;=$J369,"Sí","No")))</f>
        <v/>
      </c>
      <c r="N369" s="23">
        <f>IF($A369="","",COUNTIFS(NOVEDADES!$C$4:$C$1503,$A369))</f>
        <v/>
      </c>
      <c r="O369" s="27">
        <f>IF($A369="","",IF(COUNTIFS(NOVEDADES!$C$4:$C$1503,$A369,NOVEDADES!$M$4:$M$1503,"SÍ")&gt;0,"No","Sí"))</f>
        <v/>
      </c>
      <c r="P369" s="27">
        <f>IF(OR($A369="",$K369=""),"",IF(AND($M369="Sí",$O369="Sí"),"OTIF","Falló"))</f>
        <v/>
      </c>
    </row>
    <row r="370" ht="16" customHeight="1">
      <c r="A370" s="47" t="n"/>
      <c r="B370" s="46" t="n"/>
      <c r="C370" s="49" t="n"/>
      <c r="D370" s="49" t="n"/>
      <c r="E370" s="49" t="n"/>
      <c r="F370" s="49" t="n"/>
      <c r="G370" s="47" t="n"/>
      <c r="H370" s="50" t="n"/>
      <c r="I370" s="51" t="n"/>
      <c r="J370" s="46" t="n"/>
      <c r="K370" s="46" t="n"/>
      <c r="L370" s="23">
        <f>IF(OR($A370="",$B370=""),"",IF($K370&lt;&gt;"",$K370-$B370,TODAY()-$B370))</f>
        <v/>
      </c>
      <c r="M370" s="27">
        <f>IF(OR($A370="",$J370=""),"",IF($K370="",IF(TODAY()&gt;$J370,"Atrasado","En ruta"),IF($K370&lt;=$J370,"Sí","No")))</f>
        <v/>
      </c>
      <c r="N370" s="23">
        <f>IF($A370="","",COUNTIFS(NOVEDADES!$C$4:$C$1503,$A370))</f>
        <v/>
      </c>
      <c r="O370" s="27">
        <f>IF($A370="","",IF(COUNTIFS(NOVEDADES!$C$4:$C$1503,$A370,NOVEDADES!$M$4:$M$1503,"SÍ")&gt;0,"No","Sí"))</f>
        <v/>
      </c>
      <c r="P370" s="27">
        <f>IF(OR($A370="",$K370=""),"",IF(AND($M370="Sí",$O370="Sí"),"OTIF","Falló"))</f>
        <v/>
      </c>
    </row>
    <row r="371" ht="16" customHeight="1">
      <c r="A371" s="47" t="n"/>
      <c r="B371" s="46" t="n"/>
      <c r="C371" s="49" t="n"/>
      <c r="D371" s="49" t="n"/>
      <c r="E371" s="49" t="n"/>
      <c r="F371" s="49" t="n"/>
      <c r="G371" s="47" t="n"/>
      <c r="H371" s="50" t="n"/>
      <c r="I371" s="51" t="n"/>
      <c r="J371" s="46" t="n"/>
      <c r="K371" s="46" t="n"/>
      <c r="L371" s="23">
        <f>IF(OR($A371="",$B371=""),"",IF($K371&lt;&gt;"",$K371-$B371,TODAY()-$B371))</f>
        <v/>
      </c>
      <c r="M371" s="27">
        <f>IF(OR($A371="",$J371=""),"",IF($K371="",IF(TODAY()&gt;$J371,"Atrasado","En ruta"),IF($K371&lt;=$J371,"Sí","No")))</f>
        <v/>
      </c>
      <c r="N371" s="23">
        <f>IF($A371="","",COUNTIFS(NOVEDADES!$C$4:$C$1503,$A371))</f>
        <v/>
      </c>
      <c r="O371" s="27">
        <f>IF($A371="","",IF(COUNTIFS(NOVEDADES!$C$4:$C$1503,$A371,NOVEDADES!$M$4:$M$1503,"SÍ")&gt;0,"No","Sí"))</f>
        <v/>
      </c>
      <c r="P371" s="27">
        <f>IF(OR($A371="",$K371=""),"",IF(AND($M371="Sí",$O371="Sí"),"OTIF","Falló"))</f>
        <v/>
      </c>
    </row>
    <row r="372" ht="16" customHeight="1">
      <c r="A372" s="47" t="n"/>
      <c r="B372" s="46" t="n"/>
      <c r="C372" s="49" t="n"/>
      <c r="D372" s="49" t="n"/>
      <c r="E372" s="49" t="n"/>
      <c r="F372" s="49" t="n"/>
      <c r="G372" s="47" t="n"/>
      <c r="H372" s="50" t="n"/>
      <c r="I372" s="51" t="n"/>
      <c r="J372" s="46" t="n"/>
      <c r="K372" s="46" t="n"/>
      <c r="L372" s="23">
        <f>IF(OR($A372="",$B372=""),"",IF($K372&lt;&gt;"",$K372-$B372,TODAY()-$B372))</f>
        <v/>
      </c>
      <c r="M372" s="27">
        <f>IF(OR($A372="",$J372=""),"",IF($K372="",IF(TODAY()&gt;$J372,"Atrasado","En ruta"),IF($K372&lt;=$J372,"Sí","No")))</f>
        <v/>
      </c>
      <c r="N372" s="23">
        <f>IF($A372="","",COUNTIFS(NOVEDADES!$C$4:$C$1503,$A372))</f>
        <v/>
      </c>
      <c r="O372" s="27">
        <f>IF($A372="","",IF(COUNTIFS(NOVEDADES!$C$4:$C$1503,$A372,NOVEDADES!$M$4:$M$1503,"SÍ")&gt;0,"No","Sí"))</f>
        <v/>
      </c>
      <c r="P372" s="27">
        <f>IF(OR($A372="",$K372=""),"",IF(AND($M372="Sí",$O372="Sí"),"OTIF","Falló"))</f>
        <v/>
      </c>
    </row>
    <row r="373" ht="16" customHeight="1">
      <c r="A373" s="47" t="n"/>
      <c r="B373" s="46" t="n"/>
      <c r="C373" s="49" t="n"/>
      <c r="D373" s="49" t="n"/>
      <c r="E373" s="49" t="n"/>
      <c r="F373" s="49" t="n"/>
      <c r="G373" s="47" t="n"/>
      <c r="H373" s="50" t="n"/>
      <c r="I373" s="51" t="n"/>
      <c r="J373" s="46" t="n"/>
      <c r="K373" s="46" t="n"/>
      <c r="L373" s="23">
        <f>IF(OR($A373="",$B373=""),"",IF($K373&lt;&gt;"",$K373-$B373,TODAY()-$B373))</f>
        <v/>
      </c>
      <c r="M373" s="27">
        <f>IF(OR($A373="",$J373=""),"",IF($K373="",IF(TODAY()&gt;$J373,"Atrasado","En ruta"),IF($K373&lt;=$J373,"Sí","No")))</f>
        <v/>
      </c>
      <c r="N373" s="23">
        <f>IF($A373="","",COUNTIFS(NOVEDADES!$C$4:$C$1503,$A373))</f>
        <v/>
      </c>
      <c r="O373" s="27">
        <f>IF($A373="","",IF(COUNTIFS(NOVEDADES!$C$4:$C$1503,$A373,NOVEDADES!$M$4:$M$1503,"SÍ")&gt;0,"No","Sí"))</f>
        <v/>
      </c>
      <c r="P373" s="27">
        <f>IF(OR($A373="",$K373=""),"",IF(AND($M373="Sí",$O373="Sí"),"OTIF","Falló"))</f>
        <v/>
      </c>
    </row>
    <row r="374" ht="16" customHeight="1">
      <c r="A374" s="47" t="n"/>
      <c r="B374" s="46" t="n"/>
      <c r="C374" s="49" t="n"/>
      <c r="D374" s="49" t="n"/>
      <c r="E374" s="49" t="n"/>
      <c r="F374" s="49" t="n"/>
      <c r="G374" s="47" t="n"/>
      <c r="H374" s="50" t="n"/>
      <c r="I374" s="51" t="n"/>
      <c r="J374" s="46" t="n"/>
      <c r="K374" s="46" t="n"/>
      <c r="L374" s="23">
        <f>IF(OR($A374="",$B374=""),"",IF($K374&lt;&gt;"",$K374-$B374,TODAY()-$B374))</f>
        <v/>
      </c>
      <c r="M374" s="27">
        <f>IF(OR($A374="",$J374=""),"",IF($K374="",IF(TODAY()&gt;$J374,"Atrasado","En ruta"),IF($K374&lt;=$J374,"Sí","No")))</f>
        <v/>
      </c>
      <c r="N374" s="23">
        <f>IF($A374="","",COUNTIFS(NOVEDADES!$C$4:$C$1503,$A374))</f>
        <v/>
      </c>
      <c r="O374" s="27">
        <f>IF($A374="","",IF(COUNTIFS(NOVEDADES!$C$4:$C$1503,$A374,NOVEDADES!$M$4:$M$1503,"SÍ")&gt;0,"No","Sí"))</f>
        <v/>
      </c>
      <c r="P374" s="27">
        <f>IF(OR($A374="",$K374=""),"",IF(AND($M374="Sí",$O374="Sí"),"OTIF","Falló"))</f>
        <v/>
      </c>
    </row>
    <row r="375" ht="16" customHeight="1">
      <c r="A375" s="47" t="n"/>
      <c r="B375" s="46" t="n"/>
      <c r="C375" s="49" t="n"/>
      <c r="D375" s="49" t="n"/>
      <c r="E375" s="49" t="n"/>
      <c r="F375" s="49" t="n"/>
      <c r="G375" s="47" t="n"/>
      <c r="H375" s="50" t="n"/>
      <c r="I375" s="51" t="n"/>
      <c r="J375" s="46" t="n"/>
      <c r="K375" s="46" t="n"/>
      <c r="L375" s="23">
        <f>IF(OR($A375="",$B375=""),"",IF($K375&lt;&gt;"",$K375-$B375,TODAY()-$B375))</f>
        <v/>
      </c>
      <c r="M375" s="27">
        <f>IF(OR($A375="",$J375=""),"",IF($K375="",IF(TODAY()&gt;$J375,"Atrasado","En ruta"),IF($K375&lt;=$J375,"Sí","No")))</f>
        <v/>
      </c>
      <c r="N375" s="23">
        <f>IF($A375="","",COUNTIFS(NOVEDADES!$C$4:$C$1503,$A375))</f>
        <v/>
      </c>
      <c r="O375" s="27">
        <f>IF($A375="","",IF(COUNTIFS(NOVEDADES!$C$4:$C$1503,$A375,NOVEDADES!$M$4:$M$1503,"SÍ")&gt;0,"No","Sí"))</f>
        <v/>
      </c>
      <c r="P375" s="27">
        <f>IF(OR($A375="",$K375=""),"",IF(AND($M375="Sí",$O375="Sí"),"OTIF","Falló"))</f>
        <v/>
      </c>
    </row>
    <row r="376" ht="16" customHeight="1">
      <c r="A376" s="47" t="n"/>
      <c r="B376" s="46" t="n"/>
      <c r="C376" s="49" t="n"/>
      <c r="D376" s="49" t="n"/>
      <c r="E376" s="49" t="n"/>
      <c r="F376" s="49" t="n"/>
      <c r="G376" s="47" t="n"/>
      <c r="H376" s="50" t="n"/>
      <c r="I376" s="51" t="n"/>
      <c r="J376" s="46" t="n"/>
      <c r="K376" s="46" t="n"/>
      <c r="L376" s="23">
        <f>IF(OR($A376="",$B376=""),"",IF($K376&lt;&gt;"",$K376-$B376,TODAY()-$B376))</f>
        <v/>
      </c>
      <c r="M376" s="27">
        <f>IF(OR($A376="",$J376=""),"",IF($K376="",IF(TODAY()&gt;$J376,"Atrasado","En ruta"),IF($K376&lt;=$J376,"Sí","No")))</f>
        <v/>
      </c>
      <c r="N376" s="23">
        <f>IF($A376="","",COUNTIFS(NOVEDADES!$C$4:$C$1503,$A376))</f>
        <v/>
      </c>
      <c r="O376" s="27">
        <f>IF($A376="","",IF(COUNTIFS(NOVEDADES!$C$4:$C$1503,$A376,NOVEDADES!$M$4:$M$1503,"SÍ")&gt;0,"No","Sí"))</f>
        <v/>
      </c>
      <c r="P376" s="27">
        <f>IF(OR($A376="",$K376=""),"",IF(AND($M376="Sí",$O376="Sí"),"OTIF","Falló"))</f>
        <v/>
      </c>
    </row>
    <row r="377" ht="16" customHeight="1">
      <c r="A377" s="47" t="n"/>
      <c r="B377" s="46" t="n"/>
      <c r="C377" s="49" t="n"/>
      <c r="D377" s="49" t="n"/>
      <c r="E377" s="49" t="n"/>
      <c r="F377" s="49" t="n"/>
      <c r="G377" s="47" t="n"/>
      <c r="H377" s="50" t="n"/>
      <c r="I377" s="51" t="n"/>
      <c r="J377" s="46" t="n"/>
      <c r="K377" s="46" t="n"/>
      <c r="L377" s="23">
        <f>IF(OR($A377="",$B377=""),"",IF($K377&lt;&gt;"",$K377-$B377,TODAY()-$B377))</f>
        <v/>
      </c>
      <c r="M377" s="27">
        <f>IF(OR($A377="",$J377=""),"",IF($K377="",IF(TODAY()&gt;$J377,"Atrasado","En ruta"),IF($K377&lt;=$J377,"Sí","No")))</f>
        <v/>
      </c>
      <c r="N377" s="23">
        <f>IF($A377="","",COUNTIFS(NOVEDADES!$C$4:$C$1503,$A377))</f>
        <v/>
      </c>
      <c r="O377" s="27">
        <f>IF($A377="","",IF(COUNTIFS(NOVEDADES!$C$4:$C$1503,$A377,NOVEDADES!$M$4:$M$1503,"SÍ")&gt;0,"No","Sí"))</f>
        <v/>
      </c>
      <c r="P377" s="27">
        <f>IF(OR($A377="",$K377=""),"",IF(AND($M377="Sí",$O377="Sí"),"OTIF","Falló"))</f>
        <v/>
      </c>
    </row>
    <row r="378" ht="16" customHeight="1">
      <c r="A378" s="47" t="n"/>
      <c r="B378" s="46" t="n"/>
      <c r="C378" s="49" t="n"/>
      <c r="D378" s="49" t="n"/>
      <c r="E378" s="49" t="n"/>
      <c r="F378" s="49" t="n"/>
      <c r="G378" s="47" t="n"/>
      <c r="H378" s="50" t="n"/>
      <c r="I378" s="51" t="n"/>
      <c r="J378" s="46" t="n"/>
      <c r="K378" s="46" t="n"/>
      <c r="L378" s="23">
        <f>IF(OR($A378="",$B378=""),"",IF($K378&lt;&gt;"",$K378-$B378,TODAY()-$B378))</f>
        <v/>
      </c>
      <c r="M378" s="27">
        <f>IF(OR($A378="",$J378=""),"",IF($K378="",IF(TODAY()&gt;$J378,"Atrasado","En ruta"),IF($K378&lt;=$J378,"Sí","No")))</f>
        <v/>
      </c>
      <c r="N378" s="23">
        <f>IF($A378="","",COUNTIFS(NOVEDADES!$C$4:$C$1503,$A378))</f>
        <v/>
      </c>
      <c r="O378" s="27">
        <f>IF($A378="","",IF(COUNTIFS(NOVEDADES!$C$4:$C$1503,$A378,NOVEDADES!$M$4:$M$1503,"SÍ")&gt;0,"No","Sí"))</f>
        <v/>
      </c>
      <c r="P378" s="27">
        <f>IF(OR($A378="",$K378=""),"",IF(AND($M378="Sí",$O378="Sí"),"OTIF","Falló"))</f>
        <v/>
      </c>
    </row>
    <row r="379" ht="16" customHeight="1">
      <c r="A379" s="47" t="n"/>
      <c r="B379" s="46" t="n"/>
      <c r="C379" s="49" t="n"/>
      <c r="D379" s="49" t="n"/>
      <c r="E379" s="49" t="n"/>
      <c r="F379" s="49" t="n"/>
      <c r="G379" s="47" t="n"/>
      <c r="H379" s="50" t="n"/>
      <c r="I379" s="51" t="n"/>
      <c r="J379" s="46" t="n"/>
      <c r="K379" s="46" t="n"/>
      <c r="L379" s="23">
        <f>IF(OR($A379="",$B379=""),"",IF($K379&lt;&gt;"",$K379-$B379,TODAY()-$B379))</f>
        <v/>
      </c>
      <c r="M379" s="27">
        <f>IF(OR($A379="",$J379=""),"",IF($K379="",IF(TODAY()&gt;$J379,"Atrasado","En ruta"),IF($K379&lt;=$J379,"Sí","No")))</f>
        <v/>
      </c>
      <c r="N379" s="23">
        <f>IF($A379="","",COUNTIFS(NOVEDADES!$C$4:$C$1503,$A379))</f>
        <v/>
      </c>
      <c r="O379" s="27">
        <f>IF($A379="","",IF(COUNTIFS(NOVEDADES!$C$4:$C$1503,$A379,NOVEDADES!$M$4:$M$1503,"SÍ")&gt;0,"No","Sí"))</f>
        <v/>
      </c>
      <c r="P379" s="27">
        <f>IF(OR($A379="",$K379=""),"",IF(AND($M379="Sí",$O379="Sí"),"OTIF","Falló"))</f>
        <v/>
      </c>
    </row>
    <row r="380" ht="16" customHeight="1">
      <c r="A380" s="47" t="n"/>
      <c r="B380" s="46" t="n"/>
      <c r="C380" s="49" t="n"/>
      <c r="D380" s="49" t="n"/>
      <c r="E380" s="49" t="n"/>
      <c r="F380" s="49" t="n"/>
      <c r="G380" s="47" t="n"/>
      <c r="H380" s="50" t="n"/>
      <c r="I380" s="51" t="n"/>
      <c r="J380" s="46" t="n"/>
      <c r="K380" s="46" t="n"/>
      <c r="L380" s="23">
        <f>IF(OR($A380="",$B380=""),"",IF($K380&lt;&gt;"",$K380-$B380,TODAY()-$B380))</f>
        <v/>
      </c>
      <c r="M380" s="27">
        <f>IF(OR($A380="",$J380=""),"",IF($K380="",IF(TODAY()&gt;$J380,"Atrasado","En ruta"),IF($K380&lt;=$J380,"Sí","No")))</f>
        <v/>
      </c>
      <c r="N380" s="23">
        <f>IF($A380="","",COUNTIFS(NOVEDADES!$C$4:$C$1503,$A380))</f>
        <v/>
      </c>
      <c r="O380" s="27">
        <f>IF($A380="","",IF(COUNTIFS(NOVEDADES!$C$4:$C$1503,$A380,NOVEDADES!$M$4:$M$1503,"SÍ")&gt;0,"No","Sí"))</f>
        <v/>
      </c>
      <c r="P380" s="27">
        <f>IF(OR($A380="",$K380=""),"",IF(AND($M380="Sí",$O380="Sí"),"OTIF","Falló"))</f>
        <v/>
      </c>
    </row>
    <row r="381" ht="16" customHeight="1">
      <c r="A381" s="47" t="n"/>
      <c r="B381" s="46" t="n"/>
      <c r="C381" s="49" t="n"/>
      <c r="D381" s="49" t="n"/>
      <c r="E381" s="49" t="n"/>
      <c r="F381" s="49" t="n"/>
      <c r="G381" s="47" t="n"/>
      <c r="H381" s="50" t="n"/>
      <c r="I381" s="51" t="n"/>
      <c r="J381" s="46" t="n"/>
      <c r="K381" s="46" t="n"/>
      <c r="L381" s="23">
        <f>IF(OR($A381="",$B381=""),"",IF($K381&lt;&gt;"",$K381-$B381,TODAY()-$B381))</f>
        <v/>
      </c>
      <c r="M381" s="27">
        <f>IF(OR($A381="",$J381=""),"",IF($K381="",IF(TODAY()&gt;$J381,"Atrasado","En ruta"),IF($K381&lt;=$J381,"Sí","No")))</f>
        <v/>
      </c>
      <c r="N381" s="23">
        <f>IF($A381="","",COUNTIFS(NOVEDADES!$C$4:$C$1503,$A381))</f>
        <v/>
      </c>
      <c r="O381" s="27">
        <f>IF($A381="","",IF(COUNTIFS(NOVEDADES!$C$4:$C$1503,$A381,NOVEDADES!$M$4:$M$1503,"SÍ")&gt;0,"No","Sí"))</f>
        <v/>
      </c>
      <c r="P381" s="27">
        <f>IF(OR($A381="",$K381=""),"",IF(AND($M381="Sí",$O381="Sí"),"OTIF","Falló"))</f>
        <v/>
      </c>
    </row>
    <row r="382" ht="16" customHeight="1">
      <c r="A382" s="47" t="n"/>
      <c r="B382" s="46" t="n"/>
      <c r="C382" s="49" t="n"/>
      <c r="D382" s="49" t="n"/>
      <c r="E382" s="49" t="n"/>
      <c r="F382" s="49" t="n"/>
      <c r="G382" s="47" t="n"/>
      <c r="H382" s="50" t="n"/>
      <c r="I382" s="51" t="n"/>
      <c r="J382" s="46" t="n"/>
      <c r="K382" s="46" t="n"/>
      <c r="L382" s="23">
        <f>IF(OR($A382="",$B382=""),"",IF($K382&lt;&gt;"",$K382-$B382,TODAY()-$B382))</f>
        <v/>
      </c>
      <c r="M382" s="27">
        <f>IF(OR($A382="",$J382=""),"",IF($K382="",IF(TODAY()&gt;$J382,"Atrasado","En ruta"),IF($K382&lt;=$J382,"Sí","No")))</f>
        <v/>
      </c>
      <c r="N382" s="23">
        <f>IF($A382="","",COUNTIFS(NOVEDADES!$C$4:$C$1503,$A382))</f>
        <v/>
      </c>
      <c r="O382" s="27">
        <f>IF($A382="","",IF(COUNTIFS(NOVEDADES!$C$4:$C$1503,$A382,NOVEDADES!$M$4:$M$1503,"SÍ")&gt;0,"No","Sí"))</f>
        <v/>
      </c>
      <c r="P382" s="27">
        <f>IF(OR($A382="",$K382=""),"",IF(AND($M382="Sí",$O382="Sí"),"OTIF","Falló"))</f>
        <v/>
      </c>
    </row>
    <row r="383" ht="16" customHeight="1">
      <c r="A383" s="47" t="n"/>
      <c r="B383" s="46" t="n"/>
      <c r="C383" s="49" t="n"/>
      <c r="D383" s="49" t="n"/>
      <c r="E383" s="49" t="n"/>
      <c r="F383" s="49" t="n"/>
      <c r="G383" s="47" t="n"/>
      <c r="H383" s="50" t="n"/>
      <c r="I383" s="51" t="n"/>
      <c r="J383" s="46" t="n"/>
      <c r="K383" s="46" t="n"/>
      <c r="L383" s="23">
        <f>IF(OR($A383="",$B383=""),"",IF($K383&lt;&gt;"",$K383-$B383,TODAY()-$B383))</f>
        <v/>
      </c>
      <c r="M383" s="27">
        <f>IF(OR($A383="",$J383=""),"",IF($K383="",IF(TODAY()&gt;$J383,"Atrasado","En ruta"),IF($K383&lt;=$J383,"Sí","No")))</f>
        <v/>
      </c>
      <c r="N383" s="23">
        <f>IF($A383="","",COUNTIFS(NOVEDADES!$C$4:$C$1503,$A383))</f>
        <v/>
      </c>
      <c r="O383" s="27">
        <f>IF($A383="","",IF(COUNTIFS(NOVEDADES!$C$4:$C$1503,$A383,NOVEDADES!$M$4:$M$1503,"SÍ")&gt;0,"No","Sí"))</f>
        <v/>
      </c>
      <c r="P383" s="27">
        <f>IF(OR($A383="",$K383=""),"",IF(AND($M383="Sí",$O383="Sí"),"OTIF","Falló"))</f>
        <v/>
      </c>
    </row>
    <row r="384" ht="16" customHeight="1">
      <c r="A384" s="47" t="n"/>
      <c r="B384" s="46" t="n"/>
      <c r="C384" s="49" t="n"/>
      <c r="D384" s="49" t="n"/>
      <c r="E384" s="49" t="n"/>
      <c r="F384" s="49" t="n"/>
      <c r="G384" s="47" t="n"/>
      <c r="H384" s="50" t="n"/>
      <c r="I384" s="51" t="n"/>
      <c r="J384" s="46" t="n"/>
      <c r="K384" s="46" t="n"/>
      <c r="L384" s="23">
        <f>IF(OR($A384="",$B384=""),"",IF($K384&lt;&gt;"",$K384-$B384,TODAY()-$B384))</f>
        <v/>
      </c>
      <c r="M384" s="27">
        <f>IF(OR($A384="",$J384=""),"",IF($K384="",IF(TODAY()&gt;$J384,"Atrasado","En ruta"),IF($K384&lt;=$J384,"Sí","No")))</f>
        <v/>
      </c>
      <c r="N384" s="23">
        <f>IF($A384="","",COUNTIFS(NOVEDADES!$C$4:$C$1503,$A384))</f>
        <v/>
      </c>
      <c r="O384" s="27">
        <f>IF($A384="","",IF(COUNTIFS(NOVEDADES!$C$4:$C$1503,$A384,NOVEDADES!$M$4:$M$1503,"SÍ")&gt;0,"No","Sí"))</f>
        <v/>
      </c>
      <c r="P384" s="27">
        <f>IF(OR($A384="",$K384=""),"",IF(AND($M384="Sí",$O384="Sí"),"OTIF","Falló"))</f>
        <v/>
      </c>
    </row>
    <row r="385" ht="16" customHeight="1">
      <c r="A385" s="47" t="n"/>
      <c r="B385" s="46" t="n"/>
      <c r="C385" s="49" t="n"/>
      <c r="D385" s="49" t="n"/>
      <c r="E385" s="49" t="n"/>
      <c r="F385" s="49" t="n"/>
      <c r="G385" s="47" t="n"/>
      <c r="H385" s="50" t="n"/>
      <c r="I385" s="51" t="n"/>
      <c r="J385" s="46" t="n"/>
      <c r="K385" s="46" t="n"/>
      <c r="L385" s="23">
        <f>IF(OR($A385="",$B385=""),"",IF($K385&lt;&gt;"",$K385-$B385,TODAY()-$B385))</f>
        <v/>
      </c>
      <c r="M385" s="27">
        <f>IF(OR($A385="",$J385=""),"",IF($K385="",IF(TODAY()&gt;$J385,"Atrasado","En ruta"),IF($K385&lt;=$J385,"Sí","No")))</f>
        <v/>
      </c>
      <c r="N385" s="23">
        <f>IF($A385="","",COUNTIFS(NOVEDADES!$C$4:$C$1503,$A385))</f>
        <v/>
      </c>
      <c r="O385" s="27">
        <f>IF($A385="","",IF(COUNTIFS(NOVEDADES!$C$4:$C$1503,$A385,NOVEDADES!$M$4:$M$1503,"SÍ")&gt;0,"No","Sí"))</f>
        <v/>
      </c>
      <c r="P385" s="27">
        <f>IF(OR($A385="",$K385=""),"",IF(AND($M385="Sí",$O385="Sí"),"OTIF","Falló"))</f>
        <v/>
      </c>
    </row>
    <row r="386" ht="16" customHeight="1">
      <c r="A386" s="47" t="n"/>
      <c r="B386" s="46" t="n"/>
      <c r="C386" s="49" t="n"/>
      <c r="D386" s="49" t="n"/>
      <c r="E386" s="49" t="n"/>
      <c r="F386" s="49" t="n"/>
      <c r="G386" s="47" t="n"/>
      <c r="H386" s="50" t="n"/>
      <c r="I386" s="51" t="n"/>
      <c r="J386" s="46" t="n"/>
      <c r="K386" s="46" t="n"/>
      <c r="L386" s="23">
        <f>IF(OR($A386="",$B386=""),"",IF($K386&lt;&gt;"",$K386-$B386,TODAY()-$B386))</f>
        <v/>
      </c>
      <c r="M386" s="27">
        <f>IF(OR($A386="",$J386=""),"",IF($K386="",IF(TODAY()&gt;$J386,"Atrasado","En ruta"),IF($K386&lt;=$J386,"Sí","No")))</f>
        <v/>
      </c>
      <c r="N386" s="23">
        <f>IF($A386="","",COUNTIFS(NOVEDADES!$C$4:$C$1503,$A386))</f>
        <v/>
      </c>
      <c r="O386" s="27">
        <f>IF($A386="","",IF(COUNTIFS(NOVEDADES!$C$4:$C$1503,$A386,NOVEDADES!$M$4:$M$1503,"SÍ")&gt;0,"No","Sí"))</f>
        <v/>
      </c>
      <c r="P386" s="27">
        <f>IF(OR($A386="",$K386=""),"",IF(AND($M386="Sí",$O386="Sí"),"OTIF","Falló"))</f>
        <v/>
      </c>
    </row>
    <row r="387" ht="16" customHeight="1">
      <c r="A387" s="47" t="n"/>
      <c r="B387" s="46" t="n"/>
      <c r="C387" s="49" t="n"/>
      <c r="D387" s="49" t="n"/>
      <c r="E387" s="49" t="n"/>
      <c r="F387" s="49" t="n"/>
      <c r="G387" s="47" t="n"/>
      <c r="H387" s="50" t="n"/>
      <c r="I387" s="51" t="n"/>
      <c r="J387" s="46" t="n"/>
      <c r="K387" s="46" t="n"/>
      <c r="L387" s="23">
        <f>IF(OR($A387="",$B387=""),"",IF($K387&lt;&gt;"",$K387-$B387,TODAY()-$B387))</f>
        <v/>
      </c>
      <c r="M387" s="27">
        <f>IF(OR($A387="",$J387=""),"",IF($K387="",IF(TODAY()&gt;$J387,"Atrasado","En ruta"),IF($K387&lt;=$J387,"Sí","No")))</f>
        <v/>
      </c>
      <c r="N387" s="23">
        <f>IF($A387="","",COUNTIFS(NOVEDADES!$C$4:$C$1503,$A387))</f>
        <v/>
      </c>
      <c r="O387" s="27">
        <f>IF($A387="","",IF(COUNTIFS(NOVEDADES!$C$4:$C$1503,$A387,NOVEDADES!$M$4:$M$1503,"SÍ")&gt;0,"No","Sí"))</f>
        <v/>
      </c>
      <c r="P387" s="27">
        <f>IF(OR($A387="",$K387=""),"",IF(AND($M387="Sí",$O387="Sí"),"OTIF","Falló"))</f>
        <v/>
      </c>
    </row>
    <row r="388" ht="16" customHeight="1">
      <c r="A388" s="47" t="n"/>
      <c r="B388" s="46" t="n"/>
      <c r="C388" s="49" t="n"/>
      <c r="D388" s="49" t="n"/>
      <c r="E388" s="49" t="n"/>
      <c r="F388" s="49" t="n"/>
      <c r="G388" s="47" t="n"/>
      <c r="H388" s="50" t="n"/>
      <c r="I388" s="51" t="n"/>
      <c r="J388" s="46" t="n"/>
      <c r="K388" s="46" t="n"/>
      <c r="L388" s="23">
        <f>IF(OR($A388="",$B388=""),"",IF($K388&lt;&gt;"",$K388-$B388,TODAY()-$B388))</f>
        <v/>
      </c>
      <c r="M388" s="27">
        <f>IF(OR($A388="",$J388=""),"",IF($K388="",IF(TODAY()&gt;$J388,"Atrasado","En ruta"),IF($K388&lt;=$J388,"Sí","No")))</f>
        <v/>
      </c>
      <c r="N388" s="23">
        <f>IF($A388="","",COUNTIFS(NOVEDADES!$C$4:$C$1503,$A388))</f>
        <v/>
      </c>
      <c r="O388" s="27">
        <f>IF($A388="","",IF(COUNTIFS(NOVEDADES!$C$4:$C$1503,$A388,NOVEDADES!$M$4:$M$1503,"SÍ")&gt;0,"No","Sí"))</f>
        <v/>
      </c>
      <c r="P388" s="27">
        <f>IF(OR($A388="",$K388=""),"",IF(AND($M388="Sí",$O388="Sí"),"OTIF","Falló"))</f>
        <v/>
      </c>
    </row>
    <row r="389" ht="16" customHeight="1">
      <c r="A389" s="47" t="n"/>
      <c r="B389" s="46" t="n"/>
      <c r="C389" s="49" t="n"/>
      <c r="D389" s="49" t="n"/>
      <c r="E389" s="49" t="n"/>
      <c r="F389" s="49" t="n"/>
      <c r="G389" s="47" t="n"/>
      <c r="H389" s="50" t="n"/>
      <c r="I389" s="51" t="n"/>
      <c r="J389" s="46" t="n"/>
      <c r="K389" s="46" t="n"/>
      <c r="L389" s="23">
        <f>IF(OR($A389="",$B389=""),"",IF($K389&lt;&gt;"",$K389-$B389,TODAY()-$B389))</f>
        <v/>
      </c>
      <c r="M389" s="27">
        <f>IF(OR($A389="",$J389=""),"",IF($K389="",IF(TODAY()&gt;$J389,"Atrasado","En ruta"),IF($K389&lt;=$J389,"Sí","No")))</f>
        <v/>
      </c>
      <c r="N389" s="23">
        <f>IF($A389="","",COUNTIFS(NOVEDADES!$C$4:$C$1503,$A389))</f>
        <v/>
      </c>
      <c r="O389" s="27">
        <f>IF($A389="","",IF(COUNTIFS(NOVEDADES!$C$4:$C$1503,$A389,NOVEDADES!$M$4:$M$1503,"SÍ")&gt;0,"No","Sí"))</f>
        <v/>
      </c>
      <c r="P389" s="27">
        <f>IF(OR($A389="",$K389=""),"",IF(AND($M389="Sí",$O389="Sí"),"OTIF","Falló"))</f>
        <v/>
      </c>
    </row>
    <row r="390" ht="16" customHeight="1">
      <c r="A390" s="47" t="n"/>
      <c r="B390" s="46" t="n"/>
      <c r="C390" s="49" t="n"/>
      <c r="D390" s="49" t="n"/>
      <c r="E390" s="49" t="n"/>
      <c r="F390" s="49" t="n"/>
      <c r="G390" s="47" t="n"/>
      <c r="H390" s="50" t="n"/>
      <c r="I390" s="51" t="n"/>
      <c r="J390" s="46" t="n"/>
      <c r="K390" s="46" t="n"/>
      <c r="L390" s="23">
        <f>IF(OR($A390="",$B390=""),"",IF($K390&lt;&gt;"",$K390-$B390,TODAY()-$B390))</f>
        <v/>
      </c>
      <c r="M390" s="27">
        <f>IF(OR($A390="",$J390=""),"",IF($K390="",IF(TODAY()&gt;$J390,"Atrasado","En ruta"),IF($K390&lt;=$J390,"Sí","No")))</f>
        <v/>
      </c>
      <c r="N390" s="23">
        <f>IF($A390="","",COUNTIFS(NOVEDADES!$C$4:$C$1503,$A390))</f>
        <v/>
      </c>
      <c r="O390" s="27">
        <f>IF($A390="","",IF(COUNTIFS(NOVEDADES!$C$4:$C$1503,$A390,NOVEDADES!$M$4:$M$1503,"SÍ")&gt;0,"No","Sí"))</f>
        <v/>
      </c>
      <c r="P390" s="27">
        <f>IF(OR($A390="",$K390=""),"",IF(AND($M390="Sí",$O390="Sí"),"OTIF","Falló"))</f>
        <v/>
      </c>
    </row>
    <row r="391" ht="16" customHeight="1">
      <c r="A391" s="47" t="n"/>
      <c r="B391" s="46" t="n"/>
      <c r="C391" s="49" t="n"/>
      <c r="D391" s="49" t="n"/>
      <c r="E391" s="49" t="n"/>
      <c r="F391" s="49" t="n"/>
      <c r="G391" s="47" t="n"/>
      <c r="H391" s="50" t="n"/>
      <c r="I391" s="51" t="n"/>
      <c r="J391" s="46" t="n"/>
      <c r="K391" s="46" t="n"/>
      <c r="L391" s="23">
        <f>IF(OR($A391="",$B391=""),"",IF($K391&lt;&gt;"",$K391-$B391,TODAY()-$B391))</f>
        <v/>
      </c>
      <c r="M391" s="27">
        <f>IF(OR($A391="",$J391=""),"",IF($K391="",IF(TODAY()&gt;$J391,"Atrasado","En ruta"),IF($K391&lt;=$J391,"Sí","No")))</f>
        <v/>
      </c>
      <c r="N391" s="23">
        <f>IF($A391="","",COUNTIFS(NOVEDADES!$C$4:$C$1503,$A391))</f>
        <v/>
      </c>
      <c r="O391" s="27">
        <f>IF($A391="","",IF(COUNTIFS(NOVEDADES!$C$4:$C$1503,$A391,NOVEDADES!$M$4:$M$1503,"SÍ")&gt;0,"No","Sí"))</f>
        <v/>
      </c>
      <c r="P391" s="27">
        <f>IF(OR($A391="",$K391=""),"",IF(AND($M391="Sí",$O391="Sí"),"OTIF","Falló"))</f>
        <v/>
      </c>
    </row>
    <row r="392" ht="16" customHeight="1">
      <c r="A392" s="47" t="n"/>
      <c r="B392" s="46" t="n"/>
      <c r="C392" s="49" t="n"/>
      <c r="D392" s="49" t="n"/>
      <c r="E392" s="49" t="n"/>
      <c r="F392" s="49" t="n"/>
      <c r="G392" s="47" t="n"/>
      <c r="H392" s="50" t="n"/>
      <c r="I392" s="51" t="n"/>
      <c r="J392" s="46" t="n"/>
      <c r="K392" s="46" t="n"/>
      <c r="L392" s="23">
        <f>IF(OR($A392="",$B392=""),"",IF($K392&lt;&gt;"",$K392-$B392,TODAY()-$B392))</f>
        <v/>
      </c>
      <c r="M392" s="27">
        <f>IF(OR($A392="",$J392=""),"",IF($K392="",IF(TODAY()&gt;$J392,"Atrasado","En ruta"),IF($K392&lt;=$J392,"Sí","No")))</f>
        <v/>
      </c>
      <c r="N392" s="23">
        <f>IF($A392="","",COUNTIFS(NOVEDADES!$C$4:$C$1503,$A392))</f>
        <v/>
      </c>
      <c r="O392" s="27">
        <f>IF($A392="","",IF(COUNTIFS(NOVEDADES!$C$4:$C$1503,$A392,NOVEDADES!$M$4:$M$1503,"SÍ")&gt;0,"No","Sí"))</f>
        <v/>
      </c>
      <c r="P392" s="27">
        <f>IF(OR($A392="",$K392=""),"",IF(AND($M392="Sí",$O392="Sí"),"OTIF","Falló"))</f>
        <v/>
      </c>
    </row>
    <row r="393" ht="16" customHeight="1">
      <c r="A393" s="47" t="n"/>
      <c r="B393" s="46" t="n"/>
      <c r="C393" s="49" t="n"/>
      <c r="D393" s="49" t="n"/>
      <c r="E393" s="49" t="n"/>
      <c r="F393" s="49" t="n"/>
      <c r="G393" s="47" t="n"/>
      <c r="H393" s="50" t="n"/>
      <c r="I393" s="51" t="n"/>
      <c r="J393" s="46" t="n"/>
      <c r="K393" s="46" t="n"/>
      <c r="L393" s="23">
        <f>IF(OR($A393="",$B393=""),"",IF($K393&lt;&gt;"",$K393-$B393,TODAY()-$B393))</f>
        <v/>
      </c>
      <c r="M393" s="27">
        <f>IF(OR($A393="",$J393=""),"",IF($K393="",IF(TODAY()&gt;$J393,"Atrasado","En ruta"),IF($K393&lt;=$J393,"Sí","No")))</f>
        <v/>
      </c>
      <c r="N393" s="23">
        <f>IF($A393="","",COUNTIFS(NOVEDADES!$C$4:$C$1503,$A393))</f>
        <v/>
      </c>
      <c r="O393" s="27">
        <f>IF($A393="","",IF(COUNTIFS(NOVEDADES!$C$4:$C$1503,$A393,NOVEDADES!$M$4:$M$1503,"SÍ")&gt;0,"No","Sí"))</f>
        <v/>
      </c>
      <c r="P393" s="27">
        <f>IF(OR($A393="",$K393=""),"",IF(AND($M393="Sí",$O393="Sí"),"OTIF","Falló"))</f>
        <v/>
      </c>
    </row>
    <row r="394" ht="16" customHeight="1">
      <c r="A394" s="47" t="n"/>
      <c r="B394" s="46" t="n"/>
      <c r="C394" s="49" t="n"/>
      <c r="D394" s="49" t="n"/>
      <c r="E394" s="49" t="n"/>
      <c r="F394" s="49" t="n"/>
      <c r="G394" s="47" t="n"/>
      <c r="H394" s="50" t="n"/>
      <c r="I394" s="51" t="n"/>
      <c r="J394" s="46" t="n"/>
      <c r="K394" s="46" t="n"/>
      <c r="L394" s="23">
        <f>IF(OR($A394="",$B394=""),"",IF($K394&lt;&gt;"",$K394-$B394,TODAY()-$B394))</f>
        <v/>
      </c>
      <c r="M394" s="27">
        <f>IF(OR($A394="",$J394=""),"",IF($K394="",IF(TODAY()&gt;$J394,"Atrasado","En ruta"),IF($K394&lt;=$J394,"Sí","No")))</f>
        <v/>
      </c>
      <c r="N394" s="23">
        <f>IF($A394="","",COUNTIFS(NOVEDADES!$C$4:$C$1503,$A394))</f>
        <v/>
      </c>
      <c r="O394" s="27">
        <f>IF($A394="","",IF(COUNTIFS(NOVEDADES!$C$4:$C$1503,$A394,NOVEDADES!$M$4:$M$1503,"SÍ")&gt;0,"No","Sí"))</f>
        <v/>
      </c>
      <c r="P394" s="27">
        <f>IF(OR($A394="",$K394=""),"",IF(AND($M394="Sí",$O394="Sí"),"OTIF","Falló"))</f>
        <v/>
      </c>
    </row>
    <row r="395" ht="16" customHeight="1">
      <c r="A395" s="47" t="n"/>
      <c r="B395" s="46" t="n"/>
      <c r="C395" s="49" t="n"/>
      <c r="D395" s="49" t="n"/>
      <c r="E395" s="49" t="n"/>
      <c r="F395" s="49" t="n"/>
      <c r="G395" s="47" t="n"/>
      <c r="H395" s="50" t="n"/>
      <c r="I395" s="51" t="n"/>
      <c r="J395" s="46" t="n"/>
      <c r="K395" s="46" t="n"/>
      <c r="L395" s="23">
        <f>IF(OR($A395="",$B395=""),"",IF($K395&lt;&gt;"",$K395-$B395,TODAY()-$B395))</f>
        <v/>
      </c>
      <c r="M395" s="27">
        <f>IF(OR($A395="",$J395=""),"",IF($K395="",IF(TODAY()&gt;$J395,"Atrasado","En ruta"),IF($K395&lt;=$J395,"Sí","No")))</f>
        <v/>
      </c>
      <c r="N395" s="23">
        <f>IF($A395="","",COUNTIFS(NOVEDADES!$C$4:$C$1503,$A395))</f>
        <v/>
      </c>
      <c r="O395" s="27">
        <f>IF($A395="","",IF(COUNTIFS(NOVEDADES!$C$4:$C$1503,$A395,NOVEDADES!$M$4:$M$1503,"SÍ")&gt;0,"No","Sí"))</f>
        <v/>
      </c>
      <c r="P395" s="27">
        <f>IF(OR($A395="",$K395=""),"",IF(AND($M395="Sí",$O395="Sí"),"OTIF","Falló"))</f>
        <v/>
      </c>
    </row>
    <row r="396" ht="16" customHeight="1">
      <c r="A396" s="47" t="n"/>
      <c r="B396" s="46" t="n"/>
      <c r="C396" s="49" t="n"/>
      <c r="D396" s="49" t="n"/>
      <c r="E396" s="49" t="n"/>
      <c r="F396" s="49" t="n"/>
      <c r="G396" s="47" t="n"/>
      <c r="H396" s="50" t="n"/>
      <c r="I396" s="51" t="n"/>
      <c r="J396" s="46" t="n"/>
      <c r="K396" s="46" t="n"/>
      <c r="L396" s="23">
        <f>IF(OR($A396="",$B396=""),"",IF($K396&lt;&gt;"",$K396-$B396,TODAY()-$B396))</f>
        <v/>
      </c>
      <c r="M396" s="27">
        <f>IF(OR($A396="",$J396=""),"",IF($K396="",IF(TODAY()&gt;$J396,"Atrasado","En ruta"),IF($K396&lt;=$J396,"Sí","No")))</f>
        <v/>
      </c>
      <c r="N396" s="23">
        <f>IF($A396="","",COUNTIFS(NOVEDADES!$C$4:$C$1503,$A396))</f>
        <v/>
      </c>
      <c r="O396" s="27">
        <f>IF($A396="","",IF(COUNTIFS(NOVEDADES!$C$4:$C$1503,$A396,NOVEDADES!$M$4:$M$1503,"SÍ")&gt;0,"No","Sí"))</f>
        <v/>
      </c>
      <c r="P396" s="27">
        <f>IF(OR($A396="",$K396=""),"",IF(AND($M396="Sí",$O396="Sí"),"OTIF","Falló"))</f>
        <v/>
      </c>
    </row>
    <row r="397" ht="16" customHeight="1">
      <c r="A397" s="47" t="n"/>
      <c r="B397" s="46" t="n"/>
      <c r="C397" s="49" t="n"/>
      <c r="D397" s="49" t="n"/>
      <c r="E397" s="49" t="n"/>
      <c r="F397" s="49" t="n"/>
      <c r="G397" s="47" t="n"/>
      <c r="H397" s="50" t="n"/>
      <c r="I397" s="51" t="n"/>
      <c r="J397" s="46" t="n"/>
      <c r="K397" s="46" t="n"/>
      <c r="L397" s="23">
        <f>IF(OR($A397="",$B397=""),"",IF($K397&lt;&gt;"",$K397-$B397,TODAY()-$B397))</f>
        <v/>
      </c>
      <c r="M397" s="27">
        <f>IF(OR($A397="",$J397=""),"",IF($K397="",IF(TODAY()&gt;$J397,"Atrasado","En ruta"),IF($K397&lt;=$J397,"Sí","No")))</f>
        <v/>
      </c>
      <c r="N397" s="23">
        <f>IF($A397="","",COUNTIFS(NOVEDADES!$C$4:$C$1503,$A397))</f>
        <v/>
      </c>
      <c r="O397" s="27">
        <f>IF($A397="","",IF(COUNTIFS(NOVEDADES!$C$4:$C$1503,$A397,NOVEDADES!$M$4:$M$1503,"SÍ")&gt;0,"No","Sí"))</f>
        <v/>
      </c>
      <c r="P397" s="27">
        <f>IF(OR($A397="",$K397=""),"",IF(AND($M397="Sí",$O397="Sí"),"OTIF","Falló"))</f>
        <v/>
      </c>
    </row>
    <row r="398" ht="16" customHeight="1">
      <c r="A398" s="47" t="n"/>
      <c r="B398" s="46" t="n"/>
      <c r="C398" s="49" t="n"/>
      <c r="D398" s="49" t="n"/>
      <c r="E398" s="49" t="n"/>
      <c r="F398" s="49" t="n"/>
      <c r="G398" s="47" t="n"/>
      <c r="H398" s="50" t="n"/>
      <c r="I398" s="51" t="n"/>
      <c r="J398" s="46" t="n"/>
      <c r="K398" s="46" t="n"/>
      <c r="L398" s="23">
        <f>IF(OR($A398="",$B398=""),"",IF($K398&lt;&gt;"",$K398-$B398,TODAY()-$B398))</f>
        <v/>
      </c>
      <c r="M398" s="27">
        <f>IF(OR($A398="",$J398=""),"",IF($K398="",IF(TODAY()&gt;$J398,"Atrasado","En ruta"),IF($K398&lt;=$J398,"Sí","No")))</f>
        <v/>
      </c>
      <c r="N398" s="23">
        <f>IF($A398="","",COUNTIFS(NOVEDADES!$C$4:$C$1503,$A398))</f>
        <v/>
      </c>
      <c r="O398" s="27">
        <f>IF($A398="","",IF(COUNTIFS(NOVEDADES!$C$4:$C$1503,$A398,NOVEDADES!$M$4:$M$1503,"SÍ")&gt;0,"No","Sí"))</f>
        <v/>
      </c>
      <c r="P398" s="27">
        <f>IF(OR($A398="",$K398=""),"",IF(AND($M398="Sí",$O398="Sí"),"OTIF","Falló"))</f>
        <v/>
      </c>
    </row>
    <row r="399" ht="16" customHeight="1">
      <c r="A399" s="47" t="n"/>
      <c r="B399" s="46" t="n"/>
      <c r="C399" s="49" t="n"/>
      <c r="D399" s="49" t="n"/>
      <c r="E399" s="49" t="n"/>
      <c r="F399" s="49" t="n"/>
      <c r="G399" s="47" t="n"/>
      <c r="H399" s="50" t="n"/>
      <c r="I399" s="51" t="n"/>
      <c r="J399" s="46" t="n"/>
      <c r="K399" s="46" t="n"/>
      <c r="L399" s="23">
        <f>IF(OR($A399="",$B399=""),"",IF($K399&lt;&gt;"",$K399-$B399,TODAY()-$B399))</f>
        <v/>
      </c>
      <c r="M399" s="27">
        <f>IF(OR($A399="",$J399=""),"",IF($K399="",IF(TODAY()&gt;$J399,"Atrasado","En ruta"),IF($K399&lt;=$J399,"Sí","No")))</f>
        <v/>
      </c>
      <c r="N399" s="23">
        <f>IF($A399="","",COUNTIFS(NOVEDADES!$C$4:$C$1503,$A399))</f>
        <v/>
      </c>
      <c r="O399" s="27">
        <f>IF($A399="","",IF(COUNTIFS(NOVEDADES!$C$4:$C$1503,$A399,NOVEDADES!$M$4:$M$1503,"SÍ")&gt;0,"No","Sí"))</f>
        <v/>
      </c>
      <c r="P399" s="27">
        <f>IF(OR($A399="",$K399=""),"",IF(AND($M399="Sí",$O399="Sí"),"OTIF","Falló"))</f>
        <v/>
      </c>
    </row>
    <row r="400" ht="16" customHeight="1">
      <c r="A400" s="47" t="n"/>
      <c r="B400" s="46" t="n"/>
      <c r="C400" s="49" t="n"/>
      <c r="D400" s="49" t="n"/>
      <c r="E400" s="49" t="n"/>
      <c r="F400" s="49" t="n"/>
      <c r="G400" s="47" t="n"/>
      <c r="H400" s="50" t="n"/>
      <c r="I400" s="51" t="n"/>
      <c r="J400" s="46" t="n"/>
      <c r="K400" s="46" t="n"/>
      <c r="L400" s="23">
        <f>IF(OR($A400="",$B400=""),"",IF($K400&lt;&gt;"",$K400-$B400,TODAY()-$B400))</f>
        <v/>
      </c>
      <c r="M400" s="27">
        <f>IF(OR($A400="",$J400=""),"",IF($K400="",IF(TODAY()&gt;$J400,"Atrasado","En ruta"),IF($K400&lt;=$J400,"Sí","No")))</f>
        <v/>
      </c>
      <c r="N400" s="23">
        <f>IF($A400="","",COUNTIFS(NOVEDADES!$C$4:$C$1503,$A400))</f>
        <v/>
      </c>
      <c r="O400" s="27">
        <f>IF($A400="","",IF(COUNTIFS(NOVEDADES!$C$4:$C$1503,$A400,NOVEDADES!$M$4:$M$1503,"SÍ")&gt;0,"No","Sí"))</f>
        <v/>
      </c>
      <c r="P400" s="27">
        <f>IF(OR($A400="",$K400=""),"",IF(AND($M400="Sí",$O400="Sí"),"OTIF","Falló"))</f>
        <v/>
      </c>
    </row>
    <row r="401" ht="16" customHeight="1">
      <c r="A401" s="47" t="n"/>
      <c r="B401" s="46" t="n"/>
      <c r="C401" s="49" t="n"/>
      <c r="D401" s="49" t="n"/>
      <c r="E401" s="49" t="n"/>
      <c r="F401" s="49" t="n"/>
      <c r="G401" s="47" t="n"/>
      <c r="H401" s="50" t="n"/>
      <c r="I401" s="51" t="n"/>
      <c r="J401" s="46" t="n"/>
      <c r="K401" s="46" t="n"/>
      <c r="L401" s="23">
        <f>IF(OR($A401="",$B401=""),"",IF($K401&lt;&gt;"",$K401-$B401,TODAY()-$B401))</f>
        <v/>
      </c>
      <c r="M401" s="27">
        <f>IF(OR($A401="",$J401=""),"",IF($K401="",IF(TODAY()&gt;$J401,"Atrasado","En ruta"),IF($K401&lt;=$J401,"Sí","No")))</f>
        <v/>
      </c>
      <c r="N401" s="23">
        <f>IF($A401="","",COUNTIFS(NOVEDADES!$C$4:$C$1503,$A401))</f>
        <v/>
      </c>
      <c r="O401" s="27">
        <f>IF($A401="","",IF(COUNTIFS(NOVEDADES!$C$4:$C$1503,$A401,NOVEDADES!$M$4:$M$1503,"SÍ")&gt;0,"No","Sí"))</f>
        <v/>
      </c>
      <c r="P401" s="27">
        <f>IF(OR($A401="",$K401=""),"",IF(AND($M401="Sí",$O401="Sí"),"OTIF","Falló"))</f>
        <v/>
      </c>
    </row>
    <row r="402" ht="16" customHeight="1">
      <c r="A402" s="47" t="n"/>
      <c r="B402" s="46" t="n"/>
      <c r="C402" s="49" t="n"/>
      <c r="D402" s="49" t="n"/>
      <c r="E402" s="49" t="n"/>
      <c r="F402" s="49" t="n"/>
      <c r="G402" s="47" t="n"/>
      <c r="H402" s="50" t="n"/>
      <c r="I402" s="51" t="n"/>
      <c r="J402" s="46" t="n"/>
      <c r="K402" s="46" t="n"/>
      <c r="L402" s="23">
        <f>IF(OR($A402="",$B402=""),"",IF($K402&lt;&gt;"",$K402-$B402,TODAY()-$B402))</f>
        <v/>
      </c>
      <c r="M402" s="27">
        <f>IF(OR($A402="",$J402=""),"",IF($K402="",IF(TODAY()&gt;$J402,"Atrasado","En ruta"),IF($K402&lt;=$J402,"Sí","No")))</f>
        <v/>
      </c>
      <c r="N402" s="23">
        <f>IF($A402="","",COUNTIFS(NOVEDADES!$C$4:$C$1503,$A402))</f>
        <v/>
      </c>
      <c r="O402" s="27">
        <f>IF($A402="","",IF(COUNTIFS(NOVEDADES!$C$4:$C$1503,$A402,NOVEDADES!$M$4:$M$1503,"SÍ")&gt;0,"No","Sí"))</f>
        <v/>
      </c>
      <c r="P402" s="27">
        <f>IF(OR($A402="",$K402=""),"",IF(AND($M402="Sí",$O402="Sí"),"OTIF","Falló"))</f>
        <v/>
      </c>
    </row>
    <row r="403" ht="16" customHeight="1">
      <c r="A403" s="47" t="n"/>
      <c r="B403" s="46" t="n"/>
      <c r="C403" s="49" t="n"/>
      <c r="D403" s="49" t="n"/>
      <c r="E403" s="49" t="n"/>
      <c r="F403" s="49" t="n"/>
      <c r="G403" s="47" t="n"/>
      <c r="H403" s="50" t="n"/>
      <c r="I403" s="51" t="n"/>
      <c r="J403" s="46" t="n"/>
      <c r="K403" s="46" t="n"/>
      <c r="L403" s="23">
        <f>IF(OR($A403="",$B403=""),"",IF($K403&lt;&gt;"",$K403-$B403,TODAY()-$B403))</f>
        <v/>
      </c>
      <c r="M403" s="27">
        <f>IF(OR($A403="",$J403=""),"",IF($K403="",IF(TODAY()&gt;$J403,"Atrasado","En ruta"),IF($K403&lt;=$J403,"Sí","No")))</f>
        <v/>
      </c>
      <c r="N403" s="23">
        <f>IF($A403="","",COUNTIFS(NOVEDADES!$C$4:$C$1503,$A403))</f>
        <v/>
      </c>
      <c r="O403" s="27">
        <f>IF($A403="","",IF(COUNTIFS(NOVEDADES!$C$4:$C$1503,$A403,NOVEDADES!$M$4:$M$1503,"SÍ")&gt;0,"No","Sí"))</f>
        <v/>
      </c>
      <c r="P403" s="27">
        <f>IF(OR($A403="",$K403=""),"",IF(AND($M403="Sí",$O403="Sí"),"OTIF","Falló"))</f>
        <v/>
      </c>
    </row>
    <row r="404" ht="16" customHeight="1">
      <c r="A404" s="47" t="n"/>
      <c r="B404" s="46" t="n"/>
      <c r="C404" s="49" t="n"/>
      <c r="D404" s="49" t="n"/>
      <c r="E404" s="49" t="n"/>
      <c r="F404" s="49" t="n"/>
      <c r="G404" s="47" t="n"/>
      <c r="H404" s="50" t="n"/>
      <c r="I404" s="51" t="n"/>
      <c r="J404" s="46" t="n"/>
      <c r="K404" s="46" t="n"/>
      <c r="L404" s="23">
        <f>IF(OR($A404="",$B404=""),"",IF($K404&lt;&gt;"",$K404-$B404,TODAY()-$B404))</f>
        <v/>
      </c>
      <c r="M404" s="27">
        <f>IF(OR($A404="",$J404=""),"",IF($K404="",IF(TODAY()&gt;$J404,"Atrasado","En ruta"),IF($K404&lt;=$J404,"Sí","No")))</f>
        <v/>
      </c>
      <c r="N404" s="23">
        <f>IF($A404="","",COUNTIFS(NOVEDADES!$C$4:$C$1503,$A404))</f>
        <v/>
      </c>
      <c r="O404" s="27">
        <f>IF($A404="","",IF(COUNTIFS(NOVEDADES!$C$4:$C$1503,$A404,NOVEDADES!$M$4:$M$1503,"SÍ")&gt;0,"No","Sí"))</f>
        <v/>
      </c>
      <c r="P404" s="27">
        <f>IF(OR($A404="",$K404=""),"",IF(AND($M404="Sí",$O404="Sí"),"OTIF","Falló"))</f>
        <v/>
      </c>
    </row>
    <row r="405" ht="16" customHeight="1">
      <c r="A405" s="47" t="n"/>
      <c r="B405" s="46" t="n"/>
      <c r="C405" s="49" t="n"/>
      <c r="D405" s="49" t="n"/>
      <c r="E405" s="49" t="n"/>
      <c r="F405" s="49" t="n"/>
      <c r="G405" s="47" t="n"/>
      <c r="H405" s="50" t="n"/>
      <c r="I405" s="51" t="n"/>
      <c r="J405" s="46" t="n"/>
      <c r="K405" s="46" t="n"/>
      <c r="L405" s="23">
        <f>IF(OR($A405="",$B405=""),"",IF($K405&lt;&gt;"",$K405-$B405,TODAY()-$B405))</f>
        <v/>
      </c>
      <c r="M405" s="27">
        <f>IF(OR($A405="",$J405=""),"",IF($K405="",IF(TODAY()&gt;$J405,"Atrasado","En ruta"),IF($K405&lt;=$J405,"Sí","No")))</f>
        <v/>
      </c>
      <c r="N405" s="23">
        <f>IF($A405="","",COUNTIFS(NOVEDADES!$C$4:$C$1503,$A405))</f>
        <v/>
      </c>
      <c r="O405" s="27">
        <f>IF($A405="","",IF(COUNTIFS(NOVEDADES!$C$4:$C$1503,$A405,NOVEDADES!$M$4:$M$1503,"SÍ")&gt;0,"No","Sí"))</f>
        <v/>
      </c>
      <c r="P405" s="27">
        <f>IF(OR($A405="",$K405=""),"",IF(AND($M405="Sí",$O405="Sí"),"OTIF","Falló"))</f>
        <v/>
      </c>
    </row>
    <row r="406" ht="16" customHeight="1">
      <c r="A406" s="47" t="n"/>
      <c r="B406" s="46" t="n"/>
      <c r="C406" s="49" t="n"/>
      <c r="D406" s="49" t="n"/>
      <c r="E406" s="49" t="n"/>
      <c r="F406" s="49" t="n"/>
      <c r="G406" s="47" t="n"/>
      <c r="H406" s="50" t="n"/>
      <c r="I406" s="51" t="n"/>
      <c r="J406" s="46" t="n"/>
      <c r="K406" s="46" t="n"/>
      <c r="L406" s="23">
        <f>IF(OR($A406="",$B406=""),"",IF($K406&lt;&gt;"",$K406-$B406,TODAY()-$B406))</f>
        <v/>
      </c>
      <c r="M406" s="27">
        <f>IF(OR($A406="",$J406=""),"",IF($K406="",IF(TODAY()&gt;$J406,"Atrasado","En ruta"),IF($K406&lt;=$J406,"Sí","No")))</f>
        <v/>
      </c>
      <c r="N406" s="23">
        <f>IF($A406="","",COUNTIFS(NOVEDADES!$C$4:$C$1503,$A406))</f>
        <v/>
      </c>
      <c r="O406" s="27">
        <f>IF($A406="","",IF(COUNTIFS(NOVEDADES!$C$4:$C$1503,$A406,NOVEDADES!$M$4:$M$1503,"SÍ")&gt;0,"No","Sí"))</f>
        <v/>
      </c>
      <c r="P406" s="27">
        <f>IF(OR($A406="",$K406=""),"",IF(AND($M406="Sí",$O406="Sí"),"OTIF","Falló"))</f>
        <v/>
      </c>
    </row>
    <row r="407" ht="16" customHeight="1">
      <c r="A407" s="47" t="n"/>
      <c r="B407" s="46" t="n"/>
      <c r="C407" s="49" t="n"/>
      <c r="D407" s="49" t="n"/>
      <c r="E407" s="49" t="n"/>
      <c r="F407" s="49" t="n"/>
      <c r="G407" s="47" t="n"/>
      <c r="H407" s="50" t="n"/>
      <c r="I407" s="51" t="n"/>
      <c r="J407" s="46" t="n"/>
      <c r="K407" s="46" t="n"/>
      <c r="L407" s="23">
        <f>IF(OR($A407="",$B407=""),"",IF($K407&lt;&gt;"",$K407-$B407,TODAY()-$B407))</f>
        <v/>
      </c>
      <c r="M407" s="27">
        <f>IF(OR($A407="",$J407=""),"",IF($K407="",IF(TODAY()&gt;$J407,"Atrasado","En ruta"),IF($K407&lt;=$J407,"Sí","No")))</f>
        <v/>
      </c>
      <c r="N407" s="23">
        <f>IF($A407="","",COUNTIFS(NOVEDADES!$C$4:$C$1503,$A407))</f>
        <v/>
      </c>
      <c r="O407" s="27">
        <f>IF($A407="","",IF(COUNTIFS(NOVEDADES!$C$4:$C$1503,$A407,NOVEDADES!$M$4:$M$1503,"SÍ")&gt;0,"No","Sí"))</f>
        <v/>
      </c>
      <c r="P407" s="27">
        <f>IF(OR($A407="",$K407=""),"",IF(AND($M407="Sí",$O407="Sí"),"OTIF","Falló"))</f>
        <v/>
      </c>
    </row>
    <row r="408" ht="16" customHeight="1">
      <c r="A408" s="47" t="n"/>
      <c r="B408" s="46" t="n"/>
      <c r="C408" s="49" t="n"/>
      <c r="D408" s="49" t="n"/>
      <c r="E408" s="49" t="n"/>
      <c r="F408" s="49" t="n"/>
      <c r="G408" s="47" t="n"/>
      <c r="H408" s="50" t="n"/>
      <c r="I408" s="51" t="n"/>
      <c r="J408" s="46" t="n"/>
      <c r="K408" s="46" t="n"/>
      <c r="L408" s="23">
        <f>IF(OR($A408="",$B408=""),"",IF($K408&lt;&gt;"",$K408-$B408,TODAY()-$B408))</f>
        <v/>
      </c>
      <c r="M408" s="27">
        <f>IF(OR($A408="",$J408=""),"",IF($K408="",IF(TODAY()&gt;$J408,"Atrasado","En ruta"),IF($K408&lt;=$J408,"Sí","No")))</f>
        <v/>
      </c>
      <c r="N408" s="23">
        <f>IF($A408="","",COUNTIFS(NOVEDADES!$C$4:$C$1503,$A408))</f>
        <v/>
      </c>
      <c r="O408" s="27">
        <f>IF($A408="","",IF(COUNTIFS(NOVEDADES!$C$4:$C$1503,$A408,NOVEDADES!$M$4:$M$1503,"SÍ")&gt;0,"No","Sí"))</f>
        <v/>
      </c>
      <c r="P408" s="27">
        <f>IF(OR($A408="",$K408=""),"",IF(AND($M408="Sí",$O408="Sí"),"OTIF","Falló"))</f>
        <v/>
      </c>
    </row>
    <row r="409" ht="16" customHeight="1">
      <c r="A409" s="47" t="n"/>
      <c r="B409" s="46" t="n"/>
      <c r="C409" s="49" t="n"/>
      <c r="D409" s="49" t="n"/>
      <c r="E409" s="49" t="n"/>
      <c r="F409" s="49" t="n"/>
      <c r="G409" s="47" t="n"/>
      <c r="H409" s="50" t="n"/>
      <c r="I409" s="51" t="n"/>
      <c r="J409" s="46" t="n"/>
      <c r="K409" s="46" t="n"/>
      <c r="L409" s="23">
        <f>IF(OR($A409="",$B409=""),"",IF($K409&lt;&gt;"",$K409-$B409,TODAY()-$B409))</f>
        <v/>
      </c>
      <c r="M409" s="27">
        <f>IF(OR($A409="",$J409=""),"",IF($K409="",IF(TODAY()&gt;$J409,"Atrasado","En ruta"),IF($K409&lt;=$J409,"Sí","No")))</f>
        <v/>
      </c>
      <c r="N409" s="23">
        <f>IF($A409="","",COUNTIFS(NOVEDADES!$C$4:$C$1503,$A409))</f>
        <v/>
      </c>
      <c r="O409" s="27">
        <f>IF($A409="","",IF(COUNTIFS(NOVEDADES!$C$4:$C$1503,$A409,NOVEDADES!$M$4:$M$1503,"SÍ")&gt;0,"No","Sí"))</f>
        <v/>
      </c>
      <c r="P409" s="27">
        <f>IF(OR($A409="",$K409=""),"",IF(AND($M409="Sí",$O409="Sí"),"OTIF","Falló"))</f>
        <v/>
      </c>
    </row>
    <row r="410" ht="16" customHeight="1">
      <c r="A410" s="47" t="n"/>
      <c r="B410" s="46" t="n"/>
      <c r="C410" s="49" t="n"/>
      <c r="D410" s="49" t="n"/>
      <c r="E410" s="49" t="n"/>
      <c r="F410" s="49" t="n"/>
      <c r="G410" s="47" t="n"/>
      <c r="H410" s="50" t="n"/>
      <c r="I410" s="51" t="n"/>
      <c r="J410" s="46" t="n"/>
      <c r="K410" s="46" t="n"/>
      <c r="L410" s="23">
        <f>IF(OR($A410="",$B410=""),"",IF($K410&lt;&gt;"",$K410-$B410,TODAY()-$B410))</f>
        <v/>
      </c>
      <c r="M410" s="27">
        <f>IF(OR($A410="",$J410=""),"",IF($K410="",IF(TODAY()&gt;$J410,"Atrasado","En ruta"),IF($K410&lt;=$J410,"Sí","No")))</f>
        <v/>
      </c>
      <c r="N410" s="23">
        <f>IF($A410="","",COUNTIFS(NOVEDADES!$C$4:$C$1503,$A410))</f>
        <v/>
      </c>
      <c r="O410" s="27">
        <f>IF($A410="","",IF(COUNTIFS(NOVEDADES!$C$4:$C$1503,$A410,NOVEDADES!$M$4:$M$1503,"SÍ")&gt;0,"No","Sí"))</f>
        <v/>
      </c>
      <c r="P410" s="27">
        <f>IF(OR($A410="",$K410=""),"",IF(AND($M410="Sí",$O410="Sí"),"OTIF","Falló"))</f>
        <v/>
      </c>
    </row>
    <row r="411" ht="16" customHeight="1">
      <c r="A411" s="47" t="n"/>
      <c r="B411" s="46" t="n"/>
      <c r="C411" s="49" t="n"/>
      <c r="D411" s="49" t="n"/>
      <c r="E411" s="49" t="n"/>
      <c r="F411" s="49" t="n"/>
      <c r="G411" s="47" t="n"/>
      <c r="H411" s="50" t="n"/>
      <c r="I411" s="51" t="n"/>
      <c r="J411" s="46" t="n"/>
      <c r="K411" s="46" t="n"/>
      <c r="L411" s="23">
        <f>IF(OR($A411="",$B411=""),"",IF($K411&lt;&gt;"",$K411-$B411,TODAY()-$B411))</f>
        <v/>
      </c>
      <c r="M411" s="27">
        <f>IF(OR($A411="",$J411=""),"",IF($K411="",IF(TODAY()&gt;$J411,"Atrasado","En ruta"),IF($K411&lt;=$J411,"Sí","No")))</f>
        <v/>
      </c>
      <c r="N411" s="23">
        <f>IF($A411="","",COUNTIFS(NOVEDADES!$C$4:$C$1503,$A411))</f>
        <v/>
      </c>
      <c r="O411" s="27">
        <f>IF($A411="","",IF(COUNTIFS(NOVEDADES!$C$4:$C$1503,$A411,NOVEDADES!$M$4:$M$1503,"SÍ")&gt;0,"No","Sí"))</f>
        <v/>
      </c>
      <c r="P411" s="27">
        <f>IF(OR($A411="",$K411=""),"",IF(AND($M411="Sí",$O411="Sí"),"OTIF","Falló"))</f>
        <v/>
      </c>
    </row>
    <row r="412" ht="16" customHeight="1">
      <c r="A412" s="47" t="n"/>
      <c r="B412" s="46" t="n"/>
      <c r="C412" s="49" t="n"/>
      <c r="D412" s="49" t="n"/>
      <c r="E412" s="49" t="n"/>
      <c r="F412" s="49" t="n"/>
      <c r="G412" s="47" t="n"/>
      <c r="H412" s="50" t="n"/>
      <c r="I412" s="51" t="n"/>
      <c r="J412" s="46" t="n"/>
      <c r="K412" s="46" t="n"/>
      <c r="L412" s="23">
        <f>IF(OR($A412="",$B412=""),"",IF($K412&lt;&gt;"",$K412-$B412,TODAY()-$B412))</f>
        <v/>
      </c>
      <c r="M412" s="27">
        <f>IF(OR($A412="",$J412=""),"",IF($K412="",IF(TODAY()&gt;$J412,"Atrasado","En ruta"),IF($K412&lt;=$J412,"Sí","No")))</f>
        <v/>
      </c>
      <c r="N412" s="23">
        <f>IF($A412="","",COUNTIFS(NOVEDADES!$C$4:$C$1503,$A412))</f>
        <v/>
      </c>
      <c r="O412" s="27">
        <f>IF($A412="","",IF(COUNTIFS(NOVEDADES!$C$4:$C$1503,$A412,NOVEDADES!$M$4:$M$1503,"SÍ")&gt;0,"No","Sí"))</f>
        <v/>
      </c>
      <c r="P412" s="27">
        <f>IF(OR($A412="",$K412=""),"",IF(AND($M412="Sí",$O412="Sí"),"OTIF","Falló"))</f>
        <v/>
      </c>
    </row>
    <row r="413" ht="16" customHeight="1">
      <c r="A413" s="47" t="n"/>
      <c r="B413" s="46" t="n"/>
      <c r="C413" s="49" t="n"/>
      <c r="D413" s="49" t="n"/>
      <c r="E413" s="49" t="n"/>
      <c r="F413" s="49" t="n"/>
      <c r="G413" s="47" t="n"/>
      <c r="H413" s="50" t="n"/>
      <c r="I413" s="51" t="n"/>
      <c r="J413" s="46" t="n"/>
      <c r="K413" s="46" t="n"/>
      <c r="L413" s="23">
        <f>IF(OR($A413="",$B413=""),"",IF($K413&lt;&gt;"",$K413-$B413,TODAY()-$B413))</f>
        <v/>
      </c>
      <c r="M413" s="27">
        <f>IF(OR($A413="",$J413=""),"",IF($K413="",IF(TODAY()&gt;$J413,"Atrasado","En ruta"),IF($K413&lt;=$J413,"Sí","No")))</f>
        <v/>
      </c>
      <c r="N413" s="23">
        <f>IF($A413="","",COUNTIFS(NOVEDADES!$C$4:$C$1503,$A413))</f>
        <v/>
      </c>
      <c r="O413" s="27">
        <f>IF($A413="","",IF(COUNTIFS(NOVEDADES!$C$4:$C$1503,$A413,NOVEDADES!$M$4:$M$1503,"SÍ")&gt;0,"No","Sí"))</f>
        <v/>
      </c>
      <c r="P413" s="27">
        <f>IF(OR($A413="",$K413=""),"",IF(AND($M413="Sí",$O413="Sí"),"OTIF","Falló"))</f>
        <v/>
      </c>
    </row>
    <row r="414" ht="16" customHeight="1">
      <c r="A414" s="47" t="n"/>
      <c r="B414" s="46" t="n"/>
      <c r="C414" s="49" t="n"/>
      <c r="D414" s="49" t="n"/>
      <c r="E414" s="49" t="n"/>
      <c r="F414" s="49" t="n"/>
      <c r="G414" s="47" t="n"/>
      <c r="H414" s="50" t="n"/>
      <c r="I414" s="51" t="n"/>
      <c r="J414" s="46" t="n"/>
      <c r="K414" s="46" t="n"/>
      <c r="L414" s="23">
        <f>IF(OR($A414="",$B414=""),"",IF($K414&lt;&gt;"",$K414-$B414,TODAY()-$B414))</f>
        <v/>
      </c>
      <c r="M414" s="27">
        <f>IF(OR($A414="",$J414=""),"",IF($K414="",IF(TODAY()&gt;$J414,"Atrasado","En ruta"),IF($K414&lt;=$J414,"Sí","No")))</f>
        <v/>
      </c>
      <c r="N414" s="23">
        <f>IF($A414="","",COUNTIFS(NOVEDADES!$C$4:$C$1503,$A414))</f>
        <v/>
      </c>
      <c r="O414" s="27">
        <f>IF($A414="","",IF(COUNTIFS(NOVEDADES!$C$4:$C$1503,$A414,NOVEDADES!$M$4:$M$1503,"SÍ")&gt;0,"No","Sí"))</f>
        <v/>
      </c>
      <c r="P414" s="27">
        <f>IF(OR($A414="",$K414=""),"",IF(AND($M414="Sí",$O414="Sí"),"OTIF","Falló"))</f>
        <v/>
      </c>
    </row>
    <row r="415" ht="16" customHeight="1">
      <c r="A415" s="47" t="n"/>
      <c r="B415" s="46" t="n"/>
      <c r="C415" s="49" t="n"/>
      <c r="D415" s="49" t="n"/>
      <c r="E415" s="49" t="n"/>
      <c r="F415" s="49" t="n"/>
      <c r="G415" s="47" t="n"/>
      <c r="H415" s="50" t="n"/>
      <c r="I415" s="51" t="n"/>
      <c r="J415" s="46" t="n"/>
      <c r="K415" s="46" t="n"/>
      <c r="L415" s="23">
        <f>IF(OR($A415="",$B415=""),"",IF($K415&lt;&gt;"",$K415-$B415,TODAY()-$B415))</f>
        <v/>
      </c>
      <c r="M415" s="27">
        <f>IF(OR($A415="",$J415=""),"",IF($K415="",IF(TODAY()&gt;$J415,"Atrasado","En ruta"),IF($K415&lt;=$J415,"Sí","No")))</f>
        <v/>
      </c>
      <c r="N415" s="23">
        <f>IF($A415="","",COUNTIFS(NOVEDADES!$C$4:$C$1503,$A415))</f>
        <v/>
      </c>
      <c r="O415" s="27">
        <f>IF($A415="","",IF(COUNTIFS(NOVEDADES!$C$4:$C$1503,$A415,NOVEDADES!$M$4:$M$1503,"SÍ")&gt;0,"No","Sí"))</f>
        <v/>
      </c>
      <c r="P415" s="27">
        <f>IF(OR($A415="",$K415=""),"",IF(AND($M415="Sí",$O415="Sí"),"OTIF","Falló"))</f>
        <v/>
      </c>
    </row>
    <row r="416" ht="16" customHeight="1">
      <c r="A416" s="47" t="n"/>
      <c r="B416" s="46" t="n"/>
      <c r="C416" s="49" t="n"/>
      <c r="D416" s="49" t="n"/>
      <c r="E416" s="49" t="n"/>
      <c r="F416" s="49" t="n"/>
      <c r="G416" s="47" t="n"/>
      <c r="H416" s="50" t="n"/>
      <c r="I416" s="51" t="n"/>
      <c r="J416" s="46" t="n"/>
      <c r="K416" s="46" t="n"/>
      <c r="L416" s="23">
        <f>IF(OR($A416="",$B416=""),"",IF($K416&lt;&gt;"",$K416-$B416,TODAY()-$B416))</f>
        <v/>
      </c>
      <c r="M416" s="27">
        <f>IF(OR($A416="",$J416=""),"",IF($K416="",IF(TODAY()&gt;$J416,"Atrasado","En ruta"),IF($K416&lt;=$J416,"Sí","No")))</f>
        <v/>
      </c>
      <c r="N416" s="23">
        <f>IF($A416="","",COUNTIFS(NOVEDADES!$C$4:$C$1503,$A416))</f>
        <v/>
      </c>
      <c r="O416" s="27">
        <f>IF($A416="","",IF(COUNTIFS(NOVEDADES!$C$4:$C$1503,$A416,NOVEDADES!$M$4:$M$1503,"SÍ")&gt;0,"No","Sí"))</f>
        <v/>
      </c>
      <c r="P416" s="27">
        <f>IF(OR($A416="",$K416=""),"",IF(AND($M416="Sí",$O416="Sí"),"OTIF","Falló"))</f>
        <v/>
      </c>
    </row>
    <row r="417" ht="16" customHeight="1">
      <c r="A417" s="47" t="n"/>
      <c r="B417" s="46" t="n"/>
      <c r="C417" s="49" t="n"/>
      <c r="D417" s="49" t="n"/>
      <c r="E417" s="49" t="n"/>
      <c r="F417" s="49" t="n"/>
      <c r="G417" s="47" t="n"/>
      <c r="H417" s="50" t="n"/>
      <c r="I417" s="51" t="n"/>
      <c r="J417" s="46" t="n"/>
      <c r="K417" s="46" t="n"/>
      <c r="L417" s="23">
        <f>IF(OR($A417="",$B417=""),"",IF($K417&lt;&gt;"",$K417-$B417,TODAY()-$B417))</f>
        <v/>
      </c>
      <c r="M417" s="27">
        <f>IF(OR($A417="",$J417=""),"",IF($K417="",IF(TODAY()&gt;$J417,"Atrasado","En ruta"),IF($K417&lt;=$J417,"Sí","No")))</f>
        <v/>
      </c>
      <c r="N417" s="23">
        <f>IF($A417="","",COUNTIFS(NOVEDADES!$C$4:$C$1503,$A417))</f>
        <v/>
      </c>
      <c r="O417" s="27">
        <f>IF($A417="","",IF(COUNTIFS(NOVEDADES!$C$4:$C$1503,$A417,NOVEDADES!$M$4:$M$1503,"SÍ")&gt;0,"No","Sí"))</f>
        <v/>
      </c>
      <c r="P417" s="27">
        <f>IF(OR($A417="",$K417=""),"",IF(AND($M417="Sí",$O417="Sí"),"OTIF","Falló"))</f>
        <v/>
      </c>
    </row>
    <row r="418" ht="16" customHeight="1">
      <c r="A418" s="47" t="n"/>
      <c r="B418" s="46" t="n"/>
      <c r="C418" s="49" t="n"/>
      <c r="D418" s="49" t="n"/>
      <c r="E418" s="49" t="n"/>
      <c r="F418" s="49" t="n"/>
      <c r="G418" s="47" t="n"/>
      <c r="H418" s="50" t="n"/>
      <c r="I418" s="51" t="n"/>
      <c r="J418" s="46" t="n"/>
      <c r="K418" s="46" t="n"/>
      <c r="L418" s="23">
        <f>IF(OR($A418="",$B418=""),"",IF($K418&lt;&gt;"",$K418-$B418,TODAY()-$B418))</f>
        <v/>
      </c>
      <c r="M418" s="27">
        <f>IF(OR($A418="",$J418=""),"",IF($K418="",IF(TODAY()&gt;$J418,"Atrasado","En ruta"),IF($K418&lt;=$J418,"Sí","No")))</f>
        <v/>
      </c>
      <c r="N418" s="23">
        <f>IF($A418="","",COUNTIFS(NOVEDADES!$C$4:$C$1503,$A418))</f>
        <v/>
      </c>
      <c r="O418" s="27">
        <f>IF($A418="","",IF(COUNTIFS(NOVEDADES!$C$4:$C$1503,$A418,NOVEDADES!$M$4:$M$1503,"SÍ")&gt;0,"No","Sí"))</f>
        <v/>
      </c>
      <c r="P418" s="27">
        <f>IF(OR($A418="",$K418=""),"",IF(AND($M418="Sí",$O418="Sí"),"OTIF","Falló"))</f>
        <v/>
      </c>
    </row>
    <row r="419" ht="16" customHeight="1">
      <c r="A419" s="47" t="n"/>
      <c r="B419" s="46" t="n"/>
      <c r="C419" s="49" t="n"/>
      <c r="D419" s="49" t="n"/>
      <c r="E419" s="49" t="n"/>
      <c r="F419" s="49" t="n"/>
      <c r="G419" s="47" t="n"/>
      <c r="H419" s="50" t="n"/>
      <c r="I419" s="51" t="n"/>
      <c r="J419" s="46" t="n"/>
      <c r="K419" s="46" t="n"/>
      <c r="L419" s="23">
        <f>IF(OR($A419="",$B419=""),"",IF($K419&lt;&gt;"",$K419-$B419,TODAY()-$B419))</f>
        <v/>
      </c>
      <c r="M419" s="27">
        <f>IF(OR($A419="",$J419=""),"",IF($K419="",IF(TODAY()&gt;$J419,"Atrasado","En ruta"),IF($K419&lt;=$J419,"Sí","No")))</f>
        <v/>
      </c>
      <c r="N419" s="23">
        <f>IF($A419="","",COUNTIFS(NOVEDADES!$C$4:$C$1503,$A419))</f>
        <v/>
      </c>
      <c r="O419" s="27">
        <f>IF($A419="","",IF(COUNTIFS(NOVEDADES!$C$4:$C$1503,$A419,NOVEDADES!$M$4:$M$1503,"SÍ")&gt;0,"No","Sí"))</f>
        <v/>
      </c>
      <c r="P419" s="27">
        <f>IF(OR($A419="",$K419=""),"",IF(AND($M419="Sí",$O419="Sí"),"OTIF","Falló"))</f>
        <v/>
      </c>
    </row>
    <row r="420" ht="16" customHeight="1">
      <c r="A420" s="47" t="n"/>
      <c r="B420" s="46" t="n"/>
      <c r="C420" s="49" t="n"/>
      <c r="D420" s="49" t="n"/>
      <c r="E420" s="49" t="n"/>
      <c r="F420" s="49" t="n"/>
      <c r="G420" s="47" t="n"/>
      <c r="H420" s="50" t="n"/>
      <c r="I420" s="51" t="n"/>
      <c r="J420" s="46" t="n"/>
      <c r="K420" s="46" t="n"/>
      <c r="L420" s="23">
        <f>IF(OR($A420="",$B420=""),"",IF($K420&lt;&gt;"",$K420-$B420,TODAY()-$B420))</f>
        <v/>
      </c>
      <c r="M420" s="27">
        <f>IF(OR($A420="",$J420=""),"",IF($K420="",IF(TODAY()&gt;$J420,"Atrasado","En ruta"),IF($K420&lt;=$J420,"Sí","No")))</f>
        <v/>
      </c>
      <c r="N420" s="23">
        <f>IF($A420="","",COUNTIFS(NOVEDADES!$C$4:$C$1503,$A420))</f>
        <v/>
      </c>
      <c r="O420" s="27">
        <f>IF($A420="","",IF(COUNTIFS(NOVEDADES!$C$4:$C$1503,$A420,NOVEDADES!$M$4:$M$1503,"SÍ")&gt;0,"No","Sí"))</f>
        <v/>
      </c>
      <c r="P420" s="27">
        <f>IF(OR($A420="",$K420=""),"",IF(AND($M420="Sí",$O420="Sí"),"OTIF","Falló"))</f>
        <v/>
      </c>
    </row>
    <row r="421" ht="16" customHeight="1">
      <c r="A421" s="47" t="n"/>
      <c r="B421" s="46" t="n"/>
      <c r="C421" s="49" t="n"/>
      <c r="D421" s="49" t="n"/>
      <c r="E421" s="49" t="n"/>
      <c r="F421" s="49" t="n"/>
      <c r="G421" s="47" t="n"/>
      <c r="H421" s="50" t="n"/>
      <c r="I421" s="51" t="n"/>
      <c r="J421" s="46" t="n"/>
      <c r="K421" s="46" t="n"/>
      <c r="L421" s="23">
        <f>IF(OR($A421="",$B421=""),"",IF($K421&lt;&gt;"",$K421-$B421,TODAY()-$B421))</f>
        <v/>
      </c>
      <c r="M421" s="27">
        <f>IF(OR($A421="",$J421=""),"",IF($K421="",IF(TODAY()&gt;$J421,"Atrasado","En ruta"),IF($K421&lt;=$J421,"Sí","No")))</f>
        <v/>
      </c>
      <c r="N421" s="23">
        <f>IF($A421="","",COUNTIFS(NOVEDADES!$C$4:$C$1503,$A421))</f>
        <v/>
      </c>
      <c r="O421" s="27">
        <f>IF($A421="","",IF(COUNTIFS(NOVEDADES!$C$4:$C$1503,$A421,NOVEDADES!$M$4:$M$1503,"SÍ")&gt;0,"No","Sí"))</f>
        <v/>
      </c>
      <c r="P421" s="27">
        <f>IF(OR($A421="",$K421=""),"",IF(AND($M421="Sí",$O421="Sí"),"OTIF","Falló"))</f>
        <v/>
      </c>
    </row>
    <row r="422" ht="16" customHeight="1">
      <c r="A422" s="47" t="n"/>
      <c r="B422" s="46" t="n"/>
      <c r="C422" s="49" t="n"/>
      <c r="D422" s="49" t="n"/>
      <c r="E422" s="49" t="n"/>
      <c r="F422" s="49" t="n"/>
      <c r="G422" s="47" t="n"/>
      <c r="H422" s="50" t="n"/>
      <c r="I422" s="51" t="n"/>
      <c r="J422" s="46" t="n"/>
      <c r="K422" s="46" t="n"/>
      <c r="L422" s="23">
        <f>IF(OR($A422="",$B422=""),"",IF($K422&lt;&gt;"",$K422-$B422,TODAY()-$B422))</f>
        <v/>
      </c>
      <c r="M422" s="27">
        <f>IF(OR($A422="",$J422=""),"",IF($K422="",IF(TODAY()&gt;$J422,"Atrasado","En ruta"),IF($K422&lt;=$J422,"Sí","No")))</f>
        <v/>
      </c>
      <c r="N422" s="23">
        <f>IF($A422="","",COUNTIFS(NOVEDADES!$C$4:$C$1503,$A422))</f>
        <v/>
      </c>
      <c r="O422" s="27">
        <f>IF($A422="","",IF(COUNTIFS(NOVEDADES!$C$4:$C$1503,$A422,NOVEDADES!$M$4:$M$1503,"SÍ")&gt;0,"No","Sí"))</f>
        <v/>
      </c>
      <c r="P422" s="27">
        <f>IF(OR($A422="",$K422=""),"",IF(AND($M422="Sí",$O422="Sí"),"OTIF","Falló"))</f>
        <v/>
      </c>
    </row>
    <row r="423" ht="16" customHeight="1">
      <c r="A423" s="47" t="n"/>
      <c r="B423" s="46" t="n"/>
      <c r="C423" s="49" t="n"/>
      <c r="D423" s="49" t="n"/>
      <c r="E423" s="49" t="n"/>
      <c r="F423" s="49" t="n"/>
      <c r="G423" s="47" t="n"/>
      <c r="H423" s="50" t="n"/>
      <c r="I423" s="51" t="n"/>
      <c r="J423" s="46" t="n"/>
      <c r="K423" s="46" t="n"/>
      <c r="L423" s="23">
        <f>IF(OR($A423="",$B423=""),"",IF($K423&lt;&gt;"",$K423-$B423,TODAY()-$B423))</f>
        <v/>
      </c>
      <c r="M423" s="27">
        <f>IF(OR($A423="",$J423=""),"",IF($K423="",IF(TODAY()&gt;$J423,"Atrasado","En ruta"),IF($K423&lt;=$J423,"Sí","No")))</f>
        <v/>
      </c>
      <c r="N423" s="23">
        <f>IF($A423="","",COUNTIFS(NOVEDADES!$C$4:$C$1503,$A423))</f>
        <v/>
      </c>
      <c r="O423" s="27">
        <f>IF($A423="","",IF(COUNTIFS(NOVEDADES!$C$4:$C$1503,$A423,NOVEDADES!$M$4:$M$1503,"SÍ")&gt;0,"No","Sí"))</f>
        <v/>
      </c>
      <c r="P423" s="27">
        <f>IF(OR($A423="",$K423=""),"",IF(AND($M423="Sí",$O423="Sí"),"OTIF","Falló"))</f>
        <v/>
      </c>
    </row>
    <row r="424" ht="16" customHeight="1">
      <c r="A424" s="47" t="n"/>
      <c r="B424" s="46" t="n"/>
      <c r="C424" s="49" t="n"/>
      <c r="D424" s="49" t="n"/>
      <c r="E424" s="49" t="n"/>
      <c r="F424" s="49" t="n"/>
      <c r="G424" s="47" t="n"/>
      <c r="H424" s="50" t="n"/>
      <c r="I424" s="51" t="n"/>
      <c r="J424" s="46" t="n"/>
      <c r="K424" s="46" t="n"/>
      <c r="L424" s="23">
        <f>IF(OR($A424="",$B424=""),"",IF($K424&lt;&gt;"",$K424-$B424,TODAY()-$B424))</f>
        <v/>
      </c>
      <c r="M424" s="27">
        <f>IF(OR($A424="",$J424=""),"",IF($K424="",IF(TODAY()&gt;$J424,"Atrasado","En ruta"),IF($K424&lt;=$J424,"Sí","No")))</f>
        <v/>
      </c>
      <c r="N424" s="23">
        <f>IF($A424="","",COUNTIFS(NOVEDADES!$C$4:$C$1503,$A424))</f>
        <v/>
      </c>
      <c r="O424" s="27">
        <f>IF($A424="","",IF(COUNTIFS(NOVEDADES!$C$4:$C$1503,$A424,NOVEDADES!$M$4:$M$1503,"SÍ")&gt;0,"No","Sí"))</f>
        <v/>
      </c>
      <c r="P424" s="27">
        <f>IF(OR($A424="",$K424=""),"",IF(AND($M424="Sí",$O424="Sí"),"OTIF","Falló"))</f>
        <v/>
      </c>
    </row>
    <row r="425" ht="16" customHeight="1">
      <c r="A425" s="47" t="n"/>
      <c r="B425" s="46" t="n"/>
      <c r="C425" s="49" t="n"/>
      <c r="D425" s="49" t="n"/>
      <c r="E425" s="49" t="n"/>
      <c r="F425" s="49" t="n"/>
      <c r="G425" s="47" t="n"/>
      <c r="H425" s="50" t="n"/>
      <c r="I425" s="51" t="n"/>
      <c r="J425" s="46" t="n"/>
      <c r="K425" s="46" t="n"/>
      <c r="L425" s="23">
        <f>IF(OR($A425="",$B425=""),"",IF($K425&lt;&gt;"",$K425-$B425,TODAY()-$B425))</f>
        <v/>
      </c>
      <c r="M425" s="27">
        <f>IF(OR($A425="",$J425=""),"",IF($K425="",IF(TODAY()&gt;$J425,"Atrasado","En ruta"),IF($K425&lt;=$J425,"Sí","No")))</f>
        <v/>
      </c>
      <c r="N425" s="23">
        <f>IF($A425="","",COUNTIFS(NOVEDADES!$C$4:$C$1503,$A425))</f>
        <v/>
      </c>
      <c r="O425" s="27">
        <f>IF($A425="","",IF(COUNTIFS(NOVEDADES!$C$4:$C$1503,$A425,NOVEDADES!$M$4:$M$1503,"SÍ")&gt;0,"No","Sí"))</f>
        <v/>
      </c>
      <c r="P425" s="27">
        <f>IF(OR($A425="",$K425=""),"",IF(AND($M425="Sí",$O425="Sí"),"OTIF","Falló"))</f>
        <v/>
      </c>
    </row>
    <row r="426" ht="16" customHeight="1">
      <c r="A426" s="47" t="n"/>
      <c r="B426" s="46" t="n"/>
      <c r="C426" s="49" t="n"/>
      <c r="D426" s="49" t="n"/>
      <c r="E426" s="49" t="n"/>
      <c r="F426" s="49" t="n"/>
      <c r="G426" s="47" t="n"/>
      <c r="H426" s="50" t="n"/>
      <c r="I426" s="51" t="n"/>
      <c r="J426" s="46" t="n"/>
      <c r="K426" s="46" t="n"/>
      <c r="L426" s="23">
        <f>IF(OR($A426="",$B426=""),"",IF($K426&lt;&gt;"",$K426-$B426,TODAY()-$B426))</f>
        <v/>
      </c>
      <c r="M426" s="27">
        <f>IF(OR($A426="",$J426=""),"",IF($K426="",IF(TODAY()&gt;$J426,"Atrasado","En ruta"),IF($K426&lt;=$J426,"Sí","No")))</f>
        <v/>
      </c>
      <c r="N426" s="23">
        <f>IF($A426="","",COUNTIFS(NOVEDADES!$C$4:$C$1503,$A426))</f>
        <v/>
      </c>
      <c r="O426" s="27">
        <f>IF($A426="","",IF(COUNTIFS(NOVEDADES!$C$4:$C$1503,$A426,NOVEDADES!$M$4:$M$1503,"SÍ")&gt;0,"No","Sí"))</f>
        <v/>
      </c>
      <c r="P426" s="27">
        <f>IF(OR($A426="",$K426=""),"",IF(AND($M426="Sí",$O426="Sí"),"OTIF","Falló"))</f>
        <v/>
      </c>
    </row>
    <row r="427" ht="16" customHeight="1">
      <c r="A427" s="47" t="n"/>
      <c r="B427" s="46" t="n"/>
      <c r="C427" s="49" t="n"/>
      <c r="D427" s="49" t="n"/>
      <c r="E427" s="49" t="n"/>
      <c r="F427" s="49" t="n"/>
      <c r="G427" s="47" t="n"/>
      <c r="H427" s="50" t="n"/>
      <c r="I427" s="51" t="n"/>
      <c r="J427" s="46" t="n"/>
      <c r="K427" s="46" t="n"/>
      <c r="L427" s="23">
        <f>IF(OR($A427="",$B427=""),"",IF($K427&lt;&gt;"",$K427-$B427,TODAY()-$B427))</f>
        <v/>
      </c>
      <c r="M427" s="27">
        <f>IF(OR($A427="",$J427=""),"",IF($K427="",IF(TODAY()&gt;$J427,"Atrasado","En ruta"),IF($K427&lt;=$J427,"Sí","No")))</f>
        <v/>
      </c>
      <c r="N427" s="23">
        <f>IF($A427="","",COUNTIFS(NOVEDADES!$C$4:$C$1503,$A427))</f>
        <v/>
      </c>
      <c r="O427" s="27">
        <f>IF($A427="","",IF(COUNTIFS(NOVEDADES!$C$4:$C$1503,$A427,NOVEDADES!$M$4:$M$1503,"SÍ")&gt;0,"No","Sí"))</f>
        <v/>
      </c>
      <c r="P427" s="27">
        <f>IF(OR($A427="",$K427=""),"",IF(AND($M427="Sí",$O427="Sí"),"OTIF","Falló"))</f>
        <v/>
      </c>
    </row>
    <row r="428" ht="16" customHeight="1">
      <c r="A428" s="47" t="n"/>
      <c r="B428" s="46" t="n"/>
      <c r="C428" s="49" t="n"/>
      <c r="D428" s="49" t="n"/>
      <c r="E428" s="49" t="n"/>
      <c r="F428" s="49" t="n"/>
      <c r="G428" s="47" t="n"/>
      <c r="H428" s="50" t="n"/>
      <c r="I428" s="51" t="n"/>
      <c r="J428" s="46" t="n"/>
      <c r="K428" s="46" t="n"/>
      <c r="L428" s="23">
        <f>IF(OR($A428="",$B428=""),"",IF($K428&lt;&gt;"",$K428-$B428,TODAY()-$B428))</f>
        <v/>
      </c>
      <c r="M428" s="27">
        <f>IF(OR($A428="",$J428=""),"",IF($K428="",IF(TODAY()&gt;$J428,"Atrasado","En ruta"),IF($K428&lt;=$J428,"Sí","No")))</f>
        <v/>
      </c>
      <c r="N428" s="23">
        <f>IF($A428="","",COUNTIFS(NOVEDADES!$C$4:$C$1503,$A428))</f>
        <v/>
      </c>
      <c r="O428" s="27">
        <f>IF($A428="","",IF(COUNTIFS(NOVEDADES!$C$4:$C$1503,$A428,NOVEDADES!$M$4:$M$1503,"SÍ")&gt;0,"No","Sí"))</f>
        <v/>
      </c>
      <c r="P428" s="27">
        <f>IF(OR($A428="",$K428=""),"",IF(AND($M428="Sí",$O428="Sí"),"OTIF","Falló"))</f>
        <v/>
      </c>
    </row>
    <row r="429" ht="16" customHeight="1">
      <c r="A429" s="47" t="n"/>
      <c r="B429" s="46" t="n"/>
      <c r="C429" s="49" t="n"/>
      <c r="D429" s="49" t="n"/>
      <c r="E429" s="49" t="n"/>
      <c r="F429" s="49" t="n"/>
      <c r="G429" s="47" t="n"/>
      <c r="H429" s="50" t="n"/>
      <c r="I429" s="51" t="n"/>
      <c r="J429" s="46" t="n"/>
      <c r="K429" s="46" t="n"/>
      <c r="L429" s="23">
        <f>IF(OR($A429="",$B429=""),"",IF($K429&lt;&gt;"",$K429-$B429,TODAY()-$B429))</f>
        <v/>
      </c>
      <c r="M429" s="27">
        <f>IF(OR($A429="",$J429=""),"",IF($K429="",IF(TODAY()&gt;$J429,"Atrasado","En ruta"),IF($K429&lt;=$J429,"Sí","No")))</f>
        <v/>
      </c>
      <c r="N429" s="23">
        <f>IF($A429="","",COUNTIFS(NOVEDADES!$C$4:$C$1503,$A429))</f>
        <v/>
      </c>
      <c r="O429" s="27">
        <f>IF($A429="","",IF(COUNTIFS(NOVEDADES!$C$4:$C$1503,$A429,NOVEDADES!$M$4:$M$1503,"SÍ")&gt;0,"No","Sí"))</f>
        <v/>
      </c>
      <c r="P429" s="27">
        <f>IF(OR($A429="",$K429=""),"",IF(AND($M429="Sí",$O429="Sí"),"OTIF","Falló"))</f>
        <v/>
      </c>
    </row>
    <row r="430" ht="16" customHeight="1">
      <c r="A430" s="47" t="n"/>
      <c r="B430" s="46" t="n"/>
      <c r="C430" s="49" t="n"/>
      <c r="D430" s="49" t="n"/>
      <c r="E430" s="49" t="n"/>
      <c r="F430" s="49" t="n"/>
      <c r="G430" s="47" t="n"/>
      <c r="H430" s="50" t="n"/>
      <c r="I430" s="51" t="n"/>
      <c r="J430" s="46" t="n"/>
      <c r="K430" s="46" t="n"/>
      <c r="L430" s="23">
        <f>IF(OR($A430="",$B430=""),"",IF($K430&lt;&gt;"",$K430-$B430,TODAY()-$B430))</f>
        <v/>
      </c>
      <c r="M430" s="27">
        <f>IF(OR($A430="",$J430=""),"",IF($K430="",IF(TODAY()&gt;$J430,"Atrasado","En ruta"),IF($K430&lt;=$J430,"Sí","No")))</f>
        <v/>
      </c>
      <c r="N430" s="23">
        <f>IF($A430="","",COUNTIFS(NOVEDADES!$C$4:$C$1503,$A430))</f>
        <v/>
      </c>
      <c r="O430" s="27">
        <f>IF($A430="","",IF(COUNTIFS(NOVEDADES!$C$4:$C$1503,$A430,NOVEDADES!$M$4:$M$1503,"SÍ")&gt;0,"No","Sí"))</f>
        <v/>
      </c>
      <c r="P430" s="27">
        <f>IF(OR($A430="",$K430=""),"",IF(AND($M430="Sí",$O430="Sí"),"OTIF","Falló"))</f>
        <v/>
      </c>
    </row>
    <row r="431" ht="16" customHeight="1">
      <c r="A431" s="47" t="n"/>
      <c r="B431" s="46" t="n"/>
      <c r="C431" s="49" t="n"/>
      <c r="D431" s="49" t="n"/>
      <c r="E431" s="49" t="n"/>
      <c r="F431" s="49" t="n"/>
      <c r="G431" s="47" t="n"/>
      <c r="H431" s="50" t="n"/>
      <c r="I431" s="51" t="n"/>
      <c r="J431" s="46" t="n"/>
      <c r="K431" s="46" t="n"/>
      <c r="L431" s="23">
        <f>IF(OR($A431="",$B431=""),"",IF($K431&lt;&gt;"",$K431-$B431,TODAY()-$B431))</f>
        <v/>
      </c>
      <c r="M431" s="27">
        <f>IF(OR($A431="",$J431=""),"",IF($K431="",IF(TODAY()&gt;$J431,"Atrasado","En ruta"),IF($K431&lt;=$J431,"Sí","No")))</f>
        <v/>
      </c>
      <c r="N431" s="23">
        <f>IF($A431="","",COUNTIFS(NOVEDADES!$C$4:$C$1503,$A431))</f>
        <v/>
      </c>
      <c r="O431" s="27">
        <f>IF($A431="","",IF(COUNTIFS(NOVEDADES!$C$4:$C$1503,$A431,NOVEDADES!$M$4:$M$1503,"SÍ")&gt;0,"No","Sí"))</f>
        <v/>
      </c>
      <c r="P431" s="27">
        <f>IF(OR($A431="",$K431=""),"",IF(AND($M431="Sí",$O431="Sí"),"OTIF","Falló"))</f>
        <v/>
      </c>
    </row>
    <row r="432" ht="16" customHeight="1">
      <c r="A432" s="47" t="n"/>
      <c r="B432" s="46" t="n"/>
      <c r="C432" s="49" t="n"/>
      <c r="D432" s="49" t="n"/>
      <c r="E432" s="49" t="n"/>
      <c r="F432" s="49" t="n"/>
      <c r="G432" s="47" t="n"/>
      <c r="H432" s="50" t="n"/>
      <c r="I432" s="51" t="n"/>
      <c r="J432" s="46" t="n"/>
      <c r="K432" s="46" t="n"/>
      <c r="L432" s="23">
        <f>IF(OR($A432="",$B432=""),"",IF($K432&lt;&gt;"",$K432-$B432,TODAY()-$B432))</f>
        <v/>
      </c>
      <c r="M432" s="27">
        <f>IF(OR($A432="",$J432=""),"",IF($K432="",IF(TODAY()&gt;$J432,"Atrasado","En ruta"),IF($K432&lt;=$J432,"Sí","No")))</f>
        <v/>
      </c>
      <c r="N432" s="23">
        <f>IF($A432="","",COUNTIFS(NOVEDADES!$C$4:$C$1503,$A432))</f>
        <v/>
      </c>
      <c r="O432" s="27">
        <f>IF($A432="","",IF(COUNTIFS(NOVEDADES!$C$4:$C$1503,$A432,NOVEDADES!$M$4:$M$1503,"SÍ")&gt;0,"No","Sí"))</f>
        <v/>
      </c>
      <c r="P432" s="27">
        <f>IF(OR($A432="",$K432=""),"",IF(AND($M432="Sí",$O432="Sí"),"OTIF","Falló"))</f>
        <v/>
      </c>
    </row>
    <row r="433" ht="16" customHeight="1">
      <c r="A433" s="47" t="n"/>
      <c r="B433" s="46" t="n"/>
      <c r="C433" s="49" t="n"/>
      <c r="D433" s="49" t="n"/>
      <c r="E433" s="49" t="n"/>
      <c r="F433" s="49" t="n"/>
      <c r="G433" s="47" t="n"/>
      <c r="H433" s="50" t="n"/>
      <c r="I433" s="51" t="n"/>
      <c r="J433" s="46" t="n"/>
      <c r="K433" s="46" t="n"/>
      <c r="L433" s="23">
        <f>IF(OR($A433="",$B433=""),"",IF($K433&lt;&gt;"",$K433-$B433,TODAY()-$B433))</f>
        <v/>
      </c>
      <c r="M433" s="27">
        <f>IF(OR($A433="",$J433=""),"",IF($K433="",IF(TODAY()&gt;$J433,"Atrasado","En ruta"),IF($K433&lt;=$J433,"Sí","No")))</f>
        <v/>
      </c>
      <c r="N433" s="23">
        <f>IF($A433="","",COUNTIFS(NOVEDADES!$C$4:$C$1503,$A433))</f>
        <v/>
      </c>
      <c r="O433" s="27">
        <f>IF($A433="","",IF(COUNTIFS(NOVEDADES!$C$4:$C$1503,$A433,NOVEDADES!$M$4:$M$1503,"SÍ")&gt;0,"No","Sí"))</f>
        <v/>
      </c>
      <c r="P433" s="27">
        <f>IF(OR($A433="",$K433=""),"",IF(AND($M433="Sí",$O433="Sí"),"OTIF","Falló"))</f>
        <v/>
      </c>
    </row>
    <row r="434" ht="16" customHeight="1">
      <c r="A434" s="47" t="n"/>
      <c r="B434" s="46" t="n"/>
      <c r="C434" s="49" t="n"/>
      <c r="D434" s="49" t="n"/>
      <c r="E434" s="49" t="n"/>
      <c r="F434" s="49" t="n"/>
      <c r="G434" s="47" t="n"/>
      <c r="H434" s="50" t="n"/>
      <c r="I434" s="51" t="n"/>
      <c r="J434" s="46" t="n"/>
      <c r="K434" s="46" t="n"/>
      <c r="L434" s="23">
        <f>IF(OR($A434="",$B434=""),"",IF($K434&lt;&gt;"",$K434-$B434,TODAY()-$B434))</f>
        <v/>
      </c>
      <c r="M434" s="27">
        <f>IF(OR($A434="",$J434=""),"",IF($K434="",IF(TODAY()&gt;$J434,"Atrasado","En ruta"),IF($K434&lt;=$J434,"Sí","No")))</f>
        <v/>
      </c>
      <c r="N434" s="23">
        <f>IF($A434="","",COUNTIFS(NOVEDADES!$C$4:$C$1503,$A434))</f>
        <v/>
      </c>
      <c r="O434" s="27">
        <f>IF($A434="","",IF(COUNTIFS(NOVEDADES!$C$4:$C$1503,$A434,NOVEDADES!$M$4:$M$1503,"SÍ")&gt;0,"No","Sí"))</f>
        <v/>
      </c>
      <c r="P434" s="27">
        <f>IF(OR($A434="",$K434=""),"",IF(AND($M434="Sí",$O434="Sí"),"OTIF","Falló"))</f>
        <v/>
      </c>
    </row>
    <row r="435" ht="16" customHeight="1">
      <c r="A435" s="47" t="n"/>
      <c r="B435" s="46" t="n"/>
      <c r="C435" s="49" t="n"/>
      <c r="D435" s="49" t="n"/>
      <c r="E435" s="49" t="n"/>
      <c r="F435" s="49" t="n"/>
      <c r="G435" s="47" t="n"/>
      <c r="H435" s="50" t="n"/>
      <c r="I435" s="51" t="n"/>
      <c r="J435" s="46" t="n"/>
      <c r="K435" s="46" t="n"/>
      <c r="L435" s="23">
        <f>IF(OR($A435="",$B435=""),"",IF($K435&lt;&gt;"",$K435-$B435,TODAY()-$B435))</f>
        <v/>
      </c>
      <c r="M435" s="27">
        <f>IF(OR($A435="",$J435=""),"",IF($K435="",IF(TODAY()&gt;$J435,"Atrasado","En ruta"),IF($K435&lt;=$J435,"Sí","No")))</f>
        <v/>
      </c>
      <c r="N435" s="23">
        <f>IF($A435="","",COUNTIFS(NOVEDADES!$C$4:$C$1503,$A435))</f>
        <v/>
      </c>
      <c r="O435" s="27">
        <f>IF($A435="","",IF(COUNTIFS(NOVEDADES!$C$4:$C$1503,$A435,NOVEDADES!$M$4:$M$1503,"SÍ")&gt;0,"No","Sí"))</f>
        <v/>
      </c>
      <c r="P435" s="27">
        <f>IF(OR($A435="",$K435=""),"",IF(AND($M435="Sí",$O435="Sí"),"OTIF","Falló"))</f>
        <v/>
      </c>
    </row>
    <row r="436" ht="16" customHeight="1">
      <c r="A436" s="47" t="n"/>
      <c r="B436" s="46" t="n"/>
      <c r="C436" s="49" t="n"/>
      <c r="D436" s="49" t="n"/>
      <c r="E436" s="49" t="n"/>
      <c r="F436" s="49" t="n"/>
      <c r="G436" s="47" t="n"/>
      <c r="H436" s="50" t="n"/>
      <c r="I436" s="51" t="n"/>
      <c r="J436" s="46" t="n"/>
      <c r="K436" s="46" t="n"/>
      <c r="L436" s="23">
        <f>IF(OR($A436="",$B436=""),"",IF($K436&lt;&gt;"",$K436-$B436,TODAY()-$B436))</f>
        <v/>
      </c>
      <c r="M436" s="27">
        <f>IF(OR($A436="",$J436=""),"",IF($K436="",IF(TODAY()&gt;$J436,"Atrasado","En ruta"),IF($K436&lt;=$J436,"Sí","No")))</f>
        <v/>
      </c>
      <c r="N436" s="23">
        <f>IF($A436="","",COUNTIFS(NOVEDADES!$C$4:$C$1503,$A436))</f>
        <v/>
      </c>
      <c r="O436" s="27">
        <f>IF($A436="","",IF(COUNTIFS(NOVEDADES!$C$4:$C$1503,$A436,NOVEDADES!$M$4:$M$1503,"SÍ")&gt;0,"No","Sí"))</f>
        <v/>
      </c>
      <c r="P436" s="27">
        <f>IF(OR($A436="",$K436=""),"",IF(AND($M436="Sí",$O436="Sí"),"OTIF","Falló"))</f>
        <v/>
      </c>
    </row>
    <row r="437" ht="16" customHeight="1">
      <c r="A437" s="47" t="n"/>
      <c r="B437" s="46" t="n"/>
      <c r="C437" s="49" t="n"/>
      <c r="D437" s="49" t="n"/>
      <c r="E437" s="49" t="n"/>
      <c r="F437" s="49" t="n"/>
      <c r="G437" s="47" t="n"/>
      <c r="H437" s="50" t="n"/>
      <c r="I437" s="51" t="n"/>
      <c r="J437" s="46" t="n"/>
      <c r="K437" s="46" t="n"/>
      <c r="L437" s="23">
        <f>IF(OR($A437="",$B437=""),"",IF($K437&lt;&gt;"",$K437-$B437,TODAY()-$B437))</f>
        <v/>
      </c>
      <c r="M437" s="27">
        <f>IF(OR($A437="",$J437=""),"",IF($K437="",IF(TODAY()&gt;$J437,"Atrasado","En ruta"),IF($K437&lt;=$J437,"Sí","No")))</f>
        <v/>
      </c>
      <c r="N437" s="23">
        <f>IF($A437="","",COUNTIFS(NOVEDADES!$C$4:$C$1503,$A437))</f>
        <v/>
      </c>
      <c r="O437" s="27">
        <f>IF($A437="","",IF(COUNTIFS(NOVEDADES!$C$4:$C$1503,$A437,NOVEDADES!$M$4:$M$1503,"SÍ")&gt;0,"No","Sí"))</f>
        <v/>
      </c>
      <c r="P437" s="27">
        <f>IF(OR($A437="",$K437=""),"",IF(AND($M437="Sí",$O437="Sí"),"OTIF","Falló"))</f>
        <v/>
      </c>
    </row>
    <row r="438" ht="16" customHeight="1">
      <c r="A438" s="47" t="n"/>
      <c r="B438" s="46" t="n"/>
      <c r="C438" s="49" t="n"/>
      <c r="D438" s="49" t="n"/>
      <c r="E438" s="49" t="n"/>
      <c r="F438" s="49" t="n"/>
      <c r="G438" s="47" t="n"/>
      <c r="H438" s="50" t="n"/>
      <c r="I438" s="51" t="n"/>
      <c r="J438" s="46" t="n"/>
      <c r="K438" s="46" t="n"/>
      <c r="L438" s="23">
        <f>IF(OR($A438="",$B438=""),"",IF($K438&lt;&gt;"",$K438-$B438,TODAY()-$B438))</f>
        <v/>
      </c>
      <c r="M438" s="27">
        <f>IF(OR($A438="",$J438=""),"",IF($K438="",IF(TODAY()&gt;$J438,"Atrasado","En ruta"),IF($K438&lt;=$J438,"Sí","No")))</f>
        <v/>
      </c>
      <c r="N438" s="23">
        <f>IF($A438="","",COUNTIFS(NOVEDADES!$C$4:$C$1503,$A438))</f>
        <v/>
      </c>
      <c r="O438" s="27">
        <f>IF($A438="","",IF(COUNTIFS(NOVEDADES!$C$4:$C$1503,$A438,NOVEDADES!$M$4:$M$1503,"SÍ")&gt;0,"No","Sí"))</f>
        <v/>
      </c>
      <c r="P438" s="27">
        <f>IF(OR($A438="",$K438=""),"",IF(AND($M438="Sí",$O438="Sí"),"OTIF","Falló"))</f>
        <v/>
      </c>
    </row>
    <row r="439" ht="16" customHeight="1">
      <c r="A439" s="47" t="n"/>
      <c r="B439" s="46" t="n"/>
      <c r="C439" s="49" t="n"/>
      <c r="D439" s="49" t="n"/>
      <c r="E439" s="49" t="n"/>
      <c r="F439" s="49" t="n"/>
      <c r="G439" s="47" t="n"/>
      <c r="H439" s="50" t="n"/>
      <c r="I439" s="51" t="n"/>
      <c r="J439" s="46" t="n"/>
      <c r="K439" s="46" t="n"/>
      <c r="L439" s="23">
        <f>IF(OR($A439="",$B439=""),"",IF($K439&lt;&gt;"",$K439-$B439,TODAY()-$B439))</f>
        <v/>
      </c>
      <c r="M439" s="27">
        <f>IF(OR($A439="",$J439=""),"",IF($K439="",IF(TODAY()&gt;$J439,"Atrasado","En ruta"),IF($K439&lt;=$J439,"Sí","No")))</f>
        <v/>
      </c>
      <c r="N439" s="23">
        <f>IF($A439="","",COUNTIFS(NOVEDADES!$C$4:$C$1503,$A439))</f>
        <v/>
      </c>
      <c r="O439" s="27">
        <f>IF($A439="","",IF(COUNTIFS(NOVEDADES!$C$4:$C$1503,$A439,NOVEDADES!$M$4:$M$1503,"SÍ")&gt;0,"No","Sí"))</f>
        <v/>
      </c>
      <c r="P439" s="27">
        <f>IF(OR($A439="",$K439=""),"",IF(AND($M439="Sí",$O439="Sí"),"OTIF","Falló"))</f>
        <v/>
      </c>
    </row>
    <row r="440" ht="16" customHeight="1">
      <c r="A440" s="47" t="n"/>
      <c r="B440" s="46" t="n"/>
      <c r="C440" s="49" t="n"/>
      <c r="D440" s="49" t="n"/>
      <c r="E440" s="49" t="n"/>
      <c r="F440" s="49" t="n"/>
      <c r="G440" s="47" t="n"/>
      <c r="H440" s="50" t="n"/>
      <c r="I440" s="51" t="n"/>
      <c r="J440" s="46" t="n"/>
      <c r="K440" s="46" t="n"/>
      <c r="L440" s="23">
        <f>IF(OR($A440="",$B440=""),"",IF($K440&lt;&gt;"",$K440-$B440,TODAY()-$B440))</f>
        <v/>
      </c>
      <c r="M440" s="27">
        <f>IF(OR($A440="",$J440=""),"",IF($K440="",IF(TODAY()&gt;$J440,"Atrasado","En ruta"),IF($K440&lt;=$J440,"Sí","No")))</f>
        <v/>
      </c>
      <c r="N440" s="23">
        <f>IF($A440="","",COUNTIFS(NOVEDADES!$C$4:$C$1503,$A440))</f>
        <v/>
      </c>
      <c r="O440" s="27">
        <f>IF($A440="","",IF(COUNTIFS(NOVEDADES!$C$4:$C$1503,$A440,NOVEDADES!$M$4:$M$1503,"SÍ")&gt;0,"No","Sí"))</f>
        <v/>
      </c>
      <c r="P440" s="27">
        <f>IF(OR($A440="",$K440=""),"",IF(AND($M440="Sí",$O440="Sí"),"OTIF","Falló"))</f>
        <v/>
      </c>
    </row>
    <row r="441" ht="16" customHeight="1">
      <c r="A441" s="47" t="n"/>
      <c r="B441" s="46" t="n"/>
      <c r="C441" s="49" t="n"/>
      <c r="D441" s="49" t="n"/>
      <c r="E441" s="49" t="n"/>
      <c r="F441" s="49" t="n"/>
      <c r="G441" s="47" t="n"/>
      <c r="H441" s="50" t="n"/>
      <c r="I441" s="51" t="n"/>
      <c r="J441" s="46" t="n"/>
      <c r="K441" s="46" t="n"/>
      <c r="L441" s="23">
        <f>IF(OR($A441="",$B441=""),"",IF($K441&lt;&gt;"",$K441-$B441,TODAY()-$B441))</f>
        <v/>
      </c>
      <c r="M441" s="27">
        <f>IF(OR($A441="",$J441=""),"",IF($K441="",IF(TODAY()&gt;$J441,"Atrasado","En ruta"),IF($K441&lt;=$J441,"Sí","No")))</f>
        <v/>
      </c>
      <c r="N441" s="23">
        <f>IF($A441="","",COUNTIFS(NOVEDADES!$C$4:$C$1503,$A441))</f>
        <v/>
      </c>
      <c r="O441" s="27">
        <f>IF($A441="","",IF(COUNTIFS(NOVEDADES!$C$4:$C$1503,$A441,NOVEDADES!$M$4:$M$1503,"SÍ")&gt;0,"No","Sí"))</f>
        <v/>
      </c>
      <c r="P441" s="27">
        <f>IF(OR($A441="",$K441=""),"",IF(AND($M441="Sí",$O441="Sí"),"OTIF","Falló"))</f>
        <v/>
      </c>
    </row>
    <row r="442" ht="16" customHeight="1">
      <c r="A442" s="47" t="n"/>
      <c r="B442" s="46" t="n"/>
      <c r="C442" s="49" t="n"/>
      <c r="D442" s="49" t="n"/>
      <c r="E442" s="49" t="n"/>
      <c r="F442" s="49" t="n"/>
      <c r="G442" s="47" t="n"/>
      <c r="H442" s="50" t="n"/>
      <c r="I442" s="51" t="n"/>
      <c r="J442" s="46" t="n"/>
      <c r="K442" s="46" t="n"/>
      <c r="L442" s="23">
        <f>IF(OR($A442="",$B442=""),"",IF($K442&lt;&gt;"",$K442-$B442,TODAY()-$B442))</f>
        <v/>
      </c>
      <c r="M442" s="27">
        <f>IF(OR($A442="",$J442=""),"",IF($K442="",IF(TODAY()&gt;$J442,"Atrasado","En ruta"),IF($K442&lt;=$J442,"Sí","No")))</f>
        <v/>
      </c>
      <c r="N442" s="23">
        <f>IF($A442="","",COUNTIFS(NOVEDADES!$C$4:$C$1503,$A442))</f>
        <v/>
      </c>
      <c r="O442" s="27">
        <f>IF($A442="","",IF(COUNTIFS(NOVEDADES!$C$4:$C$1503,$A442,NOVEDADES!$M$4:$M$1503,"SÍ")&gt;0,"No","Sí"))</f>
        <v/>
      </c>
      <c r="P442" s="27">
        <f>IF(OR($A442="",$K442=""),"",IF(AND($M442="Sí",$O442="Sí"),"OTIF","Falló"))</f>
        <v/>
      </c>
    </row>
    <row r="443" ht="16" customHeight="1">
      <c r="A443" s="47" t="n"/>
      <c r="B443" s="46" t="n"/>
      <c r="C443" s="49" t="n"/>
      <c r="D443" s="49" t="n"/>
      <c r="E443" s="49" t="n"/>
      <c r="F443" s="49" t="n"/>
      <c r="G443" s="47" t="n"/>
      <c r="H443" s="50" t="n"/>
      <c r="I443" s="51" t="n"/>
      <c r="J443" s="46" t="n"/>
      <c r="K443" s="46" t="n"/>
      <c r="L443" s="23">
        <f>IF(OR($A443="",$B443=""),"",IF($K443&lt;&gt;"",$K443-$B443,TODAY()-$B443))</f>
        <v/>
      </c>
      <c r="M443" s="27">
        <f>IF(OR($A443="",$J443=""),"",IF($K443="",IF(TODAY()&gt;$J443,"Atrasado","En ruta"),IF($K443&lt;=$J443,"Sí","No")))</f>
        <v/>
      </c>
      <c r="N443" s="23">
        <f>IF($A443="","",COUNTIFS(NOVEDADES!$C$4:$C$1503,$A443))</f>
        <v/>
      </c>
      <c r="O443" s="27">
        <f>IF($A443="","",IF(COUNTIFS(NOVEDADES!$C$4:$C$1503,$A443,NOVEDADES!$M$4:$M$1503,"SÍ")&gt;0,"No","Sí"))</f>
        <v/>
      </c>
      <c r="P443" s="27">
        <f>IF(OR($A443="",$K443=""),"",IF(AND($M443="Sí",$O443="Sí"),"OTIF","Falló"))</f>
        <v/>
      </c>
    </row>
    <row r="444" ht="16" customHeight="1">
      <c r="A444" s="47" t="n"/>
      <c r="B444" s="46" t="n"/>
      <c r="C444" s="49" t="n"/>
      <c r="D444" s="49" t="n"/>
      <c r="E444" s="49" t="n"/>
      <c r="F444" s="49" t="n"/>
      <c r="G444" s="47" t="n"/>
      <c r="H444" s="50" t="n"/>
      <c r="I444" s="51" t="n"/>
      <c r="J444" s="46" t="n"/>
      <c r="K444" s="46" t="n"/>
      <c r="L444" s="23">
        <f>IF(OR($A444="",$B444=""),"",IF($K444&lt;&gt;"",$K444-$B444,TODAY()-$B444))</f>
        <v/>
      </c>
      <c r="M444" s="27">
        <f>IF(OR($A444="",$J444=""),"",IF($K444="",IF(TODAY()&gt;$J444,"Atrasado","En ruta"),IF($K444&lt;=$J444,"Sí","No")))</f>
        <v/>
      </c>
      <c r="N444" s="23">
        <f>IF($A444="","",COUNTIFS(NOVEDADES!$C$4:$C$1503,$A444))</f>
        <v/>
      </c>
      <c r="O444" s="27">
        <f>IF($A444="","",IF(COUNTIFS(NOVEDADES!$C$4:$C$1503,$A444,NOVEDADES!$M$4:$M$1503,"SÍ")&gt;0,"No","Sí"))</f>
        <v/>
      </c>
      <c r="P444" s="27">
        <f>IF(OR($A444="",$K444=""),"",IF(AND($M444="Sí",$O444="Sí"),"OTIF","Falló"))</f>
        <v/>
      </c>
    </row>
    <row r="445" ht="16" customHeight="1">
      <c r="A445" s="47" t="n"/>
      <c r="B445" s="46" t="n"/>
      <c r="C445" s="49" t="n"/>
      <c r="D445" s="49" t="n"/>
      <c r="E445" s="49" t="n"/>
      <c r="F445" s="49" t="n"/>
      <c r="G445" s="47" t="n"/>
      <c r="H445" s="50" t="n"/>
      <c r="I445" s="51" t="n"/>
      <c r="J445" s="46" t="n"/>
      <c r="K445" s="46" t="n"/>
      <c r="L445" s="23">
        <f>IF(OR($A445="",$B445=""),"",IF($K445&lt;&gt;"",$K445-$B445,TODAY()-$B445))</f>
        <v/>
      </c>
      <c r="M445" s="27">
        <f>IF(OR($A445="",$J445=""),"",IF($K445="",IF(TODAY()&gt;$J445,"Atrasado","En ruta"),IF($K445&lt;=$J445,"Sí","No")))</f>
        <v/>
      </c>
      <c r="N445" s="23">
        <f>IF($A445="","",COUNTIFS(NOVEDADES!$C$4:$C$1503,$A445))</f>
        <v/>
      </c>
      <c r="O445" s="27">
        <f>IF($A445="","",IF(COUNTIFS(NOVEDADES!$C$4:$C$1503,$A445,NOVEDADES!$M$4:$M$1503,"SÍ")&gt;0,"No","Sí"))</f>
        <v/>
      </c>
      <c r="P445" s="27">
        <f>IF(OR($A445="",$K445=""),"",IF(AND($M445="Sí",$O445="Sí"),"OTIF","Falló"))</f>
        <v/>
      </c>
    </row>
    <row r="446" ht="16" customHeight="1">
      <c r="A446" s="47" t="n"/>
      <c r="B446" s="46" t="n"/>
      <c r="C446" s="49" t="n"/>
      <c r="D446" s="49" t="n"/>
      <c r="E446" s="49" t="n"/>
      <c r="F446" s="49" t="n"/>
      <c r="G446" s="47" t="n"/>
      <c r="H446" s="50" t="n"/>
      <c r="I446" s="51" t="n"/>
      <c r="J446" s="46" t="n"/>
      <c r="K446" s="46" t="n"/>
      <c r="L446" s="23">
        <f>IF(OR($A446="",$B446=""),"",IF($K446&lt;&gt;"",$K446-$B446,TODAY()-$B446))</f>
        <v/>
      </c>
      <c r="M446" s="27">
        <f>IF(OR($A446="",$J446=""),"",IF($K446="",IF(TODAY()&gt;$J446,"Atrasado","En ruta"),IF($K446&lt;=$J446,"Sí","No")))</f>
        <v/>
      </c>
      <c r="N446" s="23">
        <f>IF($A446="","",COUNTIFS(NOVEDADES!$C$4:$C$1503,$A446))</f>
        <v/>
      </c>
      <c r="O446" s="27">
        <f>IF($A446="","",IF(COUNTIFS(NOVEDADES!$C$4:$C$1503,$A446,NOVEDADES!$M$4:$M$1503,"SÍ")&gt;0,"No","Sí"))</f>
        <v/>
      </c>
      <c r="P446" s="27">
        <f>IF(OR($A446="",$K446=""),"",IF(AND($M446="Sí",$O446="Sí"),"OTIF","Falló"))</f>
        <v/>
      </c>
    </row>
    <row r="447" ht="16" customHeight="1">
      <c r="A447" s="47" t="n"/>
      <c r="B447" s="46" t="n"/>
      <c r="C447" s="49" t="n"/>
      <c r="D447" s="49" t="n"/>
      <c r="E447" s="49" t="n"/>
      <c r="F447" s="49" t="n"/>
      <c r="G447" s="47" t="n"/>
      <c r="H447" s="50" t="n"/>
      <c r="I447" s="51" t="n"/>
      <c r="J447" s="46" t="n"/>
      <c r="K447" s="46" t="n"/>
      <c r="L447" s="23">
        <f>IF(OR($A447="",$B447=""),"",IF($K447&lt;&gt;"",$K447-$B447,TODAY()-$B447))</f>
        <v/>
      </c>
      <c r="M447" s="27">
        <f>IF(OR($A447="",$J447=""),"",IF($K447="",IF(TODAY()&gt;$J447,"Atrasado","En ruta"),IF($K447&lt;=$J447,"Sí","No")))</f>
        <v/>
      </c>
      <c r="N447" s="23">
        <f>IF($A447="","",COUNTIFS(NOVEDADES!$C$4:$C$1503,$A447))</f>
        <v/>
      </c>
      <c r="O447" s="27">
        <f>IF($A447="","",IF(COUNTIFS(NOVEDADES!$C$4:$C$1503,$A447,NOVEDADES!$M$4:$M$1503,"SÍ")&gt;0,"No","Sí"))</f>
        <v/>
      </c>
      <c r="P447" s="27">
        <f>IF(OR($A447="",$K447=""),"",IF(AND($M447="Sí",$O447="Sí"),"OTIF","Falló"))</f>
        <v/>
      </c>
    </row>
    <row r="448" ht="16" customHeight="1">
      <c r="A448" s="47" t="n"/>
      <c r="B448" s="46" t="n"/>
      <c r="C448" s="49" t="n"/>
      <c r="D448" s="49" t="n"/>
      <c r="E448" s="49" t="n"/>
      <c r="F448" s="49" t="n"/>
      <c r="G448" s="47" t="n"/>
      <c r="H448" s="50" t="n"/>
      <c r="I448" s="51" t="n"/>
      <c r="J448" s="46" t="n"/>
      <c r="K448" s="46" t="n"/>
      <c r="L448" s="23">
        <f>IF(OR($A448="",$B448=""),"",IF($K448&lt;&gt;"",$K448-$B448,TODAY()-$B448))</f>
        <v/>
      </c>
      <c r="M448" s="27">
        <f>IF(OR($A448="",$J448=""),"",IF($K448="",IF(TODAY()&gt;$J448,"Atrasado","En ruta"),IF($K448&lt;=$J448,"Sí","No")))</f>
        <v/>
      </c>
      <c r="N448" s="23">
        <f>IF($A448="","",COUNTIFS(NOVEDADES!$C$4:$C$1503,$A448))</f>
        <v/>
      </c>
      <c r="O448" s="27">
        <f>IF($A448="","",IF(COUNTIFS(NOVEDADES!$C$4:$C$1503,$A448,NOVEDADES!$M$4:$M$1503,"SÍ")&gt;0,"No","Sí"))</f>
        <v/>
      </c>
      <c r="P448" s="27">
        <f>IF(OR($A448="",$K448=""),"",IF(AND($M448="Sí",$O448="Sí"),"OTIF","Falló"))</f>
        <v/>
      </c>
    </row>
    <row r="449" ht="16" customHeight="1">
      <c r="A449" s="47" t="n"/>
      <c r="B449" s="46" t="n"/>
      <c r="C449" s="49" t="n"/>
      <c r="D449" s="49" t="n"/>
      <c r="E449" s="49" t="n"/>
      <c r="F449" s="49" t="n"/>
      <c r="G449" s="47" t="n"/>
      <c r="H449" s="50" t="n"/>
      <c r="I449" s="51" t="n"/>
      <c r="J449" s="46" t="n"/>
      <c r="K449" s="46" t="n"/>
      <c r="L449" s="23">
        <f>IF(OR($A449="",$B449=""),"",IF($K449&lt;&gt;"",$K449-$B449,TODAY()-$B449))</f>
        <v/>
      </c>
      <c r="M449" s="27">
        <f>IF(OR($A449="",$J449=""),"",IF($K449="",IF(TODAY()&gt;$J449,"Atrasado","En ruta"),IF($K449&lt;=$J449,"Sí","No")))</f>
        <v/>
      </c>
      <c r="N449" s="23">
        <f>IF($A449="","",COUNTIFS(NOVEDADES!$C$4:$C$1503,$A449))</f>
        <v/>
      </c>
      <c r="O449" s="27">
        <f>IF($A449="","",IF(COUNTIFS(NOVEDADES!$C$4:$C$1503,$A449,NOVEDADES!$M$4:$M$1503,"SÍ")&gt;0,"No","Sí"))</f>
        <v/>
      </c>
      <c r="P449" s="27">
        <f>IF(OR($A449="",$K449=""),"",IF(AND($M449="Sí",$O449="Sí"),"OTIF","Falló"))</f>
        <v/>
      </c>
    </row>
    <row r="450" ht="16" customHeight="1">
      <c r="A450" s="47" t="n"/>
      <c r="B450" s="46" t="n"/>
      <c r="C450" s="49" t="n"/>
      <c r="D450" s="49" t="n"/>
      <c r="E450" s="49" t="n"/>
      <c r="F450" s="49" t="n"/>
      <c r="G450" s="47" t="n"/>
      <c r="H450" s="50" t="n"/>
      <c r="I450" s="51" t="n"/>
      <c r="J450" s="46" t="n"/>
      <c r="K450" s="46" t="n"/>
      <c r="L450" s="23">
        <f>IF(OR($A450="",$B450=""),"",IF($K450&lt;&gt;"",$K450-$B450,TODAY()-$B450))</f>
        <v/>
      </c>
      <c r="M450" s="27">
        <f>IF(OR($A450="",$J450=""),"",IF($K450="",IF(TODAY()&gt;$J450,"Atrasado","En ruta"),IF($K450&lt;=$J450,"Sí","No")))</f>
        <v/>
      </c>
      <c r="N450" s="23">
        <f>IF($A450="","",COUNTIFS(NOVEDADES!$C$4:$C$1503,$A450))</f>
        <v/>
      </c>
      <c r="O450" s="27">
        <f>IF($A450="","",IF(COUNTIFS(NOVEDADES!$C$4:$C$1503,$A450,NOVEDADES!$M$4:$M$1503,"SÍ")&gt;0,"No","Sí"))</f>
        <v/>
      </c>
      <c r="P450" s="27">
        <f>IF(OR($A450="",$K450=""),"",IF(AND($M450="Sí",$O450="Sí"),"OTIF","Falló"))</f>
        <v/>
      </c>
    </row>
    <row r="451" ht="16" customHeight="1">
      <c r="A451" s="47" t="n"/>
      <c r="B451" s="46" t="n"/>
      <c r="C451" s="49" t="n"/>
      <c r="D451" s="49" t="n"/>
      <c r="E451" s="49" t="n"/>
      <c r="F451" s="49" t="n"/>
      <c r="G451" s="47" t="n"/>
      <c r="H451" s="50" t="n"/>
      <c r="I451" s="51" t="n"/>
      <c r="J451" s="46" t="n"/>
      <c r="K451" s="46" t="n"/>
      <c r="L451" s="23">
        <f>IF(OR($A451="",$B451=""),"",IF($K451&lt;&gt;"",$K451-$B451,TODAY()-$B451))</f>
        <v/>
      </c>
      <c r="M451" s="27">
        <f>IF(OR($A451="",$J451=""),"",IF($K451="",IF(TODAY()&gt;$J451,"Atrasado","En ruta"),IF($K451&lt;=$J451,"Sí","No")))</f>
        <v/>
      </c>
      <c r="N451" s="23">
        <f>IF($A451="","",COUNTIFS(NOVEDADES!$C$4:$C$1503,$A451))</f>
        <v/>
      </c>
      <c r="O451" s="27">
        <f>IF($A451="","",IF(COUNTIFS(NOVEDADES!$C$4:$C$1503,$A451,NOVEDADES!$M$4:$M$1503,"SÍ")&gt;0,"No","Sí"))</f>
        <v/>
      </c>
      <c r="P451" s="27">
        <f>IF(OR($A451="",$K451=""),"",IF(AND($M451="Sí",$O451="Sí"),"OTIF","Falló"))</f>
        <v/>
      </c>
    </row>
    <row r="452" ht="16" customHeight="1">
      <c r="A452" s="47" t="n"/>
      <c r="B452" s="46" t="n"/>
      <c r="C452" s="49" t="n"/>
      <c r="D452" s="49" t="n"/>
      <c r="E452" s="49" t="n"/>
      <c r="F452" s="49" t="n"/>
      <c r="G452" s="47" t="n"/>
      <c r="H452" s="50" t="n"/>
      <c r="I452" s="51" t="n"/>
      <c r="J452" s="46" t="n"/>
      <c r="K452" s="46" t="n"/>
      <c r="L452" s="23">
        <f>IF(OR($A452="",$B452=""),"",IF($K452&lt;&gt;"",$K452-$B452,TODAY()-$B452))</f>
        <v/>
      </c>
      <c r="M452" s="27">
        <f>IF(OR($A452="",$J452=""),"",IF($K452="",IF(TODAY()&gt;$J452,"Atrasado","En ruta"),IF($K452&lt;=$J452,"Sí","No")))</f>
        <v/>
      </c>
      <c r="N452" s="23">
        <f>IF($A452="","",COUNTIFS(NOVEDADES!$C$4:$C$1503,$A452))</f>
        <v/>
      </c>
      <c r="O452" s="27">
        <f>IF($A452="","",IF(COUNTIFS(NOVEDADES!$C$4:$C$1503,$A452,NOVEDADES!$M$4:$M$1503,"SÍ")&gt;0,"No","Sí"))</f>
        <v/>
      </c>
      <c r="P452" s="27">
        <f>IF(OR($A452="",$K452=""),"",IF(AND($M452="Sí",$O452="Sí"),"OTIF","Falló"))</f>
        <v/>
      </c>
    </row>
    <row r="453" ht="16" customHeight="1">
      <c r="A453" s="47" t="n"/>
      <c r="B453" s="46" t="n"/>
      <c r="C453" s="49" t="n"/>
      <c r="D453" s="49" t="n"/>
      <c r="E453" s="49" t="n"/>
      <c r="F453" s="49" t="n"/>
      <c r="G453" s="47" t="n"/>
      <c r="H453" s="50" t="n"/>
      <c r="I453" s="51" t="n"/>
      <c r="J453" s="46" t="n"/>
      <c r="K453" s="46" t="n"/>
      <c r="L453" s="23">
        <f>IF(OR($A453="",$B453=""),"",IF($K453&lt;&gt;"",$K453-$B453,TODAY()-$B453))</f>
        <v/>
      </c>
      <c r="M453" s="27">
        <f>IF(OR($A453="",$J453=""),"",IF($K453="",IF(TODAY()&gt;$J453,"Atrasado","En ruta"),IF($K453&lt;=$J453,"Sí","No")))</f>
        <v/>
      </c>
      <c r="N453" s="23">
        <f>IF($A453="","",COUNTIFS(NOVEDADES!$C$4:$C$1503,$A453))</f>
        <v/>
      </c>
      <c r="O453" s="27">
        <f>IF($A453="","",IF(COUNTIFS(NOVEDADES!$C$4:$C$1503,$A453,NOVEDADES!$M$4:$M$1503,"SÍ")&gt;0,"No","Sí"))</f>
        <v/>
      </c>
      <c r="P453" s="27">
        <f>IF(OR($A453="",$K453=""),"",IF(AND($M453="Sí",$O453="Sí"),"OTIF","Falló"))</f>
        <v/>
      </c>
    </row>
    <row r="454" ht="16" customHeight="1">
      <c r="A454" s="47" t="n"/>
      <c r="B454" s="46" t="n"/>
      <c r="C454" s="49" t="n"/>
      <c r="D454" s="49" t="n"/>
      <c r="E454" s="49" t="n"/>
      <c r="F454" s="49" t="n"/>
      <c r="G454" s="47" t="n"/>
      <c r="H454" s="50" t="n"/>
      <c r="I454" s="51" t="n"/>
      <c r="J454" s="46" t="n"/>
      <c r="K454" s="46" t="n"/>
      <c r="L454" s="23">
        <f>IF(OR($A454="",$B454=""),"",IF($K454&lt;&gt;"",$K454-$B454,TODAY()-$B454))</f>
        <v/>
      </c>
      <c r="M454" s="27">
        <f>IF(OR($A454="",$J454=""),"",IF($K454="",IF(TODAY()&gt;$J454,"Atrasado","En ruta"),IF($K454&lt;=$J454,"Sí","No")))</f>
        <v/>
      </c>
      <c r="N454" s="23">
        <f>IF($A454="","",COUNTIFS(NOVEDADES!$C$4:$C$1503,$A454))</f>
        <v/>
      </c>
      <c r="O454" s="27">
        <f>IF($A454="","",IF(COUNTIFS(NOVEDADES!$C$4:$C$1503,$A454,NOVEDADES!$M$4:$M$1503,"SÍ")&gt;0,"No","Sí"))</f>
        <v/>
      </c>
      <c r="P454" s="27">
        <f>IF(OR($A454="",$K454=""),"",IF(AND($M454="Sí",$O454="Sí"),"OTIF","Falló"))</f>
        <v/>
      </c>
    </row>
    <row r="455" ht="16" customHeight="1">
      <c r="A455" s="47" t="n"/>
      <c r="B455" s="46" t="n"/>
      <c r="C455" s="49" t="n"/>
      <c r="D455" s="49" t="n"/>
      <c r="E455" s="49" t="n"/>
      <c r="F455" s="49" t="n"/>
      <c r="G455" s="47" t="n"/>
      <c r="H455" s="50" t="n"/>
      <c r="I455" s="51" t="n"/>
      <c r="J455" s="46" t="n"/>
      <c r="K455" s="46" t="n"/>
      <c r="L455" s="23">
        <f>IF(OR($A455="",$B455=""),"",IF($K455&lt;&gt;"",$K455-$B455,TODAY()-$B455))</f>
        <v/>
      </c>
      <c r="M455" s="27">
        <f>IF(OR($A455="",$J455=""),"",IF($K455="",IF(TODAY()&gt;$J455,"Atrasado","En ruta"),IF($K455&lt;=$J455,"Sí","No")))</f>
        <v/>
      </c>
      <c r="N455" s="23">
        <f>IF($A455="","",COUNTIFS(NOVEDADES!$C$4:$C$1503,$A455))</f>
        <v/>
      </c>
      <c r="O455" s="27">
        <f>IF($A455="","",IF(COUNTIFS(NOVEDADES!$C$4:$C$1503,$A455,NOVEDADES!$M$4:$M$1503,"SÍ")&gt;0,"No","Sí"))</f>
        <v/>
      </c>
      <c r="P455" s="27">
        <f>IF(OR($A455="",$K455=""),"",IF(AND($M455="Sí",$O455="Sí"),"OTIF","Falló"))</f>
        <v/>
      </c>
    </row>
    <row r="456" ht="16" customHeight="1">
      <c r="A456" s="47" t="n"/>
      <c r="B456" s="46" t="n"/>
      <c r="C456" s="49" t="n"/>
      <c r="D456" s="49" t="n"/>
      <c r="E456" s="49" t="n"/>
      <c r="F456" s="49" t="n"/>
      <c r="G456" s="47" t="n"/>
      <c r="H456" s="50" t="n"/>
      <c r="I456" s="51" t="n"/>
      <c r="J456" s="46" t="n"/>
      <c r="K456" s="46" t="n"/>
      <c r="L456" s="23">
        <f>IF(OR($A456="",$B456=""),"",IF($K456&lt;&gt;"",$K456-$B456,TODAY()-$B456))</f>
        <v/>
      </c>
      <c r="M456" s="27">
        <f>IF(OR($A456="",$J456=""),"",IF($K456="",IF(TODAY()&gt;$J456,"Atrasado","En ruta"),IF($K456&lt;=$J456,"Sí","No")))</f>
        <v/>
      </c>
      <c r="N456" s="23">
        <f>IF($A456="","",COUNTIFS(NOVEDADES!$C$4:$C$1503,$A456))</f>
        <v/>
      </c>
      <c r="O456" s="27">
        <f>IF($A456="","",IF(COUNTIFS(NOVEDADES!$C$4:$C$1503,$A456,NOVEDADES!$M$4:$M$1503,"SÍ")&gt;0,"No","Sí"))</f>
        <v/>
      </c>
      <c r="P456" s="27">
        <f>IF(OR($A456="",$K456=""),"",IF(AND($M456="Sí",$O456="Sí"),"OTIF","Falló"))</f>
        <v/>
      </c>
    </row>
    <row r="457" ht="16" customHeight="1">
      <c r="A457" s="47" t="n"/>
      <c r="B457" s="46" t="n"/>
      <c r="C457" s="49" t="n"/>
      <c r="D457" s="49" t="n"/>
      <c r="E457" s="49" t="n"/>
      <c r="F457" s="49" t="n"/>
      <c r="G457" s="47" t="n"/>
      <c r="H457" s="50" t="n"/>
      <c r="I457" s="51" t="n"/>
      <c r="J457" s="46" t="n"/>
      <c r="K457" s="46" t="n"/>
      <c r="L457" s="23">
        <f>IF(OR($A457="",$B457=""),"",IF($K457&lt;&gt;"",$K457-$B457,TODAY()-$B457))</f>
        <v/>
      </c>
      <c r="M457" s="27">
        <f>IF(OR($A457="",$J457=""),"",IF($K457="",IF(TODAY()&gt;$J457,"Atrasado","En ruta"),IF($K457&lt;=$J457,"Sí","No")))</f>
        <v/>
      </c>
      <c r="N457" s="23">
        <f>IF($A457="","",COUNTIFS(NOVEDADES!$C$4:$C$1503,$A457))</f>
        <v/>
      </c>
      <c r="O457" s="27">
        <f>IF($A457="","",IF(COUNTIFS(NOVEDADES!$C$4:$C$1503,$A457,NOVEDADES!$M$4:$M$1503,"SÍ")&gt;0,"No","Sí"))</f>
        <v/>
      </c>
      <c r="P457" s="27">
        <f>IF(OR($A457="",$K457=""),"",IF(AND($M457="Sí",$O457="Sí"),"OTIF","Falló"))</f>
        <v/>
      </c>
    </row>
    <row r="458" ht="16" customHeight="1">
      <c r="A458" s="47" t="n"/>
      <c r="B458" s="46" t="n"/>
      <c r="C458" s="49" t="n"/>
      <c r="D458" s="49" t="n"/>
      <c r="E458" s="49" t="n"/>
      <c r="F458" s="49" t="n"/>
      <c r="G458" s="47" t="n"/>
      <c r="H458" s="50" t="n"/>
      <c r="I458" s="51" t="n"/>
      <c r="J458" s="46" t="n"/>
      <c r="K458" s="46" t="n"/>
      <c r="L458" s="23">
        <f>IF(OR($A458="",$B458=""),"",IF($K458&lt;&gt;"",$K458-$B458,TODAY()-$B458))</f>
        <v/>
      </c>
      <c r="M458" s="27">
        <f>IF(OR($A458="",$J458=""),"",IF($K458="",IF(TODAY()&gt;$J458,"Atrasado","En ruta"),IF($K458&lt;=$J458,"Sí","No")))</f>
        <v/>
      </c>
      <c r="N458" s="23">
        <f>IF($A458="","",COUNTIFS(NOVEDADES!$C$4:$C$1503,$A458))</f>
        <v/>
      </c>
      <c r="O458" s="27">
        <f>IF($A458="","",IF(COUNTIFS(NOVEDADES!$C$4:$C$1503,$A458,NOVEDADES!$M$4:$M$1503,"SÍ")&gt;0,"No","Sí"))</f>
        <v/>
      </c>
      <c r="P458" s="27">
        <f>IF(OR($A458="",$K458=""),"",IF(AND($M458="Sí",$O458="Sí"),"OTIF","Falló"))</f>
        <v/>
      </c>
    </row>
    <row r="459" ht="16" customHeight="1">
      <c r="A459" s="47" t="n"/>
      <c r="B459" s="46" t="n"/>
      <c r="C459" s="49" t="n"/>
      <c r="D459" s="49" t="n"/>
      <c r="E459" s="49" t="n"/>
      <c r="F459" s="49" t="n"/>
      <c r="G459" s="47" t="n"/>
      <c r="H459" s="50" t="n"/>
      <c r="I459" s="51" t="n"/>
      <c r="J459" s="46" t="n"/>
      <c r="K459" s="46" t="n"/>
      <c r="L459" s="23">
        <f>IF(OR($A459="",$B459=""),"",IF($K459&lt;&gt;"",$K459-$B459,TODAY()-$B459))</f>
        <v/>
      </c>
      <c r="M459" s="27">
        <f>IF(OR($A459="",$J459=""),"",IF($K459="",IF(TODAY()&gt;$J459,"Atrasado","En ruta"),IF($K459&lt;=$J459,"Sí","No")))</f>
        <v/>
      </c>
      <c r="N459" s="23">
        <f>IF($A459="","",COUNTIFS(NOVEDADES!$C$4:$C$1503,$A459))</f>
        <v/>
      </c>
      <c r="O459" s="27">
        <f>IF($A459="","",IF(COUNTIFS(NOVEDADES!$C$4:$C$1503,$A459,NOVEDADES!$M$4:$M$1503,"SÍ")&gt;0,"No","Sí"))</f>
        <v/>
      </c>
      <c r="P459" s="27">
        <f>IF(OR($A459="",$K459=""),"",IF(AND($M459="Sí",$O459="Sí"),"OTIF","Falló"))</f>
        <v/>
      </c>
    </row>
    <row r="460" ht="16" customHeight="1">
      <c r="A460" s="47" t="n"/>
      <c r="B460" s="46" t="n"/>
      <c r="C460" s="49" t="n"/>
      <c r="D460" s="49" t="n"/>
      <c r="E460" s="49" t="n"/>
      <c r="F460" s="49" t="n"/>
      <c r="G460" s="47" t="n"/>
      <c r="H460" s="50" t="n"/>
      <c r="I460" s="51" t="n"/>
      <c r="J460" s="46" t="n"/>
      <c r="K460" s="46" t="n"/>
      <c r="L460" s="23">
        <f>IF(OR($A460="",$B460=""),"",IF($K460&lt;&gt;"",$K460-$B460,TODAY()-$B460))</f>
        <v/>
      </c>
      <c r="M460" s="27">
        <f>IF(OR($A460="",$J460=""),"",IF($K460="",IF(TODAY()&gt;$J460,"Atrasado","En ruta"),IF($K460&lt;=$J460,"Sí","No")))</f>
        <v/>
      </c>
      <c r="N460" s="23">
        <f>IF($A460="","",COUNTIFS(NOVEDADES!$C$4:$C$1503,$A460))</f>
        <v/>
      </c>
      <c r="O460" s="27">
        <f>IF($A460="","",IF(COUNTIFS(NOVEDADES!$C$4:$C$1503,$A460,NOVEDADES!$M$4:$M$1503,"SÍ")&gt;0,"No","Sí"))</f>
        <v/>
      </c>
      <c r="P460" s="27">
        <f>IF(OR($A460="",$K460=""),"",IF(AND($M460="Sí",$O460="Sí"),"OTIF","Falló"))</f>
        <v/>
      </c>
    </row>
    <row r="461" ht="16" customHeight="1">
      <c r="A461" s="47" t="n"/>
      <c r="B461" s="46" t="n"/>
      <c r="C461" s="49" t="n"/>
      <c r="D461" s="49" t="n"/>
      <c r="E461" s="49" t="n"/>
      <c r="F461" s="49" t="n"/>
      <c r="G461" s="47" t="n"/>
      <c r="H461" s="50" t="n"/>
      <c r="I461" s="51" t="n"/>
      <c r="J461" s="46" t="n"/>
      <c r="K461" s="46" t="n"/>
      <c r="L461" s="23">
        <f>IF(OR($A461="",$B461=""),"",IF($K461&lt;&gt;"",$K461-$B461,TODAY()-$B461))</f>
        <v/>
      </c>
      <c r="M461" s="27">
        <f>IF(OR($A461="",$J461=""),"",IF($K461="",IF(TODAY()&gt;$J461,"Atrasado","En ruta"),IF($K461&lt;=$J461,"Sí","No")))</f>
        <v/>
      </c>
      <c r="N461" s="23">
        <f>IF($A461="","",COUNTIFS(NOVEDADES!$C$4:$C$1503,$A461))</f>
        <v/>
      </c>
      <c r="O461" s="27">
        <f>IF($A461="","",IF(COUNTIFS(NOVEDADES!$C$4:$C$1503,$A461,NOVEDADES!$M$4:$M$1503,"SÍ")&gt;0,"No","Sí"))</f>
        <v/>
      </c>
      <c r="P461" s="27">
        <f>IF(OR($A461="",$K461=""),"",IF(AND($M461="Sí",$O461="Sí"),"OTIF","Falló"))</f>
        <v/>
      </c>
    </row>
    <row r="462" ht="16" customHeight="1">
      <c r="A462" s="47" t="n"/>
      <c r="B462" s="46" t="n"/>
      <c r="C462" s="49" t="n"/>
      <c r="D462" s="49" t="n"/>
      <c r="E462" s="49" t="n"/>
      <c r="F462" s="49" t="n"/>
      <c r="G462" s="47" t="n"/>
      <c r="H462" s="50" t="n"/>
      <c r="I462" s="51" t="n"/>
      <c r="J462" s="46" t="n"/>
      <c r="K462" s="46" t="n"/>
      <c r="L462" s="23">
        <f>IF(OR($A462="",$B462=""),"",IF($K462&lt;&gt;"",$K462-$B462,TODAY()-$B462))</f>
        <v/>
      </c>
      <c r="M462" s="27">
        <f>IF(OR($A462="",$J462=""),"",IF($K462="",IF(TODAY()&gt;$J462,"Atrasado","En ruta"),IF($K462&lt;=$J462,"Sí","No")))</f>
        <v/>
      </c>
      <c r="N462" s="23">
        <f>IF($A462="","",COUNTIFS(NOVEDADES!$C$4:$C$1503,$A462))</f>
        <v/>
      </c>
      <c r="O462" s="27">
        <f>IF($A462="","",IF(COUNTIFS(NOVEDADES!$C$4:$C$1503,$A462,NOVEDADES!$M$4:$M$1503,"SÍ")&gt;0,"No","Sí"))</f>
        <v/>
      </c>
      <c r="P462" s="27">
        <f>IF(OR($A462="",$K462=""),"",IF(AND($M462="Sí",$O462="Sí"),"OTIF","Falló"))</f>
        <v/>
      </c>
    </row>
    <row r="463" ht="16" customHeight="1">
      <c r="A463" s="47" t="n"/>
      <c r="B463" s="46" t="n"/>
      <c r="C463" s="49" t="n"/>
      <c r="D463" s="49" t="n"/>
      <c r="E463" s="49" t="n"/>
      <c r="F463" s="49" t="n"/>
      <c r="G463" s="47" t="n"/>
      <c r="H463" s="50" t="n"/>
      <c r="I463" s="51" t="n"/>
      <c r="J463" s="46" t="n"/>
      <c r="K463" s="46" t="n"/>
      <c r="L463" s="23">
        <f>IF(OR($A463="",$B463=""),"",IF($K463&lt;&gt;"",$K463-$B463,TODAY()-$B463))</f>
        <v/>
      </c>
      <c r="M463" s="27">
        <f>IF(OR($A463="",$J463=""),"",IF($K463="",IF(TODAY()&gt;$J463,"Atrasado","En ruta"),IF($K463&lt;=$J463,"Sí","No")))</f>
        <v/>
      </c>
      <c r="N463" s="23">
        <f>IF($A463="","",COUNTIFS(NOVEDADES!$C$4:$C$1503,$A463))</f>
        <v/>
      </c>
      <c r="O463" s="27">
        <f>IF($A463="","",IF(COUNTIFS(NOVEDADES!$C$4:$C$1503,$A463,NOVEDADES!$M$4:$M$1503,"SÍ")&gt;0,"No","Sí"))</f>
        <v/>
      </c>
      <c r="P463" s="27">
        <f>IF(OR($A463="",$K463=""),"",IF(AND($M463="Sí",$O463="Sí"),"OTIF","Falló"))</f>
        <v/>
      </c>
    </row>
    <row r="464" ht="16" customHeight="1">
      <c r="A464" s="47" t="n"/>
      <c r="B464" s="46" t="n"/>
      <c r="C464" s="49" t="n"/>
      <c r="D464" s="49" t="n"/>
      <c r="E464" s="49" t="n"/>
      <c r="F464" s="49" t="n"/>
      <c r="G464" s="47" t="n"/>
      <c r="H464" s="50" t="n"/>
      <c r="I464" s="51" t="n"/>
      <c r="J464" s="46" t="n"/>
      <c r="K464" s="46" t="n"/>
      <c r="L464" s="23">
        <f>IF(OR($A464="",$B464=""),"",IF($K464&lt;&gt;"",$K464-$B464,TODAY()-$B464))</f>
        <v/>
      </c>
      <c r="M464" s="27">
        <f>IF(OR($A464="",$J464=""),"",IF($K464="",IF(TODAY()&gt;$J464,"Atrasado","En ruta"),IF($K464&lt;=$J464,"Sí","No")))</f>
        <v/>
      </c>
      <c r="N464" s="23">
        <f>IF($A464="","",COUNTIFS(NOVEDADES!$C$4:$C$1503,$A464))</f>
        <v/>
      </c>
      <c r="O464" s="27">
        <f>IF($A464="","",IF(COUNTIFS(NOVEDADES!$C$4:$C$1503,$A464,NOVEDADES!$M$4:$M$1503,"SÍ")&gt;0,"No","Sí"))</f>
        <v/>
      </c>
      <c r="P464" s="27">
        <f>IF(OR($A464="",$K464=""),"",IF(AND($M464="Sí",$O464="Sí"),"OTIF","Falló"))</f>
        <v/>
      </c>
    </row>
    <row r="465" ht="16" customHeight="1">
      <c r="A465" s="47" t="n"/>
      <c r="B465" s="46" t="n"/>
      <c r="C465" s="49" t="n"/>
      <c r="D465" s="49" t="n"/>
      <c r="E465" s="49" t="n"/>
      <c r="F465" s="49" t="n"/>
      <c r="G465" s="47" t="n"/>
      <c r="H465" s="50" t="n"/>
      <c r="I465" s="51" t="n"/>
      <c r="J465" s="46" t="n"/>
      <c r="K465" s="46" t="n"/>
      <c r="L465" s="23">
        <f>IF(OR($A465="",$B465=""),"",IF($K465&lt;&gt;"",$K465-$B465,TODAY()-$B465))</f>
        <v/>
      </c>
      <c r="M465" s="27">
        <f>IF(OR($A465="",$J465=""),"",IF($K465="",IF(TODAY()&gt;$J465,"Atrasado","En ruta"),IF($K465&lt;=$J465,"Sí","No")))</f>
        <v/>
      </c>
      <c r="N465" s="23">
        <f>IF($A465="","",COUNTIFS(NOVEDADES!$C$4:$C$1503,$A465))</f>
        <v/>
      </c>
      <c r="O465" s="27">
        <f>IF($A465="","",IF(COUNTIFS(NOVEDADES!$C$4:$C$1503,$A465,NOVEDADES!$M$4:$M$1503,"SÍ")&gt;0,"No","Sí"))</f>
        <v/>
      </c>
      <c r="P465" s="27">
        <f>IF(OR($A465="",$K465=""),"",IF(AND($M465="Sí",$O465="Sí"),"OTIF","Falló"))</f>
        <v/>
      </c>
    </row>
    <row r="466" ht="16" customHeight="1">
      <c r="A466" s="47" t="n"/>
      <c r="B466" s="46" t="n"/>
      <c r="C466" s="49" t="n"/>
      <c r="D466" s="49" t="n"/>
      <c r="E466" s="49" t="n"/>
      <c r="F466" s="49" t="n"/>
      <c r="G466" s="47" t="n"/>
      <c r="H466" s="50" t="n"/>
      <c r="I466" s="51" t="n"/>
      <c r="J466" s="46" t="n"/>
      <c r="K466" s="46" t="n"/>
      <c r="L466" s="23">
        <f>IF(OR($A466="",$B466=""),"",IF($K466&lt;&gt;"",$K466-$B466,TODAY()-$B466))</f>
        <v/>
      </c>
      <c r="M466" s="27">
        <f>IF(OR($A466="",$J466=""),"",IF($K466="",IF(TODAY()&gt;$J466,"Atrasado","En ruta"),IF($K466&lt;=$J466,"Sí","No")))</f>
        <v/>
      </c>
      <c r="N466" s="23">
        <f>IF($A466="","",COUNTIFS(NOVEDADES!$C$4:$C$1503,$A466))</f>
        <v/>
      </c>
      <c r="O466" s="27">
        <f>IF($A466="","",IF(COUNTIFS(NOVEDADES!$C$4:$C$1503,$A466,NOVEDADES!$M$4:$M$1503,"SÍ")&gt;0,"No","Sí"))</f>
        <v/>
      </c>
      <c r="P466" s="27">
        <f>IF(OR($A466="",$K466=""),"",IF(AND($M466="Sí",$O466="Sí"),"OTIF","Falló"))</f>
        <v/>
      </c>
    </row>
    <row r="467" ht="16" customHeight="1">
      <c r="A467" s="47" t="n"/>
      <c r="B467" s="46" t="n"/>
      <c r="C467" s="49" t="n"/>
      <c r="D467" s="49" t="n"/>
      <c r="E467" s="49" t="n"/>
      <c r="F467" s="49" t="n"/>
      <c r="G467" s="47" t="n"/>
      <c r="H467" s="50" t="n"/>
      <c r="I467" s="51" t="n"/>
      <c r="J467" s="46" t="n"/>
      <c r="K467" s="46" t="n"/>
      <c r="L467" s="23">
        <f>IF(OR($A467="",$B467=""),"",IF($K467&lt;&gt;"",$K467-$B467,TODAY()-$B467))</f>
        <v/>
      </c>
      <c r="M467" s="27">
        <f>IF(OR($A467="",$J467=""),"",IF($K467="",IF(TODAY()&gt;$J467,"Atrasado","En ruta"),IF($K467&lt;=$J467,"Sí","No")))</f>
        <v/>
      </c>
      <c r="N467" s="23">
        <f>IF($A467="","",COUNTIFS(NOVEDADES!$C$4:$C$1503,$A467))</f>
        <v/>
      </c>
      <c r="O467" s="27">
        <f>IF($A467="","",IF(COUNTIFS(NOVEDADES!$C$4:$C$1503,$A467,NOVEDADES!$M$4:$M$1503,"SÍ")&gt;0,"No","Sí"))</f>
        <v/>
      </c>
      <c r="P467" s="27">
        <f>IF(OR($A467="",$K467=""),"",IF(AND($M467="Sí",$O467="Sí"),"OTIF","Falló"))</f>
        <v/>
      </c>
    </row>
    <row r="468" ht="16" customHeight="1">
      <c r="A468" s="47" t="n"/>
      <c r="B468" s="46" t="n"/>
      <c r="C468" s="49" t="n"/>
      <c r="D468" s="49" t="n"/>
      <c r="E468" s="49" t="n"/>
      <c r="F468" s="49" t="n"/>
      <c r="G468" s="47" t="n"/>
      <c r="H468" s="50" t="n"/>
      <c r="I468" s="51" t="n"/>
      <c r="J468" s="46" t="n"/>
      <c r="K468" s="46" t="n"/>
      <c r="L468" s="23">
        <f>IF(OR($A468="",$B468=""),"",IF($K468&lt;&gt;"",$K468-$B468,TODAY()-$B468))</f>
        <v/>
      </c>
      <c r="M468" s="27">
        <f>IF(OR($A468="",$J468=""),"",IF($K468="",IF(TODAY()&gt;$J468,"Atrasado","En ruta"),IF($K468&lt;=$J468,"Sí","No")))</f>
        <v/>
      </c>
      <c r="N468" s="23">
        <f>IF($A468="","",COUNTIFS(NOVEDADES!$C$4:$C$1503,$A468))</f>
        <v/>
      </c>
      <c r="O468" s="27">
        <f>IF($A468="","",IF(COUNTIFS(NOVEDADES!$C$4:$C$1503,$A468,NOVEDADES!$M$4:$M$1503,"SÍ")&gt;0,"No","Sí"))</f>
        <v/>
      </c>
      <c r="P468" s="27">
        <f>IF(OR($A468="",$K468=""),"",IF(AND($M468="Sí",$O468="Sí"),"OTIF","Falló"))</f>
        <v/>
      </c>
    </row>
    <row r="469" ht="16" customHeight="1">
      <c r="A469" s="47" t="n"/>
      <c r="B469" s="46" t="n"/>
      <c r="C469" s="49" t="n"/>
      <c r="D469" s="49" t="n"/>
      <c r="E469" s="49" t="n"/>
      <c r="F469" s="49" t="n"/>
      <c r="G469" s="47" t="n"/>
      <c r="H469" s="50" t="n"/>
      <c r="I469" s="51" t="n"/>
      <c r="J469" s="46" t="n"/>
      <c r="K469" s="46" t="n"/>
      <c r="L469" s="23">
        <f>IF(OR($A469="",$B469=""),"",IF($K469&lt;&gt;"",$K469-$B469,TODAY()-$B469))</f>
        <v/>
      </c>
      <c r="M469" s="27">
        <f>IF(OR($A469="",$J469=""),"",IF($K469="",IF(TODAY()&gt;$J469,"Atrasado","En ruta"),IF($K469&lt;=$J469,"Sí","No")))</f>
        <v/>
      </c>
      <c r="N469" s="23">
        <f>IF($A469="","",COUNTIFS(NOVEDADES!$C$4:$C$1503,$A469))</f>
        <v/>
      </c>
      <c r="O469" s="27">
        <f>IF($A469="","",IF(COUNTIFS(NOVEDADES!$C$4:$C$1503,$A469,NOVEDADES!$M$4:$M$1503,"SÍ")&gt;0,"No","Sí"))</f>
        <v/>
      </c>
      <c r="P469" s="27">
        <f>IF(OR($A469="",$K469=""),"",IF(AND($M469="Sí",$O469="Sí"),"OTIF","Falló"))</f>
        <v/>
      </c>
    </row>
    <row r="470" ht="16" customHeight="1">
      <c r="A470" s="47" t="n"/>
      <c r="B470" s="46" t="n"/>
      <c r="C470" s="49" t="n"/>
      <c r="D470" s="49" t="n"/>
      <c r="E470" s="49" t="n"/>
      <c r="F470" s="49" t="n"/>
      <c r="G470" s="47" t="n"/>
      <c r="H470" s="50" t="n"/>
      <c r="I470" s="51" t="n"/>
      <c r="J470" s="46" t="n"/>
      <c r="K470" s="46" t="n"/>
      <c r="L470" s="23">
        <f>IF(OR($A470="",$B470=""),"",IF($K470&lt;&gt;"",$K470-$B470,TODAY()-$B470))</f>
        <v/>
      </c>
      <c r="M470" s="27">
        <f>IF(OR($A470="",$J470=""),"",IF($K470="",IF(TODAY()&gt;$J470,"Atrasado","En ruta"),IF($K470&lt;=$J470,"Sí","No")))</f>
        <v/>
      </c>
      <c r="N470" s="23">
        <f>IF($A470="","",COUNTIFS(NOVEDADES!$C$4:$C$1503,$A470))</f>
        <v/>
      </c>
      <c r="O470" s="27">
        <f>IF($A470="","",IF(COUNTIFS(NOVEDADES!$C$4:$C$1503,$A470,NOVEDADES!$M$4:$M$1503,"SÍ")&gt;0,"No","Sí"))</f>
        <v/>
      </c>
      <c r="P470" s="27">
        <f>IF(OR($A470="",$K470=""),"",IF(AND($M470="Sí",$O470="Sí"),"OTIF","Falló"))</f>
        <v/>
      </c>
    </row>
    <row r="471" ht="16" customHeight="1">
      <c r="A471" s="47" t="n"/>
      <c r="B471" s="46" t="n"/>
      <c r="C471" s="49" t="n"/>
      <c r="D471" s="49" t="n"/>
      <c r="E471" s="49" t="n"/>
      <c r="F471" s="49" t="n"/>
      <c r="G471" s="47" t="n"/>
      <c r="H471" s="50" t="n"/>
      <c r="I471" s="51" t="n"/>
      <c r="J471" s="46" t="n"/>
      <c r="K471" s="46" t="n"/>
      <c r="L471" s="23">
        <f>IF(OR($A471="",$B471=""),"",IF($K471&lt;&gt;"",$K471-$B471,TODAY()-$B471))</f>
        <v/>
      </c>
      <c r="M471" s="27">
        <f>IF(OR($A471="",$J471=""),"",IF($K471="",IF(TODAY()&gt;$J471,"Atrasado","En ruta"),IF($K471&lt;=$J471,"Sí","No")))</f>
        <v/>
      </c>
      <c r="N471" s="23">
        <f>IF($A471="","",COUNTIFS(NOVEDADES!$C$4:$C$1503,$A471))</f>
        <v/>
      </c>
      <c r="O471" s="27">
        <f>IF($A471="","",IF(COUNTIFS(NOVEDADES!$C$4:$C$1503,$A471,NOVEDADES!$M$4:$M$1503,"SÍ")&gt;0,"No","Sí"))</f>
        <v/>
      </c>
      <c r="P471" s="27">
        <f>IF(OR($A471="",$K471=""),"",IF(AND($M471="Sí",$O471="Sí"),"OTIF","Falló"))</f>
        <v/>
      </c>
    </row>
    <row r="472" ht="16" customHeight="1">
      <c r="A472" s="47" t="n"/>
      <c r="B472" s="46" t="n"/>
      <c r="C472" s="49" t="n"/>
      <c r="D472" s="49" t="n"/>
      <c r="E472" s="49" t="n"/>
      <c r="F472" s="49" t="n"/>
      <c r="G472" s="47" t="n"/>
      <c r="H472" s="50" t="n"/>
      <c r="I472" s="51" t="n"/>
      <c r="J472" s="46" t="n"/>
      <c r="K472" s="46" t="n"/>
      <c r="L472" s="23">
        <f>IF(OR($A472="",$B472=""),"",IF($K472&lt;&gt;"",$K472-$B472,TODAY()-$B472))</f>
        <v/>
      </c>
      <c r="M472" s="27">
        <f>IF(OR($A472="",$J472=""),"",IF($K472="",IF(TODAY()&gt;$J472,"Atrasado","En ruta"),IF($K472&lt;=$J472,"Sí","No")))</f>
        <v/>
      </c>
      <c r="N472" s="23">
        <f>IF($A472="","",COUNTIFS(NOVEDADES!$C$4:$C$1503,$A472))</f>
        <v/>
      </c>
      <c r="O472" s="27">
        <f>IF($A472="","",IF(COUNTIFS(NOVEDADES!$C$4:$C$1503,$A472,NOVEDADES!$M$4:$M$1503,"SÍ")&gt;0,"No","Sí"))</f>
        <v/>
      </c>
      <c r="P472" s="27">
        <f>IF(OR($A472="",$K472=""),"",IF(AND($M472="Sí",$O472="Sí"),"OTIF","Falló"))</f>
        <v/>
      </c>
    </row>
    <row r="473" ht="16" customHeight="1">
      <c r="A473" s="47" t="n"/>
      <c r="B473" s="46" t="n"/>
      <c r="C473" s="49" t="n"/>
      <c r="D473" s="49" t="n"/>
      <c r="E473" s="49" t="n"/>
      <c r="F473" s="49" t="n"/>
      <c r="G473" s="47" t="n"/>
      <c r="H473" s="50" t="n"/>
      <c r="I473" s="51" t="n"/>
      <c r="J473" s="46" t="n"/>
      <c r="K473" s="46" t="n"/>
      <c r="L473" s="23">
        <f>IF(OR($A473="",$B473=""),"",IF($K473&lt;&gt;"",$K473-$B473,TODAY()-$B473))</f>
        <v/>
      </c>
      <c r="M473" s="27">
        <f>IF(OR($A473="",$J473=""),"",IF($K473="",IF(TODAY()&gt;$J473,"Atrasado","En ruta"),IF($K473&lt;=$J473,"Sí","No")))</f>
        <v/>
      </c>
      <c r="N473" s="23">
        <f>IF($A473="","",COUNTIFS(NOVEDADES!$C$4:$C$1503,$A473))</f>
        <v/>
      </c>
      <c r="O473" s="27">
        <f>IF($A473="","",IF(COUNTIFS(NOVEDADES!$C$4:$C$1503,$A473,NOVEDADES!$M$4:$M$1503,"SÍ")&gt;0,"No","Sí"))</f>
        <v/>
      </c>
      <c r="P473" s="27">
        <f>IF(OR($A473="",$K473=""),"",IF(AND($M473="Sí",$O473="Sí"),"OTIF","Falló"))</f>
        <v/>
      </c>
    </row>
    <row r="474" ht="16" customHeight="1">
      <c r="A474" s="47" t="n"/>
      <c r="B474" s="46" t="n"/>
      <c r="C474" s="49" t="n"/>
      <c r="D474" s="49" t="n"/>
      <c r="E474" s="49" t="n"/>
      <c r="F474" s="49" t="n"/>
      <c r="G474" s="47" t="n"/>
      <c r="H474" s="50" t="n"/>
      <c r="I474" s="51" t="n"/>
      <c r="J474" s="46" t="n"/>
      <c r="K474" s="46" t="n"/>
      <c r="L474" s="23">
        <f>IF(OR($A474="",$B474=""),"",IF($K474&lt;&gt;"",$K474-$B474,TODAY()-$B474))</f>
        <v/>
      </c>
      <c r="M474" s="27">
        <f>IF(OR($A474="",$J474=""),"",IF($K474="",IF(TODAY()&gt;$J474,"Atrasado","En ruta"),IF($K474&lt;=$J474,"Sí","No")))</f>
        <v/>
      </c>
      <c r="N474" s="23">
        <f>IF($A474="","",COUNTIFS(NOVEDADES!$C$4:$C$1503,$A474))</f>
        <v/>
      </c>
      <c r="O474" s="27">
        <f>IF($A474="","",IF(COUNTIFS(NOVEDADES!$C$4:$C$1503,$A474,NOVEDADES!$M$4:$M$1503,"SÍ")&gt;0,"No","Sí"))</f>
        <v/>
      </c>
      <c r="P474" s="27">
        <f>IF(OR($A474="",$K474=""),"",IF(AND($M474="Sí",$O474="Sí"),"OTIF","Falló"))</f>
        <v/>
      </c>
    </row>
    <row r="475" ht="16" customHeight="1">
      <c r="A475" s="47" t="n"/>
      <c r="B475" s="46" t="n"/>
      <c r="C475" s="49" t="n"/>
      <c r="D475" s="49" t="n"/>
      <c r="E475" s="49" t="n"/>
      <c r="F475" s="49" t="n"/>
      <c r="G475" s="47" t="n"/>
      <c r="H475" s="50" t="n"/>
      <c r="I475" s="51" t="n"/>
      <c r="J475" s="46" t="n"/>
      <c r="K475" s="46" t="n"/>
      <c r="L475" s="23">
        <f>IF(OR($A475="",$B475=""),"",IF($K475&lt;&gt;"",$K475-$B475,TODAY()-$B475))</f>
        <v/>
      </c>
      <c r="M475" s="27">
        <f>IF(OR($A475="",$J475=""),"",IF($K475="",IF(TODAY()&gt;$J475,"Atrasado","En ruta"),IF($K475&lt;=$J475,"Sí","No")))</f>
        <v/>
      </c>
      <c r="N475" s="23">
        <f>IF($A475="","",COUNTIFS(NOVEDADES!$C$4:$C$1503,$A475))</f>
        <v/>
      </c>
      <c r="O475" s="27">
        <f>IF($A475="","",IF(COUNTIFS(NOVEDADES!$C$4:$C$1503,$A475,NOVEDADES!$M$4:$M$1503,"SÍ")&gt;0,"No","Sí"))</f>
        <v/>
      </c>
      <c r="P475" s="27">
        <f>IF(OR($A475="",$K475=""),"",IF(AND($M475="Sí",$O475="Sí"),"OTIF","Falló"))</f>
        <v/>
      </c>
    </row>
    <row r="476" ht="16" customHeight="1">
      <c r="A476" s="47" t="n"/>
      <c r="B476" s="46" t="n"/>
      <c r="C476" s="49" t="n"/>
      <c r="D476" s="49" t="n"/>
      <c r="E476" s="49" t="n"/>
      <c r="F476" s="49" t="n"/>
      <c r="G476" s="47" t="n"/>
      <c r="H476" s="50" t="n"/>
      <c r="I476" s="51" t="n"/>
      <c r="J476" s="46" t="n"/>
      <c r="K476" s="46" t="n"/>
      <c r="L476" s="23">
        <f>IF(OR($A476="",$B476=""),"",IF($K476&lt;&gt;"",$K476-$B476,TODAY()-$B476))</f>
        <v/>
      </c>
      <c r="M476" s="27">
        <f>IF(OR($A476="",$J476=""),"",IF($K476="",IF(TODAY()&gt;$J476,"Atrasado","En ruta"),IF($K476&lt;=$J476,"Sí","No")))</f>
        <v/>
      </c>
      <c r="N476" s="23">
        <f>IF($A476="","",COUNTIFS(NOVEDADES!$C$4:$C$1503,$A476))</f>
        <v/>
      </c>
      <c r="O476" s="27">
        <f>IF($A476="","",IF(COUNTIFS(NOVEDADES!$C$4:$C$1503,$A476,NOVEDADES!$M$4:$M$1503,"SÍ")&gt;0,"No","Sí"))</f>
        <v/>
      </c>
      <c r="P476" s="27">
        <f>IF(OR($A476="",$K476=""),"",IF(AND($M476="Sí",$O476="Sí"),"OTIF","Falló"))</f>
        <v/>
      </c>
    </row>
    <row r="477" ht="16" customHeight="1">
      <c r="A477" s="47" t="n"/>
      <c r="B477" s="46" t="n"/>
      <c r="C477" s="49" t="n"/>
      <c r="D477" s="49" t="n"/>
      <c r="E477" s="49" t="n"/>
      <c r="F477" s="49" t="n"/>
      <c r="G477" s="47" t="n"/>
      <c r="H477" s="50" t="n"/>
      <c r="I477" s="51" t="n"/>
      <c r="J477" s="46" t="n"/>
      <c r="K477" s="46" t="n"/>
      <c r="L477" s="23">
        <f>IF(OR($A477="",$B477=""),"",IF($K477&lt;&gt;"",$K477-$B477,TODAY()-$B477))</f>
        <v/>
      </c>
      <c r="M477" s="27">
        <f>IF(OR($A477="",$J477=""),"",IF($K477="",IF(TODAY()&gt;$J477,"Atrasado","En ruta"),IF($K477&lt;=$J477,"Sí","No")))</f>
        <v/>
      </c>
      <c r="N477" s="23">
        <f>IF($A477="","",COUNTIFS(NOVEDADES!$C$4:$C$1503,$A477))</f>
        <v/>
      </c>
      <c r="O477" s="27">
        <f>IF($A477="","",IF(COUNTIFS(NOVEDADES!$C$4:$C$1503,$A477,NOVEDADES!$M$4:$M$1503,"SÍ")&gt;0,"No","Sí"))</f>
        <v/>
      </c>
      <c r="P477" s="27">
        <f>IF(OR($A477="",$K477=""),"",IF(AND($M477="Sí",$O477="Sí"),"OTIF","Falló"))</f>
        <v/>
      </c>
    </row>
    <row r="478" ht="16" customHeight="1">
      <c r="A478" s="47" t="n"/>
      <c r="B478" s="46" t="n"/>
      <c r="C478" s="49" t="n"/>
      <c r="D478" s="49" t="n"/>
      <c r="E478" s="49" t="n"/>
      <c r="F478" s="49" t="n"/>
      <c r="G478" s="47" t="n"/>
      <c r="H478" s="50" t="n"/>
      <c r="I478" s="51" t="n"/>
      <c r="J478" s="46" t="n"/>
      <c r="K478" s="46" t="n"/>
      <c r="L478" s="23">
        <f>IF(OR($A478="",$B478=""),"",IF($K478&lt;&gt;"",$K478-$B478,TODAY()-$B478))</f>
        <v/>
      </c>
      <c r="M478" s="27">
        <f>IF(OR($A478="",$J478=""),"",IF($K478="",IF(TODAY()&gt;$J478,"Atrasado","En ruta"),IF($K478&lt;=$J478,"Sí","No")))</f>
        <v/>
      </c>
      <c r="N478" s="23">
        <f>IF($A478="","",COUNTIFS(NOVEDADES!$C$4:$C$1503,$A478))</f>
        <v/>
      </c>
      <c r="O478" s="27">
        <f>IF($A478="","",IF(COUNTIFS(NOVEDADES!$C$4:$C$1503,$A478,NOVEDADES!$M$4:$M$1503,"SÍ")&gt;0,"No","Sí"))</f>
        <v/>
      </c>
      <c r="P478" s="27">
        <f>IF(OR($A478="",$K478=""),"",IF(AND($M478="Sí",$O478="Sí"),"OTIF","Falló"))</f>
        <v/>
      </c>
    </row>
    <row r="479" ht="16" customHeight="1">
      <c r="A479" s="47" t="n"/>
      <c r="B479" s="46" t="n"/>
      <c r="C479" s="49" t="n"/>
      <c r="D479" s="49" t="n"/>
      <c r="E479" s="49" t="n"/>
      <c r="F479" s="49" t="n"/>
      <c r="G479" s="47" t="n"/>
      <c r="H479" s="50" t="n"/>
      <c r="I479" s="51" t="n"/>
      <c r="J479" s="46" t="n"/>
      <c r="K479" s="46" t="n"/>
      <c r="L479" s="23">
        <f>IF(OR($A479="",$B479=""),"",IF($K479&lt;&gt;"",$K479-$B479,TODAY()-$B479))</f>
        <v/>
      </c>
      <c r="M479" s="27">
        <f>IF(OR($A479="",$J479=""),"",IF($K479="",IF(TODAY()&gt;$J479,"Atrasado","En ruta"),IF($K479&lt;=$J479,"Sí","No")))</f>
        <v/>
      </c>
      <c r="N479" s="23">
        <f>IF($A479="","",COUNTIFS(NOVEDADES!$C$4:$C$1503,$A479))</f>
        <v/>
      </c>
      <c r="O479" s="27">
        <f>IF($A479="","",IF(COUNTIFS(NOVEDADES!$C$4:$C$1503,$A479,NOVEDADES!$M$4:$M$1503,"SÍ")&gt;0,"No","Sí"))</f>
        <v/>
      </c>
      <c r="P479" s="27">
        <f>IF(OR($A479="",$K479=""),"",IF(AND($M479="Sí",$O479="Sí"),"OTIF","Falló"))</f>
        <v/>
      </c>
    </row>
    <row r="480" ht="16" customHeight="1">
      <c r="A480" s="47" t="n"/>
      <c r="B480" s="46" t="n"/>
      <c r="C480" s="49" t="n"/>
      <c r="D480" s="49" t="n"/>
      <c r="E480" s="49" t="n"/>
      <c r="F480" s="49" t="n"/>
      <c r="G480" s="47" t="n"/>
      <c r="H480" s="50" t="n"/>
      <c r="I480" s="51" t="n"/>
      <c r="J480" s="46" t="n"/>
      <c r="K480" s="46" t="n"/>
      <c r="L480" s="23">
        <f>IF(OR($A480="",$B480=""),"",IF($K480&lt;&gt;"",$K480-$B480,TODAY()-$B480))</f>
        <v/>
      </c>
      <c r="M480" s="27">
        <f>IF(OR($A480="",$J480=""),"",IF($K480="",IF(TODAY()&gt;$J480,"Atrasado","En ruta"),IF($K480&lt;=$J480,"Sí","No")))</f>
        <v/>
      </c>
      <c r="N480" s="23">
        <f>IF($A480="","",COUNTIFS(NOVEDADES!$C$4:$C$1503,$A480))</f>
        <v/>
      </c>
      <c r="O480" s="27">
        <f>IF($A480="","",IF(COUNTIFS(NOVEDADES!$C$4:$C$1503,$A480,NOVEDADES!$M$4:$M$1503,"SÍ")&gt;0,"No","Sí"))</f>
        <v/>
      </c>
      <c r="P480" s="27">
        <f>IF(OR($A480="",$K480=""),"",IF(AND($M480="Sí",$O480="Sí"),"OTIF","Falló"))</f>
        <v/>
      </c>
    </row>
    <row r="481" ht="16" customHeight="1">
      <c r="A481" s="47" t="n"/>
      <c r="B481" s="46" t="n"/>
      <c r="C481" s="49" t="n"/>
      <c r="D481" s="49" t="n"/>
      <c r="E481" s="49" t="n"/>
      <c r="F481" s="49" t="n"/>
      <c r="G481" s="47" t="n"/>
      <c r="H481" s="50" t="n"/>
      <c r="I481" s="51" t="n"/>
      <c r="J481" s="46" t="n"/>
      <c r="K481" s="46" t="n"/>
      <c r="L481" s="23">
        <f>IF(OR($A481="",$B481=""),"",IF($K481&lt;&gt;"",$K481-$B481,TODAY()-$B481))</f>
        <v/>
      </c>
      <c r="M481" s="27">
        <f>IF(OR($A481="",$J481=""),"",IF($K481="",IF(TODAY()&gt;$J481,"Atrasado","En ruta"),IF($K481&lt;=$J481,"Sí","No")))</f>
        <v/>
      </c>
      <c r="N481" s="23">
        <f>IF($A481="","",COUNTIFS(NOVEDADES!$C$4:$C$1503,$A481))</f>
        <v/>
      </c>
      <c r="O481" s="27">
        <f>IF($A481="","",IF(COUNTIFS(NOVEDADES!$C$4:$C$1503,$A481,NOVEDADES!$M$4:$M$1503,"SÍ")&gt;0,"No","Sí"))</f>
        <v/>
      </c>
      <c r="P481" s="27">
        <f>IF(OR($A481="",$K481=""),"",IF(AND($M481="Sí",$O481="Sí"),"OTIF","Falló"))</f>
        <v/>
      </c>
    </row>
    <row r="482" ht="16" customHeight="1">
      <c r="A482" s="47" t="n"/>
      <c r="B482" s="46" t="n"/>
      <c r="C482" s="49" t="n"/>
      <c r="D482" s="49" t="n"/>
      <c r="E482" s="49" t="n"/>
      <c r="F482" s="49" t="n"/>
      <c r="G482" s="47" t="n"/>
      <c r="H482" s="50" t="n"/>
      <c r="I482" s="51" t="n"/>
      <c r="J482" s="46" t="n"/>
      <c r="K482" s="46" t="n"/>
      <c r="L482" s="23">
        <f>IF(OR($A482="",$B482=""),"",IF($K482&lt;&gt;"",$K482-$B482,TODAY()-$B482))</f>
        <v/>
      </c>
      <c r="M482" s="27">
        <f>IF(OR($A482="",$J482=""),"",IF($K482="",IF(TODAY()&gt;$J482,"Atrasado","En ruta"),IF($K482&lt;=$J482,"Sí","No")))</f>
        <v/>
      </c>
      <c r="N482" s="23">
        <f>IF($A482="","",COUNTIFS(NOVEDADES!$C$4:$C$1503,$A482))</f>
        <v/>
      </c>
      <c r="O482" s="27">
        <f>IF($A482="","",IF(COUNTIFS(NOVEDADES!$C$4:$C$1503,$A482,NOVEDADES!$M$4:$M$1503,"SÍ")&gt;0,"No","Sí"))</f>
        <v/>
      </c>
      <c r="P482" s="27">
        <f>IF(OR($A482="",$K482=""),"",IF(AND($M482="Sí",$O482="Sí"),"OTIF","Falló"))</f>
        <v/>
      </c>
    </row>
    <row r="483" ht="16" customHeight="1">
      <c r="A483" s="47" t="n"/>
      <c r="B483" s="46" t="n"/>
      <c r="C483" s="49" t="n"/>
      <c r="D483" s="49" t="n"/>
      <c r="E483" s="49" t="n"/>
      <c r="F483" s="49" t="n"/>
      <c r="G483" s="47" t="n"/>
      <c r="H483" s="50" t="n"/>
      <c r="I483" s="51" t="n"/>
      <c r="J483" s="46" t="n"/>
      <c r="K483" s="46" t="n"/>
      <c r="L483" s="23">
        <f>IF(OR($A483="",$B483=""),"",IF($K483&lt;&gt;"",$K483-$B483,TODAY()-$B483))</f>
        <v/>
      </c>
      <c r="M483" s="27">
        <f>IF(OR($A483="",$J483=""),"",IF($K483="",IF(TODAY()&gt;$J483,"Atrasado","En ruta"),IF($K483&lt;=$J483,"Sí","No")))</f>
        <v/>
      </c>
      <c r="N483" s="23">
        <f>IF($A483="","",COUNTIFS(NOVEDADES!$C$4:$C$1503,$A483))</f>
        <v/>
      </c>
      <c r="O483" s="27">
        <f>IF($A483="","",IF(COUNTIFS(NOVEDADES!$C$4:$C$1503,$A483,NOVEDADES!$M$4:$M$1503,"SÍ")&gt;0,"No","Sí"))</f>
        <v/>
      </c>
      <c r="P483" s="27">
        <f>IF(OR($A483="",$K483=""),"",IF(AND($M483="Sí",$O483="Sí"),"OTIF","Falló"))</f>
        <v/>
      </c>
    </row>
    <row r="484" ht="16" customHeight="1">
      <c r="A484" s="47" t="n"/>
      <c r="B484" s="46" t="n"/>
      <c r="C484" s="49" t="n"/>
      <c r="D484" s="49" t="n"/>
      <c r="E484" s="49" t="n"/>
      <c r="F484" s="49" t="n"/>
      <c r="G484" s="47" t="n"/>
      <c r="H484" s="50" t="n"/>
      <c r="I484" s="51" t="n"/>
      <c r="J484" s="46" t="n"/>
      <c r="K484" s="46" t="n"/>
      <c r="L484" s="23">
        <f>IF(OR($A484="",$B484=""),"",IF($K484&lt;&gt;"",$K484-$B484,TODAY()-$B484))</f>
        <v/>
      </c>
      <c r="M484" s="27">
        <f>IF(OR($A484="",$J484=""),"",IF($K484="",IF(TODAY()&gt;$J484,"Atrasado","En ruta"),IF($K484&lt;=$J484,"Sí","No")))</f>
        <v/>
      </c>
      <c r="N484" s="23">
        <f>IF($A484="","",COUNTIFS(NOVEDADES!$C$4:$C$1503,$A484))</f>
        <v/>
      </c>
      <c r="O484" s="27">
        <f>IF($A484="","",IF(COUNTIFS(NOVEDADES!$C$4:$C$1503,$A484,NOVEDADES!$M$4:$M$1503,"SÍ")&gt;0,"No","Sí"))</f>
        <v/>
      </c>
      <c r="P484" s="27">
        <f>IF(OR($A484="",$K484=""),"",IF(AND($M484="Sí",$O484="Sí"),"OTIF","Falló"))</f>
        <v/>
      </c>
    </row>
    <row r="485" ht="16" customHeight="1">
      <c r="A485" s="47" t="n"/>
      <c r="B485" s="46" t="n"/>
      <c r="C485" s="49" t="n"/>
      <c r="D485" s="49" t="n"/>
      <c r="E485" s="49" t="n"/>
      <c r="F485" s="49" t="n"/>
      <c r="G485" s="47" t="n"/>
      <c r="H485" s="50" t="n"/>
      <c r="I485" s="51" t="n"/>
      <c r="J485" s="46" t="n"/>
      <c r="K485" s="46" t="n"/>
      <c r="L485" s="23">
        <f>IF(OR($A485="",$B485=""),"",IF($K485&lt;&gt;"",$K485-$B485,TODAY()-$B485))</f>
        <v/>
      </c>
      <c r="M485" s="27">
        <f>IF(OR($A485="",$J485=""),"",IF($K485="",IF(TODAY()&gt;$J485,"Atrasado","En ruta"),IF($K485&lt;=$J485,"Sí","No")))</f>
        <v/>
      </c>
      <c r="N485" s="23">
        <f>IF($A485="","",COUNTIFS(NOVEDADES!$C$4:$C$1503,$A485))</f>
        <v/>
      </c>
      <c r="O485" s="27">
        <f>IF($A485="","",IF(COUNTIFS(NOVEDADES!$C$4:$C$1503,$A485,NOVEDADES!$M$4:$M$1503,"SÍ")&gt;0,"No","Sí"))</f>
        <v/>
      </c>
      <c r="P485" s="27">
        <f>IF(OR($A485="",$K485=""),"",IF(AND($M485="Sí",$O485="Sí"),"OTIF","Falló"))</f>
        <v/>
      </c>
    </row>
    <row r="486" ht="16" customHeight="1">
      <c r="A486" s="47" t="n"/>
      <c r="B486" s="46" t="n"/>
      <c r="C486" s="49" t="n"/>
      <c r="D486" s="49" t="n"/>
      <c r="E486" s="49" t="n"/>
      <c r="F486" s="49" t="n"/>
      <c r="G486" s="47" t="n"/>
      <c r="H486" s="50" t="n"/>
      <c r="I486" s="51" t="n"/>
      <c r="J486" s="46" t="n"/>
      <c r="K486" s="46" t="n"/>
      <c r="L486" s="23">
        <f>IF(OR($A486="",$B486=""),"",IF($K486&lt;&gt;"",$K486-$B486,TODAY()-$B486))</f>
        <v/>
      </c>
      <c r="M486" s="27">
        <f>IF(OR($A486="",$J486=""),"",IF($K486="",IF(TODAY()&gt;$J486,"Atrasado","En ruta"),IF($K486&lt;=$J486,"Sí","No")))</f>
        <v/>
      </c>
      <c r="N486" s="23">
        <f>IF($A486="","",COUNTIFS(NOVEDADES!$C$4:$C$1503,$A486))</f>
        <v/>
      </c>
      <c r="O486" s="27">
        <f>IF($A486="","",IF(COUNTIFS(NOVEDADES!$C$4:$C$1503,$A486,NOVEDADES!$M$4:$M$1503,"SÍ")&gt;0,"No","Sí"))</f>
        <v/>
      </c>
      <c r="P486" s="27">
        <f>IF(OR($A486="",$K486=""),"",IF(AND($M486="Sí",$O486="Sí"),"OTIF","Falló"))</f>
        <v/>
      </c>
    </row>
    <row r="487" ht="16" customHeight="1">
      <c r="A487" s="47" t="n"/>
      <c r="B487" s="46" t="n"/>
      <c r="C487" s="49" t="n"/>
      <c r="D487" s="49" t="n"/>
      <c r="E487" s="49" t="n"/>
      <c r="F487" s="49" t="n"/>
      <c r="G487" s="47" t="n"/>
      <c r="H487" s="50" t="n"/>
      <c r="I487" s="51" t="n"/>
      <c r="J487" s="46" t="n"/>
      <c r="K487" s="46" t="n"/>
      <c r="L487" s="23">
        <f>IF(OR($A487="",$B487=""),"",IF($K487&lt;&gt;"",$K487-$B487,TODAY()-$B487))</f>
        <v/>
      </c>
      <c r="M487" s="27">
        <f>IF(OR($A487="",$J487=""),"",IF($K487="",IF(TODAY()&gt;$J487,"Atrasado","En ruta"),IF($K487&lt;=$J487,"Sí","No")))</f>
        <v/>
      </c>
      <c r="N487" s="23">
        <f>IF($A487="","",COUNTIFS(NOVEDADES!$C$4:$C$1503,$A487))</f>
        <v/>
      </c>
      <c r="O487" s="27">
        <f>IF($A487="","",IF(COUNTIFS(NOVEDADES!$C$4:$C$1503,$A487,NOVEDADES!$M$4:$M$1503,"SÍ")&gt;0,"No","Sí"))</f>
        <v/>
      </c>
      <c r="P487" s="27">
        <f>IF(OR($A487="",$K487=""),"",IF(AND($M487="Sí",$O487="Sí"),"OTIF","Falló"))</f>
        <v/>
      </c>
    </row>
    <row r="488" ht="16" customHeight="1">
      <c r="A488" s="47" t="n"/>
      <c r="B488" s="46" t="n"/>
      <c r="C488" s="49" t="n"/>
      <c r="D488" s="49" t="n"/>
      <c r="E488" s="49" t="n"/>
      <c r="F488" s="49" t="n"/>
      <c r="G488" s="47" t="n"/>
      <c r="H488" s="50" t="n"/>
      <c r="I488" s="51" t="n"/>
      <c r="J488" s="46" t="n"/>
      <c r="K488" s="46" t="n"/>
      <c r="L488" s="23">
        <f>IF(OR($A488="",$B488=""),"",IF($K488&lt;&gt;"",$K488-$B488,TODAY()-$B488))</f>
        <v/>
      </c>
      <c r="M488" s="27">
        <f>IF(OR($A488="",$J488=""),"",IF($K488="",IF(TODAY()&gt;$J488,"Atrasado","En ruta"),IF($K488&lt;=$J488,"Sí","No")))</f>
        <v/>
      </c>
      <c r="N488" s="23">
        <f>IF($A488="","",COUNTIFS(NOVEDADES!$C$4:$C$1503,$A488))</f>
        <v/>
      </c>
      <c r="O488" s="27">
        <f>IF($A488="","",IF(COUNTIFS(NOVEDADES!$C$4:$C$1503,$A488,NOVEDADES!$M$4:$M$1503,"SÍ")&gt;0,"No","Sí"))</f>
        <v/>
      </c>
      <c r="P488" s="27">
        <f>IF(OR($A488="",$K488=""),"",IF(AND($M488="Sí",$O488="Sí"),"OTIF","Falló"))</f>
        <v/>
      </c>
    </row>
    <row r="489" ht="16" customHeight="1">
      <c r="A489" s="47" t="n"/>
      <c r="B489" s="46" t="n"/>
      <c r="C489" s="49" t="n"/>
      <c r="D489" s="49" t="n"/>
      <c r="E489" s="49" t="n"/>
      <c r="F489" s="49" t="n"/>
      <c r="G489" s="47" t="n"/>
      <c r="H489" s="50" t="n"/>
      <c r="I489" s="51" t="n"/>
      <c r="J489" s="46" t="n"/>
      <c r="K489" s="46" t="n"/>
      <c r="L489" s="23">
        <f>IF(OR($A489="",$B489=""),"",IF($K489&lt;&gt;"",$K489-$B489,TODAY()-$B489))</f>
        <v/>
      </c>
      <c r="M489" s="27">
        <f>IF(OR($A489="",$J489=""),"",IF($K489="",IF(TODAY()&gt;$J489,"Atrasado","En ruta"),IF($K489&lt;=$J489,"Sí","No")))</f>
        <v/>
      </c>
      <c r="N489" s="23">
        <f>IF($A489="","",COUNTIFS(NOVEDADES!$C$4:$C$1503,$A489))</f>
        <v/>
      </c>
      <c r="O489" s="27">
        <f>IF($A489="","",IF(COUNTIFS(NOVEDADES!$C$4:$C$1503,$A489,NOVEDADES!$M$4:$M$1503,"SÍ")&gt;0,"No","Sí"))</f>
        <v/>
      </c>
      <c r="P489" s="27">
        <f>IF(OR($A489="",$K489=""),"",IF(AND($M489="Sí",$O489="Sí"),"OTIF","Falló"))</f>
        <v/>
      </c>
    </row>
    <row r="490" ht="16" customHeight="1">
      <c r="A490" s="47" t="n"/>
      <c r="B490" s="46" t="n"/>
      <c r="C490" s="49" t="n"/>
      <c r="D490" s="49" t="n"/>
      <c r="E490" s="49" t="n"/>
      <c r="F490" s="49" t="n"/>
      <c r="G490" s="47" t="n"/>
      <c r="H490" s="50" t="n"/>
      <c r="I490" s="51" t="n"/>
      <c r="J490" s="46" t="n"/>
      <c r="K490" s="46" t="n"/>
      <c r="L490" s="23">
        <f>IF(OR($A490="",$B490=""),"",IF($K490&lt;&gt;"",$K490-$B490,TODAY()-$B490))</f>
        <v/>
      </c>
      <c r="M490" s="27">
        <f>IF(OR($A490="",$J490=""),"",IF($K490="",IF(TODAY()&gt;$J490,"Atrasado","En ruta"),IF($K490&lt;=$J490,"Sí","No")))</f>
        <v/>
      </c>
      <c r="N490" s="23">
        <f>IF($A490="","",COUNTIFS(NOVEDADES!$C$4:$C$1503,$A490))</f>
        <v/>
      </c>
      <c r="O490" s="27">
        <f>IF($A490="","",IF(COUNTIFS(NOVEDADES!$C$4:$C$1503,$A490,NOVEDADES!$M$4:$M$1503,"SÍ")&gt;0,"No","Sí"))</f>
        <v/>
      </c>
      <c r="P490" s="27">
        <f>IF(OR($A490="",$K490=""),"",IF(AND($M490="Sí",$O490="Sí"),"OTIF","Falló"))</f>
        <v/>
      </c>
    </row>
    <row r="491" ht="16" customHeight="1">
      <c r="A491" s="47" t="n"/>
      <c r="B491" s="46" t="n"/>
      <c r="C491" s="49" t="n"/>
      <c r="D491" s="49" t="n"/>
      <c r="E491" s="49" t="n"/>
      <c r="F491" s="49" t="n"/>
      <c r="G491" s="47" t="n"/>
      <c r="H491" s="50" t="n"/>
      <c r="I491" s="51" t="n"/>
      <c r="J491" s="46" t="n"/>
      <c r="K491" s="46" t="n"/>
      <c r="L491" s="23">
        <f>IF(OR($A491="",$B491=""),"",IF($K491&lt;&gt;"",$K491-$B491,TODAY()-$B491))</f>
        <v/>
      </c>
      <c r="M491" s="27">
        <f>IF(OR($A491="",$J491=""),"",IF($K491="",IF(TODAY()&gt;$J491,"Atrasado","En ruta"),IF($K491&lt;=$J491,"Sí","No")))</f>
        <v/>
      </c>
      <c r="N491" s="23">
        <f>IF($A491="","",COUNTIFS(NOVEDADES!$C$4:$C$1503,$A491))</f>
        <v/>
      </c>
      <c r="O491" s="27">
        <f>IF($A491="","",IF(COUNTIFS(NOVEDADES!$C$4:$C$1503,$A491,NOVEDADES!$M$4:$M$1503,"SÍ")&gt;0,"No","Sí"))</f>
        <v/>
      </c>
      <c r="P491" s="27">
        <f>IF(OR($A491="",$K491=""),"",IF(AND($M491="Sí",$O491="Sí"),"OTIF","Falló"))</f>
        <v/>
      </c>
    </row>
    <row r="492" ht="16" customHeight="1">
      <c r="A492" s="47" t="n"/>
      <c r="B492" s="46" t="n"/>
      <c r="C492" s="49" t="n"/>
      <c r="D492" s="49" t="n"/>
      <c r="E492" s="49" t="n"/>
      <c r="F492" s="49" t="n"/>
      <c r="G492" s="47" t="n"/>
      <c r="H492" s="50" t="n"/>
      <c r="I492" s="51" t="n"/>
      <c r="J492" s="46" t="n"/>
      <c r="K492" s="46" t="n"/>
      <c r="L492" s="23">
        <f>IF(OR($A492="",$B492=""),"",IF($K492&lt;&gt;"",$K492-$B492,TODAY()-$B492))</f>
        <v/>
      </c>
      <c r="M492" s="27">
        <f>IF(OR($A492="",$J492=""),"",IF($K492="",IF(TODAY()&gt;$J492,"Atrasado","En ruta"),IF($K492&lt;=$J492,"Sí","No")))</f>
        <v/>
      </c>
      <c r="N492" s="23">
        <f>IF($A492="","",COUNTIFS(NOVEDADES!$C$4:$C$1503,$A492))</f>
        <v/>
      </c>
      <c r="O492" s="27">
        <f>IF($A492="","",IF(COUNTIFS(NOVEDADES!$C$4:$C$1503,$A492,NOVEDADES!$M$4:$M$1503,"SÍ")&gt;0,"No","Sí"))</f>
        <v/>
      </c>
      <c r="P492" s="27">
        <f>IF(OR($A492="",$K492=""),"",IF(AND($M492="Sí",$O492="Sí"),"OTIF","Falló"))</f>
        <v/>
      </c>
    </row>
    <row r="493" ht="16" customHeight="1">
      <c r="A493" s="47" t="n"/>
      <c r="B493" s="46" t="n"/>
      <c r="C493" s="49" t="n"/>
      <c r="D493" s="49" t="n"/>
      <c r="E493" s="49" t="n"/>
      <c r="F493" s="49" t="n"/>
      <c r="G493" s="47" t="n"/>
      <c r="H493" s="50" t="n"/>
      <c r="I493" s="51" t="n"/>
      <c r="J493" s="46" t="n"/>
      <c r="K493" s="46" t="n"/>
      <c r="L493" s="23">
        <f>IF(OR($A493="",$B493=""),"",IF($K493&lt;&gt;"",$K493-$B493,TODAY()-$B493))</f>
        <v/>
      </c>
      <c r="M493" s="27">
        <f>IF(OR($A493="",$J493=""),"",IF($K493="",IF(TODAY()&gt;$J493,"Atrasado","En ruta"),IF($K493&lt;=$J493,"Sí","No")))</f>
        <v/>
      </c>
      <c r="N493" s="23">
        <f>IF($A493="","",COUNTIFS(NOVEDADES!$C$4:$C$1503,$A493))</f>
        <v/>
      </c>
      <c r="O493" s="27">
        <f>IF($A493="","",IF(COUNTIFS(NOVEDADES!$C$4:$C$1503,$A493,NOVEDADES!$M$4:$M$1503,"SÍ")&gt;0,"No","Sí"))</f>
        <v/>
      </c>
      <c r="P493" s="27">
        <f>IF(OR($A493="",$K493=""),"",IF(AND($M493="Sí",$O493="Sí"),"OTIF","Falló"))</f>
        <v/>
      </c>
    </row>
    <row r="494" ht="16" customHeight="1">
      <c r="A494" s="47" t="n"/>
      <c r="B494" s="46" t="n"/>
      <c r="C494" s="49" t="n"/>
      <c r="D494" s="49" t="n"/>
      <c r="E494" s="49" t="n"/>
      <c r="F494" s="49" t="n"/>
      <c r="G494" s="47" t="n"/>
      <c r="H494" s="50" t="n"/>
      <c r="I494" s="51" t="n"/>
      <c r="J494" s="46" t="n"/>
      <c r="K494" s="46" t="n"/>
      <c r="L494" s="23">
        <f>IF(OR($A494="",$B494=""),"",IF($K494&lt;&gt;"",$K494-$B494,TODAY()-$B494))</f>
        <v/>
      </c>
      <c r="M494" s="27">
        <f>IF(OR($A494="",$J494=""),"",IF($K494="",IF(TODAY()&gt;$J494,"Atrasado","En ruta"),IF($K494&lt;=$J494,"Sí","No")))</f>
        <v/>
      </c>
      <c r="N494" s="23">
        <f>IF($A494="","",COUNTIFS(NOVEDADES!$C$4:$C$1503,$A494))</f>
        <v/>
      </c>
      <c r="O494" s="27">
        <f>IF($A494="","",IF(COUNTIFS(NOVEDADES!$C$4:$C$1503,$A494,NOVEDADES!$M$4:$M$1503,"SÍ")&gt;0,"No","Sí"))</f>
        <v/>
      </c>
      <c r="P494" s="27">
        <f>IF(OR($A494="",$K494=""),"",IF(AND($M494="Sí",$O494="Sí"),"OTIF","Falló"))</f>
        <v/>
      </c>
    </row>
    <row r="495" ht="16" customHeight="1">
      <c r="A495" s="47" t="n"/>
      <c r="B495" s="46" t="n"/>
      <c r="C495" s="49" t="n"/>
      <c r="D495" s="49" t="n"/>
      <c r="E495" s="49" t="n"/>
      <c r="F495" s="49" t="n"/>
      <c r="G495" s="47" t="n"/>
      <c r="H495" s="50" t="n"/>
      <c r="I495" s="51" t="n"/>
      <c r="J495" s="46" t="n"/>
      <c r="K495" s="46" t="n"/>
      <c r="L495" s="23">
        <f>IF(OR($A495="",$B495=""),"",IF($K495&lt;&gt;"",$K495-$B495,TODAY()-$B495))</f>
        <v/>
      </c>
      <c r="M495" s="27">
        <f>IF(OR($A495="",$J495=""),"",IF($K495="",IF(TODAY()&gt;$J495,"Atrasado","En ruta"),IF($K495&lt;=$J495,"Sí","No")))</f>
        <v/>
      </c>
      <c r="N495" s="23">
        <f>IF($A495="","",COUNTIFS(NOVEDADES!$C$4:$C$1503,$A495))</f>
        <v/>
      </c>
      <c r="O495" s="27">
        <f>IF($A495="","",IF(COUNTIFS(NOVEDADES!$C$4:$C$1503,$A495,NOVEDADES!$M$4:$M$1503,"SÍ")&gt;0,"No","Sí"))</f>
        <v/>
      </c>
      <c r="P495" s="27">
        <f>IF(OR($A495="",$K495=""),"",IF(AND($M495="Sí",$O495="Sí"),"OTIF","Falló"))</f>
        <v/>
      </c>
    </row>
    <row r="496" ht="16" customHeight="1">
      <c r="A496" s="47" t="n"/>
      <c r="B496" s="46" t="n"/>
      <c r="C496" s="49" t="n"/>
      <c r="D496" s="49" t="n"/>
      <c r="E496" s="49" t="n"/>
      <c r="F496" s="49" t="n"/>
      <c r="G496" s="47" t="n"/>
      <c r="H496" s="50" t="n"/>
      <c r="I496" s="51" t="n"/>
      <c r="J496" s="46" t="n"/>
      <c r="K496" s="46" t="n"/>
      <c r="L496" s="23">
        <f>IF(OR($A496="",$B496=""),"",IF($K496&lt;&gt;"",$K496-$B496,TODAY()-$B496))</f>
        <v/>
      </c>
      <c r="M496" s="27">
        <f>IF(OR($A496="",$J496=""),"",IF($K496="",IF(TODAY()&gt;$J496,"Atrasado","En ruta"),IF($K496&lt;=$J496,"Sí","No")))</f>
        <v/>
      </c>
      <c r="N496" s="23">
        <f>IF($A496="","",COUNTIFS(NOVEDADES!$C$4:$C$1503,$A496))</f>
        <v/>
      </c>
      <c r="O496" s="27">
        <f>IF($A496="","",IF(COUNTIFS(NOVEDADES!$C$4:$C$1503,$A496,NOVEDADES!$M$4:$M$1503,"SÍ")&gt;0,"No","Sí"))</f>
        <v/>
      </c>
      <c r="P496" s="27">
        <f>IF(OR($A496="",$K496=""),"",IF(AND($M496="Sí",$O496="Sí"),"OTIF","Falló"))</f>
        <v/>
      </c>
    </row>
    <row r="497" ht="16" customHeight="1">
      <c r="A497" s="47" t="n"/>
      <c r="B497" s="46" t="n"/>
      <c r="C497" s="49" t="n"/>
      <c r="D497" s="49" t="n"/>
      <c r="E497" s="49" t="n"/>
      <c r="F497" s="49" t="n"/>
      <c r="G497" s="47" t="n"/>
      <c r="H497" s="50" t="n"/>
      <c r="I497" s="51" t="n"/>
      <c r="J497" s="46" t="n"/>
      <c r="K497" s="46" t="n"/>
      <c r="L497" s="23">
        <f>IF(OR($A497="",$B497=""),"",IF($K497&lt;&gt;"",$K497-$B497,TODAY()-$B497))</f>
        <v/>
      </c>
      <c r="M497" s="27">
        <f>IF(OR($A497="",$J497=""),"",IF($K497="",IF(TODAY()&gt;$J497,"Atrasado","En ruta"),IF($K497&lt;=$J497,"Sí","No")))</f>
        <v/>
      </c>
      <c r="N497" s="23">
        <f>IF($A497="","",COUNTIFS(NOVEDADES!$C$4:$C$1503,$A497))</f>
        <v/>
      </c>
      <c r="O497" s="27">
        <f>IF($A497="","",IF(COUNTIFS(NOVEDADES!$C$4:$C$1503,$A497,NOVEDADES!$M$4:$M$1503,"SÍ")&gt;0,"No","Sí"))</f>
        <v/>
      </c>
      <c r="P497" s="27">
        <f>IF(OR($A497="",$K497=""),"",IF(AND($M497="Sí",$O497="Sí"),"OTIF","Falló"))</f>
        <v/>
      </c>
    </row>
    <row r="498" ht="16" customHeight="1">
      <c r="A498" s="47" t="n"/>
      <c r="B498" s="46" t="n"/>
      <c r="C498" s="49" t="n"/>
      <c r="D498" s="49" t="n"/>
      <c r="E498" s="49" t="n"/>
      <c r="F498" s="49" t="n"/>
      <c r="G498" s="47" t="n"/>
      <c r="H498" s="50" t="n"/>
      <c r="I498" s="51" t="n"/>
      <c r="J498" s="46" t="n"/>
      <c r="K498" s="46" t="n"/>
      <c r="L498" s="23">
        <f>IF(OR($A498="",$B498=""),"",IF($K498&lt;&gt;"",$K498-$B498,TODAY()-$B498))</f>
        <v/>
      </c>
      <c r="M498" s="27">
        <f>IF(OR($A498="",$J498=""),"",IF($K498="",IF(TODAY()&gt;$J498,"Atrasado","En ruta"),IF($K498&lt;=$J498,"Sí","No")))</f>
        <v/>
      </c>
      <c r="N498" s="23">
        <f>IF($A498="","",COUNTIFS(NOVEDADES!$C$4:$C$1503,$A498))</f>
        <v/>
      </c>
      <c r="O498" s="27">
        <f>IF($A498="","",IF(COUNTIFS(NOVEDADES!$C$4:$C$1503,$A498,NOVEDADES!$M$4:$M$1503,"SÍ")&gt;0,"No","Sí"))</f>
        <v/>
      </c>
      <c r="P498" s="27">
        <f>IF(OR($A498="",$K498=""),"",IF(AND($M498="Sí",$O498="Sí"),"OTIF","Falló"))</f>
        <v/>
      </c>
    </row>
    <row r="499" ht="16" customHeight="1">
      <c r="A499" s="47" t="n"/>
      <c r="B499" s="46" t="n"/>
      <c r="C499" s="49" t="n"/>
      <c r="D499" s="49" t="n"/>
      <c r="E499" s="49" t="n"/>
      <c r="F499" s="49" t="n"/>
      <c r="G499" s="47" t="n"/>
      <c r="H499" s="50" t="n"/>
      <c r="I499" s="51" t="n"/>
      <c r="J499" s="46" t="n"/>
      <c r="K499" s="46" t="n"/>
      <c r="L499" s="23">
        <f>IF(OR($A499="",$B499=""),"",IF($K499&lt;&gt;"",$K499-$B499,TODAY()-$B499))</f>
        <v/>
      </c>
      <c r="M499" s="27">
        <f>IF(OR($A499="",$J499=""),"",IF($K499="",IF(TODAY()&gt;$J499,"Atrasado","En ruta"),IF($K499&lt;=$J499,"Sí","No")))</f>
        <v/>
      </c>
      <c r="N499" s="23">
        <f>IF($A499="","",COUNTIFS(NOVEDADES!$C$4:$C$1503,$A499))</f>
        <v/>
      </c>
      <c r="O499" s="27">
        <f>IF($A499="","",IF(COUNTIFS(NOVEDADES!$C$4:$C$1503,$A499,NOVEDADES!$M$4:$M$1503,"SÍ")&gt;0,"No","Sí"))</f>
        <v/>
      </c>
      <c r="P499" s="27">
        <f>IF(OR($A499="",$K499=""),"",IF(AND($M499="Sí",$O499="Sí"),"OTIF","Falló"))</f>
        <v/>
      </c>
    </row>
    <row r="500" ht="16" customHeight="1">
      <c r="A500" s="47" t="n"/>
      <c r="B500" s="46" t="n"/>
      <c r="C500" s="49" t="n"/>
      <c r="D500" s="49" t="n"/>
      <c r="E500" s="49" t="n"/>
      <c r="F500" s="49" t="n"/>
      <c r="G500" s="47" t="n"/>
      <c r="H500" s="50" t="n"/>
      <c r="I500" s="51" t="n"/>
      <c r="J500" s="46" t="n"/>
      <c r="K500" s="46" t="n"/>
      <c r="L500" s="23">
        <f>IF(OR($A500="",$B500=""),"",IF($K500&lt;&gt;"",$K500-$B500,TODAY()-$B500))</f>
        <v/>
      </c>
      <c r="M500" s="27">
        <f>IF(OR($A500="",$J500=""),"",IF($K500="",IF(TODAY()&gt;$J500,"Atrasado","En ruta"),IF($K500&lt;=$J500,"Sí","No")))</f>
        <v/>
      </c>
      <c r="N500" s="23">
        <f>IF($A500="","",COUNTIFS(NOVEDADES!$C$4:$C$1503,$A500))</f>
        <v/>
      </c>
      <c r="O500" s="27">
        <f>IF($A500="","",IF(COUNTIFS(NOVEDADES!$C$4:$C$1503,$A500,NOVEDADES!$M$4:$M$1503,"SÍ")&gt;0,"No","Sí"))</f>
        <v/>
      </c>
      <c r="P500" s="27">
        <f>IF(OR($A500="",$K500=""),"",IF(AND($M500="Sí",$O500="Sí"),"OTIF","Falló"))</f>
        <v/>
      </c>
    </row>
    <row r="501" ht="16" customHeight="1">
      <c r="A501" s="47" t="n"/>
      <c r="B501" s="46" t="n"/>
      <c r="C501" s="49" t="n"/>
      <c r="D501" s="49" t="n"/>
      <c r="E501" s="49" t="n"/>
      <c r="F501" s="49" t="n"/>
      <c r="G501" s="47" t="n"/>
      <c r="H501" s="50" t="n"/>
      <c r="I501" s="51" t="n"/>
      <c r="J501" s="46" t="n"/>
      <c r="K501" s="46" t="n"/>
      <c r="L501" s="23">
        <f>IF(OR($A501="",$B501=""),"",IF($K501&lt;&gt;"",$K501-$B501,TODAY()-$B501))</f>
        <v/>
      </c>
      <c r="M501" s="27">
        <f>IF(OR($A501="",$J501=""),"",IF($K501="",IF(TODAY()&gt;$J501,"Atrasado","En ruta"),IF($K501&lt;=$J501,"Sí","No")))</f>
        <v/>
      </c>
      <c r="N501" s="23">
        <f>IF($A501="","",COUNTIFS(NOVEDADES!$C$4:$C$1503,$A501))</f>
        <v/>
      </c>
      <c r="O501" s="27">
        <f>IF($A501="","",IF(COUNTIFS(NOVEDADES!$C$4:$C$1503,$A501,NOVEDADES!$M$4:$M$1503,"SÍ")&gt;0,"No","Sí"))</f>
        <v/>
      </c>
      <c r="P501" s="27">
        <f>IF(OR($A501="",$K501=""),"",IF(AND($M501="Sí",$O501="Sí"),"OTIF","Falló"))</f>
        <v/>
      </c>
    </row>
    <row r="502" ht="16" customHeight="1">
      <c r="A502" s="47" t="n"/>
      <c r="B502" s="46" t="n"/>
      <c r="C502" s="49" t="n"/>
      <c r="D502" s="49" t="n"/>
      <c r="E502" s="49" t="n"/>
      <c r="F502" s="49" t="n"/>
      <c r="G502" s="47" t="n"/>
      <c r="H502" s="50" t="n"/>
      <c r="I502" s="51" t="n"/>
      <c r="J502" s="46" t="n"/>
      <c r="K502" s="46" t="n"/>
      <c r="L502" s="23">
        <f>IF(OR($A502="",$B502=""),"",IF($K502&lt;&gt;"",$K502-$B502,TODAY()-$B502))</f>
        <v/>
      </c>
      <c r="M502" s="27">
        <f>IF(OR($A502="",$J502=""),"",IF($K502="",IF(TODAY()&gt;$J502,"Atrasado","En ruta"),IF($K502&lt;=$J502,"Sí","No")))</f>
        <v/>
      </c>
      <c r="N502" s="23">
        <f>IF($A502="","",COUNTIFS(NOVEDADES!$C$4:$C$1503,$A502))</f>
        <v/>
      </c>
      <c r="O502" s="27">
        <f>IF($A502="","",IF(COUNTIFS(NOVEDADES!$C$4:$C$1503,$A502,NOVEDADES!$M$4:$M$1503,"SÍ")&gt;0,"No","Sí"))</f>
        <v/>
      </c>
      <c r="P502" s="27">
        <f>IF(OR($A502="",$K502=""),"",IF(AND($M502="Sí",$O502="Sí"),"OTIF","Falló"))</f>
        <v/>
      </c>
    </row>
    <row r="503" ht="16" customHeight="1">
      <c r="A503" s="47" t="n"/>
      <c r="B503" s="46" t="n"/>
      <c r="C503" s="49" t="n"/>
      <c r="D503" s="49" t="n"/>
      <c r="E503" s="49" t="n"/>
      <c r="F503" s="49" t="n"/>
      <c r="G503" s="47" t="n"/>
      <c r="H503" s="50" t="n"/>
      <c r="I503" s="51" t="n"/>
      <c r="J503" s="46" t="n"/>
      <c r="K503" s="46" t="n"/>
      <c r="L503" s="23">
        <f>IF(OR($A503="",$B503=""),"",IF($K503&lt;&gt;"",$K503-$B503,TODAY()-$B503))</f>
        <v/>
      </c>
      <c r="M503" s="27">
        <f>IF(OR($A503="",$J503=""),"",IF($K503="",IF(TODAY()&gt;$J503,"Atrasado","En ruta"),IF($K503&lt;=$J503,"Sí","No")))</f>
        <v/>
      </c>
      <c r="N503" s="23">
        <f>IF($A503="","",COUNTIFS(NOVEDADES!$C$4:$C$1503,$A503))</f>
        <v/>
      </c>
      <c r="O503" s="27">
        <f>IF($A503="","",IF(COUNTIFS(NOVEDADES!$C$4:$C$1503,$A503,NOVEDADES!$M$4:$M$1503,"SÍ")&gt;0,"No","Sí"))</f>
        <v/>
      </c>
      <c r="P503" s="27">
        <f>IF(OR($A503="",$K503=""),"",IF(AND($M503="Sí",$O503="Sí"),"OTIF","Falló"))</f>
        <v/>
      </c>
    </row>
    <row r="504" ht="16" customHeight="1">
      <c r="A504" s="47" t="n"/>
      <c r="B504" s="46" t="n"/>
      <c r="C504" s="49" t="n"/>
      <c r="D504" s="49" t="n"/>
      <c r="E504" s="49" t="n"/>
      <c r="F504" s="49" t="n"/>
      <c r="G504" s="47" t="n"/>
      <c r="H504" s="50" t="n"/>
      <c r="I504" s="51" t="n"/>
      <c r="J504" s="46" t="n"/>
      <c r="K504" s="46" t="n"/>
      <c r="L504" s="23">
        <f>IF(OR($A504="",$B504=""),"",IF($K504&lt;&gt;"",$K504-$B504,TODAY()-$B504))</f>
        <v/>
      </c>
      <c r="M504" s="27">
        <f>IF(OR($A504="",$J504=""),"",IF($K504="",IF(TODAY()&gt;$J504,"Atrasado","En ruta"),IF($K504&lt;=$J504,"Sí","No")))</f>
        <v/>
      </c>
      <c r="N504" s="23">
        <f>IF($A504="","",COUNTIFS(NOVEDADES!$C$4:$C$1503,$A504))</f>
        <v/>
      </c>
      <c r="O504" s="27">
        <f>IF($A504="","",IF(COUNTIFS(NOVEDADES!$C$4:$C$1503,$A504,NOVEDADES!$M$4:$M$1503,"SÍ")&gt;0,"No","Sí"))</f>
        <v/>
      </c>
      <c r="P504" s="27">
        <f>IF(OR($A504="",$K504=""),"",IF(AND($M504="Sí",$O504="Sí"),"OTIF","Falló"))</f>
        <v/>
      </c>
    </row>
    <row r="505" ht="16" customHeight="1">
      <c r="A505" s="47" t="n"/>
      <c r="B505" s="46" t="n"/>
      <c r="C505" s="49" t="n"/>
      <c r="D505" s="49" t="n"/>
      <c r="E505" s="49" t="n"/>
      <c r="F505" s="49" t="n"/>
      <c r="G505" s="47" t="n"/>
      <c r="H505" s="50" t="n"/>
      <c r="I505" s="51" t="n"/>
      <c r="J505" s="46" t="n"/>
      <c r="K505" s="46" t="n"/>
      <c r="L505" s="23">
        <f>IF(OR($A505="",$B505=""),"",IF($K505&lt;&gt;"",$K505-$B505,TODAY()-$B505))</f>
        <v/>
      </c>
      <c r="M505" s="27">
        <f>IF(OR($A505="",$J505=""),"",IF($K505="",IF(TODAY()&gt;$J505,"Atrasado","En ruta"),IF($K505&lt;=$J505,"Sí","No")))</f>
        <v/>
      </c>
      <c r="N505" s="23">
        <f>IF($A505="","",COUNTIFS(NOVEDADES!$C$4:$C$1503,$A505))</f>
        <v/>
      </c>
      <c r="O505" s="27">
        <f>IF($A505="","",IF(COUNTIFS(NOVEDADES!$C$4:$C$1503,$A505,NOVEDADES!$M$4:$M$1503,"SÍ")&gt;0,"No","Sí"))</f>
        <v/>
      </c>
      <c r="P505" s="27">
        <f>IF(OR($A505="",$K505=""),"",IF(AND($M505="Sí",$O505="Sí"),"OTIF","Falló"))</f>
        <v/>
      </c>
    </row>
    <row r="506" ht="16" customHeight="1">
      <c r="A506" s="47" t="n"/>
      <c r="B506" s="46" t="n"/>
      <c r="C506" s="49" t="n"/>
      <c r="D506" s="49" t="n"/>
      <c r="E506" s="49" t="n"/>
      <c r="F506" s="49" t="n"/>
      <c r="G506" s="47" t="n"/>
      <c r="H506" s="50" t="n"/>
      <c r="I506" s="51" t="n"/>
      <c r="J506" s="46" t="n"/>
      <c r="K506" s="46" t="n"/>
      <c r="L506" s="23">
        <f>IF(OR($A506="",$B506=""),"",IF($K506&lt;&gt;"",$K506-$B506,TODAY()-$B506))</f>
        <v/>
      </c>
      <c r="M506" s="27">
        <f>IF(OR($A506="",$J506=""),"",IF($K506="",IF(TODAY()&gt;$J506,"Atrasado","En ruta"),IF($K506&lt;=$J506,"Sí","No")))</f>
        <v/>
      </c>
      <c r="N506" s="23">
        <f>IF($A506="","",COUNTIFS(NOVEDADES!$C$4:$C$1503,$A506))</f>
        <v/>
      </c>
      <c r="O506" s="27">
        <f>IF($A506="","",IF(COUNTIFS(NOVEDADES!$C$4:$C$1503,$A506,NOVEDADES!$M$4:$M$1503,"SÍ")&gt;0,"No","Sí"))</f>
        <v/>
      </c>
      <c r="P506" s="27">
        <f>IF(OR($A506="",$K506=""),"",IF(AND($M506="Sí",$O506="Sí"),"OTIF","Falló"))</f>
        <v/>
      </c>
    </row>
    <row r="507" ht="16" customHeight="1">
      <c r="A507" s="47" t="n"/>
      <c r="B507" s="46" t="n"/>
      <c r="C507" s="49" t="n"/>
      <c r="D507" s="49" t="n"/>
      <c r="E507" s="49" t="n"/>
      <c r="F507" s="49" t="n"/>
      <c r="G507" s="47" t="n"/>
      <c r="H507" s="50" t="n"/>
      <c r="I507" s="51" t="n"/>
      <c r="J507" s="46" t="n"/>
      <c r="K507" s="46" t="n"/>
      <c r="L507" s="23">
        <f>IF(OR($A507="",$B507=""),"",IF($K507&lt;&gt;"",$K507-$B507,TODAY()-$B507))</f>
        <v/>
      </c>
      <c r="M507" s="27">
        <f>IF(OR($A507="",$J507=""),"",IF($K507="",IF(TODAY()&gt;$J507,"Atrasado","En ruta"),IF($K507&lt;=$J507,"Sí","No")))</f>
        <v/>
      </c>
      <c r="N507" s="23">
        <f>IF($A507="","",COUNTIFS(NOVEDADES!$C$4:$C$1503,$A507))</f>
        <v/>
      </c>
      <c r="O507" s="27">
        <f>IF($A507="","",IF(COUNTIFS(NOVEDADES!$C$4:$C$1503,$A507,NOVEDADES!$M$4:$M$1503,"SÍ")&gt;0,"No","Sí"))</f>
        <v/>
      </c>
      <c r="P507" s="27">
        <f>IF(OR($A507="",$K507=""),"",IF(AND($M507="Sí",$O507="Sí"),"OTIF","Falló"))</f>
        <v/>
      </c>
    </row>
    <row r="508" ht="16" customHeight="1">
      <c r="A508" s="47" t="n"/>
      <c r="B508" s="46" t="n"/>
      <c r="C508" s="49" t="n"/>
      <c r="D508" s="49" t="n"/>
      <c r="E508" s="49" t="n"/>
      <c r="F508" s="49" t="n"/>
      <c r="G508" s="47" t="n"/>
      <c r="H508" s="50" t="n"/>
      <c r="I508" s="51" t="n"/>
      <c r="J508" s="46" t="n"/>
      <c r="K508" s="46" t="n"/>
      <c r="L508" s="23">
        <f>IF(OR($A508="",$B508=""),"",IF($K508&lt;&gt;"",$K508-$B508,TODAY()-$B508))</f>
        <v/>
      </c>
      <c r="M508" s="27">
        <f>IF(OR($A508="",$J508=""),"",IF($K508="",IF(TODAY()&gt;$J508,"Atrasado","En ruta"),IF($K508&lt;=$J508,"Sí","No")))</f>
        <v/>
      </c>
      <c r="N508" s="23">
        <f>IF($A508="","",COUNTIFS(NOVEDADES!$C$4:$C$1503,$A508))</f>
        <v/>
      </c>
      <c r="O508" s="27">
        <f>IF($A508="","",IF(COUNTIFS(NOVEDADES!$C$4:$C$1503,$A508,NOVEDADES!$M$4:$M$1503,"SÍ")&gt;0,"No","Sí"))</f>
        <v/>
      </c>
      <c r="P508" s="27">
        <f>IF(OR($A508="",$K508=""),"",IF(AND($M508="Sí",$O508="Sí"),"OTIF","Falló"))</f>
        <v/>
      </c>
    </row>
    <row r="509" ht="16" customHeight="1">
      <c r="A509" s="47" t="n"/>
      <c r="B509" s="46" t="n"/>
      <c r="C509" s="49" t="n"/>
      <c r="D509" s="49" t="n"/>
      <c r="E509" s="49" t="n"/>
      <c r="F509" s="49" t="n"/>
      <c r="G509" s="47" t="n"/>
      <c r="H509" s="50" t="n"/>
      <c r="I509" s="51" t="n"/>
      <c r="J509" s="46" t="n"/>
      <c r="K509" s="46" t="n"/>
      <c r="L509" s="23">
        <f>IF(OR($A509="",$B509=""),"",IF($K509&lt;&gt;"",$K509-$B509,TODAY()-$B509))</f>
        <v/>
      </c>
      <c r="M509" s="27">
        <f>IF(OR($A509="",$J509=""),"",IF($K509="",IF(TODAY()&gt;$J509,"Atrasado","En ruta"),IF($K509&lt;=$J509,"Sí","No")))</f>
        <v/>
      </c>
      <c r="N509" s="23">
        <f>IF($A509="","",COUNTIFS(NOVEDADES!$C$4:$C$1503,$A509))</f>
        <v/>
      </c>
      <c r="O509" s="27">
        <f>IF($A509="","",IF(COUNTIFS(NOVEDADES!$C$4:$C$1503,$A509,NOVEDADES!$M$4:$M$1503,"SÍ")&gt;0,"No","Sí"))</f>
        <v/>
      </c>
      <c r="P509" s="27">
        <f>IF(OR($A509="",$K509=""),"",IF(AND($M509="Sí",$O509="Sí"),"OTIF","Falló"))</f>
        <v/>
      </c>
    </row>
    <row r="510" ht="16" customHeight="1">
      <c r="A510" s="47" t="n"/>
      <c r="B510" s="46" t="n"/>
      <c r="C510" s="49" t="n"/>
      <c r="D510" s="49" t="n"/>
      <c r="E510" s="49" t="n"/>
      <c r="F510" s="49" t="n"/>
      <c r="G510" s="47" t="n"/>
      <c r="H510" s="50" t="n"/>
      <c r="I510" s="51" t="n"/>
      <c r="J510" s="46" t="n"/>
      <c r="K510" s="46" t="n"/>
      <c r="L510" s="23">
        <f>IF(OR($A510="",$B510=""),"",IF($K510&lt;&gt;"",$K510-$B510,TODAY()-$B510))</f>
        <v/>
      </c>
      <c r="M510" s="27">
        <f>IF(OR($A510="",$J510=""),"",IF($K510="",IF(TODAY()&gt;$J510,"Atrasado","En ruta"),IF($K510&lt;=$J510,"Sí","No")))</f>
        <v/>
      </c>
      <c r="N510" s="23">
        <f>IF($A510="","",COUNTIFS(NOVEDADES!$C$4:$C$1503,$A510))</f>
        <v/>
      </c>
      <c r="O510" s="27">
        <f>IF($A510="","",IF(COUNTIFS(NOVEDADES!$C$4:$C$1503,$A510,NOVEDADES!$M$4:$M$1503,"SÍ")&gt;0,"No","Sí"))</f>
        <v/>
      </c>
      <c r="P510" s="27">
        <f>IF(OR($A510="",$K510=""),"",IF(AND($M510="Sí",$O510="Sí"),"OTIF","Falló"))</f>
        <v/>
      </c>
    </row>
    <row r="511" ht="16" customHeight="1">
      <c r="A511" s="47" t="n"/>
      <c r="B511" s="46" t="n"/>
      <c r="C511" s="49" t="n"/>
      <c r="D511" s="49" t="n"/>
      <c r="E511" s="49" t="n"/>
      <c r="F511" s="49" t="n"/>
      <c r="G511" s="47" t="n"/>
      <c r="H511" s="50" t="n"/>
      <c r="I511" s="51" t="n"/>
      <c r="J511" s="46" t="n"/>
      <c r="K511" s="46" t="n"/>
      <c r="L511" s="23">
        <f>IF(OR($A511="",$B511=""),"",IF($K511&lt;&gt;"",$K511-$B511,TODAY()-$B511))</f>
        <v/>
      </c>
      <c r="M511" s="27">
        <f>IF(OR($A511="",$J511=""),"",IF($K511="",IF(TODAY()&gt;$J511,"Atrasado","En ruta"),IF($K511&lt;=$J511,"Sí","No")))</f>
        <v/>
      </c>
      <c r="N511" s="23">
        <f>IF($A511="","",COUNTIFS(NOVEDADES!$C$4:$C$1503,$A511))</f>
        <v/>
      </c>
      <c r="O511" s="27">
        <f>IF($A511="","",IF(COUNTIFS(NOVEDADES!$C$4:$C$1503,$A511,NOVEDADES!$M$4:$M$1503,"SÍ")&gt;0,"No","Sí"))</f>
        <v/>
      </c>
      <c r="P511" s="27">
        <f>IF(OR($A511="",$K511=""),"",IF(AND($M511="Sí",$O511="Sí"),"OTIF","Falló"))</f>
        <v/>
      </c>
    </row>
    <row r="512" ht="16" customHeight="1">
      <c r="A512" s="47" t="n"/>
      <c r="B512" s="46" t="n"/>
      <c r="C512" s="49" t="n"/>
      <c r="D512" s="49" t="n"/>
      <c r="E512" s="49" t="n"/>
      <c r="F512" s="49" t="n"/>
      <c r="G512" s="47" t="n"/>
      <c r="H512" s="50" t="n"/>
      <c r="I512" s="51" t="n"/>
      <c r="J512" s="46" t="n"/>
      <c r="K512" s="46" t="n"/>
      <c r="L512" s="23">
        <f>IF(OR($A512="",$B512=""),"",IF($K512&lt;&gt;"",$K512-$B512,TODAY()-$B512))</f>
        <v/>
      </c>
      <c r="M512" s="27">
        <f>IF(OR($A512="",$J512=""),"",IF($K512="",IF(TODAY()&gt;$J512,"Atrasado","En ruta"),IF($K512&lt;=$J512,"Sí","No")))</f>
        <v/>
      </c>
      <c r="N512" s="23">
        <f>IF($A512="","",COUNTIFS(NOVEDADES!$C$4:$C$1503,$A512))</f>
        <v/>
      </c>
      <c r="O512" s="27">
        <f>IF($A512="","",IF(COUNTIFS(NOVEDADES!$C$4:$C$1503,$A512,NOVEDADES!$M$4:$M$1503,"SÍ")&gt;0,"No","Sí"))</f>
        <v/>
      </c>
      <c r="P512" s="27">
        <f>IF(OR($A512="",$K512=""),"",IF(AND($M512="Sí",$O512="Sí"),"OTIF","Falló"))</f>
        <v/>
      </c>
    </row>
    <row r="513" ht="16" customHeight="1">
      <c r="A513" s="47" t="n"/>
      <c r="B513" s="46" t="n"/>
      <c r="C513" s="49" t="n"/>
      <c r="D513" s="49" t="n"/>
      <c r="E513" s="49" t="n"/>
      <c r="F513" s="49" t="n"/>
      <c r="G513" s="47" t="n"/>
      <c r="H513" s="50" t="n"/>
      <c r="I513" s="51" t="n"/>
      <c r="J513" s="46" t="n"/>
      <c r="K513" s="46" t="n"/>
      <c r="L513" s="23">
        <f>IF(OR($A513="",$B513=""),"",IF($K513&lt;&gt;"",$K513-$B513,TODAY()-$B513))</f>
        <v/>
      </c>
      <c r="M513" s="27">
        <f>IF(OR($A513="",$J513=""),"",IF($K513="",IF(TODAY()&gt;$J513,"Atrasado","En ruta"),IF($K513&lt;=$J513,"Sí","No")))</f>
        <v/>
      </c>
      <c r="N513" s="23">
        <f>IF($A513="","",COUNTIFS(NOVEDADES!$C$4:$C$1503,$A513))</f>
        <v/>
      </c>
      <c r="O513" s="27">
        <f>IF($A513="","",IF(COUNTIFS(NOVEDADES!$C$4:$C$1503,$A513,NOVEDADES!$M$4:$M$1503,"SÍ")&gt;0,"No","Sí"))</f>
        <v/>
      </c>
      <c r="P513" s="27">
        <f>IF(OR($A513="",$K513=""),"",IF(AND($M513="Sí",$O513="Sí"),"OTIF","Falló"))</f>
        <v/>
      </c>
    </row>
    <row r="514" ht="16" customHeight="1">
      <c r="A514" s="47" t="n"/>
      <c r="B514" s="46" t="n"/>
      <c r="C514" s="49" t="n"/>
      <c r="D514" s="49" t="n"/>
      <c r="E514" s="49" t="n"/>
      <c r="F514" s="49" t="n"/>
      <c r="G514" s="47" t="n"/>
      <c r="H514" s="50" t="n"/>
      <c r="I514" s="51" t="n"/>
      <c r="J514" s="46" t="n"/>
      <c r="K514" s="46" t="n"/>
      <c r="L514" s="23">
        <f>IF(OR($A514="",$B514=""),"",IF($K514&lt;&gt;"",$K514-$B514,TODAY()-$B514))</f>
        <v/>
      </c>
      <c r="M514" s="27">
        <f>IF(OR($A514="",$J514=""),"",IF($K514="",IF(TODAY()&gt;$J514,"Atrasado","En ruta"),IF($K514&lt;=$J514,"Sí","No")))</f>
        <v/>
      </c>
      <c r="N514" s="23">
        <f>IF($A514="","",COUNTIFS(NOVEDADES!$C$4:$C$1503,$A514))</f>
        <v/>
      </c>
      <c r="O514" s="27">
        <f>IF($A514="","",IF(COUNTIFS(NOVEDADES!$C$4:$C$1503,$A514,NOVEDADES!$M$4:$M$1503,"SÍ")&gt;0,"No","Sí"))</f>
        <v/>
      </c>
      <c r="P514" s="27">
        <f>IF(OR($A514="",$K514=""),"",IF(AND($M514="Sí",$O514="Sí"),"OTIF","Falló"))</f>
        <v/>
      </c>
    </row>
    <row r="515" ht="16" customHeight="1">
      <c r="A515" s="47" t="n"/>
      <c r="B515" s="46" t="n"/>
      <c r="C515" s="49" t="n"/>
      <c r="D515" s="49" t="n"/>
      <c r="E515" s="49" t="n"/>
      <c r="F515" s="49" t="n"/>
      <c r="G515" s="47" t="n"/>
      <c r="H515" s="50" t="n"/>
      <c r="I515" s="51" t="n"/>
      <c r="J515" s="46" t="n"/>
      <c r="K515" s="46" t="n"/>
      <c r="L515" s="23">
        <f>IF(OR($A515="",$B515=""),"",IF($K515&lt;&gt;"",$K515-$B515,TODAY()-$B515))</f>
        <v/>
      </c>
      <c r="M515" s="27">
        <f>IF(OR($A515="",$J515=""),"",IF($K515="",IF(TODAY()&gt;$J515,"Atrasado","En ruta"),IF($K515&lt;=$J515,"Sí","No")))</f>
        <v/>
      </c>
      <c r="N515" s="23">
        <f>IF($A515="","",COUNTIFS(NOVEDADES!$C$4:$C$1503,$A515))</f>
        <v/>
      </c>
      <c r="O515" s="27">
        <f>IF($A515="","",IF(COUNTIFS(NOVEDADES!$C$4:$C$1503,$A515,NOVEDADES!$M$4:$M$1503,"SÍ")&gt;0,"No","Sí"))</f>
        <v/>
      </c>
      <c r="P515" s="27">
        <f>IF(OR($A515="",$K515=""),"",IF(AND($M515="Sí",$O515="Sí"),"OTIF","Falló"))</f>
        <v/>
      </c>
    </row>
    <row r="516" ht="16" customHeight="1">
      <c r="A516" s="47" t="n"/>
      <c r="B516" s="46" t="n"/>
      <c r="C516" s="49" t="n"/>
      <c r="D516" s="49" t="n"/>
      <c r="E516" s="49" t="n"/>
      <c r="F516" s="49" t="n"/>
      <c r="G516" s="47" t="n"/>
      <c r="H516" s="50" t="n"/>
      <c r="I516" s="51" t="n"/>
      <c r="J516" s="46" t="n"/>
      <c r="K516" s="46" t="n"/>
      <c r="L516" s="23">
        <f>IF(OR($A516="",$B516=""),"",IF($K516&lt;&gt;"",$K516-$B516,TODAY()-$B516))</f>
        <v/>
      </c>
      <c r="M516" s="27">
        <f>IF(OR($A516="",$J516=""),"",IF($K516="",IF(TODAY()&gt;$J516,"Atrasado","En ruta"),IF($K516&lt;=$J516,"Sí","No")))</f>
        <v/>
      </c>
      <c r="N516" s="23">
        <f>IF($A516="","",COUNTIFS(NOVEDADES!$C$4:$C$1503,$A516))</f>
        <v/>
      </c>
      <c r="O516" s="27">
        <f>IF($A516="","",IF(COUNTIFS(NOVEDADES!$C$4:$C$1503,$A516,NOVEDADES!$M$4:$M$1503,"SÍ")&gt;0,"No","Sí"))</f>
        <v/>
      </c>
      <c r="P516" s="27">
        <f>IF(OR($A516="",$K516=""),"",IF(AND($M516="Sí",$O516="Sí"),"OTIF","Falló"))</f>
        <v/>
      </c>
    </row>
    <row r="517" ht="16" customHeight="1">
      <c r="A517" s="47" t="n"/>
      <c r="B517" s="46" t="n"/>
      <c r="C517" s="49" t="n"/>
      <c r="D517" s="49" t="n"/>
      <c r="E517" s="49" t="n"/>
      <c r="F517" s="49" t="n"/>
      <c r="G517" s="47" t="n"/>
      <c r="H517" s="50" t="n"/>
      <c r="I517" s="51" t="n"/>
      <c r="J517" s="46" t="n"/>
      <c r="K517" s="46" t="n"/>
      <c r="L517" s="23">
        <f>IF(OR($A517="",$B517=""),"",IF($K517&lt;&gt;"",$K517-$B517,TODAY()-$B517))</f>
        <v/>
      </c>
      <c r="M517" s="27">
        <f>IF(OR($A517="",$J517=""),"",IF($K517="",IF(TODAY()&gt;$J517,"Atrasado","En ruta"),IF($K517&lt;=$J517,"Sí","No")))</f>
        <v/>
      </c>
      <c r="N517" s="23">
        <f>IF($A517="","",COUNTIFS(NOVEDADES!$C$4:$C$1503,$A517))</f>
        <v/>
      </c>
      <c r="O517" s="27">
        <f>IF($A517="","",IF(COUNTIFS(NOVEDADES!$C$4:$C$1503,$A517,NOVEDADES!$M$4:$M$1503,"SÍ")&gt;0,"No","Sí"))</f>
        <v/>
      </c>
      <c r="P517" s="27">
        <f>IF(OR($A517="",$K517=""),"",IF(AND($M517="Sí",$O517="Sí"),"OTIF","Falló"))</f>
        <v/>
      </c>
    </row>
    <row r="518" ht="16" customHeight="1">
      <c r="A518" s="47" t="n"/>
      <c r="B518" s="46" t="n"/>
      <c r="C518" s="49" t="n"/>
      <c r="D518" s="49" t="n"/>
      <c r="E518" s="49" t="n"/>
      <c r="F518" s="49" t="n"/>
      <c r="G518" s="47" t="n"/>
      <c r="H518" s="50" t="n"/>
      <c r="I518" s="51" t="n"/>
      <c r="J518" s="46" t="n"/>
      <c r="K518" s="46" t="n"/>
      <c r="L518" s="23">
        <f>IF(OR($A518="",$B518=""),"",IF($K518&lt;&gt;"",$K518-$B518,TODAY()-$B518))</f>
        <v/>
      </c>
      <c r="M518" s="27">
        <f>IF(OR($A518="",$J518=""),"",IF($K518="",IF(TODAY()&gt;$J518,"Atrasado","En ruta"),IF($K518&lt;=$J518,"Sí","No")))</f>
        <v/>
      </c>
      <c r="N518" s="23">
        <f>IF($A518="","",COUNTIFS(NOVEDADES!$C$4:$C$1503,$A518))</f>
        <v/>
      </c>
      <c r="O518" s="27">
        <f>IF($A518="","",IF(COUNTIFS(NOVEDADES!$C$4:$C$1503,$A518,NOVEDADES!$M$4:$M$1503,"SÍ")&gt;0,"No","Sí"))</f>
        <v/>
      </c>
      <c r="P518" s="27">
        <f>IF(OR($A518="",$K518=""),"",IF(AND($M518="Sí",$O518="Sí"),"OTIF","Falló"))</f>
        <v/>
      </c>
    </row>
    <row r="519" ht="16" customHeight="1">
      <c r="A519" s="47" t="n"/>
      <c r="B519" s="46" t="n"/>
      <c r="C519" s="49" t="n"/>
      <c r="D519" s="49" t="n"/>
      <c r="E519" s="49" t="n"/>
      <c r="F519" s="49" t="n"/>
      <c r="G519" s="47" t="n"/>
      <c r="H519" s="50" t="n"/>
      <c r="I519" s="51" t="n"/>
      <c r="J519" s="46" t="n"/>
      <c r="K519" s="46" t="n"/>
      <c r="L519" s="23">
        <f>IF(OR($A519="",$B519=""),"",IF($K519&lt;&gt;"",$K519-$B519,TODAY()-$B519))</f>
        <v/>
      </c>
      <c r="M519" s="27">
        <f>IF(OR($A519="",$J519=""),"",IF($K519="",IF(TODAY()&gt;$J519,"Atrasado","En ruta"),IF($K519&lt;=$J519,"Sí","No")))</f>
        <v/>
      </c>
      <c r="N519" s="23">
        <f>IF($A519="","",COUNTIFS(NOVEDADES!$C$4:$C$1503,$A519))</f>
        <v/>
      </c>
      <c r="O519" s="27">
        <f>IF($A519="","",IF(COUNTIFS(NOVEDADES!$C$4:$C$1503,$A519,NOVEDADES!$M$4:$M$1503,"SÍ")&gt;0,"No","Sí"))</f>
        <v/>
      </c>
      <c r="P519" s="27">
        <f>IF(OR($A519="",$K519=""),"",IF(AND($M519="Sí",$O519="Sí"),"OTIF","Falló"))</f>
        <v/>
      </c>
    </row>
    <row r="520" ht="16" customHeight="1">
      <c r="A520" s="47" t="n"/>
      <c r="B520" s="46" t="n"/>
      <c r="C520" s="49" t="n"/>
      <c r="D520" s="49" t="n"/>
      <c r="E520" s="49" t="n"/>
      <c r="F520" s="49" t="n"/>
      <c r="G520" s="47" t="n"/>
      <c r="H520" s="50" t="n"/>
      <c r="I520" s="51" t="n"/>
      <c r="J520" s="46" t="n"/>
      <c r="K520" s="46" t="n"/>
      <c r="L520" s="23">
        <f>IF(OR($A520="",$B520=""),"",IF($K520&lt;&gt;"",$K520-$B520,TODAY()-$B520))</f>
        <v/>
      </c>
      <c r="M520" s="27">
        <f>IF(OR($A520="",$J520=""),"",IF($K520="",IF(TODAY()&gt;$J520,"Atrasado","En ruta"),IF($K520&lt;=$J520,"Sí","No")))</f>
        <v/>
      </c>
      <c r="N520" s="23">
        <f>IF($A520="","",COUNTIFS(NOVEDADES!$C$4:$C$1503,$A520))</f>
        <v/>
      </c>
      <c r="O520" s="27">
        <f>IF($A520="","",IF(COUNTIFS(NOVEDADES!$C$4:$C$1503,$A520,NOVEDADES!$M$4:$M$1503,"SÍ")&gt;0,"No","Sí"))</f>
        <v/>
      </c>
      <c r="P520" s="27">
        <f>IF(OR($A520="",$K520=""),"",IF(AND($M520="Sí",$O520="Sí"),"OTIF","Falló"))</f>
        <v/>
      </c>
    </row>
    <row r="521" ht="16" customHeight="1">
      <c r="A521" s="47" t="n"/>
      <c r="B521" s="46" t="n"/>
      <c r="C521" s="49" t="n"/>
      <c r="D521" s="49" t="n"/>
      <c r="E521" s="49" t="n"/>
      <c r="F521" s="49" t="n"/>
      <c r="G521" s="47" t="n"/>
      <c r="H521" s="50" t="n"/>
      <c r="I521" s="51" t="n"/>
      <c r="J521" s="46" t="n"/>
      <c r="K521" s="46" t="n"/>
      <c r="L521" s="23">
        <f>IF(OR($A521="",$B521=""),"",IF($K521&lt;&gt;"",$K521-$B521,TODAY()-$B521))</f>
        <v/>
      </c>
      <c r="M521" s="27">
        <f>IF(OR($A521="",$J521=""),"",IF($K521="",IF(TODAY()&gt;$J521,"Atrasado","En ruta"),IF($K521&lt;=$J521,"Sí","No")))</f>
        <v/>
      </c>
      <c r="N521" s="23">
        <f>IF($A521="","",COUNTIFS(NOVEDADES!$C$4:$C$1503,$A521))</f>
        <v/>
      </c>
      <c r="O521" s="27">
        <f>IF($A521="","",IF(COUNTIFS(NOVEDADES!$C$4:$C$1503,$A521,NOVEDADES!$M$4:$M$1503,"SÍ")&gt;0,"No","Sí"))</f>
        <v/>
      </c>
      <c r="P521" s="27">
        <f>IF(OR($A521="",$K521=""),"",IF(AND($M521="Sí",$O521="Sí"),"OTIF","Falló"))</f>
        <v/>
      </c>
    </row>
    <row r="522" ht="16" customHeight="1">
      <c r="A522" s="47" t="n"/>
      <c r="B522" s="46" t="n"/>
      <c r="C522" s="49" t="n"/>
      <c r="D522" s="49" t="n"/>
      <c r="E522" s="49" t="n"/>
      <c r="F522" s="49" t="n"/>
      <c r="G522" s="47" t="n"/>
      <c r="H522" s="50" t="n"/>
      <c r="I522" s="51" t="n"/>
      <c r="J522" s="46" t="n"/>
      <c r="K522" s="46" t="n"/>
      <c r="L522" s="23">
        <f>IF(OR($A522="",$B522=""),"",IF($K522&lt;&gt;"",$K522-$B522,TODAY()-$B522))</f>
        <v/>
      </c>
      <c r="M522" s="27">
        <f>IF(OR($A522="",$J522=""),"",IF($K522="",IF(TODAY()&gt;$J522,"Atrasado","En ruta"),IF($K522&lt;=$J522,"Sí","No")))</f>
        <v/>
      </c>
      <c r="N522" s="23">
        <f>IF($A522="","",COUNTIFS(NOVEDADES!$C$4:$C$1503,$A522))</f>
        <v/>
      </c>
      <c r="O522" s="27">
        <f>IF($A522="","",IF(COUNTIFS(NOVEDADES!$C$4:$C$1503,$A522,NOVEDADES!$M$4:$M$1503,"SÍ")&gt;0,"No","Sí"))</f>
        <v/>
      </c>
      <c r="P522" s="27">
        <f>IF(OR($A522="",$K522=""),"",IF(AND($M522="Sí",$O522="Sí"),"OTIF","Falló"))</f>
        <v/>
      </c>
    </row>
    <row r="523" ht="16" customHeight="1">
      <c r="A523" s="47" t="n"/>
      <c r="B523" s="46" t="n"/>
      <c r="C523" s="49" t="n"/>
      <c r="D523" s="49" t="n"/>
      <c r="E523" s="49" t="n"/>
      <c r="F523" s="49" t="n"/>
      <c r="G523" s="47" t="n"/>
      <c r="H523" s="50" t="n"/>
      <c r="I523" s="51" t="n"/>
      <c r="J523" s="46" t="n"/>
      <c r="K523" s="46" t="n"/>
      <c r="L523" s="23">
        <f>IF(OR($A523="",$B523=""),"",IF($K523&lt;&gt;"",$K523-$B523,TODAY()-$B523))</f>
        <v/>
      </c>
      <c r="M523" s="27">
        <f>IF(OR($A523="",$J523=""),"",IF($K523="",IF(TODAY()&gt;$J523,"Atrasado","En ruta"),IF($K523&lt;=$J523,"Sí","No")))</f>
        <v/>
      </c>
      <c r="N523" s="23">
        <f>IF($A523="","",COUNTIFS(NOVEDADES!$C$4:$C$1503,$A523))</f>
        <v/>
      </c>
      <c r="O523" s="27">
        <f>IF($A523="","",IF(COUNTIFS(NOVEDADES!$C$4:$C$1503,$A523,NOVEDADES!$M$4:$M$1503,"SÍ")&gt;0,"No","Sí"))</f>
        <v/>
      </c>
      <c r="P523" s="27">
        <f>IF(OR($A523="",$K523=""),"",IF(AND($M523="Sí",$O523="Sí"),"OTIF","Falló"))</f>
        <v/>
      </c>
    </row>
    <row r="524" ht="16" customHeight="1">
      <c r="A524" s="47" t="n"/>
      <c r="B524" s="46" t="n"/>
      <c r="C524" s="49" t="n"/>
      <c r="D524" s="49" t="n"/>
      <c r="E524" s="49" t="n"/>
      <c r="F524" s="49" t="n"/>
      <c r="G524" s="47" t="n"/>
      <c r="H524" s="50" t="n"/>
      <c r="I524" s="51" t="n"/>
      <c r="J524" s="46" t="n"/>
      <c r="K524" s="46" t="n"/>
      <c r="L524" s="23">
        <f>IF(OR($A524="",$B524=""),"",IF($K524&lt;&gt;"",$K524-$B524,TODAY()-$B524))</f>
        <v/>
      </c>
      <c r="M524" s="27">
        <f>IF(OR($A524="",$J524=""),"",IF($K524="",IF(TODAY()&gt;$J524,"Atrasado","En ruta"),IF($K524&lt;=$J524,"Sí","No")))</f>
        <v/>
      </c>
      <c r="N524" s="23">
        <f>IF($A524="","",COUNTIFS(NOVEDADES!$C$4:$C$1503,$A524))</f>
        <v/>
      </c>
      <c r="O524" s="27">
        <f>IF($A524="","",IF(COUNTIFS(NOVEDADES!$C$4:$C$1503,$A524,NOVEDADES!$M$4:$M$1503,"SÍ")&gt;0,"No","Sí"))</f>
        <v/>
      </c>
      <c r="P524" s="27">
        <f>IF(OR($A524="",$K524=""),"",IF(AND($M524="Sí",$O524="Sí"),"OTIF","Falló"))</f>
        <v/>
      </c>
    </row>
    <row r="525" ht="16" customHeight="1">
      <c r="A525" s="47" t="n"/>
      <c r="B525" s="46" t="n"/>
      <c r="C525" s="49" t="n"/>
      <c r="D525" s="49" t="n"/>
      <c r="E525" s="49" t="n"/>
      <c r="F525" s="49" t="n"/>
      <c r="G525" s="47" t="n"/>
      <c r="H525" s="50" t="n"/>
      <c r="I525" s="51" t="n"/>
      <c r="J525" s="46" t="n"/>
      <c r="K525" s="46" t="n"/>
      <c r="L525" s="23">
        <f>IF(OR($A525="",$B525=""),"",IF($K525&lt;&gt;"",$K525-$B525,TODAY()-$B525))</f>
        <v/>
      </c>
      <c r="M525" s="27">
        <f>IF(OR($A525="",$J525=""),"",IF($K525="",IF(TODAY()&gt;$J525,"Atrasado","En ruta"),IF($K525&lt;=$J525,"Sí","No")))</f>
        <v/>
      </c>
      <c r="N525" s="23">
        <f>IF($A525="","",COUNTIFS(NOVEDADES!$C$4:$C$1503,$A525))</f>
        <v/>
      </c>
      <c r="O525" s="27">
        <f>IF($A525="","",IF(COUNTIFS(NOVEDADES!$C$4:$C$1503,$A525,NOVEDADES!$M$4:$M$1503,"SÍ")&gt;0,"No","Sí"))</f>
        <v/>
      </c>
      <c r="P525" s="27">
        <f>IF(OR($A525="",$K525=""),"",IF(AND($M525="Sí",$O525="Sí"),"OTIF","Falló"))</f>
        <v/>
      </c>
    </row>
    <row r="526" ht="16" customHeight="1">
      <c r="A526" s="47" t="n"/>
      <c r="B526" s="46" t="n"/>
      <c r="C526" s="49" t="n"/>
      <c r="D526" s="49" t="n"/>
      <c r="E526" s="49" t="n"/>
      <c r="F526" s="49" t="n"/>
      <c r="G526" s="47" t="n"/>
      <c r="H526" s="50" t="n"/>
      <c r="I526" s="51" t="n"/>
      <c r="J526" s="46" t="n"/>
      <c r="K526" s="46" t="n"/>
      <c r="L526" s="23">
        <f>IF(OR($A526="",$B526=""),"",IF($K526&lt;&gt;"",$K526-$B526,TODAY()-$B526))</f>
        <v/>
      </c>
      <c r="M526" s="27">
        <f>IF(OR($A526="",$J526=""),"",IF($K526="",IF(TODAY()&gt;$J526,"Atrasado","En ruta"),IF($K526&lt;=$J526,"Sí","No")))</f>
        <v/>
      </c>
      <c r="N526" s="23">
        <f>IF($A526="","",COUNTIFS(NOVEDADES!$C$4:$C$1503,$A526))</f>
        <v/>
      </c>
      <c r="O526" s="27">
        <f>IF($A526="","",IF(COUNTIFS(NOVEDADES!$C$4:$C$1503,$A526,NOVEDADES!$M$4:$M$1503,"SÍ")&gt;0,"No","Sí"))</f>
        <v/>
      </c>
      <c r="P526" s="27">
        <f>IF(OR($A526="",$K526=""),"",IF(AND($M526="Sí",$O526="Sí"),"OTIF","Falló"))</f>
        <v/>
      </c>
    </row>
    <row r="527" ht="16" customHeight="1">
      <c r="A527" s="47" t="n"/>
      <c r="B527" s="46" t="n"/>
      <c r="C527" s="49" t="n"/>
      <c r="D527" s="49" t="n"/>
      <c r="E527" s="49" t="n"/>
      <c r="F527" s="49" t="n"/>
      <c r="G527" s="47" t="n"/>
      <c r="H527" s="50" t="n"/>
      <c r="I527" s="51" t="n"/>
      <c r="J527" s="46" t="n"/>
      <c r="K527" s="46" t="n"/>
      <c r="L527" s="23">
        <f>IF(OR($A527="",$B527=""),"",IF($K527&lt;&gt;"",$K527-$B527,TODAY()-$B527))</f>
        <v/>
      </c>
      <c r="M527" s="27">
        <f>IF(OR($A527="",$J527=""),"",IF($K527="",IF(TODAY()&gt;$J527,"Atrasado","En ruta"),IF($K527&lt;=$J527,"Sí","No")))</f>
        <v/>
      </c>
      <c r="N527" s="23">
        <f>IF($A527="","",COUNTIFS(NOVEDADES!$C$4:$C$1503,$A527))</f>
        <v/>
      </c>
      <c r="O527" s="27">
        <f>IF($A527="","",IF(COUNTIFS(NOVEDADES!$C$4:$C$1503,$A527,NOVEDADES!$M$4:$M$1503,"SÍ")&gt;0,"No","Sí"))</f>
        <v/>
      </c>
      <c r="P527" s="27">
        <f>IF(OR($A527="",$K527=""),"",IF(AND($M527="Sí",$O527="Sí"),"OTIF","Falló"))</f>
        <v/>
      </c>
    </row>
    <row r="528" ht="16" customHeight="1">
      <c r="A528" s="47" t="n"/>
      <c r="B528" s="46" t="n"/>
      <c r="C528" s="49" t="n"/>
      <c r="D528" s="49" t="n"/>
      <c r="E528" s="49" t="n"/>
      <c r="F528" s="49" t="n"/>
      <c r="G528" s="47" t="n"/>
      <c r="H528" s="50" t="n"/>
      <c r="I528" s="51" t="n"/>
      <c r="J528" s="46" t="n"/>
      <c r="K528" s="46" t="n"/>
      <c r="L528" s="23">
        <f>IF(OR($A528="",$B528=""),"",IF($K528&lt;&gt;"",$K528-$B528,TODAY()-$B528))</f>
        <v/>
      </c>
      <c r="M528" s="27">
        <f>IF(OR($A528="",$J528=""),"",IF($K528="",IF(TODAY()&gt;$J528,"Atrasado","En ruta"),IF($K528&lt;=$J528,"Sí","No")))</f>
        <v/>
      </c>
      <c r="N528" s="23">
        <f>IF($A528="","",COUNTIFS(NOVEDADES!$C$4:$C$1503,$A528))</f>
        <v/>
      </c>
      <c r="O528" s="27">
        <f>IF($A528="","",IF(COUNTIFS(NOVEDADES!$C$4:$C$1503,$A528,NOVEDADES!$M$4:$M$1503,"SÍ")&gt;0,"No","Sí"))</f>
        <v/>
      </c>
      <c r="P528" s="27">
        <f>IF(OR($A528="",$K528=""),"",IF(AND($M528="Sí",$O528="Sí"),"OTIF","Falló"))</f>
        <v/>
      </c>
    </row>
    <row r="529" ht="16" customHeight="1">
      <c r="A529" s="47" t="n"/>
      <c r="B529" s="46" t="n"/>
      <c r="C529" s="49" t="n"/>
      <c r="D529" s="49" t="n"/>
      <c r="E529" s="49" t="n"/>
      <c r="F529" s="49" t="n"/>
      <c r="G529" s="47" t="n"/>
      <c r="H529" s="50" t="n"/>
      <c r="I529" s="51" t="n"/>
      <c r="J529" s="46" t="n"/>
      <c r="K529" s="46" t="n"/>
      <c r="L529" s="23">
        <f>IF(OR($A529="",$B529=""),"",IF($K529&lt;&gt;"",$K529-$B529,TODAY()-$B529))</f>
        <v/>
      </c>
      <c r="M529" s="27">
        <f>IF(OR($A529="",$J529=""),"",IF($K529="",IF(TODAY()&gt;$J529,"Atrasado","En ruta"),IF($K529&lt;=$J529,"Sí","No")))</f>
        <v/>
      </c>
      <c r="N529" s="23">
        <f>IF($A529="","",COUNTIFS(NOVEDADES!$C$4:$C$1503,$A529))</f>
        <v/>
      </c>
      <c r="O529" s="27">
        <f>IF($A529="","",IF(COUNTIFS(NOVEDADES!$C$4:$C$1503,$A529,NOVEDADES!$M$4:$M$1503,"SÍ")&gt;0,"No","Sí"))</f>
        <v/>
      </c>
      <c r="P529" s="27">
        <f>IF(OR($A529="",$K529=""),"",IF(AND($M529="Sí",$O529="Sí"),"OTIF","Falló"))</f>
        <v/>
      </c>
    </row>
    <row r="530" ht="16" customHeight="1">
      <c r="A530" s="47" t="n"/>
      <c r="B530" s="46" t="n"/>
      <c r="C530" s="49" t="n"/>
      <c r="D530" s="49" t="n"/>
      <c r="E530" s="49" t="n"/>
      <c r="F530" s="49" t="n"/>
      <c r="G530" s="47" t="n"/>
      <c r="H530" s="50" t="n"/>
      <c r="I530" s="51" t="n"/>
      <c r="J530" s="46" t="n"/>
      <c r="K530" s="46" t="n"/>
      <c r="L530" s="23">
        <f>IF(OR($A530="",$B530=""),"",IF($K530&lt;&gt;"",$K530-$B530,TODAY()-$B530))</f>
        <v/>
      </c>
      <c r="M530" s="27">
        <f>IF(OR($A530="",$J530=""),"",IF($K530="",IF(TODAY()&gt;$J530,"Atrasado","En ruta"),IF($K530&lt;=$J530,"Sí","No")))</f>
        <v/>
      </c>
      <c r="N530" s="23">
        <f>IF($A530="","",COUNTIFS(NOVEDADES!$C$4:$C$1503,$A530))</f>
        <v/>
      </c>
      <c r="O530" s="27">
        <f>IF($A530="","",IF(COUNTIFS(NOVEDADES!$C$4:$C$1503,$A530,NOVEDADES!$M$4:$M$1503,"SÍ")&gt;0,"No","Sí"))</f>
        <v/>
      </c>
      <c r="P530" s="27">
        <f>IF(OR($A530="",$K530=""),"",IF(AND($M530="Sí",$O530="Sí"),"OTIF","Falló"))</f>
        <v/>
      </c>
    </row>
    <row r="531" ht="16" customHeight="1">
      <c r="A531" s="47" t="n"/>
      <c r="B531" s="46" t="n"/>
      <c r="C531" s="49" t="n"/>
      <c r="D531" s="49" t="n"/>
      <c r="E531" s="49" t="n"/>
      <c r="F531" s="49" t="n"/>
      <c r="G531" s="47" t="n"/>
      <c r="H531" s="50" t="n"/>
      <c r="I531" s="51" t="n"/>
      <c r="J531" s="46" t="n"/>
      <c r="K531" s="46" t="n"/>
      <c r="L531" s="23">
        <f>IF(OR($A531="",$B531=""),"",IF($K531&lt;&gt;"",$K531-$B531,TODAY()-$B531))</f>
        <v/>
      </c>
      <c r="M531" s="27">
        <f>IF(OR($A531="",$J531=""),"",IF($K531="",IF(TODAY()&gt;$J531,"Atrasado","En ruta"),IF($K531&lt;=$J531,"Sí","No")))</f>
        <v/>
      </c>
      <c r="N531" s="23">
        <f>IF($A531="","",COUNTIFS(NOVEDADES!$C$4:$C$1503,$A531))</f>
        <v/>
      </c>
      <c r="O531" s="27">
        <f>IF($A531="","",IF(COUNTIFS(NOVEDADES!$C$4:$C$1503,$A531,NOVEDADES!$M$4:$M$1503,"SÍ")&gt;0,"No","Sí"))</f>
        <v/>
      </c>
      <c r="P531" s="27">
        <f>IF(OR($A531="",$K531=""),"",IF(AND($M531="Sí",$O531="Sí"),"OTIF","Falló"))</f>
        <v/>
      </c>
    </row>
    <row r="532" ht="16" customHeight="1">
      <c r="A532" s="47" t="n"/>
      <c r="B532" s="46" t="n"/>
      <c r="C532" s="49" t="n"/>
      <c r="D532" s="49" t="n"/>
      <c r="E532" s="49" t="n"/>
      <c r="F532" s="49" t="n"/>
      <c r="G532" s="47" t="n"/>
      <c r="H532" s="50" t="n"/>
      <c r="I532" s="51" t="n"/>
      <c r="J532" s="46" t="n"/>
      <c r="K532" s="46" t="n"/>
      <c r="L532" s="23">
        <f>IF(OR($A532="",$B532=""),"",IF($K532&lt;&gt;"",$K532-$B532,TODAY()-$B532))</f>
        <v/>
      </c>
      <c r="M532" s="27">
        <f>IF(OR($A532="",$J532=""),"",IF($K532="",IF(TODAY()&gt;$J532,"Atrasado","En ruta"),IF($K532&lt;=$J532,"Sí","No")))</f>
        <v/>
      </c>
      <c r="N532" s="23">
        <f>IF($A532="","",COUNTIFS(NOVEDADES!$C$4:$C$1503,$A532))</f>
        <v/>
      </c>
      <c r="O532" s="27">
        <f>IF($A532="","",IF(COUNTIFS(NOVEDADES!$C$4:$C$1503,$A532,NOVEDADES!$M$4:$M$1503,"SÍ")&gt;0,"No","Sí"))</f>
        <v/>
      </c>
      <c r="P532" s="27">
        <f>IF(OR($A532="",$K532=""),"",IF(AND($M532="Sí",$O532="Sí"),"OTIF","Falló"))</f>
        <v/>
      </c>
    </row>
    <row r="533" ht="16" customHeight="1">
      <c r="A533" s="47" t="n"/>
      <c r="B533" s="46" t="n"/>
      <c r="C533" s="49" t="n"/>
      <c r="D533" s="49" t="n"/>
      <c r="E533" s="49" t="n"/>
      <c r="F533" s="49" t="n"/>
      <c r="G533" s="47" t="n"/>
      <c r="H533" s="50" t="n"/>
      <c r="I533" s="51" t="n"/>
      <c r="J533" s="46" t="n"/>
      <c r="K533" s="46" t="n"/>
      <c r="L533" s="23">
        <f>IF(OR($A533="",$B533=""),"",IF($K533&lt;&gt;"",$K533-$B533,TODAY()-$B533))</f>
        <v/>
      </c>
      <c r="M533" s="27">
        <f>IF(OR($A533="",$J533=""),"",IF($K533="",IF(TODAY()&gt;$J533,"Atrasado","En ruta"),IF($K533&lt;=$J533,"Sí","No")))</f>
        <v/>
      </c>
      <c r="N533" s="23">
        <f>IF($A533="","",COUNTIFS(NOVEDADES!$C$4:$C$1503,$A533))</f>
        <v/>
      </c>
      <c r="O533" s="27">
        <f>IF($A533="","",IF(COUNTIFS(NOVEDADES!$C$4:$C$1503,$A533,NOVEDADES!$M$4:$M$1503,"SÍ")&gt;0,"No","Sí"))</f>
        <v/>
      </c>
      <c r="P533" s="27">
        <f>IF(OR($A533="",$K533=""),"",IF(AND($M533="Sí",$O533="Sí"),"OTIF","Falló"))</f>
        <v/>
      </c>
    </row>
    <row r="534" ht="16" customHeight="1">
      <c r="A534" s="47" t="n"/>
      <c r="B534" s="46" t="n"/>
      <c r="C534" s="49" t="n"/>
      <c r="D534" s="49" t="n"/>
      <c r="E534" s="49" t="n"/>
      <c r="F534" s="49" t="n"/>
      <c r="G534" s="47" t="n"/>
      <c r="H534" s="50" t="n"/>
      <c r="I534" s="51" t="n"/>
      <c r="J534" s="46" t="n"/>
      <c r="K534" s="46" t="n"/>
      <c r="L534" s="23">
        <f>IF(OR($A534="",$B534=""),"",IF($K534&lt;&gt;"",$K534-$B534,TODAY()-$B534))</f>
        <v/>
      </c>
      <c r="M534" s="27">
        <f>IF(OR($A534="",$J534=""),"",IF($K534="",IF(TODAY()&gt;$J534,"Atrasado","En ruta"),IF($K534&lt;=$J534,"Sí","No")))</f>
        <v/>
      </c>
      <c r="N534" s="23">
        <f>IF($A534="","",COUNTIFS(NOVEDADES!$C$4:$C$1503,$A534))</f>
        <v/>
      </c>
      <c r="O534" s="27">
        <f>IF($A534="","",IF(COUNTIFS(NOVEDADES!$C$4:$C$1503,$A534,NOVEDADES!$M$4:$M$1503,"SÍ")&gt;0,"No","Sí"))</f>
        <v/>
      </c>
      <c r="P534" s="27">
        <f>IF(OR($A534="",$K534=""),"",IF(AND($M534="Sí",$O534="Sí"),"OTIF","Falló"))</f>
        <v/>
      </c>
    </row>
    <row r="535" ht="16" customHeight="1">
      <c r="A535" s="47" t="n"/>
      <c r="B535" s="46" t="n"/>
      <c r="C535" s="49" t="n"/>
      <c r="D535" s="49" t="n"/>
      <c r="E535" s="49" t="n"/>
      <c r="F535" s="49" t="n"/>
      <c r="G535" s="47" t="n"/>
      <c r="H535" s="50" t="n"/>
      <c r="I535" s="51" t="n"/>
      <c r="J535" s="46" t="n"/>
      <c r="K535" s="46" t="n"/>
      <c r="L535" s="23">
        <f>IF(OR($A535="",$B535=""),"",IF($K535&lt;&gt;"",$K535-$B535,TODAY()-$B535))</f>
        <v/>
      </c>
      <c r="M535" s="27">
        <f>IF(OR($A535="",$J535=""),"",IF($K535="",IF(TODAY()&gt;$J535,"Atrasado","En ruta"),IF($K535&lt;=$J535,"Sí","No")))</f>
        <v/>
      </c>
      <c r="N535" s="23">
        <f>IF($A535="","",COUNTIFS(NOVEDADES!$C$4:$C$1503,$A535))</f>
        <v/>
      </c>
      <c r="O535" s="27">
        <f>IF($A535="","",IF(COUNTIFS(NOVEDADES!$C$4:$C$1503,$A535,NOVEDADES!$M$4:$M$1503,"SÍ")&gt;0,"No","Sí"))</f>
        <v/>
      </c>
      <c r="P535" s="27">
        <f>IF(OR($A535="",$K535=""),"",IF(AND($M535="Sí",$O535="Sí"),"OTIF","Falló"))</f>
        <v/>
      </c>
    </row>
    <row r="536" ht="16" customHeight="1">
      <c r="A536" s="47" t="n"/>
      <c r="B536" s="46" t="n"/>
      <c r="C536" s="49" t="n"/>
      <c r="D536" s="49" t="n"/>
      <c r="E536" s="49" t="n"/>
      <c r="F536" s="49" t="n"/>
      <c r="G536" s="47" t="n"/>
      <c r="H536" s="50" t="n"/>
      <c r="I536" s="51" t="n"/>
      <c r="J536" s="46" t="n"/>
      <c r="K536" s="46" t="n"/>
      <c r="L536" s="23">
        <f>IF(OR($A536="",$B536=""),"",IF($K536&lt;&gt;"",$K536-$B536,TODAY()-$B536))</f>
        <v/>
      </c>
      <c r="M536" s="27">
        <f>IF(OR($A536="",$J536=""),"",IF($K536="",IF(TODAY()&gt;$J536,"Atrasado","En ruta"),IF($K536&lt;=$J536,"Sí","No")))</f>
        <v/>
      </c>
      <c r="N536" s="23">
        <f>IF($A536="","",COUNTIFS(NOVEDADES!$C$4:$C$1503,$A536))</f>
        <v/>
      </c>
      <c r="O536" s="27">
        <f>IF($A536="","",IF(COUNTIFS(NOVEDADES!$C$4:$C$1503,$A536,NOVEDADES!$M$4:$M$1503,"SÍ")&gt;0,"No","Sí"))</f>
        <v/>
      </c>
      <c r="P536" s="27">
        <f>IF(OR($A536="",$K536=""),"",IF(AND($M536="Sí",$O536="Sí"),"OTIF","Falló"))</f>
        <v/>
      </c>
    </row>
    <row r="537" ht="16" customHeight="1">
      <c r="A537" s="47" t="n"/>
      <c r="B537" s="46" t="n"/>
      <c r="C537" s="49" t="n"/>
      <c r="D537" s="49" t="n"/>
      <c r="E537" s="49" t="n"/>
      <c r="F537" s="49" t="n"/>
      <c r="G537" s="47" t="n"/>
      <c r="H537" s="50" t="n"/>
      <c r="I537" s="51" t="n"/>
      <c r="J537" s="46" t="n"/>
      <c r="K537" s="46" t="n"/>
      <c r="L537" s="23">
        <f>IF(OR($A537="",$B537=""),"",IF($K537&lt;&gt;"",$K537-$B537,TODAY()-$B537))</f>
        <v/>
      </c>
      <c r="M537" s="27">
        <f>IF(OR($A537="",$J537=""),"",IF($K537="",IF(TODAY()&gt;$J537,"Atrasado","En ruta"),IF($K537&lt;=$J537,"Sí","No")))</f>
        <v/>
      </c>
      <c r="N537" s="23">
        <f>IF($A537="","",COUNTIFS(NOVEDADES!$C$4:$C$1503,$A537))</f>
        <v/>
      </c>
      <c r="O537" s="27">
        <f>IF($A537="","",IF(COUNTIFS(NOVEDADES!$C$4:$C$1503,$A537,NOVEDADES!$M$4:$M$1503,"SÍ")&gt;0,"No","Sí"))</f>
        <v/>
      </c>
      <c r="P537" s="27">
        <f>IF(OR($A537="",$K537=""),"",IF(AND($M537="Sí",$O537="Sí"),"OTIF","Falló"))</f>
        <v/>
      </c>
    </row>
    <row r="538" ht="16" customHeight="1">
      <c r="A538" s="47" t="n"/>
      <c r="B538" s="46" t="n"/>
      <c r="C538" s="49" t="n"/>
      <c r="D538" s="49" t="n"/>
      <c r="E538" s="49" t="n"/>
      <c r="F538" s="49" t="n"/>
      <c r="G538" s="47" t="n"/>
      <c r="H538" s="50" t="n"/>
      <c r="I538" s="51" t="n"/>
      <c r="J538" s="46" t="n"/>
      <c r="K538" s="46" t="n"/>
      <c r="L538" s="23">
        <f>IF(OR($A538="",$B538=""),"",IF($K538&lt;&gt;"",$K538-$B538,TODAY()-$B538))</f>
        <v/>
      </c>
      <c r="M538" s="27">
        <f>IF(OR($A538="",$J538=""),"",IF($K538="",IF(TODAY()&gt;$J538,"Atrasado","En ruta"),IF($K538&lt;=$J538,"Sí","No")))</f>
        <v/>
      </c>
      <c r="N538" s="23">
        <f>IF($A538="","",COUNTIFS(NOVEDADES!$C$4:$C$1503,$A538))</f>
        <v/>
      </c>
      <c r="O538" s="27">
        <f>IF($A538="","",IF(COUNTIFS(NOVEDADES!$C$4:$C$1503,$A538,NOVEDADES!$M$4:$M$1503,"SÍ")&gt;0,"No","Sí"))</f>
        <v/>
      </c>
      <c r="P538" s="27">
        <f>IF(OR($A538="",$K538=""),"",IF(AND($M538="Sí",$O538="Sí"),"OTIF","Falló"))</f>
        <v/>
      </c>
    </row>
    <row r="539" ht="16" customHeight="1">
      <c r="A539" s="47" t="n"/>
      <c r="B539" s="46" t="n"/>
      <c r="C539" s="49" t="n"/>
      <c r="D539" s="49" t="n"/>
      <c r="E539" s="49" t="n"/>
      <c r="F539" s="49" t="n"/>
      <c r="G539" s="47" t="n"/>
      <c r="H539" s="50" t="n"/>
      <c r="I539" s="51" t="n"/>
      <c r="J539" s="46" t="n"/>
      <c r="K539" s="46" t="n"/>
      <c r="L539" s="23">
        <f>IF(OR($A539="",$B539=""),"",IF($K539&lt;&gt;"",$K539-$B539,TODAY()-$B539))</f>
        <v/>
      </c>
      <c r="M539" s="27">
        <f>IF(OR($A539="",$J539=""),"",IF($K539="",IF(TODAY()&gt;$J539,"Atrasado","En ruta"),IF($K539&lt;=$J539,"Sí","No")))</f>
        <v/>
      </c>
      <c r="N539" s="23">
        <f>IF($A539="","",COUNTIFS(NOVEDADES!$C$4:$C$1503,$A539))</f>
        <v/>
      </c>
      <c r="O539" s="27">
        <f>IF($A539="","",IF(COUNTIFS(NOVEDADES!$C$4:$C$1503,$A539,NOVEDADES!$M$4:$M$1503,"SÍ")&gt;0,"No","Sí"))</f>
        <v/>
      </c>
      <c r="P539" s="27">
        <f>IF(OR($A539="",$K539=""),"",IF(AND($M539="Sí",$O539="Sí"),"OTIF","Falló"))</f>
        <v/>
      </c>
    </row>
    <row r="540" ht="16" customHeight="1">
      <c r="A540" s="47" t="n"/>
      <c r="B540" s="46" t="n"/>
      <c r="C540" s="49" t="n"/>
      <c r="D540" s="49" t="n"/>
      <c r="E540" s="49" t="n"/>
      <c r="F540" s="49" t="n"/>
      <c r="G540" s="47" t="n"/>
      <c r="H540" s="50" t="n"/>
      <c r="I540" s="51" t="n"/>
      <c r="J540" s="46" t="n"/>
      <c r="K540" s="46" t="n"/>
      <c r="L540" s="23">
        <f>IF(OR($A540="",$B540=""),"",IF($K540&lt;&gt;"",$K540-$B540,TODAY()-$B540))</f>
        <v/>
      </c>
      <c r="M540" s="27">
        <f>IF(OR($A540="",$J540=""),"",IF($K540="",IF(TODAY()&gt;$J540,"Atrasado","En ruta"),IF($K540&lt;=$J540,"Sí","No")))</f>
        <v/>
      </c>
      <c r="N540" s="23">
        <f>IF($A540="","",COUNTIFS(NOVEDADES!$C$4:$C$1503,$A540))</f>
        <v/>
      </c>
      <c r="O540" s="27">
        <f>IF($A540="","",IF(COUNTIFS(NOVEDADES!$C$4:$C$1503,$A540,NOVEDADES!$M$4:$M$1503,"SÍ")&gt;0,"No","Sí"))</f>
        <v/>
      </c>
      <c r="P540" s="27">
        <f>IF(OR($A540="",$K540=""),"",IF(AND($M540="Sí",$O540="Sí"),"OTIF","Falló"))</f>
        <v/>
      </c>
    </row>
    <row r="541" ht="16" customHeight="1">
      <c r="A541" s="47" t="n"/>
      <c r="B541" s="46" t="n"/>
      <c r="C541" s="49" t="n"/>
      <c r="D541" s="49" t="n"/>
      <c r="E541" s="49" t="n"/>
      <c r="F541" s="49" t="n"/>
      <c r="G541" s="47" t="n"/>
      <c r="H541" s="50" t="n"/>
      <c r="I541" s="51" t="n"/>
      <c r="J541" s="46" t="n"/>
      <c r="K541" s="46" t="n"/>
      <c r="L541" s="23">
        <f>IF(OR($A541="",$B541=""),"",IF($K541&lt;&gt;"",$K541-$B541,TODAY()-$B541))</f>
        <v/>
      </c>
      <c r="M541" s="27">
        <f>IF(OR($A541="",$J541=""),"",IF($K541="",IF(TODAY()&gt;$J541,"Atrasado","En ruta"),IF($K541&lt;=$J541,"Sí","No")))</f>
        <v/>
      </c>
      <c r="N541" s="23">
        <f>IF($A541="","",COUNTIFS(NOVEDADES!$C$4:$C$1503,$A541))</f>
        <v/>
      </c>
      <c r="O541" s="27">
        <f>IF($A541="","",IF(COUNTIFS(NOVEDADES!$C$4:$C$1503,$A541,NOVEDADES!$M$4:$M$1503,"SÍ")&gt;0,"No","Sí"))</f>
        <v/>
      </c>
      <c r="P541" s="27">
        <f>IF(OR($A541="",$K541=""),"",IF(AND($M541="Sí",$O541="Sí"),"OTIF","Falló"))</f>
        <v/>
      </c>
    </row>
    <row r="542" ht="16" customHeight="1">
      <c r="A542" s="47" t="n"/>
      <c r="B542" s="46" t="n"/>
      <c r="C542" s="49" t="n"/>
      <c r="D542" s="49" t="n"/>
      <c r="E542" s="49" t="n"/>
      <c r="F542" s="49" t="n"/>
      <c r="G542" s="47" t="n"/>
      <c r="H542" s="50" t="n"/>
      <c r="I542" s="51" t="n"/>
      <c r="J542" s="46" t="n"/>
      <c r="K542" s="46" t="n"/>
      <c r="L542" s="23">
        <f>IF(OR($A542="",$B542=""),"",IF($K542&lt;&gt;"",$K542-$B542,TODAY()-$B542))</f>
        <v/>
      </c>
      <c r="M542" s="27">
        <f>IF(OR($A542="",$J542=""),"",IF($K542="",IF(TODAY()&gt;$J542,"Atrasado","En ruta"),IF($K542&lt;=$J542,"Sí","No")))</f>
        <v/>
      </c>
      <c r="N542" s="23">
        <f>IF($A542="","",COUNTIFS(NOVEDADES!$C$4:$C$1503,$A542))</f>
        <v/>
      </c>
      <c r="O542" s="27">
        <f>IF($A542="","",IF(COUNTIFS(NOVEDADES!$C$4:$C$1503,$A542,NOVEDADES!$M$4:$M$1503,"SÍ")&gt;0,"No","Sí"))</f>
        <v/>
      </c>
      <c r="P542" s="27">
        <f>IF(OR($A542="",$K542=""),"",IF(AND($M542="Sí",$O542="Sí"),"OTIF","Falló"))</f>
        <v/>
      </c>
    </row>
    <row r="543" ht="16" customHeight="1">
      <c r="A543" s="47" t="n"/>
      <c r="B543" s="46" t="n"/>
      <c r="C543" s="49" t="n"/>
      <c r="D543" s="49" t="n"/>
      <c r="E543" s="49" t="n"/>
      <c r="F543" s="49" t="n"/>
      <c r="G543" s="47" t="n"/>
      <c r="H543" s="50" t="n"/>
      <c r="I543" s="51" t="n"/>
      <c r="J543" s="46" t="n"/>
      <c r="K543" s="46" t="n"/>
      <c r="L543" s="23">
        <f>IF(OR($A543="",$B543=""),"",IF($K543&lt;&gt;"",$K543-$B543,TODAY()-$B543))</f>
        <v/>
      </c>
      <c r="M543" s="27">
        <f>IF(OR($A543="",$J543=""),"",IF($K543="",IF(TODAY()&gt;$J543,"Atrasado","En ruta"),IF($K543&lt;=$J543,"Sí","No")))</f>
        <v/>
      </c>
      <c r="N543" s="23">
        <f>IF($A543="","",COUNTIFS(NOVEDADES!$C$4:$C$1503,$A543))</f>
        <v/>
      </c>
      <c r="O543" s="27">
        <f>IF($A543="","",IF(COUNTIFS(NOVEDADES!$C$4:$C$1503,$A543,NOVEDADES!$M$4:$M$1503,"SÍ")&gt;0,"No","Sí"))</f>
        <v/>
      </c>
      <c r="P543" s="27">
        <f>IF(OR($A543="",$K543=""),"",IF(AND($M543="Sí",$O543="Sí"),"OTIF","Falló"))</f>
        <v/>
      </c>
    </row>
    <row r="544" ht="16" customHeight="1">
      <c r="A544" s="47" t="n"/>
      <c r="B544" s="46" t="n"/>
      <c r="C544" s="49" t="n"/>
      <c r="D544" s="49" t="n"/>
      <c r="E544" s="49" t="n"/>
      <c r="F544" s="49" t="n"/>
      <c r="G544" s="47" t="n"/>
      <c r="H544" s="50" t="n"/>
      <c r="I544" s="51" t="n"/>
      <c r="J544" s="46" t="n"/>
      <c r="K544" s="46" t="n"/>
      <c r="L544" s="23">
        <f>IF(OR($A544="",$B544=""),"",IF($K544&lt;&gt;"",$K544-$B544,TODAY()-$B544))</f>
        <v/>
      </c>
      <c r="M544" s="27">
        <f>IF(OR($A544="",$J544=""),"",IF($K544="",IF(TODAY()&gt;$J544,"Atrasado","En ruta"),IF($K544&lt;=$J544,"Sí","No")))</f>
        <v/>
      </c>
      <c r="N544" s="23">
        <f>IF($A544="","",COUNTIFS(NOVEDADES!$C$4:$C$1503,$A544))</f>
        <v/>
      </c>
      <c r="O544" s="27">
        <f>IF($A544="","",IF(COUNTIFS(NOVEDADES!$C$4:$C$1503,$A544,NOVEDADES!$M$4:$M$1503,"SÍ")&gt;0,"No","Sí"))</f>
        <v/>
      </c>
      <c r="P544" s="27">
        <f>IF(OR($A544="",$K544=""),"",IF(AND($M544="Sí",$O544="Sí"),"OTIF","Falló"))</f>
        <v/>
      </c>
    </row>
    <row r="545" ht="16" customHeight="1">
      <c r="A545" s="47" t="n"/>
      <c r="B545" s="46" t="n"/>
      <c r="C545" s="49" t="n"/>
      <c r="D545" s="49" t="n"/>
      <c r="E545" s="49" t="n"/>
      <c r="F545" s="49" t="n"/>
      <c r="G545" s="47" t="n"/>
      <c r="H545" s="50" t="n"/>
      <c r="I545" s="51" t="n"/>
      <c r="J545" s="46" t="n"/>
      <c r="K545" s="46" t="n"/>
      <c r="L545" s="23">
        <f>IF(OR($A545="",$B545=""),"",IF($K545&lt;&gt;"",$K545-$B545,TODAY()-$B545))</f>
        <v/>
      </c>
      <c r="M545" s="27">
        <f>IF(OR($A545="",$J545=""),"",IF($K545="",IF(TODAY()&gt;$J545,"Atrasado","En ruta"),IF($K545&lt;=$J545,"Sí","No")))</f>
        <v/>
      </c>
      <c r="N545" s="23">
        <f>IF($A545="","",COUNTIFS(NOVEDADES!$C$4:$C$1503,$A545))</f>
        <v/>
      </c>
      <c r="O545" s="27">
        <f>IF($A545="","",IF(COUNTIFS(NOVEDADES!$C$4:$C$1503,$A545,NOVEDADES!$M$4:$M$1503,"SÍ")&gt;0,"No","Sí"))</f>
        <v/>
      </c>
      <c r="P545" s="27">
        <f>IF(OR($A545="",$K545=""),"",IF(AND($M545="Sí",$O545="Sí"),"OTIF","Falló"))</f>
        <v/>
      </c>
    </row>
    <row r="546" ht="16" customHeight="1">
      <c r="A546" s="47" t="n"/>
      <c r="B546" s="46" t="n"/>
      <c r="C546" s="49" t="n"/>
      <c r="D546" s="49" t="n"/>
      <c r="E546" s="49" t="n"/>
      <c r="F546" s="49" t="n"/>
      <c r="G546" s="47" t="n"/>
      <c r="H546" s="50" t="n"/>
      <c r="I546" s="51" t="n"/>
      <c r="J546" s="46" t="n"/>
      <c r="K546" s="46" t="n"/>
      <c r="L546" s="23">
        <f>IF(OR($A546="",$B546=""),"",IF($K546&lt;&gt;"",$K546-$B546,TODAY()-$B546))</f>
        <v/>
      </c>
      <c r="M546" s="27">
        <f>IF(OR($A546="",$J546=""),"",IF($K546="",IF(TODAY()&gt;$J546,"Atrasado","En ruta"),IF($K546&lt;=$J546,"Sí","No")))</f>
        <v/>
      </c>
      <c r="N546" s="23">
        <f>IF($A546="","",COUNTIFS(NOVEDADES!$C$4:$C$1503,$A546))</f>
        <v/>
      </c>
      <c r="O546" s="27">
        <f>IF($A546="","",IF(COUNTIFS(NOVEDADES!$C$4:$C$1503,$A546,NOVEDADES!$M$4:$M$1503,"SÍ")&gt;0,"No","Sí"))</f>
        <v/>
      </c>
      <c r="P546" s="27">
        <f>IF(OR($A546="",$K546=""),"",IF(AND($M546="Sí",$O546="Sí"),"OTIF","Falló"))</f>
        <v/>
      </c>
    </row>
    <row r="547" ht="16" customHeight="1">
      <c r="A547" s="47" t="n"/>
      <c r="B547" s="46" t="n"/>
      <c r="C547" s="49" t="n"/>
      <c r="D547" s="49" t="n"/>
      <c r="E547" s="49" t="n"/>
      <c r="F547" s="49" t="n"/>
      <c r="G547" s="47" t="n"/>
      <c r="H547" s="50" t="n"/>
      <c r="I547" s="51" t="n"/>
      <c r="J547" s="46" t="n"/>
      <c r="K547" s="46" t="n"/>
      <c r="L547" s="23">
        <f>IF(OR($A547="",$B547=""),"",IF($K547&lt;&gt;"",$K547-$B547,TODAY()-$B547))</f>
        <v/>
      </c>
      <c r="M547" s="27">
        <f>IF(OR($A547="",$J547=""),"",IF($K547="",IF(TODAY()&gt;$J547,"Atrasado","En ruta"),IF($K547&lt;=$J547,"Sí","No")))</f>
        <v/>
      </c>
      <c r="N547" s="23">
        <f>IF($A547="","",COUNTIFS(NOVEDADES!$C$4:$C$1503,$A547))</f>
        <v/>
      </c>
      <c r="O547" s="27">
        <f>IF($A547="","",IF(COUNTIFS(NOVEDADES!$C$4:$C$1503,$A547,NOVEDADES!$M$4:$M$1503,"SÍ")&gt;0,"No","Sí"))</f>
        <v/>
      </c>
      <c r="P547" s="27">
        <f>IF(OR($A547="",$K547=""),"",IF(AND($M547="Sí",$O547="Sí"),"OTIF","Falló"))</f>
        <v/>
      </c>
    </row>
    <row r="548" ht="16" customHeight="1">
      <c r="A548" s="47" t="n"/>
      <c r="B548" s="46" t="n"/>
      <c r="C548" s="49" t="n"/>
      <c r="D548" s="49" t="n"/>
      <c r="E548" s="49" t="n"/>
      <c r="F548" s="49" t="n"/>
      <c r="G548" s="47" t="n"/>
      <c r="H548" s="50" t="n"/>
      <c r="I548" s="51" t="n"/>
      <c r="J548" s="46" t="n"/>
      <c r="K548" s="46" t="n"/>
      <c r="L548" s="23">
        <f>IF(OR($A548="",$B548=""),"",IF($K548&lt;&gt;"",$K548-$B548,TODAY()-$B548))</f>
        <v/>
      </c>
      <c r="M548" s="27">
        <f>IF(OR($A548="",$J548=""),"",IF($K548="",IF(TODAY()&gt;$J548,"Atrasado","En ruta"),IF($K548&lt;=$J548,"Sí","No")))</f>
        <v/>
      </c>
      <c r="N548" s="23">
        <f>IF($A548="","",COUNTIFS(NOVEDADES!$C$4:$C$1503,$A548))</f>
        <v/>
      </c>
      <c r="O548" s="27">
        <f>IF($A548="","",IF(COUNTIFS(NOVEDADES!$C$4:$C$1503,$A548,NOVEDADES!$M$4:$M$1503,"SÍ")&gt;0,"No","Sí"))</f>
        <v/>
      </c>
      <c r="P548" s="27">
        <f>IF(OR($A548="",$K548=""),"",IF(AND($M548="Sí",$O548="Sí"),"OTIF","Falló"))</f>
        <v/>
      </c>
    </row>
    <row r="549" ht="16" customHeight="1">
      <c r="A549" s="47" t="n"/>
      <c r="B549" s="46" t="n"/>
      <c r="C549" s="49" t="n"/>
      <c r="D549" s="49" t="n"/>
      <c r="E549" s="49" t="n"/>
      <c r="F549" s="49" t="n"/>
      <c r="G549" s="47" t="n"/>
      <c r="H549" s="50" t="n"/>
      <c r="I549" s="51" t="n"/>
      <c r="J549" s="46" t="n"/>
      <c r="K549" s="46" t="n"/>
      <c r="L549" s="23">
        <f>IF(OR($A549="",$B549=""),"",IF($K549&lt;&gt;"",$K549-$B549,TODAY()-$B549))</f>
        <v/>
      </c>
      <c r="M549" s="27">
        <f>IF(OR($A549="",$J549=""),"",IF($K549="",IF(TODAY()&gt;$J549,"Atrasado","En ruta"),IF($K549&lt;=$J549,"Sí","No")))</f>
        <v/>
      </c>
      <c r="N549" s="23">
        <f>IF($A549="","",COUNTIFS(NOVEDADES!$C$4:$C$1503,$A549))</f>
        <v/>
      </c>
      <c r="O549" s="27">
        <f>IF($A549="","",IF(COUNTIFS(NOVEDADES!$C$4:$C$1503,$A549,NOVEDADES!$M$4:$M$1503,"SÍ")&gt;0,"No","Sí"))</f>
        <v/>
      </c>
      <c r="P549" s="27">
        <f>IF(OR($A549="",$K549=""),"",IF(AND($M549="Sí",$O549="Sí"),"OTIF","Falló"))</f>
        <v/>
      </c>
    </row>
    <row r="550" ht="16" customHeight="1">
      <c r="A550" s="47" t="n"/>
      <c r="B550" s="46" t="n"/>
      <c r="C550" s="49" t="n"/>
      <c r="D550" s="49" t="n"/>
      <c r="E550" s="49" t="n"/>
      <c r="F550" s="49" t="n"/>
      <c r="G550" s="47" t="n"/>
      <c r="H550" s="50" t="n"/>
      <c r="I550" s="51" t="n"/>
      <c r="J550" s="46" t="n"/>
      <c r="K550" s="46" t="n"/>
      <c r="L550" s="23">
        <f>IF(OR($A550="",$B550=""),"",IF($K550&lt;&gt;"",$K550-$B550,TODAY()-$B550))</f>
        <v/>
      </c>
      <c r="M550" s="27">
        <f>IF(OR($A550="",$J550=""),"",IF($K550="",IF(TODAY()&gt;$J550,"Atrasado","En ruta"),IF($K550&lt;=$J550,"Sí","No")))</f>
        <v/>
      </c>
      <c r="N550" s="23">
        <f>IF($A550="","",COUNTIFS(NOVEDADES!$C$4:$C$1503,$A550))</f>
        <v/>
      </c>
      <c r="O550" s="27">
        <f>IF($A550="","",IF(COUNTIFS(NOVEDADES!$C$4:$C$1503,$A550,NOVEDADES!$M$4:$M$1503,"SÍ")&gt;0,"No","Sí"))</f>
        <v/>
      </c>
      <c r="P550" s="27">
        <f>IF(OR($A550="",$K550=""),"",IF(AND($M550="Sí",$O550="Sí"),"OTIF","Falló"))</f>
        <v/>
      </c>
    </row>
    <row r="551" ht="16" customHeight="1">
      <c r="A551" s="47" t="n"/>
      <c r="B551" s="46" t="n"/>
      <c r="C551" s="49" t="n"/>
      <c r="D551" s="49" t="n"/>
      <c r="E551" s="49" t="n"/>
      <c r="F551" s="49" t="n"/>
      <c r="G551" s="47" t="n"/>
      <c r="H551" s="50" t="n"/>
      <c r="I551" s="51" t="n"/>
      <c r="J551" s="46" t="n"/>
      <c r="K551" s="46" t="n"/>
      <c r="L551" s="23">
        <f>IF(OR($A551="",$B551=""),"",IF($K551&lt;&gt;"",$K551-$B551,TODAY()-$B551))</f>
        <v/>
      </c>
      <c r="M551" s="27">
        <f>IF(OR($A551="",$J551=""),"",IF($K551="",IF(TODAY()&gt;$J551,"Atrasado","En ruta"),IF($K551&lt;=$J551,"Sí","No")))</f>
        <v/>
      </c>
      <c r="N551" s="23">
        <f>IF($A551="","",COUNTIFS(NOVEDADES!$C$4:$C$1503,$A551))</f>
        <v/>
      </c>
      <c r="O551" s="27">
        <f>IF($A551="","",IF(COUNTIFS(NOVEDADES!$C$4:$C$1503,$A551,NOVEDADES!$M$4:$M$1503,"SÍ")&gt;0,"No","Sí"))</f>
        <v/>
      </c>
      <c r="P551" s="27">
        <f>IF(OR($A551="",$K551=""),"",IF(AND($M551="Sí",$O551="Sí"),"OTIF","Falló"))</f>
        <v/>
      </c>
    </row>
    <row r="552" ht="16" customHeight="1">
      <c r="A552" s="47" t="n"/>
      <c r="B552" s="46" t="n"/>
      <c r="C552" s="49" t="n"/>
      <c r="D552" s="49" t="n"/>
      <c r="E552" s="49" t="n"/>
      <c r="F552" s="49" t="n"/>
      <c r="G552" s="47" t="n"/>
      <c r="H552" s="50" t="n"/>
      <c r="I552" s="51" t="n"/>
      <c r="J552" s="46" t="n"/>
      <c r="K552" s="46" t="n"/>
      <c r="L552" s="23">
        <f>IF(OR($A552="",$B552=""),"",IF($K552&lt;&gt;"",$K552-$B552,TODAY()-$B552))</f>
        <v/>
      </c>
      <c r="M552" s="27">
        <f>IF(OR($A552="",$J552=""),"",IF($K552="",IF(TODAY()&gt;$J552,"Atrasado","En ruta"),IF($K552&lt;=$J552,"Sí","No")))</f>
        <v/>
      </c>
      <c r="N552" s="23">
        <f>IF($A552="","",COUNTIFS(NOVEDADES!$C$4:$C$1503,$A552))</f>
        <v/>
      </c>
      <c r="O552" s="27">
        <f>IF($A552="","",IF(COUNTIFS(NOVEDADES!$C$4:$C$1503,$A552,NOVEDADES!$M$4:$M$1503,"SÍ")&gt;0,"No","Sí"))</f>
        <v/>
      </c>
      <c r="P552" s="27">
        <f>IF(OR($A552="",$K552=""),"",IF(AND($M552="Sí",$O552="Sí"),"OTIF","Falló"))</f>
        <v/>
      </c>
    </row>
    <row r="553" ht="16" customHeight="1">
      <c r="A553" s="47" t="n"/>
      <c r="B553" s="46" t="n"/>
      <c r="C553" s="49" t="n"/>
      <c r="D553" s="49" t="n"/>
      <c r="E553" s="49" t="n"/>
      <c r="F553" s="49" t="n"/>
      <c r="G553" s="47" t="n"/>
      <c r="H553" s="50" t="n"/>
      <c r="I553" s="51" t="n"/>
      <c r="J553" s="46" t="n"/>
      <c r="K553" s="46" t="n"/>
      <c r="L553" s="23">
        <f>IF(OR($A553="",$B553=""),"",IF($K553&lt;&gt;"",$K553-$B553,TODAY()-$B553))</f>
        <v/>
      </c>
      <c r="M553" s="27">
        <f>IF(OR($A553="",$J553=""),"",IF($K553="",IF(TODAY()&gt;$J553,"Atrasado","En ruta"),IF($K553&lt;=$J553,"Sí","No")))</f>
        <v/>
      </c>
      <c r="N553" s="23">
        <f>IF($A553="","",COUNTIFS(NOVEDADES!$C$4:$C$1503,$A553))</f>
        <v/>
      </c>
      <c r="O553" s="27">
        <f>IF($A553="","",IF(COUNTIFS(NOVEDADES!$C$4:$C$1503,$A553,NOVEDADES!$M$4:$M$1503,"SÍ")&gt;0,"No","Sí"))</f>
        <v/>
      </c>
      <c r="P553" s="27">
        <f>IF(OR($A553="",$K553=""),"",IF(AND($M553="Sí",$O553="Sí"),"OTIF","Falló"))</f>
        <v/>
      </c>
    </row>
    <row r="554" ht="16" customHeight="1">
      <c r="A554" s="47" t="n"/>
      <c r="B554" s="46" t="n"/>
      <c r="C554" s="49" t="n"/>
      <c r="D554" s="49" t="n"/>
      <c r="E554" s="49" t="n"/>
      <c r="F554" s="49" t="n"/>
      <c r="G554" s="47" t="n"/>
      <c r="H554" s="50" t="n"/>
      <c r="I554" s="51" t="n"/>
      <c r="J554" s="46" t="n"/>
      <c r="K554" s="46" t="n"/>
      <c r="L554" s="23">
        <f>IF(OR($A554="",$B554=""),"",IF($K554&lt;&gt;"",$K554-$B554,TODAY()-$B554))</f>
        <v/>
      </c>
      <c r="M554" s="27">
        <f>IF(OR($A554="",$J554=""),"",IF($K554="",IF(TODAY()&gt;$J554,"Atrasado","En ruta"),IF($K554&lt;=$J554,"Sí","No")))</f>
        <v/>
      </c>
      <c r="N554" s="23">
        <f>IF($A554="","",COUNTIFS(NOVEDADES!$C$4:$C$1503,$A554))</f>
        <v/>
      </c>
      <c r="O554" s="27">
        <f>IF($A554="","",IF(COUNTIFS(NOVEDADES!$C$4:$C$1503,$A554,NOVEDADES!$M$4:$M$1503,"SÍ")&gt;0,"No","Sí"))</f>
        <v/>
      </c>
      <c r="P554" s="27">
        <f>IF(OR($A554="",$K554=""),"",IF(AND($M554="Sí",$O554="Sí"),"OTIF","Falló"))</f>
        <v/>
      </c>
    </row>
    <row r="555" ht="16" customHeight="1">
      <c r="A555" s="47" t="n"/>
      <c r="B555" s="46" t="n"/>
      <c r="C555" s="49" t="n"/>
      <c r="D555" s="49" t="n"/>
      <c r="E555" s="49" t="n"/>
      <c r="F555" s="49" t="n"/>
      <c r="G555" s="47" t="n"/>
      <c r="H555" s="50" t="n"/>
      <c r="I555" s="51" t="n"/>
      <c r="J555" s="46" t="n"/>
      <c r="K555" s="46" t="n"/>
      <c r="L555" s="23">
        <f>IF(OR($A555="",$B555=""),"",IF($K555&lt;&gt;"",$K555-$B555,TODAY()-$B555))</f>
        <v/>
      </c>
      <c r="M555" s="27">
        <f>IF(OR($A555="",$J555=""),"",IF($K555="",IF(TODAY()&gt;$J555,"Atrasado","En ruta"),IF($K555&lt;=$J555,"Sí","No")))</f>
        <v/>
      </c>
      <c r="N555" s="23">
        <f>IF($A555="","",COUNTIFS(NOVEDADES!$C$4:$C$1503,$A555))</f>
        <v/>
      </c>
      <c r="O555" s="27">
        <f>IF($A555="","",IF(COUNTIFS(NOVEDADES!$C$4:$C$1503,$A555,NOVEDADES!$M$4:$M$1503,"SÍ")&gt;0,"No","Sí"))</f>
        <v/>
      </c>
      <c r="P555" s="27">
        <f>IF(OR($A555="",$K555=""),"",IF(AND($M555="Sí",$O555="Sí"),"OTIF","Falló"))</f>
        <v/>
      </c>
    </row>
    <row r="556" ht="16" customHeight="1">
      <c r="A556" s="47" t="n"/>
      <c r="B556" s="46" t="n"/>
      <c r="C556" s="49" t="n"/>
      <c r="D556" s="49" t="n"/>
      <c r="E556" s="49" t="n"/>
      <c r="F556" s="49" t="n"/>
      <c r="G556" s="47" t="n"/>
      <c r="H556" s="50" t="n"/>
      <c r="I556" s="51" t="n"/>
      <c r="J556" s="46" t="n"/>
      <c r="K556" s="46" t="n"/>
      <c r="L556" s="23">
        <f>IF(OR($A556="",$B556=""),"",IF($K556&lt;&gt;"",$K556-$B556,TODAY()-$B556))</f>
        <v/>
      </c>
      <c r="M556" s="27">
        <f>IF(OR($A556="",$J556=""),"",IF($K556="",IF(TODAY()&gt;$J556,"Atrasado","En ruta"),IF($K556&lt;=$J556,"Sí","No")))</f>
        <v/>
      </c>
      <c r="N556" s="23">
        <f>IF($A556="","",COUNTIFS(NOVEDADES!$C$4:$C$1503,$A556))</f>
        <v/>
      </c>
      <c r="O556" s="27">
        <f>IF($A556="","",IF(COUNTIFS(NOVEDADES!$C$4:$C$1503,$A556,NOVEDADES!$M$4:$M$1503,"SÍ")&gt;0,"No","Sí"))</f>
        <v/>
      </c>
      <c r="P556" s="27">
        <f>IF(OR($A556="",$K556=""),"",IF(AND($M556="Sí",$O556="Sí"),"OTIF","Falló"))</f>
        <v/>
      </c>
    </row>
    <row r="557" ht="16" customHeight="1">
      <c r="A557" s="47" t="n"/>
      <c r="B557" s="46" t="n"/>
      <c r="C557" s="49" t="n"/>
      <c r="D557" s="49" t="n"/>
      <c r="E557" s="49" t="n"/>
      <c r="F557" s="49" t="n"/>
      <c r="G557" s="47" t="n"/>
      <c r="H557" s="50" t="n"/>
      <c r="I557" s="51" t="n"/>
      <c r="J557" s="46" t="n"/>
      <c r="K557" s="46" t="n"/>
      <c r="L557" s="23">
        <f>IF(OR($A557="",$B557=""),"",IF($K557&lt;&gt;"",$K557-$B557,TODAY()-$B557))</f>
        <v/>
      </c>
      <c r="M557" s="27">
        <f>IF(OR($A557="",$J557=""),"",IF($K557="",IF(TODAY()&gt;$J557,"Atrasado","En ruta"),IF($K557&lt;=$J557,"Sí","No")))</f>
        <v/>
      </c>
      <c r="N557" s="23">
        <f>IF($A557="","",COUNTIFS(NOVEDADES!$C$4:$C$1503,$A557))</f>
        <v/>
      </c>
      <c r="O557" s="27">
        <f>IF($A557="","",IF(COUNTIFS(NOVEDADES!$C$4:$C$1503,$A557,NOVEDADES!$M$4:$M$1503,"SÍ")&gt;0,"No","Sí"))</f>
        <v/>
      </c>
      <c r="P557" s="27">
        <f>IF(OR($A557="",$K557=""),"",IF(AND($M557="Sí",$O557="Sí"),"OTIF","Falló"))</f>
        <v/>
      </c>
    </row>
    <row r="558" ht="16" customHeight="1">
      <c r="A558" s="47" t="n"/>
      <c r="B558" s="46" t="n"/>
      <c r="C558" s="49" t="n"/>
      <c r="D558" s="49" t="n"/>
      <c r="E558" s="49" t="n"/>
      <c r="F558" s="49" t="n"/>
      <c r="G558" s="47" t="n"/>
      <c r="H558" s="50" t="n"/>
      <c r="I558" s="51" t="n"/>
      <c r="J558" s="46" t="n"/>
      <c r="K558" s="46" t="n"/>
      <c r="L558" s="23">
        <f>IF(OR($A558="",$B558=""),"",IF($K558&lt;&gt;"",$K558-$B558,TODAY()-$B558))</f>
        <v/>
      </c>
      <c r="M558" s="27">
        <f>IF(OR($A558="",$J558=""),"",IF($K558="",IF(TODAY()&gt;$J558,"Atrasado","En ruta"),IF($K558&lt;=$J558,"Sí","No")))</f>
        <v/>
      </c>
      <c r="N558" s="23">
        <f>IF($A558="","",COUNTIFS(NOVEDADES!$C$4:$C$1503,$A558))</f>
        <v/>
      </c>
      <c r="O558" s="27">
        <f>IF($A558="","",IF(COUNTIFS(NOVEDADES!$C$4:$C$1503,$A558,NOVEDADES!$M$4:$M$1503,"SÍ")&gt;0,"No","Sí"))</f>
        <v/>
      </c>
      <c r="P558" s="27">
        <f>IF(OR($A558="",$K558=""),"",IF(AND($M558="Sí",$O558="Sí"),"OTIF","Falló"))</f>
        <v/>
      </c>
    </row>
    <row r="559" ht="16" customHeight="1">
      <c r="A559" s="47" t="n"/>
      <c r="B559" s="46" t="n"/>
      <c r="C559" s="49" t="n"/>
      <c r="D559" s="49" t="n"/>
      <c r="E559" s="49" t="n"/>
      <c r="F559" s="49" t="n"/>
      <c r="G559" s="47" t="n"/>
      <c r="H559" s="50" t="n"/>
      <c r="I559" s="51" t="n"/>
      <c r="J559" s="46" t="n"/>
      <c r="K559" s="46" t="n"/>
      <c r="L559" s="23">
        <f>IF(OR($A559="",$B559=""),"",IF($K559&lt;&gt;"",$K559-$B559,TODAY()-$B559))</f>
        <v/>
      </c>
      <c r="M559" s="27">
        <f>IF(OR($A559="",$J559=""),"",IF($K559="",IF(TODAY()&gt;$J559,"Atrasado","En ruta"),IF($K559&lt;=$J559,"Sí","No")))</f>
        <v/>
      </c>
      <c r="N559" s="23">
        <f>IF($A559="","",COUNTIFS(NOVEDADES!$C$4:$C$1503,$A559))</f>
        <v/>
      </c>
      <c r="O559" s="27">
        <f>IF($A559="","",IF(COUNTIFS(NOVEDADES!$C$4:$C$1503,$A559,NOVEDADES!$M$4:$M$1503,"SÍ")&gt;0,"No","Sí"))</f>
        <v/>
      </c>
      <c r="P559" s="27">
        <f>IF(OR($A559="",$K559=""),"",IF(AND($M559="Sí",$O559="Sí"),"OTIF","Falló"))</f>
        <v/>
      </c>
    </row>
    <row r="560" ht="16" customHeight="1">
      <c r="A560" s="47" t="n"/>
      <c r="B560" s="46" t="n"/>
      <c r="C560" s="49" t="n"/>
      <c r="D560" s="49" t="n"/>
      <c r="E560" s="49" t="n"/>
      <c r="F560" s="49" t="n"/>
      <c r="G560" s="47" t="n"/>
      <c r="H560" s="50" t="n"/>
      <c r="I560" s="51" t="n"/>
      <c r="J560" s="46" t="n"/>
      <c r="K560" s="46" t="n"/>
      <c r="L560" s="23">
        <f>IF(OR($A560="",$B560=""),"",IF($K560&lt;&gt;"",$K560-$B560,TODAY()-$B560))</f>
        <v/>
      </c>
      <c r="M560" s="27">
        <f>IF(OR($A560="",$J560=""),"",IF($K560="",IF(TODAY()&gt;$J560,"Atrasado","En ruta"),IF($K560&lt;=$J560,"Sí","No")))</f>
        <v/>
      </c>
      <c r="N560" s="23">
        <f>IF($A560="","",COUNTIFS(NOVEDADES!$C$4:$C$1503,$A560))</f>
        <v/>
      </c>
      <c r="O560" s="27">
        <f>IF($A560="","",IF(COUNTIFS(NOVEDADES!$C$4:$C$1503,$A560,NOVEDADES!$M$4:$M$1503,"SÍ")&gt;0,"No","Sí"))</f>
        <v/>
      </c>
      <c r="P560" s="27">
        <f>IF(OR($A560="",$K560=""),"",IF(AND($M560="Sí",$O560="Sí"),"OTIF","Falló"))</f>
        <v/>
      </c>
    </row>
    <row r="561" ht="16" customHeight="1">
      <c r="A561" s="47" t="n"/>
      <c r="B561" s="46" t="n"/>
      <c r="C561" s="49" t="n"/>
      <c r="D561" s="49" t="n"/>
      <c r="E561" s="49" t="n"/>
      <c r="F561" s="49" t="n"/>
      <c r="G561" s="47" t="n"/>
      <c r="H561" s="50" t="n"/>
      <c r="I561" s="51" t="n"/>
      <c r="J561" s="46" t="n"/>
      <c r="K561" s="46" t="n"/>
      <c r="L561" s="23">
        <f>IF(OR($A561="",$B561=""),"",IF($K561&lt;&gt;"",$K561-$B561,TODAY()-$B561))</f>
        <v/>
      </c>
      <c r="M561" s="27">
        <f>IF(OR($A561="",$J561=""),"",IF($K561="",IF(TODAY()&gt;$J561,"Atrasado","En ruta"),IF($K561&lt;=$J561,"Sí","No")))</f>
        <v/>
      </c>
      <c r="N561" s="23">
        <f>IF($A561="","",COUNTIFS(NOVEDADES!$C$4:$C$1503,$A561))</f>
        <v/>
      </c>
      <c r="O561" s="27">
        <f>IF($A561="","",IF(COUNTIFS(NOVEDADES!$C$4:$C$1503,$A561,NOVEDADES!$M$4:$M$1503,"SÍ")&gt;0,"No","Sí"))</f>
        <v/>
      </c>
      <c r="P561" s="27">
        <f>IF(OR($A561="",$K561=""),"",IF(AND($M561="Sí",$O561="Sí"),"OTIF","Falló"))</f>
        <v/>
      </c>
    </row>
    <row r="562" ht="16" customHeight="1">
      <c r="A562" s="47" t="n"/>
      <c r="B562" s="46" t="n"/>
      <c r="C562" s="49" t="n"/>
      <c r="D562" s="49" t="n"/>
      <c r="E562" s="49" t="n"/>
      <c r="F562" s="49" t="n"/>
      <c r="G562" s="47" t="n"/>
      <c r="H562" s="50" t="n"/>
      <c r="I562" s="51" t="n"/>
      <c r="J562" s="46" t="n"/>
      <c r="K562" s="46" t="n"/>
      <c r="L562" s="23">
        <f>IF(OR($A562="",$B562=""),"",IF($K562&lt;&gt;"",$K562-$B562,TODAY()-$B562))</f>
        <v/>
      </c>
      <c r="M562" s="27">
        <f>IF(OR($A562="",$J562=""),"",IF($K562="",IF(TODAY()&gt;$J562,"Atrasado","En ruta"),IF($K562&lt;=$J562,"Sí","No")))</f>
        <v/>
      </c>
      <c r="N562" s="23">
        <f>IF($A562="","",COUNTIFS(NOVEDADES!$C$4:$C$1503,$A562))</f>
        <v/>
      </c>
      <c r="O562" s="27">
        <f>IF($A562="","",IF(COUNTIFS(NOVEDADES!$C$4:$C$1503,$A562,NOVEDADES!$M$4:$M$1503,"SÍ")&gt;0,"No","Sí"))</f>
        <v/>
      </c>
      <c r="P562" s="27">
        <f>IF(OR($A562="",$K562=""),"",IF(AND($M562="Sí",$O562="Sí"),"OTIF","Falló"))</f>
        <v/>
      </c>
    </row>
    <row r="563" ht="16" customHeight="1">
      <c r="A563" s="47" t="n"/>
      <c r="B563" s="46" t="n"/>
      <c r="C563" s="49" t="n"/>
      <c r="D563" s="49" t="n"/>
      <c r="E563" s="49" t="n"/>
      <c r="F563" s="49" t="n"/>
      <c r="G563" s="47" t="n"/>
      <c r="H563" s="50" t="n"/>
      <c r="I563" s="51" t="n"/>
      <c r="J563" s="46" t="n"/>
      <c r="K563" s="46" t="n"/>
      <c r="L563" s="23">
        <f>IF(OR($A563="",$B563=""),"",IF($K563&lt;&gt;"",$K563-$B563,TODAY()-$B563))</f>
        <v/>
      </c>
      <c r="M563" s="27">
        <f>IF(OR($A563="",$J563=""),"",IF($K563="",IF(TODAY()&gt;$J563,"Atrasado","En ruta"),IF($K563&lt;=$J563,"Sí","No")))</f>
        <v/>
      </c>
      <c r="N563" s="23">
        <f>IF($A563="","",COUNTIFS(NOVEDADES!$C$4:$C$1503,$A563))</f>
        <v/>
      </c>
      <c r="O563" s="27">
        <f>IF($A563="","",IF(COUNTIFS(NOVEDADES!$C$4:$C$1503,$A563,NOVEDADES!$M$4:$M$1503,"SÍ")&gt;0,"No","Sí"))</f>
        <v/>
      </c>
      <c r="P563" s="27">
        <f>IF(OR($A563="",$K563=""),"",IF(AND($M563="Sí",$O563="Sí"),"OTIF","Falló"))</f>
        <v/>
      </c>
    </row>
    <row r="564" ht="16" customHeight="1">
      <c r="A564" s="47" t="n"/>
      <c r="B564" s="46" t="n"/>
      <c r="C564" s="49" t="n"/>
      <c r="D564" s="49" t="n"/>
      <c r="E564" s="49" t="n"/>
      <c r="F564" s="49" t="n"/>
      <c r="G564" s="47" t="n"/>
      <c r="H564" s="50" t="n"/>
      <c r="I564" s="51" t="n"/>
      <c r="J564" s="46" t="n"/>
      <c r="K564" s="46" t="n"/>
      <c r="L564" s="23">
        <f>IF(OR($A564="",$B564=""),"",IF($K564&lt;&gt;"",$K564-$B564,TODAY()-$B564))</f>
        <v/>
      </c>
      <c r="M564" s="27">
        <f>IF(OR($A564="",$J564=""),"",IF($K564="",IF(TODAY()&gt;$J564,"Atrasado","En ruta"),IF($K564&lt;=$J564,"Sí","No")))</f>
        <v/>
      </c>
      <c r="N564" s="23">
        <f>IF($A564="","",COUNTIFS(NOVEDADES!$C$4:$C$1503,$A564))</f>
        <v/>
      </c>
      <c r="O564" s="27">
        <f>IF($A564="","",IF(COUNTIFS(NOVEDADES!$C$4:$C$1503,$A564,NOVEDADES!$M$4:$M$1503,"SÍ")&gt;0,"No","Sí"))</f>
        <v/>
      </c>
      <c r="P564" s="27">
        <f>IF(OR($A564="",$K564=""),"",IF(AND($M564="Sí",$O564="Sí"),"OTIF","Falló"))</f>
        <v/>
      </c>
    </row>
    <row r="565" ht="16" customHeight="1">
      <c r="A565" s="47" t="n"/>
      <c r="B565" s="46" t="n"/>
      <c r="C565" s="49" t="n"/>
      <c r="D565" s="49" t="n"/>
      <c r="E565" s="49" t="n"/>
      <c r="F565" s="49" t="n"/>
      <c r="G565" s="47" t="n"/>
      <c r="H565" s="50" t="n"/>
      <c r="I565" s="51" t="n"/>
      <c r="J565" s="46" t="n"/>
      <c r="K565" s="46" t="n"/>
      <c r="L565" s="23">
        <f>IF(OR($A565="",$B565=""),"",IF($K565&lt;&gt;"",$K565-$B565,TODAY()-$B565))</f>
        <v/>
      </c>
      <c r="M565" s="27">
        <f>IF(OR($A565="",$J565=""),"",IF($K565="",IF(TODAY()&gt;$J565,"Atrasado","En ruta"),IF($K565&lt;=$J565,"Sí","No")))</f>
        <v/>
      </c>
      <c r="N565" s="23">
        <f>IF($A565="","",COUNTIFS(NOVEDADES!$C$4:$C$1503,$A565))</f>
        <v/>
      </c>
      <c r="O565" s="27">
        <f>IF($A565="","",IF(COUNTIFS(NOVEDADES!$C$4:$C$1503,$A565,NOVEDADES!$M$4:$M$1503,"SÍ")&gt;0,"No","Sí"))</f>
        <v/>
      </c>
      <c r="P565" s="27">
        <f>IF(OR($A565="",$K565=""),"",IF(AND($M565="Sí",$O565="Sí"),"OTIF","Falló"))</f>
        <v/>
      </c>
    </row>
    <row r="566" ht="16" customHeight="1">
      <c r="A566" s="47" t="n"/>
      <c r="B566" s="46" t="n"/>
      <c r="C566" s="49" t="n"/>
      <c r="D566" s="49" t="n"/>
      <c r="E566" s="49" t="n"/>
      <c r="F566" s="49" t="n"/>
      <c r="G566" s="47" t="n"/>
      <c r="H566" s="50" t="n"/>
      <c r="I566" s="51" t="n"/>
      <c r="J566" s="46" t="n"/>
      <c r="K566" s="46" t="n"/>
      <c r="L566" s="23">
        <f>IF(OR($A566="",$B566=""),"",IF($K566&lt;&gt;"",$K566-$B566,TODAY()-$B566))</f>
        <v/>
      </c>
      <c r="M566" s="27">
        <f>IF(OR($A566="",$J566=""),"",IF($K566="",IF(TODAY()&gt;$J566,"Atrasado","En ruta"),IF($K566&lt;=$J566,"Sí","No")))</f>
        <v/>
      </c>
      <c r="N566" s="23">
        <f>IF($A566="","",COUNTIFS(NOVEDADES!$C$4:$C$1503,$A566))</f>
        <v/>
      </c>
      <c r="O566" s="27">
        <f>IF($A566="","",IF(COUNTIFS(NOVEDADES!$C$4:$C$1503,$A566,NOVEDADES!$M$4:$M$1503,"SÍ")&gt;0,"No","Sí"))</f>
        <v/>
      </c>
      <c r="P566" s="27">
        <f>IF(OR($A566="",$K566=""),"",IF(AND($M566="Sí",$O566="Sí"),"OTIF","Falló"))</f>
        <v/>
      </c>
    </row>
    <row r="567" ht="16" customHeight="1">
      <c r="A567" s="47" t="n"/>
      <c r="B567" s="46" t="n"/>
      <c r="C567" s="49" t="n"/>
      <c r="D567" s="49" t="n"/>
      <c r="E567" s="49" t="n"/>
      <c r="F567" s="49" t="n"/>
      <c r="G567" s="47" t="n"/>
      <c r="H567" s="50" t="n"/>
      <c r="I567" s="51" t="n"/>
      <c r="J567" s="46" t="n"/>
      <c r="K567" s="46" t="n"/>
      <c r="L567" s="23">
        <f>IF(OR($A567="",$B567=""),"",IF($K567&lt;&gt;"",$K567-$B567,TODAY()-$B567))</f>
        <v/>
      </c>
      <c r="M567" s="27">
        <f>IF(OR($A567="",$J567=""),"",IF($K567="",IF(TODAY()&gt;$J567,"Atrasado","En ruta"),IF($K567&lt;=$J567,"Sí","No")))</f>
        <v/>
      </c>
      <c r="N567" s="23">
        <f>IF($A567="","",COUNTIFS(NOVEDADES!$C$4:$C$1503,$A567))</f>
        <v/>
      </c>
      <c r="O567" s="27">
        <f>IF($A567="","",IF(COUNTIFS(NOVEDADES!$C$4:$C$1503,$A567,NOVEDADES!$M$4:$M$1503,"SÍ")&gt;0,"No","Sí"))</f>
        <v/>
      </c>
      <c r="P567" s="27">
        <f>IF(OR($A567="",$K567=""),"",IF(AND($M567="Sí",$O567="Sí"),"OTIF","Falló"))</f>
        <v/>
      </c>
    </row>
    <row r="568" ht="16" customHeight="1">
      <c r="A568" s="47" t="n"/>
      <c r="B568" s="46" t="n"/>
      <c r="C568" s="49" t="n"/>
      <c r="D568" s="49" t="n"/>
      <c r="E568" s="49" t="n"/>
      <c r="F568" s="49" t="n"/>
      <c r="G568" s="47" t="n"/>
      <c r="H568" s="50" t="n"/>
      <c r="I568" s="51" t="n"/>
      <c r="J568" s="46" t="n"/>
      <c r="K568" s="46" t="n"/>
      <c r="L568" s="23">
        <f>IF(OR($A568="",$B568=""),"",IF($K568&lt;&gt;"",$K568-$B568,TODAY()-$B568))</f>
        <v/>
      </c>
      <c r="M568" s="27">
        <f>IF(OR($A568="",$J568=""),"",IF($K568="",IF(TODAY()&gt;$J568,"Atrasado","En ruta"),IF($K568&lt;=$J568,"Sí","No")))</f>
        <v/>
      </c>
      <c r="N568" s="23">
        <f>IF($A568="","",COUNTIFS(NOVEDADES!$C$4:$C$1503,$A568))</f>
        <v/>
      </c>
      <c r="O568" s="27">
        <f>IF($A568="","",IF(COUNTIFS(NOVEDADES!$C$4:$C$1503,$A568,NOVEDADES!$M$4:$M$1503,"SÍ")&gt;0,"No","Sí"))</f>
        <v/>
      </c>
      <c r="P568" s="27">
        <f>IF(OR($A568="",$K568=""),"",IF(AND($M568="Sí",$O568="Sí"),"OTIF","Falló"))</f>
        <v/>
      </c>
    </row>
    <row r="569" ht="16" customHeight="1">
      <c r="A569" s="47" t="n"/>
      <c r="B569" s="46" t="n"/>
      <c r="C569" s="49" t="n"/>
      <c r="D569" s="49" t="n"/>
      <c r="E569" s="49" t="n"/>
      <c r="F569" s="49" t="n"/>
      <c r="G569" s="47" t="n"/>
      <c r="H569" s="50" t="n"/>
      <c r="I569" s="51" t="n"/>
      <c r="J569" s="46" t="n"/>
      <c r="K569" s="46" t="n"/>
      <c r="L569" s="23">
        <f>IF(OR($A569="",$B569=""),"",IF($K569&lt;&gt;"",$K569-$B569,TODAY()-$B569))</f>
        <v/>
      </c>
      <c r="M569" s="27">
        <f>IF(OR($A569="",$J569=""),"",IF($K569="",IF(TODAY()&gt;$J569,"Atrasado","En ruta"),IF($K569&lt;=$J569,"Sí","No")))</f>
        <v/>
      </c>
      <c r="N569" s="23">
        <f>IF($A569="","",COUNTIFS(NOVEDADES!$C$4:$C$1503,$A569))</f>
        <v/>
      </c>
      <c r="O569" s="27">
        <f>IF($A569="","",IF(COUNTIFS(NOVEDADES!$C$4:$C$1503,$A569,NOVEDADES!$M$4:$M$1503,"SÍ")&gt;0,"No","Sí"))</f>
        <v/>
      </c>
      <c r="P569" s="27">
        <f>IF(OR($A569="",$K569=""),"",IF(AND($M569="Sí",$O569="Sí"),"OTIF","Falló"))</f>
        <v/>
      </c>
    </row>
    <row r="570" ht="16" customHeight="1">
      <c r="A570" s="47" t="n"/>
      <c r="B570" s="46" t="n"/>
      <c r="C570" s="49" t="n"/>
      <c r="D570" s="49" t="n"/>
      <c r="E570" s="49" t="n"/>
      <c r="F570" s="49" t="n"/>
      <c r="G570" s="47" t="n"/>
      <c r="H570" s="50" t="n"/>
      <c r="I570" s="51" t="n"/>
      <c r="J570" s="46" t="n"/>
      <c r="K570" s="46" t="n"/>
      <c r="L570" s="23">
        <f>IF(OR($A570="",$B570=""),"",IF($K570&lt;&gt;"",$K570-$B570,TODAY()-$B570))</f>
        <v/>
      </c>
      <c r="M570" s="27">
        <f>IF(OR($A570="",$J570=""),"",IF($K570="",IF(TODAY()&gt;$J570,"Atrasado","En ruta"),IF($K570&lt;=$J570,"Sí","No")))</f>
        <v/>
      </c>
      <c r="N570" s="23">
        <f>IF($A570="","",COUNTIFS(NOVEDADES!$C$4:$C$1503,$A570))</f>
        <v/>
      </c>
      <c r="O570" s="27">
        <f>IF($A570="","",IF(COUNTIFS(NOVEDADES!$C$4:$C$1503,$A570,NOVEDADES!$M$4:$M$1503,"SÍ")&gt;0,"No","Sí"))</f>
        <v/>
      </c>
      <c r="P570" s="27">
        <f>IF(OR($A570="",$K570=""),"",IF(AND($M570="Sí",$O570="Sí"),"OTIF","Falló"))</f>
        <v/>
      </c>
    </row>
    <row r="571" ht="16" customHeight="1">
      <c r="A571" s="47" t="n"/>
      <c r="B571" s="46" t="n"/>
      <c r="C571" s="49" t="n"/>
      <c r="D571" s="49" t="n"/>
      <c r="E571" s="49" t="n"/>
      <c r="F571" s="49" t="n"/>
      <c r="G571" s="47" t="n"/>
      <c r="H571" s="50" t="n"/>
      <c r="I571" s="51" t="n"/>
      <c r="J571" s="46" t="n"/>
      <c r="K571" s="46" t="n"/>
      <c r="L571" s="23">
        <f>IF(OR($A571="",$B571=""),"",IF($K571&lt;&gt;"",$K571-$B571,TODAY()-$B571))</f>
        <v/>
      </c>
      <c r="M571" s="27">
        <f>IF(OR($A571="",$J571=""),"",IF($K571="",IF(TODAY()&gt;$J571,"Atrasado","En ruta"),IF($K571&lt;=$J571,"Sí","No")))</f>
        <v/>
      </c>
      <c r="N571" s="23">
        <f>IF($A571="","",COUNTIFS(NOVEDADES!$C$4:$C$1503,$A571))</f>
        <v/>
      </c>
      <c r="O571" s="27">
        <f>IF($A571="","",IF(COUNTIFS(NOVEDADES!$C$4:$C$1503,$A571,NOVEDADES!$M$4:$M$1503,"SÍ")&gt;0,"No","Sí"))</f>
        <v/>
      </c>
      <c r="P571" s="27">
        <f>IF(OR($A571="",$K571=""),"",IF(AND($M571="Sí",$O571="Sí"),"OTIF","Falló"))</f>
        <v/>
      </c>
    </row>
    <row r="572" ht="16" customHeight="1">
      <c r="A572" s="47" t="n"/>
      <c r="B572" s="46" t="n"/>
      <c r="C572" s="49" t="n"/>
      <c r="D572" s="49" t="n"/>
      <c r="E572" s="49" t="n"/>
      <c r="F572" s="49" t="n"/>
      <c r="G572" s="47" t="n"/>
      <c r="H572" s="50" t="n"/>
      <c r="I572" s="51" t="n"/>
      <c r="J572" s="46" t="n"/>
      <c r="K572" s="46" t="n"/>
      <c r="L572" s="23">
        <f>IF(OR($A572="",$B572=""),"",IF($K572&lt;&gt;"",$K572-$B572,TODAY()-$B572))</f>
        <v/>
      </c>
      <c r="M572" s="27">
        <f>IF(OR($A572="",$J572=""),"",IF($K572="",IF(TODAY()&gt;$J572,"Atrasado","En ruta"),IF($K572&lt;=$J572,"Sí","No")))</f>
        <v/>
      </c>
      <c r="N572" s="23">
        <f>IF($A572="","",COUNTIFS(NOVEDADES!$C$4:$C$1503,$A572))</f>
        <v/>
      </c>
      <c r="O572" s="27">
        <f>IF($A572="","",IF(COUNTIFS(NOVEDADES!$C$4:$C$1503,$A572,NOVEDADES!$M$4:$M$1503,"SÍ")&gt;0,"No","Sí"))</f>
        <v/>
      </c>
      <c r="P572" s="27">
        <f>IF(OR($A572="",$K572=""),"",IF(AND($M572="Sí",$O572="Sí"),"OTIF","Falló"))</f>
        <v/>
      </c>
    </row>
    <row r="573" ht="16" customHeight="1">
      <c r="A573" s="47" t="n"/>
      <c r="B573" s="46" t="n"/>
      <c r="C573" s="49" t="n"/>
      <c r="D573" s="49" t="n"/>
      <c r="E573" s="49" t="n"/>
      <c r="F573" s="49" t="n"/>
      <c r="G573" s="47" t="n"/>
      <c r="H573" s="50" t="n"/>
      <c r="I573" s="51" t="n"/>
      <c r="J573" s="46" t="n"/>
      <c r="K573" s="46" t="n"/>
      <c r="L573" s="23">
        <f>IF(OR($A573="",$B573=""),"",IF($K573&lt;&gt;"",$K573-$B573,TODAY()-$B573))</f>
        <v/>
      </c>
      <c r="M573" s="27">
        <f>IF(OR($A573="",$J573=""),"",IF($K573="",IF(TODAY()&gt;$J573,"Atrasado","En ruta"),IF($K573&lt;=$J573,"Sí","No")))</f>
        <v/>
      </c>
      <c r="N573" s="23">
        <f>IF($A573="","",COUNTIFS(NOVEDADES!$C$4:$C$1503,$A573))</f>
        <v/>
      </c>
      <c r="O573" s="27">
        <f>IF($A573="","",IF(COUNTIFS(NOVEDADES!$C$4:$C$1503,$A573,NOVEDADES!$M$4:$M$1503,"SÍ")&gt;0,"No","Sí"))</f>
        <v/>
      </c>
      <c r="P573" s="27">
        <f>IF(OR($A573="",$K573=""),"",IF(AND($M573="Sí",$O573="Sí"),"OTIF","Falló"))</f>
        <v/>
      </c>
    </row>
    <row r="574" ht="16" customHeight="1">
      <c r="A574" s="47" t="n"/>
      <c r="B574" s="46" t="n"/>
      <c r="C574" s="49" t="n"/>
      <c r="D574" s="49" t="n"/>
      <c r="E574" s="49" t="n"/>
      <c r="F574" s="49" t="n"/>
      <c r="G574" s="47" t="n"/>
      <c r="H574" s="50" t="n"/>
      <c r="I574" s="51" t="n"/>
      <c r="J574" s="46" t="n"/>
      <c r="K574" s="46" t="n"/>
      <c r="L574" s="23">
        <f>IF(OR($A574="",$B574=""),"",IF($K574&lt;&gt;"",$K574-$B574,TODAY()-$B574))</f>
        <v/>
      </c>
      <c r="M574" s="27">
        <f>IF(OR($A574="",$J574=""),"",IF($K574="",IF(TODAY()&gt;$J574,"Atrasado","En ruta"),IF($K574&lt;=$J574,"Sí","No")))</f>
        <v/>
      </c>
      <c r="N574" s="23">
        <f>IF($A574="","",COUNTIFS(NOVEDADES!$C$4:$C$1503,$A574))</f>
        <v/>
      </c>
      <c r="O574" s="27">
        <f>IF($A574="","",IF(COUNTIFS(NOVEDADES!$C$4:$C$1503,$A574,NOVEDADES!$M$4:$M$1503,"SÍ")&gt;0,"No","Sí"))</f>
        <v/>
      </c>
      <c r="P574" s="27">
        <f>IF(OR($A574="",$K574=""),"",IF(AND($M574="Sí",$O574="Sí"),"OTIF","Falló"))</f>
        <v/>
      </c>
    </row>
    <row r="575" ht="16" customHeight="1">
      <c r="A575" s="47" t="n"/>
      <c r="B575" s="46" t="n"/>
      <c r="C575" s="49" t="n"/>
      <c r="D575" s="49" t="n"/>
      <c r="E575" s="49" t="n"/>
      <c r="F575" s="49" t="n"/>
      <c r="G575" s="47" t="n"/>
      <c r="H575" s="50" t="n"/>
      <c r="I575" s="51" t="n"/>
      <c r="J575" s="46" t="n"/>
      <c r="K575" s="46" t="n"/>
      <c r="L575" s="23">
        <f>IF(OR($A575="",$B575=""),"",IF($K575&lt;&gt;"",$K575-$B575,TODAY()-$B575))</f>
        <v/>
      </c>
      <c r="M575" s="27">
        <f>IF(OR($A575="",$J575=""),"",IF($K575="",IF(TODAY()&gt;$J575,"Atrasado","En ruta"),IF($K575&lt;=$J575,"Sí","No")))</f>
        <v/>
      </c>
      <c r="N575" s="23">
        <f>IF($A575="","",COUNTIFS(NOVEDADES!$C$4:$C$1503,$A575))</f>
        <v/>
      </c>
      <c r="O575" s="27">
        <f>IF($A575="","",IF(COUNTIFS(NOVEDADES!$C$4:$C$1503,$A575,NOVEDADES!$M$4:$M$1503,"SÍ")&gt;0,"No","Sí"))</f>
        <v/>
      </c>
      <c r="P575" s="27">
        <f>IF(OR($A575="",$K575=""),"",IF(AND($M575="Sí",$O575="Sí"),"OTIF","Falló"))</f>
        <v/>
      </c>
    </row>
    <row r="576" ht="16" customHeight="1">
      <c r="A576" s="47" t="n"/>
      <c r="B576" s="46" t="n"/>
      <c r="C576" s="49" t="n"/>
      <c r="D576" s="49" t="n"/>
      <c r="E576" s="49" t="n"/>
      <c r="F576" s="49" t="n"/>
      <c r="G576" s="47" t="n"/>
      <c r="H576" s="50" t="n"/>
      <c r="I576" s="51" t="n"/>
      <c r="J576" s="46" t="n"/>
      <c r="K576" s="46" t="n"/>
      <c r="L576" s="23">
        <f>IF(OR($A576="",$B576=""),"",IF($K576&lt;&gt;"",$K576-$B576,TODAY()-$B576))</f>
        <v/>
      </c>
      <c r="M576" s="27">
        <f>IF(OR($A576="",$J576=""),"",IF($K576="",IF(TODAY()&gt;$J576,"Atrasado","En ruta"),IF($K576&lt;=$J576,"Sí","No")))</f>
        <v/>
      </c>
      <c r="N576" s="23">
        <f>IF($A576="","",COUNTIFS(NOVEDADES!$C$4:$C$1503,$A576))</f>
        <v/>
      </c>
      <c r="O576" s="27">
        <f>IF($A576="","",IF(COUNTIFS(NOVEDADES!$C$4:$C$1503,$A576,NOVEDADES!$M$4:$M$1503,"SÍ")&gt;0,"No","Sí"))</f>
        <v/>
      </c>
      <c r="P576" s="27">
        <f>IF(OR($A576="",$K576=""),"",IF(AND($M576="Sí",$O576="Sí"),"OTIF","Falló"))</f>
        <v/>
      </c>
    </row>
    <row r="577" ht="16" customHeight="1">
      <c r="A577" s="47" t="n"/>
      <c r="B577" s="46" t="n"/>
      <c r="C577" s="49" t="n"/>
      <c r="D577" s="49" t="n"/>
      <c r="E577" s="49" t="n"/>
      <c r="F577" s="49" t="n"/>
      <c r="G577" s="47" t="n"/>
      <c r="H577" s="50" t="n"/>
      <c r="I577" s="51" t="n"/>
      <c r="J577" s="46" t="n"/>
      <c r="K577" s="46" t="n"/>
      <c r="L577" s="23">
        <f>IF(OR($A577="",$B577=""),"",IF($K577&lt;&gt;"",$K577-$B577,TODAY()-$B577))</f>
        <v/>
      </c>
      <c r="M577" s="27">
        <f>IF(OR($A577="",$J577=""),"",IF($K577="",IF(TODAY()&gt;$J577,"Atrasado","En ruta"),IF($K577&lt;=$J577,"Sí","No")))</f>
        <v/>
      </c>
      <c r="N577" s="23">
        <f>IF($A577="","",COUNTIFS(NOVEDADES!$C$4:$C$1503,$A577))</f>
        <v/>
      </c>
      <c r="O577" s="27">
        <f>IF($A577="","",IF(COUNTIFS(NOVEDADES!$C$4:$C$1503,$A577,NOVEDADES!$M$4:$M$1503,"SÍ")&gt;0,"No","Sí"))</f>
        <v/>
      </c>
      <c r="P577" s="27">
        <f>IF(OR($A577="",$K577=""),"",IF(AND($M577="Sí",$O577="Sí"),"OTIF","Falló"))</f>
        <v/>
      </c>
    </row>
    <row r="578" ht="16" customHeight="1">
      <c r="A578" s="47" t="n"/>
      <c r="B578" s="46" t="n"/>
      <c r="C578" s="49" t="n"/>
      <c r="D578" s="49" t="n"/>
      <c r="E578" s="49" t="n"/>
      <c r="F578" s="49" t="n"/>
      <c r="G578" s="47" t="n"/>
      <c r="H578" s="50" t="n"/>
      <c r="I578" s="51" t="n"/>
      <c r="J578" s="46" t="n"/>
      <c r="K578" s="46" t="n"/>
      <c r="L578" s="23">
        <f>IF(OR($A578="",$B578=""),"",IF($K578&lt;&gt;"",$K578-$B578,TODAY()-$B578))</f>
        <v/>
      </c>
      <c r="M578" s="27">
        <f>IF(OR($A578="",$J578=""),"",IF($K578="",IF(TODAY()&gt;$J578,"Atrasado","En ruta"),IF($K578&lt;=$J578,"Sí","No")))</f>
        <v/>
      </c>
      <c r="N578" s="23">
        <f>IF($A578="","",COUNTIFS(NOVEDADES!$C$4:$C$1503,$A578))</f>
        <v/>
      </c>
      <c r="O578" s="27">
        <f>IF($A578="","",IF(COUNTIFS(NOVEDADES!$C$4:$C$1503,$A578,NOVEDADES!$M$4:$M$1503,"SÍ")&gt;0,"No","Sí"))</f>
        <v/>
      </c>
      <c r="P578" s="27">
        <f>IF(OR($A578="",$K578=""),"",IF(AND($M578="Sí",$O578="Sí"),"OTIF","Falló"))</f>
        <v/>
      </c>
    </row>
    <row r="579" ht="16" customHeight="1">
      <c r="A579" s="47" t="n"/>
      <c r="B579" s="46" t="n"/>
      <c r="C579" s="49" t="n"/>
      <c r="D579" s="49" t="n"/>
      <c r="E579" s="49" t="n"/>
      <c r="F579" s="49" t="n"/>
      <c r="G579" s="47" t="n"/>
      <c r="H579" s="50" t="n"/>
      <c r="I579" s="51" t="n"/>
      <c r="J579" s="46" t="n"/>
      <c r="K579" s="46" t="n"/>
      <c r="L579" s="23">
        <f>IF(OR($A579="",$B579=""),"",IF($K579&lt;&gt;"",$K579-$B579,TODAY()-$B579))</f>
        <v/>
      </c>
      <c r="M579" s="27">
        <f>IF(OR($A579="",$J579=""),"",IF($K579="",IF(TODAY()&gt;$J579,"Atrasado","En ruta"),IF($K579&lt;=$J579,"Sí","No")))</f>
        <v/>
      </c>
      <c r="N579" s="23">
        <f>IF($A579="","",COUNTIFS(NOVEDADES!$C$4:$C$1503,$A579))</f>
        <v/>
      </c>
      <c r="O579" s="27">
        <f>IF($A579="","",IF(COUNTIFS(NOVEDADES!$C$4:$C$1503,$A579,NOVEDADES!$M$4:$M$1503,"SÍ")&gt;0,"No","Sí"))</f>
        <v/>
      </c>
      <c r="P579" s="27">
        <f>IF(OR($A579="",$K579=""),"",IF(AND($M579="Sí",$O579="Sí"),"OTIF","Falló"))</f>
        <v/>
      </c>
    </row>
    <row r="580" ht="16" customHeight="1">
      <c r="A580" s="47" t="n"/>
      <c r="B580" s="46" t="n"/>
      <c r="C580" s="49" t="n"/>
      <c r="D580" s="49" t="n"/>
      <c r="E580" s="49" t="n"/>
      <c r="F580" s="49" t="n"/>
      <c r="G580" s="47" t="n"/>
      <c r="H580" s="50" t="n"/>
      <c r="I580" s="51" t="n"/>
      <c r="J580" s="46" t="n"/>
      <c r="K580" s="46" t="n"/>
      <c r="L580" s="23">
        <f>IF(OR($A580="",$B580=""),"",IF($K580&lt;&gt;"",$K580-$B580,TODAY()-$B580))</f>
        <v/>
      </c>
      <c r="M580" s="27">
        <f>IF(OR($A580="",$J580=""),"",IF($K580="",IF(TODAY()&gt;$J580,"Atrasado","En ruta"),IF($K580&lt;=$J580,"Sí","No")))</f>
        <v/>
      </c>
      <c r="N580" s="23">
        <f>IF($A580="","",COUNTIFS(NOVEDADES!$C$4:$C$1503,$A580))</f>
        <v/>
      </c>
      <c r="O580" s="27">
        <f>IF($A580="","",IF(COUNTIFS(NOVEDADES!$C$4:$C$1503,$A580,NOVEDADES!$M$4:$M$1503,"SÍ")&gt;0,"No","Sí"))</f>
        <v/>
      </c>
      <c r="P580" s="27">
        <f>IF(OR($A580="",$K580=""),"",IF(AND($M580="Sí",$O580="Sí"),"OTIF","Falló"))</f>
        <v/>
      </c>
    </row>
    <row r="581" ht="16" customHeight="1">
      <c r="A581" s="47" t="n"/>
      <c r="B581" s="46" t="n"/>
      <c r="C581" s="49" t="n"/>
      <c r="D581" s="49" t="n"/>
      <c r="E581" s="49" t="n"/>
      <c r="F581" s="49" t="n"/>
      <c r="G581" s="47" t="n"/>
      <c r="H581" s="50" t="n"/>
      <c r="I581" s="51" t="n"/>
      <c r="J581" s="46" t="n"/>
      <c r="K581" s="46" t="n"/>
      <c r="L581" s="23">
        <f>IF(OR($A581="",$B581=""),"",IF($K581&lt;&gt;"",$K581-$B581,TODAY()-$B581))</f>
        <v/>
      </c>
      <c r="M581" s="27">
        <f>IF(OR($A581="",$J581=""),"",IF($K581="",IF(TODAY()&gt;$J581,"Atrasado","En ruta"),IF($K581&lt;=$J581,"Sí","No")))</f>
        <v/>
      </c>
      <c r="N581" s="23">
        <f>IF($A581="","",COUNTIFS(NOVEDADES!$C$4:$C$1503,$A581))</f>
        <v/>
      </c>
      <c r="O581" s="27">
        <f>IF($A581="","",IF(COUNTIFS(NOVEDADES!$C$4:$C$1503,$A581,NOVEDADES!$M$4:$M$1503,"SÍ")&gt;0,"No","Sí"))</f>
        <v/>
      </c>
      <c r="P581" s="27">
        <f>IF(OR($A581="",$K581=""),"",IF(AND($M581="Sí",$O581="Sí"),"OTIF","Falló"))</f>
        <v/>
      </c>
    </row>
    <row r="582" ht="16" customHeight="1">
      <c r="A582" s="47" t="n"/>
      <c r="B582" s="46" t="n"/>
      <c r="C582" s="49" t="n"/>
      <c r="D582" s="49" t="n"/>
      <c r="E582" s="49" t="n"/>
      <c r="F582" s="49" t="n"/>
      <c r="G582" s="47" t="n"/>
      <c r="H582" s="50" t="n"/>
      <c r="I582" s="51" t="n"/>
      <c r="J582" s="46" t="n"/>
      <c r="K582" s="46" t="n"/>
      <c r="L582" s="23">
        <f>IF(OR($A582="",$B582=""),"",IF($K582&lt;&gt;"",$K582-$B582,TODAY()-$B582))</f>
        <v/>
      </c>
      <c r="M582" s="27">
        <f>IF(OR($A582="",$J582=""),"",IF($K582="",IF(TODAY()&gt;$J582,"Atrasado","En ruta"),IF($K582&lt;=$J582,"Sí","No")))</f>
        <v/>
      </c>
      <c r="N582" s="23">
        <f>IF($A582="","",COUNTIFS(NOVEDADES!$C$4:$C$1503,$A582))</f>
        <v/>
      </c>
      <c r="O582" s="27">
        <f>IF($A582="","",IF(COUNTIFS(NOVEDADES!$C$4:$C$1503,$A582,NOVEDADES!$M$4:$M$1503,"SÍ")&gt;0,"No","Sí"))</f>
        <v/>
      </c>
      <c r="P582" s="27">
        <f>IF(OR($A582="",$K582=""),"",IF(AND($M582="Sí",$O582="Sí"),"OTIF","Falló"))</f>
        <v/>
      </c>
    </row>
    <row r="583" ht="16" customHeight="1">
      <c r="A583" s="47" t="n"/>
      <c r="B583" s="46" t="n"/>
      <c r="C583" s="49" t="n"/>
      <c r="D583" s="49" t="n"/>
      <c r="E583" s="49" t="n"/>
      <c r="F583" s="49" t="n"/>
      <c r="G583" s="47" t="n"/>
      <c r="H583" s="50" t="n"/>
      <c r="I583" s="51" t="n"/>
      <c r="J583" s="46" t="n"/>
      <c r="K583" s="46" t="n"/>
      <c r="L583" s="23">
        <f>IF(OR($A583="",$B583=""),"",IF($K583&lt;&gt;"",$K583-$B583,TODAY()-$B583))</f>
        <v/>
      </c>
      <c r="M583" s="27">
        <f>IF(OR($A583="",$J583=""),"",IF($K583="",IF(TODAY()&gt;$J583,"Atrasado","En ruta"),IF($K583&lt;=$J583,"Sí","No")))</f>
        <v/>
      </c>
      <c r="N583" s="23">
        <f>IF($A583="","",COUNTIFS(NOVEDADES!$C$4:$C$1503,$A583))</f>
        <v/>
      </c>
      <c r="O583" s="27">
        <f>IF($A583="","",IF(COUNTIFS(NOVEDADES!$C$4:$C$1503,$A583,NOVEDADES!$M$4:$M$1503,"SÍ")&gt;0,"No","Sí"))</f>
        <v/>
      </c>
      <c r="P583" s="27">
        <f>IF(OR($A583="",$K583=""),"",IF(AND($M583="Sí",$O583="Sí"),"OTIF","Falló"))</f>
        <v/>
      </c>
    </row>
    <row r="584" ht="16" customHeight="1">
      <c r="A584" s="47" t="n"/>
      <c r="B584" s="46" t="n"/>
      <c r="C584" s="49" t="n"/>
      <c r="D584" s="49" t="n"/>
      <c r="E584" s="49" t="n"/>
      <c r="F584" s="49" t="n"/>
      <c r="G584" s="47" t="n"/>
      <c r="H584" s="50" t="n"/>
      <c r="I584" s="51" t="n"/>
      <c r="J584" s="46" t="n"/>
      <c r="K584" s="46" t="n"/>
      <c r="L584" s="23">
        <f>IF(OR($A584="",$B584=""),"",IF($K584&lt;&gt;"",$K584-$B584,TODAY()-$B584))</f>
        <v/>
      </c>
      <c r="M584" s="27">
        <f>IF(OR($A584="",$J584=""),"",IF($K584="",IF(TODAY()&gt;$J584,"Atrasado","En ruta"),IF($K584&lt;=$J584,"Sí","No")))</f>
        <v/>
      </c>
      <c r="N584" s="23">
        <f>IF($A584="","",COUNTIFS(NOVEDADES!$C$4:$C$1503,$A584))</f>
        <v/>
      </c>
      <c r="O584" s="27">
        <f>IF($A584="","",IF(COUNTIFS(NOVEDADES!$C$4:$C$1503,$A584,NOVEDADES!$M$4:$M$1503,"SÍ")&gt;0,"No","Sí"))</f>
        <v/>
      </c>
      <c r="P584" s="27">
        <f>IF(OR($A584="",$K584=""),"",IF(AND($M584="Sí",$O584="Sí"),"OTIF","Falló"))</f>
        <v/>
      </c>
    </row>
    <row r="585" ht="16" customHeight="1">
      <c r="A585" s="47" t="n"/>
      <c r="B585" s="46" t="n"/>
      <c r="C585" s="49" t="n"/>
      <c r="D585" s="49" t="n"/>
      <c r="E585" s="49" t="n"/>
      <c r="F585" s="49" t="n"/>
      <c r="G585" s="47" t="n"/>
      <c r="H585" s="50" t="n"/>
      <c r="I585" s="51" t="n"/>
      <c r="J585" s="46" t="n"/>
      <c r="K585" s="46" t="n"/>
      <c r="L585" s="23">
        <f>IF(OR($A585="",$B585=""),"",IF($K585&lt;&gt;"",$K585-$B585,TODAY()-$B585))</f>
        <v/>
      </c>
      <c r="M585" s="27">
        <f>IF(OR($A585="",$J585=""),"",IF($K585="",IF(TODAY()&gt;$J585,"Atrasado","En ruta"),IF($K585&lt;=$J585,"Sí","No")))</f>
        <v/>
      </c>
      <c r="N585" s="23">
        <f>IF($A585="","",COUNTIFS(NOVEDADES!$C$4:$C$1503,$A585))</f>
        <v/>
      </c>
      <c r="O585" s="27">
        <f>IF($A585="","",IF(COUNTIFS(NOVEDADES!$C$4:$C$1503,$A585,NOVEDADES!$M$4:$M$1503,"SÍ")&gt;0,"No","Sí"))</f>
        <v/>
      </c>
      <c r="P585" s="27">
        <f>IF(OR($A585="",$K585=""),"",IF(AND($M585="Sí",$O585="Sí"),"OTIF","Falló"))</f>
        <v/>
      </c>
    </row>
    <row r="586" ht="16" customHeight="1">
      <c r="A586" s="47" t="n"/>
      <c r="B586" s="46" t="n"/>
      <c r="C586" s="49" t="n"/>
      <c r="D586" s="49" t="n"/>
      <c r="E586" s="49" t="n"/>
      <c r="F586" s="49" t="n"/>
      <c r="G586" s="47" t="n"/>
      <c r="H586" s="50" t="n"/>
      <c r="I586" s="51" t="n"/>
      <c r="J586" s="46" t="n"/>
      <c r="K586" s="46" t="n"/>
      <c r="L586" s="23">
        <f>IF(OR($A586="",$B586=""),"",IF($K586&lt;&gt;"",$K586-$B586,TODAY()-$B586))</f>
        <v/>
      </c>
      <c r="M586" s="27">
        <f>IF(OR($A586="",$J586=""),"",IF($K586="",IF(TODAY()&gt;$J586,"Atrasado","En ruta"),IF($K586&lt;=$J586,"Sí","No")))</f>
        <v/>
      </c>
      <c r="N586" s="23">
        <f>IF($A586="","",COUNTIFS(NOVEDADES!$C$4:$C$1503,$A586))</f>
        <v/>
      </c>
      <c r="O586" s="27">
        <f>IF($A586="","",IF(COUNTIFS(NOVEDADES!$C$4:$C$1503,$A586,NOVEDADES!$M$4:$M$1503,"SÍ")&gt;0,"No","Sí"))</f>
        <v/>
      </c>
      <c r="P586" s="27">
        <f>IF(OR($A586="",$K586=""),"",IF(AND($M586="Sí",$O586="Sí"),"OTIF","Falló"))</f>
        <v/>
      </c>
    </row>
    <row r="587" ht="16" customHeight="1">
      <c r="A587" s="47" t="n"/>
      <c r="B587" s="46" t="n"/>
      <c r="C587" s="49" t="n"/>
      <c r="D587" s="49" t="n"/>
      <c r="E587" s="49" t="n"/>
      <c r="F587" s="49" t="n"/>
      <c r="G587" s="47" t="n"/>
      <c r="H587" s="50" t="n"/>
      <c r="I587" s="51" t="n"/>
      <c r="J587" s="46" t="n"/>
      <c r="K587" s="46" t="n"/>
      <c r="L587" s="23">
        <f>IF(OR($A587="",$B587=""),"",IF($K587&lt;&gt;"",$K587-$B587,TODAY()-$B587))</f>
        <v/>
      </c>
      <c r="M587" s="27">
        <f>IF(OR($A587="",$J587=""),"",IF($K587="",IF(TODAY()&gt;$J587,"Atrasado","En ruta"),IF($K587&lt;=$J587,"Sí","No")))</f>
        <v/>
      </c>
      <c r="N587" s="23">
        <f>IF($A587="","",COUNTIFS(NOVEDADES!$C$4:$C$1503,$A587))</f>
        <v/>
      </c>
      <c r="O587" s="27">
        <f>IF($A587="","",IF(COUNTIFS(NOVEDADES!$C$4:$C$1503,$A587,NOVEDADES!$M$4:$M$1503,"SÍ")&gt;0,"No","Sí"))</f>
        <v/>
      </c>
      <c r="P587" s="27">
        <f>IF(OR($A587="",$K587=""),"",IF(AND($M587="Sí",$O587="Sí"),"OTIF","Falló"))</f>
        <v/>
      </c>
    </row>
    <row r="588" ht="16" customHeight="1">
      <c r="A588" s="47" t="n"/>
      <c r="B588" s="46" t="n"/>
      <c r="C588" s="49" t="n"/>
      <c r="D588" s="49" t="n"/>
      <c r="E588" s="49" t="n"/>
      <c r="F588" s="49" t="n"/>
      <c r="G588" s="47" t="n"/>
      <c r="H588" s="50" t="n"/>
      <c r="I588" s="51" t="n"/>
      <c r="J588" s="46" t="n"/>
      <c r="K588" s="46" t="n"/>
      <c r="L588" s="23">
        <f>IF(OR($A588="",$B588=""),"",IF($K588&lt;&gt;"",$K588-$B588,TODAY()-$B588))</f>
        <v/>
      </c>
      <c r="M588" s="27">
        <f>IF(OR($A588="",$J588=""),"",IF($K588="",IF(TODAY()&gt;$J588,"Atrasado","En ruta"),IF($K588&lt;=$J588,"Sí","No")))</f>
        <v/>
      </c>
      <c r="N588" s="23">
        <f>IF($A588="","",COUNTIFS(NOVEDADES!$C$4:$C$1503,$A588))</f>
        <v/>
      </c>
      <c r="O588" s="27">
        <f>IF($A588="","",IF(COUNTIFS(NOVEDADES!$C$4:$C$1503,$A588,NOVEDADES!$M$4:$M$1503,"SÍ")&gt;0,"No","Sí"))</f>
        <v/>
      </c>
      <c r="P588" s="27">
        <f>IF(OR($A588="",$K588=""),"",IF(AND($M588="Sí",$O588="Sí"),"OTIF","Falló"))</f>
        <v/>
      </c>
    </row>
    <row r="589" ht="16" customHeight="1">
      <c r="A589" s="47" t="n"/>
      <c r="B589" s="46" t="n"/>
      <c r="C589" s="49" t="n"/>
      <c r="D589" s="49" t="n"/>
      <c r="E589" s="49" t="n"/>
      <c r="F589" s="49" t="n"/>
      <c r="G589" s="47" t="n"/>
      <c r="H589" s="50" t="n"/>
      <c r="I589" s="51" t="n"/>
      <c r="J589" s="46" t="n"/>
      <c r="K589" s="46" t="n"/>
      <c r="L589" s="23">
        <f>IF(OR($A589="",$B589=""),"",IF($K589&lt;&gt;"",$K589-$B589,TODAY()-$B589))</f>
        <v/>
      </c>
      <c r="M589" s="27">
        <f>IF(OR($A589="",$J589=""),"",IF($K589="",IF(TODAY()&gt;$J589,"Atrasado","En ruta"),IF($K589&lt;=$J589,"Sí","No")))</f>
        <v/>
      </c>
      <c r="N589" s="23">
        <f>IF($A589="","",COUNTIFS(NOVEDADES!$C$4:$C$1503,$A589))</f>
        <v/>
      </c>
      <c r="O589" s="27">
        <f>IF($A589="","",IF(COUNTIFS(NOVEDADES!$C$4:$C$1503,$A589,NOVEDADES!$M$4:$M$1503,"SÍ")&gt;0,"No","Sí"))</f>
        <v/>
      </c>
      <c r="P589" s="27">
        <f>IF(OR($A589="",$K589=""),"",IF(AND($M589="Sí",$O589="Sí"),"OTIF","Falló"))</f>
        <v/>
      </c>
    </row>
    <row r="590" ht="16" customHeight="1">
      <c r="A590" s="47" t="n"/>
      <c r="B590" s="46" t="n"/>
      <c r="C590" s="49" t="n"/>
      <c r="D590" s="49" t="n"/>
      <c r="E590" s="49" t="n"/>
      <c r="F590" s="49" t="n"/>
      <c r="G590" s="47" t="n"/>
      <c r="H590" s="50" t="n"/>
      <c r="I590" s="51" t="n"/>
      <c r="J590" s="46" t="n"/>
      <c r="K590" s="46" t="n"/>
      <c r="L590" s="23">
        <f>IF(OR($A590="",$B590=""),"",IF($K590&lt;&gt;"",$K590-$B590,TODAY()-$B590))</f>
        <v/>
      </c>
      <c r="M590" s="27">
        <f>IF(OR($A590="",$J590=""),"",IF($K590="",IF(TODAY()&gt;$J590,"Atrasado","En ruta"),IF($K590&lt;=$J590,"Sí","No")))</f>
        <v/>
      </c>
      <c r="N590" s="23">
        <f>IF($A590="","",COUNTIFS(NOVEDADES!$C$4:$C$1503,$A590))</f>
        <v/>
      </c>
      <c r="O590" s="27">
        <f>IF($A590="","",IF(COUNTIFS(NOVEDADES!$C$4:$C$1503,$A590,NOVEDADES!$M$4:$M$1503,"SÍ")&gt;0,"No","Sí"))</f>
        <v/>
      </c>
      <c r="P590" s="27">
        <f>IF(OR($A590="",$K590=""),"",IF(AND($M590="Sí",$O590="Sí"),"OTIF","Falló"))</f>
        <v/>
      </c>
    </row>
    <row r="591" ht="16" customHeight="1">
      <c r="A591" s="47" t="n"/>
      <c r="B591" s="46" t="n"/>
      <c r="C591" s="49" t="n"/>
      <c r="D591" s="49" t="n"/>
      <c r="E591" s="49" t="n"/>
      <c r="F591" s="49" t="n"/>
      <c r="G591" s="47" t="n"/>
      <c r="H591" s="50" t="n"/>
      <c r="I591" s="51" t="n"/>
      <c r="J591" s="46" t="n"/>
      <c r="K591" s="46" t="n"/>
      <c r="L591" s="23">
        <f>IF(OR($A591="",$B591=""),"",IF($K591&lt;&gt;"",$K591-$B591,TODAY()-$B591))</f>
        <v/>
      </c>
      <c r="M591" s="27">
        <f>IF(OR($A591="",$J591=""),"",IF($K591="",IF(TODAY()&gt;$J591,"Atrasado","En ruta"),IF($K591&lt;=$J591,"Sí","No")))</f>
        <v/>
      </c>
      <c r="N591" s="23">
        <f>IF($A591="","",COUNTIFS(NOVEDADES!$C$4:$C$1503,$A591))</f>
        <v/>
      </c>
      <c r="O591" s="27">
        <f>IF($A591="","",IF(COUNTIFS(NOVEDADES!$C$4:$C$1503,$A591,NOVEDADES!$M$4:$M$1503,"SÍ")&gt;0,"No","Sí"))</f>
        <v/>
      </c>
      <c r="P591" s="27">
        <f>IF(OR($A591="",$K591=""),"",IF(AND($M591="Sí",$O591="Sí"),"OTIF","Falló"))</f>
        <v/>
      </c>
    </row>
    <row r="592" ht="16" customHeight="1">
      <c r="A592" s="47" t="n"/>
      <c r="B592" s="46" t="n"/>
      <c r="C592" s="49" t="n"/>
      <c r="D592" s="49" t="n"/>
      <c r="E592" s="49" t="n"/>
      <c r="F592" s="49" t="n"/>
      <c r="G592" s="47" t="n"/>
      <c r="H592" s="50" t="n"/>
      <c r="I592" s="51" t="n"/>
      <c r="J592" s="46" t="n"/>
      <c r="K592" s="46" t="n"/>
      <c r="L592" s="23">
        <f>IF(OR($A592="",$B592=""),"",IF($K592&lt;&gt;"",$K592-$B592,TODAY()-$B592))</f>
        <v/>
      </c>
      <c r="M592" s="27">
        <f>IF(OR($A592="",$J592=""),"",IF($K592="",IF(TODAY()&gt;$J592,"Atrasado","En ruta"),IF($K592&lt;=$J592,"Sí","No")))</f>
        <v/>
      </c>
      <c r="N592" s="23">
        <f>IF($A592="","",COUNTIFS(NOVEDADES!$C$4:$C$1503,$A592))</f>
        <v/>
      </c>
      <c r="O592" s="27">
        <f>IF($A592="","",IF(COUNTIFS(NOVEDADES!$C$4:$C$1503,$A592,NOVEDADES!$M$4:$M$1503,"SÍ")&gt;0,"No","Sí"))</f>
        <v/>
      </c>
      <c r="P592" s="27">
        <f>IF(OR($A592="",$K592=""),"",IF(AND($M592="Sí",$O592="Sí"),"OTIF","Falló"))</f>
        <v/>
      </c>
    </row>
    <row r="593" ht="16" customHeight="1">
      <c r="A593" s="47" t="n"/>
      <c r="B593" s="46" t="n"/>
      <c r="C593" s="49" t="n"/>
      <c r="D593" s="49" t="n"/>
      <c r="E593" s="49" t="n"/>
      <c r="F593" s="49" t="n"/>
      <c r="G593" s="47" t="n"/>
      <c r="H593" s="50" t="n"/>
      <c r="I593" s="51" t="n"/>
      <c r="J593" s="46" t="n"/>
      <c r="K593" s="46" t="n"/>
      <c r="L593" s="23">
        <f>IF(OR($A593="",$B593=""),"",IF($K593&lt;&gt;"",$K593-$B593,TODAY()-$B593))</f>
        <v/>
      </c>
      <c r="M593" s="27">
        <f>IF(OR($A593="",$J593=""),"",IF($K593="",IF(TODAY()&gt;$J593,"Atrasado","En ruta"),IF($K593&lt;=$J593,"Sí","No")))</f>
        <v/>
      </c>
      <c r="N593" s="23">
        <f>IF($A593="","",COUNTIFS(NOVEDADES!$C$4:$C$1503,$A593))</f>
        <v/>
      </c>
      <c r="O593" s="27">
        <f>IF($A593="","",IF(COUNTIFS(NOVEDADES!$C$4:$C$1503,$A593,NOVEDADES!$M$4:$M$1503,"SÍ")&gt;0,"No","Sí"))</f>
        <v/>
      </c>
      <c r="P593" s="27">
        <f>IF(OR($A593="",$K593=""),"",IF(AND($M593="Sí",$O593="Sí"),"OTIF","Falló"))</f>
        <v/>
      </c>
    </row>
    <row r="594" ht="16" customHeight="1">
      <c r="A594" s="47" t="n"/>
      <c r="B594" s="46" t="n"/>
      <c r="C594" s="49" t="n"/>
      <c r="D594" s="49" t="n"/>
      <c r="E594" s="49" t="n"/>
      <c r="F594" s="49" t="n"/>
      <c r="G594" s="47" t="n"/>
      <c r="H594" s="50" t="n"/>
      <c r="I594" s="51" t="n"/>
      <c r="J594" s="46" t="n"/>
      <c r="K594" s="46" t="n"/>
      <c r="L594" s="23">
        <f>IF(OR($A594="",$B594=""),"",IF($K594&lt;&gt;"",$K594-$B594,TODAY()-$B594))</f>
        <v/>
      </c>
      <c r="M594" s="27">
        <f>IF(OR($A594="",$J594=""),"",IF($K594="",IF(TODAY()&gt;$J594,"Atrasado","En ruta"),IF($K594&lt;=$J594,"Sí","No")))</f>
        <v/>
      </c>
      <c r="N594" s="23">
        <f>IF($A594="","",COUNTIFS(NOVEDADES!$C$4:$C$1503,$A594))</f>
        <v/>
      </c>
      <c r="O594" s="27">
        <f>IF($A594="","",IF(COUNTIFS(NOVEDADES!$C$4:$C$1503,$A594,NOVEDADES!$M$4:$M$1503,"SÍ")&gt;0,"No","Sí"))</f>
        <v/>
      </c>
      <c r="P594" s="27">
        <f>IF(OR($A594="",$K594=""),"",IF(AND($M594="Sí",$O594="Sí"),"OTIF","Falló"))</f>
        <v/>
      </c>
    </row>
    <row r="595" ht="16" customHeight="1">
      <c r="A595" s="47" t="n"/>
      <c r="B595" s="46" t="n"/>
      <c r="C595" s="49" t="n"/>
      <c r="D595" s="49" t="n"/>
      <c r="E595" s="49" t="n"/>
      <c r="F595" s="49" t="n"/>
      <c r="G595" s="47" t="n"/>
      <c r="H595" s="50" t="n"/>
      <c r="I595" s="51" t="n"/>
      <c r="J595" s="46" t="n"/>
      <c r="K595" s="46" t="n"/>
      <c r="L595" s="23">
        <f>IF(OR($A595="",$B595=""),"",IF($K595&lt;&gt;"",$K595-$B595,TODAY()-$B595))</f>
        <v/>
      </c>
      <c r="M595" s="27">
        <f>IF(OR($A595="",$J595=""),"",IF($K595="",IF(TODAY()&gt;$J595,"Atrasado","En ruta"),IF($K595&lt;=$J595,"Sí","No")))</f>
        <v/>
      </c>
      <c r="N595" s="23">
        <f>IF($A595="","",COUNTIFS(NOVEDADES!$C$4:$C$1503,$A595))</f>
        <v/>
      </c>
      <c r="O595" s="27">
        <f>IF($A595="","",IF(COUNTIFS(NOVEDADES!$C$4:$C$1503,$A595,NOVEDADES!$M$4:$M$1503,"SÍ")&gt;0,"No","Sí"))</f>
        <v/>
      </c>
      <c r="P595" s="27">
        <f>IF(OR($A595="",$K595=""),"",IF(AND($M595="Sí",$O595="Sí"),"OTIF","Falló"))</f>
        <v/>
      </c>
    </row>
    <row r="596" ht="16" customHeight="1">
      <c r="A596" s="47" t="n"/>
      <c r="B596" s="46" t="n"/>
      <c r="C596" s="49" t="n"/>
      <c r="D596" s="49" t="n"/>
      <c r="E596" s="49" t="n"/>
      <c r="F596" s="49" t="n"/>
      <c r="G596" s="47" t="n"/>
      <c r="H596" s="50" t="n"/>
      <c r="I596" s="51" t="n"/>
      <c r="J596" s="46" t="n"/>
      <c r="K596" s="46" t="n"/>
      <c r="L596" s="23">
        <f>IF(OR($A596="",$B596=""),"",IF($K596&lt;&gt;"",$K596-$B596,TODAY()-$B596))</f>
        <v/>
      </c>
      <c r="M596" s="27">
        <f>IF(OR($A596="",$J596=""),"",IF($K596="",IF(TODAY()&gt;$J596,"Atrasado","En ruta"),IF($K596&lt;=$J596,"Sí","No")))</f>
        <v/>
      </c>
      <c r="N596" s="23">
        <f>IF($A596="","",COUNTIFS(NOVEDADES!$C$4:$C$1503,$A596))</f>
        <v/>
      </c>
      <c r="O596" s="27">
        <f>IF($A596="","",IF(COUNTIFS(NOVEDADES!$C$4:$C$1503,$A596,NOVEDADES!$M$4:$M$1503,"SÍ")&gt;0,"No","Sí"))</f>
        <v/>
      </c>
      <c r="P596" s="27">
        <f>IF(OR($A596="",$K596=""),"",IF(AND($M596="Sí",$O596="Sí"),"OTIF","Falló"))</f>
        <v/>
      </c>
    </row>
    <row r="597" ht="16" customHeight="1">
      <c r="A597" s="47" t="n"/>
      <c r="B597" s="46" t="n"/>
      <c r="C597" s="49" t="n"/>
      <c r="D597" s="49" t="n"/>
      <c r="E597" s="49" t="n"/>
      <c r="F597" s="49" t="n"/>
      <c r="G597" s="47" t="n"/>
      <c r="H597" s="50" t="n"/>
      <c r="I597" s="51" t="n"/>
      <c r="J597" s="46" t="n"/>
      <c r="K597" s="46" t="n"/>
      <c r="L597" s="23">
        <f>IF(OR($A597="",$B597=""),"",IF($K597&lt;&gt;"",$K597-$B597,TODAY()-$B597))</f>
        <v/>
      </c>
      <c r="M597" s="27">
        <f>IF(OR($A597="",$J597=""),"",IF($K597="",IF(TODAY()&gt;$J597,"Atrasado","En ruta"),IF($K597&lt;=$J597,"Sí","No")))</f>
        <v/>
      </c>
      <c r="N597" s="23">
        <f>IF($A597="","",COUNTIFS(NOVEDADES!$C$4:$C$1503,$A597))</f>
        <v/>
      </c>
      <c r="O597" s="27">
        <f>IF($A597="","",IF(COUNTIFS(NOVEDADES!$C$4:$C$1503,$A597,NOVEDADES!$M$4:$M$1503,"SÍ")&gt;0,"No","Sí"))</f>
        <v/>
      </c>
      <c r="P597" s="27">
        <f>IF(OR($A597="",$K597=""),"",IF(AND($M597="Sí",$O597="Sí"),"OTIF","Falló"))</f>
        <v/>
      </c>
    </row>
    <row r="598" ht="16" customHeight="1">
      <c r="A598" s="47" t="n"/>
      <c r="B598" s="46" t="n"/>
      <c r="C598" s="49" t="n"/>
      <c r="D598" s="49" t="n"/>
      <c r="E598" s="49" t="n"/>
      <c r="F598" s="49" t="n"/>
      <c r="G598" s="47" t="n"/>
      <c r="H598" s="50" t="n"/>
      <c r="I598" s="51" t="n"/>
      <c r="J598" s="46" t="n"/>
      <c r="K598" s="46" t="n"/>
      <c r="L598" s="23">
        <f>IF(OR($A598="",$B598=""),"",IF($K598&lt;&gt;"",$K598-$B598,TODAY()-$B598))</f>
        <v/>
      </c>
      <c r="M598" s="27">
        <f>IF(OR($A598="",$J598=""),"",IF($K598="",IF(TODAY()&gt;$J598,"Atrasado","En ruta"),IF($K598&lt;=$J598,"Sí","No")))</f>
        <v/>
      </c>
      <c r="N598" s="23">
        <f>IF($A598="","",COUNTIFS(NOVEDADES!$C$4:$C$1503,$A598))</f>
        <v/>
      </c>
      <c r="O598" s="27">
        <f>IF($A598="","",IF(COUNTIFS(NOVEDADES!$C$4:$C$1503,$A598,NOVEDADES!$M$4:$M$1503,"SÍ")&gt;0,"No","Sí"))</f>
        <v/>
      </c>
      <c r="P598" s="27">
        <f>IF(OR($A598="",$K598=""),"",IF(AND($M598="Sí",$O598="Sí"),"OTIF","Falló"))</f>
        <v/>
      </c>
    </row>
    <row r="599" ht="16" customHeight="1">
      <c r="A599" s="47" t="n"/>
      <c r="B599" s="46" t="n"/>
      <c r="C599" s="49" t="n"/>
      <c r="D599" s="49" t="n"/>
      <c r="E599" s="49" t="n"/>
      <c r="F599" s="49" t="n"/>
      <c r="G599" s="47" t="n"/>
      <c r="H599" s="50" t="n"/>
      <c r="I599" s="51" t="n"/>
      <c r="J599" s="46" t="n"/>
      <c r="K599" s="46" t="n"/>
      <c r="L599" s="23">
        <f>IF(OR($A599="",$B599=""),"",IF($K599&lt;&gt;"",$K599-$B599,TODAY()-$B599))</f>
        <v/>
      </c>
      <c r="M599" s="27">
        <f>IF(OR($A599="",$J599=""),"",IF($K599="",IF(TODAY()&gt;$J599,"Atrasado","En ruta"),IF($K599&lt;=$J599,"Sí","No")))</f>
        <v/>
      </c>
      <c r="N599" s="23">
        <f>IF($A599="","",COUNTIFS(NOVEDADES!$C$4:$C$1503,$A599))</f>
        <v/>
      </c>
      <c r="O599" s="27">
        <f>IF($A599="","",IF(COUNTIFS(NOVEDADES!$C$4:$C$1503,$A599,NOVEDADES!$M$4:$M$1503,"SÍ")&gt;0,"No","Sí"))</f>
        <v/>
      </c>
      <c r="P599" s="27">
        <f>IF(OR($A599="",$K599=""),"",IF(AND($M599="Sí",$O599="Sí"),"OTIF","Falló"))</f>
        <v/>
      </c>
    </row>
    <row r="600" ht="16" customHeight="1">
      <c r="A600" s="47" t="n"/>
      <c r="B600" s="46" t="n"/>
      <c r="C600" s="49" t="n"/>
      <c r="D600" s="49" t="n"/>
      <c r="E600" s="49" t="n"/>
      <c r="F600" s="49" t="n"/>
      <c r="G600" s="47" t="n"/>
      <c r="H600" s="50" t="n"/>
      <c r="I600" s="51" t="n"/>
      <c r="J600" s="46" t="n"/>
      <c r="K600" s="46" t="n"/>
      <c r="L600" s="23">
        <f>IF(OR($A600="",$B600=""),"",IF($K600&lt;&gt;"",$K600-$B600,TODAY()-$B600))</f>
        <v/>
      </c>
      <c r="M600" s="27">
        <f>IF(OR($A600="",$J600=""),"",IF($K600="",IF(TODAY()&gt;$J600,"Atrasado","En ruta"),IF($K600&lt;=$J600,"Sí","No")))</f>
        <v/>
      </c>
      <c r="N600" s="23">
        <f>IF($A600="","",COUNTIFS(NOVEDADES!$C$4:$C$1503,$A600))</f>
        <v/>
      </c>
      <c r="O600" s="27">
        <f>IF($A600="","",IF(COUNTIFS(NOVEDADES!$C$4:$C$1503,$A600,NOVEDADES!$M$4:$M$1503,"SÍ")&gt;0,"No","Sí"))</f>
        <v/>
      </c>
      <c r="P600" s="27">
        <f>IF(OR($A600="",$K600=""),"",IF(AND($M600="Sí",$O600="Sí"),"OTIF","Falló"))</f>
        <v/>
      </c>
    </row>
    <row r="601" ht="16" customHeight="1">
      <c r="A601" s="47" t="n"/>
      <c r="B601" s="46" t="n"/>
      <c r="C601" s="49" t="n"/>
      <c r="D601" s="49" t="n"/>
      <c r="E601" s="49" t="n"/>
      <c r="F601" s="49" t="n"/>
      <c r="G601" s="47" t="n"/>
      <c r="H601" s="50" t="n"/>
      <c r="I601" s="51" t="n"/>
      <c r="J601" s="46" t="n"/>
      <c r="K601" s="46" t="n"/>
      <c r="L601" s="23">
        <f>IF(OR($A601="",$B601=""),"",IF($K601&lt;&gt;"",$K601-$B601,TODAY()-$B601))</f>
        <v/>
      </c>
      <c r="M601" s="27">
        <f>IF(OR($A601="",$J601=""),"",IF($K601="",IF(TODAY()&gt;$J601,"Atrasado","En ruta"),IF($K601&lt;=$J601,"Sí","No")))</f>
        <v/>
      </c>
      <c r="N601" s="23">
        <f>IF($A601="","",COUNTIFS(NOVEDADES!$C$4:$C$1503,$A601))</f>
        <v/>
      </c>
      <c r="O601" s="27">
        <f>IF($A601="","",IF(COUNTIFS(NOVEDADES!$C$4:$C$1503,$A601,NOVEDADES!$M$4:$M$1503,"SÍ")&gt;0,"No","Sí"))</f>
        <v/>
      </c>
      <c r="P601" s="27">
        <f>IF(OR($A601="",$K601=""),"",IF(AND($M601="Sí",$O601="Sí"),"OTIF","Falló"))</f>
        <v/>
      </c>
    </row>
    <row r="602" ht="16" customHeight="1">
      <c r="A602" s="47" t="n"/>
      <c r="B602" s="46" t="n"/>
      <c r="C602" s="49" t="n"/>
      <c r="D602" s="49" t="n"/>
      <c r="E602" s="49" t="n"/>
      <c r="F602" s="49" t="n"/>
      <c r="G602" s="47" t="n"/>
      <c r="H602" s="50" t="n"/>
      <c r="I602" s="51" t="n"/>
      <c r="J602" s="46" t="n"/>
      <c r="K602" s="46" t="n"/>
      <c r="L602" s="23">
        <f>IF(OR($A602="",$B602=""),"",IF($K602&lt;&gt;"",$K602-$B602,TODAY()-$B602))</f>
        <v/>
      </c>
      <c r="M602" s="27">
        <f>IF(OR($A602="",$J602=""),"",IF($K602="",IF(TODAY()&gt;$J602,"Atrasado","En ruta"),IF($K602&lt;=$J602,"Sí","No")))</f>
        <v/>
      </c>
      <c r="N602" s="23">
        <f>IF($A602="","",COUNTIFS(NOVEDADES!$C$4:$C$1503,$A602))</f>
        <v/>
      </c>
      <c r="O602" s="27">
        <f>IF($A602="","",IF(COUNTIFS(NOVEDADES!$C$4:$C$1503,$A602,NOVEDADES!$M$4:$M$1503,"SÍ")&gt;0,"No","Sí"))</f>
        <v/>
      </c>
      <c r="P602" s="27">
        <f>IF(OR($A602="",$K602=""),"",IF(AND($M602="Sí",$O602="Sí"),"OTIF","Falló"))</f>
        <v/>
      </c>
    </row>
    <row r="603" ht="16" customHeight="1">
      <c r="A603" s="47" t="n"/>
      <c r="B603" s="46" t="n"/>
      <c r="C603" s="49" t="n"/>
      <c r="D603" s="49" t="n"/>
      <c r="E603" s="49" t="n"/>
      <c r="F603" s="49" t="n"/>
      <c r="G603" s="47" t="n"/>
      <c r="H603" s="50" t="n"/>
      <c r="I603" s="51" t="n"/>
      <c r="J603" s="46" t="n"/>
      <c r="K603" s="46" t="n"/>
      <c r="L603" s="23">
        <f>IF(OR($A603="",$B603=""),"",IF($K603&lt;&gt;"",$K603-$B603,TODAY()-$B603))</f>
        <v/>
      </c>
      <c r="M603" s="27">
        <f>IF(OR($A603="",$J603=""),"",IF($K603="",IF(TODAY()&gt;$J603,"Atrasado","En ruta"),IF($K603&lt;=$J603,"Sí","No")))</f>
        <v/>
      </c>
      <c r="N603" s="23">
        <f>IF($A603="","",COUNTIFS(NOVEDADES!$C$4:$C$1503,$A603))</f>
        <v/>
      </c>
      <c r="O603" s="27">
        <f>IF($A603="","",IF(COUNTIFS(NOVEDADES!$C$4:$C$1503,$A603,NOVEDADES!$M$4:$M$1503,"SÍ")&gt;0,"No","Sí"))</f>
        <v/>
      </c>
      <c r="P603" s="27">
        <f>IF(OR($A603="",$K603=""),"",IF(AND($M603="Sí",$O603="Sí"),"OTIF","Falló"))</f>
        <v/>
      </c>
    </row>
    <row r="604" ht="16" customHeight="1">
      <c r="A604" s="47" t="n"/>
      <c r="B604" s="46" t="n"/>
      <c r="C604" s="49" t="n"/>
      <c r="D604" s="49" t="n"/>
      <c r="E604" s="49" t="n"/>
      <c r="F604" s="49" t="n"/>
      <c r="G604" s="47" t="n"/>
      <c r="H604" s="50" t="n"/>
      <c r="I604" s="51" t="n"/>
      <c r="J604" s="46" t="n"/>
      <c r="K604" s="46" t="n"/>
      <c r="L604" s="23">
        <f>IF(OR($A604="",$B604=""),"",IF($K604&lt;&gt;"",$K604-$B604,TODAY()-$B604))</f>
        <v/>
      </c>
      <c r="M604" s="27">
        <f>IF(OR($A604="",$J604=""),"",IF($K604="",IF(TODAY()&gt;$J604,"Atrasado","En ruta"),IF($K604&lt;=$J604,"Sí","No")))</f>
        <v/>
      </c>
      <c r="N604" s="23">
        <f>IF($A604="","",COUNTIFS(NOVEDADES!$C$4:$C$1503,$A604))</f>
        <v/>
      </c>
      <c r="O604" s="27">
        <f>IF($A604="","",IF(COUNTIFS(NOVEDADES!$C$4:$C$1503,$A604,NOVEDADES!$M$4:$M$1503,"SÍ")&gt;0,"No","Sí"))</f>
        <v/>
      </c>
      <c r="P604" s="27">
        <f>IF(OR($A604="",$K604=""),"",IF(AND($M604="Sí",$O604="Sí"),"OTIF","Falló"))</f>
        <v/>
      </c>
    </row>
    <row r="605" ht="16" customHeight="1">
      <c r="A605" s="47" t="n"/>
      <c r="B605" s="46" t="n"/>
      <c r="C605" s="49" t="n"/>
      <c r="D605" s="49" t="n"/>
      <c r="E605" s="49" t="n"/>
      <c r="F605" s="49" t="n"/>
      <c r="G605" s="47" t="n"/>
      <c r="H605" s="50" t="n"/>
      <c r="I605" s="51" t="n"/>
      <c r="J605" s="46" t="n"/>
      <c r="K605" s="46" t="n"/>
      <c r="L605" s="23">
        <f>IF(OR($A605="",$B605=""),"",IF($K605&lt;&gt;"",$K605-$B605,TODAY()-$B605))</f>
        <v/>
      </c>
      <c r="M605" s="27">
        <f>IF(OR($A605="",$J605=""),"",IF($K605="",IF(TODAY()&gt;$J605,"Atrasado","En ruta"),IF($K605&lt;=$J605,"Sí","No")))</f>
        <v/>
      </c>
      <c r="N605" s="23">
        <f>IF($A605="","",COUNTIFS(NOVEDADES!$C$4:$C$1503,$A605))</f>
        <v/>
      </c>
      <c r="O605" s="27">
        <f>IF($A605="","",IF(COUNTIFS(NOVEDADES!$C$4:$C$1503,$A605,NOVEDADES!$M$4:$M$1503,"SÍ")&gt;0,"No","Sí"))</f>
        <v/>
      </c>
      <c r="P605" s="27">
        <f>IF(OR($A605="",$K605=""),"",IF(AND($M605="Sí",$O605="Sí"),"OTIF","Falló"))</f>
        <v/>
      </c>
    </row>
    <row r="606" ht="16" customHeight="1">
      <c r="A606" s="47" t="n"/>
      <c r="B606" s="46" t="n"/>
      <c r="C606" s="49" t="n"/>
      <c r="D606" s="49" t="n"/>
      <c r="E606" s="49" t="n"/>
      <c r="F606" s="49" t="n"/>
      <c r="G606" s="47" t="n"/>
      <c r="H606" s="50" t="n"/>
      <c r="I606" s="51" t="n"/>
      <c r="J606" s="46" t="n"/>
      <c r="K606" s="46" t="n"/>
      <c r="L606" s="23">
        <f>IF(OR($A606="",$B606=""),"",IF($K606&lt;&gt;"",$K606-$B606,TODAY()-$B606))</f>
        <v/>
      </c>
      <c r="M606" s="27">
        <f>IF(OR($A606="",$J606=""),"",IF($K606="",IF(TODAY()&gt;$J606,"Atrasado","En ruta"),IF($K606&lt;=$J606,"Sí","No")))</f>
        <v/>
      </c>
      <c r="N606" s="23">
        <f>IF($A606="","",COUNTIFS(NOVEDADES!$C$4:$C$1503,$A606))</f>
        <v/>
      </c>
      <c r="O606" s="27">
        <f>IF($A606="","",IF(COUNTIFS(NOVEDADES!$C$4:$C$1503,$A606,NOVEDADES!$M$4:$M$1503,"SÍ")&gt;0,"No","Sí"))</f>
        <v/>
      </c>
      <c r="P606" s="27">
        <f>IF(OR($A606="",$K606=""),"",IF(AND($M606="Sí",$O606="Sí"),"OTIF","Falló"))</f>
        <v/>
      </c>
    </row>
    <row r="607" ht="16" customHeight="1">
      <c r="A607" s="47" t="n"/>
      <c r="B607" s="46" t="n"/>
      <c r="C607" s="49" t="n"/>
      <c r="D607" s="49" t="n"/>
      <c r="E607" s="49" t="n"/>
      <c r="F607" s="49" t="n"/>
      <c r="G607" s="47" t="n"/>
      <c r="H607" s="50" t="n"/>
      <c r="I607" s="51" t="n"/>
      <c r="J607" s="46" t="n"/>
      <c r="K607" s="46" t="n"/>
      <c r="L607" s="23">
        <f>IF(OR($A607="",$B607=""),"",IF($K607&lt;&gt;"",$K607-$B607,TODAY()-$B607))</f>
        <v/>
      </c>
      <c r="M607" s="27">
        <f>IF(OR($A607="",$J607=""),"",IF($K607="",IF(TODAY()&gt;$J607,"Atrasado","En ruta"),IF($K607&lt;=$J607,"Sí","No")))</f>
        <v/>
      </c>
      <c r="N607" s="23">
        <f>IF($A607="","",COUNTIFS(NOVEDADES!$C$4:$C$1503,$A607))</f>
        <v/>
      </c>
      <c r="O607" s="27">
        <f>IF($A607="","",IF(COUNTIFS(NOVEDADES!$C$4:$C$1503,$A607,NOVEDADES!$M$4:$M$1503,"SÍ")&gt;0,"No","Sí"))</f>
        <v/>
      </c>
      <c r="P607" s="27">
        <f>IF(OR($A607="",$K607=""),"",IF(AND($M607="Sí",$O607="Sí"),"OTIF","Falló"))</f>
        <v/>
      </c>
    </row>
    <row r="608" ht="16" customHeight="1">
      <c r="A608" s="47" t="n"/>
      <c r="B608" s="46" t="n"/>
      <c r="C608" s="49" t="n"/>
      <c r="D608" s="49" t="n"/>
      <c r="E608" s="49" t="n"/>
      <c r="F608" s="49" t="n"/>
      <c r="G608" s="47" t="n"/>
      <c r="H608" s="50" t="n"/>
      <c r="I608" s="51" t="n"/>
      <c r="J608" s="46" t="n"/>
      <c r="K608" s="46" t="n"/>
      <c r="L608" s="23">
        <f>IF(OR($A608="",$B608=""),"",IF($K608&lt;&gt;"",$K608-$B608,TODAY()-$B608))</f>
        <v/>
      </c>
      <c r="M608" s="27">
        <f>IF(OR($A608="",$J608=""),"",IF($K608="",IF(TODAY()&gt;$J608,"Atrasado","En ruta"),IF($K608&lt;=$J608,"Sí","No")))</f>
        <v/>
      </c>
      <c r="N608" s="23">
        <f>IF($A608="","",COUNTIFS(NOVEDADES!$C$4:$C$1503,$A608))</f>
        <v/>
      </c>
      <c r="O608" s="27">
        <f>IF($A608="","",IF(COUNTIFS(NOVEDADES!$C$4:$C$1503,$A608,NOVEDADES!$M$4:$M$1503,"SÍ")&gt;0,"No","Sí"))</f>
        <v/>
      </c>
      <c r="P608" s="27">
        <f>IF(OR($A608="",$K608=""),"",IF(AND($M608="Sí",$O608="Sí"),"OTIF","Falló"))</f>
        <v/>
      </c>
    </row>
    <row r="609" ht="16" customHeight="1">
      <c r="A609" s="47" t="n"/>
      <c r="B609" s="46" t="n"/>
      <c r="C609" s="49" t="n"/>
      <c r="D609" s="49" t="n"/>
      <c r="E609" s="49" t="n"/>
      <c r="F609" s="49" t="n"/>
      <c r="G609" s="47" t="n"/>
      <c r="H609" s="50" t="n"/>
      <c r="I609" s="51" t="n"/>
      <c r="J609" s="46" t="n"/>
      <c r="K609" s="46" t="n"/>
      <c r="L609" s="23">
        <f>IF(OR($A609="",$B609=""),"",IF($K609&lt;&gt;"",$K609-$B609,TODAY()-$B609))</f>
        <v/>
      </c>
      <c r="M609" s="27">
        <f>IF(OR($A609="",$J609=""),"",IF($K609="",IF(TODAY()&gt;$J609,"Atrasado","En ruta"),IF($K609&lt;=$J609,"Sí","No")))</f>
        <v/>
      </c>
      <c r="N609" s="23">
        <f>IF($A609="","",COUNTIFS(NOVEDADES!$C$4:$C$1503,$A609))</f>
        <v/>
      </c>
      <c r="O609" s="27">
        <f>IF($A609="","",IF(COUNTIFS(NOVEDADES!$C$4:$C$1503,$A609,NOVEDADES!$M$4:$M$1503,"SÍ")&gt;0,"No","Sí"))</f>
        <v/>
      </c>
      <c r="P609" s="27">
        <f>IF(OR($A609="",$K609=""),"",IF(AND($M609="Sí",$O609="Sí"),"OTIF","Falló"))</f>
        <v/>
      </c>
    </row>
    <row r="610" ht="16" customHeight="1">
      <c r="A610" s="47" t="n"/>
      <c r="B610" s="46" t="n"/>
      <c r="C610" s="49" t="n"/>
      <c r="D610" s="49" t="n"/>
      <c r="E610" s="49" t="n"/>
      <c r="F610" s="49" t="n"/>
      <c r="G610" s="47" t="n"/>
      <c r="H610" s="50" t="n"/>
      <c r="I610" s="51" t="n"/>
      <c r="J610" s="46" t="n"/>
      <c r="K610" s="46" t="n"/>
      <c r="L610" s="23">
        <f>IF(OR($A610="",$B610=""),"",IF($K610&lt;&gt;"",$K610-$B610,TODAY()-$B610))</f>
        <v/>
      </c>
      <c r="M610" s="27">
        <f>IF(OR($A610="",$J610=""),"",IF($K610="",IF(TODAY()&gt;$J610,"Atrasado","En ruta"),IF($K610&lt;=$J610,"Sí","No")))</f>
        <v/>
      </c>
      <c r="N610" s="23">
        <f>IF($A610="","",COUNTIFS(NOVEDADES!$C$4:$C$1503,$A610))</f>
        <v/>
      </c>
      <c r="O610" s="27">
        <f>IF($A610="","",IF(COUNTIFS(NOVEDADES!$C$4:$C$1503,$A610,NOVEDADES!$M$4:$M$1503,"SÍ")&gt;0,"No","Sí"))</f>
        <v/>
      </c>
      <c r="P610" s="27">
        <f>IF(OR($A610="",$K610=""),"",IF(AND($M610="Sí",$O610="Sí"),"OTIF","Falló"))</f>
        <v/>
      </c>
    </row>
    <row r="611" ht="16" customHeight="1">
      <c r="A611" s="47" t="n"/>
      <c r="B611" s="46" t="n"/>
      <c r="C611" s="49" t="n"/>
      <c r="D611" s="49" t="n"/>
      <c r="E611" s="49" t="n"/>
      <c r="F611" s="49" t="n"/>
      <c r="G611" s="47" t="n"/>
      <c r="H611" s="50" t="n"/>
      <c r="I611" s="51" t="n"/>
      <c r="J611" s="46" t="n"/>
      <c r="K611" s="46" t="n"/>
      <c r="L611" s="23">
        <f>IF(OR($A611="",$B611=""),"",IF($K611&lt;&gt;"",$K611-$B611,TODAY()-$B611))</f>
        <v/>
      </c>
      <c r="M611" s="27">
        <f>IF(OR($A611="",$J611=""),"",IF($K611="",IF(TODAY()&gt;$J611,"Atrasado","En ruta"),IF($K611&lt;=$J611,"Sí","No")))</f>
        <v/>
      </c>
      <c r="N611" s="23">
        <f>IF($A611="","",COUNTIFS(NOVEDADES!$C$4:$C$1503,$A611))</f>
        <v/>
      </c>
      <c r="O611" s="27">
        <f>IF($A611="","",IF(COUNTIFS(NOVEDADES!$C$4:$C$1503,$A611,NOVEDADES!$M$4:$M$1503,"SÍ")&gt;0,"No","Sí"))</f>
        <v/>
      </c>
      <c r="P611" s="27">
        <f>IF(OR($A611="",$K611=""),"",IF(AND($M611="Sí",$O611="Sí"),"OTIF","Falló"))</f>
        <v/>
      </c>
    </row>
    <row r="612" ht="16" customHeight="1">
      <c r="A612" s="47" t="n"/>
      <c r="B612" s="46" t="n"/>
      <c r="C612" s="49" t="n"/>
      <c r="D612" s="49" t="n"/>
      <c r="E612" s="49" t="n"/>
      <c r="F612" s="49" t="n"/>
      <c r="G612" s="47" t="n"/>
      <c r="H612" s="50" t="n"/>
      <c r="I612" s="51" t="n"/>
      <c r="J612" s="46" t="n"/>
      <c r="K612" s="46" t="n"/>
      <c r="L612" s="23">
        <f>IF(OR($A612="",$B612=""),"",IF($K612&lt;&gt;"",$K612-$B612,TODAY()-$B612))</f>
        <v/>
      </c>
      <c r="M612" s="27">
        <f>IF(OR($A612="",$J612=""),"",IF($K612="",IF(TODAY()&gt;$J612,"Atrasado","En ruta"),IF($K612&lt;=$J612,"Sí","No")))</f>
        <v/>
      </c>
      <c r="N612" s="23">
        <f>IF($A612="","",COUNTIFS(NOVEDADES!$C$4:$C$1503,$A612))</f>
        <v/>
      </c>
      <c r="O612" s="27">
        <f>IF($A612="","",IF(COUNTIFS(NOVEDADES!$C$4:$C$1503,$A612,NOVEDADES!$M$4:$M$1503,"SÍ")&gt;0,"No","Sí"))</f>
        <v/>
      </c>
      <c r="P612" s="27">
        <f>IF(OR($A612="",$K612=""),"",IF(AND($M612="Sí",$O612="Sí"),"OTIF","Falló"))</f>
        <v/>
      </c>
    </row>
    <row r="613" ht="16" customHeight="1">
      <c r="A613" s="47" t="n"/>
      <c r="B613" s="46" t="n"/>
      <c r="C613" s="49" t="n"/>
      <c r="D613" s="49" t="n"/>
      <c r="E613" s="49" t="n"/>
      <c r="F613" s="49" t="n"/>
      <c r="G613" s="47" t="n"/>
      <c r="H613" s="50" t="n"/>
      <c r="I613" s="51" t="n"/>
      <c r="J613" s="46" t="n"/>
      <c r="K613" s="46" t="n"/>
      <c r="L613" s="23">
        <f>IF(OR($A613="",$B613=""),"",IF($K613&lt;&gt;"",$K613-$B613,TODAY()-$B613))</f>
        <v/>
      </c>
      <c r="M613" s="27">
        <f>IF(OR($A613="",$J613=""),"",IF($K613="",IF(TODAY()&gt;$J613,"Atrasado","En ruta"),IF($K613&lt;=$J613,"Sí","No")))</f>
        <v/>
      </c>
      <c r="N613" s="23">
        <f>IF($A613="","",COUNTIFS(NOVEDADES!$C$4:$C$1503,$A613))</f>
        <v/>
      </c>
      <c r="O613" s="27">
        <f>IF($A613="","",IF(COUNTIFS(NOVEDADES!$C$4:$C$1503,$A613,NOVEDADES!$M$4:$M$1503,"SÍ")&gt;0,"No","Sí"))</f>
        <v/>
      </c>
      <c r="P613" s="27">
        <f>IF(OR($A613="",$K613=""),"",IF(AND($M613="Sí",$O613="Sí"),"OTIF","Falló"))</f>
        <v/>
      </c>
    </row>
    <row r="614" ht="16" customHeight="1">
      <c r="A614" s="47" t="n"/>
      <c r="B614" s="46" t="n"/>
      <c r="C614" s="49" t="n"/>
      <c r="D614" s="49" t="n"/>
      <c r="E614" s="49" t="n"/>
      <c r="F614" s="49" t="n"/>
      <c r="G614" s="47" t="n"/>
      <c r="H614" s="50" t="n"/>
      <c r="I614" s="51" t="n"/>
      <c r="J614" s="46" t="n"/>
      <c r="K614" s="46" t="n"/>
      <c r="L614" s="23">
        <f>IF(OR($A614="",$B614=""),"",IF($K614&lt;&gt;"",$K614-$B614,TODAY()-$B614))</f>
        <v/>
      </c>
      <c r="M614" s="27">
        <f>IF(OR($A614="",$J614=""),"",IF($K614="",IF(TODAY()&gt;$J614,"Atrasado","En ruta"),IF($K614&lt;=$J614,"Sí","No")))</f>
        <v/>
      </c>
      <c r="N614" s="23">
        <f>IF($A614="","",COUNTIFS(NOVEDADES!$C$4:$C$1503,$A614))</f>
        <v/>
      </c>
      <c r="O614" s="27">
        <f>IF($A614="","",IF(COUNTIFS(NOVEDADES!$C$4:$C$1503,$A614,NOVEDADES!$M$4:$M$1503,"SÍ")&gt;0,"No","Sí"))</f>
        <v/>
      </c>
      <c r="P614" s="27">
        <f>IF(OR($A614="",$K614=""),"",IF(AND($M614="Sí",$O614="Sí"),"OTIF","Falló"))</f>
        <v/>
      </c>
    </row>
    <row r="615" ht="16" customHeight="1">
      <c r="A615" s="47" t="n"/>
      <c r="B615" s="46" t="n"/>
      <c r="C615" s="49" t="n"/>
      <c r="D615" s="49" t="n"/>
      <c r="E615" s="49" t="n"/>
      <c r="F615" s="49" t="n"/>
      <c r="G615" s="47" t="n"/>
      <c r="H615" s="50" t="n"/>
      <c r="I615" s="51" t="n"/>
      <c r="J615" s="46" t="n"/>
      <c r="K615" s="46" t="n"/>
      <c r="L615" s="23">
        <f>IF(OR($A615="",$B615=""),"",IF($K615&lt;&gt;"",$K615-$B615,TODAY()-$B615))</f>
        <v/>
      </c>
      <c r="M615" s="27">
        <f>IF(OR($A615="",$J615=""),"",IF($K615="",IF(TODAY()&gt;$J615,"Atrasado","En ruta"),IF($K615&lt;=$J615,"Sí","No")))</f>
        <v/>
      </c>
      <c r="N615" s="23">
        <f>IF($A615="","",COUNTIFS(NOVEDADES!$C$4:$C$1503,$A615))</f>
        <v/>
      </c>
      <c r="O615" s="27">
        <f>IF($A615="","",IF(COUNTIFS(NOVEDADES!$C$4:$C$1503,$A615,NOVEDADES!$M$4:$M$1503,"SÍ")&gt;0,"No","Sí"))</f>
        <v/>
      </c>
      <c r="P615" s="27">
        <f>IF(OR($A615="",$K615=""),"",IF(AND($M615="Sí",$O615="Sí"),"OTIF","Falló"))</f>
        <v/>
      </c>
    </row>
    <row r="616" ht="16" customHeight="1">
      <c r="A616" s="47" t="n"/>
      <c r="B616" s="46" t="n"/>
      <c r="C616" s="49" t="n"/>
      <c r="D616" s="49" t="n"/>
      <c r="E616" s="49" t="n"/>
      <c r="F616" s="49" t="n"/>
      <c r="G616" s="47" t="n"/>
      <c r="H616" s="50" t="n"/>
      <c r="I616" s="51" t="n"/>
      <c r="J616" s="46" t="n"/>
      <c r="K616" s="46" t="n"/>
      <c r="L616" s="23">
        <f>IF(OR($A616="",$B616=""),"",IF($K616&lt;&gt;"",$K616-$B616,TODAY()-$B616))</f>
        <v/>
      </c>
      <c r="M616" s="27">
        <f>IF(OR($A616="",$J616=""),"",IF($K616="",IF(TODAY()&gt;$J616,"Atrasado","En ruta"),IF($K616&lt;=$J616,"Sí","No")))</f>
        <v/>
      </c>
      <c r="N616" s="23">
        <f>IF($A616="","",COUNTIFS(NOVEDADES!$C$4:$C$1503,$A616))</f>
        <v/>
      </c>
      <c r="O616" s="27">
        <f>IF($A616="","",IF(COUNTIFS(NOVEDADES!$C$4:$C$1503,$A616,NOVEDADES!$M$4:$M$1503,"SÍ")&gt;0,"No","Sí"))</f>
        <v/>
      </c>
      <c r="P616" s="27">
        <f>IF(OR($A616="",$K616=""),"",IF(AND($M616="Sí",$O616="Sí"),"OTIF","Falló"))</f>
        <v/>
      </c>
    </row>
    <row r="617" ht="16" customHeight="1">
      <c r="A617" s="47" t="n"/>
      <c r="B617" s="46" t="n"/>
      <c r="C617" s="49" t="n"/>
      <c r="D617" s="49" t="n"/>
      <c r="E617" s="49" t="n"/>
      <c r="F617" s="49" t="n"/>
      <c r="G617" s="47" t="n"/>
      <c r="H617" s="50" t="n"/>
      <c r="I617" s="51" t="n"/>
      <c r="J617" s="46" t="n"/>
      <c r="K617" s="46" t="n"/>
      <c r="L617" s="23">
        <f>IF(OR($A617="",$B617=""),"",IF($K617&lt;&gt;"",$K617-$B617,TODAY()-$B617))</f>
        <v/>
      </c>
      <c r="M617" s="27">
        <f>IF(OR($A617="",$J617=""),"",IF($K617="",IF(TODAY()&gt;$J617,"Atrasado","En ruta"),IF($K617&lt;=$J617,"Sí","No")))</f>
        <v/>
      </c>
      <c r="N617" s="23">
        <f>IF($A617="","",COUNTIFS(NOVEDADES!$C$4:$C$1503,$A617))</f>
        <v/>
      </c>
      <c r="O617" s="27">
        <f>IF($A617="","",IF(COUNTIFS(NOVEDADES!$C$4:$C$1503,$A617,NOVEDADES!$M$4:$M$1503,"SÍ")&gt;0,"No","Sí"))</f>
        <v/>
      </c>
      <c r="P617" s="27">
        <f>IF(OR($A617="",$K617=""),"",IF(AND($M617="Sí",$O617="Sí"),"OTIF","Falló"))</f>
        <v/>
      </c>
    </row>
    <row r="618" ht="16" customHeight="1">
      <c r="A618" s="47" t="n"/>
      <c r="B618" s="46" t="n"/>
      <c r="C618" s="49" t="n"/>
      <c r="D618" s="49" t="n"/>
      <c r="E618" s="49" t="n"/>
      <c r="F618" s="49" t="n"/>
      <c r="G618" s="47" t="n"/>
      <c r="H618" s="50" t="n"/>
      <c r="I618" s="51" t="n"/>
      <c r="J618" s="46" t="n"/>
      <c r="K618" s="46" t="n"/>
      <c r="L618" s="23">
        <f>IF(OR($A618="",$B618=""),"",IF($K618&lt;&gt;"",$K618-$B618,TODAY()-$B618))</f>
        <v/>
      </c>
      <c r="M618" s="27">
        <f>IF(OR($A618="",$J618=""),"",IF($K618="",IF(TODAY()&gt;$J618,"Atrasado","En ruta"),IF($K618&lt;=$J618,"Sí","No")))</f>
        <v/>
      </c>
      <c r="N618" s="23">
        <f>IF($A618="","",COUNTIFS(NOVEDADES!$C$4:$C$1503,$A618))</f>
        <v/>
      </c>
      <c r="O618" s="27">
        <f>IF($A618="","",IF(COUNTIFS(NOVEDADES!$C$4:$C$1503,$A618,NOVEDADES!$M$4:$M$1503,"SÍ")&gt;0,"No","Sí"))</f>
        <v/>
      </c>
      <c r="P618" s="27">
        <f>IF(OR($A618="",$K618=""),"",IF(AND($M618="Sí",$O618="Sí"),"OTIF","Falló"))</f>
        <v/>
      </c>
    </row>
    <row r="619" ht="16" customHeight="1">
      <c r="A619" s="47" t="n"/>
      <c r="B619" s="46" t="n"/>
      <c r="C619" s="49" t="n"/>
      <c r="D619" s="49" t="n"/>
      <c r="E619" s="49" t="n"/>
      <c r="F619" s="49" t="n"/>
      <c r="G619" s="47" t="n"/>
      <c r="H619" s="50" t="n"/>
      <c r="I619" s="51" t="n"/>
      <c r="J619" s="46" t="n"/>
      <c r="K619" s="46" t="n"/>
      <c r="L619" s="23">
        <f>IF(OR($A619="",$B619=""),"",IF($K619&lt;&gt;"",$K619-$B619,TODAY()-$B619))</f>
        <v/>
      </c>
      <c r="M619" s="27">
        <f>IF(OR($A619="",$J619=""),"",IF($K619="",IF(TODAY()&gt;$J619,"Atrasado","En ruta"),IF($K619&lt;=$J619,"Sí","No")))</f>
        <v/>
      </c>
      <c r="N619" s="23">
        <f>IF($A619="","",COUNTIFS(NOVEDADES!$C$4:$C$1503,$A619))</f>
        <v/>
      </c>
      <c r="O619" s="27">
        <f>IF($A619="","",IF(COUNTIFS(NOVEDADES!$C$4:$C$1503,$A619,NOVEDADES!$M$4:$M$1503,"SÍ")&gt;0,"No","Sí"))</f>
        <v/>
      </c>
      <c r="P619" s="27">
        <f>IF(OR($A619="",$K619=""),"",IF(AND($M619="Sí",$O619="Sí"),"OTIF","Falló"))</f>
        <v/>
      </c>
    </row>
    <row r="620" ht="16" customHeight="1">
      <c r="A620" s="47" t="n"/>
      <c r="B620" s="46" t="n"/>
      <c r="C620" s="49" t="n"/>
      <c r="D620" s="49" t="n"/>
      <c r="E620" s="49" t="n"/>
      <c r="F620" s="49" t="n"/>
      <c r="G620" s="47" t="n"/>
      <c r="H620" s="50" t="n"/>
      <c r="I620" s="51" t="n"/>
      <c r="J620" s="46" t="n"/>
      <c r="K620" s="46" t="n"/>
      <c r="L620" s="23">
        <f>IF(OR($A620="",$B620=""),"",IF($K620&lt;&gt;"",$K620-$B620,TODAY()-$B620))</f>
        <v/>
      </c>
      <c r="M620" s="27">
        <f>IF(OR($A620="",$J620=""),"",IF($K620="",IF(TODAY()&gt;$J620,"Atrasado","En ruta"),IF($K620&lt;=$J620,"Sí","No")))</f>
        <v/>
      </c>
      <c r="N620" s="23">
        <f>IF($A620="","",COUNTIFS(NOVEDADES!$C$4:$C$1503,$A620))</f>
        <v/>
      </c>
      <c r="O620" s="27">
        <f>IF($A620="","",IF(COUNTIFS(NOVEDADES!$C$4:$C$1503,$A620,NOVEDADES!$M$4:$M$1503,"SÍ")&gt;0,"No","Sí"))</f>
        <v/>
      </c>
      <c r="P620" s="27">
        <f>IF(OR($A620="",$K620=""),"",IF(AND($M620="Sí",$O620="Sí"),"OTIF","Falló"))</f>
        <v/>
      </c>
    </row>
    <row r="621" ht="16" customHeight="1">
      <c r="A621" s="47" t="n"/>
      <c r="B621" s="46" t="n"/>
      <c r="C621" s="49" t="n"/>
      <c r="D621" s="49" t="n"/>
      <c r="E621" s="49" t="n"/>
      <c r="F621" s="49" t="n"/>
      <c r="G621" s="47" t="n"/>
      <c r="H621" s="50" t="n"/>
      <c r="I621" s="51" t="n"/>
      <c r="J621" s="46" t="n"/>
      <c r="K621" s="46" t="n"/>
      <c r="L621" s="23">
        <f>IF(OR($A621="",$B621=""),"",IF($K621&lt;&gt;"",$K621-$B621,TODAY()-$B621))</f>
        <v/>
      </c>
      <c r="M621" s="27">
        <f>IF(OR($A621="",$J621=""),"",IF($K621="",IF(TODAY()&gt;$J621,"Atrasado","En ruta"),IF($K621&lt;=$J621,"Sí","No")))</f>
        <v/>
      </c>
      <c r="N621" s="23">
        <f>IF($A621="","",COUNTIFS(NOVEDADES!$C$4:$C$1503,$A621))</f>
        <v/>
      </c>
      <c r="O621" s="27">
        <f>IF($A621="","",IF(COUNTIFS(NOVEDADES!$C$4:$C$1503,$A621,NOVEDADES!$M$4:$M$1503,"SÍ")&gt;0,"No","Sí"))</f>
        <v/>
      </c>
      <c r="P621" s="27">
        <f>IF(OR($A621="",$K621=""),"",IF(AND($M621="Sí",$O621="Sí"),"OTIF","Falló"))</f>
        <v/>
      </c>
    </row>
    <row r="622" ht="16" customHeight="1">
      <c r="A622" s="47" t="n"/>
      <c r="B622" s="46" t="n"/>
      <c r="C622" s="49" t="n"/>
      <c r="D622" s="49" t="n"/>
      <c r="E622" s="49" t="n"/>
      <c r="F622" s="49" t="n"/>
      <c r="G622" s="47" t="n"/>
      <c r="H622" s="50" t="n"/>
      <c r="I622" s="51" t="n"/>
      <c r="J622" s="46" t="n"/>
      <c r="K622" s="46" t="n"/>
      <c r="L622" s="23">
        <f>IF(OR($A622="",$B622=""),"",IF($K622&lt;&gt;"",$K622-$B622,TODAY()-$B622))</f>
        <v/>
      </c>
      <c r="M622" s="27">
        <f>IF(OR($A622="",$J622=""),"",IF($K622="",IF(TODAY()&gt;$J622,"Atrasado","En ruta"),IF($K622&lt;=$J622,"Sí","No")))</f>
        <v/>
      </c>
      <c r="N622" s="23">
        <f>IF($A622="","",COUNTIFS(NOVEDADES!$C$4:$C$1503,$A622))</f>
        <v/>
      </c>
      <c r="O622" s="27">
        <f>IF($A622="","",IF(COUNTIFS(NOVEDADES!$C$4:$C$1503,$A622,NOVEDADES!$M$4:$M$1503,"SÍ")&gt;0,"No","Sí"))</f>
        <v/>
      </c>
      <c r="P622" s="27">
        <f>IF(OR($A622="",$K622=""),"",IF(AND($M622="Sí",$O622="Sí"),"OTIF","Falló"))</f>
        <v/>
      </c>
    </row>
    <row r="623" ht="16" customHeight="1">
      <c r="A623" s="47" t="n"/>
      <c r="B623" s="46" t="n"/>
      <c r="C623" s="49" t="n"/>
      <c r="D623" s="49" t="n"/>
      <c r="E623" s="49" t="n"/>
      <c r="F623" s="49" t="n"/>
      <c r="G623" s="47" t="n"/>
      <c r="H623" s="50" t="n"/>
      <c r="I623" s="51" t="n"/>
      <c r="J623" s="46" t="n"/>
      <c r="K623" s="46" t="n"/>
      <c r="L623" s="23">
        <f>IF(OR($A623="",$B623=""),"",IF($K623&lt;&gt;"",$K623-$B623,TODAY()-$B623))</f>
        <v/>
      </c>
      <c r="M623" s="27">
        <f>IF(OR($A623="",$J623=""),"",IF($K623="",IF(TODAY()&gt;$J623,"Atrasado","En ruta"),IF($K623&lt;=$J623,"Sí","No")))</f>
        <v/>
      </c>
      <c r="N623" s="23">
        <f>IF($A623="","",COUNTIFS(NOVEDADES!$C$4:$C$1503,$A623))</f>
        <v/>
      </c>
      <c r="O623" s="27">
        <f>IF($A623="","",IF(COUNTIFS(NOVEDADES!$C$4:$C$1503,$A623,NOVEDADES!$M$4:$M$1503,"SÍ")&gt;0,"No","Sí"))</f>
        <v/>
      </c>
      <c r="P623" s="27">
        <f>IF(OR($A623="",$K623=""),"",IF(AND($M623="Sí",$O623="Sí"),"OTIF","Falló"))</f>
        <v/>
      </c>
    </row>
    <row r="624" ht="16" customHeight="1">
      <c r="A624" s="47" t="n"/>
      <c r="B624" s="46" t="n"/>
      <c r="C624" s="49" t="n"/>
      <c r="D624" s="49" t="n"/>
      <c r="E624" s="49" t="n"/>
      <c r="F624" s="49" t="n"/>
      <c r="G624" s="47" t="n"/>
      <c r="H624" s="50" t="n"/>
      <c r="I624" s="51" t="n"/>
      <c r="J624" s="46" t="n"/>
      <c r="K624" s="46" t="n"/>
      <c r="L624" s="23">
        <f>IF(OR($A624="",$B624=""),"",IF($K624&lt;&gt;"",$K624-$B624,TODAY()-$B624))</f>
        <v/>
      </c>
      <c r="M624" s="27">
        <f>IF(OR($A624="",$J624=""),"",IF($K624="",IF(TODAY()&gt;$J624,"Atrasado","En ruta"),IF($K624&lt;=$J624,"Sí","No")))</f>
        <v/>
      </c>
      <c r="N624" s="23">
        <f>IF($A624="","",COUNTIFS(NOVEDADES!$C$4:$C$1503,$A624))</f>
        <v/>
      </c>
      <c r="O624" s="27">
        <f>IF($A624="","",IF(COUNTIFS(NOVEDADES!$C$4:$C$1503,$A624,NOVEDADES!$M$4:$M$1503,"SÍ")&gt;0,"No","Sí"))</f>
        <v/>
      </c>
      <c r="P624" s="27">
        <f>IF(OR($A624="",$K624=""),"",IF(AND($M624="Sí",$O624="Sí"),"OTIF","Falló"))</f>
        <v/>
      </c>
    </row>
    <row r="625" ht="16" customHeight="1">
      <c r="A625" s="47" t="n"/>
      <c r="B625" s="46" t="n"/>
      <c r="C625" s="49" t="n"/>
      <c r="D625" s="49" t="n"/>
      <c r="E625" s="49" t="n"/>
      <c r="F625" s="49" t="n"/>
      <c r="G625" s="47" t="n"/>
      <c r="H625" s="50" t="n"/>
      <c r="I625" s="51" t="n"/>
      <c r="J625" s="46" t="n"/>
      <c r="K625" s="46" t="n"/>
      <c r="L625" s="23">
        <f>IF(OR($A625="",$B625=""),"",IF($K625&lt;&gt;"",$K625-$B625,TODAY()-$B625))</f>
        <v/>
      </c>
      <c r="M625" s="27">
        <f>IF(OR($A625="",$J625=""),"",IF($K625="",IF(TODAY()&gt;$J625,"Atrasado","En ruta"),IF($K625&lt;=$J625,"Sí","No")))</f>
        <v/>
      </c>
      <c r="N625" s="23">
        <f>IF($A625="","",COUNTIFS(NOVEDADES!$C$4:$C$1503,$A625))</f>
        <v/>
      </c>
      <c r="O625" s="27">
        <f>IF($A625="","",IF(COUNTIFS(NOVEDADES!$C$4:$C$1503,$A625,NOVEDADES!$M$4:$M$1503,"SÍ")&gt;0,"No","Sí"))</f>
        <v/>
      </c>
      <c r="P625" s="27">
        <f>IF(OR($A625="",$K625=""),"",IF(AND($M625="Sí",$O625="Sí"),"OTIF","Falló"))</f>
        <v/>
      </c>
    </row>
    <row r="626" ht="16" customHeight="1">
      <c r="A626" s="47" t="n"/>
      <c r="B626" s="46" t="n"/>
      <c r="C626" s="49" t="n"/>
      <c r="D626" s="49" t="n"/>
      <c r="E626" s="49" t="n"/>
      <c r="F626" s="49" t="n"/>
      <c r="G626" s="47" t="n"/>
      <c r="H626" s="50" t="n"/>
      <c r="I626" s="51" t="n"/>
      <c r="J626" s="46" t="n"/>
      <c r="K626" s="46" t="n"/>
      <c r="L626" s="23">
        <f>IF(OR($A626="",$B626=""),"",IF($K626&lt;&gt;"",$K626-$B626,TODAY()-$B626))</f>
        <v/>
      </c>
      <c r="M626" s="27">
        <f>IF(OR($A626="",$J626=""),"",IF($K626="",IF(TODAY()&gt;$J626,"Atrasado","En ruta"),IF($K626&lt;=$J626,"Sí","No")))</f>
        <v/>
      </c>
      <c r="N626" s="23">
        <f>IF($A626="","",COUNTIFS(NOVEDADES!$C$4:$C$1503,$A626))</f>
        <v/>
      </c>
      <c r="O626" s="27">
        <f>IF($A626="","",IF(COUNTIFS(NOVEDADES!$C$4:$C$1503,$A626,NOVEDADES!$M$4:$M$1503,"SÍ")&gt;0,"No","Sí"))</f>
        <v/>
      </c>
      <c r="P626" s="27">
        <f>IF(OR($A626="",$K626=""),"",IF(AND($M626="Sí",$O626="Sí"),"OTIF","Falló"))</f>
        <v/>
      </c>
    </row>
    <row r="627" ht="16" customHeight="1">
      <c r="A627" s="47" t="n"/>
      <c r="B627" s="46" t="n"/>
      <c r="C627" s="49" t="n"/>
      <c r="D627" s="49" t="n"/>
      <c r="E627" s="49" t="n"/>
      <c r="F627" s="49" t="n"/>
      <c r="G627" s="47" t="n"/>
      <c r="H627" s="50" t="n"/>
      <c r="I627" s="51" t="n"/>
      <c r="J627" s="46" t="n"/>
      <c r="K627" s="46" t="n"/>
      <c r="L627" s="23">
        <f>IF(OR($A627="",$B627=""),"",IF($K627&lt;&gt;"",$K627-$B627,TODAY()-$B627))</f>
        <v/>
      </c>
      <c r="M627" s="27">
        <f>IF(OR($A627="",$J627=""),"",IF($K627="",IF(TODAY()&gt;$J627,"Atrasado","En ruta"),IF($K627&lt;=$J627,"Sí","No")))</f>
        <v/>
      </c>
      <c r="N627" s="23">
        <f>IF($A627="","",COUNTIFS(NOVEDADES!$C$4:$C$1503,$A627))</f>
        <v/>
      </c>
      <c r="O627" s="27">
        <f>IF($A627="","",IF(COUNTIFS(NOVEDADES!$C$4:$C$1503,$A627,NOVEDADES!$M$4:$M$1503,"SÍ")&gt;0,"No","Sí"))</f>
        <v/>
      </c>
      <c r="P627" s="27">
        <f>IF(OR($A627="",$K627=""),"",IF(AND($M627="Sí",$O627="Sí"),"OTIF","Falló"))</f>
        <v/>
      </c>
    </row>
    <row r="628" ht="16" customHeight="1">
      <c r="A628" s="47" t="n"/>
      <c r="B628" s="46" t="n"/>
      <c r="C628" s="49" t="n"/>
      <c r="D628" s="49" t="n"/>
      <c r="E628" s="49" t="n"/>
      <c r="F628" s="49" t="n"/>
      <c r="G628" s="47" t="n"/>
      <c r="H628" s="50" t="n"/>
      <c r="I628" s="51" t="n"/>
      <c r="J628" s="46" t="n"/>
      <c r="K628" s="46" t="n"/>
      <c r="L628" s="23">
        <f>IF(OR($A628="",$B628=""),"",IF($K628&lt;&gt;"",$K628-$B628,TODAY()-$B628))</f>
        <v/>
      </c>
      <c r="M628" s="27">
        <f>IF(OR($A628="",$J628=""),"",IF($K628="",IF(TODAY()&gt;$J628,"Atrasado","En ruta"),IF($K628&lt;=$J628,"Sí","No")))</f>
        <v/>
      </c>
      <c r="N628" s="23">
        <f>IF($A628="","",COUNTIFS(NOVEDADES!$C$4:$C$1503,$A628))</f>
        <v/>
      </c>
      <c r="O628" s="27">
        <f>IF($A628="","",IF(COUNTIFS(NOVEDADES!$C$4:$C$1503,$A628,NOVEDADES!$M$4:$M$1503,"SÍ")&gt;0,"No","Sí"))</f>
        <v/>
      </c>
      <c r="P628" s="27">
        <f>IF(OR($A628="",$K628=""),"",IF(AND($M628="Sí",$O628="Sí"),"OTIF","Falló"))</f>
        <v/>
      </c>
    </row>
    <row r="629" ht="16" customHeight="1">
      <c r="A629" s="47" t="n"/>
      <c r="B629" s="46" t="n"/>
      <c r="C629" s="49" t="n"/>
      <c r="D629" s="49" t="n"/>
      <c r="E629" s="49" t="n"/>
      <c r="F629" s="49" t="n"/>
      <c r="G629" s="47" t="n"/>
      <c r="H629" s="50" t="n"/>
      <c r="I629" s="51" t="n"/>
      <c r="J629" s="46" t="n"/>
      <c r="K629" s="46" t="n"/>
      <c r="L629" s="23">
        <f>IF(OR($A629="",$B629=""),"",IF($K629&lt;&gt;"",$K629-$B629,TODAY()-$B629))</f>
        <v/>
      </c>
      <c r="M629" s="27">
        <f>IF(OR($A629="",$J629=""),"",IF($K629="",IF(TODAY()&gt;$J629,"Atrasado","En ruta"),IF($K629&lt;=$J629,"Sí","No")))</f>
        <v/>
      </c>
      <c r="N629" s="23">
        <f>IF($A629="","",COUNTIFS(NOVEDADES!$C$4:$C$1503,$A629))</f>
        <v/>
      </c>
      <c r="O629" s="27">
        <f>IF($A629="","",IF(COUNTIFS(NOVEDADES!$C$4:$C$1503,$A629,NOVEDADES!$M$4:$M$1503,"SÍ")&gt;0,"No","Sí"))</f>
        <v/>
      </c>
      <c r="P629" s="27">
        <f>IF(OR($A629="",$K629=""),"",IF(AND($M629="Sí",$O629="Sí"),"OTIF","Falló"))</f>
        <v/>
      </c>
    </row>
    <row r="630" ht="16" customHeight="1">
      <c r="A630" s="47" t="n"/>
      <c r="B630" s="46" t="n"/>
      <c r="C630" s="49" t="n"/>
      <c r="D630" s="49" t="n"/>
      <c r="E630" s="49" t="n"/>
      <c r="F630" s="49" t="n"/>
      <c r="G630" s="47" t="n"/>
      <c r="H630" s="50" t="n"/>
      <c r="I630" s="51" t="n"/>
      <c r="J630" s="46" t="n"/>
      <c r="K630" s="46" t="n"/>
      <c r="L630" s="23">
        <f>IF(OR($A630="",$B630=""),"",IF($K630&lt;&gt;"",$K630-$B630,TODAY()-$B630))</f>
        <v/>
      </c>
      <c r="M630" s="27">
        <f>IF(OR($A630="",$J630=""),"",IF($K630="",IF(TODAY()&gt;$J630,"Atrasado","En ruta"),IF($K630&lt;=$J630,"Sí","No")))</f>
        <v/>
      </c>
      <c r="N630" s="23">
        <f>IF($A630="","",COUNTIFS(NOVEDADES!$C$4:$C$1503,$A630))</f>
        <v/>
      </c>
      <c r="O630" s="27">
        <f>IF($A630="","",IF(COUNTIFS(NOVEDADES!$C$4:$C$1503,$A630,NOVEDADES!$M$4:$M$1503,"SÍ")&gt;0,"No","Sí"))</f>
        <v/>
      </c>
      <c r="P630" s="27">
        <f>IF(OR($A630="",$K630=""),"",IF(AND($M630="Sí",$O630="Sí"),"OTIF","Falló"))</f>
        <v/>
      </c>
    </row>
    <row r="631" ht="16" customHeight="1">
      <c r="A631" s="47" t="n"/>
      <c r="B631" s="46" t="n"/>
      <c r="C631" s="49" t="n"/>
      <c r="D631" s="49" t="n"/>
      <c r="E631" s="49" t="n"/>
      <c r="F631" s="49" t="n"/>
      <c r="G631" s="47" t="n"/>
      <c r="H631" s="50" t="n"/>
      <c r="I631" s="51" t="n"/>
      <c r="J631" s="46" t="n"/>
      <c r="K631" s="46" t="n"/>
      <c r="L631" s="23">
        <f>IF(OR($A631="",$B631=""),"",IF($K631&lt;&gt;"",$K631-$B631,TODAY()-$B631))</f>
        <v/>
      </c>
      <c r="M631" s="27">
        <f>IF(OR($A631="",$J631=""),"",IF($K631="",IF(TODAY()&gt;$J631,"Atrasado","En ruta"),IF($K631&lt;=$J631,"Sí","No")))</f>
        <v/>
      </c>
      <c r="N631" s="23">
        <f>IF($A631="","",COUNTIFS(NOVEDADES!$C$4:$C$1503,$A631))</f>
        <v/>
      </c>
      <c r="O631" s="27">
        <f>IF($A631="","",IF(COUNTIFS(NOVEDADES!$C$4:$C$1503,$A631,NOVEDADES!$M$4:$M$1503,"SÍ")&gt;0,"No","Sí"))</f>
        <v/>
      </c>
      <c r="P631" s="27">
        <f>IF(OR($A631="",$K631=""),"",IF(AND($M631="Sí",$O631="Sí"),"OTIF","Falló"))</f>
        <v/>
      </c>
    </row>
    <row r="632" ht="16" customHeight="1">
      <c r="A632" s="47" t="n"/>
      <c r="B632" s="46" t="n"/>
      <c r="C632" s="49" t="n"/>
      <c r="D632" s="49" t="n"/>
      <c r="E632" s="49" t="n"/>
      <c r="F632" s="49" t="n"/>
      <c r="G632" s="47" t="n"/>
      <c r="H632" s="50" t="n"/>
      <c r="I632" s="51" t="n"/>
      <c r="J632" s="46" t="n"/>
      <c r="K632" s="46" t="n"/>
      <c r="L632" s="23">
        <f>IF(OR($A632="",$B632=""),"",IF($K632&lt;&gt;"",$K632-$B632,TODAY()-$B632))</f>
        <v/>
      </c>
      <c r="M632" s="27">
        <f>IF(OR($A632="",$J632=""),"",IF($K632="",IF(TODAY()&gt;$J632,"Atrasado","En ruta"),IF($K632&lt;=$J632,"Sí","No")))</f>
        <v/>
      </c>
      <c r="N632" s="23">
        <f>IF($A632="","",COUNTIFS(NOVEDADES!$C$4:$C$1503,$A632))</f>
        <v/>
      </c>
      <c r="O632" s="27">
        <f>IF($A632="","",IF(COUNTIFS(NOVEDADES!$C$4:$C$1503,$A632,NOVEDADES!$M$4:$M$1503,"SÍ")&gt;0,"No","Sí"))</f>
        <v/>
      </c>
      <c r="P632" s="27">
        <f>IF(OR($A632="",$K632=""),"",IF(AND($M632="Sí",$O632="Sí"),"OTIF","Falló"))</f>
        <v/>
      </c>
    </row>
    <row r="633" ht="16" customHeight="1">
      <c r="A633" s="47" t="n"/>
      <c r="B633" s="46" t="n"/>
      <c r="C633" s="49" t="n"/>
      <c r="D633" s="49" t="n"/>
      <c r="E633" s="49" t="n"/>
      <c r="F633" s="49" t="n"/>
      <c r="G633" s="47" t="n"/>
      <c r="H633" s="50" t="n"/>
      <c r="I633" s="51" t="n"/>
      <c r="J633" s="46" t="n"/>
      <c r="K633" s="46" t="n"/>
      <c r="L633" s="23">
        <f>IF(OR($A633="",$B633=""),"",IF($K633&lt;&gt;"",$K633-$B633,TODAY()-$B633))</f>
        <v/>
      </c>
      <c r="M633" s="27">
        <f>IF(OR($A633="",$J633=""),"",IF($K633="",IF(TODAY()&gt;$J633,"Atrasado","En ruta"),IF($K633&lt;=$J633,"Sí","No")))</f>
        <v/>
      </c>
      <c r="N633" s="23">
        <f>IF($A633="","",COUNTIFS(NOVEDADES!$C$4:$C$1503,$A633))</f>
        <v/>
      </c>
      <c r="O633" s="27">
        <f>IF($A633="","",IF(COUNTIFS(NOVEDADES!$C$4:$C$1503,$A633,NOVEDADES!$M$4:$M$1503,"SÍ")&gt;0,"No","Sí"))</f>
        <v/>
      </c>
      <c r="P633" s="27">
        <f>IF(OR($A633="",$K633=""),"",IF(AND($M633="Sí",$O633="Sí"),"OTIF","Falló"))</f>
        <v/>
      </c>
    </row>
    <row r="634" ht="16" customHeight="1">
      <c r="A634" s="47" t="n"/>
      <c r="B634" s="46" t="n"/>
      <c r="C634" s="49" t="n"/>
      <c r="D634" s="49" t="n"/>
      <c r="E634" s="49" t="n"/>
      <c r="F634" s="49" t="n"/>
      <c r="G634" s="47" t="n"/>
      <c r="H634" s="50" t="n"/>
      <c r="I634" s="51" t="n"/>
      <c r="J634" s="46" t="n"/>
      <c r="K634" s="46" t="n"/>
      <c r="L634" s="23">
        <f>IF(OR($A634="",$B634=""),"",IF($K634&lt;&gt;"",$K634-$B634,TODAY()-$B634))</f>
        <v/>
      </c>
      <c r="M634" s="27">
        <f>IF(OR($A634="",$J634=""),"",IF($K634="",IF(TODAY()&gt;$J634,"Atrasado","En ruta"),IF($K634&lt;=$J634,"Sí","No")))</f>
        <v/>
      </c>
      <c r="N634" s="23">
        <f>IF($A634="","",COUNTIFS(NOVEDADES!$C$4:$C$1503,$A634))</f>
        <v/>
      </c>
      <c r="O634" s="27">
        <f>IF($A634="","",IF(COUNTIFS(NOVEDADES!$C$4:$C$1503,$A634,NOVEDADES!$M$4:$M$1503,"SÍ")&gt;0,"No","Sí"))</f>
        <v/>
      </c>
      <c r="P634" s="27">
        <f>IF(OR($A634="",$K634=""),"",IF(AND($M634="Sí",$O634="Sí"),"OTIF","Falló"))</f>
        <v/>
      </c>
    </row>
    <row r="635" ht="16" customHeight="1">
      <c r="A635" s="47" t="n"/>
      <c r="B635" s="46" t="n"/>
      <c r="C635" s="49" t="n"/>
      <c r="D635" s="49" t="n"/>
      <c r="E635" s="49" t="n"/>
      <c r="F635" s="49" t="n"/>
      <c r="G635" s="47" t="n"/>
      <c r="H635" s="50" t="n"/>
      <c r="I635" s="51" t="n"/>
      <c r="J635" s="46" t="n"/>
      <c r="K635" s="46" t="n"/>
      <c r="L635" s="23">
        <f>IF(OR($A635="",$B635=""),"",IF($K635&lt;&gt;"",$K635-$B635,TODAY()-$B635))</f>
        <v/>
      </c>
      <c r="M635" s="27">
        <f>IF(OR($A635="",$J635=""),"",IF($K635="",IF(TODAY()&gt;$J635,"Atrasado","En ruta"),IF($K635&lt;=$J635,"Sí","No")))</f>
        <v/>
      </c>
      <c r="N635" s="23">
        <f>IF($A635="","",COUNTIFS(NOVEDADES!$C$4:$C$1503,$A635))</f>
        <v/>
      </c>
      <c r="O635" s="27">
        <f>IF($A635="","",IF(COUNTIFS(NOVEDADES!$C$4:$C$1503,$A635,NOVEDADES!$M$4:$M$1503,"SÍ")&gt;0,"No","Sí"))</f>
        <v/>
      </c>
      <c r="P635" s="27">
        <f>IF(OR($A635="",$K635=""),"",IF(AND($M635="Sí",$O635="Sí"),"OTIF","Falló"))</f>
        <v/>
      </c>
    </row>
    <row r="636" ht="16" customHeight="1">
      <c r="A636" s="47" t="n"/>
      <c r="B636" s="46" t="n"/>
      <c r="C636" s="49" t="n"/>
      <c r="D636" s="49" t="n"/>
      <c r="E636" s="49" t="n"/>
      <c r="F636" s="49" t="n"/>
      <c r="G636" s="47" t="n"/>
      <c r="H636" s="50" t="n"/>
      <c r="I636" s="51" t="n"/>
      <c r="J636" s="46" t="n"/>
      <c r="K636" s="46" t="n"/>
      <c r="L636" s="23">
        <f>IF(OR($A636="",$B636=""),"",IF($K636&lt;&gt;"",$K636-$B636,TODAY()-$B636))</f>
        <v/>
      </c>
      <c r="M636" s="27">
        <f>IF(OR($A636="",$J636=""),"",IF($K636="",IF(TODAY()&gt;$J636,"Atrasado","En ruta"),IF($K636&lt;=$J636,"Sí","No")))</f>
        <v/>
      </c>
      <c r="N636" s="23">
        <f>IF($A636="","",COUNTIFS(NOVEDADES!$C$4:$C$1503,$A636))</f>
        <v/>
      </c>
      <c r="O636" s="27">
        <f>IF($A636="","",IF(COUNTIFS(NOVEDADES!$C$4:$C$1503,$A636,NOVEDADES!$M$4:$M$1503,"SÍ")&gt;0,"No","Sí"))</f>
        <v/>
      </c>
      <c r="P636" s="27">
        <f>IF(OR($A636="",$K636=""),"",IF(AND($M636="Sí",$O636="Sí"),"OTIF","Falló"))</f>
        <v/>
      </c>
    </row>
    <row r="637" ht="16" customHeight="1">
      <c r="A637" s="47" t="n"/>
      <c r="B637" s="46" t="n"/>
      <c r="C637" s="49" t="n"/>
      <c r="D637" s="49" t="n"/>
      <c r="E637" s="49" t="n"/>
      <c r="F637" s="49" t="n"/>
      <c r="G637" s="47" t="n"/>
      <c r="H637" s="50" t="n"/>
      <c r="I637" s="51" t="n"/>
      <c r="J637" s="46" t="n"/>
      <c r="K637" s="46" t="n"/>
      <c r="L637" s="23">
        <f>IF(OR($A637="",$B637=""),"",IF($K637&lt;&gt;"",$K637-$B637,TODAY()-$B637))</f>
        <v/>
      </c>
      <c r="M637" s="27">
        <f>IF(OR($A637="",$J637=""),"",IF($K637="",IF(TODAY()&gt;$J637,"Atrasado","En ruta"),IF($K637&lt;=$J637,"Sí","No")))</f>
        <v/>
      </c>
      <c r="N637" s="23">
        <f>IF($A637="","",COUNTIFS(NOVEDADES!$C$4:$C$1503,$A637))</f>
        <v/>
      </c>
      <c r="O637" s="27">
        <f>IF($A637="","",IF(COUNTIFS(NOVEDADES!$C$4:$C$1503,$A637,NOVEDADES!$M$4:$M$1503,"SÍ")&gt;0,"No","Sí"))</f>
        <v/>
      </c>
      <c r="P637" s="27">
        <f>IF(OR($A637="",$K637=""),"",IF(AND($M637="Sí",$O637="Sí"),"OTIF","Falló"))</f>
        <v/>
      </c>
    </row>
    <row r="638" ht="16" customHeight="1">
      <c r="A638" s="47" t="n"/>
      <c r="B638" s="46" t="n"/>
      <c r="C638" s="49" t="n"/>
      <c r="D638" s="49" t="n"/>
      <c r="E638" s="49" t="n"/>
      <c r="F638" s="49" t="n"/>
      <c r="G638" s="47" t="n"/>
      <c r="H638" s="50" t="n"/>
      <c r="I638" s="51" t="n"/>
      <c r="J638" s="46" t="n"/>
      <c r="K638" s="46" t="n"/>
      <c r="L638" s="23">
        <f>IF(OR($A638="",$B638=""),"",IF($K638&lt;&gt;"",$K638-$B638,TODAY()-$B638))</f>
        <v/>
      </c>
      <c r="M638" s="27">
        <f>IF(OR($A638="",$J638=""),"",IF($K638="",IF(TODAY()&gt;$J638,"Atrasado","En ruta"),IF($K638&lt;=$J638,"Sí","No")))</f>
        <v/>
      </c>
      <c r="N638" s="23">
        <f>IF($A638="","",COUNTIFS(NOVEDADES!$C$4:$C$1503,$A638))</f>
        <v/>
      </c>
      <c r="O638" s="27">
        <f>IF($A638="","",IF(COUNTIFS(NOVEDADES!$C$4:$C$1503,$A638,NOVEDADES!$M$4:$M$1503,"SÍ")&gt;0,"No","Sí"))</f>
        <v/>
      </c>
      <c r="P638" s="27">
        <f>IF(OR($A638="",$K638=""),"",IF(AND($M638="Sí",$O638="Sí"),"OTIF","Falló"))</f>
        <v/>
      </c>
    </row>
    <row r="639" ht="16" customHeight="1">
      <c r="A639" s="47" t="n"/>
      <c r="B639" s="46" t="n"/>
      <c r="C639" s="49" t="n"/>
      <c r="D639" s="49" t="n"/>
      <c r="E639" s="49" t="n"/>
      <c r="F639" s="49" t="n"/>
      <c r="G639" s="47" t="n"/>
      <c r="H639" s="50" t="n"/>
      <c r="I639" s="51" t="n"/>
      <c r="J639" s="46" t="n"/>
      <c r="K639" s="46" t="n"/>
      <c r="L639" s="23">
        <f>IF(OR($A639="",$B639=""),"",IF($K639&lt;&gt;"",$K639-$B639,TODAY()-$B639))</f>
        <v/>
      </c>
      <c r="M639" s="27">
        <f>IF(OR($A639="",$J639=""),"",IF($K639="",IF(TODAY()&gt;$J639,"Atrasado","En ruta"),IF($K639&lt;=$J639,"Sí","No")))</f>
        <v/>
      </c>
      <c r="N639" s="23">
        <f>IF($A639="","",COUNTIFS(NOVEDADES!$C$4:$C$1503,$A639))</f>
        <v/>
      </c>
      <c r="O639" s="27">
        <f>IF($A639="","",IF(COUNTIFS(NOVEDADES!$C$4:$C$1503,$A639,NOVEDADES!$M$4:$M$1503,"SÍ")&gt;0,"No","Sí"))</f>
        <v/>
      </c>
      <c r="P639" s="27">
        <f>IF(OR($A639="",$K639=""),"",IF(AND($M639="Sí",$O639="Sí"),"OTIF","Falló"))</f>
        <v/>
      </c>
    </row>
    <row r="640" ht="16" customHeight="1">
      <c r="A640" s="47" t="n"/>
      <c r="B640" s="46" t="n"/>
      <c r="C640" s="49" t="n"/>
      <c r="D640" s="49" t="n"/>
      <c r="E640" s="49" t="n"/>
      <c r="F640" s="49" t="n"/>
      <c r="G640" s="47" t="n"/>
      <c r="H640" s="50" t="n"/>
      <c r="I640" s="51" t="n"/>
      <c r="J640" s="46" t="n"/>
      <c r="K640" s="46" t="n"/>
      <c r="L640" s="23">
        <f>IF(OR($A640="",$B640=""),"",IF($K640&lt;&gt;"",$K640-$B640,TODAY()-$B640))</f>
        <v/>
      </c>
      <c r="M640" s="27">
        <f>IF(OR($A640="",$J640=""),"",IF($K640="",IF(TODAY()&gt;$J640,"Atrasado","En ruta"),IF($K640&lt;=$J640,"Sí","No")))</f>
        <v/>
      </c>
      <c r="N640" s="23">
        <f>IF($A640="","",COUNTIFS(NOVEDADES!$C$4:$C$1503,$A640))</f>
        <v/>
      </c>
      <c r="O640" s="27">
        <f>IF($A640="","",IF(COUNTIFS(NOVEDADES!$C$4:$C$1503,$A640,NOVEDADES!$M$4:$M$1503,"SÍ")&gt;0,"No","Sí"))</f>
        <v/>
      </c>
      <c r="P640" s="27">
        <f>IF(OR($A640="",$K640=""),"",IF(AND($M640="Sí",$O640="Sí"),"OTIF","Falló"))</f>
        <v/>
      </c>
    </row>
    <row r="641" ht="16" customHeight="1">
      <c r="A641" s="47" t="n"/>
      <c r="B641" s="46" t="n"/>
      <c r="C641" s="49" t="n"/>
      <c r="D641" s="49" t="n"/>
      <c r="E641" s="49" t="n"/>
      <c r="F641" s="49" t="n"/>
      <c r="G641" s="47" t="n"/>
      <c r="H641" s="50" t="n"/>
      <c r="I641" s="51" t="n"/>
      <c r="J641" s="46" t="n"/>
      <c r="K641" s="46" t="n"/>
      <c r="L641" s="23">
        <f>IF(OR($A641="",$B641=""),"",IF($K641&lt;&gt;"",$K641-$B641,TODAY()-$B641))</f>
        <v/>
      </c>
      <c r="M641" s="27">
        <f>IF(OR($A641="",$J641=""),"",IF($K641="",IF(TODAY()&gt;$J641,"Atrasado","En ruta"),IF($K641&lt;=$J641,"Sí","No")))</f>
        <v/>
      </c>
      <c r="N641" s="23">
        <f>IF($A641="","",COUNTIFS(NOVEDADES!$C$4:$C$1503,$A641))</f>
        <v/>
      </c>
      <c r="O641" s="27">
        <f>IF($A641="","",IF(COUNTIFS(NOVEDADES!$C$4:$C$1503,$A641,NOVEDADES!$M$4:$M$1503,"SÍ")&gt;0,"No","Sí"))</f>
        <v/>
      </c>
      <c r="P641" s="27">
        <f>IF(OR($A641="",$K641=""),"",IF(AND($M641="Sí",$O641="Sí"),"OTIF","Falló"))</f>
        <v/>
      </c>
    </row>
    <row r="642" ht="16" customHeight="1">
      <c r="A642" s="47" t="n"/>
      <c r="B642" s="46" t="n"/>
      <c r="C642" s="49" t="n"/>
      <c r="D642" s="49" t="n"/>
      <c r="E642" s="49" t="n"/>
      <c r="F642" s="49" t="n"/>
      <c r="G642" s="47" t="n"/>
      <c r="H642" s="50" t="n"/>
      <c r="I642" s="51" t="n"/>
      <c r="J642" s="46" t="n"/>
      <c r="K642" s="46" t="n"/>
      <c r="L642" s="23">
        <f>IF(OR($A642="",$B642=""),"",IF($K642&lt;&gt;"",$K642-$B642,TODAY()-$B642))</f>
        <v/>
      </c>
      <c r="M642" s="27">
        <f>IF(OR($A642="",$J642=""),"",IF($K642="",IF(TODAY()&gt;$J642,"Atrasado","En ruta"),IF($K642&lt;=$J642,"Sí","No")))</f>
        <v/>
      </c>
      <c r="N642" s="23">
        <f>IF($A642="","",COUNTIFS(NOVEDADES!$C$4:$C$1503,$A642))</f>
        <v/>
      </c>
      <c r="O642" s="27">
        <f>IF($A642="","",IF(COUNTIFS(NOVEDADES!$C$4:$C$1503,$A642,NOVEDADES!$M$4:$M$1503,"SÍ")&gt;0,"No","Sí"))</f>
        <v/>
      </c>
      <c r="P642" s="27">
        <f>IF(OR($A642="",$K642=""),"",IF(AND($M642="Sí",$O642="Sí"),"OTIF","Falló"))</f>
        <v/>
      </c>
    </row>
    <row r="643" ht="16" customHeight="1">
      <c r="A643" s="47" t="n"/>
      <c r="B643" s="46" t="n"/>
      <c r="C643" s="49" t="n"/>
      <c r="D643" s="49" t="n"/>
      <c r="E643" s="49" t="n"/>
      <c r="F643" s="49" t="n"/>
      <c r="G643" s="47" t="n"/>
      <c r="H643" s="50" t="n"/>
      <c r="I643" s="51" t="n"/>
      <c r="J643" s="46" t="n"/>
      <c r="K643" s="46" t="n"/>
      <c r="L643" s="23">
        <f>IF(OR($A643="",$B643=""),"",IF($K643&lt;&gt;"",$K643-$B643,TODAY()-$B643))</f>
        <v/>
      </c>
      <c r="M643" s="27">
        <f>IF(OR($A643="",$J643=""),"",IF($K643="",IF(TODAY()&gt;$J643,"Atrasado","En ruta"),IF($K643&lt;=$J643,"Sí","No")))</f>
        <v/>
      </c>
      <c r="N643" s="23">
        <f>IF($A643="","",COUNTIFS(NOVEDADES!$C$4:$C$1503,$A643))</f>
        <v/>
      </c>
      <c r="O643" s="27">
        <f>IF($A643="","",IF(COUNTIFS(NOVEDADES!$C$4:$C$1503,$A643,NOVEDADES!$M$4:$M$1503,"SÍ")&gt;0,"No","Sí"))</f>
        <v/>
      </c>
      <c r="P643" s="27">
        <f>IF(OR($A643="",$K643=""),"",IF(AND($M643="Sí",$O643="Sí"),"OTIF","Falló"))</f>
        <v/>
      </c>
    </row>
    <row r="644" ht="16" customHeight="1">
      <c r="A644" s="47" t="n"/>
      <c r="B644" s="46" t="n"/>
      <c r="C644" s="49" t="n"/>
      <c r="D644" s="49" t="n"/>
      <c r="E644" s="49" t="n"/>
      <c r="F644" s="49" t="n"/>
      <c r="G644" s="47" t="n"/>
      <c r="H644" s="50" t="n"/>
      <c r="I644" s="51" t="n"/>
      <c r="J644" s="46" t="n"/>
      <c r="K644" s="46" t="n"/>
      <c r="L644" s="23">
        <f>IF(OR($A644="",$B644=""),"",IF($K644&lt;&gt;"",$K644-$B644,TODAY()-$B644))</f>
        <v/>
      </c>
      <c r="M644" s="27">
        <f>IF(OR($A644="",$J644=""),"",IF($K644="",IF(TODAY()&gt;$J644,"Atrasado","En ruta"),IF($K644&lt;=$J644,"Sí","No")))</f>
        <v/>
      </c>
      <c r="N644" s="23">
        <f>IF($A644="","",COUNTIFS(NOVEDADES!$C$4:$C$1503,$A644))</f>
        <v/>
      </c>
      <c r="O644" s="27">
        <f>IF($A644="","",IF(COUNTIFS(NOVEDADES!$C$4:$C$1503,$A644,NOVEDADES!$M$4:$M$1503,"SÍ")&gt;0,"No","Sí"))</f>
        <v/>
      </c>
      <c r="P644" s="27">
        <f>IF(OR($A644="",$K644=""),"",IF(AND($M644="Sí",$O644="Sí"),"OTIF","Falló"))</f>
        <v/>
      </c>
    </row>
    <row r="645" ht="16" customHeight="1">
      <c r="A645" s="47" t="n"/>
      <c r="B645" s="46" t="n"/>
      <c r="C645" s="49" t="n"/>
      <c r="D645" s="49" t="n"/>
      <c r="E645" s="49" t="n"/>
      <c r="F645" s="49" t="n"/>
      <c r="G645" s="47" t="n"/>
      <c r="H645" s="50" t="n"/>
      <c r="I645" s="51" t="n"/>
      <c r="J645" s="46" t="n"/>
      <c r="K645" s="46" t="n"/>
      <c r="L645" s="23">
        <f>IF(OR($A645="",$B645=""),"",IF($K645&lt;&gt;"",$K645-$B645,TODAY()-$B645))</f>
        <v/>
      </c>
      <c r="M645" s="27">
        <f>IF(OR($A645="",$J645=""),"",IF($K645="",IF(TODAY()&gt;$J645,"Atrasado","En ruta"),IF($K645&lt;=$J645,"Sí","No")))</f>
        <v/>
      </c>
      <c r="N645" s="23">
        <f>IF($A645="","",COUNTIFS(NOVEDADES!$C$4:$C$1503,$A645))</f>
        <v/>
      </c>
      <c r="O645" s="27">
        <f>IF($A645="","",IF(COUNTIFS(NOVEDADES!$C$4:$C$1503,$A645,NOVEDADES!$M$4:$M$1503,"SÍ")&gt;0,"No","Sí"))</f>
        <v/>
      </c>
      <c r="P645" s="27">
        <f>IF(OR($A645="",$K645=""),"",IF(AND($M645="Sí",$O645="Sí"),"OTIF","Falló"))</f>
        <v/>
      </c>
    </row>
    <row r="646" ht="16" customHeight="1">
      <c r="A646" s="47" t="n"/>
      <c r="B646" s="46" t="n"/>
      <c r="C646" s="49" t="n"/>
      <c r="D646" s="49" t="n"/>
      <c r="E646" s="49" t="n"/>
      <c r="F646" s="49" t="n"/>
      <c r="G646" s="47" t="n"/>
      <c r="H646" s="50" t="n"/>
      <c r="I646" s="51" t="n"/>
      <c r="J646" s="46" t="n"/>
      <c r="K646" s="46" t="n"/>
      <c r="L646" s="23">
        <f>IF(OR($A646="",$B646=""),"",IF($K646&lt;&gt;"",$K646-$B646,TODAY()-$B646))</f>
        <v/>
      </c>
      <c r="M646" s="27">
        <f>IF(OR($A646="",$J646=""),"",IF($K646="",IF(TODAY()&gt;$J646,"Atrasado","En ruta"),IF($K646&lt;=$J646,"Sí","No")))</f>
        <v/>
      </c>
      <c r="N646" s="23">
        <f>IF($A646="","",COUNTIFS(NOVEDADES!$C$4:$C$1503,$A646))</f>
        <v/>
      </c>
      <c r="O646" s="27">
        <f>IF($A646="","",IF(COUNTIFS(NOVEDADES!$C$4:$C$1503,$A646,NOVEDADES!$M$4:$M$1503,"SÍ")&gt;0,"No","Sí"))</f>
        <v/>
      </c>
      <c r="P646" s="27">
        <f>IF(OR($A646="",$K646=""),"",IF(AND($M646="Sí",$O646="Sí"),"OTIF","Falló"))</f>
        <v/>
      </c>
    </row>
    <row r="647" ht="16" customHeight="1">
      <c r="A647" s="47" t="n"/>
      <c r="B647" s="46" t="n"/>
      <c r="C647" s="49" t="n"/>
      <c r="D647" s="49" t="n"/>
      <c r="E647" s="49" t="n"/>
      <c r="F647" s="49" t="n"/>
      <c r="G647" s="47" t="n"/>
      <c r="H647" s="50" t="n"/>
      <c r="I647" s="51" t="n"/>
      <c r="J647" s="46" t="n"/>
      <c r="K647" s="46" t="n"/>
      <c r="L647" s="23">
        <f>IF(OR($A647="",$B647=""),"",IF($K647&lt;&gt;"",$K647-$B647,TODAY()-$B647))</f>
        <v/>
      </c>
      <c r="M647" s="27">
        <f>IF(OR($A647="",$J647=""),"",IF($K647="",IF(TODAY()&gt;$J647,"Atrasado","En ruta"),IF($K647&lt;=$J647,"Sí","No")))</f>
        <v/>
      </c>
      <c r="N647" s="23">
        <f>IF($A647="","",COUNTIFS(NOVEDADES!$C$4:$C$1503,$A647))</f>
        <v/>
      </c>
      <c r="O647" s="27">
        <f>IF($A647="","",IF(COUNTIFS(NOVEDADES!$C$4:$C$1503,$A647,NOVEDADES!$M$4:$M$1503,"SÍ")&gt;0,"No","Sí"))</f>
        <v/>
      </c>
      <c r="P647" s="27">
        <f>IF(OR($A647="",$K647=""),"",IF(AND($M647="Sí",$O647="Sí"),"OTIF","Falló"))</f>
        <v/>
      </c>
    </row>
    <row r="648" ht="16" customHeight="1">
      <c r="A648" s="47" t="n"/>
      <c r="B648" s="46" t="n"/>
      <c r="C648" s="49" t="n"/>
      <c r="D648" s="49" t="n"/>
      <c r="E648" s="49" t="n"/>
      <c r="F648" s="49" t="n"/>
      <c r="G648" s="47" t="n"/>
      <c r="H648" s="50" t="n"/>
      <c r="I648" s="51" t="n"/>
      <c r="J648" s="46" t="n"/>
      <c r="K648" s="46" t="n"/>
      <c r="L648" s="23">
        <f>IF(OR($A648="",$B648=""),"",IF($K648&lt;&gt;"",$K648-$B648,TODAY()-$B648))</f>
        <v/>
      </c>
      <c r="M648" s="27">
        <f>IF(OR($A648="",$J648=""),"",IF($K648="",IF(TODAY()&gt;$J648,"Atrasado","En ruta"),IF($K648&lt;=$J648,"Sí","No")))</f>
        <v/>
      </c>
      <c r="N648" s="23">
        <f>IF($A648="","",COUNTIFS(NOVEDADES!$C$4:$C$1503,$A648))</f>
        <v/>
      </c>
      <c r="O648" s="27">
        <f>IF($A648="","",IF(COUNTIFS(NOVEDADES!$C$4:$C$1503,$A648,NOVEDADES!$M$4:$M$1503,"SÍ")&gt;0,"No","Sí"))</f>
        <v/>
      </c>
      <c r="P648" s="27">
        <f>IF(OR($A648="",$K648=""),"",IF(AND($M648="Sí",$O648="Sí"),"OTIF","Falló"))</f>
        <v/>
      </c>
    </row>
    <row r="649" ht="16" customHeight="1">
      <c r="A649" s="47" t="n"/>
      <c r="B649" s="46" t="n"/>
      <c r="C649" s="49" t="n"/>
      <c r="D649" s="49" t="n"/>
      <c r="E649" s="49" t="n"/>
      <c r="F649" s="49" t="n"/>
      <c r="G649" s="47" t="n"/>
      <c r="H649" s="50" t="n"/>
      <c r="I649" s="51" t="n"/>
      <c r="J649" s="46" t="n"/>
      <c r="K649" s="46" t="n"/>
      <c r="L649" s="23">
        <f>IF(OR($A649="",$B649=""),"",IF($K649&lt;&gt;"",$K649-$B649,TODAY()-$B649))</f>
        <v/>
      </c>
      <c r="M649" s="27">
        <f>IF(OR($A649="",$J649=""),"",IF($K649="",IF(TODAY()&gt;$J649,"Atrasado","En ruta"),IF($K649&lt;=$J649,"Sí","No")))</f>
        <v/>
      </c>
      <c r="N649" s="23">
        <f>IF($A649="","",COUNTIFS(NOVEDADES!$C$4:$C$1503,$A649))</f>
        <v/>
      </c>
      <c r="O649" s="27">
        <f>IF($A649="","",IF(COUNTIFS(NOVEDADES!$C$4:$C$1503,$A649,NOVEDADES!$M$4:$M$1503,"SÍ")&gt;0,"No","Sí"))</f>
        <v/>
      </c>
      <c r="P649" s="27">
        <f>IF(OR($A649="",$K649=""),"",IF(AND($M649="Sí",$O649="Sí"),"OTIF","Falló"))</f>
        <v/>
      </c>
    </row>
    <row r="650" ht="16" customHeight="1">
      <c r="A650" s="47" t="n"/>
      <c r="B650" s="46" t="n"/>
      <c r="C650" s="49" t="n"/>
      <c r="D650" s="49" t="n"/>
      <c r="E650" s="49" t="n"/>
      <c r="F650" s="49" t="n"/>
      <c r="G650" s="47" t="n"/>
      <c r="H650" s="50" t="n"/>
      <c r="I650" s="51" t="n"/>
      <c r="J650" s="46" t="n"/>
      <c r="K650" s="46" t="n"/>
      <c r="L650" s="23">
        <f>IF(OR($A650="",$B650=""),"",IF($K650&lt;&gt;"",$K650-$B650,TODAY()-$B650))</f>
        <v/>
      </c>
      <c r="M650" s="27">
        <f>IF(OR($A650="",$J650=""),"",IF($K650="",IF(TODAY()&gt;$J650,"Atrasado","En ruta"),IF($K650&lt;=$J650,"Sí","No")))</f>
        <v/>
      </c>
      <c r="N650" s="23">
        <f>IF($A650="","",COUNTIFS(NOVEDADES!$C$4:$C$1503,$A650))</f>
        <v/>
      </c>
      <c r="O650" s="27">
        <f>IF($A650="","",IF(COUNTIFS(NOVEDADES!$C$4:$C$1503,$A650,NOVEDADES!$M$4:$M$1503,"SÍ")&gt;0,"No","Sí"))</f>
        <v/>
      </c>
      <c r="P650" s="27">
        <f>IF(OR($A650="",$K650=""),"",IF(AND($M650="Sí",$O650="Sí"),"OTIF","Falló"))</f>
        <v/>
      </c>
    </row>
    <row r="651" ht="16" customHeight="1">
      <c r="A651" s="47" t="n"/>
      <c r="B651" s="46" t="n"/>
      <c r="C651" s="49" t="n"/>
      <c r="D651" s="49" t="n"/>
      <c r="E651" s="49" t="n"/>
      <c r="F651" s="49" t="n"/>
      <c r="G651" s="47" t="n"/>
      <c r="H651" s="50" t="n"/>
      <c r="I651" s="51" t="n"/>
      <c r="J651" s="46" t="n"/>
      <c r="K651" s="46" t="n"/>
      <c r="L651" s="23">
        <f>IF(OR($A651="",$B651=""),"",IF($K651&lt;&gt;"",$K651-$B651,TODAY()-$B651))</f>
        <v/>
      </c>
      <c r="M651" s="27">
        <f>IF(OR($A651="",$J651=""),"",IF($K651="",IF(TODAY()&gt;$J651,"Atrasado","En ruta"),IF($K651&lt;=$J651,"Sí","No")))</f>
        <v/>
      </c>
      <c r="N651" s="23">
        <f>IF($A651="","",COUNTIFS(NOVEDADES!$C$4:$C$1503,$A651))</f>
        <v/>
      </c>
      <c r="O651" s="27">
        <f>IF($A651="","",IF(COUNTIFS(NOVEDADES!$C$4:$C$1503,$A651,NOVEDADES!$M$4:$M$1503,"SÍ")&gt;0,"No","Sí"))</f>
        <v/>
      </c>
      <c r="P651" s="27">
        <f>IF(OR($A651="",$K651=""),"",IF(AND($M651="Sí",$O651="Sí"),"OTIF","Falló"))</f>
        <v/>
      </c>
    </row>
    <row r="652" ht="16" customHeight="1">
      <c r="A652" s="47" t="n"/>
      <c r="B652" s="46" t="n"/>
      <c r="C652" s="49" t="n"/>
      <c r="D652" s="49" t="n"/>
      <c r="E652" s="49" t="n"/>
      <c r="F652" s="49" t="n"/>
      <c r="G652" s="47" t="n"/>
      <c r="H652" s="50" t="n"/>
      <c r="I652" s="51" t="n"/>
      <c r="J652" s="46" t="n"/>
      <c r="K652" s="46" t="n"/>
      <c r="L652" s="23">
        <f>IF(OR($A652="",$B652=""),"",IF($K652&lt;&gt;"",$K652-$B652,TODAY()-$B652))</f>
        <v/>
      </c>
      <c r="M652" s="27">
        <f>IF(OR($A652="",$J652=""),"",IF($K652="",IF(TODAY()&gt;$J652,"Atrasado","En ruta"),IF($K652&lt;=$J652,"Sí","No")))</f>
        <v/>
      </c>
      <c r="N652" s="23">
        <f>IF($A652="","",COUNTIFS(NOVEDADES!$C$4:$C$1503,$A652))</f>
        <v/>
      </c>
      <c r="O652" s="27">
        <f>IF($A652="","",IF(COUNTIFS(NOVEDADES!$C$4:$C$1503,$A652,NOVEDADES!$M$4:$M$1503,"SÍ")&gt;0,"No","Sí"))</f>
        <v/>
      </c>
      <c r="P652" s="27">
        <f>IF(OR($A652="",$K652=""),"",IF(AND($M652="Sí",$O652="Sí"),"OTIF","Falló"))</f>
        <v/>
      </c>
    </row>
    <row r="653" ht="16" customHeight="1">
      <c r="A653" s="47" t="n"/>
      <c r="B653" s="46" t="n"/>
      <c r="C653" s="49" t="n"/>
      <c r="D653" s="49" t="n"/>
      <c r="E653" s="49" t="n"/>
      <c r="F653" s="49" t="n"/>
      <c r="G653" s="47" t="n"/>
      <c r="H653" s="50" t="n"/>
      <c r="I653" s="51" t="n"/>
      <c r="J653" s="46" t="n"/>
      <c r="K653" s="46" t="n"/>
      <c r="L653" s="23">
        <f>IF(OR($A653="",$B653=""),"",IF($K653&lt;&gt;"",$K653-$B653,TODAY()-$B653))</f>
        <v/>
      </c>
      <c r="M653" s="27">
        <f>IF(OR($A653="",$J653=""),"",IF($K653="",IF(TODAY()&gt;$J653,"Atrasado","En ruta"),IF($K653&lt;=$J653,"Sí","No")))</f>
        <v/>
      </c>
      <c r="N653" s="23">
        <f>IF($A653="","",COUNTIFS(NOVEDADES!$C$4:$C$1503,$A653))</f>
        <v/>
      </c>
      <c r="O653" s="27">
        <f>IF($A653="","",IF(COUNTIFS(NOVEDADES!$C$4:$C$1503,$A653,NOVEDADES!$M$4:$M$1503,"SÍ")&gt;0,"No","Sí"))</f>
        <v/>
      </c>
      <c r="P653" s="27">
        <f>IF(OR($A653="",$K653=""),"",IF(AND($M653="Sí",$O653="Sí"),"OTIF","Falló"))</f>
        <v/>
      </c>
    </row>
    <row r="654" ht="16" customHeight="1">
      <c r="A654" s="47" t="n"/>
      <c r="B654" s="46" t="n"/>
      <c r="C654" s="49" t="n"/>
      <c r="D654" s="49" t="n"/>
      <c r="E654" s="49" t="n"/>
      <c r="F654" s="49" t="n"/>
      <c r="G654" s="47" t="n"/>
      <c r="H654" s="50" t="n"/>
      <c r="I654" s="51" t="n"/>
      <c r="J654" s="46" t="n"/>
      <c r="K654" s="46" t="n"/>
      <c r="L654" s="23">
        <f>IF(OR($A654="",$B654=""),"",IF($K654&lt;&gt;"",$K654-$B654,TODAY()-$B654))</f>
        <v/>
      </c>
      <c r="M654" s="27">
        <f>IF(OR($A654="",$J654=""),"",IF($K654="",IF(TODAY()&gt;$J654,"Atrasado","En ruta"),IF($K654&lt;=$J654,"Sí","No")))</f>
        <v/>
      </c>
      <c r="N654" s="23">
        <f>IF($A654="","",COUNTIFS(NOVEDADES!$C$4:$C$1503,$A654))</f>
        <v/>
      </c>
      <c r="O654" s="27">
        <f>IF($A654="","",IF(COUNTIFS(NOVEDADES!$C$4:$C$1503,$A654,NOVEDADES!$M$4:$M$1503,"SÍ")&gt;0,"No","Sí"))</f>
        <v/>
      </c>
      <c r="P654" s="27">
        <f>IF(OR($A654="",$K654=""),"",IF(AND($M654="Sí",$O654="Sí"),"OTIF","Falló"))</f>
        <v/>
      </c>
    </row>
    <row r="655" ht="16" customHeight="1">
      <c r="A655" s="47" t="n"/>
      <c r="B655" s="46" t="n"/>
      <c r="C655" s="49" t="n"/>
      <c r="D655" s="49" t="n"/>
      <c r="E655" s="49" t="n"/>
      <c r="F655" s="49" t="n"/>
      <c r="G655" s="47" t="n"/>
      <c r="H655" s="50" t="n"/>
      <c r="I655" s="51" t="n"/>
      <c r="J655" s="46" t="n"/>
      <c r="K655" s="46" t="n"/>
      <c r="L655" s="23">
        <f>IF(OR($A655="",$B655=""),"",IF($K655&lt;&gt;"",$K655-$B655,TODAY()-$B655))</f>
        <v/>
      </c>
      <c r="M655" s="27">
        <f>IF(OR($A655="",$J655=""),"",IF($K655="",IF(TODAY()&gt;$J655,"Atrasado","En ruta"),IF($K655&lt;=$J655,"Sí","No")))</f>
        <v/>
      </c>
      <c r="N655" s="23">
        <f>IF($A655="","",COUNTIFS(NOVEDADES!$C$4:$C$1503,$A655))</f>
        <v/>
      </c>
      <c r="O655" s="27">
        <f>IF($A655="","",IF(COUNTIFS(NOVEDADES!$C$4:$C$1503,$A655,NOVEDADES!$M$4:$M$1503,"SÍ")&gt;0,"No","Sí"))</f>
        <v/>
      </c>
      <c r="P655" s="27">
        <f>IF(OR($A655="",$K655=""),"",IF(AND($M655="Sí",$O655="Sí"),"OTIF","Falló"))</f>
        <v/>
      </c>
    </row>
    <row r="656" ht="16" customHeight="1">
      <c r="A656" s="47" t="n"/>
      <c r="B656" s="46" t="n"/>
      <c r="C656" s="49" t="n"/>
      <c r="D656" s="49" t="n"/>
      <c r="E656" s="49" t="n"/>
      <c r="F656" s="49" t="n"/>
      <c r="G656" s="47" t="n"/>
      <c r="H656" s="50" t="n"/>
      <c r="I656" s="51" t="n"/>
      <c r="J656" s="46" t="n"/>
      <c r="K656" s="46" t="n"/>
      <c r="L656" s="23">
        <f>IF(OR($A656="",$B656=""),"",IF($K656&lt;&gt;"",$K656-$B656,TODAY()-$B656))</f>
        <v/>
      </c>
      <c r="M656" s="27">
        <f>IF(OR($A656="",$J656=""),"",IF($K656="",IF(TODAY()&gt;$J656,"Atrasado","En ruta"),IF($K656&lt;=$J656,"Sí","No")))</f>
        <v/>
      </c>
      <c r="N656" s="23">
        <f>IF($A656="","",COUNTIFS(NOVEDADES!$C$4:$C$1503,$A656))</f>
        <v/>
      </c>
      <c r="O656" s="27">
        <f>IF($A656="","",IF(COUNTIFS(NOVEDADES!$C$4:$C$1503,$A656,NOVEDADES!$M$4:$M$1503,"SÍ")&gt;0,"No","Sí"))</f>
        <v/>
      </c>
      <c r="P656" s="27">
        <f>IF(OR($A656="",$K656=""),"",IF(AND($M656="Sí",$O656="Sí"),"OTIF","Falló"))</f>
        <v/>
      </c>
    </row>
    <row r="657" ht="16" customHeight="1">
      <c r="A657" s="47" t="n"/>
      <c r="B657" s="46" t="n"/>
      <c r="C657" s="49" t="n"/>
      <c r="D657" s="49" t="n"/>
      <c r="E657" s="49" t="n"/>
      <c r="F657" s="49" t="n"/>
      <c r="G657" s="47" t="n"/>
      <c r="H657" s="50" t="n"/>
      <c r="I657" s="51" t="n"/>
      <c r="J657" s="46" t="n"/>
      <c r="K657" s="46" t="n"/>
      <c r="L657" s="23">
        <f>IF(OR($A657="",$B657=""),"",IF($K657&lt;&gt;"",$K657-$B657,TODAY()-$B657))</f>
        <v/>
      </c>
      <c r="M657" s="27">
        <f>IF(OR($A657="",$J657=""),"",IF($K657="",IF(TODAY()&gt;$J657,"Atrasado","En ruta"),IF($K657&lt;=$J657,"Sí","No")))</f>
        <v/>
      </c>
      <c r="N657" s="23">
        <f>IF($A657="","",COUNTIFS(NOVEDADES!$C$4:$C$1503,$A657))</f>
        <v/>
      </c>
      <c r="O657" s="27">
        <f>IF($A657="","",IF(COUNTIFS(NOVEDADES!$C$4:$C$1503,$A657,NOVEDADES!$M$4:$M$1503,"SÍ")&gt;0,"No","Sí"))</f>
        <v/>
      </c>
      <c r="P657" s="27">
        <f>IF(OR($A657="",$K657=""),"",IF(AND($M657="Sí",$O657="Sí"),"OTIF","Falló"))</f>
        <v/>
      </c>
    </row>
    <row r="658" ht="16" customHeight="1">
      <c r="A658" s="47" t="n"/>
      <c r="B658" s="46" t="n"/>
      <c r="C658" s="49" t="n"/>
      <c r="D658" s="49" t="n"/>
      <c r="E658" s="49" t="n"/>
      <c r="F658" s="49" t="n"/>
      <c r="G658" s="47" t="n"/>
      <c r="H658" s="50" t="n"/>
      <c r="I658" s="51" t="n"/>
      <c r="J658" s="46" t="n"/>
      <c r="K658" s="46" t="n"/>
      <c r="L658" s="23">
        <f>IF(OR($A658="",$B658=""),"",IF($K658&lt;&gt;"",$K658-$B658,TODAY()-$B658))</f>
        <v/>
      </c>
      <c r="M658" s="27">
        <f>IF(OR($A658="",$J658=""),"",IF($K658="",IF(TODAY()&gt;$J658,"Atrasado","En ruta"),IF($K658&lt;=$J658,"Sí","No")))</f>
        <v/>
      </c>
      <c r="N658" s="23">
        <f>IF($A658="","",COUNTIFS(NOVEDADES!$C$4:$C$1503,$A658))</f>
        <v/>
      </c>
      <c r="O658" s="27">
        <f>IF($A658="","",IF(COUNTIFS(NOVEDADES!$C$4:$C$1503,$A658,NOVEDADES!$M$4:$M$1503,"SÍ")&gt;0,"No","Sí"))</f>
        <v/>
      </c>
      <c r="P658" s="27">
        <f>IF(OR($A658="",$K658=""),"",IF(AND($M658="Sí",$O658="Sí"),"OTIF","Falló"))</f>
        <v/>
      </c>
    </row>
    <row r="659" ht="16" customHeight="1">
      <c r="A659" s="47" t="n"/>
      <c r="B659" s="46" t="n"/>
      <c r="C659" s="49" t="n"/>
      <c r="D659" s="49" t="n"/>
      <c r="E659" s="49" t="n"/>
      <c r="F659" s="49" t="n"/>
      <c r="G659" s="47" t="n"/>
      <c r="H659" s="50" t="n"/>
      <c r="I659" s="51" t="n"/>
      <c r="J659" s="46" t="n"/>
      <c r="K659" s="46" t="n"/>
      <c r="L659" s="23">
        <f>IF(OR($A659="",$B659=""),"",IF($K659&lt;&gt;"",$K659-$B659,TODAY()-$B659))</f>
        <v/>
      </c>
      <c r="M659" s="27">
        <f>IF(OR($A659="",$J659=""),"",IF($K659="",IF(TODAY()&gt;$J659,"Atrasado","En ruta"),IF($K659&lt;=$J659,"Sí","No")))</f>
        <v/>
      </c>
      <c r="N659" s="23">
        <f>IF($A659="","",COUNTIFS(NOVEDADES!$C$4:$C$1503,$A659))</f>
        <v/>
      </c>
      <c r="O659" s="27">
        <f>IF($A659="","",IF(COUNTIFS(NOVEDADES!$C$4:$C$1503,$A659,NOVEDADES!$M$4:$M$1503,"SÍ")&gt;0,"No","Sí"))</f>
        <v/>
      </c>
      <c r="P659" s="27">
        <f>IF(OR($A659="",$K659=""),"",IF(AND($M659="Sí",$O659="Sí"),"OTIF","Falló"))</f>
        <v/>
      </c>
    </row>
    <row r="660" ht="16" customHeight="1">
      <c r="A660" s="47" t="n"/>
      <c r="B660" s="46" t="n"/>
      <c r="C660" s="49" t="n"/>
      <c r="D660" s="49" t="n"/>
      <c r="E660" s="49" t="n"/>
      <c r="F660" s="49" t="n"/>
      <c r="G660" s="47" t="n"/>
      <c r="H660" s="50" t="n"/>
      <c r="I660" s="51" t="n"/>
      <c r="J660" s="46" t="n"/>
      <c r="K660" s="46" t="n"/>
      <c r="L660" s="23">
        <f>IF(OR($A660="",$B660=""),"",IF($K660&lt;&gt;"",$K660-$B660,TODAY()-$B660))</f>
        <v/>
      </c>
      <c r="M660" s="27">
        <f>IF(OR($A660="",$J660=""),"",IF($K660="",IF(TODAY()&gt;$J660,"Atrasado","En ruta"),IF($K660&lt;=$J660,"Sí","No")))</f>
        <v/>
      </c>
      <c r="N660" s="23">
        <f>IF($A660="","",COUNTIFS(NOVEDADES!$C$4:$C$1503,$A660))</f>
        <v/>
      </c>
      <c r="O660" s="27">
        <f>IF($A660="","",IF(COUNTIFS(NOVEDADES!$C$4:$C$1503,$A660,NOVEDADES!$M$4:$M$1503,"SÍ")&gt;0,"No","Sí"))</f>
        <v/>
      </c>
      <c r="P660" s="27">
        <f>IF(OR($A660="",$K660=""),"",IF(AND($M660="Sí",$O660="Sí"),"OTIF","Falló"))</f>
        <v/>
      </c>
    </row>
    <row r="661" ht="16" customHeight="1">
      <c r="A661" s="47" t="n"/>
      <c r="B661" s="46" t="n"/>
      <c r="C661" s="49" t="n"/>
      <c r="D661" s="49" t="n"/>
      <c r="E661" s="49" t="n"/>
      <c r="F661" s="49" t="n"/>
      <c r="G661" s="47" t="n"/>
      <c r="H661" s="50" t="n"/>
      <c r="I661" s="51" t="n"/>
      <c r="J661" s="46" t="n"/>
      <c r="K661" s="46" t="n"/>
      <c r="L661" s="23">
        <f>IF(OR($A661="",$B661=""),"",IF($K661&lt;&gt;"",$K661-$B661,TODAY()-$B661))</f>
        <v/>
      </c>
      <c r="M661" s="27">
        <f>IF(OR($A661="",$J661=""),"",IF($K661="",IF(TODAY()&gt;$J661,"Atrasado","En ruta"),IF($K661&lt;=$J661,"Sí","No")))</f>
        <v/>
      </c>
      <c r="N661" s="23">
        <f>IF($A661="","",COUNTIFS(NOVEDADES!$C$4:$C$1503,$A661))</f>
        <v/>
      </c>
      <c r="O661" s="27">
        <f>IF($A661="","",IF(COUNTIFS(NOVEDADES!$C$4:$C$1503,$A661,NOVEDADES!$M$4:$M$1503,"SÍ")&gt;0,"No","Sí"))</f>
        <v/>
      </c>
      <c r="P661" s="27">
        <f>IF(OR($A661="",$K661=""),"",IF(AND($M661="Sí",$O661="Sí"),"OTIF","Falló"))</f>
        <v/>
      </c>
    </row>
    <row r="662" ht="16" customHeight="1">
      <c r="A662" s="47" t="n"/>
      <c r="B662" s="46" t="n"/>
      <c r="C662" s="49" t="n"/>
      <c r="D662" s="49" t="n"/>
      <c r="E662" s="49" t="n"/>
      <c r="F662" s="49" t="n"/>
      <c r="G662" s="47" t="n"/>
      <c r="H662" s="50" t="n"/>
      <c r="I662" s="51" t="n"/>
      <c r="J662" s="46" t="n"/>
      <c r="K662" s="46" t="n"/>
      <c r="L662" s="23">
        <f>IF(OR($A662="",$B662=""),"",IF($K662&lt;&gt;"",$K662-$B662,TODAY()-$B662))</f>
        <v/>
      </c>
      <c r="M662" s="27">
        <f>IF(OR($A662="",$J662=""),"",IF($K662="",IF(TODAY()&gt;$J662,"Atrasado","En ruta"),IF($K662&lt;=$J662,"Sí","No")))</f>
        <v/>
      </c>
      <c r="N662" s="23">
        <f>IF($A662="","",COUNTIFS(NOVEDADES!$C$4:$C$1503,$A662))</f>
        <v/>
      </c>
      <c r="O662" s="27">
        <f>IF($A662="","",IF(COUNTIFS(NOVEDADES!$C$4:$C$1503,$A662,NOVEDADES!$M$4:$M$1503,"SÍ")&gt;0,"No","Sí"))</f>
        <v/>
      </c>
      <c r="P662" s="27">
        <f>IF(OR($A662="",$K662=""),"",IF(AND($M662="Sí",$O662="Sí"),"OTIF","Falló"))</f>
        <v/>
      </c>
    </row>
    <row r="663" ht="16" customHeight="1">
      <c r="A663" s="47" t="n"/>
      <c r="B663" s="46" t="n"/>
      <c r="C663" s="49" t="n"/>
      <c r="D663" s="49" t="n"/>
      <c r="E663" s="49" t="n"/>
      <c r="F663" s="49" t="n"/>
      <c r="G663" s="47" t="n"/>
      <c r="H663" s="50" t="n"/>
      <c r="I663" s="51" t="n"/>
      <c r="J663" s="46" t="n"/>
      <c r="K663" s="46" t="n"/>
      <c r="L663" s="23">
        <f>IF(OR($A663="",$B663=""),"",IF($K663&lt;&gt;"",$K663-$B663,TODAY()-$B663))</f>
        <v/>
      </c>
      <c r="M663" s="27">
        <f>IF(OR($A663="",$J663=""),"",IF($K663="",IF(TODAY()&gt;$J663,"Atrasado","En ruta"),IF($K663&lt;=$J663,"Sí","No")))</f>
        <v/>
      </c>
      <c r="N663" s="23">
        <f>IF($A663="","",COUNTIFS(NOVEDADES!$C$4:$C$1503,$A663))</f>
        <v/>
      </c>
      <c r="O663" s="27">
        <f>IF($A663="","",IF(COUNTIFS(NOVEDADES!$C$4:$C$1503,$A663,NOVEDADES!$M$4:$M$1503,"SÍ")&gt;0,"No","Sí"))</f>
        <v/>
      </c>
      <c r="P663" s="27">
        <f>IF(OR($A663="",$K663=""),"",IF(AND($M663="Sí",$O663="Sí"),"OTIF","Falló"))</f>
        <v/>
      </c>
    </row>
    <row r="664" ht="16" customHeight="1">
      <c r="A664" s="47" t="n"/>
      <c r="B664" s="46" t="n"/>
      <c r="C664" s="49" t="n"/>
      <c r="D664" s="49" t="n"/>
      <c r="E664" s="49" t="n"/>
      <c r="F664" s="49" t="n"/>
      <c r="G664" s="47" t="n"/>
      <c r="H664" s="50" t="n"/>
      <c r="I664" s="51" t="n"/>
      <c r="J664" s="46" t="n"/>
      <c r="K664" s="46" t="n"/>
      <c r="L664" s="23">
        <f>IF(OR($A664="",$B664=""),"",IF($K664&lt;&gt;"",$K664-$B664,TODAY()-$B664))</f>
        <v/>
      </c>
      <c r="M664" s="27">
        <f>IF(OR($A664="",$J664=""),"",IF($K664="",IF(TODAY()&gt;$J664,"Atrasado","En ruta"),IF($K664&lt;=$J664,"Sí","No")))</f>
        <v/>
      </c>
      <c r="N664" s="23">
        <f>IF($A664="","",COUNTIFS(NOVEDADES!$C$4:$C$1503,$A664))</f>
        <v/>
      </c>
      <c r="O664" s="27">
        <f>IF($A664="","",IF(COUNTIFS(NOVEDADES!$C$4:$C$1503,$A664,NOVEDADES!$M$4:$M$1503,"SÍ")&gt;0,"No","Sí"))</f>
        <v/>
      </c>
      <c r="P664" s="27">
        <f>IF(OR($A664="",$K664=""),"",IF(AND($M664="Sí",$O664="Sí"),"OTIF","Falló"))</f>
        <v/>
      </c>
    </row>
    <row r="665" ht="16" customHeight="1">
      <c r="A665" s="47" t="n"/>
      <c r="B665" s="46" t="n"/>
      <c r="C665" s="49" t="n"/>
      <c r="D665" s="49" t="n"/>
      <c r="E665" s="49" t="n"/>
      <c r="F665" s="49" t="n"/>
      <c r="G665" s="47" t="n"/>
      <c r="H665" s="50" t="n"/>
      <c r="I665" s="51" t="n"/>
      <c r="J665" s="46" t="n"/>
      <c r="K665" s="46" t="n"/>
      <c r="L665" s="23">
        <f>IF(OR($A665="",$B665=""),"",IF($K665&lt;&gt;"",$K665-$B665,TODAY()-$B665))</f>
        <v/>
      </c>
      <c r="M665" s="27">
        <f>IF(OR($A665="",$J665=""),"",IF($K665="",IF(TODAY()&gt;$J665,"Atrasado","En ruta"),IF($K665&lt;=$J665,"Sí","No")))</f>
        <v/>
      </c>
      <c r="N665" s="23">
        <f>IF($A665="","",COUNTIFS(NOVEDADES!$C$4:$C$1503,$A665))</f>
        <v/>
      </c>
      <c r="O665" s="27">
        <f>IF($A665="","",IF(COUNTIFS(NOVEDADES!$C$4:$C$1503,$A665,NOVEDADES!$M$4:$M$1503,"SÍ")&gt;0,"No","Sí"))</f>
        <v/>
      </c>
      <c r="P665" s="27">
        <f>IF(OR($A665="",$K665=""),"",IF(AND($M665="Sí",$O665="Sí"),"OTIF","Falló"))</f>
        <v/>
      </c>
    </row>
    <row r="666" ht="16" customHeight="1">
      <c r="A666" s="47" t="n"/>
      <c r="B666" s="46" t="n"/>
      <c r="C666" s="49" t="n"/>
      <c r="D666" s="49" t="n"/>
      <c r="E666" s="49" t="n"/>
      <c r="F666" s="49" t="n"/>
      <c r="G666" s="47" t="n"/>
      <c r="H666" s="50" t="n"/>
      <c r="I666" s="51" t="n"/>
      <c r="J666" s="46" t="n"/>
      <c r="K666" s="46" t="n"/>
      <c r="L666" s="23">
        <f>IF(OR($A666="",$B666=""),"",IF($K666&lt;&gt;"",$K666-$B666,TODAY()-$B666))</f>
        <v/>
      </c>
      <c r="M666" s="27">
        <f>IF(OR($A666="",$J666=""),"",IF($K666="",IF(TODAY()&gt;$J666,"Atrasado","En ruta"),IF($K666&lt;=$J666,"Sí","No")))</f>
        <v/>
      </c>
      <c r="N666" s="23">
        <f>IF($A666="","",COUNTIFS(NOVEDADES!$C$4:$C$1503,$A666))</f>
        <v/>
      </c>
      <c r="O666" s="27">
        <f>IF($A666="","",IF(COUNTIFS(NOVEDADES!$C$4:$C$1503,$A666,NOVEDADES!$M$4:$M$1503,"SÍ")&gt;0,"No","Sí"))</f>
        <v/>
      </c>
      <c r="P666" s="27">
        <f>IF(OR($A666="",$K666=""),"",IF(AND($M666="Sí",$O666="Sí"),"OTIF","Falló"))</f>
        <v/>
      </c>
    </row>
    <row r="667" ht="16" customHeight="1">
      <c r="A667" s="47" t="n"/>
      <c r="B667" s="46" t="n"/>
      <c r="C667" s="49" t="n"/>
      <c r="D667" s="49" t="n"/>
      <c r="E667" s="49" t="n"/>
      <c r="F667" s="49" t="n"/>
      <c r="G667" s="47" t="n"/>
      <c r="H667" s="50" t="n"/>
      <c r="I667" s="51" t="n"/>
      <c r="J667" s="46" t="n"/>
      <c r="K667" s="46" t="n"/>
      <c r="L667" s="23">
        <f>IF(OR($A667="",$B667=""),"",IF($K667&lt;&gt;"",$K667-$B667,TODAY()-$B667))</f>
        <v/>
      </c>
      <c r="M667" s="27">
        <f>IF(OR($A667="",$J667=""),"",IF($K667="",IF(TODAY()&gt;$J667,"Atrasado","En ruta"),IF($K667&lt;=$J667,"Sí","No")))</f>
        <v/>
      </c>
      <c r="N667" s="23">
        <f>IF($A667="","",COUNTIFS(NOVEDADES!$C$4:$C$1503,$A667))</f>
        <v/>
      </c>
      <c r="O667" s="27">
        <f>IF($A667="","",IF(COUNTIFS(NOVEDADES!$C$4:$C$1503,$A667,NOVEDADES!$M$4:$M$1503,"SÍ")&gt;0,"No","Sí"))</f>
        <v/>
      </c>
      <c r="P667" s="27">
        <f>IF(OR($A667="",$K667=""),"",IF(AND($M667="Sí",$O667="Sí"),"OTIF","Falló"))</f>
        <v/>
      </c>
    </row>
    <row r="668" ht="16" customHeight="1">
      <c r="A668" s="47" t="n"/>
      <c r="B668" s="46" t="n"/>
      <c r="C668" s="49" t="n"/>
      <c r="D668" s="49" t="n"/>
      <c r="E668" s="49" t="n"/>
      <c r="F668" s="49" t="n"/>
      <c r="G668" s="47" t="n"/>
      <c r="H668" s="50" t="n"/>
      <c r="I668" s="51" t="n"/>
      <c r="J668" s="46" t="n"/>
      <c r="K668" s="46" t="n"/>
      <c r="L668" s="23">
        <f>IF(OR($A668="",$B668=""),"",IF($K668&lt;&gt;"",$K668-$B668,TODAY()-$B668))</f>
        <v/>
      </c>
      <c r="M668" s="27">
        <f>IF(OR($A668="",$J668=""),"",IF($K668="",IF(TODAY()&gt;$J668,"Atrasado","En ruta"),IF($K668&lt;=$J668,"Sí","No")))</f>
        <v/>
      </c>
      <c r="N668" s="23">
        <f>IF($A668="","",COUNTIFS(NOVEDADES!$C$4:$C$1503,$A668))</f>
        <v/>
      </c>
      <c r="O668" s="27">
        <f>IF($A668="","",IF(COUNTIFS(NOVEDADES!$C$4:$C$1503,$A668,NOVEDADES!$M$4:$M$1503,"SÍ")&gt;0,"No","Sí"))</f>
        <v/>
      </c>
      <c r="P668" s="27">
        <f>IF(OR($A668="",$K668=""),"",IF(AND($M668="Sí",$O668="Sí"),"OTIF","Falló"))</f>
        <v/>
      </c>
    </row>
    <row r="669" ht="16" customHeight="1">
      <c r="A669" s="47" t="n"/>
      <c r="B669" s="46" t="n"/>
      <c r="C669" s="49" t="n"/>
      <c r="D669" s="49" t="n"/>
      <c r="E669" s="49" t="n"/>
      <c r="F669" s="49" t="n"/>
      <c r="G669" s="47" t="n"/>
      <c r="H669" s="50" t="n"/>
      <c r="I669" s="51" t="n"/>
      <c r="J669" s="46" t="n"/>
      <c r="K669" s="46" t="n"/>
      <c r="L669" s="23">
        <f>IF(OR($A669="",$B669=""),"",IF($K669&lt;&gt;"",$K669-$B669,TODAY()-$B669))</f>
        <v/>
      </c>
      <c r="M669" s="27">
        <f>IF(OR($A669="",$J669=""),"",IF($K669="",IF(TODAY()&gt;$J669,"Atrasado","En ruta"),IF($K669&lt;=$J669,"Sí","No")))</f>
        <v/>
      </c>
      <c r="N669" s="23">
        <f>IF($A669="","",COUNTIFS(NOVEDADES!$C$4:$C$1503,$A669))</f>
        <v/>
      </c>
      <c r="O669" s="27">
        <f>IF($A669="","",IF(COUNTIFS(NOVEDADES!$C$4:$C$1503,$A669,NOVEDADES!$M$4:$M$1503,"SÍ")&gt;0,"No","Sí"))</f>
        <v/>
      </c>
      <c r="P669" s="27">
        <f>IF(OR($A669="",$K669=""),"",IF(AND($M669="Sí",$O669="Sí"),"OTIF","Falló"))</f>
        <v/>
      </c>
    </row>
    <row r="670" ht="16" customHeight="1">
      <c r="A670" s="47" t="n"/>
      <c r="B670" s="46" t="n"/>
      <c r="C670" s="49" t="n"/>
      <c r="D670" s="49" t="n"/>
      <c r="E670" s="49" t="n"/>
      <c r="F670" s="49" t="n"/>
      <c r="G670" s="47" t="n"/>
      <c r="H670" s="50" t="n"/>
      <c r="I670" s="51" t="n"/>
      <c r="J670" s="46" t="n"/>
      <c r="K670" s="46" t="n"/>
      <c r="L670" s="23">
        <f>IF(OR($A670="",$B670=""),"",IF($K670&lt;&gt;"",$K670-$B670,TODAY()-$B670))</f>
        <v/>
      </c>
      <c r="M670" s="27">
        <f>IF(OR($A670="",$J670=""),"",IF($K670="",IF(TODAY()&gt;$J670,"Atrasado","En ruta"),IF($K670&lt;=$J670,"Sí","No")))</f>
        <v/>
      </c>
      <c r="N670" s="23">
        <f>IF($A670="","",COUNTIFS(NOVEDADES!$C$4:$C$1503,$A670))</f>
        <v/>
      </c>
      <c r="O670" s="27">
        <f>IF($A670="","",IF(COUNTIFS(NOVEDADES!$C$4:$C$1503,$A670,NOVEDADES!$M$4:$M$1503,"SÍ")&gt;0,"No","Sí"))</f>
        <v/>
      </c>
      <c r="P670" s="27">
        <f>IF(OR($A670="",$K670=""),"",IF(AND($M670="Sí",$O670="Sí"),"OTIF","Falló"))</f>
        <v/>
      </c>
    </row>
    <row r="671" ht="16" customHeight="1">
      <c r="A671" s="47" t="n"/>
      <c r="B671" s="46" t="n"/>
      <c r="C671" s="49" t="n"/>
      <c r="D671" s="49" t="n"/>
      <c r="E671" s="49" t="n"/>
      <c r="F671" s="49" t="n"/>
      <c r="G671" s="47" t="n"/>
      <c r="H671" s="50" t="n"/>
      <c r="I671" s="51" t="n"/>
      <c r="J671" s="46" t="n"/>
      <c r="K671" s="46" t="n"/>
      <c r="L671" s="23">
        <f>IF(OR($A671="",$B671=""),"",IF($K671&lt;&gt;"",$K671-$B671,TODAY()-$B671))</f>
        <v/>
      </c>
      <c r="M671" s="27">
        <f>IF(OR($A671="",$J671=""),"",IF($K671="",IF(TODAY()&gt;$J671,"Atrasado","En ruta"),IF($K671&lt;=$J671,"Sí","No")))</f>
        <v/>
      </c>
      <c r="N671" s="23">
        <f>IF($A671="","",COUNTIFS(NOVEDADES!$C$4:$C$1503,$A671))</f>
        <v/>
      </c>
      <c r="O671" s="27">
        <f>IF($A671="","",IF(COUNTIFS(NOVEDADES!$C$4:$C$1503,$A671,NOVEDADES!$M$4:$M$1503,"SÍ")&gt;0,"No","Sí"))</f>
        <v/>
      </c>
      <c r="P671" s="27">
        <f>IF(OR($A671="",$K671=""),"",IF(AND($M671="Sí",$O671="Sí"),"OTIF","Falló"))</f>
        <v/>
      </c>
    </row>
    <row r="672" ht="16" customHeight="1">
      <c r="A672" s="47" t="n"/>
      <c r="B672" s="46" t="n"/>
      <c r="C672" s="49" t="n"/>
      <c r="D672" s="49" t="n"/>
      <c r="E672" s="49" t="n"/>
      <c r="F672" s="49" t="n"/>
      <c r="G672" s="47" t="n"/>
      <c r="H672" s="50" t="n"/>
      <c r="I672" s="51" t="n"/>
      <c r="J672" s="46" t="n"/>
      <c r="K672" s="46" t="n"/>
      <c r="L672" s="23">
        <f>IF(OR($A672="",$B672=""),"",IF($K672&lt;&gt;"",$K672-$B672,TODAY()-$B672))</f>
        <v/>
      </c>
      <c r="M672" s="27">
        <f>IF(OR($A672="",$J672=""),"",IF($K672="",IF(TODAY()&gt;$J672,"Atrasado","En ruta"),IF($K672&lt;=$J672,"Sí","No")))</f>
        <v/>
      </c>
      <c r="N672" s="23">
        <f>IF($A672="","",COUNTIFS(NOVEDADES!$C$4:$C$1503,$A672))</f>
        <v/>
      </c>
      <c r="O672" s="27">
        <f>IF($A672="","",IF(COUNTIFS(NOVEDADES!$C$4:$C$1503,$A672,NOVEDADES!$M$4:$M$1503,"SÍ")&gt;0,"No","Sí"))</f>
        <v/>
      </c>
      <c r="P672" s="27">
        <f>IF(OR($A672="",$K672=""),"",IF(AND($M672="Sí",$O672="Sí"),"OTIF","Falló"))</f>
        <v/>
      </c>
    </row>
    <row r="673" ht="16" customHeight="1">
      <c r="A673" s="47" t="n"/>
      <c r="B673" s="46" t="n"/>
      <c r="C673" s="49" t="n"/>
      <c r="D673" s="49" t="n"/>
      <c r="E673" s="49" t="n"/>
      <c r="F673" s="49" t="n"/>
      <c r="G673" s="47" t="n"/>
      <c r="H673" s="50" t="n"/>
      <c r="I673" s="51" t="n"/>
      <c r="J673" s="46" t="n"/>
      <c r="K673" s="46" t="n"/>
      <c r="L673" s="23">
        <f>IF(OR($A673="",$B673=""),"",IF($K673&lt;&gt;"",$K673-$B673,TODAY()-$B673))</f>
        <v/>
      </c>
      <c r="M673" s="27">
        <f>IF(OR($A673="",$J673=""),"",IF($K673="",IF(TODAY()&gt;$J673,"Atrasado","En ruta"),IF($K673&lt;=$J673,"Sí","No")))</f>
        <v/>
      </c>
      <c r="N673" s="23">
        <f>IF($A673="","",COUNTIFS(NOVEDADES!$C$4:$C$1503,$A673))</f>
        <v/>
      </c>
      <c r="O673" s="27">
        <f>IF($A673="","",IF(COUNTIFS(NOVEDADES!$C$4:$C$1503,$A673,NOVEDADES!$M$4:$M$1503,"SÍ")&gt;0,"No","Sí"))</f>
        <v/>
      </c>
      <c r="P673" s="27">
        <f>IF(OR($A673="",$K673=""),"",IF(AND($M673="Sí",$O673="Sí"),"OTIF","Falló"))</f>
        <v/>
      </c>
    </row>
    <row r="674" ht="16" customHeight="1">
      <c r="A674" s="47" t="n"/>
      <c r="B674" s="46" t="n"/>
      <c r="C674" s="49" t="n"/>
      <c r="D674" s="49" t="n"/>
      <c r="E674" s="49" t="n"/>
      <c r="F674" s="49" t="n"/>
      <c r="G674" s="47" t="n"/>
      <c r="H674" s="50" t="n"/>
      <c r="I674" s="51" t="n"/>
      <c r="J674" s="46" t="n"/>
      <c r="K674" s="46" t="n"/>
      <c r="L674" s="23">
        <f>IF(OR($A674="",$B674=""),"",IF($K674&lt;&gt;"",$K674-$B674,TODAY()-$B674))</f>
        <v/>
      </c>
      <c r="M674" s="27">
        <f>IF(OR($A674="",$J674=""),"",IF($K674="",IF(TODAY()&gt;$J674,"Atrasado","En ruta"),IF($K674&lt;=$J674,"Sí","No")))</f>
        <v/>
      </c>
      <c r="N674" s="23">
        <f>IF($A674="","",COUNTIFS(NOVEDADES!$C$4:$C$1503,$A674))</f>
        <v/>
      </c>
      <c r="O674" s="27">
        <f>IF($A674="","",IF(COUNTIFS(NOVEDADES!$C$4:$C$1503,$A674,NOVEDADES!$M$4:$M$1503,"SÍ")&gt;0,"No","Sí"))</f>
        <v/>
      </c>
      <c r="P674" s="27">
        <f>IF(OR($A674="",$K674=""),"",IF(AND($M674="Sí",$O674="Sí"),"OTIF","Falló"))</f>
        <v/>
      </c>
    </row>
    <row r="675" ht="16" customHeight="1">
      <c r="A675" s="47" t="n"/>
      <c r="B675" s="46" t="n"/>
      <c r="C675" s="49" t="n"/>
      <c r="D675" s="49" t="n"/>
      <c r="E675" s="49" t="n"/>
      <c r="F675" s="49" t="n"/>
      <c r="G675" s="47" t="n"/>
      <c r="H675" s="50" t="n"/>
      <c r="I675" s="51" t="n"/>
      <c r="J675" s="46" t="n"/>
      <c r="K675" s="46" t="n"/>
      <c r="L675" s="23">
        <f>IF(OR($A675="",$B675=""),"",IF($K675&lt;&gt;"",$K675-$B675,TODAY()-$B675))</f>
        <v/>
      </c>
      <c r="M675" s="27">
        <f>IF(OR($A675="",$J675=""),"",IF($K675="",IF(TODAY()&gt;$J675,"Atrasado","En ruta"),IF($K675&lt;=$J675,"Sí","No")))</f>
        <v/>
      </c>
      <c r="N675" s="23">
        <f>IF($A675="","",COUNTIFS(NOVEDADES!$C$4:$C$1503,$A675))</f>
        <v/>
      </c>
      <c r="O675" s="27">
        <f>IF($A675="","",IF(COUNTIFS(NOVEDADES!$C$4:$C$1503,$A675,NOVEDADES!$M$4:$M$1503,"SÍ")&gt;0,"No","Sí"))</f>
        <v/>
      </c>
      <c r="P675" s="27">
        <f>IF(OR($A675="",$K675=""),"",IF(AND($M675="Sí",$O675="Sí"),"OTIF","Falló"))</f>
        <v/>
      </c>
    </row>
    <row r="676" ht="16" customHeight="1">
      <c r="A676" s="47" t="n"/>
      <c r="B676" s="46" t="n"/>
      <c r="C676" s="49" t="n"/>
      <c r="D676" s="49" t="n"/>
      <c r="E676" s="49" t="n"/>
      <c r="F676" s="49" t="n"/>
      <c r="G676" s="47" t="n"/>
      <c r="H676" s="50" t="n"/>
      <c r="I676" s="51" t="n"/>
      <c r="J676" s="46" t="n"/>
      <c r="K676" s="46" t="n"/>
      <c r="L676" s="23">
        <f>IF(OR($A676="",$B676=""),"",IF($K676&lt;&gt;"",$K676-$B676,TODAY()-$B676))</f>
        <v/>
      </c>
      <c r="M676" s="27">
        <f>IF(OR($A676="",$J676=""),"",IF($K676="",IF(TODAY()&gt;$J676,"Atrasado","En ruta"),IF($K676&lt;=$J676,"Sí","No")))</f>
        <v/>
      </c>
      <c r="N676" s="23">
        <f>IF($A676="","",COUNTIFS(NOVEDADES!$C$4:$C$1503,$A676))</f>
        <v/>
      </c>
      <c r="O676" s="27">
        <f>IF($A676="","",IF(COUNTIFS(NOVEDADES!$C$4:$C$1503,$A676,NOVEDADES!$M$4:$M$1503,"SÍ")&gt;0,"No","Sí"))</f>
        <v/>
      </c>
      <c r="P676" s="27">
        <f>IF(OR($A676="",$K676=""),"",IF(AND($M676="Sí",$O676="Sí"),"OTIF","Falló"))</f>
        <v/>
      </c>
    </row>
    <row r="677" ht="16" customHeight="1">
      <c r="A677" s="47" t="n"/>
      <c r="B677" s="46" t="n"/>
      <c r="C677" s="49" t="n"/>
      <c r="D677" s="49" t="n"/>
      <c r="E677" s="49" t="n"/>
      <c r="F677" s="49" t="n"/>
      <c r="G677" s="47" t="n"/>
      <c r="H677" s="50" t="n"/>
      <c r="I677" s="51" t="n"/>
      <c r="J677" s="46" t="n"/>
      <c r="K677" s="46" t="n"/>
      <c r="L677" s="23">
        <f>IF(OR($A677="",$B677=""),"",IF($K677&lt;&gt;"",$K677-$B677,TODAY()-$B677))</f>
        <v/>
      </c>
      <c r="M677" s="27">
        <f>IF(OR($A677="",$J677=""),"",IF($K677="",IF(TODAY()&gt;$J677,"Atrasado","En ruta"),IF($K677&lt;=$J677,"Sí","No")))</f>
        <v/>
      </c>
      <c r="N677" s="23">
        <f>IF($A677="","",COUNTIFS(NOVEDADES!$C$4:$C$1503,$A677))</f>
        <v/>
      </c>
      <c r="O677" s="27">
        <f>IF($A677="","",IF(COUNTIFS(NOVEDADES!$C$4:$C$1503,$A677,NOVEDADES!$M$4:$M$1503,"SÍ")&gt;0,"No","Sí"))</f>
        <v/>
      </c>
      <c r="P677" s="27">
        <f>IF(OR($A677="",$K677=""),"",IF(AND($M677="Sí",$O677="Sí"),"OTIF","Falló"))</f>
        <v/>
      </c>
    </row>
    <row r="678" ht="16" customHeight="1">
      <c r="A678" s="47" t="n"/>
      <c r="B678" s="46" t="n"/>
      <c r="C678" s="49" t="n"/>
      <c r="D678" s="49" t="n"/>
      <c r="E678" s="49" t="n"/>
      <c r="F678" s="49" t="n"/>
      <c r="G678" s="47" t="n"/>
      <c r="H678" s="50" t="n"/>
      <c r="I678" s="51" t="n"/>
      <c r="J678" s="46" t="n"/>
      <c r="K678" s="46" t="n"/>
      <c r="L678" s="23">
        <f>IF(OR($A678="",$B678=""),"",IF($K678&lt;&gt;"",$K678-$B678,TODAY()-$B678))</f>
        <v/>
      </c>
      <c r="M678" s="27">
        <f>IF(OR($A678="",$J678=""),"",IF($K678="",IF(TODAY()&gt;$J678,"Atrasado","En ruta"),IF($K678&lt;=$J678,"Sí","No")))</f>
        <v/>
      </c>
      <c r="N678" s="23">
        <f>IF($A678="","",COUNTIFS(NOVEDADES!$C$4:$C$1503,$A678))</f>
        <v/>
      </c>
      <c r="O678" s="27">
        <f>IF($A678="","",IF(COUNTIFS(NOVEDADES!$C$4:$C$1503,$A678,NOVEDADES!$M$4:$M$1503,"SÍ")&gt;0,"No","Sí"))</f>
        <v/>
      </c>
      <c r="P678" s="27">
        <f>IF(OR($A678="",$K678=""),"",IF(AND($M678="Sí",$O678="Sí"),"OTIF","Falló"))</f>
        <v/>
      </c>
    </row>
    <row r="679" ht="16" customHeight="1">
      <c r="A679" s="47" t="n"/>
      <c r="B679" s="46" t="n"/>
      <c r="C679" s="49" t="n"/>
      <c r="D679" s="49" t="n"/>
      <c r="E679" s="49" t="n"/>
      <c r="F679" s="49" t="n"/>
      <c r="G679" s="47" t="n"/>
      <c r="H679" s="50" t="n"/>
      <c r="I679" s="51" t="n"/>
      <c r="J679" s="46" t="n"/>
      <c r="K679" s="46" t="n"/>
      <c r="L679" s="23">
        <f>IF(OR($A679="",$B679=""),"",IF($K679&lt;&gt;"",$K679-$B679,TODAY()-$B679))</f>
        <v/>
      </c>
      <c r="M679" s="27">
        <f>IF(OR($A679="",$J679=""),"",IF($K679="",IF(TODAY()&gt;$J679,"Atrasado","En ruta"),IF($K679&lt;=$J679,"Sí","No")))</f>
        <v/>
      </c>
      <c r="N679" s="23">
        <f>IF($A679="","",COUNTIFS(NOVEDADES!$C$4:$C$1503,$A679))</f>
        <v/>
      </c>
      <c r="O679" s="27">
        <f>IF($A679="","",IF(COUNTIFS(NOVEDADES!$C$4:$C$1503,$A679,NOVEDADES!$M$4:$M$1503,"SÍ")&gt;0,"No","Sí"))</f>
        <v/>
      </c>
      <c r="P679" s="27">
        <f>IF(OR($A679="",$K679=""),"",IF(AND($M679="Sí",$O679="Sí"),"OTIF","Falló"))</f>
        <v/>
      </c>
    </row>
    <row r="680" ht="16" customHeight="1">
      <c r="A680" s="47" t="n"/>
      <c r="B680" s="46" t="n"/>
      <c r="C680" s="49" t="n"/>
      <c r="D680" s="49" t="n"/>
      <c r="E680" s="49" t="n"/>
      <c r="F680" s="49" t="n"/>
      <c r="G680" s="47" t="n"/>
      <c r="H680" s="50" t="n"/>
      <c r="I680" s="51" t="n"/>
      <c r="J680" s="46" t="n"/>
      <c r="K680" s="46" t="n"/>
      <c r="L680" s="23">
        <f>IF(OR($A680="",$B680=""),"",IF($K680&lt;&gt;"",$K680-$B680,TODAY()-$B680))</f>
        <v/>
      </c>
      <c r="M680" s="27">
        <f>IF(OR($A680="",$J680=""),"",IF($K680="",IF(TODAY()&gt;$J680,"Atrasado","En ruta"),IF($K680&lt;=$J680,"Sí","No")))</f>
        <v/>
      </c>
      <c r="N680" s="23">
        <f>IF($A680="","",COUNTIFS(NOVEDADES!$C$4:$C$1503,$A680))</f>
        <v/>
      </c>
      <c r="O680" s="27">
        <f>IF($A680="","",IF(COUNTIFS(NOVEDADES!$C$4:$C$1503,$A680,NOVEDADES!$M$4:$M$1503,"SÍ")&gt;0,"No","Sí"))</f>
        <v/>
      </c>
      <c r="P680" s="27">
        <f>IF(OR($A680="",$K680=""),"",IF(AND($M680="Sí",$O680="Sí"),"OTIF","Falló"))</f>
        <v/>
      </c>
    </row>
    <row r="681" ht="16" customHeight="1">
      <c r="A681" s="47" t="n"/>
      <c r="B681" s="46" t="n"/>
      <c r="C681" s="49" t="n"/>
      <c r="D681" s="49" t="n"/>
      <c r="E681" s="49" t="n"/>
      <c r="F681" s="49" t="n"/>
      <c r="G681" s="47" t="n"/>
      <c r="H681" s="50" t="n"/>
      <c r="I681" s="51" t="n"/>
      <c r="J681" s="46" t="n"/>
      <c r="K681" s="46" t="n"/>
      <c r="L681" s="23">
        <f>IF(OR($A681="",$B681=""),"",IF($K681&lt;&gt;"",$K681-$B681,TODAY()-$B681))</f>
        <v/>
      </c>
      <c r="M681" s="27">
        <f>IF(OR($A681="",$J681=""),"",IF($K681="",IF(TODAY()&gt;$J681,"Atrasado","En ruta"),IF($K681&lt;=$J681,"Sí","No")))</f>
        <v/>
      </c>
      <c r="N681" s="23">
        <f>IF($A681="","",COUNTIFS(NOVEDADES!$C$4:$C$1503,$A681))</f>
        <v/>
      </c>
      <c r="O681" s="27">
        <f>IF($A681="","",IF(COUNTIFS(NOVEDADES!$C$4:$C$1503,$A681,NOVEDADES!$M$4:$M$1503,"SÍ")&gt;0,"No","Sí"))</f>
        <v/>
      </c>
      <c r="P681" s="27">
        <f>IF(OR($A681="",$K681=""),"",IF(AND($M681="Sí",$O681="Sí"),"OTIF","Falló"))</f>
        <v/>
      </c>
    </row>
    <row r="682" ht="16" customHeight="1">
      <c r="A682" s="47" t="n"/>
      <c r="B682" s="46" t="n"/>
      <c r="C682" s="49" t="n"/>
      <c r="D682" s="49" t="n"/>
      <c r="E682" s="49" t="n"/>
      <c r="F682" s="49" t="n"/>
      <c r="G682" s="47" t="n"/>
      <c r="H682" s="50" t="n"/>
      <c r="I682" s="51" t="n"/>
      <c r="J682" s="46" t="n"/>
      <c r="K682" s="46" t="n"/>
      <c r="L682" s="23">
        <f>IF(OR($A682="",$B682=""),"",IF($K682&lt;&gt;"",$K682-$B682,TODAY()-$B682))</f>
        <v/>
      </c>
      <c r="M682" s="27">
        <f>IF(OR($A682="",$J682=""),"",IF($K682="",IF(TODAY()&gt;$J682,"Atrasado","En ruta"),IF($K682&lt;=$J682,"Sí","No")))</f>
        <v/>
      </c>
      <c r="N682" s="23">
        <f>IF($A682="","",COUNTIFS(NOVEDADES!$C$4:$C$1503,$A682))</f>
        <v/>
      </c>
      <c r="O682" s="27">
        <f>IF($A682="","",IF(COUNTIFS(NOVEDADES!$C$4:$C$1503,$A682,NOVEDADES!$M$4:$M$1503,"SÍ")&gt;0,"No","Sí"))</f>
        <v/>
      </c>
      <c r="P682" s="27">
        <f>IF(OR($A682="",$K682=""),"",IF(AND($M682="Sí",$O682="Sí"),"OTIF","Falló"))</f>
        <v/>
      </c>
    </row>
    <row r="683" ht="16" customHeight="1">
      <c r="A683" s="47" t="n"/>
      <c r="B683" s="46" t="n"/>
      <c r="C683" s="49" t="n"/>
      <c r="D683" s="49" t="n"/>
      <c r="E683" s="49" t="n"/>
      <c r="F683" s="49" t="n"/>
      <c r="G683" s="47" t="n"/>
      <c r="H683" s="50" t="n"/>
      <c r="I683" s="51" t="n"/>
      <c r="J683" s="46" t="n"/>
      <c r="K683" s="46" t="n"/>
      <c r="L683" s="23">
        <f>IF(OR($A683="",$B683=""),"",IF($K683&lt;&gt;"",$K683-$B683,TODAY()-$B683))</f>
        <v/>
      </c>
      <c r="M683" s="27">
        <f>IF(OR($A683="",$J683=""),"",IF($K683="",IF(TODAY()&gt;$J683,"Atrasado","En ruta"),IF($K683&lt;=$J683,"Sí","No")))</f>
        <v/>
      </c>
      <c r="N683" s="23">
        <f>IF($A683="","",COUNTIFS(NOVEDADES!$C$4:$C$1503,$A683))</f>
        <v/>
      </c>
      <c r="O683" s="27">
        <f>IF($A683="","",IF(COUNTIFS(NOVEDADES!$C$4:$C$1503,$A683,NOVEDADES!$M$4:$M$1503,"SÍ")&gt;0,"No","Sí"))</f>
        <v/>
      </c>
      <c r="P683" s="27">
        <f>IF(OR($A683="",$K683=""),"",IF(AND($M683="Sí",$O683="Sí"),"OTIF","Falló"))</f>
        <v/>
      </c>
    </row>
    <row r="684" ht="16" customHeight="1">
      <c r="A684" s="47" t="n"/>
      <c r="B684" s="46" t="n"/>
      <c r="C684" s="49" t="n"/>
      <c r="D684" s="49" t="n"/>
      <c r="E684" s="49" t="n"/>
      <c r="F684" s="49" t="n"/>
      <c r="G684" s="47" t="n"/>
      <c r="H684" s="50" t="n"/>
      <c r="I684" s="51" t="n"/>
      <c r="J684" s="46" t="n"/>
      <c r="K684" s="46" t="n"/>
      <c r="L684" s="23">
        <f>IF(OR($A684="",$B684=""),"",IF($K684&lt;&gt;"",$K684-$B684,TODAY()-$B684))</f>
        <v/>
      </c>
      <c r="M684" s="27">
        <f>IF(OR($A684="",$J684=""),"",IF($K684="",IF(TODAY()&gt;$J684,"Atrasado","En ruta"),IF($K684&lt;=$J684,"Sí","No")))</f>
        <v/>
      </c>
      <c r="N684" s="23">
        <f>IF($A684="","",COUNTIFS(NOVEDADES!$C$4:$C$1503,$A684))</f>
        <v/>
      </c>
      <c r="O684" s="27">
        <f>IF($A684="","",IF(COUNTIFS(NOVEDADES!$C$4:$C$1503,$A684,NOVEDADES!$M$4:$M$1503,"SÍ")&gt;0,"No","Sí"))</f>
        <v/>
      </c>
      <c r="P684" s="27">
        <f>IF(OR($A684="",$K684=""),"",IF(AND($M684="Sí",$O684="Sí"),"OTIF","Falló"))</f>
        <v/>
      </c>
    </row>
    <row r="685" ht="16" customHeight="1">
      <c r="A685" s="47" t="n"/>
      <c r="B685" s="46" t="n"/>
      <c r="C685" s="49" t="n"/>
      <c r="D685" s="49" t="n"/>
      <c r="E685" s="49" t="n"/>
      <c r="F685" s="49" t="n"/>
      <c r="G685" s="47" t="n"/>
      <c r="H685" s="50" t="n"/>
      <c r="I685" s="51" t="n"/>
      <c r="J685" s="46" t="n"/>
      <c r="K685" s="46" t="n"/>
      <c r="L685" s="23">
        <f>IF(OR($A685="",$B685=""),"",IF($K685&lt;&gt;"",$K685-$B685,TODAY()-$B685))</f>
        <v/>
      </c>
      <c r="M685" s="27">
        <f>IF(OR($A685="",$J685=""),"",IF($K685="",IF(TODAY()&gt;$J685,"Atrasado","En ruta"),IF($K685&lt;=$J685,"Sí","No")))</f>
        <v/>
      </c>
      <c r="N685" s="23">
        <f>IF($A685="","",COUNTIFS(NOVEDADES!$C$4:$C$1503,$A685))</f>
        <v/>
      </c>
      <c r="O685" s="27">
        <f>IF($A685="","",IF(COUNTIFS(NOVEDADES!$C$4:$C$1503,$A685,NOVEDADES!$M$4:$M$1503,"SÍ")&gt;0,"No","Sí"))</f>
        <v/>
      </c>
      <c r="P685" s="27">
        <f>IF(OR($A685="",$K685=""),"",IF(AND($M685="Sí",$O685="Sí"),"OTIF","Falló"))</f>
        <v/>
      </c>
    </row>
    <row r="686" ht="16" customHeight="1">
      <c r="A686" s="47" t="n"/>
      <c r="B686" s="46" t="n"/>
      <c r="C686" s="49" t="n"/>
      <c r="D686" s="49" t="n"/>
      <c r="E686" s="49" t="n"/>
      <c r="F686" s="49" t="n"/>
      <c r="G686" s="47" t="n"/>
      <c r="H686" s="50" t="n"/>
      <c r="I686" s="51" t="n"/>
      <c r="J686" s="46" t="n"/>
      <c r="K686" s="46" t="n"/>
      <c r="L686" s="23">
        <f>IF(OR($A686="",$B686=""),"",IF($K686&lt;&gt;"",$K686-$B686,TODAY()-$B686))</f>
        <v/>
      </c>
      <c r="M686" s="27">
        <f>IF(OR($A686="",$J686=""),"",IF($K686="",IF(TODAY()&gt;$J686,"Atrasado","En ruta"),IF($K686&lt;=$J686,"Sí","No")))</f>
        <v/>
      </c>
      <c r="N686" s="23">
        <f>IF($A686="","",COUNTIFS(NOVEDADES!$C$4:$C$1503,$A686))</f>
        <v/>
      </c>
      <c r="O686" s="27">
        <f>IF($A686="","",IF(COUNTIFS(NOVEDADES!$C$4:$C$1503,$A686,NOVEDADES!$M$4:$M$1503,"SÍ")&gt;0,"No","Sí"))</f>
        <v/>
      </c>
      <c r="P686" s="27">
        <f>IF(OR($A686="",$K686=""),"",IF(AND($M686="Sí",$O686="Sí"),"OTIF","Falló"))</f>
        <v/>
      </c>
    </row>
    <row r="687" ht="16" customHeight="1">
      <c r="A687" s="47" t="n"/>
      <c r="B687" s="46" t="n"/>
      <c r="C687" s="49" t="n"/>
      <c r="D687" s="49" t="n"/>
      <c r="E687" s="49" t="n"/>
      <c r="F687" s="49" t="n"/>
      <c r="G687" s="47" t="n"/>
      <c r="H687" s="50" t="n"/>
      <c r="I687" s="51" t="n"/>
      <c r="J687" s="46" t="n"/>
      <c r="K687" s="46" t="n"/>
      <c r="L687" s="23">
        <f>IF(OR($A687="",$B687=""),"",IF($K687&lt;&gt;"",$K687-$B687,TODAY()-$B687))</f>
        <v/>
      </c>
      <c r="M687" s="27">
        <f>IF(OR($A687="",$J687=""),"",IF($K687="",IF(TODAY()&gt;$J687,"Atrasado","En ruta"),IF($K687&lt;=$J687,"Sí","No")))</f>
        <v/>
      </c>
      <c r="N687" s="23">
        <f>IF($A687="","",COUNTIFS(NOVEDADES!$C$4:$C$1503,$A687))</f>
        <v/>
      </c>
      <c r="O687" s="27">
        <f>IF($A687="","",IF(COUNTIFS(NOVEDADES!$C$4:$C$1503,$A687,NOVEDADES!$M$4:$M$1503,"SÍ")&gt;0,"No","Sí"))</f>
        <v/>
      </c>
      <c r="P687" s="27">
        <f>IF(OR($A687="",$K687=""),"",IF(AND($M687="Sí",$O687="Sí"),"OTIF","Falló"))</f>
        <v/>
      </c>
    </row>
    <row r="688" ht="16" customHeight="1">
      <c r="A688" s="47" t="n"/>
      <c r="B688" s="46" t="n"/>
      <c r="C688" s="49" t="n"/>
      <c r="D688" s="49" t="n"/>
      <c r="E688" s="49" t="n"/>
      <c r="F688" s="49" t="n"/>
      <c r="G688" s="47" t="n"/>
      <c r="H688" s="50" t="n"/>
      <c r="I688" s="51" t="n"/>
      <c r="J688" s="46" t="n"/>
      <c r="K688" s="46" t="n"/>
      <c r="L688" s="23">
        <f>IF(OR($A688="",$B688=""),"",IF($K688&lt;&gt;"",$K688-$B688,TODAY()-$B688))</f>
        <v/>
      </c>
      <c r="M688" s="27">
        <f>IF(OR($A688="",$J688=""),"",IF($K688="",IF(TODAY()&gt;$J688,"Atrasado","En ruta"),IF($K688&lt;=$J688,"Sí","No")))</f>
        <v/>
      </c>
      <c r="N688" s="23">
        <f>IF($A688="","",COUNTIFS(NOVEDADES!$C$4:$C$1503,$A688))</f>
        <v/>
      </c>
      <c r="O688" s="27">
        <f>IF($A688="","",IF(COUNTIFS(NOVEDADES!$C$4:$C$1503,$A688,NOVEDADES!$M$4:$M$1503,"SÍ")&gt;0,"No","Sí"))</f>
        <v/>
      </c>
      <c r="P688" s="27">
        <f>IF(OR($A688="",$K688=""),"",IF(AND($M688="Sí",$O688="Sí"),"OTIF","Falló"))</f>
        <v/>
      </c>
    </row>
    <row r="689" ht="16" customHeight="1">
      <c r="A689" s="47" t="n"/>
      <c r="B689" s="46" t="n"/>
      <c r="C689" s="49" t="n"/>
      <c r="D689" s="49" t="n"/>
      <c r="E689" s="49" t="n"/>
      <c r="F689" s="49" t="n"/>
      <c r="G689" s="47" t="n"/>
      <c r="H689" s="50" t="n"/>
      <c r="I689" s="51" t="n"/>
      <c r="J689" s="46" t="n"/>
      <c r="K689" s="46" t="n"/>
      <c r="L689" s="23">
        <f>IF(OR($A689="",$B689=""),"",IF($K689&lt;&gt;"",$K689-$B689,TODAY()-$B689))</f>
        <v/>
      </c>
      <c r="M689" s="27">
        <f>IF(OR($A689="",$J689=""),"",IF($K689="",IF(TODAY()&gt;$J689,"Atrasado","En ruta"),IF($K689&lt;=$J689,"Sí","No")))</f>
        <v/>
      </c>
      <c r="N689" s="23">
        <f>IF($A689="","",COUNTIFS(NOVEDADES!$C$4:$C$1503,$A689))</f>
        <v/>
      </c>
      <c r="O689" s="27">
        <f>IF($A689="","",IF(COUNTIFS(NOVEDADES!$C$4:$C$1503,$A689,NOVEDADES!$M$4:$M$1503,"SÍ")&gt;0,"No","Sí"))</f>
        <v/>
      </c>
      <c r="P689" s="27">
        <f>IF(OR($A689="",$K689=""),"",IF(AND($M689="Sí",$O689="Sí"),"OTIF","Falló"))</f>
        <v/>
      </c>
    </row>
    <row r="690" ht="16" customHeight="1">
      <c r="A690" s="47" t="n"/>
      <c r="B690" s="46" t="n"/>
      <c r="C690" s="49" t="n"/>
      <c r="D690" s="49" t="n"/>
      <c r="E690" s="49" t="n"/>
      <c r="F690" s="49" t="n"/>
      <c r="G690" s="47" t="n"/>
      <c r="H690" s="50" t="n"/>
      <c r="I690" s="51" t="n"/>
      <c r="J690" s="46" t="n"/>
      <c r="K690" s="46" t="n"/>
      <c r="L690" s="23">
        <f>IF(OR($A690="",$B690=""),"",IF($K690&lt;&gt;"",$K690-$B690,TODAY()-$B690))</f>
        <v/>
      </c>
      <c r="M690" s="27">
        <f>IF(OR($A690="",$J690=""),"",IF($K690="",IF(TODAY()&gt;$J690,"Atrasado","En ruta"),IF($K690&lt;=$J690,"Sí","No")))</f>
        <v/>
      </c>
      <c r="N690" s="23">
        <f>IF($A690="","",COUNTIFS(NOVEDADES!$C$4:$C$1503,$A690))</f>
        <v/>
      </c>
      <c r="O690" s="27">
        <f>IF($A690="","",IF(COUNTIFS(NOVEDADES!$C$4:$C$1503,$A690,NOVEDADES!$M$4:$M$1503,"SÍ")&gt;0,"No","Sí"))</f>
        <v/>
      </c>
      <c r="P690" s="27">
        <f>IF(OR($A690="",$K690=""),"",IF(AND($M690="Sí",$O690="Sí"),"OTIF","Falló"))</f>
        <v/>
      </c>
    </row>
    <row r="691" ht="16" customHeight="1">
      <c r="A691" s="47" t="n"/>
      <c r="B691" s="46" t="n"/>
      <c r="C691" s="49" t="n"/>
      <c r="D691" s="49" t="n"/>
      <c r="E691" s="49" t="n"/>
      <c r="F691" s="49" t="n"/>
      <c r="G691" s="47" t="n"/>
      <c r="H691" s="50" t="n"/>
      <c r="I691" s="51" t="n"/>
      <c r="J691" s="46" t="n"/>
      <c r="K691" s="46" t="n"/>
      <c r="L691" s="23">
        <f>IF(OR($A691="",$B691=""),"",IF($K691&lt;&gt;"",$K691-$B691,TODAY()-$B691))</f>
        <v/>
      </c>
      <c r="M691" s="27">
        <f>IF(OR($A691="",$J691=""),"",IF($K691="",IF(TODAY()&gt;$J691,"Atrasado","En ruta"),IF($K691&lt;=$J691,"Sí","No")))</f>
        <v/>
      </c>
      <c r="N691" s="23">
        <f>IF($A691="","",COUNTIFS(NOVEDADES!$C$4:$C$1503,$A691))</f>
        <v/>
      </c>
      <c r="O691" s="27">
        <f>IF($A691="","",IF(COUNTIFS(NOVEDADES!$C$4:$C$1503,$A691,NOVEDADES!$M$4:$M$1503,"SÍ")&gt;0,"No","Sí"))</f>
        <v/>
      </c>
      <c r="P691" s="27">
        <f>IF(OR($A691="",$K691=""),"",IF(AND($M691="Sí",$O691="Sí"),"OTIF","Falló"))</f>
        <v/>
      </c>
    </row>
    <row r="692" ht="16" customHeight="1">
      <c r="A692" s="47" t="n"/>
      <c r="B692" s="46" t="n"/>
      <c r="C692" s="49" t="n"/>
      <c r="D692" s="49" t="n"/>
      <c r="E692" s="49" t="n"/>
      <c r="F692" s="49" t="n"/>
      <c r="G692" s="47" t="n"/>
      <c r="H692" s="50" t="n"/>
      <c r="I692" s="51" t="n"/>
      <c r="J692" s="46" t="n"/>
      <c r="K692" s="46" t="n"/>
      <c r="L692" s="23">
        <f>IF(OR($A692="",$B692=""),"",IF($K692&lt;&gt;"",$K692-$B692,TODAY()-$B692))</f>
        <v/>
      </c>
      <c r="M692" s="27">
        <f>IF(OR($A692="",$J692=""),"",IF($K692="",IF(TODAY()&gt;$J692,"Atrasado","En ruta"),IF($K692&lt;=$J692,"Sí","No")))</f>
        <v/>
      </c>
      <c r="N692" s="23">
        <f>IF($A692="","",COUNTIFS(NOVEDADES!$C$4:$C$1503,$A692))</f>
        <v/>
      </c>
      <c r="O692" s="27">
        <f>IF($A692="","",IF(COUNTIFS(NOVEDADES!$C$4:$C$1503,$A692,NOVEDADES!$M$4:$M$1503,"SÍ")&gt;0,"No","Sí"))</f>
        <v/>
      </c>
      <c r="P692" s="27">
        <f>IF(OR($A692="",$K692=""),"",IF(AND($M692="Sí",$O692="Sí"),"OTIF","Falló"))</f>
        <v/>
      </c>
    </row>
    <row r="693" ht="16" customHeight="1">
      <c r="A693" s="47" t="n"/>
      <c r="B693" s="46" t="n"/>
      <c r="C693" s="49" t="n"/>
      <c r="D693" s="49" t="n"/>
      <c r="E693" s="49" t="n"/>
      <c r="F693" s="49" t="n"/>
      <c r="G693" s="47" t="n"/>
      <c r="H693" s="50" t="n"/>
      <c r="I693" s="51" t="n"/>
      <c r="J693" s="46" t="n"/>
      <c r="K693" s="46" t="n"/>
      <c r="L693" s="23">
        <f>IF(OR($A693="",$B693=""),"",IF($K693&lt;&gt;"",$K693-$B693,TODAY()-$B693))</f>
        <v/>
      </c>
      <c r="M693" s="27">
        <f>IF(OR($A693="",$J693=""),"",IF($K693="",IF(TODAY()&gt;$J693,"Atrasado","En ruta"),IF($K693&lt;=$J693,"Sí","No")))</f>
        <v/>
      </c>
      <c r="N693" s="23">
        <f>IF($A693="","",COUNTIFS(NOVEDADES!$C$4:$C$1503,$A693))</f>
        <v/>
      </c>
      <c r="O693" s="27">
        <f>IF($A693="","",IF(COUNTIFS(NOVEDADES!$C$4:$C$1503,$A693,NOVEDADES!$M$4:$M$1503,"SÍ")&gt;0,"No","Sí"))</f>
        <v/>
      </c>
      <c r="P693" s="27">
        <f>IF(OR($A693="",$K693=""),"",IF(AND($M693="Sí",$O693="Sí"),"OTIF","Falló"))</f>
        <v/>
      </c>
    </row>
    <row r="694" ht="16" customHeight="1">
      <c r="A694" s="47" t="n"/>
      <c r="B694" s="46" t="n"/>
      <c r="C694" s="49" t="n"/>
      <c r="D694" s="49" t="n"/>
      <c r="E694" s="49" t="n"/>
      <c r="F694" s="49" t="n"/>
      <c r="G694" s="47" t="n"/>
      <c r="H694" s="50" t="n"/>
      <c r="I694" s="51" t="n"/>
      <c r="J694" s="46" t="n"/>
      <c r="K694" s="46" t="n"/>
      <c r="L694" s="23">
        <f>IF(OR($A694="",$B694=""),"",IF($K694&lt;&gt;"",$K694-$B694,TODAY()-$B694))</f>
        <v/>
      </c>
      <c r="M694" s="27">
        <f>IF(OR($A694="",$J694=""),"",IF($K694="",IF(TODAY()&gt;$J694,"Atrasado","En ruta"),IF($K694&lt;=$J694,"Sí","No")))</f>
        <v/>
      </c>
      <c r="N694" s="23">
        <f>IF($A694="","",COUNTIFS(NOVEDADES!$C$4:$C$1503,$A694))</f>
        <v/>
      </c>
      <c r="O694" s="27">
        <f>IF($A694="","",IF(COUNTIFS(NOVEDADES!$C$4:$C$1503,$A694,NOVEDADES!$M$4:$M$1503,"SÍ")&gt;0,"No","Sí"))</f>
        <v/>
      </c>
      <c r="P694" s="27">
        <f>IF(OR($A694="",$K694=""),"",IF(AND($M694="Sí",$O694="Sí"),"OTIF","Falló"))</f>
        <v/>
      </c>
    </row>
    <row r="695" ht="16" customHeight="1">
      <c r="A695" s="47" t="n"/>
      <c r="B695" s="46" t="n"/>
      <c r="C695" s="49" t="n"/>
      <c r="D695" s="49" t="n"/>
      <c r="E695" s="49" t="n"/>
      <c r="F695" s="49" t="n"/>
      <c r="G695" s="47" t="n"/>
      <c r="H695" s="50" t="n"/>
      <c r="I695" s="51" t="n"/>
      <c r="J695" s="46" t="n"/>
      <c r="K695" s="46" t="n"/>
      <c r="L695" s="23">
        <f>IF(OR($A695="",$B695=""),"",IF($K695&lt;&gt;"",$K695-$B695,TODAY()-$B695))</f>
        <v/>
      </c>
      <c r="M695" s="27">
        <f>IF(OR($A695="",$J695=""),"",IF($K695="",IF(TODAY()&gt;$J695,"Atrasado","En ruta"),IF($K695&lt;=$J695,"Sí","No")))</f>
        <v/>
      </c>
      <c r="N695" s="23">
        <f>IF($A695="","",COUNTIFS(NOVEDADES!$C$4:$C$1503,$A695))</f>
        <v/>
      </c>
      <c r="O695" s="27">
        <f>IF($A695="","",IF(COUNTIFS(NOVEDADES!$C$4:$C$1503,$A695,NOVEDADES!$M$4:$M$1503,"SÍ")&gt;0,"No","Sí"))</f>
        <v/>
      </c>
      <c r="P695" s="27">
        <f>IF(OR($A695="",$K695=""),"",IF(AND($M695="Sí",$O695="Sí"),"OTIF","Falló"))</f>
        <v/>
      </c>
    </row>
    <row r="696" ht="16" customHeight="1">
      <c r="A696" s="47" t="n"/>
      <c r="B696" s="46" t="n"/>
      <c r="C696" s="49" t="n"/>
      <c r="D696" s="49" t="n"/>
      <c r="E696" s="49" t="n"/>
      <c r="F696" s="49" t="n"/>
      <c r="G696" s="47" t="n"/>
      <c r="H696" s="50" t="n"/>
      <c r="I696" s="51" t="n"/>
      <c r="J696" s="46" t="n"/>
      <c r="K696" s="46" t="n"/>
      <c r="L696" s="23">
        <f>IF(OR($A696="",$B696=""),"",IF($K696&lt;&gt;"",$K696-$B696,TODAY()-$B696))</f>
        <v/>
      </c>
      <c r="M696" s="27">
        <f>IF(OR($A696="",$J696=""),"",IF($K696="",IF(TODAY()&gt;$J696,"Atrasado","En ruta"),IF($K696&lt;=$J696,"Sí","No")))</f>
        <v/>
      </c>
      <c r="N696" s="23">
        <f>IF($A696="","",COUNTIFS(NOVEDADES!$C$4:$C$1503,$A696))</f>
        <v/>
      </c>
      <c r="O696" s="27">
        <f>IF($A696="","",IF(COUNTIFS(NOVEDADES!$C$4:$C$1503,$A696,NOVEDADES!$M$4:$M$1503,"SÍ")&gt;0,"No","Sí"))</f>
        <v/>
      </c>
      <c r="P696" s="27">
        <f>IF(OR($A696="",$K696=""),"",IF(AND($M696="Sí",$O696="Sí"),"OTIF","Falló"))</f>
        <v/>
      </c>
    </row>
    <row r="697" ht="16" customHeight="1">
      <c r="A697" s="47" t="n"/>
      <c r="B697" s="46" t="n"/>
      <c r="C697" s="49" t="n"/>
      <c r="D697" s="49" t="n"/>
      <c r="E697" s="49" t="n"/>
      <c r="F697" s="49" t="n"/>
      <c r="G697" s="47" t="n"/>
      <c r="H697" s="50" t="n"/>
      <c r="I697" s="51" t="n"/>
      <c r="J697" s="46" t="n"/>
      <c r="K697" s="46" t="n"/>
      <c r="L697" s="23">
        <f>IF(OR($A697="",$B697=""),"",IF($K697&lt;&gt;"",$K697-$B697,TODAY()-$B697))</f>
        <v/>
      </c>
      <c r="M697" s="27">
        <f>IF(OR($A697="",$J697=""),"",IF($K697="",IF(TODAY()&gt;$J697,"Atrasado","En ruta"),IF($K697&lt;=$J697,"Sí","No")))</f>
        <v/>
      </c>
      <c r="N697" s="23">
        <f>IF($A697="","",COUNTIFS(NOVEDADES!$C$4:$C$1503,$A697))</f>
        <v/>
      </c>
      <c r="O697" s="27">
        <f>IF($A697="","",IF(COUNTIFS(NOVEDADES!$C$4:$C$1503,$A697,NOVEDADES!$M$4:$M$1503,"SÍ")&gt;0,"No","Sí"))</f>
        <v/>
      </c>
      <c r="P697" s="27">
        <f>IF(OR($A697="",$K697=""),"",IF(AND($M697="Sí",$O697="Sí"),"OTIF","Falló"))</f>
        <v/>
      </c>
    </row>
    <row r="698" ht="16" customHeight="1">
      <c r="A698" s="47" t="n"/>
      <c r="B698" s="46" t="n"/>
      <c r="C698" s="49" t="n"/>
      <c r="D698" s="49" t="n"/>
      <c r="E698" s="49" t="n"/>
      <c r="F698" s="49" t="n"/>
      <c r="G698" s="47" t="n"/>
      <c r="H698" s="50" t="n"/>
      <c r="I698" s="51" t="n"/>
      <c r="J698" s="46" t="n"/>
      <c r="K698" s="46" t="n"/>
      <c r="L698" s="23">
        <f>IF(OR($A698="",$B698=""),"",IF($K698&lt;&gt;"",$K698-$B698,TODAY()-$B698))</f>
        <v/>
      </c>
      <c r="M698" s="27">
        <f>IF(OR($A698="",$J698=""),"",IF($K698="",IF(TODAY()&gt;$J698,"Atrasado","En ruta"),IF($K698&lt;=$J698,"Sí","No")))</f>
        <v/>
      </c>
      <c r="N698" s="23">
        <f>IF($A698="","",COUNTIFS(NOVEDADES!$C$4:$C$1503,$A698))</f>
        <v/>
      </c>
      <c r="O698" s="27">
        <f>IF($A698="","",IF(COUNTIFS(NOVEDADES!$C$4:$C$1503,$A698,NOVEDADES!$M$4:$M$1503,"SÍ")&gt;0,"No","Sí"))</f>
        <v/>
      </c>
      <c r="P698" s="27">
        <f>IF(OR($A698="",$K698=""),"",IF(AND($M698="Sí",$O698="Sí"),"OTIF","Falló"))</f>
        <v/>
      </c>
    </row>
    <row r="699" ht="16" customHeight="1">
      <c r="A699" s="47" t="n"/>
      <c r="B699" s="46" t="n"/>
      <c r="C699" s="49" t="n"/>
      <c r="D699" s="49" t="n"/>
      <c r="E699" s="49" t="n"/>
      <c r="F699" s="49" t="n"/>
      <c r="G699" s="47" t="n"/>
      <c r="H699" s="50" t="n"/>
      <c r="I699" s="51" t="n"/>
      <c r="J699" s="46" t="n"/>
      <c r="K699" s="46" t="n"/>
      <c r="L699" s="23">
        <f>IF(OR($A699="",$B699=""),"",IF($K699&lt;&gt;"",$K699-$B699,TODAY()-$B699))</f>
        <v/>
      </c>
      <c r="M699" s="27">
        <f>IF(OR($A699="",$J699=""),"",IF($K699="",IF(TODAY()&gt;$J699,"Atrasado","En ruta"),IF($K699&lt;=$J699,"Sí","No")))</f>
        <v/>
      </c>
      <c r="N699" s="23">
        <f>IF($A699="","",COUNTIFS(NOVEDADES!$C$4:$C$1503,$A699))</f>
        <v/>
      </c>
      <c r="O699" s="27">
        <f>IF($A699="","",IF(COUNTIFS(NOVEDADES!$C$4:$C$1503,$A699,NOVEDADES!$M$4:$M$1503,"SÍ")&gt;0,"No","Sí"))</f>
        <v/>
      </c>
      <c r="P699" s="27">
        <f>IF(OR($A699="",$K699=""),"",IF(AND($M699="Sí",$O699="Sí"),"OTIF","Falló"))</f>
        <v/>
      </c>
    </row>
    <row r="700" ht="16" customHeight="1">
      <c r="A700" s="47" t="n"/>
      <c r="B700" s="46" t="n"/>
      <c r="C700" s="49" t="n"/>
      <c r="D700" s="49" t="n"/>
      <c r="E700" s="49" t="n"/>
      <c r="F700" s="49" t="n"/>
      <c r="G700" s="47" t="n"/>
      <c r="H700" s="50" t="n"/>
      <c r="I700" s="51" t="n"/>
      <c r="J700" s="46" t="n"/>
      <c r="K700" s="46" t="n"/>
      <c r="L700" s="23">
        <f>IF(OR($A700="",$B700=""),"",IF($K700&lt;&gt;"",$K700-$B700,TODAY()-$B700))</f>
        <v/>
      </c>
      <c r="M700" s="27">
        <f>IF(OR($A700="",$J700=""),"",IF($K700="",IF(TODAY()&gt;$J700,"Atrasado","En ruta"),IF($K700&lt;=$J700,"Sí","No")))</f>
        <v/>
      </c>
      <c r="N700" s="23">
        <f>IF($A700="","",COUNTIFS(NOVEDADES!$C$4:$C$1503,$A700))</f>
        <v/>
      </c>
      <c r="O700" s="27">
        <f>IF($A700="","",IF(COUNTIFS(NOVEDADES!$C$4:$C$1503,$A700,NOVEDADES!$M$4:$M$1503,"SÍ")&gt;0,"No","Sí"))</f>
        <v/>
      </c>
      <c r="P700" s="27">
        <f>IF(OR($A700="",$K700=""),"",IF(AND($M700="Sí",$O700="Sí"),"OTIF","Falló"))</f>
        <v/>
      </c>
    </row>
    <row r="701" ht="16" customHeight="1">
      <c r="A701" s="47" t="n"/>
      <c r="B701" s="46" t="n"/>
      <c r="C701" s="49" t="n"/>
      <c r="D701" s="49" t="n"/>
      <c r="E701" s="49" t="n"/>
      <c r="F701" s="49" t="n"/>
      <c r="G701" s="47" t="n"/>
      <c r="H701" s="50" t="n"/>
      <c r="I701" s="51" t="n"/>
      <c r="J701" s="46" t="n"/>
      <c r="K701" s="46" t="n"/>
      <c r="L701" s="23">
        <f>IF(OR($A701="",$B701=""),"",IF($K701&lt;&gt;"",$K701-$B701,TODAY()-$B701))</f>
        <v/>
      </c>
      <c r="M701" s="27">
        <f>IF(OR($A701="",$J701=""),"",IF($K701="",IF(TODAY()&gt;$J701,"Atrasado","En ruta"),IF($K701&lt;=$J701,"Sí","No")))</f>
        <v/>
      </c>
      <c r="N701" s="23">
        <f>IF($A701="","",COUNTIFS(NOVEDADES!$C$4:$C$1503,$A701))</f>
        <v/>
      </c>
      <c r="O701" s="27">
        <f>IF($A701="","",IF(COUNTIFS(NOVEDADES!$C$4:$C$1503,$A701,NOVEDADES!$M$4:$M$1503,"SÍ")&gt;0,"No","Sí"))</f>
        <v/>
      </c>
      <c r="P701" s="27">
        <f>IF(OR($A701="",$K701=""),"",IF(AND($M701="Sí",$O701="Sí"),"OTIF","Falló"))</f>
        <v/>
      </c>
    </row>
    <row r="702" ht="16" customHeight="1">
      <c r="A702" s="47" t="n"/>
      <c r="B702" s="46" t="n"/>
      <c r="C702" s="49" t="n"/>
      <c r="D702" s="49" t="n"/>
      <c r="E702" s="49" t="n"/>
      <c r="F702" s="49" t="n"/>
      <c r="G702" s="47" t="n"/>
      <c r="H702" s="50" t="n"/>
      <c r="I702" s="51" t="n"/>
      <c r="J702" s="46" t="n"/>
      <c r="K702" s="46" t="n"/>
      <c r="L702" s="23">
        <f>IF(OR($A702="",$B702=""),"",IF($K702&lt;&gt;"",$K702-$B702,TODAY()-$B702))</f>
        <v/>
      </c>
      <c r="M702" s="27">
        <f>IF(OR($A702="",$J702=""),"",IF($K702="",IF(TODAY()&gt;$J702,"Atrasado","En ruta"),IF($K702&lt;=$J702,"Sí","No")))</f>
        <v/>
      </c>
      <c r="N702" s="23">
        <f>IF($A702="","",COUNTIFS(NOVEDADES!$C$4:$C$1503,$A702))</f>
        <v/>
      </c>
      <c r="O702" s="27">
        <f>IF($A702="","",IF(COUNTIFS(NOVEDADES!$C$4:$C$1503,$A702,NOVEDADES!$M$4:$M$1503,"SÍ")&gt;0,"No","Sí"))</f>
        <v/>
      </c>
      <c r="P702" s="27">
        <f>IF(OR($A702="",$K702=""),"",IF(AND($M702="Sí",$O702="Sí"),"OTIF","Falló"))</f>
        <v/>
      </c>
    </row>
    <row r="703" ht="16" customHeight="1">
      <c r="A703" s="47" t="n"/>
      <c r="B703" s="46" t="n"/>
      <c r="C703" s="49" t="n"/>
      <c r="D703" s="49" t="n"/>
      <c r="E703" s="49" t="n"/>
      <c r="F703" s="49" t="n"/>
      <c r="G703" s="47" t="n"/>
      <c r="H703" s="50" t="n"/>
      <c r="I703" s="51" t="n"/>
      <c r="J703" s="46" t="n"/>
      <c r="K703" s="46" t="n"/>
      <c r="L703" s="23">
        <f>IF(OR($A703="",$B703=""),"",IF($K703&lt;&gt;"",$K703-$B703,TODAY()-$B703))</f>
        <v/>
      </c>
      <c r="M703" s="27">
        <f>IF(OR($A703="",$J703=""),"",IF($K703="",IF(TODAY()&gt;$J703,"Atrasado","En ruta"),IF($K703&lt;=$J703,"Sí","No")))</f>
        <v/>
      </c>
      <c r="N703" s="23">
        <f>IF($A703="","",COUNTIFS(NOVEDADES!$C$4:$C$1503,$A703))</f>
        <v/>
      </c>
      <c r="O703" s="27">
        <f>IF($A703="","",IF(COUNTIFS(NOVEDADES!$C$4:$C$1503,$A703,NOVEDADES!$M$4:$M$1503,"SÍ")&gt;0,"No","Sí"))</f>
        <v/>
      </c>
      <c r="P703" s="27">
        <f>IF(OR($A703="",$K703=""),"",IF(AND($M703="Sí",$O703="Sí"),"OTIF","Falló"))</f>
        <v/>
      </c>
    </row>
    <row r="704" ht="16" customHeight="1">
      <c r="A704" s="47" t="n"/>
      <c r="B704" s="46" t="n"/>
      <c r="C704" s="49" t="n"/>
      <c r="D704" s="49" t="n"/>
      <c r="E704" s="49" t="n"/>
      <c r="F704" s="49" t="n"/>
      <c r="G704" s="47" t="n"/>
      <c r="H704" s="50" t="n"/>
      <c r="I704" s="51" t="n"/>
      <c r="J704" s="46" t="n"/>
      <c r="K704" s="46" t="n"/>
      <c r="L704" s="23">
        <f>IF(OR($A704="",$B704=""),"",IF($K704&lt;&gt;"",$K704-$B704,TODAY()-$B704))</f>
        <v/>
      </c>
      <c r="M704" s="27">
        <f>IF(OR($A704="",$J704=""),"",IF($K704="",IF(TODAY()&gt;$J704,"Atrasado","En ruta"),IF($K704&lt;=$J704,"Sí","No")))</f>
        <v/>
      </c>
      <c r="N704" s="23">
        <f>IF($A704="","",COUNTIFS(NOVEDADES!$C$4:$C$1503,$A704))</f>
        <v/>
      </c>
      <c r="O704" s="27">
        <f>IF($A704="","",IF(COUNTIFS(NOVEDADES!$C$4:$C$1503,$A704,NOVEDADES!$M$4:$M$1503,"SÍ")&gt;0,"No","Sí"))</f>
        <v/>
      </c>
      <c r="P704" s="27">
        <f>IF(OR($A704="",$K704=""),"",IF(AND($M704="Sí",$O704="Sí"),"OTIF","Falló"))</f>
        <v/>
      </c>
    </row>
    <row r="705" ht="16" customHeight="1">
      <c r="A705" s="47" t="n"/>
      <c r="B705" s="46" t="n"/>
      <c r="C705" s="49" t="n"/>
      <c r="D705" s="49" t="n"/>
      <c r="E705" s="49" t="n"/>
      <c r="F705" s="49" t="n"/>
      <c r="G705" s="47" t="n"/>
      <c r="H705" s="50" t="n"/>
      <c r="I705" s="51" t="n"/>
      <c r="J705" s="46" t="n"/>
      <c r="K705" s="46" t="n"/>
      <c r="L705" s="23">
        <f>IF(OR($A705="",$B705=""),"",IF($K705&lt;&gt;"",$K705-$B705,TODAY()-$B705))</f>
        <v/>
      </c>
      <c r="M705" s="27">
        <f>IF(OR($A705="",$J705=""),"",IF($K705="",IF(TODAY()&gt;$J705,"Atrasado","En ruta"),IF($K705&lt;=$J705,"Sí","No")))</f>
        <v/>
      </c>
      <c r="N705" s="23">
        <f>IF($A705="","",COUNTIFS(NOVEDADES!$C$4:$C$1503,$A705))</f>
        <v/>
      </c>
      <c r="O705" s="27">
        <f>IF($A705="","",IF(COUNTIFS(NOVEDADES!$C$4:$C$1503,$A705,NOVEDADES!$M$4:$M$1503,"SÍ")&gt;0,"No","Sí"))</f>
        <v/>
      </c>
      <c r="P705" s="27">
        <f>IF(OR($A705="",$K705=""),"",IF(AND($M705="Sí",$O705="Sí"),"OTIF","Falló"))</f>
        <v/>
      </c>
    </row>
    <row r="706" ht="16" customHeight="1">
      <c r="A706" s="47" t="n"/>
      <c r="B706" s="46" t="n"/>
      <c r="C706" s="49" t="n"/>
      <c r="D706" s="49" t="n"/>
      <c r="E706" s="49" t="n"/>
      <c r="F706" s="49" t="n"/>
      <c r="G706" s="47" t="n"/>
      <c r="H706" s="50" t="n"/>
      <c r="I706" s="51" t="n"/>
      <c r="J706" s="46" t="n"/>
      <c r="K706" s="46" t="n"/>
      <c r="L706" s="23">
        <f>IF(OR($A706="",$B706=""),"",IF($K706&lt;&gt;"",$K706-$B706,TODAY()-$B706))</f>
        <v/>
      </c>
      <c r="M706" s="27">
        <f>IF(OR($A706="",$J706=""),"",IF($K706="",IF(TODAY()&gt;$J706,"Atrasado","En ruta"),IF($K706&lt;=$J706,"Sí","No")))</f>
        <v/>
      </c>
      <c r="N706" s="23">
        <f>IF($A706="","",COUNTIFS(NOVEDADES!$C$4:$C$1503,$A706))</f>
        <v/>
      </c>
      <c r="O706" s="27">
        <f>IF($A706="","",IF(COUNTIFS(NOVEDADES!$C$4:$C$1503,$A706,NOVEDADES!$M$4:$M$1503,"SÍ")&gt;0,"No","Sí"))</f>
        <v/>
      </c>
      <c r="P706" s="27">
        <f>IF(OR($A706="",$K706=""),"",IF(AND($M706="Sí",$O706="Sí"),"OTIF","Falló"))</f>
        <v/>
      </c>
    </row>
    <row r="707" ht="16" customHeight="1">
      <c r="A707" s="47" t="n"/>
      <c r="B707" s="46" t="n"/>
      <c r="C707" s="49" t="n"/>
      <c r="D707" s="49" t="n"/>
      <c r="E707" s="49" t="n"/>
      <c r="F707" s="49" t="n"/>
      <c r="G707" s="47" t="n"/>
      <c r="H707" s="50" t="n"/>
      <c r="I707" s="51" t="n"/>
      <c r="J707" s="46" t="n"/>
      <c r="K707" s="46" t="n"/>
      <c r="L707" s="23">
        <f>IF(OR($A707="",$B707=""),"",IF($K707&lt;&gt;"",$K707-$B707,TODAY()-$B707))</f>
        <v/>
      </c>
      <c r="M707" s="27">
        <f>IF(OR($A707="",$J707=""),"",IF($K707="",IF(TODAY()&gt;$J707,"Atrasado","En ruta"),IF($K707&lt;=$J707,"Sí","No")))</f>
        <v/>
      </c>
      <c r="N707" s="23">
        <f>IF($A707="","",COUNTIFS(NOVEDADES!$C$4:$C$1503,$A707))</f>
        <v/>
      </c>
      <c r="O707" s="27">
        <f>IF($A707="","",IF(COUNTIFS(NOVEDADES!$C$4:$C$1503,$A707,NOVEDADES!$M$4:$M$1503,"SÍ")&gt;0,"No","Sí"))</f>
        <v/>
      </c>
      <c r="P707" s="27">
        <f>IF(OR($A707="",$K707=""),"",IF(AND($M707="Sí",$O707="Sí"),"OTIF","Falló"))</f>
        <v/>
      </c>
    </row>
    <row r="708" ht="16" customHeight="1">
      <c r="A708" s="47" t="n"/>
      <c r="B708" s="46" t="n"/>
      <c r="C708" s="49" t="n"/>
      <c r="D708" s="49" t="n"/>
      <c r="E708" s="49" t="n"/>
      <c r="F708" s="49" t="n"/>
      <c r="G708" s="47" t="n"/>
      <c r="H708" s="50" t="n"/>
      <c r="I708" s="51" t="n"/>
      <c r="J708" s="46" t="n"/>
      <c r="K708" s="46" t="n"/>
      <c r="L708" s="23">
        <f>IF(OR($A708="",$B708=""),"",IF($K708&lt;&gt;"",$K708-$B708,TODAY()-$B708))</f>
        <v/>
      </c>
      <c r="M708" s="27">
        <f>IF(OR($A708="",$J708=""),"",IF($K708="",IF(TODAY()&gt;$J708,"Atrasado","En ruta"),IF($K708&lt;=$J708,"Sí","No")))</f>
        <v/>
      </c>
      <c r="N708" s="23">
        <f>IF($A708="","",COUNTIFS(NOVEDADES!$C$4:$C$1503,$A708))</f>
        <v/>
      </c>
      <c r="O708" s="27">
        <f>IF($A708="","",IF(COUNTIFS(NOVEDADES!$C$4:$C$1503,$A708,NOVEDADES!$M$4:$M$1503,"SÍ")&gt;0,"No","Sí"))</f>
        <v/>
      </c>
      <c r="P708" s="27">
        <f>IF(OR($A708="",$K708=""),"",IF(AND($M708="Sí",$O708="Sí"),"OTIF","Falló"))</f>
        <v/>
      </c>
    </row>
    <row r="709" ht="16" customHeight="1">
      <c r="A709" s="47" t="n"/>
      <c r="B709" s="46" t="n"/>
      <c r="C709" s="49" t="n"/>
      <c r="D709" s="49" t="n"/>
      <c r="E709" s="49" t="n"/>
      <c r="F709" s="49" t="n"/>
      <c r="G709" s="47" t="n"/>
      <c r="H709" s="50" t="n"/>
      <c r="I709" s="51" t="n"/>
      <c r="J709" s="46" t="n"/>
      <c r="K709" s="46" t="n"/>
      <c r="L709" s="23">
        <f>IF(OR($A709="",$B709=""),"",IF($K709&lt;&gt;"",$K709-$B709,TODAY()-$B709))</f>
        <v/>
      </c>
      <c r="M709" s="27">
        <f>IF(OR($A709="",$J709=""),"",IF($K709="",IF(TODAY()&gt;$J709,"Atrasado","En ruta"),IF($K709&lt;=$J709,"Sí","No")))</f>
        <v/>
      </c>
      <c r="N709" s="23">
        <f>IF($A709="","",COUNTIFS(NOVEDADES!$C$4:$C$1503,$A709))</f>
        <v/>
      </c>
      <c r="O709" s="27">
        <f>IF($A709="","",IF(COUNTIFS(NOVEDADES!$C$4:$C$1503,$A709,NOVEDADES!$M$4:$M$1503,"SÍ")&gt;0,"No","Sí"))</f>
        <v/>
      </c>
      <c r="P709" s="27">
        <f>IF(OR($A709="",$K709=""),"",IF(AND($M709="Sí",$O709="Sí"),"OTIF","Falló"))</f>
        <v/>
      </c>
    </row>
    <row r="710" ht="16" customHeight="1">
      <c r="A710" s="47" t="n"/>
      <c r="B710" s="46" t="n"/>
      <c r="C710" s="49" t="n"/>
      <c r="D710" s="49" t="n"/>
      <c r="E710" s="49" t="n"/>
      <c r="F710" s="49" t="n"/>
      <c r="G710" s="47" t="n"/>
      <c r="H710" s="50" t="n"/>
      <c r="I710" s="51" t="n"/>
      <c r="J710" s="46" t="n"/>
      <c r="K710" s="46" t="n"/>
      <c r="L710" s="23">
        <f>IF(OR($A710="",$B710=""),"",IF($K710&lt;&gt;"",$K710-$B710,TODAY()-$B710))</f>
        <v/>
      </c>
      <c r="M710" s="27">
        <f>IF(OR($A710="",$J710=""),"",IF($K710="",IF(TODAY()&gt;$J710,"Atrasado","En ruta"),IF($K710&lt;=$J710,"Sí","No")))</f>
        <v/>
      </c>
      <c r="N710" s="23">
        <f>IF($A710="","",COUNTIFS(NOVEDADES!$C$4:$C$1503,$A710))</f>
        <v/>
      </c>
      <c r="O710" s="27">
        <f>IF($A710="","",IF(COUNTIFS(NOVEDADES!$C$4:$C$1503,$A710,NOVEDADES!$M$4:$M$1503,"SÍ")&gt;0,"No","Sí"))</f>
        <v/>
      </c>
      <c r="P710" s="27">
        <f>IF(OR($A710="",$K710=""),"",IF(AND($M710="Sí",$O710="Sí"),"OTIF","Falló"))</f>
        <v/>
      </c>
    </row>
    <row r="711" ht="16" customHeight="1">
      <c r="A711" s="47" t="n"/>
      <c r="B711" s="46" t="n"/>
      <c r="C711" s="49" t="n"/>
      <c r="D711" s="49" t="n"/>
      <c r="E711" s="49" t="n"/>
      <c r="F711" s="49" t="n"/>
      <c r="G711" s="47" t="n"/>
      <c r="H711" s="50" t="n"/>
      <c r="I711" s="51" t="n"/>
      <c r="J711" s="46" t="n"/>
      <c r="K711" s="46" t="n"/>
      <c r="L711" s="23">
        <f>IF(OR($A711="",$B711=""),"",IF($K711&lt;&gt;"",$K711-$B711,TODAY()-$B711))</f>
        <v/>
      </c>
      <c r="M711" s="27">
        <f>IF(OR($A711="",$J711=""),"",IF($K711="",IF(TODAY()&gt;$J711,"Atrasado","En ruta"),IF($K711&lt;=$J711,"Sí","No")))</f>
        <v/>
      </c>
      <c r="N711" s="23">
        <f>IF($A711="","",COUNTIFS(NOVEDADES!$C$4:$C$1503,$A711))</f>
        <v/>
      </c>
      <c r="O711" s="27">
        <f>IF($A711="","",IF(COUNTIFS(NOVEDADES!$C$4:$C$1503,$A711,NOVEDADES!$M$4:$M$1503,"SÍ")&gt;0,"No","Sí"))</f>
        <v/>
      </c>
      <c r="P711" s="27">
        <f>IF(OR($A711="",$K711=""),"",IF(AND($M711="Sí",$O711="Sí"),"OTIF","Falló"))</f>
        <v/>
      </c>
    </row>
    <row r="712" ht="16" customHeight="1">
      <c r="A712" s="47" t="n"/>
      <c r="B712" s="46" t="n"/>
      <c r="C712" s="49" t="n"/>
      <c r="D712" s="49" t="n"/>
      <c r="E712" s="49" t="n"/>
      <c r="F712" s="49" t="n"/>
      <c r="G712" s="47" t="n"/>
      <c r="H712" s="50" t="n"/>
      <c r="I712" s="51" t="n"/>
      <c r="J712" s="46" t="n"/>
      <c r="K712" s="46" t="n"/>
      <c r="L712" s="23">
        <f>IF(OR($A712="",$B712=""),"",IF($K712&lt;&gt;"",$K712-$B712,TODAY()-$B712))</f>
        <v/>
      </c>
      <c r="M712" s="27">
        <f>IF(OR($A712="",$J712=""),"",IF($K712="",IF(TODAY()&gt;$J712,"Atrasado","En ruta"),IF($K712&lt;=$J712,"Sí","No")))</f>
        <v/>
      </c>
      <c r="N712" s="23">
        <f>IF($A712="","",COUNTIFS(NOVEDADES!$C$4:$C$1503,$A712))</f>
        <v/>
      </c>
      <c r="O712" s="27">
        <f>IF($A712="","",IF(COUNTIFS(NOVEDADES!$C$4:$C$1503,$A712,NOVEDADES!$M$4:$M$1503,"SÍ")&gt;0,"No","Sí"))</f>
        <v/>
      </c>
      <c r="P712" s="27">
        <f>IF(OR($A712="",$K712=""),"",IF(AND($M712="Sí",$O712="Sí"),"OTIF","Falló"))</f>
        <v/>
      </c>
    </row>
    <row r="713" ht="16" customHeight="1">
      <c r="A713" s="47" t="n"/>
      <c r="B713" s="46" t="n"/>
      <c r="C713" s="49" t="n"/>
      <c r="D713" s="49" t="n"/>
      <c r="E713" s="49" t="n"/>
      <c r="F713" s="49" t="n"/>
      <c r="G713" s="47" t="n"/>
      <c r="H713" s="50" t="n"/>
      <c r="I713" s="51" t="n"/>
      <c r="J713" s="46" t="n"/>
      <c r="K713" s="46" t="n"/>
      <c r="L713" s="23">
        <f>IF(OR($A713="",$B713=""),"",IF($K713&lt;&gt;"",$K713-$B713,TODAY()-$B713))</f>
        <v/>
      </c>
      <c r="M713" s="27">
        <f>IF(OR($A713="",$J713=""),"",IF($K713="",IF(TODAY()&gt;$J713,"Atrasado","En ruta"),IF($K713&lt;=$J713,"Sí","No")))</f>
        <v/>
      </c>
      <c r="N713" s="23">
        <f>IF($A713="","",COUNTIFS(NOVEDADES!$C$4:$C$1503,$A713))</f>
        <v/>
      </c>
      <c r="O713" s="27">
        <f>IF($A713="","",IF(COUNTIFS(NOVEDADES!$C$4:$C$1503,$A713,NOVEDADES!$M$4:$M$1503,"SÍ")&gt;0,"No","Sí"))</f>
        <v/>
      </c>
      <c r="P713" s="27">
        <f>IF(OR($A713="",$K713=""),"",IF(AND($M713="Sí",$O713="Sí"),"OTIF","Falló"))</f>
        <v/>
      </c>
    </row>
    <row r="714" ht="16" customHeight="1">
      <c r="A714" s="47" t="n"/>
      <c r="B714" s="46" t="n"/>
      <c r="C714" s="49" t="n"/>
      <c r="D714" s="49" t="n"/>
      <c r="E714" s="49" t="n"/>
      <c r="F714" s="49" t="n"/>
      <c r="G714" s="47" t="n"/>
      <c r="H714" s="50" t="n"/>
      <c r="I714" s="51" t="n"/>
      <c r="J714" s="46" t="n"/>
      <c r="K714" s="46" t="n"/>
      <c r="L714" s="23">
        <f>IF(OR($A714="",$B714=""),"",IF($K714&lt;&gt;"",$K714-$B714,TODAY()-$B714))</f>
        <v/>
      </c>
      <c r="M714" s="27">
        <f>IF(OR($A714="",$J714=""),"",IF($K714="",IF(TODAY()&gt;$J714,"Atrasado","En ruta"),IF($K714&lt;=$J714,"Sí","No")))</f>
        <v/>
      </c>
      <c r="N714" s="23">
        <f>IF($A714="","",COUNTIFS(NOVEDADES!$C$4:$C$1503,$A714))</f>
        <v/>
      </c>
      <c r="O714" s="27">
        <f>IF($A714="","",IF(COUNTIFS(NOVEDADES!$C$4:$C$1503,$A714,NOVEDADES!$M$4:$M$1503,"SÍ")&gt;0,"No","Sí"))</f>
        <v/>
      </c>
      <c r="P714" s="27">
        <f>IF(OR($A714="",$K714=""),"",IF(AND($M714="Sí",$O714="Sí"),"OTIF","Falló"))</f>
        <v/>
      </c>
    </row>
    <row r="715" ht="16" customHeight="1">
      <c r="A715" s="47" t="n"/>
      <c r="B715" s="46" t="n"/>
      <c r="C715" s="49" t="n"/>
      <c r="D715" s="49" t="n"/>
      <c r="E715" s="49" t="n"/>
      <c r="F715" s="49" t="n"/>
      <c r="G715" s="47" t="n"/>
      <c r="H715" s="50" t="n"/>
      <c r="I715" s="51" t="n"/>
      <c r="J715" s="46" t="n"/>
      <c r="K715" s="46" t="n"/>
      <c r="L715" s="23">
        <f>IF(OR($A715="",$B715=""),"",IF($K715&lt;&gt;"",$K715-$B715,TODAY()-$B715))</f>
        <v/>
      </c>
      <c r="M715" s="27">
        <f>IF(OR($A715="",$J715=""),"",IF($K715="",IF(TODAY()&gt;$J715,"Atrasado","En ruta"),IF($K715&lt;=$J715,"Sí","No")))</f>
        <v/>
      </c>
      <c r="N715" s="23">
        <f>IF($A715="","",COUNTIFS(NOVEDADES!$C$4:$C$1503,$A715))</f>
        <v/>
      </c>
      <c r="O715" s="27">
        <f>IF($A715="","",IF(COUNTIFS(NOVEDADES!$C$4:$C$1503,$A715,NOVEDADES!$M$4:$M$1503,"SÍ")&gt;0,"No","Sí"))</f>
        <v/>
      </c>
      <c r="P715" s="27">
        <f>IF(OR($A715="",$K715=""),"",IF(AND($M715="Sí",$O715="Sí"),"OTIF","Falló"))</f>
        <v/>
      </c>
    </row>
    <row r="716" ht="16" customHeight="1">
      <c r="A716" s="47" t="n"/>
      <c r="B716" s="46" t="n"/>
      <c r="C716" s="49" t="n"/>
      <c r="D716" s="49" t="n"/>
      <c r="E716" s="49" t="n"/>
      <c r="F716" s="49" t="n"/>
      <c r="G716" s="47" t="n"/>
      <c r="H716" s="50" t="n"/>
      <c r="I716" s="51" t="n"/>
      <c r="J716" s="46" t="n"/>
      <c r="K716" s="46" t="n"/>
      <c r="L716" s="23">
        <f>IF(OR($A716="",$B716=""),"",IF($K716&lt;&gt;"",$K716-$B716,TODAY()-$B716))</f>
        <v/>
      </c>
      <c r="M716" s="27">
        <f>IF(OR($A716="",$J716=""),"",IF($K716="",IF(TODAY()&gt;$J716,"Atrasado","En ruta"),IF($K716&lt;=$J716,"Sí","No")))</f>
        <v/>
      </c>
      <c r="N716" s="23">
        <f>IF($A716="","",COUNTIFS(NOVEDADES!$C$4:$C$1503,$A716))</f>
        <v/>
      </c>
      <c r="O716" s="27">
        <f>IF($A716="","",IF(COUNTIFS(NOVEDADES!$C$4:$C$1503,$A716,NOVEDADES!$M$4:$M$1503,"SÍ")&gt;0,"No","Sí"))</f>
        <v/>
      </c>
      <c r="P716" s="27">
        <f>IF(OR($A716="",$K716=""),"",IF(AND($M716="Sí",$O716="Sí"),"OTIF","Falló"))</f>
        <v/>
      </c>
    </row>
    <row r="717" ht="16" customHeight="1">
      <c r="A717" s="47" t="n"/>
      <c r="B717" s="46" t="n"/>
      <c r="C717" s="49" t="n"/>
      <c r="D717" s="49" t="n"/>
      <c r="E717" s="49" t="n"/>
      <c r="F717" s="49" t="n"/>
      <c r="G717" s="47" t="n"/>
      <c r="H717" s="50" t="n"/>
      <c r="I717" s="51" t="n"/>
      <c r="J717" s="46" t="n"/>
      <c r="K717" s="46" t="n"/>
      <c r="L717" s="23">
        <f>IF(OR($A717="",$B717=""),"",IF($K717&lt;&gt;"",$K717-$B717,TODAY()-$B717))</f>
        <v/>
      </c>
      <c r="M717" s="27">
        <f>IF(OR($A717="",$J717=""),"",IF($K717="",IF(TODAY()&gt;$J717,"Atrasado","En ruta"),IF($K717&lt;=$J717,"Sí","No")))</f>
        <v/>
      </c>
      <c r="N717" s="23">
        <f>IF($A717="","",COUNTIFS(NOVEDADES!$C$4:$C$1503,$A717))</f>
        <v/>
      </c>
      <c r="O717" s="27">
        <f>IF($A717="","",IF(COUNTIFS(NOVEDADES!$C$4:$C$1503,$A717,NOVEDADES!$M$4:$M$1503,"SÍ")&gt;0,"No","Sí"))</f>
        <v/>
      </c>
      <c r="P717" s="27">
        <f>IF(OR($A717="",$K717=""),"",IF(AND($M717="Sí",$O717="Sí"),"OTIF","Falló"))</f>
        <v/>
      </c>
    </row>
    <row r="718" ht="16" customHeight="1">
      <c r="A718" s="47" t="n"/>
      <c r="B718" s="46" t="n"/>
      <c r="C718" s="49" t="n"/>
      <c r="D718" s="49" t="n"/>
      <c r="E718" s="49" t="n"/>
      <c r="F718" s="49" t="n"/>
      <c r="G718" s="47" t="n"/>
      <c r="H718" s="50" t="n"/>
      <c r="I718" s="51" t="n"/>
      <c r="J718" s="46" t="n"/>
      <c r="K718" s="46" t="n"/>
      <c r="L718" s="23">
        <f>IF(OR($A718="",$B718=""),"",IF($K718&lt;&gt;"",$K718-$B718,TODAY()-$B718))</f>
        <v/>
      </c>
      <c r="M718" s="27">
        <f>IF(OR($A718="",$J718=""),"",IF($K718="",IF(TODAY()&gt;$J718,"Atrasado","En ruta"),IF($K718&lt;=$J718,"Sí","No")))</f>
        <v/>
      </c>
      <c r="N718" s="23">
        <f>IF($A718="","",COUNTIFS(NOVEDADES!$C$4:$C$1503,$A718))</f>
        <v/>
      </c>
      <c r="O718" s="27">
        <f>IF($A718="","",IF(COUNTIFS(NOVEDADES!$C$4:$C$1503,$A718,NOVEDADES!$M$4:$M$1503,"SÍ")&gt;0,"No","Sí"))</f>
        <v/>
      </c>
      <c r="P718" s="27">
        <f>IF(OR($A718="",$K718=""),"",IF(AND($M718="Sí",$O718="Sí"),"OTIF","Falló"))</f>
        <v/>
      </c>
    </row>
    <row r="719" ht="16" customHeight="1">
      <c r="A719" s="47" t="n"/>
      <c r="B719" s="46" t="n"/>
      <c r="C719" s="49" t="n"/>
      <c r="D719" s="49" t="n"/>
      <c r="E719" s="49" t="n"/>
      <c r="F719" s="49" t="n"/>
      <c r="G719" s="47" t="n"/>
      <c r="H719" s="50" t="n"/>
      <c r="I719" s="51" t="n"/>
      <c r="J719" s="46" t="n"/>
      <c r="K719" s="46" t="n"/>
      <c r="L719" s="23">
        <f>IF(OR($A719="",$B719=""),"",IF($K719&lt;&gt;"",$K719-$B719,TODAY()-$B719))</f>
        <v/>
      </c>
      <c r="M719" s="27">
        <f>IF(OR($A719="",$J719=""),"",IF($K719="",IF(TODAY()&gt;$J719,"Atrasado","En ruta"),IF($K719&lt;=$J719,"Sí","No")))</f>
        <v/>
      </c>
      <c r="N719" s="23">
        <f>IF($A719="","",COUNTIFS(NOVEDADES!$C$4:$C$1503,$A719))</f>
        <v/>
      </c>
      <c r="O719" s="27">
        <f>IF($A719="","",IF(COUNTIFS(NOVEDADES!$C$4:$C$1503,$A719,NOVEDADES!$M$4:$M$1503,"SÍ")&gt;0,"No","Sí"))</f>
        <v/>
      </c>
      <c r="P719" s="27">
        <f>IF(OR($A719="",$K719=""),"",IF(AND($M719="Sí",$O719="Sí"),"OTIF","Falló"))</f>
        <v/>
      </c>
    </row>
    <row r="720" ht="16" customHeight="1">
      <c r="A720" s="47" t="n"/>
      <c r="B720" s="46" t="n"/>
      <c r="C720" s="49" t="n"/>
      <c r="D720" s="49" t="n"/>
      <c r="E720" s="49" t="n"/>
      <c r="F720" s="49" t="n"/>
      <c r="G720" s="47" t="n"/>
      <c r="H720" s="50" t="n"/>
      <c r="I720" s="51" t="n"/>
      <c r="J720" s="46" t="n"/>
      <c r="K720" s="46" t="n"/>
      <c r="L720" s="23">
        <f>IF(OR($A720="",$B720=""),"",IF($K720&lt;&gt;"",$K720-$B720,TODAY()-$B720))</f>
        <v/>
      </c>
      <c r="M720" s="27">
        <f>IF(OR($A720="",$J720=""),"",IF($K720="",IF(TODAY()&gt;$J720,"Atrasado","En ruta"),IF($K720&lt;=$J720,"Sí","No")))</f>
        <v/>
      </c>
      <c r="N720" s="23">
        <f>IF($A720="","",COUNTIFS(NOVEDADES!$C$4:$C$1503,$A720))</f>
        <v/>
      </c>
      <c r="O720" s="27">
        <f>IF($A720="","",IF(COUNTIFS(NOVEDADES!$C$4:$C$1503,$A720,NOVEDADES!$M$4:$M$1503,"SÍ")&gt;0,"No","Sí"))</f>
        <v/>
      </c>
      <c r="P720" s="27">
        <f>IF(OR($A720="",$K720=""),"",IF(AND($M720="Sí",$O720="Sí"),"OTIF","Falló"))</f>
        <v/>
      </c>
    </row>
    <row r="721" ht="16" customHeight="1">
      <c r="A721" s="47" t="n"/>
      <c r="B721" s="46" t="n"/>
      <c r="C721" s="49" t="n"/>
      <c r="D721" s="49" t="n"/>
      <c r="E721" s="49" t="n"/>
      <c r="F721" s="49" t="n"/>
      <c r="G721" s="47" t="n"/>
      <c r="H721" s="50" t="n"/>
      <c r="I721" s="51" t="n"/>
      <c r="J721" s="46" t="n"/>
      <c r="K721" s="46" t="n"/>
      <c r="L721" s="23">
        <f>IF(OR($A721="",$B721=""),"",IF($K721&lt;&gt;"",$K721-$B721,TODAY()-$B721))</f>
        <v/>
      </c>
      <c r="M721" s="27">
        <f>IF(OR($A721="",$J721=""),"",IF($K721="",IF(TODAY()&gt;$J721,"Atrasado","En ruta"),IF($K721&lt;=$J721,"Sí","No")))</f>
        <v/>
      </c>
      <c r="N721" s="23">
        <f>IF($A721="","",COUNTIFS(NOVEDADES!$C$4:$C$1503,$A721))</f>
        <v/>
      </c>
      <c r="O721" s="27">
        <f>IF($A721="","",IF(COUNTIFS(NOVEDADES!$C$4:$C$1503,$A721,NOVEDADES!$M$4:$M$1503,"SÍ")&gt;0,"No","Sí"))</f>
        <v/>
      </c>
      <c r="P721" s="27">
        <f>IF(OR($A721="",$K721=""),"",IF(AND($M721="Sí",$O721="Sí"),"OTIF","Falló"))</f>
        <v/>
      </c>
    </row>
    <row r="722" ht="16" customHeight="1">
      <c r="A722" s="47" t="n"/>
      <c r="B722" s="46" t="n"/>
      <c r="C722" s="49" t="n"/>
      <c r="D722" s="49" t="n"/>
      <c r="E722" s="49" t="n"/>
      <c r="F722" s="49" t="n"/>
      <c r="G722" s="47" t="n"/>
      <c r="H722" s="50" t="n"/>
      <c r="I722" s="51" t="n"/>
      <c r="J722" s="46" t="n"/>
      <c r="K722" s="46" t="n"/>
      <c r="L722" s="23">
        <f>IF(OR($A722="",$B722=""),"",IF($K722&lt;&gt;"",$K722-$B722,TODAY()-$B722))</f>
        <v/>
      </c>
      <c r="M722" s="27">
        <f>IF(OR($A722="",$J722=""),"",IF($K722="",IF(TODAY()&gt;$J722,"Atrasado","En ruta"),IF($K722&lt;=$J722,"Sí","No")))</f>
        <v/>
      </c>
      <c r="N722" s="23">
        <f>IF($A722="","",COUNTIFS(NOVEDADES!$C$4:$C$1503,$A722))</f>
        <v/>
      </c>
      <c r="O722" s="27">
        <f>IF($A722="","",IF(COUNTIFS(NOVEDADES!$C$4:$C$1503,$A722,NOVEDADES!$M$4:$M$1503,"SÍ")&gt;0,"No","Sí"))</f>
        <v/>
      </c>
      <c r="P722" s="27">
        <f>IF(OR($A722="",$K722=""),"",IF(AND($M722="Sí",$O722="Sí"),"OTIF","Falló"))</f>
        <v/>
      </c>
    </row>
    <row r="723" ht="16" customHeight="1">
      <c r="A723" s="47" t="n"/>
      <c r="B723" s="46" t="n"/>
      <c r="C723" s="49" t="n"/>
      <c r="D723" s="49" t="n"/>
      <c r="E723" s="49" t="n"/>
      <c r="F723" s="49" t="n"/>
      <c r="G723" s="47" t="n"/>
      <c r="H723" s="50" t="n"/>
      <c r="I723" s="51" t="n"/>
      <c r="J723" s="46" t="n"/>
      <c r="K723" s="46" t="n"/>
      <c r="L723" s="23">
        <f>IF(OR($A723="",$B723=""),"",IF($K723&lt;&gt;"",$K723-$B723,TODAY()-$B723))</f>
        <v/>
      </c>
      <c r="M723" s="27">
        <f>IF(OR($A723="",$J723=""),"",IF($K723="",IF(TODAY()&gt;$J723,"Atrasado","En ruta"),IF($K723&lt;=$J723,"Sí","No")))</f>
        <v/>
      </c>
      <c r="N723" s="23">
        <f>IF($A723="","",COUNTIFS(NOVEDADES!$C$4:$C$1503,$A723))</f>
        <v/>
      </c>
      <c r="O723" s="27">
        <f>IF($A723="","",IF(COUNTIFS(NOVEDADES!$C$4:$C$1503,$A723,NOVEDADES!$M$4:$M$1503,"SÍ")&gt;0,"No","Sí"))</f>
        <v/>
      </c>
      <c r="P723" s="27">
        <f>IF(OR($A723="",$K723=""),"",IF(AND($M723="Sí",$O723="Sí"),"OTIF","Falló"))</f>
        <v/>
      </c>
    </row>
    <row r="724" ht="16" customHeight="1">
      <c r="A724" s="47" t="n"/>
      <c r="B724" s="46" t="n"/>
      <c r="C724" s="49" t="n"/>
      <c r="D724" s="49" t="n"/>
      <c r="E724" s="49" t="n"/>
      <c r="F724" s="49" t="n"/>
      <c r="G724" s="47" t="n"/>
      <c r="H724" s="50" t="n"/>
      <c r="I724" s="51" t="n"/>
      <c r="J724" s="46" t="n"/>
      <c r="K724" s="46" t="n"/>
      <c r="L724" s="23">
        <f>IF(OR($A724="",$B724=""),"",IF($K724&lt;&gt;"",$K724-$B724,TODAY()-$B724))</f>
        <v/>
      </c>
      <c r="M724" s="27">
        <f>IF(OR($A724="",$J724=""),"",IF($K724="",IF(TODAY()&gt;$J724,"Atrasado","En ruta"),IF($K724&lt;=$J724,"Sí","No")))</f>
        <v/>
      </c>
      <c r="N724" s="23">
        <f>IF($A724="","",COUNTIFS(NOVEDADES!$C$4:$C$1503,$A724))</f>
        <v/>
      </c>
      <c r="O724" s="27">
        <f>IF($A724="","",IF(COUNTIFS(NOVEDADES!$C$4:$C$1503,$A724,NOVEDADES!$M$4:$M$1503,"SÍ")&gt;0,"No","Sí"))</f>
        <v/>
      </c>
      <c r="P724" s="27">
        <f>IF(OR($A724="",$K724=""),"",IF(AND($M724="Sí",$O724="Sí"),"OTIF","Falló"))</f>
        <v/>
      </c>
    </row>
    <row r="725" ht="16" customHeight="1">
      <c r="A725" s="47" t="n"/>
      <c r="B725" s="46" t="n"/>
      <c r="C725" s="49" t="n"/>
      <c r="D725" s="49" t="n"/>
      <c r="E725" s="49" t="n"/>
      <c r="F725" s="49" t="n"/>
      <c r="G725" s="47" t="n"/>
      <c r="H725" s="50" t="n"/>
      <c r="I725" s="51" t="n"/>
      <c r="J725" s="46" t="n"/>
      <c r="K725" s="46" t="n"/>
      <c r="L725" s="23">
        <f>IF(OR($A725="",$B725=""),"",IF($K725&lt;&gt;"",$K725-$B725,TODAY()-$B725))</f>
        <v/>
      </c>
      <c r="M725" s="27">
        <f>IF(OR($A725="",$J725=""),"",IF($K725="",IF(TODAY()&gt;$J725,"Atrasado","En ruta"),IF($K725&lt;=$J725,"Sí","No")))</f>
        <v/>
      </c>
      <c r="N725" s="23">
        <f>IF($A725="","",COUNTIFS(NOVEDADES!$C$4:$C$1503,$A725))</f>
        <v/>
      </c>
      <c r="O725" s="27">
        <f>IF($A725="","",IF(COUNTIFS(NOVEDADES!$C$4:$C$1503,$A725,NOVEDADES!$M$4:$M$1503,"SÍ")&gt;0,"No","Sí"))</f>
        <v/>
      </c>
      <c r="P725" s="27">
        <f>IF(OR($A725="",$K725=""),"",IF(AND($M725="Sí",$O725="Sí"),"OTIF","Falló"))</f>
        <v/>
      </c>
    </row>
    <row r="726" ht="16" customHeight="1">
      <c r="A726" s="47" t="n"/>
      <c r="B726" s="46" t="n"/>
      <c r="C726" s="49" t="n"/>
      <c r="D726" s="49" t="n"/>
      <c r="E726" s="49" t="n"/>
      <c r="F726" s="49" t="n"/>
      <c r="G726" s="47" t="n"/>
      <c r="H726" s="50" t="n"/>
      <c r="I726" s="51" t="n"/>
      <c r="J726" s="46" t="n"/>
      <c r="K726" s="46" t="n"/>
      <c r="L726" s="23">
        <f>IF(OR($A726="",$B726=""),"",IF($K726&lt;&gt;"",$K726-$B726,TODAY()-$B726))</f>
        <v/>
      </c>
      <c r="M726" s="27">
        <f>IF(OR($A726="",$J726=""),"",IF($K726="",IF(TODAY()&gt;$J726,"Atrasado","En ruta"),IF($K726&lt;=$J726,"Sí","No")))</f>
        <v/>
      </c>
      <c r="N726" s="23">
        <f>IF($A726="","",COUNTIFS(NOVEDADES!$C$4:$C$1503,$A726))</f>
        <v/>
      </c>
      <c r="O726" s="27">
        <f>IF($A726="","",IF(COUNTIFS(NOVEDADES!$C$4:$C$1503,$A726,NOVEDADES!$M$4:$M$1503,"SÍ")&gt;0,"No","Sí"))</f>
        <v/>
      </c>
      <c r="P726" s="27">
        <f>IF(OR($A726="",$K726=""),"",IF(AND($M726="Sí",$O726="Sí"),"OTIF","Falló"))</f>
        <v/>
      </c>
    </row>
    <row r="727" ht="16" customHeight="1">
      <c r="A727" s="47" t="n"/>
      <c r="B727" s="46" t="n"/>
      <c r="C727" s="49" t="n"/>
      <c r="D727" s="49" t="n"/>
      <c r="E727" s="49" t="n"/>
      <c r="F727" s="49" t="n"/>
      <c r="G727" s="47" t="n"/>
      <c r="H727" s="50" t="n"/>
      <c r="I727" s="51" t="n"/>
      <c r="J727" s="46" t="n"/>
      <c r="K727" s="46" t="n"/>
      <c r="L727" s="23">
        <f>IF(OR($A727="",$B727=""),"",IF($K727&lt;&gt;"",$K727-$B727,TODAY()-$B727))</f>
        <v/>
      </c>
      <c r="M727" s="27">
        <f>IF(OR($A727="",$J727=""),"",IF($K727="",IF(TODAY()&gt;$J727,"Atrasado","En ruta"),IF($K727&lt;=$J727,"Sí","No")))</f>
        <v/>
      </c>
      <c r="N727" s="23">
        <f>IF($A727="","",COUNTIFS(NOVEDADES!$C$4:$C$1503,$A727))</f>
        <v/>
      </c>
      <c r="O727" s="27">
        <f>IF($A727="","",IF(COUNTIFS(NOVEDADES!$C$4:$C$1503,$A727,NOVEDADES!$M$4:$M$1503,"SÍ")&gt;0,"No","Sí"))</f>
        <v/>
      </c>
      <c r="P727" s="27">
        <f>IF(OR($A727="",$K727=""),"",IF(AND($M727="Sí",$O727="Sí"),"OTIF","Falló"))</f>
        <v/>
      </c>
    </row>
    <row r="728" ht="16" customHeight="1">
      <c r="A728" s="47" t="n"/>
      <c r="B728" s="46" t="n"/>
      <c r="C728" s="49" t="n"/>
      <c r="D728" s="49" t="n"/>
      <c r="E728" s="49" t="n"/>
      <c r="F728" s="49" t="n"/>
      <c r="G728" s="47" t="n"/>
      <c r="H728" s="50" t="n"/>
      <c r="I728" s="51" t="n"/>
      <c r="J728" s="46" t="n"/>
      <c r="K728" s="46" t="n"/>
      <c r="L728" s="23">
        <f>IF(OR($A728="",$B728=""),"",IF($K728&lt;&gt;"",$K728-$B728,TODAY()-$B728))</f>
        <v/>
      </c>
      <c r="M728" s="27">
        <f>IF(OR($A728="",$J728=""),"",IF($K728="",IF(TODAY()&gt;$J728,"Atrasado","En ruta"),IF($K728&lt;=$J728,"Sí","No")))</f>
        <v/>
      </c>
      <c r="N728" s="23">
        <f>IF($A728="","",COUNTIFS(NOVEDADES!$C$4:$C$1503,$A728))</f>
        <v/>
      </c>
      <c r="O728" s="27">
        <f>IF($A728="","",IF(COUNTIFS(NOVEDADES!$C$4:$C$1503,$A728,NOVEDADES!$M$4:$M$1503,"SÍ")&gt;0,"No","Sí"))</f>
        <v/>
      </c>
      <c r="P728" s="27">
        <f>IF(OR($A728="",$K728=""),"",IF(AND($M728="Sí",$O728="Sí"),"OTIF","Falló"))</f>
        <v/>
      </c>
    </row>
    <row r="729" ht="16" customHeight="1">
      <c r="A729" s="47" t="n"/>
      <c r="B729" s="46" t="n"/>
      <c r="C729" s="49" t="n"/>
      <c r="D729" s="49" t="n"/>
      <c r="E729" s="49" t="n"/>
      <c r="F729" s="49" t="n"/>
      <c r="G729" s="47" t="n"/>
      <c r="H729" s="50" t="n"/>
      <c r="I729" s="51" t="n"/>
      <c r="J729" s="46" t="n"/>
      <c r="K729" s="46" t="n"/>
      <c r="L729" s="23">
        <f>IF(OR($A729="",$B729=""),"",IF($K729&lt;&gt;"",$K729-$B729,TODAY()-$B729))</f>
        <v/>
      </c>
      <c r="M729" s="27">
        <f>IF(OR($A729="",$J729=""),"",IF($K729="",IF(TODAY()&gt;$J729,"Atrasado","En ruta"),IF($K729&lt;=$J729,"Sí","No")))</f>
        <v/>
      </c>
      <c r="N729" s="23">
        <f>IF($A729="","",COUNTIFS(NOVEDADES!$C$4:$C$1503,$A729))</f>
        <v/>
      </c>
      <c r="O729" s="27">
        <f>IF($A729="","",IF(COUNTIFS(NOVEDADES!$C$4:$C$1503,$A729,NOVEDADES!$M$4:$M$1503,"SÍ")&gt;0,"No","Sí"))</f>
        <v/>
      </c>
      <c r="P729" s="27">
        <f>IF(OR($A729="",$K729=""),"",IF(AND($M729="Sí",$O729="Sí"),"OTIF","Falló"))</f>
        <v/>
      </c>
    </row>
    <row r="730" ht="16" customHeight="1">
      <c r="A730" s="47" t="n"/>
      <c r="B730" s="46" t="n"/>
      <c r="C730" s="49" t="n"/>
      <c r="D730" s="49" t="n"/>
      <c r="E730" s="49" t="n"/>
      <c r="F730" s="49" t="n"/>
      <c r="G730" s="47" t="n"/>
      <c r="H730" s="50" t="n"/>
      <c r="I730" s="51" t="n"/>
      <c r="J730" s="46" t="n"/>
      <c r="K730" s="46" t="n"/>
      <c r="L730" s="23">
        <f>IF(OR($A730="",$B730=""),"",IF($K730&lt;&gt;"",$K730-$B730,TODAY()-$B730))</f>
        <v/>
      </c>
      <c r="M730" s="27">
        <f>IF(OR($A730="",$J730=""),"",IF($K730="",IF(TODAY()&gt;$J730,"Atrasado","En ruta"),IF($K730&lt;=$J730,"Sí","No")))</f>
        <v/>
      </c>
      <c r="N730" s="23">
        <f>IF($A730="","",COUNTIFS(NOVEDADES!$C$4:$C$1503,$A730))</f>
        <v/>
      </c>
      <c r="O730" s="27">
        <f>IF($A730="","",IF(COUNTIFS(NOVEDADES!$C$4:$C$1503,$A730,NOVEDADES!$M$4:$M$1503,"SÍ")&gt;0,"No","Sí"))</f>
        <v/>
      </c>
      <c r="P730" s="27">
        <f>IF(OR($A730="",$K730=""),"",IF(AND($M730="Sí",$O730="Sí"),"OTIF","Falló"))</f>
        <v/>
      </c>
    </row>
    <row r="731" ht="16" customHeight="1">
      <c r="A731" s="47" t="n"/>
      <c r="B731" s="46" t="n"/>
      <c r="C731" s="49" t="n"/>
      <c r="D731" s="49" t="n"/>
      <c r="E731" s="49" t="n"/>
      <c r="F731" s="49" t="n"/>
      <c r="G731" s="47" t="n"/>
      <c r="H731" s="50" t="n"/>
      <c r="I731" s="51" t="n"/>
      <c r="J731" s="46" t="n"/>
      <c r="K731" s="46" t="n"/>
      <c r="L731" s="23">
        <f>IF(OR($A731="",$B731=""),"",IF($K731&lt;&gt;"",$K731-$B731,TODAY()-$B731))</f>
        <v/>
      </c>
      <c r="M731" s="27">
        <f>IF(OR($A731="",$J731=""),"",IF($K731="",IF(TODAY()&gt;$J731,"Atrasado","En ruta"),IF($K731&lt;=$J731,"Sí","No")))</f>
        <v/>
      </c>
      <c r="N731" s="23">
        <f>IF($A731="","",COUNTIFS(NOVEDADES!$C$4:$C$1503,$A731))</f>
        <v/>
      </c>
      <c r="O731" s="27">
        <f>IF($A731="","",IF(COUNTIFS(NOVEDADES!$C$4:$C$1503,$A731,NOVEDADES!$M$4:$M$1503,"SÍ")&gt;0,"No","Sí"))</f>
        <v/>
      </c>
      <c r="P731" s="27">
        <f>IF(OR($A731="",$K731=""),"",IF(AND($M731="Sí",$O731="Sí"),"OTIF","Falló"))</f>
        <v/>
      </c>
    </row>
    <row r="732" ht="16" customHeight="1">
      <c r="A732" s="47" t="n"/>
      <c r="B732" s="46" t="n"/>
      <c r="C732" s="49" t="n"/>
      <c r="D732" s="49" t="n"/>
      <c r="E732" s="49" t="n"/>
      <c r="F732" s="49" t="n"/>
      <c r="G732" s="47" t="n"/>
      <c r="H732" s="50" t="n"/>
      <c r="I732" s="51" t="n"/>
      <c r="J732" s="46" t="n"/>
      <c r="K732" s="46" t="n"/>
      <c r="L732" s="23">
        <f>IF(OR($A732="",$B732=""),"",IF($K732&lt;&gt;"",$K732-$B732,TODAY()-$B732))</f>
        <v/>
      </c>
      <c r="M732" s="27">
        <f>IF(OR($A732="",$J732=""),"",IF($K732="",IF(TODAY()&gt;$J732,"Atrasado","En ruta"),IF($K732&lt;=$J732,"Sí","No")))</f>
        <v/>
      </c>
      <c r="N732" s="23">
        <f>IF($A732="","",COUNTIFS(NOVEDADES!$C$4:$C$1503,$A732))</f>
        <v/>
      </c>
      <c r="O732" s="27">
        <f>IF($A732="","",IF(COUNTIFS(NOVEDADES!$C$4:$C$1503,$A732,NOVEDADES!$M$4:$M$1503,"SÍ")&gt;0,"No","Sí"))</f>
        <v/>
      </c>
      <c r="P732" s="27">
        <f>IF(OR($A732="",$K732=""),"",IF(AND($M732="Sí",$O732="Sí"),"OTIF","Falló"))</f>
        <v/>
      </c>
    </row>
    <row r="733" ht="16" customHeight="1">
      <c r="A733" s="47" t="n"/>
      <c r="B733" s="46" t="n"/>
      <c r="C733" s="49" t="n"/>
      <c r="D733" s="49" t="n"/>
      <c r="E733" s="49" t="n"/>
      <c r="F733" s="49" t="n"/>
      <c r="G733" s="47" t="n"/>
      <c r="H733" s="50" t="n"/>
      <c r="I733" s="51" t="n"/>
      <c r="J733" s="46" t="n"/>
      <c r="K733" s="46" t="n"/>
      <c r="L733" s="23">
        <f>IF(OR($A733="",$B733=""),"",IF($K733&lt;&gt;"",$K733-$B733,TODAY()-$B733))</f>
        <v/>
      </c>
      <c r="M733" s="27">
        <f>IF(OR($A733="",$J733=""),"",IF($K733="",IF(TODAY()&gt;$J733,"Atrasado","En ruta"),IF($K733&lt;=$J733,"Sí","No")))</f>
        <v/>
      </c>
      <c r="N733" s="23">
        <f>IF($A733="","",COUNTIFS(NOVEDADES!$C$4:$C$1503,$A733))</f>
        <v/>
      </c>
      <c r="O733" s="27">
        <f>IF($A733="","",IF(COUNTIFS(NOVEDADES!$C$4:$C$1503,$A733,NOVEDADES!$M$4:$M$1503,"SÍ")&gt;0,"No","Sí"))</f>
        <v/>
      </c>
      <c r="P733" s="27">
        <f>IF(OR($A733="",$K733=""),"",IF(AND($M733="Sí",$O733="Sí"),"OTIF","Falló"))</f>
        <v/>
      </c>
    </row>
    <row r="734" ht="16" customHeight="1">
      <c r="A734" s="47" t="n"/>
      <c r="B734" s="46" t="n"/>
      <c r="C734" s="49" t="n"/>
      <c r="D734" s="49" t="n"/>
      <c r="E734" s="49" t="n"/>
      <c r="F734" s="49" t="n"/>
      <c r="G734" s="47" t="n"/>
      <c r="H734" s="50" t="n"/>
      <c r="I734" s="51" t="n"/>
      <c r="J734" s="46" t="n"/>
      <c r="K734" s="46" t="n"/>
      <c r="L734" s="23">
        <f>IF(OR($A734="",$B734=""),"",IF($K734&lt;&gt;"",$K734-$B734,TODAY()-$B734))</f>
        <v/>
      </c>
      <c r="M734" s="27">
        <f>IF(OR($A734="",$J734=""),"",IF($K734="",IF(TODAY()&gt;$J734,"Atrasado","En ruta"),IF($K734&lt;=$J734,"Sí","No")))</f>
        <v/>
      </c>
      <c r="N734" s="23">
        <f>IF($A734="","",COUNTIFS(NOVEDADES!$C$4:$C$1503,$A734))</f>
        <v/>
      </c>
      <c r="O734" s="27">
        <f>IF($A734="","",IF(COUNTIFS(NOVEDADES!$C$4:$C$1503,$A734,NOVEDADES!$M$4:$M$1503,"SÍ")&gt;0,"No","Sí"))</f>
        <v/>
      </c>
      <c r="P734" s="27">
        <f>IF(OR($A734="",$K734=""),"",IF(AND($M734="Sí",$O734="Sí"),"OTIF","Falló"))</f>
        <v/>
      </c>
    </row>
    <row r="735" ht="16" customHeight="1">
      <c r="A735" s="47" t="n"/>
      <c r="B735" s="46" t="n"/>
      <c r="C735" s="49" t="n"/>
      <c r="D735" s="49" t="n"/>
      <c r="E735" s="49" t="n"/>
      <c r="F735" s="49" t="n"/>
      <c r="G735" s="47" t="n"/>
      <c r="H735" s="50" t="n"/>
      <c r="I735" s="51" t="n"/>
      <c r="J735" s="46" t="n"/>
      <c r="K735" s="46" t="n"/>
      <c r="L735" s="23">
        <f>IF(OR($A735="",$B735=""),"",IF($K735&lt;&gt;"",$K735-$B735,TODAY()-$B735))</f>
        <v/>
      </c>
      <c r="M735" s="27">
        <f>IF(OR($A735="",$J735=""),"",IF($K735="",IF(TODAY()&gt;$J735,"Atrasado","En ruta"),IF($K735&lt;=$J735,"Sí","No")))</f>
        <v/>
      </c>
      <c r="N735" s="23">
        <f>IF($A735="","",COUNTIFS(NOVEDADES!$C$4:$C$1503,$A735))</f>
        <v/>
      </c>
      <c r="O735" s="27">
        <f>IF($A735="","",IF(COUNTIFS(NOVEDADES!$C$4:$C$1503,$A735,NOVEDADES!$M$4:$M$1503,"SÍ")&gt;0,"No","Sí"))</f>
        <v/>
      </c>
      <c r="P735" s="27">
        <f>IF(OR($A735="",$K735=""),"",IF(AND($M735="Sí",$O735="Sí"),"OTIF","Falló"))</f>
        <v/>
      </c>
    </row>
    <row r="736" ht="16" customHeight="1">
      <c r="A736" s="47" t="n"/>
      <c r="B736" s="46" t="n"/>
      <c r="C736" s="49" t="n"/>
      <c r="D736" s="49" t="n"/>
      <c r="E736" s="49" t="n"/>
      <c r="F736" s="49" t="n"/>
      <c r="G736" s="47" t="n"/>
      <c r="H736" s="50" t="n"/>
      <c r="I736" s="51" t="n"/>
      <c r="J736" s="46" t="n"/>
      <c r="K736" s="46" t="n"/>
      <c r="L736" s="23">
        <f>IF(OR($A736="",$B736=""),"",IF($K736&lt;&gt;"",$K736-$B736,TODAY()-$B736))</f>
        <v/>
      </c>
      <c r="M736" s="27">
        <f>IF(OR($A736="",$J736=""),"",IF($K736="",IF(TODAY()&gt;$J736,"Atrasado","En ruta"),IF($K736&lt;=$J736,"Sí","No")))</f>
        <v/>
      </c>
      <c r="N736" s="23">
        <f>IF($A736="","",COUNTIFS(NOVEDADES!$C$4:$C$1503,$A736))</f>
        <v/>
      </c>
      <c r="O736" s="27">
        <f>IF($A736="","",IF(COUNTIFS(NOVEDADES!$C$4:$C$1503,$A736,NOVEDADES!$M$4:$M$1503,"SÍ")&gt;0,"No","Sí"))</f>
        <v/>
      </c>
      <c r="P736" s="27">
        <f>IF(OR($A736="",$K736=""),"",IF(AND($M736="Sí",$O736="Sí"),"OTIF","Falló"))</f>
        <v/>
      </c>
    </row>
    <row r="737" ht="16" customHeight="1">
      <c r="A737" s="47" t="n"/>
      <c r="B737" s="46" t="n"/>
      <c r="C737" s="49" t="n"/>
      <c r="D737" s="49" t="n"/>
      <c r="E737" s="49" t="n"/>
      <c r="F737" s="49" t="n"/>
      <c r="G737" s="47" t="n"/>
      <c r="H737" s="50" t="n"/>
      <c r="I737" s="51" t="n"/>
      <c r="J737" s="46" t="n"/>
      <c r="K737" s="46" t="n"/>
      <c r="L737" s="23">
        <f>IF(OR($A737="",$B737=""),"",IF($K737&lt;&gt;"",$K737-$B737,TODAY()-$B737))</f>
        <v/>
      </c>
      <c r="M737" s="27">
        <f>IF(OR($A737="",$J737=""),"",IF($K737="",IF(TODAY()&gt;$J737,"Atrasado","En ruta"),IF($K737&lt;=$J737,"Sí","No")))</f>
        <v/>
      </c>
      <c r="N737" s="23">
        <f>IF($A737="","",COUNTIFS(NOVEDADES!$C$4:$C$1503,$A737))</f>
        <v/>
      </c>
      <c r="O737" s="27">
        <f>IF($A737="","",IF(COUNTIFS(NOVEDADES!$C$4:$C$1503,$A737,NOVEDADES!$M$4:$M$1503,"SÍ")&gt;0,"No","Sí"))</f>
        <v/>
      </c>
      <c r="P737" s="27">
        <f>IF(OR($A737="",$K737=""),"",IF(AND($M737="Sí",$O737="Sí"),"OTIF","Falló"))</f>
        <v/>
      </c>
    </row>
    <row r="738" ht="16" customHeight="1">
      <c r="A738" s="47" t="n"/>
      <c r="B738" s="46" t="n"/>
      <c r="C738" s="49" t="n"/>
      <c r="D738" s="49" t="n"/>
      <c r="E738" s="49" t="n"/>
      <c r="F738" s="49" t="n"/>
      <c r="G738" s="47" t="n"/>
      <c r="H738" s="50" t="n"/>
      <c r="I738" s="51" t="n"/>
      <c r="J738" s="46" t="n"/>
      <c r="K738" s="46" t="n"/>
      <c r="L738" s="23">
        <f>IF(OR($A738="",$B738=""),"",IF($K738&lt;&gt;"",$K738-$B738,TODAY()-$B738))</f>
        <v/>
      </c>
      <c r="M738" s="27">
        <f>IF(OR($A738="",$J738=""),"",IF($K738="",IF(TODAY()&gt;$J738,"Atrasado","En ruta"),IF($K738&lt;=$J738,"Sí","No")))</f>
        <v/>
      </c>
      <c r="N738" s="23">
        <f>IF($A738="","",COUNTIFS(NOVEDADES!$C$4:$C$1503,$A738))</f>
        <v/>
      </c>
      <c r="O738" s="27">
        <f>IF($A738="","",IF(COUNTIFS(NOVEDADES!$C$4:$C$1503,$A738,NOVEDADES!$M$4:$M$1503,"SÍ")&gt;0,"No","Sí"))</f>
        <v/>
      </c>
      <c r="P738" s="27">
        <f>IF(OR($A738="",$K738=""),"",IF(AND($M738="Sí",$O738="Sí"),"OTIF","Falló"))</f>
        <v/>
      </c>
    </row>
    <row r="739" ht="16" customHeight="1">
      <c r="A739" s="47" t="n"/>
      <c r="B739" s="46" t="n"/>
      <c r="C739" s="49" t="n"/>
      <c r="D739" s="49" t="n"/>
      <c r="E739" s="49" t="n"/>
      <c r="F739" s="49" t="n"/>
      <c r="G739" s="47" t="n"/>
      <c r="H739" s="50" t="n"/>
      <c r="I739" s="51" t="n"/>
      <c r="J739" s="46" t="n"/>
      <c r="K739" s="46" t="n"/>
      <c r="L739" s="23">
        <f>IF(OR($A739="",$B739=""),"",IF($K739&lt;&gt;"",$K739-$B739,TODAY()-$B739))</f>
        <v/>
      </c>
      <c r="M739" s="27">
        <f>IF(OR($A739="",$J739=""),"",IF($K739="",IF(TODAY()&gt;$J739,"Atrasado","En ruta"),IF($K739&lt;=$J739,"Sí","No")))</f>
        <v/>
      </c>
      <c r="N739" s="23">
        <f>IF($A739="","",COUNTIFS(NOVEDADES!$C$4:$C$1503,$A739))</f>
        <v/>
      </c>
      <c r="O739" s="27">
        <f>IF($A739="","",IF(COUNTIFS(NOVEDADES!$C$4:$C$1503,$A739,NOVEDADES!$M$4:$M$1503,"SÍ")&gt;0,"No","Sí"))</f>
        <v/>
      </c>
      <c r="P739" s="27">
        <f>IF(OR($A739="",$K739=""),"",IF(AND($M739="Sí",$O739="Sí"),"OTIF","Falló"))</f>
        <v/>
      </c>
    </row>
    <row r="740" ht="16" customHeight="1">
      <c r="A740" s="47" t="n"/>
      <c r="B740" s="46" t="n"/>
      <c r="C740" s="49" t="n"/>
      <c r="D740" s="49" t="n"/>
      <c r="E740" s="49" t="n"/>
      <c r="F740" s="49" t="n"/>
      <c r="G740" s="47" t="n"/>
      <c r="H740" s="50" t="n"/>
      <c r="I740" s="51" t="n"/>
      <c r="J740" s="46" t="n"/>
      <c r="K740" s="46" t="n"/>
      <c r="L740" s="23">
        <f>IF(OR($A740="",$B740=""),"",IF($K740&lt;&gt;"",$K740-$B740,TODAY()-$B740))</f>
        <v/>
      </c>
      <c r="M740" s="27">
        <f>IF(OR($A740="",$J740=""),"",IF($K740="",IF(TODAY()&gt;$J740,"Atrasado","En ruta"),IF($K740&lt;=$J740,"Sí","No")))</f>
        <v/>
      </c>
      <c r="N740" s="23">
        <f>IF($A740="","",COUNTIFS(NOVEDADES!$C$4:$C$1503,$A740))</f>
        <v/>
      </c>
      <c r="O740" s="27">
        <f>IF($A740="","",IF(COUNTIFS(NOVEDADES!$C$4:$C$1503,$A740,NOVEDADES!$M$4:$M$1503,"SÍ")&gt;0,"No","Sí"))</f>
        <v/>
      </c>
      <c r="P740" s="27">
        <f>IF(OR($A740="",$K740=""),"",IF(AND($M740="Sí",$O740="Sí"),"OTIF","Falló"))</f>
        <v/>
      </c>
    </row>
    <row r="741" ht="16" customHeight="1">
      <c r="A741" s="47" t="n"/>
      <c r="B741" s="46" t="n"/>
      <c r="C741" s="49" t="n"/>
      <c r="D741" s="49" t="n"/>
      <c r="E741" s="49" t="n"/>
      <c r="F741" s="49" t="n"/>
      <c r="G741" s="47" t="n"/>
      <c r="H741" s="50" t="n"/>
      <c r="I741" s="51" t="n"/>
      <c r="J741" s="46" t="n"/>
      <c r="K741" s="46" t="n"/>
      <c r="L741" s="23">
        <f>IF(OR($A741="",$B741=""),"",IF($K741&lt;&gt;"",$K741-$B741,TODAY()-$B741))</f>
        <v/>
      </c>
      <c r="M741" s="27">
        <f>IF(OR($A741="",$J741=""),"",IF($K741="",IF(TODAY()&gt;$J741,"Atrasado","En ruta"),IF($K741&lt;=$J741,"Sí","No")))</f>
        <v/>
      </c>
      <c r="N741" s="23">
        <f>IF($A741="","",COUNTIFS(NOVEDADES!$C$4:$C$1503,$A741))</f>
        <v/>
      </c>
      <c r="O741" s="27">
        <f>IF($A741="","",IF(COUNTIFS(NOVEDADES!$C$4:$C$1503,$A741,NOVEDADES!$M$4:$M$1503,"SÍ")&gt;0,"No","Sí"))</f>
        <v/>
      </c>
      <c r="P741" s="27">
        <f>IF(OR($A741="",$K741=""),"",IF(AND($M741="Sí",$O741="Sí"),"OTIF","Falló"))</f>
        <v/>
      </c>
    </row>
    <row r="742" ht="16" customHeight="1">
      <c r="A742" s="47" t="n"/>
      <c r="B742" s="46" t="n"/>
      <c r="C742" s="49" t="n"/>
      <c r="D742" s="49" t="n"/>
      <c r="E742" s="49" t="n"/>
      <c r="F742" s="49" t="n"/>
      <c r="G742" s="47" t="n"/>
      <c r="H742" s="50" t="n"/>
      <c r="I742" s="51" t="n"/>
      <c r="J742" s="46" t="n"/>
      <c r="K742" s="46" t="n"/>
      <c r="L742" s="23">
        <f>IF(OR($A742="",$B742=""),"",IF($K742&lt;&gt;"",$K742-$B742,TODAY()-$B742))</f>
        <v/>
      </c>
      <c r="M742" s="27">
        <f>IF(OR($A742="",$J742=""),"",IF($K742="",IF(TODAY()&gt;$J742,"Atrasado","En ruta"),IF($K742&lt;=$J742,"Sí","No")))</f>
        <v/>
      </c>
      <c r="N742" s="23">
        <f>IF($A742="","",COUNTIFS(NOVEDADES!$C$4:$C$1503,$A742))</f>
        <v/>
      </c>
      <c r="O742" s="27">
        <f>IF($A742="","",IF(COUNTIFS(NOVEDADES!$C$4:$C$1503,$A742,NOVEDADES!$M$4:$M$1503,"SÍ")&gt;0,"No","Sí"))</f>
        <v/>
      </c>
      <c r="P742" s="27">
        <f>IF(OR($A742="",$K742=""),"",IF(AND($M742="Sí",$O742="Sí"),"OTIF","Falló"))</f>
        <v/>
      </c>
    </row>
    <row r="743" ht="16" customHeight="1">
      <c r="A743" s="47" t="n"/>
      <c r="B743" s="46" t="n"/>
      <c r="C743" s="49" t="n"/>
      <c r="D743" s="49" t="n"/>
      <c r="E743" s="49" t="n"/>
      <c r="F743" s="49" t="n"/>
      <c r="G743" s="47" t="n"/>
      <c r="H743" s="50" t="n"/>
      <c r="I743" s="51" t="n"/>
      <c r="J743" s="46" t="n"/>
      <c r="K743" s="46" t="n"/>
      <c r="L743" s="23">
        <f>IF(OR($A743="",$B743=""),"",IF($K743&lt;&gt;"",$K743-$B743,TODAY()-$B743))</f>
        <v/>
      </c>
      <c r="M743" s="27">
        <f>IF(OR($A743="",$J743=""),"",IF($K743="",IF(TODAY()&gt;$J743,"Atrasado","En ruta"),IF($K743&lt;=$J743,"Sí","No")))</f>
        <v/>
      </c>
      <c r="N743" s="23">
        <f>IF($A743="","",COUNTIFS(NOVEDADES!$C$4:$C$1503,$A743))</f>
        <v/>
      </c>
      <c r="O743" s="27">
        <f>IF($A743="","",IF(COUNTIFS(NOVEDADES!$C$4:$C$1503,$A743,NOVEDADES!$M$4:$M$1503,"SÍ")&gt;0,"No","Sí"))</f>
        <v/>
      </c>
      <c r="P743" s="27">
        <f>IF(OR($A743="",$K743=""),"",IF(AND($M743="Sí",$O743="Sí"),"OTIF","Falló"))</f>
        <v/>
      </c>
    </row>
    <row r="744" ht="16" customHeight="1">
      <c r="A744" s="47" t="n"/>
      <c r="B744" s="46" t="n"/>
      <c r="C744" s="49" t="n"/>
      <c r="D744" s="49" t="n"/>
      <c r="E744" s="49" t="n"/>
      <c r="F744" s="49" t="n"/>
      <c r="G744" s="47" t="n"/>
      <c r="H744" s="50" t="n"/>
      <c r="I744" s="51" t="n"/>
      <c r="J744" s="46" t="n"/>
      <c r="K744" s="46" t="n"/>
      <c r="L744" s="23">
        <f>IF(OR($A744="",$B744=""),"",IF($K744&lt;&gt;"",$K744-$B744,TODAY()-$B744))</f>
        <v/>
      </c>
      <c r="M744" s="27">
        <f>IF(OR($A744="",$J744=""),"",IF($K744="",IF(TODAY()&gt;$J744,"Atrasado","En ruta"),IF($K744&lt;=$J744,"Sí","No")))</f>
        <v/>
      </c>
      <c r="N744" s="23">
        <f>IF($A744="","",COUNTIFS(NOVEDADES!$C$4:$C$1503,$A744))</f>
        <v/>
      </c>
      <c r="O744" s="27">
        <f>IF($A744="","",IF(COUNTIFS(NOVEDADES!$C$4:$C$1503,$A744,NOVEDADES!$M$4:$M$1503,"SÍ")&gt;0,"No","Sí"))</f>
        <v/>
      </c>
      <c r="P744" s="27">
        <f>IF(OR($A744="",$K744=""),"",IF(AND($M744="Sí",$O744="Sí"),"OTIF","Falló"))</f>
        <v/>
      </c>
    </row>
    <row r="745" ht="16" customHeight="1">
      <c r="A745" s="47" t="n"/>
      <c r="B745" s="46" t="n"/>
      <c r="C745" s="49" t="n"/>
      <c r="D745" s="49" t="n"/>
      <c r="E745" s="49" t="n"/>
      <c r="F745" s="49" t="n"/>
      <c r="G745" s="47" t="n"/>
      <c r="H745" s="50" t="n"/>
      <c r="I745" s="51" t="n"/>
      <c r="J745" s="46" t="n"/>
      <c r="K745" s="46" t="n"/>
      <c r="L745" s="23">
        <f>IF(OR($A745="",$B745=""),"",IF($K745&lt;&gt;"",$K745-$B745,TODAY()-$B745))</f>
        <v/>
      </c>
      <c r="M745" s="27">
        <f>IF(OR($A745="",$J745=""),"",IF($K745="",IF(TODAY()&gt;$J745,"Atrasado","En ruta"),IF($K745&lt;=$J745,"Sí","No")))</f>
        <v/>
      </c>
      <c r="N745" s="23">
        <f>IF($A745="","",COUNTIFS(NOVEDADES!$C$4:$C$1503,$A745))</f>
        <v/>
      </c>
      <c r="O745" s="27">
        <f>IF($A745="","",IF(COUNTIFS(NOVEDADES!$C$4:$C$1503,$A745,NOVEDADES!$M$4:$M$1503,"SÍ")&gt;0,"No","Sí"))</f>
        <v/>
      </c>
      <c r="P745" s="27">
        <f>IF(OR($A745="",$K745=""),"",IF(AND($M745="Sí",$O745="Sí"),"OTIF","Falló"))</f>
        <v/>
      </c>
    </row>
    <row r="746" ht="16" customHeight="1">
      <c r="A746" s="47" t="n"/>
      <c r="B746" s="46" t="n"/>
      <c r="C746" s="49" t="n"/>
      <c r="D746" s="49" t="n"/>
      <c r="E746" s="49" t="n"/>
      <c r="F746" s="49" t="n"/>
      <c r="G746" s="47" t="n"/>
      <c r="H746" s="50" t="n"/>
      <c r="I746" s="51" t="n"/>
      <c r="J746" s="46" t="n"/>
      <c r="K746" s="46" t="n"/>
      <c r="L746" s="23">
        <f>IF(OR($A746="",$B746=""),"",IF($K746&lt;&gt;"",$K746-$B746,TODAY()-$B746))</f>
        <v/>
      </c>
      <c r="M746" s="27">
        <f>IF(OR($A746="",$J746=""),"",IF($K746="",IF(TODAY()&gt;$J746,"Atrasado","En ruta"),IF($K746&lt;=$J746,"Sí","No")))</f>
        <v/>
      </c>
      <c r="N746" s="23">
        <f>IF($A746="","",COUNTIFS(NOVEDADES!$C$4:$C$1503,$A746))</f>
        <v/>
      </c>
      <c r="O746" s="27">
        <f>IF($A746="","",IF(COUNTIFS(NOVEDADES!$C$4:$C$1503,$A746,NOVEDADES!$M$4:$M$1503,"SÍ")&gt;0,"No","Sí"))</f>
        <v/>
      </c>
      <c r="P746" s="27">
        <f>IF(OR($A746="",$K746=""),"",IF(AND($M746="Sí",$O746="Sí"),"OTIF","Falló"))</f>
        <v/>
      </c>
    </row>
    <row r="747" ht="16" customHeight="1">
      <c r="A747" s="47" t="n"/>
      <c r="B747" s="46" t="n"/>
      <c r="C747" s="49" t="n"/>
      <c r="D747" s="49" t="n"/>
      <c r="E747" s="49" t="n"/>
      <c r="F747" s="49" t="n"/>
      <c r="G747" s="47" t="n"/>
      <c r="H747" s="50" t="n"/>
      <c r="I747" s="51" t="n"/>
      <c r="J747" s="46" t="n"/>
      <c r="K747" s="46" t="n"/>
      <c r="L747" s="23">
        <f>IF(OR($A747="",$B747=""),"",IF($K747&lt;&gt;"",$K747-$B747,TODAY()-$B747))</f>
        <v/>
      </c>
      <c r="M747" s="27">
        <f>IF(OR($A747="",$J747=""),"",IF($K747="",IF(TODAY()&gt;$J747,"Atrasado","En ruta"),IF($K747&lt;=$J747,"Sí","No")))</f>
        <v/>
      </c>
      <c r="N747" s="23">
        <f>IF($A747="","",COUNTIFS(NOVEDADES!$C$4:$C$1503,$A747))</f>
        <v/>
      </c>
      <c r="O747" s="27">
        <f>IF($A747="","",IF(COUNTIFS(NOVEDADES!$C$4:$C$1503,$A747,NOVEDADES!$M$4:$M$1503,"SÍ")&gt;0,"No","Sí"))</f>
        <v/>
      </c>
      <c r="P747" s="27">
        <f>IF(OR($A747="",$K747=""),"",IF(AND($M747="Sí",$O747="Sí"),"OTIF","Falló"))</f>
        <v/>
      </c>
    </row>
    <row r="748" ht="16" customHeight="1">
      <c r="A748" s="47" t="n"/>
      <c r="B748" s="46" t="n"/>
      <c r="C748" s="49" t="n"/>
      <c r="D748" s="49" t="n"/>
      <c r="E748" s="49" t="n"/>
      <c r="F748" s="49" t="n"/>
      <c r="G748" s="47" t="n"/>
      <c r="H748" s="50" t="n"/>
      <c r="I748" s="51" t="n"/>
      <c r="J748" s="46" t="n"/>
      <c r="K748" s="46" t="n"/>
      <c r="L748" s="23">
        <f>IF(OR($A748="",$B748=""),"",IF($K748&lt;&gt;"",$K748-$B748,TODAY()-$B748))</f>
        <v/>
      </c>
      <c r="M748" s="27">
        <f>IF(OR($A748="",$J748=""),"",IF($K748="",IF(TODAY()&gt;$J748,"Atrasado","En ruta"),IF($K748&lt;=$J748,"Sí","No")))</f>
        <v/>
      </c>
      <c r="N748" s="23">
        <f>IF($A748="","",COUNTIFS(NOVEDADES!$C$4:$C$1503,$A748))</f>
        <v/>
      </c>
      <c r="O748" s="27">
        <f>IF($A748="","",IF(COUNTIFS(NOVEDADES!$C$4:$C$1503,$A748,NOVEDADES!$M$4:$M$1503,"SÍ")&gt;0,"No","Sí"))</f>
        <v/>
      </c>
      <c r="P748" s="27">
        <f>IF(OR($A748="",$K748=""),"",IF(AND($M748="Sí",$O748="Sí"),"OTIF","Falló"))</f>
        <v/>
      </c>
    </row>
    <row r="749" ht="16" customHeight="1">
      <c r="A749" s="47" t="n"/>
      <c r="B749" s="46" t="n"/>
      <c r="C749" s="49" t="n"/>
      <c r="D749" s="49" t="n"/>
      <c r="E749" s="49" t="n"/>
      <c r="F749" s="49" t="n"/>
      <c r="G749" s="47" t="n"/>
      <c r="H749" s="50" t="n"/>
      <c r="I749" s="51" t="n"/>
      <c r="J749" s="46" t="n"/>
      <c r="K749" s="46" t="n"/>
      <c r="L749" s="23">
        <f>IF(OR($A749="",$B749=""),"",IF($K749&lt;&gt;"",$K749-$B749,TODAY()-$B749))</f>
        <v/>
      </c>
      <c r="M749" s="27">
        <f>IF(OR($A749="",$J749=""),"",IF($K749="",IF(TODAY()&gt;$J749,"Atrasado","En ruta"),IF($K749&lt;=$J749,"Sí","No")))</f>
        <v/>
      </c>
      <c r="N749" s="23">
        <f>IF($A749="","",COUNTIFS(NOVEDADES!$C$4:$C$1503,$A749))</f>
        <v/>
      </c>
      <c r="O749" s="27">
        <f>IF($A749="","",IF(COUNTIFS(NOVEDADES!$C$4:$C$1503,$A749,NOVEDADES!$M$4:$M$1503,"SÍ")&gt;0,"No","Sí"))</f>
        <v/>
      </c>
      <c r="P749" s="27">
        <f>IF(OR($A749="",$K749=""),"",IF(AND($M749="Sí",$O749="Sí"),"OTIF","Falló"))</f>
        <v/>
      </c>
    </row>
    <row r="750" ht="16" customHeight="1">
      <c r="A750" s="47" t="n"/>
      <c r="B750" s="46" t="n"/>
      <c r="C750" s="49" t="n"/>
      <c r="D750" s="49" t="n"/>
      <c r="E750" s="49" t="n"/>
      <c r="F750" s="49" t="n"/>
      <c r="G750" s="47" t="n"/>
      <c r="H750" s="50" t="n"/>
      <c r="I750" s="51" t="n"/>
      <c r="J750" s="46" t="n"/>
      <c r="K750" s="46" t="n"/>
      <c r="L750" s="23">
        <f>IF(OR($A750="",$B750=""),"",IF($K750&lt;&gt;"",$K750-$B750,TODAY()-$B750))</f>
        <v/>
      </c>
      <c r="M750" s="27">
        <f>IF(OR($A750="",$J750=""),"",IF($K750="",IF(TODAY()&gt;$J750,"Atrasado","En ruta"),IF($K750&lt;=$J750,"Sí","No")))</f>
        <v/>
      </c>
      <c r="N750" s="23">
        <f>IF($A750="","",COUNTIFS(NOVEDADES!$C$4:$C$1503,$A750))</f>
        <v/>
      </c>
      <c r="O750" s="27">
        <f>IF($A750="","",IF(COUNTIFS(NOVEDADES!$C$4:$C$1503,$A750,NOVEDADES!$M$4:$M$1503,"SÍ")&gt;0,"No","Sí"))</f>
        <v/>
      </c>
      <c r="P750" s="27">
        <f>IF(OR($A750="",$K750=""),"",IF(AND($M750="Sí",$O750="Sí"),"OTIF","Falló"))</f>
        <v/>
      </c>
    </row>
    <row r="751" ht="16" customHeight="1">
      <c r="A751" s="47" t="n"/>
      <c r="B751" s="46" t="n"/>
      <c r="C751" s="49" t="n"/>
      <c r="D751" s="49" t="n"/>
      <c r="E751" s="49" t="n"/>
      <c r="F751" s="49" t="n"/>
      <c r="G751" s="47" t="n"/>
      <c r="H751" s="50" t="n"/>
      <c r="I751" s="51" t="n"/>
      <c r="J751" s="46" t="n"/>
      <c r="K751" s="46" t="n"/>
      <c r="L751" s="23">
        <f>IF(OR($A751="",$B751=""),"",IF($K751&lt;&gt;"",$K751-$B751,TODAY()-$B751))</f>
        <v/>
      </c>
      <c r="M751" s="27">
        <f>IF(OR($A751="",$J751=""),"",IF($K751="",IF(TODAY()&gt;$J751,"Atrasado","En ruta"),IF($K751&lt;=$J751,"Sí","No")))</f>
        <v/>
      </c>
      <c r="N751" s="23">
        <f>IF($A751="","",COUNTIFS(NOVEDADES!$C$4:$C$1503,$A751))</f>
        <v/>
      </c>
      <c r="O751" s="27">
        <f>IF($A751="","",IF(COUNTIFS(NOVEDADES!$C$4:$C$1503,$A751,NOVEDADES!$M$4:$M$1503,"SÍ")&gt;0,"No","Sí"))</f>
        <v/>
      </c>
      <c r="P751" s="27">
        <f>IF(OR($A751="",$K751=""),"",IF(AND($M751="Sí",$O751="Sí"),"OTIF","Falló"))</f>
        <v/>
      </c>
    </row>
    <row r="752" ht="16" customHeight="1">
      <c r="A752" s="47" t="n"/>
      <c r="B752" s="46" t="n"/>
      <c r="C752" s="49" t="n"/>
      <c r="D752" s="49" t="n"/>
      <c r="E752" s="49" t="n"/>
      <c r="F752" s="49" t="n"/>
      <c r="G752" s="47" t="n"/>
      <c r="H752" s="50" t="n"/>
      <c r="I752" s="51" t="n"/>
      <c r="J752" s="46" t="n"/>
      <c r="K752" s="46" t="n"/>
      <c r="L752" s="23">
        <f>IF(OR($A752="",$B752=""),"",IF($K752&lt;&gt;"",$K752-$B752,TODAY()-$B752))</f>
        <v/>
      </c>
      <c r="M752" s="27">
        <f>IF(OR($A752="",$J752=""),"",IF($K752="",IF(TODAY()&gt;$J752,"Atrasado","En ruta"),IF($K752&lt;=$J752,"Sí","No")))</f>
        <v/>
      </c>
      <c r="N752" s="23">
        <f>IF($A752="","",COUNTIFS(NOVEDADES!$C$4:$C$1503,$A752))</f>
        <v/>
      </c>
      <c r="O752" s="27">
        <f>IF($A752="","",IF(COUNTIFS(NOVEDADES!$C$4:$C$1503,$A752,NOVEDADES!$M$4:$M$1503,"SÍ")&gt;0,"No","Sí"))</f>
        <v/>
      </c>
      <c r="P752" s="27">
        <f>IF(OR($A752="",$K752=""),"",IF(AND($M752="Sí",$O752="Sí"),"OTIF","Falló"))</f>
        <v/>
      </c>
    </row>
    <row r="753" ht="16" customHeight="1">
      <c r="A753" s="47" t="n"/>
      <c r="B753" s="46" t="n"/>
      <c r="C753" s="49" t="n"/>
      <c r="D753" s="49" t="n"/>
      <c r="E753" s="49" t="n"/>
      <c r="F753" s="49" t="n"/>
      <c r="G753" s="47" t="n"/>
      <c r="H753" s="50" t="n"/>
      <c r="I753" s="51" t="n"/>
      <c r="J753" s="46" t="n"/>
      <c r="K753" s="46" t="n"/>
      <c r="L753" s="23">
        <f>IF(OR($A753="",$B753=""),"",IF($K753&lt;&gt;"",$K753-$B753,TODAY()-$B753))</f>
        <v/>
      </c>
      <c r="M753" s="27">
        <f>IF(OR($A753="",$J753=""),"",IF($K753="",IF(TODAY()&gt;$J753,"Atrasado","En ruta"),IF($K753&lt;=$J753,"Sí","No")))</f>
        <v/>
      </c>
      <c r="N753" s="23">
        <f>IF($A753="","",COUNTIFS(NOVEDADES!$C$4:$C$1503,$A753))</f>
        <v/>
      </c>
      <c r="O753" s="27">
        <f>IF($A753="","",IF(COUNTIFS(NOVEDADES!$C$4:$C$1503,$A753,NOVEDADES!$M$4:$M$1503,"SÍ")&gt;0,"No","Sí"))</f>
        <v/>
      </c>
      <c r="P753" s="27">
        <f>IF(OR($A753="",$K753=""),"",IF(AND($M753="Sí",$O753="Sí"),"OTIF","Falló"))</f>
        <v/>
      </c>
    </row>
    <row r="754" ht="16" customHeight="1">
      <c r="A754" s="47" t="n"/>
      <c r="B754" s="46" t="n"/>
      <c r="C754" s="49" t="n"/>
      <c r="D754" s="49" t="n"/>
      <c r="E754" s="49" t="n"/>
      <c r="F754" s="49" t="n"/>
      <c r="G754" s="47" t="n"/>
      <c r="H754" s="50" t="n"/>
      <c r="I754" s="51" t="n"/>
      <c r="J754" s="46" t="n"/>
      <c r="K754" s="46" t="n"/>
      <c r="L754" s="23">
        <f>IF(OR($A754="",$B754=""),"",IF($K754&lt;&gt;"",$K754-$B754,TODAY()-$B754))</f>
        <v/>
      </c>
      <c r="M754" s="27">
        <f>IF(OR($A754="",$J754=""),"",IF($K754="",IF(TODAY()&gt;$J754,"Atrasado","En ruta"),IF($K754&lt;=$J754,"Sí","No")))</f>
        <v/>
      </c>
      <c r="N754" s="23">
        <f>IF($A754="","",COUNTIFS(NOVEDADES!$C$4:$C$1503,$A754))</f>
        <v/>
      </c>
      <c r="O754" s="27">
        <f>IF($A754="","",IF(COUNTIFS(NOVEDADES!$C$4:$C$1503,$A754,NOVEDADES!$M$4:$M$1503,"SÍ")&gt;0,"No","Sí"))</f>
        <v/>
      </c>
      <c r="P754" s="27">
        <f>IF(OR($A754="",$K754=""),"",IF(AND($M754="Sí",$O754="Sí"),"OTIF","Falló"))</f>
        <v/>
      </c>
    </row>
    <row r="755" ht="16" customHeight="1">
      <c r="A755" s="47" t="n"/>
      <c r="B755" s="46" t="n"/>
      <c r="C755" s="49" t="n"/>
      <c r="D755" s="49" t="n"/>
      <c r="E755" s="49" t="n"/>
      <c r="F755" s="49" t="n"/>
      <c r="G755" s="47" t="n"/>
      <c r="H755" s="50" t="n"/>
      <c r="I755" s="51" t="n"/>
      <c r="J755" s="46" t="n"/>
      <c r="K755" s="46" t="n"/>
      <c r="L755" s="23">
        <f>IF(OR($A755="",$B755=""),"",IF($K755&lt;&gt;"",$K755-$B755,TODAY()-$B755))</f>
        <v/>
      </c>
      <c r="M755" s="27">
        <f>IF(OR($A755="",$J755=""),"",IF($K755="",IF(TODAY()&gt;$J755,"Atrasado","En ruta"),IF($K755&lt;=$J755,"Sí","No")))</f>
        <v/>
      </c>
      <c r="N755" s="23">
        <f>IF($A755="","",COUNTIFS(NOVEDADES!$C$4:$C$1503,$A755))</f>
        <v/>
      </c>
      <c r="O755" s="27">
        <f>IF($A755="","",IF(COUNTIFS(NOVEDADES!$C$4:$C$1503,$A755,NOVEDADES!$M$4:$M$1503,"SÍ")&gt;0,"No","Sí"))</f>
        <v/>
      </c>
      <c r="P755" s="27">
        <f>IF(OR($A755="",$K755=""),"",IF(AND($M755="Sí",$O755="Sí"),"OTIF","Falló"))</f>
        <v/>
      </c>
    </row>
    <row r="756" ht="16" customHeight="1">
      <c r="A756" s="47" t="n"/>
      <c r="B756" s="46" t="n"/>
      <c r="C756" s="49" t="n"/>
      <c r="D756" s="49" t="n"/>
      <c r="E756" s="49" t="n"/>
      <c r="F756" s="49" t="n"/>
      <c r="G756" s="47" t="n"/>
      <c r="H756" s="50" t="n"/>
      <c r="I756" s="51" t="n"/>
      <c r="J756" s="46" t="n"/>
      <c r="K756" s="46" t="n"/>
      <c r="L756" s="23">
        <f>IF(OR($A756="",$B756=""),"",IF($K756&lt;&gt;"",$K756-$B756,TODAY()-$B756))</f>
        <v/>
      </c>
      <c r="M756" s="27">
        <f>IF(OR($A756="",$J756=""),"",IF($K756="",IF(TODAY()&gt;$J756,"Atrasado","En ruta"),IF($K756&lt;=$J756,"Sí","No")))</f>
        <v/>
      </c>
      <c r="N756" s="23">
        <f>IF($A756="","",COUNTIFS(NOVEDADES!$C$4:$C$1503,$A756))</f>
        <v/>
      </c>
      <c r="O756" s="27">
        <f>IF($A756="","",IF(COUNTIFS(NOVEDADES!$C$4:$C$1503,$A756,NOVEDADES!$M$4:$M$1503,"SÍ")&gt;0,"No","Sí"))</f>
        <v/>
      </c>
      <c r="P756" s="27">
        <f>IF(OR($A756="",$K756=""),"",IF(AND($M756="Sí",$O756="Sí"),"OTIF","Falló"))</f>
        <v/>
      </c>
    </row>
    <row r="757" ht="16" customHeight="1">
      <c r="A757" s="47" t="n"/>
      <c r="B757" s="46" t="n"/>
      <c r="C757" s="49" t="n"/>
      <c r="D757" s="49" t="n"/>
      <c r="E757" s="49" t="n"/>
      <c r="F757" s="49" t="n"/>
      <c r="G757" s="47" t="n"/>
      <c r="H757" s="50" t="n"/>
      <c r="I757" s="51" t="n"/>
      <c r="J757" s="46" t="n"/>
      <c r="K757" s="46" t="n"/>
      <c r="L757" s="23">
        <f>IF(OR($A757="",$B757=""),"",IF($K757&lt;&gt;"",$K757-$B757,TODAY()-$B757))</f>
        <v/>
      </c>
      <c r="M757" s="27">
        <f>IF(OR($A757="",$J757=""),"",IF($K757="",IF(TODAY()&gt;$J757,"Atrasado","En ruta"),IF($K757&lt;=$J757,"Sí","No")))</f>
        <v/>
      </c>
      <c r="N757" s="23">
        <f>IF($A757="","",COUNTIFS(NOVEDADES!$C$4:$C$1503,$A757))</f>
        <v/>
      </c>
      <c r="O757" s="27">
        <f>IF($A757="","",IF(COUNTIFS(NOVEDADES!$C$4:$C$1503,$A757,NOVEDADES!$M$4:$M$1503,"SÍ")&gt;0,"No","Sí"))</f>
        <v/>
      </c>
      <c r="P757" s="27">
        <f>IF(OR($A757="",$K757=""),"",IF(AND($M757="Sí",$O757="Sí"),"OTIF","Falló"))</f>
        <v/>
      </c>
    </row>
    <row r="758" ht="16" customHeight="1">
      <c r="A758" s="47" t="n"/>
      <c r="B758" s="46" t="n"/>
      <c r="C758" s="49" t="n"/>
      <c r="D758" s="49" t="n"/>
      <c r="E758" s="49" t="n"/>
      <c r="F758" s="49" t="n"/>
      <c r="G758" s="47" t="n"/>
      <c r="H758" s="50" t="n"/>
      <c r="I758" s="51" t="n"/>
      <c r="J758" s="46" t="n"/>
      <c r="K758" s="46" t="n"/>
      <c r="L758" s="23">
        <f>IF(OR($A758="",$B758=""),"",IF($K758&lt;&gt;"",$K758-$B758,TODAY()-$B758))</f>
        <v/>
      </c>
      <c r="M758" s="27">
        <f>IF(OR($A758="",$J758=""),"",IF($K758="",IF(TODAY()&gt;$J758,"Atrasado","En ruta"),IF($K758&lt;=$J758,"Sí","No")))</f>
        <v/>
      </c>
      <c r="N758" s="23">
        <f>IF($A758="","",COUNTIFS(NOVEDADES!$C$4:$C$1503,$A758))</f>
        <v/>
      </c>
      <c r="O758" s="27">
        <f>IF($A758="","",IF(COUNTIFS(NOVEDADES!$C$4:$C$1503,$A758,NOVEDADES!$M$4:$M$1503,"SÍ")&gt;0,"No","Sí"))</f>
        <v/>
      </c>
      <c r="P758" s="27">
        <f>IF(OR($A758="",$K758=""),"",IF(AND($M758="Sí",$O758="Sí"),"OTIF","Falló"))</f>
        <v/>
      </c>
    </row>
    <row r="759" ht="16" customHeight="1">
      <c r="A759" s="47" t="n"/>
      <c r="B759" s="46" t="n"/>
      <c r="C759" s="49" t="n"/>
      <c r="D759" s="49" t="n"/>
      <c r="E759" s="49" t="n"/>
      <c r="F759" s="49" t="n"/>
      <c r="G759" s="47" t="n"/>
      <c r="H759" s="50" t="n"/>
      <c r="I759" s="51" t="n"/>
      <c r="J759" s="46" t="n"/>
      <c r="K759" s="46" t="n"/>
      <c r="L759" s="23">
        <f>IF(OR($A759="",$B759=""),"",IF($K759&lt;&gt;"",$K759-$B759,TODAY()-$B759))</f>
        <v/>
      </c>
      <c r="M759" s="27">
        <f>IF(OR($A759="",$J759=""),"",IF($K759="",IF(TODAY()&gt;$J759,"Atrasado","En ruta"),IF($K759&lt;=$J759,"Sí","No")))</f>
        <v/>
      </c>
      <c r="N759" s="23">
        <f>IF($A759="","",COUNTIFS(NOVEDADES!$C$4:$C$1503,$A759))</f>
        <v/>
      </c>
      <c r="O759" s="27">
        <f>IF($A759="","",IF(COUNTIFS(NOVEDADES!$C$4:$C$1503,$A759,NOVEDADES!$M$4:$M$1503,"SÍ")&gt;0,"No","Sí"))</f>
        <v/>
      </c>
      <c r="P759" s="27">
        <f>IF(OR($A759="",$K759=""),"",IF(AND($M759="Sí",$O759="Sí"),"OTIF","Falló"))</f>
        <v/>
      </c>
    </row>
    <row r="760" ht="16" customHeight="1">
      <c r="A760" s="47" t="n"/>
      <c r="B760" s="46" t="n"/>
      <c r="C760" s="49" t="n"/>
      <c r="D760" s="49" t="n"/>
      <c r="E760" s="49" t="n"/>
      <c r="F760" s="49" t="n"/>
      <c r="G760" s="47" t="n"/>
      <c r="H760" s="50" t="n"/>
      <c r="I760" s="51" t="n"/>
      <c r="J760" s="46" t="n"/>
      <c r="K760" s="46" t="n"/>
      <c r="L760" s="23">
        <f>IF(OR($A760="",$B760=""),"",IF($K760&lt;&gt;"",$K760-$B760,TODAY()-$B760))</f>
        <v/>
      </c>
      <c r="M760" s="27">
        <f>IF(OR($A760="",$J760=""),"",IF($K760="",IF(TODAY()&gt;$J760,"Atrasado","En ruta"),IF($K760&lt;=$J760,"Sí","No")))</f>
        <v/>
      </c>
      <c r="N760" s="23">
        <f>IF($A760="","",COUNTIFS(NOVEDADES!$C$4:$C$1503,$A760))</f>
        <v/>
      </c>
      <c r="O760" s="27">
        <f>IF($A760="","",IF(COUNTIFS(NOVEDADES!$C$4:$C$1503,$A760,NOVEDADES!$M$4:$M$1503,"SÍ")&gt;0,"No","Sí"))</f>
        <v/>
      </c>
      <c r="P760" s="27">
        <f>IF(OR($A760="",$K760=""),"",IF(AND($M760="Sí",$O760="Sí"),"OTIF","Falló"))</f>
        <v/>
      </c>
    </row>
    <row r="761" ht="16" customHeight="1">
      <c r="A761" s="47" t="n"/>
      <c r="B761" s="46" t="n"/>
      <c r="C761" s="49" t="n"/>
      <c r="D761" s="49" t="n"/>
      <c r="E761" s="49" t="n"/>
      <c r="F761" s="49" t="n"/>
      <c r="G761" s="47" t="n"/>
      <c r="H761" s="50" t="n"/>
      <c r="I761" s="51" t="n"/>
      <c r="J761" s="46" t="n"/>
      <c r="K761" s="46" t="n"/>
      <c r="L761" s="23">
        <f>IF(OR($A761="",$B761=""),"",IF($K761&lt;&gt;"",$K761-$B761,TODAY()-$B761))</f>
        <v/>
      </c>
      <c r="M761" s="27">
        <f>IF(OR($A761="",$J761=""),"",IF($K761="",IF(TODAY()&gt;$J761,"Atrasado","En ruta"),IF($K761&lt;=$J761,"Sí","No")))</f>
        <v/>
      </c>
      <c r="N761" s="23">
        <f>IF($A761="","",COUNTIFS(NOVEDADES!$C$4:$C$1503,$A761))</f>
        <v/>
      </c>
      <c r="O761" s="27">
        <f>IF($A761="","",IF(COUNTIFS(NOVEDADES!$C$4:$C$1503,$A761,NOVEDADES!$M$4:$M$1503,"SÍ")&gt;0,"No","Sí"))</f>
        <v/>
      </c>
      <c r="P761" s="27">
        <f>IF(OR($A761="",$K761=""),"",IF(AND($M761="Sí",$O761="Sí"),"OTIF","Falló"))</f>
        <v/>
      </c>
    </row>
    <row r="762" ht="16" customHeight="1">
      <c r="A762" s="47" t="n"/>
      <c r="B762" s="46" t="n"/>
      <c r="C762" s="49" t="n"/>
      <c r="D762" s="49" t="n"/>
      <c r="E762" s="49" t="n"/>
      <c r="F762" s="49" t="n"/>
      <c r="G762" s="47" t="n"/>
      <c r="H762" s="50" t="n"/>
      <c r="I762" s="51" t="n"/>
      <c r="J762" s="46" t="n"/>
      <c r="K762" s="46" t="n"/>
      <c r="L762" s="23">
        <f>IF(OR($A762="",$B762=""),"",IF($K762&lt;&gt;"",$K762-$B762,TODAY()-$B762))</f>
        <v/>
      </c>
      <c r="M762" s="27">
        <f>IF(OR($A762="",$J762=""),"",IF($K762="",IF(TODAY()&gt;$J762,"Atrasado","En ruta"),IF($K762&lt;=$J762,"Sí","No")))</f>
        <v/>
      </c>
      <c r="N762" s="23">
        <f>IF($A762="","",COUNTIFS(NOVEDADES!$C$4:$C$1503,$A762))</f>
        <v/>
      </c>
      <c r="O762" s="27">
        <f>IF($A762="","",IF(COUNTIFS(NOVEDADES!$C$4:$C$1503,$A762,NOVEDADES!$M$4:$M$1503,"SÍ")&gt;0,"No","Sí"))</f>
        <v/>
      </c>
      <c r="P762" s="27">
        <f>IF(OR($A762="",$K762=""),"",IF(AND($M762="Sí",$O762="Sí"),"OTIF","Falló"))</f>
        <v/>
      </c>
    </row>
    <row r="763" ht="16" customHeight="1">
      <c r="A763" s="47" t="n"/>
      <c r="B763" s="46" t="n"/>
      <c r="C763" s="49" t="n"/>
      <c r="D763" s="49" t="n"/>
      <c r="E763" s="49" t="n"/>
      <c r="F763" s="49" t="n"/>
      <c r="G763" s="47" t="n"/>
      <c r="H763" s="50" t="n"/>
      <c r="I763" s="51" t="n"/>
      <c r="J763" s="46" t="n"/>
      <c r="K763" s="46" t="n"/>
      <c r="L763" s="23">
        <f>IF(OR($A763="",$B763=""),"",IF($K763&lt;&gt;"",$K763-$B763,TODAY()-$B763))</f>
        <v/>
      </c>
      <c r="M763" s="27">
        <f>IF(OR($A763="",$J763=""),"",IF($K763="",IF(TODAY()&gt;$J763,"Atrasado","En ruta"),IF($K763&lt;=$J763,"Sí","No")))</f>
        <v/>
      </c>
      <c r="N763" s="23">
        <f>IF($A763="","",COUNTIFS(NOVEDADES!$C$4:$C$1503,$A763))</f>
        <v/>
      </c>
      <c r="O763" s="27">
        <f>IF($A763="","",IF(COUNTIFS(NOVEDADES!$C$4:$C$1503,$A763,NOVEDADES!$M$4:$M$1503,"SÍ")&gt;0,"No","Sí"))</f>
        <v/>
      </c>
      <c r="P763" s="27">
        <f>IF(OR($A763="",$K763=""),"",IF(AND($M763="Sí",$O763="Sí"),"OTIF","Falló"))</f>
        <v/>
      </c>
    </row>
    <row r="764" ht="16" customHeight="1">
      <c r="A764" s="47" t="n"/>
      <c r="B764" s="46" t="n"/>
      <c r="C764" s="49" t="n"/>
      <c r="D764" s="49" t="n"/>
      <c r="E764" s="49" t="n"/>
      <c r="F764" s="49" t="n"/>
      <c r="G764" s="47" t="n"/>
      <c r="H764" s="50" t="n"/>
      <c r="I764" s="51" t="n"/>
      <c r="J764" s="46" t="n"/>
      <c r="K764" s="46" t="n"/>
      <c r="L764" s="23">
        <f>IF(OR($A764="",$B764=""),"",IF($K764&lt;&gt;"",$K764-$B764,TODAY()-$B764))</f>
        <v/>
      </c>
      <c r="M764" s="27">
        <f>IF(OR($A764="",$J764=""),"",IF($K764="",IF(TODAY()&gt;$J764,"Atrasado","En ruta"),IF($K764&lt;=$J764,"Sí","No")))</f>
        <v/>
      </c>
      <c r="N764" s="23">
        <f>IF($A764="","",COUNTIFS(NOVEDADES!$C$4:$C$1503,$A764))</f>
        <v/>
      </c>
      <c r="O764" s="27">
        <f>IF($A764="","",IF(COUNTIFS(NOVEDADES!$C$4:$C$1503,$A764,NOVEDADES!$M$4:$M$1503,"SÍ")&gt;0,"No","Sí"))</f>
        <v/>
      </c>
      <c r="P764" s="27">
        <f>IF(OR($A764="",$K764=""),"",IF(AND($M764="Sí",$O764="Sí"),"OTIF","Falló"))</f>
        <v/>
      </c>
    </row>
    <row r="765" ht="16" customHeight="1">
      <c r="A765" s="47" t="n"/>
      <c r="B765" s="46" t="n"/>
      <c r="C765" s="49" t="n"/>
      <c r="D765" s="49" t="n"/>
      <c r="E765" s="49" t="n"/>
      <c r="F765" s="49" t="n"/>
      <c r="G765" s="47" t="n"/>
      <c r="H765" s="50" t="n"/>
      <c r="I765" s="51" t="n"/>
      <c r="J765" s="46" t="n"/>
      <c r="K765" s="46" t="n"/>
      <c r="L765" s="23">
        <f>IF(OR($A765="",$B765=""),"",IF($K765&lt;&gt;"",$K765-$B765,TODAY()-$B765))</f>
        <v/>
      </c>
      <c r="M765" s="27">
        <f>IF(OR($A765="",$J765=""),"",IF($K765="",IF(TODAY()&gt;$J765,"Atrasado","En ruta"),IF($K765&lt;=$J765,"Sí","No")))</f>
        <v/>
      </c>
      <c r="N765" s="23">
        <f>IF($A765="","",COUNTIFS(NOVEDADES!$C$4:$C$1503,$A765))</f>
        <v/>
      </c>
      <c r="O765" s="27">
        <f>IF($A765="","",IF(COUNTIFS(NOVEDADES!$C$4:$C$1503,$A765,NOVEDADES!$M$4:$M$1503,"SÍ")&gt;0,"No","Sí"))</f>
        <v/>
      </c>
      <c r="P765" s="27">
        <f>IF(OR($A765="",$K765=""),"",IF(AND($M765="Sí",$O765="Sí"),"OTIF","Falló"))</f>
        <v/>
      </c>
    </row>
    <row r="766" ht="16" customHeight="1">
      <c r="A766" s="47" t="n"/>
      <c r="B766" s="46" t="n"/>
      <c r="C766" s="49" t="n"/>
      <c r="D766" s="49" t="n"/>
      <c r="E766" s="49" t="n"/>
      <c r="F766" s="49" t="n"/>
      <c r="G766" s="47" t="n"/>
      <c r="H766" s="50" t="n"/>
      <c r="I766" s="51" t="n"/>
      <c r="J766" s="46" t="n"/>
      <c r="K766" s="46" t="n"/>
      <c r="L766" s="23">
        <f>IF(OR($A766="",$B766=""),"",IF($K766&lt;&gt;"",$K766-$B766,TODAY()-$B766))</f>
        <v/>
      </c>
      <c r="M766" s="27">
        <f>IF(OR($A766="",$J766=""),"",IF($K766="",IF(TODAY()&gt;$J766,"Atrasado","En ruta"),IF($K766&lt;=$J766,"Sí","No")))</f>
        <v/>
      </c>
      <c r="N766" s="23">
        <f>IF($A766="","",COUNTIFS(NOVEDADES!$C$4:$C$1503,$A766))</f>
        <v/>
      </c>
      <c r="O766" s="27">
        <f>IF($A766="","",IF(COUNTIFS(NOVEDADES!$C$4:$C$1503,$A766,NOVEDADES!$M$4:$M$1503,"SÍ")&gt;0,"No","Sí"))</f>
        <v/>
      </c>
      <c r="P766" s="27">
        <f>IF(OR($A766="",$K766=""),"",IF(AND($M766="Sí",$O766="Sí"),"OTIF","Falló"))</f>
        <v/>
      </c>
    </row>
    <row r="767" ht="16" customHeight="1">
      <c r="A767" s="47" t="n"/>
      <c r="B767" s="46" t="n"/>
      <c r="C767" s="49" t="n"/>
      <c r="D767" s="49" t="n"/>
      <c r="E767" s="49" t="n"/>
      <c r="F767" s="49" t="n"/>
      <c r="G767" s="47" t="n"/>
      <c r="H767" s="50" t="n"/>
      <c r="I767" s="51" t="n"/>
      <c r="J767" s="46" t="n"/>
      <c r="K767" s="46" t="n"/>
      <c r="L767" s="23">
        <f>IF(OR($A767="",$B767=""),"",IF($K767&lt;&gt;"",$K767-$B767,TODAY()-$B767))</f>
        <v/>
      </c>
      <c r="M767" s="27">
        <f>IF(OR($A767="",$J767=""),"",IF($K767="",IF(TODAY()&gt;$J767,"Atrasado","En ruta"),IF($K767&lt;=$J767,"Sí","No")))</f>
        <v/>
      </c>
      <c r="N767" s="23">
        <f>IF($A767="","",COUNTIFS(NOVEDADES!$C$4:$C$1503,$A767))</f>
        <v/>
      </c>
      <c r="O767" s="27">
        <f>IF($A767="","",IF(COUNTIFS(NOVEDADES!$C$4:$C$1503,$A767,NOVEDADES!$M$4:$M$1503,"SÍ")&gt;0,"No","Sí"))</f>
        <v/>
      </c>
      <c r="P767" s="27">
        <f>IF(OR($A767="",$K767=""),"",IF(AND($M767="Sí",$O767="Sí"),"OTIF","Falló"))</f>
        <v/>
      </c>
    </row>
    <row r="768" ht="16" customHeight="1">
      <c r="A768" s="47" t="n"/>
      <c r="B768" s="46" t="n"/>
      <c r="C768" s="49" t="n"/>
      <c r="D768" s="49" t="n"/>
      <c r="E768" s="49" t="n"/>
      <c r="F768" s="49" t="n"/>
      <c r="G768" s="47" t="n"/>
      <c r="H768" s="50" t="n"/>
      <c r="I768" s="51" t="n"/>
      <c r="J768" s="46" t="n"/>
      <c r="K768" s="46" t="n"/>
      <c r="L768" s="23">
        <f>IF(OR($A768="",$B768=""),"",IF($K768&lt;&gt;"",$K768-$B768,TODAY()-$B768))</f>
        <v/>
      </c>
      <c r="M768" s="27">
        <f>IF(OR($A768="",$J768=""),"",IF($K768="",IF(TODAY()&gt;$J768,"Atrasado","En ruta"),IF($K768&lt;=$J768,"Sí","No")))</f>
        <v/>
      </c>
      <c r="N768" s="23">
        <f>IF($A768="","",COUNTIFS(NOVEDADES!$C$4:$C$1503,$A768))</f>
        <v/>
      </c>
      <c r="O768" s="27">
        <f>IF($A768="","",IF(COUNTIFS(NOVEDADES!$C$4:$C$1503,$A768,NOVEDADES!$M$4:$M$1503,"SÍ")&gt;0,"No","Sí"))</f>
        <v/>
      </c>
      <c r="P768" s="27">
        <f>IF(OR($A768="",$K768=""),"",IF(AND($M768="Sí",$O768="Sí"),"OTIF","Falló"))</f>
        <v/>
      </c>
    </row>
    <row r="769" ht="16" customHeight="1">
      <c r="A769" s="47" t="n"/>
      <c r="B769" s="46" t="n"/>
      <c r="C769" s="49" t="n"/>
      <c r="D769" s="49" t="n"/>
      <c r="E769" s="49" t="n"/>
      <c r="F769" s="49" t="n"/>
      <c r="G769" s="47" t="n"/>
      <c r="H769" s="50" t="n"/>
      <c r="I769" s="51" t="n"/>
      <c r="J769" s="46" t="n"/>
      <c r="K769" s="46" t="n"/>
      <c r="L769" s="23">
        <f>IF(OR($A769="",$B769=""),"",IF($K769&lt;&gt;"",$K769-$B769,TODAY()-$B769))</f>
        <v/>
      </c>
      <c r="M769" s="27">
        <f>IF(OR($A769="",$J769=""),"",IF($K769="",IF(TODAY()&gt;$J769,"Atrasado","En ruta"),IF($K769&lt;=$J769,"Sí","No")))</f>
        <v/>
      </c>
      <c r="N769" s="23">
        <f>IF($A769="","",COUNTIFS(NOVEDADES!$C$4:$C$1503,$A769))</f>
        <v/>
      </c>
      <c r="O769" s="27">
        <f>IF($A769="","",IF(COUNTIFS(NOVEDADES!$C$4:$C$1503,$A769,NOVEDADES!$M$4:$M$1503,"SÍ")&gt;0,"No","Sí"))</f>
        <v/>
      </c>
      <c r="P769" s="27">
        <f>IF(OR($A769="",$K769=""),"",IF(AND($M769="Sí",$O769="Sí"),"OTIF","Falló"))</f>
        <v/>
      </c>
    </row>
    <row r="770" ht="16" customHeight="1">
      <c r="A770" s="47" t="n"/>
      <c r="B770" s="46" t="n"/>
      <c r="C770" s="49" t="n"/>
      <c r="D770" s="49" t="n"/>
      <c r="E770" s="49" t="n"/>
      <c r="F770" s="49" t="n"/>
      <c r="G770" s="47" t="n"/>
      <c r="H770" s="50" t="n"/>
      <c r="I770" s="51" t="n"/>
      <c r="J770" s="46" t="n"/>
      <c r="K770" s="46" t="n"/>
      <c r="L770" s="23">
        <f>IF(OR($A770="",$B770=""),"",IF($K770&lt;&gt;"",$K770-$B770,TODAY()-$B770))</f>
        <v/>
      </c>
      <c r="M770" s="27">
        <f>IF(OR($A770="",$J770=""),"",IF($K770="",IF(TODAY()&gt;$J770,"Atrasado","En ruta"),IF($K770&lt;=$J770,"Sí","No")))</f>
        <v/>
      </c>
      <c r="N770" s="23">
        <f>IF($A770="","",COUNTIFS(NOVEDADES!$C$4:$C$1503,$A770))</f>
        <v/>
      </c>
      <c r="O770" s="27">
        <f>IF($A770="","",IF(COUNTIFS(NOVEDADES!$C$4:$C$1503,$A770,NOVEDADES!$M$4:$M$1503,"SÍ")&gt;0,"No","Sí"))</f>
        <v/>
      </c>
      <c r="P770" s="27">
        <f>IF(OR($A770="",$K770=""),"",IF(AND($M770="Sí",$O770="Sí"),"OTIF","Falló"))</f>
        <v/>
      </c>
    </row>
    <row r="771" ht="16" customHeight="1">
      <c r="A771" s="47" t="n"/>
      <c r="B771" s="46" t="n"/>
      <c r="C771" s="49" t="n"/>
      <c r="D771" s="49" t="n"/>
      <c r="E771" s="49" t="n"/>
      <c r="F771" s="49" t="n"/>
      <c r="G771" s="47" t="n"/>
      <c r="H771" s="50" t="n"/>
      <c r="I771" s="51" t="n"/>
      <c r="J771" s="46" t="n"/>
      <c r="K771" s="46" t="n"/>
      <c r="L771" s="23">
        <f>IF(OR($A771="",$B771=""),"",IF($K771&lt;&gt;"",$K771-$B771,TODAY()-$B771))</f>
        <v/>
      </c>
      <c r="M771" s="27">
        <f>IF(OR($A771="",$J771=""),"",IF($K771="",IF(TODAY()&gt;$J771,"Atrasado","En ruta"),IF($K771&lt;=$J771,"Sí","No")))</f>
        <v/>
      </c>
      <c r="N771" s="23">
        <f>IF($A771="","",COUNTIFS(NOVEDADES!$C$4:$C$1503,$A771))</f>
        <v/>
      </c>
      <c r="O771" s="27">
        <f>IF($A771="","",IF(COUNTIFS(NOVEDADES!$C$4:$C$1503,$A771,NOVEDADES!$M$4:$M$1503,"SÍ")&gt;0,"No","Sí"))</f>
        <v/>
      </c>
      <c r="P771" s="27">
        <f>IF(OR($A771="",$K771=""),"",IF(AND($M771="Sí",$O771="Sí"),"OTIF","Falló"))</f>
        <v/>
      </c>
    </row>
    <row r="772" ht="16" customHeight="1">
      <c r="A772" s="47" t="n"/>
      <c r="B772" s="46" t="n"/>
      <c r="C772" s="49" t="n"/>
      <c r="D772" s="49" t="n"/>
      <c r="E772" s="49" t="n"/>
      <c r="F772" s="49" t="n"/>
      <c r="G772" s="47" t="n"/>
      <c r="H772" s="50" t="n"/>
      <c r="I772" s="51" t="n"/>
      <c r="J772" s="46" t="n"/>
      <c r="K772" s="46" t="n"/>
      <c r="L772" s="23">
        <f>IF(OR($A772="",$B772=""),"",IF($K772&lt;&gt;"",$K772-$B772,TODAY()-$B772))</f>
        <v/>
      </c>
      <c r="M772" s="27">
        <f>IF(OR($A772="",$J772=""),"",IF($K772="",IF(TODAY()&gt;$J772,"Atrasado","En ruta"),IF($K772&lt;=$J772,"Sí","No")))</f>
        <v/>
      </c>
      <c r="N772" s="23">
        <f>IF($A772="","",COUNTIFS(NOVEDADES!$C$4:$C$1503,$A772))</f>
        <v/>
      </c>
      <c r="O772" s="27">
        <f>IF($A772="","",IF(COUNTIFS(NOVEDADES!$C$4:$C$1503,$A772,NOVEDADES!$M$4:$M$1503,"SÍ")&gt;0,"No","Sí"))</f>
        <v/>
      </c>
      <c r="P772" s="27">
        <f>IF(OR($A772="",$K772=""),"",IF(AND($M772="Sí",$O772="Sí"),"OTIF","Falló"))</f>
        <v/>
      </c>
    </row>
    <row r="773" ht="16" customHeight="1">
      <c r="A773" s="47" t="n"/>
      <c r="B773" s="46" t="n"/>
      <c r="C773" s="49" t="n"/>
      <c r="D773" s="49" t="n"/>
      <c r="E773" s="49" t="n"/>
      <c r="F773" s="49" t="n"/>
      <c r="G773" s="47" t="n"/>
      <c r="H773" s="50" t="n"/>
      <c r="I773" s="51" t="n"/>
      <c r="J773" s="46" t="n"/>
      <c r="K773" s="46" t="n"/>
      <c r="L773" s="23">
        <f>IF(OR($A773="",$B773=""),"",IF($K773&lt;&gt;"",$K773-$B773,TODAY()-$B773))</f>
        <v/>
      </c>
      <c r="M773" s="27">
        <f>IF(OR($A773="",$J773=""),"",IF($K773="",IF(TODAY()&gt;$J773,"Atrasado","En ruta"),IF($K773&lt;=$J773,"Sí","No")))</f>
        <v/>
      </c>
      <c r="N773" s="23">
        <f>IF($A773="","",COUNTIFS(NOVEDADES!$C$4:$C$1503,$A773))</f>
        <v/>
      </c>
      <c r="O773" s="27">
        <f>IF($A773="","",IF(COUNTIFS(NOVEDADES!$C$4:$C$1503,$A773,NOVEDADES!$M$4:$M$1503,"SÍ")&gt;0,"No","Sí"))</f>
        <v/>
      </c>
      <c r="P773" s="27">
        <f>IF(OR($A773="",$K773=""),"",IF(AND($M773="Sí",$O773="Sí"),"OTIF","Falló"))</f>
        <v/>
      </c>
    </row>
    <row r="774" ht="16" customHeight="1">
      <c r="A774" s="47" t="n"/>
      <c r="B774" s="46" t="n"/>
      <c r="C774" s="49" t="n"/>
      <c r="D774" s="49" t="n"/>
      <c r="E774" s="49" t="n"/>
      <c r="F774" s="49" t="n"/>
      <c r="G774" s="47" t="n"/>
      <c r="H774" s="50" t="n"/>
      <c r="I774" s="51" t="n"/>
      <c r="J774" s="46" t="n"/>
      <c r="K774" s="46" t="n"/>
      <c r="L774" s="23">
        <f>IF(OR($A774="",$B774=""),"",IF($K774&lt;&gt;"",$K774-$B774,TODAY()-$B774))</f>
        <v/>
      </c>
      <c r="M774" s="27">
        <f>IF(OR($A774="",$J774=""),"",IF($K774="",IF(TODAY()&gt;$J774,"Atrasado","En ruta"),IF($K774&lt;=$J774,"Sí","No")))</f>
        <v/>
      </c>
      <c r="N774" s="23">
        <f>IF($A774="","",COUNTIFS(NOVEDADES!$C$4:$C$1503,$A774))</f>
        <v/>
      </c>
      <c r="O774" s="27">
        <f>IF($A774="","",IF(COUNTIFS(NOVEDADES!$C$4:$C$1503,$A774,NOVEDADES!$M$4:$M$1503,"SÍ")&gt;0,"No","Sí"))</f>
        <v/>
      </c>
      <c r="P774" s="27">
        <f>IF(OR($A774="",$K774=""),"",IF(AND($M774="Sí",$O774="Sí"),"OTIF","Falló"))</f>
        <v/>
      </c>
    </row>
    <row r="775" ht="16" customHeight="1">
      <c r="A775" s="47" t="n"/>
      <c r="B775" s="46" t="n"/>
      <c r="C775" s="49" t="n"/>
      <c r="D775" s="49" t="n"/>
      <c r="E775" s="49" t="n"/>
      <c r="F775" s="49" t="n"/>
      <c r="G775" s="47" t="n"/>
      <c r="H775" s="50" t="n"/>
      <c r="I775" s="51" t="n"/>
      <c r="J775" s="46" t="n"/>
      <c r="K775" s="46" t="n"/>
      <c r="L775" s="23">
        <f>IF(OR($A775="",$B775=""),"",IF($K775&lt;&gt;"",$K775-$B775,TODAY()-$B775))</f>
        <v/>
      </c>
      <c r="M775" s="27">
        <f>IF(OR($A775="",$J775=""),"",IF($K775="",IF(TODAY()&gt;$J775,"Atrasado","En ruta"),IF($K775&lt;=$J775,"Sí","No")))</f>
        <v/>
      </c>
      <c r="N775" s="23">
        <f>IF($A775="","",COUNTIFS(NOVEDADES!$C$4:$C$1503,$A775))</f>
        <v/>
      </c>
      <c r="O775" s="27">
        <f>IF($A775="","",IF(COUNTIFS(NOVEDADES!$C$4:$C$1503,$A775,NOVEDADES!$M$4:$M$1503,"SÍ")&gt;0,"No","Sí"))</f>
        <v/>
      </c>
      <c r="P775" s="27">
        <f>IF(OR($A775="",$K775=""),"",IF(AND($M775="Sí",$O775="Sí"),"OTIF","Falló"))</f>
        <v/>
      </c>
    </row>
    <row r="776" ht="16" customHeight="1">
      <c r="A776" s="47" t="n"/>
      <c r="B776" s="46" t="n"/>
      <c r="C776" s="49" t="n"/>
      <c r="D776" s="49" t="n"/>
      <c r="E776" s="49" t="n"/>
      <c r="F776" s="49" t="n"/>
      <c r="G776" s="47" t="n"/>
      <c r="H776" s="50" t="n"/>
      <c r="I776" s="51" t="n"/>
      <c r="J776" s="46" t="n"/>
      <c r="K776" s="46" t="n"/>
      <c r="L776" s="23">
        <f>IF(OR($A776="",$B776=""),"",IF($K776&lt;&gt;"",$K776-$B776,TODAY()-$B776))</f>
        <v/>
      </c>
      <c r="M776" s="27">
        <f>IF(OR($A776="",$J776=""),"",IF($K776="",IF(TODAY()&gt;$J776,"Atrasado","En ruta"),IF($K776&lt;=$J776,"Sí","No")))</f>
        <v/>
      </c>
      <c r="N776" s="23">
        <f>IF($A776="","",COUNTIFS(NOVEDADES!$C$4:$C$1503,$A776))</f>
        <v/>
      </c>
      <c r="O776" s="27">
        <f>IF($A776="","",IF(COUNTIFS(NOVEDADES!$C$4:$C$1503,$A776,NOVEDADES!$M$4:$M$1503,"SÍ")&gt;0,"No","Sí"))</f>
        <v/>
      </c>
      <c r="P776" s="27">
        <f>IF(OR($A776="",$K776=""),"",IF(AND($M776="Sí",$O776="Sí"),"OTIF","Falló"))</f>
        <v/>
      </c>
    </row>
    <row r="777" ht="16" customHeight="1">
      <c r="A777" s="47" t="n"/>
      <c r="B777" s="46" t="n"/>
      <c r="C777" s="49" t="n"/>
      <c r="D777" s="49" t="n"/>
      <c r="E777" s="49" t="n"/>
      <c r="F777" s="49" t="n"/>
      <c r="G777" s="47" t="n"/>
      <c r="H777" s="50" t="n"/>
      <c r="I777" s="51" t="n"/>
      <c r="J777" s="46" t="n"/>
      <c r="K777" s="46" t="n"/>
      <c r="L777" s="23">
        <f>IF(OR($A777="",$B777=""),"",IF($K777&lt;&gt;"",$K777-$B777,TODAY()-$B777))</f>
        <v/>
      </c>
      <c r="M777" s="27">
        <f>IF(OR($A777="",$J777=""),"",IF($K777="",IF(TODAY()&gt;$J777,"Atrasado","En ruta"),IF($K777&lt;=$J777,"Sí","No")))</f>
        <v/>
      </c>
      <c r="N777" s="23">
        <f>IF($A777="","",COUNTIFS(NOVEDADES!$C$4:$C$1503,$A777))</f>
        <v/>
      </c>
      <c r="O777" s="27">
        <f>IF($A777="","",IF(COUNTIFS(NOVEDADES!$C$4:$C$1503,$A777,NOVEDADES!$M$4:$M$1503,"SÍ")&gt;0,"No","Sí"))</f>
        <v/>
      </c>
      <c r="P777" s="27">
        <f>IF(OR($A777="",$K777=""),"",IF(AND($M777="Sí",$O777="Sí"),"OTIF","Falló"))</f>
        <v/>
      </c>
    </row>
    <row r="778" ht="16" customHeight="1">
      <c r="A778" s="47" t="n"/>
      <c r="B778" s="46" t="n"/>
      <c r="C778" s="49" t="n"/>
      <c r="D778" s="49" t="n"/>
      <c r="E778" s="49" t="n"/>
      <c r="F778" s="49" t="n"/>
      <c r="G778" s="47" t="n"/>
      <c r="H778" s="50" t="n"/>
      <c r="I778" s="51" t="n"/>
      <c r="J778" s="46" t="n"/>
      <c r="K778" s="46" t="n"/>
      <c r="L778" s="23">
        <f>IF(OR($A778="",$B778=""),"",IF($K778&lt;&gt;"",$K778-$B778,TODAY()-$B778))</f>
        <v/>
      </c>
      <c r="M778" s="27">
        <f>IF(OR($A778="",$J778=""),"",IF($K778="",IF(TODAY()&gt;$J778,"Atrasado","En ruta"),IF($K778&lt;=$J778,"Sí","No")))</f>
        <v/>
      </c>
      <c r="N778" s="23">
        <f>IF($A778="","",COUNTIFS(NOVEDADES!$C$4:$C$1503,$A778))</f>
        <v/>
      </c>
      <c r="O778" s="27">
        <f>IF($A778="","",IF(COUNTIFS(NOVEDADES!$C$4:$C$1503,$A778,NOVEDADES!$M$4:$M$1503,"SÍ")&gt;0,"No","Sí"))</f>
        <v/>
      </c>
      <c r="P778" s="27">
        <f>IF(OR($A778="",$K778=""),"",IF(AND($M778="Sí",$O778="Sí"),"OTIF","Falló"))</f>
        <v/>
      </c>
    </row>
    <row r="779" ht="16" customHeight="1">
      <c r="A779" s="47" t="n"/>
      <c r="B779" s="46" t="n"/>
      <c r="C779" s="49" t="n"/>
      <c r="D779" s="49" t="n"/>
      <c r="E779" s="49" t="n"/>
      <c r="F779" s="49" t="n"/>
      <c r="G779" s="47" t="n"/>
      <c r="H779" s="50" t="n"/>
      <c r="I779" s="51" t="n"/>
      <c r="J779" s="46" t="n"/>
      <c r="K779" s="46" t="n"/>
      <c r="L779" s="23">
        <f>IF(OR($A779="",$B779=""),"",IF($K779&lt;&gt;"",$K779-$B779,TODAY()-$B779))</f>
        <v/>
      </c>
      <c r="M779" s="27">
        <f>IF(OR($A779="",$J779=""),"",IF($K779="",IF(TODAY()&gt;$J779,"Atrasado","En ruta"),IF($K779&lt;=$J779,"Sí","No")))</f>
        <v/>
      </c>
      <c r="N779" s="23">
        <f>IF($A779="","",COUNTIFS(NOVEDADES!$C$4:$C$1503,$A779))</f>
        <v/>
      </c>
      <c r="O779" s="27">
        <f>IF($A779="","",IF(COUNTIFS(NOVEDADES!$C$4:$C$1503,$A779,NOVEDADES!$M$4:$M$1503,"SÍ")&gt;0,"No","Sí"))</f>
        <v/>
      </c>
      <c r="P779" s="27">
        <f>IF(OR($A779="",$K779=""),"",IF(AND($M779="Sí",$O779="Sí"),"OTIF","Falló"))</f>
        <v/>
      </c>
    </row>
    <row r="780" ht="16" customHeight="1">
      <c r="A780" s="47" t="n"/>
      <c r="B780" s="46" t="n"/>
      <c r="C780" s="49" t="n"/>
      <c r="D780" s="49" t="n"/>
      <c r="E780" s="49" t="n"/>
      <c r="F780" s="49" t="n"/>
      <c r="G780" s="47" t="n"/>
      <c r="H780" s="50" t="n"/>
      <c r="I780" s="51" t="n"/>
      <c r="J780" s="46" t="n"/>
      <c r="K780" s="46" t="n"/>
      <c r="L780" s="23">
        <f>IF(OR($A780="",$B780=""),"",IF($K780&lt;&gt;"",$K780-$B780,TODAY()-$B780))</f>
        <v/>
      </c>
      <c r="M780" s="27">
        <f>IF(OR($A780="",$J780=""),"",IF($K780="",IF(TODAY()&gt;$J780,"Atrasado","En ruta"),IF($K780&lt;=$J780,"Sí","No")))</f>
        <v/>
      </c>
      <c r="N780" s="23">
        <f>IF($A780="","",COUNTIFS(NOVEDADES!$C$4:$C$1503,$A780))</f>
        <v/>
      </c>
      <c r="O780" s="27">
        <f>IF($A780="","",IF(COUNTIFS(NOVEDADES!$C$4:$C$1503,$A780,NOVEDADES!$M$4:$M$1503,"SÍ")&gt;0,"No","Sí"))</f>
        <v/>
      </c>
      <c r="P780" s="27">
        <f>IF(OR($A780="",$K780=""),"",IF(AND($M780="Sí",$O780="Sí"),"OTIF","Falló"))</f>
        <v/>
      </c>
    </row>
    <row r="781" ht="16" customHeight="1">
      <c r="A781" s="47" t="n"/>
      <c r="B781" s="46" t="n"/>
      <c r="C781" s="49" t="n"/>
      <c r="D781" s="49" t="n"/>
      <c r="E781" s="49" t="n"/>
      <c r="F781" s="49" t="n"/>
      <c r="G781" s="47" t="n"/>
      <c r="H781" s="50" t="n"/>
      <c r="I781" s="51" t="n"/>
      <c r="J781" s="46" t="n"/>
      <c r="K781" s="46" t="n"/>
      <c r="L781" s="23">
        <f>IF(OR($A781="",$B781=""),"",IF($K781&lt;&gt;"",$K781-$B781,TODAY()-$B781))</f>
        <v/>
      </c>
      <c r="M781" s="27">
        <f>IF(OR($A781="",$J781=""),"",IF($K781="",IF(TODAY()&gt;$J781,"Atrasado","En ruta"),IF($K781&lt;=$J781,"Sí","No")))</f>
        <v/>
      </c>
      <c r="N781" s="23">
        <f>IF($A781="","",COUNTIFS(NOVEDADES!$C$4:$C$1503,$A781))</f>
        <v/>
      </c>
      <c r="O781" s="27">
        <f>IF($A781="","",IF(COUNTIFS(NOVEDADES!$C$4:$C$1503,$A781,NOVEDADES!$M$4:$M$1503,"SÍ")&gt;0,"No","Sí"))</f>
        <v/>
      </c>
      <c r="P781" s="27">
        <f>IF(OR($A781="",$K781=""),"",IF(AND($M781="Sí",$O781="Sí"),"OTIF","Falló"))</f>
        <v/>
      </c>
    </row>
    <row r="782" ht="16" customHeight="1">
      <c r="A782" s="47" t="n"/>
      <c r="B782" s="46" t="n"/>
      <c r="C782" s="49" t="n"/>
      <c r="D782" s="49" t="n"/>
      <c r="E782" s="49" t="n"/>
      <c r="F782" s="49" t="n"/>
      <c r="G782" s="47" t="n"/>
      <c r="H782" s="50" t="n"/>
      <c r="I782" s="51" t="n"/>
      <c r="J782" s="46" t="n"/>
      <c r="K782" s="46" t="n"/>
      <c r="L782" s="23">
        <f>IF(OR($A782="",$B782=""),"",IF($K782&lt;&gt;"",$K782-$B782,TODAY()-$B782))</f>
        <v/>
      </c>
      <c r="M782" s="27">
        <f>IF(OR($A782="",$J782=""),"",IF($K782="",IF(TODAY()&gt;$J782,"Atrasado","En ruta"),IF($K782&lt;=$J782,"Sí","No")))</f>
        <v/>
      </c>
      <c r="N782" s="23">
        <f>IF($A782="","",COUNTIFS(NOVEDADES!$C$4:$C$1503,$A782))</f>
        <v/>
      </c>
      <c r="O782" s="27">
        <f>IF($A782="","",IF(COUNTIFS(NOVEDADES!$C$4:$C$1503,$A782,NOVEDADES!$M$4:$M$1503,"SÍ")&gt;0,"No","Sí"))</f>
        <v/>
      </c>
      <c r="P782" s="27">
        <f>IF(OR($A782="",$K782=""),"",IF(AND($M782="Sí",$O782="Sí"),"OTIF","Falló"))</f>
        <v/>
      </c>
    </row>
    <row r="783" ht="16" customHeight="1">
      <c r="A783" s="47" t="n"/>
      <c r="B783" s="46" t="n"/>
      <c r="C783" s="49" t="n"/>
      <c r="D783" s="49" t="n"/>
      <c r="E783" s="49" t="n"/>
      <c r="F783" s="49" t="n"/>
      <c r="G783" s="47" t="n"/>
      <c r="H783" s="50" t="n"/>
      <c r="I783" s="51" t="n"/>
      <c r="J783" s="46" t="n"/>
      <c r="K783" s="46" t="n"/>
      <c r="L783" s="23">
        <f>IF(OR($A783="",$B783=""),"",IF($K783&lt;&gt;"",$K783-$B783,TODAY()-$B783))</f>
        <v/>
      </c>
      <c r="M783" s="27">
        <f>IF(OR($A783="",$J783=""),"",IF($K783="",IF(TODAY()&gt;$J783,"Atrasado","En ruta"),IF($K783&lt;=$J783,"Sí","No")))</f>
        <v/>
      </c>
      <c r="N783" s="23">
        <f>IF($A783="","",COUNTIFS(NOVEDADES!$C$4:$C$1503,$A783))</f>
        <v/>
      </c>
      <c r="O783" s="27">
        <f>IF($A783="","",IF(COUNTIFS(NOVEDADES!$C$4:$C$1503,$A783,NOVEDADES!$M$4:$M$1503,"SÍ")&gt;0,"No","Sí"))</f>
        <v/>
      </c>
      <c r="P783" s="27">
        <f>IF(OR($A783="",$K783=""),"",IF(AND($M783="Sí",$O783="Sí"),"OTIF","Falló"))</f>
        <v/>
      </c>
    </row>
    <row r="784" ht="16" customHeight="1">
      <c r="A784" s="47" t="n"/>
      <c r="B784" s="46" t="n"/>
      <c r="C784" s="49" t="n"/>
      <c r="D784" s="49" t="n"/>
      <c r="E784" s="49" t="n"/>
      <c r="F784" s="49" t="n"/>
      <c r="G784" s="47" t="n"/>
      <c r="H784" s="50" t="n"/>
      <c r="I784" s="51" t="n"/>
      <c r="J784" s="46" t="n"/>
      <c r="K784" s="46" t="n"/>
      <c r="L784" s="23">
        <f>IF(OR($A784="",$B784=""),"",IF($K784&lt;&gt;"",$K784-$B784,TODAY()-$B784))</f>
        <v/>
      </c>
      <c r="M784" s="27">
        <f>IF(OR($A784="",$J784=""),"",IF($K784="",IF(TODAY()&gt;$J784,"Atrasado","En ruta"),IF($K784&lt;=$J784,"Sí","No")))</f>
        <v/>
      </c>
      <c r="N784" s="23">
        <f>IF($A784="","",COUNTIFS(NOVEDADES!$C$4:$C$1503,$A784))</f>
        <v/>
      </c>
      <c r="O784" s="27">
        <f>IF($A784="","",IF(COUNTIFS(NOVEDADES!$C$4:$C$1503,$A784,NOVEDADES!$M$4:$M$1503,"SÍ")&gt;0,"No","Sí"))</f>
        <v/>
      </c>
      <c r="P784" s="27">
        <f>IF(OR($A784="",$K784=""),"",IF(AND($M784="Sí",$O784="Sí"),"OTIF","Falló"))</f>
        <v/>
      </c>
    </row>
    <row r="785" ht="16" customHeight="1">
      <c r="A785" s="47" t="n"/>
      <c r="B785" s="46" t="n"/>
      <c r="C785" s="49" t="n"/>
      <c r="D785" s="49" t="n"/>
      <c r="E785" s="49" t="n"/>
      <c r="F785" s="49" t="n"/>
      <c r="G785" s="47" t="n"/>
      <c r="H785" s="50" t="n"/>
      <c r="I785" s="51" t="n"/>
      <c r="J785" s="46" t="n"/>
      <c r="K785" s="46" t="n"/>
      <c r="L785" s="23">
        <f>IF(OR($A785="",$B785=""),"",IF($K785&lt;&gt;"",$K785-$B785,TODAY()-$B785))</f>
        <v/>
      </c>
      <c r="M785" s="27">
        <f>IF(OR($A785="",$J785=""),"",IF($K785="",IF(TODAY()&gt;$J785,"Atrasado","En ruta"),IF($K785&lt;=$J785,"Sí","No")))</f>
        <v/>
      </c>
      <c r="N785" s="23">
        <f>IF($A785="","",COUNTIFS(NOVEDADES!$C$4:$C$1503,$A785))</f>
        <v/>
      </c>
      <c r="O785" s="27">
        <f>IF($A785="","",IF(COUNTIFS(NOVEDADES!$C$4:$C$1503,$A785,NOVEDADES!$M$4:$M$1503,"SÍ")&gt;0,"No","Sí"))</f>
        <v/>
      </c>
      <c r="P785" s="27">
        <f>IF(OR($A785="",$K785=""),"",IF(AND($M785="Sí",$O785="Sí"),"OTIF","Falló"))</f>
        <v/>
      </c>
    </row>
    <row r="786" ht="16" customHeight="1">
      <c r="A786" s="47" t="n"/>
      <c r="B786" s="46" t="n"/>
      <c r="C786" s="49" t="n"/>
      <c r="D786" s="49" t="n"/>
      <c r="E786" s="49" t="n"/>
      <c r="F786" s="49" t="n"/>
      <c r="G786" s="47" t="n"/>
      <c r="H786" s="50" t="n"/>
      <c r="I786" s="51" t="n"/>
      <c r="J786" s="46" t="n"/>
      <c r="K786" s="46" t="n"/>
      <c r="L786" s="23">
        <f>IF(OR($A786="",$B786=""),"",IF($K786&lt;&gt;"",$K786-$B786,TODAY()-$B786))</f>
        <v/>
      </c>
      <c r="M786" s="27">
        <f>IF(OR($A786="",$J786=""),"",IF($K786="",IF(TODAY()&gt;$J786,"Atrasado","En ruta"),IF($K786&lt;=$J786,"Sí","No")))</f>
        <v/>
      </c>
      <c r="N786" s="23">
        <f>IF($A786="","",COUNTIFS(NOVEDADES!$C$4:$C$1503,$A786))</f>
        <v/>
      </c>
      <c r="O786" s="27">
        <f>IF($A786="","",IF(COUNTIFS(NOVEDADES!$C$4:$C$1503,$A786,NOVEDADES!$M$4:$M$1503,"SÍ")&gt;0,"No","Sí"))</f>
        <v/>
      </c>
      <c r="P786" s="27">
        <f>IF(OR($A786="",$K786=""),"",IF(AND($M786="Sí",$O786="Sí"),"OTIF","Falló"))</f>
        <v/>
      </c>
    </row>
    <row r="787" ht="16" customHeight="1">
      <c r="A787" s="47" t="n"/>
      <c r="B787" s="46" t="n"/>
      <c r="C787" s="49" t="n"/>
      <c r="D787" s="49" t="n"/>
      <c r="E787" s="49" t="n"/>
      <c r="F787" s="49" t="n"/>
      <c r="G787" s="47" t="n"/>
      <c r="H787" s="50" t="n"/>
      <c r="I787" s="51" t="n"/>
      <c r="J787" s="46" t="n"/>
      <c r="K787" s="46" t="n"/>
      <c r="L787" s="23">
        <f>IF(OR($A787="",$B787=""),"",IF($K787&lt;&gt;"",$K787-$B787,TODAY()-$B787))</f>
        <v/>
      </c>
      <c r="M787" s="27">
        <f>IF(OR($A787="",$J787=""),"",IF($K787="",IF(TODAY()&gt;$J787,"Atrasado","En ruta"),IF($K787&lt;=$J787,"Sí","No")))</f>
        <v/>
      </c>
      <c r="N787" s="23">
        <f>IF($A787="","",COUNTIFS(NOVEDADES!$C$4:$C$1503,$A787))</f>
        <v/>
      </c>
      <c r="O787" s="27">
        <f>IF($A787="","",IF(COUNTIFS(NOVEDADES!$C$4:$C$1503,$A787,NOVEDADES!$M$4:$M$1503,"SÍ")&gt;0,"No","Sí"))</f>
        <v/>
      </c>
      <c r="P787" s="27">
        <f>IF(OR($A787="",$K787=""),"",IF(AND($M787="Sí",$O787="Sí"),"OTIF","Falló"))</f>
        <v/>
      </c>
    </row>
    <row r="788" ht="16" customHeight="1">
      <c r="A788" s="47" t="n"/>
      <c r="B788" s="46" t="n"/>
      <c r="C788" s="49" t="n"/>
      <c r="D788" s="49" t="n"/>
      <c r="E788" s="49" t="n"/>
      <c r="F788" s="49" t="n"/>
      <c r="G788" s="47" t="n"/>
      <c r="H788" s="50" t="n"/>
      <c r="I788" s="51" t="n"/>
      <c r="J788" s="46" t="n"/>
      <c r="K788" s="46" t="n"/>
      <c r="L788" s="23">
        <f>IF(OR($A788="",$B788=""),"",IF($K788&lt;&gt;"",$K788-$B788,TODAY()-$B788))</f>
        <v/>
      </c>
      <c r="M788" s="27">
        <f>IF(OR($A788="",$J788=""),"",IF($K788="",IF(TODAY()&gt;$J788,"Atrasado","En ruta"),IF($K788&lt;=$J788,"Sí","No")))</f>
        <v/>
      </c>
      <c r="N788" s="23">
        <f>IF($A788="","",COUNTIFS(NOVEDADES!$C$4:$C$1503,$A788))</f>
        <v/>
      </c>
      <c r="O788" s="27">
        <f>IF($A788="","",IF(COUNTIFS(NOVEDADES!$C$4:$C$1503,$A788,NOVEDADES!$M$4:$M$1503,"SÍ")&gt;0,"No","Sí"))</f>
        <v/>
      </c>
      <c r="P788" s="27">
        <f>IF(OR($A788="",$K788=""),"",IF(AND($M788="Sí",$O788="Sí"),"OTIF","Falló"))</f>
        <v/>
      </c>
    </row>
    <row r="789" ht="16" customHeight="1">
      <c r="A789" s="47" t="n"/>
      <c r="B789" s="46" t="n"/>
      <c r="C789" s="49" t="n"/>
      <c r="D789" s="49" t="n"/>
      <c r="E789" s="49" t="n"/>
      <c r="F789" s="49" t="n"/>
      <c r="G789" s="47" t="n"/>
      <c r="H789" s="50" t="n"/>
      <c r="I789" s="51" t="n"/>
      <c r="J789" s="46" t="n"/>
      <c r="K789" s="46" t="n"/>
      <c r="L789" s="23">
        <f>IF(OR($A789="",$B789=""),"",IF($K789&lt;&gt;"",$K789-$B789,TODAY()-$B789))</f>
        <v/>
      </c>
      <c r="M789" s="27">
        <f>IF(OR($A789="",$J789=""),"",IF($K789="",IF(TODAY()&gt;$J789,"Atrasado","En ruta"),IF($K789&lt;=$J789,"Sí","No")))</f>
        <v/>
      </c>
      <c r="N789" s="23">
        <f>IF($A789="","",COUNTIFS(NOVEDADES!$C$4:$C$1503,$A789))</f>
        <v/>
      </c>
      <c r="O789" s="27">
        <f>IF($A789="","",IF(COUNTIFS(NOVEDADES!$C$4:$C$1503,$A789,NOVEDADES!$M$4:$M$1503,"SÍ")&gt;0,"No","Sí"))</f>
        <v/>
      </c>
      <c r="P789" s="27">
        <f>IF(OR($A789="",$K789=""),"",IF(AND($M789="Sí",$O789="Sí"),"OTIF","Falló"))</f>
        <v/>
      </c>
    </row>
    <row r="790" ht="16" customHeight="1">
      <c r="A790" s="47" t="n"/>
      <c r="B790" s="46" t="n"/>
      <c r="C790" s="49" t="n"/>
      <c r="D790" s="49" t="n"/>
      <c r="E790" s="49" t="n"/>
      <c r="F790" s="49" t="n"/>
      <c r="G790" s="47" t="n"/>
      <c r="H790" s="50" t="n"/>
      <c r="I790" s="51" t="n"/>
      <c r="J790" s="46" t="n"/>
      <c r="K790" s="46" t="n"/>
      <c r="L790" s="23">
        <f>IF(OR($A790="",$B790=""),"",IF($K790&lt;&gt;"",$K790-$B790,TODAY()-$B790))</f>
        <v/>
      </c>
      <c r="M790" s="27">
        <f>IF(OR($A790="",$J790=""),"",IF($K790="",IF(TODAY()&gt;$J790,"Atrasado","En ruta"),IF($K790&lt;=$J790,"Sí","No")))</f>
        <v/>
      </c>
      <c r="N790" s="23">
        <f>IF($A790="","",COUNTIFS(NOVEDADES!$C$4:$C$1503,$A790))</f>
        <v/>
      </c>
      <c r="O790" s="27">
        <f>IF($A790="","",IF(COUNTIFS(NOVEDADES!$C$4:$C$1503,$A790,NOVEDADES!$M$4:$M$1503,"SÍ")&gt;0,"No","Sí"))</f>
        <v/>
      </c>
      <c r="P790" s="27">
        <f>IF(OR($A790="",$K790=""),"",IF(AND($M790="Sí",$O790="Sí"),"OTIF","Falló"))</f>
        <v/>
      </c>
    </row>
    <row r="791" ht="16" customHeight="1">
      <c r="A791" s="47" t="n"/>
      <c r="B791" s="46" t="n"/>
      <c r="C791" s="49" t="n"/>
      <c r="D791" s="49" t="n"/>
      <c r="E791" s="49" t="n"/>
      <c r="F791" s="49" t="n"/>
      <c r="G791" s="47" t="n"/>
      <c r="H791" s="50" t="n"/>
      <c r="I791" s="51" t="n"/>
      <c r="J791" s="46" t="n"/>
      <c r="K791" s="46" t="n"/>
      <c r="L791" s="23">
        <f>IF(OR($A791="",$B791=""),"",IF($K791&lt;&gt;"",$K791-$B791,TODAY()-$B791))</f>
        <v/>
      </c>
      <c r="M791" s="27">
        <f>IF(OR($A791="",$J791=""),"",IF($K791="",IF(TODAY()&gt;$J791,"Atrasado","En ruta"),IF($K791&lt;=$J791,"Sí","No")))</f>
        <v/>
      </c>
      <c r="N791" s="23">
        <f>IF($A791="","",COUNTIFS(NOVEDADES!$C$4:$C$1503,$A791))</f>
        <v/>
      </c>
      <c r="O791" s="27">
        <f>IF($A791="","",IF(COUNTIFS(NOVEDADES!$C$4:$C$1503,$A791,NOVEDADES!$M$4:$M$1503,"SÍ")&gt;0,"No","Sí"))</f>
        <v/>
      </c>
      <c r="P791" s="27">
        <f>IF(OR($A791="",$K791=""),"",IF(AND($M791="Sí",$O791="Sí"),"OTIF","Falló"))</f>
        <v/>
      </c>
    </row>
    <row r="792" ht="16" customHeight="1">
      <c r="A792" s="47" t="n"/>
      <c r="B792" s="46" t="n"/>
      <c r="C792" s="49" t="n"/>
      <c r="D792" s="49" t="n"/>
      <c r="E792" s="49" t="n"/>
      <c r="F792" s="49" t="n"/>
      <c r="G792" s="47" t="n"/>
      <c r="H792" s="50" t="n"/>
      <c r="I792" s="51" t="n"/>
      <c r="J792" s="46" t="n"/>
      <c r="K792" s="46" t="n"/>
      <c r="L792" s="23">
        <f>IF(OR($A792="",$B792=""),"",IF($K792&lt;&gt;"",$K792-$B792,TODAY()-$B792))</f>
        <v/>
      </c>
      <c r="M792" s="27">
        <f>IF(OR($A792="",$J792=""),"",IF($K792="",IF(TODAY()&gt;$J792,"Atrasado","En ruta"),IF($K792&lt;=$J792,"Sí","No")))</f>
        <v/>
      </c>
      <c r="N792" s="23">
        <f>IF($A792="","",COUNTIFS(NOVEDADES!$C$4:$C$1503,$A792))</f>
        <v/>
      </c>
      <c r="O792" s="27">
        <f>IF($A792="","",IF(COUNTIFS(NOVEDADES!$C$4:$C$1503,$A792,NOVEDADES!$M$4:$M$1503,"SÍ")&gt;0,"No","Sí"))</f>
        <v/>
      </c>
      <c r="P792" s="27">
        <f>IF(OR($A792="",$K792=""),"",IF(AND($M792="Sí",$O792="Sí"),"OTIF","Falló"))</f>
        <v/>
      </c>
    </row>
    <row r="793" ht="16" customHeight="1">
      <c r="A793" s="47" t="n"/>
      <c r="B793" s="46" t="n"/>
      <c r="C793" s="49" t="n"/>
      <c r="D793" s="49" t="n"/>
      <c r="E793" s="49" t="n"/>
      <c r="F793" s="49" t="n"/>
      <c r="G793" s="47" t="n"/>
      <c r="H793" s="50" t="n"/>
      <c r="I793" s="51" t="n"/>
      <c r="J793" s="46" t="n"/>
      <c r="K793" s="46" t="n"/>
      <c r="L793" s="23">
        <f>IF(OR($A793="",$B793=""),"",IF($K793&lt;&gt;"",$K793-$B793,TODAY()-$B793))</f>
        <v/>
      </c>
      <c r="M793" s="27">
        <f>IF(OR($A793="",$J793=""),"",IF($K793="",IF(TODAY()&gt;$J793,"Atrasado","En ruta"),IF($K793&lt;=$J793,"Sí","No")))</f>
        <v/>
      </c>
      <c r="N793" s="23">
        <f>IF($A793="","",COUNTIFS(NOVEDADES!$C$4:$C$1503,$A793))</f>
        <v/>
      </c>
      <c r="O793" s="27">
        <f>IF($A793="","",IF(COUNTIFS(NOVEDADES!$C$4:$C$1503,$A793,NOVEDADES!$M$4:$M$1503,"SÍ")&gt;0,"No","Sí"))</f>
        <v/>
      </c>
      <c r="P793" s="27">
        <f>IF(OR($A793="",$K793=""),"",IF(AND($M793="Sí",$O793="Sí"),"OTIF","Falló"))</f>
        <v/>
      </c>
    </row>
    <row r="794" ht="16" customHeight="1">
      <c r="A794" s="47" t="n"/>
      <c r="B794" s="46" t="n"/>
      <c r="C794" s="49" t="n"/>
      <c r="D794" s="49" t="n"/>
      <c r="E794" s="49" t="n"/>
      <c r="F794" s="49" t="n"/>
      <c r="G794" s="47" t="n"/>
      <c r="H794" s="50" t="n"/>
      <c r="I794" s="51" t="n"/>
      <c r="J794" s="46" t="n"/>
      <c r="K794" s="46" t="n"/>
      <c r="L794" s="23">
        <f>IF(OR($A794="",$B794=""),"",IF($K794&lt;&gt;"",$K794-$B794,TODAY()-$B794))</f>
        <v/>
      </c>
      <c r="M794" s="27">
        <f>IF(OR($A794="",$J794=""),"",IF($K794="",IF(TODAY()&gt;$J794,"Atrasado","En ruta"),IF($K794&lt;=$J794,"Sí","No")))</f>
        <v/>
      </c>
      <c r="N794" s="23">
        <f>IF($A794="","",COUNTIFS(NOVEDADES!$C$4:$C$1503,$A794))</f>
        <v/>
      </c>
      <c r="O794" s="27">
        <f>IF($A794="","",IF(COUNTIFS(NOVEDADES!$C$4:$C$1503,$A794,NOVEDADES!$M$4:$M$1503,"SÍ")&gt;0,"No","Sí"))</f>
        <v/>
      </c>
      <c r="P794" s="27">
        <f>IF(OR($A794="",$K794=""),"",IF(AND($M794="Sí",$O794="Sí"),"OTIF","Falló"))</f>
        <v/>
      </c>
    </row>
    <row r="795" ht="16" customHeight="1">
      <c r="A795" s="47" t="n"/>
      <c r="B795" s="46" t="n"/>
      <c r="C795" s="49" t="n"/>
      <c r="D795" s="49" t="n"/>
      <c r="E795" s="49" t="n"/>
      <c r="F795" s="49" t="n"/>
      <c r="G795" s="47" t="n"/>
      <c r="H795" s="50" t="n"/>
      <c r="I795" s="51" t="n"/>
      <c r="J795" s="46" t="n"/>
      <c r="K795" s="46" t="n"/>
      <c r="L795" s="23">
        <f>IF(OR($A795="",$B795=""),"",IF($K795&lt;&gt;"",$K795-$B795,TODAY()-$B795))</f>
        <v/>
      </c>
      <c r="M795" s="27">
        <f>IF(OR($A795="",$J795=""),"",IF($K795="",IF(TODAY()&gt;$J795,"Atrasado","En ruta"),IF($K795&lt;=$J795,"Sí","No")))</f>
        <v/>
      </c>
      <c r="N795" s="23">
        <f>IF($A795="","",COUNTIFS(NOVEDADES!$C$4:$C$1503,$A795))</f>
        <v/>
      </c>
      <c r="O795" s="27">
        <f>IF($A795="","",IF(COUNTIFS(NOVEDADES!$C$4:$C$1503,$A795,NOVEDADES!$M$4:$M$1503,"SÍ")&gt;0,"No","Sí"))</f>
        <v/>
      </c>
      <c r="P795" s="27">
        <f>IF(OR($A795="",$K795=""),"",IF(AND($M795="Sí",$O795="Sí"),"OTIF","Falló"))</f>
        <v/>
      </c>
    </row>
    <row r="796" ht="16" customHeight="1">
      <c r="A796" s="47" t="n"/>
      <c r="B796" s="46" t="n"/>
      <c r="C796" s="49" t="n"/>
      <c r="D796" s="49" t="n"/>
      <c r="E796" s="49" t="n"/>
      <c r="F796" s="49" t="n"/>
      <c r="G796" s="47" t="n"/>
      <c r="H796" s="50" t="n"/>
      <c r="I796" s="51" t="n"/>
      <c r="J796" s="46" t="n"/>
      <c r="K796" s="46" t="n"/>
      <c r="L796" s="23">
        <f>IF(OR($A796="",$B796=""),"",IF($K796&lt;&gt;"",$K796-$B796,TODAY()-$B796))</f>
        <v/>
      </c>
      <c r="M796" s="27">
        <f>IF(OR($A796="",$J796=""),"",IF($K796="",IF(TODAY()&gt;$J796,"Atrasado","En ruta"),IF($K796&lt;=$J796,"Sí","No")))</f>
        <v/>
      </c>
      <c r="N796" s="23">
        <f>IF($A796="","",COUNTIFS(NOVEDADES!$C$4:$C$1503,$A796))</f>
        <v/>
      </c>
      <c r="O796" s="27">
        <f>IF($A796="","",IF(COUNTIFS(NOVEDADES!$C$4:$C$1503,$A796,NOVEDADES!$M$4:$M$1503,"SÍ")&gt;0,"No","Sí"))</f>
        <v/>
      </c>
      <c r="P796" s="27">
        <f>IF(OR($A796="",$K796=""),"",IF(AND($M796="Sí",$O796="Sí"),"OTIF","Falló"))</f>
        <v/>
      </c>
    </row>
    <row r="797" ht="16" customHeight="1">
      <c r="A797" s="47" t="n"/>
      <c r="B797" s="46" t="n"/>
      <c r="C797" s="49" t="n"/>
      <c r="D797" s="49" t="n"/>
      <c r="E797" s="49" t="n"/>
      <c r="F797" s="49" t="n"/>
      <c r="G797" s="47" t="n"/>
      <c r="H797" s="50" t="n"/>
      <c r="I797" s="51" t="n"/>
      <c r="J797" s="46" t="n"/>
      <c r="K797" s="46" t="n"/>
      <c r="L797" s="23">
        <f>IF(OR($A797="",$B797=""),"",IF($K797&lt;&gt;"",$K797-$B797,TODAY()-$B797))</f>
        <v/>
      </c>
      <c r="M797" s="27">
        <f>IF(OR($A797="",$J797=""),"",IF($K797="",IF(TODAY()&gt;$J797,"Atrasado","En ruta"),IF($K797&lt;=$J797,"Sí","No")))</f>
        <v/>
      </c>
      <c r="N797" s="23">
        <f>IF($A797="","",COUNTIFS(NOVEDADES!$C$4:$C$1503,$A797))</f>
        <v/>
      </c>
      <c r="O797" s="27">
        <f>IF($A797="","",IF(COUNTIFS(NOVEDADES!$C$4:$C$1503,$A797,NOVEDADES!$M$4:$M$1503,"SÍ")&gt;0,"No","Sí"))</f>
        <v/>
      </c>
      <c r="P797" s="27">
        <f>IF(OR($A797="",$K797=""),"",IF(AND($M797="Sí",$O797="Sí"),"OTIF","Falló"))</f>
        <v/>
      </c>
    </row>
    <row r="798" ht="16" customHeight="1">
      <c r="A798" s="47" t="n"/>
      <c r="B798" s="46" t="n"/>
      <c r="C798" s="49" t="n"/>
      <c r="D798" s="49" t="n"/>
      <c r="E798" s="49" t="n"/>
      <c r="F798" s="49" t="n"/>
      <c r="G798" s="47" t="n"/>
      <c r="H798" s="50" t="n"/>
      <c r="I798" s="51" t="n"/>
      <c r="J798" s="46" t="n"/>
      <c r="K798" s="46" t="n"/>
      <c r="L798" s="23">
        <f>IF(OR($A798="",$B798=""),"",IF($K798&lt;&gt;"",$K798-$B798,TODAY()-$B798))</f>
        <v/>
      </c>
      <c r="M798" s="27">
        <f>IF(OR($A798="",$J798=""),"",IF($K798="",IF(TODAY()&gt;$J798,"Atrasado","En ruta"),IF($K798&lt;=$J798,"Sí","No")))</f>
        <v/>
      </c>
      <c r="N798" s="23">
        <f>IF($A798="","",COUNTIFS(NOVEDADES!$C$4:$C$1503,$A798))</f>
        <v/>
      </c>
      <c r="O798" s="27">
        <f>IF($A798="","",IF(COUNTIFS(NOVEDADES!$C$4:$C$1503,$A798,NOVEDADES!$M$4:$M$1503,"SÍ")&gt;0,"No","Sí"))</f>
        <v/>
      </c>
      <c r="P798" s="27">
        <f>IF(OR($A798="",$K798=""),"",IF(AND($M798="Sí",$O798="Sí"),"OTIF","Falló"))</f>
        <v/>
      </c>
    </row>
    <row r="799" ht="16" customHeight="1">
      <c r="A799" s="47" t="n"/>
      <c r="B799" s="46" t="n"/>
      <c r="C799" s="49" t="n"/>
      <c r="D799" s="49" t="n"/>
      <c r="E799" s="49" t="n"/>
      <c r="F799" s="49" t="n"/>
      <c r="G799" s="47" t="n"/>
      <c r="H799" s="50" t="n"/>
      <c r="I799" s="51" t="n"/>
      <c r="J799" s="46" t="n"/>
      <c r="K799" s="46" t="n"/>
      <c r="L799" s="23">
        <f>IF(OR($A799="",$B799=""),"",IF($K799&lt;&gt;"",$K799-$B799,TODAY()-$B799))</f>
        <v/>
      </c>
      <c r="M799" s="27">
        <f>IF(OR($A799="",$J799=""),"",IF($K799="",IF(TODAY()&gt;$J799,"Atrasado","En ruta"),IF($K799&lt;=$J799,"Sí","No")))</f>
        <v/>
      </c>
      <c r="N799" s="23">
        <f>IF($A799="","",COUNTIFS(NOVEDADES!$C$4:$C$1503,$A799))</f>
        <v/>
      </c>
      <c r="O799" s="27">
        <f>IF($A799="","",IF(COUNTIFS(NOVEDADES!$C$4:$C$1503,$A799,NOVEDADES!$M$4:$M$1503,"SÍ")&gt;0,"No","Sí"))</f>
        <v/>
      </c>
      <c r="P799" s="27">
        <f>IF(OR($A799="",$K799=""),"",IF(AND($M799="Sí",$O799="Sí"),"OTIF","Falló"))</f>
        <v/>
      </c>
    </row>
    <row r="800" ht="16" customHeight="1">
      <c r="A800" s="47" t="n"/>
      <c r="B800" s="46" t="n"/>
      <c r="C800" s="49" t="n"/>
      <c r="D800" s="49" t="n"/>
      <c r="E800" s="49" t="n"/>
      <c r="F800" s="49" t="n"/>
      <c r="G800" s="47" t="n"/>
      <c r="H800" s="50" t="n"/>
      <c r="I800" s="51" t="n"/>
      <c r="J800" s="46" t="n"/>
      <c r="K800" s="46" t="n"/>
      <c r="L800" s="23">
        <f>IF(OR($A800="",$B800=""),"",IF($K800&lt;&gt;"",$K800-$B800,TODAY()-$B800))</f>
        <v/>
      </c>
      <c r="M800" s="27">
        <f>IF(OR($A800="",$J800=""),"",IF($K800="",IF(TODAY()&gt;$J800,"Atrasado","En ruta"),IF($K800&lt;=$J800,"Sí","No")))</f>
        <v/>
      </c>
      <c r="N800" s="23">
        <f>IF($A800="","",COUNTIFS(NOVEDADES!$C$4:$C$1503,$A800))</f>
        <v/>
      </c>
      <c r="O800" s="27">
        <f>IF($A800="","",IF(COUNTIFS(NOVEDADES!$C$4:$C$1503,$A800,NOVEDADES!$M$4:$M$1503,"SÍ")&gt;0,"No","Sí"))</f>
        <v/>
      </c>
      <c r="P800" s="27">
        <f>IF(OR($A800="",$K800=""),"",IF(AND($M800="Sí",$O800="Sí"),"OTIF","Falló"))</f>
        <v/>
      </c>
    </row>
    <row r="801" ht="16" customHeight="1">
      <c r="A801" s="47" t="n"/>
      <c r="B801" s="46" t="n"/>
      <c r="C801" s="49" t="n"/>
      <c r="D801" s="49" t="n"/>
      <c r="E801" s="49" t="n"/>
      <c r="F801" s="49" t="n"/>
      <c r="G801" s="47" t="n"/>
      <c r="H801" s="50" t="n"/>
      <c r="I801" s="51" t="n"/>
      <c r="J801" s="46" t="n"/>
      <c r="K801" s="46" t="n"/>
      <c r="L801" s="23">
        <f>IF(OR($A801="",$B801=""),"",IF($K801&lt;&gt;"",$K801-$B801,TODAY()-$B801))</f>
        <v/>
      </c>
      <c r="M801" s="27">
        <f>IF(OR($A801="",$J801=""),"",IF($K801="",IF(TODAY()&gt;$J801,"Atrasado","En ruta"),IF($K801&lt;=$J801,"Sí","No")))</f>
        <v/>
      </c>
      <c r="N801" s="23">
        <f>IF($A801="","",COUNTIFS(NOVEDADES!$C$4:$C$1503,$A801))</f>
        <v/>
      </c>
      <c r="O801" s="27">
        <f>IF($A801="","",IF(COUNTIFS(NOVEDADES!$C$4:$C$1503,$A801,NOVEDADES!$M$4:$M$1503,"SÍ")&gt;0,"No","Sí"))</f>
        <v/>
      </c>
      <c r="P801" s="27">
        <f>IF(OR($A801="",$K801=""),"",IF(AND($M801="Sí",$O801="Sí"),"OTIF","Falló"))</f>
        <v/>
      </c>
    </row>
    <row r="802" ht="16" customHeight="1">
      <c r="A802" s="47" t="n"/>
      <c r="B802" s="46" t="n"/>
      <c r="C802" s="49" t="n"/>
      <c r="D802" s="49" t="n"/>
      <c r="E802" s="49" t="n"/>
      <c r="F802" s="49" t="n"/>
      <c r="G802" s="47" t="n"/>
      <c r="H802" s="50" t="n"/>
      <c r="I802" s="51" t="n"/>
      <c r="J802" s="46" t="n"/>
      <c r="K802" s="46" t="n"/>
      <c r="L802" s="23">
        <f>IF(OR($A802="",$B802=""),"",IF($K802&lt;&gt;"",$K802-$B802,TODAY()-$B802))</f>
        <v/>
      </c>
      <c r="M802" s="27">
        <f>IF(OR($A802="",$J802=""),"",IF($K802="",IF(TODAY()&gt;$J802,"Atrasado","En ruta"),IF($K802&lt;=$J802,"Sí","No")))</f>
        <v/>
      </c>
      <c r="N802" s="23">
        <f>IF($A802="","",COUNTIFS(NOVEDADES!$C$4:$C$1503,$A802))</f>
        <v/>
      </c>
      <c r="O802" s="27">
        <f>IF($A802="","",IF(COUNTIFS(NOVEDADES!$C$4:$C$1503,$A802,NOVEDADES!$M$4:$M$1503,"SÍ")&gt;0,"No","Sí"))</f>
        <v/>
      </c>
      <c r="P802" s="27">
        <f>IF(OR($A802="",$K802=""),"",IF(AND($M802="Sí",$O802="Sí"),"OTIF","Falló"))</f>
        <v/>
      </c>
    </row>
    <row r="803" ht="16" customHeight="1">
      <c r="A803" s="47" t="n"/>
      <c r="B803" s="46" t="n"/>
      <c r="C803" s="49" t="n"/>
      <c r="D803" s="49" t="n"/>
      <c r="E803" s="49" t="n"/>
      <c r="F803" s="49" t="n"/>
      <c r="G803" s="47" t="n"/>
      <c r="H803" s="50" t="n"/>
      <c r="I803" s="51" t="n"/>
      <c r="J803" s="46" t="n"/>
      <c r="K803" s="46" t="n"/>
      <c r="L803" s="23">
        <f>IF(OR($A803="",$B803=""),"",IF($K803&lt;&gt;"",$K803-$B803,TODAY()-$B803))</f>
        <v/>
      </c>
      <c r="M803" s="27">
        <f>IF(OR($A803="",$J803=""),"",IF($K803="",IF(TODAY()&gt;$J803,"Atrasado","En ruta"),IF($K803&lt;=$J803,"Sí","No")))</f>
        <v/>
      </c>
      <c r="N803" s="23">
        <f>IF($A803="","",COUNTIFS(NOVEDADES!$C$4:$C$1503,$A803))</f>
        <v/>
      </c>
      <c r="O803" s="27">
        <f>IF($A803="","",IF(COUNTIFS(NOVEDADES!$C$4:$C$1503,$A803,NOVEDADES!$M$4:$M$1503,"SÍ")&gt;0,"No","Sí"))</f>
        <v/>
      </c>
      <c r="P803" s="27">
        <f>IF(OR($A803="",$K803=""),"",IF(AND($M803="Sí",$O803="Sí"),"OTIF","Falló"))</f>
        <v/>
      </c>
    </row>
    <row r="804" ht="16" customHeight="1">
      <c r="A804" s="47" t="n"/>
      <c r="B804" s="46" t="n"/>
      <c r="C804" s="49" t="n"/>
      <c r="D804" s="49" t="n"/>
      <c r="E804" s="49" t="n"/>
      <c r="F804" s="49" t="n"/>
      <c r="G804" s="47" t="n"/>
      <c r="H804" s="50" t="n"/>
      <c r="I804" s="51" t="n"/>
      <c r="J804" s="46" t="n"/>
      <c r="K804" s="46" t="n"/>
      <c r="L804" s="23">
        <f>IF(OR($A804="",$B804=""),"",IF($K804&lt;&gt;"",$K804-$B804,TODAY()-$B804))</f>
        <v/>
      </c>
      <c r="M804" s="27">
        <f>IF(OR($A804="",$J804=""),"",IF($K804="",IF(TODAY()&gt;$J804,"Atrasado","En ruta"),IF($K804&lt;=$J804,"Sí","No")))</f>
        <v/>
      </c>
      <c r="N804" s="23">
        <f>IF($A804="","",COUNTIFS(NOVEDADES!$C$4:$C$1503,$A804))</f>
        <v/>
      </c>
      <c r="O804" s="27">
        <f>IF($A804="","",IF(COUNTIFS(NOVEDADES!$C$4:$C$1503,$A804,NOVEDADES!$M$4:$M$1503,"SÍ")&gt;0,"No","Sí"))</f>
        <v/>
      </c>
      <c r="P804" s="27">
        <f>IF(OR($A804="",$K804=""),"",IF(AND($M804="Sí",$O804="Sí"),"OTIF","Falló"))</f>
        <v/>
      </c>
    </row>
    <row r="805" ht="16" customHeight="1">
      <c r="A805" s="47" t="n"/>
      <c r="B805" s="46" t="n"/>
      <c r="C805" s="49" t="n"/>
      <c r="D805" s="49" t="n"/>
      <c r="E805" s="49" t="n"/>
      <c r="F805" s="49" t="n"/>
      <c r="G805" s="47" t="n"/>
      <c r="H805" s="50" t="n"/>
      <c r="I805" s="51" t="n"/>
      <c r="J805" s="46" t="n"/>
      <c r="K805" s="46" t="n"/>
      <c r="L805" s="23">
        <f>IF(OR($A805="",$B805=""),"",IF($K805&lt;&gt;"",$K805-$B805,TODAY()-$B805))</f>
        <v/>
      </c>
      <c r="M805" s="27">
        <f>IF(OR($A805="",$J805=""),"",IF($K805="",IF(TODAY()&gt;$J805,"Atrasado","En ruta"),IF($K805&lt;=$J805,"Sí","No")))</f>
        <v/>
      </c>
      <c r="N805" s="23">
        <f>IF($A805="","",COUNTIFS(NOVEDADES!$C$4:$C$1503,$A805))</f>
        <v/>
      </c>
      <c r="O805" s="27">
        <f>IF($A805="","",IF(COUNTIFS(NOVEDADES!$C$4:$C$1503,$A805,NOVEDADES!$M$4:$M$1503,"SÍ")&gt;0,"No","Sí"))</f>
        <v/>
      </c>
      <c r="P805" s="27">
        <f>IF(OR($A805="",$K805=""),"",IF(AND($M805="Sí",$O805="Sí"),"OTIF","Falló"))</f>
        <v/>
      </c>
    </row>
    <row r="806" ht="16" customHeight="1">
      <c r="A806" s="47" t="n"/>
      <c r="B806" s="46" t="n"/>
      <c r="C806" s="49" t="n"/>
      <c r="D806" s="49" t="n"/>
      <c r="E806" s="49" t="n"/>
      <c r="F806" s="49" t="n"/>
      <c r="G806" s="47" t="n"/>
      <c r="H806" s="50" t="n"/>
      <c r="I806" s="51" t="n"/>
      <c r="J806" s="46" t="n"/>
      <c r="K806" s="46" t="n"/>
      <c r="L806" s="23">
        <f>IF(OR($A806="",$B806=""),"",IF($K806&lt;&gt;"",$K806-$B806,TODAY()-$B806))</f>
        <v/>
      </c>
      <c r="M806" s="27">
        <f>IF(OR($A806="",$J806=""),"",IF($K806="",IF(TODAY()&gt;$J806,"Atrasado","En ruta"),IF($K806&lt;=$J806,"Sí","No")))</f>
        <v/>
      </c>
      <c r="N806" s="23">
        <f>IF($A806="","",COUNTIFS(NOVEDADES!$C$4:$C$1503,$A806))</f>
        <v/>
      </c>
      <c r="O806" s="27">
        <f>IF($A806="","",IF(COUNTIFS(NOVEDADES!$C$4:$C$1503,$A806,NOVEDADES!$M$4:$M$1503,"SÍ")&gt;0,"No","Sí"))</f>
        <v/>
      </c>
      <c r="P806" s="27">
        <f>IF(OR($A806="",$K806=""),"",IF(AND($M806="Sí",$O806="Sí"),"OTIF","Falló"))</f>
        <v/>
      </c>
    </row>
    <row r="807" ht="16" customHeight="1">
      <c r="A807" s="47" t="n"/>
      <c r="B807" s="46" t="n"/>
      <c r="C807" s="49" t="n"/>
      <c r="D807" s="49" t="n"/>
      <c r="E807" s="49" t="n"/>
      <c r="F807" s="49" t="n"/>
      <c r="G807" s="47" t="n"/>
      <c r="H807" s="50" t="n"/>
      <c r="I807" s="51" t="n"/>
      <c r="J807" s="46" t="n"/>
      <c r="K807" s="46" t="n"/>
      <c r="L807" s="23">
        <f>IF(OR($A807="",$B807=""),"",IF($K807&lt;&gt;"",$K807-$B807,TODAY()-$B807))</f>
        <v/>
      </c>
      <c r="M807" s="27">
        <f>IF(OR($A807="",$J807=""),"",IF($K807="",IF(TODAY()&gt;$J807,"Atrasado","En ruta"),IF($K807&lt;=$J807,"Sí","No")))</f>
        <v/>
      </c>
      <c r="N807" s="23">
        <f>IF($A807="","",COUNTIFS(NOVEDADES!$C$4:$C$1503,$A807))</f>
        <v/>
      </c>
      <c r="O807" s="27">
        <f>IF($A807="","",IF(COUNTIFS(NOVEDADES!$C$4:$C$1503,$A807,NOVEDADES!$M$4:$M$1503,"SÍ")&gt;0,"No","Sí"))</f>
        <v/>
      </c>
      <c r="P807" s="27">
        <f>IF(OR($A807="",$K807=""),"",IF(AND($M807="Sí",$O807="Sí"),"OTIF","Falló"))</f>
        <v/>
      </c>
    </row>
    <row r="808" ht="16" customHeight="1">
      <c r="A808" s="47" t="n"/>
      <c r="B808" s="46" t="n"/>
      <c r="C808" s="49" t="n"/>
      <c r="D808" s="49" t="n"/>
      <c r="E808" s="49" t="n"/>
      <c r="F808" s="49" t="n"/>
      <c r="G808" s="47" t="n"/>
      <c r="H808" s="50" t="n"/>
      <c r="I808" s="51" t="n"/>
      <c r="J808" s="46" t="n"/>
      <c r="K808" s="46" t="n"/>
      <c r="L808" s="23">
        <f>IF(OR($A808="",$B808=""),"",IF($K808&lt;&gt;"",$K808-$B808,TODAY()-$B808))</f>
        <v/>
      </c>
      <c r="M808" s="27">
        <f>IF(OR($A808="",$J808=""),"",IF($K808="",IF(TODAY()&gt;$J808,"Atrasado","En ruta"),IF($K808&lt;=$J808,"Sí","No")))</f>
        <v/>
      </c>
      <c r="N808" s="23">
        <f>IF($A808="","",COUNTIFS(NOVEDADES!$C$4:$C$1503,$A808))</f>
        <v/>
      </c>
      <c r="O808" s="27">
        <f>IF($A808="","",IF(COUNTIFS(NOVEDADES!$C$4:$C$1503,$A808,NOVEDADES!$M$4:$M$1503,"SÍ")&gt;0,"No","Sí"))</f>
        <v/>
      </c>
      <c r="P808" s="27">
        <f>IF(OR($A808="",$K808=""),"",IF(AND($M808="Sí",$O808="Sí"),"OTIF","Falló"))</f>
        <v/>
      </c>
    </row>
    <row r="809" ht="16" customHeight="1">
      <c r="A809" s="47" t="n"/>
      <c r="B809" s="46" t="n"/>
      <c r="C809" s="49" t="n"/>
      <c r="D809" s="49" t="n"/>
      <c r="E809" s="49" t="n"/>
      <c r="F809" s="49" t="n"/>
      <c r="G809" s="47" t="n"/>
      <c r="H809" s="50" t="n"/>
      <c r="I809" s="51" t="n"/>
      <c r="J809" s="46" t="n"/>
      <c r="K809" s="46" t="n"/>
      <c r="L809" s="23">
        <f>IF(OR($A809="",$B809=""),"",IF($K809&lt;&gt;"",$K809-$B809,TODAY()-$B809))</f>
        <v/>
      </c>
      <c r="M809" s="27">
        <f>IF(OR($A809="",$J809=""),"",IF($K809="",IF(TODAY()&gt;$J809,"Atrasado","En ruta"),IF($K809&lt;=$J809,"Sí","No")))</f>
        <v/>
      </c>
      <c r="N809" s="23">
        <f>IF($A809="","",COUNTIFS(NOVEDADES!$C$4:$C$1503,$A809))</f>
        <v/>
      </c>
      <c r="O809" s="27">
        <f>IF($A809="","",IF(COUNTIFS(NOVEDADES!$C$4:$C$1503,$A809,NOVEDADES!$M$4:$M$1503,"SÍ")&gt;0,"No","Sí"))</f>
        <v/>
      </c>
      <c r="P809" s="27">
        <f>IF(OR($A809="",$K809=""),"",IF(AND($M809="Sí",$O809="Sí"),"OTIF","Falló"))</f>
        <v/>
      </c>
    </row>
    <row r="810" ht="16" customHeight="1">
      <c r="A810" s="47" t="n"/>
      <c r="B810" s="46" t="n"/>
      <c r="C810" s="49" t="n"/>
      <c r="D810" s="49" t="n"/>
      <c r="E810" s="49" t="n"/>
      <c r="F810" s="49" t="n"/>
      <c r="G810" s="47" t="n"/>
      <c r="H810" s="50" t="n"/>
      <c r="I810" s="51" t="n"/>
      <c r="J810" s="46" t="n"/>
      <c r="K810" s="46" t="n"/>
      <c r="L810" s="23">
        <f>IF(OR($A810="",$B810=""),"",IF($K810&lt;&gt;"",$K810-$B810,TODAY()-$B810))</f>
        <v/>
      </c>
      <c r="M810" s="27">
        <f>IF(OR($A810="",$J810=""),"",IF($K810="",IF(TODAY()&gt;$J810,"Atrasado","En ruta"),IF($K810&lt;=$J810,"Sí","No")))</f>
        <v/>
      </c>
      <c r="N810" s="23">
        <f>IF($A810="","",COUNTIFS(NOVEDADES!$C$4:$C$1503,$A810))</f>
        <v/>
      </c>
      <c r="O810" s="27">
        <f>IF($A810="","",IF(COUNTIFS(NOVEDADES!$C$4:$C$1503,$A810,NOVEDADES!$M$4:$M$1503,"SÍ")&gt;0,"No","Sí"))</f>
        <v/>
      </c>
      <c r="P810" s="27">
        <f>IF(OR($A810="",$K810=""),"",IF(AND($M810="Sí",$O810="Sí"),"OTIF","Falló"))</f>
        <v/>
      </c>
    </row>
    <row r="811" ht="16" customHeight="1">
      <c r="A811" s="47" t="n"/>
      <c r="B811" s="46" t="n"/>
      <c r="C811" s="49" t="n"/>
      <c r="D811" s="49" t="n"/>
      <c r="E811" s="49" t="n"/>
      <c r="F811" s="49" t="n"/>
      <c r="G811" s="47" t="n"/>
      <c r="H811" s="50" t="n"/>
      <c r="I811" s="51" t="n"/>
      <c r="J811" s="46" t="n"/>
      <c r="K811" s="46" t="n"/>
      <c r="L811" s="23">
        <f>IF(OR($A811="",$B811=""),"",IF($K811&lt;&gt;"",$K811-$B811,TODAY()-$B811))</f>
        <v/>
      </c>
      <c r="M811" s="27">
        <f>IF(OR($A811="",$J811=""),"",IF($K811="",IF(TODAY()&gt;$J811,"Atrasado","En ruta"),IF($K811&lt;=$J811,"Sí","No")))</f>
        <v/>
      </c>
      <c r="N811" s="23">
        <f>IF($A811="","",COUNTIFS(NOVEDADES!$C$4:$C$1503,$A811))</f>
        <v/>
      </c>
      <c r="O811" s="27">
        <f>IF($A811="","",IF(COUNTIFS(NOVEDADES!$C$4:$C$1503,$A811,NOVEDADES!$M$4:$M$1503,"SÍ")&gt;0,"No","Sí"))</f>
        <v/>
      </c>
      <c r="P811" s="27">
        <f>IF(OR($A811="",$K811=""),"",IF(AND($M811="Sí",$O811="Sí"),"OTIF","Falló"))</f>
        <v/>
      </c>
    </row>
    <row r="812" ht="16" customHeight="1">
      <c r="A812" s="47" t="n"/>
      <c r="B812" s="46" t="n"/>
      <c r="C812" s="49" t="n"/>
      <c r="D812" s="49" t="n"/>
      <c r="E812" s="49" t="n"/>
      <c r="F812" s="49" t="n"/>
      <c r="G812" s="47" t="n"/>
      <c r="H812" s="50" t="n"/>
      <c r="I812" s="51" t="n"/>
      <c r="J812" s="46" t="n"/>
      <c r="K812" s="46" t="n"/>
      <c r="L812" s="23">
        <f>IF(OR($A812="",$B812=""),"",IF($K812&lt;&gt;"",$K812-$B812,TODAY()-$B812))</f>
        <v/>
      </c>
      <c r="M812" s="27">
        <f>IF(OR($A812="",$J812=""),"",IF($K812="",IF(TODAY()&gt;$J812,"Atrasado","En ruta"),IF($K812&lt;=$J812,"Sí","No")))</f>
        <v/>
      </c>
      <c r="N812" s="23">
        <f>IF($A812="","",COUNTIFS(NOVEDADES!$C$4:$C$1503,$A812))</f>
        <v/>
      </c>
      <c r="O812" s="27">
        <f>IF($A812="","",IF(COUNTIFS(NOVEDADES!$C$4:$C$1503,$A812,NOVEDADES!$M$4:$M$1503,"SÍ")&gt;0,"No","Sí"))</f>
        <v/>
      </c>
      <c r="P812" s="27">
        <f>IF(OR($A812="",$K812=""),"",IF(AND($M812="Sí",$O812="Sí"),"OTIF","Falló"))</f>
        <v/>
      </c>
    </row>
    <row r="813" ht="16" customHeight="1">
      <c r="A813" s="47" t="n"/>
      <c r="B813" s="46" t="n"/>
      <c r="C813" s="49" t="n"/>
      <c r="D813" s="49" t="n"/>
      <c r="E813" s="49" t="n"/>
      <c r="F813" s="49" t="n"/>
      <c r="G813" s="47" t="n"/>
      <c r="H813" s="50" t="n"/>
      <c r="I813" s="51" t="n"/>
      <c r="J813" s="46" t="n"/>
      <c r="K813" s="46" t="n"/>
      <c r="L813" s="23">
        <f>IF(OR($A813="",$B813=""),"",IF($K813&lt;&gt;"",$K813-$B813,TODAY()-$B813))</f>
        <v/>
      </c>
      <c r="M813" s="27">
        <f>IF(OR($A813="",$J813=""),"",IF($K813="",IF(TODAY()&gt;$J813,"Atrasado","En ruta"),IF($K813&lt;=$J813,"Sí","No")))</f>
        <v/>
      </c>
      <c r="N813" s="23">
        <f>IF($A813="","",COUNTIFS(NOVEDADES!$C$4:$C$1503,$A813))</f>
        <v/>
      </c>
      <c r="O813" s="27">
        <f>IF($A813="","",IF(COUNTIFS(NOVEDADES!$C$4:$C$1503,$A813,NOVEDADES!$M$4:$M$1503,"SÍ")&gt;0,"No","Sí"))</f>
        <v/>
      </c>
      <c r="P813" s="27">
        <f>IF(OR($A813="",$K813=""),"",IF(AND($M813="Sí",$O813="Sí"),"OTIF","Falló"))</f>
        <v/>
      </c>
    </row>
    <row r="814" ht="16" customHeight="1">
      <c r="A814" s="47" t="n"/>
      <c r="B814" s="46" t="n"/>
      <c r="C814" s="49" t="n"/>
      <c r="D814" s="49" t="n"/>
      <c r="E814" s="49" t="n"/>
      <c r="F814" s="49" t="n"/>
      <c r="G814" s="47" t="n"/>
      <c r="H814" s="50" t="n"/>
      <c r="I814" s="51" t="n"/>
      <c r="J814" s="46" t="n"/>
      <c r="K814" s="46" t="n"/>
      <c r="L814" s="23">
        <f>IF(OR($A814="",$B814=""),"",IF($K814&lt;&gt;"",$K814-$B814,TODAY()-$B814))</f>
        <v/>
      </c>
      <c r="M814" s="27">
        <f>IF(OR($A814="",$J814=""),"",IF($K814="",IF(TODAY()&gt;$J814,"Atrasado","En ruta"),IF($K814&lt;=$J814,"Sí","No")))</f>
        <v/>
      </c>
      <c r="N814" s="23">
        <f>IF($A814="","",COUNTIFS(NOVEDADES!$C$4:$C$1503,$A814))</f>
        <v/>
      </c>
      <c r="O814" s="27">
        <f>IF($A814="","",IF(COUNTIFS(NOVEDADES!$C$4:$C$1503,$A814,NOVEDADES!$M$4:$M$1503,"SÍ")&gt;0,"No","Sí"))</f>
        <v/>
      </c>
      <c r="P814" s="27">
        <f>IF(OR($A814="",$K814=""),"",IF(AND($M814="Sí",$O814="Sí"),"OTIF","Falló"))</f>
        <v/>
      </c>
    </row>
    <row r="815" ht="16" customHeight="1">
      <c r="A815" s="47" t="n"/>
      <c r="B815" s="46" t="n"/>
      <c r="C815" s="49" t="n"/>
      <c r="D815" s="49" t="n"/>
      <c r="E815" s="49" t="n"/>
      <c r="F815" s="49" t="n"/>
      <c r="G815" s="47" t="n"/>
      <c r="H815" s="50" t="n"/>
      <c r="I815" s="51" t="n"/>
      <c r="J815" s="46" t="n"/>
      <c r="K815" s="46" t="n"/>
      <c r="L815" s="23">
        <f>IF(OR($A815="",$B815=""),"",IF($K815&lt;&gt;"",$K815-$B815,TODAY()-$B815))</f>
        <v/>
      </c>
      <c r="M815" s="27">
        <f>IF(OR($A815="",$J815=""),"",IF($K815="",IF(TODAY()&gt;$J815,"Atrasado","En ruta"),IF($K815&lt;=$J815,"Sí","No")))</f>
        <v/>
      </c>
      <c r="N815" s="23">
        <f>IF($A815="","",COUNTIFS(NOVEDADES!$C$4:$C$1503,$A815))</f>
        <v/>
      </c>
      <c r="O815" s="27">
        <f>IF($A815="","",IF(COUNTIFS(NOVEDADES!$C$4:$C$1503,$A815,NOVEDADES!$M$4:$M$1503,"SÍ")&gt;0,"No","Sí"))</f>
        <v/>
      </c>
      <c r="P815" s="27">
        <f>IF(OR($A815="",$K815=""),"",IF(AND($M815="Sí",$O815="Sí"),"OTIF","Falló"))</f>
        <v/>
      </c>
    </row>
    <row r="816" ht="16" customHeight="1">
      <c r="A816" s="47" t="n"/>
      <c r="B816" s="46" t="n"/>
      <c r="C816" s="49" t="n"/>
      <c r="D816" s="49" t="n"/>
      <c r="E816" s="49" t="n"/>
      <c r="F816" s="49" t="n"/>
      <c r="G816" s="47" t="n"/>
      <c r="H816" s="50" t="n"/>
      <c r="I816" s="51" t="n"/>
      <c r="J816" s="46" t="n"/>
      <c r="K816" s="46" t="n"/>
      <c r="L816" s="23">
        <f>IF(OR($A816="",$B816=""),"",IF($K816&lt;&gt;"",$K816-$B816,TODAY()-$B816))</f>
        <v/>
      </c>
      <c r="M816" s="27">
        <f>IF(OR($A816="",$J816=""),"",IF($K816="",IF(TODAY()&gt;$J816,"Atrasado","En ruta"),IF($K816&lt;=$J816,"Sí","No")))</f>
        <v/>
      </c>
      <c r="N816" s="23">
        <f>IF($A816="","",COUNTIFS(NOVEDADES!$C$4:$C$1503,$A816))</f>
        <v/>
      </c>
      <c r="O816" s="27">
        <f>IF($A816="","",IF(COUNTIFS(NOVEDADES!$C$4:$C$1503,$A816,NOVEDADES!$M$4:$M$1503,"SÍ")&gt;0,"No","Sí"))</f>
        <v/>
      </c>
      <c r="P816" s="27">
        <f>IF(OR($A816="",$K816=""),"",IF(AND($M816="Sí",$O816="Sí"),"OTIF","Falló"))</f>
        <v/>
      </c>
    </row>
    <row r="817" ht="16" customHeight="1">
      <c r="A817" s="47" t="n"/>
      <c r="B817" s="46" t="n"/>
      <c r="C817" s="49" t="n"/>
      <c r="D817" s="49" t="n"/>
      <c r="E817" s="49" t="n"/>
      <c r="F817" s="49" t="n"/>
      <c r="G817" s="47" t="n"/>
      <c r="H817" s="50" t="n"/>
      <c r="I817" s="51" t="n"/>
      <c r="J817" s="46" t="n"/>
      <c r="K817" s="46" t="n"/>
      <c r="L817" s="23">
        <f>IF(OR($A817="",$B817=""),"",IF($K817&lt;&gt;"",$K817-$B817,TODAY()-$B817))</f>
        <v/>
      </c>
      <c r="M817" s="27">
        <f>IF(OR($A817="",$J817=""),"",IF($K817="",IF(TODAY()&gt;$J817,"Atrasado","En ruta"),IF($K817&lt;=$J817,"Sí","No")))</f>
        <v/>
      </c>
      <c r="N817" s="23">
        <f>IF($A817="","",COUNTIFS(NOVEDADES!$C$4:$C$1503,$A817))</f>
        <v/>
      </c>
      <c r="O817" s="27">
        <f>IF($A817="","",IF(COUNTIFS(NOVEDADES!$C$4:$C$1503,$A817,NOVEDADES!$M$4:$M$1503,"SÍ")&gt;0,"No","Sí"))</f>
        <v/>
      </c>
      <c r="P817" s="27">
        <f>IF(OR($A817="",$K817=""),"",IF(AND($M817="Sí",$O817="Sí"),"OTIF","Falló"))</f>
        <v/>
      </c>
    </row>
    <row r="818" ht="16" customHeight="1">
      <c r="A818" s="47" t="n"/>
      <c r="B818" s="46" t="n"/>
      <c r="C818" s="49" t="n"/>
      <c r="D818" s="49" t="n"/>
      <c r="E818" s="49" t="n"/>
      <c r="F818" s="49" t="n"/>
      <c r="G818" s="47" t="n"/>
      <c r="H818" s="50" t="n"/>
      <c r="I818" s="51" t="n"/>
      <c r="J818" s="46" t="n"/>
      <c r="K818" s="46" t="n"/>
      <c r="L818" s="23">
        <f>IF(OR($A818="",$B818=""),"",IF($K818&lt;&gt;"",$K818-$B818,TODAY()-$B818))</f>
        <v/>
      </c>
      <c r="M818" s="27">
        <f>IF(OR($A818="",$J818=""),"",IF($K818="",IF(TODAY()&gt;$J818,"Atrasado","En ruta"),IF($K818&lt;=$J818,"Sí","No")))</f>
        <v/>
      </c>
      <c r="N818" s="23">
        <f>IF($A818="","",COUNTIFS(NOVEDADES!$C$4:$C$1503,$A818))</f>
        <v/>
      </c>
      <c r="O818" s="27">
        <f>IF($A818="","",IF(COUNTIFS(NOVEDADES!$C$4:$C$1503,$A818,NOVEDADES!$M$4:$M$1503,"SÍ")&gt;0,"No","Sí"))</f>
        <v/>
      </c>
      <c r="P818" s="27">
        <f>IF(OR($A818="",$K818=""),"",IF(AND($M818="Sí",$O818="Sí"),"OTIF","Falló"))</f>
        <v/>
      </c>
    </row>
    <row r="819" ht="16" customHeight="1">
      <c r="A819" s="47" t="n"/>
      <c r="B819" s="46" t="n"/>
      <c r="C819" s="49" t="n"/>
      <c r="D819" s="49" t="n"/>
      <c r="E819" s="49" t="n"/>
      <c r="F819" s="49" t="n"/>
      <c r="G819" s="47" t="n"/>
      <c r="H819" s="50" t="n"/>
      <c r="I819" s="51" t="n"/>
      <c r="J819" s="46" t="n"/>
      <c r="K819" s="46" t="n"/>
      <c r="L819" s="23">
        <f>IF(OR($A819="",$B819=""),"",IF($K819&lt;&gt;"",$K819-$B819,TODAY()-$B819))</f>
        <v/>
      </c>
      <c r="M819" s="27">
        <f>IF(OR($A819="",$J819=""),"",IF($K819="",IF(TODAY()&gt;$J819,"Atrasado","En ruta"),IF($K819&lt;=$J819,"Sí","No")))</f>
        <v/>
      </c>
      <c r="N819" s="23">
        <f>IF($A819="","",COUNTIFS(NOVEDADES!$C$4:$C$1503,$A819))</f>
        <v/>
      </c>
      <c r="O819" s="27">
        <f>IF($A819="","",IF(COUNTIFS(NOVEDADES!$C$4:$C$1503,$A819,NOVEDADES!$M$4:$M$1503,"SÍ")&gt;0,"No","Sí"))</f>
        <v/>
      </c>
      <c r="P819" s="27">
        <f>IF(OR($A819="",$K819=""),"",IF(AND($M819="Sí",$O819="Sí"),"OTIF","Falló"))</f>
        <v/>
      </c>
    </row>
    <row r="820" ht="16" customHeight="1">
      <c r="A820" s="47" t="n"/>
      <c r="B820" s="46" t="n"/>
      <c r="C820" s="49" t="n"/>
      <c r="D820" s="49" t="n"/>
      <c r="E820" s="49" t="n"/>
      <c r="F820" s="49" t="n"/>
      <c r="G820" s="47" t="n"/>
      <c r="H820" s="50" t="n"/>
      <c r="I820" s="51" t="n"/>
      <c r="J820" s="46" t="n"/>
      <c r="K820" s="46" t="n"/>
      <c r="L820" s="23">
        <f>IF(OR($A820="",$B820=""),"",IF($K820&lt;&gt;"",$K820-$B820,TODAY()-$B820))</f>
        <v/>
      </c>
      <c r="M820" s="27">
        <f>IF(OR($A820="",$J820=""),"",IF($K820="",IF(TODAY()&gt;$J820,"Atrasado","En ruta"),IF($K820&lt;=$J820,"Sí","No")))</f>
        <v/>
      </c>
      <c r="N820" s="23">
        <f>IF($A820="","",COUNTIFS(NOVEDADES!$C$4:$C$1503,$A820))</f>
        <v/>
      </c>
      <c r="O820" s="27">
        <f>IF($A820="","",IF(COUNTIFS(NOVEDADES!$C$4:$C$1503,$A820,NOVEDADES!$M$4:$M$1503,"SÍ")&gt;0,"No","Sí"))</f>
        <v/>
      </c>
      <c r="P820" s="27">
        <f>IF(OR($A820="",$K820=""),"",IF(AND($M820="Sí",$O820="Sí"),"OTIF","Falló"))</f>
        <v/>
      </c>
    </row>
    <row r="821" ht="16" customHeight="1">
      <c r="A821" s="47" t="n"/>
      <c r="B821" s="46" t="n"/>
      <c r="C821" s="49" t="n"/>
      <c r="D821" s="49" t="n"/>
      <c r="E821" s="49" t="n"/>
      <c r="F821" s="49" t="n"/>
      <c r="G821" s="47" t="n"/>
      <c r="H821" s="50" t="n"/>
      <c r="I821" s="51" t="n"/>
      <c r="J821" s="46" t="n"/>
      <c r="K821" s="46" t="n"/>
      <c r="L821" s="23">
        <f>IF(OR($A821="",$B821=""),"",IF($K821&lt;&gt;"",$K821-$B821,TODAY()-$B821))</f>
        <v/>
      </c>
      <c r="M821" s="27">
        <f>IF(OR($A821="",$J821=""),"",IF($K821="",IF(TODAY()&gt;$J821,"Atrasado","En ruta"),IF($K821&lt;=$J821,"Sí","No")))</f>
        <v/>
      </c>
      <c r="N821" s="23">
        <f>IF($A821="","",COUNTIFS(NOVEDADES!$C$4:$C$1503,$A821))</f>
        <v/>
      </c>
      <c r="O821" s="27">
        <f>IF($A821="","",IF(COUNTIFS(NOVEDADES!$C$4:$C$1503,$A821,NOVEDADES!$M$4:$M$1503,"SÍ")&gt;0,"No","Sí"))</f>
        <v/>
      </c>
      <c r="P821" s="27">
        <f>IF(OR($A821="",$K821=""),"",IF(AND($M821="Sí",$O821="Sí"),"OTIF","Falló"))</f>
        <v/>
      </c>
    </row>
    <row r="822" ht="16" customHeight="1">
      <c r="A822" s="47" t="n"/>
      <c r="B822" s="46" t="n"/>
      <c r="C822" s="49" t="n"/>
      <c r="D822" s="49" t="n"/>
      <c r="E822" s="49" t="n"/>
      <c r="F822" s="49" t="n"/>
      <c r="G822" s="47" t="n"/>
      <c r="H822" s="50" t="n"/>
      <c r="I822" s="51" t="n"/>
      <c r="J822" s="46" t="n"/>
      <c r="K822" s="46" t="n"/>
      <c r="L822" s="23">
        <f>IF(OR($A822="",$B822=""),"",IF($K822&lt;&gt;"",$K822-$B822,TODAY()-$B822))</f>
        <v/>
      </c>
      <c r="M822" s="27">
        <f>IF(OR($A822="",$J822=""),"",IF($K822="",IF(TODAY()&gt;$J822,"Atrasado","En ruta"),IF($K822&lt;=$J822,"Sí","No")))</f>
        <v/>
      </c>
      <c r="N822" s="23">
        <f>IF($A822="","",COUNTIFS(NOVEDADES!$C$4:$C$1503,$A822))</f>
        <v/>
      </c>
      <c r="O822" s="27">
        <f>IF($A822="","",IF(COUNTIFS(NOVEDADES!$C$4:$C$1503,$A822,NOVEDADES!$M$4:$M$1503,"SÍ")&gt;0,"No","Sí"))</f>
        <v/>
      </c>
      <c r="P822" s="27">
        <f>IF(OR($A822="",$K822=""),"",IF(AND($M822="Sí",$O822="Sí"),"OTIF","Falló"))</f>
        <v/>
      </c>
    </row>
    <row r="823" ht="16" customHeight="1">
      <c r="A823" s="47" t="n"/>
      <c r="B823" s="46" t="n"/>
      <c r="C823" s="49" t="n"/>
      <c r="D823" s="49" t="n"/>
      <c r="E823" s="49" t="n"/>
      <c r="F823" s="49" t="n"/>
      <c r="G823" s="47" t="n"/>
      <c r="H823" s="50" t="n"/>
      <c r="I823" s="51" t="n"/>
      <c r="J823" s="46" t="n"/>
      <c r="K823" s="46" t="n"/>
      <c r="L823" s="23">
        <f>IF(OR($A823="",$B823=""),"",IF($K823&lt;&gt;"",$K823-$B823,TODAY()-$B823))</f>
        <v/>
      </c>
      <c r="M823" s="27">
        <f>IF(OR($A823="",$J823=""),"",IF($K823="",IF(TODAY()&gt;$J823,"Atrasado","En ruta"),IF($K823&lt;=$J823,"Sí","No")))</f>
        <v/>
      </c>
      <c r="N823" s="23">
        <f>IF($A823="","",COUNTIFS(NOVEDADES!$C$4:$C$1503,$A823))</f>
        <v/>
      </c>
      <c r="O823" s="27">
        <f>IF($A823="","",IF(COUNTIFS(NOVEDADES!$C$4:$C$1503,$A823,NOVEDADES!$M$4:$M$1503,"SÍ")&gt;0,"No","Sí"))</f>
        <v/>
      </c>
      <c r="P823" s="27">
        <f>IF(OR($A823="",$K823=""),"",IF(AND($M823="Sí",$O823="Sí"),"OTIF","Falló"))</f>
        <v/>
      </c>
    </row>
    <row r="824" ht="16" customHeight="1">
      <c r="A824" s="47" t="n"/>
      <c r="B824" s="46" t="n"/>
      <c r="C824" s="49" t="n"/>
      <c r="D824" s="49" t="n"/>
      <c r="E824" s="49" t="n"/>
      <c r="F824" s="49" t="n"/>
      <c r="G824" s="47" t="n"/>
      <c r="H824" s="50" t="n"/>
      <c r="I824" s="51" t="n"/>
      <c r="J824" s="46" t="n"/>
      <c r="K824" s="46" t="n"/>
      <c r="L824" s="23">
        <f>IF(OR($A824="",$B824=""),"",IF($K824&lt;&gt;"",$K824-$B824,TODAY()-$B824))</f>
        <v/>
      </c>
      <c r="M824" s="27">
        <f>IF(OR($A824="",$J824=""),"",IF($K824="",IF(TODAY()&gt;$J824,"Atrasado","En ruta"),IF($K824&lt;=$J824,"Sí","No")))</f>
        <v/>
      </c>
      <c r="N824" s="23">
        <f>IF($A824="","",COUNTIFS(NOVEDADES!$C$4:$C$1503,$A824))</f>
        <v/>
      </c>
      <c r="O824" s="27">
        <f>IF($A824="","",IF(COUNTIFS(NOVEDADES!$C$4:$C$1503,$A824,NOVEDADES!$M$4:$M$1503,"SÍ")&gt;0,"No","Sí"))</f>
        <v/>
      </c>
      <c r="P824" s="27">
        <f>IF(OR($A824="",$K824=""),"",IF(AND($M824="Sí",$O824="Sí"),"OTIF","Falló"))</f>
        <v/>
      </c>
    </row>
    <row r="825" ht="16" customHeight="1">
      <c r="A825" s="47" t="n"/>
      <c r="B825" s="46" t="n"/>
      <c r="C825" s="49" t="n"/>
      <c r="D825" s="49" t="n"/>
      <c r="E825" s="49" t="n"/>
      <c r="F825" s="49" t="n"/>
      <c r="G825" s="47" t="n"/>
      <c r="H825" s="50" t="n"/>
      <c r="I825" s="51" t="n"/>
      <c r="J825" s="46" t="n"/>
      <c r="K825" s="46" t="n"/>
      <c r="L825" s="23">
        <f>IF(OR($A825="",$B825=""),"",IF($K825&lt;&gt;"",$K825-$B825,TODAY()-$B825))</f>
        <v/>
      </c>
      <c r="M825" s="27">
        <f>IF(OR($A825="",$J825=""),"",IF($K825="",IF(TODAY()&gt;$J825,"Atrasado","En ruta"),IF($K825&lt;=$J825,"Sí","No")))</f>
        <v/>
      </c>
      <c r="N825" s="23">
        <f>IF($A825="","",COUNTIFS(NOVEDADES!$C$4:$C$1503,$A825))</f>
        <v/>
      </c>
      <c r="O825" s="27">
        <f>IF($A825="","",IF(COUNTIFS(NOVEDADES!$C$4:$C$1503,$A825,NOVEDADES!$M$4:$M$1503,"SÍ")&gt;0,"No","Sí"))</f>
        <v/>
      </c>
      <c r="P825" s="27">
        <f>IF(OR($A825="",$K825=""),"",IF(AND($M825="Sí",$O825="Sí"),"OTIF","Falló"))</f>
        <v/>
      </c>
    </row>
    <row r="826" ht="16" customHeight="1">
      <c r="A826" s="47" t="n"/>
      <c r="B826" s="46" t="n"/>
      <c r="C826" s="49" t="n"/>
      <c r="D826" s="49" t="n"/>
      <c r="E826" s="49" t="n"/>
      <c r="F826" s="49" t="n"/>
      <c r="G826" s="47" t="n"/>
      <c r="H826" s="50" t="n"/>
      <c r="I826" s="51" t="n"/>
      <c r="J826" s="46" t="n"/>
      <c r="K826" s="46" t="n"/>
      <c r="L826" s="23">
        <f>IF(OR($A826="",$B826=""),"",IF($K826&lt;&gt;"",$K826-$B826,TODAY()-$B826))</f>
        <v/>
      </c>
      <c r="M826" s="27">
        <f>IF(OR($A826="",$J826=""),"",IF($K826="",IF(TODAY()&gt;$J826,"Atrasado","En ruta"),IF($K826&lt;=$J826,"Sí","No")))</f>
        <v/>
      </c>
      <c r="N826" s="23">
        <f>IF($A826="","",COUNTIFS(NOVEDADES!$C$4:$C$1503,$A826))</f>
        <v/>
      </c>
      <c r="O826" s="27">
        <f>IF($A826="","",IF(COUNTIFS(NOVEDADES!$C$4:$C$1503,$A826,NOVEDADES!$M$4:$M$1503,"SÍ")&gt;0,"No","Sí"))</f>
        <v/>
      </c>
      <c r="P826" s="27">
        <f>IF(OR($A826="",$K826=""),"",IF(AND($M826="Sí",$O826="Sí"),"OTIF","Falló"))</f>
        <v/>
      </c>
    </row>
    <row r="827" ht="16" customHeight="1">
      <c r="A827" s="47" t="n"/>
      <c r="B827" s="46" t="n"/>
      <c r="C827" s="49" t="n"/>
      <c r="D827" s="49" t="n"/>
      <c r="E827" s="49" t="n"/>
      <c r="F827" s="49" t="n"/>
      <c r="G827" s="47" t="n"/>
      <c r="H827" s="50" t="n"/>
      <c r="I827" s="51" t="n"/>
      <c r="J827" s="46" t="n"/>
      <c r="K827" s="46" t="n"/>
      <c r="L827" s="23">
        <f>IF(OR($A827="",$B827=""),"",IF($K827&lt;&gt;"",$K827-$B827,TODAY()-$B827))</f>
        <v/>
      </c>
      <c r="M827" s="27">
        <f>IF(OR($A827="",$J827=""),"",IF($K827="",IF(TODAY()&gt;$J827,"Atrasado","En ruta"),IF($K827&lt;=$J827,"Sí","No")))</f>
        <v/>
      </c>
      <c r="N827" s="23">
        <f>IF($A827="","",COUNTIFS(NOVEDADES!$C$4:$C$1503,$A827))</f>
        <v/>
      </c>
      <c r="O827" s="27">
        <f>IF($A827="","",IF(COUNTIFS(NOVEDADES!$C$4:$C$1503,$A827,NOVEDADES!$M$4:$M$1503,"SÍ")&gt;0,"No","Sí"))</f>
        <v/>
      </c>
      <c r="P827" s="27">
        <f>IF(OR($A827="",$K827=""),"",IF(AND($M827="Sí",$O827="Sí"),"OTIF","Falló"))</f>
        <v/>
      </c>
    </row>
    <row r="828" ht="16" customHeight="1">
      <c r="A828" s="47" t="n"/>
      <c r="B828" s="46" t="n"/>
      <c r="C828" s="49" t="n"/>
      <c r="D828" s="49" t="n"/>
      <c r="E828" s="49" t="n"/>
      <c r="F828" s="49" t="n"/>
      <c r="G828" s="47" t="n"/>
      <c r="H828" s="50" t="n"/>
      <c r="I828" s="51" t="n"/>
      <c r="J828" s="46" t="n"/>
      <c r="K828" s="46" t="n"/>
      <c r="L828" s="23">
        <f>IF(OR($A828="",$B828=""),"",IF($K828&lt;&gt;"",$K828-$B828,TODAY()-$B828))</f>
        <v/>
      </c>
      <c r="M828" s="27">
        <f>IF(OR($A828="",$J828=""),"",IF($K828="",IF(TODAY()&gt;$J828,"Atrasado","En ruta"),IF($K828&lt;=$J828,"Sí","No")))</f>
        <v/>
      </c>
      <c r="N828" s="23">
        <f>IF($A828="","",COUNTIFS(NOVEDADES!$C$4:$C$1503,$A828))</f>
        <v/>
      </c>
      <c r="O828" s="27">
        <f>IF($A828="","",IF(COUNTIFS(NOVEDADES!$C$4:$C$1503,$A828,NOVEDADES!$M$4:$M$1503,"SÍ")&gt;0,"No","Sí"))</f>
        <v/>
      </c>
      <c r="P828" s="27">
        <f>IF(OR($A828="",$K828=""),"",IF(AND($M828="Sí",$O828="Sí"),"OTIF","Falló"))</f>
        <v/>
      </c>
    </row>
    <row r="829" ht="16" customHeight="1">
      <c r="A829" s="47" t="n"/>
      <c r="B829" s="46" t="n"/>
      <c r="C829" s="49" t="n"/>
      <c r="D829" s="49" t="n"/>
      <c r="E829" s="49" t="n"/>
      <c r="F829" s="49" t="n"/>
      <c r="G829" s="47" t="n"/>
      <c r="H829" s="50" t="n"/>
      <c r="I829" s="51" t="n"/>
      <c r="J829" s="46" t="n"/>
      <c r="K829" s="46" t="n"/>
      <c r="L829" s="23">
        <f>IF(OR($A829="",$B829=""),"",IF($K829&lt;&gt;"",$K829-$B829,TODAY()-$B829))</f>
        <v/>
      </c>
      <c r="M829" s="27">
        <f>IF(OR($A829="",$J829=""),"",IF($K829="",IF(TODAY()&gt;$J829,"Atrasado","En ruta"),IF($K829&lt;=$J829,"Sí","No")))</f>
        <v/>
      </c>
      <c r="N829" s="23">
        <f>IF($A829="","",COUNTIFS(NOVEDADES!$C$4:$C$1503,$A829))</f>
        <v/>
      </c>
      <c r="O829" s="27">
        <f>IF($A829="","",IF(COUNTIFS(NOVEDADES!$C$4:$C$1503,$A829,NOVEDADES!$M$4:$M$1503,"SÍ")&gt;0,"No","Sí"))</f>
        <v/>
      </c>
      <c r="P829" s="27">
        <f>IF(OR($A829="",$K829=""),"",IF(AND($M829="Sí",$O829="Sí"),"OTIF","Falló"))</f>
        <v/>
      </c>
    </row>
    <row r="830" ht="16" customHeight="1">
      <c r="A830" s="47" t="n"/>
      <c r="B830" s="46" t="n"/>
      <c r="C830" s="49" t="n"/>
      <c r="D830" s="49" t="n"/>
      <c r="E830" s="49" t="n"/>
      <c r="F830" s="49" t="n"/>
      <c r="G830" s="47" t="n"/>
      <c r="H830" s="50" t="n"/>
      <c r="I830" s="51" t="n"/>
      <c r="J830" s="46" t="n"/>
      <c r="K830" s="46" t="n"/>
      <c r="L830" s="23">
        <f>IF(OR($A830="",$B830=""),"",IF($K830&lt;&gt;"",$K830-$B830,TODAY()-$B830))</f>
        <v/>
      </c>
      <c r="M830" s="27">
        <f>IF(OR($A830="",$J830=""),"",IF($K830="",IF(TODAY()&gt;$J830,"Atrasado","En ruta"),IF($K830&lt;=$J830,"Sí","No")))</f>
        <v/>
      </c>
      <c r="N830" s="23">
        <f>IF($A830="","",COUNTIFS(NOVEDADES!$C$4:$C$1503,$A830))</f>
        <v/>
      </c>
      <c r="O830" s="27">
        <f>IF($A830="","",IF(COUNTIFS(NOVEDADES!$C$4:$C$1503,$A830,NOVEDADES!$M$4:$M$1503,"SÍ")&gt;0,"No","Sí"))</f>
        <v/>
      </c>
      <c r="P830" s="27">
        <f>IF(OR($A830="",$K830=""),"",IF(AND($M830="Sí",$O830="Sí"),"OTIF","Falló"))</f>
        <v/>
      </c>
    </row>
    <row r="831" ht="16" customHeight="1">
      <c r="A831" s="47" t="n"/>
      <c r="B831" s="46" t="n"/>
      <c r="C831" s="49" t="n"/>
      <c r="D831" s="49" t="n"/>
      <c r="E831" s="49" t="n"/>
      <c r="F831" s="49" t="n"/>
      <c r="G831" s="47" t="n"/>
      <c r="H831" s="50" t="n"/>
      <c r="I831" s="51" t="n"/>
      <c r="J831" s="46" t="n"/>
      <c r="K831" s="46" t="n"/>
      <c r="L831" s="23">
        <f>IF(OR($A831="",$B831=""),"",IF($K831&lt;&gt;"",$K831-$B831,TODAY()-$B831))</f>
        <v/>
      </c>
      <c r="M831" s="27">
        <f>IF(OR($A831="",$J831=""),"",IF($K831="",IF(TODAY()&gt;$J831,"Atrasado","En ruta"),IF($K831&lt;=$J831,"Sí","No")))</f>
        <v/>
      </c>
      <c r="N831" s="23">
        <f>IF($A831="","",COUNTIFS(NOVEDADES!$C$4:$C$1503,$A831))</f>
        <v/>
      </c>
      <c r="O831" s="27">
        <f>IF($A831="","",IF(COUNTIFS(NOVEDADES!$C$4:$C$1503,$A831,NOVEDADES!$M$4:$M$1503,"SÍ")&gt;0,"No","Sí"))</f>
        <v/>
      </c>
      <c r="P831" s="27">
        <f>IF(OR($A831="",$K831=""),"",IF(AND($M831="Sí",$O831="Sí"),"OTIF","Falló"))</f>
        <v/>
      </c>
    </row>
    <row r="832" ht="16" customHeight="1">
      <c r="A832" s="47" t="n"/>
      <c r="B832" s="46" t="n"/>
      <c r="C832" s="49" t="n"/>
      <c r="D832" s="49" t="n"/>
      <c r="E832" s="49" t="n"/>
      <c r="F832" s="49" t="n"/>
      <c r="G832" s="47" t="n"/>
      <c r="H832" s="50" t="n"/>
      <c r="I832" s="51" t="n"/>
      <c r="J832" s="46" t="n"/>
      <c r="K832" s="46" t="n"/>
      <c r="L832" s="23">
        <f>IF(OR($A832="",$B832=""),"",IF($K832&lt;&gt;"",$K832-$B832,TODAY()-$B832))</f>
        <v/>
      </c>
      <c r="M832" s="27">
        <f>IF(OR($A832="",$J832=""),"",IF($K832="",IF(TODAY()&gt;$J832,"Atrasado","En ruta"),IF($K832&lt;=$J832,"Sí","No")))</f>
        <v/>
      </c>
      <c r="N832" s="23">
        <f>IF($A832="","",COUNTIFS(NOVEDADES!$C$4:$C$1503,$A832))</f>
        <v/>
      </c>
      <c r="O832" s="27">
        <f>IF($A832="","",IF(COUNTIFS(NOVEDADES!$C$4:$C$1503,$A832,NOVEDADES!$M$4:$M$1503,"SÍ")&gt;0,"No","Sí"))</f>
        <v/>
      </c>
      <c r="P832" s="27">
        <f>IF(OR($A832="",$K832=""),"",IF(AND($M832="Sí",$O832="Sí"),"OTIF","Falló"))</f>
        <v/>
      </c>
    </row>
    <row r="833" ht="16" customHeight="1">
      <c r="A833" s="47" t="n"/>
      <c r="B833" s="46" t="n"/>
      <c r="C833" s="49" t="n"/>
      <c r="D833" s="49" t="n"/>
      <c r="E833" s="49" t="n"/>
      <c r="F833" s="49" t="n"/>
      <c r="G833" s="47" t="n"/>
      <c r="H833" s="50" t="n"/>
      <c r="I833" s="51" t="n"/>
      <c r="J833" s="46" t="n"/>
      <c r="K833" s="46" t="n"/>
      <c r="L833" s="23">
        <f>IF(OR($A833="",$B833=""),"",IF($K833&lt;&gt;"",$K833-$B833,TODAY()-$B833))</f>
        <v/>
      </c>
      <c r="M833" s="27">
        <f>IF(OR($A833="",$J833=""),"",IF($K833="",IF(TODAY()&gt;$J833,"Atrasado","En ruta"),IF($K833&lt;=$J833,"Sí","No")))</f>
        <v/>
      </c>
      <c r="N833" s="23">
        <f>IF($A833="","",COUNTIFS(NOVEDADES!$C$4:$C$1503,$A833))</f>
        <v/>
      </c>
      <c r="O833" s="27">
        <f>IF($A833="","",IF(COUNTIFS(NOVEDADES!$C$4:$C$1503,$A833,NOVEDADES!$M$4:$M$1503,"SÍ")&gt;0,"No","Sí"))</f>
        <v/>
      </c>
      <c r="P833" s="27">
        <f>IF(OR($A833="",$K833=""),"",IF(AND($M833="Sí",$O833="Sí"),"OTIF","Falló"))</f>
        <v/>
      </c>
    </row>
    <row r="834" ht="16" customHeight="1">
      <c r="A834" s="47" t="n"/>
      <c r="B834" s="46" t="n"/>
      <c r="C834" s="49" t="n"/>
      <c r="D834" s="49" t="n"/>
      <c r="E834" s="49" t="n"/>
      <c r="F834" s="49" t="n"/>
      <c r="G834" s="47" t="n"/>
      <c r="H834" s="50" t="n"/>
      <c r="I834" s="51" t="n"/>
      <c r="J834" s="46" t="n"/>
      <c r="K834" s="46" t="n"/>
      <c r="L834" s="23">
        <f>IF(OR($A834="",$B834=""),"",IF($K834&lt;&gt;"",$K834-$B834,TODAY()-$B834))</f>
        <v/>
      </c>
      <c r="M834" s="27">
        <f>IF(OR($A834="",$J834=""),"",IF($K834="",IF(TODAY()&gt;$J834,"Atrasado","En ruta"),IF($K834&lt;=$J834,"Sí","No")))</f>
        <v/>
      </c>
      <c r="N834" s="23">
        <f>IF($A834="","",COUNTIFS(NOVEDADES!$C$4:$C$1503,$A834))</f>
        <v/>
      </c>
      <c r="O834" s="27">
        <f>IF($A834="","",IF(COUNTIFS(NOVEDADES!$C$4:$C$1503,$A834,NOVEDADES!$M$4:$M$1503,"SÍ")&gt;0,"No","Sí"))</f>
        <v/>
      </c>
      <c r="P834" s="27">
        <f>IF(OR($A834="",$K834=""),"",IF(AND($M834="Sí",$O834="Sí"),"OTIF","Falló"))</f>
        <v/>
      </c>
    </row>
    <row r="835" ht="16" customHeight="1">
      <c r="A835" s="47" t="n"/>
      <c r="B835" s="46" t="n"/>
      <c r="C835" s="49" t="n"/>
      <c r="D835" s="49" t="n"/>
      <c r="E835" s="49" t="n"/>
      <c r="F835" s="49" t="n"/>
      <c r="G835" s="47" t="n"/>
      <c r="H835" s="50" t="n"/>
      <c r="I835" s="51" t="n"/>
      <c r="J835" s="46" t="n"/>
      <c r="K835" s="46" t="n"/>
      <c r="L835" s="23">
        <f>IF(OR($A835="",$B835=""),"",IF($K835&lt;&gt;"",$K835-$B835,TODAY()-$B835))</f>
        <v/>
      </c>
      <c r="M835" s="27">
        <f>IF(OR($A835="",$J835=""),"",IF($K835="",IF(TODAY()&gt;$J835,"Atrasado","En ruta"),IF($K835&lt;=$J835,"Sí","No")))</f>
        <v/>
      </c>
      <c r="N835" s="23">
        <f>IF($A835="","",COUNTIFS(NOVEDADES!$C$4:$C$1503,$A835))</f>
        <v/>
      </c>
      <c r="O835" s="27">
        <f>IF($A835="","",IF(COUNTIFS(NOVEDADES!$C$4:$C$1503,$A835,NOVEDADES!$M$4:$M$1503,"SÍ")&gt;0,"No","Sí"))</f>
        <v/>
      </c>
      <c r="P835" s="27">
        <f>IF(OR($A835="",$K835=""),"",IF(AND($M835="Sí",$O835="Sí"),"OTIF","Falló"))</f>
        <v/>
      </c>
    </row>
    <row r="836" ht="16" customHeight="1">
      <c r="A836" s="47" t="n"/>
      <c r="B836" s="46" t="n"/>
      <c r="C836" s="49" t="n"/>
      <c r="D836" s="49" t="n"/>
      <c r="E836" s="49" t="n"/>
      <c r="F836" s="49" t="n"/>
      <c r="G836" s="47" t="n"/>
      <c r="H836" s="50" t="n"/>
      <c r="I836" s="51" t="n"/>
      <c r="J836" s="46" t="n"/>
      <c r="K836" s="46" t="n"/>
      <c r="L836" s="23">
        <f>IF(OR($A836="",$B836=""),"",IF($K836&lt;&gt;"",$K836-$B836,TODAY()-$B836))</f>
        <v/>
      </c>
      <c r="M836" s="27">
        <f>IF(OR($A836="",$J836=""),"",IF($K836="",IF(TODAY()&gt;$J836,"Atrasado","En ruta"),IF($K836&lt;=$J836,"Sí","No")))</f>
        <v/>
      </c>
      <c r="N836" s="23">
        <f>IF($A836="","",COUNTIFS(NOVEDADES!$C$4:$C$1503,$A836))</f>
        <v/>
      </c>
      <c r="O836" s="27">
        <f>IF($A836="","",IF(COUNTIFS(NOVEDADES!$C$4:$C$1503,$A836,NOVEDADES!$M$4:$M$1503,"SÍ")&gt;0,"No","Sí"))</f>
        <v/>
      </c>
      <c r="P836" s="27">
        <f>IF(OR($A836="",$K836=""),"",IF(AND($M836="Sí",$O836="Sí"),"OTIF","Falló"))</f>
        <v/>
      </c>
    </row>
    <row r="837" ht="16" customHeight="1">
      <c r="A837" s="47" t="n"/>
      <c r="B837" s="46" t="n"/>
      <c r="C837" s="49" t="n"/>
      <c r="D837" s="49" t="n"/>
      <c r="E837" s="49" t="n"/>
      <c r="F837" s="49" t="n"/>
      <c r="G837" s="47" t="n"/>
      <c r="H837" s="50" t="n"/>
      <c r="I837" s="51" t="n"/>
      <c r="J837" s="46" t="n"/>
      <c r="K837" s="46" t="n"/>
      <c r="L837" s="23">
        <f>IF(OR($A837="",$B837=""),"",IF($K837&lt;&gt;"",$K837-$B837,TODAY()-$B837))</f>
        <v/>
      </c>
      <c r="M837" s="27">
        <f>IF(OR($A837="",$J837=""),"",IF($K837="",IF(TODAY()&gt;$J837,"Atrasado","En ruta"),IF($K837&lt;=$J837,"Sí","No")))</f>
        <v/>
      </c>
      <c r="N837" s="23">
        <f>IF($A837="","",COUNTIFS(NOVEDADES!$C$4:$C$1503,$A837))</f>
        <v/>
      </c>
      <c r="O837" s="27">
        <f>IF($A837="","",IF(COUNTIFS(NOVEDADES!$C$4:$C$1503,$A837,NOVEDADES!$M$4:$M$1503,"SÍ")&gt;0,"No","Sí"))</f>
        <v/>
      </c>
      <c r="P837" s="27">
        <f>IF(OR($A837="",$K837=""),"",IF(AND($M837="Sí",$O837="Sí"),"OTIF","Falló"))</f>
        <v/>
      </c>
    </row>
    <row r="838" ht="16" customHeight="1">
      <c r="A838" s="47" t="n"/>
      <c r="B838" s="46" t="n"/>
      <c r="C838" s="49" t="n"/>
      <c r="D838" s="49" t="n"/>
      <c r="E838" s="49" t="n"/>
      <c r="F838" s="49" t="n"/>
      <c r="G838" s="47" t="n"/>
      <c r="H838" s="50" t="n"/>
      <c r="I838" s="51" t="n"/>
      <c r="J838" s="46" t="n"/>
      <c r="K838" s="46" t="n"/>
      <c r="L838" s="23">
        <f>IF(OR($A838="",$B838=""),"",IF($K838&lt;&gt;"",$K838-$B838,TODAY()-$B838))</f>
        <v/>
      </c>
      <c r="M838" s="27">
        <f>IF(OR($A838="",$J838=""),"",IF($K838="",IF(TODAY()&gt;$J838,"Atrasado","En ruta"),IF($K838&lt;=$J838,"Sí","No")))</f>
        <v/>
      </c>
      <c r="N838" s="23">
        <f>IF($A838="","",COUNTIFS(NOVEDADES!$C$4:$C$1503,$A838))</f>
        <v/>
      </c>
      <c r="O838" s="27">
        <f>IF($A838="","",IF(COUNTIFS(NOVEDADES!$C$4:$C$1503,$A838,NOVEDADES!$M$4:$M$1503,"SÍ")&gt;0,"No","Sí"))</f>
        <v/>
      </c>
      <c r="P838" s="27">
        <f>IF(OR($A838="",$K838=""),"",IF(AND($M838="Sí",$O838="Sí"),"OTIF","Falló"))</f>
        <v/>
      </c>
    </row>
    <row r="839" ht="16" customHeight="1">
      <c r="A839" s="47" t="n"/>
      <c r="B839" s="46" t="n"/>
      <c r="C839" s="49" t="n"/>
      <c r="D839" s="49" t="n"/>
      <c r="E839" s="49" t="n"/>
      <c r="F839" s="49" t="n"/>
      <c r="G839" s="47" t="n"/>
      <c r="H839" s="50" t="n"/>
      <c r="I839" s="51" t="n"/>
      <c r="J839" s="46" t="n"/>
      <c r="K839" s="46" t="n"/>
      <c r="L839" s="23">
        <f>IF(OR($A839="",$B839=""),"",IF($K839&lt;&gt;"",$K839-$B839,TODAY()-$B839))</f>
        <v/>
      </c>
      <c r="M839" s="27">
        <f>IF(OR($A839="",$J839=""),"",IF($K839="",IF(TODAY()&gt;$J839,"Atrasado","En ruta"),IF($K839&lt;=$J839,"Sí","No")))</f>
        <v/>
      </c>
      <c r="N839" s="23">
        <f>IF($A839="","",COUNTIFS(NOVEDADES!$C$4:$C$1503,$A839))</f>
        <v/>
      </c>
      <c r="O839" s="27">
        <f>IF($A839="","",IF(COUNTIFS(NOVEDADES!$C$4:$C$1503,$A839,NOVEDADES!$M$4:$M$1503,"SÍ")&gt;0,"No","Sí"))</f>
        <v/>
      </c>
      <c r="P839" s="27">
        <f>IF(OR($A839="",$K839=""),"",IF(AND($M839="Sí",$O839="Sí"),"OTIF","Falló"))</f>
        <v/>
      </c>
    </row>
    <row r="840" ht="16" customHeight="1">
      <c r="A840" s="47" t="n"/>
      <c r="B840" s="46" t="n"/>
      <c r="C840" s="49" t="n"/>
      <c r="D840" s="49" t="n"/>
      <c r="E840" s="49" t="n"/>
      <c r="F840" s="49" t="n"/>
      <c r="G840" s="47" t="n"/>
      <c r="H840" s="50" t="n"/>
      <c r="I840" s="51" t="n"/>
      <c r="J840" s="46" t="n"/>
      <c r="K840" s="46" t="n"/>
      <c r="L840" s="23">
        <f>IF(OR($A840="",$B840=""),"",IF($K840&lt;&gt;"",$K840-$B840,TODAY()-$B840))</f>
        <v/>
      </c>
      <c r="M840" s="27">
        <f>IF(OR($A840="",$J840=""),"",IF($K840="",IF(TODAY()&gt;$J840,"Atrasado","En ruta"),IF($K840&lt;=$J840,"Sí","No")))</f>
        <v/>
      </c>
      <c r="N840" s="23">
        <f>IF($A840="","",COUNTIFS(NOVEDADES!$C$4:$C$1503,$A840))</f>
        <v/>
      </c>
      <c r="O840" s="27">
        <f>IF($A840="","",IF(COUNTIFS(NOVEDADES!$C$4:$C$1503,$A840,NOVEDADES!$M$4:$M$1503,"SÍ")&gt;0,"No","Sí"))</f>
        <v/>
      </c>
      <c r="P840" s="27">
        <f>IF(OR($A840="",$K840=""),"",IF(AND($M840="Sí",$O840="Sí"),"OTIF","Falló"))</f>
        <v/>
      </c>
    </row>
    <row r="841" ht="16" customHeight="1">
      <c r="A841" s="47" t="n"/>
      <c r="B841" s="46" t="n"/>
      <c r="C841" s="49" t="n"/>
      <c r="D841" s="49" t="n"/>
      <c r="E841" s="49" t="n"/>
      <c r="F841" s="49" t="n"/>
      <c r="G841" s="47" t="n"/>
      <c r="H841" s="50" t="n"/>
      <c r="I841" s="51" t="n"/>
      <c r="J841" s="46" t="n"/>
      <c r="K841" s="46" t="n"/>
      <c r="L841" s="23">
        <f>IF(OR($A841="",$B841=""),"",IF($K841&lt;&gt;"",$K841-$B841,TODAY()-$B841))</f>
        <v/>
      </c>
      <c r="M841" s="27">
        <f>IF(OR($A841="",$J841=""),"",IF($K841="",IF(TODAY()&gt;$J841,"Atrasado","En ruta"),IF($K841&lt;=$J841,"Sí","No")))</f>
        <v/>
      </c>
      <c r="N841" s="23">
        <f>IF($A841="","",COUNTIFS(NOVEDADES!$C$4:$C$1503,$A841))</f>
        <v/>
      </c>
      <c r="O841" s="27">
        <f>IF($A841="","",IF(COUNTIFS(NOVEDADES!$C$4:$C$1503,$A841,NOVEDADES!$M$4:$M$1503,"SÍ")&gt;0,"No","Sí"))</f>
        <v/>
      </c>
      <c r="P841" s="27">
        <f>IF(OR($A841="",$K841=""),"",IF(AND($M841="Sí",$O841="Sí"),"OTIF","Falló"))</f>
        <v/>
      </c>
    </row>
    <row r="842" ht="16" customHeight="1">
      <c r="A842" s="47" t="n"/>
      <c r="B842" s="46" t="n"/>
      <c r="C842" s="49" t="n"/>
      <c r="D842" s="49" t="n"/>
      <c r="E842" s="49" t="n"/>
      <c r="F842" s="49" t="n"/>
      <c r="G842" s="47" t="n"/>
      <c r="H842" s="50" t="n"/>
      <c r="I842" s="51" t="n"/>
      <c r="J842" s="46" t="n"/>
      <c r="K842" s="46" t="n"/>
      <c r="L842" s="23">
        <f>IF(OR($A842="",$B842=""),"",IF($K842&lt;&gt;"",$K842-$B842,TODAY()-$B842))</f>
        <v/>
      </c>
      <c r="M842" s="27">
        <f>IF(OR($A842="",$J842=""),"",IF($K842="",IF(TODAY()&gt;$J842,"Atrasado","En ruta"),IF($K842&lt;=$J842,"Sí","No")))</f>
        <v/>
      </c>
      <c r="N842" s="23">
        <f>IF($A842="","",COUNTIFS(NOVEDADES!$C$4:$C$1503,$A842))</f>
        <v/>
      </c>
      <c r="O842" s="27">
        <f>IF($A842="","",IF(COUNTIFS(NOVEDADES!$C$4:$C$1503,$A842,NOVEDADES!$M$4:$M$1503,"SÍ")&gt;0,"No","Sí"))</f>
        <v/>
      </c>
      <c r="P842" s="27">
        <f>IF(OR($A842="",$K842=""),"",IF(AND($M842="Sí",$O842="Sí"),"OTIF","Falló"))</f>
        <v/>
      </c>
    </row>
    <row r="843" ht="16" customHeight="1">
      <c r="A843" s="47" t="n"/>
      <c r="B843" s="46" t="n"/>
      <c r="C843" s="49" t="n"/>
      <c r="D843" s="49" t="n"/>
      <c r="E843" s="49" t="n"/>
      <c r="F843" s="49" t="n"/>
      <c r="G843" s="47" t="n"/>
      <c r="H843" s="50" t="n"/>
      <c r="I843" s="51" t="n"/>
      <c r="J843" s="46" t="n"/>
      <c r="K843" s="46" t="n"/>
      <c r="L843" s="23">
        <f>IF(OR($A843="",$B843=""),"",IF($K843&lt;&gt;"",$K843-$B843,TODAY()-$B843))</f>
        <v/>
      </c>
      <c r="M843" s="27">
        <f>IF(OR($A843="",$J843=""),"",IF($K843="",IF(TODAY()&gt;$J843,"Atrasado","En ruta"),IF($K843&lt;=$J843,"Sí","No")))</f>
        <v/>
      </c>
      <c r="N843" s="23">
        <f>IF($A843="","",COUNTIFS(NOVEDADES!$C$4:$C$1503,$A843))</f>
        <v/>
      </c>
      <c r="O843" s="27">
        <f>IF($A843="","",IF(COUNTIFS(NOVEDADES!$C$4:$C$1503,$A843,NOVEDADES!$M$4:$M$1503,"SÍ")&gt;0,"No","Sí"))</f>
        <v/>
      </c>
      <c r="P843" s="27">
        <f>IF(OR($A843="",$K843=""),"",IF(AND($M843="Sí",$O843="Sí"),"OTIF","Falló"))</f>
        <v/>
      </c>
    </row>
    <row r="844" ht="16" customHeight="1">
      <c r="A844" s="47" t="n"/>
      <c r="B844" s="46" t="n"/>
      <c r="C844" s="49" t="n"/>
      <c r="D844" s="49" t="n"/>
      <c r="E844" s="49" t="n"/>
      <c r="F844" s="49" t="n"/>
      <c r="G844" s="47" t="n"/>
      <c r="H844" s="50" t="n"/>
      <c r="I844" s="51" t="n"/>
      <c r="J844" s="46" t="n"/>
      <c r="K844" s="46" t="n"/>
      <c r="L844" s="23">
        <f>IF(OR($A844="",$B844=""),"",IF($K844&lt;&gt;"",$K844-$B844,TODAY()-$B844))</f>
        <v/>
      </c>
      <c r="M844" s="27">
        <f>IF(OR($A844="",$J844=""),"",IF($K844="",IF(TODAY()&gt;$J844,"Atrasado","En ruta"),IF($K844&lt;=$J844,"Sí","No")))</f>
        <v/>
      </c>
      <c r="N844" s="23">
        <f>IF($A844="","",COUNTIFS(NOVEDADES!$C$4:$C$1503,$A844))</f>
        <v/>
      </c>
      <c r="O844" s="27">
        <f>IF($A844="","",IF(COUNTIFS(NOVEDADES!$C$4:$C$1503,$A844,NOVEDADES!$M$4:$M$1503,"SÍ")&gt;0,"No","Sí"))</f>
        <v/>
      </c>
      <c r="P844" s="27">
        <f>IF(OR($A844="",$K844=""),"",IF(AND($M844="Sí",$O844="Sí"),"OTIF","Falló"))</f>
        <v/>
      </c>
    </row>
    <row r="845" ht="16" customHeight="1">
      <c r="A845" s="47" t="n"/>
      <c r="B845" s="46" t="n"/>
      <c r="C845" s="49" t="n"/>
      <c r="D845" s="49" t="n"/>
      <c r="E845" s="49" t="n"/>
      <c r="F845" s="49" t="n"/>
      <c r="G845" s="47" t="n"/>
      <c r="H845" s="50" t="n"/>
      <c r="I845" s="51" t="n"/>
      <c r="J845" s="46" t="n"/>
      <c r="K845" s="46" t="n"/>
      <c r="L845" s="23">
        <f>IF(OR($A845="",$B845=""),"",IF($K845&lt;&gt;"",$K845-$B845,TODAY()-$B845))</f>
        <v/>
      </c>
      <c r="M845" s="27">
        <f>IF(OR($A845="",$J845=""),"",IF($K845="",IF(TODAY()&gt;$J845,"Atrasado","En ruta"),IF($K845&lt;=$J845,"Sí","No")))</f>
        <v/>
      </c>
      <c r="N845" s="23">
        <f>IF($A845="","",COUNTIFS(NOVEDADES!$C$4:$C$1503,$A845))</f>
        <v/>
      </c>
      <c r="O845" s="27">
        <f>IF($A845="","",IF(COUNTIFS(NOVEDADES!$C$4:$C$1503,$A845,NOVEDADES!$M$4:$M$1503,"SÍ")&gt;0,"No","Sí"))</f>
        <v/>
      </c>
      <c r="P845" s="27">
        <f>IF(OR($A845="",$K845=""),"",IF(AND($M845="Sí",$O845="Sí"),"OTIF","Falló"))</f>
        <v/>
      </c>
    </row>
    <row r="846" ht="16" customHeight="1">
      <c r="A846" s="47" t="n"/>
      <c r="B846" s="46" t="n"/>
      <c r="C846" s="49" t="n"/>
      <c r="D846" s="49" t="n"/>
      <c r="E846" s="49" t="n"/>
      <c r="F846" s="49" t="n"/>
      <c r="G846" s="47" t="n"/>
      <c r="H846" s="50" t="n"/>
      <c r="I846" s="51" t="n"/>
      <c r="J846" s="46" t="n"/>
      <c r="K846" s="46" t="n"/>
      <c r="L846" s="23">
        <f>IF(OR($A846="",$B846=""),"",IF($K846&lt;&gt;"",$K846-$B846,TODAY()-$B846))</f>
        <v/>
      </c>
      <c r="M846" s="27">
        <f>IF(OR($A846="",$J846=""),"",IF($K846="",IF(TODAY()&gt;$J846,"Atrasado","En ruta"),IF($K846&lt;=$J846,"Sí","No")))</f>
        <v/>
      </c>
      <c r="N846" s="23">
        <f>IF($A846="","",COUNTIFS(NOVEDADES!$C$4:$C$1503,$A846))</f>
        <v/>
      </c>
      <c r="O846" s="27">
        <f>IF($A846="","",IF(COUNTIFS(NOVEDADES!$C$4:$C$1503,$A846,NOVEDADES!$M$4:$M$1503,"SÍ")&gt;0,"No","Sí"))</f>
        <v/>
      </c>
      <c r="P846" s="27">
        <f>IF(OR($A846="",$K846=""),"",IF(AND($M846="Sí",$O846="Sí"),"OTIF","Falló"))</f>
        <v/>
      </c>
    </row>
    <row r="847" ht="16" customHeight="1">
      <c r="A847" s="47" t="n"/>
      <c r="B847" s="46" t="n"/>
      <c r="C847" s="49" t="n"/>
      <c r="D847" s="49" t="n"/>
      <c r="E847" s="49" t="n"/>
      <c r="F847" s="49" t="n"/>
      <c r="G847" s="47" t="n"/>
      <c r="H847" s="50" t="n"/>
      <c r="I847" s="51" t="n"/>
      <c r="J847" s="46" t="n"/>
      <c r="K847" s="46" t="n"/>
      <c r="L847" s="23">
        <f>IF(OR($A847="",$B847=""),"",IF($K847&lt;&gt;"",$K847-$B847,TODAY()-$B847))</f>
        <v/>
      </c>
      <c r="M847" s="27">
        <f>IF(OR($A847="",$J847=""),"",IF($K847="",IF(TODAY()&gt;$J847,"Atrasado","En ruta"),IF($K847&lt;=$J847,"Sí","No")))</f>
        <v/>
      </c>
      <c r="N847" s="23">
        <f>IF($A847="","",COUNTIFS(NOVEDADES!$C$4:$C$1503,$A847))</f>
        <v/>
      </c>
      <c r="O847" s="27">
        <f>IF($A847="","",IF(COUNTIFS(NOVEDADES!$C$4:$C$1503,$A847,NOVEDADES!$M$4:$M$1503,"SÍ")&gt;0,"No","Sí"))</f>
        <v/>
      </c>
      <c r="P847" s="27">
        <f>IF(OR($A847="",$K847=""),"",IF(AND($M847="Sí",$O847="Sí"),"OTIF","Falló"))</f>
        <v/>
      </c>
    </row>
    <row r="848" ht="16" customHeight="1">
      <c r="A848" s="47" t="n"/>
      <c r="B848" s="46" t="n"/>
      <c r="C848" s="49" t="n"/>
      <c r="D848" s="49" t="n"/>
      <c r="E848" s="49" t="n"/>
      <c r="F848" s="49" t="n"/>
      <c r="G848" s="47" t="n"/>
      <c r="H848" s="50" t="n"/>
      <c r="I848" s="51" t="n"/>
      <c r="J848" s="46" t="n"/>
      <c r="K848" s="46" t="n"/>
      <c r="L848" s="23">
        <f>IF(OR($A848="",$B848=""),"",IF($K848&lt;&gt;"",$K848-$B848,TODAY()-$B848))</f>
        <v/>
      </c>
      <c r="M848" s="27">
        <f>IF(OR($A848="",$J848=""),"",IF($K848="",IF(TODAY()&gt;$J848,"Atrasado","En ruta"),IF($K848&lt;=$J848,"Sí","No")))</f>
        <v/>
      </c>
      <c r="N848" s="23">
        <f>IF($A848="","",COUNTIFS(NOVEDADES!$C$4:$C$1503,$A848))</f>
        <v/>
      </c>
      <c r="O848" s="27">
        <f>IF($A848="","",IF(COUNTIFS(NOVEDADES!$C$4:$C$1503,$A848,NOVEDADES!$M$4:$M$1503,"SÍ")&gt;0,"No","Sí"))</f>
        <v/>
      </c>
      <c r="P848" s="27">
        <f>IF(OR($A848="",$K848=""),"",IF(AND($M848="Sí",$O848="Sí"),"OTIF","Falló"))</f>
        <v/>
      </c>
    </row>
    <row r="849" ht="16" customHeight="1">
      <c r="A849" s="47" t="n"/>
      <c r="B849" s="46" t="n"/>
      <c r="C849" s="49" t="n"/>
      <c r="D849" s="49" t="n"/>
      <c r="E849" s="49" t="n"/>
      <c r="F849" s="49" t="n"/>
      <c r="G849" s="47" t="n"/>
      <c r="H849" s="50" t="n"/>
      <c r="I849" s="51" t="n"/>
      <c r="J849" s="46" t="n"/>
      <c r="K849" s="46" t="n"/>
      <c r="L849" s="23">
        <f>IF(OR($A849="",$B849=""),"",IF($K849&lt;&gt;"",$K849-$B849,TODAY()-$B849))</f>
        <v/>
      </c>
      <c r="M849" s="27">
        <f>IF(OR($A849="",$J849=""),"",IF($K849="",IF(TODAY()&gt;$J849,"Atrasado","En ruta"),IF($K849&lt;=$J849,"Sí","No")))</f>
        <v/>
      </c>
      <c r="N849" s="23">
        <f>IF($A849="","",COUNTIFS(NOVEDADES!$C$4:$C$1503,$A849))</f>
        <v/>
      </c>
      <c r="O849" s="27">
        <f>IF($A849="","",IF(COUNTIFS(NOVEDADES!$C$4:$C$1503,$A849,NOVEDADES!$M$4:$M$1503,"SÍ")&gt;0,"No","Sí"))</f>
        <v/>
      </c>
      <c r="P849" s="27">
        <f>IF(OR($A849="",$K849=""),"",IF(AND($M849="Sí",$O849="Sí"),"OTIF","Falló"))</f>
        <v/>
      </c>
    </row>
    <row r="850" ht="16" customHeight="1">
      <c r="A850" s="47" t="n"/>
      <c r="B850" s="46" t="n"/>
      <c r="C850" s="49" t="n"/>
      <c r="D850" s="49" t="n"/>
      <c r="E850" s="49" t="n"/>
      <c r="F850" s="49" t="n"/>
      <c r="G850" s="47" t="n"/>
      <c r="H850" s="50" t="n"/>
      <c r="I850" s="51" t="n"/>
      <c r="J850" s="46" t="n"/>
      <c r="K850" s="46" t="n"/>
      <c r="L850" s="23">
        <f>IF(OR($A850="",$B850=""),"",IF($K850&lt;&gt;"",$K850-$B850,TODAY()-$B850))</f>
        <v/>
      </c>
      <c r="M850" s="27">
        <f>IF(OR($A850="",$J850=""),"",IF($K850="",IF(TODAY()&gt;$J850,"Atrasado","En ruta"),IF($K850&lt;=$J850,"Sí","No")))</f>
        <v/>
      </c>
      <c r="N850" s="23">
        <f>IF($A850="","",COUNTIFS(NOVEDADES!$C$4:$C$1503,$A850))</f>
        <v/>
      </c>
      <c r="O850" s="27">
        <f>IF($A850="","",IF(COUNTIFS(NOVEDADES!$C$4:$C$1503,$A850,NOVEDADES!$M$4:$M$1503,"SÍ")&gt;0,"No","Sí"))</f>
        <v/>
      </c>
      <c r="P850" s="27">
        <f>IF(OR($A850="",$K850=""),"",IF(AND($M850="Sí",$O850="Sí"),"OTIF","Falló"))</f>
        <v/>
      </c>
    </row>
    <row r="851" ht="16" customHeight="1">
      <c r="A851" s="47" t="n"/>
      <c r="B851" s="46" t="n"/>
      <c r="C851" s="49" t="n"/>
      <c r="D851" s="49" t="n"/>
      <c r="E851" s="49" t="n"/>
      <c r="F851" s="49" t="n"/>
      <c r="G851" s="47" t="n"/>
      <c r="H851" s="50" t="n"/>
      <c r="I851" s="51" t="n"/>
      <c r="J851" s="46" t="n"/>
      <c r="K851" s="46" t="n"/>
      <c r="L851" s="23">
        <f>IF(OR($A851="",$B851=""),"",IF($K851&lt;&gt;"",$K851-$B851,TODAY()-$B851))</f>
        <v/>
      </c>
      <c r="M851" s="27">
        <f>IF(OR($A851="",$J851=""),"",IF($K851="",IF(TODAY()&gt;$J851,"Atrasado","En ruta"),IF($K851&lt;=$J851,"Sí","No")))</f>
        <v/>
      </c>
      <c r="N851" s="23">
        <f>IF($A851="","",COUNTIFS(NOVEDADES!$C$4:$C$1503,$A851))</f>
        <v/>
      </c>
      <c r="O851" s="27">
        <f>IF($A851="","",IF(COUNTIFS(NOVEDADES!$C$4:$C$1503,$A851,NOVEDADES!$M$4:$M$1503,"SÍ")&gt;0,"No","Sí"))</f>
        <v/>
      </c>
      <c r="P851" s="27">
        <f>IF(OR($A851="",$K851=""),"",IF(AND($M851="Sí",$O851="Sí"),"OTIF","Falló"))</f>
        <v/>
      </c>
    </row>
    <row r="852" ht="16" customHeight="1">
      <c r="A852" s="47" t="n"/>
      <c r="B852" s="46" t="n"/>
      <c r="C852" s="49" t="n"/>
      <c r="D852" s="49" t="n"/>
      <c r="E852" s="49" t="n"/>
      <c r="F852" s="49" t="n"/>
      <c r="G852" s="47" t="n"/>
      <c r="H852" s="50" t="n"/>
      <c r="I852" s="51" t="n"/>
      <c r="J852" s="46" t="n"/>
      <c r="K852" s="46" t="n"/>
      <c r="L852" s="23">
        <f>IF(OR($A852="",$B852=""),"",IF($K852&lt;&gt;"",$K852-$B852,TODAY()-$B852))</f>
        <v/>
      </c>
      <c r="M852" s="27">
        <f>IF(OR($A852="",$J852=""),"",IF($K852="",IF(TODAY()&gt;$J852,"Atrasado","En ruta"),IF($K852&lt;=$J852,"Sí","No")))</f>
        <v/>
      </c>
      <c r="N852" s="23">
        <f>IF($A852="","",COUNTIFS(NOVEDADES!$C$4:$C$1503,$A852))</f>
        <v/>
      </c>
      <c r="O852" s="27">
        <f>IF($A852="","",IF(COUNTIFS(NOVEDADES!$C$4:$C$1503,$A852,NOVEDADES!$M$4:$M$1503,"SÍ")&gt;0,"No","Sí"))</f>
        <v/>
      </c>
      <c r="P852" s="27">
        <f>IF(OR($A852="",$K852=""),"",IF(AND($M852="Sí",$O852="Sí"),"OTIF","Falló"))</f>
        <v/>
      </c>
    </row>
    <row r="853" ht="16" customHeight="1">
      <c r="A853" s="47" t="n"/>
      <c r="B853" s="46" t="n"/>
      <c r="C853" s="49" t="n"/>
      <c r="D853" s="49" t="n"/>
      <c r="E853" s="49" t="n"/>
      <c r="F853" s="49" t="n"/>
      <c r="G853" s="47" t="n"/>
      <c r="H853" s="50" t="n"/>
      <c r="I853" s="51" t="n"/>
      <c r="J853" s="46" t="n"/>
      <c r="K853" s="46" t="n"/>
      <c r="L853" s="23">
        <f>IF(OR($A853="",$B853=""),"",IF($K853&lt;&gt;"",$K853-$B853,TODAY()-$B853))</f>
        <v/>
      </c>
      <c r="M853" s="27">
        <f>IF(OR($A853="",$J853=""),"",IF($K853="",IF(TODAY()&gt;$J853,"Atrasado","En ruta"),IF($K853&lt;=$J853,"Sí","No")))</f>
        <v/>
      </c>
      <c r="N853" s="23">
        <f>IF($A853="","",COUNTIFS(NOVEDADES!$C$4:$C$1503,$A853))</f>
        <v/>
      </c>
      <c r="O853" s="27">
        <f>IF($A853="","",IF(COUNTIFS(NOVEDADES!$C$4:$C$1503,$A853,NOVEDADES!$M$4:$M$1503,"SÍ")&gt;0,"No","Sí"))</f>
        <v/>
      </c>
      <c r="P853" s="27">
        <f>IF(OR($A853="",$K853=""),"",IF(AND($M853="Sí",$O853="Sí"),"OTIF","Falló"))</f>
        <v/>
      </c>
    </row>
    <row r="854" ht="16" customHeight="1">
      <c r="A854" s="47" t="n"/>
      <c r="B854" s="46" t="n"/>
      <c r="C854" s="49" t="n"/>
      <c r="D854" s="49" t="n"/>
      <c r="E854" s="49" t="n"/>
      <c r="F854" s="49" t="n"/>
      <c r="G854" s="47" t="n"/>
      <c r="H854" s="50" t="n"/>
      <c r="I854" s="51" t="n"/>
      <c r="J854" s="46" t="n"/>
      <c r="K854" s="46" t="n"/>
      <c r="L854" s="23">
        <f>IF(OR($A854="",$B854=""),"",IF($K854&lt;&gt;"",$K854-$B854,TODAY()-$B854))</f>
        <v/>
      </c>
      <c r="M854" s="27">
        <f>IF(OR($A854="",$J854=""),"",IF($K854="",IF(TODAY()&gt;$J854,"Atrasado","En ruta"),IF($K854&lt;=$J854,"Sí","No")))</f>
        <v/>
      </c>
      <c r="N854" s="23">
        <f>IF($A854="","",COUNTIFS(NOVEDADES!$C$4:$C$1503,$A854))</f>
        <v/>
      </c>
      <c r="O854" s="27">
        <f>IF($A854="","",IF(COUNTIFS(NOVEDADES!$C$4:$C$1503,$A854,NOVEDADES!$M$4:$M$1503,"SÍ")&gt;0,"No","Sí"))</f>
        <v/>
      </c>
      <c r="P854" s="27">
        <f>IF(OR($A854="",$K854=""),"",IF(AND($M854="Sí",$O854="Sí"),"OTIF","Falló"))</f>
        <v/>
      </c>
    </row>
    <row r="855" ht="16" customHeight="1">
      <c r="A855" s="47" t="n"/>
      <c r="B855" s="46" t="n"/>
      <c r="C855" s="49" t="n"/>
      <c r="D855" s="49" t="n"/>
      <c r="E855" s="49" t="n"/>
      <c r="F855" s="49" t="n"/>
      <c r="G855" s="47" t="n"/>
      <c r="H855" s="50" t="n"/>
      <c r="I855" s="51" t="n"/>
      <c r="J855" s="46" t="n"/>
      <c r="K855" s="46" t="n"/>
      <c r="L855" s="23">
        <f>IF(OR($A855="",$B855=""),"",IF($K855&lt;&gt;"",$K855-$B855,TODAY()-$B855))</f>
        <v/>
      </c>
      <c r="M855" s="27">
        <f>IF(OR($A855="",$J855=""),"",IF($K855="",IF(TODAY()&gt;$J855,"Atrasado","En ruta"),IF($K855&lt;=$J855,"Sí","No")))</f>
        <v/>
      </c>
      <c r="N855" s="23">
        <f>IF($A855="","",COUNTIFS(NOVEDADES!$C$4:$C$1503,$A855))</f>
        <v/>
      </c>
      <c r="O855" s="27">
        <f>IF($A855="","",IF(COUNTIFS(NOVEDADES!$C$4:$C$1503,$A855,NOVEDADES!$M$4:$M$1503,"SÍ")&gt;0,"No","Sí"))</f>
        <v/>
      </c>
      <c r="P855" s="27">
        <f>IF(OR($A855="",$K855=""),"",IF(AND($M855="Sí",$O855="Sí"),"OTIF","Falló"))</f>
        <v/>
      </c>
    </row>
    <row r="856" ht="16" customHeight="1">
      <c r="A856" s="47" t="n"/>
      <c r="B856" s="46" t="n"/>
      <c r="C856" s="49" t="n"/>
      <c r="D856" s="49" t="n"/>
      <c r="E856" s="49" t="n"/>
      <c r="F856" s="49" t="n"/>
      <c r="G856" s="47" t="n"/>
      <c r="H856" s="50" t="n"/>
      <c r="I856" s="51" t="n"/>
      <c r="J856" s="46" t="n"/>
      <c r="K856" s="46" t="n"/>
      <c r="L856" s="23">
        <f>IF(OR($A856="",$B856=""),"",IF($K856&lt;&gt;"",$K856-$B856,TODAY()-$B856))</f>
        <v/>
      </c>
      <c r="M856" s="27">
        <f>IF(OR($A856="",$J856=""),"",IF($K856="",IF(TODAY()&gt;$J856,"Atrasado","En ruta"),IF($K856&lt;=$J856,"Sí","No")))</f>
        <v/>
      </c>
      <c r="N856" s="23">
        <f>IF($A856="","",COUNTIFS(NOVEDADES!$C$4:$C$1503,$A856))</f>
        <v/>
      </c>
      <c r="O856" s="27">
        <f>IF($A856="","",IF(COUNTIFS(NOVEDADES!$C$4:$C$1503,$A856,NOVEDADES!$M$4:$M$1503,"SÍ")&gt;0,"No","Sí"))</f>
        <v/>
      </c>
      <c r="P856" s="27">
        <f>IF(OR($A856="",$K856=""),"",IF(AND($M856="Sí",$O856="Sí"),"OTIF","Falló"))</f>
        <v/>
      </c>
    </row>
    <row r="857" ht="16" customHeight="1">
      <c r="A857" s="47" t="n"/>
      <c r="B857" s="46" t="n"/>
      <c r="C857" s="49" t="n"/>
      <c r="D857" s="49" t="n"/>
      <c r="E857" s="49" t="n"/>
      <c r="F857" s="49" t="n"/>
      <c r="G857" s="47" t="n"/>
      <c r="H857" s="50" t="n"/>
      <c r="I857" s="51" t="n"/>
      <c r="J857" s="46" t="n"/>
      <c r="K857" s="46" t="n"/>
      <c r="L857" s="23">
        <f>IF(OR($A857="",$B857=""),"",IF($K857&lt;&gt;"",$K857-$B857,TODAY()-$B857))</f>
        <v/>
      </c>
      <c r="M857" s="27">
        <f>IF(OR($A857="",$J857=""),"",IF($K857="",IF(TODAY()&gt;$J857,"Atrasado","En ruta"),IF($K857&lt;=$J857,"Sí","No")))</f>
        <v/>
      </c>
      <c r="N857" s="23">
        <f>IF($A857="","",COUNTIFS(NOVEDADES!$C$4:$C$1503,$A857))</f>
        <v/>
      </c>
      <c r="O857" s="27">
        <f>IF($A857="","",IF(COUNTIFS(NOVEDADES!$C$4:$C$1503,$A857,NOVEDADES!$M$4:$M$1503,"SÍ")&gt;0,"No","Sí"))</f>
        <v/>
      </c>
      <c r="P857" s="27">
        <f>IF(OR($A857="",$K857=""),"",IF(AND($M857="Sí",$O857="Sí"),"OTIF","Falló"))</f>
        <v/>
      </c>
    </row>
    <row r="858" ht="16" customHeight="1">
      <c r="A858" s="47" t="n"/>
      <c r="B858" s="46" t="n"/>
      <c r="C858" s="49" t="n"/>
      <c r="D858" s="49" t="n"/>
      <c r="E858" s="49" t="n"/>
      <c r="F858" s="49" t="n"/>
      <c r="G858" s="47" t="n"/>
      <c r="H858" s="50" t="n"/>
      <c r="I858" s="51" t="n"/>
      <c r="J858" s="46" t="n"/>
      <c r="K858" s="46" t="n"/>
      <c r="L858" s="23">
        <f>IF(OR($A858="",$B858=""),"",IF($K858&lt;&gt;"",$K858-$B858,TODAY()-$B858))</f>
        <v/>
      </c>
      <c r="M858" s="27">
        <f>IF(OR($A858="",$J858=""),"",IF($K858="",IF(TODAY()&gt;$J858,"Atrasado","En ruta"),IF($K858&lt;=$J858,"Sí","No")))</f>
        <v/>
      </c>
      <c r="N858" s="23">
        <f>IF($A858="","",COUNTIFS(NOVEDADES!$C$4:$C$1503,$A858))</f>
        <v/>
      </c>
      <c r="O858" s="27">
        <f>IF($A858="","",IF(COUNTIFS(NOVEDADES!$C$4:$C$1503,$A858,NOVEDADES!$M$4:$M$1503,"SÍ")&gt;0,"No","Sí"))</f>
        <v/>
      </c>
      <c r="P858" s="27">
        <f>IF(OR($A858="",$K858=""),"",IF(AND($M858="Sí",$O858="Sí"),"OTIF","Falló"))</f>
        <v/>
      </c>
    </row>
    <row r="859" ht="16" customHeight="1">
      <c r="A859" s="47" t="n"/>
      <c r="B859" s="46" t="n"/>
      <c r="C859" s="49" t="n"/>
      <c r="D859" s="49" t="n"/>
      <c r="E859" s="49" t="n"/>
      <c r="F859" s="49" t="n"/>
      <c r="G859" s="47" t="n"/>
      <c r="H859" s="50" t="n"/>
      <c r="I859" s="51" t="n"/>
      <c r="J859" s="46" t="n"/>
      <c r="K859" s="46" t="n"/>
      <c r="L859" s="23">
        <f>IF(OR($A859="",$B859=""),"",IF($K859&lt;&gt;"",$K859-$B859,TODAY()-$B859))</f>
        <v/>
      </c>
      <c r="M859" s="27">
        <f>IF(OR($A859="",$J859=""),"",IF($K859="",IF(TODAY()&gt;$J859,"Atrasado","En ruta"),IF($K859&lt;=$J859,"Sí","No")))</f>
        <v/>
      </c>
      <c r="N859" s="23">
        <f>IF($A859="","",COUNTIFS(NOVEDADES!$C$4:$C$1503,$A859))</f>
        <v/>
      </c>
      <c r="O859" s="27">
        <f>IF($A859="","",IF(COUNTIFS(NOVEDADES!$C$4:$C$1503,$A859,NOVEDADES!$M$4:$M$1503,"SÍ")&gt;0,"No","Sí"))</f>
        <v/>
      </c>
      <c r="P859" s="27">
        <f>IF(OR($A859="",$K859=""),"",IF(AND($M859="Sí",$O859="Sí"),"OTIF","Falló"))</f>
        <v/>
      </c>
    </row>
    <row r="860" ht="16" customHeight="1">
      <c r="A860" s="47" t="n"/>
      <c r="B860" s="46" t="n"/>
      <c r="C860" s="49" t="n"/>
      <c r="D860" s="49" t="n"/>
      <c r="E860" s="49" t="n"/>
      <c r="F860" s="49" t="n"/>
      <c r="G860" s="47" t="n"/>
      <c r="H860" s="50" t="n"/>
      <c r="I860" s="51" t="n"/>
      <c r="J860" s="46" t="n"/>
      <c r="K860" s="46" t="n"/>
      <c r="L860" s="23">
        <f>IF(OR($A860="",$B860=""),"",IF($K860&lt;&gt;"",$K860-$B860,TODAY()-$B860))</f>
        <v/>
      </c>
      <c r="M860" s="27">
        <f>IF(OR($A860="",$J860=""),"",IF($K860="",IF(TODAY()&gt;$J860,"Atrasado","En ruta"),IF($K860&lt;=$J860,"Sí","No")))</f>
        <v/>
      </c>
      <c r="N860" s="23">
        <f>IF($A860="","",COUNTIFS(NOVEDADES!$C$4:$C$1503,$A860))</f>
        <v/>
      </c>
      <c r="O860" s="27">
        <f>IF($A860="","",IF(COUNTIFS(NOVEDADES!$C$4:$C$1503,$A860,NOVEDADES!$M$4:$M$1503,"SÍ")&gt;0,"No","Sí"))</f>
        <v/>
      </c>
      <c r="P860" s="27">
        <f>IF(OR($A860="",$K860=""),"",IF(AND($M860="Sí",$O860="Sí"),"OTIF","Falló"))</f>
        <v/>
      </c>
    </row>
    <row r="861" ht="16" customHeight="1">
      <c r="A861" s="47" t="n"/>
      <c r="B861" s="46" t="n"/>
      <c r="C861" s="49" t="n"/>
      <c r="D861" s="49" t="n"/>
      <c r="E861" s="49" t="n"/>
      <c r="F861" s="49" t="n"/>
      <c r="G861" s="47" t="n"/>
      <c r="H861" s="50" t="n"/>
      <c r="I861" s="51" t="n"/>
      <c r="J861" s="46" t="n"/>
      <c r="K861" s="46" t="n"/>
      <c r="L861" s="23">
        <f>IF(OR($A861="",$B861=""),"",IF($K861&lt;&gt;"",$K861-$B861,TODAY()-$B861))</f>
        <v/>
      </c>
      <c r="M861" s="27">
        <f>IF(OR($A861="",$J861=""),"",IF($K861="",IF(TODAY()&gt;$J861,"Atrasado","En ruta"),IF($K861&lt;=$J861,"Sí","No")))</f>
        <v/>
      </c>
      <c r="N861" s="23">
        <f>IF($A861="","",COUNTIFS(NOVEDADES!$C$4:$C$1503,$A861))</f>
        <v/>
      </c>
      <c r="O861" s="27">
        <f>IF($A861="","",IF(COUNTIFS(NOVEDADES!$C$4:$C$1503,$A861,NOVEDADES!$M$4:$M$1503,"SÍ")&gt;0,"No","Sí"))</f>
        <v/>
      </c>
      <c r="P861" s="27">
        <f>IF(OR($A861="",$K861=""),"",IF(AND($M861="Sí",$O861="Sí"),"OTIF","Falló"))</f>
        <v/>
      </c>
    </row>
    <row r="862" ht="16" customHeight="1">
      <c r="A862" s="47" t="n"/>
      <c r="B862" s="46" t="n"/>
      <c r="C862" s="49" t="n"/>
      <c r="D862" s="49" t="n"/>
      <c r="E862" s="49" t="n"/>
      <c r="F862" s="49" t="n"/>
      <c r="G862" s="47" t="n"/>
      <c r="H862" s="50" t="n"/>
      <c r="I862" s="51" t="n"/>
      <c r="J862" s="46" t="n"/>
      <c r="K862" s="46" t="n"/>
      <c r="L862" s="23">
        <f>IF(OR($A862="",$B862=""),"",IF($K862&lt;&gt;"",$K862-$B862,TODAY()-$B862))</f>
        <v/>
      </c>
      <c r="M862" s="27">
        <f>IF(OR($A862="",$J862=""),"",IF($K862="",IF(TODAY()&gt;$J862,"Atrasado","En ruta"),IF($K862&lt;=$J862,"Sí","No")))</f>
        <v/>
      </c>
      <c r="N862" s="23">
        <f>IF($A862="","",COUNTIFS(NOVEDADES!$C$4:$C$1503,$A862))</f>
        <v/>
      </c>
      <c r="O862" s="27">
        <f>IF($A862="","",IF(COUNTIFS(NOVEDADES!$C$4:$C$1503,$A862,NOVEDADES!$M$4:$M$1503,"SÍ")&gt;0,"No","Sí"))</f>
        <v/>
      </c>
      <c r="P862" s="27">
        <f>IF(OR($A862="",$K862=""),"",IF(AND($M862="Sí",$O862="Sí"),"OTIF","Falló"))</f>
        <v/>
      </c>
    </row>
    <row r="863" ht="16" customHeight="1">
      <c r="A863" s="47" t="n"/>
      <c r="B863" s="46" t="n"/>
      <c r="C863" s="49" t="n"/>
      <c r="D863" s="49" t="n"/>
      <c r="E863" s="49" t="n"/>
      <c r="F863" s="49" t="n"/>
      <c r="G863" s="47" t="n"/>
      <c r="H863" s="50" t="n"/>
      <c r="I863" s="51" t="n"/>
      <c r="J863" s="46" t="n"/>
      <c r="K863" s="46" t="n"/>
      <c r="L863" s="23">
        <f>IF(OR($A863="",$B863=""),"",IF($K863&lt;&gt;"",$K863-$B863,TODAY()-$B863))</f>
        <v/>
      </c>
      <c r="M863" s="27">
        <f>IF(OR($A863="",$J863=""),"",IF($K863="",IF(TODAY()&gt;$J863,"Atrasado","En ruta"),IF($K863&lt;=$J863,"Sí","No")))</f>
        <v/>
      </c>
      <c r="N863" s="23">
        <f>IF($A863="","",COUNTIFS(NOVEDADES!$C$4:$C$1503,$A863))</f>
        <v/>
      </c>
      <c r="O863" s="27">
        <f>IF($A863="","",IF(COUNTIFS(NOVEDADES!$C$4:$C$1503,$A863,NOVEDADES!$M$4:$M$1503,"SÍ")&gt;0,"No","Sí"))</f>
        <v/>
      </c>
      <c r="P863" s="27">
        <f>IF(OR($A863="",$K863=""),"",IF(AND($M863="Sí",$O863="Sí"),"OTIF","Falló"))</f>
        <v/>
      </c>
    </row>
    <row r="864" ht="16" customHeight="1">
      <c r="A864" s="47" t="n"/>
      <c r="B864" s="46" t="n"/>
      <c r="C864" s="49" t="n"/>
      <c r="D864" s="49" t="n"/>
      <c r="E864" s="49" t="n"/>
      <c r="F864" s="49" t="n"/>
      <c r="G864" s="47" t="n"/>
      <c r="H864" s="50" t="n"/>
      <c r="I864" s="51" t="n"/>
      <c r="J864" s="46" t="n"/>
      <c r="K864" s="46" t="n"/>
      <c r="L864" s="23">
        <f>IF(OR($A864="",$B864=""),"",IF($K864&lt;&gt;"",$K864-$B864,TODAY()-$B864))</f>
        <v/>
      </c>
      <c r="M864" s="27">
        <f>IF(OR($A864="",$J864=""),"",IF($K864="",IF(TODAY()&gt;$J864,"Atrasado","En ruta"),IF($K864&lt;=$J864,"Sí","No")))</f>
        <v/>
      </c>
      <c r="N864" s="23">
        <f>IF($A864="","",COUNTIFS(NOVEDADES!$C$4:$C$1503,$A864))</f>
        <v/>
      </c>
      <c r="O864" s="27">
        <f>IF($A864="","",IF(COUNTIFS(NOVEDADES!$C$4:$C$1503,$A864,NOVEDADES!$M$4:$M$1503,"SÍ")&gt;0,"No","Sí"))</f>
        <v/>
      </c>
      <c r="P864" s="27">
        <f>IF(OR($A864="",$K864=""),"",IF(AND($M864="Sí",$O864="Sí"),"OTIF","Falló"))</f>
        <v/>
      </c>
    </row>
    <row r="865" ht="16" customHeight="1">
      <c r="A865" s="47" t="n"/>
      <c r="B865" s="46" t="n"/>
      <c r="C865" s="49" t="n"/>
      <c r="D865" s="49" t="n"/>
      <c r="E865" s="49" t="n"/>
      <c r="F865" s="49" t="n"/>
      <c r="G865" s="47" t="n"/>
      <c r="H865" s="50" t="n"/>
      <c r="I865" s="51" t="n"/>
      <c r="J865" s="46" t="n"/>
      <c r="K865" s="46" t="n"/>
      <c r="L865" s="23">
        <f>IF(OR($A865="",$B865=""),"",IF($K865&lt;&gt;"",$K865-$B865,TODAY()-$B865))</f>
        <v/>
      </c>
      <c r="M865" s="27">
        <f>IF(OR($A865="",$J865=""),"",IF($K865="",IF(TODAY()&gt;$J865,"Atrasado","En ruta"),IF($K865&lt;=$J865,"Sí","No")))</f>
        <v/>
      </c>
      <c r="N865" s="23">
        <f>IF($A865="","",COUNTIFS(NOVEDADES!$C$4:$C$1503,$A865))</f>
        <v/>
      </c>
      <c r="O865" s="27">
        <f>IF($A865="","",IF(COUNTIFS(NOVEDADES!$C$4:$C$1503,$A865,NOVEDADES!$M$4:$M$1503,"SÍ")&gt;0,"No","Sí"))</f>
        <v/>
      </c>
      <c r="P865" s="27">
        <f>IF(OR($A865="",$K865=""),"",IF(AND($M865="Sí",$O865="Sí"),"OTIF","Falló"))</f>
        <v/>
      </c>
    </row>
    <row r="866" ht="16" customHeight="1">
      <c r="A866" s="47" t="n"/>
      <c r="B866" s="46" t="n"/>
      <c r="C866" s="49" t="n"/>
      <c r="D866" s="49" t="n"/>
      <c r="E866" s="49" t="n"/>
      <c r="F866" s="49" t="n"/>
      <c r="G866" s="47" t="n"/>
      <c r="H866" s="50" t="n"/>
      <c r="I866" s="51" t="n"/>
      <c r="J866" s="46" t="n"/>
      <c r="K866" s="46" t="n"/>
      <c r="L866" s="23">
        <f>IF(OR($A866="",$B866=""),"",IF($K866&lt;&gt;"",$K866-$B866,TODAY()-$B866))</f>
        <v/>
      </c>
      <c r="M866" s="27">
        <f>IF(OR($A866="",$J866=""),"",IF($K866="",IF(TODAY()&gt;$J866,"Atrasado","En ruta"),IF($K866&lt;=$J866,"Sí","No")))</f>
        <v/>
      </c>
      <c r="N866" s="23">
        <f>IF($A866="","",COUNTIFS(NOVEDADES!$C$4:$C$1503,$A866))</f>
        <v/>
      </c>
      <c r="O866" s="27">
        <f>IF($A866="","",IF(COUNTIFS(NOVEDADES!$C$4:$C$1503,$A866,NOVEDADES!$M$4:$M$1503,"SÍ")&gt;0,"No","Sí"))</f>
        <v/>
      </c>
      <c r="P866" s="27">
        <f>IF(OR($A866="",$K866=""),"",IF(AND($M866="Sí",$O866="Sí"),"OTIF","Falló"))</f>
        <v/>
      </c>
    </row>
    <row r="867" ht="16" customHeight="1">
      <c r="A867" s="47" t="n"/>
      <c r="B867" s="46" t="n"/>
      <c r="C867" s="49" t="n"/>
      <c r="D867" s="49" t="n"/>
      <c r="E867" s="49" t="n"/>
      <c r="F867" s="49" t="n"/>
      <c r="G867" s="47" t="n"/>
      <c r="H867" s="50" t="n"/>
      <c r="I867" s="51" t="n"/>
      <c r="J867" s="46" t="n"/>
      <c r="K867" s="46" t="n"/>
      <c r="L867" s="23">
        <f>IF(OR($A867="",$B867=""),"",IF($K867&lt;&gt;"",$K867-$B867,TODAY()-$B867))</f>
        <v/>
      </c>
      <c r="M867" s="27">
        <f>IF(OR($A867="",$J867=""),"",IF($K867="",IF(TODAY()&gt;$J867,"Atrasado","En ruta"),IF($K867&lt;=$J867,"Sí","No")))</f>
        <v/>
      </c>
      <c r="N867" s="23">
        <f>IF($A867="","",COUNTIFS(NOVEDADES!$C$4:$C$1503,$A867))</f>
        <v/>
      </c>
      <c r="O867" s="27">
        <f>IF($A867="","",IF(COUNTIFS(NOVEDADES!$C$4:$C$1503,$A867,NOVEDADES!$M$4:$M$1503,"SÍ")&gt;0,"No","Sí"))</f>
        <v/>
      </c>
      <c r="P867" s="27">
        <f>IF(OR($A867="",$K867=""),"",IF(AND($M867="Sí",$O867="Sí"),"OTIF","Falló"))</f>
        <v/>
      </c>
    </row>
    <row r="868" ht="16" customHeight="1">
      <c r="A868" s="47" t="n"/>
      <c r="B868" s="46" t="n"/>
      <c r="C868" s="49" t="n"/>
      <c r="D868" s="49" t="n"/>
      <c r="E868" s="49" t="n"/>
      <c r="F868" s="49" t="n"/>
      <c r="G868" s="47" t="n"/>
      <c r="H868" s="50" t="n"/>
      <c r="I868" s="51" t="n"/>
      <c r="J868" s="46" t="n"/>
      <c r="K868" s="46" t="n"/>
      <c r="L868" s="23">
        <f>IF(OR($A868="",$B868=""),"",IF($K868&lt;&gt;"",$K868-$B868,TODAY()-$B868))</f>
        <v/>
      </c>
      <c r="M868" s="27">
        <f>IF(OR($A868="",$J868=""),"",IF($K868="",IF(TODAY()&gt;$J868,"Atrasado","En ruta"),IF($K868&lt;=$J868,"Sí","No")))</f>
        <v/>
      </c>
      <c r="N868" s="23">
        <f>IF($A868="","",COUNTIFS(NOVEDADES!$C$4:$C$1503,$A868))</f>
        <v/>
      </c>
      <c r="O868" s="27">
        <f>IF($A868="","",IF(COUNTIFS(NOVEDADES!$C$4:$C$1503,$A868,NOVEDADES!$M$4:$M$1503,"SÍ")&gt;0,"No","Sí"))</f>
        <v/>
      </c>
      <c r="P868" s="27">
        <f>IF(OR($A868="",$K868=""),"",IF(AND($M868="Sí",$O868="Sí"),"OTIF","Falló"))</f>
        <v/>
      </c>
    </row>
    <row r="869" ht="16" customHeight="1">
      <c r="A869" s="47" t="n"/>
      <c r="B869" s="46" t="n"/>
      <c r="C869" s="49" t="n"/>
      <c r="D869" s="49" t="n"/>
      <c r="E869" s="49" t="n"/>
      <c r="F869" s="49" t="n"/>
      <c r="G869" s="47" t="n"/>
      <c r="H869" s="50" t="n"/>
      <c r="I869" s="51" t="n"/>
      <c r="J869" s="46" t="n"/>
      <c r="K869" s="46" t="n"/>
      <c r="L869" s="23">
        <f>IF(OR($A869="",$B869=""),"",IF($K869&lt;&gt;"",$K869-$B869,TODAY()-$B869))</f>
        <v/>
      </c>
      <c r="M869" s="27">
        <f>IF(OR($A869="",$J869=""),"",IF($K869="",IF(TODAY()&gt;$J869,"Atrasado","En ruta"),IF($K869&lt;=$J869,"Sí","No")))</f>
        <v/>
      </c>
      <c r="N869" s="23">
        <f>IF($A869="","",COUNTIFS(NOVEDADES!$C$4:$C$1503,$A869))</f>
        <v/>
      </c>
      <c r="O869" s="27">
        <f>IF($A869="","",IF(COUNTIFS(NOVEDADES!$C$4:$C$1503,$A869,NOVEDADES!$M$4:$M$1503,"SÍ")&gt;0,"No","Sí"))</f>
        <v/>
      </c>
      <c r="P869" s="27">
        <f>IF(OR($A869="",$K869=""),"",IF(AND($M869="Sí",$O869="Sí"),"OTIF","Falló"))</f>
        <v/>
      </c>
    </row>
    <row r="870" ht="16" customHeight="1">
      <c r="A870" s="47" t="n"/>
      <c r="B870" s="46" t="n"/>
      <c r="C870" s="49" t="n"/>
      <c r="D870" s="49" t="n"/>
      <c r="E870" s="49" t="n"/>
      <c r="F870" s="49" t="n"/>
      <c r="G870" s="47" t="n"/>
      <c r="H870" s="50" t="n"/>
      <c r="I870" s="51" t="n"/>
      <c r="J870" s="46" t="n"/>
      <c r="K870" s="46" t="n"/>
      <c r="L870" s="23">
        <f>IF(OR($A870="",$B870=""),"",IF($K870&lt;&gt;"",$K870-$B870,TODAY()-$B870))</f>
        <v/>
      </c>
      <c r="M870" s="27">
        <f>IF(OR($A870="",$J870=""),"",IF($K870="",IF(TODAY()&gt;$J870,"Atrasado","En ruta"),IF($K870&lt;=$J870,"Sí","No")))</f>
        <v/>
      </c>
      <c r="N870" s="23">
        <f>IF($A870="","",COUNTIFS(NOVEDADES!$C$4:$C$1503,$A870))</f>
        <v/>
      </c>
      <c r="O870" s="27">
        <f>IF($A870="","",IF(COUNTIFS(NOVEDADES!$C$4:$C$1503,$A870,NOVEDADES!$M$4:$M$1503,"SÍ")&gt;0,"No","Sí"))</f>
        <v/>
      </c>
      <c r="P870" s="27">
        <f>IF(OR($A870="",$K870=""),"",IF(AND($M870="Sí",$O870="Sí"),"OTIF","Falló"))</f>
        <v/>
      </c>
    </row>
    <row r="871" ht="16" customHeight="1">
      <c r="A871" s="47" t="n"/>
      <c r="B871" s="46" t="n"/>
      <c r="C871" s="49" t="n"/>
      <c r="D871" s="49" t="n"/>
      <c r="E871" s="49" t="n"/>
      <c r="F871" s="49" t="n"/>
      <c r="G871" s="47" t="n"/>
      <c r="H871" s="50" t="n"/>
      <c r="I871" s="51" t="n"/>
      <c r="J871" s="46" t="n"/>
      <c r="K871" s="46" t="n"/>
      <c r="L871" s="23">
        <f>IF(OR($A871="",$B871=""),"",IF($K871&lt;&gt;"",$K871-$B871,TODAY()-$B871))</f>
        <v/>
      </c>
      <c r="M871" s="27">
        <f>IF(OR($A871="",$J871=""),"",IF($K871="",IF(TODAY()&gt;$J871,"Atrasado","En ruta"),IF($K871&lt;=$J871,"Sí","No")))</f>
        <v/>
      </c>
      <c r="N871" s="23">
        <f>IF($A871="","",COUNTIFS(NOVEDADES!$C$4:$C$1503,$A871))</f>
        <v/>
      </c>
      <c r="O871" s="27">
        <f>IF($A871="","",IF(COUNTIFS(NOVEDADES!$C$4:$C$1503,$A871,NOVEDADES!$M$4:$M$1503,"SÍ")&gt;0,"No","Sí"))</f>
        <v/>
      </c>
      <c r="P871" s="27">
        <f>IF(OR($A871="",$K871=""),"",IF(AND($M871="Sí",$O871="Sí"),"OTIF","Falló"))</f>
        <v/>
      </c>
    </row>
    <row r="872" ht="16" customHeight="1">
      <c r="A872" s="47" t="n"/>
      <c r="B872" s="46" t="n"/>
      <c r="C872" s="49" t="n"/>
      <c r="D872" s="49" t="n"/>
      <c r="E872" s="49" t="n"/>
      <c r="F872" s="49" t="n"/>
      <c r="G872" s="47" t="n"/>
      <c r="H872" s="50" t="n"/>
      <c r="I872" s="51" t="n"/>
      <c r="J872" s="46" t="n"/>
      <c r="K872" s="46" t="n"/>
      <c r="L872" s="23">
        <f>IF(OR($A872="",$B872=""),"",IF($K872&lt;&gt;"",$K872-$B872,TODAY()-$B872))</f>
        <v/>
      </c>
      <c r="M872" s="27">
        <f>IF(OR($A872="",$J872=""),"",IF($K872="",IF(TODAY()&gt;$J872,"Atrasado","En ruta"),IF($K872&lt;=$J872,"Sí","No")))</f>
        <v/>
      </c>
      <c r="N872" s="23">
        <f>IF($A872="","",COUNTIFS(NOVEDADES!$C$4:$C$1503,$A872))</f>
        <v/>
      </c>
      <c r="O872" s="27">
        <f>IF($A872="","",IF(COUNTIFS(NOVEDADES!$C$4:$C$1503,$A872,NOVEDADES!$M$4:$M$1503,"SÍ")&gt;0,"No","Sí"))</f>
        <v/>
      </c>
      <c r="P872" s="27">
        <f>IF(OR($A872="",$K872=""),"",IF(AND($M872="Sí",$O872="Sí"),"OTIF","Falló"))</f>
        <v/>
      </c>
    </row>
    <row r="873" ht="16" customHeight="1">
      <c r="A873" s="47" t="n"/>
      <c r="B873" s="46" t="n"/>
      <c r="C873" s="49" t="n"/>
      <c r="D873" s="49" t="n"/>
      <c r="E873" s="49" t="n"/>
      <c r="F873" s="49" t="n"/>
      <c r="G873" s="47" t="n"/>
      <c r="H873" s="50" t="n"/>
      <c r="I873" s="51" t="n"/>
      <c r="J873" s="46" t="n"/>
      <c r="K873" s="46" t="n"/>
      <c r="L873" s="23">
        <f>IF(OR($A873="",$B873=""),"",IF($K873&lt;&gt;"",$K873-$B873,TODAY()-$B873))</f>
        <v/>
      </c>
      <c r="M873" s="27">
        <f>IF(OR($A873="",$J873=""),"",IF($K873="",IF(TODAY()&gt;$J873,"Atrasado","En ruta"),IF($K873&lt;=$J873,"Sí","No")))</f>
        <v/>
      </c>
      <c r="N873" s="23">
        <f>IF($A873="","",COUNTIFS(NOVEDADES!$C$4:$C$1503,$A873))</f>
        <v/>
      </c>
      <c r="O873" s="27">
        <f>IF($A873="","",IF(COUNTIFS(NOVEDADES!$C$4:$C$1503,$A873,NOVEDADES!$M$4:$M$1503,"SÍ")&gt;0,"No","Sí"))</f>
        <v/>
      </c>
      <c r="P873" s="27">
        <f>IF(OR($A873="",$K873=""),"",IF(AND($M873="Sí",$O873="Sí"),"OTIF","Falló"))</f>
        <v/>
      </c>
    </row>
    <row r="874" ht="16" customHeight="1">
      <c r="A874" s="47" t="n"/>
      <c r="B874" s="46" t="n"/>
      <c r="C874" s="49" t="n"/>
      <c r="D874" s="49" t="n"/>
      <c r="E874" s="49" t="n"/>
      <c r="F874" s="49" t="n"/>
      <c r="G874" s="47" t="n"/>
      <c r="H874" s="50" t="n"/>
      <c r="I874" s="51" t="n"/>
      <c r="J874" s="46" t="n"/>
      <c r="K874" s="46" t="n"/>
      <c r="L874" s="23">
        <f>IF(OR($A874="",$B874=""),"",IF($K874&lt;&gt;"",$K874-$B874,TODAY()-$B874))</f>
        <v/>
      </c>
      <c r="M874" s="27">
        <f>IF(OR($A874="",$J874=""),"",IF($K874="",IF(TODAY()&gt;$J874,"Atrasado","En ruta"),IF($K874&lt;=$J874,"Sí","No")))</f>
        <v/>
      </c>
      <c r="N874" s="23">
        <f>IF($A874="","",COUNTIFS(NOVEDADES!$C$4:$C$1503,$A874))</f>
        <v/>
      </c>
      <c r="O874" s="27">
        <f>IF($A874="","",IF(COUNTIFS(NOVEDADES!$C$4:$C$1503,$A874,NOVEDADES!$M$4:$M$1503,"SÍ")&gt;0,"No","Sí"))</f>
        <v/>
      </c>
      <c r="P874" s="27">
        <f>IF(OR($A874="",$K874=""),"",IF(AND($M874="Sí",$O874="Sí"),"OTIF","Falló"))</f>
        <v/>
      </c>
    </row>
    <row r="875" ht="16" customHeight="1">
      <c r="A875" s="47" t="n"/>
      <c r="B875" s="46" t="n"/>
      <c r="C875" s="49" t="n"/>
      <c r="D875" s="49" t="n"/>
      <c r="E875" s="49" t="n"/>
      <c r="F875" s="49" t="n"/>
      <c r="G875" s="47" t="n"/>
      <c r="H875" s="50" t="n"/>
      <c r="I875" s="51" t="n"/>
      <c r="J875" s="46" t="n"/>
      <c r="K875" s="46" t="n"/>
      <c r="L875" s="23">
        <f>IF(OR($A875="",$B875=""),"",IF($K875&lt;&gt;"",$K875-$B875,TODAY()-$B875))</f>
        <v/>
      </c>
      <c r="M875" s="27">
        <f>IF(OR($A875="",$J875=""),"",IF($K875="",IF(TODAY()&gt;$J875,"Atrasado","En ruta"),IF($K875&lt;=$J875,"Sí","No")))</f>
        <v/>
      </c>
      <c r="N875" s="23">
        <f>IF($A875="","",COUNTIFS(NOVEDADES!$C$4:$C$1503,$A875))</f>
        <v/>
      </c>
      <c r="O875" s="27">
        <f>IF($A875="","",IF(COUNTIFS(NOVEDADES!$C$4:$C$1503,$A875,NOVEDADES!$M$4:$M$1503,"SÍ")&gt;0,"No","Sí"))</f>
        <v/>
      </c>
      <c r="P875" s="27">
        <f>IF(OR($A875="",$K875=""),"",IF(AND($M875="Sí",$O875="Sí"),"OTIF","Falló"))</f>
        <v/>
      </c>
    </row>
    <row r="876" ht="16" customHeight="1">
      <c r="A876" s="47" t="n"/>
      <c r="B876" s="46" t="n"/>
      <c r="C876" s="49" t="n"/>
      <c r="D876" s="49" t="n"/>
      <c r="E876" s="49" t="n"/>
      <c r="F876" s="49" t="n"/>
      <c r="G876" s="47" t="n"/>
      <c r="H876" s="50" t="n"/>
      <c r="I876" s="51" t="n"/>
      <c r="J876" s="46" t="n"/>
      <c r="K876" s="46" t="n"/>
      <c r="L876" s="23">
        <f>IF(OR($A876="",$B876=""),"",IF($K876&lt;&gt;"",$K876-$B876,TODAY()-$B876))</f>
        <v/>
      </c>
      <c r="M876" s="27">
        <f>IF(OR($A876="",$J876=""),"",IF($K876="",IF(TODAY()&gt;$J876,"Atrasado","En ruta"),IF($K876&lt;=$J876,"Sí","No")))</f>
        <v/>
      </c>
      <c r="N876" s="23">
        <f>IF($A876="","",COUNTIFS(NOVEDADES!$C$4:$C$1503,$A876))</f>
        <v/>
      </c>
      <c r="O876" s="27">
        <f>IF($A876="","",IF(COUNTIFS(NOVEDADES!$C$4:$C$1503,$A876,NOVEDADES!$M$4:$M$1503,"SÍ")&gt;0,"No","Sí"))</f>
        <v/>
      </c>
      <c r="P876" s="27">
        <f>IF(OR($A876="",$K876=""),"",IF(AND($M876="Sí",$O876="Sí"),"OTIF","Falló"))</f>
        <v/>
      </c>
    </row>
    <row r="877" ht="16" customHeight="1">
      <c r="A877" s="47" t="n"/>
      <c r="B877" s="46" t="n"/>
      <c r="C877" s="49" t="n"/>
      <c r="D877" s="49" t="n"/>
      <c r="E877" s="49" t="n"/>
      <c r="F877" s="49" t="n"/>
      <c r="G877" s="47" t="n"/>
      <c r="H877" s="50" t="n"/>
      <c r="I877" s="51" t="n"/>
      <c r="J877" s="46" t="n"/>
      <c r="K877" s="46" t="n"/>
      <c r="L877" s="23">
        <f>IF(OR($A877="",$B877=""),"",IF($K877&lt;&gt;"",$K877-$B877,TODAY()-$B877))</f>
        <v/>
      </c>
      <c r="M877" s="27">
        <f>IF(OR($A877="",$J877=""),"",IF($K877="",IF(TODAY()&gt;$J877,"Atrasado","En ruta"),IF($K877&lt;=$J877,"Sí","No")))</f>
        <v/>
      </c>
      <c r="N877" s="23">
        <f>IF($A877="","",COUNTIFS(NOVEDADES!$C$4:$C$1503,$A877))</f>
        <v/>
      </c>
      <c r="O877" s="27">
        <f>IF($A877="","",IF(COUNTIFS(NOVEDADES!$C$4:$C$1503,$A877,NOVEDADES!$M$4:$M$1503,"SÍ")&gt;0,"No","Sí"))</f>
        <v/>
      </c>
      <c r="P877" s="27">
        <f>IF(OR($A877="",$K877=""),"",IF(AND($M877="Sí",$O877="Sí"),"OTIF","Falló"))</f>
        <v/>
      </c>
    </row>
    <row r="878" ht="16" customHeight="1">
      <c r="A878" s="47" t="n"/>
      <c r="B878" s="46" t="n"/>
      <c r="C878" s="49" t="n"/>
      <c r="D878" s="49" t="n"/>
      <c r="E878" s="49" t="n"/>
      <c r="F878" s="49" t="n"/>
      <c r="G878" s="47" t="n"/>
      <c r="H878" s="50" t="n"/>
      <c r="I878" s="51" t="n"/>
      <c r="J878" s="46" t="n"/>
      <c r="K878" s="46" t="n"/>
      <c r="L878" s="23">
        <f>IF(OR($A878="",$B878=""),"",IF($K878&lt;&gt;"",$K878-$B878,TODAY()-$B878))</f>
        <v/>
      </c>
      <c r="M878" s="27">
        <f>IF(OR($A878="",$J878=""),"",IF($K878="",IF(TODAY()&gt;$J878,"Atrasado","En ruta"),IF($K878&lt;=$J878,"Sí","No")))</f>
        <v/>
      </c>
      <c r="N878" s="23">
        <f>IF($A878="","",COUNTIFS(NOVEDADES!$C$4:$C$1503,$A878))</f>
        <v/>
      </c>
      <c r="O878" s="27">
        <f>IF($A878="","",IF(COUNTIFS(NOVEDADES!$C$4:$C$1503,$A878,NOVEDADES!$M$4:$M$1503,"SÍ")&gt;0,"No","Sí"))</f>
        <v/>
      </c>
      <c r="P878" s="27">
        <f>IF(OR($A878="",$K878=""),"",IF(AND($M878="Sí",$O878="Sí"),"OTIF","Falló"))</f>
        <v/>
      </c>
    </row>
    <row r="879" ht="16" customHeight="1">
      <c r="A879" s="47" t="n"/>
      <c r="B879" s="46" t="n"/>
      <c r="C879" s="49" t="n"/>
      <c r="D879" s="49" t="n"/>
      <c r="E879" s="49" t="n"/>
      <c r="F879" s="49" t="n"/>
      <c r="G879" s="47" t="n"/>
      <c r="H879" s="50" t="n"/>
      <c r="I879" s="51" t="n"/>
      <c r="J879" s="46" t="n"/>
      <c r="K879" s="46" t="n"/>
      <c r="L879" s="23">
        <f>IF(OR($A879="",$B879=""),"",IF($K879&lt;&gt;"",$K879-$B879,TODAY()-$B879))</f>
        <v/>
      </c>
      <c r="M879" s="27">
        <f>IF(OR($A879="",$J879=""),"",IF($K879="",IF(TODAY()&gt;$J879,"Atrasado","En ruta"),IF($K879&lt;=$J879,"Sí","No")))</f>
        <v/>
      </c>
      <c r="N879" s="23">
        <f>IF($A879="","",COUNTIFS(NOVEDADES!$C$4:$C$1503,$A879))</f>
        <v/>
      </c>
      <c r="O879" s="27">
        <f>IF($A879="","",IF(COUNTIFS(NOVEDADES!$C$4:$C$1503,$A879,NOVEDADES!$M$4:$M$1503,"SÍ")&gt;0,"No","Sí"))</f>
        <v/>
      </c>
      <c r="P879" s="27">
        <f>IF(OR($A879="",$K879=""),"",IF(AND($M879="Sí",$O879="Sí"),"OTIF","Falló"))</f>
        <v/>
      </c>
    </row>
    <row r="880" ht="16" customHeight="1">
      <c r="A880" s="47" t="n"/>
      <c r="B880" s="46" t="n"/>
      <c r="C880" s="49" t="n"/>
      <c r="D880" s="49" t="n"/>
      <c r="E880" s="49" t="n"/>
      <c r="F880" s="49" t="n"/>
      <c r="G880" s="47" t="n"/>
      <c r="H880" s="50" t="n"/>
      <c r="I880" s="51" t="n"/>
      <c r="J880" s="46" t="n"/>
      <c r="K880" s="46" t="n"/>
      <c r="L880" s="23">
        <f>IF(OR($A880="",$B880=""),"",IF($K880&lt;&gt;"",$K880-$B880,TODAY()-$B880))</f>
        <v/>
      </c>
      <c r="M880" s="27">
        <f>IF(OR($A880="",$J880=""),"",IF($K880="",IF(TODAY()&gt;$J880,"Atrasado","En ruta"),IF($K880&lt;=$J880,"Sí","No")))</f>
        <v/>
      </c>
      <c r="N880" s="23">
        <f>IF($A880="","",COUNTIFS(NOVEDADES!$C$4:$C$1503,$A880))</f>
        <v/>
      </c>
      <c r="O880" s="27">
        <f>IF($A880="","",IF(COUNTIFS(NOVEDADES!$C$4:$C$1503,$A880,NOVEDADES!$M$4:$M$1503,"SÍ")&gt;0,"No","Sí"))</f>
        <v/>
      </c>
      <c r="P880" s="27">
        <f>IF(OR($A880="",$K880=""),"",IF(AND($M880="Sí",$O880="Sí"),"OTIF","Falló"))</f>
        <v/>
      </c>
    </row>
    <row r="881" ht="16" customHeight="1">
      <c r="A881" s="47" t="n"/>
      <c r="B881" s="46" t="n"/>
      <c r="C881" s="49" t="n"/>
      <c r="D881" s="49" t="n"/>
      <c r="E881" s="49" t="n"/>
      <c r="F881" s="49" t="n"/>
      <c r="G881" s="47" t="n"/>
      <c r="H881" s="50" t="n"/>
      <c r="I881" s="51" t="n"/>
      <c r="J881" s="46" t="n"/>
      <c r="K881" s="46" t="n"/>
      <c r="L881" s="23">
        <f>IF(OR($A881="",$B881=""),"",IF($K881&lt;&gt;"",$K881-$B881,TODAY()-$B881))</f>
        <v/>
      </c>
      <c r="M881" s="27">
        <f>IF(OR($A881="",$J881=""),"",IF($K881="",IF(TODAY()&gt;$J881,"Atrasado","En ruta"),IF($K881&lt;=$J881,"Sí","No")))</f>
        <v/>
      </c>
      <c r="N881" s="23">
        <f>IF($A881="","",COUNTIFS(NOVEDADES!$C$4:$C$1503,$A881))</f>
        <v/>
      </c>
      <c r="O881" s="27">
        <f>IF($A881="","",IF(COUNTIFS(NOVEDADES!$C$4:$C$1503,$A881,NOVEDADES!$M$4:$M$1503,"SÍ")&gt;0,"No","Sí"))</f>
        <v/>
      </c>
      <c r="P881" s="27">
        <f>IF(OR($A881="",$K881=""),"",IF(AND($M881="Sí",$O881="Sí"),"OTIF","Falló"))</f>
        <v/>
      </c>
    </row>
    <row r="882" ht="16" customHeight="1">
      <c r="A882" s="47" t="n"/>
      <c r="B882" s="46" t="n"/>
      <c r="C882" s="49" t="n"/>
      <c r="D882" s="49" t="n"/>
      <c r="E882" s="49" t="n"/>
      <c r="F882" s="49" t="n"/>
      <c r="G882" s="47" t="n"/>
      <c r="H882" s="50" t="n"/>
      <c r="I882" s="51" t="n"/>
      <c r="J882" s="46" t="n"/>
      <c r="K882" s="46" t="n"/>
      <c r="L882" s="23">
        <f>IF(OR($A882="",$B882=""),"",IF($K882&lt;&gt;"",$K882-$B882,TODAY()-$B882))</f>
        <v/>
      </c>
      <c r="M882" s="27">
        <f>IF(OR($A882="",$J882=""),"",IF($K882="",IF(TODAY()&gt;$J882,"Atrasado","En ruta"),IF($K882&lt;=$J882,"Sí","No")))</f>
        <v/>
      </c>
      <c r="N882" s="23">
        <f>IF($A882="","",COUNTIFS(NOVEDADES!$C$4:$C$1503,$A882))</f>
        <v/>
      </c>
      <c r="O882" s="27">
        <f>IF($A882="","",IF(COUNTIFS(NOVEDADES!$C$4:$C$1503,$A882,NOVEDADES!$M$4:$M$1503,"SÍ")&gt;0,"No","Sí"))</f>
        <v/>
      </c>
      <c r="P882" s="27">
        <f>IF(OR($A882="",$K882=""),"",IF(AND($M882="Sí",$O882="Sí"),"OTIF","Falló"))</f>
        <v/>
      </c>
    </row>
    <row r="883" ht="16" customHeight="1">
      <c r="A883" s="47" t="n"/>
      <c r="B883" s="46" t="n"/>
      <c r="C883" s="49" t="n"/>
      <c r="D883" s="49" t="n"/>
      <c r="E883" s="49" t="n"/>
      <c r="F883" s="49" t="n"/>
      <c r="G883" s="47" t="n"/>
      <c r="H883" s="50" t="n"/>
      <c r="I883" s="51" t="n"/>
      <c r="J883" s="46" t="n"/>
      <c r="K883" s="46" t="n"/>
      <c r="L883" s="23">
        <f>IF(OR($A883="",$B883=""),"",IF($K883&lt;&gt;"",$K883-$B883,TODAY()-$B883))</f>
        <v/>
      </c>
      <c r="M883" s="27">
        <f>IF(OR($A883="",$J883=""),"",IF($K883="",IF(TODAY()&gt;$J883,"Atrasado","En ruta"),IF($K883&lt;=$J883,"Sí","No")))</f>
        <v/>
      </c>
      <c r="N883" s="23">
        <f>IF($A883="","",COUNTIFS(NOVEDADES!$C$4:$C$1503,$A883))</f>
        <v/>
      </c>
      <c r="O883" s="27">
        <f>IF($A883="","",IF(COUNTIFS(NOVEDADES!$C$4:$C$1503,$A883,NOVEDADES!$M$4:$M$1503,"SÍ")&gt;0,"No","Sí"))</f>
        <v/>
      </c>
      <c r="P883" s="27">
        <f>IF(OR($A883="",$K883=""),"",IF(AND($M883="Sí",$O883="Sí"),"OTIF","Falló"))</f>
        <v/>
      </c>
    </row>
    <row r="884" ht="16" customHeight="1">
      <c r="A884" s="47" t="n"/>
      <c r="B884" s="46" t="n"/>
      <c r="C884" s="49" t="n"/>
      <c r="D884" s="49" t="n"/>
      <c r="E884" s="49" t="n"/>
      <c r="F884" s="49" t="n"/>
      <c r="G884" s="47" t="n"/>
      <c r="H884" s="50" t="n"/>
      <c r="I884" s="51" t="n"/>
      <c r="J884" s="46" t="n"/>
      <c r="K884" s="46" t="n"/>
      <c r="L884" s="23">
        <f>IF(OR($A884="",$B884=""),"",IF($K884&lt;&gt;"",$K884-$B884,TODAY()-$B884))</f>
        <v/>
      </c>
      <c r="M884" s="27">
        <f>IF(OR($A884="",$J884=""),"",IF($K884="",IF(TODAY()&gt;$J884,"Atrasado","En ruta"),IF($K884&lt;=$J884,"Sí","No")))</f>
        <v/>
      </c>
      <c r="N884" s="23">
        <f>IF($A884="","",COUNTIFS(NOVEDADES!$C$4:$C$1503,$A884))</f>
        <v/>
      </c>
      <c r="O884" s="27">
        <f>IF($A884="","",IF(COUNTIFS(NOVEDADES!$C$4:$C$1503,$A884,NOVEDADES!$M$4:$M$1503,"SÍ")&gt;0,"No","Sí"))</f>
        <v/>
      </c>
      <c r="P884" s="27">
        <f>IF(OR($A884="",$K884=""),"",IF(AND($M884="Sí",$O884="Sí"),"OTIF","Falló"))</f>
        <v/>
      </c>
    </row>
    <row r="885" ht="16" customHeight="1">
      <c r="A885" s="47" t="n"/>
      <c r="B885" s="46" t="n"/>
      <c r="C885" s="49" t="n"/>
      <c r="D885" s="49" t="n"/>
      <c r="E885" s="49" t="n"/>
      <c r="F885" s="49" t="n"/>
      <c r="G885" s="47" t="n"/>
      <c r="H885" s="50" t="n"/>
      <c r="I885" s="51" t="n"/>
      <c r="J885" s="46" t="n"/>
      <c r="K885" s="46" t="n"/>
      <c r="L885" s="23">
        <f>IF(OR($A885="",$B885=""),"",IF($K885&lt;&gt;"",$K885-$B885,TODAY()-$B885))</f>
        <v/>
      </c>
      <c r="M885" s="27">
        <f>IF(OR($A885="",$J885=""),"",IF($K885="",IF(TODAY()&gt;$J885,"Atrasado","En ruta"),IF($K885&lt;=$J885,"Sí","No")))</f>
        <v/>
      </c>
      <c r="N885" s="23">
        <f>IF($A885="","",COUNTIFS(NOVEDADES!$C$4:$C$1503,$A885))</f>
        <v/>
      </c>
      <c r="O885" s="27">
        <f>IF($A885="","",IF(COUNTIFS(NOVEDADES!$C$4:$C$1503,$A885,NOVEDADES!$M$4:$M$1503,"SÍ")&gt;0,"No","Sí"))</f>
        <v/>
      </c>
      <c r="P885" s="27">
        <f>IF(OR($A885="",$K885=""),"",IF(AND($M885="Sí",$O885="Sí"),"OTIF","Falló"))</f>
        <v/>
      </c>
    </row>
    <row r="886" ht="16" customHeight="1">
      <c r="A886" s="47" t="n"/>
      <c r="B886" s="46" t="n"/>
      <c r="C886" s="49" t="n"/>
      <c r="D886" s="49" t="n"/>
      <c r="E886" s="49" t="n"/>
      <c r="F886" s="49" t="n"/>
      <c r="G886" s="47" t="n"/>
      <c r="H886" s="50" t="n"/>
      <c r="I886" s="51" t="n"/>
      <c r="J886" s="46" t="n"/>
      <c r="K886" s="46" t="n"/>
      <c r="L886" s="23">
        <f>IF(OR($A886="",$B886=""),"",IF($K886&lt;&gt;"",$K886-$B886,TODAY()-$B886))</f>
        <v/>
      </c>
      <c r="M886" s="27">
        <f>IF(OR($A886="",$J886=""),"",IF($K886="",IF(TODAY()&gt;$J886,"Atrasado","En ruta"),IF($K886&lt;=$J886,"Sí","No")))</f>
        <v/>
      </c>
      <c r="N886" s="23">
        <f>IF($A886="","",COUNTIFS(NOVEDADES!$C$4:$C$1503,$A886))</f>
        <v/>
      </c>
      <c r="O886" s="27">
        <f>IF($A886="","",IF(COUNTIFS(NOVEDADES!$C$4:$C$1503,$A886,NOVEDADES!$M$4:$M$1503,"SÍ")&gt;0,"No","Sí"))</f>
        <v/>
      </c>
      <c r="P886" s="27">
        <f>IF(OR($A886="",$K886=""),"",IF(AND($M886="Sí",$O886="Sí"),"OTIF","Falló"))</f>
        <v/>
      </c>
    </row>
    <row r="887" ht="16" customHeight="1">
      <c r="A887" s="47" t="n"/>
      <c r="B887" s="46" t="n"/>
      <c r="C887" s="49" t="n"/>
      <c r="D887" s="49" t="n"/>
      <c r="E887" s="49" t="n"/>
      <c r="F887" s="49" t="n"/>
      <c r="G887" s="47" t="n"/>
      <c r="H887" s="50" t="n"/>
      <c r="I887" s="51" t="n"/>
      <c r="J887" s="46" t="n"/>
      <c r="K887" s="46" t="n"/>
      <c r="L887" s="23">
        <f>IF(OR($A887="",$B887=""),"",IF($K887&lt;&gt;"",$K887-$B887,TODAY()-$B887))</f>
        <v/>
      </c>
      <c r="M887" s="27">
        <f>IF(OR($A887="",$J887=""),"",IF($K887="",IF(TODAY()&gt;$J887,"Atrasado","En ruta"),IF($K887&lt;=$J887,"Sí","No")))</f>
        <v/>
      </c>
      <c r="N887" s="23">
        <f>IF($A887="","",COUNTIFS(NOVEDADES!$C$4:$C$1503,$A887))</f>
        <v/>
      </c>
      <c r="O887" s="27">
        <f>IF($A887="","",IF(COUNTIFS(NOVEDADES!$C$4:$C$1503,$A887,NOVEDADES!$M$4:$M$1503,"SÍ")&gt;0,"No","Sí"))</f>
        <v/>
      </c>
      <c r="P887" s="27">
        <f>IF(OR($A887="",$K887=""),"",IF(AND($M887="Sí",$O887="Sí"),"OTIF","Falló"))</f>
        <v/>
      </c>
    </row>
    <row r="888" ht="16" customHeight="1">
      <c r="A888" s="47" t="n"/>
      <c r="B888" s="46" t="n"/>
      <c r="C888" s="49" t="n"/>
      <c r="D888" s="49" t="n"/>
      <c r="E888" s="49" t="n"/>
      <c r="F888" s="49" t="n"/>
      <c r="G888" s="47" t="n"/>
      <c r="H888" s="50" t="n"/>
      <c r="I888" s="51" t="n"/>
      <c r="J888" s="46" t="n"/>
      <c r="K888" s="46" t="n"/>
      <c r="L888" s="23">
        <f>IF(OR($A888="",$B888=""),"",IF($K888&lt;&gt;"",$K888-$B888,TODAY()-$B888))</f>
        <v/>
      </c>
      <c r="M888" s="27">
        <f>IF(OR($A888="",$J888=""),"",IF($K888="",IF(TODAY()&gt;$J888,"Atrasado","En ruta"),IF($K888&lt;=$J888,"Sí","No")))</f>
        <v/>
      </c>
      <c r="N888" s="23">
        <f>IF($A888="","",COUNTIFS(NOVEDADES!$C$4:$C$1503,$A888))</f>
        <v/>
      </c>
      <c r="O888" s="27">
        <f>IF($A888="","",IF(COUNTIFS(NOVEDADES!$C$4:$C$1503,$A888,NOVEDADES!$M$4:$M$1503,"SÍ")&gt;0,"No","Sí"))</f>
        <v/>
      </c>
      <c r="P888" s="27">
        <f>IF(OR($A888="",$K888=""),"",IF(AND($M888="Sí",$O888="Sí"),"OTIF","Falló"))</f>
        <v/>
      </c>
    </row>
    <row r="889" ht="16" customHeight="1">
      <c r="A889" s="47" t="n"/>
      <c r="B889" s="46" t="n"/>
      <c r="C889" s="49" t="n"/>
      <c r="D889" s="49" t="n"/>
      <c r="E889" s="49" t="n"/>
      <c r="F889" s="49" t="n"/>
      <c r="G889" s="47" t="n"/>
      <c r="H889" s="50" t="n"/>
      <c r="I889" s="51" t="n"/>
      <c r="J889" s="46" t="n"/>
      <c r="K889" s="46" t="n"/>
      <c r="L889" s="23">
        <f>IF(OR($A889="",$B889=""),"",IF($K889&lt;&gt;"",$K889-$B889,TODAY()-$B889))</f>
        <v/>
      </c>
      <c r="M889" s="27">
        <f>IF(OR($A889="",$J889=""),"",IF($K889="",IF(TODAY()&gt;$J889,"Atrasado","En ruta"),IF($K889&lt;=$J889,"Sí","No")))</f>
        <v/>
      </c>
      <c r="N889" s="23">
        <f>IF($A889="","",COUNTIFS(NOVEDADES!$C$4:$C$1503,$A889))</f>
        <v/>
      </c>
      <c r="O889" s="27">
        <f>IF($A889="","",IF(COUNTIFS(NOVEDADES!$C$4:$C$1503,$A889,NOVEDADES!$M$4:$M$1503,"SÍ")&gt;0,"No","Sí"))</f>
        <v/>
      </c>
      <c r="P889" s="27">
        <f>IF(OR($A889="",$K889=""),"",IF(AND($M889="Sí",$O889="Sí"),"OTIF","Falló"))</f>
        <v/>
      </c>
    </row>
    <row r="890" ht="16" customHeight="1">
      <c r="A890" s="47" t="n"/>
      <c r="B890" s="46" t="n"/>
      <c r="C890" s="49" t="n"/>
      <c r="D890" s="49" t="n"/>
      <c r="E890" s="49" t="n"/>
      <c r="F890" s="49" t="n"/>
      <c r="G890" s="47" t="n"/>
      <c r="H890" s="50" t="n"/>
      <c r="I890" s="51" t="n"/>
      <c r="J890" s="46" t="n"/>
      <c r="K890" s="46" t="n"/>
      <c r="L890" s="23">
        <f>IF(OR($A890="",$B890=""),"",IF($K890&lt;&gt;"",$K890-$B890,TODAY()-$B890))</f>
        <v/>
      </c>
      <c r="M890" s="27">
        <f>IF(OR($A890="",$J890=""),"",IF($K890="",IF(TODAY()&gt;$J890,"Atrasado","En ruta"),IF($K890&lt;=$J890,"Sí","No")))</f>
        <v/>
      </c>
      <c r="N890" s="23">
        <f>IF($A890="","",COUNTIFS(NOVEDADES!$C$4:$C$1503,$A890))</f>
        <v/>
      </c>
      <c r="O890" s="27">
        <f>IF($A890="","",IF(COUNTIFS(NOVEDADES!$C$4:$C$1503,$A890,NOVEDADES!$M$4:$M$1503,"SÍ")&gt;0,"No","Sí"))</f>
        <v/>
      </c>
      <c r="P890" s="27">
        <f>IF(OR($A890="",$K890=""),"",IF(AND($M890="Sí",$O890="Sí"),"OTIF","Falló"))</f>
        <v/>
      </c>
    </row>
    <row r="891" ht="16" customHeight="1">
      <c r="A891" s="47" t="n"/>
      <c r="B891" s="46" t="n"/>
      <c r="C891" s="49" t="n"/>
      <c r="D891" s="49" t="n"/>
      <c r="E891" s="49" t="n"/>
      <c r="F891" s="49" t="n"/>
      <c r="G891" s="47" t="n"/>
      <c r="H891" s="50" t="n"/>
      <c r="I891" s="51" t="n"/>
      <c r="J891" s="46" t="n"/>
      <c r="K891" s="46" t="n"/>
      <c r="L891" s="23">
        <f>IF(OR($A891="",$B891=""),"",IF($K891&lt;&gt;"",$K891-$B891,TODAY()-$B891))</f>
        <v/>
      </c>
      <c r="M891" s="27">
        <f>IF(OR($A891="",$J891=""),"",IF($K891="",IF(TODAY()&gt;$J891,"Atrasado","En ruta"),IF($K891&lt;=$J891,"Sí","No")))</f>
        <v/>
      </c>
      <c r="N891" s="23">
        <f>IF($A891="","",COUNTIFS(NOVEDADES!$C$4:$C$1503,$A891))</f>
        <v/>
      </c>
      <c r="O891" s="27">
        <f>IF($A891="","",IF(COUNTIFS(NOVEDADES!$C$4:$C$1503,$A891,NOVEDADES!$M$4:$M$1503,"SÍ")&gt;0,"No","Sí"))</f>
        <v/>
      </c>
      <c r="P891" s="27">
        <f>IF(OR($A891="",$K891=""),"",IF(AND($M891="Sí",$O891="Sí"),"OTIF","Falló"))</f>
        <v/>
      </c>
    </row>
    <row r="892" ht="16" customHeight="1">
      <c r="A892" s="47" t="n"/>
      <c r="B892" s="46" t="n"/>
      <c r="C892" s="49" t="n"/>
      <c r="D892" s="49" t="n"/>
      <c r="E892" s="49" t="n"/>
      <c r="F892" s="49" t="n"/>
      <c r="G892" s="47" t="n"/>
      <c r="H892" s="50" t="n"/>
      <c r="I892" s="51" t="n"/>
      <c r="J892" s="46" t="n"/>
      <c r="K892" s="46" t="n"/>
      <c r="L892" s="23">
        <f>IF(OR($A892="",$B892=""),"",IF($K892&lt;&gt;"",$K892-$B892,TODAY()-$B892))</f>
        <v/>
      </c>
      <c r="M892" s="27">
        <f>IF(OR($A892="",$J892=""),"",IF($K892="",IF(TODAY()&gt;$J892,"Atrasado","En ruta"),IF($K892&lt;=$J892,"Sí","No")))</f>
        <v/>
      </c>
      <c r="N892" s="23">
        <f>IF($A892="","",COUNTIFS(NOVEDADES!$C$4:$C$1503,$A892))</f>
        <v/>
      </c>
      <c r="O892" s="27">
        <f>IF($A892="","",IF(COUNTIFS(NOVEDADES!$C$4:$C$1503,$A892,NOVEDADES!$M$4:$M$1503,"SÍ")&gt;0,"No","Sí"))</f>
        <v/>
      </c>
      <c r="P892" s="27">
        <f>IF(OR($A892="",$K892=""),"",IF(AND($M892="Sí",$O892="Sí"),"OTIF","Falló"))</f>
        <v/>
      </c>
    </row>
    <row r="893" ht="16" customHeight="1">
      <c r="A893" s="47" t="n"/>
      <c r="B893" s="46" t="n"/>
      <c r="C893" s="49" t="n"/>
      <c r="D893" s="49" t="n"/>
      <c r="E893" s="49" t="n"/>
      <c r="F893" s="49" t="n"/>
      <c r="G893" s="47" t="n"/>
      <c r="H893" s="50" t="n"/>
      <c r="I893" s="51" t="n"/>
      <c r="J893" s="46" t="n"/>
      <c r="K893" s="46" t="n"/>
      <c r="L893" s="23">
        <f>IF(OR($A893="",$B893=""),"",IF($K893&lt;&gt;"",$K893-$B893,TODAY()-$B893))</f>
        <v/>
      </c>
      <c r="M893" s="27">
        <f>IF(OR($A893="",$J893=""),"",IF($K893="",IF(TODAY()&gt;$J893,"Atrasado","En ruta"),IF($K893&lt;=$J893,"Sí","No")))</f>
        <v/>
      </c>
      <c r="N893" s="23">
        <f>IF($A893="","",COUNTIFS(NOVEDADES!$C$4:$C$1503,$A893))</f>
        <v/>
      </c>
      <c r="O893" s="27">
        <f>IF($A893="","",IF(COUNTIFS(NOVEDADES!$C$4:$C$1503,$A893,NOVEDADES!$M$4:$M$1503,"SÍ")&gt;0,"No","Sí"))</f>
        <v/>
      </c>
      <c r="P893" s="27">
        <f>IF(OR($A893="",$K893=""),"",IF(AND($M893="Sí",$O893="Sí"),"OTIF","Falló"))</f>
        <v/>
      </c>
    </row>
    <row r="894" ht="16" customHeight="1">
      <c r="A894" s="47" t="n"/>
      <c r="B894" s="46" t="n"/>
      <c r="C894" s="49" t="n"/>
      <c r="D894" s="49" t="n"/>
      <c r="E894" s="49" t="n"/>
      <c r="F894" s="49" t="n"/>
      <c r="G894" s="47" t="n"/>
      <c r="H894" s="50" t="n"/>
      <c r="I894" s="51" t="n"/>
      <c r="J894" s="46" t="n"/>
      <c r="K894" s="46" t="n"/>
      <c r="L894" s="23">
        <f>IF(OR($A894="",$B894=""),"",IF($K894&lt;&gt;"",$K894-$B894,TODAY()-$B894))</f>
        <v/>
      </c>
      <c r="M894" s="27">
        <f>IF(OR($A894="",$J894=""),"",IF($K894="",IF(TODAY()&gt;$J894,"Atrasado","En ruta"),IF($K894&lt;=$J894,"Sí","No")))</f>
        <v/>
      </c>
      <c r="N894" s="23">
        <f>IF($A894="","",COUNTIFS(NOVEDADES!$C$4:$C$1503,$A894))</f>
        <v/>
      </c>
      <c r="O894" s="27">
        <f>IF($A894="","",IF(COUNTIFS(NOVEDADES!$C$4:$C$1503,$A894,NOVEDADES!$M$4:$M$1503,"SÍ")&gt;0,"No","Sí"))</f>
        <v/>
      </c>
      <c r="P894" s="27">
        <f>IF(OR($A894="",$K894=""),"",IF(AND($M894="Sí",$O894="Sí"),"OTIF","Falló"))</f>
        <v/>
      </c>
    </row>
    <row r="895" ht="16" customHeight="1">
      <c r="A895" s="47" t="n"/>
      <c r="B895" s="46" t="n"/>
      <c r="C895" s="49" t="n"/>
      <c r="D895" s="49" t="n"/>
      <c r="E895" s="49" t="n"/>
      <c r="F895" s="49" t="n"/>
      <c r="G895" s="47" t="n"/>
      <c r="H895" s="50" t="n"/>
      <c r="I895" s="51" t="n"/>
      <c r="J895" s="46" t="n"/>
      <c r="K895" s="46" t="n"/>
      <c r="L895" s="23">
        <f>IF(OR($A895="",$B895=""),"",IF($K895&lt;&gt;"",$K895-$B895,TODAY()-$B895))</f>
        <v/>
      </c>
      <c r="M895" s="27">
        <f>IF(OR($A895="",$J895=""),"",IF($K895="",IF(TODAY()&gt;$J895,"Atrasado","En ruta"),IF($K895&lt;=$J895,"Sí","No")))</f>
        <v/>
      </c>
      <c r="N895" s="23">
        <f>IF($A895="","",COUNTIFS(NOVEDADES!$C$4:$C$1503,$A895))</f>
        <v/>
      </c>
      <c r="O895" s="27">
        <f>IF($A895="","",IF(COUNTIFS(NOVEDADES!$C$4:$C$1503,$A895,NOVEDADES!$M$4:$M$1503,"SÍ")&gt;0,"No","Sí"))</f>
        <v/>
      </c>
      <c r="P895" s="27">
        <f>IF(OR($A895="",$K895=""),"",IF(AND($M895="Sí",$O895="Sí"),"OTIF","Falló"))</f>
        <v/>
      </c>
    </row>
    <row r="896" ht="16" customHeight="1">
      <c r="A896" s="47" t="n"/>
      <c r="B896" s="46" t="n"/>
      <c r="C896" s="49" t="n"/>
      <c r="D896" s="49" t="n"/>
      <c r="E896" s="49" t="n"/>
      <c r="F896" s="49" t="n"/>
      <c r="G896" s="47" t="n"/>
      <c r="H896" s="50" t="n"/>
      <c r="I896" s="51" t="n"/>
      <c r="J896" s="46" t="n"/>
      <c r="K896" s="46" t="n"/>
      <c r="L896" s="23">
        <f>IF(OR($A896="",$B896=""),"",IF($K896&lt;&gt;"",$K896-$B896,TODAY()-$B896))</f>
        <v/>
      </c>
      <c r="M896" s="27">
        <f>IF(OR($A896="",$J896=""),"",IF($K896="",IF(TODAY()&gt;$J896,"Atrasado","En ruta"),IF($K896&lt;=$J896,"Sí","No")))</f>
        <v/>
      </c>
      <c r="N896" s="23">
        <f>IF($A896="","",COUNTIFS(NOVEDADES!$C$4:$C$1503,$A896))</f>
        <v/>
      </c>
      <c r="O896" s="27">
        <f>IF($A896="","",IF(COUNTIFS(NOVEDADES!$C$4:$C$1503,$A896,NOVEDADES!$M$4:$M$1503,"SÍ")&gt;0,"No","Sí"))</f>
        <v/>
      </c>
      <c r="P896" s="27">
        <f>IF(OR($A896="",$K896=""),"",IF(AND($M896="Sí",$O896="Sí"),"OTIF","Falló"))</f>
        <v/>
      </c>
    </row>
    <row r="897" ht="16" customHeight="1">
      <c r="A897" s="47" t="n"/>
      <c r="B897" s="46" t="n"/>
      <c r="C897" s="49" t="n"/>
      <c r="D897" s="49" t="n"/>
      <c r="E897" s="49" t="n"/>
      <c r="F897" s="49" t="n"/>
      <c r="G897" s="47" t="n"/>
      <c r="H897" s="50" t="n"/>
      <c r="I897" s="51" t="n"/>
      <c r="J897" s="46" t="n"/>
      <c r="K897" s="46" t="n"/>
      <c r="L897" s="23">
        <f>IF(OR($A897="",$B897=""),"",IF($K897&lt;&gt;"",$K897-$B897,TODAY()-$B897))</f>
        <v/>
      </c>
      <c r="M897" s="27">
        <f>IF(OR($A897="",$J897=""),"",IF($K897="",IF(TODAY()&gt;$J897,"Atrasado","En ruta"),IF($K897&lt;=$J897,"Sí","No")))</f>
        <v/>
      </c>
      <c r="N897" s="23">
        <f>IF($A897="","",COUNTIFS(NOVEDADES!$C$4:$C$1503,$A897))</f>
        <v/>
      </c>
      <c r="O897" s="27">
        <f>IF($A897="","",IF(COUNTIFS(NOVEDADES!$C$4:$C$1503,$A897,NOVEDADES!$M$4:$M$1503,"SÍ")&gt;0,"No","Sí"))</f>
        <v/>
      </c>
      <c r="P897" s="27">
        <f>IF(OR($A897="",$K897=""),"",IF(AND($M897="Sí",$O897="Sí"),"OTIF","Falló"))</f>
        <v/>
      </c>
    </row>
    <row r="898" ht="16" customHeight="1">
      <c r="A898" s="47" t="n"/>
      <c r="B898" s="46" t="n"/>
      <c r="C898" s="49" t="n"/>
      <c r="D898" s="49" t="n"/>
      <c r="E898" s="49" t="n"/>
      <c r="F898" s="49" t="n"/>
      <c r="G898" s="47" t="n"/>
      <c r="H898" s="50" t="n"/>
      <c r="I898" s="51" t="n"/>
      <c r="J898" s="46" t="n"/>
      <c r="K898" s="46" t="n"/>
      <c r="L898" s="23">
        <f>IF(OR($A898="",$B898=""),"",IF($K898&lt;&gt;"",$K898-$B898,TODAY()-$B898))</f>
        <v/>
      </c>
      <c r="M898" s="27">
        <f>IF(OR($A898="",$J898=""),"",IF($K898="",IF(TODAY()&gt;$J898,"Atrasado","En ruta"),IF($K898&lt;=$J898,"Sí","No")))</f>
        <v/>
      </c>
      <c r="N898" s="23">
        <f>IF($A898="","",COUNTIFS(NOVEDADES!$C$4:$C$1503,$A898))</f>
        <v/>
      </c>
      <c r="O898" s="27">
        <f>IF($A898="","",IF(COUNTIFS(NOVEDADES!$C$4:$C$1503,$A898,NOVEDADES!$M$4:$M$1503,"SÍ")&gt;0,"No","Sí"))</f>
        <v/>
      </c>
      <c r="P898" s="27">
        <f>IF(OR($A898="",$K898=""),"",IF(AND($M898="Sí",$O898="Sí"),"OTIF","Falló"))</f>
        <v/>
      </c>
    </row>
    <row r="899" ht="16" customHeight="1">
      <c r="A899" s="47" t="n"/>
      <c r="B899" s="46" t="n"/>
      <c r="C899" s="49" t="n"/>
      <c r="D899" s="49" t="n"/>
      <c r="E899" s="49" t="n"/>
      <c r="F899" s="49" t="n"/>
      <c r="G899" s="47" t="n"/>
      <c r="H899" s="50" t="n"/>
      <c r="I899" s="51" t="n"/>
      <c r="J899" s="46" t="n"/>
      <c r="K899" s="46" t="n"/>
      <c r="L899" s="23">
        <f>IF(OR($A899="",$B899=""),"",IF($K899&lt;&gt;"",$K899-$B899,TODAY()-$B899))</f>
        <v/>
      </c>
      <c r="M899" s="27">
        <f>IF(OR($A899="",$J899=""),"",IF($K899="",IF(TODAY()&gt;$J899,"Atrasado","En ruta"),IF($K899&lt;=$J899,"Sí","No")))</f>
        <v/>
      </c>
      <c r="N899" s="23">
        <f>IF($A899="","",COUNTIFS(NOVEDADES!$C$4:$C$1503,$A899))</f>
        <v/>
      </c>
      <c r="O899" s="27">
        <f>IF($A899="","",IF(COUNTIFS(NOVEDADES!$C$4:$C$1503,$A899,NOVEDADES!$M$4:$M$1503,"SÍ")&gt;0,"No","Sí"))</f>
        <v/>
      </c>
      <c r="P899" s="27">
        <f>IF(OR($A899="",$K899=""),"",IF(AND($M899="Sí",$O899="Sí"),"OTIF","Falló"))</f>
        <v/>
      </c>
    </row>
    <row r="900" ht="16" customHeight="1">
      <c r="A900" s="47" t="n"/>
      <c r="B900" s="46" t="n"/>
      <c r="C900" s="49" t="n"/>
      <c r="D900" s="49" t="n"/>
      <c r="E900" s="49" t="n"/>
      <c r="F900" s="49" t="n"/>
      <c r="G900" s="47" t="n"/>
      <c r="H900" s="50" t="n"/>
      <c r="I900" s="51" t="n"/>
      <c r="J900" s="46" t="n"/>
      <c r="K900" s="46" t="n"/>
      <c r="L900" s="23">
        <f>IF(OR($A900="",$B900=""),"",IF($K900&lt;&gt;"",$K900-$B900,TODAY()-$B900))</f>
        <v/>
      </c>
      <c r="M900" s="27">
        <f>IF(OR($A900="",$J900=""),"",IF($K900="",IF(TODAY()&gt;$J900,"Atrasado","En ruta"),IF($K900&lt;=$J900,"Sí","No")))</f>
        <v/>
      </c>
      <c r="N900" s="23">
        <f>IF($A900="","",COUNTIFS(NOVEDADES!$C$4:$C$1503,$A900))</f>
        <v/>
      </c>
      <c r="O900" s="27">
        <f>IF($A900="","",IF(COUNTIFS(NOVEDADES!$C$4:$C$1503,$A900,NOVEDADES!$M$4:$M$1503,"SÍ")&gt;0,"No","Sí"))</f>
        <v/>
      </c>
      <c r="P900" s="27">
        <f>IF(OR($A900="",$K900=""),"",IF(AND($M900="Sí",$O900="Sí"),"OTIF","Falló"))</f>
        <v/>
      </c>
    </row>
    <row r="901" ht="16" customHeight="1">
      <c r="A901" s="47" t="n"/>
      <c r="B901" s="46" t="n"/>
      <c r="C901" s="49" t="n"/>
      <c r="D901" s="49" t="n"/>
      <c r="E901" s="49" t="n"/>
      <c r="F901" s="49" t="n"/>
      <c r="G901" s="47" t="n"/>
      <c r="H901" s="50" t="n"/>
      <c r="I901" s="51" t="n"/>
      <c r="J901" s="46" t="n"/>
      <c r="K901" s="46" t="n"/>
      <c r="L901" s="23">
        <f>IF(OR($A901="",$B901=""),"",IF($K901&lt;&gt;"",$K901-$B901,TODAY()-$B901))</f>
        <v/>
      </c>
      <c r="M901" s="27">
        <f>IF(OR($A901="",$J901=""),"",IF($K901="",IF(TODAY()&gt;$J901,"Atrasado","En ruta"),IF($K901&lt;=$J901,"Sí","No")))</f>
        <v/>
      </c>
      <c r="N901" s="23">
        <f>IF($A901="","",COUNTIFS(NOVEDADES!$C$4:$C$1503,$A901))</f>
        <v/>
      </c>
      <c r="O901" s="27">
        <f>IF($A901="","",IF(COUNTIFS(NOVEDADES!$C$4:$C$1503,$A901,NOVEDADES!$M$4:$M$1503,"SÍ")&gt;0,"No","Sí"))</f>
        <v/>
      </c>
      <c r="P901" s="27">
        <f>IF(OR($A901="",$K901=""),"",IF(AND($M901="Sí",$O901="Sí"),"OTIF","Falló"))</f>
        <v/>
      </c>
    </row>
    <row r="902" ht="16" customHeight="1">
      <c r="A902" s="47" t="n"/>
      <c r="B902" s="46" t="n"/>
      <c r="C902" s="49" t="n"/>
      <c r="D902" s="49" t="n"/>
      <c r="E902" s="49" t="n"/>
      <c r="F902" s="49" t="n"/>
      <c r="G902" s="47" t="n"/>
      <c r="H902" s="50" t="n"/>
      <c r="I902" s="51" t="n"/>
      <c r="J902" s="46" t="n"/>
      <c r="K902" s="46" t="n"/>
      <c r="L902" s="23">
        <f>IF(OR($A902="",$B902=""),"",IF($K902&lt;&gt;"",$K902-$B902,TODAY()-$B902))</f>
        <v/>
      </c>
      <c r="M902" s="27">
        <f>IF(OR($A902="",$J902=""),"",IF($K902="",IF(TODAY()&gt;$J902,"Atrasado","En ruta"),IF($K902&lt;=$J902,"Sí","No")))</f>
        <v/>
      </c>
      <c r="N902" s="23">
        <f>IF($A902="","",COUNTIFS(NOVEDADES!$C$4:$C$1503,$A902))</f>
        <v/>
      </c>
      <c r="O902" s="27">
        <f>IF($A902="","",IF(COUNTIFS(NOVEDADES!$C$4:$C$1503,$A902,NOVEDADES!$M$4:$M$1503,"SÍ")&gt;0,"No","Sí"))</f>
        <v/>
      </c>
      <c r="P902" s="27">
        <f>IF(OR($A902="",$K902=""),"",IF(AND($M902="Sí",$O902="Sí"),"OTIF","Falló"))</f>
        <v/>
      </c>
    </row>
    <row r="903" ht="16" customHeight="1">
      <c r="A903" s="47" t="n"/>
      <c r="B903" s="46" t="n"/>
      <c r="C903" s="49" t="n"/>
      <c r="D903" s="49" t="n"/>
      <c r="E903" s="49" t="n"/>
      <c r="F903" s="49" t="n"/>
      <c r="G903" s="47" t="n"/>
      <c r="H903" s="50" t="n"/>
      <c r="I903" s="51" t="n"/>
      <c r="J903" s="46" t="n"/>
      <c r="K903" s="46" t="n"/>
      <c r="L903" s="23">
        <f>IF(OR($A903="",$B903=""),"",IF($K903&lt;&gt;"",$K903-$B903,TODAY()-$B903))</f>
        <v/>
      </c>
      <c r="M903" s="27">
        <f>IF(OR($A903="",$J903=""),"",IF($K903="",IF(TODAY()&gt;$J903,"Atrasado","En ruta"),IF($K903&lt;=$J903,"Sí","No")))</f>
        <v/>
      </c>
      <c r="N903" s="23">
        <f>IF($A903="","",COUNTIFS(NOVEDADES!$C$4:$C$1503,$A903))</f>
        <v/>
      </c>
      <c r="O903" s="27">
        <f>IF($A903="","",IF(COUNTIFS(NOVEDADES!$C$4:$C$1503,$A903,NOVEDADES!$M$4:$M$1503,"SÍ")&gt;0,"No","Sí"))</f>
        <v/>
      </c>
      <c r="P903" s="27">
        <f>IF(OR($A903="",$K903=""),"",IF(AND($M903="Sí",$O903="Sí"),"OTIF","Falló"))</f>
        <v/>
      </c>
    </row>
    <row r="904" ht="16" customHeight="1">
      <c r="A904" s="47" t="n"/>
      <c r="B904" s="46" t="n"/>
      <c r="C904" s="49" t="n"/>
      <c r="D904" s="49" t="n"/>
      <c r="E904" s="49" t="n"/>
      <c r="F904" s="49" t="n"/>
      <c r="G904" s="47" t="n"/>
      <c r="H904" s="50" t="n"/>
      <c r="I904" s="51" t="n"/>
      <c r="J904" s="46" t="n"/>
      <c r="K904" s="46" t="n"/>
      <c r="L904" s="23">
        <f>IF(OR($A904="",$B904=""),"",IF($K904&lt;&gt;"",$K904-$B904,TODAY()-$B904))</f>
        <v/>
      </c>
      <c r="M904" s="27">
        <f>IF(OR($A904="",$J904=""),"",IF($K904="",IF(TODAY()&gt;$J904,"Atrasado","En ruta"),IF($K904&lt;=$J904,"Sí","No")))</f>
        <v/>
      </c>
      <c r="N904" s="23">
        <f>IF($A904="","",COUNTIFS(NOVEDADES!$C$4:$C$1503,$A904))</f>
        <v/>
      </c>
      <c r="O904" s="27">
        <f>IF($A904="","",IF(COUNTIFS(NOVEDADES!$C$4:$C$1503,$A904,NOVEDADES!$M$4:$M$1503,"SÍ")&gt;0,"No","Sí"))</f>
        <v/>
      </c>
      <c r="P904" s="27">
        <f>IF(OR($A904="",$K904=""),"",IF(AND($M904="Sí",$O904="Sí"),"OTIF","Falló"))</f>
        <v/>
      </c>
    </row>
    <row r="905" ht="16" customHeight="1">
      <c r="A905" s="47" t="n"/>
      <c r="B905" s="46" t="n"/>
      <c r="C905" s="49" t="n"/>
      <c r="D905" s="49" t="n"/>
      <c r="E905" s="49" t="n"/>
      <c r="F905" s="49" t="n"/>
      <c r="G905" s="47" t="n"/>
      <c r="H905" s="50" t="n"/>
      <c r="I905" s="51" t="n"/>
      <c r="J905" s="46" t="n"/>
      <c r="K905" s="46" t="n"/>
      <c r="L905" s="23">
        <f>IF(OR($A905="",$B905=""),"",IF($K905&lt;&gt;"",$K905-$B905,TODAY()-$B905))</f>
        <v/>
      </c>
      <c r="M905" s="27">
        <f>IF(OR($A905="",$J905=""),"",IF($K905="",IF(TODAY()&gt;$J905,"Atrasado","En ruta"),IF($K905&lt;=$J905,"Sí","No")))</f>
        <v/>
      </c>
      <c r="N905" s="23">
        <f>IF($A905="","",COUNTIFS(NOVEDADES!$C$4:$C$1503,$A905))</f>
        <v/>
      </c>
      <c r="O905" s="27">
        <f>IF($A905="","",IF(COUNTIFS(NOVEDADES!$C$4:$C$1503,$A905,NOVEDADES!$M$4:$M$1503,"SÍ")&gt;0,"No","Sí"))</f>
        <v/>
      </c>
      <c r="P905" s="27">
        <f>IF(OR($A905="",$K905=""),"",IF(AND($M905="Sí",$O905="Sí"),"OTIF","Falló"))</f>
        <v/>
      </c>
    </row>
    <row r="906" ht="16" customHeight="1">
      <c r="A906" s="47" t="n"/>
      <c r="B906" s="46" t="n"/>
      <c r="C906" s="49" t="n"/>
      <c r="D906" s="49" t="n"/>
      <c r="E906" s="49" t="n"/>
      <c r="F906" s="49" t="n"/>
      <c r="G906" s="47" t="n"/>
      <c r="H906" s="50" t="n"/>
      <c r="I906" s="51" t="n"/>
      <c r="J906" s="46" t="n"/>
      <c r="K906" s="46" t="n"/>
      <c r="L906" s="23">
        <f>IF(OR($A906="",$B906=""),"",IF($K906&lt;&gt;"",$K906-$B906,TODAY()-$B906))</f>
        <v/>
      </c>
      <c r="M906" s="27">
        <f>IF(OR($A906="",$J906=""),"",IF($K906="",IF(TODAY()&gt;$J906,"Atrasado","En ruta"),IF($K906&lt;=$J906,"Sí","No")))</f>
        <v/>
      </c>
      <c r="N906" s="23">
        <f>IF($A906="","",COUNTIFS(NOVEDADES!$C$4:$C$1503,$A906))</f>
        <v/>
      </c>
      <c r="O906" s="27">
        <f>IF($A906="","",IF(COUNTIFS(NOVEDADES!$C$4:$C$1503,$A906,NOVEDADES!$M$4:$M$1503,"SÍ")&gt;0,"No","Sí"))</f>
        <v/>
      </c>
      <c r="P906" s="27">
        <f>IF(OR($A906="",$K906=""),"",IF(AND($M906="Sí",$O906="Sí"),"OTIF","Falló"))</f>
        <v/>
      </c>
    </row>
    <row r="907" ht="16" customHeight="1">
      <c r="A907" s="47" t="n"/>
      <c r="B907" s="46" t="n"/>
      <c r="C907" s="49" t="n"/>
      <c r="D907" s="49" t="n"/>
      <c r="E907" s="49" t="n"/>
      <c r="F907" s="49" t="n"/>
      <c r="G907" s="47" t="n"/>
      <c r="H907" s="50" t="n"/>
      <c r="I907" s="51" t="n"/>
      <c r="J907" s="46" t="n"/>
      <c r="K907" s="46" t="n"/>
      <c r="L907" s="23">
        <f>IF(OR($A907="",$B907=""),"",IF($K907&lt;&gt;"",$K907-$B907,TODAY()-$B907))</f>
        <v/>
      </c>
      <c r="M907" s="27">
        <f>IF(OR($A907="",$J907=""),"",IF($K907="",IF(TODAY()&gt;$J907,"Atrasado","En ruta"),IF($K907&lt;=$J907,"Sí","No")))</f>
        <v/>
      </c>
      <c r="N907" s="23">
        <f>IF($A907="","",COUNTIFS(NOVEDADES!$C$4:$C$1503,$A907))</f>
        <v/>
      </c>
      <c r="O907" s="27">
        <f>IF($A907="","",IF(COUNTIFS(NOVEDADES!$C$4:$C$1503,$A907,NOVEDADES!$M$4:$M$1503,"SÍ")&gt;0,"No","Sí"))</f>
        <v/>
      </c>
      <c r="P907" s="27">
        <f>IF(OR($A907="",$K907=""),"",IF(AND($M907="Sí",$O907="Sí"),"OTIF","Falló"))</f>
        <v/>
      </c>
    </row>
    <row r="908" ht="16" customHeight="1">
      <c r="A908" s="47" t="n"/>
      <c r="B908" s="46" t="n"/>
      <c r="C908" s="49" t="n"/>
      <c r="D908" s="49" t="n"/>
      <c r="E908" s="49" t="n"/>
      <c r="F908" s="49" t="n"/>
      <c r="G908" s="47" t="n"/>
      <c r="H908" s="50" t="n"/>
      <c r="I908" s="51" t="n"/>
      <c r="J908" s="46" t="n"/>
      <c r="K908" s="46" t="n"/>
      <c r="L908" s="23">
        <f>IF(OR($A908="",$B908=""),"",IF($K908&lt;&gt;"",$K908-$B908,TODAY()-$B908))</f>
        <v/>
      </c>
      <c r="M908" s="27">
        <f>IF(OR($A908="",$J908=""),"",IF($K908="",IF(TODAY()&gt;$J908,"Atrasado","En ruta"),IF($K908&lt;=$J908,"Sí","No")))</f>
        <v/>
      </c>
      <c r="N908" s="23">
        <f>IF($A908="","",COUNTIFS(NOVEDADES!$C$4:$C$1503,$A908))</f>
        <v/>
      </c>
      <c r="O908" s="27">
        <f>IF($A908="","",IF(COUNTIFS(NOVEDADES!$C$4:$C$1503,$A908,NOVEDADES!$M$4:$M$1503,"SÍ")&gt;0,"No","Sí"))</f>
        <v/>
      </c>
      <c r="P908" s="27">
        <f>IF(OR($A908="",$K908=""),"",IF(AND($M908="Sí",$O908="Sí"),"OTIF","Falló"))</f>
        <v/>
      </c>
    </row>
    <row r="909" ht="16" customHeight="1">
      <c r="A909" s="47" t="n"/>
      <c r="B909" s="46" t="n"/>
      <c r="C909" s="49" t="n"/>
      <c r="D909" s="49" t="n"/>
      <c r="E909" s="49" t="n"/>
      <c r="F909" s="49" t="n"/>
      <c r="G909" s="47" t="n"/>
      <c r="H909" s="50" t="n"/>
      <c r="I909" s="51" t="n"/>
      <c r="J909" s="46" t="n"/>
      <c r="K909" s="46" t="n"/>
      <c r="L909" s="23">
        <f>IF(OR($A909="",$B909=""),"",IF($K909&lt;&gt;"",$K909-$B909,TODAY()-$B909))</f>
        <v/>
      </c>
      <c r="M909" s="27">
        <f>IF(OR($A909="",$J909=""),"",IF($K909="",IF(TODAY()&gt;$J909,"Atrasado","En ruta"),IF($K909&lt;=$J909,"Sí","No")))</f>
        <v/>
      </c>
      <c r="N909" s="23">
        <f>IF($A909="","",COUNTIFS(NOVEDADES!$C$4:$C$1503,$A909))</f>
        <v/>
      </c>
      <c r="O909" s="27">
        <f>IF($A909="","",IF(COUNTIFS(NOVEDADES!$C$4:$C$1503,$A909,NOVEDADES!$M$4:$M$1503,"SÍ")&gt;0,"No","Sí"))</f>
        <v/>
      </c>
      <c r="P909" s="27">
        <f>IF(OR($A909="",$K909=""),"",IF(AND($M909="Sí",$O909="Sí"),"OTIF","Falló"))</f>
        <v/>
      </c>
    </row>
    <row r="910" ht="16" customHeight="1">
      <c r="A910" s="47" t="n"/>
      <c r="B910" s="46" t="n"/>
      <c r="C910" s="49" t="n"/>
      <c r="D910" s="49" t="n"/>
      <c r="E910" s="49" t="n"/>
      <c r="F910" s="49" t="n"/>
      <c r="G910" s="47" t="n"/>
      <c r="H910" s="50" t="n"/>
      <c r="I910" s="51" t="n"/>
      <c r="J910" s="46" t="n"/>
      <c r="K910" s="46" t="n"/>
      <c r="L910" s="23">
        <f>IF(OR($A910="",$B910=""),"",IF($K910&lt;&gt;"",$K910-$B910,TODAY()-$B910))</f>
        <v/>
      </c>
      <c r="M910" s="27">
        <f>IF(OR($A910="",$J910=""),"",IF($K910="",IF(TODAY()&gt;$J910,"Atrasado","En ruta"),IF($K910&lt;=$J910,"Sí","No")))</f>
        <v/>
      </c>
      <c r="N910" s="23">
        <f>IF($A910="","",COUNTIFS(NOVEDADES!$C$4:$C$1503,$A910))</f>
        <v/>
      </c>
      <c r="O910" s="27">
        <f>IF($A910="","",IF(COUNTIFS(NOVEDADES!$C$4:$C$1503,$A910,NOVEDADES!$M$4:$M$1503,"SÍ")&gt;0,"No","Sí"))</f>
        <v/>
      </c>
      <c r="P910" s="27">
        <f>IF(OR($A910="",$K910=""),"",IF(AND($M910="Sí",$O910="Sí"),"OTIF","Falló"))</f>
        <v/>
      </c>
    </row>
    <row r="911" ht="16" customHeight="1">
      <c r="A911" s="47" t="n"/>
      <c r="B911" s="46" t="n"/>
      <c r="C911" s="49" t="n"/>
      <c r="D911" s="49" t="n"/>
      <c r="E911" s="49" t="n"/>
      <c r="F911" s="49" t="n"/>
      <c r="G911" s="47" t="n"/>
      <c r="H911" s="50" t="n"/>
      <c r="I911" s="51" t="n"/>
      <c r="J911" s="46" t="n"/>
      <c r="K911" s="46" t="n"/>
      <c r="L911" s="23">
        <f>IF(OR($A911="",$B911=""),"",IF($K911&lt;&gt;"",$K911-$B911,TODAY()-$B911))</f>
        <v/>
      </c>
      <c r="M911" s="27">
        <f>IF(OR($A911="",$J911=""),"",IF($K911="",IF(TODAY()&gt;$J911,"Atrasado","En ruta"),IF($K911&lt;=$J911,"Sí","No")))</f>
        <v/>
      </c>
      <c r="N911" s="23">
        <f>IF($A911="","",COUNTIFS(NOVEDADES!$C$4:$C$1503,$A911))</f>
        <v/>
      </c>
      <c r="O911" s="27">
        <f>IF($A911="","",IF(COUNTIFS(NOVEDADES!$C$4:$C$1503,$A911,NOVEDADES!$M$4:$M$1503,"SÍ")&gt;0,"No","Sí"))</f>
        <v/>
      </c>
      <c r="P911" s="27">
        <f>IF(OR($A911="",$K911=""),"",IF(AND($M911="Sí",$O911="Sí"),"OTIF","Falló"))</f>
        <v/>
      </c>
    </row>
    <row r="912" ht="16" customHeight="1">
      <c r="A912" s="47" t="n"/>
      <c r="B912" s="46" t="n"/>
      <c r="C912" s="49" t="n"/>
      <c r="D912" s="49" t="n"/>
      <c r="E912" s="49" t="n"/>
      <c r="F912" s="49" t="n"/>
      <c r="G912" s="47" t="n"/>
      <c r="H912" s="50" t="n"/>
      <c r="I912" s="51" t="n"/>
      <c r="J912" s="46" t="n"/>
      <c r="K912" s="46" t="n"/>
      <c r="L912" s="23">
        <f>IF(OR($A912="",$B912=""),"",IF($K912&lt;&gt;"",$K912-$B912,TODAY()-$B912))</f>
        <v/>
      </c>
      <c r="M912" s="27">
        <f>IF(OR($A912="",$J912=""),"",IF($K912="",IF(TODAY()&gt;$J912,"Atrasado","En ruta"),IF($K912&lt;=$J912,"Sí","No")))</f>
        <v/>
      </c>
      <c r="N912" s="23">
        <f>IF($A912="","",COUNTIFS(NOVEDADES!$C$4:$C$1503,$A912))</f>
        <v/>
      </c>
      <c r="O912" s="27">
        <f>IF($A912="","",IF(COUNTIFS(NOVEDADES!$C$4:$C$1503,$A912,NOVEDADES!$M$4:$M$1503,"SÍ")&gt;0,"No","Sí"))</f>
        <v/>
      </c>
      <c r="P912" s="27">
        <f>IF(OR($A912="",$K912=""),"",IF(AND($M912="Sí",$O912="Sí"),"OTIF","Falló"))</f>
        <v/>
      </c>
    </row>
    <row r="913" ht="16" customHeight="1">
      <c r="A913" s="47" t="n"/>
      <c r="B913" s="46" t="n"/>
      <c r="C913" s="49" t="n"/>
      <c r="D913" s="49" t="n"/>
      <c r="E913" s="49" t="n"/>
      <c r="F913" s="49" t="n"/>
      <c r="G913" s="47" t="n"/>
      <c r="H913" s="50" t="n"/>
      <c r="I913" s="51" t="n"/>
      <c r="J913" s="46" t="n"/>
      <c r="K913" s="46" t="n"/>
      <c r="L913" s="23">
        <f>IF(OR($A913="",$B913=""),"",IF($K913&lt;&gt;"",$K913-$B913,TODAY()-$B913))</f>
        <v/>
      </c>
      <c r="M913" s="27">
        <f>IF(OR($A913="",$J913=""),"",IF($K913="",IF(TODAY()&gt;$J913,"Atrasado","En ruta"),IF($K913&lt;=$J913,"Sí","No")))</f>
        <v/>
      </c>
      <c r="N913" s="23">
        <f>IF($A913="","",COUNTIFS(NOVEDADES!$C$4:$C$1503,$A913))</f>
        <v/>
      </c>
      <c r="O913" s="27">
        <f>IF($A913="","",IF(COUNTIFS(NOVEDADES!$C$4:$C$1503,$A913,NOVEDADES!$M$4:$M$1503,"SÍ")&gt;0,"No","Sí"))</f>
        <v/>
      </c>
      <c r="P913" s="27">
        <f>IF(OR($A913="",$K913=""),"",IF(AND($M913="Sí",$O913="Sí"),"OTIF","Falló"))</f>
        <v/>
      </c>
    </row>
    <row r="914" ht="16" customHeight="1">
      <c r="A914" s="47" t="n"/>
      <c r="B914" s="46" t="n"/>
      <c r="C914" s="49" t="n"/>
      <c r="D914" s="49" t="n"/>
      <c r="E914" s="49" t="n"/>
      <c r="F914" s="49" t="n"/>
      <c r="G914" s="47" t="n"/>
      <c r="H914" s="50" t="n"/>
      <c r="I914" s="51" t="n"/>
      <c r="J914" s="46" t="n"/>
      <c r="K914" s="46" t="n"/>
      <c r="L914" s="23">
        <f>IF(OR($A914="",$B914=""),"",IF($K914&lt;&gt;"",$K914-$B914,TODAY()-$B914))</f>
        <v/>
      </c>
      <c r="M914" s="27">
        <f>IF(OR($A914="",$J914=""),"",IF($K914="",IF(TODAY()&gt;$J914,"Atrasado","En ruta"),IF($K914&lt;=$J914,"Sí","No")))</f>
        <v/>
      </c>
      <c r="N914" s="23">
        <f>IF($A914="","",COUNTIFS(NOVEDADES!$C$4:$C$1503,$A914))</f>
        <v/>
      </c>
      <c r="O914" s="27">
        <f>IF($A914="","",IF(COUNTIFS(NOVEDADES!$C$4:$C$1503,$A914,NOVEDADES!$M$4:$M$1503,"SÍ")&gt;0,"No","Sí"))</f>
        <v/>
      </c>
      <c r="P914" s="27">
        <f>IF(OR($A914="",$K914=""),"",IF(AND($M914="Sí",$O914="Sí"),"OTIF","Falló"))</f>
        <v/>
      </c>
    </row>
    <row r="915" ht="16" customHeight="1">
      <c r="A915" s="47" t="n"/>
      <c r="B915" s="46" t="n"/>
      <c r="C915" s="49" t="n"/>
      <c r="D915" s="49" t="n"/>
      <c r="E915" s="49" t="n"/>
      <c r="F915" s="49" t="n"/>
      <c r="G915" s="47" t="n"/>
      <c r="H915" s="50" t="n"/>
      <c r="I915" s="51" t="n"/>
      <c r="J915" s="46" t="n"/>
      <c r="K915" s="46" t="n"/>
      <c r="L915" s="23">
        <f>IF(OR($A915="",$B915=""),"",IF($K915&lt;&gt;"",$K915-$B915,TODAY()-$B915))</f>
        <v/>
      </c>
      <c r="M915" s="27">
        <f>IF(OR($A915="",$J915=""),"",IF($K915="",IF(TODAY()&gt;$J915,"Atrasado","En ruta"),IF($K915&lt;=$J915,"Sí","No")))</f>
        <v/>
      </c>
      <c r="N915" s="23">
        <f>IF($A915="","",COUNTIFS(NOVEDADES!$C$4:$C$1503,$A915))</f>
        <v/>
      </c>
      <c r="O915" s="27">
        <f>IF($A915="","",IF(COUNTIFS(NOVEDADES!$C$4:$C$1503,$A915,NOVEDADES!$M$4:$M$1503,"SÍ")&gt;0,"No","Sí"))</f>
        <v/>
      </c>
      <c r="P915" s="27">
        <f>IF(OR($A915="",$K915=""),"",IF(AND($M915="Sí",$O915="Sí"),"OTIF","Falló"))</f>
        <v/>
      </c>
    </row>
    <row r="916" ht="16" customHeight="1">
      <c r="A916" s="47" t="n"/>
      <c r="B916" s="46" t="n"/>
      <c r="C916" s="49" t="n"/>
      <c r="D916" s="49" t="n"/>
      <c r="E916" s="49" t="n"/>
      <c r="F916" s="49" t="n"/>
      <c r="G916" s="47" t="n"/>
      <c r="H916" s="50" t="n"/>
      <c r="I916" s="51" t="n"/>
      <c r="J916" s="46" t="n"/>
      <c r="K916" s="46" t="n"/>
      <c r="L916" s="23">
        <f>IF(OR($A916="",$B916=""),"",IF($K916&lt;&gt;"",$K916-$B916,TODAY()-$B916))</f>
        <v/>
      </c>
      <c r="M916" s="27">
        <f>IF(OR($A916="",$J916=""),"",IF($K916="",IF(TODAY()&gt;$J916,"Atrasado","En ruta"),IF($K916&lt;=$J916,"Sí","No")))</f>
        <v/>
      </c>
      <c r="N916" s="23">
        <f>IF($A916="","",COUNTIFS(NOVEDADES!$C$4:$C$1503,$A916))</f>
        <v/>
      </c>
      <c r="O916" s="27">
        <f>IF($A916="","",IF(COUNTIFS(NOVEDADES!$C$4:$C$1503,$A916,NOVEDADES!$M$4:$M$1503,"SÍ")&gt;0,"No","Sí"))</f>
        <v/>
      </c>
      <c r="P916" s="27">
        <f>IF(OR($A916="",$K916=""),"",IF(AND($M916="Sí",$O916="Sí"),"OTIF","Falló"))</f>
        <v/>
      </c>
    </row>
    <row r="917" ht="16" customHeight="1">
      <c r="A917" s="47" t="n"/>
      <c r="B917" s="46" t="n"/>
      <c r="C917" s="49" t="n"/>
      <c r="D917" s="49" t="n"/>
      <c r="E917" s="49" t="n"/>
      <c r="F917" s="49" t="n"/>
      <c r="G917" s="47" t="n"/>
      <c r="H917" s="50" t="n"/>
      <c r="I917" s="51" t="n"/>
      <c r="J917" s="46" t="n"/>
      <c r="K917" s="46" t="n"/>
      <c r="L917" s="23">
        <f>IF(OR($A917="",$B917=""),"",IF($K917&lt;&gt;"",$K917-$B917,TODAY()-$B917))</f>
        <v/>
      </c>
      <c r="M917" s="27">
        <f>IF(OR($A917="",$J917=""),"",IF($K917="",IF(TODAY()&gt;$J917,"Atrasado","En ruta"),IF($K917&lt;=$J917,"Sí","No")))</f>
        <v/>
      </c>
      <c r="N917" s="23">
        <f>IF($A917="","",COUNTIFS(NOVEDADES!$C$4:$C$1503,$A917))</f>
        <v/>
      </c>
      <c r="O917" s="27">
        <f>IF($A917="","",IF(COUNTIFS(NOVEDADES!$C$4:$C$1503,$A917,NOVEDADES!$M$4:$M$1503,"SÍ")&gt;0,"No","Sí"))</f>
        <v/>
      </c>
      <c r="P917" s="27">
        <f>IF(OR($A917="",$K917=""),"",IF(AND($M917="Sí",$O917="Sí"),"OTIF","Falló"))</f>
        <v/>
      </c>
    </row>
    <row r="918" ht="16" customHeight="1">
      <c r="A918" s="47" t="n"/>
      <c r="B918" s="46" t="n"/>
      <c r="C918" s="49" t="n"/>
      <c r="D918" s="49" t="n"/>
      <c r="E918" s="49" t="n"/>
      <c r="F918" s="49" t="n"/>
      <c r="G918" s="47" t="n"/>
      <c r="H918" s="50" t="n"/>
      <c r="I918" s="51" t="n"/>
      <c r="J918" s="46" t="n"/>
      <c r="K918" s="46" t="n"/>
      <c r="L918" s="23">
        <f>IF(OR($A918="",$B918=""),"",IF($K918&lt;&gt;"",$K918-$B918,TODAY()-$B918))</f>
        <v/>
      </c>
      <c r="M918" s="27">
        <f>IF(OR($A918="",$J918=""),"",IF($K918="",IF(TODAY()&gt;$J918,"Atrasado","En ruta"),IF($K918&lt;=$J918,"Sí","No")))</f>
        <v/>
      </c>
      <c r="N918" s="23">
        <f>IF($A918="","",COUNTIFS(NOVEDADES!$C$4:$C$1503,$A918))</f>
        <v/>
      </c>
      <c r="O918" s="27">
        <f>IF($A918="","",IF(COUNTIFS(NOVEDADES!$C$4:$C$1503,$A918,NOVEDADES!$M$4:$M$1503,"SÍ")&gt;0,"No","Sí"))</f>
        <v/>
      </c>
      <c r="P918" s="27">
        <f>IF(OR($A918="",$K918=""),"",IF(AND($M918="Sí",$O918="Sí"),"OTIF","Falló"))</f>
        <v/>
      </c>
    </row>
    <row r="919" ht="16" customHeight="1">
      <c r="A919" s="47" t="n"/>
      <c r="B919" s="46" t="n"/>
      <c r="C919" s="49" t="n"/>
      <c r="D919" s="49" t="n"/>
      <c r="E919" s="49" t="n"/>
      <c r="F919" s="49" t="n"/>
      <c r="G919" s="47" t="n"/>
      <c r="H919" s="50" t="n"/>
      <c r="I919" s="51" t="n"/>
      <c r="J919" s="46" t="n"/>
      <c r="K919" s="46" t="n"/>
      <c r="L919" s="23">
        <f>IF(OR($A919="",$B919=""),"",IF($K919&lt;&gt;"",$K919-$B919,TODAY()-$B919))</f>
        <v/>
      </c>
      <c r="M919" s="27">
        <f>IF(OR($A919="",$J919=""),"",IF($K919="",IF(TODAY()&gt;$J919,"Atrasado","En ruta"),IF($K919&lt;=$J919,"Sí","No")))</f>
        <v/>
      </c>
      <c r="N919" s="23">
        <f>IF($A919="","",COUNTIFS(NOVEDADES!$C$4:$C$1503,$A919))</f>
        <v/>
      </c>
      <c r="O919" s="27">
        <f>IF($A919="","",IF(COUNTIFS(NOVEDADES!$C$4:$C$1503,$A919,NOVEDADES!$M$4:$M$1503,"SÍ")&gt;0,"No","Sí"))</f>
        <v/>
      </c>
      <c r="P919" s="27">
        <f>IF(OR($A919="",$K919=""),"",IF(AND($M919="Sí",$O919="Sí"),"OTIF","Falló"))</f>
        <v/>
      </c>
    </row>
    <row r="920" ht="16" customHeight="1">
      <c r="A920" s="47" t="n"/>
      <c r="B920" s="46" t="n"/>
      <c r="C920" s="49" t="n"/>
      <c r="D920" s="49" t="n"/>
      <c r="E920" s="49" t="n"/>
      <c r="F920" s="49" t="n"/>
      <c r="G920" s="47" t="n"/>
      <c r="H920" s="50" t="n"/>
      <c r="I920" s="51" t="n"/>
      <c r="J920" s="46" t="n"/>
      <c r="K920" s="46" t="n"/>
      <c r="L920" s="23">
        <f>IF(OR($A920="",$B920=""),"",IF($K920&lt;&gt;"",$K920-$B920,TODAY()-$B920))</f>
        <v/>
      </c>
      <c r="M920" s="27">
        <f>IF(OR($A920="",$J920=""),"",IF($K920="",IF(TODAY()&gt;$J920,"Atrasado","En ruta"),IF($K920&lt;=$J920,"Sí","No")))</f>
        <v/>
      </c>
      <c r="N920" s="23">
        <f>IF($A920="","",COUNTIFS(NOVEDADES!$C$4:$C$1503,$A920))</f>
        <v/>
      </c>
      <c r="O920" s="27">
        <f>IF($A920="","",IF(COUNTIFS(NOVEDADES!$C$4:$C$1503,$A920,NOVEDADES!$M$4:$M$1503,"SÍ")&gt;0,"No","Sí"))</f>
        <v/>
      </c>
      <c r="P920" s="27">
        <f>IF(OR($A920="",$K920=""),"",IF(AND($M920="Sí",$O920="Sí"),"OTIF","Falló"))</f>
        <v/>
      </c>
    </row>
    <row r="921" ht="16" customHeight="1">
      <c r="A921" s="47" t="n"/>
      <c r="B921" s="46" t="n"/>
      <c r="C921" s="49" t="n"/>
      <c r="D921" s="49" t="n"/>
      <c r="E921" s="49" t="n"/>
      <c r="F921" s="49" t="n"/>
      <c r="G921" s="47" t="n"/>
      <c r="H921" s="50" t="n"/>
      <c r="I921" s="51" t="n"/>
      <c r="J921" s="46" t="n"/>
      <c r="K921" s="46" t="n"/>
      <c r="L921" s="23">
        <f>IF(OR($A921="",$B921=""),"",IF($K921&lt;&gt;"",$K921-$B921,TODAY()-$B921))</f>
        <v/>
      </c>
      <c r="M921" s="27">
        <f>IF(OR($A921="",$J921=""),"",IF($K921="",IF(TODAY()&gt;$J921,"Atrasado","En ruta"),IF($K921&lt;=$J921,"Sí","No")))</f>
        <v/>
      </c>
      <c r="N921" s="23">
        <f>IF($A921="","",COUNTIFS(NOVEDADES!$C$4:$C$1503,$A921))</f>
        <v/>
      </c>
      <c r="O921" s="27">
        <f>IF($A921="","",IF(COUNTIFS(NOVEDADES!$C$4:$C$1503,$A921,NOVEDADES!$M$4:$M$1503,"SÍ")&gt;0,"No","Sí"))</f>
        <v/>
      </c>
      <c r="P921" s="27">
        <f>IF(OR($A921="",$K921=""),"",IF(AND($M921="Sí",$O921="Sí"),"OTIF","Falló"))</f>
        <v/>
      </c>
    </row>
    <row r="922" ht="16" customHeight="1">
      <c r="A922" s="47" t="n"/>
      <c r="B922" s="46" t="n"/>
      <c r="C922" s="49" t="n"/>
      <c r="D922" s="49" t="n"/>
      <c r="E922" s="49" t="n"/>
      <c r="F922" s="49" t="n"/>
      <c r="G922" s="47" t="n"/>
      <c r="H922" s="50" t="n"/>
      <c r="I922" s="51" t="n"/>
      <c r="J922" s="46" t="n"/>
      <c r="K922" s="46" t="n"/>
      <c r="L922" s="23">
        <f>IF(OR($A922="",$B922=""),"",IF($K922&lt;&gt;"",$K922-$B922,TODAY()-$B922))</f>
        <v/>
      </c>
      <c r="M922" s="27">
        <f>IF(OR($A922="",$J922=""),"",IF($K922="",IF(TODAY()&gt;$J922,"Atrasado","En ruta"),IF($K922&lt;=$J922,"Sí","No")))</f>
        <v/>
      </c>
      <c r="N922" s="23">
        <f>IF($A922="","",COUNTIFS(NOVEDADES!$C$4:$C$1503,$A922))</f>
        <v/>
      </c>
      <c r="O922" s="27">
        <f>IF($A922="","",IF(COUNTIFS(NOVEDADES!$C$4:$C$1503,$A922,NOVEDADES!$M$4:$M$1503,"SÍ")&gt;0,"No","Sí"))</f>
        <v/>
      </c>
      <c r="P922" s="27">
        <f>IF(OR($A922="",$K922=""),"",IF(AND($M922="Sí",$O922="Sí"),"OTIF","Falló"))</f>
        <v/>
      </c>
    </row>
    <row r="923" ht="16" customHeight="1">
      <c r="A923" s="47" t="n"/>
      <c r="B923" s="46" t="n"/>
      <c r="C923" s="49" t="n"/>
      <c r="D923" s="49" t="n"/>
      <c r="E923" s="49" t="n"/>
      <c r="F923" s="49" t="n"/>
      <c r="G923" s="47" t="n"/>
      <c r="H923" s="50" t="n"/>
      <c r="I923" s="51" t="n"/>
      <c r="J923" s="46" t="n"/>
      <c r="K923" s="46" t="n"/>
      <c r="L923" s="23">
        <f>IF(OR($A923="",$B923=""),"",IF($K923&lt;&gt;"",$K923-$B923,TODAY()-$B923))</f>
        <v/>
      </c>
      <c r="M923" s="27">
        <f>IF(OR($A923="",$J923=""),"",IF($K923="",IF(TODAY()&gt;$J923,"Atrasado","En ruta"),IF($K923&lt;=$J923,"Sí","No")))</f>
        <v/>
      </c>
      <c r="N923" s="23">
        <f>IF($A923="","",COUNTIFS(NOVEDADES!$C$4:$C$1503,$A923))</f>
        <v/>
      </c>
      <c r="O923" s="27">
        <f>IF($A923="","",IF(COUNTIFS(NOVEDADES!$C$4:$C$1503,$A923,NOVEDADES!$M$4:$M$1503,"SÍ")&gt;0,"No","Sí"))</f>
        <v/>
      </c>
      <c r="P923" s="27">
        <f>IF(OR($A923="",$K923=""),"",IF(AND($M923="Sí",$O923="Sí"),"OTIF","Falló"))</f>
        <v/>
      </c>
    </row>
    <row r="924" ht="16" customHeight="1">
      <c r="A924" s="47" t="n"/>
      <c r="B924" s="46" t="n"/>
      <c r="C924" s="49" t="n"/>
      <c r="D924" s="49" t="n"/>
      <c r="E924" s="49" t="n"/>
      <c r="F924" s="49" t="n"/>
      <c r="G924" s="47" t="n"/>
      <c r="H924" s="50" t="n"/>
      <c r="I924" s="51" t="n"/>
      <c r="J924" s="46" t="n"/>
      <c r="K924" s="46" t="n"/>
      <c r="L924" s="23">
        <f>IF(OR($A924="",$B924=""),"",IF($K924&lt;&gt;"",$K924-$B924,TODAY()-$B924))</f>
        <v/>
      </c>
      <c r="M924" s="27">
        <f>IF(OR($A924="",$J924=""),"",IF($K924="",IF(TODAY()&gt;$J924,"Atrasado","En ruta"),IF($K924&lt;=$J924,"Sí","No")))</f>
        <v/>
      </c>
      <c r="N924" s="23">
        <f>IF($A924="","",COUNTIFS(NOVEDADES!$C$4:$C$1503,$A924))</f>
        <v/>
      </c>
      <c r="O924" s="27">
        <f>IF($A924="","",IF(COUNTIFS(NOVEDADES!$C$4:$C$1503,$A924,NOVEDADES!$M$4:$M$1503,"SÍ")&gt;0,"No","Sí"))</f>
        <v/>
      </c>
      <c r="P924" s="27">
        <f>IF(OR($A924="",$K924=""),"",IF(AND($M924="Sí",$O924="Sí"),"OTIF","Falló"))</f>
        <v/>
      </c>
    </row>
    <row r="925" ht="16" customHeight="1">
      <c r="A925" s="47" t="n"/>
      <c r="B925" s="46" t="n"/>
      <c r="C925" s="49" t="n"/>
      <c r="D925" s="49" t="n"/>
      <c r="E925" s="49" t="n"/>
      <c r="F925" s="49" t="n"/>
      <c r="G925" s="47" t="n"/>
      <c r="H925" s="50" t="n"/>
      <c r="I925" s="51" t="n"/>
      <c r="J925" s="46" t="n"/>
      <c r="K925" s="46" t="n"/>
      <c r="L925" s="23">
        <f>IF(OR($A925="",$B925=""),"",IF($K925&lt;&gt;"",$K925-$B925,TODAY()-$B925))</f>
        <v/>
      </c>
      <c r="M925" s="27">
        <f>IF(OR($A925="",$J925=""),"",IF($K925="",IF(TODAY()&gt;$J925,"Atrasado","En ruta"),IF($K925&lt;=$J925,"Sí","No")))</f>
        <v/>
      </c>
      <c r="N925" s="23">
        <f>IF($A925="","",COUNTIFS(NOVEDADES!$C$4:$C$1503,$A925))</f>
        <v/>
      </c>
      <c r="O925" s="27">
        <f>IF($A925="","",IF(COUNTIFS(NOVEDADES!$C$4:$C$1503,$A925,NOVEDADES!$M$4:$M$1503,"SÍ")&gt;0,"No","Sí"))</f>
        <v/>
      </c>
      <c r="P925" s="27">
        <f>IF(OR($A925="",$K925=""),"",IF(AND($M925="Sí",$O925="Sí"),"OTIF","Falló"))</f>
        <v/>
      </c>
    </row>
    <row r="926" ht="16" customHeight="1">
      <c r="A926" s="47" t="n"/>
      <c r="B926" s="46" t="n"/>
      <c r="C926" s="49" t="n"/>
      <c r="D926" s="49" t="n"/>
      <c r="E926" s="49" t="n"/>
      <c r="F926" s="49" t="n"/>
      <c r="G926" s="47" t="n"/>
      <c r="H926" s="50" t="n"/>
      <c r="I926" s="51" t="n"/>
      <c r="J926" s="46" t="n"/>
      <c r="K926" s="46" t="n"/>
      <c r="L926" s="23">
        <f>IF(OR($A926="",$B926=""),"",IF($K926&lt;&gt;"",$K926-$B926,TODAY()-$B926))</f>
        <v/>
      </c>
      <c r="M926" s="27">
        <f>IF(OR($A926="",$J926=""),"",IF($K926="",IF(TODAY()&gt;$J926,"Atrasado","En ruta"),IF($K926&lt;=$J926,"Sí","No")))</f>
        <v/>
      </c>
      <c r="N926" s="23">
        <f>IF($A926="","",COUNTIFS(NOVEDADES!$C$4:$C$1503,$A926))</f>
        <v/>
      </c>
      <c r="O926" s="27">
        <f>IF($A926="","",IF(COUNTIFS(NOVEDADES!$C$4:$C$1503,$A926,NOVEDADES!$M$4:$M$1503,"SÍ")&gt;0,"No","Sí"))</f>
        <v/>
      </c>
      <c r="P926" s="27">
        <f>IF(OR($A926="",$K926=""),"",IF(AND($M926="Sí",$O926="Sí"),"OTIF","Falló"))</f>
        <v/>
      </c>
    </row>
    <row r="927" ht="16" customHeight="1">
      <c r="A927" s="47" t="n"/>
      <c r="B927" s="46" t="n"/>
      <c r="C927" s="49" t="n"/>
      <c r="D927" s="49" t="n"/>
      <c r="E927" s="49" t="n"/>
      <c r="F927" s="49" t="n"/>
      <c r="G927" s="47" t="n"/>
      <c r="H927" s="50" t="n"/>
      <c r="I927" s="51" t="n"/>
      <c r="J927" s="46" t="n"/>
      <c r="K927" s="46" t="n"/>
      <c r="L927" s="23">
        <f>IF(OR($A927="",$B927=""),"",IF($K927&lt;&gt;"",$K927-$B927,TODAY()-$B927))</f>
        <v/>
      </c>
      <c r="M927" s="27">
        <f>IF(OR($A927="",$J927=""),"",IF($K927="",IF(TODAY()&gt;$J927,"Atrasado","En ruta"),IF($K927&lt;=$J927,"Sí","No")))</f>
        <v/>
      </c>
      <c r="N927" s="23">
        <f>IF($A927="","",COUNTIFS(NOVEDADES!$C$4:$C$1503,$A927))</f>
        <v/>
      </c>
      <c r="O927" s="27">
        <f>IF($A927="","",IF(COUNTIFS(NOVEDADES!$C$4:$C$1503,$A927,NOVEDADES!$M$4:$M$1503,"SÍ")&gt;0,"No","Sí"))</f>
        <v/>
      </c>
      <c r="P927" s="27">
        <f>IF(OR($A927="",$K927=""),"",IF(AND($M927="Sí",$O927="Sí"),"OTIF","Falló"))</f>
        <v/>
      </c>
    </row>
    <row r="928" ht="16" customHeight="1">
      <c r="A928" s="47" t="n"/>
      <c r="B928" s="46" t="n"/>
      <c r="C928" s="49" t="n"/>
      <c r="D928" s="49" t="n"/>
      <c r="E928" s="49" t="n"/>
      <c r="F928" s="49" t="n"/>
      <c r="G928" s="47" t="n"/>
      <c r="H928" s="50" t="n"/>
      <c r="I928" s="51" t="n"/>
      <c r="J928" s="46" t="n"/>
      <c r="K928" s="46" t="n"/>
      <c r="L928" s="23">
        <f>IF(OR($A928="",$B928=""),"",IF($K928&lt;&gt;"",$K928-$B928,TODAY()-$B928))</f>
        <v/>
      </c>
      <c r="M928" s="27">
        <f>IF(OR($A928="",$J928=""),"",IF($K928="",IF(TODAY()&gt;$J928,"Atrasado","En ruta"),IF($K928&lt;=$J928,"Sí","No")))</f>
        <v/>
      </c>
      <c r="N928" s="23">
        <f>IF($A928="","",COUNTIFS(NOVEDADES!$C$4:$C$1503,$A928))</f>
        <v/>
      </c>
      <c r="O928" s="27">
        <f>IF($A928="","",IF(COUNTIFS(NOVEDADES!$C$4:$C$1503,$A928,NOVEDADES!$M$4:$M$1503,"SÍ")&gt;0,"No","Sí"))</f>
        <v/>
      </c>
      <c r="P928" s="27">
        <f>IF(OR($A928="",$K928=""),"",IF(AND($M928="Sí",$O928="Sí"),"OTIF","Falló"))</f>
        <v/>
      </c>
    </row>
    <row r="929" ht="16" customHeight="1">
      <c r="A929" s="47" t="n"/>
      <c r="B929" s="46" t="n"/>
      <c r="C929" s="49" t="n"/>
      <c r="D929" s="49" t="n"/>
      <c r="E929" s="49" t="n"/>
      <c r="F929" s="49" t="n"/>
      <c r="G929" s="47" t="n"/>
      <c r="H929" s="50" t="n"/>
      <c r="I929" s="51" t="n"/>
      <c r="J929" s="46" t="n"/>
      <c r="K929" s="46" t="n"/>
      <c r="L929" s="23">
        <f>IF(OR($A929="",$B929=""),"",IF($K929&lt;&gt;"",$K929-$B929,TODAY()-$B929))</f>
        <v/>
      </c>
      <c r="M929" s="27">
        <f>IF(OR($A929="",$J929=""),"",IF($K929="",IF(TODAY()&gt;$J929,"Atrasado","En ruta"),IF($K929&lt;=$J929,"Sí","No")))</f>
        <v/>
      </c>
      <c r="N929" s="23">
        <f>IF($A929="","",COUNTIFS(NOVEDADES!$C$4:$C$1503,$A929))</f>
        <v/>
      </c>
      <c r="O929" s="27">
        <f>IF($A929="","",IF(COUNTIFS(NOVEDADES!$C$4:$C$1503,$A929,NOVEDADES!$M$4:$M$1503,"SÍ")&gt;0,"No","Sí"))</f>
        <v/>
      </c>
      <c r="P929" s="27">
        <f>IF(OR($A929="",$K929=""),"",IF(AND($M929="Sí",$O929="Sí"),"OTIF","Falló"))</f>
        <v/>
      </c>
    </row>
    <row r="930" ht="16" customHeight="1">
      <c r="A930" s="47" t="n"/>
      <c r="B930" s="46" t="n"/>
      <c r="C930" s="49" t="n"/>
      <c r="D930" s="49" t="n"/>
      <c r="E930" s="49" t="n"/>
      <c r="F930" s="49" t="n"/>
      <c r="G930" s="47" t="n"/>
      <c r="H930" s="50" t="n"/>
      <c r="I930" s="51" t="n"/>
      <c r="J930" s="46" t="n"/>
      <c r="K930" s="46" t="n"/>
      <c r="L930" s="23">
        <f>IF(OR($A930="",$B930=""),"",IF($K930&lt;&gt;"",$K930-$B930,TODAY()-$B930))</f>
        <v/>
      </c>
      <c r="M930" s="27">
        <f>IF(OR($A930="",$J930=""),"",IF($K930="",IF(TODAY()&gt;$J930,"Atrasado","En ruta"),IF($K930&lt;=$J930,"Sí","No")))</f>
        <v/>
      </c>
      <c r="N930" s="23">
        <f>IF($A930="","",COUNTIFS(NOVEDADES!$C$4:$C$1503,$A930))</f>
        <v/>
      </c>
      <c r="O930" s="27">
        <f>IF($A930="","",IF(COUNTIFS(NOVEDADES!$C$4:$C$1503,$A930,NOVEDADES!$M$4:$M$1503,"SÍ")&gt;0,"No","Sí"))</f>
        <v/>
      </c>
      <c r="P930" s="27">
        <f>IF(OR($A930="",$K930=""),"",IF(AND($M930="Sí",$O930="Sí"),"OTIF","Falló"))</f>
        <v/>
      </c>
    </row>
    <row r="931" ht="16" customHeight="1">
      <c r="A931" s="47" t="n"/>
      <c r="B931" s="46" t="n"/>
      <c r="C931" s="49" t="n"/>
      <c r="D931" s="49" t="n"/>
      <c r="E931" s="49" t="n"/>
      <c r="F931" s="49" t="n"/>
      <c r="G931" s="47" t="n"/>
      <c r="H931" s="50" t="n"/>
      <c r="I931" s="51" t="n"/>
      <c r="J931" s="46" t="n"/>
      <c r="K931" s="46" t="n"/>
      <c r="L931" s="23">
        <f>IF(OR($A931="",$B931=""),"",IF($K931&lt;&gt;"",$K931-$B931,TODAY()-$B931))</f>
        <v/>
      </c>
      <c r="M931" s="27">
        <f>IF(OR($A931="",$J931=""),"",IF($K931="",IF(TODAY()&gt;$J931,"Atrasado","En ruta"),IF($K931&lt;=$J931,"Sí","No")))</f>
        <v/>
      </c>
      <c r="N931" s="23">
        <f>IF($A931="","",COUNTIFS(NOVEDADES!$C$4:$C$1503,$A931))</f>
        <v/>
      </c>
      <c r="O931" s="27">
        <f>IF($A931="","",IF(COUNTIFS(NOVEDADES!$C$4:$C$1503,$A931,NOVEDADES!$M$4:$M$1503,"SÍ")&gt;0,"No","Sí"))</f>
        <v/>
      </c>
      <c r="P931" s="27">
        <f>IF(OR($A931="",$K931=""),"",IF(AND($M931="Sí",$O931="Sí"),"OTIF","Falló"))</f>
        <v/>
      </c>
    </row>
    <row r="932" ht="16" customHeight="1">
      <c r="A932" s="47" t="n"/>
      <c r="B932" s="46" t="n"/>
      <c r="C932" s="49" t="n"/>
      <c r="D932" s="49" t="n"/>
      <c r="E932" s="49" t="n"/>
      <c r="F932" s="49" t="n"/>
      <c r="G932" s="47" t="n"/>
      <c r="H932" s="50" t="n"/>
      <c r="I932" s="51" t="n"/>
      <c r="J932" s="46" t="n"/>
      <c r="K932" s="46" t="n"/>
      <c r="L932" s="23">
        <f>IF(OR($A932="",$B932=""),"",IF($K932&lt;&gt;"",$K932-$B932,TODAY()-$B932))</f>
        <v/>
      </c>
      <c r="M932" s="27">
        <f>IF(OR($A932="",$J932=""),"",IF($K932="",IF(TODAY()&gt;$J932,"Atrasado","En ruta"),IF($K932&lt;=$J932,"Sí","No")))</f>
        <v/>
      </c>
      <c r="N932" s="23">
        <f>IF($A932="","",COUNTIFS(NOVEDADES!$C$4:$C$1503,$A932))</f>
        <v/>
      </c>
      <c r="O932" s="27">
        <f>IF($A932="","",IF(COUNTIFS(NOVEDADES!$C$4:$C$1503,$A932,NOVEDADES!$M$4:$M$1503,"SÍ")&gt;0,"No","Sí"))</f>
        <v/>
      </c>
      <c r="P932" s="27">
        <f>IF(OR($A932="",$K932=""),"",IF(AND($M932="Sí",$O932="Sí"),"OTIF","Falló"))</f>
        <v/>
      </c>
    </row>
    <row r="933" ht="16" customHeight="1">
      <c r="A933" s="47" t="n"/>
      <c r="B933" s="46" t="n"/>
      <c r="C933" s="49" t="n"/>
      <c r="D933" s="49" t="n"/>
      <c r="E933" s="49" t="n"/>
      <c r="F933" s="49" t="n"/>
      <c r="G933" s="47" t="n"/>
      <c r="H933" s="50" t="n"/>
      <c r="I933" s="51" t="n"/>
      <c r="J933" s="46" t="n"/>
      <c r="K933" s="46" t="n"/>
      <c r="L933" s="23">
        <f>IF(OR($A933="",$B933=""),"",IF($K933&lt;&gt;"",$K933-$B933,TODAY()-$B933))</f>
        <v/>
      </c>
      <c r="M933" s="27">
        <f>IF(OR($A933="",$J933=""),"",IF($K933="",IF(TODAY()&gt;$J933,"Atrasado","En ruta"),IF($K933&lt;=$J933,"Sí","No")))</f>
        <v/>
      </c>
      <c r="N933" s="23">
        <f>IF($A933="","",COUNTIFS(NOVEDADES!$C$4:$C$1503,$A933))</f>
        <v/>
      </c>
      <c r="O933" s="27">
        <f>IF($A933="","",IF(COUNTIFS(NOVEDADES!$C$4:$C$1503,$A933,NOVEDADES!$M$4:$M$1503,"SÍ")&gt;0,"No","Sí"))</f>
        <v/>
      </c>
      <c r="P933" s="27">
        <f>IF(OR($A933="",$K933=""),"",IF(AND($M933="Sí",$O933="Sí"),"OTIF","Falló"))</f>
        <v/>
      </c>
    </row>
    <row r="934" ht="16" customHeight="1">
      <c r="A934" s="47" t="n"/>
      <c r="B934" s="46" t="n"/>
      <c r="C934" s="49" t="n"/>
      <c r="D934" s="49" t="n"/>
      <c r="E934" s="49" t="n"/>
      <c r="F934" s="49" t="n"/>
      <c r="G934" s="47" t="n"/>
      <c r="H934" s="50" t="n"/>
      <c r="I934" s="51" t="n"/>
      <c r="J934" s="46" t="n"/>
      <c r="K934" s="46" t="n"/>
      <c r="L934" s="23">
        <f>IF(OR($A934="",$B934=""),"",IF($K934&lt;&gt;"",$K934-$B934,TODAY()-$B934))</f>
        <v/>
      </c>
      <c r="M934" s="27">
        <f>IF(OR($A934="",$J934=""),"",IF($K934="",IF(TODAY()&gt;$J934,"Atrasado","En ruta"),IF($K934&lt;=$J934,"Sí","No")))</f>
        <v/>
      </c>
      <c r="N934" s="23">
        <f>IF($A934="","",COUNTIFS(NOVEDADES!$C$4:$C$1503,$A934))</f>
        <v/>
      </c>
      <c r="O934" s="27">
        <f>IF($A934="","",IF(COUNTIFS(NOVEDADES!$C$4:$C$1503,$A934,NOVEDADES!$M$4:$M$1503,"SÍ")&gt;0,"No","Sí"))</f>
        <v/>
      </c>
      <c r="P934" s="27">
        <f>IF(OR($A934="",$K934=""),"",IF(AND($M934="Sí",$O934="Sí"),"OTIF","Falló"))</f>
        <v/>
      </c>
    </row>
    <row r="935" ht="16" customHeight="1">
      <c r="A935" s="47" t="n"/>
      <c r="B935" s="46" t="n"/>
      <c r="C935" s="49" t="n"/>
      <c r="D935" s="49" t="n"/>
      <c r="E935" s="49" t="n"/>
      <c r="F935" s="49" t="n"/>
      <c r="G935" s="47" t="n"/>
      <c r="H935" s="50" t="n"/>
      <c r="I935" s="51" t="n"/>
      <c r="J935" s="46" t="n"/>
      <c r="K935" s="46" t="n"/>
      <c r="L935" s="23">
        <f>IF(OR($A935="",$B935=""),"",IF($K935&lt;&gt;"",$K935-$B935,TODAY()-$B935))</f>
        <v/>
      </c>
      <c r="M935" s="27">
        <f>IF(OR($A935="",$J935=""),"",IF($K935="",IF(TODAY()&gt;$J935,"Atrasado","En ruta"),IF($K935&lt;=$J935,"Sí","No")))</f>
        <v/>
      </c>
      <c r="N935" s="23">
        <f>IF($A935="","",COUNTIFS(NOVEDADES!$C$4:$C$1503,$A935))</f>
        <v/>
      </c>
      <c r="O935" s="27">
        <f>IF($A935="","",IF(COUNTIFS(NOVEDADES!$C$4:$C$1503,$A935,NOVEDADES!$M$4:$M$1503,"SÍ")&gt;0,"No","Sí"))</f>
        <v/>
      </c>
      <c r="P935" s="27">
        <f>IF(OR($A935="",$K935=""),"",IF(AND($M935="Sí",$O935="Sí"),"OTIF","Falló"))</f>
        <v/>
      </c>
    </row>
    <row r="936" ht="16" customHeight="1">
      <c r="A936" s="47" t="n"/>
      <c r="B936" s="46" t="n"/>
      <c r="C936" s="49" t="n"/>
      <c r="D936" s="49" t="n"/>
      <c r="E936" s="49" t="n"/>
      <c r="F936" s="49" t="n"/>
      <c r="G936" s="47" t="n"/>
      <c r="H936" s="50" t="n"/>
      <c r="I936" s="51" t="n"/>
      <c r="J936" s="46" t="n"/>
      <c r="K936" s="46" t="n"/>
      <c r="L936" s="23">
        <f>IF(OR($A936="",$B936=""),"",IF($K936&lt;&gt;"",$K936-$B936,TODAY()-$B936))</f>
        <v/>
      </c>
      <c r="M936" s="27">
        <f>IF(OR($A936="",$J936=""),"",IF($K936="",IF(TODAY()&gt;$J936,"Atrasado","En ruta"),IF($K936&lt;=$J936,"Sí","No")))</f>
        <v/>
      </c>
      <c r="N936" s="23">
        <f>IF($A936="","",COUNTIFS(NOVEDADES!$C$4:$C$1503,$A936))</f>
        <v/>
      </c>
      <c r="O936" s="27">
        <f>IF($A936="","",IF(COUNTIFS(NOVEDADES!$C$4:$C$1503,$A936,NOVEDADES!$M$4:$M$1503,"SÍ")&gt;0,"No","Sí"))</f>
        <v/>
      </c>
      <c r="P936" s="27">
        <f>IF(OR($A936="",$K936=""),"",IF(AND($M936="Sí",$O936="Sí"),"OTIF","Falló"))</f>
        <v/>
      </c>
    </row>
    <row r="937" ht="16" customHeight="1">
      <c r="A937" s="47" t="n"/>
      <c r="B937" s="46" t="n"/>
      <c r="C937" s="49" t="n"/>
      <c r="D937" s="49" t="n"/>
      <c r="E937" s="49" t="n"/>
      <c r="F937" s="49" t="n"/>
      <c r="G937" s="47" t="n"/>
      <c r="H937" s="50" t="n"/>
      <c r="I937" s="51" t="n"/>
      <c r="J937" s="46" t="n"/>
      <c r="K937" s="46" t="n"/>
      <c r="L937" s="23">
        <f>IF(OR($A937="",$B937=""),"",IF($K937&lt;&gt;"",$K937-$B937,TODAY()-$B937))</f>
        <v/>
      </c>
      <c r="M937" s="27">
        <f>IF(OR($A937="",$J937=""),"",IF($K937="",IF(TODAY()&gt;$J937,"Atrasado","En ruta"),IF($K937&lt;=$J937,"Sí","No")))</f>
        <v/>
      </c>
      <c r="N937" s="23">
        <f>IF($A937="","",COUNTIFS(NOVEDADES!$C$4:$C$1503,$A937))</f>
        <v/>
      </c>
      <c r="O937" s="27">
        <f>IF($A937="","",IF(COUNTIFS(NOVEDADES!$C$4:$C$1503,$A937,NOVEDADES!$M$4:$M$1503,"SÍ")&gt;0,"No","Sí"))</f>
        <v/>
      </c>
      <c r="P937" s="27">
        <f>IF(OR($A937="",$K937=""),"",IF(AND($M937="Sí",$O937="Sí"),"OTIF","Falló"))</f>
        <v/>
      </c>
    </row>
    <row r="938" ht="16" customHeight="1">
      <c r="A938" s="47" t="n"/>
      <c r="B938" s="46" t="n"/>
      <c r="C938" s="49" t="n"/>
      <c r="D938" s="49" t="n"/>
      <c r="E938" s="49" t="n"/>
      <c r="F938" s="49" t="n"/>
      <c r="G938" s="47" t="n"/>
      <c r="H938" s="50" t="n"/>
      <c r="I938" s="51" t="n"/>
      <c r="J938" s="46" t="n"/>
      <c r="K938" s="46" t="n"/>
      <c r="L938" s="23">
        <f>IF(OR($A938="",$B938=""),"",IF($K938&lt;&gt;"",$K938-$B938,TODAY()-$B938))</f>
        <v/>
      </c>
      <c r="M938" s="27">
        <f>IF(OR($A938="",$J938=""),"",IF($K938="",IF(TODAY()&gt;$J938,"Atrasado","En ruta"),IF($K938&lt;=$J938,"Sí","No")))</f>
        <v/>
      </c>
      <c r="N938" s="23">
        <f>IF($A938="","",COUNTIFS(NOVEDADES!$C$4:$C$1503,$A938))</f>
        <v/>
      </c>
      <c r="O938" s="27">
        <f>IF($A938="","",IF(COUNTIFS(NOVEDADES!$C$4:$C$1503,$A938,NOVEDADES!$M$4:$M$1503,"SÍ")&gt;0,"No","Sí"))</f>
        <v/>
      </c>
      <c r="P938" s="27">
        <f>IF(OR($A938="",$K938=""),"",IF(AND($M938="Sí",$O938="Sí"),"OTIF","Falló"))</f>
        <v/>
      </c>
    </row>
    <row r="939" ht="16" customHeight="1">
      <c r="A939" s="47" t="n"/>
      <c r="B939" s="46" t="n"/>
      <c r="C939" s="49" t="n"/>
      <c r="D939" s="49" t="n"/>
      <c r="E939" s="49" t="n"/>
      <c r="F939" s="49" t="n"/>
      <c r="G939" s="47" t="n"/>
      <c r="H939" s="50" t="n"/>
      <c r="I939" s="51" t="n"/>
      <c r="J939" s="46" t="n"/>
      <c r="K939" s="46" t="n"/>
      <c r="L939" s="23">
        <f>IF(OR($A939="",$B939=""),"",IF($K939&lt;&gt;"",$K939-$B939,TODAY()-$B939))</f>
        <v/>
      </c>
      <c r="M939" s="27">
        <f>IF(OR($A939="",$J939=""),"",IF($K939="",IF(TODAY()&gt;$J939,"Atrasado","En ruta"),IF($K939&lt;=$J939,"Sí","No")))</f>
        <v/>
      </c>
      <c r="N939" s="23">
        <f>IF($A939="","",COUNTIFS(NOVEDADES!$C$4:$C$1503,$A939))</f>
        <v/>
      </c>
      <c r="O939" s="27">
        <f>IF($A939="","",IF(COUNTIFS(NOVEDADES!$C$4:$C$1503,$A939,NOVEDADES!$M$4:$M$1503,"SÍ")&gt;0,"No","Sí"))</f>
        <v/>
      </c>
      <c r="P939" s="27">
        <f>IF(OR($A939="",$K939=""),"",IF(AND($M939="Sí",$O939="Sí"),"OTIF","Falló"))</f>
        <v/>
      </c>
    </row>
    <row r="940" ht="16" customHeight="1">
      <c r="A940" s="47" t="n"/>
      <c r="B940" s="46" t="n"/>
      <c r="C940" s="49" t="n"/>
      <c r="D940" s="49" t="n"/>
      <c r="E940" s="49" t="n"/>
      <c r="F940" s="49" t="n"/>
      <c r="G940" s="47" t="n"/>
      <c r="H940" s="50" t="n"/>
      <c r="I940" s="51" t="n"/>
      <c r="J940" s="46" t="n"/>
      <c r="K940" s="46" t="n"/>
      <c r="L940" s="23">
        <f>IF(OR($A940="",$B940=""),"",IF($K940&lt;&gt;"",$K940-$B940,TODAY()-$B940))</f>
        <v/>
      </c>
      <c r="M940" s="27">
        <f>IF(OR($A940="",$J940=""),"",IF($K940="",IF(TODAY()&gt;$J940,"Atrasado","En ruta"),IF($K940&lt;=$J940,"Sí","No")))</f>
        <v/>
      </c>
      <c r="N940" s="23">
        <f>IF($A940="","",COUNTIFS(NOVEDADES!$C$4:$C$1503,$A940))</f>
        <v/>
      </c>
      <c r="O940" s="27">
        <f>IF($A940="","",IF(COUNTIFS(NOVEDADES!$C$4:$C$1503,$A940,NOVEDADES!$M$4:$M$1503,"SÍ")&gt;0,"No","Sí"))</f>
        <v/>
      </c>
      <c r="P940" s="27">
        <f>IF(OR($A940="",$K940=""),"",IF(AND($M940="Sí",$O940="Sí"),"OTIF","Falló"))</f>
        <v/>
      </c>
    </row>
    <row r="941" ht="16" customHeight="1">
      <c r="A941" s="47" t="n"/>
      <c r="B941" s="46" t="n"/>
      <c r="C941" s="49" t="n"/>
      <c r="D941" s="49" t="n"/>
      <c r="E941" s="49" t="n"/>
      <c r="F941" s="49" t="n"/>
      <c r="G941" s="47" t="n"/>
      <c r="H941" s="50" t="n"/>
      <c r="I941" s="51" t="n"/>
      <c r="J941" s="46" t="n"/>
      <c r="K941" s="46" t="n"/>
      <c r="L941" s="23">
        <f>IF(OR($A941="",$B941=""),"",IF($K941&lt;&gt;"",$K941-$B941,TODAY()-$B941))</f>
        <v/>
      </c>
      <c r="M941" s="27">
        <f>IF(OR($A941="",$J941=""),"",IF($K941="",IF(TODAY()&gt;$J941,"Atrasado","En ruta"),IF($K941&lt;=$J941,"Sí","No")))</f>
        <v/>
      </c>
      <c r="N941" s="23">
        <f>IF($A941="","",COUNTIFS(NOVEDADES!$C$4:$C$1503,$A941))</f>
        <v/>
      </c>
      <c r="O941" s="27">
        <f>IF($A941="","",IF(COUNTIFS(NOVEDADES!$C$4:$C$1503,$A941,NOVEDADES!$M$4:$M$1503,"SÍ")&gt;0,"No","Sí"))</f>
        <v/>
      </c>
      <c r="P941" s="27">
        <f>IF(OR($A941="",$K941=""),"",IF(AND($M941="Sí",$O941="Sí"),"OTIF","Falló"))</f>
        <v/>
      </c>
    </row>
    <row r="942" ht="16" customHeight="1">
      <c r="A942" s="47" t="n"/>
      <c r="B942" s="46" t="n"/>
      <c r="C942" s="49" t="n"/>
      <c r="D942" s="49" t="n"/>
      <c r="E942" s="49" t="n"/>
      <c r="F942" s="49" t="n"/>
      <c r="G942" s="47" t="n"/>
      <c r="H942" s="50" t="n"/>
      <c r="I942" s="51" t="n"/>
      <c r="J942" s="46" t="n"/>
      <c r="K942" s="46" t="n"/>
      <c r="L942" s="23">
        <f>IF(OR($A942="",$B942=""),"",IF($K942&lt;&gt;"",$K942-$B942,TODAY()-$B942))</f>
        <v/>
      </c>
      <c r="M942" s="27">
        <f>IF(OR($A942="",$J942=""),"",IF($K942="",IF(TODAY()&gt;$J942,"Atrasado","En ruta"),IF($K942&lt;=$J942,"Sí","No")))</f>
        <v/>
      </c>
      <c r="N942" s="23">
        <f>IF($A942="","",COUNTIFS(NOVEDADES!$C$4:$C$1503,$A942))</f>
        <v/>
      </c>
      <c r="O942" s="27">
        <f>IF($A942="","",IF(COUNTIFS(NOVEDADES!$C$4:$C$1503,$A942,NOVEDADES!$M$4:$M$1503,"SÍ")&gt;0,"No","Sí"))</f>
        <v/>
      </c>
      <c r="P942" s="27">
        <f>IF(OR($A942="",$K942=""),"",IF(AND($M942="Sí",$O942="Sí"),"OTIF","Falló"))</f>
        <v/>
      </c>
    </row>
    <row r="943" ht="16" customHeight="1">
      <c r="A943" s="47" t="n"/>
      <c r="B943" s="46" t="n"/>
      <c r="C943" s="49" t="n"/>
      <c r="D943" s="49" t="n"/>
      <c r="E943" s="49" t="n"/>
      <c r="F943" s="49" t="n"/>
      <c r="G943" s="47" t="n"/>
      <c r="H943" s="50" t="n"/>
      <c r="I943" s="51" t="n"/>
      <c r="J943" s="46" t="n"/>
      <c r="K943" s="46" t="n"/>
      <c r="L943" s="23">
        <f>IF(OR($A943="",$B943=""),"",IF($K943&lt;&gt;"",$K943-$B943,TODAY()-$B943))</f>
        <v/>
      </c>
      <c r="M943" s="27">
        <f>IF(OR($A943="",$J943=""),"",IF($K943="",IF(TODAY()&gt;$J943,"Atrasado","En ruta"),IF($K943&lt;=$J943,"Sí","No")))</f>
        <v/>
      </c>
      <c r="N943" s="23">
        <f>IF($A943="","",COUNTIFS(NOVEDADES!$C$4:$C$1503,$A943))</f>
        <v/>
      </c>
      <c r="O943" s="27">
        <f>IF($A943="","",IF(COUNTIFS(NOVEDADES!$C$4:$C$1503,$A943,NOVEDADES!$M$4:$M$1503,"SÍ")&gt;0,"No","Sí"))</f>
        <v/>
      </c>
      <c r="P943" s="27">
        <f>IF(OR($A943="",$K943=""),"",IF(AND($M943="Sí",$O943="Sí"),"OTIF","Falló"))</f>
        <v/>
      </c>
    </row>
    <row r="944" ht="16" customHeight="1">
      <c r="A944" s="47" t="n"/>
      <c r="B944" s="46" t="n"/>
      <c r="C944" s="49" t="n"/>
      <c r="D944" s="49" t="n"/>
      <c r="E944" s="49" t="n"/>
      <c r="F944" s="49" t="n"/>
      <c r="G944" s="47" t="n"/>
      <c r="H944" s="50" t="n"/>
      <c r="I944" s="51" t="n"/>
      <c r="J944" s="46" t="n"/>
      <c r="K944" s="46" t="n"/>
      <c r="L944" s="23">
        <f>IF(OR($A944="",$B944=""),"",IF($K944&lt;&gt;"",$K944-$B944,TODAY()-$B944))</f>
        <v/>
      </c>
      <c r="M944" s="27">
        <f>IF(OR($A944="",$J944=""),"",IF($K944="",IF(TODAY()&gt;$J944,"Atrasado","En ruta"),IF($K944&lt;=$J944,"Sí","No")))</f>
        <v/>
      </c>
      <c r="N944" s="23">
        <f>IF($A944="","",COUNTIFS(NOVEDADES!$C$4:$C$1503,$A944))</f>
        <v/>
      </c>
      <c r="O944" s="27">
        <f>IF($A944="","",IF(COUNTIFS(NOVEDADES!$C$4:$C$1503,$A944,NOVEDADES!$M$4:$M$1503,"SÍ")&gt;0,"No","Sí"))</f>
        <v/>
      </c>
      <c r="P944" s="27">
        <f>IF(OR($A944="",$K944=""),"",IF(AND($M944="Sí",$O944="Sí"),"OTIF","Falló"))</f>
        <v/>
      </c>
    </row>
    <row r="945" ht="16" customHeight="1">
      <c r="A945" s="47" t="n"/>
      <c r="B945" s="46" t="n"/>
      <c r="C945" s="49" t="n"/>
      <c r="D945" s="49" t="n"/>
      <c r="E945" s="49" t="n"/>
      <c r="F945" s="49" t="n"/>
      <c r="G945" s="47" t="n"/>
      <c r="H945" s="50" t="n"/>
      <c r="I945" s="51" t="n"/>
      <c r="J945" s="46" t="n"/>
      <c r="K945" s="46" t="n"/>
      <c r="L945" s="23">
        <f>IF(OR($A945="",$B945=""),"",IF($K945&lt;&gt;"",$K945-$B945,TODAY()-$B945))</f>
        <v/>
      </c>
      <c r="M945" s="27">
        <f>IF(OR($A945="",$J945=""),"",IF($K945="",IF(TODAY()&gt;$J945,"Atrasado","En ruta"),IF($K945&lt;=$J945,"Sí","No")))</f>
        <v/>
      </c>
      <c r="N945" s="23">
        <f>IF($A945="","",COUNTIFS(NOVEDADES!$C$4:$C$1503,$A945))</f>
        <v/>
      </c>
      <c r="O945" s="27">
        <f>IF($A945="","",IF(COUNTIFS(NOVEDADES!$C$4:$C$1503,$A945,NOVEDADES!$M$4:$M$1503,"SÍ")&gt;0,"No","Sí"))</f>
        <v/>
      </c>
      <c r="P945" s="27">
        <f>IF(OR($A945="",$K945=""),"",IF(AND($M945="Sí",$O945="Sí"),"OTIF","Falló"))</f>
        <v/>
      </c>
    </row>
    <row r="946" ht="16" customHeight="1">
      <c r="A946" s="47" t="n"/>
      <c r="B946" s="46" t="n"/>
      <c r="C946" s="49" t="n"/>
      <c r="D946" s="49" t="n"/>
      <c r="E946" s="49" t="n"/>
      <c r="F946" s="49" t="n"/>
      <c r="G946" s="47" t="n"/>
      <c r="H946" s="50" t="n"/>
      <c r="I946" s="51" t="n"/>
      <c r="J946" s="46" t="n"/>
      <c r="K946" s="46" t="n"/>
      <c r="L946" s="23">
        <f>IF(OR($A946="",$B946=""),"",IF($K946&lt;&gt;"",$K946-$B946,TODAY()-$B946))</f>
        <v/>
      </c>
      <c r="M946" s="27">
        <f>IF(OR($A946="",$J946=""),"",IF($K946="",IF(TODAY()&gt;$J946,"Atrasado","En ruta"),IF($K946&lt;=$J946,"Sí","No")))</f>
        <v/>
      </c>
      <c r="N946" s="23">
        <f>IF($A946="","",COUNTIFS(NOVEDADES!$C$4:$C$1503,$A946))</f>
        <v/>
      </c>
      <c r="O946" s="27">
        <f>IF($A946="","",IF(COUNTIFS(NOVEDADES!$C$4:$C$1503,$A946,NOVEDADES!$M$4:$M$1503,"SÍ")&gt;0,"No","Sí"))</f>
        <v/>
      </c>
      <c r="P946" s="27">
        <f>IF(OR($A946="",$K946=""),"",IF(AND($M946="Sí",$O946="Sí"),"OTIF","Falló"))</f>
        <v/>
      </c>
    </row>
    <row r="947" ht="16" customHeight="1">
      <c r="A947" s="47" t="n"/>
      <c r="B947" s="46" t="n"/>
      <c r="C947" s="49" t="n"/>
      <c r="D947" s="49" t="n"/>
      <c r="E947" s="49" t="n"/>
      <c r="F947" s="49" t="n"/>
      <c r="G947" s="47" t="n"/>
      <c r="H947" s="50" t="n"/>
      <c r="I947" s="51" t="n"/>
      <c r="J947" s="46" t="n"/>
      <c r="K947" s="46" t="n"/>
      <c r="L947" s="23">
        <f>IF(OR($A947="",$B947=""),"",IF($K947&lt;&gt;"",$K947-$B947,TODAY()-$B947))</f>
        <v/>
      </c>
      <c r="M947" s="27">
        <f>IF(OR($A947="",$J947=""),"",IF($K947="",IF(TODAY()&gt;$J947,"Atrasado","En ruta"),IF($K947&lt;=$J947,"Sí","No")))</f>
        <v/>
      </c>
      <c r="N947" s="23">
        <f>IF($A947="","",COUNTIFS(NOVEDADES!$C$4:$C$1503,$A947))</f>
        <v/>
      </c>
      <c r="O947" s="27">
        <f>IF($A947="","",IF(COUNTIFS(NOVEDADES!$C$4:$C$1503,$A947,NOVEDADES!$M$4:$M$1503,"SÍ")&gt;0,"No","Sí"))</f>
        <v/>
      </c>
      <c r="P947" s="27">
        <f>IF(OR($A947="",$K947=""),"",IF(AND($M947="Sí",$O947="Sí"),"OTIF","Falló"))</f>
        <v/>
      </c>
    </row>
    <row r="948" ht="16" customHeight="1">
      <c r="A948" s="47" t="n"/>
      <c r="B948" s="46" t="n"/>
      <c r="C948" s="49" t="n"/>
      <c r="D948" s="49" t="n"/>
      <c r="E948" s="49" t="n"/>
      <c r="F948" s="49" t="n"/>
      <c r="G948" s="47" t="n"/>
      <c r="H948" s="50" t="n"/>
      <c r="I948" s="51" t="n"/>
      <c r="J948" s="46" t="n"/>
      <c r="K948" s="46" t="n"/>
      <c r="L948" s="23">
        <f>IF(OR($A948="",$B948=""),"",IF($K948&lt;&gt;"",$K948-$B948,TODAY()-$B948))</f>
        <v/>
      </c>
      <c r="M948" s="27">
        <f>IF(OR($A948="",$J948=""),"",IF($K948="",IF(TODAY()&gt;$J948,"Atrasado","En ruta"),IF($K948&lt;=$J948,"Sí","No")))</f>
        <v/>
      </c>
      <c r="N948" s="23">
        <f>IF($A948="","",COUNTIFS(NOVEDADES!$C$4:$C$1503,$A948))</f>
        <v/>
      </c>
      <c r="O948" s="27">
        <f>IF($A948="","",IF(COUNTIFS(NOVEDADES!$C$4:$C$1503,$A948,NOVEDADES!$M$4:$M$1503,"SÍ")&gt;0,"No","Sí"))</f>
        <v/>
      </c>
      <c r="P948" s="27">
        <f>IF(OR($A948="",$K948=""),"",IF(AND($M948="Sí",$O948="Sí"),"OTIF","Falló"))</f>
        <v/>
      </c>
    </row>
    <row r="949" ht="16" customHeight="1">
      <c r="A949" s="47" t="n"/>
      <c r="B949" s="46" t="n"/>
      <c r="C949" s="49" t="n"/>
      <c r="D949" s="49" t="n"/>
      <c r="E949" s="49" t="n"/>
      <c r="F949" s="49" t="n"/>
      <c r="G949" s="47" t="n"/>
      <c r="H949" s="50" t="n"/>
      <c r="I949" s="51" t="n"/>
      <c r="J949" s="46" t="n"/>
      <c r="K949" s="46" t="n"/>
      <c r="L949" s="23">
        <f>IF(OR($A949="",$B949=""),"",IF($K949&lt;&gt;"",$K949-$B949,TODAY()-$B949))</f>
        <v/>
      </c>
      <c r="M949" s="27">
        <f>IF(OR($A949="",$J949=""),"",IF($K949="",IF(TODAY()&gt;$J949,"Atrasado","En ruta"),IF($K949&lt;=$J949,"Sí","No")))</f>
        <v/>
      </c>
      <c r="N949" s="23">
        <f>IF($A949="","",COUNTIFS(NOVEDADES!$C$4:$C$1503,$A949))</f>
        <v/>
      </c>
      <c r="O949" s="27">
        <f>IF($A949="","",IF(COUNTIFS(NOVEDADES!$C$4:$C$1503,$A949,NOVEDADES!$M$4:$M$1503,"SÍ")&gt;0,"No","Sí"))</f>
        <v/>
      </c>
      <c r="P949" s="27">
        <f>IF(OR($A949="",$K949=""),"",IF(AND($M949="Sí",$O949="Sí"),"OTIF","Falló"))</f>
        <v/>
      </c>
    </row>
    <row r="950" ht="16" customHeight="1">
      <c r="A950" s="47" t="n"/>
      <c r="B950" s="46" t="n"/>
      <c r="C950" s="49" t="n"/>
      <c r="D950" s="49" t="n"/>
      <c r="E950" s="49" t="n"/>
      <c r="F950" s="49" t="n"/>
      <c r="G950" s="47" t="n"/>
      <c r="H950" s="50" t="n"/>
      <c r="I950" s="51" t="n"/>
      <c r="J950" s="46" t="n"/>
      <c r="K950" s="46" t="n"/>
      <c r="L950" s="23">
        <f>IF(OR($A950="",$B950=""),"",IF($K950&lt;&gt;"",$K950-$B950,TODAY()-$B950))</f>
        <v/>
      </c>
      <c r="M950" s="27">
        <f>IF(OR($A950="",$J950=""),"",IF($K950="",IF(TODAY()&gt;$J950,"Atrasado","En ruta"),IF($K950&lt;=$J950,"Sí","No")))</f>
        <v/>
      </c>
      <c r="N950" s="23">
        <f>IF($A950="","",COUNTIFS(NOVEDADES!$C$4:$C$1503,$A950))</f>
        <v/>
      </c>
      <c r="O950" s="27">
        <f>IF($A950="","",IF(COUNTIFS(NOVEDADES!$C$4:$C$1503,$A950,NOVEDADES!$M$4:$M$1503,"SÍ")&gt;0,"No","Sí"))</f>
        <v/>
      </c>
      <c r="P950" s="27">
        <f>IF(OR($A950="",$K950=""),"",IF(AND($M950="Sí",$O950="Sí"),"OTIF","Falló"))</f>
        <v/>
      </c>
    </row>
    <row r="951" ht="16" customHeight="1">
      <c r="A951" s="47" t="n"/>
      <c r="B951" s="46" t="n"/>
      <c r="C951" s="49" t="n"/>
      <c r="D951" s="49" t="n"/>
      <c r="E951" s="49" t="n"/>
      <c r="F951" s="49" t="n"/>
      <c r="G951" s="47" t="n"/>
      <c r="H951" s="50" t="n"/>
      <c r="I951" s="51" t="n"/>
      <c r="J951" s="46" t="n"/>
      <c r="K951" s="46" t="n"/>
      <c r="L951" s="23">
        <f>IF(OR($A951="",$B951=""),"",IF($K951&lt;&gt;"",$K951-$B951,TODAY()-$B951))</f>
        <v/>
      </c>
      <c r="M951" s="27">
        <f>IF(OR($A951="",$J951=""),"",IF($K951="",IF(TODAY()&gt;$J951,"Atrasado","En ruta"),IF($K951&lt;=$J951,"Sí","No")))</f>
        <v/>
      </c>
      <c r="N951" s="23">
        <f>IF($A951="","",COUNTIFS(NOVEDADES!$C$4:$C$1503,$A951))</f>
        <v/>
      </c>
      <c r="O951" s="27">
        <f>IF($A951="","",IF(COUNTIFS(NOVEDADES!$C$4:$C$1503,$A951,NOVEDADES!$M$4:$M$1503,"SÍ")&gt;0,"No","Sí"))</f>
        <v/>
      </c>
      <c r="P951" s="27">
        <f>IF(OR($A951="",$K951=""),"",IF(AND($M951="Sí",$O951="Sí"),"OTIF","Falló"))</f>
        <v/>
      </c>
    </row>
    <row r="952" ht="16" customHeight="1">
      <c r="A952" s="47" t="n"/>
      <c r="B952" s="46" t="n"/>
      <c r="C952" s="49" t="n"/>
      <c r="D952" s="49" t="n"/>
      <c r="E952" s="49" t="n"/>
      <c r="F952" s="49" t="n"/>
      <c r="G952" s="47" t="n"/>
      <c r="H952" s="50" t="n"/>
      <c r="I952" s="51" t="n"/>
      <c r="J952" s="46" t="n"/>
      <c r="K952" s="46" t="n"/>
      <c r="L952" s="23">
        <f>IF(OR($A952="",$B952=""),"",IF($K952&lt;&gt;"",$K952-$B952,TODAY()-$B952))</f>
        <v/>
      </c>
      <c r="M952" s="27">
        <f>IF(OR($A952="",$J952=""),"",IF($K952="",IF(TODAY()&gt;$J952,"Atrasado","En ruta"),IF($K952&lt;=$J952,"Sí","No")))</f>
        <v/>
      </c>
      <c r="N952" s="23">
        <f>IF($A952="","",COUNTIFS(NOVEDADES!$C$4:$C$1503,$A952))</f>
        <v/>
      </c>
      <c r="O952" s="27">
        <f>IF($A952="","",IF(COUNTIFS(NOVEDADES!$C$4:$C$1503,$A952,NOVEDADES!$M$4:$M$1503,"SÍ")&gt;0,"No","Sí"))</f>
        <v/>
      </c>
      <c r="P952" s="27">
        <f>IF(OR($A952="",$K952=""),"",IF(AND($M952="Sí",$O952="Sí"),"OTIF","Falló"))</f>
        <v/>
      </c>
    </row>
    <row r="953" ht="16" customHeight="1">
      <c r="A953" s="47" t="n"/>
      <c r="B953" s="46" t="n"/>
      <c r="C953" s="49" t="n"/>
      <c r="D953" s="49" t="n"/>
      <c r="E953" s="49" t="n"/>
      <c r="F953" s="49" t="n"/>
      <c r="G953" s="47" t="n"/>
      <c r="H953" s="50" t="n"/>
      <c r="I953" s="51" t="n"/>
      <c r="J953" s="46" t="n"/>
      <c r="K953" s="46" t="n"/>
      <c r="L953" s="23">
        <f>IF(OR($A953="",$B953=""),"",IF($K953&lt;&gt;"",$K953-$B953,TODAY()-$B953))</f>
        <v/>
      </c>
      <c r="M953" s="27">
        <f>IF(OR($A953="",$J953=""),"",IF($K953="",IF(TODAY()&gt;$J953,"Atrasado","En ruta"),IF($K953&lt;=$J953,"Sí","No")))</f>
        <v/>
      </c>
      <c r="N953" s="23">
        <f>IF($A953="","",COUNTIFS(NOVEDADES!$C$4:$C$1503,$A953))</f>
        <v/>
      </c>
      <c r="O953" s="27">
        <f>IF($A953="","",IF(COUNTIFS(NOVEDADES!$C$4:$C$1503,$A953,NOVEDADES!$M$4:$M$1503,"SÍ")&gt;0,"No","Sí"))</f>
        <v/>
      </c>
      <c r="P953" s="27">
        <f>IF(OR($A953="",$K953=""),"",IF(AND($M953="Sí",$O953="Sí"),"OTIF","Falló"))</f>
        <v/>
      </c>
    </row>
    <row r="954" ht="16" customHeight="1">
      <c r="A954" s="47" t="n"/>
      <c r="B954" s="46" t="n"/>
      <c r="C954" s="49" t="n"/>
      <c r="D954" s="49" t="n"/>
      <c r="E954" s="49" t="n"/>
      <c r="F954" s="49" t="n"/>
      <c r="G954" s="47" t="n"/>
      <c r="H954" s="50" t="n"/>
      <c r="I954" s="51" t="n"/>
      <c r="J954" s="46" t="n"/>
      <c r="K954" s="46" t="n"/>
      <c r="L954" s="23">
        <f>IF(OR($A954="",$B954=""),"",IF($K954&lt;&gt;"",$K954-$B954,TODAY()-$B954))</f>
        <v/>
      </c>
      <c r="M954" s="27">
        <f>IF(OR($A954="",$J954=""),"",IF($K954="",IF(TODAY()&gt;$J954,"Atrasado","En ruta"),IF($K954&lt;=$J954,"Sí","No")))</f>
        <v/>
      </c>
      <c r="N954" s="23">
        <f>IF($A954="","",COUNTIFS(NOVEDADES!$C$4:$C$1503,$A954))</f>
        <v/>
      </c>
      <c r="O954" s="27">
        <f>IF($A954="","",IF(COUNTIFS(NOVEDADES!$C$4:$C$1503,$A954,NOVEDADES!$M$4:$M$1503,"SÍ")&gt;0,"No","Sí"))</f>
        <v/>
      </c>
      <c r="P954" s="27">
        <f>IF(OR($A954="",$K954=""),"",IF(AND($M954="Sí",$O954="Sí"),"OTIF","Falló"))</f>
        <v/>
      </c>
    </row>
    <row r="955" ht="16" customHeight="1">
      <c r="A955" s="47" t="n"/>
      <c r="B955" s="46" t="n"/>
      <c r="C955" s="49" t="n"/>
      <c r="D955" s="49" t="n"/>
      <c r="E955" s="49" t="n"/>
      <c r="F955" s="49" t="n"/>
      <c r="G955" s="47" t="n"/>
      <c r="H955" s="50" t="n"/>
      <c r="I955" s="51" t="n"/>
      <c r="J955" s="46" t="n"/>
      <c r="K955" s="46" t="n"/>
      <c r="L955" s="23">
        <f>IF(OR($A955="",$B955=""),"",IF($K955&lt;&gt;"",$K955-$B955,TODAY()-$B955))</f>
        <v/>
      </c>
      <c r="M955" s="27">
        <f>IF(OR($A955="",$J955=""),"",IF($K955="",IF(TODAY()&gt;$J955,"Atrasado","En ruta"),IF($K955&lt;=$J955,"Sí","No")))</f>
        <v/>
      </c>
      <c r="N955" s="23">
        <f>IF($A955="","",COUNTIFS(NOVEDADES!$C$4:$C$1503,$A955))</f>
        <v/>
      </c>
      <c r="O955" s="27">
        <f>IF($A955="","",IF(COUNTIFS(NOVEDADES!$C$4:$C$1503,$A955,NOVEDADES!$M$4:$M$1503,"SÍ")&gt;0,"No","Sí"))</f>
        <v/>
      </c>
      <c r="P955" s="27">
        <f>IF(OR($A955="",$K955=""),"",IF(AND($M955="Sí",$O955="Sí"),"OTIF","Falló"))</f>
        <v/>
      </c>
    </row>
    <row r="956" ht="16" customHeight="1">
      <c r="A956" s="47" t="n"/>
      <c r="B956" s="46" t="n"/>
      <c r="C956" s="49" t="n"/>
      <c r="D956" s="49" t="n"/>
      <c r="E956" s="49" t="n"/>
      <c r="F956" s="49" t="n"/>
      <c r="G956" s="47" t="n"/>
      <c r="H956" s="50" t="n"/>
      <c r="I956" s="51" t="n"/>
      <c r="J956" s="46" t="n"/>
      <c r="K956" s="46" t="n"/>
      <c r="L956" s="23">
        <f>IF(OR($A956="",$B956=""),"",IF($K956&lt;&gt;"",$K956-$B956,TODAY()-$B956))</f>
        <v/>
      </c>
      <c r="M956" s="27">
        <f>IF(OR($A956="",$J956=""),"",IF($K956="",IF(TODAY()&gt;$J956,"Atrasado","En ruta"),IF($K956&lt;=$J956,"Sí","No")))</f>
        <v/>
      </c>
      <c r="N956" s="23">
        <f>IF($A956="","",COUNTIFS(NOVEDADES!$C$4:$C$1503,$A956))</f>
        <v/>
      </c>
      <c r="O956" s="27">
        <f>IF($A956="","",IF(COUNTIFS(NOVEDADES!$C$4:$C$1503,$A956,NOVEDADES!$M$4:$M$1503,"SÍ")&gt;0,"No","Sí"))</f>
        <v/>
      </c>
      <c r="P956" s="27">
        <f>IF(OR($A956="",$K956=""),"",IF(AND($M956="Sí",$O956="Sí"),"OTIF","Falló"))</f>
        <v/>
      </c>
    </row>
    <row r="957" ht="16" customHeight="1">
      <c r="A957" s="47" t="n"/>
      <c r="B957" s="46" t="n"/>
      <c r="C957" s="49" t="n"/>
      <c r="D957" s="49" t="n"/>
      <c r="E957" s="49" t="n"/>
      <c r="F957" s="49" t="n"/>
      <c r="G957" s="47" t="n"/>
      <c r="H957" s="50" t="n"/>
      <c r="I957" s="51" t="n"/>
      <c r="J957" s="46" t="n"/>
      <c r="K957" s="46" t="n"/>
      <c r="L957" s="23">
        <f>IF(OR($A957="",$B957=""),"",IF($K957&lt;&gt;"",$K957-$B957,TODAY()-$B957))</f>
        <v/>
      </c>
      <c r="M957" s="27">
        <f>IF(OR($A957="",$J957=""),"",IF($K957="",IF(TODAY()&gt;$J957,"Atrasado","En ruta"),IF($K957&lt;=$J957,"Sí","No")))</f>
        <v/>
      </c>
      <c r="N957" s="23">
        <f>IF($A957="","",COUNTIFS(NOVEDADES!$C$4:$C$1503,$A957))</f>
        <v/>
      </c>
      <c r="O957" s="27">
        <f>IF($A957="","",IF(COUNTIFS(NOVEDADES!$C$4:$C$1503,$A957,NOVEDADES!$M$4:$M$1503,"SÍ")&gt;0,"No","Sí"))</f>
        <v/>
      </c>
      <c r="P957" s="27">
        <f>IF(OR($A957="",$K957=""),"",IF(AND($M957="Sí",$O957="Sí"),"OTIF","Falló"))</f>
        <v/>
      </c>
    </row>
    <row r="958" ht="16" customHeight="1">
      <c r="A958" s="47" t="n"/>
      <c r="B958" s="46" t="n"/>
      <c r="C958" s="49" t="n"/>
      <c r="D958" s="49" t="n"/>
      <c r="E958" s="49" t="n"/>
      <c r="F958" s="49" t="n"/>
      <c r="G958" s="47" t="n"/>
      <c r="H958" s="50" t="n"/>
      <c r="I958" s="51" t="n"/>
      <c r="J958" s="46" t="n"/>
      <c r="K958" s="46" t="n"/>
      <c r="L958" s="23">
        <f>IF(OR($A958="",$B958=""),"",IF($K958&lt;&gt;"",$K958-$B958,TODAY()-$B958))</f>
        <v/>
      </c>
      <c r="M958" s="27">
        <f>IF(OR($A958="",$J958=""),"",IF($K958="",IF(TODAY()&gt;$J958,"Atrasado","En ruta"),IF($K958&lt;=$J958,"Sí","No")))</f>
        <v/>
      </c>
      <c r="N958" s="23">
        <f>IF($A958="","",COUNTIFS(NOVEDADES!$C$4:$C$1503,$A958))</f>
        <v/>
      </c>
      <c r="O958" s="27">
        <f>IF($A958="","",IF(COUNTIFS(NOVEDADES!$C$4:$C$1503,$A958,NOVEDADES!$M$4:$M$1503,"SÍ")&gt;0,"No","Sí"))</f>
        <v/>
      </c>
      <c r="P958" s="27">
        <f>IF(OR($A958="",$K958=""),"",IF(AND($M958="Sí",$O958="Sí"),"OTIF","Falló"))</f>
        <v/>
      </c>
    </row>
    <row r="959" ht="16" customHeight="1">
      <c r="A959" s="47" t="n"/>
      <c r="B959" s="46" t="n"/>
      <c r="C959" s="49" t="n"/>
      <c r="D959" s="49" t="n"/>
      <c r="E959" s="49" t="n"/>
      <c r="F959" s="49" t="n"/>
      <c r="G959" s="47" t="n"/>
      <c r="H959" s="50" t="n"/>
      <c r="I959" s="51" t="n"/>
      <c r="J959" s="46" t="n"/>
      <c r="K959" s="46" t="n"/>
      <c r="L959" s="23">
        <f>IF(OR($A959="",$B959=""),"",IF($K959&lt;&gt;"",$K959-$B959,TODAY()-$B959))</f>
        <v/>
      </c>
      <c r="M959" s="27">
        <f>IF(OR($A959="",$J959=""),"",IF($K959="",IF(TODAY()&gt;$J959,"Atrasado","En ruta"),IF($K959&lt;=$J959,"Sí","No")))</f>
        <v/>
      </c>
      <c r="N959" s="23">
        <f>IF($A959="","",COUNTIFS(NOVEDADES!$C$4:$C$1503,$A959))</f>
        <v/>
      </c>
      <c r="O959" s="27">
        <f>IF($A959="","",IF(COUNTIFS(NOVEDADES!$C$4:$C$1503,$A959,NOVEDADES!$M$4:$M$1503,"SÍ")&gt;0,"No","Sí"))</f>
        <v/>
      </c>
      <c r="P959" s="27">
        <f>IF(OR($A959="",$K959=""),"",IF(AND($M959="Sí",$O959="Sí"),"OTIF","Falló"))</f>
        <v/>
      </c>
    </row>
    <row r="960" ht="16" customHeight="1">
      <c r="A960" s="47" t="n"/>
      <c r="B960" s="46" t="n"/>
      <c r="C960" s="49" t="n"/>
      <c r="D960" s="49" t="n"/>
      <c r="E960" s="49" t="n"/>
      <c r="F960" s="49" t="n"/>
      <c r="G960" s="47" t="n"/>
      <c r="H960" s="50" t="n"/>
      <c r="I960" s="51" t="n"/>
      <c r="J960" s="46" t="n"/>
      <c r="K960" s="46" t="n"/>
      <c r="L960" s="23">
        <f>IF(OR($A960="",$B960=""),"",IF($K960&lt;&gt;"",$K960-$B960,TODAY()-$B960))</f>
        <v/>
      </c>
      <c r="M960" s="27">
        <f>IF(OR($A960="",$J960=""),"",IF($K960="",IF(TODAY()&gt;$J960,"Atrasado","En ruta"),IF($K960&lt;=$J960,"Sí","No")))</f>
        <v/>
      </c>
      <c r="N960" s="23">
        <f>IF($A960="","",COUNTIFS(NOVEDADES!$C$4:$C$1503,$A960))</f>
        <v/>
      </c>
      <c r="O960" s="27">
        <f>IF($A960="","",IF(COUNTIFS(NOVEDADES!$C$4:$C$1503,$A960,NOVEDADES!$M$4:$M$1503,"SÍ")&gt;0,"No","Sí"))</f>
        <v/>
      </c>
      <c r="P960" s="27">
        <f>IF(OR($A960="",$K960=""),"",IF(AND($M960="Sí",$O960="Sí"),"OTIF","Falló"))</f>
        <v/>
      </c>
    </row>
    <row r="961" ht="16" customHeight="1">
      <c r="A961" s="47" t="n"/>
      <c r="B961" s="46" t="n"/>
      <c r="C961" s="49" t="n"/>
      <c r="D961" s="49" t="n"/>
      <c r="E961" s="49" t="n"/>
      <c r="F961" s="49" t="n"/>
      <c r="G961" s="47" t="n"/>
      <c r="H961" s="50" t="n"/>
      <c r="I961" s="51" t="n"/>
      <c r="J961" s="46" t="n"/>
      <c r="K961" s="46" t="n"/>
      <c r="L961" s="23">
        <f>IF(OR($A961="",$B961=""),"",IF($K961&lt;&gt;"",$K961-$B961,TODAY()-$B961))</f>
        <v/>
      </c>
      <c r="M961" s="27">
        <f>IF(OR($A961="",$J961=""),"",IF($K961="",IF(TODAY()&gt;$J961,"Atrasado","En ruta"),IF($K961&lt;=$J961,"Sí","No")))</f>
        <v/>
      </c>
      <c r="N961" s="23">
        <f>IF($A961="","",COUNTIFS(NOVEDADES!$C$4:$C$1503,$A961))</f>
        <v/>
      </c>
      <c r="O961" s="27">
        <f>IF($A961="","",IF(COUNTIFS(NOVEDADES!$C$4:$C$1503,$A961,NOVEDADES!$M$4:$M$1503,"SÍ")&gt;0,"No","Sí"))</f>
        <v/>
      </c>
      <c r="P961" s="27">
        <f>IF(OR($A961="",$K961=""),"",IF(AND($M961="Sí",$O961="Sí"),"OTIF","Falló"))</f>
        <v/>
      </c>
    </row>
    <row r="962" ht="16" customHeight="1">
      <c r="A962" s="47" t="n"/>
      <c r="B962" s="46" t="n"/>
      <c r="C962" s="49" t="n"/>
      <c r="D962" s="49" t="n"/>
      <c r="E962" s="49" t="n"/>
      <c r="F962" s="49" t="n"/>
      <c r="G962" s="47" t="n"/>
      <c r="H962" s="50" t="n"/>
      <c r="I962" s="51" t="n"/>
      <c r="J962" s="46" t="n"/>
      <c r="K962" s="46" t="n"/>
      <c r="L962" s="23">
        <f>IF(OR($A962="",$B962=""),"",IF($K962&lt;&gt;"",$K962-$B962,TODAY()-$B962))</f>
        <v/>
      </c>
      <c r="M962" s="27">
        <f>IF(OR($A962="",$J962=""),"",IF($K962="",IF(TODAY()&gt;$J962,"Atrasado","En ruta"),IF($K962&lt;=$J962,"Sí","No")))</f>
        <v/>
      </c>
      <c r="N962" s="23">
        <f>IF($A962="","",COUNTIFS(NOVEDADES!$C$4:$C$1503,$A962))</f>
        <v/>
      </c>
      <c r="O962" s="27">
        <f>IF($A962="","",IF(COUNTIFS(NOVEDADES!$C$4:$C$1503,$A962,NOVEDADES!$M$4:$M$1503,"SÍ")&gt;0,"No","Sí"))</f>
        <v/>
      </c>
      <c r="P962" s="27">
        <f>IF(OR($A962="",$K962=""),"",IF(AND($M962="Sí",$O962="Sí"),"OTIF","Falló"))</f>
        <v/>
      </c>
    </row>
    <row r="963" ht="16" customHeight="1">
      <c r="A963" s="47" t="n"/>
      <c r="B963" s="46" t="n"/>
      <c r="C963" s="49" t="n"/>
      <c r="D963" s="49" t="n"/>
      <c r="E963" s="49" t="n"/>
      <c r="F963" s="49" t="n"/>
      <c r="G963" s="47" t="n"/>
      <c r="H963" s="50" t="n"/>
      <c r="I963" s="51" t="n"/>
      <c r="J963" s="46" t="n"/>
      <c r="K963" s="46" t="n"/>
      <c r="L963" s="23">
        <f>IF(OR($A963="",$B963=""),"",IF($K963&lt;&gt;"",$K963-$B963,TODAY()-$B963))</f>
        <v/>
      </c>
      <c r="M963" s="27">
        <f>IF(OR($A963="",$J963=""),"",IF($K963="",IF(TODAY()&gt;$J963,"Atrasado","En ruta"),IF($K963&lt;=$J963,"Sí","No")))</f>
        <v/>
      </c>
      <c r="N963" s="23">
        <f>IF($A963="","",COUNTIFS(NOVEDADES!$C$4:$C$1503,$A963))</f>
        <v/>
      </c>
      <c r="O963" s="27">
        <f>IF($A963="","",IF(COUNTIFS(NOVEDADES!$C$4:$C$1503,$A963,NOVEDADES!$M$4:$M$1503,"SÍ")&gt;0,"No","Sí"))</f>
        <v/>
      </c>
      <c r="P963" s="27">
        <f>IF(OR($A963="",$K963=""),"",IF(AND($M963="Sí",$O963="Sí"),"OTIF","Falló"))</f>
        <v/>
      </c>
    </row>
    <row r="964" ht="16" customHeight="1">
      <c r="A964" s="47" t="n"/>
      <c r="B964" s="46" t="n"/>
      <c r="C964" s="49" t="n"/>
      <c r="D964" s="49" t="n"/>
      <c r="E964" s="49" t="n"/>
      <c r="F964" s="49" t="n"/>
      <c r="G964" s="47" t="n"/>
      <c r="H964" s="50" t="n"/>
      <c r="I964" s="51" t="n"/>
      <c r="J964" s="46" t="n"/>
      <c r="K964" s="46" t="n"/>
      <c r="L964" s="23">
        <f>IF(OR($A964="",$B964=""),"",IF($K964&lt;&gt;"",$K964-$B964,TODAY()-$B964))</f>
        <v/>
      </c>
      <c r="M964" s="27">
        <f>IF(OR($A964="",$J964=""),"",IF($K964="",IF(TODAY()&gt;$J964,"Atrasado","En ruta"),IF($K964&lt;=$J964,"Sí","No")))</f>
        <v/>
      </c>
      <c r="N964" s="23">
        <f>IF($A964="","",COUNTIFS(NOVEDADES!$C$4:$C$1503,$A964))</f>
        <v/>
      </c>
      <c r="O964" s="27">
        <f>IF($A964="","",IF(COUNTIFS(NOVEDADES!$C$4:$C$1503,$A964,NOVEDADES!$M$4:$M$1503,"SÍ")&gt;0,"No","Sí"))</f>
        <v/>
      </c>
      <c r="P964" s="27">
        <f>IF(OR($A964="",$K964=""),"",IF(AND($M964="Sí",$O964="Sí"),"OTIF","Falló"))</f>
        <v/>
      </c>
    </row>
    <row r="965" ht="16" customHeight="1">
      <c r="A965" s="47" t="n"/>
      <c r="B965" s="46" t="n"/>
      <c r="C965" s="49" t="n"/>
      <c r="D965" s="49" t="n"/>
      <c r="E965" s="49" t="n"/>
      <c r="F965" s="49" t="n"/>
      <c r="G965" s="47" t="n"/>
      <c r="H965" s="50" t="n"/>
      <c r="I965" s="51" t="n"/>
      <c r="J965" s="46" t="n"/>
      <c r="K965" s="46" t="n"/>
      <c r="L965" s="23">
        <f>IF(OR($A965="",$B965=""),"",IF($K965&lt;&gt;"",$K965-$B965,TODAY()-$B965))</f>
        <v/>
      </c>
      <c r="M965" s="27">
        <f>IF(OR($A965="",$J965=""),"",IF($K965="",IF(TODAY()&gt;$J965,"Atrasado","En ruta"),IF($K965&lt;=$J965,"Sí","No")))</f>
        <v/>
      </c>
      <c r="N965" s="23">
        <f>IF($A965="","",COUNTIFS(NOVEDADES!$C$4:$C$1503,$A965))</f>
        <v/>
      </c>
      <c r="O965" s="27">
        <f>IF($A965="","",IF(COUNTIFS(NOVEDADES!$C$4:$C$1503,$A965,NOVEDADES!$M$4:$M$1503,"SÍ")&gt;0,"No","Sí"))</f>
        <v/>
      </c>
      <c r="P965" s="27">
        <f>IF(OR($A965="",$K965=""),"",IF(AND($M965="Sí",$O965="Sí"),"OTIF","Falló"))</f>
        <v/>
      </c>
    </row>
    <row r="966" ht="16" customHeight="1">
      <c r="A966" s="47" t="n"/>
      <c r="B966" s="46" t="n"/>
      <c r="C966" s="49" t="n"/>
      <c r="D966" s="49" t="n"/>
      <c r="E966" s="49" t="n"/>
      <c r="F966" s="49" t="n"/>
      <c r="G966" s="47" t="n"/>
      <c r="H966" s="50" t="n"/>
      <c r="I966" s="51" t="n"/>
      <c r="J966" s="46" t="n"/>
      <c r="K966" s="46" t="n"/>
      <c r="L966" s="23">
        <f>IF(OR($A966="",$B966=""),"",IF($K966&lt;&gt;"",$K966-$B966,TODAY()-$B966))</f>
        <v/>
      </c>
      <c r="M966" s="27">
        <f>IF(OR($A966="",$J966=""),"",IF($K966="",IF(TODAY()&gt;$J966,"Atrasado","En ruta"),IF($K966&lt;=$J966,"Sí","No")))</f>
        <v/>
      </c>
      <c r="N966" s="23">
        <f>IF($A966="","",COUNTIFS(NOVEDADES!$C$4:$C$1503,$A966))</f>
        <v/>
      </c>
      <c r="O966" s="27">
        <f>IF($A966="","",IF(COUNTIFS(NOVEDADES!$C$4:$C$1503,$A966,NOVEDADES!$M$4:$M$1503,"SÍ")&gt;0,"No","Sí"))</f>
        <v/>
      </c>
      <c r="P966" s="27">
        <f>IF(OR($A966="",$K966=""),"",IF(AND($M966="Sí",$O966="Sí"),"OTIF","Falló"))</f>
        <v/>
      </c>
    </row>
    <row r="967" ht="16" customHeight="1">
      <c r="A967" s="47" t="n"/>
      <c r="B967" s="46" t="n"/>
      <c r="C967" s="49" t="n"/>
      <c r="D967" s="49" t="n"/>
      <c r="E967" s="49" t="n"/>
      <c r="F967" s="49" t="n"/>
      <c r="G967" s="47" t="n"/>
      <c r="H967" s="50" t="n"/>
      <c r="I967" s="51" t="n"/>
      <c r="J967" s="46" t="n"/>
      <c r="K967" s="46" t="n"/>
      <c r="L967" s="23">
        <f>IF(OR($A967="",$B967=""),"",IF($K967&lt;&gt;"",$K967-$B967,TODAY()-$B967))</f>
        <v/>
      </c>
      <c r="M967" s="27">
        <f>IF(OR($A967="",$J967=""),"",IF($K967="",IF(TODAY()&gt;$J967,"Atrasado","En ruta"),IF($K967&lt;=$J967,"Sí","No")))</f>
        <v/>
      </c>
      <c r="N967" s="23">
        <f>IF($A967="","",COUNTIFS(NOVEDADES!$C$4:$C$1503,$A967))</f>
        <v/>
      </c>
      <c r="O967" s="27">
        <f>IF($A967="","",IF(COUNTIFS(NOVEDADES!$C$4:$C$1503,$A967,NOVEDADES!$M$4:$M$1503,"SÍ")&gt;0,"No","Sí"))</f>
        <v/>
      </c>
      <c r="P967" s="27">
        <f>IF(OR($A967="",$K967=""),"",IF(AND($M967="Sí",$O967="Sí"),"OTIF","Falló"))</f>
        <v/>
      </c>
    </row>
    <row r="968" ht="16" customHeight="1">
      <c r="A968" s="47" t="n"/>
      <c r="B968" s="46" t="n"/>
      <c r="C968" s="49" t="n"/>
      <c r="D968" s="49" t="n"/>
      <c r="E968" s="49" t="n"/>
      <c r="F968" s="49" t="n"/>
      <c r="G968" s="47" t="n"/>
      <c r="H968" s="50" t="n"/>
      <c r="I968" s="51" t="n"/>
      <c r="J968" s="46" t="n"/>
      <c r="K968" s="46" t="n"/>
      <c r="L968" s="23">
        <f>IF(OR($A968="",$B968=""),"",IF($K968&lt;&gt;"",$K968-$B968,TODAY()-$B968))</f>
        <v/>
      </c>
      <c r="M968" s="27">
        <f>IF(OR($A968="",$J968=""),"",IF($K968="",IF(TODAY()&gt;$J968,"Atrasado","En ruta"),IF($K968&lt;=$J968,"Sí","No")))</f>
        <v/>
      </c>
      <c r="N968" s="23">
        <f>IF($A968="","",COUNTIFS(NOVEDADES!$C$4:$C$1503,$A968))</f>
        <v/>
      </c>
      <c r="O968" s="27">
        <f>IF($A968="","",IF(COUNTIFS(NOVEDADES!$C$4:$C$1503,$A968,NOVEDADES!$M$4:$M$1503,"SÍ")&gt;0,"No","Sí"))</f>
        <v/>
      </c>
      <c r="P968" s="27">
        <f>IF(OR($A968="",$K968=""),"",IF(AND($M968="Sí",$O968="Sí"),"OTIF","Falló"))</f>
        <v/>
      </c>
    </row>
    <row r="969" ht="16" customHeight="1">
      <c r="A969" s="47" t="n"/>
      <c r="B969" s="46" t="n"/>
      <c r="C969" s="49" t="n"/>
      <c r="D969" s="49" t="n"/>
      <c r="E969" s="49" t="n"/>
      <c r="F969" s="49" t="n"/>
      <c r="G969" s="47" t="n"/>
      <c r="H969" s="50" t="n"/>
      <c r="I969" s="51" t="n"/>
      <c r="J969" s="46" t="n"/>
      <c r="K969" s="46" t="n"/>
      <c r="L969" s="23">
        <f>IF(OR($A969="",$B969=""),"",IF($K969&lt;&gt;"",$K969-$B969,TODAY()-$B969))</f>
        <v/>
      </c>
      <c r="M969" s="27">
        <f>IF(OR($A969="",$J969=""),"",IF($K969="",IF(TODAY()&gt;$J969,"Atrasado","En ruta"),IF($K969&lt;=$J969,"Sí","No")))</f>
        <v/>
      </c>
      <c r="N969" s="23">
        <f>IF($A969="","",COUNTIFS(NOVEDADES!$C$4:$C$1503,$A969))</f>
        <v/>
      </c>
      <c r="O969" s="27">
        <f>IF($A969="","",IF(COUNTIFS(NOVEDADES!$C$4:$C$1503,$A969,NOVEDADES!$M$4:$M$1503,"SÍ")&gt;0,"No","Sí"))</f>
        <v/>
      </c>
      <c r="P969" s="27">
        <f>IF(OR($A969="",$K969=""),"",IF(AND($M969="Sí",$O969="Sí"),"OTIF","Falló"))</f>
        <v/>
      </c>
    </row>
    <row r="970" ht="16" customHeight="1">
      <c r="A970" s="47" t="n"/>
      <c r="B970" s="46" t="n"/>
      <c r="C970" s="49" t="n"/>
      <c r="D970" s="49" t="n"/>
      <c r="E970" s="49" t="n"/>
      <c r="F970" s="49" t="n"/>
      <c r="G970" s="47" t="n"/>
      <c r="H970" s="50" t="n"/>
      <c r="I970" s="51" t="n"/>
      <c r="J970" s="46" t="n"/>
      <c r="K970" s="46" t="n"/>
      <c r="L970" s="23">
        <f>IF(OR($A970="",$B970=""),"",IF($K970&lt;&gt;"",$K970-$B970,TODAY()-$B970))</f>
        <v/>
      </c>
      <c r="M970" s="27">
        <f>IF(OR($A970="",$J970=""),"",IF($K970="",IF(TODAY()&gt;$J970,"Atrasado","En ruta"),IF($K970&lt;=$J970,"Sí","No")))</f>
        <v/>
      </c>
      <c r="N970" s="23">
        <f>IF($A970="","",COUNTIFS(NOVEDADES!$C$4:$C$1503,$A970))</f>
        <v/>
      </c>
      <c r="O970" s="27">
        <f>IF($A970="","",IF(COUNTIFS(NOVEDADES!$C$4:$C$1503,$A970,NOVEDADES!$M$4:$M$1503,"SÍ")&gt;0,"No","Sí"))</f>
        <v/>
      </c>
      <c r="P970" s="27">
        <f>IF(OR($A970="",$K970=""),"",IF(AND($M970="Sí",$O970="Sí"),"OTIF","Falló"))</f>
        <v/>
      </c>
    </row>
    <row r="971" ht="16" customHeight="1">
      <c r="A971" s="47" t="n"/>
      <c r="B971" s="46" t="n"/>
      <c r="C971" s="49" t="n"/>
      <c r="D971" s="49" t="n"/>
      <c r="E971" s="49" t="n"/>
      <c r="F971" s="49" t="n"/>
      <c r="G971" s="47" t="n"/>
      <c r="H971" s="50" t="n"/>
      <c r="I971" s="51" t="n"/>
      <c r="J971" s="46" t="n"/>
      <c r="K971" s="46" t="n"/>
      <c r="L971" s="23">
        <f>IF(OR($A971="",$B971=""),"",IF($K971&lt;&gt;"",$K971-$B971,TODAY()-$B971))</f>
        <v/>
      </c>
      <c r="M971" s="27">
        <f>IF(OR($A971="",$J971=""),"",IF($K971="",IF(TODAY()&gt;$J971,"Atrasado","En ruta"),IF($K971&lt;=$J971,"Sí","No")))</f>
        <v/>
      </c>
      <c r="N971" s="23">
        <f>IF($A971="","",COUNTIFS(NOVEDADES!$C$4:$C$1503,$A971))</f>
        <v/>
      </c>
      <c r="O971" s="27">
        <f>IF($A971="","",IF(COUNTIFS(NOVEDADES!$C$4:$C$1503,$A971,NOVEDADES!$M$4:$M$1503,"SÍ")&gt;0,"No","Sí"))</f>
        <v/>
      </c>
      <c r="P971" s="27">
        <f>IF(OR($A971="",$K971=""),"",IF(AND($M971="Sí",$O971="Sí"),"OTIF","Falló"))</f>
        <v/>
      </c>
    </row>
    <row r="972" ht="16" customHeight="1">
      <c r="A972" s="47" t="n"/>
      <c r="B972" s="46" t="n"/>
      <c r="C972" s="49" t="n"/>
      <c r="D972" s="49" t="n"/>
      <c r="E972" s="49" t="n"/>
      <c r="F972" s="49" t="n"/>
      <c r="G972" s="47" t="n"/>
      <c r="H972" s="50" t="n"/>
      <c r="I972" s="51" t="n"/>
      <c r="J972" s="46" t="n"/>
      <c r="K972" s="46" t="n"/>
      <c r="L972" s="23">
        <f>IF(OR($A972="",$B972=""),"",IF($K972&lt;&gt;"",$K972-$B972,TODAY()-$B972))</f>
        <v/>
      </c>
      <c r="M972" s="27">
        <f>IF(OR($A972="",$J972=""),"",IF($K972="",IF(TODAY()&gt;$J972,"Atrasado","En ruta"),IF($K972&lt;=$J972,"Sí","No")))</f>
        <v/>
      </c>
      <c r="N972" s="23">
        <f>IF($A972="","",COUNTIFS(NOVEDADES!$C$4:$C$1503,$A972))</f>
        <v/>
      </c>
      <c r="O972" s="27">
        <f>IF($A972="","",IF(COUNTIFS(NOVEDADES!$C$4:$C$1503,$A972,NOVEDADES!$M$4:$M$1503,"SÍ")&gt;0,"No","Sí"))</f>
        <v/>
      </c>
      <c r="P972" s="27">
        <f>IF(OR($A972="",$K972=""),"",IF(AND($M972="Sí",$O972="Sí"),"OTIF","Falló"))</f>
        <v/>
      </c>
    </row>
    <row r="973" ht="16" customHeight="1">
      <c r="A973" s="47" t="n"/>
      <c r="B973" s="46" t="n"/>
      <c r="C973" s="49" t="n"/>
      <c r="D973" s="49" t="n"/>
      <c r="E973" s="49" t="n"/>
      <c r="F973" s="49" t="n"/>
      <c r="G973" s="47" t="n"/>
      <c r="H973" s="50" t="n"/>
      <c r="I973" s="51" t="n"/>
      <c r="J973" s="46" t="n"/>
      <c r="K973" s="46" t="n"/>
      <c r="L973" s="23">
        <f>IF(OR($A973="",$B973=""),"",IF($K973&lt;&gt;"",$K973-$B973,TODAY()-$B973))</f>
        <v/>
      </c>
      <c r="M973" s="27">
        <f>IF(OR($A973="",$J973=""),"",IF($K973="",IF(TODAY()&gt;$J973,"Atrasado","En ruta"),IF($K973&lt;=$J973,"Sí","No")))</f>
        <v/>
      </c>
      <c r="N973" s="23">
        <f>IF($A973="","",COUNTIFS(NOVEDADES!$C$4:$C$1503,$A973))</f>
        <v/>
      </c>
      <c r="O973" s="27">
        <f>IF($A973="","",IF(COUNTIFS(NOVEDADES!$C$4:$C$1503,$A973,NOVEDADES!$M$4:$M$1503,"SÍ")&gt;0,"No","Sí"))</f>
        <v/>
      </c>
      <c r="P973" s="27">
        <f>IF(OR($A973="",$K973=""),"",IF(AND($M973="Sí",$O973="Sí"),"OTIF","Falló"))</f>
        <v/>
      </c>
    </row>
    <row r="974" ht="16" customHeight="1">
      <c r="A974" s="47" t="n"/>
      <c r="B974" s="46" t="n"/>
      <c r="C974" s="49" t="n"/>
      <c r="D974" s="49" t="n"/>
      <c r="E974" s="49" t="n"/>
      <c r="F974" s="49" t="n"/>
      <c r="G974" s="47" t="n"/>
      <c r="H974" s="50" t="n"/>
      <c r="I974" s="51" t="n"/>
      <c r="J974" s="46" t="n"/>
      <c r="K974" s="46" t="n"/>
      <c r="L974" s="23">
        <f>IF(OR($A974="",$B974=""),"",IF($K974&lt;&gt;"",$K974-$B974,TODAY()-$B974))</f>
        <v/>
      </c>
      <c r="M974" s="27">
        <f>IF(OR($A974="",$J974=""),"",IF($K974="",IF(TODAY()&gt;$J974,"Atrasado","En ruta"),IF($K974&lt;=$J974,"Sí","No")))</f>
        <v/>
      </c>
      <c r="N974" s="23">
        <f>IF($A974="","",COUNTIFS(NOVEDADES!$C$4:$C$1503,$A974))</f>
        <v/>
      </c>
      <c r="O974" s="27">
        <f>IF($A974="","",IF(COUNTIFS(NOVEDADES!$C$4:$C$1503,$A974,NOVEDADES!$M$4:$M$1503,"SÍ")&gt;0,"No","Sí"))</f>
        <v/>
      </c>
      <c r="P974" s="27">
        <f>IF(OR($A974="",$K974=""),"",IF(AND($M974="Sí",$O974="Sí"),"OTIF","Falló"))</f>
        <v/>
      </c>
    </row>
    <row r="975" ht="16" customHeight="1">
      <c r="A975" s="47" t="n"/>
      <c r="B975" s="46" t="n"/>
      <c r="C975" s="49" t="n"/>
      <c r="D975" s="49" t="n"/>
      <c r="E975" s="49" t="n"/>
      <c r="F975" s="49" t="n"/>
      <c r="G975" s="47" t="n"/>
      <c r="H975" s="50" t="n"/>
      <c r="I975" s="51" t="n"/>
      <c r="J975" s="46" t="n"/>
      <c r="K975" s="46" t="n"/>
      <c r="L975" s="23">
        <f>IF(OR($A975="",$B975=""),"",IF($K975&lt;&gt;"",$K975-$B975,TODAY()-$B975))</f>
        <v/>
      </c>
      <c r="M975" s="27">
        <f>IF(OR($A975="",$J975=""),"",IF($K975="",IF(TODAY()&gt;$J975,"Atrasado","En ruta"),IF($K975&lt;=$J975,"Sí","No")))</f>
        <v/>
      </c>
      <c r="N975" s="23">
        <f>IF($A975="","",COUNTIFS(NOVEDADES!$C$4:$C$1503,$A975))</f>
        <v/>
      </c>
      <c r="O975" s="27">
        <f>IF($A975="","",IF(COUNTIFS(NOVEDADES!$C$4:$C$1503,$A975,NOVEDADES!$M$4:$M$1503,"SÍ")&gt;0,"No","Sí"))</f>
        <v/>
      </c>
      <c r="P975" s="27">
        <f>IF(OR($A975="",$K975=""),"",IF(AND($M975="Sí",$O975="Sí"),"OTIF","Falló"))</f>
        <v/>
      </c>
    </row>
    <row r="976" ht="16" customHeight="1">
      <c r="A976" s="47" t="n"/>
      <c r="B976" s="46" t="n"/>
      <c r="C976" s="49" t="n"/>
      <c r="D976" s="49" t="n"/>
      <c r="E976" s="49" t="n"/>
      <c r="F976" s="49" t="n"/>
      <c r="G976" s="47" t="n"/>
      <c r="H976" s="50" t="n"/>
      <c r="I976" s="51" t="n"/>
      <c r="J976" s="46" t="n"/>
      <c r="K976" s="46" t="n"/>
      <c r="L976" s="23">
        <f>IF(OR($A976="",$B976=""),"",IF($K976&lt;&gt;"",$K976-$B976,TODAY()-$B976))</f>
        <v/>
      </c>
      <c r="M976" s="27">
        <f>IF(OR($A976="",$J976=""),"",IF($K976="",IF(TODAY()&gt;$J976,"Atrasado","En ruta"),IF($K976&lt;=$J976,"Sí","No")))</f>
        <v/>
      </c>
      <c r="N976" s="23">
        <f>IF($A976="","",COUNTIFS(NOVEDADES!$C$4:$C$1503,$A976))</f>
        <v/>
      </c>
      <c r="O976" s="27">
        <f>IF($A976="","",IF(COUNTIFS(NOVEDADES!$C$4:$C$1503,$A976,NOVEDADES!$M$4:$M$1503,"SÍ")&gt;0,"No","Sí"))</f>
        <v/>
      </c>
      <c r="P976" s="27">
        <f>IF(OR($A976="",$K976=""),"",IF(AND($M976="Sí",$O976="Sí"),"OTIF","Falló"))</f>
        <v/>
      </c>
    </row>
    <row r="977" ht="16" customHeight="1">
      <c r="A977" s="47" t="n"/>
      <c r="B977" s="46" t="n"/>
      <c r="C977" s="49" t="n"/>
      <c r="D977" s="49" t="n"/>
      <c r="E977" s="49" t="n"/>
      <c r="F977" s="49" t="n"/>
      <c r="G977" s="47" t="n"/>
      <c r="H977" s="50" t="n"/>
      <c r="I977" s="51" t="n"/>
      <c r="J977" s="46" t="n"/>
      <c r="K977" s="46" t="n"/>
      <c r="L977" s="23">
        <f>IF(OR($A977="",$B977=""),"",IF($K977&lt;&gt;"",$K977-$B977,TODAY()-$B977))</f>
        <v/>
      </c>
      <c r="M977" s="27">
        <f>IF(OR($A977="",$J977=""),"",IF($K977="",IF(TODAY()&gt;$J977,"Atrasado","En ruta"),IF($K977&lt;=$J977,"Sí","No")))</f>
        <v/>
      </c>
      <c r="N977" s="23">
        <f>IF($A977="","",COUNTIFS(NOVEDADES!$C$4:$C$1503,$A977))</f>
        <v/>
      </c>
      <c r="O977" s="27">
        <f>IF($A977="","",IF(COUNTIFS(NOVEDADES!$C$4:$C$1503,$A977,NOVEDADES!$M$4:$M$1503,"SÍ")&gt;0,"No","Sí"))</f>
        <v/>
      </c>
      <c r="P977" s="27">
        <f>IF(OR($A977="",$K977=""),"",IF(AND($M977="Sí",$O977="Sí"),"OTIF","Falló"))</f>
        <v/>
      </c>
    </row>
    <row r="978" ht="16" customHeight="1">
      <c r="A978" s="47" t="n"/>
      <c r="B978" s="46" t="n"/>
      <c r="C978" s="49" t="n"/>
      <c r="D978" s="49" t="n"/>
      <c r="E978" s="49" t="n"/>
      <c r="F978" s="49" t="n"/>
      <c r="G978" s="47" t="n"/>
      <c r="H978" s="50" t="n"/>
      <c r="I978" s="51" t="n"/>
      <c r="J978" s="46" t="n"/>
      <c r="K978" s="46" t="n"/>
      <c r="L978" s="23">
        <f>IF(OR($A978="",$B978=""),"",IF($K978&lt;&gt;"",$K978-$B978,TODAY()-$B978))</f>
        <v/>
      </c>
      <c r="M978" s="27">
        <f>IF(OR($A978="",$J978=""),"",IF($K978="",IF(TODAY()&gt;$J978,"Atrasado","En ruta"),IF($K978&lt;=$J978,"Sí","No")))</f>
        <v/>
      </c>
      <c r="N978" s="23">
        <f>IF($A978="","",COUNTIFS(NOVEDADES!$C$4:$C$1503,$A978))</f>
        <v/>
      </c>
      <c r="O978" s="27">
        <f>IF($A978="","",IF(COUNTIFS(NOVEDADES!$C$4:$C$1503,$A978,NOVEDADES!$M$4:$M$1503,"SÍ")&gt;0,"No","Sí"))</f>
        <v/>
      </c>
      <c r="P978" s="27">
        <f>IF(OR($A978="",$K978=""),"",IF(AND($M978="Sí",$O978="Sí"),"OTIF","Falló"))</f>
        <v/>
      </c>
    </row>
    <row r="979" ht="16" customHeight="1">
      <c r="A979" s="47" t="n"/>
      <c r="B979" s="46" t="n"/>
      <c r="C979" s="49" t="n"/>
      <c r="D979" s="49" t="n"/>
      <c r="E979" s="49" t="n"/>
      <c r="F979" s="49" t="n"/>
      <c r="G979" s="47" t="n"/>
      <c r="H979" s="50" t="n"/>
      <c r="I979" s="51" t="n"/>
      <c r="J979" s="46" t="n"/>
      <c r="K979" s="46" t="n"/>
      <c r="L979" s="23">
        <f>IF(OR($A979="",$B979=""),"",IF($K979&lt;&gt;"",$K979-$B979,TODAY()-$B979))</f>
        <v/>
      </c>
      <c r="M979" s="27">
        <f>IF(OR($A979="",$J979=""),"",IF($K979="",IF(TODAY()&gt;$J979,"Atrasado","En ruta"),IF($K979&lt;=$J979,"Sí","No")))</f>
        <v/>
      </c>
      <c r="N979" s="23">
        <f>IF($A979="","",COUNTIFS(NOVEDADES!$C$4:$C$1503,$A979))</f>
        <v/>
      </c>
      <c r="O979" s="27">
        <f>IF($A979="","",IF(COUNTIFS(NOVEDADES!$C$4:$C$1503,$A979,NOVEDADES!$M$4:$M$1503,"SÍ")&gt;0,"No","Sí"))</f>
        <v/>
      </c>
      <c r="P979" s="27">
        <f>IF(OR($A979="",$K979=""),"",IF(AND($M979="Sí",$O979="Sí"),"OTIF","Falló"))</f>
        <v/>
      </c>
    </row>
    <row r="980" ht="16" customHeight="1">
      <c r="A980" s="47" t="n"/>
      <c r="B980" s="46" t="n"/>
      <c r="C980" s="49" t="n"/>
      <c r="D980" s="49" t="n"/>
      <c r="E980" s="49" t="n"/>
      <c r="F980" s="49" t="n"/>
      <c r="G980" s="47" t="n"/>
      <c r="H980" s="50" t="n"/>
      <c r="I980" s="51" t="n"/>
      <c r="J980" s="46" t="n"/>
      <c r="K980" s="46" t="n"/>
      <c r="L980" s="23">
        <f>IF(OR($A980="",$B980=""),"",IF($K980&lt;&gt;"",$K980-$B980,TODAY()-$B980))</f>
        <v/>
      </c>
      <c r="M980" s="27">
        <f>IF(OR($A980="",$J980=""),"",IF($K980="",IF(TODAY()&gt;$J980,"Atrasado","En ruta"),IF($K980&lt;=$J980,"Sí","No")))</f>
        <v/>
      </c>
      <c r="N980" s="23">
        <f>IF($A980="","",COUNTIFS(NOVEDADES!$C$4:$C$1503,$A980))</f>
        <v/>
      </c>
      <c r="O980" s="27">
        <f>IF($A980="","",IF(COUNTIFS(NOVEDADES!$C$4:$C$1503,$A980,NOVEDADES!$M$4:$M$1503,"SÍ")&gt;0,"No","Sí"))</f>
        <v/>
      </c>
      <c r="P980" s="27">
        <f>IF(OR($A980="",$K980=""),"",IF(AND($M980="Sí",$O980="Sí"),"OTIF","Falló"))</f>
        <v/>
      </c>
    </row>
    <row r="981" ht="16" customHeight="1">
      <c r="A981" s="47" t="n"/>
      <c r="B981" s="46" t="n"/>
      <c r="C981" s="49" t="n"/>
      <c r="D981" s="49" t="n"/>
      <c r="E981" s="49" t="n"/>
      <c r="F981" s="49" t="n"/>
      <c r="G981" s="47" t="n"/>
      <c r="H981" s="50" t="n"/>
      <c r="I981" s="51" t="n"/>
      <c r="J981" s="46" t="n"/>
      <c r="K981" s="46" t="n"/>
      <c r="L981" s="23">
        <f>IF(OR($A981="",$B981=""),"",IF($K981&lt;&gt;"",$K981-$B981,TODAY()-$B981))</f>
        <v/>
      </c>
      <c r="M981" s="27">
        <f>IF(OR($A981="",$J981=""),"",IF($K981="",IF(TODAY()&gt;$J981,"Atrasado","En ruta"),IF($K981&lt;=$J981,"Sí","No")))</f>
        <v/>
      </c>
      <c r="N981" s="23">
        <f>IF($A981="","",COUNTIFS(NOVEDADES!$C$4:$C$1503,$A981))</f>
        <v/>
      </c>
      <c r="O981" s="27">
        <f>IF($A981="","",IF(COUNTIFS(NOVEDADES!$C$4:$C$1503,$A981,NOVEDADES!$M$4:$M$1503,"SÍ")&gt;0,"No","Sí"))</f>
        <v/>
      </c>
      <c r="P981" s="27">
        <f>IF(OR($A981="",$K981=""),"",IF(AND($M981="Sí",$O981="Sí"),"OTIF","Falló"))</f>
        <v/>
      </c>
    </row>
    <row r="982" ht="16" customHeight="1">
      <c r="A982" s="47" t="n"/>
      <c r="B982" s="46" t="n"/>
      <c r="C982" s="49" t="n"/>
      <c r="D982" s="49" t="n"/>
      <c r="E982" s="49" t="n"/>
      <c r="F982" s="49" t="n"/>
      <c r="G982" s="47" t="n"/>
      <c r="H982" s="50" t="n"/>
      <c r="I982" s="51" t="n"/>
      <c r="J982" s="46" t="n"/>
      <c r="K982" s="46" t="n"/>
      <c r="L982" s="23">
        <f>IF(OR($A982="",$B982=""),"",IF($K982&lt;&gt;"",$K982-$B982,TODAY()-$B982))</f>
        <v/>
      </c>
      <c r="M982" s="27">
        <f>IF(OR($A982="",$J982=""),"",IF($K982="",IF(TODAY()&gt;$J982,"Atrasado","En ruta"),IF($K982&lt;=$J982,"Sí","No")))</f>
        <v/>
      </c>
      <c r="N982" s="23">
        <f>IF($A982="","",COUNTIFS(NOVEDADES!$C$4:$C$1503,$A982))</f>
        <v/>
      </c>
      <c r="O982" s="27">
        <f>IF($A982="","",IF(COUNTIFS(NOVEDADES!$C$4:$C$1503,$A982,NOVEDADES!$M$4:$M$1503,"SÍ")&gt;0,"No","Sí"))</f>
        <v/>
      </c>
      <c r="P982" s="27">
        <f>IF(OR($A982="",$K982=""),"",IF(AND($M982="Sí",$O982="Sí"),"OTIF","Falló"))</f>
        <v/>
      </c>
    </row>
    <row r="983" ht="16" customHeight="1">
      <c r="A983" s="47" t="n"/>
      <c r="B983" s="46" t="n"/>
      <c r="C983" s="49" t="n"/>
      <c r="D983" s="49" t="n"/>
      <c r="E983" s="49" t="n"/>
      <c r="F983" s="49" t="n"/>
      <c r="G983" s="47" t="n"/>
      <c r="H983" s="50" t="n"/>
      <c r="I983" s="51" t="n"/>
      <c r="J983" s="46" t="n"/>
      <c r="K983" s="46" t="n"/>
      <c r="L983" s="23">
        <f>IF(OR($A983="",$B983=""),"",IF($K983&lt;&gt;"",$K983-$B983,TODAY()-$B983))</f>
        <v/>
      </c>
      <c r="M983" s="27">
        <f>IF(OR($A983="",$J983=""),"",IF($K983="",IF(TODAY()&gt;$J983,"Atrasado","En ruta"),IF($K983&lt;=$J983,"Sí","No")))</f>
        <v/>
      </c>
      <c r="N983" s="23">
        <f>IF($A983="","",COUNTIFS(NOVEDADES!$C$4:$C$1503,$A983))</f>
        <v/>
      </c>
      <c r="O983" s="27">
        <f>IF($A983="","",IF(COUNTIFS(NOVEDADES!$C$4:$C$1503,$A983,NOVEDADES!$M$4:$M$1503,"SÍ")&gt;0,"No","Sí"))</f>
        <v/>
      </c>
      <c r="P983" s="27">
        <f>IF(OR($A983="",$K983=""),"",IF(AND($M983="Sí",$O983="Sí"),"OTIF","Falló"))</f>
        <v/>
      </c>
    </row>
    <row r="984" ht="16" customHeight="1">
      <c r="A984" s="47" t="n"/>
      <c r="B984" s="46" t="n"/>
      <c r="C984" s="49" t="n"/>
      <c r="D984" s="49" t="n"/>
      <c r="E984" s="49" t="n"/>
      <c r="F984" s="49" t="n"/>
      <c r="G984" s="47" t="n"/>
      <c r="H984" s="50" t="n"/>
      <c r="I984" s="51" t="n"/>
      <c r="J984" s="46" t="n"/>
      <c r="K984" s="46" t="n"/>
      <c r="L984" s="23">
        <f>IF(OR($A984="",$B984=""),"",IF($K984&lt;&gt;"",$K984-$B984,TODAY()-$B984))</f>
        <v/>
      </c>
      <c r="M984" s="27">
        <f>IF(OR($A984="",$J984=""),"",IF($K984="",IF(TODAY()&gt;$J984,"Atrasado","En ruta"),IF($K984&lt;=$J984,"Sí","No")))</f>
        <v/>
      </c>
      <c r="N984" s="23">
        <f>IF($A984="","",COUNTIFS(NOVEDADES!$C$4:$C$1503,$A984))</f>
        <v/>
      </c>
      <c r="O984" s="27">
        <f>IF($A984="","",IF(COUNTIFS(NOVEDADES!$C$4:$C$1503,$A984,NOVEDADES!$M$4:$M$1503,"SÍ")&gt;0,"No","Sí"))</f>
        <v/>
      </c>
      <c r="P984" s="27">
        <f>IF(OR($A984="",$K984=""),"",IF(AND($M984="Sí",$O984="Sí"),"OTIF","Falló"))</f>
        <v/>
      </c>
    </row>
    <row r="985" ht="16" customHeight="1">
      <c r="A985" s="47" t="n"/>
      <c r="B985" s="46" t="n"/>
      <c r="C985" s="49" t="n"/>
      <c r="D985" s="49" t="n"/>
      <c r="E985" s="49" t="n"/>
      <c r="F985" s="49" t="n"/>
      <c r="G985" s="47" t="n"/>
      <c r="H985" s="50" t="n"/>
      <c r="I985" s="51" t="n"/>
      <c r="J985" s="46" t="n"/>
      <c r="K985" s="46" t="n"/>
      <c r="L985" s="23">
        <f>IF(OR($A985="",$B985=""),"",IF($K985&lt;&gt;"",$K985-$B985,TODAY()-$B985))</f>
        <v/>
      </c>
      <c r="M985" s="27">
        <f>IF(OR($A985="",$J985=""),"",IF($K985="",IF(TODAY()&gt;$J985,"Atrasado","En ruta"),IF($K985&lt;=$J985,"Sí","No")))</f>
        <v/>
      </c>
      <c r="N985" s="23">
        <f>IF($A985="","",COUNTIFS(NOVEDADES!$C$4:$C$1503,$A985))</f>
        <v/>
      </c>
      <c r="O985" s="27">
        <f>IF($A985="","",IF(COUNTIFS(NOVEDADES!$C$4:$C$1503,$A985,NOVEDADES!$M$4:$M$1503,"SÍ")&gt;0,"No","Sí"))</f>
        <v/>
      </c>
      <c r="P985" s="27">
        <f>IF(OR($A985="",$K985=""),"",IF(AND($M985="Sí",$O985="Sí"),"OTIF","Falló"))</f>
        <v/>
      </c>
    </row>
    <row r="986" ht="16" customHeight="1">
      <c r="A986" s="47" t="n"/>
      <c r="B986" s="46" t="n"/>
      <c r="C986" s="49" t="n"/>
      <c r="D986" s="49" t="n"/>
      <c r="E986" s="49" t="n"/>
      <c r="F986" s="49" t="n"/>
      <c r="G986" s="47" t="n"/>
      <c r="H986" s="50" t="n"/>
      <c r="I986" s="51" t="n"/>
      <c r="J986" s="46" t="n"/>
      <c r="K986" s="46" t="n"/>
      <c r="L986" s="23">
        <f>IF(OR($A986="",$B986=""),"",IF($K986&lt;&gt;"",$K986-$B986,TODAY()-$B986))</f>
        <v/>
      </c>
      <c r="M986" s="27">
        <f>IF(OR($A986="",$J986=""),"",IF($K986="",IF(TODAY()&gt;$J986,"Atrasado","En ruta"),IF($K986&lt;=$J986,"Sí","No")))</f>
        <v/>
      </c>
      <c r="N986" s="23">
        <f>IF($A986="","",COUNTIFS(NOVEDADES!$C$4:$C$1503,$A986))</f>
        <v/>
      </c>
      <c r="O986" s="27">
        <f>IF($A986="","",IF(COUNTIFS(NOVEDADES!$C$4:$C$1503,$A986,NOVEDADES!$M$4:$M$1503,"SÍ")&gt;0,"No","Sí"))</f>
        <v/>
      </c>
      <c r="P986" s="27">
        <f>IF(OR($A986="",$K986=""),"",IF(AND($M986="Sí",$O986="Sí"),"OTIF","Falló"))</f>
        <v/>
      </c>
    </row>
    <row r="987" ht="16" customHeight="1">
      <c r="A987" s="47" t="n"/>
      <c r="B987" s="46" t="n"/>
      <c r="C987" s="49" t="n"/>
      <c r="D987" s="49" t="n"/>
      <c r="E987" s="49" t="n"/>
      <c r="F987" s="49" t="n"/>
      <c r="G987" s="47" t="n"/>
      <c r="H987" s="50" t="n"/>
      <c r="I987" s="51" t="n"/>
      <c r="J987" s="46" t="n"/>
      <c r="K987" s="46" t="n"/>
      <c r="L987" s="23">
        <f>IF(OR($A987="",$B987=""),"",IF($K987&lt;&gt;"",$K987-$B987,TODAY()-$B987))</f>
        <v/>
      </c>
      <c r="M987" s="27">
        <f>IF(OR($A987="",$J987=""),"",IF($K987="",IF(TODAY()&gt;$J987,"Atrasado","En ruta"),IF($K987&lt;=$J987,"Sí","No")))</f>
        <v/>
      </c>
      <c r="N987" s="23">
        <f>IF($A987="","",COUNTIFS(NOVEDADES!$C$4:$C$1503,$A987))</f>
        <v/>
      </c>
      <c r="O987" s="27">
        <f>IF($A987="","",IF(COUNTIFS(NOVEDADES!$C$4:$C$1503,$A987,NOVEDADES!$M$4:$M$1503,"SÍ")&gt;0,"No","Sí"))</f>
        <v/>
      </c>
      <c r="P987" s="27">
        <f>IF(OR($A987="",$K987=""),"",IF(AND($M987="Sí",$O987="Sí"),"OTIF","Falló"))</f>
        <v/>
      </c>
    </row>
    <row r="988" ht="16" customHeight="1">
      <c r="A988" s="47" t="n"/>
      <c r="B988" s="46" t="n"/>
      <c r="C988" s="49" t="n"/>
      <c r="D988" s="49" t="n"/>
      <c r="E988" s="49" t="n"/>
      <c r="F988" s="49" t="n"/>
      <c r="G988" s="47" t="n"/>
      <c r="H988" s="50" t="n"/>
      <c r="I988" s="51" t="n"/>
      <c r="J988" s="46" t="n"/>
      <c r="K988" s="46" t="n"/>
      <c r="L988" s="23">
        <f>IF(OR($A988="",$B988=""),"",IF($K988&lt;&gt;"",$K988-$B988,TODAY()-$B988))</f>
        <v/>
      </c>
      <c r="M988" s="27">
        <f>IF(OR($A988="",$J988=""),"",IF($K988="",IF(TODAY()&gt;$J988,"Atrasado","En ruta"),IF($K988&lt;=$J988,"Sí","No")))</f>
        <v/>
      </c>
      <c r="N988" s="23">
        <f>IF($A988="","",COUNTIFS(NOVEDADES!$C$4:$C$1503,$A988))</f>
        <v/>
      </c>
      <c r="O988" s="27">
        <f>IF($A988="","",IF(COUNTIFS(NOVEDADES!$C$4:$C$1503,$A988,NOVEDADES!$M$4:$M$1503,"SÍ")&gt;0,"No","Sí"))</f>
        <v/>
      </c>
      <c r="P988" s="27">
        <f>IF(OR($A988="",$K988=""),"",IF(AND($M988="Sí",$O988="Sí"),"OTIF","Falló"))</f>
        <v/>
      </c>
    </row>
    <row r="989" ht="16" customHeight="1">
      <c r="A989" s="47" t="n"/>
      <c r="B989" s="46" t="n"/>
      <c r="C989" s="49" t="n"/>
      <c r="D989" s="49" t="n"/>
      <c r="E989" s="49" t="n"/>
      <c r="F989" s="49" t="n"/>
      <c r="G989" s="47" t="n"/>
      <c r="H989" s="50" t="n"/>
      <c r="I989" s="51" t="n"/>
      <c r="J989" s="46" t="n"/>
      <c r="K989" s="46" t="n"/>
      <c r="L989" s="23">
        <f>IF(OR($A989="",$B989=""),"",IF($K989&lt;&gt;"",$K989-$B989,TODAY()-$B989))</f>
        <v/>
      </c>
      <c r="M989" s="27">
        <f>IF(OR($A989="",$J989=""),"",IF($K989="",IF(TODAY()&gt;$J989,"Atrasado","En ruta"),IF($K989&lt;=$J989,"Sí","No")))</f>
        <v/>
      </c>
      <c r="N989" s="23">
        <f>IF($A989="","",COUNTIFS(NOVEDADES!$C$4:$C$1503,$A989))</f>
        <v/>
      </c>
      <c r="O989" s="27">
        <f>IF($A989="","",IF(COUNTIFS(NOVEDADES!$C$4:$C$1503,$A989,NOVEDADES!$M$4:$M$1503,"SÍ")&gt;0,"No","Sí"))</f>
        <v/>
      </c>
      <c r="P989" s="27">
        <f>IF(OR($A989="",$K989=""),"",IF(AND($M989="Sí",$O989="Sí"),"OTIF","Falló"))</f>
        <v/>
      </c>
    </row>
    <row r="990" ht="16" customHeight="1">
      <c r="A990" s="47" t="n"/>
      <c r="B990" s="46" t="n"/>
      <c r="C990" s="49" t="n"/>
      <c r="D990" s="49" t="n"/>
      <c r="E990" s="49" t="n"/>
      <c r="F990" s="49" t="n"/>
      <c r="G990" s="47" t="n"/>
      <c r="H990" s="50" t="n"/>
      <c r="I990" s="51" t="n"/>
      <c r="J990" s="46" t="n"/>
      <c r="K990" s="46" t="n"/>
      <c r="L990" s="23">
        <f>IF(OR($A990="",$B990=""),"",IF($K990&lt;&gt;"",$K990-$B990,TODAY()-$B990))</f>
        <v/>
      </c>
      <c r="M990" s="27">
        <f>IF(OR($A990="",$J990=""),"",IF($K990="",IF(TODAY()&gt;$J990,"Atrasado","En ruta"),IF($K990&lt;=$J990,"Sí","No")))</f>
        <v/>
      </c>
      <c r="N990" s="23">
        <f>IF($A990="","",COUNTIFS(NOVEDADES!$C$4:$C$1503,$A990))</f>
        <v/>
      </c>
      <c r="O990" s="27">
        <f>IF($A990="","",IF(COUNTIFS(NOVEDADES!$C$4:$C$1503,$A990,NOVEDADES!$M$4:$M$1503,"SÍ")&gt;0,"No","Sí"))</f>
        <v/>
      </c>
      <c r="P990" s="27">
        <f>IF(OR($A990="",$K990=""),"",IF(AND($M990="Sí",$O990="Sí"),"OTIF","Falló"))</f>
        <v/>
      </c>
    </row>
    <row r="991" ht="16" customHeight="1">
      <c r="A991" s="47" t="n"/>
      <c r="B991" s="46" t="n"/>
      <c r="C991" s="49" t="n"/>
      <c r="D991" s="49" t="n"/>
      <c r="E991" s="49" t="n"/>
      <c r="F991" s="49" t="n"/>
      <c r="G991" s="47" t="n"/>
      <c r="H991" s="50" t="n"/>
      <c r="I991" s="51" t="n"/>
      <c r="J991" s="46" t="n"/>
      <c r="K991" s="46" t="n"/>
      <c r="L991" s="23">
        <f>IF(OR($A991="",$B991=""),"",IF($K991&lt;&gt;"",$K991-$B991,TODAY()-$B991))</f>
        <v/>
      </c>
      <c r="M991" s="27">
        <f>IF(OR($A991="",$J991=""),"",IF($K991="",IF(TODAY()&gt;$J991,"Atrasado","En ruta"),IF($K991&lt;=$J991,"Sí","No")))</f>
        <v/>
      </c>
      <c r="N991" s="23">
        <f>IF($A991="","",COUNTIFS(NOVEDADES!$C$4:$C$1503,$A991))</f>
        <v/>
      </c>
      <c r="O991" s="27">
        <f>IF($A991="","",IF(COUNTIFS(NOVEDADES!$C$4:$C$1503,$A991,NOVEDADES!$M$4:$M$1503,"SÍ")&gt;0,"No","Sí"))</f>
        <v/>
      </c>
      <c r="P991" s="27">
        <f>IF(OR($A991="",$K991=""),"",IF(AND($M991="Sí",$O991="Sí"),"OTIF","Falló"))</f>
        <v/>
      </c>
    </row>
    <row r="992" ht="16" customHeight="1">
      <c r="A992" s="47" t="n"/>
      <c r="B992" s="46" t="n"/>
      <c r="C992" s="49" t="n"/>
      <c r="D992" s="49" t="n"/>
      <c r="E992" s="49" t="n"/>
      <c r="F992" s="49" t="n"/>
      <c r="G992" s="47" t="n"/>
      <c r="H992" s="50" t="n"/>
      <c r="I992" s="51" t="n"/>
      <c r="J992" s="46" t="n"/>
      <c r="K992" s="46" t="n"/>
      <c r="L992" s="23">
        <f>IF(OR($A992="",$B992=""),"",IF($K992&lt;&gt;"",$K992-$B992,TODAY()-$B992))</f>
        <v/>
      </c>
      <c r="M992" s="27">
        <f>IF(OR($A992="",$J992=""),"",IF($K992="",IF(TODAY()&gt;$J992,"Atrasado","En ruta"),IF($K992&lt;=$J992,"Sí","No")))</f>
        <v/>
      </c>
      <c r="N992" s="23">
        <f>IF($A992="","",COUNTIFS(NOVEDADES!$C$4:$C$1503,$A992))</f>
        <v/>
      </c>
      <c r="O992" s="27">
        <f>IF($A992="","",IF(COUNTIFS(NOVEDADES!$C$4:$C$1503,$A992,NOVEDADES!$M$4:$M$1503,"SÍ")&gt;0,"No","Sí"))</f>
        <v/>
      </c>
      <c r="P992" s="27">
        <f>IF(OR($A992="",$K992=""),"",IF(AND($M992="Sí",$O992="Sí"),"OTIF","Falló"))</f>
        <v/>
      </c>
    </row>
    <row r="993" ht="16" customHeight="1">
      <c r="A993" s="47" t="n"/>
      <c r="B993" s="46" t="n"/>
      <c r="C993" s="49" t="n"/>
      <c r="D993" s="49" t="n"/>
      <c r="E993" s="49" t="n"/>
      <c r="F993" s="49" t="n"/>
      <c r="G993" s="47" t="n"/>
      <c r="H993" s="50" t="n"/>
      <c r="I993" s="51" t="n"/>
      <c r="J993" s="46" t="n"/>
      <c r="K993" s="46" t="n"/>
      <c r="L993" s="23">
        <f>IF(OR($A993="",$B993=""),"",IF($K993&lt;&gt;"",$K993-$B993,TODAY()-$B993))</f>
        <v/>
      </c>
      <c r="M993" s="27">
        <f>IF(OR($A993="",$J993=""),"",IF($K993="",IF(TODAY()&gt;$J993,"Atrasado","En ruta"),IF($K993&lt;=$J993,"Sí","No")))</f>
        <v/>
      </c>
      <c r="N993" s="23">
        <f>IF($A993="","",COUNTIFS(NOVEDADES!$C$4:$C$1503,$A993))</f>
        <v/>
      </c>
      <c r="O993" s="27">
        <f>IF($A993="","",IF(COUNTIFS(NOVEDADES!$C$4:$C$1503,$A993,NOVEDADES!$M$4:$M$1503,"SÍ")&gt;0,"No","Sí"))</f>
        <v/>
      </c>
      <c r="P993" s="27">
        <f>IF(OR($A993="",$K993=""),"",IF(AND($M993="Sí",$O993="Sí"),"OTIF","Falló"))</f>
        <v/>
      </c>
    </row>
    <row r="994" ht="16" customHeight="1">
      <c r="A994" s="47" t="n"/>
      <c r="B994" s="46" t="n"/>
      <c r="C994" s="49" t="n"/>
      <c r="D994" s="49" t="n"/>
      <c r="E994" s="49" t="n"/>
      <c r="F994" s="49" t="n"/>
      <c r="G994" s="47" t="n"/>
      <c r="H994" s="50" t="n"/>
      <c r="I994" s="51" t="n"/>
      <c r="J994" s="46" t="n"/>
      <c r="K994" s="46" t="n"/>
      <c r="L994" s="23">
        <f>IF(OR($A994="",$B994=""),"",IF($K994&lt;&gt;"",$K994-$B994,TODAY()-$B994))</f>
        <v/>
      </c>
      <c r="M994" s="27">
        <f>IF(OR($A994="",$J994=""),"",IF($K994="",IF(TODAY()&gt;$J994,"Atrasado","En ruta"),IF($K994&lt;=$J994,"Sí","No")))</f>
        <v/>
      </c>
      <c r="N994" s="23">
        <f>IF($A994="","",COUNTIFS(NOVEDADES!$C$4:$C$1503,$A994))</f>
        <v/>
      </c>
      <c r="O994" s="27">
        <f>IF($A994="","",IF(COUNTIFS(NOVEDADES!$C$4:$C$1503,$A994,NOVEDADES!$M$4:$M$1503,"SÍ")&gt;0,"No","Sí"))</f>
        <v/>
      </c>
      <c r="P994" s="27">
        <f>IF(OR($A994="",$K994=""),"",IF(AND($M994="Sí",$O994="Sí"),"OTIF","Falló"))</f>
        <v/>
      </c>
    </row>
    <row r="995" ht="16" customHeight="1">
      <c r="A995" s="47" t="n"/>
      <c r="B995" s="46" t="n"/>
      <c r="C995" s="49" t="n"/>
      <c r="D995" s="49" t="n"/>
      <c r="E995" s="49" t="n"/>
      <c r="F995" s="49" t="n"/>
      <c r="G995" s="47" t="n"/>
      <c r="H995" s="50" t="n"/>
      <c r="I995" s="51" t="n"/>
      <c r="J995" s="46" t="n"/>
      <c r="K995" s="46" t="n"/>
      <c r="L995" s="23">
        <f>IF(OR($A995="",$B995=""),"",IF($K995&lt;&gt;"",$K995-$B995,TODAY()-$B995))</f>
        <v/>
      </c>
      <c r="M995" s="27">
        <f>IF(OR($A995="",$J995=""),"",IF($K995="",IF(TODAY()&gt;$J995,"Atrasado","En ruta"),IF($K995&lt;=$J995,"Sí","No")))</f>
        <v/>
      </c>
      <c r="N995" s="23">
        <f>IF($A995="","",COUNTIFS(NOVEDADES!$C$4:$C$1503,$A995))</f>
        <v/>
      </c>
      <c r="O995" s="27">
        <f>IF($A995="","",IF(COUNTIFS(NOVEDADES!$C$4:$C$1503,$A995,NOVEDADES!$M$4:$M$1503,"SÍ")&gt;0,"No","Sí"))</f>
        <v/>
      </c>
      <c r="P995" s="27">
        <f>IF(OR($A995="",$K995=""),"",IF(AND($M995="Sí",$O995="Sí"),"OTIF","Falló"))</f>
        <v/>
      </c>
    </row>
    <row r="996" ht="16" customHeight="1">
      <c r="A996" s="47" t="n"/>
      <c r="B996" s="46" t="n"/>
      <c r="C996" s="49" t="n"/>
      <c r="D996" s="49" t="n"/>
      <c r="E996" s="49" t="n"/>
      <c r="F996" s="49" t="n"/>
      <c r="G996" s="47" t="n"/>
      <c r="H996" s="50" t="n"/>
      <c r="I996" s="51" t="n"/>
      <c r="J996" s="46" t="n"/>
      <c r="K996" s="46" t="n"/>
      <c r="L996" s="23">
        <f>IF(OR($A996="",$B996=""),"",IF($K996&lt;&gt;"",$K996-$B996,TODAY()-$B996))</f>
        <v/>
      </c>
      <c r="M996" s="27">
        <f>IF(OR($A996="",$J996=""),"",IF($K996="",IF(TODAY()&gt;$J996,"Atrasado","En ruta"),IF($K996&lt;=$J996,"Sí","No")))</f>
        <v/>
      </c>
      <c r="N996" s="23">
        <f>IF($A996="","",COUNTIFS(NOVEDADES!$C$4:$C$1503,$A996))</f>
        <v/>
      </c>
      <c r="O996" s="27">
        <f>IF($A996="","",IF(COUNTIFS(NOVEDADES!$C$4:$C$1503,$A996,NOVEDADES!$M$4:$M$1503,"SÍ")&gt;0,"No","Sí"))</f>
        <v/>
      </c>
      <c r="P996" s="27">
        <f>IF(OR($A996="",$K996=""),"",IF(AND($M996="Sí",$O996="Sí"),"OTIF","Falló"))</f>
        <v/>
      </c>
    </row>
    <row r="997" ht="16" customHeight="1">
      <c r="A997" s="47" t="n"/>
      <c r="B997" s="46" t="n"/>
      <c r="C997" s="49" t="n"/>
      <c r="D997" s="49" t="n"/>
      <c r="E997" s="49" t="n"/>
      <c r="F997" s="49" t="n"/>
      <c r="G997" s="47" t="n"/>
      <c r="H997" s="50" t="n"/>
      <c r="I997" s="51" t="n"/>
      <c r="J997" s="46" t="n"/>
      <c r="K997" s="46" t="n"/>
      <c r="L997" s="23">
        <f>IF(OR($A997="",$B997=""),"",IF($K997&lt;&gt;"",$K997-$B997,TODAY()-$B997))</f>
        <v/>
      </c>
      <c r="M997" s="27">
        <f>IF(OR($A997="",$J997=""),"",IF($K997="",IF(TODAY()&gt;$J997,"Atrasado","En ruta"),IF($K997&lt;=$J997,"Sí","No")))</f>
        <v/>
      </c>
      <c r="N997" s="23">
        <f>IF($A997="","",COUNTIFS(NOVEDADES!$C$4:$C$1503,$A997))</f>
        <v/>
      </c>
      <c r="O997" s="27">
        <f>IF($A997="","",IF(COUNTIFS(NOVEDADES!$C$4:$C$1503,$A997,NOVEDADES!$M$4:$M$1503,"SÍ")&gt;0,"No","Sí"))</f>
        <v/>
      </c>
      <c r="P997" s="27">
        <f>IF(OR($A997="",$K997=""),"",IF(AND($M997="Sí",$O997="Sí"),"OTIF","Falló"))</f>
        <v/>
      </c>
    </row>
    <row r="998" ht="16" customHeight="1">
      <c r="A998" s="47" t="n"/>
      <c r="B998" s="46" t="n"/>
      <c r="C998" s="49" t="n"/>
      <c r="D998" s="49" t="n"/>
      <c r="E998" s="49" t="n"/>
      <c r="F998" s="49" t="n"/>
      <c r="G998" s="47" t="n"/>
      <c r="H998" s="50" t="n"/>
      <c r="I998" s="51" t="n"/>
      <c r="J998" s="46" t="n"/>
      <c r="K998" s="46" t="n"/>
      <c r="L998" s="23">
        <f>IF(OR($A998="",$B998=""),"",IF($K998&lt;&gt;"",$K998-$B998,TODAY()-$B998))</f>
        <v/>
      </c>
      <c r="M998" s="27">
        <f>IF(OR($A998="",$J998=""),"",IF($K998="",IF(TODAY()&gt;$J998,"Atrasado","En ruta"),IF($K998&lt;=$J998,"Sí","No")))</f>
        <v/>
      </c>
      <c r="N998" s="23">
        <f>IF($A998="","",COUNTIFS(NOVEDADES!$C$4:$C$1503,$A998))</f>
        <v/>
      </c>
      <c r="O998" s="27">
        <f>IF($A998="","",IF(COUNTIFS(NOVEDADES!$C$4:$C$1503,$A998,NOVEDADES!$M$4:$M$1503,"SÍ")&gt;0,"No","Sí"))</f>
        <v/>
      </c>
      <c r="P998" s="27">
        <f>IF(OR($A998="",$K998=""),"",IF(AND($M998="Sí",$O998="Sí"),"OTIF","Falló"))</f>
        <v/>
      </c>
    </row>
    <row r="999" ht="16" customHeight="1">
      <c r="A999" s="47" t="n"/>
      <c r="B999" s="46" t="n"/>
      <c r="C999" s="49" t="n"/>
      <c r="D999" s="49" t="n"/>
      <c r="E999" s="49" t="n"/>
      <c r="F999" s="49" t="n"/>
      <c r="G999" s="47" t="n"/>
      <c r="H999" s="50" t="n"/>
      <c r="I999" s="51" t="n"/>
      <c r="J999" s="46" t="n"/>
      <c r="K999" s="46" t="n"/>
      <c r="L999" s="23">
        <f>IF(OR($A999="",$B999=""),"",IF($K999&lt;&gt;"",$K999-$B999,TODAY()-$B999))</f>
        <v/>
      </c>
      <c r="M999" s="27">
        <f>IF(OR($A999="",$J999=""),"",IF($K999="",IF(TODAY()&gt;$J999,"Atrasado","En ruta"),IF($K999&lt;=$J999,"Sí","No")))</f>
        <v/>
      </c>
      <c r="N999" s="23">
        <f>IF($A999="","",COUNTIFS(NOVEDADES!$C$4:$C$1503,$A999))</f>
        <v/>
      </c>
      <c r="O999" s="27">
        <f>IF($A999="","",IF(COUNTIFS(NOVEDADES!$C$4:$C$1503,$A999,NOVEDADES!$M$4:$M$1503,"SÍ")&gt;0,"No","Sí"))</f>
        <v/>
      </c>
      <c r="P999" s="27">
        <f>IF(OR($A999="",$K999=""),"",IF(AND($M999="Sí",$O999="Sí"),"OTIF","Falló"))</f>
        <v/>
      </c>
    </row>
    <row r="1000" ht="16" customHeight="1">
      <c r="A1000" s="47" t="n"/>
      <c r="B1000" s="46" t="n"/>
      <c r="C1000" s="49" t="n"/>
      <c r="D1000" s="49" t="n"/>
      <c r="E1000" s="49" t="n"/>
      <c r="F1000" s="49" t="n"/>
      <c r="G1000" s="47" t="n"/>
      <c r="H1000" s="50" t="n"/>
      <c r="I1000" s="51" t="n"/>
      <c r="J1000" s="46" t="n"/>
      <c r="K1000" s="46" t="n"/>
      <c r="L1000" s="23">
        <f>IF(OR($A1000="",$B1000=""),"",IF($K1000&lt;&gt;"",$K1000-$B1000,TODAY()-$B1000))</f>
        <v/>
      </c>
      <c r="M1000" s="27">
        <f>IF(OR($A1000="",$J1000=""),"",IF($K1000="",IF(TODAY()&gt;$J1000,"Atrasado","En ruta"),IF($K1000&lt;=$J1000,"Sí","No")))</f>
        <v/>
      </c>
      <c r="N1000" s="23">
        <f>IF($A1000="","",COUNTIFS(NOVEDADES!$C$4:$C$1503,$A1000))</f>
        <v/>
      </c>
      <c r="O1000" s="27">
        <f>IF($A1000="","",IF(COUNTIFS(NOVEDADES!$C$4:$C$1503,$A1000,NOVEDADES!$M$4:$M$1503,"SÍ")&gt;0,"No","Sí"))</f>
        <v/>
      </c>
      <c r="P1000" s="27">
        <f>IF(OR($A1000="",$K1000=""),"",IF(AND($M1000="Sí",$O1000="Sí"),"OTIF","Falló"))</f>
        <v/>
      </c>
    </row>
    <row r="1001" ht="16" customHeight="1">
      <c r="A1001" s="47" t="n"/>
      <c r="B1001" s="46" t="n"/>
      <c r="C1001" s="49" t="n"/>
      <c r="D1001" s="49" t="n"/>
      <c r="E1001" s="49" t="n"/>
      <c r="F1001" s="49" t="n"/>
      <c r="G1001" s="47" t="n"/>
      <c r="H1001" s="50" t="n"/>
      <c r="I1001" s="51" t="n"/>
      <c r="J1001" s="46" t="n"/>
      <c r="K1001" s="46" t="n"/>
      <c r="L1001" s="23">
        <f>IF(OR($A1001="",$B1001=""),"",IF($K1001&lt;&gt;"",$K1001-$B1001,TODAY()-$B1001))</f>
        <v/>
      </c>
      <c r="M1001" s="27">
        <f>IF(OR($A1001="",$J1001=""),"",IF($K1001="",IF(TODAY()&gt;$J1001,"Atrasado","En ruta"),IF($K1001&lt;=$J1001,"Sí","No")))</f>
        <v/>
      </c>
      <c r="N1001" s="23">
        <f>IF($A1001="","",COUNTIFS(NOVEDADES!$C$4:$C$1503,$A1001))</f>
        <v/>
      </c>
      <c r="O1001" s="27">
        <f>IF($A1001="","",IF(COUNTIFS(NOVEDADES!$C$4:$C$1503,$A1001,NOVEDADES!$M$4:$M$1503,"SÍ")&gt;0,"No","Sí"))</f>
        <v/>
      </c>
      <c r="P1001" s="27">
        <f>IF(OR($A1001="",$K1001=""),"",IF(AND($M1001="Sí",$O1001="Sí"),"OTIF","Falló"))</f>
        <v/>
      </c>
    </row>
    <row r="1002" ht="16" customHeight="1">
      <c r="A1002" s="47" t="n"/>
      <c r="B1002" s="46" t="n"/>
      <c r="C1002" s="49" t="n"/>
      <c r="D1002" s="49" t="n"/>
      <c r="E1002" s="49" t="n"/>
      <c r="F1002" s="49" t="n"/>
      <c r="G1002" s="47" t="n"/>
      <c r="H1002" s="50" t="n"/>
      <c r="I1002" s="51" t="n"/>
      <c r="J1002" s="46" t="n"/>
      <c r="K1002" s="46" t="n"/>
      <c r="L1002" s="23">
        <f>IF(OR($A1002="",$B1002=""),"",IF($K1002&lt;&gt;"",$K1002-$B1002,TODAY()-$B1002))</f>
        <v/>
      </c>
      <c r="M1002" s="27">
        <f>IF(OR($A1002="",$J1002=""),"",IF($K1002="",IF(TODAY()&gt;$J1002,"Atrasado","En ruta"),IF($K1002&lt;=$J1002,"Sí","No")))</f>
        <v/>
      </c>
      <c r="N1002" s="23">
        <f>IF($A1002="","",COUNTIFS(NOVEDADES!$C$4:$C$1503,$A1002))</f>
        <v/>
      </c>
      <c r="O1002" s="27">
        <f>IF($A1002="","",IF(COUNTIFS(NOVEDADES!$C$4:$C$1503,$A1002,NOVEDADES!$M$4:$M$1503,"SÍ")&gt;0,"No","Sí"))</f>
        <v/>
      </c>
      <c r="P1002" s="27">
        <f>IF(OR($A1002="",$K1002=""),"",IF(AND($M1002="Sí",$O1002="Sí"),"OTIF","Falló"))</f>
        <v/>
      </c>
    </row>
    <row r="1003" ht="16" customHeight="1">
      <c r="A1003" s="47" t="n"/>
      <c r="B1003" s="46" t="n"/>
      <c r="C1003" s="49" t="n"/>
      <c r="D1003" s="49" t="n"/>
      <c r="E1003" s="49" t="n"/>
      <c r="F1003" s="49" t="n"/>
      <c r="G1003" s="47" t="n"/>
      <c r="H1003" s="50" t="n"/>
      <c r="I1003" s="51" t="n"/>
      <c r="J1003" s="46" t="n"/>
      <c r="K1003" s="46" t="n"/>
      <c r="L1003" s="23">
        <f>IF(OR($A1003="",$B1003=""),"",IF($K1003&lt;&gt;"",$K1003-$B1003,TODAY()-$B1003))</f>
        <v/>
      </c>
      <c r="M1003" s="27">
        <f>IF(OR($A1003="",$J1003=""),"",IF($K1003="",IF(TODAY()&gt;$J1003,"Atrasado","En ruta"),IF($K1003&lt;=$J1003,"Sí","No")))</f>
        <v/>
      </c>
      <c r="N1003" s="23">
        <f>IF($A1003="","",COUNTIFS(NOVEDADES!$C$4:$C$1503,$A1003))</f>
        <v/>
      </c>
      <c r="O1003" s="27">
        <f>IF($A1003="","",IF(COUNTIFS(NOVEDADES!$C$4:$C$1503,$A1003,NOVEDADES!$M$4:$M$1503,"SÍ")&gt;0,"No","Sí"))</f>
        <v/>
      </c>
      <c r="P1003" s="27">
        <f>IF(OR($A1003="",$K1003=""),"",IF(AND($M1003="Sí",$O1003="Sí"),"OTIF","Falló"))</f>
        <v/>
      </c>
    </row>
    <row r="1004" ht="16" customHeight="1">
      <c r="A1004" s="47" t="n"/>
      <c r="B1004" s="46" t="n"/>
      <c r="C1004" s="49" t="n"/>
      <c r="D1004" s="49" t="n"/>
      <c r="E1004" s="49" t="n"/>
      <c r="F1004" s="49" t="n"/>
      <c r="G1004" s="47" t="n"/>
      <c r="H1004" s="50" t="n"/>
      <c r="I1004" s="51" t="n"/>
      <c r="J1004" s="46" t="n"/>
      <c r="K1004" s="46" t="n"/>
      <c r="L1004" s="23">
        <f>IF(OR($A1004="",$B1004=""),"",IF($K1004&lt;&gt;"",$K1004-$B1004,TODAY()-$B1004))</f>
        <v/>
      </c>
      <c r="M1004" s="27">
        <f>IF(OR($A1004="",$J1004=""),"",IF($K1004="",IF(TODAY()&gt;$J1004,"Atrasado","En ruta"),IF($K1004&lt;=$J1004,"Sí","No")))</f>
        <v/>
      </c>
      <c r="N1004" s="23">
        <f>IF($A1004="","",COUNTIFS(NOVEDADES!$C$4:$C$1503,$A1004))</f>
        <v/>
      </c>
      <c r="O1004" s="27">
        <f>IF($A1004="","",IF(COUNTIFS(NOVEDADES!$C$4:$C$1503,$A1004,NOVEDADES!$M$4:$M$1503,"SÍ")&gt;0,"No","Sí"))</f>
        <v/>
      </c>
      <c r="P1004" s="27">
        <f>IF(OR($A1004="",$K1004=""),"",IF(AND($M1004="Sí",$O1004="Sí"),"OTIF","Falló"))</f>
        <v/>
      </c>
    </row>
    <row r="1005" ht="16" customHeight="1">
      <c r="A1005" s="47" t="n"/>
      <c r="B1005" s="46" t="n"/>
      <c r="C1005" s="49" t="n"/>
      <c r="D1005" s="49" t="n"/>
      <c r="E1005" s="49" t="n"/>
      <c r="F1005" s="49" t="n"/>
      <c r="G1005" s="47" t="n"/>
      <c r="H1005" s="50" t="n"/>
      <c r="I1005" s="51" t="n"/>
      <c r="J1005" s="46" t="n"/>
      <c r="K1005" s="46" t="n"/>
      <c r="L1005" s="23">
        <f>IF(OR($A1005="",$B1005=""),"",IF($K1005&lt;&gt;"",$K1005-$B1005,TODAY()-$B1005))</f>
        <v/>
      </c>
      <c r="M1005" s="27">
        <f>IF(OR($A1005="",$J1005=""),"",IF($K1005="",IF(TODAY()&gt;$J1005,"Atrasado","En ruta"),IF($K1005&lt;=$J1005,"Sí","No")))</f>
        <v/>
      </c>
      <c r="N1005" s="23">
        <f>IF($A1005="","",COUNTIFS(NOVEDADES!$C$4:$C$1503,$A1005))</f>
        <v/>
      </c>
      <c r="O1005" s="27">
        <f>IF($A1005="","",IF(COUNTIFS(NOVEDADES!$C$4:$C$1503,$A1005,NOVEDADES!$M$4:$M$1503,"SÍ")&gt;0,"No","Sí"))</f>
        <v/>
      </c>
      <c r="P1005" s="27">
        <f>IF(OR($A1005="",$K1005=""),"",IF(AND($M1005="Sí",$O1005="Sí"),"OTIF","Falló"))</f>
        <v/>
      </c>
    </row>
    <row r="1006" ht="16" customHeight="1">
      <c r="A1006" s="47" t="n"/>
      <c r="B1006" s="46" t="n"/>
      <c r="C1006" s="49" t="n"/>
      <c r="D1006" s="49" t="n"/>
      <c r="E1006" s="49" t="n"/>
      <c r="F1006" s="49" t="n"/>
      <c r="G1006" s="47" t="n"/>
      <c r="H1006" s="50" t="n"/>
      <c r="I1006" s="51" t="n"/>
      <c r="J1006" s="46" t="n"/>
      <c r="K1006" s="46" t="n"/>
      <c r="L1006" s="23">
        <f>IF(OR($A1006="",$B1006=""),"",IF($K1006&lt;&gt;"",$K1006-$B1006,TODAY()-$B1006))</f>
        <v/>
      </c>
      <c r="M1006" s="27">
        <f>IF(OR($A1006="",$J1006=""),"",IF($K1006="",IF(TODAY()&gt;$J1006,"Atrasado","En ruta"),IF($K1006&lt;=$J1006,"Sí","No")))</f>
        <v/>
      </c>
      <c r="N1006" s="23">
        <f>IF($A1006="","",COUNTIFS(NOVEDADES!$C$4:$C$1503,$A1006))</f>
        <v/>
      </c>
      <c r="O1006" s="27">
        <f>IF($A1006="","",IF(COUNTIFS(NOVEDADES!$C$4:$C$1503,$A1006,NOVEDADES!$M$4:$M$1503,"SÍ")&gt;0,"No","Sí"))</f>
        <v/>
      </c>
      <c r="P1006" s="27">
        <f>IF(OR($A1006="",$K1006=""),"",IF(AND($M1006="Sí",$O1006="Sí"),"OTIF","Falló"))</f>
        <v/>
      </c>
    </row>
    <row r="1007" ht="16" customHeight="1">
      <c r="A1007" s="47" t="n"/>
      <c r="B1007" s="46" t="n"/>
      <c r="C1007" s="49" t="n"/>
      <c r="D1007" s="49" t="n"/>
      <c r="E1007" s="49" t="n"/>
      <c r="F1007" s="49" t="n"/>
      <c r="G1007" s="47" t="n"/>
      <c r="H1007" s="50" t="n"/>
      <c r="I1007" s="51" t="n"/>
      <c r="J1007" s="46" t="n"/>
      <c r="K1007" s="46" t="n"/>
      <c r="L1007" s="23">
        <f>IF(OR($A1007="",$B1007=""),"",IF($K1007&lt;&gt;"",$K1007-$B1007,TODAY()-$B1007))</f>
        <v/>
      </c>
      <c r="M1007" s="27">
        <f>IF(OR($A1007="",$J1007=""),"",IF($K1007="",IF(TODAY()&gt;$J1007,"Atrasado","En ruta"),IF($K1007&lt;=$J1007,"Sí","No")))</f>
        <v/>
      </c>
      <c r="N1007" s="23">
        <f>IF($A1007="","",COUNTIFS(NOVEDADES!$C$4:$C$1503,$A1007))</f>
        <v/>
      </c>
      <c r="O1007" s="27">
        <f>IF($A1007="","",IF(COUNTIFS(NOVEDADES!$C$4:$C$1503,$A1007,NOVEDADES!$M$4:$M$1503,"SÍ")&gt;0,"No","Sí"))</f>
        <v/>
      </c>
      <c r="P1007" s="27">
        <f>IF(OR($A1007="",$K1007=""),"",IF(AND($M1007="Sí",$O1007="Sí"),"OTIF","Falló"))</f>
        <v/>
      </c>
    </row>
    <row r="1008" ht="16" customHeight="1">
      <c r="A1008" s="47" t="n"/>
      <c r="B1008" s="46" t="n"/>
      <c r="C1008" s="49" t="n"/>
      <c r="D1008" s="49" t="n"/>
      <c r="E1008" s="49" t="n"/>
      <c r="F1008" s="49" t="n"/>
      <c r="G1008" s="47" t="n"/>
      <c r="H1008" s="50" t="n"/>
      <c r="I1008" s="51" t="n"/>
      <c r="J1008" s="46" t="n"/>
      <c r="K1008" s="46" t="n"/>
      <c r="L1008" s="23">
        <f>IF(OR($A1008="",$B1008=""),"",IF($K1008&lt;&gt;"",$K1008-$B1008,TODAY()-$B1008))</f>
        <v/>
      </c>
      <c r="M1008" s="27">
        <f>IF(OR($A1008="",$J1008=""),"",IF($K1008="",IF(TODAY()&gt;$J1008,"Atrasado","En ruta"),IF($K1008&lt;=$J1008,"Sí","No")))</f>
        <v/>
      </c>
      <c r="N1008" s="23">
        <f>IF($A1008="","",COUNTIFS(NOVEDADES!$C$4:$C$1503,$A1008))</f>
        <v/>
      </c>
      <c r="O1008" s="27">
        <f>IF($A1008="","",IF(COUNTIFS(NOVEDADES!$C$4:$C$1503,$A1008,NOVEDADES!$M$4:$M$1503,"SÍ")&gt;0,"No","Sí"))</f>
        <v/>
      </c>
      <c r="P1008" s="27">
        <f>IF(OR($A1008="",$K1008=""),"",IF(AND($M1008="Sí",$O1008="Sí"),"OTIF","Falló"))</f>
        <v/>
      </c>
    </row>
    <row r="1009" ht="16" customHeight="1">
      <c r="A1009" s="47" t="n"/>
      <c r="B1009" s="46" t="n"/>
      <c r="C1009" s="49" t="n"/>
      <c r="D1009" s="49" t="n"/>
      <c r="E1009" s="49" t="n"/>
      <c r="F1009" s="49" t="n"/>
      <c r="G1009" s="47" t="n"/>
      <c r="H1009" s="50" t="n"/>
      <c r="I1009" s="51" t="n"/>
      <c r="J1009" s="46" t="n"/>
      <c r="K1009" s="46" t="n"/>
      <c r="L1009" s="23">
        <f>IF(OR($A1009="",$B1009=""),"",IF($K1009&lt;&gt;"",$K1009-$B1009,TODAY()-$B1009))</f>
        <v/>
      </c>
      <c r="M1009" s="27">
        <f>IF(OR($A1009="",$J1009=""),"",IF($K1009="",IF(TODAY()&gt;$J1009,"Atrasado","En ruta"),IF($K1009&lt;=$J1009,"Sí","No")))</f>
        <v/>
      </c>
      <c r="N1009" s="23">
        <f>IF($A1009="","",COUNTIFS(NOVEDADES!$C$4:$C$1503,$A1009))</f>
        <v/>
      </c>
      <c r="O1009" s="27">
        <f>IF($A1009="","",IF(COUNTIFS(NOVEDADES!$C$4:$C$1503,$A1009,NOVEDADES!$M$4:$M$1503,"SÍ")&gt;0,"No","Sí"))</f>
        <v/>
      </c>
      <c r="P1009" s="27">
        <f>IF(OR($A1009="",$K1009=""),"",IF(AND($M1009="Sí",$O1009="Sí"),"OTIF","Falló"))</f>
        <v/>
      </c>
    </row>
    <row r="1010" ht="16" customHeight="1">
      <c r="A1010" s="47" t="n"/>
      <c r="B1010" s="46" t="n"/>
      <c r="C1010" s="49" t="n"/>
      <c r="D1010" s="49" t="n"/>
      <c r="E1010" s="49" t="n"/>
      <c r="F1010" s="49" t="n"/>
      <c r="G1010" s="47" t="n"/>
      <c r="H1010" s="50" t="n"/>
      <c r="I1010" s="51" t="n"/>
      <c r="J1010" s="46" t="n"/>
      <c r="K1010" s="46" t="n"/>
      <c r="L1010" s="23">
        <f>IF(OR($A1010="",$B1010=""),"",IF($K1010&lt;&gt;"",$K1010-$B1010,TODAY()-$B1010))</f>
        <v/>
      </c>
      <c r="M1010" s="27">
        <f>IF(OR($A1010="",$J1010=""),"",IF($K1010="",IF(TODAY()&gt;$J1010,"Atrasado","En ruta"),IF($K1010&lt;=$J1010,"Sí","No")))</f>
        <v/>
      </c>
      <c r="N1010" s="23">
        <f>IF($A1010="","",COUNTIFS(NOVEDADES!$C$4:$C$1503,$A1010))</f>
        <v/>
      </c>
      <c r="O1010" s="27">
        <f>IF($A1010="","",IF(COUNTIFS(NOVEDADES!$C$4:$C$1503,$A1010,NOVEDADES!$M$4:$M$1503,"SÍ")&gt;0,"No","Sí"))</f>
        <v/>
      </c>
      <c r="P1010" s="27">
        <f>IF(OR($A1010="",$K1010=""),"",IF(AND($M1010="Sí",$O1010="Sí"),"OTIF","Falló"))</f>
        <v/>
      </c>
    </row>
    <row r="1011" ht="16" customHeight="1">
      <c r="A1011" s="47" t="n"/>
      <c r="B1011" s="46" t="n"/>
      <c r="C1011" s="49" t="n"/>
      <c r="D1011" s="49" t="n"/>
      <c r="E1011" s="49" t="n"/>
      <c r="F1011" s="49" t="n"/>
      <c r="G1011" s="47" t="n"/>
      <c r="H1011" s="50" t="n"/>
      <c r="I1011" s="51" t="n"/>
      <c r="J1011" s="46" t="n"/>
      <c r="K1011" s="46" t="n"/>
      <c r="L1011" s="23">
        <f>IF(OR($A1011="",$B1011=""),"",IF($K1011&lt;&gt;"",$K1011-$B1011,TODAY()-$B1011))</f>
        <v/>
      </c>
      <c r="M1011" s="27">
        <f>IF(OR($A1011="",$J1011=""),"",IF($K1011="",IF(TODAY()&gt;$J1011,"Atrasado","En ruta"),IF($K1011&lt;=$J1011,"Sí","No")))</f>
        <v/>
      </c>
      <c r="N1011" s="23">
        <f>IF($A1011="","",COUNTIFS(NOVEDADES!$C$4:$C$1503,$A1011))</f>
        <v/>
      </c>
      <c r="O1011" s="27">
        <f>IF($A1011="","",IF(COUNTIFS(NOVEDADES!$C$4:$C$1503,$A1011,NOVEDADES!$M$4:$M$1503,"SÍ")&gt;0,"No","Sí"))</f>
        <v/>
      </c>
      <c r="P1011" s="27">
        <f>IF(OR($A1011="",$K1011=""),"",IF(AND($M1011="Sí",$O1011="Sí"),"OTIF","Falló"))</f>
        <v/>
      </c>
    </row>
    <row r="1012" ht="16" customHeight="1">
      <c r="A1012" s="47" t="n"/>
      <c r="B1012" s="46" t="n"/>
      <c r="C1012" s="49" t="n"/>
      <c r="D1012" s="49" t="n"/>
      <c r="E1012" s="49" t="n"/>
      <c r="F1012" s="49" t="n"/>
      <c r="G1012" s="47" t="n"/>
      <c r="H1012" s="50" t="n"/>
      <c r="I1012" s="51" t="n"/>
      <c r="J1012" s="46" t="n"/>
      <c r="K1012" s="46" t="n"/>
      <c r="L1012" s="23">
        <f>IF(OR($A1012="",$B1012=""),"",IF($K1012&lt;&gt;"",$K1012-$B1012,TODAY()-$B1012))</f>
        <v/>
      </c>
      <c r="M1012" s="27">
        <f>IF(OR($A1012="",$J1012=""),"",IF($K1012="",IF(TODAY()&gt;$J1012,"Atrasado","En ruta"),IF($K1012&lt;=$J1012,"Sí","No")))</f>
        <v/>
      </c>
      <c r="N1012" s="23">
        <f>IF($A1012="","",COUNTIFS(NOVEDADES!$C$4:$C$1503,$A1012))</f>
        <v/>
      </c>
      <c r="O1012" s="27">
        <f>IF($A1012="","",IF(COUNTIFS(NOVEDADES!$C$4:$C$1503,$A1012,NOVEDADES!$M$4:$M$1503,"SÍ")&gt;0,"No","Sí"))</f>
        <v/>
      </c>
      <c r="P1012" s="27">
        <f>IF(OR($A1012="",$K1012=""),"",IF(AND($M1012="Sí",$O1012="Sí"),"OTIF","Falló"))</f>
        <v/>
      </c>
    </row>
    <row r="1013" ht="16" customHeight="1">
      <c r="A1013" s="47" t="n"/>
      <c r="B1013" s="46" t="n"/>
      <c r="C1013" s="49" t="n"/>
      <c r="D1013" s="49" t="n"/>
      <c r="E1013" s="49" t="n"/>
      <c r="F1013" s="49" t="n"/>
      <c r="G1013" s="47" t="n"/>
      <c r="H1013" s="50" t="n"/>
      <c r="I1013" s="51" t="n"/>
      <c r="J1013" s="46" t="n"/>
      <c r="K1013" s="46" t="n"/>
      <c r="L1013" s="23">
        <f>IF(OR($A1013="",$B1013=""),"",IF($K1013&lt;&gt;"",$K1013-$B1013,TODAY()-$B1013))</f>
        <v/>
      </c>
      <c r="M1013" s="27">
        <f>IF(OR($A1013="",$J1013=""),"",IF($K1013="",IF(TODAY()&gt;$J1013,"Atrasado","En ruta"),IF($K1013&lt;=$J1013,"Sí","No")))</f>
        <v/>
      </c>
      <c r="N1013" s="23">
        <f>IF($A1013="","",COUNTIFS(NOVEDADES!$C$4:$C$1503,$A1013))</f>
        <v/>
      </c>
      <c r="O1013" s="27">
        <f>IF($A1013="","",IF(COUNTIFS(NOVEDADES!$C$4:$C$1503,$A1013,NOVEDADES!$M$4:$M$1503,"SÍ")&gt;0,"No","Sí"))</f>
        <v/>
      </c>
      <c r="P1013" s="27">
        <f>IF(OR($A1013="",$K1013=""),"",IF(AND($M1013="Sí",$O1013="Sí"),"OTIF","Falló"))</f>
        <v/>
      </c>
    </row>
    <row r="1014" ht="16" customHeight="1">
      <c r="A1014" s="47" t="n"/>
      <c r="B1014" s="46" t="n"/>
      <c r="C1014" s="49" t="n"/>
      <c r="D1014" s="49" t="n"/>
      <c r="E1014" s="49" t="n"/>
      <c r="F1014" s="49" t="n"/>
      <c r="G1014" s="47" t="n"/>
      <c r="H1014" s="50" t="n"/>
      <c r="I1014" s="51" t="n"/>
      <c r="J1014" s="46" t="n"/>
      <c r="K1014" s="46" t="n"/>
      <c r="L1014" s="23">
        <f>IF(OR($A1014="",$B1014=""),"",IF($K1014&lt;&gt;"",$K1014-$B1014,TODAY()-$B1014))</f>
        <v/>
      </c>
      <c r="M1014" s="27">
        <f>IF(OR($A1014="",$J1014=""),"",IF($K1014="",IF(TODAY()&gt;$J1014,"Atrasado","En ruta"),IF($K1014&lt;=$J1014,"Sí","No")))</f>
        <v/>
      </c>
      <c r="N1014" s="23">
        <f>IF($A1014="","",COUNTIFS(NOVEDADES!$C$4:$C$1503,$A1014))</f>
        <v/>
      </c>
      <c r="O1014" s="27">
        <f>IF($A1014="","",IF(COUNTIFS(NOVEDADES!$C$4:$C$1503,$A1014,NOVEDADES!$M$4:$M$1503,"SÍ")&gt;0,"No","Sí"))</f>
        <v/>
      </c>
      <c r="P1014" s="27">
        <f>IF(OR($A1014="",$K1014=""),"",IF(AND($M1014="Sí",$O1014="Sí"),"OTIF","Falló"))</f>
        <v/>
      </c>
    </row>
    <row r="1015" ht="16" customHeight="1">
      <c r="A1015" s="47" t="n"/>
      <c r="B1015" s="46" t="n"/>
      <c r="C1015" s="49" t="n"/>
      <c r="D1015" s="49" t="n"/>
      <c r="E1015" s="49" t="n"/>
      <c r="F1015" s="49" t="n"/>
      <c r="G1015" s="47" t="n"/>
      <c r="H1015" s="50" t="n"/>
      <c r="I1015" s="51" t="n"/>
      <c r="J1015" s="46" t="n"/>
      <c r="K1015" s="46" t="n"/>
      <c r="L1015" s="23">
        <f>IF(OR($A1015="",$B1015=""),"",IF($K1015&lt;&gt;"",$K1015-$B1015,TODAY()-$B1015))</f>
        <v/>
      </c>
      <c r="M1015" s="27">
        <f>IF(OR($A1015="",$J1015=""),"",IF($K1015="",IF(TODAY()&gt;$J1015,"Atrasado","En ruta"),IF($K1015&lt;=$J1015,"Sí","No")))</f>
        <v/>
      </c>
      <c r="N1015" s="23">
        <f>IF($A1015="","",COUNTIFS(NOVEDADES!$C$4:$C$1503,$A1015))</f>
        <v/>
      </c>
      <c r="O1015" s="27">
        <f>IF($A1015="","",IF(COUNTIFS(NOVEDADES!$C$4:$C$1503,$A1015,NOVEDADES!$M$4:$M$1503,"SÍ")&gt;0,"No","Sí"))</f>
        <v/>
      </c>
      <c r="P1015" s="27">
        <f>IF(OR($A1015="",$K1015=""),"",IF(AND($M1015="Sí",$O1015="Sí"),"OTIF","Falló"))</f>
        <v/>
      </c>
    </row>
    <row r="1016" ht="16" customHeight="1">
      <c r="A1016" s="47" t="n"/>
      <c r="B1016" s="46" t="n"/>
      <c r="C1016" s="49" t="n"/>
      <c r="D1016" s="49" t="n"/>
      <c r="E1016" s="49" t="n"/>
      <c r="F1016" s="49" t="n"/>
      <c r="G1016" s="47" t="n"/>
      <c r="H1016" s="50" t="n"/>
      <c r="I1016" s="51" t="n"/>
      <c r="J1016" s="46" t="n"/>
      <c r="K1016" s="46" t="n"/>
      <c r="L1016" s="23">
        <f>IF(OR($A1016="",$B1016=""),"",IF($K1016&lt;&gt;"",$K1016-$B1016,TODAY()-$B1016))</f>
        <v/>
      </c>
      <c r="M1016" s="27">
        <f>IF(OR($A1016="",$J1016=""),"",IF($K1016="",IF(TODAY()&gt;$J1016,"Atrasado","En ruta"),IF($K1016&lt;=$J1016,"Sí","No")))</f>
        <v/>
      </c>
      <c r="N1016" s="23">
        <f>IF($A1016="","",COUNTIFS(NOVEDADES!$C$4:$C$1503,$A1016))</f>
        <v/>
      </c>
      <c r="O1016" s="27">
        <f>IF($A1016="","",IF(COUNTIFS(NOVEDADES!$C$4:$C$1503,$A1016,NOVEDADES!$M$4:$M$1503,"SÍ")&gt;0,"No","Sí"))</f>
        <v/>
      </c>
      <c r="P1016" s="27">
        <f>IF(OR($A1016="",$K1016=""),"",IF(AND($M1016="Sí",$O1016="Sí"),"OTIF","Falló"))</f>
        <v/>
      </c>
    </row>
    <row r="1017" ht="16" customHeight="1">
      <c r="A1017" s="47" t="n"/>
      <c r="B1017" s="46" t="n"/>
      <c r="C1017" s="49" t="n"/>
      <c r="D1017" s="49" t="n"/>
      <c r="E1017" s="49" t="n"/>
      <c r="F1017" s="49" t="n"/>
      <c r="G1017" s="47" t="n"/>
      <c r="H1017" s="50" t="n"/>
      <c r="I1017" s="51" t="n"/>
      <c r="J1017" s="46" t="n"/>
      <c r="K1017" s="46" t="n"/>
      <c r="L1017" s="23">
        <f>IF(OR($A1017="",$B1017=""),"",IF($K1017&lt;&gt;"",$K1017-$B1017,TODAY()-$B1017))</f>
        <v/>
      </c>
      <c r="M1017" s="27">
        <f>IF(OR($A1017="",$J1017=""),"",IF($K1017="",IF(TODAY()&gt;$J1017,"Atrasado","En ruta"),IF($K1017&lt;=$J1017,"Sí","No")))</f>
        <v/>
      </c>
      <c r="N1017" s="23">
        <f>IF($A1017="","",COUNTIFS(NOVEDADES!$C$4:$C$1503,$A1017))</f>
        <v/>
      </c>
      <c r="O1017" s="27">
        <f>IF($A1017="","",IF(COUNTIFS(NOVEDADES!$C$4:$C$1503,$A1017,NOVEDADES!$M$4:$M$1503,"SÍ")&gt;0,"No","Sí"))</f>
        <v/>
      </c>
      <c r="P1017" s="27">
        <f>IF(OR($A1017="",$K1017=""),"",IF(AND($M1017="Sí",$O1017="Sí"),"OTIF","Falló"))</f>
        <v/>
      </c>
    </row>
    <row r="1018" ht="16" customHeight="1">
      <c r="A1018" s="47" t="n"/>
      <c r="B1018" s="46" t="n"/>
      <c r="C1018" s="49" t="n"/>
      <c r="D1018" s="49" t="n"/>
      <c r="E1018" s="49" t="n"/>
      <c r="F1018" s="49" t="n"/>
      <c r="G1018" s="47" t="n"/>
      <c r="H1018" s="50" t="n"/>
      <c r="I1018" s="51" t="n"/>
      <c r="J1018" s="46" t="n"/>
      <c r="K1018" s="46" t="n"/>
      <c r="L1018" s="23">
        <f>IF(OR($A1018="",$B1018=""),"",IF($K1018&lt;&gt;"",$K1018-$B1018,TODAY()-$B1018))</f>
        <v/>
      </c>
      <c r="M1018" s="27">
        <f>IF(OR($A1018="",$J1018=""),"",IF($K1018="",IF(TODAY()&gt;$J1018,"Atrasado","En ruta"),IF($K1018&lt;=$J1018,"Sí","No")))</f>
        <v/>
      </c>
      <c r="N1018" s="23">
        <f>IF($A1018="","",COUNTIFS(NOVEDADES!$C$4:$C$1503,$A1018))</f>
        <v/>
      </c>
      <c r="O1018" s="27">
        <f>IF($A1018="","",IF(COUNTIFS(NOVEDADES!$C$4:$C$1503,$A1018,NOVEDADES!$M$4:$M$1503,"SÍ")&gt;0,"No","Sí"))</f>
        <v/>
      </c>
      <c r="P1018" s="27">
        <f>IF(OR($A1018="",$K1018=""),"",IF(AND($M1018="Sí",$O1018="Sí"),"OTIF","Falló"))</f>
        <v/>
      </c>
    </row>
    <row r="1019" ht="16" customHeight="1">
      <c r="A1019" s="47" t="n"/>
      <c r="B1019" s="46" t="n"/>
      <c r="C1019" s="49" t="n"/>
      <c r="D1019" s="49" t="n"/>
      <c r="E1019" s="49" t="n"/>
      <c r="F1019" s="49" t="n"/>
      <c r="G1019" s="47" t="n"/>
      <c r="H1019" s="50" t="n"/>
      <c r="I1019" s="51" t="n"/>
      <c r="J1019" s="46" t="n"/>
      <c r="K1019" s="46" t="n"/>
      <c r="L1019" s="23">
        <f>IF(OR($A1019="",$B1019=""),"",IF($K1019&lt;&gt;"",$K1019-$B1019,TODAY()-$B1019))</f>
        <v/>
      </c>
      <c r="M1019" s="27">
        <f>IF(OR($A1019="",$J1019=""),"",IF($K1019="",IF(TODAY()&gt;$J1019,"Atrasado","En ruta"),IF($K1019&lt;=$J1019,"Sí","No")))</f>
        <v/>
      </c>
      <c r="N1019" s="23">
        <f>IF($A1019="","",COUNTIFS(NOVEDADES!$C$4:$C$1503,$A1019))</f>
        <v/>
      </c>
      <c r="O1019" s="27">
        <f>IF($A1019="","",IF(COUNTIFS(NOVEDADES!$C$4:$C$1503,$A1019,NOVEDADES!$M$4:$M$1503,"SÍ")&gt;0,"No","Sí"))</f>
        <v/>
      </c>
      <c r="P1019" s="27">
        <f>IF(OR($A1019="",$K1019=""),"",IF(AND($M1019="Sí",$O1019="Sí"),"OTIF","Falló"))</f>
        <v/>
      </c>
    </row>
    <row r="1020" ht="16" customHeight="1">
      <c r="A1020" s="47" t="n"/>
      <c r="B1020" s="46" t="n"/>
      <c r="C1020" s="49" t="n"/>
      <c r="D1020" s="49" t="n"/>
      <c r="E1020" s="49" t="n"/>
      <c r="F1020" s="49" t="n"/>
      <c r="G1020" s="47" t="n"/>
      <c r="H1020" s="50" t="n"/>
      <c r="I1020" s="51" t="n"/>
      <c r="J1020" s="46" t="n"/>
      <c r="K1020" s="46" t="n"/>
      <c r="L1020" s="23">
        <f>IF(OR($A1020="",$B1020=""),"",IF($K1020&lt;&gt;"",$K1020-$B1020,TODAY()-$B1020))</f>
        <v/>
      </c>
      <c r="M1020" s="27">
        <f>IF(OR($A1020="",$J1020=""),"",IF($K1020="",IF(TODAY()&gt;$J1020,"Atrasado","En ruta"),IF($K1020&lt;=$J1020,"Sí","No")))</f>
        <v/>
      </c>
      <c r="N1020" s="23">
        <f>IF($A1020="","",COUNTIFS(NOVEDADES!$C$4:$C$1503,$A1020))</f>
        <v/>
      </c>
      <c r="O1020" s="27">
        <f>IF($A1020="","",IF(COUNTIFS(NOVEDADES!$C$4:$C$1503,$A1020,NOVEDADES!$M$4:$M$1503,"SÍ")&gt;0,"No","Sí"))</f>
        <v/>
      </c>
      <c r="P1020" s="27">
        <f>IF(OR($A1020="",$K1020=""),"",IF(AND($M1020="Sí",$O1020="Sí"),"OTIF","Falló"))</f>
        <v/>
      </c>
    </row>
    <row r="1021" ht="16" customHeight="1">
      <c r="A1021" s="47" t="n"/>
      <c r="B1021" s="46" t="n"/>
      <c r="C1021" s="49" t="n"/>
      <c r="D1021" s="49" t="n"/>
      <c r="E1021" s="49" t="n"/>
      <c r="F1021" s="49" t="n"/>
      <c r="G1021" s="47" t="n"/>
      <c r="H1021" s="50" t="n"/>
      <c r="I1021" s="51" t="n"/>
      <c r="J1021" s="46" t="n"/>
      <c r="K1021" s="46" t="n"/>
      <c r="L1021" s="23">
        <f>IF(OR($A1021="",$B1021=""),"",IF($K1021&lt;&gt;"",$K1021-$B1021,TODAY()-$B1021))</f>
        <v/>
      </c>
      <c r="M1021" s="27">
        <f>IF(OR($A1021="",$J1021=""),"",IF($K1021="",IF(TODAY()&gt;$J1021,"Atrasado","En ruta"),IF($K1021&lt;=$J1021,"Sí","No")))</f>
        <v/>
      </c>
      <c r="N1021" s="23">
        <f>IF($A1021="","",COUNTIFS(NOVEDADES!$C$4:$C$1503,$A1021))</f>
        <v/>
      </c>
      <c r="O1021" s="27">
        <f>IF($A1021="","",IF(COUNTIFS(NOVEDADES!$C$4:$C$1503,$A1021,NOVEDADES!$M$4:$M$1503,"SÍ")&gt;0,"No","Sí"))</f>
        <v/>
      </c>
      <c r="P1021" s="27">
        <f>IF(OR($A1021="",$K1021=""),"",IF(AND($M1021="Sí",$O1021="Sí"),"OTIF","Falló"))</f>
        <v/>
      </c>
    </row>
    <row r="1022" ht="16" customHeight="1">
      <c r="A1022" s="47" t="n"/>
      <c r="B1022" s="46" t="n"/>
      <c r="C1022" s="49" t="n"/>
      <c r="D1022" s="49" t="n"/>
      <c r="E1022" s="49" t="n"/>
      <c r="F1022" s="49" t="n"/>
      <c r="G1022" s="47" t="n"/>
      <c r="H1022" s="50" t="n"/>
      <c r="I1022" s="51" t="n"/>
      <c r="J1022" s="46" t="n"/>
      <c r="K1022" s="46" t="n"/>
      <c r="L1022" s="23">
        <f>IF(OR($A1022="",$B1022=""),"",IF($K1022&lt;&gt;"",$K1022-$B1022,TODAY()-$B1022))</f>
        <v/>
      </c>
      <c r="M1022" s="27">
        <f>IF(OR($A1022="",$J1022=""),"",IF($K1022="",IF(TODAY()&gt;$J1022,"Atrasado","En ruta"),IF($K1022&lt;=$J1022,"Sí","No")))</f>
        <v/>
      </c>
      <c r="N1022" s="23">
        <f>IF($A1022="","",COUNTIFS(NOVEDADES!$C$4:$C$1503,$A1022))</f>
        <v/>
      </c>
      <c r="O1022" s="27">
        <f>IF($A1022="","",IF(COUNTIFS(NOVEDADES!$C$4:$C$1503,$A1022,NOVEDADES!$M$4:$M$1503,"SÍ")&gt;0,"No","Sí"))</f>
        <v/>
      </c>
      <c r="P1022" s="27">
        <f>IF(OR($A1022="",$K1022=""),"",IF(AND($M1022="Sí",$O1022="Sí"),"OTIF","Falló"))</f>
        <v/>
      </c>
    </row>
    <row r="1023" ht="16" customHeight="1">
      <c r="A1023" s="47" t="n"/>
      <c r="B1023" s="46" t="n"/>
      <c r="C1023" s="49" t="n"/>
      <c r="D1023" s="49" t="n"/>
      <c r="E1023" s="49" t="n"/>
      <c r="F1023" s="49" t="n"/>
      <c r="G1023" s="47" t="n"/>
      <c r="H1023" s="50" t="n"/>
      <c r="I1023" s="51" t="n"/>
      <c r="J1023" s="46" t="n"/>
      <c r="K1023" s="46" t="n"/>
      <c r="L1023" s="23">
        <f>IF(OR($A1023="",$B1023=""),"",IF($K1023&lt;&gt;"",$K1023-$B1023,TODAY()-$B1023))</f>
        <v/>
      </c>
      <c r="M1023" s="27">
        <f>IF(OR($A1023="",$J1023=""),"",IF($K1023="",IF(TODAY()&gt;$J1023,"Atrasado","En ruta"),IF($K1023&lt;=$J1023,"Sí","No")))</f>
        <v/>
      </c>
      <c r="N1023" s="23">
        <f>IF($A1023="","",COUNTIFS(NOVEDADES!$C$4:$C$1503,$A1023))</f>
        <v/>
      </c>
      <c r="O1023" s="27">
        <f>IF($A1023="","",IF(COUNTIFS(NOVEDADES!$C$4:$C$1503,$A1023,NOVEDADES!$M$4:$M$1503,"SÍ")&gt;0,"No","Sí"))</f>
        <v/>
      </c>
      <c r="P1023" s="27">
        <f>IF(OR($A1023="",$K1023=""),"",IF(AND($M1023="Sí",$O1023="Sí"),"OTIF","Falló"))</f>
        <v/>
      </c>
    </row>
    <row r="1024" ht="16" customHeight="1">
      <c r="A1024" s="47" t="n"/>
      <c r="B1024" s="46" t="n"/>
      <c r="C1024" s="49" t="n"/>
      <c r="D1024" s="49" t="n"/>
      <c r="E1024" s="49" t="n"/>
      <c r="F1024" s="49" t="n"/>
      <c r="G1024" s="47" t="n"/>
      <c r="H1024" s="50" t="n"/>
      <c r="I1024" s="51" t="n"/>
      <c r="J1024" s="46" t="n"/>
      <c r="K1024" s="46" t="n"/>
      <c r="L1024" s="23">
        <f>IF(OR($A1024="",$B1024=""),"",IF($K1024&lt;&gt;"",$K1024-$B1024,TODAY()-$B1024))</f>
        <v/>
      </c>
      <c r="M1024" s="27">
        <f>IF(OR($A1024="",$J1024=""),"",IF($K1024="",IF(TODAY()&gt;$J1024,"Atrasado","En ruta"),IF($K1024&lt;=$J1024,"Sí","No")))</f>
        <v/>
      </c>
      <c r="N1024" s="23">
        <f>IF($A1024="","",COUNTIFS(NOVEDADES!$C$4:$C$1503,$A1024))</f>
        <v/>
      </c>
      <c r="O1024" s="27">
        <f>IF($A1024="","",IF(COUNTIFS(NOVEDADES!$C$4:$C$1503,$A1024,NOVEDADES!$M$4:$M$1503,"SÍ")&gt;0,"No","Sí"))</f>
        <v/>
      </c>
      <c r="P1024" s="27">
        <f>IF(OR($A1024="",$K1024=""),"",IF(AND($M1024="Sí",$O1024="Sí"),"OTIF","Falló"))</f>
        <v/>
      </c>
    </row>
    <row r="1025" ht="16" customHeight="1">
      <c r="A1025" s="47" t="n"/>
      <c r="B1025" s="46" t="n"/>
      <c r="C1025" s="49" t="n"/>
      <c r="D1025" s="49" t="n"/>
      <c r="E1025" s="49" t="n"/>
      <c r="F1025" s="49" t="n"/>
      <c r="G1025" s="47" t="n"/>
      <c r="H1025" s="50" t="n"/>
      <c r="I1025" s="51" t="n"/>
      <c r="J1025" s="46" t="n"/>
      <c r="K1025" s="46" t="n"/>
      <c r="L1025" s="23">
        <f>IF(OR($A1025="",$B1025=""),"",IF($K1025&lt;&gt;"",$K1025-$B1025,TODAY()-$B1025))</f>
        <v/>
      </c>
      <c r="M1025" s="27">
        <f>IF(OR($A1025="",$J1025=""),"",IF($K1025="",IF(TODAY()&gt;$J1025,"Atrasado","En ruta"),IF($K1025&lt;=$J1025,"Sí","No")))</f>
        <v/>
      </c>
      <c r="N1025" s="23">
        <f>IF($A1025="","",COUNTIFS(NOVEDADES!$C$4:$C$1503,$A1025))</f>
        <v/>
      </c>
      <c r="O1025" s="27">
        <f>IF($A1025="","",IF(COUNTIFS(NOVEDADES!$C$4:$C$1503,$A1025,NOVEDADES!$M$4:$M$1503,"SÍ")&gt;0,"No","Sí"))</f>
        <v/>
      </c>
      <c r="P1025" s="27">
        <f>IF(OR($A1025="",$K1025=""),"",IF(AND($M1025="Sí",$O1025="Sí"),"OTIF","Falló"))</f>
        <v/>
      </c>
    </row>
    <row r="1026" ht="16" customHeight="1">
      <c r="A1026" s="47" t="n"/>
      <c r="B1026" s="46" t="n"/>
      <c r="C1026" s="49" t="n"/>
      <c r="D1026" s="49" t="n"/>
      <c r="E1026" s="49" t="n"/>
      <c r="F1026" s="49" t="n"/>
      <c r="G1026" s="47" t="n"/>
      <c r="H1026" s="50" t="n"/>
      <c r="I1026" s="51" t="n"/>
      <c r="J1026" s="46" t="n"/>
      <c r="K1026" s="46" t="n"/>
      <c r="L1026" s="23">
        <f>IF(OR($A1026="",$B1026=""),"",IF($K1026&lt;&gt;"",$K1026-$B1026,TODAY()-$B1026))</f>
        <v/>
      </c>
      <c r="M1026" s="27">
        <f>IF(OR($A1026="",$J1026=""),"",IF($K1026="",IF(TODAY()&gt;$J1026,"Atrasado","En ruta"),IF($K1026&lt;=$J1026,"Sí","No")))</f>
        <v/>
      </c>
      <c r="N1026" s="23">
        <f>IF($A1026="","",COUNTIFS(NOVEDADES!$C$4:$C$1503,$A1026))</f>
        <v/>
      </c>
      <c r="O1026" s="27">
        <f>IF($A1026="","",IF(COUNTIFS(NOVEDADES!$C$4:$C$1503,$A1026,NOVEDADES!$M$4:$M$1503,"SÍ")&gt;0,"No","Sí"))</f>
        <v/>
      </c>
      <c r="P1026" s="27">
        <f>IF(OR($A1026="",$K1026=""),"",IF(AND($M1026="Sí",$O1026="Sí"),"OTIF","Falló"))</f>
        <v/>
      </c>
    </row>
    <row r="1027" ht="16" customHeight="1">
      <c r="A1027" s="47" t="n"/>
      <c r="B1027" s="46" t="n"/>
      <c r="C1027" s="49" t="n"/>
      <c r="D1027" s="49" t="n"/>
      <c r="E1027" s="49" t="n"/>
      <c r="F1027" s="49" t="n"/>
      <c r="G1027" s="47" t="n"/>
      <c r="H1027" s="50" t="n"/>
      <c r="I1027" s="51" t="n"/>
      <c r="J1027" s="46" t="n"/>
      <c r="K1027" s="46" t="n"/>
      <c r="L1027" s="23">
        <f>IF(OR($A1027="",$B1027=""),"",IF($K1027&lt;&gt;"",$K1027-$B1027,TODAY()-$B1027))</f>
        <v/>
      </c>
      <c r="M1027" s="27">
        <f>IF(OR($A1027="",$J1027=""),"",IF($K1027="",IF(TODAY()&gt;$J1027,"Atrasado","En ruta"),IF($K1027&lt;=$J1027,"Sí","No")))</f>
        <v/>
      </c>
      <c r="N1027" s="23">
        <f>IF($A1027="","",COUNTIFS(NOVEDADES!$C$4:$C$1503,$A1027))</f>
        <v/>
      </c>
      <c r="O1027" s="27">
        <f>IF($A1027="","",IF(COUNTIFS(NOVEDADES!$C$4:$C$1503,$A1027,NOVEDADES!$M$4:$M$1503,"SÍ")&gt;0,"No","Sí"))</f>
        <v/>
      </c>
      <c r="P1027" s="27">
        <f>IF(OR($A1027="",$K1027=""),"",IF(AND($M1027="Sí",$O1027="Sí"),"OTIF","Falló"))</f>
        <v/>
      </c>
    </row>
    <row r="1028" ht="16" customHeight="1">
      <c r="A1028" s="47" t="n"/>
      <c r="B1028" s="46" t="n"/>
      <c r="C1028" s="49" t="n"/>
      <c r="D1028" s="49" t="n"/>
      <c r="E1028" s="49" t="n"/>
      <c r="F1028" s="49" t="n"/>
      <c r="G1028" s="47" t="n"/>
      <c r="H1028" s="50" t="n"/>
      <c r="I1028" s="51" t="n"/>
      <c r="J1028" s="46" t="n"/>
      <c r="K1028" s="46" t="n"/>
      <c r="L1028" s="23">
        <f>IF(OR($A1028="",$B1028=""),"",IF($K1028&lt;&gt;"",$K1028-$B1028,TODAY()-$B1028))</f>
        <v/>
      </c>
      <c r="M1028" s="27">
        <f>IF(OR($A1028="",$J1028=""),"",IF($K1028="",IF(TODAY()&gt;$J1028,"Atrasado","En ruta"),IF($K1028&lt;=$J1028,"Sí","No")))</f>
        <v/>
      </c>
      <c r="N1028" s="23">
        <f>IF($A1028="","",COUNTIFS(NOVEDADES!$C$4:$C$1503,$A1028))</f>
        <v/>
      </c>
      <c r="O1028" s="27">
        <f>IF($A1028="","",IF(COUNTIFS(NOVEDADES!$C$4:$C$1503,$A1028,NOVEDADES!$M$4:$M$1503,"SÍ")&gt;0,"No","Sí"))</f>
        <v/>
      </c>
      <c r="P1028" s="27">
        <f>IF(OR($A1028="",$K1028=""),"",IF(AND($M1028="Sí",$O1028="Sí"),"OTIF","Falló"))</f>
        <v/>
      </c>
    </row>
    <row r="1029" ht="16" customHeight="1">
      <c r="A1029" s="47" t="n"/>
      <c r="B1029" s="46" t="n"/>
      <c r="C1029" s="49" t="n"/>
      <c r="D1029" s="49" t="n"/>
      <c r="E1029" s="49" t="n"/>
      <c r="F1029" s="49" t="n"/>
      <c r="G1029" s="47" t="n"/>
      <c r="H1029" s="50" t="n"/>
      <c r="I1029" s="51" t="n"/>
      <c r="J1029" s="46" t="n"/>
      <c r="K1029" s="46" t="n"/>
      <c r="L1029" s="23">
        <f>IF(OR($A1029="",$B1029=""),"",IF($K1029&lt;&gt;"",$K1029-$B1029,TODAY()-$B1029))</f>
        <v/>
      </c>
      <c r="M1029" s="27">
        <f>IF(OR($A1029="",$J1029=""),"",IF($K1029="",IF(TODAY()&gt;$J1029,"Atrasado","En ruta"),IF($K1029&lt;=$J1029,"Sí","No")))</f>
        <v/>
      </c>
      <c r="N1029" s="23">
        <f>IF($A1029="","",COUNTIFS(NOVEDADES!$C$4:$C$1503,$A1029))</f>
        <v/>
      </c>
      <c r="O1029" s="27">
        <f>IF($A1029="","",IF(COUNTIFS(NOVEDADES!$C$4:$C$1503,$A1029,NOVEDADES!$M$4:$M$1503,"SÍ")&gt;0,"No","Sí"))</f>
        <v/>
      </c>
      <c r="P1029" s="27">
        <f>IF(OR($A1029="",$K1029=""),"",IF(AND($M1029="Sí",$O1029="Sí"),"OTIF","Falló"))</f>
        <v/>
      </c>
    </row>
    <row r="1030" ht="16" customHeight="1">
      <c r="A1030" s="47" t="n"/>
      <c r="B1030" s="46" t="n"/>
      <c r="C1030" s="49" t="n"/>
      <c r="D1030" s="49" t="n"/>
      <c r="E1030" s="49" t="n"/>
      <c r="F1030" s="49" t="n"/>
      <c r="G1030" s="47" t="n"/>
      <c r="H1030" s="50" t="n"/>
      <c r="I1030" s="51" t="n"/>
      <c r="J1030" s="46" t="n"/>
      <c r="K1030" s="46" t="n"/>
      <c r="L1030" s="23">
        <f>IF(OR($A1030="",$B1030=""),"",IF($K1030&lt;&gt;"",$K1030-$B1030,TODAY()-$B1030))</f>
        <v/>
      </c>
      <c r="M1030" s="27">
        <f>IF(OR($A1030="",$J1030=""),"",IF($K1030="",IF(TODAY()&gt;$J1030,"Atrasado","En ruta"),IF($K1030&lt;=$J1030,"Sí","No")))</f>
        <v/>
      </c>
      <c r="N1030" s="23">
        <f>IF($A1030="","",COUNTIFS(NOVEDADES!$C$4:$C$1503,$A1030))</f>
        <v/>
      </c>
      <c r="O1030" s="27">
        <f>IF($A1030="","",IF(COUNTIFS(NOVEDADES!$C$4:$C$1503,$A1030,NOVEDADES!$M$4:$M$1503,"SÍ")&gt;0,"No","Sí"))</f>
        <v/>
      </c>
      <c r="P1030" s="27">
        <f>IF(OR($A1030="",$K1030=""),"",IF(AND($M1030="Sí",$O1030="Sí"),"OTIF","Falló"))</f>
        <v/>
      </c>
    </row>
    <row r="1031" ht="16" customHeight="1">
      <c r="A1031" s="47" t="n"/>
      <c r="B1031" s="46" t="n"/>
      <c r="C1031" s="49" t="n"/>
      <c r="D1031" s="49" t="n"/>
      <c r="E1031" s="49" t="n"/>
      <c r="F1031" s="49" t="n"/>
      <c r="G1031" s="47" t="n"/>
      <c r="H1031" s="50" t="n"/>
      <c r="I1031" s="51" t="n"/>
      <c r="J1031" s="46" t="n"/>
      <c r="K1031" s="46" t="n"/>
      <c r="L1031" s="23">
        <f>IF(OR($A1031="",$B1031=""),"",IF($K1031&lt;&gt;"",$K1031-$B1031,TODAY()-$B1031))</f>
        <v/>
      </c>
      <c r="M1031" s="27">
        <f>IF(OR($A1031="",$J1031=""),"",IF($K1031="",IF(TODAY()&gt;$J1031,"Atrasado","En ruta"),IF($K1031&lt;=$J1031,"Sí","No")))</f>
        <v/>
      </c>
      <c r="N1031" s="23">
        <f>IF($A1031="","",COUNTIFS(NOVEDADES!$C$4:$C$1503,$A1031))</f>
        <v/>
      </c>
      <c r="O1031" s="27">
        <f>IF($A1031="","",IF(COUNTIFS(NOVEDADES!$C$4:$C$1503,$A1031,NOVEDADES!$M$4:$M$1503,"SÍ")&gt;0,"No","Sí"))</f>
        <v/>
      </c>
      <c r="P1031" s="27">
        <f>IF(OR($A1031="",$K1031=""),"",IF(AND($M1031="Sí",$O1031="Sí"),"OTIF","Falló"))</f>
        <v/>
      </c>
    </row>
    <row r="1032" ht="16" customHeight="1">
      <c r="A1032" s="47" t="n"/>
      <c r="B1032" s="46" t="n"/>
      <c r="C1032" s="49" t="n"/>
      <c r="D1032" s="49" t="n"/>
      <c r="E1032" s="49" t="n"/>
      <c r="F1032" s="49" t="n"/>
      <c r="G1032" s="47" t="n"/>
      <c r="H1032" s="50" t="n"/>
      <c r="I1032" s="51" t="n"/>
      <c r="J1032" s="46" t="n"/>
      <c r="K1032" s="46" t="n"/>
      <c r="L1032" s="23">
        <f>IF(OR($A1032="",$B1032=""),"",IF($K1032&lt;&gt;"",$K1032-$B1032,TODAY()-$B1032))</f>
        <v/>
      </c>
      <c r="M1032" s="27">
        <f>IF(OR($A1032="",$J1032=""),"",IF($K1032="",IF(TODAY()&gt;$J1032,"Atrasado","En ruta"),IF($K1032&lt;=$J1032,"Sí","No")))</f>
        <v/>
      </c>
      <c r="N1032" s="23">
        <f>IF($A1032="","",COUNTIFS(NOVEDADES!$C$4:$C$1503,$A1032))</f>
        <v/>
      </c>
      <c r="O1032" s="27">
        <f>IF($A1032="","",IF(COUNTIFS(NOVEDADES!$C$4:$C$1503,$A1032,NOVEDADES!$M$4:$M$1503,"SÍ")&gt;0,"No","Sí"))</f>
        <v/>
      </c>
      <c r="P1032" s="27">
        <f>IF(OR($A1032="",$K1032=""),"",IF(AND($M1032="Sí",$O1032="Sí"),"OTIF","Falló"))</f>
        <v/>
      </c>
    </row>
    <row r="1033" ht="16" customHeight="1">
      <c r="A1033" s="47" t="n"/>
      <c r="B1033" s="46" t="n"/>
      <c r="C1033" s="49" t="n"/>
      <c r="D1033" s="49" t="n"/>
      <c r="E1033" s="49" t="n"/>
      <c r="F1033" s="49" t="n"/>
      <c r="G1033" s="47" t="n"/>
      <c r="H1033" s="50" t="n"/>
      <c r="I1033" s="51" t="n"/>
      <c r="J1033" s="46" t="n"/>
      <c r="K1033" s="46" t="n"/>
      <c r="L1033" s="23">
        <f>IF(OR($A1033="",$B1033=""),"",IF($K1033&lt;&gt;"",$K1033-$B1033,TODAY()-$B1033))</f>
        <v/>
      </c>
      <c r="M1033" s="27">
        <f>IF(OR($A1033="",$J1033=""),"",IF($K1033="",IF(TODAY()&gt;$J1033,"Atrasado","En ruta"),IF($K1033&lt;=$J1033,"Sí","No")))</f>
        <v/>
      </c>
      <c r="N1033" s="23">
        <f>IF($A1033="","",COUNTIFS(NOVEDADES!$C$4:$C$1503,$A1033))</f>
        <v/>
      </c>
      <c r="O1033" s="27">
        <f>IF($A1033="","",IF(COUNTIFS(NOVEDADES!$C$4:$C$1503,$A1033,NOVEDADES!$M$4:$M$1503,"SÍ")&gt;0,"No","Sí"))</f>
        <v/>
      </c>
      <c r="P1033" s="27">
        <f>IF(OR($A1033="",$K1033=""),"",IF(AND($M1033="Sí",$O1033="Sí"),"OTIF","Falló"))</f>
        <v/>
      </c>
    </row>
    <row r="1034" ht="16" customHeight="1">
      <c r="A1034" s="47" t="n"/>
      <c r="B1034" s="46" t="n"/>
      <c r="C1034" s="49" t="n"/>
      <c r="D1034" s="49" t="n"/>
      <c r="E1034" s="49" t="n"/>
      <c r="F1034" s="49" t="n"/>
      <c r="G1034" s="47" t="n"/>
      <c r="H1034" s="50" t="n"/>
      <c r="I1034" s="51" t="n"/>
      <c r="J1034" s="46" t="n"/>
      <c r="K1034" s="46" t="n"/>
      <c r="L1034" s="23">
        <f>IF(OR($A1034="",$B1034=""),"",IF($K1034&lt;&gt;"",$K1034-$B1034,TODAY()-$B1034))</f>
        <v/>
      </c>
      <c r="M1034" s="27">
        <f>IF(OR($A1034="",$J1034=""),"",IF($K1034="",IF(TODAY()&gt;$J1034,"Atrasado","En ruta"),IF($K1034&lt;=$J1034,"Sí","No")))</f>
        <v/>
      </c>
      <c r="N1034" s="23">
        <f>IF($A1034="","",COUNTIFS(NOVEDADES!$C$4:$C$1503,$A1034))</f>
        <v/>
      </c>
      <c r="O1034" s="27">
        <f>IF($A1034="","",IF(COUNTIFS(NOVEDADES!$C$4:$C$1503,$A1034,NOVEDADES!$M$4:$M$1503,"SÍ")&gt;0,"No","Sí"))</f>
        <v/>
      </c>
      <c r="P1034" s="27">
        <f>IF(OR($A1034="",$K1034=""),"",IF(AND($M1034="Sí",$O1034="Sí"),"OTIF","Falló"))</f>
        <v/>
      </c>
    </row>
    <row r="1035" ht="16" customHeight="1">
      <c r="A1035" s="47" t="n"/>
      <c r="B1035" s="46" t="n"/>
      <c r="C1035" s="49" t="n"/>
      <c r="D1035" s="49" t="n"/>
      <c r="E1035" s="49" t="n"/>
      <c r="F1035" s="49" t="n"/>
      <c r="G1035" s="47" t="n"/>
      <c r="H1035" s="50" t="n"/>
      <c r="I1035" s="51" t="n"/>
      <c r="J1035" s="46" t="n"/>
      <c r="K1035" s="46" t="n"/>
      <c r="L1035" s="23">
        <f>IF(OR($A1035="",$B1035=""),"",IF($K1035&lt;&gt;"",$K1035-$B1035,TODAY()-$B1035))</f>
        <v/>
      </c>
      <c r="M1035" s="27">
        <f>IF(OR($A1035="",$J1035=""),"",IF($K1035="",IF(TODAY()&gt;$J1035,"Atrasado","En ruta"),IF($K1035&lt;=$J1035,"Sí","No")))</f>
        <v/>
      </c>
      <c r="N1035" s="23">
        <f>IF($A1035="","",COUNTIFS(NOVEDADES!$C$4:$C$1503,$A1035))</f>
        <v/>
      </c>
      <c r="O1035" s="27">
        <f>IF($A1035="","",IF(COUNTIFS(NOVEDADES!$C$4:$C$1503,$A1035,NOVEDADES!$M$4:$M$1503,"SÍ")&gt;0,"No","Sí"))</f>
        <v/>
      </c>
      <c r="P1035" s="27">
        <f>IF(OR($A1035="",$K1035=""),"",IF(AND($M1035="Sí",$O1035="Sí"),"OTIF","Falló"))</f>
        <v/>
      </c>
    </row>
    <row r="1036" ht="16" customHeight="1">
      <c r="A1036" s="47" t="n"/>
      <c r="B1036" s="46" t="n"/>
      <c r="C1036" s="49" t="n"/>
      <c r="D1036" s="49" t="n"/>
      <c r="E1036" s="49" t="n"/>
      <c r="F1036" s="49" t="n"/>
      <c r="G1036" s="47" t="n"/>
      <c r="H1036" s="50" t="n"/>
      <c r="I1036" s="51" t="n"/>
      <c r="J1036" s="46" t="n"/>
      <c r="K1036" s="46" t="n"/>
      <c r="L1036" s="23">
        <f>IF(OR($A1036="",$B1036=""),"",IF($K1036&lt;&gt;"",$K1036-$B1036,TODAY()-$B1036))</f>
        <v/>
      </c>
      <c r="M1036" s="27">
        <f>IF(OR($A1036="",$J1036=""),"",IF($K1036="",IF(TODAY()&gt;$J1036,"Atrasado","En ruta"),IF($K1036&lt;=$J1036,"Sí","No")))</f>
        <v/>
      </c>
      <c r="N1036" s="23">
        <f>IF($A1036="","",COUNTIFS(NOVEDADES!$C$4:$C$1503,$A1036))</f>
        <v/>
      </c>
      <c r="O1036" s="27">
        <f>IF($A1036="","",IF(COUNTIFS(NOVEDADES!$C$4:$C$1503,$A1036,NOVEDADES!$M$4:$M$1503,"SÍ")&gt;0,"No","Sí"))</f>
        <v/>
      </c>
      <c r="P1036" s="27">
        <f>IF(OR($A1036="",$K1036=""),"",IF(AND($M1036="Sí",$O1036="Sí"),"OTIF","Falló"))</f>
        <v/>
      </c>
    </row>
    <row r="1037" ht="16" customHeight="1">
      <c r="A1037" s="47" t="n"/>
      <c r="B1037" s="46" t="n"/>
      <c r="C1037" s="49" t="n"/>
      <c r="D1037" s="49" t="n"/>
      <c r="E1037" s="49" t="n"/>
      <c r="F1037" s="49" t="n"/>
      <c r="G1037" s="47" t="n"/>
      <c r="H1037" s="50" t="n"/>
      <c r="I1037" s="51" t="n"/>
      <c r="J1037" s="46" t="n"/>
      <c r="K1037" s="46" t="n"/>
      <c r="L1037" s="23">
        <f>IF(OR($A1037="",$B1037=""),"",IF($K1037&lt;&gt;"",$K1037-$B1037,TODAY()-$B1037))</f>
        <v/>
      </c>
      <c r="M1037" s="27">
        <f>IF(OR($A1037="",$J1037=""),"",IF($K1037="",IF(TODAY()&gt;$J1037,"Atrasado","En ruta"),IF($K1037&lt;=$J1037,"Sí","No")))</f>
        <v/>
      </c>
      <c r="N1037" s="23">
        <f>IF($A1037="","",COUNTIFS(NOVEDADES!$C$4:$C$1503,$A1037))</f>
        <v/>
      </c>
      <c r="O1037" s="27">
        <f>IF($A1037="","",IF(COUNTIFS(NOVEDADES!$C$4:$C$1503,$A1037,NOVEDADES!$M$4:$M$1503,"SÍ")&gt;0,"No","Sí"))</f>
        <v/>
      </c>
      <c r="P1037" s="27">
        <f>IF(OR($A1037="",$K1037=""),"",IF(AND($M1037="Sí",$O1037="Sí"),"OTIF","Falló"))</f>
        <v/>
      </c>
    </row>
    <row r="1038" ht="16" customHeight="1">
      <c r="A1038" s="47" t="n"/>
      <c r="B1038" s="46" t="n"/>
      <c r="C1038" s="49" t="n"/>
      <c r="D1038" s="49" t="n"/>
      <c r="E1038" s="49" t="n"/>
      <c r="F1038" s="49" t="n"/>
      <c r="G1038" s="47" t="n"/>
      <c r="H1038" s="50" t="n"/>
      <c r="I1038" s="51" t="n"/>
      <c r="J1038" s="46" t="n"/>
      <c r="K1038" s="46" t="n"/>
      <c r="L1038" s="23">
        <f>IF(OR($A1038="",$B1038=""),"",IF($K1038&lt;&gt;"",$K1038-$B1038,TODAY()-$B1038))</f>
        <v/>
      </c>
      <c r="M1038" s="27">
        <f>IF(OR($A1038="",$J1038=""),"",IF($K1038="",IF(TODAY()&gt;$J1038,"Atrasado","En ruta"),IF($K1038&lt;=$J1038,"Sí","No")))</f>
        <v/>
      </c>
      <c r="N1038" s="23">
        <f>IF($A1038="","",COUNTIFS(NOVEDADES!$C$4:$C$1503,$A1038))</f>
        <v/>
      </c>
      <c r="O1038" s="27">
        <f>IF($A1038="","",IF(COUNTIFS(NOVEDADES!$C$4:$C$1503,$A1038,NOVEDADES!$M$4:$M$1503,"SÍ")&gt;0,"No","Sí"))</f>
        <v/>
      </c>
      <c r="P1038" s="27">
        <f>IF(OR($A1038="",$K1038=""),"",IF(AND($M1038="Sí",$O1038="Sí"),"OTIF","Falló"))</f>
        <v/>
      </c>
    </row>
    <row r="1039" ht="16" customHeight="1">
      <c r="A1039" s="47" t="n"/>
      <c r="B1039" s="46" t="n"/>
      <c r="C1039" s="49" t="n"/>
      <c r="D1039" s="49" t="n"/>
      <c r="E1039" s="49" t="n"/>
      <c r="F1039" s="49" t="n"/>
      <c r="G1039" s="47" t="n"/>
      <c r="H1039" s="50" t="n"/>
      <c r="I1039" s="51" t="n"/>
      <c r="J1039" s="46" t="n"/>
      <c r="K1039" s="46" t="n"/>
      <c r="L1039" s="23">
        <f>IF(OR($A1039="",$B1039=""),"",IF($K1039&lt;&gt;"",$K1039-$B1039,TODAY()-$B1039))</f>
        <v/>
      </c>
      <c r="M1039" s="27">
        <f>IF(OR($A1039="",$J1039=""),"",IF($K1039="",IF(TODAY()&gt;$J1039,"Atrasado","En ruta"),IF($K1039&lt;=$J1039,"Sí","No")))</f>
        <v/>
      </c>
      <c r="N1039" s="23">
        <f>IF($A1039="","",COUNTIFS(NOVEDADES!$C$4:$C$1503,$A1039))</f>
        <v/>
      </c>
      <c r="O1039" s="27">
        <f>IF($A1039="","",IF(COUNTIFS(NOVEDADES!$C$4:$C$1503,$A1039,NOVEDADES!$M$4:$M$1503,"SÍ")&gt;0,"No","Sí"))</f>
        <v/>
      </c>
      <c r="P1039" s="27">
        <f>IF(OR($A1039="",$K1039=""),"",IF(AND($M1039="Sí",$O1039="Sí"),"OTIF","Falló"))</f>
        <v/>
      </c>
    </row>
    <row r="1040" ht="16" customHeight="1">
      <c r="A1040" s="47" t="n"/>
      <c r="B1040" s="46" t="n"/>
      <c r="C1040" s="49" t="n"/>
      <c r="D1040" s="49" t="n"/>
      <c r="E1040" s="49" t="n"/>
      <c r="F1040" s="49" t="n"/>
      <c r="G1040" s="47" t="n"/>
      <c r="H1040" s="50" t="n"/>
      <c r="I1040" s="51" t="n"/>
      <c r="J1040" s="46" t="n"/>
      <c r="K1040" s="46" t="n"/>
      <c r="L1040" s="23">
        <f>IF(OR($A1040="",$B1040=""),"",IF($K1040&lt;&gt;"",$K1040-$B1040,TODAY()-$B1040))</f>
        <v/>
      </c>
      <c r="M1040" s="27">
        <f>IF(OR($A1040="",$J1040=""),"",IF($K1040="",IF(TODAY()&gt;$J1040,"Atrasado","En ruta"),IF($K1040&lt;=$J1040,"Sí","No")))</f>
        <v/>
      </c>
      <c r="N1040" s="23">
        <f>IF($A1040="","",COUNTIFS(NOVEDADES!$C$4:$C$1503,$A1040))</f>
        <v/>
      </c>
      <c r="O1040" s="27">
        <f>IF($A1040="","",IF(COUNTIFS(NOVEDADES!$C$4:$C$1503,$A1040,NOVEDADES!$M$4:$M$1503,"SÍ")&gt;0,"No","Sí"))</f>
        <v/>
      </c>
      <c r="P1040" s="27">
        <f>IF(OR($A1040="",$K1040=""),"",IF(AND($M1040="Sí",$O1040="Sí"),"OTIF","Falló"))</f>
        <v/>
      </c>
    </row>
    <row r="1041" ht="16" customHeight="1">
      <c r="A1041" s="47" t="n"/>
      <c r="B1041" s="46" t="n"/>
      <c r="C1041" s="49" t="n"/>
      <c r="D1041" s="49" t="n"/>
      <c r="E1041" s="49" t="n"/>
      <c r="F1041" s="49" t="n"/>
      <c r="G1041" s="47" t="n"/>
      <c r="H1041" s="50" t="n"/>
      <c r="I1041" s="51" t="n"/>
      <c r="J1041" s="46" t="n"/>
      <c r="K1041" s="46" t="n"/>
      <c r="L1041" s="23">
        <f>IF(OR($A1041="",$B1041=""),"",IF($K1041&lt;&gt;"",$K1041-$B1041,TODAY()-$B1041))</f>
        <v/>
      </c>
      <c r="M1041" s="27">
        <f>IF(OR($A1041="",$J1041=""),"",IF($K1041="",IF(TODAY()&gt;$J1041,"Atrasado","En ruta"),IF($K1041&lt;=$J1041,"Sí","No")))</f>
        <v/>
      </c>
      <c r="N1041" s="23">
        <f>IF($A1041="","",COUNTIFS(NOVEDADES!$C$4:$C$1503,$A1041))</f>
        <v/>
      </c>
      <c r="O1041" s="27">
        <f>IF($A1041="","",IF(COUNTIFS(NOVEDADES!$C$4:$C$1503,$A1041,NOVEDADES!$M$4:$M$1503,"SÍ")&gt;0,"No","Sí"))</f>
        <v/>
      </c>
      <c r="P1041" s="27">
        <f>IF(OR($A1041="",$K1041=""),"",IF(AND($M1041="Sí",$O1041="Sí"),"OTIF","Falló"))</f>
        <v/>
      </c>
    </row>
    <row r="1042" ht="16" customHeight="1">
      <c r="A1042" s="47" t="n"/>
      <c r="B1042" s="46" t="n"/>
      <c r="C1042" s="49" t="n"/>
      <c r="D1042" s="49" t="n"/>
      <c r="E1042" s="49" t="n"/>
      <c r="F1042" s="49" t="n"/>
      <c r="G1042" s="47" t="n"/>
      <c r="H1042" s="50" t="n"/>
      <c r="I1042" s="51" t="n"/>
      <c r="J1042" s="46" t="n"/>
      <c r="K1042" s="46" t="n"/>
      <c r="L1042" s="23">
        <f>IF(OR($A1042="",$B1042=""),"",IF($K1042&lt;&gt;"",$K1042-$B1042,TODAY()-$B1042))</f>
        <v/>
      </c>
      <c r="M1042" s="27">
        <f>IF(OR($A1042="",$J1042=""),"",IF($K1042="",IF(TODAY()&gt;$J1042,"Atrasado","En ruta"),IF($K1042&lt;=$J1042,"Sí","No")))</f>
        <v/>
      </c>
      <c r="N1042" s="23">
        <f>IF($A1042="","",COUNTIFS(NOVEDADES!$C$4:$C$1503,$A1042))</f>
        <v/>
      </c>
      <c r="O1042" s="27">
        <f>IF($A1042="","",IF(COUNTIFS(NOVEDADES!$C$4:$C$1503,$A1042,NOVEDADES!$M$4:$M$1503,"SÍ")&gt;0,"No","Sí"))</f>
        <v/>
      </c>
      <c r="P1042" s="27">
        <f>IF(OR($A1042="",$K1042=""),"",IF(AND($M1042="Sí",$O1042="Sí"),"OTIF","Falló"))</f>
        <v/>
      </c>
    </row>
    <row r="1043" ht="16" customHeight="1">
      <c r="A1043" s="47" t="n"/>
      <c r="B1043" s="46" t="n"/>
      <c r="C1043" s="49" t="n"/>
      <c r="D1043" s="49" t="n"/>
      <c r="E1043" s="49" t="n"/>
      <c r="F1043" s="49" t="n"/>
      <c r="G1043" s="47" t="n"/>
      <c r="H1043" s="50" t="n"/>
      <c r="I1043" s="51" t="n"/>
      <c r="J1043" s="46" t="n"/>
      <c r="K1043" s="46" t="n"/>
      <c r="L1043" s="23">
        <f>IF(OR($A1043="",$B1043=""),"",IF($K1043&lt;&gt;"",$K1043-$B1043,TODAY()-$B1043))</f>
        <v/>
      </c>
      <c r="M1043" s="27">
        <f>IF(OR($A1043="",$J1043=""),"",IF($K1043="",IF(TODAY()&gt;$J1043,"Atrasado","En ruta"),IF($K1043&lt;=$J1043,"Sí","No")))</f>
        <v/>
      </c>
      <c r="N1043" s="23">
        <f>IF($A1043="","",COUNTIFS(NOVEDADES!$C$4:$C$1503,$A1043))</f>
        <v/>
      </c>
      <c r="O1043" s="27">
        <f>IF($A1043="","",IF(COUNTIFS(NOVEDADES!$C$4:$C$1503,$A1043,NOVEDADES!$M$4:$M$1503,"SÍ")&gt;0,"No","Sí"))</f>
        <v/>
      </c>
      <c r="P1043" s="27">
        <f>IF(OR($A1043="",$K1043=""),"",IF(AND($M1043="Sí",$O1043="Sí"),"OTIF","Falló"))</f>
        <v/>
      </c>
    </row>
    <row r="1044" ht="16" customHeight="1">
      <c r="A1044" s="47" t="n"/>
      <c r="B1044" s="46" t="n"/>
      <c r="C1044" s="49" t="n"/>
      <c r="D1044" s="49" t="n"/>
      <c r="E1044" s="49" t="n"/>
      <c r="F1044" s="49" t="n"/>
      <c r="G1044" s="47" t="n"/>
      <c r="H1044" s="50" t="n"/>
      <c r="I1044" s="51" t="n"/>
      <c r="J1044" s="46" t="n"/>
      <c r="K1044" s="46" t="n"/>
      <c r="L1044" s="23">
        <f>IF(OR($A1044="",$B1044=""),"",IF($K1044&lt;&gt;"",$K1044-$B1044,TODAY()-$B1044))</f>
        <v/>
      </c>
      <c r="M1044" s="27">
        <f>IF(OR($A1044="",$J1044=""),"",IF($K1044="",IF(TODAY()&gt;$J1044,"Atrasado","En ruta"),IF($K1044&lt;=$J1044,"Sí","No")))</f>
        <v/>
      </c>
      <c r="N1044" s="23">
        <f>IF($A1044="","",COUNTIFS(NOVEDADES!$C$4:$C$1503,$A1044))</f>
        <v/>
      </c>
      <c r="O1044" s="27">
        <f>IF($A1044="","",IF(COUNTIFS(NOVEDADES!$C$4:$C$1503,$A1044,NOVEDADES!$M$4:$M$1503,"SÍ")&gt;0,"No","Sí"))</f>
        <v/>
      </c>
      <c r="P1044" s="27">
        <f>IF(OR($A1044="",$K1044=""),"",IF(AND($M1044="Sí",$O1044="Sí"),"OTIF","Falló"))</f>
        <v/>
      </c>
    </row>
    <row r="1045" ht="16" customHeight="1">
      <c r="A1045" s="47" t="n"/>
      <c r="B1045" s="46" t="n"/>
      <c r="C1045" s="49" t="n"/>
      <c r="D1045" s="49" t="n"/>
      <c r="E1045" s="49" t="n"/>
      <c r="F1045" s="49" t="n"/>
      <c r="G1045" s="47" t="n"/>
      <c r="H1045" s="50" t="n"/>
      <c r="I1045" s="51" t="n"/>
      <c r="J1045" s="46" t="n"/>
      <c r="K1045" s="46" t="n"/>
      <c r="L1045" s="23">
        <f>IF(OR($A1045="",$B1045=""),"",IF($K1045&lt;&gt;"",$K1045-$B1045,TODAY()-$B1045))</f>
        <v/>
      </c>
      <c r="M1045" s="27">
        <f>IF(OR($A1045="",$J1045=""),"",IF($K1045="",IF(TODAY()&gt;$J1045,"Atrasado","En ruta"),IF($K1045&lt;=$J1045,"Sí","No")))</f>
        <v/>
      </c>
      <c r="N1045" s="23">
        <f>IF($A1045="","",COUNTIFS(NOVEDADES!$C$4:$C$1503,$A1045))</f>
        <v/>
      </c>
      <c r="O1045" s="27">
        <f>IF($A1045="","",IF(COUNTIFS(NOVEDADES!$C$4:$C$1503,$A1045,NOVEDADES!$M$4:$M$1503,"SÍ")&gt;0,"No","Sí"))</f>
        <v/>
      </c>
      <c r="P1045" s="27">
        <f>IF(OR($A1045="",$K1045=""),"",IF(AND($M1045="Sí",$O1045="Sí"),"OTIF","Falló"))</f>
        <v/>
      </c>
    </row>
    <row r="1046" ht="16" customHeight="1">
      <c r="A1046" s="47" t="n"/>
      <c r="B1046" s="46" t="n"/>
      <c r="C1046" s="49" t="n"/>
      <c r="D1046" s="49" t="n"/>
      <c r="E1046" s="49" t="n"/>
      <c r="F1046" s="49" t="n"/>
      <c r="G1046" s="47" t="n"/>
      <c r="H1046" s="50" t="n"/>
      <c r="I1046" s="51" t="n"/>
      <c r="J1046" s="46" t="n"/>
      <c r="K1046" s="46" t="n"/>
      <c r="L1046" s="23">
        <f>IF(OR($A1046="",$B1046=""),"",IF($K1046&lt;&gt;"",$K1046-$B1046,TODAY()-$B1046))</f>
        <v/>
      </c>
      <c r="M1046" s="27">
        <f>IF(OR($A1046="",$J1046=""),"",IF($K1046="",IF(TODAY()&gt;$J1046,"Atrasado","En ruta"),IF($K1046&lt;=$J1046,"Sí","No")))</f>
        <v/>
      </c>
      <c r="N1046" s="23">
        <f>IF($A1046="","",COUNTIFS(NOVEDADES!$C$4:$C$1503,$A1046))</f>
        <v/>
      </c>
      <c r="O1046" s="27">
        <f>IF($A1046="","",IF(COUNTIFS(NOVEDADES!$C$4:$C$1503,$A1046,NOVEDADES!$M$4:$M$1503,"SÍ")&gt;0,"No","Sí"))</f>
        <v/>
      </c>
      <c r="P1046" s="27">
        <f>IF(OR($A1046="",$K1046=""),"",IF(AND($M1046="Sí",$O1046="Sí"),"OTIF","Falló"))</f>
        <v/>
      </c>
    </row>
    <row r="1047" ht="16" customHeight="1">
      <c r="A1047" s="47" t="n"/>
      <c r="B1047" s="46" t="n"/>
      <c r="C1047" s="49" t="n"/>
      <c r="D1047" s="49" t="n"/>
      <c r="E1047" s="49" t="n"/>
      <c r="F1047" s="49" t="n"/>
      <c r="G1047" s="47" t="n"/>
      <c r="H1047" s="50" t="n"/>
      <c r="I1047" s="51" t="n"/>
      <c r="J1047" s="46" t="n"/>
      <c r="K1047" s="46" t="n"/>
      <c r="L1047" s="23">
        <f>IF(OR($A1047="",$B1047=""),"",IF($K1047&lt;&gt;"",$K1047-$B1047,TODAY()-$B1047))</f>
        <v/>
      </c>
      <c r="M1047" s="27">
        <f>IF(OR($A1047="",$J1047=""),"",IF($K1047="",IF(TODAY()&gt;$J1047,"Atrasado","En ruta"),IF($K1047&lt;=$J1047,"Sí","No")))</f>
        <v/>
      </c>
      <c r="N1047" s="23">
        <f>IF($A1047="","",COUNTIFS(NOVEDADES!$C$4:$C$1503,$A1047))</f>
        <v/>
      </c>
      <c r="O1047" s="27">
        <f>IF($A1047="","",IF(COUNTIFS(NOVEDADES!$C$4:$C$1503,$A1047,NOVEDADES!$M$4:$M$1503,"SÍ")&gt;0,"No","Sí"))</f>
        <v/>
      </c>
      <c r="P1047" s="27">
        <f>IF(OR($A1047="",$K1047=""),"",IF(AND($M1047="Sí",$O1047="Sí"),"OTIF","Falló"))</f>
        <v/>
      </c>
    </row>
    <row r="1048" ht="16" customHeight="1">
      <c r="A1048" s="47" t="n"/>
      <c r="B1048" s="46" t="n"/>
      <c r="C1048" s="49" t="n"/>
      <c r="D1048" s="49" t="n"/>
      <c r="E1048" s="49" t="n"/>
      <c r="F1048" s="49" t="n"/>
      <c r="G1048" s="47" t="n"/>
      <c r="H1048" s="50" t="n"/>
      <c r="I1048" s="51" t="n"/>
      <c r="J1048" s="46" t="n"/>
      <c r="K1048" s="46" t="n"/>
      <c r="L1048" s="23">
        <f>IF(OR($A1048="",$B1048=""),"",IF($K1048&lt;&gt;"",$K1048-$B1048,TODAY()-$B1048))</f>
        <v/>
      </c>
      <c r="M1048" s="27">
        <f>IF(OR($A1048="",$J1048=""),"",IF($K1048="",IF(TODAY()&gt;$J1048,"Atrasado","En ruta"),IF($K1048&lt;=$J1048,"Sí","No")))</f>
        <v/>
      </c>
      <c r="N1048" s="23">
        <f>IF($A1048="","",COUNTIFS(NOVEDADES!$C$4:$C$1503,$A1048))</f>
        <v/>
      </c>
      <c r="O1048" s="27">
        <f>IF($A1048="","",IF(COUNTIFS(NOVEDADES!$C$4:$C$1503,$A1048,NOVEDADES!$M$4:$M$1503,"SÍ")&gt;0,"No","Sí"))</f>
        <v/>
      </c>
      <c r="P1048" s="27">
        <f>IF(OR($A1048="",$K1048=""),"",IF(AND($M1048="Sí",$O1048="Sí"),"OTIF","Falló"))</f>
        <v/>
      </c>
    </row>
    <row r="1049" ht="16" customHeight="1">
      <c r="A1049" s="47" t="n"/>
      <c r="B1049" s="46" t="n"/>
      <c r="C1049" s="49" t="n"/>
      <c r="D1049" s="49" t="n"/>
      <c r="E1049" s="49" t="n"/>
      <c r="F1049" s="49" t="n"/>
      <c r="G1049" s="47" t="n"/>
      <c r="H1049" s="50" t="n"/>
      <c r="I1049" s="51" t="n"/>
      <c r="J1049" s="46" t="n"/>
      <c r="K1049" s="46" t="n"/>
      <c r="L1049" s="23">
        <f>IF(OR($A1049="",$B1049=""),"",IF($K1049&lt;&gt;"",$K1049-$B1049,TODAY()-$B1049))</f>
        <v/>
      </c>
      <c r="M1049" s="27">
        <f>IF(OR($A1049="",$J1049=""),"",IF($K1049="",IF(TODAY()&gt;$J1049,"Atrasado","En ruta"),IF($K1049&lt;=$J1049,"Sí","No")))</f>
        <v/>
      </c>
      <c r="N1049" s="23">
        <f>IF($A1049="","",COUNTIFS(NOVEDADES!$C$4:$C$1503,$A1049))</f>
        <v/>
      </c>
      <c r="O1049" s="27">
        <f>IF($A1049="","",IF(COUNTIFS(NOVEDADES!$C$4:$C$1503,$A1049,NOVEDADES!$M$4:$M$1503,"SÍ")&gt;0,"No","Sí"))</f>
        <v/>
      </c>
      <c r="P1049" s="27">
        <f>IF(OR($A1049="",$K1049=""),"",IF(AND($M1049="Sí",$O1049="Sí"),"OTIF","Falló"))</f>
        <v/>
      </c>
    </row>
    <row r="1050" ht="16" customHeight="1">
      <c r="A1050" s="47" t="n"/>
      <c r="B1050" s="46" t="n"/>
      <c r="C1050" s="49" t="n"/>
      <c r="D1050" s="49" t="n"/>
      <c r="E1050" s="49" t="n"/>
      <c r="F1050" s="49" t="n"/>
      <c r="G1050" s="47" t="n"/>
      <c r="H1050" s="50" t="n"/>
      <c r="I1050" s="51" t="n"/>
      <c r="J1050" s="46" t="n"/>
      <c r="K1050" s="46" t="n"/>
      <c r="L1050" s="23">
        <f>IF(OR($A1050="",$B1050=""),"",IF($K1050&lt;&gt;"",$K1050-$B1050,TODAY()-$B1050))</f>
        <v/>
      </c>
      <c r="M1050" s="27">
        <f>IF(OR($A1050="",$J1050=""),"",IF($K1050="",IF(TODAY()&gt;$J1050,"Atrasado","En ruta"),IF($K1050&lt;=$J1050,"Sí","No")))</f>
        <v/>
      </c>
      <c r="N1050" s="23">
        <f>IF($A1050="","",COUNTIFS(NOVEDADES!$C$4:$C$1503,$A1050))</f>
        <v/>
      </c>
      <c r="O1050" s="27">
        <f>IF($A1050="","",IF(COUNTIFS(NOVEDADES!$C$4:$C$1503,$A1050,NOVEDADES!$M$4:$M$1503,"SÍ")&gt;0,"No","Sí"))</f>
        <v/>
      </c>
      <c r="P1050" s="27">
        <f>IF(OR($A1050="",$K1050=""),"",IF(AND($M1050="Sí",$O1050="Sí"),"OTIF","Falló"))</f>
        <v/>
      </c>
    </row>
    <row r="1051" ht="16" customHeight="1">
      <c r="A1051" s="47" t="n"/>
      <c r="B1051" s="46" t="n"/>
      <c r="C1051" s="49" t="n"/>
      <c r="D1051" s="49" t="n"/>
      <c r="E1051" s="49" t="n"/>
      <c r="F1051" s="49" t="n"/>
      <c r="G1051" s="47" t="n"/>
      <c r="H1051" s="50" t="n"/>
      <c r="I1051" s="51" t="n"/>
      <c r="J1051" s="46" t="n"/>
      <c r="K1051" s="46" t="n"/>
      <c r="L1051" s="23">
        <f>IF(OR($A1051="",$B1051=""),"",IF($K1051&lt;&gt;"",$K1051-$B1051,TODAY()-$B1051))</f>
        <v/>
      </c>
      <c r="M1051" s="27">
        <f>IF(OR($A1051="",$J1051=""),"",IF($K1051="",IF(TODAY()&gt;$J1051,"Atrasado","En ruta"),IF($K1051&lt;=$J1051,"Sí","No")))</f>
        <v/>
      </c>
      <c r="N1051" s="23">
        <f>IF($A1051="","",COUNTIFS(NOVEDADES!$C$4:$C$1503,$A1051))</f>
        <v/>
      </c>
      <c r="O1051" s="27">
        <f>IF($A1051="","",IF(COUNTIFS(NOVEDADES!$C$4:$C$1503,$A1051,NOVEDADES!$M$4:$M$1503,"SÍ")&gt;0,"No","Sí"))</f>
        <v/>
      </c>
      <c r="P1051" s="27">
        <f>IF(OR($A1051="",$K1051=""),"",IF(AND($M1051="Sí",$O1051="Sí"),"OTIF","Falló"))</f>
        <v/>
      </c>
    </row>
    <row r="1052" ht="16" customHeight="1">
      <c r="A1052" s="47" t="n"/>
      <c r="B1052" s="46" t="n"/>
      <c r="C1052" s="49" t="n"/>
      <c r="D1052" s="49" t="n"/>
      <c r="E1052" s="49" t="n"/>
      <c r="F1052" s="49" t="n"/>
      <c r="G1052" s="47" t="n"/>
      <c r="H1052" s="50" t="n"/>
      <c r="I1052" s="51" t="n"/>
      <c r="J1052" s="46" t="n"/>
      <c r="K1052" s="46" t="n"/>
      <c r="L1052" s="23">
        <f>IF(OR($A1052="",$B1052=""),"",IF($K1052&lt;&gt;"",$K1052-$B1052,TODAY()-$B1052))</f>
        <v/>
      </c>
      <c r="M1052" s="27">
        <f>IF(OR($A1052="",$J1052=""),"",IF($K1052="",IF(TODAY()&gt;$J1052,"Atrasado","En ruta"),IF($K1052&lt;=$J1052,"Sí","No")))</f>
        <v/>
      </c>
      <c r="N1052" s="23">
        <f>IF($A1052="","",COUNTIFS(NOVEDADES!$C$4:$C$1503,$A1052))</f>
        <v/>
      </c>
      <c r="O1052" s="27">
        <f>IF($A1052="","",IF(COUNTIFS(NOVEDADES!$C$4:$C$1503,$A1052,NOVEDADES!$M$4:$M$1503,"SÍ")&gt;0,"No","Sí"))</f>
        <v/>
      </c>
      <c r="P1052" s="27">
        <f>IF(OR($A1052="",$K1052=""),"",IF(AND($M1052="Sí",$O1052="Sí"),"OTIF","Falló"))</f>
        <v/>
      </c>
    </row>
    <row r="1053" ht="16" customHeight="1">
      <c r="A1053" s="47" t="n"/>
      <c r="B1053" s="46" t="n"/>
      <c r="C1053" s="49" t="n"/>
      <c r="D1053" s="49" t="n"/>
      <c r="E1053" s="49" t="n"/>
      <c r="F1053" s="49" t="n"/>
      <c r="G1053" s="47" t="n"/>
      <c r="H1053" s="50" t="n"/>
      <c r="I1053" s="51" t="n"/>
      <c r="J1053" s="46" t="n"/>
      <c r="K1053" s="46" t="n"/>
      <c r="L1053" s="23">
        <f>IF(OR($A1053="",$B1053=""),"",IF($K1053&lt;&gt;"",$K1053-$B1053,TODAY()-$B1053))</f>
        <v/>
      </c>
      <c r="M1053" s="27">
        <f>IF(OR($A1053="",$J1053=""),"",IF($K1053="",IF(TODAY()&gt;$J1053,"Atrasado","En ruta"),IF($K1053&lt;=$J1053,"Sí","No")))</f>
        <v/>
      </c>
      <c r="N1053" s="23">
        <f>IF($A1053="","",COUNTIFS(NOVEDADES!$C$4:$C$1503,$A1053))</f>
        <v/>
      </c>
      <c r="O1053" s="27">
        <f>IF($A1053="","",IF(COUNTIFS(NOVEDADES!$C$4:$C$1503,$A1053,NOVEDADES!$M$4:$M$1503,"SÍ")&gt;0,"No","Sí"))</f>
        <v/>
      </c>
      <c r="P1053" s="27">
        <f>IF(OR($A1053="",$K1053=""),"",IF(AND($M1053="Sí",$O1053="Sí"),"OTIF","Falló"))</f>
        <v/>
      </c>
    </row>
    <row r="1054" ht="16" customHeight="1">
      <c r="A1054" s="47" t="n"/>
      <c r="B1054" s="46" t="n"/>
      <c r="C1054" s="49" t="n"/>
      <c r="D1054" s="49" t="n"/>
      <c r="E1054" s="49" t="n"/>
      <c r="F1054" s="49" t="n"/>
      <c r="G1054" s="47" t="n"/>
      <c r="H1054" s="50" t="n"/>
      <c r="I1054" s="51" t="n"/>
      <c r="J1054" s="46" t="n"/>
      <c r="K1054" s="46" t="n"/>
      <c r="L1054" s="23">
        <f>IF(OR($A1054="",$B1054=""),"",IF($K1054&lt;&gt;"",$K1054-$B1054,TODAY()-$B1054))</f>
        <v/>
      </c>
      <c r="M1054" s="27">
        <f>IF(OR($A1054="",$J1054=""),"",IF($K1054="",IF(TODAY()&gt;$J1054,"Atrasado","En ruta"),IF($K1054&lt;=$J1054,"Sí","No")))</f>
        <v/>
      </c>
      <c r="N1054" s="23">
        <f>IF($A1054="","",COUNTIFS(NOVEDADES!$C$4:$C$1503,$A1054))</f>
        <v/>
      </c>
      <c r="O1054" s="27">
        <f>IF($A1054="","",IF(COUNTIFS(NOVEDADES!$C$4:$C$1503,$A1054,NOVEDADES!$M$4:$M$1503,"SÍ")&gt;0,"No","Sí"))</f>
        <v/>
      </c>
      <c r="P1054" s="27">
        <f>IF(OR($A1054="",$K1054=""),"",IF(AND($M1054="Sí",$O1054="Sí"),"OTIF","Falló"))</f>
        <v/>
      </c>
    </row>
    <row r="1055" ht="16" customHeight="1">
      <c r="A1055" s="47" t="n"/>
      <c r="B1055" s="46" t="n"/>
      <c r="C1055" s="49" t="n"/>
      <c r="D1055" s="49" t="n"/>
      <c r="E1055" s="49" t="n"/>
      <c r="F1055" s="49" t="n"/>
      <c r="G1055" s="47" t="n"/>
      <c r="H1055" s="50" t="n"/>
      <c r="I1055" s="51" t="n"/>
      <c r="J1055" s="46" t="n"/>
      <c r="K1055" s="46" t="n"/>
      <c r="L1055" s="23">
        <f>IF(OR($A1055="",$B1055=""),"",IF($K1055&lt;&gt;"",$K1055-$B1055,TODAY()-$B1055))</f>
        <v/>
      </c>
      <c r="M1055" s="27">
        <f>IF(OR($A1055="",$J1055=""),"",IF($K1055="",IF(TODAY()&gt;$J1055,"Atrasado","En ruta"),IF($K1055&lt;=$J1055,"Sí","No")))</f>
        <v/>
      </c>
      <c r="N1055" s="23">
        <f>IF($A1055="","",COUNTIFS(NOVEDADES!$C$4:$C$1503,$A1055))</f>
        <v/>
      </c>
      <c r="O1055" s="27">
        <f>IF($A1055="","",IF(COUNTIFS(NOVEDADES!$C$4:$C$1503,$A1055,NOVEDADES!$M$4:$M$1503,"SÍ")&gt;0,"No","Sí"))</f>
        <v/>
      </c>
      <c r="P1055" s="27">
        <f>IF(OR($A1055="",$K1055=""),"",IF(AND($M1055="Sí",$O1055="Sí"),"OTIF","Falló"))</f>
        <v/>
      </c>
    </row>
    <row r="1056" ht="16" customHeight="1">
      <c r="A1056" s="47" t="n"/>
      <c r="B1056" s="46" t="n"/>
      <c r="C1056" s="49" t="n"/>
      <c r="D1056" s="49" t="n"/>
      <c r="E1056" s="49" t="n"/>
      <c r="F1056" s="49" t="n"/>
      <c r="G1056" s="47" t="n"/>
      <c r="H1056" s="50" t="n"/>
      <c r="I1056" s="51" t="n"/>
      <c r="J1056" s="46" t="n"/>
      <c r="K1056" s="46" t="n"/>
      <c r="L1056" s="23">
        <f>IF(OR($A1056="",$B1056=""),"",IF($K1056&lt;&gt;"",$K1056-$B1056,TODAY()-$B1056))</f>
        <v/>
      </c>
      <c r="M1056" s="27">
        <f>IF(OR($A1056="",$J1056=""),"",IF($K1056="",IF(TODAY()&gt;$J1056,"Atrasado","En ruta"),IF($K1056&lt;=$J1056,"Sí","No")))</f>
        <v/>
      </c>
      <c r="N1056" s="23">
        <f>IF($A1056="","",COUNTIFS(NOVEDADES!$C$4:$C$1503,$A1056))</f>
        <v/>
      </c>
      <c r="O1056" s="27">
        <f>IF($A1056="","",IF(COUNTIFS(NOVEDADES!$C$4:$C$1503,$A1056,NOVEDADES!$M$4:$M$1503,"SÍ")&gt;0,"No","Sí"))</f>
        <v/>
      </c>
      <c r="P1056" s="27">
        <f>IF(OR($A1056="",$K1056=""),"",IF(AND($M1056="Sí",$O1056="Sí"),"OTIF","Falló"))</f>
        <v/>
      </c>
    </row>
    <row r="1057" ht="16" customHeight="1">
      <c r="A1057" s="47" t="n"/>
      <c r="B1057" s="46" t="n"/>
      <c r="C1057" s="49" t="n"/>
      <c r="D1057" s="49" t="n"/>
      <c r="E1057" s="49" t="n"/>
      <c r="F1057" s="49" t="n"/>
      <c r="G1057" s="47" t="n"/>
      <c r="H1057" s="50" t="n"/>
      <c r="I1057" s="51" t="n"/>
      <c r="J1057" s="46" t="n"/>
      <c r="K1057" s="46" t="n"/>
      <c r="L1057" s="23">
        <f>IF(OR($A1057="",$B1057=""),"",IF($K1057&lt;&gt;"",$K1057-$B1057,TODAY()-$B1057))</f>
        <v/>
      </c>
      <c r="M1057" s="27">
        <f>IF(OR($A1057="",$J1057=""),"",IF($K1057="",IF(TODAY()&gt;$J1057,"Atrasado","En ruta"),IF($K1057&lt;=$J1057,"Sí","No")))</f>
        <v/>
      </c>
      <c r="N1057" s="23">
        <f>IF($A1057="","",COUNTIFS(NOVEDADES!$C$4:$C$1503,$A1057))</f>
        <v/>
      </c>
      <c r="O1057" s="27">
        <f>IF($A1057="","",IF(COUNTIFS(NOVEDADES!$C$4:$C$1503,$A1057,NOVEDADES!$M$4:$M$1503,"SÍ")&gt;0,"No","Sí"))</f>
        <v/>
      </c>
      <c r="P1057" s="27">
        <f>IF(OR($A1057="",$K1057=""),"",IF(AND($M1057="Sí",$O1057="Sí"),"OTIF","Falló"))</f>
        <v/>
      </c>
    </row>
    <row r="1058" ht="16" customHeight="1">
      <c r="A1058" s="47" t="n"/>
      <c r="B1058" s="46" t="n"/>
      <c r="C1058" s="49" t="n"/>
      <c r="D1058" s="49" t="n"/>
      <c r="E1058" s="49" t="n"/>
      <c r="F1058" s="49" t="n"/>
      <c r="G1058" s="47" t="n"/>
      <c r="H1058" s="50" t="n"/>
      <c r="I1058" s="51" t="n"/>
      <c r="J1058" s="46" t="n"/>
      <c r="K1058" s="46" t="n"/>
      <c r="L1058" s="23">
        <f>IF(OR($A1058="",$B1058=""),"",IF($K1058&lt;&gt;"",$K1058-$B1058,TODAY()-$B1058))</f>
        <v/>
      </c>
      <c r="M1058" s="27">
        <f>IF(OR($A1058="",$J1058=""),"",IF($K1058="",IF(TODAY()&gt;$J1058,"Atrasado","En ruta"),IF($K1058&lt;=$J1058,"Sí","No")))</f>
        <v/>
      </c>
      <c r="N1058" s="23">
        <f>IF($A1058="","",COUNTIFS(NOVEDADES!$C$4:$C$1503,$A1058))</f>
        <v/>
      </c>
      <c r="O1058" s="27">
        <f>IF($A1058="","",IF(COUNTIFS(NOVEDADES!$C$4:$C$1503,$A1058,NOVEDADES!$M$4:$M$1503,"SÍ")&gt;0,"No","Sí"))</f>
        <v/>
      </c>
      <c r="P1058" s="27">
        <f>IF(OR($A1058="",$K1058=""),"",IF(AND($M1058="Sí",$O1058="Sí"),"OTIF","Falló"))</f>
        <v/>
      </c>
    </row>
    <row r="1059" ht="16" customHeight="1">
      <c r="A1059" s="47" t="n"/>
      <c r="B1059" s="46" t="n"/>
      <c r="C1059" s="49" t="n"/>
      <c r="D1059" s="49" t="n"/>
      <c r="E1059" s="49" t="n"/>
      <c r="F1059" s="49" t="n"/>
      <c r="G1059" s="47" t="n"/>
      <c r="H1059" s="50" t="n"/>
      <c r="I1059" s="51" t="n"/>
      <c r="J1059" s="46" t="n"/>
      <c r="K1059" s="46" t="n"/>
      <c r="L1059" s="23">
        <f>IF(OR($A1059="",$B1059=""),"",IF($K1059&lt;&gt;"",$K1059-$B1059,TODAY()-$B1059))</f>
        <v/>
      </c>
      <c r="M1059" s="27">
        <f>IF(OR($A1059="",$J1059=""),"",IF($K1059="",IF(TODAY()&gt;$J1059,"Atrasado","En ruta"),IF($K1059&lt;=$J1059,"Sí","No")))</f>
        <v/>
      </c>
      <c r="N1059" s="23">
        <f>IF($A1059="","",COUNTIFS(NOVEDADES!$C$4:$C$1503,$A1059))</f>
        <v/>
      </c>
      <c r="O1059" s="27">
        <f>IF($A1059="","",IF(COUNTIFS(NOVEDADES!$C$4:$C$1503,$A1059,NOVEDADES!$M$4:$M$1503,"SÍ")&gt;0,"No","Sí"))</f>
        <v/>
      </c>
      <c r="P1059" s="27">
        <f>IF(OR($A1059="",$K1059=""),"",IF(AND($M1059="Sí",$O1059="Sí"),"OTIF","Falló"))</f>
        <v/>
      </c>
    </row>
    <row r="1060" ht="16" customHeight="1">
      <c r="A1060" s="47" t="n"/>
      <c r="B1060" s="46" t="n"/>
      <c r="C1060" s="49" t="n"/>
      <c r="D1060" s="49" t="n"/>
      <c r="E1060" s="49" t="n"/>
      <c r="F1060" s="49" t="n"/>
      <c r="G1060" s="47" t="n"/>
      <c r="H1060" s="50" t="n"/>
      <c r="I1060" s="51" t="n"/>
      <c r="J1060" s="46" t="n"/>
      <c r="K1060" s="46" t="n"/>
      <c r="L1060" s="23">
        <f>IF(OR($A1060="",$B1060=""),"",IF($K1060&lt;&gt;"",$K1060-$B1060,TODAY()-$B1060))</f>
        <v/>
      </c>
      <c r="M1060" s="27">
        <f>IF(OR($A1060="",$J1060=""),"",IF($K1060="",IF(TODAY()&gt;$J1060,"Atrasado","En ruta"),IF($K1060&lt;=$J1060,"Sí","No")))</f>
        <v/>
      </c>
      <c r="N1060" s="23">
        <f>IF($A1060="","",COUNTIFS(NOVEDADES!$C$4:$C$1503,$A1060))</f>
        <v/>
      </c>
      <c r="O1060" s="27">
        <f>IF($A1060="","",IF(COUNTIFS(NOVEDADES!$C$4:$C$1503,$A1060,NOVEDADES!$M$4:$M$1503,"SÍ")&gt;0,"No","Sí"))</f>
        <v/>
      </c>
      <c r="P1060" s="27">
        <f>IF(OR($A1060="",$K1060=""),"",IF(AND($M1060="Sí",$O1060="Sí"),"OTIF","Falló"))</f>
        <v/>
      </c>
    </row>
    <row r="1061" ht="16" customHeight="1">
      <c r="A1061" s="47" t="n"/>
      <c r="B1061" s="46" t="n"/>
      <c r="C1061" s="49" t="n"/>
      <c r="D1061" s="49" t="n"/>
      <c r="E1061" s="49" t="n"/>
      <c r="F1061" s="49" t="n"/>
      <c r="G1061" s="47" t="n"/>
      <c r="H1061" s="50" t="n"/>
      <c r="I1061" s="51" t="n"/>
      <c r="J1061" s="46" t="n"/>
      <c r="K1061" s="46" t="n"/>
      <c r="L1061" s="23">
        <f>IF(OR($A1061="",$B1061=""),"",IF($K1061&lt;&gt;"",$K1061-$B1061,TODAY()-$B1061))</f>
        <v/>
      </c>
      <c r="M1061" s="27">
        <f>IF(OR($A1061="",$J1061=""),"",IF($K1061="",IF(TODAY()&gt;$J1061,"Atrasado","En ruta"),IF($K1061&lt;=$J1061,"Sí","No")))</f>
        <v/>
      </c>
      <c r="N1061" s="23">
        <f>IF($A1061="","",COUNTIFS(NOVEDADES!$C$4:$C$1503,$A1061))</f>
        <v/>
      </c>
      <c r="O1061" s="27">
        <f>IF($A1061="","",IF(COUNTIFS(NOVEDADES!$C$4:$C$1503,$A1061,NOVEDADES!$M$4:$M$1503,"SÍ")&gt;0,"No","Sí"))</f>
        <v/>
      </c>
      <c r="P1061" s="27">
        <f>IF(OR($A1061="",$K1061=""),"",IF(AND($M1061="Sí",$O1061="Sí"),"OTIF","Falló"))</f>
        <v/>
      </c>
    </row>
    <row r="1062" ht="16" customHeight="1">
      <c r="A1062" s="47" t="n"/>
      <c r="B1062" s="46" t="n"/>
      <c r="C1062" s="49" t="n"/>
      <c r="D1062" s="49" t="n"/>
      <c r="E1062" s="49" t="n"/>
      <c r="F1062" s="49" t="n"/>
      <c r="G1062" s="47" t="n"/>
      <c r="H1062" s="50" t="n"/>
      <c r="I1062" s="51" t="n"/>
      <c r="J1062" s="46" t="n"/>
      <c r="K1062" s="46" t="n"/>
      <c r="L1062" s="23">
        <f>IF(OR($A1062="",$B1062=""),"",IF($K1062&lt;&gt;"",$K1062-$B1062,TODAY()-$B1062))</f>
        <v/>
      </c>
      <c r="M1062" s="27">
        <f>IF(OR($A1062="",$J1062=""),"",IF($K1062="",IF(TODAY()&gt;$J1062,"Atrasado","En ruta"),IF($K1062&lt;=$J1062,"Sí","No")))</f>
        <v/>
      </c>
      <c r="N1062" s="23">
        <f>IF($A1062="","",COUNTIFS(NOVEDADES!$C$4:$C$1503,$A1062))</f>
        <v/>
      </c>
      <c r="O1062" s="27">
        <f>IF($A1062="","",IF(COUNTIFS(NOVEDADES!$C$4:$C$1503,$A1062,NOVEDADES!$M$4:$M$1503,"SÍ")&gt;0,"No","Sí"))</f>
        <v/>
      </c>
      <c r="P1062" s="27">
        <f>IF(OR($A1062="",$K1062=""),"",IF(AND($M1062="Sí",$O1062="Sí"),"OTIF","Falló"))</f>
        <v/>
      </c>
    </row>
    <row r="1063" ht="16" customHeight="1">
      <c r="A1063" s="47" t="n"/>
      <c r="B1063" s="46" t="n"/>
      <c r="C1063" s="49" t="n"/>
      <c r="D1063" s="49" t="n"/>
      <c r="E1063" s="49" t="n"/>
      <c r="F1063" s="49" t="n"/>
      <c r="G1063" s="47" t="n"/>
      <c r="H1063" s="50" t="n"/>
      <c r="I1063" s="51" t="n"/>
      <c r="J1063" s="46" t="n"/>
      <c r="K1063" s="46" t="n"/>
      <c r="L1063" s="23">
        <f>IF(OR($A1063="",$B1063=""),"",IF($K1063&lt;&gt;"",$K1063-$B1063,TODAY()-$B1063))</f>
        <v/>
      </c>
      <c r="M1063" s="27">
        <f>IF(OR($A1063="",$J1063=""),"",IF($K1063="",IF(TODAY()&gt;$J1063,"Atrasado","En ruta"),IF($K1063&lt;=$J1063,"Sí","No")))</f>
        <v/>
      </c>
      <c r="N1063" s="23">
        <f>IF($A1063="","",COUNTIFS(NOVEDADES!$C$4:$C$1503,$A1063))</f>
        <v/>
      </c>
      <c r="O1063" s="27">
        <f>IF($A1063="","",IF(COUNTIFS(NOVEDADES!$C$4:$C$1503,$A1063,NOVEDADES!$M$4:$M$1503,"SÍ")&gt;0,"No","Sí"))</f>
        <v/>
      </c>
      <c r="P1063" s="27">
        <f>IF(OR($A1063="",$K1063=""),"",IF(AND($M1063="Sí",$O1063="Sí"),"OTIF","Falló"))</f>
        <v/>
      </c>
    </row>
    <row r="1064" ht="16" customHeight="1">
      <c r="A1064" s="47" t="n"/>
      <c r="B1064" s="46" t="n"/>
      <c r="C1064" s="49" t="n"/>
      <c r="D1064" s="49" t="n"/>
      <c r="E1064" s="49" t="n"/>
      <c r="F1064" s="49" t="n"/>
      <c r="G1064" s="47" t="n"/>
      <c r="H1064" s="50" t="n"/>
      <c r="I1064" s="51" t="n"/>
      <c r="J1064" s="46" t="n"/>
      <c r="K1064" s="46" t="n"/>
      <c r="L1064" s="23">
        <f>IF(OR($A1064="",$B1064=""),"",IF($K1064&lt;&gt;"",$K1064-$B1064,TODAY()-$B1064))</f>
        <v/>
      </c>
      <c r="M1064" s="27">
        <f>IF(OR($A1064="",$J1064=""),"",IF($K1064="",IF(TODAY()&gt;$J1064,"Atrasado","En ruta"),IF($K1064&lt;=$J1064,"Sí","No")))</f>
        <v/>
      </c>
      <c r="N1064" s="23">
        <f>IF($A1064="","",COUNTIFS(NOVEDADES!$C$4:$C$1503,$A1064))</f>
        <v/>
      </c>
      <c r="O1064" s="27">
        <f>IF($A1064="","",IF(COUNTIFS(NOVEDADES!$C$4:$C$1503,$A1064,NOVEDADES!$M$4:$M$1503,"SÍ")&gt;0,"No","Sí"))</f>
        <v/>
      </c>
      <c r="P1064" s="27">
        <f>IF(OR($A1064="",$K1064=""),"",IF(AND($M1064="Sí",$O1064="Sí"),"OTIF","Falló"))</f>
        <v/>
      </c>
    </row>
    <row r="1065" ht="16" customHeight="1">
      <c r="A1065" s="47" t="n"/>
      <c r="B1065" s="46" t="n"/>
      <c r="C1065" s="49" t="n"/>
      <c r="D1065" s="49" t="n"/>
      <c r="E1065" s="49" t="n"/>
      <c r="F1065" s="49" t="n"/>
      <c r="G1065" s="47" t="n"/>
      <c r="H1065" s="50" t="n"/>
      <c r="I1065" s="51" t="n"/>
      <c r="J1065" s="46" t="n"/>
      <c r="K1065" s="46" t="n"/>
      <c r="L1065" s="23">
        <f>IF(OR($A1065="",$B1065=""),"",IF($K1065&lt;&gt;"",$K1065-$B1065,TODAY()-$B1065))</f>
        <v/>
      </c>
      <c r="M1065" s="27">
        <f>IF(OR($A1065="",$J1065=""),"",IF($K1065="",IF(TODAY()&gt;$J1065,"Atrasado","En ruta"),IF($K1065&lt;=$J1065,"Sí","No")))</f>
        <v/>
      </c>
      <c r="N1065" s="23">
        <f>IF($A1065="","",COUNTIFS(NOVEDADES!$C$4:$C$1503,$A1065))</f>
        <v/>
      </c>
      <c r="O1065" s="27">
        <f>IF($A1065="","",IF(COUNTIFS(NOVEDADES!$C$4:$C$1503,$A1065,NOVEDADES!$M$4:$M$1503,"SÍ")&gt;0,"No","Sí"))</f>
        <v/>
      </c>
      <c r="P1065" s="27">
        <f>IF(OR($A1065="",$K1065=""),"",IF(AND($M1065="Sí",$O1065="Sí"),"OTIF","Falló"))</f>
        <v/>
      </c>
    </row>
    <row r="1066" ht="16" customHeight="1">
      <c r="A1066" s="47" t="n"/>
      <c r="B1066" s="46" t="n"/>
      <c r="C1066" s="49" t="n"/>
      <c r="D1066" s="49" t="n"/>
      <c r="E1066" s="49" t="n"/>
      <c r="F1066" s="49" t="n"/>
      <c r="G1066" s="47" t="n"/>
      <c r="H1066" s="50" t="n"/>
      <c r="I1066" s="51" t="n"/>
      <c r="J1066" s="46" t="n"/>
      <c r="K1066" s="46" t="n"/>
      <c r="L1066" s="23">
        <f>IF(OR($A1066="",$B1066=""),"",IF($K1066&lt;&gt;"",$K1066-$B1066,TODAY()-$B1066))</f>
        <v/>
      </c>
      <c r="M1066" s="27">
        <f>IF(OR($A1066="",$J1066=""),"",IF($K1066="",IF(TODAY()&gt;$J1066,"Atrasado","En ruta"),IF($K1066&lt;=$J1066,"Sí","No")))</f>
        <v/>
      </c>
      <c r="N1066" s="23">
        <f>IF($A1066="","",COUNTIFS(NOVEDADES!$C$4:$C$1503,$A1066))</f>
        <v/>
      </c>
      <c r="O1066" s="27">
        <f>IF($A1066="","",IF(COUNTIFS(NOVEDADES!$C$4:$C$1503,$A1066,NOVEDADES!$M$4:$M$1503,"SÍ")&gt;0,"No","Sí"))</f>
        <v/>
      </c>
      <c r="P1066" s="27">
        <f>IF(OR($A1066="",$K1066=""),"",IF(AND($M1066="Sí",$O1066="Sí"),"OTIF","Falló"))</f>
        <v/>
      </c>
    </row>
    <row r="1067" ht="16" customHeight="1">
      <c r="A1067" s="47" t="n"/>
      <c r="B1067" s="46" t="n"/>
      <c r="C1067" s="49" t="n"/>
      <c r="D1067" s="49" t="n"/>
      <c r="E1067" s="49" t="n"/>
      <c r="F1067" s="49" t="n"/>
      <c r="G1067" s="47" t="n"/>
      <c r="H1067" s="50" t="n"/>
      <c r="I1067" s="51" t="n"/>
      <c r="J1067" s="46" t="n"/>
      <c r="K1067" s="46" t="n"/>
      <c r="L1067" s="23">
        <f>IF(OR($A1067="",$B1067=""),"",IF($K1067&lt;&gt;"",$K1067-$B1067,TODAY()-$B1067))</f>
        <v/>
      </c>
      <c r="M1067" s="27">
        <f>IF(OR($A1067="",$J1067=""),"",IF($K1067="",IF(TODAY()&gt;$J1067,"Atrasado","En ruta"),IF($K1067&lt;=$J1067,"Sí","No")))</f>
        <v/>
      </c>
      <c r="N1067" s="23">
        <f>IF($A1067="","",COUNTIFS(NOVEDADES!$C$4:$C$1503,$A1067))</f>
        <v/>
      </c>
      <c r="O1067" s="27">
        <f>IF($A1067="","",IF(COUNTIFS(NOVEDADES!$C$4:$C$1503,$A1067,NOVEDADES!$M$4:$M$1503,"SÍ")&gt;0,"No","Sí"))</f>
        <v/>
      </c>
      <c r="P1067" s="27">
        <f>IF(OR($A1067="",$K1067=""),"",IF(AND($M1067="Sí",$O1067="Sí"),"OTIF","Falló"))</f>
        <v/>
      </c>
    </row>
    <row r="1068" ht="16" customHeight="1">
      <c r="A1068" s="47" t="n"/>
      <c r="B1068" s="46" t="n"/>
      <c r="C1068" s="49" t="n"/>
      <c r="D1068" s="49" t="n"/>
      <c r="E1068" s="49" t="n"/>
      <c r="F1068" s="49" t="n"/>
      <c r="G1068" s="47" t="n"/>
      <c r="H1068" s="50" t="n"/>
      <c r="I1068" s="51" t="n"/>
      <c r="J1068" s="46" t="n"/>
      <c r="K1068" s="46" t="n"/>
      <c r="L1068" s="23">
        <f>IF(OR($A1068="",$B1068=""),"",IF($K1068&lt;&gt;"",$K1068-$B1068,TODAY()-$B1068))</f>
        <v/>
      </c>
      <c r="M1068" s="27">
        <f>IF(OR($A1068="",$J1068=""),"",IF($K1068="",IF(TODAY()&gt;$J1068,"Atrasado","En ruta"),IF($K1068&lt;=$J1068,"Sí","No")))</f>
        <v/>
      </c>
      <c r="N1068" s="23">
        <f>IF($A1068="","",COUNTIFS(NOVEDADES!$C$4:$C$1503,$A1068))</f>
        <v/>
      </c>
      <c r="O1068" s="27">
        <f>IF($A1068="","",IF(COUNTIFS(NOVEDADES!$C$4:$C$1503,$A1068,NOVEDADES!$M$4:$M$1503,"SÍ")&gt;0,"No","Sí"))</f>
        <v/>
      </c>
      <c r="P1068" s="27">
        <f>IF(OR($A1068="",$K1068=""),"",IF(AND($M1068="Sí",$O1068="Sí"),"OTIF","Falló"))</f>
        <v/>
      </c>
    </row>
    <row r="1069" ht="16" customHeight="1">
      <c r="A1069" s="47" t="n"/>
      <c r="B1069" s="46" t="n"/>
      <c r="C1069" s="49" t="n"/>
      <c r="D1069" s="49" t="n"/>
      <c r="E1069" s="49" t="n"/>
      <c r="F1069" s="49" t="n"/>
      <c r="G1069" s="47" t="n"/>
      <c r="H1069" s="50" t="n"/>
      <c r="I1069" s="51" t="n"/>
      <c r="J1069" s="46" t="n"/>
      <c r="K1069" s="46" t="n"/>
      <c r="L1069" s="23">
        <f>IF(OR($A1069="",$B1069=""),"",IF($K1069&lt;&gt;"",$K1069-$B1069,TODAY()-$B1069))</f>
        <v/>
      </c>
      <c r="M1069" s="27">
        <f>IF(OR($A1069="",$J1069=""),"",IF($K1069="",IF(TODAY()&gt;$J1069,"Atrasado","En ruta"),IF($K1069&lt;=$J1069,"Sí","No")))</f>
        <v/>
      </c>
      <c r="N1069" s="23">
        <f>IF($A1069="","",COUNTIFS(NOVEDADES!$C$4:$C$1503,$A1069))</f>
        <v/>
      </c>
      <c r="O1069" s="27">
        <f>IF($A1069="","",IF(COUNTIFS(NOVEDADES!$C$4:$C$1503,$A1069,NOVEDADES!$M$4:$M$1503,"SÍ")&gt;0,"No","Sí"))</f>
        <v/>
      </c>
      <c r="P1069" s="27">
        <f>IF(OR($A1069="",$K1069=""),"",IF(AND($M1069="Sí",$O1069="Sí"),"OTIF","Falló"))</f>
        <v/>
      </c>
    </row>
    <row r="1070" ht="16" customHeight="1">
      <c r="A1070" s="47" t="n"/>
      <c r="B1070" s="46" t="n"/>
      <c r="C1070" s="49" t="n"/>
      <c r="D1070" s="49" t="n"/>
      <c r="E1070" s="49" t="n"/>
      <c r="F1070" s="49" t="n"/>
      <c r="G1070" s="47" t="n"/>
      <c r="H1070" s="50" t="n"/>
      <c r="I1070" s="51" t="n"/>
      <c r="J1070" s="46" t="n"/>
      <c r="K1070" s="46" t="n"/>
      <c r="L1070" s="23">
        <f>IF(OR($A1070="",$B1070=""),"",IF($K1070&lt;&gt;"",$K1070-$B1070,TODAY()-$B1070))</f>
        <v/>
      </c>
      <c r="M1070" s="27">
        <f>IF(OR($A1070="",$J1070=""),"",IF($K1070="",IF(TODAY()&gt;$J1070,"Atrasado","En ruta"),IF($K1070&lt;=$J1070,"Sí","No")))</f>
        <v/>
      </c>
      <c r="N1070" s="23">
        <f>IF($A1070="","",COUNTIFS(NOVEDADES!$C$4:$C$1503,$A1070))</f>
        <v/>
      </c>
      <c r="O1070" s="27">
        <f>IF($A1070="","",IF(COUNTIFS(NOVEDADES!$C$4:$C$1503,$A1070,NOVEDADES!$M$4:$M$1503,"SÍ")&gt;0,"No","Sí"))</f>
        <v/>
      </c>
      <c r="P1070" s="27">
        <f>IF(OR($A1070="",$K1070=""),"",IF(AND($M1070="Sí",$O1070="Sí"),"OTIF","Falló"))</f>
        <v/>
      </c>
    </row>
    <row r="1071" ht="16" customHeight="1">
      <c r="A1071" s="47" t="n"/>
      <c r="B1071" s="46" t="n"/>
      <c r="C1071" s="49" t="n"/>
      <c r="D1071" s="49" t="n"/>
      <c r="E1071" s="49" t="n"/>
      <c r="F1071" s="49" t="n"/>
      <c r="G1071" s="47" t="n"/>
      <c r="H1071" s="50" t="n"/>
      <c r="I1071" s="51" t="n"/>
      <c r="J1071" s="46" t="n"/>
      <c r="K1071" s="46" t="n"/>
      <c r="L1071" s="23">
        <f>IF(OR($A1071="",$B1071=""),"",IF($K1071&lt;&gt;"",$K1071-$B1071,TODAY()-$B1071))</f>
        <v/>
      </c>
      <c r="M1071" s="27">
        <f>IF(OR($A1071="",$J1071=""),"",IF($K1071="",IF(TODAY()&gt;$J1071,"Atrasado","En ruta"),IF($K1071&lt;=$J1071,"Sí","No")))</f>
        <v/>
      </c>
      <c r="N1071" s="23">
        <f>IF($A1071="","",COUNTIFS(NOVEDADES!$C$4:$C$1503,$A1071))</f>
        <v/>
      </c>
      <c r="O1071" s="27">
        <f>IF($A1071="","",IF(COUNTIFS(NOVEDADES!$C$4:$C$1503,$A1071,NOVEDADES!$M$4:$M$1503,"SÍ")&gt;0,"No","Sí"))</f>
        <v/>
      </c>
      <c r="P1071" s="27">
        <f>IF(OR($A1071="",$K1071=""),"",IF(AND($M1071="Sí",$O1071="Sí"),"OTIF","Falló"))</f>
        <v/>
      </c>
    </row>
    <row r="1072" ht="16" customHeight="1">
      <c r="A1072" s="47" t="n"/>
      <c r="B1072" s="46" t="n"/>
      <c r="C1072" s="49" t="n"/>
      <c r="D1072" s="49" t="n"/>
      <c r="E1072" s="49" t="n"/>
      <c r="F1072" s="49" t="n"/>
      <c r="G1072" s="47" t="n"/>
      <c r="H1072" s="50" t="n"/>
      <c r="I1072" s="51" t="n"/>
      <c r="J1072" s="46" t="n"/>
      <c r="K1072" s="46" t="n"/>
      <c r="L1072" s="23">
        <f>IF(OR($A1072="",$B1072=""),"",IF($K1072&lt;&gt;"",$K1072-$B1072,TODAY()-$B1072))</f>
        <v/>
      </c>
      <c r="M1072" s="27">
        <f>IF(OR($A1072="",$J1072=""),"",IF($K1072="",IF(TODAY()&gt;$J1072,"Atrasado","En ruta"),IF($K1072&lt;=$J1072,"Sí","No")))</f>
        <v/>
      </c>
      <c r="N1072" s="23">
        <f>IF($A1072="","",COUNTIFS(NOVEDADES!$C$4:$C$1503,$A1072))</f>
        <v/>
      </c>
      <c r="O1072" s="27">
        <f>IF($A1072="","",IF(COUNTIFS(NOVEDADES!$C$4:$C$1503,$A1072,NOVEDADES!$M$4:$M$1503,"SÍ")&gt;0,"No","Sí"))</f>
        <v/>
      </c>
      <c r="P1072" s="27">
        <f>IF(OR($A1072="",$K1072=""),"",IF(AND($M1072="Sí",$O1072="Sí"),"OTIF","Falló"))</f>
        <v/>
      </c>
    </row>
    <row r="1073" ht="16" customHeight="1">
      <c r="A1073" s="47" t="n"/>
      <c r="B1073" s="46" t="n"/>
      <c r="C1073" s="49" t="n"/>
      <c r="D1073" s="49" t="n"/>
      <c r="E1073" s="49" t="n"/>
      <c r="F1073" s="49" t="n"/>
      <c r="G1073" s="47" t="n"/>
      <c r="H1073" s="50" t="n"/>
      <c r="I1073" s="51" t="n"/>
      <c r="J1073" s="46" t="n"/>
      <c r="K1073" s="46" t="n"/>
      <c r="L1073" s="23">
        <f>IF(OR($A1073="",$B1073=""),"",IF($K1073&lt;&gt;"",$K1073-$B1073,TODAY()-$B1073))</f>
        <v/>
      </c>
      <c r="M1073" s="27">
        <f>IF(OR($A1073="",$J1073=""),"",IF($K1073="",IF(TODAY()&gt;$J1073,"Atrasado","En ruta"),IF($K1073&lt;=$J1073,"Sí","No")))</f>
        <v/>
      </c>
      <c r="N1073" s="23">
        <f>IF($A1073="","",COUNTIFS(NOVEDADES!$C$4:$C$1503,$A1073))</f>
        <v/>
      </c>
      <c r="O1073" s="27">
        <f>IF($A1073="","",IF(COUNTIFS(NOVEDADES!$C$4:$C$1503,$A1073,NOVEDADES!$M$4:$M$1503,"SÍ")&gt;0,"No","Sí"))</f>
        <v/>
      </c>
      <c r="P1073" s="27">
        <f>IF(OR($A1073="",$K1073=""),"",IF(AND($M1073="Sí",$O1073="Sí"),"OTIF","Falló"))</f>
        <v/>
      </c>
    </row>
    <row r="1074" ht="16" customHeight="1">
      <c r="A1074" s="47" t="n"/>
      <c r="B1074" s="46" t="n"/>
      <c r="C1074" s="49" t="n"/>
      <c r="D1074" s="49" t="n"/>
      <c r="E1074" s="49" t="n"/>
      <c r="F1074" s="49" t="n"/>
      <c r="G1074" s="47" t="n"/>
      <c r="H1074" s="50" t="n"/>
      <c r="I1074" s="51" t="n"/>
      <c r="J1074" s="46" t="n"/>
      <c r="K1074" s="46" t="n"/>
      <c r="L1074" s="23">
        <f>IF(OR($A1074="",$B1074=""),"",IF($K1074&lt;&gt;"",$K1074-$B1074,TODAY()-$B1074))</f>
        <v/>
      </c>
      <c r="M1074" s="27">
        <f>IF(OR($A1074="",$J1074=""),"",IF($K1074="",IF(TODAY()&gt;$J1074,"Atrasado","En ruta"),IF($K1074&lt;=$J1074,"Sí","No")))</f>
        <v/>
      </c>
      <c r="N1074" s="23">
        <f>IF($A1074="","",COUNTIFS(NOVEDADES!$C$4:$C$1503,$A1074))</f>
        <v/>
      </c>
      <c r="O1074" s="27">
        <f>IF($A1074="","",IF(COUNTIFS(NOVEDADES!$C$4:$C$1503,$A1074,NOVEDADES!$M$4:$M$1503,"SÍ")&gt;0,"No","Sí"))</f>
        <v/>
      </c>
      <c r="P1074" s="27">
        <f>IF(OR($A1074="",$K1074=""),"",IF(AND($M1074="Sí",$O1074="Sí"),"OTIF","Falló"))</f>
        <v/>
      </c>
    </row>
    <row r="1075" ht="16" customHeight="1">
      <c r="A1075" s="47" t="n"/>
      <c r="B1075" s="46" t="n"/>
      <c r="C1075" s="49" t="n"/>
      <c r="D1075" s="49" t="n"/>
      <c r="E1075" s="49" t="n"/>
      <c r="F1075" s="49" t="n"/>
      <c r="G1075" s="47" t="n"/>
      <c r="H1075" s="50" t="n"/>
      <c r="I1075" s="51" t="n"/>
      <c r="J1075" s="46" t="n"/>
      <c r="K1075" s="46" t="n"/>
      <c r="L1075" s="23">
        <f>IF(OR($A1075="",$B1075=""),"",IF($K1075&lt;&gt;"",$K1075-$B1075,TODAY()-$B1075))</f>
        <v/>
      </c>
      <c r="M1075" s="27">
        <f>IF(OR($A1075="",$J1075=""),"",IF($K1075="",IF(TODAY()&gt;$J1075,"Atrasado","En ruta"),IF($K1075&lt;=$J1075,"Sí","No")))</f>
        <v/>
      </c>
      <c r="N1075" s="23">
        <f>IF($A1075="","",COUNTIFS(NOVEDADES!$C$4:$C$1503,$A1075))</f>
        <v/>
      </c>
      <c r="O1075" s="27">
        <f>IF($A1075="","",IF(COUNTIFS(NOVEDADES!$C$4:$C$1503,$A1075,NOVEDADES!$M$4:$M$1503,"SÍ")&gt;0,"No","Sí"))</f>
        <v/>
      </c>
      <c r="P1075" s="27">
        <f>IF(OR($A1075="",$K1075=""),"",IF(AND($M1075="Sí",$O1075="Sí"),"OTIF","Falló"))</f>
        <v/>
      </c>
    </row>
    <row r="1076" ht="16" customHeight="1">
      <c r="A1076" s="47" t="n"/>
      <c r="B1076" s="46" t="n"/>
      <c r="C1076" s="49" t="n"/>
      <c r="D1076" s="49" t="n"/>
      <c r="E1076" s="49" t="n"/>
      <c r="F1076" s="49" t="n"/>
      <c r="G1076" s="47" t="n"/>
      <c r="H1076" s="50" t="n"/>
      <c r="I1076" s="51" t="n"/>
      <c r="J1076" s="46" t="n"/>
      <c r="K1076" s="46" t="n"/>
      <c r="L1076" s="23">
        <f>IF(OR($A1076="",$B1076=""),"",IF($K1076&lt;&gt;"",$K1076-$B1076,TODAY()-$B1076))</f>
        <v/>
      </c>
      <c r="M1076" s="27">
        <f>IF(OR($A1076="",$J1076=""),"",IF($K1076="",IF(TODAY()&gt;$J1076,"Atrasado","En ruta"),IF($K1076&lt;=$J1076,"Sí","No")))</f>
        <v/>
      </c>
      <c r="N1076" s="23">
        <f>IF($A1076="","",COUNTIFS(NOVEDADES!$C$4:$C$1503,$A1076))</f>
        <v/>
      </c>
      <c r="O1076" s="27">
        <f>IF($A1076="","",IF(COUNTIFS(NOVEDADES!$C$4:$C$1503,$A1076,NOVEDADES!$M$4:$M$1503,"SÍ")&gt;0,"No","Sí"))</f>
        <v/>
      </c>
      <c r="P1076" s="27">
        <f>IF(OR($A1076="",$K1076=""),"",IF(AND($M1076="Sí",$O1076="Sí"),"OTIF","Falló"))</f>
        <v/>
      </c>
    </row>
    <row r="1077" ht="16" customHeight="1">
      <c r="A1077" s="47" t="n"/>
      <c r="B1077" s="46" t="n"/>
      <c r="C1077" s="49" t="n"/>
      <c r="D1077" s="49" t="n"/>
      <c r="E1077" s="49" t="n"/>
      <c r="F1077" s="49" t="n"/>
      <c r="G1077" s="47" t="n"/>
      <c r="H1077" s="50" t="n"/>
      <c r="I1077" s="51" t="n"/>
      <c r="J1077" s="46" t="n"/>
      <c r="K1077" s="46" t="n"/>
      <c r="L1077" s="23">
        <f>IF(OR($A1077="",$B1077=""),"",IF($K1077&lt;&gt;"",$K1077-$B1077,TODAY()-$B1077))</f>
        <v/>
      </c>
      <c r="M1077" s="27">
        <f>IF(OR($A1077="",$J1077=""),"",IF($K1077="",IF(TODAY()&gt;$J1077,"Atrasado","En ruta"),IF($K1077&lt;=$J1077,"Sí","No")))</f>
        <v/>
      </c>
      <c r="N1077" s="23">
        <f>IF($A1077="","",COUNTIFS(NOVEDADES!$C$4:$C$1503,$A1077))</f>
        <v/>
      </c>
      <c r="O1077" s="27">
        <f>IF($A1077="","",IF(COUNTIFS(NOVEDADES!$C$4:$C$1503,$A1077,NOVEDADES!$M$4:$M$1503,"SÍ")&gt;0,"No","Sí"))</f>
        <v/>
      </c>
      <c r="P1077" s="27">
        <f>IF(OR($A1077="",$K1077=""),"",IF(AND($M1077="Sí",$O1077="Sí"),"OTIF","Falló"))</f>
        <v/>
      </c>
    </row>
    <row r="1078" ht="16" customHeight="1">
      <c r="A1078" s="47" t="n"/>
      <c r="B1078" s="46" t="n"/>
      <c r="C1078" s="49" t="n"/>
      <c r="D1078" s="49" t="n"/>
      <c r="E1078" s="49" t="n"/>
      <c r="F1078" s="49" t="n"/>
      <c r="G1078" s="47" t="n"/>
      <c r="H1078" s="50" t="n"/>
      <c r="I1078" s="51" t="n"/>
      <c r="J1078" s="46" t="n"/>
      <c r="K1078" s="46" t="n"/>
      <c r="L1078" s="23">
        <f>IF(OR($A1078="",$B1078=""),"",IF($K1078&lt;&gt;"",$K1078-$B1078,TODAY()-$B1078))</f>
        <v/>
      </c>
      <c r="M1078" s="27">
        <f>IF(OR($A1078="",$J1078=""),"",IF($K1078="",IF(TODAY()&gt;$J1078,"Atrasado","En ruta"),IF($K1078&lt;=$J1078,"Sí","No")))</f>
        <v/>
      </c>
      <c r="N1078" s="23">
        <f>IF($A1078="","",COUNTIFS(NOVEDADES!$C$4:$C$1503,$A1078))</f>
        <v/>
      </c>
      <c r="O1078" s="27">
        <f>IF($A1078="","",IF(COUNTIFS(NOVEDADES!$C$4:$C$1503,$A1078,NOVEDADES!$M$4:$M$1503,"SÍ")&gt;0,"No","Sí"))</f>
        <v/>
      </c>
      <c r="P1078" s="27">
        <f>IF(OR($A1078="",$K1078=""),"",IF(AND($M1078="Sí",$O1078="Sí"),"OTIF","Falló"))</f>
        <v/>
      </c>
    </row>
    <row r="1079" ht="16" customHeight="1">
      <c r="A1079" s="47" t="n"/>
      <c r="B1079" s="46" t="n"/>
      <c r="C1079" s="49" t="n"/>
      <c r="D1079" s="49" t="n"/>
      <c r="E1079" s="49" t="n"/>
      <c r="F1079" s="49" t="n"/>
      <c r="G1079" s="47" t="n"/>
      <c r="H1079" s="50" t="n"/>
      <c r="I1079" s="51" t="n"/>
      <c r="J1079" s="46" t="n"/>
      <c r="K1079" s="46" t="n"/>
      <c r="L1079" s="23">
        <f>IF(OR($A1079="",$B1079=""),"",IF($K1079&lt;&gt;"",$K1079-$B1079,TODAY()-$B1079))</f>
        <v/>
      </c>
      <c r="M1079" s="27">
        <f>IF(OR($A1079="",$J1079=""),"",IF($K1079="",IF(TODAY()&gt;$J1079,"Atrasado","En ruta"),IF($K1079&lt;=$J1079,"Sí","No")))</f>
        <v/>
      </c>
      <c r="N1079" s="23">
        <f>IF($A1079="","",COUNTIFS(NOVEDADES!$C$4:$C$1503,$A1079))</f>
        <v/>
      </c>
      <c r="O1079" s="27">
        <f>IF($A1079="","",IF(COUNTIFS(NOVEDADES!$C$4:$C$1503,$A1079,NOVEDADES!$M$4:$M$1503,"SÍ")&gt;0,"No","Sí"))</f>
        <v/>
      </c>
      <c r="P1079" s="27">
        <f>IF(OR($A1079="",$K1079=""),"",IF(AND($M1079="Sí",$O1079="Sí"),"OTIF","Falló"))</f>
        <v/>
      </c>
    </row>
    <row r="1080" ht="16" customHeight="1">
      <c r="A1080" s="47" t="n"/>
      <c r="B1080" s="46" t="n"/>
      <c r="C1080" s="49" t="n"/>
      <c r="D1080" s="49" t="n"/>
      <c r="E1080" s="49" t="n"/>
      <c r="F1080" s="49" t="n"/>
      <c r="G1080" s="47" t="n"/>
      <c r="H1080" s="50" t="n"/>
      <c r="I1080" s="51" t="n"/>
      <c r="J1080" s="46" t="n"/>
      <c r="K1080" s="46" t="n"/>
      <c r="L1080" s="23">
        <f>IF(OR($A1080="",$B1080=""),"",IF($K1080&lt;&gt;"",$K1080-$B1080,TODAY()-$B1080))</f>
        <v/>
      </c>
      <c r="M1080" s="27">
        <f>IF(OR($A1080="",$J1080=""),"",IF($K1080="",IF(TODAY()&gt;$J1080,"Atrasado","En ruta"),IF($K1080&lt;=$J1080,"Sí","No")))</f>
        <v/>
      </c>
      <c r="N1080" s="23">
        <f>IF($A1080="","",COUNTIFS(NOVEDADES!$C$4:$C$1503,$A1080))</f>
        <v/>
      </c>
      <c r="O1080" s="27">
        <f>IF($A1080="","",IF(COUNTIFS(NOVEDADES!$C$4:$C$1503,$A1080,NOVEDADES!$M$4:$M$1503,"SÍ")&gt;0,"No","Sí"))</f>
        <v/>
      </c>
      <c r="P1080" s="27">
        <f>IF(OR($A1080="",$K1080=""),"",IF(AND($M1080="Sí",$O1080="Sí"),"OTIF","Falló"))</f>
        <v/>
      </c>
    </row>
    <row r="1081" ht="16" customHeight="1">
      <c r="A1081" s="47" t="n"/>
      <c r="B1081" s="46" t="n"/>
      <c r="C1081" s="49" t="n"/>
      <c r="D1081" s="49" t="n"/>
      <c r="E1081" s="49" t="n"/>
      <c r="F1081" s="49" t="n"/>
      <c r="G1081" s="47" t="n"/>
      <c r="H1081" s="50" t="n"/>
      <c r="I1081" s="51" t="n"/>
      <c r="J1081" s="46" t="n"/>
      <c r="K1081" s="46" t="n"/>
      <c r="L1081" s="23">
        <f>IF(OR($A1081="",$B1081=""),"",IF($K1081&lt;&gt;"",$K1081-$B1081,TODAY()-$B1081))</f>
        <v/>
      </c>
      <c r="M1081" s="27">
        <f>IF(OR($A1081="",$J1081=""),"",IF($K1081="",IF(TODAY()&gt;$J1081,"Atrasado","En ruta"),IF($K1081&lt;=$J1081,"Sí","No")))</f>
        <v/>
      </c>
      <c r="N1081" s="23">
        <f>IF($A1081="","",COUNTIFS(NOVEDADES!$C$4:$C$1503,$A1081))</f>
        <v/>
      </c>
      <c r="O1081" s="27">
        <f>IF($A1081="","",IF(COUNTIFS(NOVEDADES!$C$4:$C$1503,$A1081,NOVEDADES!$M$4:$M$1503,"SÍ")&gt;0,"No","Sí"))</f>
        <v/>
      </c>
      <c r="P1081" s="27">
        <f>IF(OR($A1081="",$K1081=""),"",IF(AND($M1081="Sí",$O1081="Sí"),"OTIF","Falló"))</f>
        <v/>
      </c>
    </row>
    <row r="1082" ht="16" customHeight="1">
      <c r="A1082" s="47" t="n"/>
      <c r="B1082" s="46" t="n"/>
      <c r="C1082" s="49" t="n"/>
      <c r="D1082" s="49" t="n"/>
      <c r="E1082" s="49" t="n"/>
      <c r="F1082" s="49" t="n"/>
      <c r="G1082" s="47" t="n"/>
      <c r="H1082" s="50" t="n"/>
      <c r="I1082" s="51" t="n"/>
      <c r="J1082" s="46" t="n"/>
      <c r="K1082" s="46" t="n"/>
      <c r="L1082" s="23">
        <f>IF(OR($A1082="",$B1082=""),"",IF($K1082&lt;&gt;"",$K1082-$B1082,TODAY()-$B1082))</f>
        <v/>
      </c>
      <c r="M1082" s="27">
        <f>IF(OR($A1082="",$J1082=""),"",IF($K1082="",IF(TODAY()&gt;$J1082,"Atrasado","En ruta"),IF($K1082&lt;=$J1082,"Sí","No")))</f>
        <v/>
      </c>
      <c r="N1082" s="23">
        <f>IF($A1082="","",COUNTIFS(NOVEDADES!$C$4:$C$1503,$A1082))</f>
        <v/>
      </c>
      <c r="O1082" s="27">
        <f>IF($A1082="","",IF(COUNTIFS(NOVEDADES!$C$4:$C$1503,$A1082,NOVEDADES!$M$4:$M$1503,"SÍ")&gt;0,"No","Sí"))</f>
        <v/>
      </c>
      <c r="P1082" s="27">
        <f>IF(OR($A1082="",$K1082=""),"",IF(AND($M1082="Sí",$O1082="Sí"),"OTIF","Falló"))</f>
        <v/>
      </c>
    </row>
    <row r="1083" ht="16" customHeight="1">
      <c r="A1083" s="47" t="n"/>
      <c r="B1083" s="46" t="n"/>
      <c r="C1083" s="49" t="n"/>
      <c r="D1083" s="49" t="n"/>
      <c r="E1083" s="49" t="n"/>
      <c r="F1083" s="49" t="n"/>
      <c r="G1083" s="47" t="n"/>
      <c r="H1083" s="50" t="n"/>
      <c r="I1083" s="51" t="n"/>
      <c r="J1083" s="46" t="n"/>
      <c r="K1083" s="46" t="n"/>
      <c r="L1083" s="23">
        <f>IF(OR($A1083="",$B1083=""),"",IF($K1083&lt;&gt;"",$K1083-$B1083,TODAY()-$B1083))</f>
        <v/>
      </c>
      <c r="M1083" s="27">
        <f>IF(OR($A1083="",$J1083=""),"",IF($K1083="",IF(TODAY()&gt;$J1083,"Atrasado","En ruta"),IF($K1083&lt;=$J1083,"Sí","No")))</f>
        <v/>
      </c>
      <c r="N1083" s="23">
        <f>IF($A1083="","",COUNTIFS(NOVEDADES!$C$4:$C$1503,$A1083))</f>
        <v/>
      </c>
      <c r="O1083" s="27">
        <f>IF($A1083="","",IF(COUNTIFS(NOVEDADES!$C$4:$C$1503,$A1083,NOVEDADES!$M$4:$M$1503,"SÍ")&gt;0,"No","Sí"))</f>
        <v/>
      </c>
      <c r="P1083" s="27">
        <f>IF(OR($A1083="",$K1083=""),"",IF(AND($M1083="Sí",$O1083="Sí"),"OTIF","Falló"))</f>
        <v/>
      </c>
    </row>
    <row r="1084" ht="16" customHeight="1">
      <c r="A1084" s="47" t="n"/>
      <c r="B1084" s="46" t="n"/>
      <c r="C1084" s="49" t="n"/>
      <c r="D1084" s="49" t="n"/>
      <c r="E1084" s="49" t="n"/>
      <c r="F1084" s="49" t="n"/>
      <c r="G1084" s="47" t="n"/>
      <c r="H1084" s="50" t="n"/>
      <c r="I1084" s="51" t="n"/>
      <c r="J1084" s="46" t="n"/>
      <c r="K1084" s="46" t="n"/>
      <c r="L1084" s="23">
        <f>IF(OR($A1084="",$B1084=""),"",IF($K1084&lt;&gt;"",$K1084-$B1084,TODAY()-$B1084))</f>
        <v/>
      </c>
      <c r="M1084" s="27">
        <f>IF(OR($A1084="",$J1084=""),"",IF($K1084="",IF(TODAY()&gt;$J1084,"Atrasado","En ruta"),IF($K1084&lt;=$J1084,"Sí","No")))</f>
        <v/>
      </c>
      <c r="N1084" s="23">
        <f>IF($A1084="","",COUNTIFS(NOVEDADES!$C$4:$C$1503,$A1084))</f>
        <v/>
      </c>
      <c r="O1084" s="27">
        <f>IF($A1084="","",IF(COUNTIFS(NOVEDADES!$C$4:$C$1503,$A1084,NOVEDADES!$M$4:$M$1503,"SÍ")&gt;0,"No","Sí"))</f>
        <v/>
      </c>
      <c r="P1084" s="27">
        <f>IF(OR($A1084="",$K1084=""),"",IF(AND($M1084="Sí",$O1084="Sí"),"OTIF","Falló"))</f>
        <v/>
      </c>
    </row>
    <row r="1085" ht="16" customHeight="1">
      <c r="A1085" s="47" t="n"/>
      <c r="B1085" s="46" t="n"/>
      <c r="C1085" s="49" t="n"/>
      <c r="D1085" s="49" t="n"/>
      <c r="E1085" s="49" t="n"/>
      <c r="F1085" s="49" t="n"/>
      <c r="G1085" s="47" t="n"/>
      <c r="H1085" s="50" t="n"/>
      <c r="I1085" s="51" t="n"/>
      <c r="J1085" s="46" t="n"/>
      <c r="K1085" s="46" t="n"/>
      <c r="L1085" s="23">
        <f>IF(OR($A1085="",$B1085=""),"",IF($K1085&lt;&gt;"",$K1085-$B1085,TODAY()-$B1085))</f>
        <v/>
      </c>
      <c r="M1085" s="27">
        <f>IF(OR($A1085="",$J1085=""),"",IF($K1085="",IF(TODAY()&gt;$J1085,"Atrasado","En ruta"),IF($K1085&lt;=$J1085,"Sí","No")))</f>
        <v/>
      </c>
      <c r="N1085" s="23">
        <f>IF($A1085="","",COUNTIFS(NOVEDADES!$C$4:$C$1503,$A1085))</f>
        <v/>
      </c>
      <c r="O1085" s="27">
        <f>IF($A1085="","",IF(COUNTIFS(NOVEDADES!$C$4:$C$1503,$A1085,NOVEDADES!$M$4:$M$1503,"SÍ")&gt;0,"No","Sí"))</f>
        <v/>
      </c>
      <c r="P1085" s="27">
        <f>IF(OR($A1085="",$K1085=""),"",IF(AND($M1085="Sí",$O1085="Sí"),"OTIF","Falló"))</f>
        <v/>
      </c>
    </row>
    <row r="1086" ht="16" customHeight="1">
      <c r="A1086" s="47" t="n"/>
      <c r="B1086" s="46" t="n"/>
      <c r="C1086" s="49" t="n"/>
      <c r="D1086" s="49" t="n"/>
      <c r="E1086" s="49" t="n"/>
      <c r="F1086" s="49" t="n"/>
      <c r="G1086" s="47" t="n"/>
      <c r="H1086" s="50" t="n"/>
      <c r="I1086" s="51" t="n"/>
      <c r="J1086" s="46" t="n"/>
      <c r="K1086" s="46" t="n"/>
      <c r="L1086" s="23">
        <f>IF(OR($A1086="",$B1086=""),"",IF($K1086&lt;&gt;"",$K1086-$B1086,TODAY()-$B1086))</f>
        <v/>
      </c>
      <c r="M1086" s="27">
        <f>IF(OR($A1086="",$J1086=""),"",IF($K1086="",IF(TODAY()&gt;$J1086,"Atrasado","En ruta"),IF($K1086&lt;=$J1086,"Sí","No")))</f>
        <v/>
      </c>
      <c r="N1086" s="23">
        <f>IF($A1086="","",COUNTIFS(NOVEDADES!$C$4:$C$1503,$A1086))</f>
        <v/>
      </c>
      <c r="O1086" s="27">
        <f>IF($A1086="","",IF(COUNTIFS(NOVEDADES!$C$4:$C$1503,$A1086,NOVEDADES!$M$4:$M$1503,"SÍ")&gt;0,"No","Sí"))</f>
        <v/>
      </c>
      <c r="P1086" s="27">
        <f>IF(OR($A1086="",$K1086=""),"",IF(AND($M1086="Sí",$O1086="Sí"),"OTIF","Falló"))</f>
        <v/>
      </c>
    </row>
    <row r="1087" ht="16" customHeight="1">
      <c r="A1087" s="47" t="n"/>
      <c r="B1087" s="46" t="n"/>
      <c r="C1087" s="49" t="n"/>
      <c r="D1087" s="49" t="n"/>
      <c r="E1087" s="49" t="n"/>
      <c r="F1087" s="49" t="n"/>
      <c r="G1087" s="47" t="n"/>
      <c r="H1087" s="50" t="n"/>
      <c r="I1087" s="51" t="n"/>
      <c r="J1087" s="46" t="n"/>
      <c r="K1087" s="46" t="n"/>
      <c r="L1087" s="23">
        <f>IF(OR($A1087="",$B1087=""),"",IF($K1087&lt;&gt;"",$K1087-$B1087,TODAY()-$B1087))</f>
        <v/>
      </c>
      <c r="M1087" s="27">
        <f>IF(OR($A1087="",$J1087=""),"",IF($K1087="",IF(TODAY()&gt;$J1087,"Atrasado","En ruta"),IF($K1087&lt;=$J1087,"Sí","No")))</f>
        <v/>
      </c>
      <c r="N1087" s="23">
        <f>IF($A1087="","",COUNTIFS(NOVEDADES!$C$4:$C$1503,$A1087))</f>
        <v/>
      </c>
      <c r="O1087" s="27">
        <f>IF($A1087="","",IF(COUNTIFS(NOVEDADES!$C$4:$C$1503,$A1087,NOVEDADES!$M$4:$M$1503,"SÍ")&gt;0,"No","Sí"))</f>
        <v/>
      </c>
      <c r="P1087" s="27">
        <f>IF(OR($A1087="",$K1087=""),"",IF(AND($M1087="Sí",$O1087="Sí"),"OTIF","Falló"))</f>
        <v/>
      </c>
    </row>
    <row r="1088" ht="16" customHeight="1">
      <c r="A1088" s="47" t="n"/>
      <c r="B1088" s="46" t="n"/>
      <c r="C1088" s="49" t="n"/>
      <c r="D1088" s="49" t="n"/>
      <c r="E1088" s="49" t="n"/>
      <c r="F1088" s="49" t="n"/>
      <c r="G1088" s="47" t="n"/>
      <c r="H1088" s="50" t="n"/>
      <c r="I1088" s="51" t="n"/>
      <c r="J1088" s="46" t="n"/>
      <c r="K1088" s="46" t="n"/>
      <c r="L1088" s="23">
        <f>IF(OR($A1088="",$B1088=""),"",IF($K1088&lt;&gt;"",$K1088-$B1088,TODAY()-$B1088))</f>
        <v/>
      </c>
      <c r="M1088" s="27">
        <f>IF(OR($A1088="",$J1088=""),"",IF($K1088="",IF(TODAY()&gt;$J1088,"Atrasado","En ruta"),IF($K1088&lt;=$J1088,"Sí","No")))</f>
        <v/>
      </c>
      <c r="N1088" s="23">
        <f>IF($A1088="","",COUNTIFS(NOVEDADES!$C$4:$C$1503,$A1088))</f>
        <v/>
      </c>
      <c r="O1088" s="27">
        <f>IF($A1088="","",IF(COUNTIFS(NOVEDADES!$C$4:$C$1503,$A1088,NOVEDADES!$M$4:$M$1503,"SÍ")&gt;0,"No","Sí"))</f>
        <v/>
      </c>
      <c r="P1088" s="27">
        <f>IF(OR($A1088="",$K1088=""),"",IF(AND($M1088="Sí",$O1088="Sí"),"OTIF","Falló"))</f>
        <v/>
      </c>
    </row>
    <row r="1089" ht="16" customHeight="1">
      <c r="A1089" s="47" t="n"/>
      <c r="B1089" s="46" t="n"/>
      <c r="C1089" s="49" t="n"/>
      <c r="D1089" s="49" t="n"/>
      <c r="E1089" s="49" t="n"/>
      <c r="F1089" s="49" t="n"/>
      <c r="G1089" s="47" t="n"/>
      <c r="H1089" s="50" t="n"/>
      <c r="I1089" s="51" t="n"/>
      <c r="J1089" s="46" t="n"/>
      <c r="K1089" s="46" t="n"/>
      <c r="L1089" s="23">
        <f>IF(OR($A1089="",$B1089=""),"",IF($K1089&lt;&gt;"",$K1089-$B1089,TODAY()-$B1089))</f>
        <v/>
      </c>
      <c r="M1089" s="27">
        <f>IF(OR($A1089="",$J1089=""),"",IF($K1089="",IF(TODAY()&gt;$J1089,"Atrasado","En ruta"),IF($K1089&lt;=$J1089,"Sí","No")))</f>
        <v/>
      </c>
      <c r="N1089" s="23">
        <f>IF($A1089="","",COUNTIFS(NOVEDADES!$C$4:$C$1503,$A1089))</f>
        <v/>
      </c>
      <c r="O1089" s="27">
        <f>IF($A1089="","",IF(COUNTIFS(NOVEDADES!$C$4:$C$1503,$A1089,NOVEDADES!$M$4:$M$1503,"SÍ")&gt;0,"No","Sí"))</f>
        <v/>
      </c>
      <c r="P1089" s="27">
        <f>IF(OR($A1089="",$K1089=""),"",IF(AND($M1089="Sí",$O1089="Sí"),"OTIF","Falló"))</f>
        <v/>
      </c>
    </row>
    <row r="1090" ht="16" customHeight="1">
      <c r="A1090" s="47" t="n"/>
      <c r="B1090" s="46" t="n"/>
      <c r="C1090" s="49" t="n"/>
      <c r="D1090" s="49" t="n"/>
      <c r="E1090" s="49" t="n"/>
      <c r="F1090" s="49" t="n"/>
      <c r="G1090" s="47" t="n"/>
      <c r="H1090" s="50" t="n"/>
      <c r="I1090" s="51" t="n"/>
      <c r="J1090" s="46" t="n"/>
      <c r="K1090" s="46" t="n"/>
      <c r="L1090" s="23">
        <f>IF(OR($A1090="",$B1090=""),"",IF($K1090&lt;&gt;"",$K1090-$B1090,TODAY()-$B1090))</f>
        <v/>
      </c>
      <c r="M1090" s="27">
        <f>IF(OR($A1090="",$J1090=""),"",IF($K1090="",IF(TODAY()&gt;$J1090,"Atrasado","En ruta"),IF($K1090&lt;=$J1090,"Sí","No")))</f>
        <v/>
      </c>
      <c r="N1090" s="23">
        <f>IF($A1090="","",COUNTIFS(NOVEDADES!$C$4:$C$1503,$A1090))</f>
        <v/>
      </c>
      <c r="O1090" s="27">
        <f>IF($A1090="","",IF(COUNTIFS(NOVEDADES!$C$4:$C$1503,$A1090,NOVEDADES!$M$4:$M$1503,"SÍ")&gt;0,"No","Sí"))</f>
        <v/>
      </c>
      <c r="P1090" s="27">
        <f>IF(OR($A1090="",$K1090=""),"",IF(AND($M1090="Sí",$O1090="Sí"),"OTIF","Falló"))</f>
        <v/>
      </c>
    </row>
    <row r="1091" ht="16" customHeight="1">
      <c r="A1091" s="47" t="n"/>
      <c r="B1091" s="46" t="n"/>
      <c r="C1091" s="49" t="n"/>
      <c r="D1091" s="49" t="n"/>
      <c r="E1091" s="49" t="n"/>
      <c r="F1091" s="49" t="n"/>
      <c r="G1091" s="47" t="n"/>
      <c r="H1091" s="50" t="n"/>
      <c r="I1091" s="51" t="n"/>
      <c r="J1091" s="46" t="n"/>
      <c r="K1091" s="46" t="n"/>
      <c r="L1091" s="23">
        <f>IF(OR($A1091="",$B1091=""),"",IF($K1091&lt;&gt;"",$K1091-$B1091,TODAY()-$B1091))</f>
        <v/>
      </c>
      <c r="M1091" s="27">
        <f>IF(OR($A1091="",$J1091=""),"",IF($K1091="",IF(TODAY()&gt;$J1091,"Atrasado","En ruta"),IF($K1091&lt;=$J1091,"Sí","No")))</f>
        <v/>
      </c>
      <c r="N1091" s="23">
        <f>IF($A1091="","",COUNTIFS(NOVEDADES!$C$4:$C$1503,$A1091))</f>
        <v/>
      </c>
      <c r="O1091" s="27">
        <f>IF($A1091="","",IF(COUNTIFS(NOVEDADES!$C$4:$C$1503,$A1091,NOVEDADES!$M$4:$M$1503,"SÍ")&gt;0,"No","Sí"))</f>
        <v/>
      </c>
      <c r="P1091" s="27">
        <f>IF(OR($A1091="",$K1091=""),"",IF(AND($M1091="Sí",$O1091="Sí"),"OTIF","Falló"))</f>
        <v/>
      </c>
    </row>
    <row r="1092" ht="16" customHeight="1">
      <c r="A1092" s="47" t="n"/>
      <c r="B1092" s="46" t="n"/>
      <c r="C1092" s="49" t="n"/>
      <c r="D1092" s="49" t="n"/>
      <c r="E1092" s="49" t="n"/>
      <c r="F1092" s="49" t="n"/>
      <c r="G1092" s="47" t="n"/>
      <c r="H1092" s="50" t="n"/>
      <c r="I1092" s="51" t="n"/>
      <c r="J1092" s="46" t="n"/>
      <c r="K1092" s="46" t="n"/>
      <c r="L1092" s="23">
        <f>IF(OR($A1092="",$B1092=""),"",IF($K1092&lt;&gt;"",$K1092-$B1092,TODAY()-$B1092))</f>
        <v/>
      </c>
      <c r="M1092" s="27">
        <f>IF(OR($A1092="",$J1092=""),"",IF($K1092="",IF(TODAY()&gt;$J1092,"Atrasado","En ruta"),IF($K1092&lt;=$J1092,"Sí","No")))</f>
        <v/>
      </c>
      <c r="N1092" s="23">
        <f>IF($A1092="","",COUNTIFS(NOVEDADES!$C$4:$C$1503,$A1092))</f>
        <v/>
      </c>
      <c r="O1092" s="27">
        <f>IF($A1092="","",IF(COUNTIFS(NOVEDADES!$C$4:$C$1503,$A1092,NOVEDADES!$M$4:$M$1503,"SÍ")&gt;0,"No","Sí"))</f>
        <v/>
      </c>
      <c r="P1092" s="27">
        <f>IF(OR($A1092="",$K1092=""),"",IF(AND($M1092="Sí",$O1092="Sí"),"OTIF","Falló"))</f>
        <v/>
      </c>
    </row>
    <row r="1093" ht="16" customHeight="1">
      <c r="A1093" s="47" t="n"/>
      <c r="B1093" s="46" t="n"/>
      <c r="C1093" s="49" t="n"/>
      <c r="D1093" s="49" t="n"/>
      <c r="E1093" s="49" t="n"/>
      <c r="F1093" s="49" t="n"/>
      <c r="G1093" s="47" t="n"/>
      <c r="H1093" s="50" t="n"/>
      <c r="I1093" s="51" t="n"/>
      <c r="J1093" s="46" t="n"/>
      <c r="K1093" s="46" t="n"/>
      <c r="L1093" s="23">
        <f>IF(OR($A1093="",$B1093=""),"",IF($K1093&lt;&gt;"",$K1093-$B1093,TODAY()-$B1093))</f>
        <v/>
      </c>
      <c r="M1093" s="27">
        <f>IF(OR($A1093="",$J1093=""),"",IF($K1093="",IF(TODAY()&gt;$J1093,"Atrasado","En ruta"),IF($K1093&lt;=$J1093,"Sí","No")))</f>
        <v/>
      </c>
      <c r="N1093" s="23">
        <f>IF($A1093="","",COUNTIFS(NOVEDADES!$C$4:$C$1503,$A1093))</f>
        <v/>
      </c>
      <c r="O1093" s="27">
        <f>IF($A1093="","",IF(COUNTIFS(NOVEDADES!$C$4:$C$1503,$A1093,NOVEDADES!$M$4:$M$1503,"SÍ")&gt;0,"No","Sí"))</f>
        <v/>
      </c>
      <c r="P1093" s="27">
        <f>IF(OR($A1093="",$K1093=""),"",IF(AND($M1093="Sí",$O1093="Sí"),"OTIF","Falló"))</f>
        <v/>
      </c>
    </row>
    <row r="1094" ht="16" customHeight="1">
      <c r="A1094" s="47" t="n"/>
      <c r="B1094" s="46" t="n"/>
      <c r="C1094" s="49" t="n"/>
      <c r="D1094" s="49" t="n"/>
      <c r="E1094" s="49" t="n"/>
      <c r="F1094" s="49" t="n"/>
      <c r="G1094" s="47" t="n"/>
      <c r="H1094" s="50" t="n"/>
      <c r="I1094" s="51" t="n"/>
      <c r="J1094" s="46" t="n"/>
      <c r="K1094" s="46" t="n"/>
      <c r="L1094" s="23">
        <f>IF(OR($A1094="",$B1094=""),"",IF($K1094&lt;&gt;"",$K1094-$B1094,TODAY()-$B1094))</f>
        <v/>
      </c>
      <c r="M1094" s="27">
        <f>IF(OR($A1094="",$J1094=""),"",IF($K1094="",IF(TODAY()&gt;$J1094,"Atrasado","En ruta"),IF($K1094&lt;=$J1094,"Sí","No")))</f>
        <v/>
      </c>
      <c r="N1094" s="23">
        <f>IF($A1094="","",COUNTIFS(NOVEDADES!$C$4:$C$1503,$A1094))</f>
        <v/>
      </c>
      <c r="O1094" s="27">
        <f>IF($A1094="","",IF(COUNTIFS(NOVEDADES!$C$4:$C$1503,$A1094,NOVEDADES!$M$4:$M$1503,"SÍ")&gt;0,"No","Sí"))</f>
        <v/>
      </c>
      <c r="P1094" s="27">
        <f>IF(OR($A1094="",$K1094=""),"",IF(AND($M1094="Sí",$O1094="Sí"),"OTIF","Falló"))</f>
        <v/>
      </c>
    </row>
    <row r="1095" ht="16" customHeight="1">
      <c r="A1095" s="47" t="n"/>
      <c r="B1095" s="46" t="n"/>
      <c r="C1095" s="49" t="n"/>
      <c r="D1095" s="49" t="n"/>
      <c r="E1095" s="49" t="n"/>
      <c r="F1095" s="49" t="n"/>
      <c r="G1095" s="47" t="n"/>
      <c r="H1095" s="50" t="n"/>
      <c r="I1095" s="51" t="n"/>
      <c r="J1095" s="46" t="n"/>
      <c r="K1095" s="46" t="n"/>
      <c r="L1095" s="23">
        <f>IF(OR($A1095="",$B1095=""),"",IF($K1095&lt;&gt;"",$K1095-$B1095,TODAY()-$B1095))</f>
        <v/>
      </c>
      <c r="M1095" s="27">
        <f>IF(OR($A1095="",$J1095=""),"",IF($K1095="",IF(TODAY()&gt;$J1095,"Atrasado","En ruta"),IF($K1095&lt;=$J1095,"Sí","No")))</f>
        <v/>
      </c>
      <c r="N1095" s="23">
        <f>IF($A1095="","",COUNTIFS(NOVEDADES!$C$4:$C$1503,$A1095))</f>
        <v/>
      </c>
      <c r="O1095" s="27">
        <f>IF($A1095="","",IF(COUNTIFS(NOVEDADES!$C$4:$C$1503,$A1095,NOVEDADES!$M$4:$M$1503,"SÍ")&gt;0,"No","Sí"))</f>
        <v/>
      </c>
      <c r="P1095" s="27">
        <f>IF(OR($A1095="",$K1095=""),"",IF(AND($M1095="Sí",$O1095="Sí"),"OTIF","Falló"))</f>
        <v/>
      </c>
    </row>
    <row r="1096" ht="16" customHeight="1">
      <c r="A1096" s="47" t="n"/>
      <c r="B1096" s="46" t="n"/>
      <c r="C1096" s="49" t="n"/>
      <c r="D1096" s="49" t="n"/>
      <c r="E1096" s="49" t="n"/>
      <c r="F1096" s="49" t="n"/>
      <c r="G1096" s="47" t="n"/>
      <c r="H1096" s="50" t="n"/>
      <c r="I1096" s="51" t="n"/>
      <c r="J1096" s="46" t="n"/>
      <c r="K1096" s="46" t="n"/>
      <c r="L1096" s="23">
        <f>IF(OR($A1096="",$B1096=""),"",IF($K1096&lt;&gt;"",$K1096-$B1096,TODAY()-$B1096))</f>
        <v/>
      </c>
      <c r="M1096" s="27">
        <f>IF(OR($A1096="",$J1096=""),"",IF($K1096="",IF(TODAY()&gt;$J1096,"Atrasado","En ruta"),IF($K1096&lt;=$J1096,"Sí","No")))</f>
        <v/>
      </c>
      <c r="N1096" s="23">
        <f>IF($A1096="","",COUNTIFS(NOVEDADES!$C$4:$C$1503,$A1096))</f>
        <v/>
      </c>
      <c r="O1096" s="27">
        <f>IF($A1096="","",IF(COUNTIFS(NOVEDADES!$C$4:$C$1503,$A1096,NOVEDADES!$M$4:$M$1503,"SÍ")&gt;0,"No","Sí"))</f>
        <v/>
      </c>
      <c r="P1096" s="27">
        <f>IF(OR($A1096="",$K1096=""),"",IF(AND($M1096="Sí",$O1096="Sí"),"OTIF","Falló"))</f>
        <v/>
      </c>
    </row>
    <row r="1097" ht="16" customHeight="1">
      <c r="A1097" s="47" t="n"/>
      <c r="B1097" s="46" t="n"/>
      <c r="C1097" s="49" t="n"/>
      <c r="D1097" s="49" t="n"/>
      <c r="E1097" s="49" t="n"/>
      <c r="F1097" s="49" t="n"/>
      <c r="G1097" s="47" t="n"/>
      <c r="H1097" s="50" t="n"/>
      <c r="I1097" s="51" t="n"/>
      <c r="J1097" s="46" t="n"/>
      <c r="K1097" s="46" t="n"/>
      <c r="L1097" s="23">
        <f>IF(OR($A1097="",$B1097=""),"",IF($K1097&lt;&gt;"",$K1097-$B1097,TODAY()-$B1097))</f>
        <v/>
      </c>
      <c r="M1097" s="27">
        <f>IF(OR($A1097="",$J1097=""),"",IF($K1097="",IF(TODAY()&gt;$J1097,"Atrasado","En ruta"),IF($K1097&lt;=$J1097,"Sí","No")))</f>
        <v/>
      </c>
      <c r="N1097" s="23">
        <f>IF($A1097="","",COUNTIFS(NOVEDADES!$C$4:$C$1503,$A1097))</f>
        <v/>
      </c>
      <c r="O1097" s="27">
        <f>IF($A1097="","",IF(COUNTIFS(NOVEDADES!$C$4:$C$1503,$A1097,NOVEDADES!$M$4:$M$1503,"SÍ")&gt;0,"No","Sí"))</f>
        <v/>
      </c>
      <c r="P1097" s="27">
        <f>IF(OR($A1097="",$K1097=""),"",IF(AND($M1097="Sí",$O1097="Sí"),"OTIF","Falló"))</f>
        <v/>
      </c>
    </row>
    <row r="1098" ht="16" customHeight="1">
      <c r="A1098" s="47" t="n"/>
      <c r="B1098" s="46" t="n"/>
      <c r="C1098" s="49" t="n"/>
      <c r="D1098" s="49" t="n"/>
      <c r="E1098" s="49" t="n"/>
      <c r="F1098" s="49" t="n"/>
      <c r="G1098" s="47" t="n"/>
      <c r="H1098" s="50" t="n"/>
      <c r="I1098" s="51" t="n"/>
      <c r="J1098" s="46" t="n"/>
      <c r="K1098" s="46" t="n"/>
      <c r="L1098" s="23">
        <f>IF(OR($A1098="",$B1098=""),"",IF($K1098&lt;&gt;"",$K1098-$B1098,TODAY()-$B1098))</f>
        <v/>
      </c>
      <c r="M1098" s="27">
        <f>IF(OR($A1098="",$J1098=""),"",IF($K1098="",IF(TODAY()&gt;$J1098,"Atrasado","En ruta"),IF($K1098&lt;=$J1098,"Sí","No")))</f>
        <v/>
      </c>
      <c r="N1098" s="23">
        <f>IF($A1098="","",COUNTIFS(NOVEDADES!$C$4:$C$1503,$A1098))</f>
        <v/>
      </c>
      <c r="O1098" s="27">
        <f>IF($A1098="","",IF(COUNTIFS(NOVEDADES!$C$4:$C$1503,$A1098,NOVEDADES!$M$4:$M$1503,"SÍ")&gt;0,"No","Sí"))</f>
        <v/>
      </c>
      <c r="P1098" s="27">
        <f>IF(OR($A1098="",$K1098=""),"",IF(AND($M1098="Sí",$O1098="Sí"),"OTIF","Falló"))</f>
        <v/>
      </c>
    </row>
    <row r="1099" ht="16" customHeight="1">
      <c r="A1099" s="47" t="n"/>
      <c r="B1099" s="46" t="n"/>
      <c r="C1099" s="49" t="n"/>
      <c r="D1099" s="49" t="n"/>
      <c r="E1099" s="49" t="n"/>
      <c r="F1099" s="49" t="n"/>
      <c r="G1099" s="47" t="n"/>
      <c r="H1099" s="50" t="n"/>
      <c r="I1099" s="51" t="n"/>
      <c r="J1099" s="46" t="n"/>
      <c r="K1099" s="46" t="n"/>
      <c r="L1099" s="23">
        <f>IF(OR($A1099="",$B1099=""),"",IF($K1099&lt;&gt;"",$K1099-$B1099,TODAY()-$B1099))</f>
        <v/>
      </c>
      <c r="M1099" s="27">
        <f>IF(OR($A1099="",$J1099=""),"",IF($K1099="",IF(TODAY()&gt;$J1099,"Atrasado","En ruta"),IF($K1099&lt;=$J1099,"Sí","No")))</f>
        <v/>
      </c>
      <c r="N1099" s="23">
        <f>IF($A1099="","",COUNTIFS(NOVEDADES!$C$4:$C$1503,$A1099))</f>
        <v/>
      </c>
      <c r="O1099" s="27">
        <f>IF($A1099="","",IF(COUNTIFS(NOVEDADES!$C$4:$C$1503,$A1099,NOVEDADES!$M$4:$M$1503,"SÍ")&gt;0,"No","Sí"))</f>
        <v/>
      </c>
      <c r="P1099" s="27">
        <f>IF(OR($A1099="",$K1099=""),"",IF(AND($M1099="Sí",$O1099="Sí"),"OTIF","Falló"))</f>
        <v/>
      </c>
    </row>
    <row r="1100" ht="16" customHeight="1">
      <c r="A1100" s="47" t="n"/>
      <c r="B1100" s="46" t="n"/>
      <c r="C1100" s="49" t="n"/>
      <c r="D1100" s="49" t="n"/>
      <c r="E1100" s="49" t="n"/>
      <c r="F1100" s="49" t="n"/>
      <c r="G1100" s="47" t="n"/>
      <c r="H1100" s="50" t="n"/>
      <c r="I1100" s="51" t="n"/>
      <c r="J1100" s="46" t="n"/>
      <c r="K1100" s="46" t="n"/>
      <c r="L1100" s="23">
        <f>IF(OR($A1100="",$B1100=""),"",IF($K1100&lt;&gt;"",$K1100-$B1100,TODAY()-$B1100))</f>
        <v/>
      </c>
      <c r="M1100" s="27">
        <f>IF(OR($A1100="",$J1100=""),"",IF($K1100="",IF(TODAY()&gt;$J1100,"Atrasado","En ruta"),IF($K1100&lt;=$J1100,"Sí","No")))</f>
        <v/>
      </c>
      <c r="N1100" s="23">
        <f>IF($A1100="","",COUNTIFS(NOVEDADES!$C$4:$C$1503,$A1100))</f>
        <v/>
      </c>
      <c r="O1100" s="27">
        <f>IF($A1100="","",IF(COUNTIFS(NOVEDADES!$C$4:$C$1503,$A1100,NOVEDADES!$M$4:$M$1503,"SÍ")&gt;0,"No","Sí"))</f>
        <v/>
      </c>
      <c r="P1100" s="27">
        <f>IF(OR($A1100="",$K1100=""),"",IF(AND($M1100="Sí",$O1100="Sí"),"OTIF","Falló"))</f>
        <v/>
      </c>
    </row>
    <row r="1101" ht="16" customHeight="1">
      <c r="A1101" s="47" t="n"/>
      <c r="B1101" s="46" t="n"/>
      <c r="C1101" s="49" t="n"/>
      <c r="D1101" s="49" t="n"/>
      <c r="E1101" s="49" t="n"/>
      <c r="F1101" s="49" t="n"/>
      <c r="G1101" s="47" t="n"/>
      <c r="H1101" s="50" t="n"/>
      <c r="I1101" s="51" t="n"/>
      <c r="J1101" s="46" t="n"/>
      <c r="K1101" s="46" t="n"/>
      <c r="L1101" s="23">
        <f>IF(OR($A1101="",$B1101=""),"",IF($K1101&lt;&gt;"",$K1101-$B1101,TODAY()-$B1101))</f>
        <v/>
      </c>
      <c r="M1101" s="27">
        <f>IF(OR($A1101="",$J1101=""),"",IF($K1101="",IF(TODAY()&gt;$J1101,"Atrasado","En ruta"),IF($K1101&lt;=$J1101,"Sí","No")))</f>
        <v/>
      </c>
      <c r="N1101" s="23">
        <f>IF($A1101="","",COUNTIFS(NOVEDADES!$C$4:$C$1503,$A1101))</f>
        <v/>
      </c>
      <c r="O1101" s="27">
        <f>IF($A1101="","",IF(COUNTIFS(NOVEDADES!$C$4:$C$1503,$A1101,NOVEDADES!$M$4:$M$1503,"SÍ")&gt;0,"No","Sí"))</f>
        <v/>
      </c>
      <c r="P1101" s="27">
        <f>IF(OR($A1101="",$K1101=""),"",IF(AND($M1101="Sí",$O1101="Sí"),"OTIF","Falló"))</f>
        <v/>
      </c>
    </row>
    <row r="1102" ht="16" customHeight="1">
      <c r="A1102" s="47" t="n"/>
      <c r="B1102" s="46" t="n"/>
      <c r="C1102" s="49" t="n"/>
      <c r="D1102" s="49" t="n"/>
      <c r="E1102" s="49" t="n"/>
      <c r="F1102" s="49" t="n"/>
      <c r="G1102" s="47" t="n"/>
      <c r="H1102" s="50" t="n"/>
      <c r="I1102" s="51" t="n"/>
      <c r="J1102" s="46" t="n"/>
      <c r="K1102" s="46" t="n"/>
      <c r="L1102" s="23">
        <f>IF(OR($A1102="",$B1102=""),"",IF($K1102&lt;&gt;"",$K1102-$B1102,TODAY()-$B1102))</f>
        <v/>
      </c>
      <c r="M1102" s="27">
        <f>IF(OR($A1102="",$J1102=""),"",IF($K1102="",IF(TODAY()&gt;$J1102,"Atrasado","En ruta"),IF($K1102&lt;=$J1102,"Sí","No")))</f>
        <v/>
      </c>
      <c r="N1102" s="23">
        <f>IF($A1102="","",COUNTIFS(NOVEDADES!$C$4:$C$1503,$A1102))</f>
        <v/>
      </c>
      <c r="O1102" s="27">
        <f>IF($A1102="","",IF(COUNTIFS(NOVEDADES!$C$4:$C$1503,$A1102,NOVEDADES!$M$4:$M$1503,"SÍ")&gt;0,"No","Sí"))</f>
        <v/>
      </c>
      <c r="P1102" s="27">
        <f>IF(OR($A1102="",$K1102=""),"",IF(AND($M1102="Sí",$O1102="Sí"),"OTIF","Falló"))</f>
        <v/>
      </c>
    </row>
    <row r="1103" ht="16" customHeight="1">
      <c r="A1103" s="47" t="n"/>
      <c r="B1103" s="46" t="n"/>
      <c r="C1103" s="49" t="n"/>
      <c r="D1103" s="49" t="n"/>
      <c r="E1103" s="49" t="n"/>
      <c r="F1103" s="49" t="n"/>
      <c r="G1103" s="47" t="n"/>
      <c r="H1103" s="50" t="n"/>
      <c r="I1103" s="51" t="n"/>
      <c r="J1103" s="46" t="n"/>
      <c r="K1103" s="46" t="n"/>
      <c r="L1103" s="23">
        <f>IF(OR($A1103="",$B1103=""),"",IF($K1103&lt;&gt;"",$K1103-$B1103,TODAY()-$B1103))</f>
        <v/>
      </c>
      <c r="M1103" s="27">
        <f>IF(OR($A1103="",$J1103=""),"",IF($K1103="",IF(TODAY()&gt;$J1103,"Atrasado","En ruta"),IF($K1103&lt;=$J1103,"Sí","No")))</f>
        <v/>
      </c>
      <c r="N1103" s="23">
        <f>IF($A1103="","",COUNTIFS(NOVEDADES!$C$4:$C$1503,$A1103))</f>
        <v/>
      </c>
      <c r="O1103" s="27">
        <f>IF($A1103="","",IF(COUNTIFS(NOVEDADES!$C$4:$C$1503,$A1103,NOVEDADES!$M$4:$M$1503,"SÍ")&gt;0,"No","Sí"))</f>
        <v/>
      </c>
      <c r="P1103" s="27">
        <f>IF(OR($A1103="",$K1103=""),"",IF(AND($M1103="Sí",$O1103="Sí"),"OTIF","Falló"))</f>
        <v/>
      </c>
    </row>
    <row r="1104" ht="16" customHeight="1">
      <c r="A1104" s="47" t="n"/>
      <c r="B1104" s="46" t="n"/>
      <c r="C1104" s="49" t="n"/>
      <c r="D1104" s="49" t="n"/>
      <c r="E1104" s="49" t="n"/>
      <c r="F1104" s="49" t="n"/>
      <c r="G1104" s="47" t="n"/>
      <c r="H1104" s="50" t="n"/>
      <c r="I1104" s="51" t="n"/>
      <c r="J1104" s="46" t="n"/>
      <c r="K1104" s="46" t="n"/>
      <c r="L1104" s="23">
        <f>IF(OR($A1104="",$B1104=""),"",IF($K1104&lt;&gt;"",$K1104-$B1104,TODAY()-$B1104))</f>
        <v/>
      </c>
      <c r="M1104" s="27">
        <f>IF(OR($A1104="",$J1104=""),"",IF($K1104="",IF(TODAY()&gt;$J1104,"Atrasado","En ruta"),IF($K1104&lt;=$J1104,"Sí","No")))</f>
        <v/>
      </c>
      <c r="N1104" s="23">
        <f>IF($A1104="","",COUNTIFS(NOVEDADES!$C$4:$C$1503,$A1104))</f>
        <v/>
      </c>
      <c r="O1104" s="27">
        <f>IF($A1104="","",IF(COUNTIFS(NOVEDADES!$C$4:$C$1503,$A1104,NOVEDADES!$M$4:$M$1503,"SÍ")&gt;0,"No","Sí"))</f>
        <v/>
      </c>
      <c r="P1104" s="27">
        <f>IF(OR($A1104="",$K1104=""),"",IF(AND($M1104="Sí",$O1104="Sí"),"OTIF","Falló"))</f>
        <v/>
      </c>
    </row>
    <row r="1105" ht="16" customHeight="1">
      <c r="A1105" s="47" t="n"/>
      <c r="B1105" s="46" t="n"/>
      <c r="C1105" s="49" t="n"/>
      <c r="D1105" s="49" t="n"/>
      <c r="E1105" s="49" t="n"/>
      <c r="F1105" s="49" t="n"/>
      <c r="G1105" s="47" t="n"/>
      <c r="H1105" s="50" t="n"/>
      <c r="I1105" s="51" t="n"/>
      <c r="J1105" s="46" t="n"/>
      <c r="K1105" s="46" t="n"/>
      <c r="L1105" s="23">
        <f>IF(OR($A1105="",$B1105=""),"",IF($K1105&lt;&gt;"",$K1105-$B1105,TODAY()-$B1105))</f>
        <v/>
      </c>
      <c r="M1105" s="27">
        <f>IF(OR($A1105="",$J1105=""),"",IF($K1105="",IF(TODAY()&gt;$J1105,"Atrasado","En ruta"),IF($K1105&lt;=$J1105,"Sí","No")))</f>
        <v/>
      </c>
      <c r="N1105" s="23">
        <f>IF($A1105="","",COUNTIFS(NOVEDADES!$C$4:$C$1503,$A1105))</f>
        <v/>
      </c>
      <c r="O1105" s="27">
        <f>IF($A1105="","",IF(COUNTIFS(NOVEDADES!$C$4:$C$1503,$A1105,NOVEDADES!$M$4:$M$1503,"SÍ")&gt;0,"No","Sí"))</f>
        <v/>
      </c>
      <c r="P1105" s="27">
        <f>IF(OR($A1105="",$K1105=""),"",IF(AND($M1105="Sí",$O1105="Sí"),"OTIF","Falló"))</f>
        <v/>
      </c>
    </row>
    <row r="1106" ht="16" customHeight="1">
      <c r="A1106" s="47" t="n"/>
      <c r="B1106" s="46" t="n"/>
      <c r="C1106" s="49" t="n"/>
      <c r="D1106" s="49" t="n"/>
      <c r="E1106" s="49" t="n"/>
      <c r="F1106" s="49" t="n"/>
      <c r="G1106" s="47" t="n"/>
      <c r="H1106" s="50" t="n"/>
      <c r="I1106" s="51" t="n"/>
      <c r="J1106" s="46" t="n"/>
      <c r="K1106" s="46" t="n"/>
      <c r="L1106" s="23">
        <f>IF(OR($A1106="",$B1106=""),"",IF($K1106&lt;&gt;"",$K1106-$B1106,TODAY()-$B1106))</f>
        <v/>
      </c>
      <c r="M1106" s="27">
        <f>IF(OR($A1106="",$J1106=""),"",IF($K1106="",IF(TODAY()&gt;$J1106,"Atrasado","En ruta"),IF($K1106&lt;=$J1106,"Sí","No")))</f>
        <v/>
      </c>
      <c r="N1106" s="23">
        <f>IF($A1106="","",COUNTIFS(NOVEDADES!$C$4:$C$1503,$A1106))</f>
        <v/>
      </c>
      <c r="O1106" s="27">
        <f>IF($A1106="","",IF(COUNTIFS(NOVEDADES!$C$4:$C$1503,$A1106,NOVEDADES!$M$4:$M$1503,"SÍ")&gt;0,"No","Sí"))</f>
        <v/>
      </c>
      <c r="P1106" s="27">
        <f>IF(OR($A1106="",$K1106=""),"",IF(AND($M1106="Sí",$O1106="Sí"),"OTIF","Falló"))</f>
        <v/>
      </c>
    </row>
    <row r="1107" ht="16" customHeight="1">
      <c r="A1107" s="47" t="n"/>
      <c r="B1107" s="46" t="n"/>
      <c r="C1107" s="49" t="n"/>
      <c r="D1107" s="49" t="n"/>
      <c r="E1107" s="49" t="n"/>
      <c r="F1107" s="49" t="n"/>
      <c r="G1107" s="47" t="n"/>
      <c r="H1107" s="50" t="n"/>
      <c r="I1107" s="51" t="n"/>
      <c r="J1107" s="46" t="n"/>
      <c r="K1107" s="46" t="n"/>
      <c r="L1107" s="23">
        <f>IF(OR($A1107="",$B1107=""),"",IF($K1107&lt;&gt;"",$K1107-$B1107,TODAY()-$B1107))</f>
        <v/>
      </c>
      <c r="M1107" s="27">
        <f>IF(OR($A1107="",$J1107=""),"",IF($K1107="",IF(TODAY()&gt;$J1107,"Atrasado","En ruta"),IF($K1107&lt;=$J1107,"Sí","No")))</f>
        <v/>
      </c>
      <c r="N1107" s="23">
        <f>IF($A1107="","",COUNTIFS(NOVEDADES!$C$4:$C$1503,$A1107))</f>
        <v/>
      </c>
      <c r="O1107" s="27">
        <f>IF($A1107="","",IF(COUNTIFS(NOVEDADES!$C$4:$C$1503,$A1107,NOVEDADES!$M$4:$M$1503,"SÍ")&gt;0,"No","Sí"))</f>
        <v/>
      </c>
      <c r="P1107" s="27">
        <f>IF(OR($A1107="",$K1107=""),"",IF(AND($M1107="Sí",$O1107="Sí"),"OTIF","Falló"))</f>
        <v/>
      </c>
    </row>
    <row r="1108" ht="16" customHeight="1">
      <c r="A1108" s="47" t="n"/>
      <c r="B1108" s="46" t="n"/>
      <c r="C1108" s="49" t="n"/>
      <c r="D1108" s="49" t="n"/>
      <c r="E1108" s="49" t="n"/>
      <c r="F1108" s="49" t="n"/>
      <c r="G1108" s="47" t="n"/>
      <c r="H1108" s="50" t="n"/>
      <c r="I1108" s="51" t="n"/>
      <c r="J1108" s="46" t="n"/>
      <c r="K1108" s="46" t="n"/>
      <c r="L1108" s="23">
        <f>IF(OR($A1108="",$B1108=""),"",IF($K1108&lt;&gt;"",$K1108-$B1108,TODAY()-$B1108))</f>
        <v/>
      </c>
      <c r="M1108" s="27">
        <f>IF(OR($A1108="",$J1108=""),"",IF($K1108="",IF(TODAY()&gt;$J1108,"Atrasado","En ruta"),IF($K1108&lt;=$J1108,"Sí","No")))</f>
        <v/>
      </c>
      <c r="N1108" s="23">
        <f>IF($A1108="","",COUNTIFS(NOVEDADES!$C$4:$C$1503,$A1108))</f>
        <v/>
      </c>
      <c r="O1108" s="27">
        <f>IF($A1108="","",IF(COUNTIFS(NOVEDADES!$C$4:$C$1503,$A1108,NOVEDADES!$M$4:$M$1503,"SÍ")&gt;0,"No","Sí"))</f>
        <v/>
      </c>
      <c r="P1108" s="27">
        <f>IF(OR($A1108="",$K1108=""),"",IF(AND($M1108="Sí",$O1108="Sí"),"OTIF","Falló"))</f>
        <v/>
      </c>
    </row>
    <row r="1109" ht="16" customHeight="1">
      <c r="A1109" s="47" t="n"/>
      <c r="B1109" s="46" t="n"/>
      <c r="C1109" s="49" t="n"/>
      <c r="D1109" s="49" t="n"/>
      <c r="E1109" s="49" t="n"/>
      <c r="F1109" s="49" t="n"/>
      <c r="G1109" s="47" t="n"/>
      <c r="H1109" s="50" t="n"/>
      <c r="I1109" s="51" t="n"/>
      <c r="J1109" s="46" t="n"/>
      <c r="K1109" s="46" t="n"/>
      <c r="L1109" s="23">
        <f>IF(OR($A1109="",$B1109=""),"",IF($K1109&lt;&gt;"",$K1109-$B1109,TODAY()-$B1109))</f>
        <v/>
      </c>
      <c r="M1109" s="27">
        <f>IF(OR($A1109="",$J1109=""),"",IF($K1109="",IF(TODAY()&gt;$J1109,"Atrasado","En ruta"),IF($K1109&lt;=$J1109,"Sí","No")))</f>
        <v/>
      </c>
      <c r="N1109" s="23">
        <f>IF($A1109="","",COUNTIFS(NOVEDADES!$C$4:$C$1503,$A1109))</f>
        <v/>
      </c>
      <c r="O1109" s="27">
        <f>IF($A1109="","",IF(COUNTIFS(NOVEDADES!$C$4:$C$1503,$A1109,NOVEDADES!$M$4:$M$1503,"SÍ")&gt;0,"No","Sí"))</f>
        <v/>
      </c>
      <c r="P1109" s="27">
        <f>IF(OR($A1109="",$K1109=""),"",IF(AND($M1109="Sí",$O1109="Sí"),"OTIF","Falló"))</f>
        <v/>
      </c>
    </row>
    <row r="1110" ht="16" customHeight="1">
      <c r="A1110" s="47" t="n"/>
      <c r="B1110" s="46" t="n"/>
      <c r="C1110" s="49" t="n"/>
      <c r="D1110" s="49" t="n"/>
      <c r="E1110" s="49" t="n"/>
      <c r="F1110" s="49" t="n"/>
      <c r="G1110" s="47" t="n"/>
      <c r="H1110" s="50" t="n"/>
      <c r="I1110" s="51" t="n"/>
      <c r="J1110" s="46" t="n"/>
      <c r="K1110" s="46" t="n"/>
      <c r="L1110" s="23">
        <f>IF(OR($A1110="",$B1110=""),"",IF($K1110&lt;&gt;"",$K1110-$B1110,TODAY()-$B1110))</f>
        <v/>
      </c>
      <c r="M1110" s="27">
        <f>IF(OR($A1110="",$J1110=""),"",IF($K1110="",IF(TODAY()&gt;$J1110,"Atrasado","En ruta"),IF($K1110&lt;=$J1110,"Sí","No")))</f>
        <v/>
      </c>
      <c r="N1110" s="23">
        <f>IF($A1110="","",COUNTIFS(NOVEDADES!$C$4:$C$1503,$A1110))</f>
        <v/>
      </c>
      <c r="O1110" s="27">
        <f>IF($A1110="","",IF(COUNTIFS(NOVEDADES!$C$4:$C$1503,$A1110,NOVEDADES!$M$4:$M$1503,"SÍ")&gt;0,"No","Sí"))</f>
        <v/>
      </c>
      <c r="P1110" s="27">
        <f>IF(OR($A1110="",$K1110=""),"",IF(AND($M1110="Sí",$O1110="Sí"),"OTIF","Falló"))</f>
        <v/>
      </c>
    </row>
    <row r="1111" ht="16" customHeight="1">
      <c r="A1111" s="47" t="n"/>
      <c r="B1111" s="46" t="n"/>
      <c r="C1111" s="49" t="n"/>
      <c r="D1111" s="49" t="n"/>
      <c r="E1111" s="49" t="n"/>
      <c r="F1111" s="49" t="n"/>
      <c r="G1111" s="47" t="n"/>
      <c r="H1111" s="50" t="n"/>
      <c r="I1111" s="51" t="n"/>
      <c r="J1111" s="46" t="n"/>
      <c r="K1111" s="46" t="n"/>
      <c r="L1111" s="23">
        <f>IF(OR($A1111="",$B1111=""),"",IF($K1111&lt;&gt;"",$K1111-$B1111,TODAY()-$B1111))</f>
        <v/>
      </c>
      <c r="M1111" s="27">
        <f>IF(OR($A1111="",$J1111=""),"",IF($K1111="",IF(TODAY()&gt;$J1111,"Atrasado","En ruta"),IF($K1111&lt;=$J1111,"Sí","No")))</f>
        <v/>
      </c>
      <c r="N1111" s="23">
        <f>IF($A1111="","",COUNTIFS(NOVEDADES!$C$4:$C$1503,$A1111))</f>
        <v/>
      </c>
      <c r="O1111" s="27">
        <f>IF($A1111="","",IF(COUNTIFS(NOVEDADES!$C$4:$C$1503,$A1111,NOVEDADES!$M$4:$M$1503,"SÍ")&gt;0,"No","Sí"))</f>
        <v/>
      </c>
      <c r="P1111" s="27">
        <f>IF(OR($A1111="",$K1111=""),"",IF(AND($M1111="Sí",$O1111="Sí"),"OTIF","Falló"))</f>
        <v/>
      </c>
    </row>
    <row r="1112" ht="16" customHeight="1">
      <c r="A1112" s="47" t="n"/>
      <c r="B1112" s="46" t="n"/>
      <c r="C1112" s="49" t="n"/>
      <c r="D1112" s="49" t="n"/>
      <c r="E1112" s="49" t="n"/>
      <c r="F1112" s="49" t="n"/>
      <c r="G1112" s="47" t="n"/>
      <c r="H1112" s="50" t="n"/>
      <c r="I1112" s="51" t="n"/>
      <c r="J1112" s="46" t="n"/>
      <c r="K1112" s="46" t="n"/>
      <c r="L1112" s="23">
        <f>IF(OR($A1112="",$B1112=""),"",IF($K1112&lt;&gt;"",$K1112-$B1112,TODAY()-$B1112))</f>
        <v/>
      </c>
      <c r="M1112" s="27">
        <f>IF(OR($A1112="",$J1112=""),"",IF($K1112="",IF(TODAY()&gt;$J1112,"Atrasado","En ruta"),IF($K1112&lt;=$J1112,"Sí","No")))</f>
        <v/>
      </c>
      <c r="N1112" s="23">
        <f>IF($A1112="","",COUNTIFS(NOVEDADES!$C$4:$C$1503,$A1112))</f>
        <v/>
      </c>
      <c r="O1112" s="27">
        <f>IF($A1112="","",IF(COUNTIFS(NOVEDADES!$C$4:$C$1503,$A1112,NOVEDADES!$M$4:$M$1503,"SÍ")&gt;0,"No","Sí"))</f>
        <v/>
      </c>
      <c r="P1112" s="27">
        <f>IF(OR($A1112="",$K1112=""),"",IF(AND($M1112="Sí",$O1112="Sí"),"OTIF","Falló"))</f>
        <v/>
      </c>
    </row>
    <row r="1113" ht="16" customHeight="1">
      <c r="A1113" s="47" t="n"/>
      <c r="B1113" s="46" t="n"/>
      <c r="C1113" s="49" t="n"/>
      <c r="D1113" s="49" t="n"/>
      <c r="E1113" s="49" t="n"/>
      <c r="F1113" s="49" t="n"/>
      <c r="G1113" s="47" t="n"/>
      <c r="H1113" s="50" t="n"/>
      <c r="I1113" s="51" t="n"/>
      <c r="J1113" s="46" t="n"/>
      <c r="K1113" s="46" t="n"/>
      <c r="L1113" s="23">
        <f>IF(OR($A1113="",$B1113=""),"",IF($K1113&lt;&gt;"",$K1113-$B1113,TODAY()-$B1113))</f>
        <v/>
      </c>
      <c r="M1113" s="27">
        <f>IF(OR($A1113="",$J1113=""),"",IF($K1113="",IF(TODAY()&gt;$J1113,"Atrasado","En ruta"),IF($K1113&lt;=$J1113,"Sí","No")))</f>
        <v/>
      </c>
      <c r="N1113" s="23">
        <f>IF($A1113="","",COUNTIFS(NOVEDADES!$C$4:$C$1503,$A1113))</f>
        <v/>
      </c>
      <c r="O1113" s="27">
        <f>IF($A1113="","",IF(COUNTIFS(NOVEDADES!$C$4:$C$1503,$A1113,NOVEDADES!$M$4:$M$1503,"SÍ")&gt;0,"No","Sí"))</f>
        <v/>
      </c>
      <c r="P1113" s="27">
        <f>IF(OR($A1113="",$K1113=""),"",IF(AND($M1113="Sí",$O1113="Sí"),"OTIF","Falló"))</f>
        <v/>
      </c>
    </row>
    <row r="1114" ht="16" customHeight="1">
      <c r="A1114" s="47" t="n"/>
      <c r="B1114" s="46" t="n"/>
      <c r="C1114" s="49" t="n"/>
      <c r="D1114" s="49" t="n"/>
      <c r="E1114" s="49" t="n"/>
      <c r="F1114" s="49" t="n"/>
      <c r="G1114" s="47" t="n"/>
      <c r="H1114" s="50" t="n"/>
      <c r="I1114" s="51" t="n"/>
      <c r="J1114" s="46" t="n"/>
      <c r="K1114" s="46" t="n"/>
      <c r="L1114" s="23">
        <f>IF(OR($A1114="",$B1114=""),"",IF($K1114&lt;&gt;"",$K1114-$B1114,TODAY()-$B1114))</f>
        <v/>
      </c>
      <c r="M1114" s="27">
        <f>IF(OR($A1114="",$J1114=""),"",IF($K1114="",IF(TODAY()&gt;$J1114,"Atrasado","En ruta"),IF($K1114&lt;=$J1114,"Sí","No")))</f>
        <v/>
      </c>
      <c r="N1114" s="23">
        <f>IF($A1114="","",COUNTIFS(NOVEDADES!$C$4:$C$1503,$A1114))</f>
        <v/>
      </c>
      <c r="O1114" s="27">
        <f>IF($A1114="","",IF(COUNTIFS(NOVEDADES!$C$4:$C$1503,$A1114,NOVEDADES!$M$4:$M$1503,"SÍ")&gt;0,"No","Sí"))</f>
        <v/>
      </c>
      <c r="P1114" s="27">
        <f>IF(OR($A1114="",$K1114=""),"",IF(AND($M1114="Sí",$O1114="Sí"),"OTIF","Falló"))</f>
        <v/>
      </c>
    </row>
    <row r="1115" ht="16" customHeight="1">
      <c r="A1115" s="47" t="n"/>
      <c r="B1115" s="46" t="n"/>
      <c r="C1115" s="49" t="n"/>
      <c r="D1115" s="49" t="n"/>
      <c r="E1115" s="49" t="n"/>
      <c r="F1115" s="49" t="n"/>
      <c r="G1115" s="47" t="n"/>
      <c r="H1115" s="50" t="n"/>
      <c r="I1115" s="51" t="n"/>
      <c r="J1115" s="46" t="n"/>
      <c r="K1115" s="46" t="n"/>
      <c r="L1115" s="23">
        <f>IF(OR($A1115="",$B1115=""),"",IF($K1115&lt;&gt;"",$K1115-$B1115,TODAY()-$B1115))</f>
        <v/>
      </c>
      <c r="M1115" s="27">
        <f>IF(OR($A1115="",$J1115=""),"",IF($K1115="",IF(TODAY()&gt;$J1115,"Atrasado","En ruta"),IF($K1115&lt;=$J1115,"Sí","No")))</f>
        <v/>
      </c>
      <c r="N1115" s="23">
        <f>IF($A1115="","",COUNTIFS(NOVEDADES!$C$4:$C$1503,$A1115))</f>
        <v/>
      </c>
      <c r="O1115" s="27">
        <f>IF($A1115="","",IF(COUNTIFS(NOVEDADES!$C$4:$C$1503,$A1115,NOVEDADES!$M$4:$M$1503,"SÍ")&gt;0,"No","Sí"))</f>
        <v/>
      </c>
      <c r="P1115" s="27">
        <f>IF(OR($A1115="",$K1115=""),"",IF(AND($M1115="Sí",$O1115="Sí"),"OTIF","Falló"))</f>
        <v/>
      </c>
    </row>
    <row r="1116" ht="16" customHeight="1">
      <c r="A1116" s="47" t="n"/>
      <c r="B1116" s="46" t="n"/>
      <c r="C1116" s="49" t="n"/>
      <c r="D1116" s="49" t="n"/>
      <c r="E1116" s="49" t="n"/>
      <c r="F1116" s="49" t="n"/>
      <c r="G1116" s="47" t="n"/>
      <c r="H1116" s="50" t="n"/>
      <c r="I1116" s="51" t="n"/>
      <c r="J1116" s="46" t="n"/>
      <c r="K1116" s="46" t="n"/>
      <c r="L1116" s="23">
        <f>IF(OR($A1116="",$B1116=""),"",IF($K1116&lt;&gt;"",$K1116-$B1116,TODAY()-$B1116))</f>
        <v/>
      </c>
      <c r="M1116" s="27">
        <f>IF(OR($A1116="",$J1116=""),"",IF($K1116="",IF(TODAY()&gt;$J1116,"Atrasado","En ruta"),IF($K1116&lt;=$J1116,"Sí","No")))</f>
        <v/>
      </c>
      <c r="N1116" s="23">
        <f>IF($A1116="","",COUNTIFS(NOVEDADES!$C$4:$C$1503,$A1116))</f>
        <v/>
      </c>
      <c r="O1116" s="27">
        <f>IF($A1116="","",IF(COUNTIFS(NOVEDADES!$C$4:$C$1503,$A1116,NOVEDADES!$M$4:$M$1503,"SÍ")&gt;0,"No","Sí"))</f>
        <v/>
      </c>
      <c r="P1116" s="27">
        <f>IF(OR($A1116="",$K1116=""),"",IF(AND($M1116="Sí",$O1116="Sí"),"OTIF","Falló"))</f>
        <v/>
      </c>
    </row>
    <row r="1117" ht="16" customHeight="1">
      <c r="A1117" s="47" t="n"/>
      <c r="B1117" s="46" t="n"/>
      <c r="C1117" s="49" t="n"/>
      <c r="D1117" s="49" t="n"/>
      <c r="E1117" s="49" t="n"/>
      <c r="F1117" s="49" t="n"/>
      <c r="G1117" s="47" t="n"/>
      <c r="H1117" s="50" t="n"/>
      <c r="I1117" s="51" t="n"/>
      <c r="J1117" s="46" t="n"/>
      <c r="K1117" s="46" t="n"/>
      <c r="L1117" s="23">
        <f>IF(OR($A1117="",$B1117=""),"",IF($K1117&lt;&gt;"",$K1117-$B1117,TODAY()-$B1117))</f>
        <v/>
      </c>
      <c r="M1117" s="27">
        <f>IF(OR($A1117="",$J1117=""),"",IF($K1117="",IF(TODAY()&gt;$J1117,"Atrasado","En ruta"),IF($K1117&lt;=$J1117,"Sí","No")))</f>
        <v/>
      </c>
      <c r="N1117" s="23">
        <f>IF($A1117="","",COUNTIFS(NOVEDADES!$C$4:$C$1503,$A1117))</f>
        <v/>
      </c>
      <c r="O1117" s="27">
        <f>IF($A1117="","",IF(COUNTIFS(NOVEDADES!$C$4:$C$1503,$A1117,NOVEDADES!$M$4:$M$1503,"SÍ")&gt;0,"No","Sí"))</f>
        <v/>
      </c>
      <c r="P1117" s="27">
        <f>IF(OR($A1117="",$K1117=""),"",IF(AND($M1117="Sí",$O1117="Sí"),"OTIF","Falló"))</f>
        <v/>
      </c>
    </row>
    <row r="1118" ht="16" customHeight="1">
      <c r="A1118" s="47" t="n"/>
      <c r="B1118" s="46" t="n"/>
      <c r="C1118" s="49" t="n"/>
      <c r="D1118" s="49" t="n"/>
      <c r="E1118" s="49" t="n"/>
      <c r="F1118" s="49" t="n"/>
      <c r="G1118" s="47" t="n"/>
      <c r="H1118" s="50" t="n"/>
      <c r="I1118" s="51" t="n"/>
      <c r="J1118" s="46" t="n"/>
      <c r="K1118" s="46" t="n"/>
      <c r="L1118" s="23">
        <f>IF(OR($A1118="",$B1118=""),"",IF($K1118&lt;&gt;"",$K1118-$B1118,TODAY()-$B1118))</f>
        <v/>
      </c>
      <c r="M1118" s="27">
        <f>IF(OR($A1118="",$J1118=""),"",IF($K1118="",IF(TODAY()&gt;$J1118,"Atrasado","En ruta"),IF($K1118&lt;=$J1118,"Sí","No")))</f>
        <v/>
      </c>
      <c r="N1118" s="23">
        <f>IF($A1118="","",COUNTIFS(NOVEDADES!$C$4:$C$1503,$A1118))</f>
        <v/>
      </c>
      <c r="O1118" s="27">
        <f>IF($A1118="","",IF(COUNTIFS(NOVEDADES!$C$4:$C$1503,$A1118,NOVEDADES!$M$4:$M$1503,"SÍ")&gt;0,"No","Sí"))</f>
        <v/>
      </c>
      <c r="P1118" s="27">
        <f>IF(OR($A1118="",$K1118=""),"",IF(AND($M1118="Sí",$O1118="Sí"),"OTIF","Falló"))</f>
        <v/>
      </c>
    </row>
    <row r="1119" ht="16" customHeight="1">
      <c r="A1119" s="47" t="n"/>
      <c r="B1119" s="46" t="n"/>
      <c r="C1119" s="49" t="n"/>
      <c r="D1119" s="49" t="n"/>
      <c r="E1119" s="49" t="n"/>
      <c r="F1119" s="49" t="n"/>
      <c r="G1119" s="47" t="n"/>
      <c r="H1119" s="50" t="n"/>
      <c r="I1119" s="51" t="n"/>
      <c r="J1119" s="46" t="n"/>
      <c r="K1119" s="46" t="n"/>
      <c r="L1119" s="23">
        <f>IF(OR($A1119="",$B1119=""),"",IF($K1119&lt;&gt;"",$K1119-$B1119,TODAY()-$B1119))</f>
        <v/>
      </c>
      <c r="M1119" s="27">
        <f>IF(OR($A1119="",$J1119=""),"",IF($K1119="",IF(TODAY()&gt;$J1119,"Atrasado","En ruta"),IF($K1119&lt;=$J1119,"Sí","No")))</f>
        <v/>
      </c>
      <c r="N1119" s="23">
        <f>IF($A1119="","",COUNTIFS(NOVEDADES!$C$4:$C$1503,$A1119))</f>
        <v/>
      </c>
      <c r="O1119" s="27">
        <f>IF($A1119="","",IF(COUNTIFS(NOVEDADES!$C$4:$C$1503,$A1119,NOVEDADES!$M$4:$M$1503,"SÍ")&gt;0,"No","Sí"))</f>
        <v/>
      </c>
      <c r="P1119" s="27">
        <f>IF(OR($A1119="",$K1119=""),"",IF(AND($M1119="Sí",$O1119="Sí"),"OTIF","Falló"))</f>
        <v/>
      </c>
    </row>
    <row r="1120" ht="16" customHeight="1">
      <c r="A1120" s="47" t="n"/>
      <c r="B1120" s="46" t="n"/>
      <c r="C1120" s="49" t="n"/>
      <c r="D1120" s="49" t="n"/>
      <c r="E1120" s="49" t="n"/>
      <c r="F1120" s="49" t="n"/>
      <c r="G1120" s="47" t="n"/>
      <c r="H1120" s="50" t="n"/>
      <c r="I1120" s="51" t="n"/>
      <c r="J1120" s="46" t="n"/>
      <c r="K1120" s="46" t="n"/>
      <c r="L1120" s="23">
        <f>IF(OR($A1120="",$B1120=""),"",IF($K1120&lt;&gt;"",$K1120-$B1120,TODAY()-$B1120))</f>
        <v/>
      </c>
      <c r="M1120" s="27">
        <f>IF(OR($A1120="",$J1120=""),"",IF($K1120="",IF(TODAY()&gt;$J1120,"Atrasado","En ruta"),IF($K1120&lt;=$J1120,"Sí","No")))</f>
        <v/>
      </c>
      <c r="N1120" s="23">
        <f>IF($A1120="","",COUNTIFS(NOVEDADES!$C$4:$C$1503,$A1120))</f>
        <v/>
      </c>
      <c r="O1120" s="27">
        <f>IF($A1120="","",IF(COUNTIFS(NOVEDADES!$C$4:$C$1503,$A1120,NOVEDADES!$M$4:$M$1503,"SÍ")&gt;0,"No","Sí"))</f>
        <v/>
      </c>
      <c r="P1120" s="27">
        <f>IF(OR($A1120="",$K1120=""),"",IF(AND($M1120="Sí",$O1120="Sí"),"OTIF","Falló"))</f>
        <v/>
      </c>
    </row>
    <row r="1121" ht="16" customHeight="1">
      <c r="A1121" s="47" t="n"/>
      <c r="B1121" s="46" t="n"/>
      <c r="C1121" s="49" t="n"/>
      <c r="D1121" s="49" t="n"/>
      <c r="E1121" s="49" t="n"/>
      <c r="F1121" s="49" t="n"/>
      <c r="G1121" s="47" t="n"/>
      <c r="H1121" s="50" t="n"/>
      <c r="I1121" s="51" t="n"/>
      <c r="J1121" s="46" t="n"/>
      <c r="K1121" s="46" t="n"/>
      <c r="L1121" s="23">
        <f>IF(OR($A1121="",$B1121=""),"",IF($K1121&lt;&gt;"",$K1121-$B1121,TODAY()-$B1121))</f>
        <v/>
      </c>
      <c r="M1121" s="27">
        <f>IF(OR($A1121="",$J1121=""),"",IF($K1121="",IF(TODAY()&gt;$J1121,"Atrasado","En ruta"),IF($K1121&lt;=$J1121,"Sí","No")))</f>
        <v/>
      </c>
      <c r="N1121" s="23">
        <f>IF($A1121="","",COUNTIFS(NOVEDADES!$C$4:$C$1503,$A1121))</f>
        <v/>
      </c>
      <c r="O1121" s="27">
        <f>IF($A1121="","",IF(COUNTIFS(NOVEDADES!$C$4:$C$1503,$A1121,NOVEDADES!$M$4:$M$1503,"SÍ")&gt;0,"No","Sí"))</f>
        <v/>
      </c>
      <c r="P1121" s="27">
        <f>IF(OR($A1121="",$K1121=""),"",IF(AND($M1121="Sí",$O1121="Sí"),"OTIF","Falló"))</f>
        <v/>
      </c>
    </row>
    <row r="1122" ht="16" customHeight="1">
      <c r="A1122" s="47" t="n"/>
      <c r="B1122" s="46" t="n"/>
      <c r="C1122" s="49" t="n"/>
      <c r="D1122" s="49" t="n"/>
      <c r="E1122" s="49" t="n"/>
      <c r="F1122" s="49" t="n"/>
      <c r="G1122" s="47" t="n"/>
      <c r="H1122" s="50" t="n"/>
      <c r="I1122" s="51" t="n"/>
      <c r="J1122" s="46" t="n"/>
      <c r="K1122" s="46" t="n"/>
      <c r="L1122" s="23">
        <f>IF(OR($A1122="",$B1122=""),"",IF($K1122&lt;&gt;"",$K1122-$B1122,TODAY()-$B1122))</f>
        <v/>
      </c>
      <c r="M1122" s="27">
        <f>IF(OR($A1122="",$J1122=""),"",IF($K1122="",IF(TODAY()&gt;$J1122,"Atrasado","En ruta"),IF($K1122&lt;=$J1122,"Sí","No")))</f>
        <v/>
      </c>
      <c r="N1122" s="23">
        <f>IF($A1122="","",COUNTIFS(NOVEDADES!$C$4:$C$1503,$A1122))</f>
        <v/>
      </c>
      <c r="O1122" s="27">
        <f>IF($A1122="","",IF(COUNTIFS(NOVEDADES!$C$4:$C$1503,$A1122,NOVEDADES!$M$4:$M$1503,"SÍ")&gt;0,"No","Sí"))</f>
        <v/>
      </c>
      <c r="P1122" s="27">
        <f>IF(OR($A1122="",$K1122=""),"",IF(AND($M1122="Sí",$O1122="Sí"),"OTIF","Falló"))</f>
        <v/>
      </c>
    </row>
    <row r="1123" ht="16" customHeight="1">
      <c r="A1123" s="47" t="n"/>
      <c r="B1123" s="46" t="n"/>
      <c r="C1123" s="49" t="n"/>
      <c r="D1123" s="49" t="n"/>
      <c r="E1123" s="49" t="n"/>
      <c r="F1123" s="49" t="n"/>
      <c r="G1123" s="47" t="n"/>
      <c r="H1123" s="50" t="n"/>
      <c r="I1123" s="51" t="n"/>
      <c r="J1123" s="46" t="n"/>
      <c r="K1123" s="46" t="n"/>
      <c r="L1123" s="23">
        <f>IF(OR($A1123="",$B1123=""),"",IF($K1123&lt;&gt;"",$K1123-$B1123,TODAY()-$B1123))</f>
        <v/>
      </c>
      <c r="M1123" s="27">
        <f>IF(OR($A1123="",$J1123=""),"",IF($K1123="",IF(TODAY()&gt;$J1123,"Atrasado","En ruta"),IF($K1123&lt;=$J1123,"Sí","No")))</f>
        <v/>
      </c>
      <c r="N1123" s="23">
        <f>IF($A1123="","",COUNTIFS(NOVEDADES!$C$4:$C$1503,$A1123))</f>
        <v/>
      </c>
      <c r="O1123" s="27">
        <f>IF($A1123="","",IF(COUNTIFS(NOVEDADES!$C$4:$C$1503,$A1123,NOVEDADES!$M$4:$M$1503,"SÍ")&gt;0,"No","Sí"))</f>
        <v/>
      </c>
      <c r="P1123" s="27">
        <f>IF(OR($A1123="",$K1123=""),"",IF(AND($M1123="Sí",$O1123="Sí"),"OTIF","Falló"))</f>
        <v/>
      </c>
    </row>
    <row r="1124" ht="16" customHeight="1">
      <c r="A1124" s="47" t="n"/>
      <c r="B1124" s="46" t="n"/>
      <c r="C1124" s="49" t="n"/>
      <c r="D1124" s="49" t="n"/>
      <c r="E1124" s="49" t="n"/>
      <c r="F1124" s="49" t="n"/>
      <c r="G1124" s="47" t="n"/>
      <c r="H1124" s="50" t="n"/>
      <c r="I1124" s="51" t="n"/>
      <c r="J1124" s="46" t="n"/>
      <c r="K1124" s="46" t="n"/>
      <c r="L1124" s="23">
        <f>IF(OR($A1124="",$B1124=""),"",IF($K1124&lt;&gt;"",$K1124-$B1124,TODAY()-$B1124))</f>
        <v/>
      </c>
      <c r="M1124" s="27">
        <f>IF(OR($A1124="",$J1124=""),"",IF($K1124="",IF(TODAY()&gt;$J1124,"Atrasado","En ruta"),IF($K1124&lt;=$J1124,"Sí","No")))</f>
        <v/>
      </c>
      <c r="N1124" s="23">
        <f>IF($A1124="","",COUNTIFS(NOVEDADES!$C$4:$C$1503,$A1124))</f>
        <v/>
      </c>
      <c r="O1124" s="27">
        <f>IF($A1124="","",IF(COUNTIFS(NOVEDADES!$C$4:$C$1503,$A1124,NOVEDADES!$M$4:$M$1503,"SÍ")&gt;0,"No","Sí"))</f>
        <v/>
      </c>
      <c r="P1124" s="27">
        <f>IF(OR($A1124="",$K1124=""),"",IF(AND($M1124="Sí",$O1124="Sí"),"OTIF","Falló"))</f>
        <v/>
      </c>
    </row>
    <row r="1125" ht="16" customHeight="1">
      <c r="A1125" s="47" t="n"/>
      <c r="B1125" s="46" t="n"/>
      <c r="C1125" s="49" t="n"/>
      <c r="D1125" s="49" t="n"/>
      <c r="E1125" s="49" t="n"/>
      <c r="F1125" s="49" t="n"/>
      <c r="G1125" s="47" t="n"/>
      <c r="H1125" s="50" t="n"/>
      <c r="I1125" s="51" t="n"/>
      <c r="J1125" s="46" t="n"/>
      <c r="K1125" s="46" t="n"/>
      <c r="L1125" s="23">
        <f>IF(OR($A1125="",$B1125=""),"",IF($K1125&lt;&gt;"",$K1125-$B1125,TODAY()-$B1125))</f>
        <v/>
      </c>
      <c r="M1125" s="27">
        <f>IF(OR($A1125="",$J1125=""),"",IF($K1125="",IF(TODAY()&gt;$J1125,"Atrasado","En ruta"),IF($K1125&lt;=$J1125,"Sí","No")))</f>
        <v/>
      </c>
      <c r="N1125" s="23">
        <f>IF($A1125="","",COUNTIFS(NOVEDADES!$C$4:$C$1503,$A1125))</f>
        <v/>
      </c>
      <c r="O1125" s="27">
        <f>IF($A1125="","",IF(COUNTIFS(NOVEDADES!$C$4:$C$1503,$A1125,NOVEDADES!$M$4:$M$1503,"SÍ")&gt;0,"No","Sí"))</f>
        <v/>
      </c>
      <c r="P1125" s="27">
        <f>IF(OR($A1125="",$K1125=""),"",IF(AND($M1125="Sí",$O1125="Sí"),"OTIF","Falló"))</f>
        <v/>
      </c>
    </row>
    <row r="1126" ht="16" customHeight="1">
      <c r="A1126" s="47" t="n"/>
      <c r="B1126" s="46" t="n"/>
      <c r="C1126" s="49" t="n"/>
      <c r="D1126" s="49" t="n"/>
      <c r="E1126" s="49" t="n"/>
      <c r="F1126" s="49" t="n"/>
      <c r="G1126" s="47" t="n"/>
      <c r="H1126" s="50" t="n"/>
      <c r="I1126" s="51" t="n"/>
      <c r="J1126" s="46" t="n"/>
      <c r="K1126" s="46" t="n"/>
      <c r="L1126" s="23">
        <f>IF(OR($A1126="",$B1126=""),"",IF($K1126&lt;&gt;"",$K1126-$B1126,TODAY()-$B1126))</f>
        <v/>
      </c>
      <c r="M1126" s="27">
        <f>IF(OR($A1126="",$J1126=""),"",IF($K1126="",IF(TODAY()&gt;$J1126,"Atrasado","En ruta"),IF($K1126&lt;=$J1126,"Sí","No")))</f>
        <v/>
      </c>
      <c r="N1126" s="23">
        <f>IF($A1126="","",COUNTIFS(NOVEDADES!$C$4:$C$1503,$A1126))</f>
        <v/>
      </c>
      <c r="O1126" s="27">
        <f>IF($A1126="","",IF(COUNTIFS(NOVEDADES!$C$4:$C$1503,$A1126,NOVEDADES!$M$4:$M$1503,"SÍ")&gt;0,"No","Sí"))</f>
        <v/>
      </c>
      <c r="P1126" s="27">
        <f>IF(OR($A1126="",$K1126=""),"",IF(AND($M1126="Sí",$O1126="Sí"),"OTIF","Falló"))</f>
        <v/>
      </c>
    </row>
    <row r="1127" ht="16" customHeight="1">
      <c r="A1127" s="47" t="n"/>
      <c r="B1127" s="46" t="n"/>
      <c r="C1127" s="49" t="n"/>
      <c r="D1127" s="49" t="n"/>
      <c r="E1127" s="49" t="n"/>
      <c r="F1127" s="49" t="n"/>
      <c r="G1127" s="47" t="n"/>
      <c r="H1127" s="50" t="n"/>
      <c r="I1127" s="51" t="n"/>
      <c r="J1127" s="46" t="n"/>
      <c r="K1127" s="46" t="n"/>
      <c r="L1127" s="23">
        <f>IF(OR($A1127="",$B1127=""),"",IF($K1127&lt;&gt;"",$K1127-$B1127,TODAY()-$B1127))</f>
        <v/>
      </c>
      <c r="M1127" s="27">
        <f>IF(OR($A1127="",$J1127=""),"",IF($K1127="",IF(TODAY()&gt;$J1127,"Atrasado","En ruta"),IF($K1127&lt;=$J1127,"Sí","No")))</f>
        <v/>
      </c>
      <c r="N1127" s="23">
        <f>IF($A1127="","",COUNTIFS(NOVEDADES!$C$4:$C$1503,$A1127))</f>
        <v/>
      </c>
      <c r="O1127" s="27">
        <f>IF($A1127="","",IF(COUNTIFS(NOVEDADES!$C$4:$C$1503,$A1127,NOVEDADES!$M$4:$M$1503,"SÍ")&gt;0,"No","Sí"))</f>
        <v/>
      </c>
      <c r="P1127" s="27">
        <f>IF(OR($A1127="",$K1127=""),"",IF(AND($M1127="Sí",$O1127="Sí"),"OTIF","Falló"))</f>
        <v/>
      </c>
    </row>
    <row r="1128" ht="16" customHeight="1">
      <c r="A1128" s="47" t="n"/>
      <c r="B1128" s="46" t="n"/>
      <c r="C1128" s="49" t="n"/>
      <c r="D1128" s="49" t="n"/>
      <c r="E1128" s="49" t="n"/>
      <c r="F1128" s="49" t="n"/>
      <c r="G1128" s="47" t="n"/>
      <c r="H1128" s="50" t="n"/>
      <c r="I1128" s="51" t="n"/>
      <c r="J1128" s="46" t="n"/>
      <c r="K1128" s="46" t="n"/>
      <c r="L1128" s="23">
        <f>IF(OR($A1128="",$B1128=""),"",IF($K1128&lt;&gt;"",$K1128-$B1128,TODAY()-$B1128))</f>
        <v/>
      </c>
      <c r="M1128" s="27">
        <f>IF(OR($A1128="",$J1128=""),"",IF($K1128="",IF(TODAY()&gt;$J1128,"Atrasado","En ruta"),IF($K1128&lt;=$J1128,"Sí","No")))</f>
        <v/>
      </c>
      <c r="N1128" s="23">
        <f>IF($A1128="","",COUNTIFS(NOVEDADES!$C$4:$C$1503,$A1128))</f>
        <v/>
      </c>
      <c r="O1128" s="27">
        <f>IF($A1128="","",IF(COUNTIFS(NOVEDADES!$C$4:$C$1503,$A1128,NOVEDADES!$M$4:$M$1503,"SÍ")&gt;0,"No","Sí"))</f>
        <v/>
      </c>
      <c r="P1128" s="27">
        <f>IF(OR($A1128="",$K1128=""),"",IF(AND($M1128="Sí",$O1128="Sí"),"OTIF","Falló"))</f>
        <v/>
      </c>
    </row>
    <row r="1129" ht="16" customHeight="1">
      <c r="A1129" s="47" t="n"/>
      <c r="B1129" s="46" t="n"/>
      <c r="C1129" s="49" t="n"/>
      <c r="D1129" s="49" t="n"/>
      <c r="E1129" s="49" t="n"/>
      <c r="F1129" s="49" t="n"/>
      <c r="G1129" s="47" t="n"/>
      <c r="H1129" s="50" t="n"/>
      <c r="I1129" s="51" t="n"/>
      <c r="J1129" s="46" t="n"/>
      <c r="K1129" s="46" t="n"/>
      <c r="L1129" s="23">
        <f>IF(OR($A1129="",$B1129=""),"",IF($K1129&lt;&gt;"",$K1129-$B1129,TODAY()-$B1129))</f>
        <v/>
      </c>
      <c r="M1129" s="27">
        <f>IF(OR($A1129="",$J1129=""),"",IF($K1129="",IF(TODAY()&gt;$J1129,"Atrasado","En ruta"),IF($K1129&lt;=$J1129,"Sí","No")))</f>
        <v/>
      </c>
      <c r="N1129" s="23">
        <f>IF($A1129="","",COUNTIFS(NOVEDADES!$C$4:$C$1503,$A1129))</f>
        <v/>
      </c>
      <c r="O1129" s="27">
        <f>IF($A1129="","",IF(COUNTIFS(NOVEDADES!$C$4:$C$1503,$A1129,NOVEDADES!$M$4:$M$1503,"SÍ")&gt;0,"No","Sí"))</f>
        <v/>
      </c>
      <c r="P1129" s="27">
        <f>IF(OR($A1129="",$K1129=""),"",IF(AND($M1129="Sí",$O1129="Sí"),"OTIF","Falló"))</f>
        <v/>
      </c>
    </row>
    <row r="1130" ht="16" customHeight="1">
      <c r="A1130" s="47" t="n"/>
      <c r="B1130" s="46" t="n"/>
      <c r="C1130" s="49" t="n"/>
      <c r="D1130" s="49" t="n"/>
      <c r="E1130" s="49" t="n"/>
      <c r="F1130" s="49" t="n"/>
      <c r="G1130" s="47" t="n"/>
      <c r="H1130" s="50" t="n"/>
      <c r="I1130" s="51" t="n"/>
      <c r="J1130" s="46" t="n"/>
      <c r="K1130" s="46" t="n"/>
      <c r="L1130" s="23">
        <f>IF(OR($A1130="",$B1130=""),"",IF($K1130&lt;&gt;"",$K1130-$B1130,TODAY()-$B1130))</f>
        <v/>
      </c>
      <c r="M1130" s="27">
        <f>IF(OR($A1130="",$J1130=""),"",IF($K1130="",IF(TODAY()&gt;$J1130,"Atrasado","En ruta"),IF($K1130&lt;=$J1130,"Sí","No")))</f>
        <v/>
      </c>
      <c r="N1130" s="23">
        <f>IF($A1130="","",COUNTIFS(NOVEDADES!$C$4:$C$1503,$A1130))</f>
        <v/>
      </c>
      <c r="O1130" s="27">
        <f>IF($A1130="","",IF(COUNTIFS(NOVEDADES!$C$4:$C$1503,$A1130,NOVEDADES!$M$4:$M$1503,"SÍ")&gt;0,"No","Sí"))</f>
        <v/>
      </c>
      <c r="P1130" s="27">
        <f>IF(OR($A1130="",$K1130=""),"",IF(AND($M1130="Sí",$O1130="Sí"),"OTIF","Falló"))</f>
        <v/>
      </c>
    </row>
    <row r="1131" ht="16" customHeight="1">
      <c r="A1131" s="47" t="n"/>
      <c r="B1131" s="46" t="n"/>
      <c r="C1131" s="49" t="n"/>
      <c r="D1131" s="49" t="n"/>
      <c r="E1131" s="49" t="n"/>
      <c r="F1131" s="49" t="n"/>
      <c r="G1131" s="47" t="n"/>
      <c r="H1131" s="50" t="n"/>
      <c r="I1131" s="51" t="n"/>
      <c r="J1131" s="46" t="n"/>
      <c r="K1131" s="46" t="n"/>
      <c r="L1131" s="23">
        <f>IF(OR($A1131="",$B1131=""),"",IF($K1131&lt;&gt;"",$K1131-$B1131,TODAY()-$B1131))</f>
        <v/>
      </c>
      <c r="M1131" s="27">
        <f>IF(OR($A1131="",$J1131=""),"",IF($K1131="",IF(TODAY()&gt;$J1131,"Atrasado","En ruta"),IF($K1131&lt;=$J1131,"Sí","No")))</f>
        <v/>
      </c>
      <c r="N1131" s="23">
        <f>IF($A1131="","",COUNTIFS(NOVEDADES!$C$4:$C$1503,$A1131))</f>
        <v/>
      </c>
      <c r="O1131" s="27">
        <f>IF($A1131="","",IF(COUNTIFS(NOVEDADES!$C$4:$C$1503,$A1131,NOVEDADES!$M$4:$M$1503,"SÍ")&gt;0,"No","Sí"))</f>
        <v/>
      </c>
      <c r="P1131" s="27">
        <f>IF(OR($A1131="",$K1131=""),"",IF(AND($M1131="Sí",$O1131="Sí"),"OTIF","Falló"))</f>
        <v/>
      </c>
    </row>
    <row r="1132" ht="16" customHeight="1">
      <c r="A1132" s="47" t="n"/>
      <c r="B1132" s="46" t="n"/>
      <c r="C1132" s="49" t="n"/>
      <c r="D1132" s="49" t="n"/>
      <c r="E1132" s="49" t="n"/>
      <c r="F1132" s="49" t="n"/>
      <c r="G1132" s="47" t="n"/>
      <c r="H1132" s="50" t="n"/>
      <c r="I1132" s="51" t="n"/>
      <c r="J1132" s="46" t="n"/>
      <c r="K1132" s="46" t="n"/>
      <c r="L1132" s="23">
        <f>IF(OR($A1132="",$B1132=""),"",IF($K1132&lt;&gt;"",$K1132-$B1132,TODAY()-$B1132))</f>
        <v/>
      </c>
      <c r="M1132" s="27">
        <f>IF(OR($A1132="",$J1132=""),"",IF($K1132="",IF(TODAY()&gt;$J1132,"Atrasado","En ruta"),IF($K1132&lt;=$J1132,"Sí","No")))</f>
        <v/>
      </c>
      <c r="N1132" s="23">
        <f>IF($A1132="","",COUNTIFS(NOVEDADES!$C$4:$C$1503,$A1132))</f>
        <v/>
      </c>
      <c r="O1132" s="27">
        <f>IF($A1132="","",IF(COUNTIFS(NOVEDADES!$C$4:$C$1503,$A1132,NOVEDADES!$M$4:$M$1503,"SÍ")&gt;0,"No","Sí"))</f>
        <v/>
      </c>
      <c r="P1132" s="27">
        <f>IF(OR($A1132="",$K1132=""),"",IF(AND($M1132="Sí",$O1132="Sí"),"OTIF","Falló"))</f>
        <v/>
      </c>
    </row>
    <row r="1133" ht="16" customHeight="1">
      <c r="A1133" s="47" t="n"/>
      <c r="B1133" s="46" t="n"/>
      <c r="C1133" s="49" t="n"/>
      <c r="D1133" s="49" t="n"/>
      <c r="E1133" s="49" t="n"/>
      <c r="F1133" s="49" t="n"/>
      <c r="G1133" s="47" t="n"/>
      <c r="H1133" s="50" t="n"/>
      <c r="I1133" s="51" t="n"/>
      <c r="J1133" s="46" t="n"/>
      <c r="K1133" s="46" t="n"/>
      <c r="L1133" s="23">
        <f>IF(OR($A1133="",$B1133=""),"",IF($K1133&lt;&gt;"",$K1133-$B1133,TODAY()-$B1133))</f>
        <v/>
      </c>
      <c r="M1133" s="27">
        <f>IF(OR($A1133="",$J1133=""),"",IF($K1133="",IF(TODAY()&gt;$J1133,"Atrasado","En ruta"),IF($K1133&lt;=$J1133,"Sí","No")))</f>
        <v/>
      </c>
      <c r="N1133" s="23">
        <f>IF($A1133="","",COUNTIFS(NOVEDADES!$C$4:$C$1503,$A1133))</f>
        <v/>
      </c>
      <c r="O1133" s="27">
        <f>IF($A1133="","",IF(COUNTIFS(NOVEDADES!$C$4:$C$1503,$A1133,NOVEDADES!$M$4:$M$1503,"SÍ")&gt;0,"No","Sí"))</f>
        <v/>
      </c>
      <c r="P1133" s="27">
        <f>IF(OR($A1133="",$K1133=""),"",IF(AND($M1133="Sí",$O1133="Sí"),"OTIF","Falló"))</f>
        <v/>
      </c>
    </row>
    <row r="1134" ht="16" customHeight="1">
      <c r="A1134" s="47" t="n"/>
      <c r="B1134" s="46" t="n"/>
      <c r="C1134" s="49" t="n"/>
      <c r="D1134" s="49" t="n"/>
      <c r="E1134" s="49" t="n"/>
      <c r="F1134" s="49" t="n"/>
      <c r="G1134" s="47" t="n"/>
      <c r="H1134" s="50" t="n"/>
      <c r="I1134" s="51" t="n"/>
      <c r="J1134" s="46" t="n"/>
      <c r="K1134" s="46" t="n"/>
      <c r="L1134" s="23">
        <f>IF(OR($A1134="",$B1134=""),"",IF($K1134&lt;&gt;"",$K1134-$B1134,TODAY()-$B1134))</f>
        <v/>
      </c>
      <c r="M1134" s="27">
        <f>IF(OR($A1134="",$J1134=""),"",IF($K1134="",IF(TODAY()&gt;$J1134,"Atrasado","En ruta"),IF($K1134&lt;=$J1134,"Sí","No")))</f>
        <v/>
      </c>
      <c r="N1134" s="23">
        <f>IF($A1134="","",COUNTIFS(NOVEDADES!$C$4:$C$1503,$A1134))</f>
        <v/>
      </c>
      <c r="O1134" s="27">
        <f>IF($A1134="","",IF(COUNTIFS(NOVEDADES!$C$4:$C$1503,$A1134,NOVEDADES!$M$4:$M$1503,"SÍ")&gt;0,"No","Sí"))</f>
        <v/>
      </c>
      <c r="P1134" s="27">
        <f>IF(OR($A1134="",$K1134=""),"",IF(AND($M1134="Sí",$O1134="Sí"),"OTIF","Falló"))</f>
        <v/>
      </c>
    </row>
    <row r="1135" ht="16" customHeight="1">
      <c r="A1135" s="47" t="n"/>
      <c r="B1135" s="46" t="n"/>
      <c r="C1135" s="49" t="n"/>
      <c r="D1135" s="49" t="n"/>
      <c r="E1135" s="49" t="n"/>
      <c r="F1135" s="49" t="n"/>
      <c r="G1135" s="47" t="n"/>
      <c r="H1135" s="50" t="n"/>
      <c r="I1135" s="51" t="n"/>
      <c r="J1135" s="46" t="n"/>
      <c r="K1135" s="46" t="n"/>
      <c r="L1135" s="23">
        <f>IF(OR($A1135="",$B1135=""),"",IF($K1135&lt;&gt;"",$K1135-$B1135,TODAY()-$B1135))</f>
        <v/>
      </c>
      <c r="M1135" s="27">
        <f>IF(OR($A1135="",$J1135=""),"",IF($K1135="",IF(TODAY()&gt;$J1135,"Atrasado","En ruta"),IF($K1135&lt;=$J1135,"Sí","No")))</f>
        <v/>
      </c>
      <c r="N1135" s="23">
        <f>IF($A1135="","",COUNTIFS(NOVEDADES!$C$4:$C$1503,$A1135))</f>
        <v/>
      </c>
      <c r="O1135" s="27">
        <f>IF($A1135="","",IF(COUNTIFS(NOVEDADES!$C$4:$C$1503,$A1135,NOVEDADES!$M$4:$M$1503,"SÍ")&gt;0,"No","Sí"))</f>
        <v/>
      </c>
      <c r="P1135" s="27">
        <f>IF(OR($A1135="",$K1135=""),"",IF(AND($M1135="Sí",$O1135="Sí"),"OTIF","Falló"))</f>
        <v/>
      </c>
    </row>
    <row r="1136" ht="16" customHeight="1">
      <c r="A1136" s="47" t="n"/>
      <c r="B1136" s="46" t="n"/>
      <c r="C1136" s="49" t="n"/>
      <c r="D1136" s="49" t="n"/>
      <c r="E1136" s="49" t="n"/>
      <c r="F1136" s="49" t="n"/>
      <c r="G1136" s="47" t="n"/>
      <c r="H1136" s="50" t="n"/>
      <c r="I1136" s="51" t="n"/>
      <c r="J1136" s="46" t="n"/>
      <c r="K1136" s="46" t="n"/>
      <c r="L1136" s="23">
        <f>IF(OR($A1136="",$B1136=""),"",IF($K1136&lt;&gt;"",$K1136-$B1136,TODAY()-$B1136))</f>
        <v/>
      </c>
      <c r="M1136" s="27">
        <f>IF(OR($A1136="",$J1136=""),"",IF($K1136="",IF(TODAY()&gt;$J1136,"Atrasado","En ruta"),IF($K1136&lt;=$J1136,"Sí","No")))</f>
        <v/>
      </c>
      <c r="N1136" s="23">
        <f>IF($A1136="","",COUNTIFS(NOVEDADES!$C$4:$C$1503,$A1136))</f>
        <v/>
      </c>
      <c r="O1136" s="27">
        <f>IF($A1136="","",IF(COUNTIFS(NOVEDADES!$C$4:$C$1503,$A1136,NOVEDADES!$M$4:$M$1503,"SÍ")&gt;0,"No","Sí"))</f>
        <v/>
      </c>
      <c r="P1136" s="27">
        <f>IF(OR($A1136="",$K1136=""),"",IF(AND($M1136="Sí",$O1136="Sí"),"OTIF","Falló"))</f>
        <v/>
      </c>
    </row>
    <row r="1137" ht="16" customHeight="1">
      <c r="A1137" s="47" t="n"/>
      <c r="B1137" s="46" t="n"/>
      <c r="C1137" s="49" t="n"/>
      <c r="D1137" s="49" t="n"/>
      <c r="E1137" s="49" t="n"/>
      <c r="F1137" s="49" t="n"/>
      <c r="G1137" s="47" t="n"/>
      <c r="H1137" s="50" t="n"/>
      <c r="I1137" s="51" t="n"/>
      <c r="J1137" s="46" t="n"/>
      <c r="K1137" s="46" t="n"/>
      <c r="L1137" s="23">
        <f>IF(OR($A1137="",$B1137=""),"",IF($K1137&lt;&gt;"",$K1137-$B1137,TODAY()-$B1137))</f>
        <v/>
      </c>
      <c r="M1137" s="27">
        <f>IF(OR($A1137="",$J1137=""),"",IF($K1137="",IF(TODAY()&gt;$J1137,"Atrasado","En ruta"),IF($K1137&lt;=$J1137,"Sí","No")))</f>
        <v/>
      </c>
      <c r="N1137" s="23">
        <f>IF($A1137="","",COUNTIFS(NOVEDADES!$C$4:$C$1503,$A1137))</f>
        <v/>
      </c>
      <c r="O1137" s="27">
        <f>IF($A1137="","",IF(COUNTIFS(NOVEDADES!$C$4:$C$1503,$A1137,NOVEDADES!$M$4:$M$1503,"SÍ")&gt;0,"No","Sí"))</f>
        <v/>
      </c>
      <c r="P1137" s="27">
        <f>IF(OR($A1137="",$K1137=""),"",IF(AND($M1137="Sí",$O1137="Sí"),"OTIF","Falló"))</f>
        <v/>
      </c>
    </row>
    <row r="1138" ht="16" customHeight="1">
      <c r="A1138" s="47" t="n"/>
      <c r="B1138" s="46" t="n"/>
      <c r="C1138" s="49" t="n"/>
      <c r="D1138" s="49" t="n"/>
      <c r="E1138" s="49" t="n"/>
      <c r="F1138" s="49" t="n"/>
      <c r="G1138" s="47" t="n"/>
      <c r="H1138" s="50" t="n"/>
      <c r="I1138" s="51" t="n"/>
      <c r="J1138" s="46" t="n"/>
      <c r="K1138" s="46" t="n"/>
      <c r="L1138" s="23">
        <f>IF(OR($A1138="",$B1138=""),"",IF($K1138&lt;&gt;"",$K1138-$B1138,TODAY()-$B1138))</f>
        <v/>
      </c>
      <c r="M1138" s="27">
        <f>IF(OR($A1138="",$J1138=""),"",IF($K1138="",IF(TODAY()&gt;$J1138,"Atrasado","En ruta"),IF($K1138&lt;=$J1138,"Sí","No")))</f>
        <v/>
      </c>
      <c r="N1138" s="23">
        <f>IF($A1138="","",COUNTIFS(NOVEDADES!$C$4:$C$1503,$A1138))</f>
        <v/>
      </c>
      <c r="O1138" s="27">
        <f>IF($A1138="","",IF(COUNTIFS(NOVEDADES!$C$4:$C$1503,$A1138,NOVEDADES!$M$4:$M$1503,"SÍ")&gt;0,"No","Sí"))</f>
        <v/>
      </c>
      <c r="P1138" s="27">
        <f>IF(OR($A1138="",$K1138=""),"",IF(AND($M1138="Sí",$O1138="Sí"),"OTIF","Falló"))</f>
        <v/>
      </c>
    </row>
    <row r="1139" ht="16" customHeight="1">
      <c r="A1139" s="47" t="n"/>
      <c r="B1139" s="46" t="n"/>
      <c r="C1139" s="49" t="n"/>
      <c r="D1139" s="49" t="n"/>
      <c r="E1139" s="49" t="n"/>
      <c r="F1139" s="49" t="n"/>
      <c r="G1139" s="47" t="n"/>
      <c r="H1139" s="50" t="n"/>
      <c r="I1139" s="51" t="n"/>
      <c r="J1139" s="46" t="n"/>
      <c r="K1139" s="46" t="n"/>
      <c r="L1139" s="23">
        <f>IF(OR($A1139="",$B1139=""),"",IF($K1139&lt;&gt;"",$K1139-$B1139,TODAY()-$B1139))</f>
        <v/>
      </c>
      <c r="M1139" s="27">
        <f>IF(OR($A1139="",$J1139=""),"",IF($K1139="",IF(TODAY()&gt;$J1139,"Atrasado","En ruta"),IF($K1139&lt;=$J1139,"Sí","No")))</f>
        <v/>
      </c>
      <c r="N1139" s="23">
        <f>IF($A1139="","",COUNTIFS(NOVEDADES!$C$4:$C$1503,$A1139))</f>
        <v/>
      </c>
      <c r="O1139" s="27">
        <f>IF($A1139="","",IF(COUNTIFS(NOVEDADES!$C$4:$C$1503,$A1139,NOVEDADES!$M$4:$M$1503,"SÍ")&gt;0,"No","Sí"))</f>
        <v/>
      </c>
      <c r="P1139" s="27">
        <f>IF(OR($A1139="",$K1139=""),"",IF(AND($M1139="Sí",$O1139="Sí"),"OTIF","Falló"))</f>
        <v/>
      </c>
    </row>
    <row r="1140" ht="16" customHeight="1">
      <c r="A1140" s="47" t="n"/>
      <c r="B1140" s="46" t="n"/>
      <c r="C1140" s="49" t="n"/>
      <c r="D1140" s="49" t="n"/>
      <c r="E1140" s="49" t="n"/>
      <c r="F1140" s="49" t="n"/>
      <c r="G1140" s="47" t="n"/>
      <c r="H1140" s="50" t="n"/>
      <c r="I1140" s="51" t="n"/>
      <c r="J1140" s="46" t="n"/>
      <c r="K1140" s="46" t="n"/>
      <c r="L1140" s="23">
        <f>IF(OR($A1140="",$B1140=""),"",IF($K1140&lt;&gt;"",$K1140-$B1140,TODAY()-$B1140))</f>
        <v/>
      </c>
      <c r="M1140" s="27">
        <f>IF(OR($A1140="",$J1140=""),"",IF($K1140="",IF(TODAY()&gt;$J1140,"Atrasado","En ruta"),IF($K1140&lt;=$J1140,"Sí","No")))</f>
        <v/>
      </c>
      <c r="N1140" s="23">
        <f>IF($A1140="","",COUNTIFS(NOVEDADES!$C$4:$C$1503,$A1140))</f>
        <v/>
      </c>
      <c r="O1140" s="27">
        <f>IF($A1140="","",IF(COUNTIFS(NOVEDADES!$C$4:$C$1503,$A1140,NOVEDADES!$M$4:$M$1503,"SÍ")&gt;0,"No","Sí"))</f>
        <v/>
      </c>
      <c r="P1140" s="27">
        <f>IF(OR($A1140="",$K1140=""),"",IF(AND($M1140="Sí",$O1140="Sí"),"OTIF","Falló"))</f>
        <v/>
      </c>
    </row>
    <row r="1141" ht="16" customHeight="1">
      <c r="A1141" s="47" t="n"/>
      <c r="B1141" s="46" t="n"/>
      <c r="C1141" s="49" t="n"/>
      <c r="D1141" s="49" t="n"/>
      <c r="E1141" s="49" t="n"/>
      <c r="F1141" s="49" t="n"/>
      <c r="G1141" s="47" t="n"/>
      <c r="H1141" s="50" t="n"/>
      <c r="I1141" s="51" t="n"/>
      <c r="J1141" s="46" t="n"/>
      <c r="K1141" s="46" t="n"/>
      <c r="L1141" s="23">
        <f>IF(OR($A1141="",$B1141=""),"",IF($K1141&lt;&gt;"",$K1141-$B1141,TODAY()-$B1141))</f>
        <v/>
      </c>
      <c r="M1141" s="27">
        <f>IF(OR($A1141="",$J1141=""),"",IF($K1141="",IF(TODAY()&gt;$J1141,"Atrasado","En ruta"),IF($K1141&lt;=$J1141,"Sí","No")))</f>
        <v/>
      </c>
      <c r="N1141" s="23">
        <f>IF($A1141="","",COUNTIFS(NOVEDADES!$C$4:$C$1503,$A1141))</f>
        <v/>
      </c>
      <c r="O1141" s="27">
        <f>IF($A1141="","",IF(COUNTIFS(NOVEDADES!$C$4:$C$1503,$A1141,NOVEDADES!$M$4:$M$1503,"SÍ")&gt;0,"No","Sí"))</f>
        <v/>
      </c>
      <c r="P1141" s="27">
        <f>IF(OR($A1141="",$K1141=""),"",IF(AND($M1141="Sí",$O1141="Sí"),"OTIF","Falló"))</f>
        <v/>
      </c>
    </row>
    <row r="1142" ht="16" customHeight="1">
      <c r="A1142" s="47" t="n"/>
      <c r="B1142" s="46" t="n"/>
      <c r="C1142" s="49" t="n"/>
      <c r="D1142" s="49" t="n"/>
      <c r="E1142" s="49" t="n"/>
      <c r="F1142" s="49" t="n"/>
      <c r="G1142" s="47" t="n"/>
      <c r="H1142" s="50" t="n"/>
      <c r="I1142" s="51" t="n"/>
      <c r="J1142" s="46" t="n"/>
      <c r="K1142" s="46" t="n"/>
      <c r="L1142" s="23">
        <f>IF(OR($A1142="",$B1142=""),"",IF($K1142&lt;&gt;"",$K1142-$B1142,TODAY()-$B1142))</f>
        <v/>
      </c>
      <c r="M1142" s="27">
        <f>IF(OR($A1142="",$J1142=""),"",IF($K1142="",IF(TODAY()&gt;$J1142,"Atrasado","En ruta"),IF($K1142&lt;=$J1142,"Sí","No")))</f>
        <v/>
      </c>
      <c r="N1142" s="23">
        <f>IF($A1142="","",COUNTIFS(NOVEDADES!$C$4:$C$1503,$A1142))</f>
        <v/>
      </c>
      <c r="O1142" s="27">
        <f>IF($A1142="","",IF(COUNTIFS(NOVEDADES!$C$4:$C$1503,$A1142,NOVEDADES!$M$4:$M$1503,"SÍ")&gt;0,"No","Sí"))</f>
        <v/>
      </c>
      <c r="P1142" s="27">
        <f>IF(OR($A1142="",$K1142=""),"",IF(AND($M1142="Sí",$O1142="Sí"),"OTIF","Falló"))</f>
        <v/>
      </c>
    </row>
    <row r="1143" ht="16" customHeight="1">
      <c r="A1143" s="47" t="n"/>
      <c r="B1143" s="46" t="n"/>
      <c r="C1143" s="49" t="n"/>
      <c r="D1143" s="49" t="n"/>
      <c r="E1143" s="49" t="n"/>
      <c r="F1143" s="49" t="n"/>
      <c r="G1143" s="47" t="n"/>
      <c r="H1143" s="50" t="n"/>
      <c r="I1143" s="51" t="n"/>
      <c r="J1143" s="46" t="n"/>
      <c r="K1143" s="46" t="n"/>
      <c r="L1143" s="23">
        <f>IF(OR($A1143="",$B1143=""),"",IF($K1143&lt;&gt;"",$K1143-$B1143,TODAY()-$B1143))</f>
        <v/>
      </c>
      <c r="M1143" s="27">
        <f>IF(OR($A1143="",$J1143=""),"",IF($K1143="",IF(TODAY()&gt;$J1143,"Atrasado","En ruta"),IF($K1143&lt;=$J1143,"Sí","No")))</f>
        <v/>
      </c>
      <c r="N1143" s="23">
        <f>IF($A1143="","",COUNTIFS(NOVEDADES!$C$4:$C$1503,$A1143))</f>
        <v/>
      </c>
      <c r="O1143" s="27">
        <f>IF($A1143="","",IF(COUNTIFS(NOVEDADES!$C$4:$C$1503,$A1143,NOVEDADES!$M$4:$M$1503,"SÍ")&gt;0,"No","Sí"))</f>
        <v/>
      </c>
      <c r="P1143" s="27">
        <f>IF(OR($A1143="",$K1143=""),"",IF(AND($M1143="Sí",$O1143="Sí"),"OTIF","Falló"))</f>
        <v/>
      </c>
    </row>
    <row r="1144" ht="16" customHeight="1">
      <c r="A1144" s="47" t="n"/>
      <c r="B1144" s="46" t="n"/>
      <c r="C1144" s="49" t="n"/>
      <c r="D1144" s="49" t="n"/>
      <c r="E1144" s="49" t="n"/>
      <c r="F1144" s="49" t="n"/>
      <c r="G1144" s="47" t="n"/>
      <c r="H1144" s="50" t="n"/>
      <c r="I1144" s="51" t="n"/>
      <c r="J1144" s="46" t="n"/>
      <c r="K1144" s="46" t="n"/>
      <c r="L1144" s="23">
        <f>IF(OR($A1144="",$B1144=""),"",IF($K1144&lt;&gt;"",$K1144-$B1144,TODAY()-$B1144))</f>
        <v/>
      </c>
      <c r="M1144" s="27">
        <f>IF(OR($A1144="",$J1144=""),"",IF($K1144="",IF(TODAY()&gt;$J1144,"Atrasado","En ruta"),IF($K1144&lt;=$J1144,"Sí","No")))</f>
        <v/>
      </c>
      <c r="N1144" s="23">
        <f>IF($A1144="","",COUNTIFS(NOVEDADES!$C$4:$C$1503,$A1144))</f>
        <v/>
      </c>
      <c r="O1144" s="27">
        <f>IF($A1144="","",IF(COUNTIFS(NOVEDADES!$C$4:$C$1503,$A1144,NOVEDADES!$M$4:$M$1503,"SÍ")&gt;0,"No","Sí"))</f>
        <v/>
      </c>
      <c r="P1144" s="27">
        <f>IF(OR($A1144="",$K1144=""),"",IF(AND($M1144="Sí",$O1144="Sí"),"OTIF","Falló"))</f>
        <v/>
      </c>
    </row>
    <row r="1145" ht="16" customHeight="1">
      <c r="A1145" s="47" t="n"/>
      <c r="B1145" s="46" t="n"/>
      <c r="C1145" s="49" t="n"/>
      <c r="D1145" s="49" t="n"/>
      <c r="E1145" s="49" t="n"/>
      <c r="F1145" s="49" t="n"/>
      <c r="G1145" s="47" t="n"/>
      <c r="H1145" s="50" t="n"/>
      <c r="I1145" s="51" t="n"/>
      <c r="J1145" s="46" t="n"/>
      <c r="K1145" s="46" t="n"/>
      <c r="L1145" s="23">
        <f>IF(OR($A1145="",$B1145=""),"",IF($K1145&lt;&gt;"",$K1145-$B1145,TODAY()-$B1145))</f>
        <v/>
      </c>
      <c r="M1145" s="27">
        <f>IF(OR($A1145="",$J1145=""),"",IF($K1145="",IF(TODAY()&gt;$J1145,"Atrasado","En ruta"),IF($K1145&lt;=$J1145,"Sí","No")))</f>
        <v/>
      </c>
      <c r="N1145" s="23">
        <f>IF($A1145="","",COUNTIFS(NOVEDADES!$C$4:$C$1503,$A1145))</f>
        <v/>
      </c>
      <c r="O1145" s="27">
        <f>IF($A1145="","",IF(COUNTIFS(NOVEDADES!$C$4:$C$1503,$A1145,NOVEDADES!$M$4:$M$1503,"SÍ")&gt;0,"No","Sí"))</f>
        <v/>
      </c>
      <c r="P1145" s="27">
        <f>IF(OR($A1145="",$K1145=""),"",IF(AND($M1145="Sí",$O1145="Sí"),"OTIF","Falló"))</f>
        <v/>
      </c>
    </row>
    <row r="1146" ht="16" customHeight="1">
      <c r="A1146" s="47" t="n"/>
      <c r="B1146" s="46" t="n"/>
      <c r="C1146" s="49" t="n"/>
      <c r="D1146" s="49" t="n"/>
      <c r="E1146" s="49" t="n"/>
      <c r="F1146" s="49" t="n"/>
      <c r="G1146" s="47" t="n"/>
      <c r="H1146" s="50" t="n"/>
      <c r="I1146" s="51" t="n"/>
      <c r="J1146" s="46" t="n"/>
      <c r="K1146" s="46" t="n"/>
      <c r="L1146" s="23">
        <f>IF(OR($A1146="",$B1146=""),"",IF($K1146&lt;&gt;"",$K1146-$B1146,TODAY()-$B1146))</f>
        <v/>
      </c>
      <c r="M1146" s="27">
        <f>IF(OR($A1146="",$J1146=""),"",IF($K1146="",IF(TODAY()&gt;$J1146,"Atrasado","En ruta"),IF($K1146&lt;=$J1146,"Sí","No")))</f>
        <v/>
      </c>
      <c r="N1146" s="23">
        <f>IF($A1146="","",COUNTIFS(NOVEDADES!$C$4:$C$1503,$A1146))</f>
        <v/>
      </c>
      <c r="O1146" s="27">
        <f>IF($A1146="","",IF(COUNTIFS(NOVEDADES!$C$4:$C$1503,$A1146,NOVEDADES!$M$4:$M$1503,"SÍ")&gt;0,"No","Sí"))</f>
        <v/>
      </c>
      <c r="P1146" s="27">
        <f>IF(OR($A1146="",$K1146=""),"",IF(AND($M1146="Sí",$O1146="Sí"),"OTIF","Falló"))</f>
        <v/>
      </c>
    </row>
    <row r="1147" ht="16" customHeight="1">
      <c r="A1147" s="47" t="n"/>
      <c r="B1147" s="46" t="n"/>
      <c r="C1147" s="49" t="n"/>
      <c r="D1147" s="49" t="n"/>
      <c r="E1147" s="49" t="n"/>
      <c r="F1147" s="49" t="n"/>
      <c r="G1147" s="47" t="n"/>
      <c r="H1147" s="50" t="n"/>
      <c r="I1147" s="51" t="n"/>
      <c r="J1147" s="46" t="n"/>
      <c r="K1147" s="46" t="n"/>
      <c r="L1147" s="23">
        <f>IF(OR($A1147="",$B1147=""),"",IF($K1147&lt;&gt;"",$K1147-$B1147,TODAY()-$B1147))</f>
        <v/>
      </c>
      <c r="M1147" s="27">
        <f>IF(OR($A1147="",$J1147=""),"",IF($K1147="",IF(TODAY()&gt;$J1147,"Atrasado","En ruta"),IF($K1147&lt;=$J1147,"Sí","No")))</f>
        <v/>
      </c>
      <c r="N1147" s="23">
        <f>IF($A1147="","",COUNTIFS(NOVEDADES!$C$4:$C$1503,$A1147))</f>
        <v/>
      </c>
      <c r="O1147" s="27">
        <f>IF($A1147="","",IF(COUNTIFS(NOVEDADES!$C$4:$C$1503,$A1147,NOVEDADES!$M$4:$M$1503,"SÍ")&gt;0,"No","Sí"))</f>
        <v/>
      </c>
      <c r="P1147" s="27">
        <f>IF(OR($A1147="",$K1147=""),"",IF(AND($M1147="Sí",$O1147="Sí"),"OTIF","Falló"))</f>
        <v/>
      </c>
    </row>
    <row r="1148" ht="16" customHeight="1">
      <c r="A1148" s="47" t="n"/>
      <c r="B1148" s="46" t="n"/>
      <c r="C1148" s="49" t="n"/>
      <c r="D1148" s="49" t="n"/>
      <c r="E1148" s="49" t="n"/>
      <c r="F1148" s="49" t="n"/>
      <c r="G1148" s="47" t="n"/>
      <c r="H1148" s="50" t="n"/>
      <c r="I1148" s="51" t="n"/>
      <c r="J1148" s="46" t="n"/>
      <c r="K1148" s="46" t="n"/>
      <c r="L1148" s="23">
        <f>IF(OR($A1148="",$B1148=""),"",IF($K1148&lt;&gt;"",$K1148-$B1148,TODAY()-$B1148))</f>
        <v/>
      </c>
      <c r="M1148" s="27">
        <f>IF(OR($A1148="",$J1148=""),"",IF($K1148="",IF(TODAY()&gt;$J1148,"Atrasado","En ruta"),IF($K1148&lt;=$J1148,"Sí","No")))</f>
        <v/>
      </c>
      <c r="N1148" s="23">
        <f>IF($A1148="","",COUNTIFS(NOVEDADES!$C$4:$C$1503,$A1148))</f>
        <v/>
      </c>
      <c r="O1148" s="27">
        <f>IF($A1148="","",IF(COUNTIFS(NOVEDADES!$C$4:$C$1503,$A1148,NOVEDADES!$M$4:$M$1503,"SÍ")&gt;0,"No","Sí"))</f>
        <v/>
      </c>
      <c r="P1148" s="27">
        <f>IF(OR($A1148="",$K1148=""),"",IF(AND($M1148="Sí",$O1148="Sí"),"OTIF","Falló"))</f>
        <v/>
      </c>
    </row>
    <row r="1149" ht="16" customHeight="1">
      <c r="A1149" s="47" t="n"/>
      <c r="B1149" s="46" t="n"/>
      <c r="C1149" s="49" t="n"/>
      <c r="D1149" s="49" t="n"/>
      <c r="E1149" s="49" t="n"/>
      <c r="F1149" s="49" t="n"/>
      <c r="G1149" s="47" t="n"/>
      <c r="H1149" s="50" t="n"/>
      <c r="I1149" s="51" t="n"/>
      <c r="J1149" s="46" t="n"/>
      <c r="K1149" s="46" t="n"/>
      <c r="L1149" s="23">
        <f>IF(OR($A1149="",$B1149=""),"",IF($K1149&lt;&gt;"",$K1149-$B1149,TODAY()-$B1149))</f>
        <v/>
      </c>
      <c r="M1149" s="27">
        <f>IF(OR($A1149="",$J1149=""),"",IF($K1149="",IF(TODAY()&gt;$J1149,"Atrasado","En ruta"),IF($K1149&lt;=$J1149,"Sí","No")))</f>
        <v/>
      </c>
      <c r="N1149" s="23">
        <f>IF($A1149="","",COUNTIFS(NOVEDADES!$C$4:$C$1503,$A1149))</f>
        <v/>
      </c>
      <c r="O1149" s="27">
        <f>IF($A1149="","",IF(COUNTIFS(NOVEDADES!$C$4:$C$1503,$A1149,NOVEDADES!$M$4:$M$1503,"SÍ")&gt;0,"No","Sí"))</f>
        <v/>
      </c>
      <c r="P1149" s="27">
        <f>IF(OR($A1149="",$K1149=""),"",IF(AND($M1149="Sí",$O1149="Sí"),"OTIF","Falló"))</f>
        <v/>
      </c>
    </row>
    <row r="1150" ht="16" customHeight="1">
      <c r="A1150" s="47" t="n"/>
      <c r="B1150" s="46" t="n"/>
      <c r="C1150" s="49" t="n"/>
      <c r="D1150" s="49" t="n"/>
      <c r="E1150" s="49" t="n"/>
      <c r="F1150" s="49" t="n"/>
      <c r="G1150" s="47" t="n"/>
      <c r="H1150" s="50" t="n"/>
      <c r="I1150" s="51" t="n"/>
      <c r="J1150" s="46" t="n"/>
      <c r="K1150" s="46" t="n"/>
      <c r="L1150" s="23">
        <f>IF(OR($A1150="",$B1150=""),"",IF($K1150&lt;&gt;"",$K1150-$B1150,TODAY()-$B1150))</f>
        <v/>
      </c>
      <c r="M1150" s="27">
        <f>IF(OR($A1150="",$J1150=""),"",IF($K1150="",IF(TODAY()&gt;$J1150,"Atrasado","En ruta"),IF($K1150&lt;=$J1150,"Sí","No")))</f>
        <v/>
      </c>
      <c r="N1150" s="23">
        <f>IF($A1150="","",COUNTIFS(NOVEDADES!$C$4:$C$1503,$A1150))</f>
        <v/>
      </c>
      <c r="O1150" s="27">
        <f>IF($A1150="","",IF(COUNTIFS(NOVEDADES!$C$4:$C$1503,$A1150,NOVEDADES!$M$4:$M$1503,"SÍ")&gt;0,"No","Sí"))</f>
        <v/>
      </c>
      <c r="P1150" s="27">
        <f>IF(OR($A1150="",$K1150=""),"",IF(AND($M1150="Sí",$O1150="Sí"),"OTIF","Falló"))</f>
        <v/>
      </c>
    </row>
    <row r="1151" ht="16" customHeight="1">
      <c r="A1151" s="47" t="n"/>
      <c r="B1151" s="46" t="n"/>
      <c r="C1151" s="49" t="n"/>
      <c r="D1151" s="49" t="n"/>
      <c r="E1151" s="49" t="n"/>
      <c r="F1151" s="49" t="n"/>
      <c r="G1151" s="47" t="n"/>
      <c r="H1151" s="50" t="n"/>
      <c r="I1151" s="51" t="n"/>
      <c r="J1151" s="46" t="n"/>
      <c r="K1151" s="46" t="n"/>
      <c r="L1151" s="23">
        <f>IF(OR($A1151="",$B1151=""),"",IF($K1151&lt;&gt;"",$K1151-$B1151,TODAY()-$B1151))</f>
        <v/>
      </c>
      <c r="M1151" s="27">
        <f>IF(OR($A1151="",$J1151=""),"",IF($K1151="",IF(TODAY()&gt;$J1151,"Atrasado","En ruta"),IF($K1151&lt;=$J1151,"Sí","No")))</f>
        <v/>
      </c>
      <c r="N1151" s="23">
        <f>IF($A1151="","",COUNTIFS(NOVEDADES!$C$4:$C$1503,$A1151))</f>
        <v/>
      </c>
      <c r="O1151" s="27">
        <f>IF($A1151="","",IF(COUNTIFS(NOVEDADES!$C$4:$C$1503,$A1151,NOVEDADES!$M$4:$M$1503,"SÍ")&gt;0,"No","Sí"))</f>
        <v/>
      </c>
      <c r="P1151" s="27">
        <f>IF(OR($A1151="",$K1151=""),"",IF(AND($M1151="Sí",$O1151="Sí"),"OTIF","Falló"))</f>
        <v/>
      </c>
    </row>
    <row r="1152" ht="16" customHeight="1">
      <c r="A1152" s="47" t="n"/>
      <c r="B1152" s="46" t="n"/>
      <c r="C1152" s="49" t="n"/>
      <c r="D1152" s="49" t="n"/>
      <c r="E1152" s="49" t="n"/>
      <c r="F1152" s="49" t="n"/>
      <c r="G1152" s="47" t="n"/>
      <c r="H1152" s="50" t="n"/>
      <c r="I1152" s="51" t="n"/>
      <c r="J1152" s="46" t="n"/>
      <c r="K1152" s="46" t="n"/>
      <c r="L1152" s="23">
        <f>IF(OR($A1152="",$B1152=""),"",IF($K1152&lt;&gt;"",$K1152-$B1152,TODAY()-$B1152))</f>
        <v/>
      </c>
      <c r="M1152" s="27">
        <f>IF(OR($A1152="",$J1152=""),"",IF($K1152="",IF(TODAY()&gt;$J1152,"Atrasado","En ruta"),IF($K1152&lt;=$J1152,"Sí","No")))</f>
        <v/>
      </c>
      <c r="N1152" s="23">
        <f>IF($A1152="","",COUNTIFS(NOVEDADES!$C$4:$C$1503,$A1152))</f>
        <v/>
      </c>
      <c r="O1152" s="27">
        <f>IF($A1152="","",IF(COUNTIFS(NOVEDADES!$C$4:$C$1503,$A1152,NOVEDADES!$M$4:$M$1503,"SÍ")&gt;0,"No","Sí"))</f>
        <v/>
      </c>
      <c r="P1152" s="27">
        <f>IF(OR($A1152="",$K1152=""),"",IF(AND($M1152="Sí",$O1152="Sí"),"OTIF","Falló"))</f>
        <v/>
      </c>
    </row>
    <row r="1153" ht="16" customHeight="1">
      <c r="A1153" s="47" t="n"/>
      <c r="B1153" s="46" t="n"/>
      <c r="C1153" s="49" t="n"/>
      <c r="D1153" s="49" t="n"/>
      <c r="E1153" s="49" t="n"/>
      <c r="F1153" s="49" t="n"/>
      <c r="G1153" s="47" t="n"/>
      <c r="H1153" s="50" t="n"/>
      <c r="I1153" s="51" t="n"/>
      <c r="J1153" s="46" t="n"/>
      <c r="K1153" s="46" t="n"/>
      <c r="L1153" s="23">
        <f>IF(OR($A1153="",$B1153=""),"",IF($K1153&lt;&gt;"",$K1153-$B1153,TODAY()-$B1153))</f>
        <v/>
      </c>
      <c r="M1153" s="27">
        <f>IF(OR($A1153="",$J1153=""),"",IF($K1153="",IF(TODAY()&gt;$J1153,"Atrasado","En ruta"),IF($K1153&lt;=$J1153,"Sí","No")))</f>
        <v/>
      </c>
      <c r="N1153" s="23">
        <f>IF($A1153="","",COUNTIFS(NOVEDADES!$C$4:$C$1503,$A1153))</f>
        <v/>
      </c>
      <c r="O1153" s="27">
        <f>IF($A1153="","",IF(COUNTIFS(NOVEDADES!$C$4:$C$1503,$A1153,NOVEDADES!$M$4:$M$1503,"SÍ")&gt;0,"No","Sí"))</f>
        <v/>
      </c>
      <c r="P1153" s="27">
        <f>IF(OR($A1153="",$K1153=""),"",IF(AND($M1153="Sí",$O1153="Sí"),"OTIF","Falló"))</f>
        <v/>
      </c>
    </row>
    <row r="1154" ht="16" customHeight="1">
      <c r="A1154" s="47" t="n"/>
      <c r="B1154" s="46" t="n"/>
      <c r="C1154" s="49" t="n"/>
      <c r="D1154" s="49" t="n"/>
      <c r="E1154" s="49" t="n"/>
      <c r="F1154" s="49" t="n"/>
      <c r="G1154" s="47" t="n"/>
      <c r="H1154" s="50" t="n"/>
      <c r="I1154" s="51" t="n"/>
      <c r="J1154" s="46" t="n"/>
      <c r="K1154" s="46" t="n"/>
      <c r="L1154" s="23">
        <f>IF(OR($A1154="",$B1154=""),"",IF($K1154&lt;&gt;"",$K1154-$B1154,TODAY()-$B1154))</f>
        <v/>
      </c>
      <c r="M1154" s="27">
        <f>IF(OR($A1154="",$J1154=""),"",IF($K1154="",IF(TODAY()&gt;$J1154,"Atrasado","En ruta"),IF($K1154&lt;=$J1154,"Sí","No")))</f>
        <v/>
      </c>
      <c r="N1154" s="23">
        <f>IF($A1154="","",COUNTIFS(NOVEDADES!$C$4:$C$1503,$A1154))</f>
        <v/>
      </c>
      <c r="O1154" s="27">
        <f>IF($A1154="","",IF(COUNTIFS(NOVEDADES!$C$4:$C$1503,$A1154,NOVEDADES!$M$4:$M$1503,"SÍ")&gt;0,"No","Sí"))</f>
        <v/>
      </c>
      <c r="P1154" s="27">
        <f>IF(OR($A1154="",$K1154=""),"",IF(AND($M1154="Sí",$O1154="Sí"),"OTIF","Falló"))</f>
        <v/>
      </c>
    </row>
    <row r="1155" ht="16" customHeight="1">
      <c r="A1155" s="47" t="n"/>
      <c r="B1155" s="46" t="n"/>
      <c r="C1155" s="49" t="n"/>
      <c r="D1155" s="49" t="n"/>
      <c r="E1155" s="49" t="n"/>
      <c r="F1155" s="49" t="n"/>
      <c r="G1155" s="47" t="n"/>
      <c r="H1155" s="50" t="n"/>
      <c r="I1155" s="51" t="n"/>
      <c r="J1155" s="46" t="n"/>
      <c r="K1155" s="46" t="n"/>
      <c r="L1155" s="23">
        <f>IF(OR($A1155="",$B1155=""),"",IF($K1155&lt;&gt;"",$K1155-$B1155,TODAY()-$B1155))</f>
        <v/>
      </c>
      <c r="M1155" s="27">
        <f>IF(OR($A1155="",$J1155=""),"",IF($K1155="",IF(TODAY()&gt;$J1155,"Atrasado","En ruta"),IF($K1155&lt;=$J1155,"Sí","No")))</f>
        <v/>
      </c>
      <c r="N1155" s="23">
        <f>IF($A1155="","",COUNTIFS(NOVEDADES!$C$4:$C$1503,$A1155))</f>
        <v/>
      </c>
      <c r="O1155" s="27">
        <f>IF($A1155="","",IF(COUNTIFS(NOVEDADES!$C$4:$C$1503,$A1155,NOVEDADES!$M$4:$M$1503,"SÍ")&gt;0,"No","Sí"))</f>
        <v/>
      </c>
      <c r="P1155" s="27">
        <f>IF(OR($A1155="",$K1155=""),"",IF(AND($M1155="Sí",$O1155="Sí"),"OTIF","Falló"))</f>
        <v/>
      </c>
    </row>
    <row r="1156" ht="16" customHeight="1">
      <c r="A1156" s="47" t="n"/>
      <c r="B1156" s="46" t="n"/>
      <c r="C1156" s="49" t="n"/>
      <c r="D1156" s="49" t="n"/>
      <c r="E1156" s="49" t="n"/>
      <c r="F1156" s="49" t="n"/>
      <c r="G1156" s="47" t="n"/>
      <c r="H1156" s="50" t="n"/>
      <c r="I1156" s="51" t="n"/>
      <c r="J1156" s="46" t="n"/>
      <c r="K1156" s="46" t="n"/>
      <c r="L1156" s="23">
        <f>IF(OR($A1156="",$B1156=""),"",IF($K1156&lt;&gt;"",$K1156-$B1156,TODAY()-$B1156))</f>
        <v/>
      </c>
      <c r="M1156" s="27">
        <f>IF(OR($A1156="",$J1156=""),"",IF($K1156="",IF(TODAY()&gt;$J1156,"Atrasado","En ruta"),IF($K1156&lt;=$J1156,"Sí","No")))</f>
        <v/>
      </c>
      <c r="N1156" s="23">
        <f>IF($A1156="","",COUNTIFS(NOVEDADES!$C$4:$C$1503,$A1156))</f>
        <v/>
      </c>
      <c r="O1156" s="27">
        <f>IF($A1156="","",IF(COUNTIFS(NOVEDADES!$C$4:$C$1503,$A1156,NOVEDADES!$M$4:$M$1503,"SÍ")&gt;0,"No","Sí"))</f>
        <v/>
      </c>
      <c r="P1156" s="27">
        <f>IF(OR($A1156="",$K1156=""),"",IF(AND($M1156="Sí",$O1156="Sí"),"OTIF","Falló"))</f>
        <v/>
      </c>
    </row>
    <row r="1157" ht="16" customHeight="1">
      <c r="A1157" s="47" t="n"/>
      <c r="B1157" s="46" t="n"/>
      <c r="C1157" s="49" t="n"/>
      <c r="D1157" s="49" t="n"/>
      <c r="E1157" s="49" t="n"/>
      <c r="F1157" s="49" t="n"/>
      <c r="G1157" s="47" t="n"/>
      <c r="H1157" s="50" t="n"/>
      <c r="I1157" s="51" t="n"/>
      <c r="J1157" s="46" t="n"/>
      <c r="K1157" s="46" t="n"/>
      <c r="L1157" s="23">
        <f>IF(OR($A1157="",$B1157=""),"",IF($K1157&lt;&gt;"",$K1157-$B1157,TODAY()-$B1157))</f>
        <v/>
      </c>
      <c r="M1157" s="27">
        <f>IF(OR($A1157="",$J1157=""),"",IF($K1157="",IF(TODAY()&gt;$J1157,"Atrasado","En ruta"),IF($K1157&lt;=$J1157,"Sí","No")))</f>
        <v/>
      </c>
      <c r="N1157" s="23">
        <f>IF($A1157="","",COUNTIFS(NOVEDADES!$C$4:$C$1503,$A1157))</f>
        <v/>
      </c>
      <c r="O1157" s="27">
        <f>IF($A1157="","",IF(COUNTIFS(NOVEDADES!$C$4:$C$1503,$A1157,NOVEDADES!$M$4:$M$1503,"SÍ")&gt;0,"No","Sí"))</f>
        <v/>
      </c>
      <c r="P1157" s="27">
        <f>IF(OR($A1157="",$K1157=""),"",IF(AND($M1157="Sí",$O1157="Sí"),"OTIF","Falló"))</f>
        <v/>
      </c>
    </row>
    <row r="1158" ht="16" customHeight="1">
      <c r="A1158" s="47" t="n"/>
      <c r="B1158" s="46" t="n"/>
      <c r="C1158" s="49" t="n"/>
      <c r="D1158" s="49" t="n"/>
      <c r="E1158" s="49" t="n"/>
      <c r="F1158" s="49" t="n"/>
      <c r="G1158" s="47" t="n"/>
      <c r="H1158" s="50" t="n"/>
      <c r="I1158" s="51" t="n"/>
      <c r="J1158" s="46" t="n"/>
      <c r="K1158" s="46" t="n"/>
      <c r="L1158" s="23">
        <f>IF(OR($A1158="",$B1158=""),"",IF($K1158&lt;&gt;"",$K1158-$B1158,TODAY()-$B1158))</f>
        <v/>
      </c>
      <c r="M1158" s="27">
        <f>IF(OR($A1158="",$J1158=""),"",IF($K1158="",IF(TODAY()&gt;$J1158,"Atrasado","En ruta"),IF($K1158&lt;=$J1158,"Sí","No")))</f>
        <v/>
      </c>
      <c r="N1158" s="23">
        <f>IF($A1158="","",COUNTIFS(NOVEDADES!$C$4:$C$1503,$A1158))</f>
        <v/>
      </c>
      <c r="O1158" s="27">
        <f>IF($A1158="","",IF(COUNTIFS(NOVEDADES!$C$4:$C$1503,$A1158,NOVEDADES!$M$4:$M$1503,"SÍ")&gt;0,"No","Sí"))</f>
        <v/>
      </c>
      <c r="P1158" s="27">
        <f>IF(OR($A1158="",$K1158=""),"",IF(AND($M1158="Sí",$O1158="Sí"),"OTIF","Falló"))</f>
        <v/>
      </c>
    </row>
    <row r="1159" ht="16" customHeight="1">
      <c r="A1159" s="47" t="n"/>
      <c r="B1159" s="46" t="n"/>
      <c r="C1159" s="49" t="n"/>
      <c r="D1159" s="49" t="n"/>
      <c r="E1159" s="49" t="n"/>
      <c r="F1159" s="49" t="n"/>
      <c r="G1159" s="47" t="n"/>
      <c r="H1159" s="50" t="n"/>
      <c r="I1159" s="51" t="n"/>
      <c r="J1159" s="46" t="n"/>
      <c r="K1159" s="46" t="n"/>
      <c r="L1159" s="23">
        <f>IF(OR($A1159="",$B1159=""),"",IF($K1159&lt;&gt;"",$K1159-$B1159,TODAY()-$B1159))</f>
        <v/>
      </c>
      <c r="M1159" s="27">
        <f>IF(OR($A1159="",$J1159=""),"",IF($K1159="",IF(TODAY()&gt;$J1159,"Atrasado","En ruta"),IF($K1159&lt;=$J1159,"Sí","No")))</f>
        <v/>
      </c>
      <c r="N1159" s="23">
        <f>IF($A1159="","",COUNTIFS(NOVEDADES!$C$4:$C$1503,$A1159))</f>
        <v/>
      </c>
      <c r="O1159" s="27">
        <f>IF($A1159="","",IF(COUNTIFS(NOVEDADES!$C$4:$C$1503,$A1159,NOVEDADES!$M$4:$M$1503,"SÍ")&gt;0,"No","Sí"))</f>
        <v/>
      </c>
      <c r="P1159" s="27">
        <f>IF(OR($A1159="",$K1159=""),"",IF(AND($M1159="Sí",$O1159="Sí"),"OTIF","Falló"))</f>
        <v/>
      </c>
    </row>
    <row r="1160" ht="16" customHeight="1">
      <c r="A1160" s="47" t="n"/>
      <c r="B1160" s="46" t="n"/>
      <c r="C1160" s="49" t="n"/>
      <c r="D1160" s="49" t="n"/>
      <c r="E1160" s="49" t="n"/>
      <c r="F1160" s="49" t="n"/>
      <c r="G1160" s="47" t="n"/>
      <c r="H1160" s="50" t="n"/>
      <c r="I1160" s="51" t="n"/>
      <c r="J1160" s="46" t="n"/>
      <c r="K1160" s="46" t="n"/>
      <c r="L1160" s="23">
        <f>IF(OR($A1160="",$B1160=""),"",IF($K1160&lt;&gt;"",$K1160-$B1160,TODAY()-$B1160))</f>
        <v/>
      </c>
      <c r="M1160" s="27">
        <f>IF(OR($A1160="",$J1160=""),"",IF($K1160="",IF(TODAY()&gt;$J1160,"Atrasado","En ruta"),IF($K1160&lt;=$J1160,"Sí","No")))</f>
        <v/>
      </c>
      <c r="N1160" s="23">
        <f>IF($A1160="","",COUNTIFS(NOVEDADES!$C$4:$C$1503,$A1160))</f>
        <v/>
      </c>
      <c r="O1160" s="27">
        <f>IF($A1160="","",IF(COUNTIFS(NOVEDADES!$C$4:$C$1503,$A1160,NOVEDADES!$M$4:$M$1503,"SÍ")&gt;0,"No","Sí"))</f>
        <v/>
      </c>
      <c r="P1160" s="27">
        <f>IF(OR($A1160="",$K1160=""),"",IF(AND($M1160="Sí",$O1160="Sí"),"OTIF","Falló"))</f>
        <v/>
      </c>
    </row>
    <row r="1161" ht="16" customHeight="1">
      <c r="A1161" s="47" t="n"/>
      <c r="B1161" s="46" t="n"/>
      <c r="C1161" s="49" t="n"/>
      <c r="D1161" s="49" t="n"/>
      <c r="E1161" s="49" t="n"/>
      <c r="F1161" s="49" t="n"/>
      <c r="G1161" s="47" t="n"/>
      <c r="H1161" s="50" t="n"/>
      <c r="I1161" s="51" t="n"/>
      <c r="J1161" s="46" t="n"/>
      <c r="K1161" s="46" t="n"/>
      <c r="L1161" s="23">
        <f>IF(OR($A1161="",$B1161=""),"",IF($K1161&lt;&gt;"",$K1161-$B1161,TODAY()-$B1161))</f>
        <v/>
      </c>
      <c r="M1161" s="27">
        <f>IF(OR($A1161="",$J1161=""),"",IF($K1161="",IF(TODAY()&gt;$J1161,"Atrasado","En ruta"),IF($K1161&lt;=$J1161,"Sí","No")))</f>
        <v/>
      </c>
      <c r="N1161" s="23">
        <f>IF($A1161="","",COUNTIFS(NOVEDADES!$C$4:$C$1503,$A1161))</f>
        <v/>
      </c>
      <c r="O1161" s="27">
        <f>IF($A1161="","",IF(COUNTIFS(NOVEDADES!$C$4:$C$1503,$A1161,NOVEDADES!$M$4:$M$1503,"SÍ")&gt;0,"No","Sí"))</f>
        <v/>
      </c>
      <c r="P1161" s="27">
        <f>IF(OR($A1161="",$K1161=""),"",IF(AND($M1161="Sí",$O1161="Sí"),"OTIF","Falló"))</f>
        <v/>
      </c>
    </row>
    <row r="1162" ht="16" customHeight="1">
      <c r="A1162" s="47" t="n"/>
      <c r="B1162" s="46" t="n"/>
      <c r="C1162" s="49" t="n"/>
      <c r="D1162" s="49" t="n"/>
      <c r="E1162" s="49" t="n"/>
      <c r="F1162" s="49" t="n"/>
      <c r="G1162" s="47" t="n"/>
      <c r="H1162" s="50" t="n"/>
      <c r="I1162" s="51" t="n"/>
      <c r="J1162" s="46" t="n"/>
      <c r="K1162" s="46" t="n"/>
      <c r="L1162" s="23">
        <f>IF(OR($A1162="",$B1162=""),"",IF($K1162&lt;&gt;"",$K1162-$B1162,TODAY()-$B1162))</f>
        <v/>
      </c>
      <c r="M1162" s="27">
        <f>IF(OR($A1162="",$J1162=""),"",IF($K1162="",IF(TODAY()&gt;$J1162,"Atrasado","En ruta"),IF($K1162&lt;=$J1162,"Sí","No")))</f>
        <v/>
      </c>
      <c r="N1162" s="23">
        <f>IF($A1162="","",COUNTIFS(NOVEDADES!$C$4:$C$1503,$A1162))</f>
        <v/>
      </c>
      <c r="O1162" s="27">
        <f>IF($A1162="","",IF(COUNTIFS(NOVEDADES!$C$4:$C$1503,$A1162,NOVEDADES!$M$4:$M$1503,"SÍ")&gt;0,"No","Sí"))</f>
        <v/>
      </c>
      <c r="P1162" s="27">
        <f>IF(OR($A1162="",$K1162=""),"",IF(AND($M1162="Sí",$O1162="Sí"),"OTIF","Falló"))</f>
        <v/>
      </c>
    </row>
    <row r="1163" ht="16" customHeight="1">
      <c r="A1163" s="47" t="n"/>
      <c r="B1163" s="46" t="n"/>
      <c r="C1163" s="49" t="n"/>
      <c r="D1163" s="49" t="n"/>
      <c r="E1163" s="49" t="n"/>
      <c r="F1163" s="49" t="n"/>
      <c r="G1163" s="47" t="n"/>
      <c r="H1163" s="50" t="n"/>
      <c r="I1163" s="51" t="n"/>
      <c r="J1163" s="46" t="n"/>
      <c r="K1163" s="46" t="n"/>
      <c r="L1163" s="23">
        <f>IF(OR($A1163="",$B1163=""),"",IF($K1163&lt;&gt;"",$K1163-$B1163,TODAY()-$B1163))</f>
        <v/>
      </c>
      <c r="M1163" s="27">
        <f>IF(OR($A1163="",$J1163=""),"",IF($K1163="",IF(TODAY()&gt;$J1163,"Atrasado","En ruta"),IF($K1163&lt;=$J1163,"Sí","No")))</f>
        <v/>
      </c>
      <c r="N1163" s="23">
        <f>IF($A1163="","",COUNTIFS(NOVEDADES!$C$4:$C$1503,$A1163))</f>
        <v/>
      </c>
      <c r="O1163" s="27">
        <f>IF($A1163="","",IF(COUNTIFS(NOVEDADES!$C$4:$C$1503,$A1163,NOVEDADES!$M$4:$M$1503,"SÍ")&gt;0,"No","Sí"))</f>
        <v/>
      </c>
      <c r="P1163" s="27">
        <f>IF(OR($A1163="",$K1163=""),"",IF(AND($M1163="Sí",$O1163="Sí"),"OTIF","Falló"))</f>
        <v/>
      </c>
    </row>
    <row r="1164" ht="16" customHeight="1">
      <c r="A1164" s="47" t="n"/>
      <c r="B1164" s="46" t="n"/>
      <c r="C1164" s="49" t="n"/>
      <c r="D1164" s="49" t="n"/>
      <c r="E1164" s="49" t="n"/>
      <c r="F1164" s="49" t="n"/>
      <c r="G1164" s="47" t="n"/>
      <c r="H1164" s="50" t="n"/>
      <c r="I1164" s="51" t="n"/>
      <c r="J1164" s="46" t="n"/>
      <c r="K1164" s="46" t="n"/>
      <c r="L1164" s="23">
        <f>IF(OR($A1164="",$B1164=""),"",IF($K1164&lt;&gt;"",$K1164-$B1164,TODAY()-$B1164))</f>
        <v/>
      </c>
      <c r="M1164" s="27">
        <f>IF(OR($A1164="",$J1164=""),"",IF($K1164="",IF(TODAY()&gt;$J1164,"Atrasado","En ruta"),IF($K1164&lt;=$J1164,"Sí","No")))</f>
        <v/>
      </c>
      <c r="N1164" s="23">
        <f>IF($A1164="","",COUNTIFS(NOVEDADES!$C$4:$C$1503,$A1164))</f>
        <v/>
      </c>
      <c r="O1164" s="27">
        <f>IF($A1164="","",IF(COUNTIFS(NOVEDADES!$C$4:$C$1503,$A1164,NOVEDADES!$M$4:$M$1503,"SÍ")&gt;0,"No","Sí"))</f>
        <v/>
      </c>
      <c r="P1164" s="27">
        <f>IF(OR($A1164="",$K1164=""),"",IF(AND($M1164="Sí",$O1164="Sí"),"OTIF","Falló"))</f>
        <v/>
      </c>
    </row>
    <row r="1165" ht="16" customHeight="1">
      <c r="A1165" s="47" t="n"/>
      <c r="B1165" s="46" t="n"/>
      <c r="C1165" s="49" t="n"/>
      <c r="D1165" s="49" t="n"/>
      <c r="E1165" s="49" t="n"/>
      <c r="F1165" s="49" t="n"/>
      <c r="G1165" s="47" t="n"/>
      <c r="H1165" s="50" t="n"/>
      <c r="I1165" s="51" t="n"/>
      <c r="J1165" s="46" t="n"/>
      <c r="K1165" s="46" t="n"/>
      <c r="L1165" s="23">
        <f>IF(OR($A1165="",$B1165=""),"",IF($K1165&lt;&gt;"",$K1165-$B1165,TODAY()-$B1165))</f>
        <v/>
      </c>
      <c r="M1165" s="27">
        <f>IF(OR($A1165="",$J1165=""),"",IF($K1165="",IF(TODAY()&gt;$J1165,"Atrasado","En ruta"),IF($K1165&lt;=$J1165,"Sí","No")))</f>
        <v/>
      </c>
      <c r="N1165" s="23">
        <f>IF($A1165="","",COUNTIFS(NOVEDADES!$C$4:$C$1503,$A1165))</f>
        <v/>
      </c>
      <c r="O1165" s="27">
        <f>IF($A1165="","",IF(COUNTIFS(NOVEDADES!$C$4:$C$1503,$A1165,NOVEDADES!$M$4:$M$1503,"SÍ")&gt;0,"No","Sí"))</f>
        <v/>
      </c>
      <c r="P1165" s="27">
        <f>IF(OR($A1165="",$K1165=""),"",IF(AND($M1165="Sí",$O1165="Sí"),"OTIF","Falló"))</f>
        <v/>
      </c>
    </row>
    <row r="1166" ht="16" customHeight="1">
      <c r="A1166" s="47" t="n"/>
      <c r="B1166" s="46" t="n"/>
      <c r="C1166" s="49" t="n"/>
      <c r="D1166" s="49" t="n"/>
      <c r="E1166" s="49" t="n"/>
      <c r="F1166" s="49" t="n"/>
      <c r="G1166" s="47" t="n"/>
      <c r="H1166" s="50" t="n"/>
      <c r="I1166" s="51" t="n"/>
      <c r="J1166" s="46" t="n"/>
      <c r="K1166" s="46" t="n"/>
      <c r="L1166" s="23">
        <f>IF(OR($A1166="",$B1166=""),"",IF($K1166&lt;&gt;"",$K1166-$B1166,TODAY()-$B1166))</f>
        <v/>
      </c>
      <c r="M1166" s="27">
        <f>IF(OR($A1166="",$J1166=""),"",IF($K1166="",IF(TODAY()&gt;$J1166,"Atrasado","En ruta"),IF($K1166&lt;=$J1166,"Sí","No")))</f>
        <v/>
      </c>
      <c r="N1166" s="23">
        <f>IF($A1166="","",COUNTIFS(NOVEDADES!$C$4:$C$1503,$A1166))</f>
        <v/>
      </c>
      <c r="O1166" s="27">
        <f>IF($A1166="","",IF(COUNTIFS(NOVEDADES!$C$4:$C$1503,$A1166,NOVEDADES!$M$4:$M$1503,"SÍ")&gt;0,"No","Sí"))</f>
        <v/>
      </c>
      <c r="P1166" s="27">
        <f>IF(OR($A1166="",$K1166=""),"",IF(AND($M1166="Sí",$O1166="Sí"),"OTIF","Falló"))</f>
        <v/>
      </c>
    </row>
    <row r="1167" ht="16" customHeight="1">
      <c r="A1167" s="47" t="n"/>
      <c r="B1167" s="46" t="n"/>
      <c r="C1167" s="49" t="n"/>
      <c r="D1167" s="49" t="n"/>
      <c r="E1167" s="49" t="n"/>
      <c r="F1167" s="49" t="n"/>
      <c r="G1167" s="47" t="n"/>
      <c r="H1167" s="50" t="n"/>
      <c r="I1167" s="51" t="n"/>
      <c r="J1167" s="46" t="n"/>
      <c r="K1167" s="46" t="n"/>
      <c r="L1167" s="23">
        <f>IF(OR($A1167="",$B1167=""),"",IF($K1167&lt;&gt;"",$K1167-$B1167,TODAY()-$B1167))</f>
        <v/>
      </c>
      <c r="M1167" s="27">
        <f>IF(OR($A1167="",$J1167=""),"",IF($K1167="",IF(TODAY()&gt;$J1167,"Atrasado","En ruta"),IF($K1167&lt;=$J1167,"Sí","No")))</f>
        <v/>
      </c>
      <c r="N1167" s="23">
        <f>IF($A1167="","",COUNTIFS(NOVEDADES!$C$4:$C$1503,$A1167))</f>
        <v/>
      </c>
      <c r="O1167" s="27">
        <f>IF($A1167="","",IF(COUNTIFS(NOVEDADES!$C$4:$C$1503,$A1167,NOVEDADES!$M$4:$M$1503,"SÍ")&gt;0,"No","Sí"))</f>
        <v/>
      </c>
      <c r="P1167" s="27">
        <f>IF(OR($A1167="",$K1167=""),"",IF(AND($M1167="Sí",$O1167="Sí"),"OTIF","Falló"))</f>
        <v/>
      </c>
    </row>
    <row r="1168" ht="16" customHeight="1">
      <c r="A1168" s="47" t="n"/>
      <c r="B1168" s="46" t="n"/>
      <c r="C1168" s="49" t="n"/>
      <c r="D1168" s="49" t="n"/>
      <c r="E1168" s="49" t="n"/>
      <c r="F1168" s="49" t="n"/>
      <c r="G1168" s="47" t="n"/>
      <c r="H1168" s="50" t="n"/>
      <c r="I1168" s="51" t="n"/>
      <c r="J1168" s="46" t="n"/>
      <c r="K1168" s="46" t="n"/>
      <c r="L1168" s="23">
        <f>IF(OR($A1168="",$B1168=""),"",IF($K1168&lt;&gt;"",$K1168-$B1168,TODAY()-$B1168))</f>
        <v/>
      </c>
      <c r="M1168" s="27">
        <f>IF(OR($A1168="",$J1168=""),"",IF($K1168="",IF(TODAY()&gt;$J1168,"Atrasado","En ruta"),IF($K1168&lt;=$J1168,"Sí","No")))</f>
        <v/>
      </c>
      <c r="N1168" s="23">
        <f>IF($A1168="","",COUNTIFS(NOVEDADES!$C$4:$C$1503,$A1168))</f>
        <v/>
      </c>
      <c r="O1168" s="27">
        <f>IF($A1168="","",IF(COUNTIFS(NOVEDADES!$C$4:$C$1503,$A1168,NOVEDADES!$M$4:$M$1503,"SÍ")&gt;0,"No","Sí"))</f>
        <v/>
      </c>
      <c r="P1168" s="27">
        <f>IF(OR($A1168="",$K1168=""),"",IF(AND($M1168="Sí",$O1168="Sí"),"OTIF","Falló"))</f>
        <v/>
      </c>
    </row>
    <row r="1169" ht="16" customHeight="1">
      <c r="A1169" s="47" t="n"/>
      <c r="B1169" s="46" t="n"/>
      <c r="C1169" s="49" t="n"/>
      <c r="D1169" s="49" t="n"/>
      <c r="E1169" s="49" t="n"/>
      <c r="F1169" s="49" t="n"/>
      <c r="G1169" s="47" t="n"/>
      <c r="H1169" s="50" t="n"/>
      <c r="I1169" s="51" t="n"/>
      <c r="J1169" s="46" t="n"/>
      <c r="K1169" s="46" t="n"/>
      <c r="L1169" s="23">
        <f>IF(OR($A1169="",$B1169=""),"",IF($K1169&lt;&gt;"",$K1169-$B1169,TODAY()-$B1169))</f>
        <v/>
      </c>
      <c r="M1169" s="27">
        <f>IF(OR($A1169="",$J1169=""),"",IF($K1169="",IF(TODAY()&gt;$J1169,"Atrasado","En ruta"),IF($K1169&lt;=$J1169,"Sí","No")))</f>
        <v/>
      </c>
      <c r="N1169" s="23">
        <f>IF($A1169="","",COUNTIFS(NOVEDADES!$C$4:$C$1503,$A1169))</f>
        <v/>
      </c>
      <c r="O1169" s="27">
        <f>IF($A1169="","",IF(COUNTIFS(NOVEDADES!$C$4:$C$1503,$A1169,NOVEDADES!$M$4:$M$1503,"SÍ")&gt;0,"No","Sí"))</f>
        <v/>
      </c>
      <c r="P1169" s="27">
        <f>IF(OR($A1169="",$K1169=""),"",IF(AND($M1169="Sí",$O1169="Sí"),"OTIF","Falló"))</f>
        <v/>
      </c>
    </row>
    <row r="1170" ht="16" customHeight="1">
      <c r="A1170" s="47" t="n"/>
      <c r="B1170" s="46" t="n"/>
      <c r="C1170" s="49" t="n"/>
      <c r="D1170" s="49" t="n"/>
      <c r="E1170" s="49" t="n"/>
      <c r="F1170" s="49" t="n"/>
      <c r="G1170" s="47" t="n"/>
      <c r="H1170" s="50" t="n"/>
      <c r="I1170" s="51" t="n"/>
      <c r="J1170" s="46" t="n"/>
      <c r="K1170" s="46" t="n"/>
      <c r="L1170" s="23">
        <f>IF(OR($A1170="",$B1170=""),"",IF($K1170&lt;&gt;"",$K1170-$B1170,TODAY()-$B1170))</f>
        <v/>
      </c>
      <c r="M1170" s="27">
        <f>IF(OR($A1170="",$J1170=""),"",IF($K1170="",IF(TODAY()&gt;$J1170,"Atrasado","En ruta"),IF($K1170&lt;=$J1170,"Sí","No")))</f>
        <v/>
      </c>
      <c r="N1170" s="23">
        <f>IF($A1170="","",COUNTIFS(NOVEDADES!$C$4:$C$1503,$A1170))</f>
        <v/>
      </c>
      <c r="O1170" s="27">
        <f>IF($A1170="","",IF(COUNTIFS(NOVEDADES!$C$4:$C$1503,$A1170,NOVEDADES!$M$4:$M$1503,"SÍ")&gt;0,"No","Sí"))</f>
        <v/>
      </c>
      <c r="P1170" s="27">
        <f>IF(OR($A1170="",$K1170=""),"",IF(AND($M1170="Sí",$O1170="Sí"),"OTIF","Falló"))</f>
        <v/>
      </c>
    </row>
    <row r="1171" ht="16" customHeight="1">
      <c r="A1171" s="47" t="n"/>
      <c r="B1171" s="46" t="n"/>
      <c r="C1171" s="49" t="n"/>
      <c r="D1171" s="49" t="n"/>
      <c r="E1171" s="49" t="n"/>
      <c r="F1171" s="49" t="n"/>
      <c r="G1171" s="47" t="n"/>
      <c r="H1171" s="50" t="n"/>
      <c r="I1171" s="51" t="n"/>
      <c r="J1171" s="46" t="n"/>
      <c r="K1171" s="46" t="n"/>
      <c r="L1171" s="23">
        <f>IF(OR($A1171="",$B1171=""),"",IF($K1171&lt;&gt;"",$K1171-$B1171,TODAY()-$B1171))</f>
        <v/>
      </c>
      <c r="M1171" s="27">
        <f>IF(OR($A1171="",$J1171=""),"",IF($K1171="",IF(TODAY()&gt;$J1171,"Atrasado","En ruta"),IF($K1171&lt;=$J1171,"Sí","No")))</f>
        <v/>
      </c>
      <c r="N1171" s="23">
        <f>IF($A1171="","",COUNTIFS(NOVEDADES!$C$4:$C$1503,$A1171))</f>
        <v/>
      </c>
      <c r="O1171" s="27">
        <f>IF($A1171="","",IF(COUNTIFS(NOVEDADES!$C$4:$C$1503,$A1171,NOVEDADES!$M$4:$M$1503,"SÍ")&gt;0,"No","Sí"))</f>
        <v/>
      </c>
      <c r="P1171" s="27">
        <f>IF(OR($A1171="",$K1171=""),"",IF(AND($M1171="Sí",$O1171="Sí"),"OTIF","Falló"))</f>
        <v/>
      </c>
    </row>
    <row r="1172" ht="16" customHeight="1">
      <c r="A1172" s="47" t="n"/>
      <c r="B1172" s="46" t="n"/>
      <c r="C1172" s="49" t="n"/>
      <c r="D1172" s="49" t="n"/>
      <c r="E1172" s="49" t="n"/>
      <c r="F1172" s="49" t="n"/>
      <c r="G1172" s="47" t="n"/>
      <c r="H1172" s="50" t="n"/>
      <c r="I1172" s="51" t="n"/>
      <c r="J1172" s="46" t="n"/>
      <c r="K1172" s="46" t="n"/>
      <c r="L1172" s="23">
        <f>IF(OR($A1172="",$B1172=""),"",IF($K1172&lt;&gt;"",$K1172-$B1172,TODAY()-$B1172))</f>
        <v/>
      </c>
      <c r="M1172" s="27">
        <f>IF(OR($A1172="",$J1172=""),"",IF($K1172="",IF(TODAY()&gt;$J1172,"Atrasado","En ruta"),IF($K1172&lt;=$J1172,"Sí","No")))</f>
        <v/>
      </c>
      <c r="N1172" s="23">
        <f>IF($A1172="","",COUNTIFS(NOVEDADES!$C$4:$C$1503,$A1172))</f>
        <v/>
      </c>
      <c r="O1172" s="27">
        <f>IF($A1172="","",IF(COUNTIFS(NOVEDADES!$C$4:$C$1503,$A1172,NOVEDADES!$M$4:$M$1503,"SÍ")&gt;0,"No","Sí"))</f>
        <v/>
      </c>
      <c r="P1172" s="27">
        <f>IF(OR($A1172="",$K1172=""),"",IF(AND($M1172="Sí",$O1172="Sí"),"OTIF","Falló"))</f>
        <v/>
      </c>
    </row>
    <row r="1173" ht="16" customHeight="1">
      <c r="A1173" s="47" t="n"/>
      <c r="B1173" s="46" t="n"/>
      <c r="C1173" s="49" t="n"/>
      <c r="D1173" s="49" t="n"/>
      <c r="E1173" s="49" t="n"/>
      <c r="F1173" s="49" t="n"/>
      <c r="G1173" s="47" t="n"/>
      <c r="H1173" s="50" t="n"/>
      <c r="I1173" s="51" t="n"/>
      <c r="J1173" s="46" t="n"/>
      <c r="K1173" s="46" t="n"/>
      <c r="L1173" s="23">
        <f>IF(OR($A1173="",$B1173=""),"",IF($K1173&lt;&gt;"",$K1173-$B1173,TODAY()-$B1173))</f>
        <v/>
      </c>
      <c r="M1173" s="27">
        <f>IF(OR($A1173="",$J1173=""),"",IF($K1173="",IF(TODAY()&gt;$J1173,"Atrasado","En ruta"),IF($K1173&lt;=$J1173,"Sí","No")))</f>
        <v/>
      </c>
      <c r="N1173" s="23">
        <f>IF($A1173="","",COUNTIFS(NOVEDADES!$C$4:$C$1503,$A1173))</f>
        <v/>
      </c>
      <c r="O1173" s="27">
        <f>IF($A1173="","",IF(COUNTIFS(NOVEDADES!$C$4:$C$1503,$A1173,NOVEDADES!$M$4:$M$1503,"SÍ")&gt;0,"No","Sí"))</f>
        <v/>
      </c>
      <c r="P1173" s="27">
        <f>IF(OR($A1173="",$K1173=""),"",IF(AND($M1173="Sí",$O1173="Sí"),"OTIF","Falló"))</f>
        <v/>
      </c>
    </row>
    <row r="1174" ht="16" customHeight="1">
      <c r="A1174" s="47" t="n"/>
      <c r="B1174" s="46" t="n"/>
      <c r="C1174" s="49" t="n"/>
      <c r="D1174" s="49" t="n"/>
      <c r="E1174" s="49" t="n"/>
      <c r="F1174" s="49" t="n"/>
      <c r="G1174" s="47" t="n"/>
      <c r="H1174" s="50" t="n"/>
      <c r="I1174" s="51" t="n"/>
      <c r="J1174" s="46" t="n"/>
      <c r="K1174" s="46" t="n"/>
      <c r="L1174" s="23">
        <f>IF(OR($A1174="",$B1174=""),"",IF($K1174&lt;&gt;"",$K1174-$B1174,TODAY()-$B1174))</f>
        <v/>
      </c>
      <c r="M1174" s="27">
        <f>IF(OR($A1174="",$J1174=""),"",IF($K1174="",IF(TODAY()&gt;$J1174,"Atrasado","En ruta"),IF($K1174&lt;=$J1174,"Sí","No")))</f>
        <v/>
      </c>
      <c r="N1174" s="23">
        <f>IF($A1174="","",COUNTIFS(NOVEDADES!$C$4:$C$1503,$A1174))</f>
        <v/>
      </c>
      <c r="O1174" s="27">
        <f>IF($A1174="","",IF(COUNTIFS(NOVEDADES!$C$4:$C$1503,$A1174,NOVEDADES!$M$4:$M$1503,"SÍ")&gt;0,"No","Sí"))</f>
        <v/>
      </c>
      <c r="P1174" s="27">
        <f>IF(OR($A1174="",$K1174=""),"",IF(AND($M1174="Sí",$O1174="Sí"),"OTIF","Falló"))</f>
        <v/>
      </c>
    </row>
    <row r="1175" ht="16" customHeight="1">
      <c r="A1175" s="47" t="n"/>
      <c r="B1175" s="46" t="n"/>
      <c r="C1175" s="49" t="n"/>
      <c r="D1175" s="49" t="n"/>
      <c r="E1175" s="49" t="n"/>
      <c r="F1175" s="49" t="n"/>
      <c r="G1175" s="47" t="n"/>
      <c r="H1175" s="50" t="n"/>
      <c r="I1175" s="51" t="n"/>
      <c r="J1175" s="46" t="n"/>
      <c r="K1175" s="46" t="n"/>
      <c r="L1175" s="23">
        <f>IF(OR($A1175="",$B1175=""),"",IF($K1175&lt;&gt;"",$K1175-$B1175,TODAY()-$B1175))</f>
        <v/>
      </c>
      <c r="M1175" s="27">
        <f>IF(OR($A1175="",$J1175=""),"",IF($K1175="",IF(TODAY()&gt;$J1175,"Atrasado","En ruta"),IF($K1175&lt;=$J1175,"Sí","No")))</f>
        <v/>
      </c>
      <c r="N1175" s="23">
        <f>IF($A1175="","",COUNTIFS(NOVEDADES!$C$4:$C$1503,$A1175))</f>
        <v/>
      </c>
      <c r="O1175" s="27">
        <f>IF($A1175="","",IF(COUNTIFS(NOVEDADES!$C$4:$C$1503,$A1175,NOVEDADES!$M$4:$M$1503,"SÍ")&gt;0,"No","Sí"))</f>
        <v/>
      </c>
      <c r="P1175" s="27">
        <f>IF(OR($A1175="",$K1175=""),"",IF(AND($M1175="Sí",$O1175="Sí"),"OTIF","Falló"))</f>
        <v/>
      </c>
    </row>
    <row r="1176" ht="16" customHeight="1">
      <c r="A1176" s="47" t="n"/>
      <c r="B1176" s="46" t="n"/>
      <c r="C1176" s="49" t="n"/>
      <c r="D1176" s="49" t="n"/>
      <c r="E1176" s="49" t="n"/>
      <c r="F1176" s="49" t="n"/>
      <c r="G1176" s="47" t="n"/>
      <c r="H1176" s="50" t="n"/>
      <c r="I1176" s="51" t="n"/>
      <c r="J1176" s="46" t="n"/>
      <c r="K1176" s="46" t="n"/>
      <c r="L1176" s="23">
        <f>IF(OR($A1176="",$B1176=""),"",IF($K1176&lt;&gt;"",$K1176-$B1176,TODAY()-$B1176))</f>
        <v/>
      </c>
      <c r="M1176" s="27">
        <f>IF(OR($A1176="",$J1176=""),"",IF($K1176="",IF(TODAY()&gt;$J1176,"Atrasado","En ruta"),IF($K1176&lt;=$J1176,"Sí","No")))</f>
        <v/>
      </c>
      <c r="N1176" s="23">
        <f>IF($A1176="","",COUNTIFS(NOVEDADES!$C$4:$C$1503,$A1176))</f>
        <v/>
      </c>
      <c r="O1176" s="27">
        <f>IF($A1176="","",IF(COUNTIFS(NOVEDADES!$C$4:$C$1503,$A1176,NOVEDADES!$M$4:$M$1503,"SÍ")&gt;0,"No","Sí"))</f>
        <v/>
      </c>
      <c r="P1176" s="27">
        <f>IF(OR($A1176="",$K1176=""),"",IF(AND($M1176="Sí",$O1176="Sí"),"OTIF","Falló"))</f>
        <v/>
      </c>
    </row>
    <row r="1177" ht="16" customHeight="1">
      <c r="A1177" s="47" t="n"/>
      <c r="B1177" s="46" t="n"/>
      <c r="C1177" s="49" t="n"/>
      <c r="D1177" s="49" t="n"/>
      <c r="E1177" s="49" t="n"/>
      <c r="F1177" s="49" t="n"/>
      <c r="G1177" s="47" t="n"/>
      <c r="H1177" s="50" t="n"/>
      <c r="I1177" s="51" t="n"/>
      <c r="J1177" s="46" t="n"/>
      <c r="K1177" s="46" t="n"/>
      <c r="L1177" s="23">
        <f>IF(OR($A1177="",$B1177=""),"",IF($K1177&lt;&gt;"",$K1177-$B1177,TODAY()-$B1177))</f>
        <v/>
      </c>
      <c r="M1177" s="27">
        <f>IF(OR($A1177="",$J1177=""),"",IF($K1177="",IF(TODAY()&gt;$J1177,"Atrasado","En ruta"),IF($K1177&lt;=$J1177,"Sí","No")))</f>
        <v/>
      </c>
      <c r="N1177" s="23">
        <f>IF($A1177="","",COUNTIFS(NOVEDADES!$C$4:$C$1503,$A1177))</f>
        <v/>
      </c>
      <c r="O1177" s="27">
        <f>IF($A1177="","",IF(COUNTIFS(NOVEDADES!$C$4:$C$1503,$A1177,NOVEDADES!$M$4:$M$1503,"SÍ")&gt;0,"No","Sí"))</f>
        <v/>
      </c>
      <c r="P1177" s="27">
        <f>IF(OR($A1177="",$K1177=""),"",IF(AND($M1177="Sí",$O1177="Sí"),"OTIF","Falló"))</f>
        <v/>
      </c>
    </row>
    <row r="1178" ht="16" customHeight="1">
      <c r="A1178" s="47" t="n"/>
      <c r="B1178" s="46" t="n"/>
      <c r="C1178" s="49" t="n"/>
      <c r="D1178" s="49" t="n"/>
      <c r="E1178" s="49" t="n"/>
      <c r="F1178" s="49" t="n"/>
      <c r="G1178" s="47" t="n"/>
      <c r="H1178" s="50" t="n"/>
      <c r="I1178" s="51" t="n"/>
      <c r="J1178" s="46" t="n"/>
      <c r="K1178" s="46" t="n"/>
      <c r="L1178" s="23">
        <f>IF(OR($A1178="",$B1178=""),"",IF($K1178&lt;&gt;"",$K1178-$B1178,TODAY()-$B1178))</f>
        <v/>
      </c>
      <c r="M1178" s="27">
        <f>IF(OR($A1178="",$J1178=""),"",IF($K1178="",IF(TODAY()&gt;$J1178,"Atrasado","En ruta"),IF($K1178&lt;=$J1178,"Sí","No")))</f>
        <v/>
      </c>
      <c r="N1178" s="23">
        <f>IF($A1178="","",COUNTIFS(NOVEDADES!$C$4:$C$1503,$A1178))</f>
        <v/>
      </c>
      <c r="O1178" s="27">
        <f>IF($A1178="","",IF(COUNTIFS(NOVEDADES!$C$4:$C$1503,$A1178,NOVEDADES!$M$4:$M$1503,"SÍ")&gt;0,"No","Sí"))</f>
        <v/>
      </c>
      <c r="P1178" s="27">
        <f>IF(OR($A1178="",$K1178=""),"",IF(AND($M1178="Sí",$O1178="Sí"),"OTIF","Falló"))</f>
        <v/>
      </c>
    </row>
    <row r="1179" ht="16" customHeight="1">
      <c r="A1179" s="47" t="n"/>
      <c r="B1179" s="46" t="n"/>
      <c r="C1179" s="49" t="n"/>
      <c r="D1179" s="49" t="n"/>
      <c r="E1179" s="49" t="n"/>
      <c r="F1179" s="49" t="n"/>
      <c r="G1179" s="47" t="n"/>
      <c r="H1179" s="50" t="n"/>
      <c r="I1179" s="51" t="n"/>
      <c r="J1179" s="46" t="n"/>
      <c r="K1179" s="46" t="n"/>
      <c r="L1179" s="23">
        <f>IF(OR($A1179="",$B1179=""),"",IF($K1179&lt;&gt;"",$K1179-$B1179,TODAY()-$B1179))</f>
        <v/>
      </c>
      <c r="M1179" s="27">
        <f>IF(OR($A1179="",$J1179=""),"",IF($K1179="",IF(TODAY()&gt;$J1179,"Atrasado","En ruta"),IF($K1179&lt;=$J1179,"Sí","No")))</f>
        <v/>
      </c>
      <c r="N1179" s="23">
        <f>IF($A1179="","",COUNTIFS(NOVEDADES!$C$4:$C$1503,$A1179))</f>
        <v/>
      </c>
      <c r="O1179" s="27">
        <f>IF($A1179="","",IF(COUNTIFS(NOVEDADES!$C$4:$C$1503,$A1179,NOVEDADES!$M$4:$M$1503,"SÍ")&gt;0,"No","Sí"))</f>
        <v/>
      </c>
      <c r="P1179" s="27">
        <f>IF(OR($A1179="",$K1179=""),"",IF(AND($M1179="Sí",$O1179="Sí"),"OTIF","Falló"))</f>
        <v/>
      </c>
    </row>
    <row r="1180" ht="16" customHeight="1">
      <c r="A1180" s="47" t="n"/>
      <c r="B1180" s="46" t="n"/>
      <c r="C1180" s="49" t="n"/>
      <c r="D1180" s="49" t="n"/>
      <c r="E1180" s="49" t="n"/>
      <c r="F1180" s="49" t="n"/>
      <c r="G1180" s="47" t="n"/>
      <c r="H1180" s="50" t="n"/>
      <c r="I1180" s="51" t="n"/>
      <c r="J1180" s="46" t="n"/>
      <c r="K1180" s="46" t="n"/>
      <c r="L1180" s="23">
        <f>IF(OR($A1180="",$B1180=""),"",IF($K1180&lt;&gt;"",$K1180-$B1180,TODAY()-$B1180))</f>
        <v/>
      </c>
      <c r="M1180" s="27">
        <f>IF(OR($A1180="",$J1180=""),"",IF($K1180="",IF(TODAY()&gt;$J1180,"Atrasado","En ruta"),IF($K1180&lt;=$J1180,"Sí","No")))</f>
        <v/>
      </c>
      <c r="N1180" s="23">
        <f>IF($A1180="","",COUNTIFS(NOVEDADES!$C$4:$C$1503,$A1180))</f>
        <v/>
      </c>
      <c r="O1180" s="27">
        <f>IF($A1180="","",IF(COUNTIFS(NOVEDADES!$C$4:$C$1503,$A1180,NOVEDADES!$M$4:$M$1503,"SÍ")&gt;0,"No","Sí"))</f>
        <v/>
      </c>
      <c r="P1180" s="27">
        <f>IF(OR($A1180="",$K1180=""),"",IF(AND($M1180="Sí",$O1180="Sí"),"OTIF","Falló"))</f>
        <v/>
      </c>
    </row>
    <row r="1181" ht="16" customHeight="1">
      <c r="A1181" s="47" t="n"/>
      <c r="B1181" s="46" t="n"/>
      <c r="C1181" s="49" t="n"/>
      <c r="D1181" s="49" t="n"/>
      <c r="E1181" s="49" t="n"/>
      <c r="F1181" s="49" t="n"/>
      <c r="G1181" s="47" t="n"/>
      <c r="H1181" s="50" t="n"/>
      <c r="I1181" s="51" t="n"/>
      <c r="J1181" s="46" t="n"/>
      <c r="K1181" s="46" t="n"/>
      <c r="L1181" s="23">
        <f>IF(OR($A1181="",$B1181=""),"",IF($K1181&lt;&gt;"",$K1181-$B1181,TODAY()-$B1181))</f>
        <v/>
      </c>
      <c r="M1181" s="27">
        <f>IF(OR($A1181="",$J1181=""),"",IF($K1181="",IF(TODAY()&gt;$J1181,"Atrasado","En ruta"),IF($K1181&lt;=$J1181,"Sí","No")))</f>
        <v/>
      </c>
      <c r="N1181" s="23">
        <f>IF($A1181="","",COUNTIFS(NOVEDADES!$C$4:$C$1503,$A1181))</f>
        <v/>
      </c>
      <c r="O1181" s="27">
        <f>IF($A1181="","",IF(COUNTIFS(NOVEDADES!$C$4:$C$1503,$A1181,NOVEDADES!$M$4:$M$1503,"SÍ")&gt;0,"No","Sí"))</f>
        <v/>
      </c>
      <c r="P1181" s="27">
        <f>IF(OR($A1181="",$K1181=""),"",IF(AND($M1181="Sí",$O1181="Sí"),"OTIF","Falló"))</f>
        <v/>
      </c>
    </row>
    <row r="1182" ht="16" customHeight="1">
      <c r="A1182" s="47" t="n"/>
      <c r="B1182" s="46" t="n"/>
      <c r="C1182" s="49" t="n"/>
      <c r="D1182" s="49" t="n"/>
      <c r="E1182" s="49" t="n"/>
      <c r="F1182" s="49" t="n"/>
      <c r="G1182" s="47" t="n"/>
      <c r="H1182" s="50" t="n"/>
      <c r="I1182" s="51" t="n"/>
      <c r="J1182" s="46" t="n"/>
      <c r="K1182" s="46" t="n"/>
      <c r="L1182" s="23">
        <f>IF(OR($A1182="",$B1182=""),"",IF($K1182&lt;&gt;"",$K1182-$B1182,TODAY()-$B1182))</f>
        <v/>
      </c>
      <c r="M1182" s="27">
        <f>IF(OR($A1182="",$J1182=""),"",IF($K1182="",IF(TODAY()&gt;$J1182,"Atrasado","En ruta"),IF($K1182&lt;=$J1182,"Sí","No")))</f>
        <v/>
      </c>
      <c r="N1182" s="23">
        <f>IF($A1182="","",COUNTIFS(NOVEDADES!$C$4:$C$1503,$A1182))</f>
        <v/>
      </c>
      <c r="O1182" s="27">
        <f>IF($A1182="","",IF(COUNTIFS(NOVEDADES!$C$4:$C$1503,$A1182,NOVEDADES!$M$4:$M$1503,"SÍ")&gt;0,"No","Sí"))</f>
        <v/>
      </c>
      <c r="P1182" s="27">
        <f>IF(OR($A1182="",$K1182=""),"",IF(AND($M1182="Sí",$O1182="Sí"),"OTIF","Falló"))</f>
        <v/>
      </c>
    </row>
    <row r="1183" ht="16" customHeight="1">
      <c r="A1183" s="47" t="n"/>
      <c r="B1183" s="46" t="n"/>
      <c r="C1183" s="49" t="n"/>
      <c r="D1183" s="49" t="n"/>
      <c r="E1183" s="49" t="n"/>
      <c r="F1183" s="49" t="n"/>
      <c r="G1183" s="47" t="n"/>
      <c r="H1183" s="50" t="n"/>
      <c r="I1183" s="51" t="n"/>
      <c r="J1183" s="46" t="n"/>
      <c r="K1183" s="46" t="n"/>
      <c r="L1183" s="23">
        <f>IF(OR($A1183="",$B1183=""),"",IF($K1183&lt;&gt;"",$K1183-$B1183,TODAY()-$B1183))</f>
        <v/>
      </c>
      <c r="M1183" s="27">
        <f>IF(OR($A1183="",$J1183=""),"",IF($K1183="",IF(TODAY()&gt;$J1183,"Atrasado","En ruta"),IF($K1183&lt;=$J1183,"Sí","No")))</f>
        <v/>
      </c>
      <c r="N1183" s="23">
        <f>IF($A1183="","",COUNTIFS(NOVEDADES!$C$4:$C$1503,$A1183))</f>
        <v/>
      </c>
      <c r="O1183" s="27">
        <f>IF($A1183="","",IF(COUNTIFS(NOVEDADES!$C$4:$C$1503,$A1183,NOVEDADES!$M$4:$M$1503,"SÍ")&gt;0,"No","Sí"))</f>
        <v/>
      </c>
      <c r="P1183" s="27">
        <f>IF(OR($A1183="",$K1183=""),"",IF(AND($M1183="Sí",$O1183="Sí"),"OTIF","Falló"))</f>
        <v/>
      </c>
    </row>
    <row r="1184" ht="16" customHeight="1">
      <c r="A1184" s="47" t="n"/>
      <c r="B1184" s="46" t="n"/>
      <c r="C1184" s="49" t="n"/>
      <c r="D1184" s="49" t="n"/>
      <c r="E1184" s="49" t="n"/>
      <c r="F1184" s="49" t="n"/>
      <c r="G1184" s="47" t="n"/>
      <c r="H1184" s="50" t="n"/>
      <c r="I1184" s="51" t="n"/>
      <c r="J1184" s="46" t="n"/>
      <c r="K1184" s="46" t="n"/>
      <c r="L1184" s="23">
        <f>IF(OR($A1184="",$B1184=""),"",IF($K1184&lt;&gt;"",$K1184-$B1184,TODAY()-$B1184))</f>
        <v/>
      </c>
      <c r="M1184" s="27">
        <f>IF(OR($A1184="",$J1184=""),"",IF($K1184="",IF(TODAY()&gt;$J1184,"Atrasado","En ruta"),IF($K1184&lt;=$J1184,"Sí","No")))</f>
        <v/>
      </c>
      <c r="N1184" s="23">
        <f>IF($A1184="","",COUNTIFS(NOVEDADES!$C$4:$C$1503,$A1184))</f>
        <v/>
      </c>
      <c r="O1184" s="27">
        <f>IF($A1184="","",IF(COUNTIFS(NOVEDADES!$C$4:$C$1503,$A1184,NOVEDADES!$M$4:$M$1503,"SÍ")&gt;0,"No","Sí"))</f>
        <v/>
      </c>
      <c r="P1184" s="27">
        <f>IF(OR($A1184="",$K1184=""),"",IF(AND($M1184="Sí",$O1184="Sí"),"OTIF","Falló"))</f>
        <v/>
      </c>
    </row>
    <row r="1185" ht="16" customHeight="1">
      <c r="A1185" s="47" t="n"/>
      <c r="B1185" s="46" t="n"/>
      <c r="C1185" s="49" t="n"/>
      <c r="D1185" s="49" t="n"/>
      <c r="E1185" s="49" t="n"/>
      <c r="F1185" s="49" t="n"/>
      <c r="G1185" s="47" t="n"/>
      <c r="H1185" s="50" t="n"/>
      <c r="I1185" s="51" t="n"/>
      <c r="J1185" s="46" t="n"/>
      <c r="K1185" s="46" t="n"/>
      <c r="L1185" s="23">
        <f>IF(OR($A1185="",$B1185=""),"",IF($K1185&lt;&gt;"",$K1185-$B1185,TODAY()-$B1185))</f>
        <v/>
      </c>
      <c r="M1185" s="27">
        <f>IF(OR($A1185="",$J1185=""),"",IF($K1185="",IF(TODAY()&gt;$J1185,"Atrasado","En ruta"),IF($K1185&lt;=$J1185,"Sí","No")))</f>
        <v/>
      </c>
      <c r="N1185" s="23">
        <f>IF($A1185="","",COUNTIFS(NOVEDADES!$C$4:$C$1503,$A1185))</f>
        <v/>
      </c>
      <c r="O1185" s="27">
        <f>IF($A1185="","",IF(COUNTIFS(NOVEDADES!$C$4:$C$1503,$A1185,NOVEDADES!$M$4:$M$1503,"SÍ")&gt;0,"No","Sí"))</f>
        <v/>
      </c>
      <c r="P1185" s="27">
        <f>IF(OR($A1185="",$K1185=""),"",IF(AND($M1185="Sí",$O1185="Sí"),"OTIF","Falló"))</f>
        <v/>
      </c>
    </row>
    <row r="1186" ht="16" customHeight="1">
      <c r="A1186" s="47" t="n"/>
      <c r="B1186" s="46" t="n"/>
      <c r="C1186" s="49" t="n"/>
      <c r="D1186" s="49" t="n"/>
      <c r="E1186" s="49" t="n"/>
      <c r="F1186" s="49" t="n"/>
      <c r="G1186" s="47" t="n"/>
      <c r="H1186" s="50" t="n"/>
      <c r="I1186" s="51" t="n"/>
      <c r="J1186" s="46" t="n"/>
      <c r="K1186" s="46" t="n"/>
      <c r="L1186" s="23">
        <f>IF(OR($A1186="",$B1186=""),"",IF($K1186&lt;&gt;"",$K1186-$B1186,TODAY()-$B1186))</f>
        <v/>
      </c>
      <c r="M1186" s="27">
        <f>IF(OR($A1186="",$J1186=""),"",IF($K1186="",IF(TODAY()&gt;$J1186,"Atrasado","En ruta"),IF($K1186&lt;=$J1186,"Sí","No")))</f>
        <v/>
      </c>
      <c r="N1186" s="23">
        <f>IF($A1186="","",COUNTIFS(NOVEDADES!$C$4:$C$1503,$A1186))</f>
        <v/>
      </c>
      <c r="O1186" s="27">
        <f>IF($A1186="","",IF(COUNTIFS(NOVEDADES!$C$4:$C$1503,$A1186,NOVEDADES!$M$4:$M$1503,"SÍ")&gt;0,"No","Sí"))</f>
        <v/>
      </c>
      <c r="P1186" s="27">
        <f>IF(OR($A1186="",$K1186=""),"",IF(AND($M1186="Sí",$O1186="Sí"),"OTIF","Falló"))</f>
        <v/>
      </c>
    </row>
    <row r="1187" ht="16" customHeight="1">
      <c r="A1187" s="47" t="n"/>
      <c r="B1187" s="46" t="n"/>
      <c r="C1187" s="49" t="n"/>
      <c r="D1187" s="49" t="n"/>
      <c r="E1187" s="49" t="n"/>
      <c r="F1187" s="49" t="n"/>
      <c r="G1187" s="47" t="n"/>
      <c r="H1187" s="50" t="n"/>
      <c r="I1187" s="51" t="n"/>
      <c r="J1187" s="46" t="n"/>
      <c r="K1187" s="46" t="n"/>
      <c r="L1187" s="23">
        <f>IF(OR($A1187="",$B1187=""),"",IF($K1187&lt;&gt;"",$K1187-$B1187,TODAY()-$B1187))</f>
        <v/>
      </c>
      <c r="M1187" s="27">
        <f>IF(OR($A1187="",$J1187=""),"",IF($K1187="",IF(TODAY()&gt;$J1187,"Atrasado","En ruta"),IF($K1187&lt;=$J1187,"Sí","No")))</f>
        <v/>
      </c>
      <c r="N1187" s="23">
        <f>IF($A1187="","",COUNTIFS(NOVEDADES!$C$4:$C$1503,$A1187))</f>
        <v/>
      </c>
      <c r="O1187" s="27">
        <f>IF($A1187="","",IF(COUNTIFS(NOVEDADES!$C$4:$C$1503,$A1187,NOVEDADES!$M$4:$M$1503,"SÍ")&gt;0,"No","Sí"))</f>
        <v/>
      </c>
      <c r="P1187" s="27">
        <f>IF(OR($A1187="",$K1187=""),"",IF(AND($M1187="Sí",$O1187="Sí"),"OTIF","Falló"))</f>
        <v/>
      </c>
    </row>
    <row r="1188" ht="16" customHeight="1">
      <c r="A1188" s="47" t="n"/>
      <c r="B1188" s="46" t="n"/>
      <c r="C1188" s="49" t="n"/>
      <c r="D1188" s="49" t="n"/>
      <c r="E1188" s="49" t="n"/>
      <c r="F1188" s="49" t="n"/>
      <c r="G1188" s="47" t="n"/>
      <c r="H1188" s="50" t="n"/>
      <c r="I1188" s="51" t="n"/>
      <c r="J1188" s="46" t="n"/>
      <c r="K1188" s="46" t="n"/>
      <c r="L1188" s="23">
        <f>IF(OR($A1188="",$B1188=""),"",IF($K1188&lt;&gt;"",$K1188-$B1188,TODAY()-$B1188))</f>
        <v/>
      </c>
      <c r="M1188" s="27">
        <f>IF(OR($A1188="",$J1188=""),"",IF($K1188="",IF(TODAY()&gt;$J1188,"Atrasado","En ruta"),IF($K1188&lt;=$J1188,"Sí","No")))</f>
        <v/>
      </c>
      <c r="N1188" s="23">
        <f>IF($A1188="","",COUNTIFS(NOVEDADES!$C$4:$C$1503,$A1188))</f>
        <v/>
      </c>
      <c r="O1188" s="27">
        <f>IF($A1188="","",IF(COUNTIFS(NOVEDADES!$C$4:$C$1503,$A1188,NOVEDADES!$M$4:$M$1503,"SÍ")&gt;0,"No","Sí"))</f>
        <v/>
      </c>
      <c r="P1188" s="27">
        <f>IF(OR($A1188="",$K1188=""),"",IF(AND($M1188="Sí",$O1188="Sí"),"OTIF","Falló"))</f>
        <v/>
      </c>
    </row>
    <row r="1189" ht="16" customHeight="1">
      <c r="A1189" s="47" t="n"/>
      <c r="B1189" s="46" t="n"/>
      <c r="C1189" s="49" t="n"/>
      <c r="D1189" s="49" t="n"/>
      <c r="E1189" s="49" t="n"/>
      <c r="F1189" s="49" t="n"/>
      <c r="G1189" s="47" t="n"/>
      <c r="H1189" s="50" t="n"/>
      <c r="I1189" s="51" t="n"/>
      <c r="J1189" s="46" t="n"/>
      <c r="K1189" s="46" t="n"/>
      <c r="L1189" s="23">
        <f>IF(OR($A1189="",$B1189=""),"",IF($K1189&lt;&gt;"",$K1189-$B1189,TODAY()-$B1189))</f>
        <v/>
      </c>
      <c r="M1189" s="27">
        <f>IF(OR($A1189="",$J1189=""),"",IF($K1189="",IF(TODAY()&gt;$J1189,"Atrasado","En ruta"),IF($K1189&lt;=$J1189,"Sí","No")))</f>
        <v/>
      </c>
      <c r="N1189" s="23">
        <f>IF($A1189="","",COUNTIFS(NOVEDADES!$C$4:$C$1503,$A1189))</f>
        <v/>
      </c>
      <c r="O1189" s="27">
        <f>IF($A1189="","",IF(COUNTIFS(NOVEDADES!$C$4:$C$1503,$A1189,NOVEDADES!$M$4:$M$1503,"SÍ")&gt;0,"No","Sí"))</f>
        <v/>
      </c>
      <c r="P1189" s="27">
        <f>IF(OR($A1189="",$K1189=""),"",IF(AND($M1189="Sí",$O1189="Sí"),"OTIF","Falló"))</f>
        <v/>
      </c>
    </row>
    <row r="1190" ht="16" customHeight="1">
      <c r="A1190" s="47" t="n"/>
      <c r="B1190" s="46" t="n"/>
      <c r="C1190" s="49" t="n"/>
      <c r="D1190" s="49" t="n"/>
      <c r="E1190" s="49" t="n"/>
      <c r="F1190" s="49" t="n"/>
      <c r="G1190" s="47" t="n"/>
      <c r="H1190" s="50" t="n"/>
      <c r="I1190" s="51" t="n"/>
      <c r="J1190" s="46" t="n"/>
      <c r="K1190" s="46" t="n"/>
      <c r="L1190" s="23">
        <f>IF(OR($A1190="",$B1190=""),"",IF($K1190&lt;&gt;"",$K1190-$B1190,TODAY()-$B1190))</f>
        <v/>
      </c>
      <c r="M1190" s="27">
        <f>IF(OR($A1190="",$J1190=""),"",IF($K1190="",IF(TODAY()&gt;$J1190,"Atrasado","En ruta"),IF($K1190&lt;=$J1190,"Sí","No")))</f>
        <v/>
      </c>
      <c r="N1190" s="23">
        <f>IF($A1190="","",COUNTIFS(NOVEDADES!$C$4:$C$1503,$A1190))</f>
        <v/>
      </c>
      <c r="O1190" s="27">
        <f>IF($A1190="","",IF(COUNTIFS(NOVEDADES!$C$4:$C$1503,$A1190,NOVEDADES!$M$4:$M$1503,"SÍ")&gt;0,"No","Sí"))</f>
        <v/>
      </c>
      <c r="P1190" s="27">
        <f>IF(OR($A1190="",$K1190=""),"",IF(AND($M1190="Sí",$O1190="Sí"),"OTIF","Falló"))</f>
        <v/>
      </c>
    </row>
    <row r="1191" ht="16" customHeight="1">
      <c r="A1191" s="47" t="n"/>
      <c r="B1191" s="46" t="n"/>
      <c r="C1191" s="49" t="n"/>
      <c r="D1191" s="49" t="n"/>
      <c r="E1191" s="49" t="n"/>
      <c r="F1191" s="49" t="n"/>
      <c r="G1191" s="47" t="n"/>
      <c r="H1191" s="50" t="n"/>
      <c r="I1191" s="51" t="n"/>
      <c r="J1191" s="46" t="n"/>
      <c r="K1191" s="46" t="n"/>
      <c r="L1191" s="23">
        <f>IF(OR($A1191="",$B1191=""),"",IF($K1191&lt;&gt;"",$K1191-$B1191,TODAY()-$B1191))</f>
        <v/>
      </c>
      <c r="M1191" s="27">
        <f>IF(OR($A1191="",$J1191=""),"",IF($K1191="",IF(TODAY()&gt;$J1191,"Atrasado","En ruta"),IF($K1191&lt;=$J1191,"Sí","No")))</f>
        <v/>
      </c>
      <c r="N1191" s="23">
        <f>IF($A1191="","",COUNTIFS(NOVEDADES!$C$4:$C$1503,$A1191))</f>
        <v/>
      </c>
      <c r="O1191" s="27">
        <f>IF($A1191="","",IF(COUNTIFS(NOVEDADES!$C$4:$C$1503,$A1191,NOVEDADES!$M$4:$M$1503,"SÍ")&gt;0,"No","Sí"))</f>
        <v/>
      </c>
      <c r="P1191" s="27">
        <f>IF(OR($A1191="",$K1191=""),"",IF(AND($M1191="Sí",$O1191="Sí"),"OTIF","Falló"))</f>
        <v/>
      </c>
    </row>
    <row r="1192" ht="16" customHeight="1">
      <c r="A1192" s="47" t="n"/>
      <c r="B1192" s="46" t="n"/>
      <c r="C1192" s="49" t="n"/>
      <c r="D1192" s="49" t="n"/>
      <c r="E1192" s="49" t="n"/>
      <c r="F1192" s="49" t="n"/>
      <c r="G1192" s="47" t="n"/>
      <c r="H1192" s="50" t="n"/>
      <c r="I1192" s="51" t="n"/>
      <c r="J1192" s="46" t="n"/>
      <c r="K1192" s="46" t="n"/>
      <c r="L1192" s="23">
        <f>IF(OR($A1192="",$B1192=""),"",IF($K1192&lt;&gt;"",$K1192-$B1192,TODAY()-$B1192))</f>
        <v/>
      </c>
      <c r="M1192" s="27">
        <f>IF(OR($A1192="",$J1192=""),"",IF($K1192="",IF(TODAY()&gt;$J1192,"Atrasado","En ruta"),IF($K1192&lt;=$J1192,"Sí","No")))</f>
        <v/>
      </c>
      <c r="N1192" s="23">
        <f>IF($A1192="","",COUNTIFS(NOVEDADES!$C$4:$C$1503,$A1192))</f>
        <v/>
      </c>
      <c r="O1192" s="27">
        <f>IF($A1192="","",IF(COUNTIFS(NOVEDADES!$C$4:$C$1503,$A1192,NOVEDADES!$M$4:$M$1503,"SÍ")&gt;0,"No","Sí"))</f>
        <v/>
      </c>
      <c r="P1192" s="27">
        <f>IF(OR($A1192="",$K1192=""),"",IF(AND($M1192="Sí",$O1192="Sí"),"OTIF","Falló"))</f>
        <v/>
      </c>
    </row>
    <row r="1193" ht="16" customHeight="1">
      <c r="A1193" s="47" t="n"/>
      <c r="B1193" s="46" t="n"/>
      <c r="C1193" s="49" t="n"/>
      <c r="D1193" s="49" t="n"/>
      <c r="E1193" s="49" t="n"/>
      <c r="F1193" s="49" t="n"/>
      <c r="G1193" s="47" t="n"/>
      <c r="H1193" s="50" t="n"/>
      <c r="I1193" s="51" t="n"/>
      <c r="J1193" s="46" t="n"/>
      <c r="K1193" s="46" t="n"/>
      <c r="L1193" s="23">
        <f>IF(OR($A1193="",$B1193=""),"",IF($K1193&lt;&gt;"",$K1193-$B1193,TODAY()-$B1193))</f>
        <v/>
      </c>
      <c r="M1193" s="27">
        <f>IF(OR($A1193="",$J1193=""),"",IF($K1193="",IF(TODAY()&gt;$J1193,"Atrasado","En ruta"),IF($K1193&lt;=$J1193,"Sí","No")))</f>
        <v/>
      </c>
      <c r="N1193" s="23">
        <f>IF($A1193="","",COUNTIFS(NOVEDADES!$C$4:$C$1503,$A1193))</f>
        <v/>
      </c>
      <c r="O1193" s="27">
        <f>IF($A1193="","",IF(COUNTIFS(NOVEDADES!$C$4:$C$1503,$A1193,NOVEDADES!$M$4:$M$1503,"SÍ")&gt;0,"No","Sí"))</f>
        <v/>
      </c>
      <c r="P1193" s="27">
        <f>IF(OR($A1193="",$K1193=""),"",IF(AND($M1193="Sí",$O1193="Sí"),"OTIF","Falló"))</f>
        <v/>
      </c>
    </row>
    <row r="1194" ht="16" customHeight="1">
      <c r="A1194" s="47" t="n"/>
      <c r="B1194" s="46" t="n"/>
      <c r="C1194" s="49" t="n"/>
      <c r="D1194" s="49" t="n"/>
      <c r="E1194" s="49" t="n"/>
      <c r="F1194" s="49" t="n"/>
      <c r="G1194" s="47" t="n"/>
      <c r="H1194" s="50" t="n"/>
      <c r="I1194" s="51" t="n"/>
      <c r="J1194" s="46" t="n"/>
      <c r="K1194" s="46" t="n"/>
      <c r="L1194" s="23">
        <f>IF(OR($A1194="",$B1194=""),"",IF($K1194&lt;&gt;"",$K1194-$B1194,TODAY()-$B1194))</f>
        <v/>
      </c>
      <c r="M1194" s="27">
        <f>IF(OR($A1194="",$J1194=""),"",IF($K1194="",IF(TODAY()&gt;$J1194,"Atrasado","En ruta"),IF($K1194&lt;=$J1194,"Sí","No")))</f>
        <v/>
      </c>
      <c r="N1194" s="23">
        <f>IF($A1194="","",COUNTIFS(NOVEDADES!$C$4:$C$1503,$A1194))</f>
        <v/>
      </c>
      <c r="O1194" s="27">
        <f>IF($A1194="","",IF(COUNTIFS(NOVEDADES!$C$4:$C$1503,$A1194,NOVEDADES!$M$4:$M$1503,"SÍ")&gt;0,"No","Sí"))</f>
        <v/>
      </c>
      <c r="P1194" s="27">
        <f>IF(OR($A1194="",$K1194=""),"",IF(AND($M1194="Sí",$O1194="Sí"),"OTIF","Falló"))</f>
        <v/>
      </c>
    </row>
    <row r="1195" ht="16" customHeight="1">
      <c r="A1195" s="47" t="n"/>
      <c r="B1195" s="46" t="n"/>
      <c r="C1195" s="49" t="n"/>
      <c r="D1195" s="49" t="n"/>
      <c r="E1195" s="49" t="n"/>
      <c r="F1195" s="49" t="n"/>
      <c r="G1195" s="47" t="n"/>
      <c r="H1195" s="50" t="n"/>
      <c r="I1195" s="51" t="n"/>
      <c r="J1195" s="46" t="n"/>
      <c r="K1195" s="46" t="n"/>
      <c r="L1195" s="23">
        <f>IF(OR($A1195="",$B1195=""),"",IF($K1195&lt;&gt;"",$K1195-$B1195,TODAY()-$B1195))</f>
        <v/>
      </c>
      <c r="M1195" s="27">
        <f>IF(OR($A1195="",$J1195=""),"",IF($K1195="",IF(TODAY()&gt;$J1195,"Atrasado","En ruta"),IF($K1195&lt;=$J1195,"Sí","No")))</f>
        <v/>
      </c>
      <c r="N1195" s="23">
        <f>IF($A1195="","",COUNTIFS(NOVEDADES!$C$4:$C$1503,$A1195))</f>
        <v/>
      </c>
      <c r="O1195" s="27">
        <f>IF($A1195="","",IF(COUNTIFS(NOVEDADES!$C$4:$C$1503,$A1195,NOVEDADES!$M$4:$M$1503,"SÍ")&gt;0,"No","Sí"))</f>
        <v/>
      </c>
      <c r="P1195" s="27">
        <f>IF(OR($A1195="",$K1195=""),"",IF(AND($M1195="Sí",$O1195="Sí"),"OTIF","Falló"))</f>
        <v/>
      </c>
    </row>
    <row r="1196" ht="16" customHeight="1">
      <c r="A1196" s="47" t="n"/>
      <c r="B1196" s="46" t="n"/>
      <c r="C1196" s="49" t="n"/>
      <c r="D1196" s="49" t="n"/>
      <c r="E1196" s="49" t="n"/>
      <c r="F1196" s="49" t="n"/>
      <c r="G1196" s="47" t="n"/>
      <c r="H1196" s="50" t="n"/>
      <c r="I1196" s="51" t="n"/>
      <c r="J1196" s="46" t="n"/>
      <c r="K1196" s="46" t="n"/>
      <c r="L1196" s="23">
        <f>IF(OR($A1196="",$B1196=""),"",IF($K1196&lt;&gt;"",$K1196-$B1196,TODAY()-$B1196))</f>
        <v/>
      </c>
      <c r="M1196" s="27">
        <f>IF(OR($A1196="",$J1196=""),"",IF($K1196="",IF(TODAY()&gt;$J1196,"Atrasado","En ruta"),IF($K1196&lt;=$J1196,"Sí","No")))</f>
        <v/>
      </c>
      <c r="N1196" s="23">
        <f>IF($A1196="","",COUNTIFS(NOVEDADES!$C$4:$C$1503,$A1196))</f>
        <v/>
      </c>
      <c r="O1196" s="27">
        <f>IF($A1196="","",IF(COUNTIFS(NOVEDADES!$C$4:$C$1503,$A1196,NOVEDADES!$M$4:$M$1503,"SÍ")&gt;0,"No","Sí"))</f>
        <v/>
      </c>
      <c r="P1196" s="27">
        <f>IF(OR($A1196="",$K1196=""),"",IF(AND($M1196="Sí",$O1196="Sí"),"OTIF","Falló"))</f>
        <v/>
      </c>
    </row>
    <row r="1197" ht="16" customHeight="1">
      <c r="A1197" s="47" t="n"/>
      <c r="B1197" s="46" t="n"/>
      <c r="C1197" s="49" t="n"/>
      <c r="D1197" s="49" t="n"/>
      <c r="E1197" s="49" t="n"/>
      <c r="F1197" s="49" t="n"/>
      <c r="G1197" s="47" t="n"/>
      <c r="H1197" s="50" t="n"/>
      <c r="I1197" s="51" t="n"/>
      <c r="J1197" s="46" t="n"/>
      <c r="K1197" s="46" t="n"/>
      <c r="L1197" s="23">
        <f>IF(OR($A1197="",$B1197=""),"",IF($K1197&lt;&gt;"",$K1197-$B1197,TODAY()-$B1197))</f>
        <v/>
      </c>
      <c r="M1197" s="27">
        <f>IF(OR($A1197="",$J1197=""),"",IF($K1197="",IF(TODAY()&gt;$J1197,"Atrasado","En ruta"),IF($K1197&lt;=$J1197,"Sí","No")))</f>
        <v/>
      </c>
      <c r="N1197" s="23">
        <f>IF($A1197="","",COUNTIFS(NOVEDADES!$C$4:$C$1503,$A1197))</f>
        <v/>
      </c>
      <c r="O1197" s="27">
        <f>IF($A1197="","",IF(COUNTIFS(NOVEDADES!$C$4:$C$1503,$A1197,NOVEDADES!$M$4:$M$1503,"SÍ")&gt;0,"No","Sí"))</f>
        <v/>
      </c>
      <c r="P1197" s="27">
        <f>IF(OR($A1197="",$K1197=""),"",IF(AND($M1197="Sí",$O1197="Sí"),"OTIF","Falló"))</f>
        <v/>
      </c>
    </row>
    <row r="1198" ht="16" customHeight="1">
      <c r="A1198" s="47" t="n"/>
      <c r="B1198" s="46" t="n"/>
      <c r="C1198" s="49" t="n"/>
      <c r="D1198" s="49" t="n"/>
      <c r="E1198" s="49" t="n"/>
      <c r="F1198" s="49" t="n"/>
      <c r="G1198" s="47" t="n"/>
      <c r="H1198" s="50" t="n"/>
      <c r="I1198" s="51" t="n"/>
      <c r="J1198" s="46" t="n"/>
      <c r="K1198" s="46" t="n"/>
      <c r="L1198" s="23">
        <f>IF(OR($A1198="",$B1198=""),"",IF($K1198&lt;&gt;"",$K1198-$B1198,TODAY()-$B1198))</f>
        <v/>
      </c>
      <c r="M1198" s="27">
        <f>IF(OR($A1198="",$J1198=""),"",IF($K1198="",IF(TODAY()&gt;$J1198,"Atrasado","En ruta"),IF($K1198&lt;=$J1198,"Sí","No")))</f>
        <v/>
      </c>
      <c r="N1198" s="23">
        <f>IF($A1198="","",COUNTIFS(NOVEDADES!$C$4:$C$1503,$A1198))</f>
        <v/>
      </c>
      <c r="O1198" s="27">
        <f>IF($A1198="","",IF(COUNTIFS(NOVEDADES!$C$4:$C$1503,$A1198,NOVEDADES!$M$4:$M$1503,"SÍ")&gt;0,"No","Sí"))</f>
        <v/>
      </c>
      <c r="P1198" s="27">
        <f>IF(OR($A1198="",$K1198=""),"",IF(AND($M1198="Sí",$O1198="Sí"),"OTIF","Falló"))</f>
        <v/>
      </c>
    </row>
    <row r="1199" ht="16" customHeight="1">
      <c r="A1199" s="47" t="n"/>
      <c r="B1199" s="46" t="n"/>
      <c r="C1199" s="49" t="n"/>
      <c r="D1199" s="49" t="n"/>
      <c r="E1199" s="49" t="n"/>
      <c r="F1199" s="49" t="n"/>
      <c r="G1199" s="47" t="n"/>
      <c r="H1199" s="50" t="n"/>
      <c r="I1199" s="51" t="n"/>
      <c r="J1199" s="46" t="n"/>
      <c r="K1199" s="46" t="n"/>
      <c r="L1199" s="23">
        <f>IF(OR($A1199="",$B1199=""),"",IF($K1199&lt;&gt;"",$K1199-$B1199,TODAY()-$B1199))</f>
        <v/>
      </c>
      <c r="M1199" s="27">
        <f>IF(OR($A1199="",$J1199=""),"",IF($K1199="",IF(TODAY()&gt;$J1199,"Atrasado","En ruta"),IF($K1199&lt;=$J1199,"Sí","No")))</f>
        <v/>
      </c>
      <c r="N1199" s="23">
        <f>IF($A1199="","",COUNTIFS(NOVEDADES!$C$4:$C$1503,$A1199))</f>
        <v/>
      </c>
      <c r="O1199" s="27">
        <f>IF($A1199="","",IF(COUNTIFS(NOVEDADES!$C$4:$C$1503,$A1199,NOVEDADES!$M$4:$M$1503,"SÍ")&gt;0,"No","Sí"))</f>
        <v/>
      </c>
      <c r="P1199" s="27">
        <f>IF(OR($A1199="",$K1199=""),"",IF(AND($M1199="Sí",$O1199="Sí"),"OTIF","Falló"))</f>
        <v/>
      </c>
    </row>
    <row r="1200" ht="16" customHeight="1">
      <c r="A1200" s="47" t="n"/>
      <c r="B1200" s="46" t="n"/>
      <c r="C1200" s="49" t="n"/>
      <c r="D1200" s="49" t="n"/>
      <c r="E1200" s="49" t="n"/>
      <c r="F1200" s="49" t="n"/>
      <c r="G1200" s="47" t="n"/>
      <c r="H1200" s="50" t="n"/>
      <c r="I1200" s="51" t="n"/>
      <c r="J1200" s="46" t="n"/>
      <c r="K1200" s="46" t="n"/>
      <c r="L1200" s="23">
        <f>IF(OR($A1200="",$B1200=""),"",IF($K1200&lt;&gt;"",$K1200-$B1200,TODAY()-$B1200))</f>
        <v/>
      </c>
      <c r="M1200" s="27">
        <f>IF(OR($A1200="",$J1200=""),"",IF($K1200="",IF(TODAY()&gt;$J1200,"Atrasado","En ruta"),IF($K1200&lt;=$J1200,"Sí","No")))</f>
        <v/>
      </c>
      <c r="N1200" s="23">
        <f>IF($A1200="","",COUNTIFS(NOVEDADES!$C$4:$C$1503,$A1200))</f>
        <v/>
      </c>
      <c r="O1200" s="27">
        <f>IF($A1200="","",IF(COUNTIFS(NOVEDADES!$C$4:$C$1503,$A1200,NOVEDADES!$M$4:$M$1503,"SÍ")&gt;0,"No","Sí"))</f>
        <v/>
      </c>
      <c r="P1200" s="27">
        <f>IF(OR($A1200="",$K1200=""),"",IF(AND($M1200="Sí",$O1200="Sí"),"OTIF","Falló"))</f>
        <v/>
      </c>
    </row>
    <row r="1201" ht="16" customHeight="1">
      <c r="A1201" s="47" t="n"/>
      <c r="B1201" s="46" t="n"/>
      <c r="C1201" s="49" t="n"/>
      <c r="D1201" s="49" t="n"/>
      <c r="E1201" s="49" t="n"/>
      <c r="F1201" s="49" t="n"/>
      <c r="G1201" s="47" t="n"/>
      <c r="H1201" s="50" t="n"/>
      <c r="I1201" s="51" t="n"/>
      <c r="J1201" s="46" t="n"/>
      <c r="K1201" s="46" t="n"/>
      <c r="L1201" s="23">
        <f>IF(OR($A1201="",$B1201=""),"",IF($K1201&lt;&gt;"",$K1201-$B1201,TODAY()-$B1201))</f>
        <v/>
      </c>
      <c r="M1201" s="27">
        <f>IF(OR($A1201="",$J1201=""),"",IF($K1201="",IF(TODAY()&gt;$J1201,"Atrasado","En ruta"),IF($K1201&lt;=$J1201,"Sí","No")))</f>
        <v/>
      </c>
      <c r="N1201" s="23">
        <f>IF($A1201="","",COUNTIFS(NOVEDADES!$C$4:$C$1503,$A1201))</f>
        <v/>
      </c>
      <c r="O1201" s="27">
        <f>IF($A1201="","",IF(COUNTIFS(NOVEDADES!$C$4:$C$1503,$A1201,NOVEDADES!$M$4:$M$1503,"SÍ")&gt;0,"No","Sí"))</f>
        <v/>
      </c>
      <c r="P1201" s="27">
        <f>IF(OR($A1201="",$K1201=""),"",IF(AND($M1201="Sí",$O1201="Sí"),"OTIF","Falló"))</f>
        <v/>
      </c>
    </row>
    <row r="1202" ht="16" customHeight="1">
      <c r="A1202" s="47" t="n"/>
      <c r="B1202" s="46" t="n"/>
      <c r="C1202" s="49" t="n"/>
      <c r="D1202" s="49" t="n"/>
      <c r="E1202" s="49" t="n"/>
      <c r="F1202" s="49" t="n"/>
      <c r="G1202" s="47" t="n"/>
      <c r="H1202" s="50" t="n"/>
      <c r="I1202" s="51" t="n"/>
      <c r="J1202" s="46" t="n"/>
      <c r="K1202" s="46" t="n"/>
      <c r="L1202" s="23">
        <f>IF(OR($A1202="",$B1202=""),"",IF($K1202&lt;&gt;"",$K1202-$B1202,TODAY()-$B1202))</f>
        <v/>
      </c>
      <c r="M1202" s="27">
        <f>IF(OR($A1202="",$J1202=""),"",IF($K1202="",IF(TODAY()&gt;$J1202,"Atrasado","En ruta"),IF($K1202&lt;=$J1202,"Sí","No")))</f>
        <v/>
      </c>
      <c r="N1202" s="23">
        <f>IF($A1202="","",COUNTIFS(NOVEDADES!$C$4:$C$1503,$A1202))</f>
        <v/>
      </c>
      <c r="O1202" s="27">
        <f>IF($A1202="","",IF(COUNTIFS(NOVEDADES!$C$4:$C$1503,$A1202,NOVEDADES!$M$4:$M$1503,"SÍ")&gt;0,"No","Sí"))</f>
        <v/>
      </c>
      <c r="P1202" s="27">
        <f>IF(OR($A1202="",$K1202=""),"",IF(AND($M1202="Sí",$O1202="Sí"),"OTIF","Falló"))</f>
        <v/>
      </c>
    </row>
    <row r="1203" ht="16" customHeight="1">
      <c r="A1203" s="47" t="n"/>
      <c r="B1203" s="46" t="n"/>
      <c r="C1203" s="49" t="n"/>
      <c r="D1203" s="49" t="n"/>
      <c r="E1203" s="49" t="n"/>
      <c r="F1203" s="49" t="n"/>
      <c r="G1203" s="47" t="n"/>
      <c r="H1203" s="50" t="n"/>
      <c r="I1203" s="51" t="n"/>
      <c r="J1203" s="46" t="n"/>
      <c r="K1203" s="46" t="n"/>
      <c r="L1203" s="23">
        <f>IF(OR($A1203="",$B1203=""),"",IF($K1203&lt;&gt;"",$K1203-$B1203,TODAY()-$B1203))</f>
        <v/>
      </c>
      <c r="M1203" s="27">
        <f>IF(OR($A1203="",$J1203=""),"",IF($K1203="",IF(TODAY()&gt;$J1203,"Atrasado","En ruta"),IF($K1203&lt;=$J1203,"Sí","No")))</f>
        <v/>
      </c>
      <c r="N1203" s="23">
        <f>IF($A1203="","",COUNTIFS(NOVEDADES!$C$4:$C$1503,$A1203))</f>
        <v/>
      </c>
      <c r="O1203" s="27">
        <f>IF($A1203="","",IF(COUNTIFS(NOVEDADES!$C$4:$C$1503,$A1203,NOVEDADES!$M$4:$M$1503,"SÍ")&gt;0,"No","Sí"))</f>
        <v/>
      </c>
      <c r="P1203" s="27">
        <f>IF(OR($A1203="",$K1203=""),"",IF(AND($M1203="Sí",$O1203="Sí"),"OTIF","Falló"))</f>
        <v/>
      </c>
    </row>
    <row r="1204" ht="16" customHeight="1">
      <c r="A1204" s="47" t="n"/>
      <c r="B1204" s="46" t="n"/>
      <c r="C1204" s="49" t="n"/>
      <c r="D1204" s="49" t="n"/>
      <c r="E1204" s="49" t="n"/>
      <c r="F1204" s="49" t="n"/>
      <c r="G1204" s="47" t="n"/>
      <c r="H1204" s="50" t="n"/>
      <c r="I1204" s="51" t="n"/>
      <c r="J1204" s="46" t="n"/>
      <c r="K1204" s="46" t="n"/>
      <c r="L1204" s="23">
        <f>IF(OR($A1204="",$B1204=""),"",IF($K1204&lt;&gt;"",$K1204-$B1204,TODAY()-$B1204))</f>
        <v/>
      </c>
      <c r="M1204" s="27">
        <f>IF(OR($A1204="",$J1204=""),"",IF($K1204="",IF(TODAY()&gt;$J1204,"Atrasado","En ruta"),IF($K1204&lt;=$J1204,"Sí","No")))</f>
        <v/>
      </c>
      <c r="N1204" s="23">
        <f>IF($A1204="","",COUNTIFS(NOVEDADES!$C$4:$C$1503,$A1204))</f>
        <v/>
      </c>
      <c r="O1204" s="27">
        <f>IF($A1204="","",IF(COUNTIFS(NOVEDADES!$C$4:$C$1503,$A1204,NOVEDADES!$M$4:$M$1503,"SÍ")&gt;0,"No","Sí"))</f>
        <v/>
      </c>
      <c r="P1204" s="27">
        <f>IF(OR($A1204="",$K1204=""),"",IF(AND($M1204="Sí",$O1204="Sí"),"OTIF","Falló"))</f>
        <v/>
      </c>
    </row>
    <row r="1205" ht="16" customHeight="1">
      <c r="A1205" s="47" t="n"/>
      <c r="B1205" s="46" t="n"/>
      <c r="C1205" s="49" t="n"/>
      <c r="D1205" s="49" t="n"/>
      <c r="E1205" s="49" t="n"/>
      <c r="F1205" s="49" t="n"/>
      <c r="G1205" s="47" t="n"/>
      <c r="H1205" s="50" t="n"/>
      <c r="I1205" s="51" t="n"/>
      <c r="J1205" s="46" t="n"/>
      <c r="K1205" s="46" t="n"/>
      <c r="L1205" s="23">
        <f>IF(OR($A1205="",$B1205=""),"",IF($K1205&lt;&gt;"",$K1205-$B1205,TODAY()-$B1205))</f>
        <v/>
      </c>
      <c r="M1205" s="27">
        <f>IF(OR($A1205="",$J1205=""),"",IF($K1205="",IF(TODAY()&gt;$J1205,"Atrasado","En ruta"),IF($K1205&lt;=$J1205,"Sí","No")))</f>
        <v/>
      </c>
      <c r="N1205" s="23">
        <f>IF($A1205="","",COUNTIFS(NOVEDADES!$C$4:$C$1503,$A1205))</f>
        <v/>
      </c>
      <c r="O1205" s="27">
        <f>IF($A1205="","",IF(COUNTIFS(NOVEDADES!$C$4:$C$1503,$A1205,NOVEDADES!$M$4:$M$1503,"SÍ")&gt;0,"No","Sí"))</f>
        <v/>
      </c>
      <c r="P1205" s="27">
        <f>IF(OR($A1205="",$K1205=""),"",IF(AND($M1205="Sí",$O1205="Sí"),"OTIF","Falló"))</f>
        <v/>
      </c>
    </row>
    <row r="1206" ht="16" customHeight="1">
      <c r="A1206" s="47" t="n"/>
      <c r="B1206" s="46" t="n"/>
      <c r="C1206" s="49" t="n"/>
      <c r="D1206" s="49" t="n"/>
      <c r="E1206" s="49" t="n"/>
      <c r="F1206" s="49" t="n"/>
      <c r="G1206" s="47" t="n"/>
      <c r="H1206" s="50" t="n"/>
      <c r="I1206" s="51" t="n"/>
      <c r="J1206" s="46" t="n"/>
      <c r="K1206" s="46" t="n"/>
      <c r="L1206" s="23">
        <f>IF(OR($A1206="",$B1206=""),"",IF($K1206&lt;&gt;"",$K1206-$B1206,TODAY()-$B1206))</f>
        <v/>
      </c>
      <c r="M1206" s="27">
        <f>IF(OR($A1206="",$J1206=""),"",IF($K1206="",IF(TODAY()&gt;$J1206,"Atrasado","En ruta"),IF($K1206&lt;=$J1206,"Sí","No")))</f>
        <v/>
      </c>
      <c r="N1206" s="23">
        <f>IF($A1206="","",COUNTIFS(NOVEDADES!$C$4:$C$1503,$A1206))</f>
        <v/>
      </c>
      <c r="O1206" s="27">
        <f>IF($A1206="","",IF(COUNTIFS(NOVEDADES!$C$4:$C$1503,$A1206,NOVEDADES!$M$4:$M$1503,"SÍ")&gt;0,"No","Sí"))</f>
        <v/>
      </c>
      <c r="P1206" s="27">
        <f>IF(OR($A1206="",$K1206=""),"",IF(AND($M1206="Sí",$O1206="Sí"),"OTIF","Falló"))</f>
        <v/>
      </c>
    </row>
    <row r="1207" ht="16" customHeight="1">
      <c r="A1207" s="47" t="n"/>
      <c r="B1207" s="46" t="n"/>
      <c r="C1207" s="49" t="n"/>
      <c r="D1207" s="49" t="n"/>
      <c r="E1207" s="49" t="n"/>
      <c r="F1207" s="49" t="n"/>
      <c r="G1207" s="47" t="n"/>
      <c r="H1207" s="50" t="n"/>
      <c r="I1207" s="51" t="n"/>
      <c r="J1207" s="46" t="n"/>
      <c r="K1207" s="46" t="n"/>
      <c r="L1207" s="23">
        <f>IF(OR($A1207="",$B1207=""),"",IF($K1207&lt;&gt;"",$K1207-$B1207,TODAY()-$B1207))</f>
        <v/>
      </c>
      <c r="M1207" s="27">
        <f>IF(OR($A1207="",$J1207=""),"",IF($K1207="",IF(TODAY()&gt;$J1207,"Atrasado","En ruta"),IF($K1207&lt;=$J1207,"Sí","No")))</f>
        <v/>
      </c>
      <c r="N1207" s="23">
        <f>IF($A1207="","",COUNTIFS(NOVEDADES!$C$4:$C$1503,$A1207))</f>
        <v/>
      </c>
      <c r="O1207" s="27">
        <f>IF($A1207="","",IF(COUNTIFS(NOVEDADES!$C$4:$C$1503,$A1207,NOVEDADES!$M$4:$M$1503,"SÍ")&gt;0,"No","Sí"))</f>
        <v/>
      </c>
      <c r="P1207" s="27">
        <f>IF(OR($A1207="",$K1207=""),"",IF(AND($M1207="Sí",$O1207="Sí"),"OTIF","Falló"))</f>
        <v/>
      </c>
    </row>
    <row r="1208" ht="16" customHeight="1">
      <c r="A1208" s="47" t="n"/>
      <c r="B1208" s="46" t="n"/>
      <c r="C1208" s="49" t="n"/>
      <c r="D1208" s="49" t="n"/>
      <c r="E1208" s="49" t="n"/>
      <c r="F1208" s="49" t="n"/>
      <c r="G1208" s="47" t="n"/>
      <c r="H1208" s="50" t="n"/>
      <c r="I1208" s="51" t="n"/>
      <c r="J1208" s="46" t="n"/>
      <c r="K1208" s="46" t="n"/>
      <c r="L1208" s="23">
        <f>IF(OR($A1208="",$B1208=""),"",IF($K1208&lt;&gt;"",$K1208-$B1208,TODAY()-$B1208))</f>
        <v/>
      </c>
      <c r="M1208" s="27">
        <f>IF(OR($A1208="",$J1208=""),"",IF($K1208="",IF(TODAY()&gt;$J1208,"Atrasado","En ruta"),IF($K1208&lt;=$J1208,"Sí","No")))</f>
        <v/>
      </c>
      <c r="N1208" s="23">
        <f>IF($A1208="","",COUNTIFS(NOVEDADES!$C$4:$C$1503,$A1208))</f>
        <v/>
      </c>
      <c r="O1208" s="27">
        <f>IF($A1208="","",IF(COUNTIFS(NOVEDADES!$C$4:$C$1503,$A1208,NOVEDADES!$M$4:$M$1503,"SÍ")&gt;0,"No","Sí"))</f>
        <v/>
      </c>
      <c r="P1208" s="27">
        <f>IF(OR($A1208="",$K1208=""),"",IF(AND($M1208="Sí",$O1208="Sí"),"OTIF","Falló"))</f>
        <v/>
      </c>
    </row>
    <row r="1209" ht="16" customHeight="1">
      <c r="A1209" s="47" t="n"/>
      <c r="B1209" s="46" t="n"/>
      <c r="C1209" s="49" t="n"/>
      <c r="D1209" s="49" t="n"/>
      <c r="E1209" s="49" t="n"/>
      <c r="F1209" s="49" t="n"/>
      <c r="G1209" s="47" t="n"/>
      <c r="H1209" s="50" t="n"/>
      <c r="I1209" s="51" t="n"/>
      <c r="J1209" s="46" t="n"/>
      <c r="K1209" s="46" t="n"/>
      <c r="L1209" s="23">
        <f>IF(OR($A1209="",$B1209=""),"",IF($K1209&lt;&gt;"",$K1209-$B1209,TODAY()-$B1209))</f>
        <v/>
      </c>
      <c r="M1209" s="27">
        <f>IF(OR($A1209="",$J1209=""),"",IF($K1209="",IF(TODAY()&gt;$J1209,"Atrasado","En ruta"),IF($K1209&lt;=$J1209,"Sí","No")))</f>
        <v/>
      </c>
      <c r="N1209" s="23">
        <f>IF($A1209="","",COUNTIFS(NOVEDADES!$C$4:$C$1503,$A1209))</f>
        <v/>
      </c>
      <c r="O1209" s="27">
        <f>IF($A1209="","",IF(COUNTIFS(NOVEDADES!$C$4:$C$1503,$A1209,NOVEDADES!$M$4:$M$1503,"SÍ")&gt;0,"No","Sí"))</f>
        <v/>
      </c>
      <c r="P1209" s="27">
        <f>IF(OR($A1209="",$K1209=""),"",IF(AND($M1209="Sí",$O1209="Sí"),"OTIF","Falló"))</f>
        <v/>
      </c>
    </row>
    <row r="1210" ht="16" customHeight="1">
      <c r="A1210" s="47" t="n"/>
      <c r="B1210" s="46" t="n"/>
      <c r="C1210" s="49" t="n"/>
      <c r="D1210" s="49" t="n"/>
      <c r="E1210" s="49" t="n"/>
      <c r="F1210" s="49" t="n"/>
      <c r="G1210" s="47" t="n"/>
      <c r="H1210" s="50" t="n"/>
      <c r="I1210" s="51" t="n"/>
      <c r="J1210" s="46" t="n"/>
      <c r="K1210" s="46" t="n"/>
      <c r="L1210" s="23">
        <f>IF(OR($A1210="",$B1210=""),"",IF($K1210&lt;&gt;"",$K1210-$B1210,TODAY()-$B1210))</f>
        <v/>
      </c>
      <c r="M1210" s="27">
        <f>IF(OR($A1210="",$J1210=""),"",IF($K1210="",IF(TODAY()&gt;$J1210,"Atrasado","En ruta"),IF($K1210&lt;=$J1210,"Sí","No")))</f>
        <v/>
      </c>
      <c r="N1210" s="23">
        <f>IF($A1210="","",COUNTIFS(NOVEDADES!$C$4:$C$1503,$A1210))</f>
        <v/>
      </c>
      <c r="O1210" s="27">
        <f>IF($A1210="","",IF(COUNTIFS(NOVEDADES!$C$4:$C$1503,$A1210,NOVEDADES!$M$4:$M$1503,"SÍ")&gt;0,"No","Sí"))</f>
        <v/>
      </c>
      <c r="P1210" s="27">
        <f>IF(OR($A1210="",$K1210=""),"",IF(AND($M1210="Sí",$O1210="Sí"),"OTIF","Falló"))</f>
        <v/>
      </c>
    </row>
    <row r="1211" ht="16" customHeight="1">
      <c r="A1211" s="47" t="n"/>
      <c r="B1211" s="46" t="n"/>
      <c r="C1211" s="49" t="n"/>
      <c r="D1211" s="49" t="n"/>
      <c r="E1211" s="49" t="n"/>
      <c r="F1211" s="49" t="n"/>
      <c r="G1211" s="47" t="n"/>
      <c r="H1211" s="50" t="n"/>
      <c r="I1211" s="51" t="n"/>
      <c r="J1211" s="46" t="n"/>
      <c r="K1211" s="46" t="n"/>
      <c r="L1211" s="23">
        <f>IF(OR($A1211="",$B1211=""),"",IF($K1211&lt;&gt;"",$K1211-$B1211,TODAY()-$B1211))</f>
        <v/>
      </c>
      <c r="M1211" s="27">
        <f>IF(OR($A1211="",$J1211=""),"",IF($K1211="",IF(TODAY()&gt;$J1211,"Atrasado","En ruta"),IF($K1211&lt;=$J1211,"Sí","No")))</f>
        <v/>
      </c>
      <c r="N1211" s="23">
        <f>IF($A1211="","",COUNTIFS(NOVEDADES!$C$4:$C$1503,$A1211))</f>
        <v/>
      </c>
      <c r="O1211" s="27">
        <f>IF($A1211="","",IF(COUNTIFS(NOVEDADES!$C$4:$C$1503,$A1211,NOVEDADES!$M$4:$M$1503,"SÍ")&gt;0,"No","Sí"))</f>
        <v/>
      </c>
      <c r="P1211" s="27">
        <f>IF(OR($A1211="",$K1211=""),"",IF(AND($M1211="Sí",$O1211="Sí"),"OTIF","Falló"))</f>
        <v/>
      </c>
    </row>
    <row r="1212" ht="16" customHeight="1">
      <c r="A1212" s="47" t="n"/>
      <c r="B1212" s="46" t="n"/>
      <c r="C1212" s="49" t="n"/>
      <c r="D1212" s="49" t="n"/>
      <c r="E1212" s="49" t="n"/>
      <c r="F1212" s="49" t="n"/>
      <c r="G1212" s="47" t="n"/>
      <c r="H1212" s="50" t="n"/>
      <c r="I1212" s="51" t="n"/>
      <c r="J1212" s="46" t="n"/>
      <c r="K1212" s="46" t="n"/>
      <c r="L1212" s="23">
        <f>IF(OR($A1212="",$B1212=""),"",IF($K1212&lt;&gt;"",$K1212-$B1212,TODAY()-$B1212))</f>
        <v/>
      </c>
      <c r="M1212" s="27">
        <f>IF(OR($A1212="",$J1212=""),"",IF($K1212="",IF(TODAY()&gt;$J1212,"Atrasado","En ruta"),IF($K1212&lt;=$J1212,"Sí","No")))</f>
        <v/>
      </c>
      <c r="N1212" s="23">
        <f>IF($A1212="","",COUNTIFS(NOVEDADES!$C$4:$C$1503,$A1212))</f>
        <v/>
      </c>
      <c r="O1212" s="27">
        <f>IF($A1212="","",IF(COUNTIFS(NOVEDADES!$C$4:$C$1503,$A1212,NOVEDADES!$M$4:$M$1503,"SÍ")&gt;0,"No","Sí"))</f>
        <v/>
      </c>
      <c r="P1212" s="27">
        <f>IF(OR($A1212="",$K1212=""),"",IF(AND($M1212="Sí",$O1212="Sí"),"OTIF","Falló"))</f>
        <v/>
      </c>
    </row>
    <row r="1213" ht="16" customHeight="1">
      <c r="A1213" s="47" t="n"/>
      <c r="B1213" s="46" t="n"/>
      <c r="C1213" s="49" t="n"/>
      <c r="D1213" s="49" t="n"/>
      <c r="E1213" s="49" t="n"/>
      <c r="F1213" s="49" t="n"/>
      <c r="G1213" s="47" t="n"/>
      <c r="H1213" s="50" t="n"/>
      <c r="I1213" s="51" t="n"/>
      <c r="J1213" s="46" t="n"/>
      <c r="K1213" s="46" t="n"/>
      <c r="L1213" s="23">
        <f>IF(OR($A1213="",$B1213=""),"",IF($K1213&lt;&gt;"",$K1213-$B1213,TODAY()-$B1213))</f>
        <v/>
      </c>
      <c r="M1213" s="27">
        <f>IF(OR($A1213="",$J1213=""),"",IF($K1213="",IF(TODAY()&gt;$J1213,"Atrasado","En ruta"),IF($K1213&lt;=$J1213,"Sí","No")))</f>
        <v/>
      </c>
      <c r="N1213" s="23">
        <f>IF($A1213="","",COUNTIFS(NOVEDADES!$C$4:$C$1503,$A1213))</f>
        <v/>
      </c>
      <c r="O1213" s="27">
        <f>IF($A1213="","",IF(COUNTIFS(NOVEDADES!$C$4:$C$1503,$A1213,NOVEDADES!$M$4:$M$1503,"SÍ")&gt;0,"No","Sí"))</f>
        <v/>
      </c>
      <c r="P1213" s="27">
        <f>IF(OR($A1213="",$K1213=""),"",IF(AND($M1213="Sí",$O1213="Sí"),"OTIF","Falló"))</f>
        <v/>
      </c>
    </row>
    <row r="1214" ht="16" customHeight="1">
      <c r="A1214" s="47" t="n"/>
      <c r="B1214" s="46" t="n"/>
      <c r="C1214" s="49" t="n"/>
      <c r="D1214" s="49" t="n"/>
      <c r="E1214" s="49" t="n"/>
      <c r="F1214" s="49" t="n"/>
      <c r="G1214" s="47" t="n"/>
      <c r="H1214" s="50" t="n"/>
      <c r="I1214" s="51" t="n"/>
      <c r="J1214" s="46" t="n"/>
      <c r="K1214" s="46" t="n"/>
      <c r="L1214" s="23">
        <f>IF(OR($A1214="",$B1214=""),"",IF($K1214&lt;&gt;"",$K1214-$B1214,TODAY()-$B1214))</f>
        <v/>
      </c>
      <c r="M1214" s="27">
        <f>IF(OR($A1214="",$J1214=""),"",IF($K1214="",IF(TODAY()&gt;$J1214,"Atrasado","En ruta"),IF($K1214&lt;=$J1214,"Sí","No")))</f>
        <v/>
      </c>
      <c r="N1214" s="23">
        <f>IF($A1214="","",COUNTIFS(NOVEDADES!$C$4:$C$1503,$A1214))</f>
        <v/>
      </c>
      <c r="O1214" s="27">
        <f>IF($A1214="","",IF(COUNTIFS(NOVEDADES!$C$4:$C$1503,$A1214,NOVEDADES!$M$4:$M$1503,"SÍ")&gt;0,"No","Sí"))</f>
        <v/>
      </c>
      <c r="P1214" s="27">
        <f>IF(OR($A1214="",$K1214=""),"",IF(AND($M1214="Sí",$O1214="Sí"),"OTIF","Falló"))</f>
        <v/>
      </c>
    </row>
    <row r="1215" ht="16" customHeight="1">
      <c r="A1215" s="47" t="n"/>
      <c r="B1215" s="46" t="n"/>
      <c r="C1215" s="49" t="n"/>
      <c r="D1215" s="49" t="n"/>
      <c r="E1215" s="49" t="n"/>
      <c r="F1215" s="49" t="n"/>
      <c r="G1215" s="47" t="n"/>
      <c r="H1215" s="50" t="n"/>
      <c r="I1215" s="51" t="n"/>
      <c r="J1215" s="46" t="n"/>
      <c r="K1215" s="46" t="n"/>
      <c r="L1215" s="23">
        <f>IF(OR($A1215="",$B1215=""),"",IF($K1215&lt;&gt;"",$K1215-$B1215,TODAY()-$B1215))</f>
        <v/>
      </c>
      <c r="M1215" s="27">
        <f>IF(OR($A1215="",$J1215=""),"",IF($K1215="",IF(TODAY()&gt;$J1215,"Atrasado","En ruta"),IF($K1215&lt;=$J1215,"Sí","No")))</f>
        <v/>
      </c>
      <c r="N1215" s="23">
        <f>IF($A1215="","",COUNTIFS(NOVEDADES!$C$4:$C$1503,$A1215))</f>
        <v/>
      </c>
      <c r="O1215" s="27">
        <f>IF($A1215="","",IF(COUNTIFS(NOVEDADES!$C$4:$C$1503,$A1215,NOVEDADES!$M$4:$M$1503,"SÍ")&gt;0,"No","Sí"))</f>
        <v/>
      </c>
      <c r="P1215" s="27">
        <f>IF(OR($A1215="",$K1215=""),"",IF(AND($M1215="Sí",$O1215="Sí"),"OTIF","Falló"))</f>
        <v/>
      </c>
    </row>
    <row r="1216" ht="16" customHeight="1">
      <c r="A1216" s="47" t="n"/>
      <c r="B1216" s="46" t="n"/>
      <c r="C1216" s="49" t="n"/>
      <c r="D1216" s="49" t="n"/>
      <c r="E1216" s="49" t="n"/>
      <c r="F1216" s="49" t="n"/>
      <c r="G1216" s="47" t="n"/>
      <c r="H1216" s="50" t="n"/>
      <c r="I1216" s="51" t="n"/>
      <c r="J1216" s="46" t="n"/>
      <c r="K1216" s="46" t="n"/>
      <c r="L1216" s="23">
        <f>IF(OR($A1216="",$B1216=""),"",IF($K1216&lt;&gt;"",$K1216-$B1216,TODAY()-$B1216))</f>
        <v/>
      </c>
      <c r="M1216" s="27">
        <f>IF(OR($A1216="",$J1216=""),"",IF($K1216="",IF(TODAY()&gt;$J1216,"Atrasado","En ruta"),IF($K1216&lt;=$J1216,"Sí","No")))</f>
        <v/>
      </c>
      <c r="N1216" s="23">
        <f>IF($A1216="","",COUNTIFS(NOVEDADES!$C$4:$C$1503,$A1216))</f>
        <v/>
      </c>
      <c r="O1216" s="27">
        <f>IF($A1216="","",IF(COUNTIFS(NOVEDADES!$C$4:$C$1503,$A1216,NOVEDADES!$M$4:$M$1503,"SÍ")&gt;0,"No","Sí"))</f>
        <v/>
      </c>
      <c r="P1216" s="27">
        <f>IF(OR($A1216="",$K1216=""),"",IF(AND($M1216="Sí",$O1216="Sí"),"OTIF","Falló"))</f>
        <v/>
      </c>
    </row>
    <row r="1217" ht="16" customHeight="1">
      <c r="A1217" s="47" t="n"/>
      <c r="B1217" s="46" t="n"/>
      <c r="C1217" s="49" t="n"/>
      <c r="D1217" s="49" t="n"/>
      <c r="E1217" s="49" t="n"/>
      <c r="F1217" s="49" t="n"/>
      <c r="G1217" s="47" t="n"/>
      <c r="H1217" s="50" t="n"/>
      <c r="I1217" s="51" t="n"/>
      <c r="J1217" s="46" t="n"/>
      <c r="K1217" s="46" t="n"/>
      <c r="L1217" s="23">
        <f>IF(OR($A1217="",$B1217=""),"",IF($K1217&lt;&gt;"",$K1217-$B1217,TODAY()-$B1217))</f>
        <v/>
      </c>
      <c r="M1217" s="27">
        <f>IF(OR($A1217="",$J1217=""),"",IF($K1217="",IF(TODAY()&gt;$J1217,"Atrasado","En ruta"),IF($K1217&lt;=$J1217,"Sí","No")))</f>
        <v/>
      </c>
      <c r="N1217" s="23">
        <f>IF($A1217="","",COUNTIFS(NOVEDADES!$C$4:$C$1503,$A1217))</f>
        <v/>
      </c>
      <c r="O1217" s="27">
        <f>IF($A1217="","",IF(COUNTIFS(NOVEDADES!$C$4:$C$1503,$A1217,NOVEDADES!$M$4:$M$1503,"SÍ")&gt;0,"No","Sí"))</f>
        <v/>
      </c>
      <c r="P1217" s="27">
        <f>IF(OR($A1217="",$K1217=""),"",IF(AND($M1217="Sí",$O1217="Sí"),"OTIF","Falló"))</f>
        <v/>
      </c>
    </row>
    <row r="1218" ht="16" customHeight="1">
      <c r="A1218" s="47" t="n"/>
      <c r="B1218" s="46" t="n"/>
      <c r="C1218" s="49" t="n"/>
      <c r="D1218" s="49" t="n"/>
      <c r="E1218" s="49" t="n"/>
      <c r="F1218" s="49" t="n"/>
      <c r="G1218" s="47" t="n"/>
      <c r="H1218" s="50" t="n"/>
      <c r="I1218" s="51" t="n"/>
      <c r="J1218" s="46" t="n"/>
      <c r="K1218" s="46" t="n"/>
      <c r="L1218" s="23">
        <f>IF(OR($A1218="",$B1218=""),"",IF($K1218&lt;&gt;"",$K1218-$B1218,TODAY()-$B1218))</f>
        <v/>
      </c>
      <c r="M1218" s="27">
        <f>IF(OR($A1218="",$J1218=""),"",IF($K1218="",IF(TODAY()&gt;$J1218,"Atrasado","En ruta"),IF($K1218&lt;=$J1218,"Sí","No")))</f>
        <v/>
      </c>
      <c r="N1218" s="23">
        <f>IF($A1218="","",COUNTIFS(NOVEDADES!$C$4:$C$1503,$A1218))</f>
        <v/>
      </c>
      <c r="O1218" s="27">
        <f>IF($A1218="","",IF(COUNTIFS(NOVEDADES!$C$4:$C$1503,$A1218,NOVEDADES!$M$4:$M$1503,"SÍ")&gt;0,"No","Sí"))</f>
        <v/>
      </c>
      <c r="P1218" s="27">
        <f>IF(OR($A1218="",$K1218=""),"",IF(AND($M1218="Sí",$O1218="Sí"),"OTIF","Falló"))</f>
        <v/>
      </c>
    </row>
    <row r="1219" ht="16" customHeight="1">
      <c r="A1219" s="47" t="n"/>
      <c r="B1219" s="46" t="n"/>
      <c r="C1219" s="49" t="n"/>
      <c r="D1219" s="49" t="n"/>
      <c r="E1219" s="49" t="n"/>
      <c r="F1219" s="49" t="n"/>
      <c r="G1219" s="47" t="n"/>
      <c r="H1219" s="50" t="n"/>
      <c r="I1219" s="51" t="n"/>
      <c r="J1219" s="46" t="n"/>
      <c r="K1219" s="46" t="n"/>
      <c r="L1219" s="23">
        <f>IF(OR($A1219="",$B1219=""),"",IF($K1219&lt;&gt;"",$K1219-$B1219,TODAY()-$B1219))</f>
        <v/>
      </c>
      <c r="M1219" s="27">
        <f>IF(OR($A1219="",$J1219=""),"",IF($K1219="",IF(TODAY()&gt;$J1219,"Atrasado","En ruta"),IF($K1219&lt;=$J1219,"Sí","No")))</f>
        <v/>
      </c>
      <c r="N1219" s="23">
        <f>IF($A1219="","",COUNTIFS(NOVEDADES!$C$4:$C$1503,$A1219))</f>
        <v/>
      </c>
      <c r="O1219" s="27">
        <f>IF($A1219="","",IF(COUNTIFS(NOVEDADES!$C$4:$C$1503,$A1219,NOVEDADES!$M$4:$M$1503,"SÍ")&gt;0,"No","Sí"))</f>
        <v/>
      </c>
      <c r="P1219" s="27">
        <f>IF(OR($A1219="",$K1219=""),"",IF(AND($M1219="Sí",$O1219="Sí"),"OTIF","Falló"))</f>
        <v/>
      </c>
    </row>
    <row r="1220" ht="16" customHeight="1">
      <c r="A1220" s="47" t="n"/>
      <c r="B1220" s="46" t="n"/>
      <c r="C1220" s="49" t="n"/>
      <c r="D1220" s="49" t="n"/>
      <c r="E1220" s="49" t="n"/>
      <c r="F1220" s="49" t="n"/>
      <c r="G1220" s="47" t="n"/>
      <c r="H1220" s="50" t="n"/>
      <c r="I1220" s="51" t="n"/>
      <c r="J1220" s="46" t="n"/>
      <c r="K1220" s="46" t="n"/>
      <c r="L1220" s="23">
        <f>IF(OR($A1220="",$B1220=""),"",IF($K1220&lt;&gt;"",$K1220-$B1220,TODAY()-$B1220))</f>
        <v/>
      </c>
      <c r="M1220" s="27">
        <f>IF(OR($A1220="",$J1220=""),"",IF($K1220="",IF(TODAY()&gt;$J1220,"Atrasado","En ruta"),IF($K1220&lt;=$J1220,"Sí","No")))</f>
        <v/>
      </c>
      <c r="N1220" s="23">
        <f>IF($A1220="","",COUNTIFS(NOVEDADES!$C$4:$C$1503,$A1220))</f>
        <v/>
      </c>
      <c r="O1220" s="27">
        <f>IF($A1220="","",IF(COUNTIFS(NOVEDADES!$C$4:$C$1503,$A1220,NOVEDADES!$M$4:$M$1503,"SÍ")&gt;0,"No","Sí"))</f>
        <v/>
      </c>
      <c r="P1220" s="27">
        <f>IF(OR($A1220="",$K1220=""),"",IF(AND($M1220="Sí",$O1220="Sí"),"OTIF","Falló"))</f>
        <v/>
      </c>
    </row>
    <row r="1221" ht="16" customHeight="1">
      <c r="A1221" s="47" t="n"/>
      <c r="B1221" s="46" t="n"/>
      <c r="C1221" s="49" t="n"/>
      <c r="D1221" s="49" t="n"/>
      <c r="E1221" s="49" t="n"/>
      <c r="F1221" s="49" t="n"/>
      <c r="G1221" s="47" t="n"/>
      <c r="H1221" s="50" t="n"/>
      <c r="I1221" s="51" t="n"/>
      <c r="J1221" s="46" t="n"/>
      <c r="K1221" s="46" t="n"/>
      <c r="L1221" s="23">
        <f>IF(OR($A1221="",$B1221=""),"",IF($K1221&lt;&gt;"",$K1221-$B1221,TODAY()-$B1221))</f>
        <v/>
      </c>
      <c r="M1221" s="27">
        <f>IF(OR($A1221="",$J1221=""),"",IF($K1221="",IF(TODAY()&gt;$J1221,"Atrasado","En ruta"),IF($K1221&lt;=$J1221,"Sí","No")))</f>
        <v/>
      </c>
      <c r="N1221" s="23">
        <f>IF($A1221="","",COUNTIFS(NOVEDADES!$C$4:$C$1503,$A1221))</f>
        <v/>
      </c>
      <c r="O1221" s="27">
        <f>IF($A1221="","",IF(COUNTIFS(NOVEDADES!$C$4:$C$1503,$A1221,NOVEDADES!$M$4:$M$1503,"SÍ")&gt;0,"No","Sí"))</f>
        <v/>
      </c>
      <c r="P1221" s="27">
        <f>IF(OR($A1221="",$K1221=""),"",IF(AND($M1221="Sí",$O1221="Sí"),"OTIF","Falló"))</f>
        <v/>
      </c>
    </row>
    <row r="1222" ht="16" customHeight="1">
      <c r="A1222" s="47" t="n"/>
      <c r="B1222" s="46" t="n"/>
      <c r="C1222" s="49" t="n"/>
      <c r="D1222" s="49" t="n"/>
      <c r="E1222" s="49" t="n"/>
      <c r="F1222" s="49" t="n"/>
      <c r="G1222" s="47" t="n"/>
      <c r="H1222" s="50" t="n"/>
      <c r="I1222" s="51" t="n"/>
      <c r="J1222" s="46" t="n"/>
      <c r="K1222" s="46" t="n"/>
      <c r="L1222" s="23">
        <f>IF(OR($A1222="",$B1222=""),"",IF($K1222&lt;&gt;"",$K1222-$B1222,TODAY()-$B1222))</f>
        <v/>
      </c>
      <c r="M1222" s="27">
        <f>IF(OR($A1222="",$J1222=""),"",IF($K1222="",IF(TODAY()&gt;$J1222,"Atrasado","En ruta"),IF($K1222&lt;=$J1222,"Sí","No")))</f>
        <v/>
      </c>
      <c r="N1222" s="23">
        <f>IF($A1222="","",COUNTIFS(NOVEDADES!$C$4:$C$1503,$A1222))</f>
        <v/>
      </c>
      <c r="O1222" s="27">
        <f>IF($A1222="","",IF(COUNTIFS(NOVEDADES!$C$4:$C$1503,$A1222,NOVEDADES!$M$4:$M$1503,"SÍ")&gt;0,"No","Sí"))</f>
        <v/>
      </c>
      <c r="P1222" s="27">
        <f>IF(OR($A1222="",$K1222=""),"",IF(AND($M1222="Sí",$O1222="Sí"),"OTIF","Falló"))</f>
        <v/>
      </c>
    </row>
    <row r="1223" ht="16" customHeight="1">
      <c r="A1223" s="47" t="n"/>
      <c r="B1223" s="46" t="n"/>
      <c r="C1223" s="49" t="n"/>
      <c r="D1223" s="49" t="n"/>
      <c r="E1223" s="49" t="n"/>
      <c r="F1223" s="49" t="n"/>
      <c r="G1223" s="47" t="n"/>
      <c r="H1223" s="50" t="n"/>
      <c r="I1223" s="51" t="n"/>
      <c r="J1223" s="46" t="n"/>
      <c r="K1223" s="46" t="n"/>
      <c r="L1223" s="23">
        <f>IF(OR($A1223="",$B1223=""),"",IF($K1223&lt;&gt;"",$K1223-$B1223,TODAY()-$B1223))</f>
        <v/>
      </c>
      <c r="M1223" s="27">
        <f>IF(OR($A1223="",$J1223=""),"",IF($K1223="",IF(TODAY()&gt;$J1223,"Atrasado","En ruta"),IF($K1223&lt;=$J1223,"Sí","No")))</f>
        <v/>
      </c>
      <c r="N1223" s="23">
        <f>IF($A1223="","",COUNTIFS(NOVEDADES!$C$4:$C$1503,$A1223))</f>
        <v/>
      </c>
      <c r="O1223" s="27">
        <f>IF($A1223="","",IF(COUNTIFS(NOVEDADES!$C$4:$C$1503,$A1223,NOVEDADES!$M$4:$M$1503,"SÍ")&gt;0,"No","Sí"))</f>
        <v/>
      </c>
      <c r="P1223" s="27">
        <f>IF(OR($A1223="",$K1223=""),"",IF(AND($M1223="Sí",$O1223="Sí"),"OTIF","Falló"))</f>
        <v/>
      </c>
    </row>
    <row r="1224" ht="16" customHeight="1">
      <c r="A1224" s="47" t="n"/>
      <c r="B1224" s="46" t="n"/>
      <c r="C1224" s="49" t="n"/>
      <c r="D1224" s="49" t="n"/>
      <c r="E1224" s="49" t="n"/>
      <c r="F1224" s="49" t="n"/>
      <c r="G1224" s="47" t="n"/>
      <c r="H1224" s="50" t="n"/>
      <c r="I1224" s="51" t="n"/>
      <c r="J1224" s="46" t="n"/>
      <c r="K1224" s="46" t="n"/>
      <c r="L1224" s="23">
        <f>IF(OR($A1224="",$B1224=""),"",IF($K1224&lt;&gt;"",$K1224-$B1224,TODAY()-$B1224))</f>
        <v/>
      </c>
      <c r="M1224" s="27">
        <f>IF(OR($A1224="",$J1224=""),"",IF($K1224="",IF(TODAY()&gt;$J1224,"Atrasado","En ruta"),IF($K1224&lt;=$J1224,"Sí","No")))</f>
        <v/>
      </c>
      <c r="N1224" s="23">
        <f>IF($A1224="","",COUNTIFS(NOVEDADES!$C$4:$C$1503,$A1224))</f>
        <v/>
      </c>
      <c r="O1224" s="27">
        <f>IF($A1224="","",IF(COUNTIFS(NOVEDADES!$C$4:$C$1503,$A1224,NOVEDADES!$M$4:$M$1503,"SÍ")&gt;0,"No","Sí"))</f>
        <v/>
      </c>
      <c r="P1224" s="27">
        <f>IF(OR($A1224="",$K1224=""),"",IF(AND($M1224="Sí",$O1224="Sí"),"OTIF","Falló"))</f>
        <v/>
      </c>
    </row>
    <row r="1225" ht="16" customHeight="1">
      <c r="A1225" s="47" t="n"/>
      <c r="B1225" s="46" t="n"/>
      <c r="C1225" s="49" t="n"/>
      <c r="D1225" s="49" t="n"/>
      <c r="E1225" s="49" t="n"/>
      <c r="F1225" s="49" t="n"/>
      <c r="G1225" s="47" t="n"/>
      <c r="H1225" s="50" t="n"/>
      <c r="I1225" s="51" t="n"/>
      <c r="J1225" s="46" t="n"/>
      <c r="K1225" s="46" t="n"/>
      <c r="L1225" s="23">
        <f>IF(OR($A1225="",$B1225=""),"",IF($K1225&lt;&gt;"",$K1225-$B1225,TODAY()-$B1225))</f>
        <v/>
      </c>
      <c r="M1225" s="27">
        <f>IF(OR($A1225="",$J1225=""),"",IF($K1225="",IF(TODAY()&gt;$J1225,"Atrasado","En ruta"),IF($K1225&lt;=$J1225,"Sí","No")))</f>
        <v/>
      </c>
      <c r="N1225" s="23">
        <f>IF($A1225="","",COUNTIFS(NOVEDADES!$C$4:$C$1503,$A1225))</f>
        <v/>
      </c>
      <c r="O1225" s="27">
        <f>IF($A1225="","",IF(COUNTIFS(NOVEDADES!$C$4:$C$1503,$A1225,NOVEDADES!$M$4:$M$1503,"SÍ")&gt;0,"No","Sí"))</f>
        <v/>
      </c>
      <c r="P1225" s="27">
        <f>IF(OR($A1225="",$K1225=""),"",IF(AND($M1225="Sí",$O1225="Sí"),"OTIF","Falló"))</f>
        <v/>
      </c>
    </row>
    <row r="1226" ht="16" customHeight="1">
      <c r="A1226" s="47" t="n"/>
      <c r="B1226" s="46" t="n"/>
      <c r="C1226" s="49" t="n"/>
      <c r="D1226" s="49" t="n"/>
      <c r="E1226" s="49" t="n"/>
      <c r="F1226" s="49" t="n"/>
      <c r="G1226" s="47" t="n"/>
      <c r="H1226" s="50" t="n"/>
      <c r="I1226" s="51" t="n"/>
      <c r="J1226" s="46" t="n"/>
      <c r="K1226" s="46" t="n"/>
      <c r="L1226" s="23">
        <f>IF(OR($A1226="",$B1226=""),"",IF($K1226&lt;&gt;"",$K1226-$B1226,TODAY()-$B1226))</f>
        <v/>
      </c>
      <c r="M1226" s="27">
        <f>IF(OR($A1226="",$J1226=""),"",IF($K1226="",IF(TODAY()&gt;$J1226,"Atrasado","En ruta"),IF($K1226&lt;=$J1226,"Sí","No")))</f>
        <v/>
      </c>
      <c r="N1226" s="23">
        <f>IF($A1226="","",COUNTIFS(NOVEDADES!$C$4:$C$1503,$A1226))</f>
        <v/>
      </c>
      <c r="O1226" s="27">
        <f>IF($A1226="","",IF(COUNTIFS(NOVEDADES!$C$4:$C$1503,$A1226,NOVEDADES!$M$4:$M$1503,"SÍ")&gt;0,"No","Sí"))</f>
        <v/>
      </c>
      <c r="P1226" s="27">
        <f>IF(OR($A1226="",$K1226=""),"",IF(AND($M1226="Sí",$O1226="Sí"),"OTIF","Falló"))</f>
        <v/>
      </c>
    </row>
    <row r="1227" ht="16" customHeight="1">
      <c r="A1227" s="47" t="n"/>
      <c r="B1227" s="46" t="n"/>
      <c r="C1227" s="49" t="n"/>
      <c r="D1227" s="49" t="n"/>
      <c r="E1227" s="49" t="n"/>
      <c r="F1227" s="49" t="n"/>
      <c r="G1227" s="47" t="n"/>
      <c r="H1227" s="50" t="n"/>
      <c r="I1227" s="51" t="n"/>
      <c r="J1227" s="46" t="n"/>
      <c r="K1227" s="46" t="n"/>
      <c r="L1227" s="23">
        <f>IF(OR($A1227="",$B1227=""),"",IF($K1227&lt;&gt;"",$K1227-$B1227,TODAY()-$B1227))</f>
        <v/>
      </c>
      <c r="M1227" s="27">
        <f>IF(OR($A1227="",$J1227=""),"",IF($K1227="",IF(TODAY()&gt;$J1227,"Atrasado","En ruta"),IF($K1227&lt;=$J1227,"Sí","No")))</f>
        <v/>
      </c>
      <c r="N1227" s="23">
        <f>IF($A1227="","",COUNTIFS(NOVEDADES!$C$4:$C$1503,$A1227))</f>
        <v/>
      </c>
      <c r="O1227" s="27">
        <f>IF($A1227="","",IF(COUNTIFS(NOVEDADES!$C$4:$C$1503,$A1227,NOVEDADES!$M$4:$M$1503,"SÍ")&gt;0,"No","Sí"))</f>
        <v/>
      </c>
      <c r="P1227" s="27">
        <f>IF(OR($A1227="",$K1227=""),"",IF(AND($M1227="Sí",$O1227="Sí"),"OTIF","Falló"))</f>
        <v/>
      </c>
    </row>
    <row r="1228" ht="16" customHeight="1">
      <c r="A1228" s="47" t="n"/>
      <c r="B1228" s="46" t="n"/>
      <c r="C1228" s="49" t="n"/>
      <c r="D1228" s="49" t="n"/>
      <c r="E1228" s="49" t="n"/>
      <c r="F1228" s="49" t="n"/>
      <c r="G1228" s="47" t="n"/>
      <c r="H1228" s="50" t="n"/>
      <c r="I1228" s="51" t="n"/>
      <c r="J1228" s="46" t="n"/>
      <c r="K1228" s="46" t="n"/>
      <c r="L1228" s="23">
        <f>IF(OR($A1228="",$B1228=""),"",IF($K1228&lt;&gt;"",$K1228-$B1228,TODAY()-$B1228))</f>
        <v/>
      </c>
      <c r="M1228" s="27">
        <f>IF(OR($A1228="",$J1228=""),"",IF($K1228="",IF(TODAY()&gt;$J1228,"Atrasado","En ruta"),IF($K1228&lt;=$J1228,"Sí","No")))</f>
        <v/>
      </c>
      <c r="N1228" s="23">
        <f>IF($A1228="","",COUNTIFS(NOVEDADES!$C$4:$C$1503,$A1228))</f>
        <v/>
      </c>
      <c r="O1228" s="27">
        <f>IF($A1228="","",IF(COUNTIFS(NOVEDADES!$C$4:$C$1503,$A1228,NOVEDADES!$M$4:$M$1503,"SÍ")&gt;0,"No","Sí"))</f>
        <v/>
      </c>
      <c r="P1228" s="27">
        <f>IF(OR($A1228="",$K1228=""),"",IF(AND($M1228="Sí",$O1228="Sí"),"OTIF","Falló"))</f>
        <v/>
      </c>
    </row>
    <row r="1229" ht="16" customHeight="1">
      <c r="A1229" s="47" t="n"/>
      <c r="B1229" s="46" t="n"/>
      <c r="C1229" s="49" t="n"/>
      <c r="D1229" s="49" t="n"/>
      <c r="E1229" s="49" t="n"/>
      <c r="F1229" s="49" t="n"/>
      <c r="G1229" s="47" t="n"/>
      <c r="H1229" s="50" t="n"/>
      <c r="I1229" s="51" t="n"/>
      <c r="J1229" s="46" t="n"/>
      <c r="K1229" s="46" t="n"/>
      <c r="L1229" s="23">
        <f>IF(OR($A1229="",$B1229=""),"",IF($K1229&lt;&gt;"",$K1229-$B1229,TODAY()-$B1229))</f>
        <v/>
      </c>
      <c r="M1229" s="27">
        <f>IF(OR($A1229="",$J1229=""),"",IF($K1229="",IF(TODAY()&gt;$J1229,"Atrasado","En ruta"),IF($K1229&lt;=$J1229,"Sí","No")))</f>
        <v/>
      </c>
      <c r="N1229" s="23">
        <f>IF($A1229="","",COUNTIFS(NOVEDADES!$C$4:$C$1503,$A1229))</f>
        <v/>
      </c>
      <c r="O1229" s="27">
        <f>IF($A1229="","",IF(COUNTIFS(NOVEDADES!$C$4:$C$1503,$A1229,NOVEDADES!$M$4:$M$1503,"SÍ")&gt;0,"No","Sí"))</f>
        <v/>
      </c>
      <c r="P1229" s="27">
        <f>IF(OR($A1229="",$K1229=""),"",IF(AND($M1229="Sí",$O1229="Sí"),"OTIF","Falló"))</f>
        <v/>
      </c>
    </row>
    <row r="1230" ht="16" customHeight="1">
      <c r="A1230" s="47" t="n"/>
      <c r="B1230" s="46" t="n"/>
      <c r="C1230" s="49" t="n"/>
      <c r="D1230" s="49" t="n"/>
      <c r="E1230" s="49" t="n"/>
      <c r="F1230" s="49" t="n"/>
      <c r="G1230" s="47" t="n"/>
      <c r="H1230" s="50" t="n"/>
      <c r="I1230" s="51" t="n"/>
      <c r="J1230" s="46" t="n"/>
      <c r="K1230" s="46" t="n"/>
      <c r="L1230" s="23">
        <f>IF(OR($A1230="",$B1230=""),"",IF($K1230&lt;&gt;"",$K1230-$B1230,TODAY()-$B1230))</f>
        <v/>
      </c>
      <c r="M1230" s="27">
        <f>IF(OR($A1230="",$J1230=""),"",IF($K1230="",IF(TODAY()&gt;$J1230,"Atrasado","En ruta"),IF($K1230&lt;=$J1230,"Sí","No")))</f>
        <v/>
      </c>
      <c r="N1230" s="23">
        <f>IF($A1230="","",COUNTIFS(NOVEDADES!$C$4:$C$1503,$A1230))</f>
        <v/>
      </c>
      <c r="O1230" s="27">
        <f>IF($A1230="","",IF(COUNTIFS(NOVEDADES!$C$4:$C$1503,$A1230,NOVEDADES!$M$4:$M$1503,"SÍ")&gt;0,"No","Sí"))</f>
        <v/>
      </c>
      <c r="P1230" s="27">
        <f>IF(OR($A1230="",$K1230=""),"",IF(AND($M1230="Sí",$O1230="Sí"),"OTIF","Falló"))</f>
        <v/>
      </c>
    </row>
    <row r="1231" ht="16" customHeight="1">
      <c r="A1231" s="47" t="n"/>
      <c r="B1231" s="46" t="n"/>
      <c r="C1231" s="49" t="n"/>
      <c r="D1231" s="49" t="n"/>
      <c r="E1231" s="49" t="n"/>
      <c r="F1231" s="49" t="n"/>
      <c r="G1231" s="47" t="n"/>
      <c r="H1231" s="50" t="n"/>
      <c r="I1231" s="51" t="n"/>
      <c r="J1231" s="46" t="n"/>
      <c r="K1231" s="46" t="n"/>
      <c r="L1231" s="23">
        <f>IF(OR($A1231="",$B1231=""),"",IF($K1231&lt;&gt;"",$K1231-$B1231,TODAY()-$B1231))</f>
        <v/>
      </c>
      <c r="M1231" s="27">
        <f>IF(OR($A1231="",$J1231=""),"",IF($K1231="",IF(TODAY()&gt;$J1231,"Atrasado","En ruta"),IF($K1231&lt;=$J1231,"Sí","No")))</f>
        <v/>
      </c>
      <c r="N1231" s="23">
        <f>IF($A1231="","",COUNTIFS(NOVEDADES!$C$4:$C$1503,$A1231))</f>
        <v/>
      </c>
      <c r="O1231" s="27">
        <f>IF($A1231="","",IF(COUNTIFS(NOVEDADES!$C$4:$C$1503,$A1231,NOVEDADES!$M$4:$M$1503,"SÍ")&gt;0,"No","Sí"))</f>
        <v/>
      </c>
      <c r="P1231" s="27">
        <f>IF(OR($A1231="",$K1231=""),"",IF(AND($M1231="Sí",$O1231="Sí"),"OTIF","Falló"))</f>
        <v/>
      </c>
    </row>
    <row r="1232" ht="16" customHeight="1">
      <c r="A1232" s="47" t="n"/>
      <c r="B1232" s="46" t="n"/>
      <c r="C1232" s="49" t="n"/>
      <c r="D1232" s="49" t="n"/>
      <c r="E1232" s="49" t="n"/>
      <c r="F1232" s="49" t="n"/>
      <c r="G1232" s="47" t="n"/>
      <c r="H1232" s="50" t="n"/>
      <c r="I1232" s="51" t="n"/>
      <c r="J1232" s="46" t="n"/>
      <c r="K1232" s="46" t="n"/>
      <c r="L1232" s="23">
        <f>IF(OR($A1232="",$B1232=""),"",IF($K1232&lt;&gt;"",$K1232-$B1232,TODAY()-$B1232))</f>
        <v/>
      </c>
      <c r="M1232" s="27">
        <f>IF(OR($A1232="",$J1232=""),"",IF($K1232="",IF(TODAY()&gt;$J1232,"Atrasado","En ruta"),IF($K1232&lt;=$J1232,"Sí","No")))</f>
        <v/>
      </c>
      <c r="N1232" s="23">
        <f>IF($A1232="","",COUNTIFS(NOVEDADES!$C$4:$C$1503,$A1232))</f>
        <v/>
      </c>
      <c r="O1232" s="27">
        <f>IF($A1232="","",IF(COUNTIFS(NOVEDADES!$C$4:$C$1503,$A1232,NOVEDADES!$M$4:$M$1503,"SÍ")&gt;0,"No","Sí"))</f>
        <v/>
      </c>
      <c r="P1232" s="27">
        <f>IF(OR($A1232="",$K1232=""),"",IF(AND($M1232="Sí",$O1232="Sí"),"OTIF","Falló"))</f>
        <v/>
      </c>
    </row>
    <row r="1233" ht="16" customHeight="1">
      <c r="A1233" s="47" t="n"/>
      <c r="B1233" s="46" t="n"/>
      <c r="C1233" s="49" t="n"/>
      <c r="D1233" s="49" t="n"/>
      <c r="E1233" s="49" t="n"/>
      <c r="F1233" s="49" t="n"/>
      <c r="G1233" s="47" t="n"/>
      <c r="H1233" s="50" t="n"/>
      <c r="I1233" s="51" t="n"/>
      <c r="J1233" s="46" t="n"/>
      <c r="K1233" s="46" t="n"/>
      <c r="L1233" s="23">
        <f>IF(OR($A1233="",$B1233=""),"",IF($K1233&lt;&gt;"",$K1233-$B1233,TODAY()-$B1233))</f>
        <v/>
      </c>
      <c r="M1233" s="27">
        <f>IF(OR($A1233="",$J1233=""),"",IF($K1233="",IF(TODAY()&gt;$J1233,"Atrasado","En ruta"),IF($K1233&lt;=$J1233,"Sí","No")))</f>
        <v/>
      </c>
      <c r="N1233" s="23">
        <f>IF($A1233="","",COUNTIFS(NOVEDADES!$C$4:$C$1503,$A1233))</f>
        <v/>
      </c>
      <c r="O1233" s="27">
        <f>IF($A1233="","",IF(COUNTIFS(NOVEDADES!$C$4:$C$1503,$A1233,NOVEDADES!$M$4:$M$1503,"SÍ")&gt;0,"No","Sí"))</f>
        <v/>
      </c>
      <c r="P1233" s="27">
        <f>IF(OR($A1233="",$K1233=""),"",IF(AND($M1233="Sí",$O1233="Sí"),"OTIF","Falló"))</f>
        <v/>
      </c>
    </row>
    <row r="1234" ht="16" customHeight="1">
      <c r="A1234" s="47" t="n"/>
      <c r="B1234" s="46" t="n"/>
      <c r="C1234" s="49" t="n"/>
      <c r="D1234" s="49" t="n"/>
      <c r="E1234" s="49" t="n"/>
      <c r="F1234" s="49" t="n"/>
      <c r="G1234" s="47" t="n"/>
      <c r="H1234" s="50" t="n"/>
      <c r="I1234" s="51" t="n"/>
      <c r="J1234" s="46" t="n"/>
      <c r="K1234" s="46" t="n"/>
      <c r="L1234" s="23">
        <f>IF(OR($A1234="",$B1234=""),"",IF($K1234&lt;&gt;"",$K1234-$B1234,TODAY()-$B1234))</f>
        <v/>
      </c>
      <c r="M1234" s="27">
        <f>IF(OR($A1234="",$J1234=""),"",IF($K1234="",IF(TODAY()&gt;$J1234,"Atrasado","En ruta"),IF($K1234&lt;=$J1234,"Sí","No")))</f>
        <v/>
      </c>
      <c r="N1234" s="23">
        <f>IF($A1234="","",COUNTIFS(NOVEDADES!$C$4:$C$1503,$A1234))</f>
        <v/>
      </c>
      <c r="O1234" s="27">
        <f>IF($A1234="","",IF(COUNTIFS(NOVEDADES!$C$4:$C$1503,$A1234,NOVEDADES!$M$4:$M$1503,"SÍ")&gt;0,"No","Sí"))</f>
        <v/>
      </c>
      <c r="P1234" s="27">
        <f>IF(OR($A1234="",$K1234=""),"",IF(AND($M1234="Sí",$O1234="Sí"),"OTIF","Falló"))</f>
        <v/>
      </c>
    </row>
    <row r="1235" ht="16" customHeight="1">
      <c r="A1235" s="47" t="n"/>
      <c r="B1235" s="46" t="n"/>
      <c r="C1235" s="49" t="n"/>
      <c r="D1235" s="49" t="n"/>
      <c r="E1235" s="49" t="n"/>
      <c r="F1235" s="49" t="n"/>
      <c r="G1235" s="47" t="n"/>
      <c r="H1235" s="50" t="n"/>
      <c r="I1235" s="51" t="n"/>
      <c r="J1235" s="46" t="n"/>
      <c r="K1235" s="46" t="n"/>
      <c r="L1235" s="23">
        <f>IF(OR($A1235="",$B1235=""),"",IF($K1235&lt;&gt;"",$K1235-$B1235,TODAY()-$B1235))</f>
        <v/>
      </c>
      <c r="M1235" s="27">
        <f>IF(OR($A1235="",$J1235=""),"",IF($K1235="",IF(TODAY()&gt;$J1235,"Atrasado","En ruta"),IF($K1235&lt;=$J1235,"Sí","No")))</f>
        <v/>
      </c>
      <c r="N1235" s="23">
        <f>IF($A1235="","",COUNTIFS(NOVEDADES!$C$4:$C$1503,$A1235))</f>
        <v/>
      </c>
      <c r="O1235" s="27">
        <f>IF($A1235="","",IF(COUNTIFS(NOVEDADES!$C$4:$C$1503,$A1235,NOVEDADES!$M$4:$M$1503,"SÍ")&gt;0,"No","Sí"))</f>
        <v/>
      </c>
      <c r="P1235" s="27">
        <f>IF(OR($A1235="",$K1235=""),"",IF(AND($M1235="Sí",$O1235="Sí"),"OTIF","Falló"))</f>
        <v/>
      </c>
    </row>
    <row r="1236" ht="16" customHeight="1">
      <c r="A1236" s="47" t="n"/>
      <c r="B1236" s="46" t="n"/>
      <c r="C1236" s="49" t="n"/>
      <c r="D1236" s="49" t="n"/>
      <c r="E1236" s="49" t="n"/>
      <c r="F1236" s="49" t="n"/>
      <c r="G1236" s="47" t="n"/>
      <c r="H1236" s="50" t="n"/>
      <c r="I1236" s="51" t="n"/>
      <c r="J1236" s="46" t="n"/>
      <c r="K1236" s="46" t="n"/>
      <c r="L1236" s="23">
        <f>IF(OR($A1236="",$B1236=""),"",IF($K1236&lt;&gt;"",$K1236-$B1236,TODAY()-$B1236))</f>
        <v/>
      </c>
      <c r="M1236" s="27">
        <f>IF(OR($A1236="",$J1236=""),"",IF($K1236="",IF(TODAY()&gt;$J1236,"Atrasado","En ruta"),IF($K1236&lt;=$J1236,"Sí","No")))</f>
        <v/>
      </c>
      <c r="N1236" s="23">
        <f>IF($A1236="","",COUNTIFS(NOVEDADES!$C$4:$C$1503,$A1236))</f>
        <v/>
      </c>
      <c r="O1236" s="27">
        <f>IF($A1236="","",IF(COUNTIFS(NOVEDADES!$C$4:$C$1503,$A1236,NOVEDADES!$M$4:$M$1503,"SÍ")&gt;0,"No","Sí"))</f>
        <v/>
      </c>
      <c r="P1236" s="27">
        <f>IF(OR($A1236="",$K1236=""),"",IF(AND($M1236="Sí",$O1236="Sí"),"OTIF","Falló"))</f>
        <v/>
      </c>
    </row>
    <row r="1237" ht="16" customHeight="1">
      <c r="A1237" s="47" t="n"/>
      <c r="B1237" s="46" t="n"/>
      <c r="C1237" s="49" t="n"/>
      <c r="D1237" s="49" t="n"/>
      <c r="E1237" s="49" t="n"/>
      <c r="F1237" s="49" t="n"/>
      <c r="G1237" s="47" t="n"/>
      <c r="H1237" s="50" t="n"/>
      <c r="I1237" s="51" t="n"/>
      <c r="J1237" s="46" t="n"/>
      <c r="K1237" s="46" t="n"/>
      <c r="L1237" s="23">
        <f>IF(OR($A1237="",$B1237=""),"",IF($K1237&lt;&gt;"",$K1237-$B1237,TODAY()-$B1237))</f>
        <v/>
      </c>
      <c r="M1237" s="27">
        <f>IF(OR($A1237="",$J1237=""),"",IF($K1237="",IF(TODAY()&gt;$J1237,"Atrasado","En ruta"),IF($K1237&lt;=$J1237,"Sí","No")))</f>
        <v/>
      </c>
      <c r="N1237" s="23">
        <f>IF($A1237="","",COUNTIFS(NOVEDADES!$C$4:$C$1503,$A1237))</f>
        <v/>
      </c>
      <c r="O1237" s="27">
        <f>IF($A1237="","",IF(COUNTIFS(NOVEDADES!$C$4:$C$1503,$A1237,NOVEDADES!$M$4:$M$1503,"SÍ")&gt;0,"No","Sí"))</f>
        <v/>
      </c>
      <c r="P1237" s="27">
        <f>IF(OR($A1237="",$K1237=""),"",IF(AND($M1237="Sí",$O1237="Sí"),"OTIF","Falló"))</f>
        <v/>
      </c>
    </row>
    <row r="1238" ht="16" customHeight="1">
      <c r="A1238" s="47" t="n"/>
      <c r="B1238" s="46" t="n"/>
      <c r="C1238" s="49" t="n"/>
      <c r="D1238" s="49" t="n"/>
      <c r="E1238" s="49" t="n"/>
      <c r="F1238" s="49" t="n"/>
      <c r="G1238" s="47" t="n"/>
      <c r="H1238" s="50" t="n"/>
      <c r="I1238" s="51" t="n"/>
      <c r="J1238" s="46" t="n"/>
      <c r="K1238" s="46" t="n"/>
      <c r="L1238" s="23">
        <f>IF(OR($A1238="",$B1238=""),"",IF($K1238&lt;&gt;"",$K1238-$B1238,TODAY()-$B1238))</f>
        <v/>
      </c>
      <c r="M1238" s="27">
        <f>IF(OR($A1238="",$J1238=""),"",IF($K1238="",IF(TODAY()&gt;$J1238,"Atrasado","En ruta"),IF($K1238&lt;=$J1238,"Sí","No")))</f>
        <v/>
      </c>
      <c r="N1238" s="23">
        <f>IF($A1238="","",COUNTIFS(NOVEDADES!$C$4:$C$1503,$A1238))</f>
        <v/>
      </c>
      <c r="O1238" s="27">
        <f>IF($A1238="","",IF(COUNTIFS(NOVEDADES!$C$4:$C$1503,$A1238,NOVEDADES!$M$4:$M$1503,"SÍ")&gt;0,"No","Sí"))</f>
        <v/>
      </c>
      <c r="P1238" s="27">
        <f>IF(OR($A1238="",$K1238=""),"",IF(AND($M1238="Sí",$O1238="Sí"),"OTIF","Falló"))</f>
        <v/>
      </c>
    </row>
    <row r="1239" ht="16" customHeight="1">
      <c r="A1239" s="47" t="n"/>
      <c r="B1239" s="46" t="n"/>
      <c r="C1239" s="49" t="n"/>
      <c r="D1239" s="49" t="n"/>
      <c r="E1239" s="49" t="n"/>
      <c r="F1239" s="49" t="n"/>
      <c r="G1239" s="47" t="n"/>
      <c r="H1239" s="50" t="n"/>
      <c r="I1239" s="51" t="n"/>
      <c r="J1239" s="46" t="n"/>
      <c r="K1239" s="46" t="n"/>
      <c r="L1239" s="23">
        <f>IF(OR($A1239="",$B1239=""),"",IF($K1239&lt;&gt;"",$K1239-$B1239,TODAY()-$B1239))</f>
        <v/>
      </c>
      <c r="M1239" s="27">
        <f>IF(OR($A1239="",$J1239=""),"",IF($K1239="",IF(TODAY()&gt;$J1239,"Atrasado","En ruta"),IF($K1239&lt;=$J1239,"Sí","No")))</f>
        <v/>
      </c>
      <c r="N1239" s="23">
        <f>IF($A1239="","",COUNTIFS(NOVEDADES!$C$4:$C$1503,$A1239))</f>
        <v/>
      </c>
      <c r="O1239" s="27">
        <f>IF($A1239="","",IF(COUNTIFS(NOVEDADES!$C$4:$C$1503,$A1239,NOVEDADES!$M$4:$M$1503,"SÍ")&gt;0,"No","Sí"))</f>
        <v/>
      </c>
      <c r="P1239" s="27">
        <f>IF(OR($A1239="",$K1239=""),"",IF(AND($M1239="Sí",$O1239="Sí"),"OTIF","Falló"))</f>
        <v/>
      </c>
    </row>
    <row r="1240" ht="16" customHeight="1">
      <c r="A1240" s="47" t="n"/>
      <c r="B1240" s="46" t="n"/>
      <c r="C1240" s="49" t="n"/>
      <c r="D1240" s="49" t="n"/>
      <c r="E1240" s="49" t="n"/>
      <c r="F1240" s="49" t="n"/>
      <c r="G1240" s="47" t="n"/>
      <c r="H1240" s="50" t="n"/>
      <c r="I1240" s="51" t="n"/>
      <c r="J1240" s="46" t="n"/>
      <c r="K1240" s="46" t="n"/>
      <c r="L1240" s="23">
        <f>IF(OR($A1240="",$B1240=""),"",IF($K1240&lt;&gt;"",$K1240-$B1240,TODAY()-$B1240))</f>
        <v/>
      </c>
      <c r="M1240" s="27">
        <f>IF(OR($A1240="",$J1240=""),"",IF($K1240="",IF(TODAY()&gt;$J1240,"Atrasado","En ruta"),IF($K1240&lt;=$J1240,"Sí","No")))</f>
        <v/>
      </c>
      <c r="N1240" s="23">
        <f>IF($A1240="","",COUNTIFS(NOVEDADES!$C$4:$C$1503,$A1240))</f>
        <v/>
      </c>
      <c r="O1240" s="27">
        <f>IF($A1240="","",IF(COUNTIFS(NOVEDADES!$C$4:$C$1503,$A1240,NOVEDADES!$M$4:$M$1503,"SÍ")&gt;0,"No","Sí"))</f>
        <v/>
      </c>
      <c r="P1240" s="27">
        <f>IF(OR($A1240="",$K1240=""),"",IF(AND($M1240="Sí",$O1240="Sí"),"OTIF","Falló"))</f>
        <v/>
      </c>
    </row>
    <row r="1241" ht="16" customHeight="1">
      <c r="A1241" s="47" t="n"/>
      <c r="B1241" s="46" t="n"/>
      <c r="C1241" s="49" t="n"/>
      <c r="D1241" s="49" t="n"/>
      <c r="E1241" s="49" t="n"/>
      <c r="F1241" s="49" t="n"/>
      <c r="G1241" s="47" t="n"/>
      <c r="H1241" s="50" t="n"/>
      <c r="I1241" s="51" t="n"/>
      <c r="J1241" s="46" t="n"/>
      <c r="K1241" s="46" t="n"/>
      <c r="L1241" s="23">
        <f>IF(OR($A1241="",$B1241=""),"",IF($K1241&lt;&gt;"",$K1241-$B1241,TODAY()-$B1241))</f>
        <v/>
      </c>
      <c r="M1241" s="27">
        <f>IF(OR($A1241="",$J1241=""),"",IF($K1241="",IF(TODAY()&gt;$J1241,"Atrasado","En ruta"),IF($K1241&lt;=$J1241,"Sí","No")))</f>
        <v/>
      </c>
      <c r="N1241" s="23">
        <f>IF($A1241="","",COUNTIFS(NOVEDADES!$C$4:$C$1503,$A1241))</f>
        <v/>
      </c>
      <c r="O1241" s="27">
        <f>IF($A1241="","",IF(COUNTIFS(NOVEDADES!$C$4:$C$1503,$A1241,NOVEDADES!$M$4:$M$1503,"SÍ")&gt;0,"No","Sí"))</f>
        <v/>
      </c>
      <c r="P1241" s="27">
        <f>IF(OR($A1241="",$K1241=""),"",IF(AND($M1241="Sí",$O1241="Sí"),"OTIF","Falló"))</f>
        <v/>
      </c>
    </row>
    <row r="1242" ht="16" customHeight="1">
      <c r="A1242" s="47" t="n"/>
      <c r="B1242" s="46" t="n"/>
      <c r="C1242" s="49" t="n"/>
      <c r="D1242" s="49" t="n"/>
      <c r="E1242" s="49" t="n"/>
      <c r="F1242" s="49" t="n"/>
      <c r="G1242" s="47" t="n"/>
      <c r="H1242" s="50" t="n"/>
      <c r="I1242" s="51" t="n"/>
      <c r="J1242" s="46" t="n"/>
      <c r="K1242" s="46" t="n"/>
      <c r="L1242" s="23">
        <f>IF(OR($A1242="",$B1242=""),"",IF($K1242&lt;&gt;"",$K1242-$B1242,TODAY()-$B1242))</f>
        <v/>
      </c>
      <c r="M1242" s="27">
        <f>IF(OR($A1242="",$J1242=""),"",IF($K1242="",IF(TODAY()&gt;$J1242,"Atrasado","En ruta"),IF($K1242&lt;=$J1242,"Sí","No")))</f>
        <v/>
      </c>
      <c r="N1242" s="23">
        <f>IF($A1242="","",COUNTIFS(NOVEDADES!$C$4:$C$1503,$A1242))</f>
        <v/>
      </c>
      <c r="O1242" s="27">
        <f>IF($A1242="","",IF(COUNTIFS(NOVEDADES!$C$4:$C$1503,$A1242,NOVEDADES!$M$4:$M$1503,"SÍ")&gt;0,"No","Sí"))</f>
        <v/>
      </c>
      <c r="P1242" s="27">
        <f>IF(OR($A1242="",$K1242=""),"",IF(AND($M1242="Sí",$O1242="Sí"),"OTIF","Falló"))</f>
        <v/>
      </c>
    </row>
    <row r="1243" ht="16" customHeight="1">
      <c r="A1243" s="47" t="n"/>
      <c r="B1243" s="46" t="n"/>
      <c r="C1243" s="49" t="n"/>
      <c r="D1243" s="49" t="n"/>
      <c r="E1243" s="49" t="n"/>
      <c r="F1243" s="49" t="n"/>
      <c r="G1243" s="47" t="n"/>
      <c r="H1243" s="50" t="n"/>
      <c r="I1243" s="51" t="n"/>
      <c r="J1243" s="46" t="n"/>
      <c r="K1243" s="46" t="n"/>
      <c r="L1243" s="23">
        <f>IF(OR($A1243="",$B1243=""),"",IF($K1243&lt;&gt;"",$K1243-$B1243,TODAY()-$B1243))</f>
        <v/>
      </c>
      <c r="M1243" s="27">
        <f>IF(OR($A1243="",$J1243=""),"",IF($K1243="",IF(TODAY()&gt;$J1243,"Atrasado","En ruta"),IF($K1243&lt;=$J1243,"Sí","No")))</f>
        <v/>
      </c>
      <c r="N1243" s="23">
        <f>IF($A1243="","",COUNTIFS(NOVEDADES!$C$4:$C$1503,$A1243))</f>
        <v/>
      </c>
      <c r="O1243" s="27">
        <f>IF($A1243="","",IF(COUNTIFS(NOVEDADES!$C$4:$C$1503,$A1243,NOVEDADES!$M$4:$M$1503,"SÍ")&gt;0,"No","Sí"))</f>
        <v/>
      </c>
      <c r="P1243" s="27">
        <f>IF(OR($A1243="",$K1243=""),"",IF(AND($M1243="Sí",$O1243="Sí"),"OTIF","Falló"))</f>
        <v/>
      </c>
    </row>
    <row r="1244" ht="16" customHeight="1">
      <c r="A1244" s="47" t="n"/>
      <c r="B1244" s="46" t="n"/>
      <c r="C1244" s="49" t="n"/>
      <c r="D1244" s="49" t="n"/>
      <c r="E1244" s="49" t="n"/>
      <c r="F1244" s="49" t="n"/>
      <c r="G1244" s="47" t="n"/>
      <c r="H1244" s="50" t="n"/>
      <c r="I1244" s="51" t="n"/>
      <c r="J1244" s="46" t="n"/>
      <c r="K1244" s="46" t="n"/>
      <c r="L1244" s="23">
        <f>IF(OR($A1244="",$B1244=""),"",IF($K1244&lt;&gt;"",$K1244-$B1244,TODAY()-$B1244))</f>
        <v/>
      </c>
      <c r="M1244" s="27">
        <f>IF(OR($A1244="",$J1244=""),"",IF($K1244="",IF(TODAY()&gt;$J1244,"Atrasado","En ruta"),IF($K1244&lt;=$J1244,"Sí","No")))</f>
        <v/>
      </c>
      <c r="N1244" s="23">
        <f>IF($A1244="","",COUNTIFS(NOVEDADES!$C$4:$C$1503,$A1244))</f>
        <v/>
      </c>
      <c r="O1244" s="27">
        <f>IF($A1244="","",IF(COUNTIFS(NOVEDADES!$C$4:$C$1503,$A1244,NOVEDADES!$M$4:$M$1503,"SÍ")&gt;0,"No","Sí"))</f>
        <v/>
      </c>
      <c r="P1244" s="27">
        <f>IF(OR($A1244="",$K1244=""),"",IF(AND($M1244="Sí",$O1244="Sí"),"OTIF","Falló"))</f>
        <v/>
      </c>
    </row>
    <row r="1245" ht="16" customHeight="1">
      <c r="A1245" s="47" t="n"/>
      <c r="B1245" s="46" t="n"/>
      <c r="C1245" s="49" t="n"/>
      <c r="D1245" s="49" t="n"/>
      <c r="E1245" s="49" t="n"/>
      <c r="F1245" s="49" t="n"/>
      <c r="G1245" s="47" t="n"/>
      <c r="H1245" s="50" t="n"/>
      <c r="I1245" s="51" t="n"/>
      <c r="J1245" s="46" t="n"/>
      <c r="K1245" s="46" t="n"/>
      <c r="L1245" s="23">
        <f>IF(OR($A1245="",$B1245=""),"",IF($K1245&lt;&gt;"",$K1245-$B1245,TODAY()-$B1245))</f>
        <v/>
      </c>
      <c r="M1245" s="27">
        <f>IF(OR($A1245="",$J1245=""),"",IF($K1245="",IF(TODAY()&gt;$J1245,"Atrasado","En ruta"),IF($K1245&lt;=$J1245,"Sí","No")))</f>
        <v/>
      </c>
      <c r="N1245" s="23">
        <f>IF($A1245="","",COUNTIFS(NOVEDADES!$C$4:$C$1503,$A1245))</f>
        <v/>
      </c>
      <c r="O1245" s="27">
        <f>IF($A1245="","",IF(COUNTIFS(NOVEDADES!$C$4:$C$1503,$A1245,NOVEDADES!$M$4:$M$1503,"SÍ")&gt;0,"No","Sí"))</f>
        <v/>
      </c>
      <c r="P1245" s="27">
        <f>IF(OR($A1245="",$K1245=""),"",IF(AND($M1245="Sí",$O1245="Sí"),"OTIF","Falló"))</f>
        <v/>
      </c>
    </row>
    <row r="1246" ht="16" customHeight="1">
      <c r="A1246" s="47" t="n"/>
      <c r="B1246" s="46" t="n"/>
      <c r="C1246" s="49" t="n"/>
      <c r="D1246" s="49" t="n"/>
      <c r="E1246" s="49" t="n"/>
      <c r="F1246" s="49" t="n"/>
      <c r="G1246" s="47" t="n"/>
      <c r="H1246" s="50" t="n"/>
      <c r="I1246" s="51" t="n"/>
      <c r="J1246" s="46" t="n"/>
      <c r="K1246" s="46" t="n"/>
      <c r="L1246" s="23">
        <f>IF(OR($A1246="",$B1246=""),"",IF($K1246&lt;&gt;"",$K1246-$B1246,TODAY()-$B1246))</f>
        <v/>
      </c>
      <c r="M1246" s="27">
        <f>IF(OR($A1246="",$J1246=""),"",IF($K1246="",IF(TODAY()&gt;$J1246,"Atrasado","En ruta"),IF($K1246&lt;=$J1246,"Sí","No")))</f>
        <v/>
      </c>
      <c r="N1246" s="23">
        <f>IF($A1246="","",COUNTIFS(NOVEDADES!$C$4:$C$1503,$A1246))</f>
        <v/>
      </c>
      <c r="O1246" s="27">
        <f>IF($A1246="","",IF(COUNTIFS(NOVEDADES!$C$4:$C$1503,$A1246,NOVEDADES!$M$4:$M$1503,"SÍ")&gt;0,"No","Sí"))</f>
        <v/>
      </c>
      <c r="P1246" s="27">
        <f>IF(OR($A1246="",$K1246=""),"",IF(AND($M1246="Sí",$O1246="Sí"),"OTIF","Falló"))</f>
        <v/>
      </c>
    </row>
    <row r="1247" ht="16" customHeight="1">
      <c r="A1247" s="47" t="n"/>
      <c r="B1247" s="46" t="n"/>
      <c r="C1247" s="49" t="n"/>
      <c r="D1247" s="49" t="n"/>
      <c r="E1247" s="49" t="n"/>
      <c r="F1247" s="49" t="n"/>
      <c r="G1247" s="47" t="n"/>
      <c r="H1247" s="50" t="n"/>
      <c r="I1247" s="51" t="n"/>
      <c r="J1247" s="46" t="n"/>
      <c r="K1247" s="46" t="n"/>
      <c r="L1247" s="23">
        <f>IF(OR($A1247="",$B1247=""),"",IF($K1247&lt;&gt;"",$K1247-$B1247,TODAY()-$B1247))</f>
        <v/>
      </c>
      <c r="M1247" s="27">
        <f>IF(OR($A1247="",$J1247=""),"",IF($K1247="",IF(TODAY()&gt;$J1247,"Atrasado","En ruta"),IF($K1247&lt;=$J1247,"Sí","No")))</f>
        <v/>
      </c>
      <c r="N1247" s="23">
        <f>IF($A1247="","",COUNTIFS(NOVEDADES!$C$4:$C$1503,$A1247))</f>
        <v/>
      </c>
      <c r="O1247" s="27">
        <f>IF($A1247="","",IF(COUNTIFS(NOVEDADES!$C$4:$C$1503,$A1247,NOVEDADES!$M$4:$M$1503,"SÍ")&gt;0,"No","Sí"))</f>
        <v/>
      </c>
      <c r="P1247" s="27">
        <f>IF(OR($A1247="",$K1247=""),"",IF(AND($M1247="Sí",$O1247="Sí"),"OTIF","Falló"))</f>
        <v/>
      </c>
    </row>
    <row r="1248" ht="16" customHeight="1">
      <c r="A1248" s="47" t="n"/>
      <c r="B1248" s="46" t="n"/>
      <c r="C1248" s="49" t="n"/>
      <c r="D1248" s="49" t="n"/>
      <c r="E1248" s="49" t="n"/>
      <c r="F1248" s="49" t="n"/>
      <c r="G1248" s="47" t="n"/>
      <c r="H1248" s="50" t="n"/>
      <c r="I1248" s="51" t="n"/>
      <c r="J1248" s="46" t="n"/>
      <c r="K1248" s="46" t="n"/>
      <c r="L1248" s="23">
        <f>IF(OR($A1248="",$B1248=""),"",IF($K1248&lt;&gt;"",$K1248-$B1248,TODAY()-$B1248))</f>
        <v/>
      </c>
      <c r="M1248" s="27">
        <f>IF(OR($A1248="",$J1248=""),"",IF($K1248="",IF(TODAY()&gt;$J1248,"Atrasado","En ruta"),IF($K1248&lt;=$J1248,"Sí","No")))</f>
        <v/>
      </c>
      <c r="N1248" s="23">
        <f>IF($A1248="","",COUNTIFS(NOVEDADES!$C$4:$C$1503,$A1248))</f>
        <v/>
      </c>
      <c r="O1248" s="27">
        <f>IF($A1248="","",IF(COUNTIFS(NOVEDADES!$C$4:$C$1503,$A1248,NOVEDADES!$M$4:$M$1503,"SÍ")&gt;0,"No","Sí"))</f>
        <v/>
      </c>
      <c r="P1248" s="27">
        <f>IF(OR($A1248="",$K1248=""),"",IF(AND($M1248="Sí",$O1248="Sí"),"OTIF","Falló"))</f>
        <v/>
      </c>
    </row>
    <row r="1249" ht="16" customHeight="1">
      <c r="A1249" s="47" t="n"/>
      <c r="B1249" s="46" t="n"/>
      <c r="C1249" s="49" t="n"/>
      <c r="D1249" s="49" t="n"/>
      <c r="E1249" s="49" t="n"/>
      <c r="F1249" s="49" t="n"/>
      <c r="G1249" s="47" t="n"/>
      <c r="H1249" s="50" t="n"/>
      <c r="I1249" s="51" t="n"/>
      <c r="J1249" s="46" t="n"/>
      <c r="K1249" s="46" t="n"/>
      <c r="L1249" s="23">
        <f>IF(OR($A1249="",$B1249=""),"",IF($K1249&lt;&gt;"",$K1249-$B1249,TODAY()-$B1249))</f>
        <v/>
      </c>
      <c r="M1249" s="27">
        <f>IF(OR($A1249="",$J1249=""),"",IF($K1249="",IF(TODAY()&gt;$J1249,"Atrasado","En ruta"),IF($K1249&lt;=$J1249,"Sí","No")))</f>
        <v/>
      </c>
      <c r="N1249" s="23">
        <f>IF($A1249="","",COUNTIFS(NOVEDADES!$C$4:$C$1503,$A1249))</f>
        <v/>
      </c>
      <c r="O1249" s="27">
        <f>IF($A1249="","",IF(COUNTIFS(NOVEDADES!$C$4:$C$1503,$A1249,NOVEDADES!$M$4:$M$1503,"SÍ")&gt;0,"No","Sí"))</f>
        <v/>
      </c>
      <c r="P1249" s="27">
        <f>IF(OR($A1249="",$K1249=""),"",IF(AND($M1249="Sí",$O1249="Sí"),"OTIF","Falló"))</f>
        <v/>
      </c>
    </row>
    <row r="1250" ht="16" customHeight="1">
      <c r="A1250" s="47" t="n"/>
      <c r="B1250" s="46" t="n"/>
      <c r="C1250" s="49" t="n"/>
      <c r="D1250" s="49" t="n"/>
      <c r="E1250" s="49" t="n"/>
      <c r="F1250" s="49" t="n"/>
      <c r="G1250" s="47" t="n"/>
      <c r="H1250" s="50" t="n"/>
      <c r="I1250" s="51" t="n"/>
      <c r="J1250" s="46" t="n"/>
      <c r="K1250" s="46" t="n"/>
      <c r="L1250" s="23">
        <f>IF(OR($A1250="",$B1250=""),"",IF($K1250&lt;&gt;"",$K1250-$B1250,TODAY()-$B1250))</f>
        <v/>
      </c>
      <c r="M1250" s="27">
        <f>IF(OR($A1250="",$J1250=""),"",IF($K1250="",IF(TODAY()&gt;$J1250,"Atrasado","En ruta"),IF($K1250&lt;=$J1250,"Sí","No")))</f>
        <v/>
      </c>
      <c r="N1250" s="23">
        <f>IF($A1250="","",COUNTIFS(NOVEDADES!$C$4:$C$1503,$A1250))</f>
        <v/>
      </c>
      <c r="O1250" s="27">
        <f>IF($A1250="","",IF(COUNTIFS(NOVEDADES!$C$4:$C$1503,$A1250,NOVEDADES!$M$4:$M$1503,"SÍ")&gt;0,"No","Sí"))</f>
        <v/>
      </c>
      <c r="P1250" s="27">
        <f>IF(OR($A1250="",$K1250=""),"",IF(AND($M1250="Sí",$O1250="Sí"),"OTIF","Falló"))</f>
        <v/>
      </c>
    </row>
    <row r="1251" ht="16" customHeight="1">
      <c r="A1251" s="47" t="n"/>
      <c r="B1251" s="46" t="n"/>
      <c r="C1251" s="49" t="n"/>
      <c r="D1251" s="49" t="n"/>
      <c r="E1251" s="49" t="n"/>
      <c r="F1251" s="49" t="n"/>
      <c r="G1251" s="47" t="n"/>
      <c r="H1251" s="50" t="n"/>
      <c r="I1251" s="51" t="n"/>
      <c r="J1251" s="46" t="n"/>
      <c r="K1251" s="46" t="n"/>
      <c r="L1251" s="23">
        <f>IF(OR($A1251="",$B1251=""),"",IF($K1251&lt;&gt;"",$K1251-$B1251,TODAY()-$B1251))</f>
        <v/>
      </c>
      <c r="M1251" s="27">
        <f>IF(OR($A1251="",$J1251=""),"",IF($K1251="",IF(TODAY()&gt;$J1251,"Atrasado","En ruta"),IF($K1251&lt;=$J1251,"Sí","No")))</f>
        <v/>
      </c>
      <c r="N1251" s="23">
        <f>IF($A1251="","",COUNTIFS(NOVEDADES!$C$4:$C$1503,$A1251))</f>
        <v/>
      </c>
      <c r="O1251" s="27">
        <f>IF($A1251="","",IF(COUNTIFS(NOVEDADES!$C$4:$C$1503,$A1251,NOVEDADES!$M$4:$M$1503,"SÍ")&gt;0,"No","Sí"))</f>
        <v/>
      </c>
      <c r="P1251" s="27">
        <f>IF(OR($A1251="",$K1251=""),"",IF(AND($M1251="Sí",$O1251="Sí"),"OTIF","Falló"))</f>
        <v/>
      </c>
    </row>
    <row r="1252" ht="16" customHeight="1">
      <c r="A1252" s="47" t="n"/>
      <c r="B1252" s="46" t="n"/>
      <c r="C1252" s="49" t="n"/>
      <c r="D1252" s="49" t="n"/>
      <c r="E1252" s="49" t="n"/>
      <c r="F1252" s="49" t="n"/>
      <c r="G1252" s="47" t="n"/>
      <c r="H1252" s="50" t="n"/>
      <c r="I1252" s="51" t="n"/>
      <c r="J1252" s="46" t="n"/>
      <c r="K1252" s="46" t="n"/>
      <c r="L1252" s="23">
        <f>IF(OR($A1252="",$B1252=""),"",IF($K1252&lt;&gt;"",$K1252-$B1252,TODAY()-$B1252))</f>
        <v/>
      </c>
      <c r="M1252" s="27">
        <f>IF(OR($A1252="",$J1252=""),"",IF($K1252="",IF(TODAY()&gt;$J1252,"Atrasado","En ruta"),IF($K1252&lt;=$J1252,"Sí","No")))</f>
        <v/>
      </c>
      <c r="N1252" s="23">
        <f>IF($A1252="","",COUNTIFS(NOVEDADES!$C$4:$C$1503,$A1252))</f>
        <v/>
      </c>
      <c r="O1252" s="27">
        <f>IF($A1252="","",IF(COUNTIFS(NOVEDADES!$C$4:$C$1503,$A1252,NOVEDADES!$M$4:$M$1503,"SÍ")&gt;0,"No","Sí"))</f>
        <v/>
      </c>
      <c r="P1252" s="27">
        <f>IF(OR($A1252="",$K1252=""),"",IF(AND($M1252="Sí",$O1252="Sí"),"OTIF","Falló"))</f>
        <v/>
      </c>
    </row>
    <row r="1253" ht="16" customHeight="1">
      <c r="A1253" s="47" t="n"/>
      <c r="B1253" s="46" t="n"/>
      <c r="C1253" s="49" t="n"/>
      <c r="D1253" s="49" t="n"/>
      <c r="E1253" s="49" t="n"/>
      <c r="F1253" s="49" t="n"/>
      <c r="G1253" s="47" t="n"/>
      <c r="H1253" s="50" t="n"/>
      <c r="I1253" s="51" t="n"/>
      <c r="J1253" s="46" t="n"/>
      <c r="K1253" s="46" t="n"/>
      <c r="L1253" s="23">
        <f>IF(OR($A1253="",$B1253=""),"",IF($K1253&lt;&gt;"",$K1253-$B1253,TODAY()-$B1253))</f>
        <v/>
      </c>
      <c r="M1253" s="27">
        <f>IF(OR($A1253="",$J1253=""),"",IF($K1253="",IF(TODAY()&gt;$J1253,"Atrasado","En ruta"),IF($K1253&lt;=$J1253,"Sí","No")))</f>
        <v/>
      </c>
      <c r="N1253" s="23">
        <f>IF($A1253="","",COUNTIFS(NOVEDADES!$C$4:$C$1503,$A1253))</f>
        <v/>
      </c>
      <c r="O1253" s="27">
        <f>IF($A1253="","",IF(COUNTIFS(NOVEDADES!$C$4:$C$1503,$A1253,NOVEDADES!$M$4:$M$1503,"SÍ")&gt;0,"No","Sí"))</f>
        <v/>
      </c>
      <c r="P1253" s="27">
        <f>IF(OR($A1253="",$K1253=""),"",IF(AND($M1253="Sí",$O1253="Sí"),"OTIF","Falló"))</f>
        <v/>
      </c>
    </row>
    <row r="1254" ht="16" customHeight="1">
      <c r="A1254" s="47" t="n"/>
      <c r="B1254" s="46" t="n"/>
      <c r="C1254" s="49" t="n"/>
      <c r="D1254" s="49" t="n"/>
      <c r="E1254" s="49" t="n"/>
      <c r="F1254" s="49" t="n"/>
      <c r="G1254" s="47" t="n"/>
      <c r="H1254" s="50" t="n"/>
      <c r="I1254" s="51" t="n"/>
      <c r="J1254" s="46" t="n"/>
      <c r="K1254" s="46" t="n"/>
      <c r="L1254" s="23">
        <f>IF(OR($A1254="",$B1254=""),"",IF($K1254&lt;&gt;"",$K1254-$B1254,TODAY()-$B1254))</f>
        <v/>
      </c>
      <c r="M1254" s="27">
        <f>IF(OR($A1254="",$J1254=""),"",IF($K1254="",IF(TODAY()&gt;$J1254,"Atrasado","En ruta"),IF($K1254&lt;=$J1254,"Sí","No")))</f>
        <v/>
      </c>
      <c r="N1254" s="23">
        <f>IF($A1254="","",COUNTIFS(NOVEDADES!$C$4:$C$1503,$A1254))</f>
        <v/>
      </c>
      <c r="O1254" s="27">
        <f>IF($A1254="","",IF(COUNTIFS(NOVEDADES!$C$4:$C$1503,$A1254,NOVEDADES!$M$4:$M$1503,"SÍ")&gt;0,"No","Sí"))</f>
        <v/>
      </c>
      <c r="P1254" s="27">
        <f>IF(OR($A1254="",$K1254=""),"",IF(AND($M1254="Sí",$O1254="Sí"),"OTIF","Falló"))</f>
        <v/>
      </c>
    </row>
    <row r="1255" ht="16" customHeight="1">
      <c r="A1255" s="47" t="n"/>
      <c r="B1255" s="46" t="n"/>
      <c r="C1255" s="49" t="n"/>
      <c r="D1255" s="49" t="n"/>
      <c r="E1255" s="49" t="n"/>
      <c r="F1255" s="49" t="n"/>
      <c r="G1255" s="47" t="n"/>
      <c r="H1255" s="50" t="n"/>
      <c r="I1255" s="51" t="n"/>
      <c r="J1255" s="46" t="n"/>
      <c r="K1255" s="46" t="n"/>
      <c r="L1255" s="23">
        <f>IF(OR($A1255="",$B1255=""),"",IF($K1255&lt;&gt;"",$K1255-$B1255,TODAY()-$B1255))</f>
        <v/>
      </c>
      <c r="M1255" s="27">
        <f>IF(OR($A1255="",$J1255=""),"",IF($K1255="",IF(TODAY()&gt;$J1255,"Atrasado","En ruta"),IF($K1255&lt;=$J1255,"Sí","No")))</f>
        <v/>
      </c>
      <c r="N1255" s="23">
        <f>IF($A1255="","",COUNTIFS(NOVEDADES!$C$4:$C$1503,$A1255))</f>
        <v/>
      </c>
      <c r="O1255" s="27">
        <f>IF($A1255="","",IF(COUNTIFS(NOVEDADES!$C$4:$C$1503,$A1255,NOVEDADES!$M$4:$M$1503,"SÍ")&gt;0,"No","Sí"))</f>
        <v/>
      </c>
      <c r="P1255" s="27">
        <f>IF(OR($A1255="",$K1255=""),"",IF(AND($M1255="Sí",$O1255="Sí"),"OTIF","Falló"))</f>
        <v/>
      </c>
    </row>
    <row r="1256" ht="16" customHeight="1">
      <c r="A1256" s="47" t="n"/>
      <c r="B1256" s="46" t="n"/>
      <c r="C1256" s="49" t="n"/>
      <c r="D1256" s="49" t="n"/>
      <c r="E1256" s="49" t="n"/>
      <c r="F1256" s="49" t="n"/>
      <c r="G1256" s="47" t="n"/>
      <c r="H1256" s="50" t="n"/>
      <c r="I1256" s="51" t="n"/>
      <c r="J1256" s="46" t="n"/>
      <c r="K1256" s="46" t="n"/>
      <c r="L1256" s="23">
        <f>IF(OR($A1256="",$B1256=""),"",IF($K1256&lt;&gt;"",$K1256-$B1256,TODAY()-$B1256))</f>
        <v/>
      </c>
      <c r="M1256" s="27">
        <f>IF(OR($A1256="",$J1256=""),"",IF($K1256="",IF(TODAY()&gt;$J1256,"Atrasado","En ruta"),IF($K1256&lt;=$J1256,"Sí","No")))</f>
        <v/>
      </c>
      <c r="N1256" s="23">
        <f>IF($A1256="","",COUNTIFS(NOVEDADES!$C$4:$C$1503,$A1256))</f>
        <v/>
      </c>
      <c r="O1256" s="27">
        <f>IF($A1256="","",IF(COUNTIFS(NOVEDADES!$C$4:$C$1503,$A1256,NOVEDADES!$M$4:$M$1503,"SÍ")&gt;0,"No","Sí"))</f>
        <v/>
      </c>
      <c r="P1256" s="27">
        <f>IF(OR($A1256="",$K1256=""),"",IF(AND($M1256="Sí",$O1256="Sí"),"OTIF","Falló"))</f>
        <v/>
      </c>
    </row>
    <row r="1257" ht="16" customHeight="1">
      <c r="A1257" s="47" t="n"/>
      <c r="B1257" s="46" t="n"/>
      <c r="C1257" s="49" t="n"/>
      <c r="D1257" s="49" t="n"/>
      <c r="E1257" s="49" t="n"/>
      <c r="F1257" s="49" t="n"/>
      <c r="G1257" s="47" t="n"/>
      <c r="H1257" s="50" t="n"/>
      <c r="I1257" s="51" t="n"/>
      <c r="J1257" s="46" t="n"/>
      <c r="K1257" s="46" t="n"/>
      <c r="L1257" s="23">
        <f>IF(OR($A1257="",$B1257=""),"",IF($K1257&lt;&gt;"",$K1257-$B1257,TODAY()-$B1257))</f>
        <v/>
      </c>
      <c r="M1257" s="27">
        <f>IF(OR($A1257="",$J1257=""),"",IF($K1257="",IF(TODAY()&gt;$J1257,"Atrasado","En ruta"),IF($K1257&lt;=$J1257,"Sí","No")))</f>
        <v/>
      </c>
      <c r="N1257" s="23">
        <f>IF($A1257="","",COUNTIFS(NOVEDADES!$C$4:$C$1503,$A1257))</f>
        <v/>
      </c>
      <c r="O1257" s="27">
        <f>IF($A1257="","",IF(COUNTIFS(NOVEDADES!$C$4:$C$1503,$A1257,NOVEDADES!$M$4:$M$1503,"SÍ")&gt;0,"No","Sí"))</f>
        <v/>
      </c>
      <c r="P1257" s="27">
        <f>IF(OR($A1257="",$K1257=""),"",IF(AND($M1257="Sí",$O1257="Sí"),"OTIF","Falló"))</f>
        <v/>
      </c>
    </row>
    <row r="1258" ht="16" customHeight="1">
      <c r="A1258" s="47" t="n"/>
      <c r="B1258" s="46" t="n"/>
      <c r="C1258" s="49" t="n"/>
      <c r="D1258" s="49" t="n"/>
      <c r="E1258" s="49" t="n"/>
      <c r="F1258" s="49" t="n"/>
      <c r="G1258" s="47" t="n"/>
      <c r="H1258" s="50" t="n"/>
      <c r="I1258" s="51" t="n"/>
      <c r="J1258" s="46" t="n"/>
      <c r="K1258" s="46" t="n"/>
      <c r="L1258" s="23">
        <f>IF(OR($A1258="",$B1258=""),"",IF($K1258&lt;&gt;"",$K1258-$B1258,TODAY()-$B1258))</f>
        <v/>
      </c>
      <c r="M1258" s="27">
        <f>IF(OR($A1258="",$J1258=""),"",IF($K1258="",IF(TODAY()&gt;$J1258,"Atrasado","En ruta"),IF($K1258&lt;=$J1258,"Sí","No")))</f>
        <v/>
      </c>
      <c r="N1258" s="23">
        <f>IF($A1258="","",COUNTIFS(NOVEDADES!$C$4:$C$1503,$A1258))</f>
        <v/>
      </c>
      <c r="O1258" s="27">
        <f>IF($A1258="","",IF(COUNTIFS(NOVEDADES!$C$4:$C$1503,$A1258,NOVEDADES!$M$4:$M$1503,"SÍ")&gt;0,"No","Sí"))</f>
        <v/>
      </c>
      <c r="P1258" s="27">
        <f>IF(OR($A1258="",$K1258=""),"",IF(AND($M1258="Sí",$O1258="Sí"),"OTIF","Falló"))</f>
        <v/>
      </c>
    </row>
    <row r="1259" ht="16" customHeight="1">
      <c r="A1259" s="47" t="n"/>
      <c r="B1259" s="46" t="n"/>
      <c r="C1259" s="49" t="n"/>
      <c r="D1259" s="49" t="n"/>
      <c r="E1259" s="49" t="n"/>
      <c r="F1259" s="49" t="n"/>
      <c r="G1259" s="47" t="n"/>
      <c r="H1259" s="50" t="n"/>
      <c r="I1259" s="51" t="n"/>
      <c r="J1259" s="46" t="n"/>
      <c r="K1259" s="46" t="n"/>
      <c r="L1259" s="23">
        <f>IF(OR($A1259="",$B1259=""),"",IF($K1259&lt;&gt;"",$K1259-$B1259,TODAY()-$B1259))</f>
        <v/>
      </c>
      <c r="M1259" s="27">
        <f>IF(OR($A1259="",$J1259=""),"",IF($K1259="",IF(TODAY()&gt;$J1259,"Atrasado","En ruta"),IF($K1259&lt;=$J1259,"Sí","No")))</f>
        <v/>
      </c>
      <c r="N1259" s="23">
        <f>IF($A1259="","",COUNTIFS(NOVEDADES!$C$4:$C$1503,$A1259))</f>
        <v/>
      </c>
      <c r="O1259" s="27">
        <f>IF($A1259="","",IF(COUNTIFS(NOVEDADES!$C$4:$C$1503,$A1259,NOVEDADES!$M$4:$M$1503,"SÍ")&gt;0,"No","Sí"))</f>
        <v/>
      </c>
      <c r="P1259" s="27">
        <f>IF(OR($A1259="",$K1259=""),"",IF(AND($M1259="Sí",$O1259="Sí"),"OTIF","Falló"))</f>
        <v/>
      </c>
    </row>
    <row r="1260" ht="16" customHeight="1">
      <c r="A1260" s="47" t="n"/>
      <c r="B1260" s="46" t="n"/>
      <c r="C1260" s="49" t="n"/>
      <c r="D1260" s="49" t="n"/>
      <c r="E1260" s="49" t="n"/>
      <c r="F1260" s="49" t="n"/>
      <c r="G1260" s="47" t="n"/>
      <c r="H1260" s="50" t="n"/>
      <c r="I1260" s="51" t="n"/>
      <c r="J1260" s="46" t="n"/>
      <c r="K1260" s="46" t="n"/>
      <c r="L1260" s="23">
        <f>IF(OR($A1260="",$B1260=""),"",IF($K1260&lt;&gt;"",$K1260-$B1260,TODAY()-$B1260))</f>
        <v/>
      </c>
      <c r="M1260" s="27">
        <f>IF(OR($A1260="",$J1260=""),"",IF($K1260="",IF(TODAY()&gt;$J1260,"Atrasado","En ruta"),IF($K1260&lt;=$J1260,"Sí","No")))</f>
        <v/>
      </c>
      <c r="N1260" s="23">
        <f>IF($A1260="","",COUNTIFS(NOVEDADES!$C$4:$C$1503,$A1260))</f>
        <v/>
      </c>
      <c r="O1260" s="27">
        <f>IF($A1260="","",IF(COUNTIFS(NOVEDADES!$C$4:$C$1503,$A1260,NOVEDADES!$M$4:$M$1503,"SÍ")&gt;0,"No","Sí"))</f>
        <v/>
      </c>
      <c r="P1260" s="27">
        <f>IF(OR($A1260="",$K1260=""),"",IF(AND($M1260="Sí",$O1260="Sí"),"OTIF","Falló"))</f>
        <v/>
      </c>
    </row>
    <row r="1261" ht="16" customHeight="1">
      <c r="A1261" s="47" t="n"/>
      <c r="B1261" s="46" t="n"/>
      <c r="C1261" s="49" t="n"/>
      <c r="D1261" s="49" t="n"/>
      <c r="E1261" s="49" t="n"/>
      <c r="F1261" s="49" t="n"/>
      <c r="G1261" s="47" t="n"/>
      <c r="H1261" s="50" t="n"/>
      <c r="I1261" s="51" t="n"/>
      <c r="J1261" s="46" t="n"/>
      <c r="K1261" s="46" t="n"/>
      <c r="L1261" s="23">
        <f>IF(OR($A1261="",$B1261=""),"",IF($K1261&lt;&gt;"",$K1261-$B1261,TODAY()-$B1261))</f>
        <v/>
      </c>
      <c r="M1261" s="27">
        <f>IF(OR($A1261="",$J1261=""),"",IF($K1261="",IF(TODAY()&gt;$J1261,"Atrasado","En ruta"),IF($K1261&lt;=$J1261,"Sí","No")))</f>
        <v/>
      </c>
      <c r="N1261" s="23">
        <f>IF($A1261="","",COUNTIFS(NOVEDADES!$C$4:$C$1503,$A1261))</f>
        <v/>
      </c>
      <c r="O1261" s="27">
        <f>IF($A1261="","",IF(COUNTIFS(NOVEDADES!$C$4:$C$1503,$A1261,NOVEDADES!$M$4:$M$1503,"SÍ")&gt;0,"No","Sí"))</f>
        <v/>
      </c>
      <c r="P1261" s="27">
        <f>IF(OR($A1261="",$K1261=""),"",IF(AND($M1261="Sí",$O1261="Sí"),"OTIF","Falló"))</f>
        <v/>
      </c>
    </row>
    <row r="1262" ht="16" customHeight="1">
      <c r="A1262" s="47" t="n"/>
      <c r="B1262" s="46" t="n"/>
      <c r="C1262" s="49" t="n"/>
      <c r="D1262" s="49" t="n"/>
      <c r="E1262" s="49" t="n"/>
      <c r="F1262" s="49" t="n"/>
      <c r="G1262" s="47" t="n"/>
      <c r="H1262" s="50" t="n"/>
      <c r="I1262" s="51" t="n"/>
      <c r="J1262" s="46" t="n"/>
      <c r="K1262" s="46" t="n"/>
      <c r="L1262" s="23">
        <f>IF(OR($A1262="",$B1262=""),"",IF($K1262&lt;&gt;"",$K1262-$B1262,TODAY()-$B1262))</f>
        <v/>
      </c>
      <c r="M1262" s="27">
        <f>IF(OR($A1262="",$J1262=""),"",IF($K1262="",IF(TODAY()&gt;$J1262,"Atrasado","En ruta"),IF($K1262&lt;=$J1262,"Sí","No")))</f>
        <v/>
      </c>
      <c r="N1262" s="23">
        <f>IF($A1262="","",COUNTIFS(NOVEDADES!$C$4:$C$1503,$A1262))</f>
        <v/>
      </c>
      <c r="O1262" s="27">
        <f>IF($A1262="","",IF(COUNTIFS(NOVEDADES!$C$4:$C$1503,$A1262,NOVEDADES!$M$4:$M$1503,"SÍ")&gt;0,"No","Sí"))</f>
        <v/>
      </c>
      <c r="P1262" s="27">
        <f>IF(OR($A1262="",$K1262=""),"",IF(AND($M1262="Sí",$O1262="Sí"),"OTIF","Falló"))</f>
        <v/>
      </c>
    </row>
    <row r="1263" ht="16" customHeight="1">
      <c r="A1263" s="47" t="n"/>
      <c r="B1263" s="46" t="n"/>
      <c r="C1263" s="49" t="n"/>
      <c r="D1263" s="49" t="n"/>
      <c r="E1263" s="49" t="n"/>
      <c r="F1263" s="49" t="n"/>
      <c r="G1263" s="47" t="n"/>
      <c r="H1263" s="50" t="n"/>
      <c r="I1263" s="51" t="n"/>
      <c r="J1263" s="46" t="n"/>
      <c r="K1263" s="46" t="n"/>
      <c r="L1263" s="23">
        <f>IF(OR($A1263="",$B1263=""),"",IF($K1263&lt;&gt;"",$K1263-$B1263,TODAY()-$B1263))</f>
        <v/>
      </c>
      <c r="M1263" s="27">
        <f>IF(OR($A1263="",$J1263=""),"",IF($K1263="",IF(TODAY()&gt;$J1263,"Atrasado","En ruta"),IF($K1263&lt;=$J1263,"Sí","No")))</f>
        <v/>
      </c>
      <c r="N1263" s="23">
        <f>IF($A1263="","",COUNTIFS(NOVEDADES!$C$4:$C$1503,$A1263))</f>
        <v/>
      </c>
      <c r="O1263" s="27">
        <f>IF($A1263="","",IF(COUNTIFS(NOVEDADES!$C$4:$C$1503,$A1263,NOVEDADES!$M$4:$M$1503,"SÍ")&gt;0,"No","Sí"))</f>
        <v/>
      </c>
      <c r="P1263" s="27">
        <f>IF(OR($A1263="",$K1263=""),"",IF(AND($M1263="Sí",$O1263="Sí"),"OTIF","Falló"))</f>
        <v/>
      </c>
    </row>
    <row r="1264" ht="16" customHeight="1">
      <c r="A1264" s="47" t="n"/>
      <c r="B1264" s="46" t="n"/>
      <c r="C1264" s="49" t="n"/>
      <c r="D1264" s="49" t="n"/>
      <c r="E1264" s="49" t="n"/>
      <c r="F1264" s="49" t="n"/>
      <c r="G1264" s="47" t="n"/>
      <c r="H1264" s="50" t="n"/>
      <c r="I1264" s="51" t="n"/>
      <c r="J1264" s="46" t="n"/>
      <c r="K1264" s="46" t="n"/>
      <c r="L1264" s="23">
        <f>IF(OR($A1264="",$B1264=""),"",IF($K1264&lt;&gt;"",$K1264-$B1264,TODAY()-$B1264))</f>
        <v/>
      </c>
      <c r="M1264" s="27">
        <f>IF(OR($A1264="",$J1264=""),"",IF($K1264="",IF(TODAY()&gt;$J1264,"Atrasado","En ruta"),IF($K1264&lt;=$J1264,"Sí","No")))</f>
        <v/>
      </c>
      <c r="N1264" s="23">
        <f>IF($A1264="","",COUNTIFS(NOVEDADES!$C$4:$C$1503,$A1264))</f>
        <v/>
      </c>
      <c r="O1264" s="27">
        <f>IF($A1264="","",IF(COUNTIFS(NOVEDADES!$C$4:$C$1503,$A1264,NOVEDADES!$M$4:$M$1503,"SÍ")&gt;0,"No","Sí"))</f>
        <v/>
      </c>
      <c r="P1264" s="27">
        <f>IF(OR($A1264="",$K1264=""),"",IF(AND($M1264="Sí",$O1264="Sí"),"OTIF","Falló"))</f>
        <v/>
      </c>
    </row>
    <row r="1265" ht="16" customHeight="1">
      <c r="A1265" s="47" t="n"/>
      <c r="B1265" s="46" t="n"/>
      <c r="C1265" s="49" t="n"/>
      <c r="D1265" s="49" t="n"/>
      <c r="E1265" s="49" t="n"/>
      <c r="F1265" s="49" t="n"/>
      <c r="G1265" s="47" t="n"/>
      <c r="H1265" s="50" t="n"/>
      <c r="I1265" s="51" t="n"/>
      <c r="J1265" s="46" t="n"/>
      <c r="K1265" s="46" t="n"/>
      <c r="L1265" s="23">
        <f>IF(OR($A1265="",$B1265=""),"",IF($K1265&lt;&gt;"",$K1265-$B1265,TODAY()-$B1265))</f>
        <v/>
      </c>
      <c r="M1265" s="27">
        <f>IF(OR($A1265="",$J1265=""),"",IF($K1265="",IF(TODAY()&gt;$J1265,"Atrasado","En ruta"),IF($K1265&lt;=$J1265,"Sí","No")))</f>
        <v/>
      </c>
      <c r="N1265" s="23">
        <f>IF($A1265="","",COUNTIFS(NOVEDADES!$C$4:$C$1503,$A1265))</f>
        <v/>
      </c>
      <c r="O1265" s="27">
        <f>IF($A1265="","",IF(COUNTIFS(NOVEDADES!$C$4:$C$1503,$A1265,NOVEDADES!$M$4:$M$1503,"SÍ")&gt;0,"No","Sí"))</f>
        <v/>
      </c>
      <c r="P1265" s="27">
        <f>IF(OR($A1265="",$K1265=""),"",IF(AND($M1265="Sí",$O1265="Sí"),"OTIF","Falló"))</f>
        <v/>
      </c>
    </row>
    <row r="1266" ht="16" customHeight="1">
      <c r="A1266" s="47" t="n"/>
      <c r="B1266" s="46" t="n"/>
      <c r="C1266" s="49" t="n"/>
      <c r="D1266" s="49" t="n"/>
      <c r="E1266" s="49" t="n"/>
      <c r="F1266" s="49" t="n"/>
      <c r="G1266" s="47" t="n"/>
      <c r="H1266" s="50" t="n"/>
      <c r="I1266" s="51" t="n"/>
      <c r="J1266" s="46" t="n"/>
      <c r="K1266" s="46" t="n"/>
      <c r="L1266" s="23">
        <f>IF(OR($A1266="",$B1266=""),"",IF($K1266&lt;&gt;"",$K1266-$B1266,TODAY()-$B1266))</f>
        <v/>
      </c>
      <c r="M1266" s="27">
        <f>IF(OR($A1266="",$J1266=""),"",IF($K1266="",IF(TODAY()&gt;$J1266,"Atrasado","En ruta"),IF($K1266&lt;=$J1266,"Sí","No")))</f>
        <v/>
      </c>
      <c r="N1266" s="23">
        <f>IF($A1266="","",COUNTIFS(NOVEDADES!$C$4:$C$1503,$A1266))</f>
        <v/>
      </c>
      <c r="O1266" s="27">
        <f>IF($A1266="","",IF(COUNTIFS(NOVEDADES!$C$4:$C$1503,$A1266,NOVEDADES!$M$4:$M$1503,"SÍ")&gt;0,"No","Sí"))</f>
        <v/>
      </c>
      <c r="P1266" s="27">
        <f>IF(OR($A1266="",$K1266=""),"",IF(AND($M1266="Sí",$O1266="Sí"),"OTIF","Falló"))</f>
        <v/>
      </c>
    </row>
    <row r="1267" ht="16" customHeight="1">
      <c r="A1267" s="47" t="n"/>
      <c r="B1267" s="46" t="n"/>
      <c r="C1267" s="49" t="n"/>
      <c r="D1267" s="49" t="n"/>
      <c r="E1267" s="49" t="n"/>
      <c r="F1267" s="49" t="n"/>
      <c r="G1267" s="47" t="n"/>
      <c r="H1267" s="50" t="n"/>
      <c r="I1267" s="51" t="n"/>
      <c r="J1267" s="46" t="n"/>
      <c r="K1267" s="46" t="n"/>
      <c r="L1267" s="23">
        <f>IF(OR($A1267="",$B1267=""),"",IF($K1267&lt;&gt;"",$K1267-$B1267,TODAY()-$B1267))</f>
        <v/>
      </c>
      <c r="M1267" s="27">
        <f>IF(OR($A1267="",$J1267=""),"",IF($K1267="",IF(TODAY()&gt;$J1267,"Atrasado","En ruta"),IF($K1267&lt;=$J1267,"Sí","No")))</f>
        <v/>
      </c>
      <c r="N1267" s="23">
        <f>IF($A1267="","",COUNTIFS(NOVEDADES!$C$4:$C$1503,$A1267))</f>
        <v/>
      </c>
      <c r="O1267" s="27">
        <f>IF($A1267="","",IF(COUNTIFS(NOVEDADES!$C$4:$C$1503,$A1267,NOVEDADES!$M$4:$M$1503,"SÍ")&gt;0,"No","Sí"))</f>
        <v/>
      </c>
      <c r="P1267" s="27">
        <f>IF(OR($A1267="",$K1267=""),"",IF(AND($M1267="Sí",$O1267="Sí"),"OTIF","Falló"))</f>
        <v/>
      </c>
    </row>
    <row r="1268" ht="16" customHeight="1">
      <c r="A1268" s="47" t="n"/>
      <c r="B1268" s="46" t="n"/>
      <c r="C1268" s="49" t="n"/>
      <c r="D1268" s="49" t="n"/>
      <c r="E1268" s="49" t="n"/>
      <c r="F1268" s="49" t="n"/>
      <c r="G1268" s="47" t="n"/>
      <c r="H1268" s="50" t="n"/>
      <c r="I1268" s="51" t="n"/>
      <c r="J1268" s="46" t="n"/>
      <c r="K1268" s="46" t="n"/>
      <c r="L1268" s="23">
        <f>IF(OR($A1268="",$B1268=""),"",IF($K1268&lt;&gt;"",$K1268-$B1268,TODAY()-$B1268))</f>
        <v/>
      </c>
      <c r="M1268" s="27">
        <f>IF(OR($A1268="",$J1268=""),"",IF($K1268="",IF(TODAY()&gt;$J1268,"Atrasado","En ruta"),IF($K1268&lt;=$J1268,"Sí","No")))</f>
        <v/>
      </c>
      <c r="N1268" s="23">
        <f>IF($A1268="","",COUNTIFS(NOVEDADES!$C$4:$C$1503,$A1268))</f>
        <v/>
      </c>
      <c r="O1268" s="27">
        <f>IF($A1268="","",IF(COUNTIFS(NOVEDADES!$C$4:$C$1503,$A1268,NOVEDADES!$M$4:$M$1503,"SÍ")&gt;0,"No","Sí"))</f>
        <v/>
      </c>
      <c r="P1268" s="27">
        <f>IF(OR($A1268="",$K1268=""),"",IF(AND($M1268="Sí",$O1268="Sí"),"OTIF","Falló"))</f>
        <v/>
      </c>
    </row>
    <row r="1269" ht="16" customHeight="1">
      <c r="A1269" s="47" t="n"/>
      <c r="B1269" s="46" t="n"/>
      <c r="C1269" s="49" t="n"/>
      <c r="D1269" s="49" t="n"/>
      <c r="E1269" s="49" t="n"/>
      <c r="F1269" s="49" t="n"/>
      <c r="G1269" s="47" t="n"/>
      <c r="H1269" s="50" t="n"/>
      <c r="I1269" s="51" t="n"/>
      <c r="J1269" s="46" t="n"/>
      <c r="K1269" s="46" t="n"/>
      <c r="L1269" s="23">
        <f>IF(OR($A1269="",$B1269=""),"",IF($K1269&lt;&gt;"",$K1269-$B1269,TODAY()-$B1269))</f>
        <v/>
      </c>
      <c r="M1269" s="27">
        <f>IF(OR($A1269="",$J1269=""),"",IF($K1269="",IF(TODAY()&gt;$J1269,"Atrasado","En ruta"),IF($K1269&lt;=$J1269,"Sí","No")))</f>
        <v/>
      </c>
      <c r="N1269" s="23">
        <f>IF($A1269="","",COUNTIFS(NOVEDADES!$C$4:$C$1503,$A1269))</f>
        <v/>
      </c>
      <c r="O1269" s="27">
        <f>IF($A1269="","",IF(COUNTIFS(NOVEDADES!$C$4:$C$1503,$A1269,NOVEDADES!$M$4:$M$1503,"SÍ")&gt;0,"No","Sí"))</f>
        <v/>
      </c>
      <c r="P1269" s="27">
        <f>IF(OR($A1269="",$K1269=""),"",IF(AND($M1269="Sí",$O1269="Sí"),"OTIF","Falló"))</f>
        <v/>
      </c>
    </row>
    <row r="1270" ht="16" customHeight="1">
      <c r="A1270" s="47" t="n"/>
      <c r="B1270" s="46" t="n"/>
      <c r="C1270" s="49" t="n"/>
      <c r="D1270" s="49" t="n"/>
      <c r="E1270" s="49" t="n"/>
      <c r="F1270" s="49" t="n"/>
      <c r="G1270" s="47" t="n"/>
      <c r="H1270" s="50" t="n"/>
      <c r="I1270" s="51" t="n"/>
      <c r="J1270" s="46" t="n"/>
      <c r="K1270" s="46" t="n"/>
      <c r="L1270" s="23">
        <f>IF(OR($A1270="",$B1270=""),"",IF($K1270&lt;&gt;"",$K1270-$B1270,TODAY()-$B1270))</f>
        <v/>
      </c>
      <c r="M1270" s="27">
        <f>IF(OR($A1270="",$J1270=""),"",IF($K1270="",IF(TODAY()&gt;$J1270,"Atrasado","En ruta"),IF($K1270&lt;=$J1270,"Sí","No")))</f>
        <v/>
      </c>
      <c r="N1270" s="23">
        <f>IF($A1270="","",COUNTIFS(NOVEDADES!$C$4:$C$1503,$A1270))</f>
        <v/>
      </c>
      <c r="O1270" s="27">
        <f>IF($A1270="","",IF(COUNTIFS(NOVEDADES!$C$4:$C$1503,$A1270,NOVEDADES!$M$4:$M$1503,"SÍ")&gt;0,"No","Sí"))</f>
        <v/>
      </c>
      <c r="P1270" s="27">
        <f>IF(OR($A1270="",$K1270=""),"",IF(AND($M1270="Sí",$O1270="Sí"),"OTIF","Falló"))</f>
        <v/>
      </c>
    </row>
    <row r="1271" ht="16" customHeight="1">
      <c r="A1271" s="47" t="n"/>
      <c r="B1271" s="46" t="n"/>
      <c r="C1271" s="49" t="n"/>
      <c r="D1271" s="49" t="n"/>
      <c r="E1271" s="49" t="n"/>
      <c r="F1271" s="49" t="n"/>
      <c r="G1271" s="47" t="n"/>
      <c r="H1271" s="50" t="n"/>
      <c r="I1271" s="51" t="n"/>
      <c r="J1271" s="46" t="n"/>
      <c r="K1271" s="46" t="n"/>
      <c r="L1271" s="23">
        <f>IF(OR($A1271="",$B1271=""),"",IF($K1271&lt;&gt;"",$K1271-$B1271,TODAY()-$B1271))</f>
        <v/>
      </c>
      <c r="M1271" s="27">
        <f>IF(OR($A1271="",$J1271=""),"",IF($K1271="",IF(TODAY()&gt;$J1271,"Atrasado","En ruta"),IF($K1271&lt;=$J1271,"Sí","No")))</f>
        <v/>
      </c>
      <c r="N1271" s="23">
        <f>IF($A1271="","",COUNTIFS(NOVEDADES!$C$4:$C$1503,$A1271))</f>
        <v/>
      </c>
      <c r="O1271" s="27">
        <f>IF($A1271="","",IF(COUNTIFS(NOVEDADES!$C$4:$C$1503,$A1271,NOVEDADES!$M$4:$M$1503,"SÍ")&gt;0,"No","Sí"))</f>
        <v/>
      </c>
      <c r="P1271" s="27">
        <f>IF(OR($A1271="",$K1271=""),"",IF(AND($M1271="Sí",$O1271="Sí"),"OTIF","Falló"))</f>
        <v/>
      </c>
    </row>
    <row r="1272" ht="16" customHeight="1">
      <c r="A1272" s="47" t="n"/>
      <c r="B1272" s="46" t="n"/>
      <c r="C1272" s="49" t="n"/>
      <c r="D1272" s="49" t="n"/>
      <c r="E1272" s="49" t="n"/>
      <c r="F1272" s="49" t="n"/>
      <c r="G1272" s="47" t="n"/>
      <c r="H1272" s="50" t="n"/>
      <c r="I1272" s="51" t="n"/>
      <c r="J1272" s="46" t="n"/>
      <c r="K1272" s="46" t="n"/>
      <c r="L1272" s="23">
        <f>IF(OR($A1272="",$B1272=""),"",IF($K1272&lt;&gt;"",$K1272-$B1272,TODAY()-$B1272))</f>
        <v/>
      </c>
      <c r="M1272" s="27">
        <f>IF(OR($A1272="",$J1272=""),"",IF($K1272="",IF(TODAY()&gt;$J1272,"Atrasado","En ruta"),IF($K1272&lt;=$J1272,"Sí","No")))</f>
        <v/>
      </c>
      <c r="N1272" s="23">
        <f>IF($A1272="","",COUNTIFS(NOVEDADES!$C$4:$C$1503,$A1272))</f>
        <v/>
      </c>
      <c r="O1272" s="27">
        <f>IF($A1272="","",IF(COUNTIFS(NOVEDADES!$C$4:$C$1503,$A1272,NOVEDADES!$M$4:$M$1503,"SÍ")&gt;0,"No","Sí"))</f>
        <v/>
      </c>
      <c r="P1272" s="27">
        <f>IF(OR($A1272="",$K1272=""),"",IF(AND($M1272="Sí",$O1272="Sí"),"OTIF","Falló"))</f>
        <v/>
      </c>
    </row>
    <row r="1273" ht="16" customHeight="1">
      <c r="A1273" s="47" t="n"/>
      <c r="B1273" s="46" t="n"/>
      <c r="C1273" s="49" t="n"/>
      <c r="D1273" s="49" t="n"/>
      <c r="E1273" s="49" t="n"/>
      <c r="F1273" s="49" t="n"/>
      <c r="G1273" s="47" t="n"/>
      <c r="H1273" s="50" t="n"/>
      <c r="I1273" s="51" t="n"/>
      <c r="J1273" s="46" t="n"/>
      <c r="K1273" s="46" t="n"/>
      <c r="L1273" s="23">
        <f>IF(OR($A1273="",$B1273=""),"",IF($K1273&lt;&gt;"",$K1273-$B1273,TODAY()-$B1273))</f>
        <v/>
      </c>
      <c r="M1273" s="27">
        <f>IF(OR($A1273="",$J1273=""),"",IF($K1273="",IF(TODAY()&gt;$J1273,"Atrasado","En ruta"),IF($K1273&lt;=$J1273,"Sí","No")))</f>
        <v/>
      </c>
      <c r="N1273" s="23">
        <f>IF($A1273="","",COUNTIFS(NOVEDADES!$C$4:$C$1503,$A1273))</f>
        <v/>
      </c>
      <c r="O1273" s="27">
        <f>IF($A1273="","",IF(COUNTIFS(NOVEDADES!$C$4:$C$1503,$A1273,NOVEDADES!$M$4:$M$1503,"SÍ")&gt;0,"No","Sí"))</f>
        <v/>
      </c>
      <c r="P1273" s="27">
        <f>IF(OR($A1273="",$K1273=""),"",IF(AND($M1273="Sí",$O1273="Sí"),"OTIF","Falló"))</f>
        <v/>
      </c>
    </row>
    <row r="1274" ht="16" customHeight="1">
      <c r="A1274" s="47" t="n"/>
      <c r="B1274" s="46" t="n"/>
      <c r="C1274" s="49" t="n"/>
      <c r="D1274" s="49" t="n"/>
      <c r="E1274" s="49" t="n"/>
      <c r="F1274" s="49" t="n"/>
      <c r="G1274" s="47" t="n"/>
      <c r="H1274" s="50" t="n"/>
      <c r="I1274" s="51" t="n"/>
      <c r="J1274" s="46" t="n"/>
      <c r="K1274" s="46" t="n"/>
      <c r="L1274" s="23">
        <f>IF(OR($A1274="",$B1274=""),"",IF($K1274&lt;&gt;"",$K1274-$B1274,TODAY()-$B1274))</f>
        <v/>
      </c>
      <c r="M1274" s="27">
        <f>IF(OR($A1274="",$J1274=""),"",IF($K1274="",IF(TODAY()&gt;$J1274,"Atrasado","En ruta"),IF($K1274&lt;=$J1274,"Sí","No")))</f>
        <v/>
      </c>
      <c r="N1274" s="23">
        <f>IF($A1274="","",COUNTIFS(NOVEDADES!$C$4:$C$1503,$A1274))</f>
        <v/>
      </c>
      <c r="O1274" s="27">
        <f>IF($A1274="","",IF(COUNTIFS(NOVEDADES!$C$4:$C$1503,$A1274,NOVEDADES!$M$4:$M$1503,"SÍ")&gt;0,"No","Sí"))</f>
        <v/>
      </c>
      <c r="P1274" s="27">
        <f>IF(OR($A1274="",$K1274=""),"",IF(AND($M1274="Sí",$O1274="Sí"),"OTIF","Falló"))</f>
        <v/>
      </c>
    </row>
    <row r="1275" ht="16" customHeight="1">
      <c r="A1275" s="47" t="n"/>
      <c r="B1275" s="46" t="n"/>
      <c r="C1275" s="49" t="n"/>
      <c r="D1275" s="49" t="n"/>
      <c r="E1275" s="49" t="n"/>
      <c r="F1275" s="49" t="n"/>
      <c r="G1275" s="47" t="n"/>
      <c r="H1275" s="50" t="n"/>
      <c r="I1275" s="51" t="n"/>
      <c r="J1275" s="46" t="n"/>
      <c r="K1275" s="46" t="n"/>
      <c r="L1275" s="23">
        <f>IF(OR($A1275="",$B1275=""),"",IF($K1275&lt;&gt;"",$K1275-$B1275,TODAY()-$B1275))</f>
        <v/>
      </c>
      <c r="M1275" s="27">
        <f>IF(OR($A1275="",$J1275=""),"",IF($K1275="",IF(TODAY()&gt;$J1275,"Atrasado","En ruta"),IF($K1275&lt;=$J1275,"Sí","No")))</f>
        <v/>
      </c>
      <c r="N1275" s="23">
        <f>IF($A1275="","",COUNTIFS(NOVEDADES!$C$4:$C$1503,$A1275))</f>
        <v/>
      </c>
      <c r="O1275" s="27">
        <f>IF($A1275="","",IF(COUNTIFS(NOVEDADES!$C$4:$C$1503,$A1275,NOVEDADES!$M$4:$M$1503,"SÍ")&gt;0,"No","Sí"))</f>
        <v/>
      </c>
      <c r="P1275" s="27">
        <f>IF(OR($A1275="",$K1275=""),"",IF(AND($M1275="Sí",$O1275="Sí"),"OTIF","Falló"))</f>
        <v/>
      </c>
    </row>
    <row r="1276" ht="16" customHeight="1">
      <c r="A1276" s="47" t="n"/>
      <c r="B1276" s="46" t="n"/>
      <c r="C1276" s="49" t="n"/>
      <c r="D1276" s="49" t="n"/>
      <c r="E1276" s="49" t="n"/>
      <c r="F1276" s="49" t="n"/>
      <c r="G1276" s="47" t="n"/>
      <c r="H1276" s="50" t="n"/>
      <c r="I1276" s="51" t="n"/>
      <c r="J1276" s="46" t="n"/>
      <c r="K1276" s="46" t="n"/>
      <c r="L1276" s="23">
        <f>IF(OR($A1276="",$B1276=""),"",IF($K1276&lt;&gt;"",$K1276-$B1276,TODAY()-$B1276))</f>
        <v/>
      </c>
      <c r="M1276" s="27">
        <f>IF(OR($A1276="",$J1276=""),"",IF($K1276="",IF(TODAY()&gt;$J1276,"Atrasado","En ruta"),IF($K1276&lt;=$J1276,"Sí","No")))</f>
        <v/>
      </c>
      <c r="N1276" s="23">
        <f>IF($A1276="","",COUNTIFS(NOVEDADES!$C$4:$C$1503,$A1276))</f>
        <v/>
      </c>
      <c r="O1276" s="27">
        <f>IF($A1276="","",IF(COUNTIFS(NOVEDADES!$C$4:$C$1503,$A1276,NOVEDADES!$M$4:$M$1503,"SÍ")&gt;0,"No","Sí"))</f>
        <v/>
      </c>
      <c r="P1276" s="27">
        <f>IF(OR($A1276="",$K1276=""),"",IF(AND($M1276="Sí",$O1276="Sí"),"OTIF","Falló"))</f>
        <v/>
      </c>
    </row>
    <row r="1277" ht="16" customHeight="1">
      <c r="A1277" s="47" t="n"/>
      <c r="B1277" s="46" t="n"/>
      <c r="C1277" s="49" t="n"/>
      <c r="D1277" s="49" t="n"/>
      <c r="E1277" s="49" t="n"/>
      <c r="F1277" s="49" t="n"/>
      <c r="G1277" s="47" t="n"/>
      <c r="H1277" s="50" t="n"/>
      <c r="I1277" s="51" t="n"/>
      <c r="J1277" s="46" t="n"/>
      <c r="K1277" s="46" t="n"/>
      <c r="L1277" s="23">
        <f>IF(OR($A1277="",$B1277=""),"",IF($K1277&lt;&gt;"",$K1277-$B1277,TODAY()-$B1277))</f>
        <v/>
      </c>
      <c r="M1277" s="27">
        <f>IF(OR($A1277="",$J1277=""),"",IF($K1277="",IF(TODAY()&gt;$J1277,"Atrasado","En ruta"),IF($K1277&lt;=$J1277,"Sí","No")))</f>
        <v/>
      </c>
      <c r="N1277" s="23">
        <f>IF($A1277="","",COUNTIFS(NOVEDADES!$C$4:$C$1503,$A1277))</f>
        <v/>
      </c>
      <c r="O1277" s="27">
        <f>IF($A1277="","",IF(COUNTIFS(NOVEDADES!$C$4:$C$1503,$A1277,NOVEDADES!$M$4:$M$1503,"SÍ")&gt;0,"No","Sí"))</f>
        <v/>
      </c>
      <c r="P1277" s="27">
        <f>IF(OR($A1277="",$K1277=""),"",IF(AND($M1277="Sí",$O1277="Sí"),"OTIF","Falló"))</f>
        <v/>
      </c>
    </row>
    <row r="1278" ht="16" customHeight="1">
      <c r="A1278" s="47" t="n"/>
      <c r="B1278" s="46" t="n"/>
      <c r="C1278" s="49" t="n"/>
      <c r="D1278" s="49" t="n"/>
      <c r="E1278" s="49" t="n"/>
      <c r="F1278" s="49" t="n"/>
      <c r="G1278" s="47" t="n"/>
      <c r="H1278" s="50" t="n"/>
      <c r="I1278" s="51" t="n"/>
      <c r="J1278" s="46" t="n"/>
      <c r="K1278" s="46" t="n"/>
      <c r="L1278" s="23">
        <f>IF(OR($A1278="",$B1278=""),"",IF($K1278&lt;&gt;"",$K1278-$B1278,TODAY()-$B1278))</f>
        <v/>
      </c>
      <c r="M1278" s="27">
        <f>IF(OR($A1278="",$J1278=""),"",IF($K1278="",IF(TODAY()&gt;$J1278,"Atrasado","En ruta"),IF($K1278&lt;=$J1278,"Sí","No")))</f>
        <v/>
      </c>
      <c r="N1278" s="23">
        <f>IF($A1278="","",COUNTIFS(NOVEDADES!$C$4:$C$1503,$A1278))</f>
        <v/>
      </c>
      <c r="O1278" s="27">
        <f>IF($A1278="","",IF(COUNTIFS(NOVEDADES!$C$4:$C$1503,$A1278,NOVEDADES!$M$4:$M$1503,"SÍ")&gt;0,"No","Sí"))</f>
        <v/>
      </c>
      <c r="P1278" s="27">
        <f>IF(OR($A1278="",$K1278=""),"",IF(AND($M1278="Sí",$O1278="Sí"),"OTIF","Falló"))</f>
        <v/>
      </c>
    </row>
    <row r="1279" ht="16" customHeight="1">
      <c r="A1279" s="47" t="n"/>
      <c r="B1279" s="46" t="n"/>
      <c r="C1279" s="49" t="n"/>
      <c r="D1279" s="49" t="n"/>
      <c r="E1279" s="49" t="n"/>
      <c r="F1279" s="49" t="n"/>
      <c r="G1279" s="47" t="n"/>
      <c r="H1279" s="50" t="n"/>
      <c r="I1279" s="51" t="n"/>
      <c r="J1279" s="46" t="n"/>
      <c r="K1279" s="46" t="n"/>
      <c r="L1279" s="23">
        <f>IF(OR($A1279="",$B1279=""),"",IF($K1279&lt;&gt;"",$K1279-$B1279,TODAY()-$B1279))</f>
        <v/>
      </c>
      <c r="M1279" s="27">
        <f>IF(OR($A1279="",$J1279=""),"",IF($K1279="",IF(TODAY()&gt;$J1279,"Atrasado","En ruta"),IF($K1279&lt;=$J1279,"Sí","No")))</f>
        <v/>
      </c>
      <c r="N1279" s="23">
        <f>IF($A1279="","",COUNTIFS(NOVEDADES!$C$4:$C$1503,$A1279))</f>
        <v/>
      </c>
      <c r="O1279" s="27">
        <f>IF($A1279="","",IF(COUNTIFS(NOVEDADES!$C$4:$C$1503,$A1279,NOVEDADES!$M$4:$M$1503,"SÍ")&gt;0,"No","Sí"))</f>
        <v/>
      </c>
      <c r="P1279" s="27">
        <f>IF(OR($A1279="",$K1279=""),"",IF(AND($M1279="Sí",$O1279="Sí"),"OTIF","Falló"))</f>
        <v/>
      </c>
    </row>
    <row r="1280" ht="16" customHeight="1">
      <c r="A1280" s="47" t="n"/>
      <c r="B1280" s="46" t="n"/>
      <c r="C1280" s="49" t="n"/>
      <c r="D1280" s="49" t="n"/>
      <c r="E1280" s="49" t="n"/>
      <c r="F1280" s="49" t="n"/>
      <c r="G1280" s="47" t="n"/>
      <c r="H1280" s="50" t="n"/>
      <c r="I1280" s="51" t="n"/>
      <c r="J1280" s="46" t="n"/>
      <c r="K1280" s="46" t="n"/>
      <c r="L1280" s="23">
        <f>IF(OR($A1280="",$B1280=""),"",IF($K1280&lt;&gt;"",$K1280-$B1280,TODAY()-$B1280))</f>
        <v/>
      </c>
      <c r="M1280" s="27">
        <f>IF(OR($A1280="",$J1280=""),"",IF($K1280="",IF(TODAY()&gt;$J1280,"Atrasado","En ruta"),IF($K1280&lt;=$J1280,"Sí","No")))</f>
        <v/>
      </c>
      <c r="N1280" s="23">
        <f>IF($A1280="","",COUNTIFS(NOVEDADES!$C$4:$C$1503,$A1280))</f>
        <v/>
      </c>
      <c r="O1280" s="27">
        <f>IF($A1280="","",IF(COUNTIFS(NOVEDADES!$C$4:$C$1503,$A1280,NOVEDADES!$M$4:$M$1503,"SÍ")&gt;0,"No","Sí"))</f>
        <v/>
      </c>
      <c r="P1280" s="27">
        <f>IF(OR($A1280="",$K1280=""),"",IF(AND($M1280="Sí",$O1280="Sí"),"OTIF","Falló"))</f>
        <v/>
      </c>
    </row>
    <row r="1281" ht="16" customHeight="1">
      <c r="A1281" s="47" t="n"/>
      <c r="B1281" s="46" t="n"/>
      <c r="C1281" s="49" t="n"/>
      <c r="D1281" s="49" t="n"/>
      <c r="E1281" s="49" t="n"/>
      <c r="F1281" s="49" t="n"/>
      <c r="G1281" s="47" t="n"/>
      <c r="H1281" s="50" t="n"/>
      <c r="I1281" s="51" t="n"/>
      <c r="J1281" s="46" t="n"/>
      <c r="K1281" s="46" t="n"/>
      <c r="L1281" s="23">
        <f>IF(OR($A1281="",$B1281=""),"",IF($K1281&lt;&gt;"",$K1281-$B1281,TODAY()-$B1281))</f>
        <v/>
      </c>
      <c r="M1281" s="27">
        <f>IF(OR($A1281="",$J1281=""),"",IF($K1281="",IF(TODAY()&gt;$J1281,"Atrasado","En ruta"),IF($K1281&lt;=$J1281,"Sí","No")))</f>
        <v/>
      </c>
      <c r="N1281" s="23">
        <f>IF($A1281="","",COUNTIFS(NOVEDADES!$C$4:$C$1503,$A1281))</f>
        <v/>
      </c>
      <c r="O1281" s="27">
        <f>IF($A1281="","",IF(COUNTIFS(NOVEDADES!$C$4:$C$1503,$A1281,NOVEDADES!$M$4:$M$1503,"SÍ")&gt;0,"No","Sí"))</f>
        <v/>
      </c>
      <c r="P1281" s="27">
        <f>IF(OR($A1281="",$K1281=""),"",IF(AND($M1281="Sí",$O1281="Sí"),"OTIF","Falló"))</f>
        <v/>
      </c>
    </row>
    <row r="1282" ht="16" customHeight="1">
      <c r="A1282" s="47" t="n"/>
      <c r="B1282" s="46" t="n"/>
      <c r="C1282" s="49" t="n"/>
      <c r="D1282" s="49" t="n"/>
      <c r="E1282" s="49" t="n"/>
      <c r="F1282" s="49" t="n"/>
      <c r="G1282" s="47" t="n"/>
      <c r="H1282" s="50" t="n"/>
      <c r="I1282" s="51" t="n"/>
      <c r="J1282" s="46" t="n"/>
      <c r="K1282" s="46" t="n"/>
      <c r="L1282" s="23">
        <f>IF(OR($A1282="",$B1282=""),"",IF($K1282&lt;&gt;"",$K1282-$B1282,TODAY()-$B1282))</f>
        <v/>
      </c>
      <c r="M1282" s="27">
        <f>IF(OR($A1282="",$J1282=""),"",IF($K1282="",IF(TODAY()&gt;$J1282,"Atrasado","En ruta"),IF($K1282&lt;=$J1282,"Sí","No")))</f>
        <v/>
      </c>
      <c r="N1282" s="23">
        <f>IF($A1282="","",COUNTIFS(NOVEDADES!$C$4:$C$1503,$A1282))</f>
        <v/>
      </c>
      <c r="O1282" s="27">
        <f>IF($A1282="","",IF(COUNTIFS(NOVEDADES!$C$4:$C$1503,$A1282,NOVEDADES!$M$4:$M$1503,"SÍ")&gt;0,"No","Sí"))</f>
        <v/>
      </c>
      <c r="P1282" s="27">
        <f>IF(OR($A1282="",$K1282=""),"",IF(AND($M1282="Sí",$O1282="Sí"),"OTIF","Falló"))</f>
        <v/>
      </c>
    </row>
    <row r="1283" ht="16" customHeight="1">
      <c r="A1283" s="47" t="n"/>
      <c r="B1283" s="46" t="n"/>
      <c r="C1283" s="49" t="n"/>
      <c r="D1283" s="49" t="n"/>
      <c r="E1283" s="49" t="n"/>
      <c r="F1283" s="49" t="n"/>
      <c r="G1283" s="47" t="n"/>
      <c r="H1283" s="50" t="n"/>
      <c r="I1283" s="51" t="n"/>
      <c r="J1283" s="46" t="n"/>
      <c r="K1283" s="46" t="n"/>
      <c r="L1283" s="23">
        <f>IF(OR($A1283="",$B1283=""),"",IF($K1283&lt;&gt;"",$K1283-$B1283,TODAY()-$B1283))</f>
        <v/>
      </c>
      <c r="M1283" s="27">
        <f>IF(OR($A1283="",$J1283=""),"",IF($K1283="",IF(TODAY()&gt;$J1283,"Atrasado","En ruta"),IF($K1283&lt;=$J1283,"Sí","No")))</f>
        <v/>
      </c>
      <c r="N1283" s="23">
        <f>IF($A1283="","",COUNTIFS(NOVEDADES!$C$4:$C$1503,$A1283))</f>
        <v/>
      </c>
      <c r="O1283" s="27">
        <f>IF($A1283="","",IF(COUNTIFS(NOVEDADES!$C$4:$C$1503,$A1283,NOVEDADES!$M$4:$M$1503,"SÍ")&gt;0,"No","Sí"))</f>
        <v/>
      </c>
      <c r="P1283" s="27">
        <f>IF(OR($A1283="",$K1283=""),"",IF(AND($M1283="Sí",$O1283="Sí"),"OTIF","Falló"))</f>
        <v/>
      </c>
    </row>
    <row r="1284" ht="16" customHeight="1">
      <c r="A1284" s="47" t="n"/>
      <c r="B1284" s="46" t="n"/>
      <c r="C1284" s="49" t="n"/>
      <c r="D1284" s="49" t="n"/>
      <c r="E1284" s="49" t="n"/>
      <c r="F1284" s="49" t="n"/>
      <c r="G1284" s="47" t="n"/>
      <c r="H1284" s="50" t="n"/>
      <c r="I1284" s="51" t="n"/>
      <c r="J1284" s="46" t="n"/>
      <c r="K1284" s="46" t="n"/>
      <c r="L1284" s="23">
        <f>IF(OR($A1284="",$B1284=""),"",IF($K1284&lt;&gt;"",$K1284-$B1284,TODAY()-$B1284))</f>
        <v/>
      </c>
      <c r="M1284" s="27">
        <f>IF(OR($A1284="",$J1284=""),"",IF($K1284="",IF(TODAY()&gt;$J1284,"Atrasado","En ruta"),IF($K1284&lt;=$J1284,"Sí","No")))</f>
        <v/>
      </c>
      <c r="N1284" s="23">
        <f>IF($A1284="","",COUNTIFS(NOVEDADES!$C$4:$C$1503,$A1284))</f>
        <v/>
      </c>
      <c r="O1284" s="27">
        <f>IF($A1284="","",IF(COUNTIFS(NOVEDADES!$C$4:$C$1503,$A1284,NOVEDADES!$M$4:$M$1503,"SÍ")&gt;0,"No","Sí"))</f>
        <v/>
      </c>
      <c r="P1284" s="27">
        <f>IF(OR($A1284="",$K1284=""),"",IF(AND($M1284="Sí",$O1284="Sí"),"OTIF","Falló"))</f>
        <v/>
      </c>
    </row>
    <row r="1285" ht="16" customHeight="1">
      <c r="A1285" s="47" t="n"/>
      <c r="B1285" s="46" t="n"/>
      <c r="C1285" s="49" t="n"/>
      <c r="D1285" s="49" t="n"/>
      <c r="E1285" s="49" t="n"/>
      <c r="F1285" s="49" t="n"/>
      <c r="G1285" s="47" t="n"/>
      <c r="H1285" s="50" t="n"/>
      <c r="I1285" s="51" t="n"/>
      <c r="J1285" s="46" t="n"/>
      <c r="K1285" s="46" t="n"/>
      <c r="L1285" s="23">
        <f>IF(OR($A1285="",$B1285=""),"",IF($K1285&lt;&gt;"",$K1285-$B1285,TODAY()-$B1285))</f>
        <v/>
      </c>
      <c r="M1285" s="27">
        <f>IF(OR($A1285="",$J1285=""),"",IF($K1285="",IF(TODAY()&gt;$J1285,"Atrasado","En ruta"),IF($K1285&lt;=$J1285,"Sí","No")))</f>
        <v/>
      </c>
      <c r="N1285" s="23">
        <f>IF($A1285="","",COUNTIFS(NOVEDADES!$C$4:$C$1503,$A1285))</f>
        <v/>
      </c>
      <c r="O1285" s="27">
        <f>IF($A1285="","",IF(COUNTIFS(NOVEDADES!$C$4:$C$1503,$A1285,NOVEDADES!$M$4:$M$1503,"SÍ")&gt;0,"No","Sí"))</f>
        <v/>
      </c>
      <c r="P1285" s="27">
        <f>IF(OR($A1285="",$K1285=""),"",IF(AND($M1285="Sí",$O1285="Sí"),"OTIF","Falló"))</f>
        <v/>
      </c>
    </row>
    <row r="1286" ht="16" customHeight="1">
      <c r="A1286" s="47" t="n"/>
      <c r="B1286" s="46" t="n"/>
      <c r="C1286" s="49" t="n"/>
      <c r="D1286" s="49" t="n"/>
      <c r="E1286" s="49" t="n"/>
      <c r="F1286" s="49" t="n"/>
      <c r="G1286" s="47" t="n"/>
      <c r="H1286" s="50" t="n"/>
      <c r="I1286" s="51" t="n"/>
      <c r="J1286" s="46" t="n"/>
      <c r="K1286" s="46" t="n"/>
      <c r="L1286" s="23">
        <f>IF(OR($A1286="",$B1286=""),"",IF($K1286&lt;&gt;"",$K1286-$B1286,TODAY()-$B1286))</f>
        <v/>
      </c>
      <c r="M1286" s="27">
        <f>IF(OR($A1286="",$J1286=""),"",IF($K1286="",IF(TODAY()&gt;$J1286,"Atrasado","En ruta"),IF($K1286&lt;=$J1286,"Sí","No")))</f>
        <v/>
      </c>
      <c r="N1286" s="23">
        <f>IF($A1286="","",COUNTIFS(NOVEDADES!$C$4:$C$1503,$A1286))</f>
        <v/>
      </c>
      <c r="O1286" s="27">
        <f>IF($A1286="","",IF(COUNTIFS(NOVEDADES!$C$4:$C$1503,$A1286,NOVEDADES!$M$4:$M$1503,"SÍ")&gt;0,"No","Sí"))</f>
        <v/>
      </c>
      <c r="P1286" s="27">
        <f>IF(OR($A1286="",$K1286=""),"",IF(AND($M1286="Sí",$O1286="Sí"),"OTIF","Falló"))</f>
        <v/>
      </c>
    </row>
    <row r="1287" ht="16" customHeight="1">
      <c r="A1287" s="47" t="n"/>
      <c r="B1287" s="46" t="n"/>
      <c r="C1287" s="49" t="n"/>
      <c r="D1287" s="49" t="n"/>
      <c r="E1287" s="49" t="n"/>
      <c r="F1287" s="49" t="n"/>
      <c r="G1287" s="47" t="n"/>
      <c r="H1287" s="50" t="n"/>
      <c r="I1287" s="51" t="n"/>
      <c r="J1287" s="46" t="n"/>
      <c r="K1287" s="46" t="n"/>
      <c r="L1287" s="23">
        <f>IF(OR($A1287="",$B1287=""),"",IF($K1287&lt;&gt;"",$K1287-$B1287,TODAY()-$B1287))</f>
        <v/>
      </c>
      <c r="M1287" s="27">
        <f>IF(OR($A1287="",$J1287=""),"",IF($K1287="",IF(TODAY()&gt;$J1287,"Atrasado","En ruta"),IF($K1287&lt;=$J1287,"Sí","No")))</f>
        <v/>
      </c>
      <c r="N1287" s="23">
        <f>IF($A1287="","",COUNTIFS(NOVEDADES!$C$4:$C$1503,$A1287))</f>
        <v/>
      </c>
      <c r="O1287" s="27">
        <f>IF($A1287="","",IF(COUNTIFS(NOVEDADES!$C$4:$C$1503,$A1287,NOVEDADES!$M$4:$M$1503,"SÍ")&gt;0,"No","Sí"))</f>
        <v/>
      </c>
      <c r="P1287" s="27">
        <f>IF(OR($A1287="",$K1287=""),"",IF(AND($M1287="Sí",$O1287="Sí"),"OTIF","Falló"))</f>
        <v/>
      </c>
    </row>
    <row r="1288" ht="16" customHeight="1">
      <c r="A1288" s="47" t="n"/>
      <c r="B1288" s="46" t="n"/>
      <c r="C1288" s="49" t="n"/>
      <c r="D1288" s="49" t="n"/>
      <c r="E1288" s="49" t="n"/>
      <c r="F1288" s="49" t="n"/>
      <c r="G1288" s="47" t="n"/>
      <c r="H1288" s="50" t="n"/>
      <c r="I1288" s="51" t="n"/>
      <c r="J1288" s="46" t="n"/>
      <c r="K1288" s="46" t="n"/>
      <c r="L1288" s="23">
        <f>IF(OR($A1288="",$B1288=""),"",IF($K1288&lt;&gt;"",$K1288-$B1288,TODAY()-$B1288))</f>
        <v/>
      </c>
      <c r="M1288" s="27">
        <f>IF(OR($A1288="",$J1288=""),"",IF($K1288="",IF(TODAY()&gt;$J1288,"Atrasado","En ruta"),IF($K1288&lt;=$J1288,"Sí","No")))</f>
        <v/>
      </c>
      <c r="N1288" s="23">
        <f>IF($A1288="","",COUNTIFS(NOVEDADES!$C$4:$C$1503,$A1288))</f>
        <v/>
      </c>
      <c r="O1288" s="27">
        <f>IF($A1288="","",IF(COUNTIFS(NOVEDADES!$C$4:$C$1503,$A1288,NOVEDADES!$M$4:$M$1503,"SÍ")&gt;0,"No","Sí"))</f>
        <v/>
      </c>
      <c r="P1288" s="27">
        <f>IF(OR($A1288="",$K1288=""),"",IF(AND($M1288="Sí",$O1288="Sí"),"OTIF","Falló"))</f>
        <v/>
      </c>
    </row>
    <row r="1289" ht="16" customHeight="1">
      <c r="A1289" s="47" t="n"/>
      <c r="B1289" s="46" t="n"/>
      <c r="C1289" s="49" t="n"/>
      <c r="D1289" s="49" t="n"/>
      <c r="E1289" s="49" t="n"/>
      <c r="F1289" s="49" t="n"/>
      <c r="G1289" s="47" t="n"/>
      <c r="H1289" s="50" t="n"/>
      <c r="I1289" s="51" t="n"/>
      <c r="J1289" s="46" t="n"/>
      <c r="K1289" s="46" t="n"/>
      <c r="L1289" s="23">
        <f>IF(OR($A1289="",$B1289=""),"",IF($K1289&lt;&gt;"",$K1289-$B1289,TODAY()-$B1289))</f>
        <v/>
      </c>
      <c r="M1289" s="27">
        <f>IF(OR($A1289="",$J1289=""),"",IF($K1289="",IF(TODAY()&gt;$J1289,"Atrasado","En ruta"),IF($K1289&lt;=$J1289,"Sí","No")))</f>
        <v/>
      </c>
      <c r="N1289" s="23">
        <f>IF($A1289="","",COUNTIFS(NOVEDADES!$C$4:$C$1503,$A1289))</f>
        <v/>
      </c>
      <c r="O1289" s="27">
        <f>IF($A1289="","",IF(COUNTIFS(NOVEDADES!$C$4:$C$1503,$A1289,NOVEDADES!$M$4:$M$1503,"SÍ")&gt;0,"No","Sí"))</f>
        <v/>
      </c>
      <c r="P1289" s="27">
        <f>IF(OR($A1289="",$K1289=""),"",IF(AND($M1289="Sí",$O1289="Sí"),"OTIF","Falló"))</f>
        <v/>
      </c>
    </row>
    <row r="1290" ht="16" customHeight="1">
      <c r="A1290" s="47" t="n"/>
      <c r="B1290" s="46" t="n"/>
      <c r="C1290" s="49" t="n"/>
      <c r="D1290" s="49" t="n"/>
      <c r="E1290" s="49" t="n"/>
      <c r="F1290" s="49" t="n"/>
      <c r="G1290" s="47" t="n"/>
      <c r="H1290" s="50" t="n"/>
      <c r="I1290" s="51" t="n"/>
      <c r="J1290" s="46" t="n"/>
      <c r="K1290" s="46" t="n"/>
      <c r="L1290" s="23">
        <f>IF(OR($A1290="",$B1290=""),"",IF($K1290&lt;&gt;"",$K1290-$B1290,TODAY()-$B1290))</f>
        <v/>
      </c>
      <c r="M1290" s="27">
        <f>IF(OR($A1290="",$J1290=""),"",IF($K1290="",IF(TODAY()&gt;$J1290,"Atrasado","En ruta"),IF($K1290&lt;=$J1290,"Sí","No")))</f>
        <v/>
      </c>
      <c r="N1290" s="23">
        <f>IF($A1290="","",COUNTIFS(NOVEDADES!$C$4:$C$1503,$A1290))</f>
        <v/>
      </c>
      <c r="O1290" s="27">
        <f>IF($A1290="","",IF(COUNTIFS(NOVEDADES!$C$4:$C$1503,$A1290,NOVEDADES!$M$4:$M$1503,"SÍ")&gt;0,"No","Sí"))</f>
        <v/>
      </c>
      <c r="P1290" s="27">
        <f>IF(OR($A1290="",$K1290=""),"",IF(AND($M1290="Sí",$O1290="Sí"),"OTIF","Falló"))</f>
        <v/>
      </c>
    </row>
    <row r="1291" ht="16" customHeight="1">
      <c r="A1291" s="47" t="n"/>
      <c r="B1291" s="46" t="n"/>
      <c r="C1291" s="49" t="n"/>
      <c r="D1291" s="49" t="n"/>
      <c r="E1291" s="49" t="n"/>
      <c r="F1291" s="49" t="n"/>
      <c r="G1291" s="47" t="n"/>
      <c r="H1291" s="50" t="n"/>
      <c r="I1291" s="51" t="n"/>
      <c r="J1291" s="46" t="n"/>
      <c r="K1291" s="46" t="n"/>
      <c r="L1291" s="23">
        <f>IF(OR($A1291="",$B1291=""),"",IF($K1291&lt;&gt;"",$K1291-$B1291,TODAY()-$B1291))</f>
        <v/>
      </c>
      <c r="M1291" s="27">
        <f>IF(OR($A1291="",$J1291=""),"",IF($K1291="",IF(TODAY()&gt;$J1291,"Atrasado","En ruta"),IF($K1291&lt;=$J1291,"Sí","No")))</f>
        <v/>
      </c>
      <c r="N1291" s="23">
        <f>IF($A1291="","",COUNTIFS(NOVEDADES!$C$4:$C$1503,$A1291))</f>
        <v/>
      </c>
      <c r="O1291" s="27">
        <f>IF($A1291="","",IF(COUNTIFS(NOVEDADES!$C$4:$C$1503,$A1291,NOVEDADES!$M$4:$M$1503,"SÍ")&gt;0,"No","Sí"))</f>
        <v/>
      </c>
      <c r="P1291" s="27">
        <f>IF(OR($A1291="",$K1291=""),"",IF(AND($M1291="Sí",$O1291="Sí"),"OTIF","Falló"))</f>
        <v/>
      </c>
    </row>
    <row r="1292" ht="16" customHeight="1">
      <c r="A1292" s="47" t="n"/>
      <c r="B1292" s="46" t="n"/>
      <c r="C1292" s="49" t="n"/>
      <c r="D1292" s="49" t="n"/>
      <c r="E1292" s="49" t="n"/>
      <c r="F1292" s="49" t="n"/>
      <c r="G1292" s="47" t="n"/>
      <c r="H1292" s="50" t="n"/>
      <c r="I1292" s="51" t="n"/>
      <c r="J1292" s="46" t="n"/>
      <c r="K1292" s="46" t="n"/>
      <c r="L1292" s="23">
        <f>IF(OR($A1292="",$B1292=""),"",IF($K1292&lt;&gt;"",$K1292-$B1292,TODAY()-$B1292))</f>
        <v/>
      </c>
      <c r="M1292" s="27">
        <f>IF(OR($A1292="",$J1292=""),"",IF($K1292="",IF(TODAY()&gt;$J1292,"Atrasado","En ruta"),IF($K1292&lt;=$J1292,"Sí","No")))</f>
        <v/>
      </c>
      <c r="N1292" s="23">
        <f>IF($A1292="","",COUNTIFS(NOVEDADES!$C$4:$C$1503,$A1292))</f>
        <v/>
      </c>
      <c r="O1292" s="27">
        <f>IF($A1292="","",IF(COUNTIFS(NOVEDADES!$C$4:$C$1503,$A1292,NOVEDADES!$M$4:$M$1503,"SÍ")&gt;0,"No","Sí"))</f>
        <v/>
      </c>
      <c r="P1292" s="27">
        <f>IF(OR($A1292="",$K1292=""),"",IF(AND($M1292="Sí",$O1292="Sí"),"OTIF","Falló"))</f>
        <v/>
      </c>
    </row>
    <row r="1293" ht="16" customHeight="1">
      <c r="A1293" s="47" t="n"/>
      <c r="B1293" s="46" t="n"/>
      <c r="C1293" s="49" t="n"/>
      <c r="D1293" s="49" t="n"/>
      <c r="E1293" s="49" t="n"/>
      <c r="F1293" s="49" t="n"/>
      <c r="G1293" s="47" t="n"/>
      <c r="H1293" s="50" t="n"/>
      <c r="I1293" s="51" t="n"/>
      <c r="J1293" s="46" t="n"/>
      <c r="K1293" s="46" t="n"/>
      <c r="L1293" s="23">
        <f>IF(OR($A1293="",$B1293=""),"",IF($K1293&lt;&gt;"",$K1293-$B1293,TODAY()-$B1293))</f>
        <v/>
      </c>
      <c r="M1293" s="27">
        <f>IF(OR($A1293="",$J1293=""),"",IF($K1293="",IF(TODAY()&gt;$J1293,"Atrasado","En ruta"),IF($K1293&lt;=$J1293,"Sí","No")))</f>
        <v/>
      </c>
      <c r="N1293" s="23">
        <f>IF($A1293="","",COUNTIFS(NOVEDADES!$C$4:$C$1503,$A1293))</f>
        <v/>
      </c>
      <c r="O1293" s="27">
        <f>IF($A1293="","",IF(COUNTIFS(NOVEDADES!$C$4:$C$1503,$A1293,NOVEDADES!$M$4:$M$1503,"SÍ")&gt;0,"No","Sí"))</f>
        <v/>
      </c>
      <c r="P1293" s="27">
        <f>IF(OR($A1293="",$K1293=""),"",IF(AND($M1293="Sí",$O1293="Sí"),"OTIF","Falló"))</f>
        <v/>
      </c>
    </row>
    <row r="1294" ht="16" customHeight="1">
      <c r="A1294" s="47" t="n"/>
      <c r="B1294" s="46" t="n"/>
      <c r="C1294" s="49" t="n"/>
      <c r="D1294" s="49" t="n"/>
      <c r="E1294" s="49" t="n"/>
      <c r="F1294" s="49" t="n"/>
      <c r="G1294" s="47" t="n"/>
      <c r="H1294" s="50" t="n"/>
      <c r="I1294" s="51" t="n"/>
      <c r="J1294" s="46" t="n"/>
      <c r="K1294" s="46" t="n"/>
      <c r="L1294" s="23">
        <f>IF(OR($A1294="",$B1294=""),"",IF($K1294&lt;&gt;"",$K1294-$B1294,TODAY()-$B1294))</f>
        <v/>
      </c>
      <c r="M1294" s="27">
        <f>IF(OR($A1294="",$J1294=""),"",IF($K1294="",IF(TODAY()&gt;$J1294,"Atrasado","En ruta"),IF($K1294&lt;=$J1294,"Sí","No")))</f>
        <v/>
      </c>
      <c r="N1294" s="23">
        <f>IF($A1294="","",COUNTIFS(NOVEDADES!$C$4:$C$1503,$A1294))</f>
        <v/>
      </c>
      <c r="O1294" s="27">
        <f>IF($A1294="","",IF(COUNTIFS(NOVEDADES!$C$4:$C$1503,$A1294,NOVEDADES!$M$4:$M$1503,"SÍ")&gt;0,"No","Sí"))</f>
        <v/>
      </c>
      <c r="P1294" s="27">
        <f>IF(OR($A1294="",$K1294=""),"",IF(AND($M1294="Sí",$O1294="Sí"),"OTIF","Falló"))</f>
        <v/>
      </c>
    </row>
    <row r="1295" ht="16" customHeight="1">
      <c r="A1295" s="47" t="n"/>
      <c r="B1295" s="46" t="n"/>
      <c r="C1295" s="49" t="n"/>
      <c r="D1295" s="49" t="n"/>
      <c r="E1295" s="49" t="n"/>
      <c r="F1295" s="49" t="n"/>
      <c r="G1295" s="47" t="n"/>
      <c r="H1295" s="50" t="n"/>
      <c r="I1295" s="51" t="n"/>
      <c r="J1295" s="46" t="n"/>
      <c r="K1295" s="46" t="n"/>
      <c r="L1295" s="23">
        <f>IF(OR($A1295="",$B1295=""),"",IF($K1295&lt;&gt;"",$K1295-$B1295,TODAY()-$B1295))</f>
        <v/>
      </c>
      <c r="M1295" s="27">
        <f>IF(OR($A1295="",$J1295=""),"",IF($K1295="",IF(TODAY()&gt;$J1295,"Atrasado","En ruta"),IF($K1295&lt;=$J1295,"Sí","No")))</f>
        <v/>
      </c>
      <c r="N1295" s="23">
        <f>IF($A1295="","",COUNTIFS(NOVEDADES!$C$4:$C$1503,$A1295))</f>
        <v/>
      </c>
      <c r="O1295" s="27">
        <f>IF($A1295="","",IF(COUNTIFS(NOVEDADES!$C$4:$C$1503,$A1295,NOVEDADES!$M$4:$M$1503,"SÍ")&gt;0,"No","Sí"))</f>
        <v/>
      </c>
      <c r="P1295" s="27">
        <f>IF(OR($A1295="",$K1295=""),"",IF(AND($M1295="Sí",$O1295="Sí"),"OTIF","Falló"))</f>
        <v/>
      </c>
    </row>
    <row r="1296" ht="16" customHeight="1">
      <c r="A1296" s="47" t="n"/>
      <c r="B1296" s="46" t="n"/>
      <c r="C1296" s="49" t="n"/>
      <c r="D1296" s="49" t="n"/>
      <c r="E1296" s="49" t="n"/>
      <c r="F1296" s="49" t="n"/>
      <c r="G1296" s="47" t="n"/>
      <c r="H1296" s="50" t="n"/>
      <c r="I1296" s="51" t="n"/>
      <c r="J1296" s="46" t="n"/>
      <c r="K1296" s="46" t="n"/>
      <c r="L1296" s="23">
        <f>IF(OR($A1296="",$B1296=""),"",IF($K1296&lt;&gt;"",$K1296-$B1296,TODAY()-$B1296))</f>
        <v/>
      </c>
      <c r="M1296" s="27">
        <f>IF(OR($A1296="",$J1296=""),"",IF($K1296="",IF(TODAY()&gt;$J1296,"Atrasado","En ruta"),IF($K1296&lt;=$J1296,"Sí","No")))</f>
        <v/>
      </c>
      <c r="N1296" s="23">
        <f>IF($A1296="","",COUNTIFS(NOVEDADES!$C$4:$C$1503,$A1296))</f>
        <v/>
      </c>
      <c r="O1296" s="27">
        <f>IF($A1296="","",IF(COUNTIFS(NOVEDADES!$C$4:$C$1503,$A1296,NOVEDADES!$M$4:$M$1503,"SÍ")&gt;0,"No","Sí"))</f>
        <v/>
      </c>
      <c r="P1296" s="27">
        <f>IF(OR($A1296="",$K1296=""),"",IF(AND($M1296="Sí",$O1296="Sí"),"OTIF","Falló"))</f>
        <v/>
      </c>
    </row>
    <row r="1297" ht="16" customHeight="1">
      <c r="A1297" s="47" t="n"/>
      <c r="B1297" s="46" t="n"/>
      <c r="C1297" s="49" t="n"/>
      <c r="D1297" s="49" t="n"/>
      <c r="E1297" s="49" t="n"/>
      <c r="F1297" s="49" t="n"/>
      <c r="G1297" s="47" t="n"/>
      <c r="H1297" s="50" t="n"/>
      <c r="I1297" s="51" t="n"/>
      <c r="J1297" s="46" t="n"/>
      <c r="K1297" s="46" t="n"/>
      <c r="L1297" s="23">
        <f>IF(OR($A1297="",$B1297=""),"",IF($K1297&lt;&gt;"",$K1297-$B1297,TODAY()-$B1297))</f>
        <v/>
      </c>
      <c r="M1297" s="27">
        <f>IF(OR($A1297="",$J1297=""),"",IF($K1297="",IF(TODAY()&gt;$J1297,"Atrasado","En ruta"),IF($K1297&lt;=$J1297,"Sí","No")))</f>
        <v/>
      </c>
      <c r="N1297" s="23">
        <f>IF($A1297="","",COUNTIFS(NOVEDADES!$C$4:$C$1503,$A1297))</f>
        <v/>
      </c>
      <c r="O1297" s="27">
        <f>IF($A1297="","",IF(COUNTIFS(NOVEDADES!$C$4:$C$1503,$A1297,NOVEDADES!$M$4:$M$1503,"SÍ")&gt;0,"No","Sí"))</f>
        <v/>
      </c>
      <c r="P1297" s="27">
        <f>IF(OR($A1297="",$K1297=""),"",IF(AND($M1297="Sí",$O1297="Sí"),"OTIF","Falló"))</f>
        <v/>
      </c>
    </row>
    <row r="1298" ht="16" customHeight="1">
      <c r="A1298" s="47" t="n"/>
      <c r="B1298" s="46" t="n"/>
      <c r="C1298" s="49" t="n"/>
      <c r="D1298" s="49" t="n"/>
      <c r="E1298" s="49" t="n"/>
      <c r="F1298" s="49" t="n"/>
      <c r="G1298" s="47" t="n"/>
      <c r="H1298" s="50" t="n"/>
      <c r="I1298" s="51" t="n"/>
      <c r="J1298" s="46" t="n"/>
      <c r="K1298" s="46" t="n"/>
      <c r="L1298" s="23">
        <f>IF(OR($A1298="",$B1298=""),"",IF($K1298&lt;&gt;"",$K1298-$B1298,TODAY()-$B1298))</f>
        <v/>
      </c>
      <c r="M1298" s="27">
        <f>IF(OR($A1298="",$J1298=""),"",IF($K1298="",IF(TODAY()&gt;$J1298,"Atrasado","En ruta"),IF($K1298&lt;=$J1298,"Sí","No")))</f>
        <v/>
      </c>
      <c r="N1298" s="23">
        <f>IF($A1298="","",COUNTIFS(NOVEDADES!$C$4:$C$1503,$A1298))</f>
        <v/>
      </c>
      <c r="O1298" s="27">
        <f>IF($A1298="","",IF(COUNTIFS(NOVEDADES!$C$4:$C$1503,$A1298,NOVEDADES!$M$4:$M$1503,"SÍ")&gt;0,"No","Sí"))</f>
        <v/>
      </c>
      <c r="P1298" s="27">
        <f>IF(OR($A1298="",$K1298=""),"",IF(AND($M1298="Sí",$O1298="Sí"),"OTIF","Falló"))</f>
        <v/>
      </c>
    </row>
    <row r="1299" ht="16" customHeight="1">
      <c r="A1299" s="47" t="n"/>
      <c r="B1299" s="46" t="n"/>
      <c r="C1299" s="49" t="n"/>
      <c r="D1299" s="49" t="n"/>
      <c r="E1299" s="49" t="n"/>
      <c r="F1299" s="49" t="n"/>
      <c r="G1299" s="47" t="n"/>
      <c r="H1299" s="50" t="n"/>
      <c r="I1299" s="51" t="n"/>
      <c r="J1299" s="46" t="n"/>
      <c r="K1299" s="46" t="n"/>
      <c r="L1299" s="23">
        <f>IF(OR($A1299="",$B1299=""),"",IF($K1299&lt;&gt;"",$K1299-$B1299,TODAY()-$B1299))</f>
        <v/>
      </c>
      <c r="M1299" s="27">
        <f>IF(OR($A1299="",$J1299=""),"",IF($K1299="",IF(TODAY()&gt;$J1299,"Atrasado","En ruta"),IF($K1299&lt;=$J1299,"Sí","No")))</f>
        <v/>
      </c>
      <c r="N1299" s="23">
        <f>IF($A1299="","",COUNTIFS(NOVEDADES!$C$4:$C$1503,$A1299))</f>
        <v/>
      </c>
      <c r="O1299" s="27">
        <f>IF($A1299="","",IF(COUNTIFS(NOVEDADES!$C$4:$C$1503,$A1299,NOVEDADES!$M$4:$M$1503,"SÍ")&gt;0,"No","Sí"))</f>
        <v/>
      </c>
      <c r="P1299" s="27">
        <f>IF(OR($A1299="",$K1299=""),"",IF(AND($M1299="Sí",$O1299="Sí"),"OTIF","Falló"))</f>
        <v/>
      </c>
    </row>
    <row r="1300" ht="16" customHeight="1">
      <c r="A1300" s="47" t="n"/>
      <c r="B1300" s="46" t="n"/>
      <c r="C1300" s="49" t="n"/>
      <c r="D1300" s="49" t="n"/>
      <c r="E1300" s="49" t="n"/>
      <c r="F1300" s="49" t="n"/>
      <c r="G1300" s="47" t="n"/>
      <c r="H1300" s="50" t="n"/>
      <c r="I1300" s="51" t="n"/>
      <c r="J1300" s="46" t="n"/>
      <c r="K1300" s="46" t="n"/>
      <c r="L1300" s="23">
        <f>IF(OR($A1300="",$B1300=""),"",IF($K1300&lt;&gt;"",$K1300-$B1300,TODAY()-$B1300))</f>
        <v/>
      </c>
      <c r="M1300" s="27">
        <f>IF(OR($A1300="",$J1300=""),"",IF($K1300="",IF(TODAY()&gt;$J1300,"Atrasado","En ruta"),IF($K1300&lt;=$J1300,"Sí","No")))</f>
        <v/>
      </c>
      <c r="N1300" s="23">
        <f>IF($A1300="","",COUNTIFS(NOVEDADES!$C$4:$C$1503,$A1300))</f>
        <v/>
      </c>
      <c r="O1300" s="27">
        <f>IF($A1300="","",IF(COUNTIFS(NOVEDADES!$C$4:$C$1503,$A1300,NOVEDADES!$M$4:$M$1503,"SÍ")&gt;0,"No","Sí"))</f>
        <v/>
      </c>
      <c r="P1300" s="27">
        <f>IF(OR($A1300="",$K1300=""),"",IF(AND($M1300="Sí",$O1300="Sí"),"OTIF","Falló"))</f>
        <v/>
      </c>
    </row>
    <row r="1301" ht="16" customHeight="1">
      <c r="A1301" s="47" t="n"/>
      <c r="B1301" s="46" t="n"/>
      <c r="C1301" s="49" t="n"/>
      <c r="D1301" s="49" t="n"/>
      <c r="E1301" s="49" t="n"/>
      <c r="F1301" s="49" t="n"/>
      <c r="G1301" s="47" t="n"/>
      <c r="H1301" s="50" t="n"/>
      <c r="I1301" s="51" t="n"/>
      <c r="J1301" s="46" t="n"/>
      <c r="K1301" s="46" t="n"/>
      <c r="L1301" s="23">
        <f>IF(OR($A1301="",$B1301=""),"",IF($K1301&lt;&gt;"",$K1301-$B1301,TODAY()-$B1301))</f>
        <v/>
      </c>
      <c r="M1301" s="27">
        <f>IF(OR($A1301="",$J1301=""),"",IF($K1301="",IF(TODAY()&gt;$J1301,"Atrasado","En ruta"),IF($K1301&lt;=$J1301,"Sí","No")))</f>
        <v/>
      </c>
      <c r="N1301" s="23">
        <f>IF($A1301="","",COUNTIFS(NOVEDADES!$C$4:$C$1503,$A1301))</f>
        <v/>
      </c>
      <c r="O1301" s="27">
        <f>IF($A1301="","",IF(COUNTIFS(NOVEDADES!$C$4:$C$1503,$A1301,NOVEDADES!$M$4:$M$1503,"SÍ")&gt;0,"No","Sí"))</f>
        <v/>
      </c>
      <c r="P1301" s="27">
        <f>IF(OR($A1301="",$K1301=""),"",IF(AND($M1301="Sí",$O1301="Sí"),"OTIF","Falló"))</f>
        <v/>
      </c>
    </row>
    <row r="1302" ht="16" customHeight="1">
      <c r="A1302" s="47" t="n"/>
      <c r="B1302" s="46" t="n"/>
      <c r="C1302" s="49" t="n"/>
      <c r="D1302" s="49" t="n"/>
      <c r="E1302" s="49" t="n"/>
      <c r="F1302" s="49" t="n"/>
      <c r="G1302" s="47" t="n"/>
      <c r="H1302" s="50" t="n"/>
      <c r="I1302" s="51" t="n"/>
      <c r="J1302" s="46" t="n"/>
      <c r="K1302" s="46" t="n"/>
      <c r="L1302" s="23">
        <f>IF(OR($A1302="",$B1302=""),"",IF($K1302&lt;&gt;"",$K1302-$B1302,TODAY()-$B1302))</f>
        <v/>
      </c>
      <c r="M1302" s="27">
        <f>IF(OR($A1302="",$J1302=""),"",IF($K1302="",IF(TODAY()&gt;$J1302,"Atrasado","En ruta"),IF($K1302&lt;=$J1302,"Sí","No")))</f>
        <v/>
      </c>
      <c r="N1302" s="23">
        <f>IF($A1302="","",COUNTIFS(NOVEDADES!$C$4:$C$1503,$A1302))</f>
        <v/>
      </c>
      <c r="O1302" s="27">
        <f>IF($A1302="","",IF(COUNTIFS(NOVEDADES!$C$4:$C$1503,$A1302,NOVEDADES!$M$4:$M$1503,"SÍ")&gt;0,"No","Sí"))</f>
        <v/>
      </c>
      <c r="P1302" s="27">
        <f>IF(OR($A1302="",$K1302=""),"",IF(AND($M1302="Sí",$O1302="Sí"),"OTIF","Falló"))</f>
        <v/>
      </c>
    </row>
    <row r="1303" ht="16" customHeight="1">
      <c r="A1303" s="47" t="n"/>
      <c r="B1303" s="46" t="n"/>
      <c r="C1303" s="49" t="n"/>
      <c r="D1303" s="49" t="n"/>
      <c r="E1303" s="49" t="n"/>
      <c r="F1303" s="49" t="n"/>
      <c r="G1303" s="47" t="n"/>
      <c r="H1303" s="50" t="n"/>
      <c r="I1303" s="51" t="n"/>
      <c r="J1303" s="46" t="n"/>
      <c r="K1303" s="46" t="n"/>
      <c r="L1303" s="23">
        <f>IF(OR($A1303="",$B1303=""),"",IF($K1303&lt;&gt;"",$K1303-$B1303,TODAY()-$B1303))</f>
        <v/>
      </c>
      <c r="M1303" s="27">
        <f>IF(OR($A1303="",$J1303=""),"",IF($K1303="",IF(TODAY()&gt;$J1303,"Atrasado","En ruta"),IF($K1303&lt;=$J1303,"Sí","No")))</f>
        <v/>
      </c>
      <c r="N1303" s="23">
        <f>IF($A1303="","",COUNTIFS(NOVEDADES!$C$4:$C$1503,$A1303))</f>
        <v/>
      </c>
      <c r="O1303" s="27">
        <f>IF($A1303="","",IF(COUNTIFS(NOVEDADES!$C$4:$C$1503,$A1303,NOVEDADES!$M$4:$M$1503,"SÍ")&gt;0,"No","Sí"))</f>
        <v/>
      </c>
      <c r="P1303" s="27">
        <f>IF(OR($A1303="",$K1303=""),"",IF(AND($M1303="Sí",$O1303="Sí"),"OTIF","Falló"))</f>
        <v/>
      </c>
    </row>
    <row r="1304" ht="16" customHeight="1">
      <c r="A1304" s="47" t="n"/>
      <c r="B1304" s="46" t="n"/>
      <c r="C1304" s="49" t="n"/>
      <c r="D1304" s="49" t="n"/>
      <c r="E1304" s="49" t="n"/>
      <c r="F1304" s="49" t="n"/>
      <c r="G1304" s="47" t="n"/>
      <c r="H1304" s="50" t="n"/>
      <c r="I1304" s="51" t="n"/>
      <c r="J1304" s="46" t="n"/>
      <c r="K1304" s="46" t="n"/>
      <c r="L1304" s="23">
        <f>IF(OR($A1304="",$B1304=""),"",IF($K1304&lt;&gt;"",$K1304-$B1304,TODAY()-$B1304))</f>
        <v/>
      </c>
      <c r="M1304" s="27">
        <f>IF(OR($A1304="",$J1304=""),"",IF($K1304="",IF(TODAY()&gt;$J1304,"Atrasado","En ruta"),IF($K1304&lt;=$J1304,"Sí","No")))</f>
        <v/>
      </c>
      <c r="N1304" s="23">
        <f>IF($A1304="","",COUNTIFS(NOVEDADES!$C$4:$C$1503,$A1304))</f>
        <v/>
      </c>
      <c r="O1304" s="27">
        <f>IF($A1304="","",IF(COUNTIFS(NOVEDADES!$C$4:$C$1503,$A1304,NOVEDADES!$M$4:$M$1503,"SÍ")&gt;0,"No","Sí"))</f>
        <v/>
      </c>
      <c r="P1304" s="27">
        <f>IF(OR($A1304="",$K1304=""),"",IF(AND($M1304="Sí",$O1304="Sí"),"OTIF","Falló"))</f>
        <v/>
      </c>
    </row>
    <row r="1305" ht="16" customHeight="1">
      <c r="A1305" s="47" t="n"/>
      <c r="B1305" s="46" t="n"/>
      <c r="C1305" s="49" t="n"/>
      <c r="D1305" s="49" t="n"/>
      <c r="E1305" s="49" t="n"/>
      <c r="F1305" s="49" t="n"/>
      <c r="G1305" s="47" t="n"/>
      <c r="H1305" s="50" t="n"/>
      <c r="I1305" s="51" t="n"/>
      <c r="J1305" s="46" t="n"/>
      <c r="K1305" s="46" t="n"/>
      <c r="L1305" s="23">
        <f>IF(OR($A1305="",$B1305=""),"",IF($K1305&lt;&gt;"",$K1305-$B1305,TODAY()-$B1305))</f>
        <v/>
      </c>
      <c r="M1305" s="27">
        <f>IF(OR($A1305="",$J1305=""),"",IF($K1305="",IF(TODAY()&gt;$J1305,"Atrasado","En ruta"),IF($K1305&lt;=$J1305,"Sí","No")))</f>
        <v/>
      </c>
      <c r="N1305" s="23">
        <f>IF($A1305="","",COUNTIFS(NOVEDADES!$C$4:$C$1503,$A1305))</f>
        <v/>
      </c>
      <c r="O1305" s="27">
        <f>IF($A1305="","",IF(COUNTIFS(NOVEDADES!$C$4:$C$1503,$A1305,NOVEDADES!$M$4:$M$1503,"SÍ")&gt;0,"No","Sí"))</f>
        <v/>
      </c>
      <c r="P1305" s="27">
        <f>IF(OR($A1305="",$K1305=""),"",IF(AND($M1305="Sí",$O1305="Sí"),"OTIF","Falló"))</f>
        <v/>
      </c>
    </row>
    <row r="1306" ht="16" customHeight="1">
      <c r="A1306" s="47" t="n"/>
      <c r="B1306" s="46" t="n"/>
      <c r="C1306" s="49" t="n"/>
      <c r="D1306" s="49" t="n"/>
      <c r="E1306" s="49" t="n"/>
      <c r="F1306" s="49" t="n"/>
      <c r="G1306" s="47" t="n"/>
      <c r="H1306" s="50" t="n"/>
      <c r="I1306" s="51" t="n"/>
      <c r="J1306" s="46" t="n"/>
      <c r="K1306" s="46" t="n"/>
      <c r="L1306" s="23">
        <f>IF(OR($A1306="",$B1306=""),"",IF($K1306&lt;&gt;"",$K1306-$B1306,TODAY()-$B1306))</f>
        <v/>
      </c>
      <c r="M1306" s="27">
        <f>IF(OR($A1306="",$J1306=""),"",IF($K1306="",IF(TODAY()&gt;$J1306,"Atrasado","En ruta"),IF($K1306&lt;=$J1306,"Sí","No")))</f>
        <v/>
      </c>
      <c r="N1306" s="23">
        <f>IF($A1306="","",COUNTIFS(NOVEDADES!$C$4:$C$1503,$A1306))</f>
        <v/>
      </c>
      <c r="O1306" s="27">
        <f>IF($A1306="","",IF(COUNTIFS(NOVEDADES!$C$4:$C$1503,$A1306,NOVEDADES!$M$4:$M$1503,"SÍ")&gt;0,"No","Sí"))</f>
        <v/>
      </c>
      <c r="P1306" s="27">
        <f>IF(OR($A1306="",$K1306=""),"",IF(AND($M1306="Sí",$O1306="Sí"),"OTIF","Falló"))</f>
        <v/>
      </c>
    </row>
    <row r="1307" ht="16" customHeight="1">
      <c r="A1307" s="47" t="n"/>
      <c r="B1307" s="46" t="n"/>
      <c r="C1307" s="49" t="n"/>
      <c r="D1307" s="49" t="n"/>
      <c r="E1307" s="49" t="n"/>
      <c r="F1307" s="49" t="n"/>
      <c r="G1307" s="47" t="n"/>
      <c r="H1307" s="50" t="n"/>
      <c r="I1307" s="51" t="n"/>
      <c r="J1307" s="46" t="n"/>
      <c r="K1307" s="46" t="n"/>
      <c r="L1307" s="23">
        <f>IF(OR($A1307="",$B1307=""),"",IF($K1307&lt;&gt;"",$K1307-$B1307,TODAY()-$B1307))</f>
        <v/>
      </c>
      <c r="M1307" s="27">
        <f>IF(OR($A1307="",$J1307=""),"",IF($K1307="",IF(TODAY()&gt;$J1307,"Atrasado","En ruta"),IF($K1307&lt;=$J1307,"Sí","No")))</f>
        <v/>
      </c>
      <c r="N1307" s="23">
        <f>IF($A1307="","",COUNTIFS(NOVEDADES!$C$4:$C$1503,$A1307))</f>
        <v/>
      </c>
      <c r="O1307" s="27">
        <f>IF($A1307="","",IF(COUNTIFS(NOVEDADES!$C$4:$C$1503,$A1307,NOVEDADES!$M$4:$M$1503,"SÍ")&gt;0,"No","Sí"))</f>
        <v/>
      </c>
      <c r="P1307" s="27">
        <f>IF(OR($A1307="",$K1307=""),"",IF(AND($M1307="Sí",$O1307="Sí"),"OTIF","Falló"))</f>
        <v/>
      </c>
    </row>
    <row r="1308" ht="16" customHeight="1">
      <c r="A1308" s="47" t="n"/>
      <c r="B1308" s="46" t="n"/>
      <c r="C1308" s="49" t="n"/>
      <c r="D1308" s="49" t="n"/>
      <c r="E1308" s="49" t="n"/>
      <c r="F1308" s="49" t="n"/>
      <c r="G1308" s="47" t="n"/>
      <c r="H1308" s="50" t="n"/>
      <c r="I1308" s="51" t="n"/>
      <c r="J1308" s="46" t="n"/>
      <c r="K1308" s="46" t="n"/>
      <c r="L1308" s="23">
        <f>IF(OR($A1308="",$B1308=""),"",IF($K1308&lt;&gt;"",$K1308-$B1308,TODAY()-$B1308))</f>
        <v/>
      </c>
      <c r="M1308" s="27">
        <f>IF(OR($A1308="",$J1308=""),"",IF($K1308="",IF(TODAY()&gt;$J1308,"Atrasado","En ruta"),IF($K1308&lt;=$J1308,"Sí","No")))</f>
        <v/>
      </c>
      <c r="N1308" s="23">
        <f>IF($A1308="","",COUNTIFS(NOVEDADES!$C$4:$C$1503,$A1308))</f>
        <v/>
      </c>
      <c r="O1308" s="27">
        <f>IF($A1308="","",IF(COUNTIFS(NOVEDADES!$C$4:$C$1503,$A1308,NOVEDADES!$M$4:$M$1503,"SÍ")&gt;0,"No","Sí"))</f>
        <v/>
      </c>
      <c r="P1308" s="27">
        <f>IF(OR($A1308="",$K1308=""),"",IF(AND($M1308="Sí",$O1308="Sí"),"OTIF","Falló"))</f>
        <v/>
      </c>
    </row>
    <row r="1309" ht="16" customHeight="1">
      <c r="A1309" s="47" t="n"/>
      <c r="B1309" s="46" t="n"/>
      <c r="C1309" s="49" t="n"/>
      <c r="D1309" s="49" t="n"/>
      <c r="E1309" s="49" t="n"/>
      <c r="F1309" s="49" t="n"/>
      <c r="G1309" s="47" t="n"/>
      <c r="H1309" s="50" t="n"/>
      <c r="I1309" s="51" t="n"/>
      <c r="J1309" s="46" t="n"/>
      <c r="K1309" s="46" t="n"/>
      <c r="L1309" s="23">
        <f>IF(OR($A1309="",$B1309=""),"",IF($K1309&lt;&gt;"",$K1309-$B1309,TODAY()-$B1309))</f>
        <v/>
      </c>
      <c r="M1309" s="27">
        <f>IF(OR($A1309="",$J1309=""),"",IF($K1309="",IF(TODAY()&gt;$J1309,"Atrasado","En ruta"),IF($K1309&lt;=$J1309,"Sí","No")))</f>
        <v/>
      </c>
      <c r="N1309" s="23">
        <f>IF($A1309="","",COUNTIFS(NOVEDADES!$C$4:$C$1503,$A1309))</f>
        <v/>
      </c>
      <c r="O1309" s="27">
        <f>IF($A1309="","",IF(COUNTIFS(NOVEDADES!$C$4:$C$1503,$A1309,NOVEDADES!$M$4:$M$1503,"SÍ")&gt;0,"No","Sí"))</f>
        <v/>
      </c>
      <c r="P1309" s="27">
        <f>IF(OR($A1309="",$K1309=""),"",IF(AND($M1309="Sí",$O1309="Sí"),"OTIF","Falló"))</f>
        <v/>
      </c>
    </row>
    <row r="1310" ht="16" customHeight="1">
      <c r="A1310" s="47" t="n"/>
      <c r="B1310" s="46" t="n"/>
      <c r="C1310" s="49" t="n"/>
      <c r="D1310" s="49" t="n"/>
      <c r="E1310" s="49" t="n"/>
      <c r="F1310" s="49" t="n"/>
      <c r="G1310" s="47" t="n"/>
      <c r="H1310" s="50" t="n"/>
      <c r="I1310" s="51" t="n"/>
      <c r="J1310" s="46" t="n"/>
      <c r="K1310" s="46" t="n"/>
      <c r="L1310" s="23">
        <f>IF(OR($A1310="",$B1310=""),"",IF($K1310&lt;&gt;"",$K1310-$B1310,TODAY()-$B1310))</f>
        <v/>
      </c>
      <c r="M1310" s="27">
        <f>IF(OR($A1310="",$J1310=""),"",IF($K1310="",IF(TODAY()&gt;$J1310,"Atrasado","En ruta"),IF($K1310&lt;=$J1310,"Sí","No")))</f>
        <v/>
      </c>
      <c r="N1310" s="23">
        <f>IF($A1310="","",COUNTIFS(NOVEDADES!$C$4:$C$1503,$A1310))</f>
        <v/>
      </c>
      <c r="O1310" s="27">
        <f>IF($A1310="","",IF(COUNTIFS(NOVEDADES!$C$4:$C$1503,$A1310,NOVEDADES!$M$4:$M$1503,"SÍ")&gt;0,"No","Sí"))</f>
        <v/>
      </c>
      <c r="P1310" s="27">
        <f>IF(OR($A1310="",$K1310=""),"",IF(AND($M1310="Sí",$O1310="Sí"),"OTIF","Falló"))</f>
        <v/>
      </c>
    </row>
    <row r="1311" ht="16" customHeight="1">
      <c r="A1311" s="47" t="n"/>
      <c r="B1311" s="46" t="n"/>
      <c r="C1311" s="49" t="n"/>
      <c r="D1311" s="49" t="n"/>
      <c r="E1311" s="49" t="n"/>
      <c r="F1311" s="49" t="n"/>
      <c r="G1311" s="47" t="n"/>
      <c r="H1311" s="50" t="n"/>
      <c r="I1311" s="51" t="n"/>
      <c r="J1311" s="46" t="n"/>
      <c r="K1311" s="46" t="n"/>
      <c r="L1311" s="23">
        <f>IF(OR($A1311="",$B1311=""),"",IF($K1311&lt;&gt;"",$K1311-$B1311,TODAY()-$B1311))</f>
        <v/>
      </c>
      <c r="M1311" s="27">
        <f>IF(OR($A1311="",$J1311=""),"",IF($K1311="",IF(TODAY()&gt;$J1311,"Atrasado","En ruta"),IF($K1311&lt;=$J1311,"Sí","No")))</f>
        <v/>
      </c>
      <c r="N1311" s="23">
        <f>IF($A1311="","",COUNTIFS(NOVEDADES!$C$4:$C$1503,$A1311))</f>
        <v/>
      </c>
      <c r="O1311" s="27">
        <f>IF($A1311="","",IF(COUNTIFS(NOVEDADES!$C$4:$C$1503,$A1311,NOVEDADES!$M$4:$M$1503,"SÍ")&gt;0,"No","Sí"))</f>
        <v/>
      </c>
      <c r="P1311" s="27">
        <f>IF(OR($A1311="",$K1311=""),"",IF(AND($M1311="Sí",$O1311="Sí"),"OTIF","Falló"))</f>
        <v/>
      </c>
    </row>
    <row r="1312" ht="16" customHeight="1">
      <c r="A1312" s="47" t="n"/>
      <c r="B1312" s="46" t="n"/>
      <c r="C1312" s="49" t="n"/>
      <c r="D1312" s="49" t="n"/>
      <c r="E1312" s="49" t="n"/>
      <c r="F1312" s="49" t="n"/>
      <c r="G1312" s="47" t="n"/>
      <c r="H1312" s="50" t="n"/>
      <c r="I1312" s="51" t="n"/>
      <c r="J1312" s="46" t="n"/>
      <c r="K1312" s="46" t="n"/>
      <c r="L1312" s="23">
        <f>IF(OR($A1312="",$B1312=""),"",IF($K1312&lt;&gt;"",$K1312-$B1312,TODAY()-$B1312))</f>
        <v/>
      </c>
      <c r="M1312" s="27">
        <f>IF(OR($A1312="",$J1312=""),"",IF($K1312="",IF(TODAY()&gt;$J1312,"Atrasado","En ruta"),IF($K1312&lt;=$J1312,"Sí","No")))</f>
        <v/>
      </c>
      <c r="N1312" s="23">
        <f>IF($A1312="","",COUNTIFS(NOVEDADES!$C$4:$C$1503,$A1312))</f>
        <v/>
      </c>
      <c r="O1312" s="27">
        <f>IF($A1312="","",IF(COUNTIFS(NOVEDADES!$C$4:$C$1503,$A1312,NOVEDADES!$M$4:$M$1503,"SÍ")&gt;0,"No","Sí"))</f>
        <v/>
      </c>
      <c r="P1312" s="27">
        <f>IF(OR($A1312="",$K1312=""),"",IF(AND($M1312="Sí",$O1312="Sí"),"OTIF","Falló"))</f>
        <v/>
      </c>
    </row>
    <row r="1313" ht="16" customHeight="1">
      <c r="A1313" s="47" t="n"/>
      <c r="B1313" s="46" t="n"/>
      <c r="C1313" s="49" t="n"/>
      <c r="D1313" s="49" t="n"/>
      <c r="E1313" s="49" t="n"/>
      <c r="F1313" s="49" t="n"/>
      <c r="G1313" s="47" t="n"/>
      <c r="H1313" s="50" t="n"/>
      <c r="I1313" s="51" t="n"/>
      <c r="J1313" s="46" t="n"/>
      <c r="K1313" s="46" t="n"/>
      <c r="L1313" s="23">
        <f>IF(OR($A1313="",$B1313=""),"",IF($K1313&lt;&gt;"",$K1313-$B1313,TODAY()-$B1313))</f>
        <v/>
      </c>
      <c r="M1313" s="27">
        <f>IF(OR($A1313="",$J1313=""),"",IF($K1313="",IF(TODAY()&gt;$J1313,"Atrasado","En ruta"),IF($K1313&lt;=$J1313,"Sí","No")))</f>
        <v/>
      </c>
      <c r="N1313" s="23">
        <f>IF($A1313="","",COUNTIFS(NOVEDADES!$C$4:$C$1503,$A1313))</f>
        <v/>
      </c>
      <c r="O1313" s="27">
        <f>IF($A1313="","",IF(COUNTIFS(NOVEDADES!$C$4:$C$1503,$A1313,NOVEDADES!$M$4:$M$1503,"SÍ")&gt;0,"No","Sí"))</f>
        <v/>
      </c>
      <c r="P1313" s="27">
        <f>IF(OR($A1313="",$K1313=""),"",IF(AND($M1313="Sí",$O1313="Sí"),"OTIF","Falló"))</f>
        <v/>
      </c>
    </row>
    <row r="1314" ht="16" customHeight="1">
      <c r="A1314" s="47" t="n"/>
      <c r="B1314" s="46" t="n"/>
      <c r="C1314" s="49" t="n"/>
      <c r="D1314" s="49" t="n"/>
      <c r="E1314" s="49" t="n"/>
      <c r="F1314" s="49" t="n"/>
      <c r="G1314" s="47" t="n"/>
      <c r="H1314" s="50" t="n"/>
      <c r="I1314" s="51" t="n"/>
      <c r="J1314" s="46" t="n"/>
      <c r="K1314" s="46" t="n"/>
      <c r="L1314" s="23">
        <f>IF(OR($A1314="",$B1314=""),"",IF($K1314&lt;&gt;"",$K1314-$B1314,TODAY()-$B1314))</f>
        <v/>
      </c>
      <c r="M1314" s="27">
        <f>IF(OR($A1314="",$J1314=""),"",IF($K1314="",IF(TODAY()&gt;$J1314,"Atrasado","En ruta"),IF($K1314&lt;=$J1314,"Sí","No")))</f>
        <v/>
      </c>
      <c r="N1314" s="23">
        <f>IF($A1314="","",COUNTIFS(NOVEDADES!$C$4:$C$1503,$A1314))</f>
        <v/>
      </c>
      <c r="O1314" s="27">
        <f>IF($A1314="","",IF(COUNTIFS(NOVEDADES!$C$4:$C$1503,$A1314,NOVEDADES!$M$4:$M$1503,"SÍ")&gt;0,"No","Sí"))</f>
        <v/>
      </c>
      <c r="P1314" s="27">
        <f>IF(OR($A1314="",$K1314=""),"",IF(AND($M1314="Sí",$O1314="Sí"),"OTIF","Falló"))</f>
        <v/>
      </c>
    </row>
    <row r="1315" ht="16" customHeight="1">
      <c r="A1315" s="47" t="n"/>
      <c r="B1315" s="46" t="n"/>
      <c r="C1315" s="49" t="n"/>
      <c r="D1315" s="49" t="n"/>
      <c r="E1315" s="49" t="n"/>
      <c r="F1315" s="49" t="n"/>
      <c r="G1315" s="47" t="n"/>
      <c r="H1315" s="50" t="n"/>
      <c r="I1315" s="51" t="n"/>
      <c r="J1315" s="46" t="n"/>
      <c r="K1315" s="46" t="n"/>
      <c r="L1315" s="23">
        <f>IF(OR($A1315="",$B1315=""),"",IF($K1315&lt;&gt;"",$K1315-$B1315,TODAY()-$B1315))</f>
        <v/>
      </c>
      <c r="M1315" s="27">
        <f>IF(OR($A1315="",$J1315=""),"",IF($K1315="",IF(TODAY()&gt;$J1315,"Atrasado","En ruta"),IF($K1315&lt;=$J1315,"Sí","No")))</f>
        <v/>
      </c>
      <c r="N1315" s="23">
        <f>IF($A1315="","",COUNTIFS(NOVEDADES!$C$4:$C$1503,$A1315))</f>
        <v/>
      </c>
      <c r="O1315" s="27">
        <f>IF($A1315="","",IF(COUNTIFS(NOVEDADES!$C$4:$C$1503,$A1315,NOVEDADES!$M$4:$M$1503,"SÍ")&gt;0,"No","Sí"))</f>
        <v/>
      </c>
      <c r="P1315" s="27">
        <f>IF(OR($A1315="",$K1315=""),"",IF(AND($M1315="Sí",$O1315="Sí"),"OTIF","Falló"))</f>
        <v/>
      </c>
    </row>
    <row r="1316" ht="16" customHeight="1">
      <c r="A1316" s="47" t="n"/>
      <c r="B1316" s="46" t="n"/>
      <c r="C1316" s="49" t="n"/>
      <c r="D1316" s="49" t="n"/>
      <c r="E1316" s="49" t="n"/>
      <c r="F1316" s="49" t="n"/>
      <c r="G1316" s="47" t="n"/>
      <c r="H1316" s="50" t="n"/>
      <c r="I1316" s="51" t="n"/>
      <c r="J1316" s="46" t="n"/>
      <c r="K1316" s="46" t="n"/>
      <c r="L1316" s="23">
        <f>IF(OR($A1316="",$B1316=""),"",IF($K1316&lt;&gt;"",$K1316-$B1316,TODAY()-$B1316))</f>
        <v/>
      </c>
      <c r="M1316" s="27">
        <f>IF(OR($A1316="",$J1316=""),"",IF($K1316="",IF(TODAY()&gt;$J1316,"Atrasado","En ruta"),IF($K1316&lt;=$J1316,"Sí","No")))</f>
        <v/>
      </c>
      <c r="N1316" s="23">
        <f>IF($A1316="","",COUNTIFS(NOVEDADES!$C$4:$C$1503,$A1316))</f>
        <v/>
      </c>
      <c r="O1316" s="27">
        <f>IF($A1316="","",IF(COUNTIFS(NOVEDADES!$C$4:$C$1503,$A1316,NOVEDADES!$M$4:$M$1503,"SÍ")&gt;0,"No","Sí"))</f>
        <v/>
      </c>
      <c r="P1316" s="27">
        <f>IF(OR($A1316="",$K1316=""),"",IF(AND($M1316="Sí",$O1316="Sí"),"OTIF","Falló"))</f>
        <v/>
      </c>
    </row>
    <row r="1317" ht="16" customHeight="1">
      <c r="A1317" s="47" t="n"/>
      <c r="B1317" s="46" t="n"/>
      <c r="C1317" s="49" t="n"/>
      <c r="D1317" s="49" t="n"/>
      <c r="E1317" s="49" t="n"/>
      <c r="F1317" s="49" t="n"/>
      <c r="G1317" s="47" t="n"/>
      <c r="H1317" s="50" t="n"/>
      <c r="I1317" s="51" t="n"/>
      <c r="J1317" s="46" t="n"/>
      <c r="K1317" s="46" t="n"/>
      <c r="L1317" s="23">
        <f>IF(OR($A1317="",$B1317=""),"",IF($K1317&lt;&gt;"",$K1317-$B1317,TODAY()-$B1317))</f>
        <v/>
      </c>
      <c r="M1317" s="27">
        <f>IF(OR($A1317="",$J1317=""),"",IF($K1317="",IF(TODAY()&gt;$J1317,"Atrasado","En ruta"),IF($K1317&lt;=$J1317,"Sí","No")))</f>
        <v/>
      </c>
      <c r="N1317" s="23">
        <f>IF($A1317="","",COUNTIFS(NOVEDADES!$C$4:$C$1503,$A1317))</f>
        <v/>
      </c>
      <c r="O1317" s="27">
        <f>IF($A1317="","",IF(COUNTIFS(NOVEDADES!$C$4:$C$1503,$A1317,NOVEDADES!$M$4:$M$1503,"SÍ")&gt;0,"No","Sí"))</f>
        <v/>
      </c>
      <c r="P1317" s="27">
        <f>IF(OR($A1317="",$K1317=""),"",IF(AND($M1317="Sí",$O1317="Sí"),"OTIF","Falló"))</f>
        <v/>
      </c>
    </row>
    <row r="1318" ht="16" customHeight="1">
      <c r="A1318" s="47" t="n"/>
      <c r="B1318" s="46" t="n"/>
      <c r="C1318" s="49" t="n"/>
      <c r="D1318" s="49" t="n"/>
      <c r="E1318" s="49" t="n"/>
      <c r="F1318" s="49" t="n"/>
      <c r="G1318" s="47" t="n"/>
      <c r="H1318" s="50" t="n"/>
      <c r="I1318" s="51" t="n"/>
      <c r="J1318" s="46" t="n"/>
      <c r="K1318" s="46" t="n"/>
      <c r="L1318" s="23">
        <f>IF(OR($A1318="",$B1318=""),"",IF($K1318&lt;&gt;"",$K1318-$B1318,TODAY()-$B1318))</f>
        <v/>
      </c>
      <c r="M1318" s="27">
        <f>IF(OR($A1318="",$J1318=""),"",IF($K1318="",IF(TODAY()&gt;$J1318,"Atrasado","En ruta"),IF($K1318&lt;=$J1318,"Sí","No")))</f>
        <v/>
      </c>
      <c r="N1318" s="23">
        <f>IF($A1318="","",COUNTIFS(NOVEDADES!$C$4:$C$1503,$A1318))</f>
        <v/>
      </c>
      <c r="O1318" s="27">
        <f>IF($A1318="","",IF(COUNTIFS(NOVEDADES!$C$4:$C$1503,$A1318,NOVEDADES!$M$4:$M$1503,"SÍ")&gt;0,"No","Sí"))</f>
        <v/>
      </c>
      <c r="P1318" s="27">
        <f>IF(OR($A1318="",$K1318=""),"",IF(AND($M1318="Sí",$O1318="Sí"),"OTIF","Falló"))</f>
        <v/>
      </c>
    </row>
    <row r="1319" ht="16" customHeight="1">
      <c r="A1319" s="47" t="n"/>
      <c r="B1319" s="46" t="n"/>
      <c r="C1319" s="49" t="n"/>
      <c r="D1319" s="49" t="n"/>
      <c r="E1319" s="49" t="n"/>
      <c r="F1319" s="49" t="n"/>
      <c r="G1319" s="47" t="n"/>
      <c r="H1319" s="50" t="n"/>
      <c r="I1319" s="51" t="n"/>
      <c r="J1319" s="46" t="n"/>
      <c r="K1319" s="46" t="n"/>
      <c r="L1319" s="23">
        <f>IF(OR($A1319="",$B1319=""),"",IF($K1319&lt;&gt;"",$K1319-$B1319,TODAY()-$B1319))</f>
        <v/>
      </c>
      <c r="M1319" s="27">
        <f>IF(OR($A1319="",$J1319=""),"",IF($K1319="",IF(TODAY()&gt;$J1319,"Atrasado","En ruta"),IF($K1319&lt;=$J1319,"Sí","No")))</f>
        <v/>
      </c>
      <c r="N1319" s="23">
        <f>IF($A1319="","",COUNTIFS(NOVEDADES!$C$4:$C$1503,$A1319))</f>
        <v/>
      </c>
      <c r="O1319" s="27">
        <f>IF($A1319="","",IF(COUNTIFS(NOVEDADES!$C$4:$C$1503,$A1319,NOVEDADES!$M$4:$M$1503,"SÍ")&gt;0,"No","Sí"))</f>
        <v/>
      </c>
      <c r="P1319" s="27">
        <f>IF(OR($A1319="",$K1319=""),"",IF(AND($M1319="Sí",$O1319="Sí"),"OTIF","Falló"))</f>
        <v/>
      </c>
    </row>
    <row r="1320" ht="16" customHeight="1">
      <c r="A1320" s="47" t="n"/>
      <c r="B1320" s="46" t="n"/>
      <c r="C1320" s="49" t="n"/>
      <c r="D1320" s="49" t="n"/>
      <c r="E1320" s="49" t="n"/>
      <c r="F1320" s="49" t="n"/>
      <c r="G1320" s="47" t="n"/>
      <c r="H1320" s="50" t="n"/>
      <c r="I1320" s="51" t="n"/>
      <c r="J1320" s="46" t="n"/>
      <c r="K1320" s="46" t="n"/>
      <c r="L1320" s="23">
        <f>IF(OR($A1320="",$B1320=""),"",IF($K1320&lt;&gt;"",$K1320-$B1320,TODAY()-$B1320))</f>
        <v/>
      </c>
      <c r="M1320" s="27">
        <f>IF(OR($A1320="",$J1320=""),"",IF($K1320="",IF(TODAY()&gt;$J1320,"Atrasado","En ruta"),IF($K1320&lt;=$J1320,"Sí","No")))</f>
        <v/>
      </c>
      <c r="N1320" s="23">
        <f>IF($A1320="","",COUNTIFS(NOVEDADES!$C$4:$C$1503,$A1320))</f>
        <v/>
      </c>
      <c r="O1320" s="27">
        <f>IF($A1320="","",IF(COUNTIFS(NOVEDADES!$C$4:$C$1503,$A1320,NOVEDADES!$M$4:$M$1503,"SÍ")&gt;0,"No","Sí"))</f>
        <v/>
      </c>
      <c r="P1320" s="27">
        <f>IF(OR($A1320="",$K1320=""),"",IF(AND($M1320="Sí",$O1320="Sí"),"OTIF","Falló"))</f>
        <v/>
      </c>
    </row>
    <row r="1321" ht="16" customHeight="1">
      <c r="A1321" s="47" t="n"/>
      <c r="B1321" s="46" t="n"/>
      <c r="C1321" s="49" t="n"/>
      <c r="D1321" s="49" t="n"/>
      <c r="E1321" s="49" t="n"/>
      <c r="F1321" s="49" t="n"/>
      <c r="G1321" s="47" t="n"/>
      <c r="H1321" s="50" t="n"/>
      <c r="I1321" s="51" t="n"/>
      <c r="J1321" s="46" t="n"/>
      <c r="K1321" s="46" t="n"/>
      <c r="L1321" s="23">
        <f>IF(OR($A1321="",$B1321=""),"",IF($K1321&lt;&gt;"",$K1321-$B1321,TODAY()-$B1321))</f>
        <v/>
      </c>
      <c r="M1321" s="27">
        <f>IF(OR($A1321="",$J1321=""),"",IF($K1321="",IF(TODAY()&gt;$J1321,"Atrasado","En ruta"),IF($K1321&lt;=$J1321,"Sí","No")))</f>
        <v/>
      </c>
      <c r="N1321" s="23">
        <f>IF($A1321="","",COUNTIFS(NOVEDADES!$C$4:$C$1503,$A1321))</f>
        <v/>
      </c>
      <c r="O1321" s="27">
        <f>IF($A1321="","",IF(COUNTIFS(NOVEDADES!$C$4:$C$1503,$A1321,NOVEDADES!$M$4:$M$1503,"SÍ")&gt;0,"No","Sí"))</f>
        <v/>
      </c>
      <c r="P1321" s="27">
        <f>IF(OR($A1321="",$K1321=""),"",IF(AND($M1321="Sí",$O1321="Sí"),"OTIF","Falló"))</f>
        <v/>
      </c>
    </row>
    <row r="1322" ht="16" customHeight="1">
      <c r="A1322" s="47" t="n"/>
      <c r="B1322" s="46" t="n"/>
      <c r="C1322" s="49" t="n"/>
      <c r="D1322" s="49" t="n"/>
      <c r="E1322" s="49" t="n"/>
      <c r="F1322" s="49" t="n"/>
      <c r="G1322" s="47" t="n"/>
      <c r="H1322" s="50" t="n"/>
      <c r="I1322" s="51" t="n"/>
      <c r="J1322" s="46" t="n"/>
      <c r="K1322" s="46" t="n"/>
      <c r="L1322" s="23">
        <f>IF(OR($A1322="",$B1322=""),"",IF($K1322&lt;&gt;"",$K1322-$B1322,TODAY()-$B1322))</f>
        <v/>
      </c>
      <c r="M1322" s="27">
        <f>IF(OR($A1322="",$J1322=""),"",IF($K1322="",IF(TODAY()&gt;$J1322,"Atrasado","En ruta"),IF($K1322&lt;=$J1322,"Sí","No")))</f>
        <v/>
      </c>
      <c r="N1322" s="23">
        <f>IF($A1322="","",COUNTIFS(NOVEDADES!$C$4:$C$1503,$A1322))</f>
        <v/>
      </c>
      <c r="O1322" s="27">
        <f>IF($A1322="","",IF(COUNTIFS(NOVEDADES!$C$4:$C$1503,$A1322,NOVEDADES!$M$4:$M$1503,"SÍ")&gt;0,"No","Sí"))</f>
        <v/>
      </c>
      <c r="P1322" s="27">
        <f>IF(OR($A1322="",$K1322=""),"",IF(AND($M1322="Sí",$O1322="Sí"),"OTIF","Falló"))</f>
        <v/>
      </c>
    </row>
    <row r="1323" ht="16" customHeight="1">
      <c r="A1323" s="47" t="n"/>
      <c r="B1323" s="46" t="n"/>
      <c r="C1323" s="49" t="n"/>
      <c r="D1323" s="49" t="n"/>
      <c r="E1323" s="49" t="n"/>
      <c r="F1323" s="49" t="n"/>
      <c r="G1323" s="47" t="n"/>
      <c r="H1323" s="50" t="n"/>
      <c r="I1323" s="51" t="n"/>
      <c r="J1323" s="46" t="n"/>
      <c r="K1323" s="46" t="n"/>
      <c r="L1323" s="23">
        <f>IF(OR($A1323="",$B1323=""),"",IF($K1323&lt;&gt;"",$K1323-$B1323,TODAY()-$B1323))</f>
        <v/>
      </c>
      <c r="M1323" s="27">
        <f>IF(OR($A1323="",$J1323=""),"",IF($K1323="",IF(TODAY()&gt;$J1323,"Atrasado","En ruta"),IF($K1323&lt;=$J1323,"Sí","No")))</f>
        <v/>
      </c>
      <c r="N1323" s="23">
        <f>IF($A1323="","",COUNTIFS(NOVEDADES!$C$4:$C$1503,$A1323))</f>
        <v/>
      </c>
      <c r="O1323" s="27">
        <f>IF($A1323="","",IF(COUNTIFS(NOVEDADES!$C$4:$C$1503,$A1323,NOVEDADES!$M$4:$M$1503,"SÍ")&gt;0,"No","Sí"))</f>
        <v/>
      </c>
      <c r="P1323" s="27">
        <f>IF(OR($A1323="",$K1323=""),"",IF(AND($M1323="Sí",$O1323="Sí"),"OTIF","Falló"))</f>
        <v/>
      </c>
    </row>
    <row r="1324" ht="16" customHeight="1">
      <c r="A1324" s="47" t="n"/>
      <c r="B1324" s="46" t="n"/>
      <c r="C1324" s="49" t="n"/>
      <c r="D1324" s="49" t="n"/>
      <c r="E1324" s="49" t="n"/>
      <c r="F1324" s="49" t="n"/>
      <c r="G1324" s="47" t="n"/>
      <c r="H1324" s="50" t="n"/>
      <c r="I1324" s="51" t="n"/>
      <c r="J1324" s="46" t="n"/>
      <c r="K1324" s="46" t="n"/>
      <c r="L1324" s="23">
        <f>IF(OR($A1324="",$B1324=""),"",IF($K1324&lt;&gt;"",$K1324-$B1324,TODAY()-$B1324))</f>
        <v/>
      </c>
      <c r="M1324" s="27">
        <f>IF(OR($A1324="",$J1324=""),"",IF($K1324="",IF(TODAY()&gt;$J1324,"Atrasado","En ruta"),IF($K1324&lt;=$J1324,"Sí","No")))</f>
        <v/>
      </c>
      <c r="N1324" s="23">
        <f>IF($A1324="","",COUNTIFS(NOVEDADES!$C$4:$C$1503,$A1324))</f>
        <v/>
      </c>
      <c r="O1324" s="27">
        <f>IF($A1324="","",IF(COUNTIFS(NOVEDADES!$C$4:$C$1503,$A1324,NOVEDADES!$M$4:$M$1503,"SÍ")&gt;0,"No","Sí"))</f>
        <v/>
      </c>
      <c r="P1324" s="27">
        <f>IF(OR($A1324="",$K1324=""),"",IF(AND($M1324="Sí",$O1324="Sí"),"OTIF","Falló"))</f>
        <v/>
      </c>
    </row>
    <row r="1325" ht="16" customHeight="1">
      <c r="A1325" s="47" t="n"/>
      <c r="B1325" s="46" t="n"/>
      <c r="C1325" s="49" t="n"/>
      <c r="D1325" s="49" t="n"/>
      <c r="E1325" s="49" t="n"/>
      <c r="F1325" s="49" t="n"/>
      <c r="G1325" s="47" t="n"/>
      <c r="H1325" s="50" t="n"/>
      <c r="I1325" s="51" t="n"/>
      <c r="J1325" s="46" t="n"/>
      <c r="K1325" s="46" t="n"/>
      <c r="L1325" s="23">
        <f>IF(OR($A1325="",$B1325=""),"",IF($K1325&lt;&gt;"",$K1325-$B1325,TODAY()-$B1325))</f>
        <v/>
      </c>
      <c r="M1325" s="27">
        <f>IF(OR($A1325="",$J1325=""),"",IF($K1325="",IF(TODAY()&gt;$J1325,"Atrasado","En ruta"),IF($K1325&lt;=$J1325,"Sí","No")))</f>
        <v/>
      </c>
      <c r="N1325" s="23">
        <f>IF($A1325="","",COUNTIFS(NOVEDADES!$C$4:$C$1503,$A1325))</f>
        <v/>
      </c>
      <c r="O1325" s="27">
        <f>IF($A1325="","",IF(COUNTIFS(NOVEDADES!$C$4:$C$1503,$A1325,NOVEDADES!$M$4:$M$1503,"SÍ")&gt;0,"No","Sí"))</f>
        <v/>
      </c>
      <c r="P1325" s="27">
        <f>IF(OR($A1325="",$K1325=""),"",IF(AND($M1325="Sí",$O1325="Sí"),"OTIF","Falló"))</f>
        <v/>
      </c>
    </row>
    <row r="1326" ht="16" customHeight="1">
      <c r="A1326" s="47" t="n"/>
      <c r="B1326" s="46" t="n"/>
      <c r="C1326" s="49" t="n"/>
      <c r="D1326" s="49" t="n"/>
      <c r="E1326" s="49" t="n"/>
      <c r="F1326" s="49" t="n"/>
      <c r="G1326" s="47" t="n"/>
      <c r="H1326" s="50" t="n"/>
      <c r="I1326" s="51" t="n"/>
      <c r="J1326" s="46" t="n"/>
      <c r="K1326" s="46" t="n"/>
      <c r="L1326" s="23">
        <f>IF(OR($A1326="",$B1326=""),"",IF($K1326&lt;&gt;"",$K1326-$B1326,TODAY()-$B1326))</f>
        <v/>
      </c>
      <c r="M1326" s="27">
        <f>IF(OR($A1326="",$J1326=""),"",IF($K1326="",IF(TODAY()&gt;$J1326,"Atrasado","En ruta"),IF($K1326&lt;=$J1326,"Sí","No")))</f>
        <v/>
      </c>
      <c r="N1326" s="23">
        <f>IF($A1326="","",COUNTIFS(NOVEDADES!$C$4:$C$1503,$A1326))</f>
        <v/>
      </c>
      <c r="O1326" s="27">
        <f>IF($A1326="","",IF(COUNTIFS(NOVEDADES!$C$4:$C$1503,$A1326,NOVEDADES!$M$4:$M$1503,"SÍ")&gt;0,"No","Sí"))</f>
        <v/>
      </c>
      <c r="P1326" s="27">
        <f>IF(OR($A1326="",$K1326=""),"",IF(AND($M1326="Sí",$O1326="Sí"),"OTIF","Falló"))</f>
        <v/>
      </c>
    </row>
    <row r="1327" ht="16" customHeight="1">
      <c r="A1327" s="47" t="n"/>
      <c r="B1327" s="46" t="n"/>
      <c r="C1327" s="49" t="n"/>
      <c r="D1327" s="49" t="n"/>
      <c r="E1327" s="49" t="n"/>
      <c r="F1327" s="49" t="n"/>
      <c r="G1327" s="47" t="n"/>
      <c r="H1327" s="50" t="n"/>
      <c r="I1327" s="51" t="n"/>
      <c r="J1327" s="46" t="n"/>
      <c r="K1327" s="46" t="n"/>
      <c r="L1327" s="23">
        <f>IF(OR($A1327="",$B1327=""),"",IF($K1327&lt;&gt;"",$K1327-$B1327,TODAY()-$B1327))</f>
        <v/>
      </c>
      <c r="M1327" s="27">
        <f>IF(OR($A1327="",$J1327=""),"",IF($K1327="",IF(TODAY()&gt;$J1327,"Atrasado","En ruta"),IF($K1327&lt;=$J1327,"Sí","No")))</f>
        <v/>
      </c>
      <c r="N1327" s="23">
        <f>IF($A1327="","",COUNTIFS(NOVEDADES!$C$4:$C$1503,$A1327))</f>
        <v/>
      </c>
      <c r="O1327" s="27">
        <f>IF($A1327="","",IF(COUNTIFS(NOVEDADES!$C$4:$C$1503,$A1327,NOVEDADES!$M$4:$M$1503,"SÍ")&gt;0,"No","Sí"))</f>
        <v/>
      </c>
      <c r="P1327" s="27">
        <f>IF(OR($A1327="",$K1327=""),"",IF(AND($M1327="Sí",$O1327="Sí"),"OTIF","Falló"))</f>
        <v/>
      </c>
    </row>
    <row r="1328" ht="16" customHeight="1">
      <c r="A1328" s="47" t="n"/>
      <c r="B1328" s="46" t="n"/>
      <c r="C1328" s="49" t="n"/>
      <c r="D1328" s="49" t="n"/>
      <c r="E1328" s="49" t="n"/>
      <c r="F1328" s="49" t="n"/>
      <c r="G1328" s="47" t="n"/>
      <c r="H1328" s="50" t="n"/>
      <c r="I1328" s="51" t="n"/>
      <c r="J1328" s="46" t="n"/>
      <c r="K1328" s="46" t="n"/>
      <c r="L1328" s="23">
        <f>IF(OR($A1328="",$B1328=""),"",IF($K1328&lt;&gt;"",$K1328-$B1328,TODAY()-$B1328))</f>
        <v/>
      </c>
      <c r="M1328" s="27">
        <f>IF(OR($A1328="",$J1328=""),"",IF($K1328="",IF(TODAY()&gt;$J1328,"Atrasado","En ruta"),IF($K1328&lt;=$J1328,"Sí","No")))</f>
        <v/>
      </c>
      <c r="N1328" s="23">
        <f>IF($A1328="","",COUNTIFS(NOVEDADES!$C$4:$C$1503,$A1328))</f>
        <v/>
      </c>
      <c r="O1328" s="27">
        <f>IF($A1328="","",IF(COUNTIFS(NOVEDADES!$C$4:$C$1503,$A1328,NOVEDADES!$M$4:$M$1503,"SÍ")&gt;0,"No","Sí"))</f>
        <v/>
      </c>
      <c r="P1328" s="27">
        <f>IF(OR($A1328="",$K1328=""),"",IF(AND($M1328="Sí",$O1328="Sí"),"OTIF","Falló"))</f>
        <v/>
      </c>
    </row>
    <row r="1329" ht="16" customHeight="1">
      <c r="A1329" s="47" t="n"/>
      <c r="B1329" s="46" t="n"/>
      <c r="C1329" s="49" t="n"/>
      <c r="D1329" s="49" t="n"/>
      <c r="E1329" s="49" t="n"/>
      <c r="F1329" s="49" t="n"/>
      <c r="G1329" s="47" t="n"/>
      <c r="H1329" s="50" t="n"/>
      <c r="I1329" s="51" t="n"/>
      <c r="J1329" s="46" t="n"/>
      <c r="K1329" s="46" t="n"/>
      <c r="L1329" s="23">
        <f>IF(OR($A1329="",$B1329=""),"",IF($K1329&lt;&gt;"",$K1329-$B1329,TODAY()-$B1329))</f>
        <v/>
      </c>
      <c r="M1329" s="27">
        <f>IF(OR($A1329="",$J1329=""),"",IF($K1329="",IF(TODAY()&gt;$J1329,"Atrasado","En ruta"),IF($K1329&lt;=$J1329,"Sí","No")))</f>
        <v/>
      </c>
      <c r="N1329" s="23">
        <f>IF($A1329="","",COUNTIFS(NOVEDADES!$C$4:$C$1503,$A1329))</f>
        <v/>
      </c>
      <c r="O1329" s="27">
        <f>IF($A1329="","",IF(COUNTIFS(NOVEDADES!$C$4:$C$1503,$A1329,NOVEDADES!$M$4:$M$1503,"SÍ")&gt;0,"No","Sí"))</f>
        <v/>
      </c>
      <c r="P1329" s="27">
        <f>IF(OR($A1329="",$K1329=""),"",IF(AND($M1329="Sí",$O1329="Sí"),"OTIF","Falló"))</f>
        <v/>
      </c>
    </row>
    <row r="1330" ht="16" customHeight="1">
      <c r="A1330" s="47" t="n"/>
      <c r="B1330" s="46" t="n"/>
      <c r="C1330" s="49" t="n"/>
      <c r="D1330" s="49" t="n"/>
      <c r="E1330" s="49" t="n"/>
      <c r="F1330" s="49" t="n"/>
      <c r="G1330" s="47" t="n"/>
      <c r="H1330" s="50" t="n"/>
      <c r="I1330" s="51" t="n"/>
      <c r="J1330" s="46" t="n"/>
      <c r="K1330" s="46" t="n"/>
      <c r="L1330" s="23">
        <f>IF(OR($A1330="",$B1330=""),"",IF($K1330&lt;&gt;"",$K1330-$B1330,TODAY()-$B1330))</f>
        <v/>
      </c>
      <c r="M1330" s="27">
        <f>IF(OR($A1330="",$J1330=""),"",IF($K1330="",IF(TODAY()&gt;$J1330,"Atrasado","En ruta"),IF($K1330&lt;=$J1330,"Sí","No")))</f>
        <v/>
      </c>
      <c r="N1330" s="23">
        <f>IF($A1330="","",COUNTIFS(NOVEDADES!$C$4:$C$1503,$A1330))</f>
        <v/>
      </c>
      <c r="O1330" s="27">
        <f>IF($A1330="","",IF(COUNTIFS(NOVEDADES!$C$4:$C$1503,$A1330,NOVEDADES!$M$4:$M$1503,"SÍ")&gt;0,"No","Sí"))</f>
        <v/>
      </c>
      <c r="P1330" s="27">
        <f>IF(OR($A1330="",$K1330=""),"",IF(AND($M1330="Sí",$O1330="Sí"),"OTIF","Falló"))</f>
        <v/>
      </c>
    </row>
    <row r="1331" ht="16" customHeight="1">
      <c r="A1331" s="47" t="n"/>
      <c r="B1331" s="46" t="n"/>
      <c r="C1331" s="49" t="n"/>
      <c r="D1331" s="49" t="n"/>
      <c r="E1331" s="49" t="n"/>
      <c r="F1331" s="49" t="n"/>
      <c r="G1331" s="47" t="n"/>
      <c r="H1331" s="50" t="n"/>
      <c r="I1331" s="51" t="n"/>
      <c r="J1331" s="46" t="n"/>
      <c r="K1331" s="46" t="n"/>
      <c r="L1331" s="23">
        <f>IF(OR($A1331="",$B1331=""),"",IF($K1331&lt;&gt;"",$K1331-$B1331,TODAY()-$B1331))</f>
        <v/>
      </c>
      <c r="M1331" s="27">
        <f>IF(OR($A1331="",$J1331=""),"",IF($K1331="",IF(TODAY()&gt;$J1331,"Atrasado","En ruta"),IF($K1331&lt;=$J1331,"Sí","No")))</f>
        <v/>
      </c>
      <c r="N1331" s="23">
        <f>IF($A1331="","",COUNTIFS(NOVEDADES!$C$4:$C$1503,$A1331))</f>
        <v/>
      </c>
      <c r="O1331" s="27">
        <f>IF($A1331="","",IF(COUNTIFS(NOVEDADES!$C$4:$C$1503,$A1331,NOVEDADES!$M$4:$M$1503,"SÍ")&gt;0,"No","Sí"))</f>
        <v/>
      </c>
      <c r="P1331" s="27">
        <f>IF(OR($A1331="",$K1331=""),"",IF(AND($M1331="Sí",$O1331="Sí"),"OTIF","Falló"))</f>
        <v/>
      </c>
    </row>
    <row r="1332" ht="16" customHeight="1">
      <c r="A1332" s="47" t="n"/>
      <c r="B1332" s="46" t="n"/>
      <c r="C1332" s="49" t="n"/>
      <c r="D1332" s="49" t="n"/>
      <c r="E1332" s="49" t="n"/>
      <c r="F1332" s="49" t="n"/>
      <c r="G1332" s="47" t="n"/>
      <c r="H1332" s="50" t="n"/>
      <c r="I1332" s="51" t="n"/>
      <c r="J1332" s="46" t="n"/>
      <c r="K1332" s="46" t="n"/>
      <c r="L1332" s="23">
        <f>IF(OR($A1332="",$B1332=""),"",IF($K1332&lt;&gt;"",$K1332-$B1332,TODAY()-$B1332))</f>
        <v/>
      </c>
      <c r="M1332" s="27">
        <f>IF(OR($A1332="",$J1332=""),"",IF($K1332="",IF(TODAY()&gt;$J1332,"Atrasado","En ruta"),IF($K1332&lt;=$J1332,"Sí","No")))</f>
        <v/>
      </c>
      <c r="N1332" s="23">
        <f>IF($A1332="","",COUNTIFS(NOVEDADES!$C$4:$C$1503,$A1332))</f>
        <v/>
      </c>
      <c r="O1332" s="27">
        <f>IF($A1332="","",IF(COUNTIFS(NOVEDADES!$C$4:$C$1503,$A1332,NOVEDADES!$M$4:$M$1503,"SÍ")&gt;0,"No","Sí"))</f>
        <v/>
      </c>
      <c r="P1332" s="27">
        <f>IF(OR($A1332="",$K1332=""),"",IF(AND($M1332="Sí",$O1332="Sí"),"OTIF","Falló"))</f>
        <v/>
      </c>
    </row>
    <row r="1333" ht="16" customHeight="1">
      <c r="A1333" s="47" t="n"/>
      <c r="B1333" s="46" t="n"/>
      <c r="C1333" s="49" t="n"/>
      <c r="D1333" s="49" t="n"/>
      <c r="E1333" s="49" t="n"/>
      <c r="F1333" s="49" t="n"/>
      <c r="G1333" s="47" t="n"/>
      <c r="H1333" s="50" t="n"/>
      <c r="I1333" s="51" t="n"/>
      <c r="J1333" s="46" t="n"/>
      <c r="K1333" s="46" t="n"/>
      <c r="L1333" s="23">
        <f>IF(OR($A1333="",$B1333=""),"",IF($K1333&lt;&gt;"",$K1333-$B1333,TODAY()-$B1333))</f>
        <v/>
      </c>
      <c r="M1333" s="27">
        <f>IF(OR($A1333="",$J1333=""),"",IF($K1333="",IF(TODAY()&gt;$J1333,"Atrasado","En ruta"),IF($K1333&lt;=$J1333,"Sí","No")))</f>
        <v/>
      </c>
      <c r="N1333" s="23">
        <f>IF($A1333="","",COUNTIFS(NOVEDADES!$C$4:$C$1503,$A1333))</f>
        <v/>
      </c>
      <c r="O1333" s="27">
        <f>IF($A1333="","",IF(COUNTIFS(NOVEDADES!$C$4:$C$1503,$A1333,NOVEDADES!$M$4:$M$1503,"SÍ")&gt;0,"No","Sí"))</f>
        <v/>
      </c>
      <c r="P1333" s="27">
        <f>IF(OR($A1333="",$K1333=""),"",IF(AND($M1333="Sí",$O1333="Sí"),"OTIF","Falló"))</f>
        <v/>
      </c>
    </row>
    <row r="1334" ht="16" customHeight="1">
      <c r="A1334" s="47" t="n"/>
      <c r="B1334" s="46" t="n"/>
      <c r="C1334" s="49" t="n"/>
      <c r="D1334" s="49" t="n"/>
      <c r="E1334" s="49" t="n"/>
      <c r="F1334" s="49" t="n"/>
      <c r="G1334" s="47" t="n"/>
      <c r="H1334" s="50" t="n"/>
      <c r="I1334" s="51" t="n"/>
      <c r="J1334" s="46" t="n"/>
      <c r="K1334" s="46" t="n"/>
      <c r="L1334" s="23">
        <f>IF(OR($A1334="",$B1334=""),"",IF($K1334&lt;&gt;"",$K1334-$B1334,TODAY()-$B1334))</f>
        <v/>
      </c>
      <c r="M1334" s="27">
        <f>IF(OR($A1334="",$J1334=""),"",IF($K1334="",IF(TODAY()&gt;$J1334,"Atrasado","En ruta"),IF($K1334&lt;=$J1334,"Sí","No")))</f>
        <v/>
      </c>
      <c r="N1334" s="23">
        <f>IF($A1334="","",COUNTIFS(NOVEDADES!$C$4:$C$1503,$A1334))</f>
        <v/>
      </c>
      <c r="O1334" s="27">
        <f>IF($A1334="","",IF(COUNTIFS(NOVEDADES!$C$4:$C$1503,$A1334,NOVEDADES!$M$4:$M$1503,"SÍ")&gt;0,"No","Sí"))</f>
        <v/>
      </c>
      <c r="P1334" s="27">
        <f>IF(OR($A1334="",$K1334=""),"",IF(AND($M1334="Sí",$O1334="Sí"),"OTIF","Falló"))</f>
        <v/>
      </c>
    </row>
    <row r="1335" ht="16" customHeight="1">
      <c r="A1335" s="47" t="n"/>
      <c r="B1335" s="46" t="n"/>
      <c r="C1335" s="49" t="n"/>
      <c r="D1335" s="49" t="n"/>
      <c r="E1335" s="49" t="n"/>
      <c r="F1335" s="49" t="n"/>
      <c r="G1335" s="47" t="n"/>
      <c r="H1335" s="50" t="n"/>
      <c r="I1335" s="51" t="n"/>
      <c r="J1335" s="46" t="n"/>
      <c r="K1335" s="46" t="n"/>
      <c r="L1335" s="23">
        <f>IF(OR($A1335="",$B1335=""),"",IF($K1335&lt;&gt;"",$K1335-$B1335,TODAY()-$B1335))</f>
        <v/>
      </c>
      <c r="M1335" s="27">
        <f>IF(OR($A1335="",$J1335=""),"",IF($K1335="",IF(TODAY()&gt;$J1335,"Atrasado","En ruta"),IF($K1335&lt;=$J1335,"Sí","No")))</f>
        <v/>
      </c>
      <c r="N1335" s="23">
        <f>IF($A1335="","",COUNTIFS(NOVEDADES!$C$4:$C$1503,$A1335))</f>
        <v/>
      </c>
      <c r="O1335" s="27">
        <f>IF($A1335="","",IF(COUNTIFS(NOVEDADES!$C$4:$C$1503,$A1335,NOVEDADES!$M$4:$M$1503,"SÍ")&gt;0,"No","Sí"))</f>
        <v/>
      </c>
      <c r="P1335" s="27">
        <f>IF(OR($A1335="",$K1335=""),"",IF(AND($M1335="Sí",$O1335="Sí"),"OTIF","Falló"))</f>
        <v/>
      </c>
    </row>
    <row r="1336" ht="16" customHeight="1">
      <c r="A1336" s="47" t="n"/>
      <c r="B1336" s="46" t="n"/>
      <c r="C1336" s="49" t="n"/>
      <c r="D1336" s="49" t="n"/>
      <c r="E1336" s="49" t="n"/>
      <c r="F1336" s="49" t="n"/>
      <c r="G1336" s="47" t="n"/>
      <c r="H1336" s="50" t="n"/>
      <c r="I1336" s="51" t="n"/>
      <c r="J1336" s="46" t="n"/>
      <c r="K1336" s="46" t="n"/>
      <c r="L1336" s="23">
        <f>IF(OR($A1336="",$B1336=""),"",IF($K1336&lt;&gt;"",$K1336-$B1336,TODAY()-$B1336))</f>
        <v/>
      </c>
      <c r="M1336" s="27">
        <f>IF(OR($A1336="",$J1336=""),"",IF($K1336="",IF(TODAY()&gt;$J1336,"Atrasado","En ruta"),IF($K1336&lt;=$J1336,"Sí","No")))</f>
        <v/>
      </c>
      <c r="N1336" s="23">
        <f>IF($A1336="","",COUNTIFS(NOVEDADES!$C$4:$C$1503,$A1336))</f>
        <v/>
      </c>
      <c r="O1336" s="27">
        <f>IF($A1336="","",IF(COUNTIFS(NOVEDADES!$C$4:$C$1503,$A1336,NOVEDADES!$M$4:$M$1503,"SÍ")&gt;0,"No","Sí"))</f>
        <v/>
      </c>
      <c r="P1336" s="27">
        <f>IF(OR($A1336="",$K1336=""),"",IF(AND($M1336="Sí",$O1336="Sí"),"OTIF","Falló"))</f>
        <v/>
      </c>
    </row>
    <row r="1337" ht="16" customHeight="1">
      <c r="A1337" s="47" t="n"/>
      <c r="B1337" s="46" t="n"/>
      <c r="C1337" s="49" t="n"/>
      <c r="D1337" s="49" t="n"/>
      <c r="E1337" s="49" t="n"/>
      <c r="F1337" s="49" t="n"/>
      <c r="G1337" s="47" t="n"/>
      <c r="H1337" s="50" t="n"/>
      <c r="I1337" s="51" t="n"/>
      <c r="J1337" s="46" t="n"/>
      <c r="K1337" s="46" t="n"/>
      <c r="L1337" s="23">
        <f>IF(OR($A1337="",$B1337=""),"",IF($K1337&lt;&gt;"",$K1337-$B1337,TODAY()-$B1337))</f>
        <v/>
      </c>
      <c r="M1337" s="27">
        <f>IF(OR($A1337="",$J1337=""),"",IF($K1337="",IF(TODAY()&gt;$J1337,"Atrasado","En ruta"),IF($K1337&lt;=$J1337,"Sí","No")))</f>
        <v/>
      </c>
      <c r="N1337" s="23">
        <f>IF($A1337="","",COUNTIFS(NOVEDADES!$C$4:$C$1503,$A1337))</f>
        <v/>
      </c>
      <c r="O1337" s="27">
        <f>IF($A1337="","",IF(COUNTIFS(NOVEDADES!$C$4:$C$1503,$A1337,NOVEDADES!$M$4:$M$1503,"SÍ")&gt;0,"No","Sí"))</f>
        <v/>
      </c>
      <c r="P1337" s="27">
        <f>IF(OR($A1337="",$K1337=""),"",IF(AND($M1337="Sí",$O1337="Sí"),"OTIF","Falló"))</f>
        <v/>
      </c>
    </row>
    <row r="1338" ht="16" customHeight="1">
      <c r="A1338" s="47" t="n"/>
      <c r="B1338" s="46" t="n"/>
      <c r="C1338" s="49" t="n"/>
      <c r="D1338" s="49" t="n"/>
      <c r="E1338" s="49" t="n"/>
      <c r="F1338" s="49" t="n"/>
      <c r="G1338" s="47" t="n"/>
      <c r="H1338" s="50" t="n"/>
      <c r="I1338" s="51" t="n"/>
      <c r="J1338" s="46" t="n"/>
      <c r="K1338" s="46" t="n"/>
      <c r="L1338" s="23">
        <f>IF(OR($A1338="",$B1338=""),"",IF($K1338&lt;&gt;"",$K1338-$B1338,TODAY()-$B1338))</f>
        <v/>
      </c>
      <c r="M1338" s="27">
        <f>IF(OR($A1338="",$J1338=""),"",IF($K1338="",IF(TODAY()&gt;$J1338,"Atrasado","En ruta"),IF($K1338&lt;=$J1338,"Sí","No")))</f>
        <v/>
      </c>
      <c r="N1338" s="23">
        <f>IF($A1338="","",COUNTIFS(NOVEDADES!$C$4:$C$1503,$A1338))</f>
        <v/>
      </c>
      <c r="O1338" s="27">
        <f>IF($A1338="","",IF(COUNTIFS(NOVEDADES!$C$4:$C$1503,$A1338,NOVEDADES!$M$4:$M$1503,"SÍ")&gt;0,"No","Sí"))</f>
        <v/>
      </c>
      <c r="P1338" s="27">
        <f>IF(OR($A1338="",$K1338=""),"",IF(AND($M1338="Sí",$O1338="Sí"),"OTIF","Falló"))</f>
        <v/>
      </c>
    </row>
    <row r="1339" ht="16" customHeight="1">
      <c r="A1339" s="47" t="n"/>
      <c r="B1339" s="46" t="n"/>
      <c r="C1339" s="49" t="n"/>
      <c r="D1339" s="49" t="n"/>
      <c r="E1339" s="49" t="n"/>
      <c r="F1339" s="49" t="n"/>
      <c r="G1339" s="47" t="n"/>
      <c r="H1339" s="50" t="n"/>
      <c r="I1339" s="51" t="n"/>
      <c r="J1339" s="46" t="n"/>
      <c r="K1339" s="46" t="n"/>
      <c r="L1339" s="23">
        <f>IF(OR($A1339="",$B1339=""),"",IF($K1339&lt;&gt;"",$K1339-$B1339,TODAY()-$B1339))</f>
        <v/>
      </c>
      <c r="M1339" s="27">
        <f>IF(OR($A1339="",$J1339=""),"",IF($K1339="",IF(TODAY()&gt;$J1339,"Atrasado","En ruta"),IF($K1339&lt;=$J1339,"Sí","No")))</f>
        <v/>
      </c>
      <c r="N1339" s="23">
        <f>IF($A1339="","",COUNTIFS(NOVEDADES!$C$4:$C$1503,$A1339))</f>
        <v/>
      </c>
      <c r="O1339" s="27">
        <f>IF($A1339="","",IF(COUNTIFS(NOVEDADES!$C$4:$C$1503,$A1339,NOVEDADES!$M$4:$M$1503,"SÍ")&gt;0,"No","Sí"))</f>
        <v/>
      </c>
      <c r="P1339" s="27">
        <f>IF(OR($A1339="",$K1339=""),"",IF(AND($M1339="Sí",$O1339="Sí"),"OTIF","Falló"))</f>
        <v/>
      </c>
    </row>
    <row r="1340" ht="16" customHeight="1">
      <c r="A1340" s="47" t="n"/>
      <c r="B1340" s="46" t="n"/>
      <c r="C1340" s="49" t="n"/>
      <c r="D1340" s="49" t="n"/>
      <c r="E1340" s="49" t="n"/>
      <c r="F1340" s="49" t="n"/>
      <c r="G1340" s="47" t="n"/>
      <c r="H1340" s="50" t="n"/>
      <c r="I1340" s="51" t="n"/>
      <c r="J1340" s="46" t="n"/>
      <c r="K1340" s="46" t="n"/>
      <c r="L1340" s="23">
        <f>IF(OR($A1340="",$B1340=""),"",IF($K1340&lt;&gt;"",$K1340-$B1340,TODAY()-$B1340))</f>
        <v/>
      </c>
      <c r="M1340" s="27">
        <f>IF(OR($A1340="",$J1340=""),"",IF($K1340="",IF(TODAY()&gt;$J1340,"Atrasado","En ruta"),IF($K1340&lt;=$J1340,"Sí","No")))</f>
        <v/>
      </c>
      <c r="N1340" s="23">
        <f>IF($A1340="","",COUNTIFS(NOVEDADES!$C$4:$C$1503,$A1340))</f>
        <v/>
      </c>
      <c r="O1340" s="27">
        <f>IF($A1340="","",IF(COUNTIFS(NOVEDADES!$C$4:$C$1503,$A1340,NOVEDADES!$M$4:$M$1503,"SÍ")&gt;0,"No","Sí"))</f>
        <v/>
      </c>
      <c r="P1340" s="27">
        <f>IF(OR($A1340="",$K1340=""),"",IF(AND($M1340="Sí",$O1340="Sí"),"OTIF","Falló"))</f>
        <v/>
      </c>
    </row>
    <row r="1341" ht="16" customHeight="1">
      <c r="A1341" s="47" t="n"/>
      <c r="B1341" s="46" t="n"/>
      <c r="C1341" s="49" t="n"/>
      <c r="D1341" s="49" t="n"/>
      <c r="E1341" s="49" t="n"/>
      <c r="F1341" s="49" t="n"/>
      <c r="G1341" s="47" t="n"/>
      <c r="H1341" s="50" t="n"/>
      <c r="I1341" s="51" t="n"/>
      <c r="J1341" s="46" t="n"/>
      <c r="K1341" s="46" t="n"/>
      <c r="L1341" s="23">
        <f>IF(OR($A1341="",$B1341=""),"",IF($K1341&lt;&gt;"",$K1341-$B1341,TODAY()-$B1341))</f>
        <v/>
      </c>
      <c r="M1341" s="27">
        <f>IF(OR($A1341="",$J1341=""),"",IF($K1341="",IF(TODAY()&gt;$J1341,"Atrasado","En ruta"),IF($K1341&lt;=$J1341,"Sí","No")))</f>
        <v/>
      </c>
      <c r="N1341" s="23">
        <f>IF($A1341="","",COUNTIFS(NOVEDADES!$C$4:$C$1503,$A1341))</f>
        <v/>
      </c>
      <c r="O1341" s="27">
        <f>IF($A1341="","",IF(COUNTIFS(NOVEDADES!$C$4:$C$1503,$A1341,NOVEDADES!$M$4:$M$1503,"SÍ")&gt;0,"No","Sí"))</f>
        <v/>
      </c>
      <c r="P1341" s="27">
        <f>IF(OR($A1341="",$K1341=""),"",IF(AND($M1341="Sí",$O1341="Sí"),"OTIF","Falló"))</f>
        <v/>
      </c>
    </row>
    <row r="1342" ht="16" customHeight="1">
      <c r="A1342" s="47" t="n"/>
      <c r="B1342" s="46" t="n"/>
      <c r="C1342" s="49" t="n"/>
      <c r="D1342" s="49" t="n"/>
      <c r="E1342" s="49" t="n"/>
      <c r="F1342" s="49" t="n"/>
      <c r="G1342" s="47" t="n"/>
      <c r="H1342" s="50" t="n"/>
      <c r="I1342" s="51" t="n"/>
      <c r="J1342" s="46" t="n"/>
      <c r="K1342" s="46" t="n"/>
      <c r="L1342" s="23">
        <f>IF(OR($A1342="",$B1342=""),"",IF($K1342&lt;&gt;"",$K1342-$B1342,TODAY()-$B1342))</f>
        <v/>
      </c>
      <c r="M1342" s="27">
        <f>IF(OR($A1342="",$J1342=""),"",IF($K1342="",IF(TODAY()&gt;$J1342,"Atrasado","En ruta"),IF($K1342&lt;=$J1342,"Sí","No")))</f>
        <v/>
      </c>
      <c r="N1342" s="23">
        <f>IF($A1342="","",COUNTIFS(NOVEDADES!$C$4:$C$1503,$A1342))</f>
        <v/>
      </c>
      <c r="O1342" s="27">
        <f>IF($A1342="","",IF(COUNTIFS(NOVEDADES!$C$4:$C$1503,$A1342,NOVEDADES!$M$4:$M$1503,"SÍ")&gt;0,"No","Sí"))</f>
        <v/>
      </c>
      <c r="P1342" s="27">
        <f>IF(OR($A1342="",$K1342=""),"",IF(AND($M1342="Sí",$O1342="Sí"),"OTIF","Falló"))</f>
        <v/>
      </c>
    </row>
    <row r="1343" ht="16" customHeight="1">
      <c r="A1343" s="47" t="n"/>
      <c r="B1343" s="46" t="n"/>
      <c r="C1343" s="49" t="n"/>
      <c r="D1343" s="49" t="n"/>
      <c r="E1343" s="49" t="n"/>
      <c r="F1343" s="49" t="n"/>
      <c r="G1343" s="47" t="n"/>
      <c r="H1343" s="50" t="n"/>
      <c r="I1343" s="51" t="n"/>
      <c r="J1343" s="46" t="n"/>
      <c r="K1343" s="46" t="n"/>
      <c r="L1343" s="23">
        <f>IF(OR($A1343="",$B1343=""),"",IF($K1343&lt;&gt;"",$K1343-$B1343,TODAY()-$B1343))</f>
        <v/>
      </c>
      <c r="M1343" s="27">
        <f>IF(OR($A1343="",$J1343=""),"",IF($K1343="",IF(TODAY()&gt;$J1343,"Atrasado","En ruta"),IF($K1343&lt;=$J1343,"Sí","No")))</f>
        <v/>
      </c>
      <c r="N1343" s="23">
        <f>IF($A1343="","",COUNTIFS(NOVEDADES!$C$4:$C$1503,$A1343))</f>
        <v/>
      </c>
      <c r="O1343" s="27">
        <f>IF($A1343="","",IF(COUNTIFS(NOVEDADES!$C$4:$C$1503,$A1343,NOVEDADES!$M$4:$M$1503,"SÍ")&gt;0,"No","Sí"))</f>
        <v/>
      </c>
      <c r="P1343" s="27">
        <f>IF(OR($A1343="",$K1343=""),"",IF(AND($M1343="Sí",$O1343="Sí"),"OTIF","Falló"))</f>
        <v/>
      </c>
    </row>
    <row r="1344" ht="16" customHeight="1">
      <c r="A1344" s="47" t="n"/>
      <c r="B1344" s="46" t="n"/>
      <c r="C1344" s="49" t="n"/>
      <c r="D1344" s="49" t="n"/>
      <c r="E1344" s="49" t="n"/>
      <c r="F1344" s="49" t="n"/>
      <c r="G1344" s="47" t="n"/>
      <c r="H1344" s="50" t="n"/>
      <c r="I1344" s="51" t="n"/>
      <c r="J1344" s="46" t="n"/>
      <c r="K1344" s="46" t="n"/>
      <c r="L1344" s="23">
        <f>IF(OR($A1344="",$B1344=""),"",IF($K1344&lt;&gt;"",$K1344-$B1344,TODAY()-$B1344))</f>
        <v/>
      </c>
      <c r="M1344" s="27">
        <f>IF(OR($A1344="",$J1344=""),"",IF($K1344="",IF(TODAY()&gt;$J1344,"Atrasado","En ruta"),IF($K1344&lt;=$J1344,"Sí","No")))</f>
        <v/>
      </c>
      <c r="N1344" s="23">
        <f>IF($A1344="","",COUNTIFS(NOVEDADES!$C$4:$C$1503,$A1344))</f>
        <v/>
      </c>
      <c r="O1344" s="27">
        <f>IF($A1344="","",IF(COUNTIFS(NOVEDADES!$C$4:$C$1503,$A1344,NOVEDADES!$M$4:$M$1503,"SÍ")&gt;0,"No","Sí"))</f>
        <v/>
      </c>
      <c r="P1344" s="27">
        <f>IF(OR($A1344="",$K1344=""),"",IF(AND($M1344="Sí",$O1344="Sí"),"OTIF","Falló"))</f>
        <v/>
      </c>
    </row>
    <row r="1345" ht="16" customHeight="1">
      <c r="A1345" s="47" t="n"/>
      <c r="B1345" s="46" t="n"/>
      <c r="C1345" s="49" t="n"/>
      <c r="D1345" s="49" t="n"/>
      <c r="E1345" s="49" t="n"/>
      <c r="F1345" s="49" t="n"/>
      <c r="G1345" s="47" t="n"/>
      <c r="H1345" s="50" t="n"/>
      <c r="I1345" s="51" t="n"/>
      <c r="J1345" s="46" t="n"/>
      <c r="K1345" s="46" t="n"/>
      <c r="L1345" s="23">
        <f>IF(OR($A1345="",$B1345=""),"",IF($K1345&lt;&gt;"",$K1345-$B1345,TODAY()-$B1345))</f>
        <v/>
      </c>
      <c r="M1345" s="27">
        <f>IF(OR($A1345="",$J1345=""),"",IF($K1345="",IF(TODAY()&gt;$J1345,"Atrasado","En ruta"),IF($K1345&lt;=$J1345,"Sí","No")))</f>
        <v/>
      </c>
      <c r="N1345" s="23">
        <f>IF($A1345="","",COUNTIFS(NOVEDADES!$C$4:$C$1503,$A1345))</f>
        <v/>
      </c>
      <c r="O1345" s="27">
        <f>IF($A1345="","",IF(COUNTIFS(NOVEDADES!$C$4:$C$1503,$A1345,NOVEDADES!$M$4:$M$1503,"SÍ")&gt;0,"No","Sí"))</f>
        <v/>
      </c>
      <c r="P1345" s="27">
        <f>IF(OR($A1345="",$K1345=""),"",IF(AND($M1345="Sí",$O1345="Sí"),"OTIF","Falló"))</f>
        <v/>
      </c>
    </row>
    <row r="1346" ht="16" customHeight="1">
      <c r="A1346" s="47" t="n"/>
      <c r="B1346" s="46" t="n"/>
      <c r="C1346" s="49" t="n"/>
      <c r="D1346" s="49" t="n"/>
      <c r="E1346" s="49" t="n"/>
      <c r="F1346" s="49" t="n"/>
      <c r="G1346" s="47" t="n"/>
      <c r="H1346" s="50" t="n"/>
      <c r="I1346" s="51" t="n"/>
      <c r="J1346" s="46" t="n"/>
      <c r="K1346" s="46" t="n"/>
      <c r="L1346" s="23">
        <f>IF(OR($A1346="",$B1346=""),"",IF($K1346&lt;&gt;"",$K1346-$B1346,TODAY()-$B1346))</f>
        <v/>
      </c>
      <c r="M1346" s="27">
        <f>IF(OR($A1346="",$J1346=""),"",IF($K1346="",IF(TODAY()&gt;$J1346,"Atrasado","En ruta"),IF($K1346&lt;=$J1346,"Sí","No")))</f>
        <v/>
      </c>
      <c r="N1346" s="23">
        <f>IF($A1346="","",COUNTIFS(NOVEDADES!$C$4:$C$1503,$A1346))</f>
        <v/>
      </c>
      <c r="O1346" s="27">
        <f>IF($A1346="","",IF(COUNTIFS(NOVEDADES!$C$4:$C$1503,$A1346,NOVEDADES!$M$4:$M$1503,"SÍ")&gt;0,"No","Sí"))</f>
        <v/>
      </c>
      <c r="P1346" s="27">
        <f>IF(OR($A1346="",$K1346=""),"",IF(AND($M1346="Sí",$O1346="Sí"),"OTIF","Falló"))</f>
        <v/>
      </c>
    </row>
    <row r="1347" ht="16" customHeight="1">
      <c r="A1347" s="47" t="n"/>
      <c r="B1347" s="46" t="n"/>
      <c r="C1347" s="49" t="n"/>
      <c r="D1347" s="49" t="n"/>
      <c r="E1347" s="49" t="n"/>
      <c r="F1347" s="49" t="n"/>
      <c r="G1347" s="47" t="n"/>
      <c r="H1347" s="50" t="n"/>
      <c r="I1347" s="51" t="n"/>
      <c r="J1347" s="46" t="n"/>
      <c r="K1347" s="46" t="n"/>
      <c r="L1347" s="23">
        <f>IF(OR($A1347="",$B1347=""),"",IF($K1347&lt;&gt;"",$K1347-$B1347,TODAY()-$B1347))</f>
        <v/>
      </c>
      <c r="M1347" s="27">
        <f>IF(OR($A1347="",$J1347=""),"",IF($K1347="",IF(TODAY()&gt;$J1347,"Atrasado","En ruta"),IF($K1347&lt;=$J1347,"Sí","No")))</f>
        <v/>
      </c>
      <c r="N1347" s="23">
        <f>IF($A1347="","",COUNTIFS(NOVEDADES!$C$4:$C$1503,$A1347))</f>
        <v/>
      </c>
      <c r="O1347" s="27">
        <f>IF($A1347="","",IF(COUNTIFS(NOVEDADES!$C$4:$C$1503,$A1347,NOVEDADES!$M$4:$M$1503,"SÍ")&gt;0,"No","Sí"))</f>
        <v/>
      </c>
      <c r="P1347" s="27">
        <f>IF(OR($A1347="",$K1347=""),"",IF(AND($M1347="Sí",$O1347="Sí"),"OTIF","Falló"))</f>
        <v/>
      </c>
    </row>
    <row r="1348" ht="16" customHeight="1">
      <c r="A1348" s="47" t="n"/>
      <c r="B1348" s="46" t="n"/>
      <c r="C1348" s="49" t="n"/>
      <c r="D1348" s="49" t="n"/>
      <c r="E1348" s="49" t="n"/>
      <c r="F1348" s="49" t="n"/>
      <c r="G1348" s="47" t="n"/>
      <c r="H1348" s="50" t="n"/>
      <c r="I1348" s="51" t="n"/>
      <c r="J1348" s="46" t="n"/>
      <c r="K1348" s="46" t="n"/>
      <c r="L1348" s="23">
        <f>IF(OR($A1348="",$B1348=""),"",IF($K1348&lt;&gt;"",$K1348-$B1348,TODAY()-$B1348))</f>
        <v/>
      </c>
      <c r="M1348" s="27">
        <f>IF(OR($A1348="",$J1348=""),"",IF($K1348="",IF(TODAY()&gt;$J1348,"Atrasado","En ruta"),IF($K1348&lt;=$J1348,"Sí","No")))</f>
        <v/>
      </c>
      <c r="N1348" s="23">
        <f>IF($A1348="","",COUNTIFS(NOVEDADES!$C$4:$C$1503,$A1348))</f>
        <v/>
      </c>
      <c r="O1348" s="27">
        <f>IF($A1348="","",IF(COUNTIFS(NOVEDADES!$C$4:$C$1503,$A1348,NOVEDADES!$M$4:$M$1503,"SÍ")&gt;0,"No","Sí"))</f>
        <v/>
      </c>
      <c r="P1348" s="27">
        <f>IF(OR($A1348="",$K1348=""),"",IF(AND($M1348="Sí",$O1348="Sí"),"OTIF","Falló"))</f>
        <v/>
      </c>
    </row>
    <row r="1349" ht="16" customHeight="1">
      <c r="A1349" s="47" t="n"/>
      <c r="B1349" s="46" t="n"/>
      <c r="C1349" s="49" t="n"/>
      <c r="D1349" s="49" t="n"/>
      <c r="E1349" s="49" t="n"/>
      <c r="F1349" s="49" t="n"/>
      <c r="G1349" s="47" t="n"/>
      <c r="H1349" s="50" t="n"/>
      <c r="I1349" s="51" t="n"/>
      <c r="J1349" s="46" t="n"/>
      <c r="K1349" s="46" t="n"/>
      <c r="L1349" s="23">
        <f>IF(OR($A1349="",$B1349=""),"",IF($K1349&lt;&gt;"",$K1349-$B1349,TODAY()-$B1349))</f>
        <v/>
      </c>
      <c r="M1349" s="27">
        <f>IF(OR($A1349="",$J1349=""),"",IF($K1349="",IF(TODAY()&gt;$J1349,"Atrasado","En ruta"),IF($K1349&lt;=$J1349,"Sí","No")))</f>
        <v/>
      </c>
      <c r="N1349" s="23">
        <f>IF($A1349="","",COUNTIFS(NOVEDADES!$C$4:$C$1503,$A1349))</f>
        <v/>
      </c>
      <c r="O1349" s="27">
        <f>IF($A1349="","",IF(COUNTIFS(NOVEDADES!$C$4:$C$1503,$A1349,NOVEDADES!$M$4:$M$1503,"SÍ")&gt;0,"No","Sí"))</f>
        <v/>
      </c>
      <c r="P1349" s="27">
        <f>IF(OR($A1349="",$K1349=""),"",IF(AND($M1349="Sí",$O1349="Sí"),"OTIF","Falló"))</f>
        <v/>
      </c>
    </row>
    <row r="1350" ht="16" customHeight="1">
      <c r="A1350" s="47" t="n"/>
      <c r="B1350" s="46" t="n"/>
      <c r="C1350" s="49" t="n"/>
      <c r="D1350" s="49" t="n"/>
      <c r="E1350" s="49" t="n"/>
      <c r="F1350" s="49" t="n"/>
      <c r="G1350" s="47" t="n"/>
      <c r="H1350" s="50" t="n"/>
      <c r="I1350" s="51" t="n"/>
      <c r="J1350" s="46" t="n"/>
      <c r="K1350" s="46" t="n"/>
      <c r="L1350" s="23">
        <f>IF(OR($A1350="",$B1350=""),"",IF($K1350&lt;&gt;"",$K1350-$B1350,TODAY()-$B1350))</f>
        <v/>
      </c>
      <c r="M1350" s="27">
        <f>IF(OR($A1350="",$J1350=""),"",IF($K1350="",IF(TODAY()&gt;$J1350,"Atrasado","En ruta"),IF($K1350&lt;=$J1350,"Sí","No")))</f>
        <v/>
      </c>
      <c r="N1350" s="23">
        <f>IF($A1350="","",COUNTIFS(NOVEDADES!$C$4:$C$1503,$A1350))</f>
        <v/>
      </c>
      <c r="O1350" s="27">
        <f>IF($A1350="","",IF(COUNTIFS(NOVEDADES!$C$4:$C$1503,$A1350,NOVEDADES!$M$4:$M$1503,"SÍ")&gt;0,"No","Sí"))</f>
        <v/>
      </c>
      <c r="P1350" s="27">
        <f>IF(OR($A1350="",$K1350=""),"",IF(AND($M1350="Sí",$O1350="Sí"),"OTIF","Falló"))</f>
        <v/>
      </c>
    </row>
    <row r="1351" ht="16" customHeight="1">
      <c r="A1351" s="47" t="n"/>
      <c r="B1351" s="46" t="n"/>
      <c r="C1351" s="49" t="n"/>
      <c r="D1351" s="49" t="n"/>
      <c r="E1351" s="49" t="n"/>
      <c r="F1351" s="49" t="n"/>
      <c r="G1351" s="47" t="n"/>
      <c r="H1351" s="50" t="n"/>
      <c r="I1351" s="51" t="n"/>
      <c r="J1351" s="46" t="n"/>
      <c r="K1351" s="46" t="n"/>
      <c r="L1351" s="23">
        <f>IF(OR($A1351="",$B1351=""),"",IF($K1351&lt;&gt;"",$K1351-$B1351,TODAY()-$B1351))</f>
        <v/>
      </c>
      <c r="M1351" s="27">
        <f>IF(OR($A1351="",$J1351=""),"",IF($K1351="",IF(TODAY()&gt;$J1351,"Atrasado","En ruta"),IF($K1351&lt;=$J1351,"Sí","No")))</f>
        <v/>
      </c>
      <c r="N1351" s="23">
        <f>IF($A1351="","",COUNTIFS(NOVEDADES!$C$4:$C$1503,$A1351))</f>
        <v/>
      </c>
      <c r="O1351" s="27">
        <f>IF($A1351="","",IF(COUNTIFS(NOVEDADES!$C$4:$C$1503,$A1351,NOVEDADES!$M$4:$M$1503,"SÍ")&gt;0,"No","Sí"))</f>
        <v/>
      </c>
      <c r="P1351" s="27">
        <f>IF(OR($A1351="",$K1351=""),"",IF(AND($M1351="Sí",$O1351="Sí"),"OTIF","Falló"))</f>
        <v/>
      </c>
    </row>
    <row r="1352" ht="16" customHeight="1">
      <c r="A1352" s="47" t="n"/>
      <c r="B1352" s="46" t="n"/>
      <c r="C1352" s="49" t="n"/>
      <c r="D1352" s="49" t="n"/>
      <c r="E1352" s="49" t="n"/>
      <c r="F1352" s="49" t="n"/>
      <c r="G1352" s="47" t="n"/>
      <c r="H1352" s="50" t="n"/>
      <c r="I1352" s="51" t="n"/>
      <c r="J1352" s="46" t="n"/>
      <c r="K1352" s="46" t="n"/>
      <c r="L1352" s="23">
        <f>IF(OR($A1352="",$B1352=""),"",IF($K1352&lt;&gt;"",$K1352-$B1352,TODAY()-$B1352))</f>
        <v/>
      </c>
      <c r="M1352" s="27">
        <f>IF(OR($A1352="",$J1352=""),"",IF($K1352="",IF(TODAY()&gt;$J1352,"Atrasado","En ruta"),IF($K1352&lt;=$J1352,"Sí","No")))</f>
        <v/>
      </c>
      <c r="N1352" s="23">
        <f>IF($A1352="","",COUNTIFS(NOVEDADES!$C$4:$C$1503,$A1352))</f>
        <v/>
      </c>
      <c r="O1352" s="27">
        <f>IF($A1352="","",IF(COUNTIFS(NOVEDADES!$C$4:$C$1503,$A1352,NOVEDADES!$M$4:$M$1503,"SÍ")&gt;0,"No","Sí"))</f>
        <v/>
      </c>
      <c r="P1352" s="27">
        <f>IF(OR($A1352="",$K1352=""),"",IF(AND($M1352="Sí",$O1352="Sí"),"OTIF","Falló"))</f>
        <v/>
      </c>
    </row>
    <row r="1353" ht="16" customHeight="1">
      <c r="A1353" s="47" t="n"/>
      <c r="B1353" s="46" t="n"/>
      <c r="C1353" s="49" t="n"/>
      <c r="D1353" s="49" t="n"/>
      <c r="E1353" s="49" t="n"/>
      <c r="F1353" s="49" t="n"/>
      <c r="G1353" s="47" t="n"/>
      <c r="H1353" s="50" t="n"/>
      <c r="I1353" s="51" t="n"/>
      <c r="J1353" s="46" t="n"/>
      <c r="K1353" s="46" t="n"/>
      <c r="L1353" s="23">
        <f>IF(OR($A1353="",$B1353=""),"",IF($K1353&lt;&gt;"",$K1353-$B1353,TODAY()-$B1353))</f>
        <v/>
      </c>
      <c r="M1353" s="27">
        <f>IF(OR($A1353="",$J1353=""),"",IF($K1353="",IF(TODAY()&gt;$J1353,"Atrasado","En ruta"),IF($K1353&lt;=$J1353,"Sí","No")))</f>
        <v/>
      </c>
      <c r="N1353" s="23">
        <f>IF($A1353="","",COUNTIFS(NOVEDADES!$C$4:$C$1503,$A1353))</f>
        <v/>
      </c>
      <c r="O1353" s="27">
        <f>IF($A1353="","",IF(COUNTIFS(NOVEDADES!$C$4:$C$1503,$A1353,NOVEDADES!$M$4:$M$1503,"SÍ")&gt;0,"No","Sí"))</f>
        <v/>
      </c>
      <c r="P1353" s="27">
        <f>IF(OR($A1353="",$K1353=""),"",IF(AND($M1353="Sí",$O1353="Sí"),"OTIF","Falló"))</f>
        <v/>
      </c>
    </row>
    <row r="1354" ht="16" customHeight="1">
      <c r="A1354" s="47" t="n"/>
      <c r="B1354" s="46" t="n"/>
      <c r="C1354" s="49" t="n"/>
      <c r="D1354" s="49" t="n"/>
      <c r="E1354" s="49" t="n"/>
      <c r="F1354" s="49" t="n"/>
      <c r="G1354" s="47" t="n"/>
      <c r="H1354" s="50" t="n"/>
      <c r="I1354" s="51" t="n"/>
      <c r="J1354" s="46" t="n"/>
      <c r="K1354" s="46" t="n"/>
      <c r="L1354" s="23">
        <f>IF(OR($A1354="",$B1354=""),"",IF($K1354&lt;&gt;"",$K1354-$B1354,TODAY()-$B1354))</f>
        <v/>
      </c>
      <c r="M1354" s="27">
        <f>IF(OR($A1354="",$J1354=""),"",IF($K1354="",IF(TODAY()&gt;$J1354,"Atrasado","En ruta"),IF($K1354&lt;=$J1354,"Sí","No")))</f>
        <v/>
      </c>
      <c r="N1354" s="23">
        <f>IF($A1354="","",COUNTIFS(NOVEDADES!$C$4:$C$1503,$A1354))</f>
        <v/>
      </c>
      <c r="O1354" s="27">
        <f>IF($A1354="","",IF(COUNTIFS(NOVEDADES!$C$4:$C$1503,$A1354,NOVEDADES!$M$4:$M$1503,"SÍ")&gt;0,"No","Sí"))</f>
        <v/>
      </c>
      <c r="P1354" s="27">
        <f>IF(OR($A1354="",$K1354=""),"",IF(AND($M1354="Sí",$O1354="Sí"),"OTIF","Falló"))</f>
        <v/>
      </c>
    </row>
    <row r="1355" ht="16" customHeight="1">
      <c r="A1355" s="47" t="n"/>
      <c r="B1355" s="46" t="n"/>
      <c r="C1355" s="49" t="n"/>
      <c r="D1355" s="49" t="n"/>
      <c r="E1355" s="49" t="n"/>
      <c r="F1355" s="49" t="n"/>
      <c r="G1355" s="47" t="n"/>
      <c r="H1355" s="50" t="n"/>
      <c r="I1355" s="51" t="n"/>
      <c r="J1355" s="46" t="n"/>
      <c r="K1355" s="46" t="n"/>
      <c r="L1355" s="23">
        <f>IF(OR($A1355="",$B1355=""),"",IF($K1355&lt;&gt;"",$K1355-$B1355,TODAY()-$B1355))</f>
        <v/>
      </c>
      <c r="M1355" s="27">
        <f>IF(OR($A1355="",$J1355=""),"",IF($K1355="",IF(TODAY()&gt;$J1355,"Atrasado","En ruta"),IF($K1355&lt;=$J1355,"Sí","No")))</f>
        <v/>
      </c>
      <c r="N1355" s="23">
        <f>IF($A1355="","",COUNTIFS(NOVEDADES!$C$4:$C$1503,$A1355))</f>
        <v/>
      </c>
      <c r="O1355" s="27">
        <f>IF($A1355="","",IF(COUNTIFS(NOVEDADES!$C$4:$C$1503,$A1355,NOVEDADES!$M$4:$M$1503,"SÍ")&gt;0,"No","Sí"))</f>
        <v/>
      </c>
      <c r="P1355" s="27">
        <f>IF(OR($A1355="",$K1355=""),"",IF(AND($M1355="Sí",$O1355="Sí"),"OTIF","Falló"))</f>
        <v/>
      </c>
    </row>
    <row r="1356" ht="16" customHeight="1">
      <c r="A1356" s="47" t="n"/>
      <c r="B1356" s="46" t="n"/>
      <c r="C1356" s="49" t="n"/>
      <c r="D1356" s="49" t="n"/>
      <c r="E1356" s="49" t="n"/>
      <c r="F1356" s="49" t="n"/>
      <c r="G1356" s="47" t="n"/>
      <c r="H1356" s="50" t="n"/>
      <c r="I1356" s="51" t="n"/>
      <c r="J1356" s="46" t="n"/>
      <c r="K1356" s="46" t="n"/>
      <c r="L1356" s="23">
        <f>IF(OR($A1356="",$B1356=""),"",IF($K1356&lt;&gt;"",$K1356-$B1356,TODAY()-$B1356))</f>
        <v/>
      </c>
      <c r="M1356" s="27">
        <f>IF(OR($A1356="",$J1356=""),"",IF($K1356="",IF(TODAY()&gt;$J1356,"Atrasado","En ruta"),IF($K1356&lt;=$J1356,"Sí","No")))</f>
        <v/>
      </c>
      <c r="N1356" s="23">
        <f>IF($A1356="","",COUNTIFS(NOVEDADES!$C$4:$C$1503,$A1356))</f>
        <v/>
      </c>
      <c r="O1356" s="27">
        <f>IF($A1356="","",IF(COUNTIFS(NOVEDADES!$C$4:$C$1503,$A1356,NOVEDADES!$M$4:$M$1503,"SÍ")&gt;0,"No","Sí"))</f>
        <v/>
      </c>
      <c r="P1356" s="27">
        <f>IF(OR($A1356="",$K1356=""),"",IF(AND($M1356="Sí",$O1356="Sí"),"OTIF","Falló"))</f>
        <v/>
      </c>
    </row>
    <row r="1357" ht="16" customHeight="1">
      <c r="A1357" s="47" t="n"/>
      <c r="B1357" s="46" t="n"/>
      <c r="C1357" s="49" t="n"/>
      <c r="D1357" s="49" t="n"/>
      <c r="E1357" s="49" t="n"/>
      <c r="F1357" s="49" t="n"/>
      <c r="G1357" s="47" t="n"/>
      <c r="H1357" s="50" t="n"/>
      <c r="I1357" s="51" t="n"/>
      <c r="J1357" s="46" t="n"/>
      <c r="K1357" s="46" t="n"/>
      <c r="L1357" s="23">
        <f>IF(OR($A1357="",$B1357=""),"",IF($K1357&lt;&gt;"",$K1357-$B1357,TODAY()-$B1357))</f>
        <v/>
      </c>
      <c r="M1357" s="27">
        <f>IF(OR($A1357="",$J1357=""),"",IF($K1357="",IF(TODAY()&gt;$J1357,"Atrasado","En ruta"),IF($K1357&lt;=$J1357,"Sí","No")))</f>
        <v/>
      </c>
      <c r="N1357" s="23">
        <f>IF($A1357="","",COUNTIFS(NOVEDADES!$C$4:$C$1503,$A1357))</f>
        <v/>
      </c>
      <c r="O1357" s="27">
        <f>IF($A1357="","",IF(COUNTIFS(NOVEDADES!$C$4:$C$1503,$A1357,NOVEDADES!$M$4:$M$1503,"SÍ")&gt;0,"No","Sí"))</f>
        <v/>
      </c>
      <c r="P1357" s="27">
        <f>IF(OR($A1357="",$K1357=""),"",IF(AND($M1357="Sí",$O1357="Sí"),"OTIF","Falló"))</f>
        <v/>
      </c>
    </row>
    <row r="1358" ht="16" customHeight="1">
      <c r="A1358" s="47" t="n"/>
      <c r="B1358" s="46" t="n"/>
      <c r="C1358" s="49" t="n"/>
      <c r="D1358" s="49" t="n"/>
      <c r="E1358" s="49" t="n"/>
      <c r="F1358" s="49" t="n"/>
      <c r="G1358" s="47" t="n"/>
      <c r="H1358" s="50" t="n"/>
      <c r="I1358" s="51" t="n"/>
      <c r="J1358" s="46" t="n"/>
      <c r="K1358" s="46" t="n"/>
      <c r="L1358" s="23">
        <f>IF(OR($A1358="",$B1358=""),"",IF($K1358&lt;&gt;"",$K1358-$B1358,TODAY()-$B1358))</f>
        <v/>
      </c>
      <c r="M1358" s="27">
        <f>IF(OR($A1358="",$J1358=""),"",IF($K1358="",IF(TODAY()&gt;$J1358,"Atrasado","En ruta"),IF($K1358&lt;=$J1358,"Sí","No")))</f>
        <v/>
      </c>
      <c r="N1358" s="23">
        <f>IF($A1358="","",COUNTIFS(NOVEDADES!$C$4:$C$1503,$A1358))</f>
        <v/>
      </c>
      <c r="O1358" s="27">
        <f>IF($A1358="","",IF(COUNTIFS(NOVEDADES!$C$4:$C$1503,$A1358,NOVEDADES!$M$4:$M$1503,"SÍ")&gt;0,"No","Sí"))</f>
        <v/>
      </c>
      <c r="P1358" s="27">
        <f>IF(OR($A1358="",$K1358=""),"",IF(AND($M1358="Sí",$O1358="Sí"),"OTIF","Falló"))</f>
        <v/>
      </c>
    </row>
    <row r="1359" ht="16" customHeight="1">
      <c r="A1359" s="47" t="n"/>
      <c r="B1359" s="46" t="n"/>
      <c r="C1359" s="49" t="n"/>
      <c r="D1359" s="49" t="n"/>
      <c r="E1359" s="49" t="n"/>
      <c r="F1359" s="49" t="n"/>
      <c r="G1359" s="47" t="n"/>
      <c r="H1359" s="50" t="n"/>
      <c r="I1359" s="51" t="n"/>
      <c r="J1359" s="46" t="n"/>
      <c r="K1359" s="46" t="n"/>
      <c r="L1359" s="23">
        <f>IF(OR($A1359="",$B1359=""),"",IF($K1359&lt;&gt;"",$K1359-$B1359,TODAY()-$B1359))</f>
        <v/>
      </c>
      <c r="M1359" s="27">
        <f>IF(OR($A1359="",$J1359=""),"",IF($K1359="",IF(TODAY()&gt;$J1359,"Atrasado","En ruta"),IF($K1359&lt;=$J1359,"Sí","No")))</f>
        <v/>
      </c>
      <c r="N1359" s="23">
        <f>IF($A1359="","",COUNTIFS(NOVEDADES!$C$4:$C$1503,$A1359))</f>
        <v/>
      </c>
      <c r="O1359" s="27">
        <f>IF($A1359="","",IF(COUNTIFS(NOVEDADES!$C$4:$C$1503,$A1359,NOVEDADES!$M$4:$M$1503,"SÍ")&gt;0,"No","Sí"))</f>
        <v/>
      </c>
      <c r="P1359" s="27">
        <f>IF(OR($A1359="",$K1359=""),"",IF(AND($M1359="Sí",$O1359="Sí"),"OTIF","Falló"))</f>
        <v/>
      </c>
    </row>
    <row r="1360" ht="16" customHeight="1">
      <c r="A1360" s="47" t="n"/>
      <c r="B1360" s="46" t="n"/>
      <c r="C1360" s="49" t="n"/>
      <c r="D1360" s="49" t="n"/>
      <c r="E1360" s="49" t="n"/>
      <c r="F1360" s="49" t="n"/>
      <c r="G1360" s="47" t="n"/>
      <c r="H1360" s="50" t="n"/>
      <c r="I1360" s="51" t="n"/>
      <c r="J1360" s="46" t="n"/>
      <c r="K1360" s="46" t="n"/>
      <c r="L1360" s="23">
        <f>IF(OR($A1360="",$B1360=""),"",IF($K1360&lt;&gt;"",$K1360-$B1360,TODAY()-$B1360))</f>
        <v/>
      </c>
      <c r="M1360" s="27">
        <f>IF(OR($A1360="",$J1360=""),"",IF($K1360="",IF(TODAY()&gt;$J1360,"Atrasado","En ruta"),IF($K1360&lt;=$J1360,"Sí","No")))</f>
        <v/>
      </c>
      <c r="N1360" s="23">
        <f>IF($A1360="","",COUNTIFS(NOVEDADES!$C$4:$C$1503,$A1360))</f>
        <v/>
      </c>
      <c r="O1360" s="27">
        <f>IF($A1360="","",IF(COUNTIFS(NOVEDADES!$C$4:$C$1503,$A1360,NOVEDADES!$M$4:$M$1503,"SÍ")&gt;0,"No","Sí"))</f>
        <v/>
      </c>
      <c r="P1360" s="27">
        <f>IF(OR($A1360="",$K1360=""),"",IF(AND($M1360="Sí",$O1360="Sí"),"OTIF","Falló"))</f>
        <v/>
      </c>
    </row>
    <row r="1361" ht="16" customHeight="1">
      <c r="A1361" s="47" t="n"/>
      <c r="B1361" s="46" t="n"/>
      <c r="C1361" s="49" t="n"/>
      <c r="D1361" s="49" t="n"/>
      <c r="E1361" s="49" t="n"/>
      <c r="F1361" s="49" t="n"/>
      <c r="G1361" s="47" t="n"/>
      <c r="H1361" s="50" t="n"/>
      <c r="I1361" s="51" t="n"/>
      <c r="J1361" s="46" t="n"/>
      <c r="K1361" s="46" t="n"/>
      <c r="L1361" s="23">
        <f>IF(OR($A1361="",$B1361=""),"",IF($K1361&lt;&gt;"",$K1361-$B1361,TODAY()-$B1361))</f>
        <v/>
      </c>
      <c r="M1361" s="27">
        <f>IF(OR($A1361="",$J1361=""),"",IF($K1361="",IF(TODAY()&gt;$J1361,"Atrasado","En ruta"),IF($K1361&lt;=$J1361,"Sí","No")))</f>
        <v/>
      </c>
      <c r="N1361" s="23">
        <f>IF($A1361="","",COUNTIFS(NOVEDADES!$C$4:$C$1503,$A1361))</f>
        <v/>
      </c>
      <c r="O1361" s="27">
        <f>IF($A1361="","",IF(COUNTIFS(NOVEDADES!$C$4:$C$1503,$A1361,NOVEDADES!$M$4:$M$1503,"SÍ")&gt;0,"No","Sí"))</f>
        <v/>
      </c>
      <c r="P1361" s="27">
        <f>IF(OR($A1361="",$K1361=""),"",IF(AND($M1361="Sí",$O1361="Sí"),"OTIF","Falló"))</f>
        <v/>
      </c>
    </row>
    <row r="1362" ht="16" customHeight="1">
      <c r="A1362" s="47" t="n"/>
      <c r="B1362" s="46" t="n"/>
      <c r="C1362" s="49" t="n"/>
      <c r="D1362" s="49" t="n"/>
      <c r="E1362" s="49" t="n"/>
      <c r="F1362" s="49" t="n"/>
      <c r="G1362" s="47" t="n"/>
      <c r="H1362" s="50" t="n"/>
      <c r="I1362" s="51" t="n"/>
      <c r="J1362" s="46" t="n"/>
      <c r="K1362" s="46" t="n"/>
      <c r="L1362" s="23">
        <f>IF(OR($A1362="",$B1362=""),"",IF($K1362&lt;&gt;"",$K1362-$B1362,TODAY()-$B1362))</f>
        <v/>
      </c>
      <c r="M1362" s="27">
        <f>IF(OR($A1362="",$J1362=""),"",IF($K1362="",IF(TODAY()&gt;$J1362,"Atrasado","En ruta"),IF($K1362&lt;=$J1362,"Sí","No")))</f>
        <v/>
      </c>
      <c r="N1362" s="23">
        <f>IF($A1362="","",COUNTIFS(NOVEDADES!$C$4:$C$1503,$A1362))</f>
        <v/>
      </c>
      <c r="O1362" s="27">
        <f>IF($A1362="","",IF(COUNTIFS(NOVEDADES!$C$4:$C$1503,$A1362,NOVEDADES!$M$4:$M$1503,"SÍ")&gt;0,"No","Sí"))</f>
        <v/>
      </c>
      <c r="P1362" s="27">
        <f>IF(OR($A1362="",$K1362=""),"",IF(AND($M1362="Sí",$O1362="Sí"),"OTIF","Falló"))</f>
        <v/>
      </c>
    </row>
    <row r="1363" ht="16" customHeight="1">
      <c r="A1363" s="47" t="n"/>
      <c r="B1363" s="46" t="n"/>
      <c r="C1363" s="49" t="n"/>
      <c r="D1363" s="49" t="n"/>
      <c r="E1363" s="49" t="n"/>
      <c r="F1363" s="49" t="n"/>
      <c r="G1363" s="47" t="n"/>
      <c r="H1363" s="50" t="n"/>
      <c r="I1363" s="51" t="n"/>
      <c r="J1363" s="46" t="n"/>
      <c r="K1363" s="46" t="n"/>
      <c r="L1363" s="23">
        <f>IF(OR($A1363="",$B1363=""),"",IF($K1363&lt;&gt;"",$K1363-$B1363,TODAY()-$B1363))</f>
        <v/>
      </c>
      <c r="M1363" s="27">
        <f>IF(OR($A1363="",$J1363=""),"",IF($K1363="",IF(TODAY()&gt;$J1363,"Atrasado","En ruta"),IF($K1363&lt;=$J1363,"Sí","No")))</f>
        <v/>
      </c>
      <c r="N1363" s="23">
        <f>IF($A1363="","",COUNTIFS(NOVEDADES!$C$4:$C$1503,$A1363))</f>
        <v/>
      </c>
      <c r="O1363" s="27">
        <f>IF($A1363="","",IF(COUNTIFS(NOVEDADES!$C$4:$C$1503,$A1363,NOVEDADES!$M$4:$M$1503,"SÍ")&gt;0,"No","Sí"))</f>
        <v/>
      </c>
      <c r="P1363" s="27">
        <f>IF(OR($A1363="",$K1363=""),"",IF(AND($M1363="Sí",$O1363="Sí"),"OTIF","Falló"))</f>
        <v/>
      </c>
    </row>
    <row r="1364" ht="16" customHeight="1">
      <c r="A1364" s="47" t="n"/>
      <c r="B1364" s="46" t="n"/>
      <c r="C1364" s="49" t="n"/>
      <c r="D1364" s="49" t="n"/>
      <c r="E1364" s="49" t="n"/>
      <c r="F1364" s="49" t="n"/>
      <c r="G1364" s="47" t="n"/>
      <c r="H1364" s="50" t="n"/>
      <c r="I1364" s="51" t="n"/>
      <c r="J1364" s="46" t="n"/>
      <c r="K1364" s="46" t="n"/>
      <c r="L1364" s="23">
        <f>IF(OR($A1364="",$B1364=""),"",IF($K1364&lt;&gt;"",$K1364-$B1364,TODAY()-$B1364))</f>
        <v/>
      </c>
      <c r="M1364" s="27">
        <f>IF(OR($A1364="",$J1364=""),"",IF($K1364="",IF(TODAY()&gt;$J1364,"Atrasado","En ruta"),IF($K1364&lt;=$J1364,"Sí","No")))</f>
        <v/>
      </c>
      <c r="N1364" s="23">
        <f>IF($A1364="","",COUNTIFS(NOVEDADES!$C$4:$C$1503,$A1364))</f>
        <v/>
      </c>
      <c r="O1364" s="27">
        <f>IF($A1364="","",IF(COUNTIFS(NOVEDADES!$C$4:$C$1503,$A1364,NOVEDADES!$M$4:$M$1503,"SÍ")&gt;0,"No","Sí"))</f>
        <v/>
      </c>
      <c r="P1364" s="27">
        <f>IF(OR($A1364="",$K1364=""),"",IF(AND($M1364="Sí",$O1364="Sí"),"OTIF","Falló"))</f>
        <v/>
      </c>
    </row>
    <row r="1365" ht="16" customHeight="1">
      <c r="A1365" s="47" t="n"/>
      <c r="B1365" s="46" t="n"/>
      <c r="C1365" s="49" t="n"/>
      <c r="D1365" s="49" t="n"/>
      <c r="E1365" s="49" t="n"/>
      <c r="F1365" s="49" t="n"/>
      <c r="G1365" s="47" t="n"/>
      <c r="H1365" s="50" t="n"/>
      <c r="I1365" s="51" t="n"/>
      <c r="J1365" s="46" t="n"/>
      <c r="K1365" s="46" t="n"/>
      <c r="L1365" s="23">
        <f>IF(OR($A1365="",$B1365=""),"",IF($K1365&lt;&gt;"",$K1365-$B1365,TODAY()-$B1365))</f>
        <v/>
      </c>
      <c r="M1365" s="27">
        <f>IF(OR($A1365="",$J1365=""),"",IF($K1365="",IF(TODAY()&gt;$J1365,"Atrasado","En ruta"),IF($K1365&lt;=$J1365,"Sí","No")))</f>
        <v/>
      </c>
      <c r="N1365" s="23">
        <f>IF($A1365="","",COUNTIFS(NOVEDADES!$C$4:$C$1503,$A1365))</f>
        <v/>
      </c>
      <c r="O1365" s="27">
        <f>IF($A1365="","",IF(COUNTIFS(NOVEDADES!$C$4:$C$1503,$A1365,NOVEDADES!$M$4:$M$1503,"SÍ")&gt;0,"No","Sí"))</f>
        <v/>
      </c>
      <c r="P1365" s="27">
        <f>IF(OR($A1365="",$K1365=""),"",IF(AND($M1365="Sí",$O1365="Sí"),"OTIF","Falló"))</f>
        <v/>
      </c>
    </row>
    <row r="1366" ht="16" customHeight="1">
      <c r="A1366" s="47" t="n"/>
      <c r="B1366" s="46" t="n"/>
      <c r="C1366" s="49" t="n"/>
      <c r="D1366" s="49" t="n"/>
      <c r="E1366" s="49" t="n"/>
      <c r="F1366" s="49" t="n"/>
      <c r="G1366" s="47" t="n"/>
      <c r="H1366" s="50" t="n"/>
      <c r="I1366" s="51" t="n"/>
      <c r="J1366" s="46" t="n"/>
      <c r="K1366" s="46" t="n"/>
      <c r="L1366" s="23">
        <f>IF(OR($A1366="",$B1366=""),"",IF($K1366&lt;&gt;"",$K1366-$B1366,TODAY()-$B1366))</f>
        <v/>
      </c>
      <c r="M1366" s="27">
        <f>IF(OR($A1366="",$J1366=""),"",IF($K1366="",IF(TODAY()&gt;$J1366,"Atrasado","En ruta"),IF($K1366&lt;=$J1366,"Sí","No")))</f>
        <v/>
      </c>
      <c r="N1366" s="23">
        <f>IF($A1366="","",COUNTIFS(NOVEDADES!$C$4:$C$1503,$A1366))</f>
        <v/>
      </c>
      <c r="O1366" s="27">
        <f>IF($A1366="","",IF(COUNTIFS(NOVEDADES!$C$4:$C$1503,$A1366,NOVEDADES!$M$4:$M$1503,"SÍ")&gt;0,"No","Sí"))</f>
        <v/>
      </c>
      <c r="P1366" s="27">
        <f>IF(OR($A1366="",$K1366=""),"",IF(AND($M1366="Sí",$O1366="Sí"),"OTIF","Falló"))</f>
        <v/>
      </c>
    </row>
    <row r="1367" ht="16" customHeight="1">
      <c r="A1367" s="47" t="n"/>
      <c r="B1367" s="46" t="n"/>
      <c r="C1367" s="49" t="n"/>
      <c r="D1367" s="49" t="n"/>
      <c r="E1367" s="49" t="n"/>
      <c r="F1367" s="49" t="n"/>
      <c r="G1367" s="47" t="n"/>
      <c r="H1367" s="50" t="n"/>
      <c r="I1367" s="51" t="n"/>
      <c r="J1367" s="46" t="n"/>
      <c r="K1367" s="46" t="n"/>
      <c r="L1367" s="23">
        <f>IF(OR($A1367="",$B1367=""),"",IF($K1367&lt;&gt;"",$K1367-$B1367,TODAY()-$B1367))</f>
        <v/>
      </c>
      <c r="M1367" s="27">
        <f>IF(OR($A1367="",$J1367=""),"",IF($K1367="",IF(TODAY()&gt;$J1367,"Atrasado","En ruta"),IF($K1367&lt;=$J1367,"Sí","No")))</f>
        <v/>
      </c>
      <c r="N1367" s="23">
        <f>IF($A1367="","",COUNTIFS(NOVEDADES!$C$4:$C$1503,$A1367))</f>
        <v/>
      </c>
      <c r="O1367" s="27">
        <f>IF($A1367="","",IF(COUNTIFS(NOVEDADES!$C$4:$C$1503,$A1367,NOVEDADES!$M$4:$M$1503,"SÍ")&gt;0,"No","Sí"))</f>
        <v/>
      </c>
      <c r="P1367" s="27">
        <f>IF(OR($A1367="",$K1367=""),"",IF(AND($M1367="Sí",$O1367="Sí"),"OTIF","Falló"))</f>
        <v/>
      </c>
    </row>
    <row r="1368" ht="16" customHeight="1">
      <c r="A1368" s="47" t="n"/>
      <c r="B1368" s="46" t="n"/>
      <c r="C1368" s="49" t="n"/>
      <c r="D1368" s="49" t="n"/>
      <c r="E1368" s="49" t="n"/>
      <c r="F1368" s="49" t="n"/>
      <c r="G1368" s="47" t="n"/>
      <c r="H1368" s="50" t="n"/>
      <c r="I1368" s="51" t="n"/>
      <c r="J1368" s="46" t="n"/>
      <c r="K1368" s="46" t="n"/>
      <c r="L1368" s="23">
        <f>IF(OR($A1368="",$B1368=""),"",IF($K1368&lt;&gt;"",$K1368-$B1368,TODAY()-$B1368))</f>
        <v/>
      </c>
      <c r="M1368" s="27">
        <f>IF(OR($A1368="",$J1368=""),"",IF($K1368="",IF(TODAY()&gt;$J1368,"Atrasado","En ruta"),IF($K1368&lt;=$J1368,"Sí","No")))</f>
        <v/>
      </c>
      <c r="N1368" s="23">
        <f>IF($A1368="","",COUNTIFS(NOVEDADES!$C$4:$C$1503,$A1368))</f>
        <v/>
      </c>
      <c r="O1368" s="27">
        <f>IF($A1368="","",IF(COUNTIFS(NOVEDADES!$C$4:$C$1503,$A1368,NOVEDADES!$M$4:$M$1503,"SÍ")&gt;0,"No","Sí"))</f>
        <v/>
      </c>
      <c r="P1368" s="27">
        <f>IF(OR($A1368="",$K1368=""),"",IF(AND($M1368="Sí",$O1368="Sí"),"OTIF","Falló"))</f>
        <v/>
      </c>
    </row>
    <row r="1369" ht="16" customHeight="1">
      <c r="A1369" s="47" t="n"/>
      <c r="B1369" s="46" t="n"/>
      <c r="C1369" s="49" t="n"/>
      <c r="D1369" s="49" t="n"/>
      <c r="E1369" s="49" t="n"/>
      <c r="F1369" s="49" t="n"/>
      <c r="G1369" s="47" t="n"/>
      <c r="H1369" s="50" t="n"/>
      <c r="I1369" s="51" t="n"/>
      <c r="J1369" s="46" t="n"/>
      <c r="K1369" s="46" t="n"/>
      <c r="L1369" s="23">
        <f>IF(OR($A1369="",$B1369=""),"",IF($K1369&lt;&gt;"",$K1369-$B1369,TODAY()-$B1369))</f>
        <v/>
      </c>
      <c r="M1369" s="27">
        <f>IF(OR($A1369="",$J1369=""),"",IF($K1369="",IF(TODAY()&gt;$J1369,"Atrasado","En ruta"),IF($K1369&lt;=$J1369,"Sí","No")))</f>
        <v/>
      </c>
      <c r="N1369" s="23">
        <f>IF($A1369="","",COUNTIFS(NOVEDADES!$C$4:$C$1503,$A1369))</f>
        <v/>
      </c>
      <c r="O1369" s="27">
        <f>IF($A1369="","",IF(COUNTIFS(NOVEDADES!$C$4:$C$1503,$A1369,NOVEDADES!$M$4:$M$1503,"SÍ")&gt;0,"No","Sí"))</f>
        <v/>
      </c>
      <c r="P1369" s="27">
        <f>IF(OR($A1369="",$K1369=""),"",IF(AND($M1369="Sí",$O1369="Sí"),"OTIF","Falló"))</f>
        <v/>
      </c>
    </row>
    <row r="1370" ht="16" customHeight="1">
      <c r="A1370" s="47" t="n"/>
      <c r="B1370" s="46" t="n"/>
      <c r="C1370" s="49" t="n"/>
      <c r="D1370" s="49" t="n"/>
      <c r="E1370" s="49" t="n"/>
      <c r="F1370" s="49" t="n"/>
      <c r="G1370" s="47" t="n"/>
      <c r="H1370" s="50" t="n"/>
      <c r="I1370" s="51" t="n"/>
      <c r="J1370" s="46" t="n"/>
      <c r="K1370" s="46" t="n"/>
      <c r="L1370" s="23">
        <f>IF(OR($A1370="",$B1370=""),"",IF($K1370&lt;&gt;"",$K1370-$B1370,TODAY()-$B1370))</f>
        <v/>
      </c>
      <c r="M1370" s="27">
        <f>IF(OR($A1370="",$J1370=""),"",IF($K1370="",IF(TODAY()&gt;$J1370,"Atrasado","En ruta"),IF($K1370&lt;=$J1370,"Sí","No")))</f>
        <v/>
      </c>
      <c r="N1370" s="23">
        <f>IF($A1370="","",COUNTIFS(NOVEDADES!$C$4:$C$1503,$A1370))</f>
        <v/>
      </c>
      <c r="O1370" s="27">
        <f>IF($A1370="","",IF(COUNTIFS(NOVEDADES!$C$4:$C$1503,$A1370,NOVEDADES!$M$4:$M$1503,"SÍ")&gt;0,"No","Sí"))</f>
        <v/>
      </c>
      <c r="P1370" s="27">
        <f>IF(OR($A1370="",$K1370=""),"",IF(AND($M1370="Sí",$O1370="Sí"),"OTIF","Falló"))</f>
        <v/>
      </c>
    </row>
    <row r="1371" ht="16" customHeight="1">
      <c r="A1371" s="47" t="n"/>
      <c r="B1371" s="46" t="n"/>
      <c r="C1371" s="49" t="n"/>
      <c r="D1371" s="49" t="n"/>
      <c r="E1371" s="49" t="n"/>
      <c r="F1371" s="49" t="n"/>
      <c r="G1371" s="47" t="n"/>
      <c r="H1371" s="50" t="n"/>
      <c r="I1371" s="51" t="n"/>
      <c r="J1371" s="46" t="n"/>
      <c r="K1371" s="46" t="n"/>
      <c r="L1371" s="23">
        <f>IF(OR($A1371="",$B1371=""),"",IF($K1371&lt;&gt;"",$K1371-$B1371,TODAY()-$B1371))</f>
        <v/>
      </c>
      <c r="M1371" s="27">
        <f>IF(OR($A1371="",$J1371=""),"",IF($K1371="",IF(TODAY()&gt;$J1371,"Atrasado","En ruta"),IF($K1371&lt;=$J1371,"Sí","No")))</f>
        <v/>
      </c>
      <c r="N1371" s="23">
        <f>IF($A1371="","",COUNTIFS(NOVEDADES!$C$4:$C$1503,$A1371))</f>
        <v/>
      </c>
      <c r="O1371" s="27">
        <f>IF($A1371="","",IF(COUNTIFS(NOVEDADES!$C$4:$C$1503,$A1371,NOVEDADES!$M$4:$M$1503,"SÍ")&gt;0,"No","Sí"))</f>
        <v/>
      </c>
      <c r="P1371" s="27">
        <f>IF(OR($A1371="",$K1371=""),"",IF(AND($M1371="Sí",$O1371="Sí"),"OTIF","Falló"))</f>
        <v/>
      </c>
    </row>
    <row r="1372" ht="16" customHeight="1">
      <c r="A1372" s="47" t="n"/>
      <c r="B1372" s="46" t="n"/>
      <c r="C1372" s="49" t="n"/>
      <c r="D1372" s="49" t="n"/>
      <c r="E1372" s="49" t="n"/>
      <c r="F1372" s="49" t="n"/>
      <c r="G1372" s="47" t="n"/>
      <c r="H1372" s="50" t="n"/>
      <c r="I1372" s="51" t="n"/>
      <c r="J1372" s="46" t="n"/>
      <c r="K1372" s="46" t="n"/>
      <c r="L1372" s="23">
        <f>IF(OR($A1372="",$B1372=""),"",IF($K1372&lt;&gt;"",$K1372-$B1372,TODAY()-$B1372))</f>
        <v/>
      </c>
      <c r="M1372" s="27">
        <f>IF(OR($A1372="",$J1372=""),"",IF($K1372="",IF(TODAY()&gt;$J1372,"Atrasado","En ruta"),IF($K1372&lt;=$J1372,"Sí","No")))</f>
        <v/>
      </c>
      <c r="N1372" s="23">
        <f>IF($A1372="","",COUNTIFS(NOVEDADES!$C$4:$C$1503,$A1372))</f>
        <v/>
      </c>
      <c r="O1372" s="27">
        <f>IF($A1372="","",IF(COUNTIFS(NOVEDADES!$C$4:$C$1503,$A1372,NOVEDADES!$M$4:$M$1503,"SÍ")&gt;0,"No","Sí"))</f>
        <v/>
      </c>
      <c r="P1372" s="27">
        <f>IF(OR($A1372="",$K1372=""),"",IF(AND($M1372="Sí",$O1372="Sí"),"OTIF","Falló"))</f>
        <v/>
      </c>
    </row>
    <row r="1373" ht="16" customHeight="1">
      <c r="A1373" s="47" t="n"/>
      <c r="B1373" s="46" t="n"/>
      <c r="C1373" s="49" t="n"/>
      <c r="D1373" s="49" t="n"/>
      <c r="E1373" s="49" t="n"/>
      <c r="F1373" s="49" t="n"/>
      <c r="G1373" s="47" t="n"/>
      <c r="H1373" s="50" t="n"/>
      <c r="I1373" s="51" t="n"/>
      <c r="J1373" s="46" t="n"/>
      <c r="K1373" s="46" t="n"/>
      <c r="L1373" s="23">
        <f>IF(OR($A1373="",$B1373=""),"",IF($K1373&lt;&gt;"",$K1373-$B1373,TODAY()-$B1373))</f>
        <v/>
      </c>
      <c r="M1373" s="27">
        <f>IF(OR($A1373="",$J1373=""),"",IF($K1373="",IF(TODAY()&gt;$J1373,"Atrasado","En ruta"),IF($K1373&lt;=$J1373,"Sí","No")))</f>
        <v/>
      </c>
      <c r="N1373" s="23">
        <f>IF($A1373="","",COUNTIFS(NOVEDADES!$C$4:$C$1503,$A1373))</f>
        <v/>
      </c>
      <c r="O1373" s="27">
        <f>IF($A1373="","",IF(COUNTIFS(NOVEDADES!$C$4:$C$1503,$A1373,NOVEDADES!$M$4:$M$1503,"SÍ")&gt;0,"No","Sí"))</f>
        <v/>
      </c>
      <c r="P1373" s="27">
        <f>IF(OR($A1373="",$K1373=""),"",IF(AND($M1373="Sí",$O1373="Sí"),"OTIF","Falló"))</f>
        <v/>
      </c>
    </row>
    <row r="1374" ht="16" customHeight="1">
      <c r="A1374" s="47" t="n"/>
      <c r="B1374" s="46" t="n"/>
      <c r="C1374" s="49" t="n"/>
      <c r="D1374" s="49" t="n"/>
      <c r="E1374" s="49" t="n"/>
      <c r="F1374" s="49" t="n"/>
      <c r="G1374" s="47" t="n"/>
      <c r="H1374" s="50" t="n"/>
      <c r="I1374" s="51" t="n"/>
      <c r="J1374" s="46" t="n"/>
      <c r="K1374" s="46" t="n"/>
      <c r="L1374" s="23">
        <f>IF(OR($A1374="",$B1374=""),"",IF($K1374&lt;&gt;"",$K1374-$B1374,TODAY()-$B1374))</f>
        <v/>
      </c>
      <c r="M1374" s="27">
        <f>IF(OR($A1374="",$J1374=""),"",IF($K1374="",IF(TODAY()&gt;$J1374,"Atrasado","En ruta"),IF($K1374&lt;=$J1374,"Sí","No")))</f>
        <v/>
      </c>
      <c r="N1374" s="23">
        <f>IF($A1374="","",COUNTIFS(NOVEDADES!$C$4:$C$1503,$A1374))</f>
        <v/>
      </c>
      <c r="O1374" s="27">
        <f>IF($A1374="","",IF(COUNTIFS(NOVEDADES!$C$4:$C$1503,$A1374,NOVEDADES!$M$4:$M$1503,"SÍ")&gt;0,"No","Sí"))</f>
        <v/>
      </c>
      <c r="P1374" s="27">
        <f>IF(OR($A1374="",$K1374=""),"",IF(AND($M1374="Sí",$O1374="Sí"),"OTIF","Falló"))</f>
        <v/>
      </c>
    </row>
    <row r="1375" ht="16" customHeight="1">
      <c r="A1375" s="47" t="n"/>
      <c r="B1375" s="46" t="n"/>
      <c r="C1375" s="49" t="n"/>
      <c r="D1375" s="49" t="n"/>
      <c r="E1375" s="49" t="n"/>
      <c r="F1375" s="49" t="n"/>
      <c r="G1375" s="47" t="n"/>
      <c r="H1375" s="50" t="n"/>
      <c r="I1375" s="51" t="n"/>
      <c r="J1375" s="46" t="n"/>
      <c r="K1375" s="46" t="n"/>
      <c r="L1375" s="23">
        <f>IF(OR($A1375="",$B1375=""),"",IF($K1375&lt;&gt;"",$K1375-$B1375,TODAY()-$B1375))</f>
        <v/>
      </c>
      <c r="M1375" s="27">
        <f>IF(OR($A1375="",$J1375=""),"",IF($K1375="",IF(TODAY()&gt;$J1375,"Atrasado","En ruta"),IF($K1375&lt;=$J1375,"Sí","No")))</f>
        <v/>
      </c>
      <c r="N1375" s="23">
        <f>IF($A1375="","",COUNTIFS(NOVEDADES!$C$4:$C$1503,$A1375))</f>
        <v/>
      </c>
      <c r="O1375" s="27">
        <f>IF($A1375="","",IF(COUNTIFS(NOVEDADES!$C$4:$C$1503,$A1375,NOVEDADES!$M$4:$M$1503,"SÍ")&gt;0,"No","Sí"))</f>
        <v/>
      </c>
      <c r="P1375" s="27">
        <f>IF(OR($A1375="",$K1375=""),"",IF(AND($M1375="Sí",$O1375="Sí"),"OTIF","Falló"))</f>
        <v/>
      </c>
    </row>
    <row r="1376" ht="16" customHeight="1">
      <c r="A1376" s="47" t="n"/>
      <c r="B1376" s="46" t="n"/>
      <c r="C1376" s="49" t="n"/>
      <c r="D1376" s="49" t="n"/>
      <c r="E1376" s="49" t="n"/>
      <c r="F1376" s="49" t="n"/>
      <c r="G1376" s="47" t="n"/>
      <c r="H1376" s="50" t="n"/>
      <c r="I1376" s="51" t="n"/>
      <c r="J1376" s="46" t="n"/>
      <c r="K1376" s="46" t="n"/>
      <c r="L1376" s="23">
        <f>IF(OR($A1376="",$B1376=""),"",IF($K1376&lt;&gt;"",$K1376-$B1376,TODAY()-$B1376))</f>
        <v/>
      </c>
      <c r="M1376" s="27">
        <f>IF(OR($A1376="",$J1376=""),"",IF($K1376="",IF(TODAY()&gt;$J1376,"Atrasado","En ruta"),IF($K1376&lt;=$J1376,"Sí","No")))</f>
        <v/>
      </c>
      <c r="N1376" s="23">
        <f>IF($A1376="","",COUNTIFS(NOVEDADES!$C$4:$C$1503,$A1376))</f>
        <v/>
      </c>
      <c r="O1376" s="27">
        <f>IF($A1376="","",IF(COUNTIFS(NOVEDADES!$C$4:$C$1503,$A1376,NOVEDADES!$M$4:$M$1503,"SÍ")&gt;0,"No","Sí"))</f>
        <v/>
      </c>
      <c r="P1376" s="27">
        <f>IF(OR($A1376="",$K1376=""),"",IF(AND($M1376="Sí",$O1376="Sí"),"OTIF","Falló"))</f>
        <v/>
      </c>
    </row>
    <row r="1377" ht="16" customHeight="1">
      <c r="A1377" s="47" t="n"/>
      <c r="B1377" s="46" t="n"/>
      <c r="C1377" s="49" t="n"/>
      <c r="D1377" s="49" t="n"/>
      <c r="E1377" s="49" t="n"/>
      <c r="F1377" s="49" t="n"/>
      <c r="G1377" s="47" t="n"/>
      <c r="H1377" s="50" t="n"/>
      <c r="I1377" s="51" t="n"/>
      <c r="J1377" s="46" t="n"/>
      <c r="K1377" s="46" t="n"/>
      <c r="L1377" s="23">
        <f>IF(OR($A1377="",$B1377=""),"",IF($K1377&lt;&gt;"",$K1377-$B1377,TODAY()-$B1377))</f>
        <v/>
      </c>
      <c r="M1377" s="27">
        <f>IF(OR($A1377="",$J1377=""),"",IF($K1377="",IF(TODAY()&gt;$J1377,"Atrasado","En ruta"),IF($K1377&lt;=$J1377,"Sí","No")))</f>
        <v/>
      </c>
      <c r="N1377" s="23">
        <f>IF($A1377="","",COUNTIFS(NOVEDADES!$C$4:$C$1503,$A1377))</f>
        <v/>
      </c>
      <c r="O1377" s="27">
        <f>IF($A1377="","",IF(COUNTIFS(NOVEDADES!$C$4:$C$1503,$A1377,NOVEDADES!$M$4:$M$1503,"SÍ")&gt;0,"No","Sí"))</f>
        <v/>
      </c>
      <c r="P1377" s="27">
        <f>IF(OR($A1377="",$K1377=""),"",IF(AND($M1377="Sí",$O1377="Sí"),"OTIF","Falló"))</f>
        <v/>
      </c>
    </row>
    <row r="1378" ht="16" customHeight="1">
      <c r="A1378" s="47" t="n"/>
      <c r="B1378" s="46" t="n"/>
      <c r="C1378" s="49" t="n"/>
      <c r="D1378" s="49" t="n"/>
      <c r="E1378" s="49" t="n"/>
      <c r="F1378" s="49" t="n"/>
      <c r="G1378" s="47" t="n"/>
      <c r="H1378" s="50" t="n"/>
      <c r="I1378" s="51" t="n"/>
      <c r="J1378" s="46" t="n"/>
      <c r="K1378" s="46" t="n"/>
      <c r="L1378" s="23">
        <f>IF(OR($A1378="",$B1378=""),"",IF($K1378&lt;&gt;"",$K1378-$B1378,TODAY()-$B1378))</f>
        <v/>
      </c>
      <c r="M1378" s="27">
        <f>IF(OR($A1378="",$J1378=""),"",IF($K1378="",IF(TODAY()&gt;$J1378,"Atrasado","En ruta"),IF($K1378&lt;=$J1378,"Sí","No")))</f>
        <v/>
      </c>
      <c r="N1378" s="23">
        <f>IF($A1378="","",COUNTIFS(NOVEDADES!$C$4:$C$1503,$A1378))</f>
        <v/>
      </c>
      <c r="O1378" s="27">
        <f>IF($A1378="","",IF(COUNTIFS(NOVEDADES!$C$4:$C$1503,$A1378,NOVEDADES!$M$4:$M$1503,"SÍ")&gt;0,"No","Sí"))</f>
        <v/>
      </c>
      <c r="P1378" s="27">
        <f>IF(OR($A1378="",$K1378=""),"",IF(AND($M1378="Sí",$O1378="Sí"),"OTIF","Falló"))</f>
        <v/>
      </c>
    </row>
    <row r="1379" ht="16" customHeight="1">
      <c r="A1379" s="47" t="n"/>
      <c r="B1379" s="46" t="n"/>
      <c r="C1379" s="49" t="n"/>
      <c r="D1379" s="49" t="n"/>
      <c r="E1379" s="49" t="n"/>
      <c r="F1379" s="49" t="n"/>
      <c r="G1379" s="47" t="n"/>
      <c r="H1379" s="50" t="n"/>
      <c r="I1379" s="51" t="n"/>
      <c r="J1379" s="46" t="n"/>
      <c r="K1379" s="46" t="n"/>
      <c r="L1379" s="23">
        <f>IF(OR($A1379="",$B1379=""),"",IF($K1379&lt;&gt;"",$K1379-$B1379,TODAY()-$B1379))</f>
        <v/>
      </c>
      <c r="M1379" s="27">
        <f>IF(OR($A1379="",$J1379=""),"",IF($K1379="",IF(TODAY()&gt;$J1379,"Atrasado","En ruta"),IF($K1379&lt;=$J1379,"Sí","No")))</f>
        <v/>
      </c>
      <c r="N1379" s="23">
        <f>IF($A1379="","",COUNTIFS(NOVEDADES!$C$4:$C$1503,$A1379))</f>
        <v/>
      </c>
      <c r="O1379" s="27">
        <f>IF($A1379="","",IF(COUNTIFS(NOVEDADES!$C$4:$C$1503,$A1379,NOVEDADES!$M$4:$M$1503,"SÍ")&gt;0,"No","Sí"))</f>
        <v/>
      </c>
      <c r="P1379" s="27">
        <f>IF(OR($A1379="",$K1379=""),"",IF(AND($M1379="Sí",$O1379="Sí"),"OTIF","Falló"))</f>
        <v/>
      </c>
    </row>
    <row r="1380" ht="16" customHeight="1">
      <c r="A1380" s="47" t="n"/>
      <c r="B1380" s="46" t="n"/>
      <c r="C1380" s="49" t="n"/>
      <c r="D1380" s="49" t="n"/>
      <c r="E1380" s="49" t="n"/>
      <c r="F1380" s="49" t="n"/>
      <c r="G1380" s="47" t="n"/>
      <c r="H1380" s="50" t="n"/>
      <c r="I1380" s="51" t="n"/>
      <c r="J1380" s="46" t="n"/>
      <c r="K1380" s="46" t="n"/>
      <c r="L1380" s="23">
        <f>IF(OR($A1380="",$B1380=""),"",IF($K1380&lt;&gt;"",$K1380-$B1380,TODAY()-$B1380))</f>
        <v/>
      </c>
      <c r="M1380" s="27">
        <f>IF(OR($A1380="",$J1380=""),"",IF($K1380="",IF(TODAY()&gt;$J1380,"Atrasado","En ruta"),IF($K1380&lt;=$J1380,"Sí","No")))</f>
        <v/>
      </c>
      <c r="N1380" s="23">
        <f>IF($A1380="","",COUNTIFS(NOVEDADES!$C$4:$C$1503,$A1380))</f>
        <v/>
      </c>
      <c r="O1380" s="27">
        <f>IF($A1380="","",IF(COUNTIFS(NOVEDADES!$C$4:$C$1503,$A1380,NOVEDADES!$M$4:$M$1503,"SÍ")&gt;0,"No","Sí"))</f>
        <v/>
      </c>
      <c r="P1380" s="27">
        <f>IF(OR($A1380="",$K1380=""),"",IF(AND($M1380="Sí",$O1380="Sí"),"OTIF","Falló"))</f>
        <v/>
      </c>
    </row>
    <row r="1381" ht="16" customHeight="1">
      <c r="A1381" s="47" t="n"/>
      <c r="B1381" s="46" t="n"/>
      <c r="C1381" s="49" t="n"/>
      <c r="D1381" s="49" t="n"/>
      <c r="E1381" s="49" t="n"/>
      <c r="F1381" s="49" t="n"/>
      <c r="G1381" s="47" t="n"/>
      <c r="H1381" s="50" t="n"/>
      <c r="I1381" s="51" t="n"/>
      <c r="J1381" s="46" t="n"/>
      <c r="K1381" s="46" t="n"/>
      <c r="L1381" s="23">
        <f>IF(OR($A1381="",$B1381=""),"",IF($K1381&lt;&gt;"",$K1381-$B1381,TODAY()-$B1381))</f>
        <v/>
      </c>
      <c r="M1381" s="27">
        <f>IF(OR($A1381="",$J1381=""),"",IF($K1381="",IF(TODAY()&gt;$J1381,"Atrasado","En ruta"),IF($K1381&lt;=$J1381,"Sí","No")))</f>
        <v/>
      </c>
      <c r="N1381" s="23">
        <f>IF($A1381="","",COUNTIFS(NOVEDADES!$C$4:$C$1503,$A1381))</f>
        <v/>
      </c>
      <c r="O1381" s="27">
        <f>IF($A1381="","",IF(COUNTIFS(NOVEDADES!$C$4:$C$1503,$A1381,NOVEDADES!$M$4:$M$1503,"SÍ")&gt;0,"No","Sí"))</f>
        <v/>
      </c>
      <c r="P1381" s="27">
        <f>IF(OR($A1381="",$K1381=""),"",IF(AND($M1381="Sí",$O1381="Sí"),"OTIF","Falló"))</f>
        <v/>
      </c>
    </row>
    <row r="1382" ht="16" customHeight="1">
      <c r="A1382" s="47" t="n"/>
      <c r="B1382" s="46" t="n"/>
      <c r="C1382" s="49" t="n"/>
      <c r="D1382" s="49" t="n"/>
      <c r="E1382" s="49" t="n"/>
      <c r="F1382" s="49" t="n"/>
      <c r="G1382" s="47" t="n"/>
      <c r="H1382" s="50" t="n"/>
      <c r="I1382" s="51" t="n"/>
      <c r="J1382" s="46" t="n"/>
      <c r="K1382" s="46" t="n"/>
      <c r="L1382" s="23">
        <f>IF(OR($A1382="",$B1382=""),"",IF($K1382&lt;&gt;"",$K1382-$B1382,TODAY()-$B1382))</f>
        <v/>
      </c>
      <c r="M1382" s="27">
        <f>IF(OR($A1382="",$J1382=""),"",IF($K1382="",IF(TODAY()&gt;$J1382,"Atrasado","En ruta"),IF($K1382&lt;=$J1382,"Sí","No")))</f>
        <v/>
      </c>
      <c r="N1382" s="23">
        <f>IF($A1382="","",COUNTIFS(NOVEDADES!$C$4:$C$1503,$A1382))</f>
        <v/>
      </c>
      <c r="O1382" s="27">
        <f>IF($A1382="","",IF(COUNTIFS(NOVEDADES!$C$4:$C$1503,$A1382,NOVEDADES!$M$4:$M$1503,"SÍ")&gt;0,"No","Sí"))</f>
        <v/>
      </c>
      <c r="P1382" s="27">
        <f>IF(OR($A1382="",$K1382=""),"",IF(AND($M1382="Sí",$O1382="Sí"),"OTIF","Falló"))</f>
        <v/>
      </c>
    </row>
    <row r="1383" ht="16" customHeight="1">
      <c r="A1383" s="47" t="n"/>
      <c r="B1383" s="46" t="n"/>
      <c r="C1383" s="49" t="n"/>
      <c r="D1383" s="49" t="n"/>
      <c r="E1383" s="49" t="n"/>
      <c r="F1383" s="49" t="n"/>
      <c r="G1383" s="47" t="n"/>
      <c r="H1383" s="50" t="n"/>
      <c r="I1383" s="51" t="n"/>
      <c r="J1383" s="46" t="n"/>
      <c r="K1383" s="46" t="n"/>
      <c r="L1383" s="23">
        <f>IF(OR($A1383="",$B1383=""),"",IF($K1383&lt;&gt;"",$K1383-$B1383,TODAY()-$B1383))</f>
        <v/>
      </c>
      <c r="M1383" s="27">
        <f>IF(OR($A1383="",$J1383=""),"",IF($K1383="",IF(TODAY()&gt;$J1383,"Atrasado","En ruta"),IF($K1383&lt;=$J1383,"Sí","No")))</f>
        <v/>
      </c>
      <c r="N1383" s="23">
        <f>IF($A1383="","",COUNTIFS(NOVEDADES!$C$4:$C$1503,$A1383))</f>
        <v/>
      </c>
      <c r="O1383" s="27">
        <f>IF($A1383="","",IF(COUNTIFS(NOVEDADES!$C$4:$C$1503,$A1383,NOVEDADES!$M$4:$M$1503,"SÍ")&gt;0,"No","Sí"))</f>
        <v/>
      </c>
      <c r="P1383" s="27">
        <f>IF(OR($A1383="",$K1383=""),"",IF(AND($M1383="Sí",$O1383="Sí"),"OTIF","Falló"))</f>
        <v/>
      </c>
    </row>
    <row r="1384" ht="16" customHeight="1">
      <c r="A1384" s="47" t="n"/>
      <c r="B1384" s="46" t="n"/>
      <c r="C1384" s="49" t="n"/>
      <c r="D1384" s="49" t="n"/>
      <c r="E1384" s="49" t="n"/>
      <c r="F1384" s="49" t="n"/>
      <c r="G1384" s="47" t="n"/>
      <c r="H1384" s="50" t="n"/>
      <c r="I1384" s="51" t="n"/>
      <c r="J1384" s="46" t="n"/>
      <c r="K1384" s="46" t="n"/>
      <c r="L1384" s="23">
        <f>IF(OR($A1384="",$B1384=""),"",IF($K1384&lt;&gt;"",$K1384-$B1384,TODAY()-$B1384))</f>
        <v/>
      </c>
      <c r="M1384" s="27">
        <f>IF(OR($A1384="",$J1384=""),"",IF($K1384="",IF(TODAY()&gt;$J1384,"Atrasado","En ruta"),IF($K1384&lt;=$J1384,"Sí","No")))</f>
        <v/>
      </c>
      <c r="N1384" s="23">
        <f>IF($A1384="","",COUNTIFS(NOVEDADES!$C$4:$C$1503,$A1384))</f>
        <v/>
      </c>
      <c r="O1384" s="27">
        <f>IF($A1384="","",IF(COUNTIFS(NOVEDADES!$C$4:$C$1503,$A1384,NOVEDADES!$M$4:$M$1503,"SÍ")&gt;0,"No","Sí"))</f>
        <v/>
      </c>
      <c r="P1384" s="27">
        <f>IF(OR($A1384="",$K1384=""),"",IF(AND($M1384="Sí",$O1384="Sí"),"OTIF","Falló"))</f>
        <v/>
      </c>
    </row>
    <row r="1385" ht="16" customHeight="1">
      <c r="A1385" s="47" t="n"/>
      <c r="B1385" s="46" t="n"/>
      <c r="C1385" s="49" t="n"/>
      <c r="D1385" s="49" t="n"/>
      <c r="E1385" s="49" t="n"/>
      <c r="F1385" s="49" t="n"/>
      <c r="G1385" s="47" t="n"/>
      <c r="H1385" s="50" t="n"/>
      <c r="I1385" s="51" t="n"/>
      <c r="J1385" s="46" t="n"/>
      <c r="K1385" s="46" t="n"/>
      <c r="L1385" s="23">
        <f>IF(OR($A1385="",$B1385=""),"",IF($K1385&lt;&gt;"",$K1385-$B1385,TODAY()-$B1385))</f>
        <v/>
      </c>
      <c r="M1385" s="27">
        <f>IF(OR($A1385="",$J1385=""),"",IF($K1385="",IF(TODAY()&gt;$J1385,"Atrasado","En ruta"),IF($K1385&lt;=$J1385,"Sí","No")))</f>
        <v/>
      </c>
      <c r="N1385" s="23">
        <f>IF($A1385="","",COUNTIFS(NOVEDADES!$C$4:$C$1503,$A1385))</f>
        <v/>
      </c>
      <c r="O1385" s="27">
        <f>IF($A1385="","",IF(COUNTIFS(NOVEDADES!$C$4:$C$1503,$A1385,NOVEDADES!$M$4:$M$1503,"SÍ")&gt;0,"No","Sí"))</f>
        <v/>
      </c>
      <c r="P1385" s="27">
        <f>IF(OR($A1385="",$K1385=""),"",IF(AND($M1385="Sí",$O1385="Sí"),"OTIF","Falló"))</f>
        <v/>
      </c>
    </row>
    <row r="1386" ht="16" customHeight="1">
      <c r="A1386" s="47" t="n"/>
      <c r="B1386" s="46" t="n"/>
      <c r="C1386" s="49" t="n"/>
      <c r="D1386" s="49" t="n"/>
      <c r="E1386" s="49" t="n"/>
      <c r="F1386" s="49" t="n"/>
      <c r="G1386" s="47" t="n"/>
      <c r="H1386" s="50" t="n"/>
      <c r="I1386" s="51" t="n"/>
      <c r="J1386" s="46" t="n"/>
      <c r="K1386" s="46" t="n"/>
      <c r="L1386" s="23">
        <f>IF(OR($A1386="",$B1386=""),"",IF($K1386&lt;&gt;"",$K1386-$B1386,TODAY()-$B1386))</f>
        <v/>
      </c>
      <c r="M1386" s="27">
        <f>IF(OR($A1386="",$J1386=""),"",IF($K1386="",IF(TODAY()&gt;$J1386,"Atrasado","En ruta"),IF($K1386&lt;=$J1386,"Sí","No")))</f>
        <v/>
      </c>
      <c r="N1386" s="23">
        <f>IF($A1386="","",COUNTIFS(NOVEDADES!$C$4:$C$1503,$A1386))</f>
        <v/>
      </c>
      <c r="O1386" s="27">
        <f>IF($A1386="","",IF(COUNTIFS(NOVEDADES!$C$4:$C$1503,$A1386,NOVEDADES!$M$4:$M$1503,"SÍ")&gt;0,"No","Sí"))</f>
        <v/>
      </c>
      <c r="P1386" s="27">
        <f>IF(OR($A1386="",$K1386=""),"",IF(AND($M1386="Sí",$O1386="Sí"),"OTIF","Falló"))</f>
        <v/>
      </c>
    </row>
    <row r="1387" ht="16" customHeight="1">
      <c r="A1387" s="47" t="n"/>
      <c r="B1387" s="46" t="n"/>
      <c r="C1387" s="49" t="n"/>
      <c r="D1387" s="49" t="n"/>
      <c r="E1387" s="49" t="n"/>
      <c r="F1387" s="49" t="n"/>
      <c r="G1387" s="47" t="n"/>
      <c r="H1387" s="50" t="n"/>
      <c r="I1387" s="51" t="n"/>
      <c r="J1387" s="46" t="n"/>
      <c r="K1387" s="46" t="n"/>
      <c r="L1387" s="23">
        <f>IF(OR($A1387="",$B1387=""),"",IF($K1387&lt;&gt;"",$K1387-$B1387,TODAY()-$B1387))</f>
        <v/>
      </c>
      <c r="M1387" s="27">
        <f>IF(OR($A1387="",$J1387=""),"",IF($K1387="",IF(TODAY()&gt;$J1387,"Atrasado","En ruta"),IF($K1387&lt;=$J1387,"Sí","No")))</f>
        <v/>
      </c>
      <c r="N1387" s="23">
        <f>IF($A1387="","",COUNTIFS(NOVEDADES!$C$4:$C$1503,$A1387))</f>
        <v/>
      </c>
      <c r="O1387" s="27">
        <f>IF($A1387="","",IF(COUNTIFS(NOVEDADES!$C$4:$C$1503,$A1387,NOVEDADES!$M$4:$M$1503,"SÍ")&gt;0,"No","Sí"))</f>
        <v/>
      </c>
      <c r="P1387" s="27">
        <f>IF(OR($A1387="",$K1387=""),"",IF(AND($M1387="Sí",$O1387="Sí"),"OTIF","Falló"))</f>
        <v/>
      </c>
    </row>
    <row r="1388" ht="16" customHeight="1">
      <c r="A1388" s="47" t="n"/>
      <c r="B1388" s="46" t="n"/>
      <c r="C1388" s="49" t="n"/>
      <c r="D1388" s="49" t="n"/>
      <c r="E1388" s="49" t="n"/>
      <c r="F1388" s="49" t="n"/>
      <c r="G1388" s="47" t="n"/>
      <c r="H1388" s="50" t="n"/>
      <c r="I1388" s="51" t="n"/>
      <c r="J1388" s="46" t="n"/>
      <c r="K1388" s="46" t="n"/>
      <c r="L1388" s="23">
        <f>IF(OR($A1388="",$B1388=""),"",IF($K1388&lt;&gt;"",$K1388-$B1388,TODAY()-$B1388))</f>
        <v/>
      </c>
      <c r="M1388" s="27">
        <f>IF(OR($A1388="",$J1388=""),"",IF($K1388="",IF(TODAY()&gt;$J1388,"Atrasado","En ruta"),IF($K1388&lt;=$J1388,"Sí","No")))</f>
        <v/>
      </c>
      <c r="N1388" s="23">
        <f>IF($A1388="","",COUNTIFS(NOVEDADES!$C$4:$C$1503,$A1388))</f>
        <v/>
      </c>
      <c r="O1388" s="27">
        <f>IF($A1388="","",IF(COUNTIFS(NOVEDADES!$C$4:$C$1503,$A1388,NOVEDADES!$M$4:$M$1503,"SÍ")&gt;0,"No","Sí"))</f>
        <v/>
      </c>
      <c r="P1388" s="27">
        <f>IF(OR($A1388="",$K1388=""),"",IF(AND($M1388="Sí",$O1388="Sí"),"OTIF","Falló"))</f>
        <v/>
      </c>
    </row>
    <row r="1389" ht="16" customHeight="1">
      <c r="A1389" s="47" t="n"/>
      <c r="B1389" s="46" t="n"/>
      <c r="C1389" s="49" t="n"/>
      <c r="D1389" s="49" t="n"/>
      <c r="E1389" s="49" t="n"/>
      <c r="F1389" s="49" t="n"/>
      <c r="G1389" s="47" t="n"/>
      <c r="H1389" s="50" t="n"/>
      <c r="I1389" s="51" t="n"/>
      <c r="J1389" s="46" t="n"/>
      <c r="K1389" s="46" t="n"/>
      <c r="L1389" s="23">
        <f>IF(OR($A1389="",$B1389=""),"",IF($K1389&lt;&gt;"",$K1389-$B1389,TODAY()-$B1389))</f>
        <v/>
      </c>
      <c r="M1389" s="27">
        <f>IF(OR($A1389="",$J1389=""),"",IF($K1389="",IF(TODAY()&gt;$J1389,"Atrasado","En ruta"),IF($K1389&lt;=$J1389,"Sí","No")))</f>
        <v/>
      </c>
      <c r="N1389" s="23">
        <f>IF($A1389="","",COUNTIFS(NOVEDADES!$C$4:$C$1503,$A1389))</f>
        <v/>
      </c>
      <c r="O1389" s="27">
        <f>IF($A1389="","",IF(COUNTIFS(NOVEDADES!$C$4:$C$1503,$A1389,NOVEDADES!$M$4:$M$1503,"SÍ")&gt;0,"No","Sí"))</f>
        <v/>
      </c>
      <c r="P1389" s="27">
        <f>IF(OR($A1389="",$K1389=""),"",IF(AND($M1389="Sí",$O1389="Sí"),"OTIF","Falló"))</f>
        <v/>
      </c>
    </row>
    <row r="1390" ht="16" customHeight="1">
      <c r="A1390" s="47" t="n"/>
      <c r="B1390" s="46" t="n"/>
      <c r="C1390" s="49" t="n"/>
      <c r="D1390" s="49" t="n"/>
      <c r="E1390" s="49" t="n"/>
      <c r="F1390" s="49" t="n"/>
      <c r="G1390" s="47" t="n"/>
      <c r="H1390" s="50" t="n"/>
      <c r="I1390" s="51" t="n"/>
      <c r="J1390" s="46" t="n"/>
      <c r="K1390" s="46" t="n"/>
      <c r="L1390" s="23">
        <f>IF(OR($A1390="",$B1390=""),"",IF($K1390&lt;&gt;"",$K1390-$B1390,TODAY()-$B1390))</f>
        <v/>
      </c>
      <c r="M1390" s="27">
        <f>IF(OR($A1390="",$J1390=""),"",IF($K1390="",IF(TODAY()&gt;$J1390,"Atrasado","En ruta"),IF($K1390&lt;=$J1390,"Sí","No")))</f>
        <v/>
      </c>
      <c r="N1390" s="23">
        <f>IF($A1390="","",COUNTIFS(NOVEDADES!$C$4:$C$1503,$A1390))</f>
        <v/>
      </c>
      <c r="O1390" s="27">
        <f>IF($A1390="","",IF(COUNTIFS(NOVEDADES!$C$4:$C$1503,$A1390,NOVEDADES!$M$4:$M$1503,"SÍ")&gt;0,"No","Sí"))</f>
        <v/>
      </c>
      <c r="P1390" s="27">
        <f>IF(OR($A1390="",$K1390=""),"",IF(AND($M1390="Sí",$O1390="Sí"),"OTIF","Falló"))</f>
        <v/>
      </c>
    </row>
    <row r="1391" ht="16" customHeight="1">
      <c r="A1391" s="47" t="n"/>
      <c r="B1391" s="46" t="n"/>
      <c r="C1391" s="49" t="n"/>
      <c r="D1391" s="49" t="n"/>
      <c r="E1391" s="49" t="n"/>
      <c r="F1391" s="49" t="n"/>
      <c r="G1391" s="47" t="n"/>
      <c r="H1391" s="50" t="n"/>
      <c r="I1391" s="51" t="n"/>
      <c r="J1391" s="46" t="n"/>
      <c r="K1391" s="46" t="n"/>
      <c r="L1391" s="23">
        <f>IF(OR($A1391="",$B1391=""),"",IF($K1391&lt;&gt;"",$K1391-$B1391,TODAY()-$B1391))</f>
        <v/>
      </c>
      <c r="M1391" s="27">
        <f>IF(OR($A1391="",$J1391=""),"",IF($K1391="",IF(TODAY()&gt;$J1391,"Atrasado","En ruta"),IF($K1391&lt;=$J1391,"Sí","No")))</f>
        <v/>
      </c>
      <c r="N1391" s="23">
        <f>IF($A1391="","",COUNTIFS(NOVEDADES!$C$4:$C$1503,$A1391))</f>
        <v/>
      </c>
      <c r="O1391" s="27">
        <f>IF($A1391="","",IF(COUNTIFS(NOVEDADES!$C$4:$C$1503,$A1391,NOVEDADES!$M$4:$M$1503,"SÍ")&gt;0,"No","Sí"))</f>
        <v/>
      </c>
      <c r="P1391" s="27">
        <f>IF(OR($A1391="",$K1391=""),"",IF(AND($M1391="Sí",$O1391="Sí"),"OTIF","Falló"))</f>
        <v/>
      </c>
    </row>
    <row r="1392" ht="16" customHeight="1">
      <c r="A1392" s="47" t="n"/>
      <c r="B1392" s="46" t="n"/>
      <c r="C1392" s="49" t="n"/>
      <c r="D1392" s="49" t="n"/>
      <c r="E1392" s="49" t="n"/>
      <c r="F1392" s="49" t="n"/>
      <c r="G1392" s="47" t="n"/>
      <c r="H1392" s="50" t="n"/>
      <c r="I1392" s="51" t="n"/>
      <c r="J1392" s="46" t="n"/>
      <c r="K1392" s="46" t="n"/>
      <c r="L1392" s="23">
        <f>IF(OR($A1392="",$B1392=""),"",IF($K1392&lt;&gt;"",$K1392-$B1392,TODAY()-$B1392))</f>
        <v/>
      </c>
      <c r="M1392" s="27">
        <f>IF(OR($A1392="",$J1392=""),"",IF($K1392="",IF(TODAY()&gt;$J1392,"Atrasado","En ruta"),IF($K1392&lt;=$J1392,"Sí","No")))</f>
        <v/>
      </c>
      <c r="N1392" s="23">
        <f>IF($A1392="","",COUNTIFS(NOVEDADES!$C$4:$C$1503,$A1392))</f>
        <v/>
      </c>
      <c r="O1392" s="27">
        <f>IF($A1392="","",IF(COUNTIFS(NOVEDADES!$C$4:$C$1503,$A1392,NOVEDADES!$M$4:$M$1503,"SÍ")&gt;0,"No","Sí"))</f>
        <v/>
      </c>
      <c r="P1392" s="27">
        <f>IF(OR($A1392="",$K1392=""),"",IF(AND($M1392="Sí",$O1392="Sí"),"OTIF","Falló"))</f>
        <v/>
      </c>
    </row>
    <row r="1393" ht="16" customHeight="1">
      <c r="A1393" s="47" t="n"/>
      <c r="B1393" s="46" t="n"/>
      <c r="C1393" s="49" t="n"/>
      <c r="D1393" s="49" t="n"/>
      <c r="E1393" s="49" t="n"/>
      <c r="F1393" s="49" t="n"/>
      <c r="G1393" s="47" t="n"/>
      <c r="H1393" s="50" t="n"/>
      <c r="I1393" s="51" t="n"/>
      <c r="J1393" s="46" t="n"/>
      <c r="K1393" s="46" t="n"/>
      <c r="L1393" s="23">
        <f>IF(OR($A1393="",$B1393=""),"",IF($K1393&lt;&gt;"",$K1393-$B1393,TODAY()-$B1393))</f>
        <v/>
      </c>
      <c r="M1393" s="27">
        <f>IF(OR($A1393="",$J1393=""),"",IF($K1393="",IF(TODAY()&gt;$J1393,"Atrasado","En ruta"),IF($K1393&lt;=$J1393,"Sí","No")))</f>
        <v/>
      </c>
      <c r="N1393" s="23">
        <f>IF($A1393="","",COUNTIFS(NOVEDADES!$C$4:$C$1503,$A1393))</f>
        <v/>
      </c>
      <c r="O1393" s="27">
        <f>IF($A1393="","",IF(COUNTIFS(NOVEDADES!$C$4:$C$1503,$A1393,NOVEDADES!$M$4:$M$1503,"SÍ")&gt;0,"No","Sí"))</f>
        <v/>
      </c>
      <c r="P1393" s="27">
        <f>IF(OR($A1393="",$K1393=""),"",IF(AND($M1393="Sí",$O1393="Sí"),"OTIF","Falló"))</f>
        <v/>
      </c>
    </row>
    <row r="1394" ht="16" customHeight="1">
      <c r="A1394" s="47" t="n"/>
      <c r="B1394" s="46" t="n"/>
      <c r="C1394" s="49" t="n"/>
      <c r="D1394" s="49" t="n"/>
      <c r="E1394" s="49" t="n"/>
      <c r="F1394" s="49" t="n"/>
      <c r="G1394" s="47" t="n"/>
      <c r="H1394" s="50" t="n"/>
      <c r="I1394" s="51" t="n"/>
      <c r="J1394" s="46" t="n"/>
      <c r="K1394" s="46" t="n"/>
      <c r="L1394" s="23">
        <f>IF(OR($A1394="",$B1394=""),"",IF($K1394&lt;&gt;"",$K1394-$B1394,TODAY()-$B1394))</f>
        <v/>
      </c>
      <c r="M1394" s="27">
        <f>IF(OR($A1394="",$J1394=""),"",IF($K1394="",IF(TODAY()&gt;$J1394,"Atrasado","En ruta"),IF($K1394&lt;=$J1394,"Sí","No")))</f>
        <v/>
      </c>
      <c r="N1394" s="23">
        <f>IF($A1394="","",COUNTIFS(NOVEDADES!$C$4:$C$1503,$A1394))</f>
        <v/>
      </c>
      <c r="O1394" s="27">
        <f>IF($A1394="","",IF(COUNTIFS(NOVEDADES!$C$4:$C$1503,$A1394,NOVEDADES!$M$4:$M$1503,"SÍ")&gt;0,"No","Sí"))</f>
        <v/>
      </c>
      <c r="P1394" s="27">
        <f>IF(OR($A1394="",$K1394=""),"",IF(AND($M1394="Sí",$O1394="Sí"),"OTIF","Falló"))</f>
        <v/>
      </c>
    </row>
    <row r="1395" ht="16" customHeight="1">
      <c r="A1395" s="47" t="n"/>
      <c r="B1395" s="46" t="n"/>
      <c r="C1395" s="49" t="n"/>
      <c r="D1395" s="49" t="n"/>
      <c r="E1395" s="49" t="n"/>
      <c r="F1395" s="49" t="n"/>
      <c r="G1395" s="47" t="n"/>
      <c r="H1395" s="50" t="n"/>
      <c r="I1395" s="51" t="n"/>
      <c r="J1395" s="46" t="n"/>
      <c r="K1395" s="46" t="n"/>
      <c r="L1395" s="23">
        <f>IF(OR($A1395="",$B1395=""),"",IF($K1395&lt;&gt;"",$K1395-$B1395,TODAY()-$B1395))</f>
        <v/>
      </c>
      <c r="M1395" s="27">
        <f>IF(OR($A1395="",$J1395=""),"",IF($K1395="",IF(TODAY()&gt;$J1395,"Atrasado","En ruta"),IF($K1395&lt;=$J1395,"Sí","No")))</f>
        <v/>
      </c>
      <c r="N1395" s="23">
        <f>IF($A1395="","",COUNTIFS(NOVEDADES!$C$4:$C$1503,$A1395))</f>
        <v/>
      </c>
      <c r="O1395" s="27">
        <f>IF($A1395="","",IF(COUNTIFS(NOVEDADES!$C$4:$C$1503,$A1395,NOVEDADES!$M$4:$M$1503,"SÍ")&gt;0,"No","Sí"))</f>
        <v/>
      </c>
      <c r="P1395" s="27">
        <f>IF(OR($A1395="",$K1395=""),"",IF(AND($M1395="Sí",$O1395="Sí"),"OTIF","Falló"))</f>
        <v/>
      </c>
    </row>
    <row r="1396" ht="16" customHeight="1">
      <c r="A1396" s="47" t="n"/>
      <c r="B1396" s="46" t="n"/>
      <c r="C1396" s="49" t="n"/>
      <c r="D1396" s="49" t="n"/>
      <c r="E1396" s="49" t="n"/>
      <c r="F1396" s="49" t="n"/>
      <c r="G1396" s="47" t="n"/>
      <c r="H1396" s="50" t="n"/>
      <c r="I1396" s="51" t="n"/>
      <c r="J1396" s="46" t="n"/>
      <c r="K1396" s="46" t="n"/>
      <c r="L1396" s="23">
        <f>IF(OR($A1396="",$B1396=""),"",IF($K1396&lt;&gt;"",$K1396-$B1396,TODAY()-$B1396))</f>
        <v/>
      </c>
      <c r="M1396" s="27">
        <f>IF(OR($A1396="",$J1396=""),"",IF($K1396="",IF(TODAY()&gt;$J1396,"Atrasado","En ruta"),IF($K1396&lt;=$J1396,"Sí","No")))</f>
        <v/>
      </c>
      <c r="N1396" s="23">
        <f>IF($A1396="","",COUNTIFS(NOVEDADES!$C$4:$C$1503,$A1396))</f>
        <v/>
      </c>
      <c r="O1396" s="27">
        <f>IF($A1396="","",IF(COUNTIFS(NOVEDADES!$C$4:$C$1503,$A1396,NOVEDADES!$M$4:$M$1503,"SÍ")&gt;0,"No","Sí"))</f>
        <v/>
      </c>
      <c r="P1396" s="27">
        <f>IF(OR($A1396="",$K1396=""),"",IF(AND($M1396="Sí",$O1396="Sí"),"OTIF","Falló"))</f>
        <v/>
      </c>
    </row>
    <row r="1397" ht="16" customHeight="1">
      <c r="A1397" s="47" t="n"/>
      <c r="B1397" s="46" t="n"/>
      <c r="C1397" s="49" t="n"/>
      <c r="D1397" s="49" t="n"/>
      <c r="E1397" s="49" t="n"/>
      <c r="F1397" s="49" t="n"/>
      <c r="G1397" s="47" t="n"/>
      <c r="H1397" s="50" t="n"/>
      <c r="I1397" s="51" t="n"/>
      <c r="J1397" s="46" t="n"/>
      <c r="K1397" s="46" t="n"/>
      <c r="L1397" s="23">
        <f>IF(OR($A1397="",$B1397=""),"",IF($K1397&lt;&gt;"",$K1397-$B1397,TODAY()-$B1397))</f>
        <v/>
      </c>
      <c r="M1397" s="27">
        <f>IF(OR($A1397="",$J1397=""),"",IF($K1397="",IF(TODAY()&gt;$J1397,"Atrasado","En ruta"),IF($K1397&lt;=$J1397,"Sí","No")))</f>
        <v/>
      </c>
      <c r="N1397" s="23">
        <f>IF($A1397="","",COUNTIFS(NOVEDADES!$C$4:$C$1503,$A1397))</f>
        <v/>
      </c>
      <c r="O1397" s="27">
        <f>IF($A1397="","",IF(COUNTIFS(NOVEDADES!$C$4:$C$1503,$A1397,NOVEDADES!$M$4:$M$1503,"SÍ")&gt;0,"No","Sí"))</f>
        <v/>
      </c>
      <c r="P1397" s="27">
        <f>IF(OR($A1397="",$K1397=""),"",IF(AND($M1397="Sí",$O1397="Sí"),"OTIF","Falló"))</f>
        <v/>
      </c>
    </row>
    <row r="1398" ht="16" customHeight="1">
      <c r="A1398" s="47" t="n"/>
      <c r="B1398" s="46" t="n"/>
      <c r="C1398" s="49" t="n"/>
      <c r="D1398" s="49" t="n"/>
      <c r="E1398" s="49" t="n"/>
      <c r="F1398" s="49" t="n"/>
      <c r="G1398" s="47" t="n"/>
      <c r="H1398" s="50" t="n"/>
      <c r="I1398" s="51" t="n"/>
      <c r="J1398" s="46" t="n"/>
      <c r="K1398" s="46" t="n"/>
      <c r="L1398" s="23">
        <f>IF(OR($A1398="",$B1398=""),"",IF($K1398&lt;&gt;"",$K1398-$B1398,TODAY()-$B1398))</f>
        <v/>
      </c>
      <c r="M1398" s="27">
        <f>IF(OR($A1398="",$J1398=""),"",IF($K1398="",IF(TODAY()&gt;$J1398,"Atrasado","En ruta"),IF($K1398&lt;=$J1398,"Sí","No")))</f>
        <v/>
      </c>
      <c r="N1398" s="23">
        <f>IF($A1398="","",COUNTIFS(NOVEDADES!$C$4:$C$1503,$A1398))</f>
        <v/>
      </c>
      <c r="O1398" s="27">
        <f>IF($A1398="","",IF(COUNTIFS(NOVEDADES!$C$4:$C$1503,$A1398,NOVEDADES!$M$4:$M$1503,"SÍ")&gt;0,"No","Sí"))</f>
        <v/>
      </c>
      <c r="P1398" s="27">
        <f>IF(OR($A1398="",$K1398=""),"",IF(AND($M1398="Sí",$O1398="Sí"),"OTIF","Falló"))</f>
        <v/>
      </c>
    </row>
    <row r="1399" ht="16" customHeight="1">
      <c r="A1399" s="47" t="n"/>
      <c r="B1399" s="46" t="n"/>
      <c r="C1399" s="49" t="n"/>
      <c r="D1399" s="49" t="n"/>
      <c r="E1399" s="49" t="n"/>
      <c r="F1399" s="49" t="n"/>
      <c r="G1399" s="47" t="n"/>
      <c r="H1399" s="50" t="n"/>
      <c r="I1399" s="51" t="n"/>
      <c r="J1399" s="46" t="n"/>
      <c r="K1399" s="46" t="n"/>
      <c r="L1399" s="23">
        <f>IF(OR($A1399="",$B1399=""),"",IF($K1399&lt;&gt;"",$K1399-$B1399,TODAY()-$B1399))</f>
        <v/>
      </c>
      <c r="M1399" s="27">
        <f>IF(OR($A1399="",$J1399=""),"",IF($K1399="",IF(TODAY()&gt;$J1399,"Atrasado","En ruta"),IF($K1399&lt;=$J1399,"Sí","No")))</f>
        <v/>
      </c>
      <c r="N1399" s="23">
        <f>IF($A1399="","",COUNTIFS(NOVEDADES!$C$4:$C$1503,$A1399))</f>
        <v/>
      </c>
      <c r="O1399" s="27">
        <f>IF($A1399="","",IF(COUNTIFS(NOVEDADES!$C$4:$C$1503,$A1399,NOVEDADES!$M$4:$M$1503,"SÍ")&gt;0,"No","Sí"))</f>
        <v/>
      </c>
      <c r="P1399" s="27">
        <f>IF(OR($A1399="",$K1399=""),"",IF(AND($M1399="Sí",$O1399="Sí"),"OTIF","Falló"))</f>
        <v/>
      </c>
    </row>
    <row r="1400" ht="16" customHeight="1">
      <c r="A1400" s="47" t="n"/>
      <c r="B1400" s="46" t="n"/>
      <c r="C1400" s="49" t="n"/>
      <c r="D1400" s="49" t="n"/>
      <c r="E1400" s="49" t="n"/>
      <c r="F1400" s="49" t="n"/>
      <c r="G1400" s="47" t="n"/>
      <c r="H1400" s="50" t="n"/>
      <c r="I1400" s="51" t="n"/>
      <c r="J1400" s="46" t="n"/>
      <c r="K1400" s="46" t="n"/>
      <c r="L1400" s="23">
        <f>IF(OR($A1400="",$B1400=""),"",IF($K1400&lt;&gt;"",$K1400-$B1400,TODAY()-$B1400))</f>
        <v/>
      </c>
      <c r="M1400" s="27">
        <f>IF(OR($A1400="",$J1400=""),"",IF($K1400="",IF(TODAY()&gt;$J1400,"Atrasado","En ruta"),IF($K1400&lt;=$J1400,"Sí","No")))</f>
        <v/>
      </c>
      <c r="N1400" s="23">
        <f>IF($A1400="","",COUNTIFS(NOVEDADES!$C$4:$C$1503,$A1400))</f>
        <v/>
      </c>
      <c r="O1400" s="27">
        <f>IF($A1400="","",IF(COUNTIFS(NOVEDADES!$C$4:$C$1503,$A1400,NOVEDADES!$M$4:$M$1503,"SÍ")&gt;0,"No","Sí"))</f>
        <v/>
      </c>
      <c r="P1400" s="27">
        <f>IF(OR($A1400="",$K1400=""),"",IF(AND($M1400="Sí",$O1400="Sí"),"OTIF","Falló"))</f>
        <v/>
      </c>
    </row>
    <row r="1401" ht="16" customHeight="1">
      <c r="A1401" s="47" t="n"/>
      <c r="B1401" s="46" t="n"/>
      <c r="C1401" s="49" t="n"/>
      <c r="D1401" s="49" t="n"/>
      <c r="E1401" s="49" t="n"/>
      <c r="F1401" s="49" t="n"/>
      <c r="G1401" s="47" t="n"/>
      <c r="H1401" s="50" t="n"/>
      <c r="I1401" s="51" t="n"/>
      <c r="J1401" s="46" t="n"/>
      <c r="K1401" s="46" t="n"/>
      <c r="L1401" s="23">
        <f>IF(OR($A1401="",$B1401=""),"",IF($K1401&lt;&gt;"",$K1401-$B1401,TODAY()-$B1401))</f>
        <v/>
      </c>
      <c r="M1401" s="27">
        <f>IF(OR($A1401="",$J1401=""),"",IF($K1401="",IF(TODAY()&gt;$J1401,"Atrasado","En ruta"),IF($K1401&lt;=$J1401,"Sí","No")))</f>
        <v/>
      </c>
      <c r="N1401" s="23">
        <f>IF($A1401="","",COUNTIFS(NOVEDADES!$C$4:$C$1503,$A1401))</f>
        <v/>
      </c>
      <c r="O1401" s="27">
        <f>IF($A1401="","",IF(COUNTIFS(NOVEDADES!$C$4:$C$1503,$A1401,NOVEDADES!$M$4:$M$1503,"SÍ")&gt;0,"No","Sí"))</f>
        <v/>
      </c>
      <c r="P1401" s="27">
        <f>IF(OR($A1401="",$K1401=""),"",IF(AND($M1401="Sí",$O1401="Sí"),"OTIF","Falló"))</f>
        <v/>
      </c>
    </row>
    <row r="1402" ht="16" customHeight="1">
      <c r="A1402" s="47" t="n"/>
      <c r="B1402" s="46" t="n"/>
      <c r="C1402" s="49" t="n"/>
      <c r="D1402" s="49" t="n"/>
      <c r="E1402" s="49" t="n"/>
      <c r="F1402" s="49" t="n"/>
      <c r="G1402" s="47" t="n"/>
      <c r="H1402" s="50" t="n"/>
      <c r="I1402" s="51" t="n"/>
      <c r="J1402" s="46" t="n"/>
      <c r="K1402" s="46" t="n"/>
      <c r="L1402" s="23">
        <f>IF(OR($A1402="",$B1402=""),"",IF($K1402&lt;&gt;"",$K1402-$B1402,TODAY()-$B1402))</f>
        <v/>
      </c>
      <c r="M1402" s="27">
        <f>IF(OR($A1402="",$J1402=""),"",IF($K1402="",IF(TODAY()&gt;$J1402,"Atrasado","En ruta"),IF($K1402&lt;=$J1402,"Sí","No")))</f>
        <v/>
      </c>
      <c r="N1402" s="23">
        <f>IF($A1402="","",COUNTIFS(NOVEDADES!$C$4:$C$1503,$A1402))</f>
        <v/>
      </c>
      <c r="O1402" s="27">
        <f>IF($A1402="","",IF(COUNTIFS(NOVEDADES!$C$4:$C$1503,$A1402,NOVEDADES!$M$4:$M$1503,"SÍ")&gt;0,"No","Sí"))</f>
        <v/>
      </c>
      <c r="P1402" s="27">
        <f>IF(OR($A1402="",$K1402=""),"",IF(AND($M1402="Sí",$O1402="Sí"),"OTIF","Falló"))</f>
        <v/>
      </c>
    </row>
    <row r="1403" ht="16" customHeight="1">
      <c r="A1403" s="47" t="n"/>
      <c r="B1403" s="46" t="n"/>
      <c r="C1403" s="49" t="n"/>
      <c r="D1403" s="49" t="n"/>
      <c r="E1403" s="49" t="n"/>
      <c r="F1403" s="49" t="n"/>
      <c r="G1403" s="47" t="n"/>
      <c r="H1403" s="50" t="n"/>
      <c r="I1403" s="51" t="n"/>
      <c r="J1403" s="46" t="n"/>
      <c r="K1403" s="46" t="n"/>
      <c r="L1403" s="23">
        <f>IF(OR($A1403="",$B1403=""),"",IF($K1403&lt;&gt;"",$K1403-$B1403,TODAY()-$B1403))</f>
        <v/>
      </c>
      <c r="M1403" s="27">
        <f>IF(OR($A1403="",$J1403=""),"",IF($K1403="",IF(TODAY()&gt;$J1403,"Atrasado","En ruta"),IF($K1403&lt;=$J1403,"Sí","No")))</f>
        <v/>
      </c>
      <c r="N1403" s="23">
        <f>IF($A1403="","",COUNTIFS(NOVEDADES!$C$4:$C$1503,$A1403))</f>
        <v/>
      </c>
      <c r="O1403" s="27">
        <f>IF($A1403="","",IF(COUNTIFS(NOVEDADES!$C$4:$C$1503,$A1403,NOVEDADES!$M$4:$M$1503,"SÍ")&gt;0,"No","Sí"))</f>
        <v/>
      </c>
      <c r="P1403" s="27">
        <f>IF(OR($A1403="",$K1403=""),"",IF(AND($M1403="Sí",$O1403="Sí"),"OTIF","Falló"))</f>
        <v/>
      </c>
    </row>
    <row r="1404" ht="16" customHeight="1">
      <c r="A1404" s="47" t="n"/>
      <c r="B1404" s="46" t="n"/>
      <c r="C1404" s="49" t="n"/>
      <c r="D1404" s="49" t="n"/>
      <c r="E1404" s="49" t="n"/>
      <c r="F1404" s="49" t="n"/>
      <c r="G1404" s="47" t="n"/>
      <c r="H1404" s="50" t="n"/>
      <c r="I1404" s="51" t="n"/>
      <c r="J1404" s="46" t="n"/>
      <c r="K1404" s="46" t="n"/>
      <c r="L1404" s="23">
        <f>IF(OR($A1404="",$B1404=""),"",IF($K1404&lt;&gt;"",$K1404-$B1404,TODAY()-$B1404))</f>
        <v/>
      </c>
      <c r="M1404" s="27">
        <f>IF(OR($A1404="",$J1404=""),"",IF($K1404="",IF(TODAY()&gt;$J1404,"Atrasado","En ruta"),IF($K1404&lt;=$J1404,"Sí","No")))</f>
        <v/>
      </c>
      <c r="N1404" s="23">
        <f>IF($A1404="","",COUNTIFS(NOVEDADES!$C$4:$C$1503,$A1404))</f>
        <v/>
      </c>
      <c r="O1404" s="27">
        <f>IF($A1404="","",IF(COUNTIFS(NOVEDADES!$C$4:$C$1503,$A1404,NOVEDADES!$M$4:$M$1503,"SÍ")&gt;0,"No","Sí"))</f>
        <v/>
      </c>
      <c r="P1404" s="27">
        <f>IF(OR($A1404="",$K1404=""),"",IF(AND($M1404="Sí",$O1404="Sí"),"OTIF","Falló"))</f>
        <v/>
      </c>
    </row>
    <row r="1405" ht="16" customHeight="1">
      <c r="A1405" s="47" t="n"/>
      <c r="B1405" s="46" t="n"/>
      <c r="C1405" s="49" t="n"/>
      <c r="D1405" s="49" t="n"/>
      <c r="E1405" s="49" t="n"/>
      <c r="F1405" s="49" t="n"/>
      <c r="G1405" s="47" t="n"/>
      <c r="H1405" s="50" t="n"/>
      <c r="I1405" s="51" t="n"/>
      <c r="J1405" s="46" t="n"/>
      <c r="K1405" s="46" t="n"/>
      <c r="L1405" s="23">
        <f>IF(OR($A1405="",$B1405=""),"",IF($K1405&lt;&gt;"",$K1405-$B1405,TODAY()-$B1405))</f>
        <v/>
      </c>
      <c r="M1405" s="27">
        <f>IF(OR($A1405="",$J1405=""),"",IF($K1405="",IF(TODAY()&gt;$J1405,"Atrasado","En ruta"),IF($K1405&lt;=$J1405,"Sí","No")))</f>
        <v/>
      </c>
      <c r="N1405" s="23">
        <f>IF($A1405="","",COUNTIFS(NOVEDADES!$C$4:$C$1503,$A1405))</f>
        <v/>
      </c>
      <c r="O1405" s="27">
        <f>IF($A1405="","",IF(COUNTIFS(NOVEDADES!$C$4:$C$1503,$A1405,NOVEDADES!$M$4:$M$1503,"SÍ")&gt;0,"No","Sí"))</f>
        <v/>
      </c>
      <c r="P1405" s="27">
        <f>IF(OR($A1405="",$K1405=""),"",IF(AND($M1405="Sí",$O1405="Sí"),"OTIF","Falló"))</f>
        <v/>
      </c>
    </row>
    <row r="1406" ht="16" customHeight="1">
      <c r="A1406" s="47" t="n"/>
      <c r="B1406" s="46" t="n"/>
      <c r="C1406" s="49" t="n"/>
      <c r="D1406" s="49" t="n"/>
      <c r="E1406" s="49" t="n"/>
      <c r="F1406" s="49" t="n"/>
      <c r="G1406" s="47" t="n"/>
      <c r="H1406" s="50" t="n"/>
      <c r="I1406" s="51" t="n"/>
      <c r="J1406" s="46" t="n"/>
      <c r="K1406" s="46" t="n"/>
      <c r="L1406" s="23">
        <f>IF(OR($A1406="",$B1406=""),"",IF($K1406&lt;&gt;"",$K1406-$B1406,TODAY()-$B1406))</f>
        <v/>
      </c>
      <c r="M1406" s="27">
        <f>IF(OR($A1406="",$J1406=""),"",IF($K1406="",IF(TODAY()&gt;$J1406,"Atrasado","En ruta"),IF($K1406&lt;=$J1406,"Sí","No")))</f>
        <v/>
      </c>
      <c r="N1406" s="23">
        <f>IF($A1406="","",COUNTIFS(NOVEDADES!$C$4:$C$1503,$A1406))</f>
        <v/>
      </c>
      <c r="O1406" s="27">
        <f>IF($A1406="","",IF(COUNTIFS(NOVEDADES!$C$4:$C$1503,$A1406,NOVEDADES!$M$4:$M$1503,"SÍ")&gt;0,"No","Sí"))</f>
        <v/>
      </c>
      <c r="P1406" s="27">
        <f>IF(OR($A1406="",$K1406=""),"",IF(AND($M1406="Sí",$O1406="Sí"),"OTIF","Falló"))</f>
        <v/>
      </c>
    </row>
    <row r="1407" ht="16" customHeight="1">
      <c r="A1407" s="47" t="n"/>
      <c r="B1407" s="46" t="n"/>
      <c r="C1407" s="49" t="n"/>
      <c r="D1407" s="49" t="n"/>
      <c r="E1407" s="49" t="n"/>
      <c r="F1407" s="49" t="n"/>
      <c r="G1407" s="47" t="n"/>
      <c r="H1407" s="50" t="n"/>
      <c r="I1407" s="51" t="n"/>
      <c r="J1407" s="46" t="n"/>
      <c r="K1407" s="46" t="n"/>
      <c r="L1407" s="23">
        <f>IF(OR($A1407="",$B1407=""),"",IF($K1407&lt;&gt;"",$K1407-$B1407,TODAY()-$B1407))</f>
        <v/>
      </c>
      <c r="M1407" s="27">
        <f>IF(OR($A1407="",$J1407=""),"",IF($K1407="",IF(TODAY()&gt;$J1407,"Atrasado","En ruta"),IF($K1407&lt;=$J1407,"Sí","No")))</f>
        <v/>
      </c>
      <c r="N1407" s="23">
        <f>IF($A1407="","",COUNTIFS(NOVEDADES!$C$4:$C$1503,$A1407))</f>
        <v/>
      </c>
      <c r="O1407" s="27">
        <f>IF($A1407="","",IF(COUNTIFS(NOVEDADES!$C$4:$C$1503,$A1407,NOVEDADES!$M$4:$M$1503,"SÍ")&gt;0,"No","Sí"))</f>
        <v/>
      </c>
      <c r="P1407" s="27">
        <f>IF(OR($A1407="",$K1407=""),"",IF(AND($M1407="Sí",$O1407="Sí"),"OTIF","Falló"))</f>
        <v/>
      </c>
    </row>
    <row r="1408" ht="16" customHeight="1">
      <c r="A1408" s="47" t="n"/>
      <c r="B1408" s="46" t="n"/>
      <c r="C1408" s="49" t="n"/>
      <c r="D1408" s="49" t="n"/>
      <c r="E1408" s="49" t="n"/>
      <c r="F1408" s="49" t="n"/>
      <c r="G1408" s="47" t="n"/>
      <c r="H1408" s="50" t="n"/>
      <c r="I1408" s="51" t="n"/>
      <c r="J1408" s="46" t="n"/>
      <c r="K1408" s="46" t="n"/>
      <c r="L1408" s="23">
        <f>IF(OR($A1408="",$B1408=""),"",IF($K1408&lt;&gt;"",$K1408-$B1408,TODAY()-$B1408))</f>
        <v/>
      </c>
      <c r="M1408" s="27">
        <f>IF(OR($A1408="",$J1408=""),"",IF($K1408="",IF(TODAY()&gt;$J1408,"Atrasado","En ruta"),IF($K1408&lt;=$J1408,"Sí","No")))</f>
        <v/>
      </c>
      <c r="N1408" s="23">
        <f>IF($A1408="","",COUNTIFS(NOVEDADES!$C$4:$C$1503,$A1408))</f>
        <v/>
      </c>
      <c r="O1408" s="27">
        <f>IF($A1408="","",IF(COUNTIFS(NOVEDADES!$C$4:$C$1503,$A1408,NOVEDADES!$M$4:$M$1503,"SÍ")&gt;0,"No","Sí"))</f>
        <v/>
      </c>
      <c r="P1408" s="27">
        <f>IF(OR($A1408="",$K1408=""),"",IF(AND($M1408="Sí",$O1408="Sí"),"OTIF","Falló"))</f>
        <v/>
      </c>
    </row>
    <row r="1409" ht="16" customHeight="1">
      <c r="A1409" s="47" t="n"/>
      <c r="B1409" s="46" t="n"/>
      <c r="C1409" s="49" t="n"/>
      <c r="D1409" s="49" t="n"/>
      <c r="E1409" s="49" t="n"/>
      <c r="F1409" s="49" t="n"/>
      <c r="G1409" s="47" t="n"/>
      <c r="H1409" s="50" t="n"/>
      <c r="I1409" s="51" t="n"/>
      <c r="J1409" s="46" t="n"/>
      <c r="K1409" s="46" t="n"/>
      <c r="L1409" s="23">
        <f>IF(OR($A1409="",$B1409=""),"",IF($K1409&lt;&gt;"",$K1409-$B1409,TODAY()-$B1409))</f>
        <v/>
      </c>
      <c r="M1409" s="27">
        <f>IF(OR($A1409="",$J1409=""),"",IF($K1409="",IF(TODAY()&gt;$J1409,"Atrasado","En ruta"),IF($K1409&lt;=$J1409,"Sí","No")))</f>
        <v/>
      </c>
      <c r="N1409" s="23">
        <f>IF($A1409="","",COUNTIFS(NOVEDADES!$C$4:$C$1503,$A1409))</f>
        <v/>
      </c>
      <c r="O1409" s="27">
        <f>IF($A1409="","",IF(COUNTIFS(NOVEDADES!$C$4:$C$1503,$A1409,NOVEDADES!$M$4:$M$1503,"SÍ")&gt;0,"No","Sí"))</f>
        <v/>
      </c>
      <c r="P1409" s="27">
        <f>IF(OR($A1409="",$K1409=""),"",IF(AND($M1409="Sí",$O1409="Sí"),"OTIF","Falló"))</f>
        <v/>
      </c>
    </row>
    <row r="1410" ht="16" customHeight="1">
      <c r="A1410" s="47" t="n"/>
      <c r="B1410" s="46" t="n"/>
      <c r="C1410" s="49" t="n"/>
      <c r="D1410" s="49" t="n"/>
      <c r="E1410" s="49" t="n"/>
      <c r="F1410" s="49" t="n"/>
      <c r="G1410" s="47" t="n"/>
      <c r="H1410" s="50" t="n"/>
      <c r="I1410" s="51" t="n"/>
      <c r="J1410" s="46" t="n"/>
      <c r="K1410" s="46" t="n"/>
      <c r="L1410" s="23">
        <f>IF(OR($A1410="",$B1410=""),"",IF($K1410&lt;&gt;"",$K1410-$B1410,TODAY()-$B1410))</f>
        <v/>
      </c>
      <c r="M1410" s="27">
        <f>IF(OR($A1410="",$J1410=""),"",IF($K1410="",IF(TODAY()&gt;$J1410,"Atrasado","En ruta"),IF($K1410&lt;=$J1410,"Sí","No")))</f>
        <v/>
      </c>
      <c r="N1410" s="23">
        <f>IF($A1410="","",COUNTIFS(NOVEDADES!$C$4:$C$1503,$A1410))</f>
        <v/>
      </c>
      <c r="O1410" s="27">
        <f>IF($A1410="","",IF(COUNTIFS(NOVEDADES!$C$4:$C$1503,$A1410,NOVEDADES!$M$4:$M$1503,"SÍ")&gt;0,"No","Sí"))</f>
        <v/>
      </c>
      <c r="P1410" s="27">
        <f>IF(OR($A1410="",$K1410=""),"",IF(AND($M1410="Sí",$O1410="Sí"),"OTIF","Falló"))</f>
        <v/>
      </c>
    </row>
    <row r="1411" ht="16" customHeight="1">
      <c r="A1411" s="47" t="n"/>
      <c r="B1411" s="46" t="n"/>
      <c r="C1411" s="49" t="n"/>
      <c r="D1411" s="49" t="n"/>
      <c r="E1411" s="49" t="n"/>
      <c r="F1411" s="49" t="n"/>
      <c r="G1411" s="47" t="n"/>
      <c r="H1411" s="50" t="n"/>
      <c r="I1411" s="51" t="n"/>
      <c r="J1411" s="46" t="n"/>
      <c r="K1411" s="46" t="n"/>
      <c r="L1411" s="23">
        <f>IF(OR($A1411="",$B1411=""),"",IF($K1411&lt;&gt;"",$K1411-$B1411,TODAY()-$B1411))</f>
        <v/>
      </c>
      <c r="M1411" s="27">
        <f>IF(OR($A1411="",$J1411=""),"",IF($K1411="",IF(TODAY()&gt;$J1411,"Atrasado","En ruta"),IF($K1411&lt;=$J1411,"Sí","No")))</f>
        <v/>
      </c>
      <c r="N1411" s="23">
        <f>IF($A1411="","",COUNTIFS(NOVEDADES!$C$4:$C$1503,$A1411))</f>
        <v/>
      </c>
      <c r="O1411" s="27">
        <f>IF($A1411="","",IF(COUNTIFS(NOVEDADES!$C$4:$C$1503,$A1411,NOVEDADES!$M$4:$M$1503,"SÍ")&gt;0,"No","Sí"))</f>
        <v/>
      </c>
      <c r="P1411" s="27">
        <f>IF(OR($A1411="",$K1411=""),"",IF(AND($M1411="Sí",$O1411="Sí"),"OTIF","Falló"))</f>
        <v/>
      </c>
    </row>
    <row r="1412" ht="16" customHeight="1">
      <c r="A1412" s="47" t="n"/>
      <c r="B1412" s="46" t="n"/>
      <c r="C1412" s="49" t="n"/>
      <c r="D1412" s="49" t="n"/>
      <c r="E1412" s="49" t="n"/>
      <c r="F1412" s="49" t="n"/>
      <c r="G1412" s="47" t="n"/>
      <c r="H1412" s="50" t="n"/>
      <c r="I1412" s="51" t="n"/>
      <c r="J1412" s="46" t="n"/>
      <c r="K1412" s="46" t="n"/>
      <c r="L1412" s="23">
        <f>IF(OR($A1412="",$B1412=""),"",IF($K1412&lt;&gt;"",$K1412-$B1412,TODAY()-$B1412))</f>
        <v/>
      </c>
      <c r="M1412" s="27">
        <f>IF(OR($A1412="",$J1412=""),"",IF($K1412="",IF(TODAY()&gt;$J1412,"Atrasado","En ruta"),IF($K1412&lt;=$J1412,"Sí","No")))</f>
        <v/>
      </c>
      <c r="N1412" s="23">
        <f>IF($A1412="","",COUNTIFS(NOVEDADES!$C$4:$C$1503,$A1412))</f>
        <v/>
      </c>
      <c r="O1412" s="27">
        <f>IF($A1412="","",IF(COUNTIFS(NOVEDADES!$C$4:$C$1503,$A1412,NOVEDADES!$M$4:$M$1503,"SÍ")&gt;0,"No","Sí"))</f>
        <v/>
      </c>
      <c r="P1412" s="27">
        <f>IF(OR($A1412="",$K1412=""),"",IF(AND($M1412="Sí",$O1412="Sí"),"OTIF","Falló"))</f>
        <v/>
      </c>
    </row>
    <row r="1413" ht="16" customHeight="1">
      <c r="A1413" s="47" t="n"/>
      <c r="B1413" s="46" t="n"/>
      <c r="C1413" s="49" t="n"/>
      <c r="D1413" s="49" t="n"/>
      <c r="E1413" s="49" t="n"/>
      <c r="F1413" s="49" t="n"/>
      <c r="G1413" s="47" t="n"/>
      <c r="H1413" s="50" t="n"/>
      <c r="I1413" s="51" t="n"/>
      <c r="J1413" s="46" t="n"/>
      <c r="K1413" s="46" t="n"/>
      <c r="L1413" s="23">
        <f>IF(OR($A1413="",$B1413=""),"",IF($K1413&lt;&gt;"",$K1413-$B1413,TODAY()-$B1413))</f>
        <v/>
      </c>
      <c r="M1413" s="27">
        <f>IF(OR($A1413="",$J1413=""),"",IF($K1413="",IF(TODAY()&gt;$J1413,"Atrasado","En ruta"),IF($K1413&lt;=$J1413,"Sí","No")))</f>
        <v/>
      </c>
      <c r="N1413" s="23">
        <f>IF($A1413="","",COUNTIFS(NOVEDADES!$C$4:$C$1503,$A1413))</f>
        <v/>
      </c>
      <c r="O1413" s="27">
        <f>IF($A1413="","",IF(COUNTIFS(NOVEDADES!$C$4:$C$1503,$A1413,NOVEDADES!$M$4:$M$1503,"SÍ")&gt;0,"No","Sí"))</f>
        <v/>
      </c>
      <c r="P1413" s="27">
        <f>IF(OR($A1413="",$K1413=""),"",IF(AND($M1413="Sí",$O1413="Sí"),"OTIF","Falló"))</f>
        <v/>
      </c>
    </row>
    <row r="1414" ht="16" customHeight="1">
      <c r="A1414" s="47" t="n"/>
      <c r="B1414" s="46" t="n"/>
      <c r="C1414" s="49" t="n"/>
      <c r="D1414" s="49" t="n"/>
      <c r="E1414" s="49" t="n"/>
      <c r="F1414" s="49" t="n"/>
      <c r="G1414" s="47" t="n"/>
      <c r="H1414" s="50" t="n"/>
      <c r="I1414" s="51" t="n"/>
      <c r="J1414" s="46" t="n"/>
      <c r="K1414" s="46" t="n"/>
      <c r="L1414" s="23">
        <f>IF(OR($A1414="",$B1414=""),"",IF($K1414&lt;&gt;"",$K1414-$B1414,TODAY()-$B1414))</f>
        <v/>
      </c>
      <c r="M1414" s="27">
        <f>IF(OR($A1414="",$J1414=""),"",IF($K1414="",IF(TODAY()&gt;$J1414,"Atrasado","En ruta"),IF($K1414&lt;=$J1414,"Sí","No")))</f>
        <v/>
      </c>
      <c r="N1414" s="23">
        <f>IF($A1414="","",COUNTIFS(NOVEDADES!$C$4:$C$1503,$A1414))</f>
        <v/>
      </c>
      <c r="O1414" s="27">
        <f>IF($A1414="","",IF(COUNTIFS(NOVEDADES!$C$4:$C$1503,$A1414,NOVEDADES!$M$4:$M$1503,"SÍ")&gt;0,"No","Sí"))</f>
        <v/>
      </c>
      <c r="P1414" s="27">
        <f>IF(OR($A1414="",$K1414=""),"",IF(AND($M1414="Sí",$O1414="Sí"),"OTIF","Falló"))</f>
        <v/>
      </c>
    </row>
    <row r="1415" ht="16" customHeight="1">
      <c r="A1415" s="47" t="n"/>
      <c r="B1415" s="46" t="n"/>
      <c r="C1415" s="49" t="n"/>
      <c r="D1415" s="49" t="n"/>
      <c r="E1415" s="49" t="n"/>
      <c r="F1415" s="49" t="n"/>
      <c r="G1415" s="47" t="n"/>
      <c r="H1415" s="50" t="n"/>
      <c r="I1415" s="51" t="n"/>
      <c r="J1415" s="46" t="n"/>
      <c r="K1415" s="46" t="n"/>
      <c r="L1415" s="23">
        <f>IF(OR($A1415="",$B1415=""),"",IF($K1415&lt;&gt;"",$K1415-$B1415,TODAY()-$B1415))</f>
        <v/>
      </c>
      <c r="M1415" s="27">
        <f>IF(OR($A1415="",$J1415=""),"",IF($K1415="",IF(TODAY()&gt;$J1415,"Atrasado","En ruta"),IF($K1415&lt;=$J1415,"Sí","No")))</f>
        <v/>
      </c>
      <c r="N1415" s="23">
        <f>IF($A1415="","",COUNTIFS(NOVEDADES!$C$4:$C$1503,$A1415))</f>
        <v/>
      </c>
      <c r="O1415" s="27">
        <f>IF($A1415="","",IF(COUNTIFS(NOVEDADES!$C$4:$C$1503,$A1415,NOVEDADES!$M$4:$M$1503,"SÍ")&gt;0,"No","Sí"))</f>
        <v/>
      </c>
      <c r="P1415" s="27">
        <f>IF(OR($A1415="",$K1415=""),"",IF(AND($M1415="Sí",$O1415="Sí"),"OTIF","Falló"))</f>
        <v/>
      </c>
    </row>
    <row r="1416" ht="16" customHeight="1">
      <c r="A1416" s="47" t="n"/>
      <c r="B1416" s="46" t="n"/>
      <c r="C1416" s="49" t="n"/>
      <c r="D1416" s="49" t="n"/>
      <c r="E1416" s="49" t="n"/>
      <c r="F1416" s="49" t="n"/>
      <c r="G1416" s="47" t="n"/>
      <c r="H1416" s="50" t="n"/>
      <c r="I1416" s="51" t="n"/>
      <c r="J1416" s="46" t="n"/>
      <c r="K1416" s="46" t="n"/>
      <c r="L1416" s="23">
        <f>IF(OR($A1416="",$B1416=""),"",IF($K1416&lt;&gt;"",$K1416-$B1416,TODAY()-$B1416))</f>
        <v/>
      </c>
      <c r="M1416" s="27">
        <f>IF(OR($A1416="",$J1416=""),"",IF($K1416="",IF(TODAY()&gt;$J1416,"Atrasado","En ruta"),IF($K1416&lt;=$J1416,"Sí","No")))</f>
        <v/>
      </c>
      <c r="N1416" s="23">
        <f>IF($A1416="","",COUNTIFS(NOVEDADES!$C$4:$C$1503,$A1416))</f>
        <v/>
      </c>
      <c r="O1416" s="27">
        <f>IF($A1416="","",IF(COUNTIFS(NOVEDADES!$C$4:$C$1503,$A1416,NOVEDADES!$M$4:$M$1503,"SÍ")&gt;0,"No","Sí"))</f>
        <v/>
      </c>
      <c r="P1416" s="27">
        <f>IF(OR($A1416="",$K1416=""),"",IF(AND($M1416="Sí",$O1416="Sí"),"OTIF","Falló"))</f>
        <v/>
      </c>
    </row>
    <row r="1417" ht="16" customHeight="1">
      <c r="A1417" s="47" t="n"/>
      <c r="B1417" s="46" t="n"/>
      <c r="C1417" s="49" t="n"/>
      <c r="D1417" s="49" t="n"/>
      <c r="E1417" s="49" t="n"/>
      <c r="F1417" s="49" t="n"/>
      <c r="G1417" s="47" t="n"/>
      <c r="H1417" s="50" t="n"/>
      <c r="I1417" s="51" t="n"/>
      <c r="J1417" s="46" t="n"/>
      <c r="K1417" s="46" t="n"/>
      <c r="L1417" s="23">
        <f>IF(OR($A1417="",$B1417=""),"",IF($K1417&lt;&gt;"",$K1417-$B1417,TODAY()-$B1417))</f>
        <v/>
      </c>
      <c r="M1417" s="27">
        <f>IF(OR($A1417="",$J1417=""),"",IF($K1417="",IF(TODAY()&gt;$J1417,"Atrasado","En ruta"),IF($K1417&lt;=$J1417,"Sí","No")))</f>
        <v/>
      </c>
      <c r="N1417" s="23">
        <f>IF($A1417="","",COUNTIFS(NOVEDADES!$C$4:$C$1503,$A1417))</f>
        <v/>
      </c>
      <c r="O1417" s="27">
        <f>IF($A1417="","",IF(COUNTIFS(NOVEDADES!$C$4:$C$1503,$A1417,NOVEDADES!$M$4:$M$1503,"SÍ")&gt;0,"No","Sí"))</f>
        <v/>
      </c>
      <c r="P1417" s="27">
        <f>IF(OR($A1417="",$K1417=""),"",IF(AND($M1417="Sí",$O1417="Sí"),"OTIF","Falló"))</f>
        <v/>
      </c>
    </row>
    <row r="1418" ht="16" customHeight="1">
      <c r="A1418" s="47" t="n"/>
      <c r="B1418" s="46" t="n"/>
      <c r="C1418" s="49" t="n"/>
      <c r="D1418" s="49" t="n"/>
      <c r="E1418" s="49" t="n"/>
      <c r="F1418" s="49" t="n"/>
      <c r="G1418" s="47" t="n"/>
      <c r="H1418" s="50" t="n"/>
      <c r="I1418" s="51" t="n"/>
      <c r="J1418" s="46" t="n"/>
      <c r="K1418" s="46" t="n"/>
      <c r="L1418" s="23">
        <f>IF(OR($A1418="",$B1418=""),"",IF($K1418&lt;&gt;"",$K1418-$B1418,TODAY()-$B1418))</f>
        <v/>
      </c>
      <c r="M1418" s="27">
        <f>IF(OR($A1418="",$J1418=""),"",IF($K1418="",IF(TODAY()&gt;$J1418,"Atrasado","En ruta"),IF($K1418&lt;=$J1418,"Sí","No")))</f>
        <v/>
      </c>
      <c r="N1418" s="23">
        <f>IF($A1418="","",COUNTIFS(NOVEDADES!$C$4:$C$1503,$A1418))</f>
        <v/>
      </c>
      <c r="O1418" s="27">
        <f>IF($A1418="","",IF(COUNTIFS(NOVEDADES!$C$4:$C$1503,$A1418,NOVEDADES!$M$4:$M$1503,"SÍ")&gt;0,"No","Sí"))</f>
        <v/>
      </c>
      <c r="P1418" s="27">
        <f>IF(OR($A1418="",$K1418=""),"",IF(AND($M1418="Sí",$O1418="Sí"),"OTIF","Falló"))</f>
        <v/>
      </c>
    </row>
    <row r="1419" ht="16" customHeight="1">
      <c r="A1419" s="47" t="n"/>
      <c r="B1419" s="46" t="n"/>
      <c r="C1419" s="49" t="n"/>
      <c r="D1419" s="49" t="n"/>
      <c r="E1419" s="49" t="n"/>
      <c r="F1419" s="49" t="n"/>
      <c r="G1419" s="47" t="n"/>
      <c r="H1419" s="50" t="n"/>
      <c r="I1419" s="51" t="n"/>
      <c r="J1419" s="46" t="n"/>
      <c r="K1419" s="46" t="n"/>
      <c r="L1419" s="23">
        <f>IF(OR($A1419="",$B1419=""),"",IF($K1419&lt;&gt;"",$K1419-$B1419,TODAY()-$B1419))</f>
        <v/>
      </c>
      <c r="M1419" s="27">
        <f>IF(OR($A1419="",$J1419=""),"",IF($K1419="",IF(TODAY()&gt;$J1419,"Atrasado","En ruta"),IF($K1419&lt;=$J1419,"Sí","No")))</f>
        <v/>
      </c>
      <c r="N1419" s="23">
        <f>IF($A1419="","",COUNTIFS(NOVEDADES!$C$4:$C$1503,$A1419))</f>
        <v/>
      </c>
      <c r="O1419" s="27">
        <f>IF($A1419="","",IF(COUNTIFS(NOVEDADES!$C$4:$C$1503,$A1419,NOVEDADES!$M$4:$M$1503,"SÍ")&gt;0,"No","Sí"))</f>
        <v/>
      </c>
      <c r="P1419" s="27">
        <f>IF(OR($A1419="",$K1419=""),"",IF(AND($M1419="Sí",$O1419="Sí"),"OTIF","Falló"))</f>
        <v/>
      </c>
    </row>
    <row r="1420" ht="16" customHeight="1">
      <c r="A1420" s="47" t="n"/>
      <c r="B1420" s="46" t="n"/>
      <c r="C1420" s="49" t="n"/>
      <c r="D1420" s="49" t="n"/>
      <c r="E1420" s="49" t="n"/>
      <c r="F1420" s="49" t="n"/>
      <c r="G1420" s="47" t="n"/>
      <c r="H1420" s="50" t="n"/>
      <c r="I1420" s="51" t="n"/>
      <c r="J1420" s="46" t="n"/>
      <c r="K1420" s="46" t="n"/>
      <c r="L1420" s="23">
        <f>IF(OR($A1420="",$B1420=""),"",IF($K1420&lt;&gt;"",$K1420-$B1420,TODAY()-$B1420))</f>
        <v/>
      </c>
      <c r="M1420" s="27">
        <f>IF(OR($A1420="",$J1420=""),"",IF($K1420="",IF(TODAY()&gt;$J1420,"Atrasado","En ruta"),IF($K1420&lt;=$J1420,"Sí","No")))</f>
        <v/>
      </c>
      <c r="N1420" s="23">
        <f>IF($A1420="","",COUNTIFS(NOVEDADES!$C$4:$C$1503,$A1420))</f>
        <v/>
      </c>
      <c r="O1420" s="27">
        <f>IF($A1420="","",IF(COUNTIFS(NOVEDADES!$C$4:$C$1503,$A1420,NOVEDADES!$M$4:$M$1503,"SÍ")&gt;0,"No","Sí"))</f>
        <v/>
      </c>
      <c r="P1420" s="27">
        <f>IF(OR($A1420="",$K1420=""),"",IF(AND($M1420="Sí",$O1420="Sí"),"OTIF","Falló"))</f>
        <v/>
      </c>
    </row>
    <row r="1421" ht="16" customHeight="1">
      <c r="A1421" s="47" t="n"/>
      <c r="B1421" s="46" t="n"/>
      <c r="C1421" s="49" t="n"/>
      <c r="D1421" s="49" t="n"/>
      <c r="E1421" s="49" t="n"/>
      <c r="F1421" s="49" t="n"/>
      <c r="G1421" s="47" t="n"/>
      <c r="H1421" s="50" t="n"/>
      <c r="I1421" s="51" t="n"/>
      <c r="J1421" s="46" t="n"/>
      <c r="K1421" s="46" t="n"/>
      <c r="L1421" s="23">
        <f>IF(OR($A1421="",$B1421=""),"",IF($K1421&lt;&gt;"",$K1421-$B1421,TODAY()-$B1421))</f>
        <v/>
      </c>
      <c r="M1421" s="27">
        <f>IF(OR($A1421="",$J1421=""),"",IF($K1421="",IF(TODAY()&gt;$J1421,"Atrasado","En ruta"),IF($K1421&lt;=$J1421,"Sí","No")))</f>
        <v/>
      </c>
      <c r="N1421" s="23">
        <f>IF($A1421="","",COUNTIFS(NOVEDADES!$C$4:$C$1503,$A1421))</f>
        <v/>
      </c>
      <c r="O1421" s="27">
        <f>IF($A1421="","",IF(COUNTIFS(NOVEDADES!$C$4:$C$1503,$A1421,NOVEDADES!$M$4:$M$1503,"SÍ")&gt;0,"No","Sí"))</f>
        <v/>
      </c>
      <c r="P1421" s="27">
        <f>IF(OR($A1421="",$K1421=""),"",IF(AND($M1421="Sí",$O1421="Sí"),"OTIF","Falló"))</f>
        <v/>
      </c>
    </row>
    <row r="1422" ht="16" customHeight="1">
      <c r="A1422" s="47" t="n"/>
      <c r="B1422" s="46" t="n"/>
      <c r="C1422" s="49" t="n"/>
      <c r="D1422" s="49" t="n"/>
      <c r="E1422" s="49" t="n"/>
      <c r="F1422" s="49" t="n"/>
      <c r="G1422" s="47" t="n"/>
      <c r="H1422" s="50" t="n"/>
      <c r="I1422" s="51" t="n"/>
      <c r="J1422" s="46" t="n"/>
      <c r="K1422" s="46" t="n"/>
      <c r="L1422" s="23">
        <f>IF(OR($A1422="",$B1422=""),"",IF($K1422&lt;&gt;"",$K1422-$B1422,TODAY()-$B1422))</f>
        <v/>
      </c>
      <c r="M1422" s="27">
        <f>IF(OR($A1422="",$J1422=""),"",IF($K1422="",IF(TODAY()&gt;$J1422,"Atrasado","En ruta"),IF($K1422&lt;=$J1422,"Sí","No")))</f>
        <v/>
      </c>
      <c r="N1422" s="23">
        <f>IF($A1422="","",COUNTIFS(NOVEDADES!$C$4:$C$1503,$A1422))</f>
        <v/>
      </c>
      <c r="O1422" s="27">
        <f>IF($A1422="","",IF(COUNTIFS(NOVEDADES!$C$4:$C$1503,$A1422,NOVEDADES!$M$4:$M$1503,"SÍ")&gt;0,"No","Sí"))</f>
        <v/>
      </c>
      <c r="P1422" s="27">
        <f>IF(OR($A1422="",$K1422=""),"",IF(AND($M1422="Sí",$O1422="Sí"),"OTIF","Falló"))</f>
        <v/>
      </c>
    </row>
    <row r="1423" ht="16" customHeight="1">
      <c r="A1423" s="47" t="n"/>
      <c r="B1423" s="46" t="n"/>
      <c r="C1423" s="49" t="n"/>
      <c r="D1423" s="49" t="n"/>
      <c r="E1423" s="49" t="n"/>
      <c r="F1423" s="49" t="n"/>
      <c r="G1423" s="47" t="n"/>
      <c r="H1423" s="50" t="n"/>
      <c r="I1423" s="51" t="n"/>
      <c r="J1423" s="46" t="n"/>
      <c r="K1423" s="46" t="n"/>
      <c r="L1423" s="23">
        <f>IF(OR($A1423="",$B1423=""),"",IF($K1423&lt;&gt;"",$K1423-$B1423,TODAY()-$B1423))</f>
        <v/>
      </c>
      <c r="M1423" s="27">
        <f>IF(OR($A1423="",$J1423=""),"",IF($K1423="",IF(TODAY()&gt;$J1423,"Atrasado","En ruta"),IF($K1423&lt;=$J1423,"Sí","No")))</f>
        <v/>
      </c>
      <c r="N1423" s="23">
        <f>IF($A1423="","",COUNTIFS(NOVEDADES!$C$4:$C$1503,$A1423))</f>
        <v/>
      </c>
      <c r="O1423" s="27">
        <f>IF($A1423="","",IF(COUNTIFS(NOVEDADES!$C$4:$C$1503,$A1423,NOVEDADES!$M$4:$M$1503,"SÍ")&gt;0,"No","Sí"))</f>
        <v/>
      </c>
      <c r="P1423" s="27">
        <f>IF(OR($A1423="",$K1423=""),"",IF(AND($M1423="Sí",$O1423="Sí"),"OTIF","Falló"))</f>
        <v/>
      </c>
    </row>
    <row r="1424" ht="16" customHeight="1">
      <c r="A1424" s="47" t="n"/>
      <c r="B1424" s="46" t="n"/>
      <c r="C1424" s="49" t="n"/>
      <c r="D1424" s="49" t="n"/>
      <c r="E1424" s="49" t="n"/>
      <c r="F1424" s="49" t="n"/>
      <c r="G1424" s="47" t="n"/>
      <c r="H1424" s="50" t="n"/>
      <c r="I1424" s="51" t="n"/>
      <c r="J1424" s="46" t="n"/>
      <c r="K1424" s="46" t="n"/>
      <c r="L1424" s="23">
        <f>IF(OR($A1424="",$B1424=""),"",IF($K1424&lt;&gt;"",$K1424-$B1424,TODAY()-$B1424))</f>
        <v/>
      </c>
      <c r="M1424" s="27">
        <f>IF(OR($A1424="",$J1424=""),"",IF($K1424="",IF(TODAY()&gt;$J1424,"Atrasado","En ruta"),IF($K1424&lt;=$J1424,"Sí","No")))</f>
        <v/>
      </c>
      <c r="N1424" s="23">
        <f>IF($A1424="","",COUNTIFS(NOVEDADES!$C$4:$C$1503,$A1424))</f>
        <v/>
      </c>
      <c r="O1424" s="27">
        <f>IF($A1424="","",IF(COUNTIFS(NOVEDADES!$C$4:$C$1503,$A1424,NOVEDADES!$M$4:$M$1503,"SÍ")&gt;0,"No","Sí"))</f>
        <v/>
      </c>
      <c r="P1424" s="27">
        <f>IF(OR($A1424="",$K1424=""),"",IF(AND($M1424="Sí",$O1424="Sí"),"OTIF","Falló"))</f>
        <v/>
      </c>
    </row>
    <row r="1425" ht="16" customHeight="1">
      <c r="A1425" s="47" t="n"/>
      <c r="B1425" s="46" t="n"/>
      <c r="C1425" s="49" t="n"/>
      <c r="D1425" s="49" t="n"/>
      <c r="E1425" s="49" t="n"/>
      <c r="F1425" s="49" t="n"/>
      <c r="G1425" s="47" t="n"/>
      <c r="H1425" s="50" t="n"/>
      <c r="I1425" s="51" t="n"/>
      <c r="J1425" s="46" t="n"/>
      <c r="K1425" s="46" t="n"/>
      <c r="L1425" s="23">
        <f>IF(OR($A1425="",$B1425=""),"",IF($K1425&lt;&gt;"",$K1425-$B1425,TODAY()-$B1425))</f>
        <v/>
      </c>
      <c r="M1425" s="27">
        <f>IF(OR($A1425="",$J1425=""),"",IF($K1425="",IF(TODAY()&gt;$J1425,"Atrasado","En ruta"),IF($K1425&lt;=$J1425,"Sí","No")))</f>
        <v/>
      </c>
      <c r="N1425" s="23">
        <f>IF($A1425="","",COUNTIFS(NOVEDADES!$C$4:$C$1503,$A1425))</f>
        <v/>
      </c>
      <c r="O1425" s="27">
        <f>IF($A1425="","",IF(COUNTIFS(NOVEDADES!$C$4:$C$1503,$A1425,NOVEDADES!$M$4:$M$1503,"SÍ")&gt;0,"No","Sí"))</f>
        <v/>
      </c>
      <c r="P1425" s="27">
        <f>IF(OR($A1425="",$K1425=""),"",IF(AND($M1425="Sí",$O1425="Sí"),"OTIF","Falló"))</f>
        <v/>
      </c>
    </row>
    <row r="1426" ht="16" customHeight="1">
      <c r="A1426" s="47" t="n"/>
      <c r="B1426" s="46" t="n"/>
      <c r="C1426" s="49" t="n"/>
      <c r="D1426" s="49" t="n"/>
      <c r="E1426" s="49" t="n"/>
      <c r="F1426" s="49" t="n"/>
      <c r="G1426" s="47" t="n"/>
      <c r="H1426" s="50" t="n"/>
      <c r="I1426" s="51" t="n"/>
      <c r="J1426" s="46" t="n"/>
      <c r="K1426" s="46" t="n"/>
      <c r="L1426" s="23">
        <f>IF(OR($A1426="",$B1426=""),"",IF($K1426&lt;&gt;"",$K1426-$B1426,TODAY()-$B1426))</f>
        <v/>
      </c>
      <c r="M1426" s="27">
        <f>IF(OR($A1426="",$J1426=""),"",IF($K1426="",IF(TODAY()&gt;$J1426,"Atrasado","En ruta"),IF($K1426&lt;=$J1426,"Sí","No")))</f>
        <v/>
      </c>
      <c r="N1426" s="23">
        <f>IF($A1426="","",COUNTIFS(NOVEDADES!$C$4:$C$1503,$A1426))</f>
        <v/>
      </c>
      <c r="O1426" s="27">
        <f>IF($A1426="","",IF(COUNTIFS(NOVEDADES!$C$4:$C$1503,$A1426,NOVEDADES!$M$4:$M$1503,"SÍ")&gt;0,"No","Sí"))</f>
        <v/>
      </c>
      <c r="P1426" s="27">
        <f>IF(OR($A1426="",$K1426=""),"",IF(AND($M1426="Sí",$O1426="Sí"),"OTIF","Falló"))</f>
        <v/>
      </c>
    </row>
    <row r="1427" ht="16" customHeight="1">
      <c r="A1427" s="47" t="n"/>
      <c r="B1427" s="46" t="n"/>
      <c r="C1427" s="49" t="n"/>
      <c r="D1427" s="49" t="n"/>
      <c r="E1427" s="49" t="n"/>
      <c r="F1427" s="49" t="n"/>
      <c r="G1427" s="47" t="n"/>
      <c r="H1427" s="50" t="n"/>
      <c r="I1427" s="51" t="n"/>
      <c r="J1427" s="46" t="n"/>
      <c r="K1427" s="46" t="n"/>
      <c r="L1427" s="23">
        <f>IF(OR($A1427="",$B1427=""),"",IF($K1427&lt;&gt;"",$K1427-$B1427,TODAY()-$B1427))</f>
        <v/>
      </c>
      <c r="M1427" s="27">
        <f>IF(OR($A1427="",$J1427=""),"",IF($K1427="",IF(TODAY()&gt;$J1427,"Atrasado","En ruta"),IF($K1427&lt;=$J1427,"Sí","No")))</f>
        <v/>
      </c>
      <c r="N1427" s="23">
        <f>IF($A1427="","",COUNTIFS(NOVEDADES!$C$4:$C$1503,$A1427))</f>
        <v/>
      </c>
      <c r="O1427" s="27">
        <f>IF($A1427="","",IF(COUNTIFS(NOVEDADES!$C$4:$C$1503,$A1427,NOVEDADES!$M$4:$M$1503,"SÍ")&gt;0,"No","Sí"))</f>
        <v/>
      </c>
      <c r="P1427" s="27">
        <f>IF(OR($A1427="",$K1427=""),"",IF(AND($M1427="Sí",$O1427="Sí"),"OTIF","Falló"))</f>
        <v/>
      </c>
    </row>
    <row r="1428" ht="16" customHeight="1">
      <c r="A1428" s="47" t="n"/>
      <c r="B1428" s="46" t="n"/>
      <c r="C1428" s="49" t="n"/>
      <c r="D1428" s="49" t="n"/>
      <c r="E1428" s="49" t="n"/>
      <c r="F1428" s="49" t="n"/>
      <c r="G1428" s="47" t="n"/>
      <c r="H1428" s="50" t="n"/>
      <c r="I1428" s="51" t="n"/>
      <c r="J1428" s="46" t="n"/>
      <c r="K1428" s="46" t="n"/>
      <c r="L1428" s="23">
        <f>IF(OR($A1428="",$B1428=""),"",IF($K1428&lt;&gt;"",$K1428-$B1428,TODAY()-$B1428))</f>
        <v/>
      </c>
      <c r="M1428" s="27">
        <f>IF(OR($A1428="",$J1428=""),"",IF($K1428="",IF(TODAY()&gt;$J1428,"Atrasado","En ruta"),IF($K1428&lt;=$J1428,"Sí","No")))</f>
        <v/>
      </c>
      <c r="N1428" s="23">
        <f>IF($A1428="","",COUNTIFS(NOVEDADES!$C$4:$C$1503,$A1428))</f>
        <v/>
      </c>
      <c r="O1428" s="27">
        <f>IF($A1428="","",IF(COUNTIFS(NOVEDADES!$C$4:$C$1503,$A1428,NOVEDADES!$M$4:$M$1503,"SÍ")&gt;0,"No","Sí"))</f>
        <v/>
      </c>
      <c r="P1428" s="27">
        <f>IF(OR($A1428="",$K1428=""),"",IF(AND($M1428="Sí",$O1428="Sí"),"OTIF","Falló"))</f>
        <v/>
      </c>
    </row>
    <row r="1429" ht="16" customHeight="1">
      <c r="A1429" s="47" t="n"/>
      <c r="B1429" s="46" t="n"/>
      <c r="C1429" s="49" t="n"/>
      <c r="D1429" s="49" t="n"/>
      <c r="E1429" s="49" t="n"/>
      <c r="F1429" s="49" t="n"/>
      <c r="G1429" s="47" t="n"/>
      <c r="H1429" s="50" t="n"/>
      <c r="I1429" s="51" t="n"/>
      <c r="J1429" s="46" t="n"/>
      <c r="K1429" s="46" t="n"/>
      <c r="L1429" s="23">
        <f>IF(OR($A1429="",$B1429=""),"",IF($K1429&lt;&gt;"",$K1429-$B1429,TODAY()-$B1429))</f>
        <v/>
      </c>
      <c r="M1429" s="27">
        <f>IF(OR($A1429="",$J1429=""),"",IF($K1429="",IF(TODAY()&gt;$J1429,"Atrasado","En ruta"),IF($K1429&lt;=$J1429,"Sí","No")))</f>
        <v/>
      </c>
      <c r="N1429" s="23">
        <f>IF($A1429="","",COUNTIFS(NOVEDADES!$C$4:$C$1503,$A1429))</f>
        <v/>
      </c>
      <c r="O1429" s="27">
        <f>IF($A1429="","",IF(COUNTIFS(NOVEDADES!$C$4:$C$1503,$A1429,NOVEDADES!$M$4:$M$1503,"SÍ")&gt;0,"No","Sí"))</f>
        <v/>
      </c>
      <c r="P1429" s="27">
        <f>IF(OR($A1429="",$K1429=""),"",IF(AND($M1429="Sí",$O1429="Sí"),"OTIF","Falló"))</f>
        <v/>
      </c>
    </row>
    <row r="1430" ht="16" customHeight="1">
      <c r="A1430" s="47" t="n"/>
      <c r="B1430" s="46" t="n"/>
      <c r="C1430" s="49" t="n"/>
      <c r="D1430" s="49" t="n"/>
      <c r="E1430" s="49" t="n"/>
      <c r="F1430" s="49" t="n"/>
      <c r="G1430" s="47" t="n"/>
      <c r="H1430" s="50" t="n"/>
      <c r="I1430" s="51" t="n"/>
      <c r="J1430" s="46" t="n"/>
      <c r="K1430" s="46" t="n"/>
      <c r="L1430" s="23">
        <f>IF(OR($A1430="",$B1430=""),"",IF($K1430&lt;&gt;"",$K1430-$B1430,TODAY()-$B1430))</f>
        <v/>
      </c>
      <c r="M1430" s="27">
        <f>IF(OR($A1430="",$J1430=""),"",IF($K1430="",IF(TODAY()&gt;$J1430,"Atrasado","En ruta"),IF($K1430&lt;=$J1430,"Sí","No")))</f>
        <v/>
      </c>
      <c r="N1430" s="23">
        <f>IF($A1430="","",COUNTIFS(NOVEDADES!$C$4:$C$1503,$A1430))</f>
        <v/>
      </c>
      <c r="O1430" s="27">
        <f>IF($A1430="","",IF(COUNTIFS(NOVEDADES!$C$4:$C$1503,$A1430,NOVEDADES!$M$4:$M$1503,"SÍ")&gt;0,"No","Sí"))</f>
        <v/>
      </c>
      <c r="P1430" s="27">
        <f>IF(OR($A1430="",$K1430=""),"",IF(AND($M1430="Sí",$O1430="Sí"),"OTIF","Falló"))</f>
        <v/>
      </c>
    </row>
    <row r="1431" ht="16" customHeight="1">
      <c r="A1431" s="47" t="n"/>
      <c r="B1431" s="46" t="n"/>
      <c r="C1431" s="49" t="n"/>
      <c r="D1431" s="49" t="n"/>
      <c r="E1431" s="49" t="n"/>
      <c r="F1431" s="49" t="n"/>
      <c r="G1431" s="47" t="n"/>
      <c r="H1431" s="50" t="n"/>
      <c r="I1431" s="51" t="n"/>
      <c r="J1431" s="46" t="n"/>
      <c r="K1431" s="46" t="n"/>
      <c r="L1431" s="23">
        <f>IF(OR($A1431="",$B1431=""),"",IF($K1431&lt;&gt;"",$K1431-$B1431,TODAY()-$B1431))</f>
        <v/>
      </c>
      <c r="M1431" s="27">
        <f>IF(OR($A1431="",$J1431=""),"",IF($K1431="",IF(TODAY()&gt;$J1431,"Atrasado","En ruta"),IF($K1431&lt;=$J1431,"Sí","No")))</f>
        <v/>
      </c>
      <c r="N1431" s="23">
        <f>IF($A1431="","",COUNTIFS(NOVEDADES!$C$4:$C$1503,$A1431))</f>
        <v/>
      </c>
      <c r="O1431" s="27">
        <f>IF($A1431="","",IF(COUNTIFS(NOVEDADES!$C$4:$C$1503,$A1431,NOVEDADES!$M$4:$M$1503,"SÍ")&gt;0,"No","Sí"))</f>
        <v/>
      </c>
      <c r="P1431" s="27">
        <f>IF(OR($A1431="",$K1431=""),"",IF(AND($M1431="Sí",$O1431="Sí"),"OTIF","Falló"))</f>
        <v/>
      </c>
    </row>
    <row r="1432" ht="16" customHeight="1">
      <c r="A1432" s="47" t="n"/>
      <c r="B1432" s="46" t="n"/>
      <c r="C1432" s="49" t="n"/>
      <c r="D1432" s="49" t="n"/>
      <c r="E1432" s="49" t="n"/>
      <c r="F1432" s="49" t="n"/>
      <c r="G1432" s="47" t="n"/>
      <c r="H1432" s="50" t="n"/>
      <c r="I1432" s="51" t="n"/>
      <c r="J1432" s="46" t="n"/>
      <c r="K1432" s="46" t="n"/>
      <c r="L1432" s="23">
        <f>IF(OR($A1432="",$B1432=""),"",IF($K1432&lt;&gt;"",$K1432-$B1432,TODAY()-$B1432))</f>
        <v/>
      </c>
      <c r="M1432" s="27">
        <f>IF(OR($A1432="",$J1432=""),"",IF($K1432="",IF(TODAY()&gt;$J1432,"Atrasado","En ruta"),IF($K1432&lt;=$J1432,"Sí","No")))</f>
        <v/>
      </c>
      <c r="N1432" s="23">
        <f>IF($A1432="","",COUNTIFS(NOVEDADES!$C$4:$C$1503,$A1432))</f>
        <v/>
      </c>
      <c r="O1432" s="27">
        <f>IF($A1432="","",IF(COUNTIFS(NOVEDADES!$C$4:$C$1503,$A1432,NOVEDADES!$M$4:$M$1503,"SÍ")&gt;0,"No","Sí"))</f>
        <v/>
      </c>
      <c r="P1432" s="27">
        <f>IF(OR($A1432="",$K1432=""),"",IF(AND($M1432="Sí",$O1432="Sí"),"OTIF","Falló"))</f>
        <v/>
      </c>
    </row>
    <row r="1433" ht="16" customHeight="1">
      <c r="A1433" s="47" t="n"/>
      <c r="B1433" s="46" t="n"/>
      <c r="C1433" s="49" t="n"/>
      <c r="D1433" s="49" t="n"/>
      <c r="E1433" s="49" t="n"/>
      <c r="F1433" s="49" t="n"/>
      <c r="G1433" s="47" t="n"/>
      <c r="H1433" s="50" t="n"/>
      <c r="I1433" s="51" t="n"/>
      <c r="J1433" s="46" t="n"/>
      <c r="K1433" s="46" t="n"/>
      <c r="L1433" s="23">
        <f>IF(OR($A1433="",$B1433=""),"",IF($K1433&lt;&gt;"",$K1433-$B1433,TODAY()-$B1433))</f>
        <v/>
      </c>
      <c r="M1433" s="27">
        <f>IF(OR($A1433="",$J1433=""),"",IF($K1433="",IF(TODAY()&gt;$J1433,"Atrasado","En ruta"),IF($K1433&lt;=$J1433,"Sí","No")))</f>
        <v/>
      </c>
      <c r="N1433" s="23">
        <f>IF($A1433="","",COUNTIFS(NOVEDADES!$C$4:$C$1503,$A1433))</f>
        <v/>
      </c>
      <c r="O1433" s="27">
        <f>IF($A1433="","",IF(COUNTIFS(NOVEDADES!$C$4:$C$1503,$A1433,NOVEDADES!$M$4:$M$1503,"SÍ")&gt;0,"No","Sí"))</f>
        <v/>
      </c>
      <c r="P1433" s="27">
        <f>IF(OR($A1433="",$K1433=""),"",IF(AND($M1433="Sí",$O1433="Sí"),"OTIF","Falló"))</f>
        <v/>
      </c>
    </row>
    <row r="1434" ht="16" customHeight="1">
      <c r="A1434" s="47" t="n"/>
      <c r="B1434" s="46" t="n"/>
      <c r="C1434" s="49" t="n"/>
      <c r="D1434" s="49" t="n"/>
      <c r="E1434" s="49" t="n"/>
      <c r="F1434" s="49" t="n"/>
      <c r="G1434" s="47" t="n"/>
      <c r="H1434" s="50" t="n"/>
      <c r="I1434" s="51" t="n"/>
      <c r="J1434" s="46" t="n"/>
      <c r="K1434" s="46" t="n"/>
      <c r="L1434" s="23">
        <f>IF(OR($A1434="",$B1434=""),"",IF($K1434&lt;&gt;"",$K1434-$B1434,TODAY()-$B1434))</f>
        <v/>
      </c>
      <c r="M1434" s="27">
        <f>IF(OR($A1434="",$J1434=""),"",IF($K1434="",IF(TODAY()&gt;$J1434,"Atrasado","En ruta"),IF($K1434&lt;=$J1434,"Sí","No")))</f>
        <v/>
      </c>
      <c r="N1434" s="23">
        <f>IF($A1434="","",COUNTIFS(NOVEDADES!$C$4:$C$1503,$A1434))</f>
        <v/>
      </c>
      <c r="O1434" s="27">
        <f>IF($A1434="","",IF(COUNTIFS(NOVEDADES!$C$4:$C$1503,$A1434,NOVEDADES!$M$4:$M$1503,"SÍ")&gt;0,"No","Sí"))</f>
        <v/>
      </c>
      <c r="P1434" s="27">
        <f>IF(OR($A1434="",$K1434=""),"",IF(AND($M1434="Sí",$O1434="Sí"),"OTIF","Falló"))</f>
        <v/>
      </c>
    </row>
    <row r="1435" ht="16" customHeight="1">
      <c r="A1435" s="47" t="n"/>
      <c r="B1435" s="46" t="n"/>
      <c r="C1435" s="49" t="n"/>
      <c r="D1435" s="49" t="n"/>
      <c r="E1435" s="49" t="n"/>
      <c r="F1435" s="49" t="n"/>
      <c r="G1435" s="47" t="n"/>
      <c r="H1435" s="50" t="n"/>
      <c r="I1435" s="51" t="n"/>
      <c r="J1435" s="46" t="n"/>
      <c r="K1435" s="46" t="n"/>
      <c r="L1435" s="23">
        <f>IF(OR($A1435="",$B1435=""),"",IF($K1435&lt;&gt;"",$K1435-$B1435,TODAY()-$B1435))</f>
        <v/>
      </c>
      <c r="M1435" s="27">
        <f>IF(OR($A1435="",$J1435=""),"",IF($K1435="",IF(TODAY()&gt;$J1435,"Atrasado","En ruta"),IF($K1435&lt;=$J1435,"Sí","No")))</f>
        <v/>
      </c>
      <c r="N1435" s="23">
        <f>IF($A1435="","",COUNTIFS(NOVEDADES!$C$4:$C$1503,$A1435))</f>
        <v/>
      </c>
      <c r="O1435" s="27">
        <f>IF($A1435="","",IF(COUNTIFS(NOVEDADES!$C$4:$C$1503,$A1435,NOVEDADES!$M$4:$M$1503,"SÍ")&gt;0,"No","Sí"))</f>
        <v/>
      </c>
      <c r="P1435" s="27">
        <f>IF(OR($A1435="",$K1435=""),"",IF(AND($M1435="Sí",$O1435="Sí"),"OTIF","Falló"))</f>
        <v/>
      </c>
    </row>
    <row r="1436" ht="16" customHeight="1">
      <c r="A1436" s="47" t="n"/>
      <c r="B1436" s="46" t="n"/>
      <c r="C1436" s="49" t="n"/>
      <c r="D1436" s="49" t="n"/>
      <c r="E1436" s="49" t="n"/>
      <c r="F1436" s="49" t="n"/>
      <c r="G1436" s="47" t="n"/>
      <c r="H1436" s="50" t="n"/>
      <c r="I1436" s="51" t="n"/>
      <c r="J1436" s="46" t="n"/>
      <c r="K1436" s="46" t="n"/>
      <c r="L1436" s="23">
        <f>IF(OR($A1436="",$B1436=""),"",IF($K1436&lt;&gt;"",$K1436-$B1436,TODAY()-$B1436))</f>
        <v/>
      </c>
      <c r="M1436" s="27">
        <f>IF(OR($A1436="",$J1436=""),"",IF($K1436="",IF(TODAY()&gt;$J1436,"Atrasado","En ruta"),IF($K1436&lt;=$J1436,"Sí","No")))</f>
        <v/>
      </c>
      <c r="N1436" s="23">
        <f>IF($A1436="","",COUNTIFS(NOVEDADES!$C$4:$C$1503,$A1436))</f>
        <v/>
      </c>
      <c r="O1436" s="27">
        <f>IF($A1436="","",IF(COUNTIFS(NOVEDADES!$C$4:$C$1503,$A1436,NOVEDADES!$M$4:$M$1503,"SÍ")&gt;0,"No","Sí"))</f>
        <v/>
      </c>
      <c r="P1436" s="27">
        <f>IF(OR($A1436="",$K1436=""),"",IF(AND($M1436="Sí",$O1436="Sí"),"OTIF","Falló"))</f>
        <v/>
      </c>
    </row>
    <row r="1437" ht="16" customHeight="1">
      <c r="A1437" s="47" t="n"/>
      <c r="B1437" s="46" t="n"/>
      <c r="C1437" s="49" t="n"/>
      <c r="D1437" s="49" t="n"/>
      <c r="E1437" s="49" t="n"/>
      <c r="F1437" s="49" t="n"/>
      <c r="G1437" s="47" t="n"/>
      <c r="H1437" s="50" t="n"/>
      <c r="I1437" s="51" t="n"/>
      <c r="J1437" s="46" t="n"/>
      <c r="K1437" s="46" t="n"/>
      <c r="L1437" s="23">
        <f>IF(OR($A1437="",$B1437=""),"",IF($K1437&lt;&gt;"",$K1437-$B1437,TODAY()-$B1437))</f>
        <v/>
      </c>
      <c r="M1437" s="27">
        <f>IF(OR($A1437="",$J1437=""),"",IF($K1437="",IF(TODAY()&gt;$J1437,"Atrasado","En ruta"),IF($K1437&lt;=$J1437,"Sí","No")))</f>
        <v/>
      </c>
      <c r="N1437" s="23">
        <f>IF($A1437="","",COUNTIFS(NOVEDADES!$C$4:$C$1503,$A1437))</f>
        <v/>
      </c>
      <c r="O1437" s="27">
        <f>IF($A1437="","",IF(COUNTIFS(NOVEDADES!$C$4:$C$1503,$A1437,NOVEDADES!$M$4:$M$1503,"SÍ")&gt;0,"No","Sí"))</f>
        <v/>
      </c>
      <c r="P1437" s="27">
        <f>IF(OR($A1437="",$K1437=""),"",IF(AND($M1437="Sí",$O1437="Sí"),"OTIF","Falló"))</f>
        <v/>
      </c>
    </row>
    <row r="1438" ht="16" customHeight="1">
      <c r="A1438" s="47" t="n"/>
      <c r="B1438" s="46" t="n"/>
      <c r="C1438" s="49" t="n"/>
      <c r="D1438" s="49" t="n"/>
      <c r="E1438" s="49" t="n"/>
      <c r="F1438" s="49" t="n"/>
      <c r="G1438" s="47" t="n"/>
      <c r="H1438" s="50" t="n"/>
      <c r="I1438" s="51" t="n"/>
      <c r="J1438" s="46" t="n"/>
      <c r="K1438" s="46" t="n"/>
      <c r="L1438" s="23">
        <f>IF(OR($A1438="",$B1438=""),"",IF($K1438&lt;&gt;"",$K1438-$B1438,TODAY()-$B1438))</f>
        <v/>
      </c>
      <c r="M1438" s="27">
        <f>IF(OR($A1438="",$J1438=""),"",IF($K1438="",IF(TODAY()&gt;$J1438,"Atrasado","En ruta"),IF($K1438&lt;=$J1438,"Sí","No")))</f>
        <v/>
      </c>
      <c r="N1438" s="23">
        <f>IF($A1438="","",COUNTIFS(NOVEDADES!$C$4:$C$1503,$A1438))</f>
        <v/>
      </c>
      <c r="O1438" s="27">
        <f>IF($A1438="","",IF(COUNTIFS(NOVEDADES!$C$4:$C$1503,$A1438,NOVEDADES!$M$4:$M$1503,"SÍ")&gt;0,"No","Sí"))</f>
        <v/>
      </c>
      <c r="P1438" s="27">
        <f>IF(OR($A1438="",$K1438=""),"",IF(AND($M1438="Sí",$O1438="Sí"),"OTIF","Falló"))</f>
        <v/>
      </c>
    </row>
    <row r="1439" ht="16" customHeight="1">
      <c r="A1439" s="47" t="n"/>
      <c r="B1439" s="46" t="n"/>
      <c r="C1439" s="49" t="n"/>
      <c r="D1439" s="49" t="n"/>
      <c r="E1439" s="49" t="n"/>
      <c r="F1439" s="49" t="n"/>
      <c r="G1439" s="47" t="n"/>
      <c r="H1439" s="50" t="n"/>
      <c r="I1439" s="51" t="n"/>
      <c r="J1439" s="46" t="n"/>
      <c r="K1439" s="46" t="n"/>
      <c r="L1439" s="23">
        <f>IF(OR($A1439="",$B1439=""),"",IF($K1439&lt;&gt;"",$K1439-$B1439,TODAY()-$B1439))</f>
        <v/>
      </c>
      <c r="M1439" s="27">
        <f>IF(OR($A1439="",$J1439=""),"",IF($K1439="",IF(TODAY()&gt;$J1439,"Atrasado","En ruta"),IF($K1439&lt;=$J1439,"Sí","No")))</f>
        <v/>
      </c>
      <c r="N1439" s="23">
        <f>IF($A1439="","",COUNTIFS(NOVEDADES!$C$4:$C$1503,$A1439))</f>
        <v/>
      </c>
      <c r="O1439" s="27">
        <f>IF($A1439="","",IF(COUNTIFS(NOVEDADES!$C$4:$C$1503,$A1439,NOVEDADES!$M$4:$M$1503,"SÍ")&gt;0,"No","Sí"))</f>
        <v/>
      </c>
      <c r="P1439" s="27">
        <f>IF(OR($A1439="",$K1439=""),"",IF(AND($M1439="Sí",$O1439="Sí"),"OTIF","Falló"))</f>
        <v/>
      </c>
    </row>
    <row r="1440" ht="16" customHeight="1">
      <c r="A1440" s="47" t="n"/>
      <c r="B1440" s="46" t="n"/>
      <c r="C1440" s="49" t="n"/>
      <c r="D1440" s="49" t="n"/>
      <c r="E1440" s="49" t="n"/>
      <c r="F1440" s="49" t="n"/>
      <c r="G1440" s="47" t="n"/>
      <c r="H1440" s="50" t="n"/>
      <c r="I1440" s="51" t="n"/>
      <c r="J1440" s="46" t="n"/>
      <c r="K1440" s="46" t="n"/>
      <c r="L1440" s="23">
        <f>IF(OR($A1440="",$B1440=""),"",IF($K1440&lt;&gt;"",$K1440-$B1440,TODAY()-$B1440))</f>
        <v/>
      </c>
      <c r="M1440" s="27">
        <f>IF(OR($A1440="",$J1440=""),"",IF($K1440="",IF(TODAY()&gt;$J1440,"Atrasado","En ruta"),IF($K1440&lt;=$J1440,"Sí","No")))</f>
        <v/>
      </c>
      <c r="N1440" s="23">
        <f>IF($A1440="","",COUNTIFS(NOVEDADES!$C$4:$C$1503,$A1440))</f>
        <v/>
      </c>
      <c r="O1440" s="27">
        <f>IF($A1440="","",IF(COUNTIFS(NOVEDADES!$C$4:$C$1503,$A1440,NOVEDADES!$M$4:$M$1503,"SÍ")&gt;0,"No","Sí"))</f>
        <v/>
      </c>
      <c r="P1440" s="27">
        <f>IF(OR($A1440="",$K1440=""),"",IF(AND($M1440="Sí",$O1440="Sí"),"OTIF","Falló"))</f>
        <v/>
      </c>
    </row>
    <row r="1441" ht="16" customHeight="1">
      <c r="A1441" s="47" t="n"/>
      <c r="B1441" s="46" t="n"/>
      <c r="C1441" s="49" t="n"/>
      <c r="D1441" s="49" t="n"/>
      <c r="E1441" s="49" t="n"/>
      <c r="F1441" s="49" t="n"/>
      <c r="G1441" s="47" t="n"/>
      <c r="H1441" s="50" t="n"/>
      <c r="I1441" s="51" t="n"/>
      <c r="J1441" s="46" t="n"/>
      <c r="K1441" s="46" t="n"/>
      <c r="L1441" s="23">
        <f>IF(OR($A1441="",$B1441=""),"",IF($K1441&lt;&gt;"",$K1441-$B1441,TODAY()-$B1441))</f>
        <v/>
      </c>
      <c r="M1441" s="27">
        <f>IF(OR($A1441="",$J1441=""),"",IF($K1441="",IF(TODAY()&gt;$J1441,"Atrasado","En ruta"),IF($K1441&lt;=$J1441,"Sí","No")))</f>
        <v/>
      </c>
      <c r="N1441" s="23">
        <f>IF($A1441="","",COUNTIFS(NOVEDADES!$C$4:$C$1503,$A1441))</f>
        <v/>
      </c>
      <c r="O1441" s="27">
        <f>IF($A1441="","",IF(COUNTIFS(NOVEDADES!$C$4:$C$1503,$A1441,NOVEDADES!$M$4:$M$1503,"SÍ")&gt;0,"No","Sí"))</f>
        <v/>
      </c>
      <c r="P1441" s="27">
        <f>IF(OR($A1441="",$K1441=""),"",IF(AND($M1441="Sí",$O1441="Sí"),"OTIF","Falló"))</f>
        <v/>
      </c>
    </row>
    <row r="1442" ht="16" customHeight="1">
      <c r="A1442" s="47" t="n"/>
      <c r="B1442" s="46" t="n"/>
      <c r="C1442" s="49" t="n"/>
      <c r="D1442" s="49" t="n"/>
      <c r="E1442" s="49" t="n"/>
      <c r="F1442" s="49" t="n"/>
      <c r="G1442" s="47" t="n"/>
      <c r="H1442" s="50" t="n"/>
      <c r="I1442" s="51" t="n"/>
      <c r="J1442" s="46" t="n"/>
      <c r="K1442" s="46" t="n"/>
      <c r="L1442" s="23">
        <f>IF(OR($A1442="",$B1442=""),"",IF($K1442&lt;&gt;"",$K1442-$B1442,TODAY()-$B1442))</f>
        <v/>
      </c>
      <c r="M1442" s="27">
        <f>IF(OR($A1442="",$J1442=""),"",IF($K1442="",IF(TODAY()&gt;$J1442,"Atrasado","En ruta"),IF($K1442&lt;=$J1442,"Sí","No")))</f>
        <v/>
      </c>
      <c r="N1442" s="23">
        <f>IF($A1442="","",COUNTIFS(NOVEDADES!$C$4:$C$1503,$A1442))</f>
        <v/>
      </c>
      <c r="O1442" s="27">
        <f>IF($A1442="","",IF(COUNTIFS(NOVEDADES!$C$4:$C$1503,$A1442,NOVEDADES!$M$4:$M$1503,"SÍ")&gt;0,"No","Sí"))</f>
        <v/>
      </c>
      <c r="P1442" s="27">
        <f>IF(OR($A1442="",$K1442=""),"",IF(AND($M1442="Sí",$O1442="Sí"),"OTIF","Falló"))</f>
        <v/>
      </c>
    </row>
    <row r="1443" ht="16" customHeight="1">
      <c r="A1443" s="47" t="n"/>
      <c r="B1443" s="46" t="n"/>
      <c r="C1443" s="49" t="n"/>
      <c r="D1443" s="49" t="n"/>
      <c r="E1443" s="49" t="n"/>
      <c r="F1443" s="49" t="n"/>
      <c r="G1443" s="47" t="n"/>
      <c r="H1443" s="50" t="n"/>
      <c r="I1443" s="51" t="n"/>
      <c r="J1443" s="46" t="n"/>
      <c r="K1443" s="46" t="n"/>
      <c r="L1443" s="23">
        <f>IF(OR($A1443="",$B1443=""),"",IF($K1443&lt;&gt;"",$K1443-$B1443,TODAY()-$B1443))</f>
        <v/>
      </c>
      <c r="M1443" s="27">
        <f>IF(OR($A1443="",$J1443=""),"",IF($K1443="",IF(TODAY()&gt;$J1443,"Atrasado","En ruta"),IF($K1443&lt;=$J1443,"Sí","No")))</f>
        <v/>
      </c>
      <c r="N1443" s="23">
        <f>IF($A1443="","",COUNTIFS(NOVEDADES!$C$4:$C$1503,$A1443))</f>
        <v/>
      </c>
      <c r="O1443" s="27">
        <f>IF($A1443="","",IF(COUNTIFS(NOVEDADES!$C$4:$C$1503,$A1443,NOVEDADES!$M$4:$M$1503,"SÍ")&gt;0,"No","Sí"))</f>
        <v/>
      </c>
      <c r="P1443" s="27">
        <f>IF(OR($A1443="",$K1443=""),"",IF(AND($M1443="Sí",$O1443="Sí"),"OTIF","Falló"))</f>
        <v/>
      </c>
    </row>
    <row r="1444" ht="16" customHeight="1">
      <c r="A1444" s="47" t="n"/>
      <c r="B1444" s="46" t="n"/>
      <c r="C1444" s="49" t="n"/>
      <c r="D1444" s="49" t="n"/>
      <c r="E1444" s="49" t="n"/>
      <c r="F1444" s="49" t="n"/>
      <c r="G1444" s="47" t="n"/>
      <c r="H1444" s="50" t="n"/>
      <c r="I1444" s="51" t="n"/>
      <c r="J1444" s="46" t="n"/>
      <c r="K1444" s="46" t="n"/>
      <c r="L1444" s="23">
        <f>IF(OR($A1444="",$B1444=""),"",IF($K1444&lt;&gt;"",$K1444-$B1444,TODAY()-$B1444))</f>
        <v/>
      </c>
      <c r="M1444" s="27">
        <f>IF(OR($A1444="",$J1444=""),"",IF($K1444="",IF(TODAY()&gt;$J1444,"Atrasado","En ruta"),IF($K1444&lt;=$J1444,"Sí","No")))</f>
        <v/>
      </c>
      <c r="N1444" s="23">
        <f>IF($A1444="","",COUNTIFS(NOVEDADES!$C$4:$C$1503,$A1444))</f>
        <v/>
      </c>
      <c r="O1444" s="27">
        <f>IF($A1444="","",IF(COUNTIFS(NOVEDADES!$C$4:$C$1503,$A1444,NOVEDADES!$M$4:$M$1503,"SÍ")&gt;0,"No","Sí"))</f>
        <v/>
      </c>
      <c r="P1444" s="27">
        <f>IF(OR($A1444="",$K1444=""),"",IF(AND($M1444="Sí",$O1444="Sí"),"OTIF","Falló"))</f>
        <v/>
      </c>
    </row>
    <row r="1445" ht="16" customHeight="1">
      <c r="A1445" s="47" t="n"/>
      <c r="B1445" s="46" t="n"/>
      <c r="C1445" s="49" t="n"/>
      <c r="D1445" s="49" t="n"/>
      <c r="E1445" s="49" t="n"/>
      <c r="F1445" s="49" t="n"/>
      <c r="G1445" s="47" t="n"/>
      <c r="H1445" s="50" t="n"/>
      <c r="I1445" s="51" t="n"/>
      <c r="J1445" s="46" t="n"/>
      <c r="K1445" s="46" t="n"/>
      <c r="L1445" s="23">
        <f>IF(OR($A1445="",$B1445=""),"",IF($K1445&lt;&gt;"",$K1445-$B1445,TODAY()-$B1445))</f>
        <v/>
      </c>
      <c r="M1445" s="27">
        <f>IF(OR($A1445="",$J1445=""),"",IF($K1445="",IF(TODAY()&gt;$J1445,"Atrasado","En ruta"),IF($K1445&lt;=$J1445,"Sí","No")))</f>
        <v/>
      </c>
      <c r="N1445" s="23">
        <f>IF($A1445="","",COUNTIFS(NOVEDADES!$C$4:$C$1503,$A1445))</f>
        <v/>
      </c>
      <c r="O1445" s="27">
        <f>IF($A1445="","",IF(COUNTIFS(NOVEDADES!$C$4:$C$1503,$A1445,NOVEDADES!$M$4:$M$1503,"SÍ")&gt;0,"No","Sí"))</f>
        <v/>
      </c>
      <c r="P1445" s="27">
        <f>IF(OR($A1445="",$K1445=""),"",IF(AND($M1445="Sí",$O1445="Sí"),"OTIF","Falló"))</f>
        <v/>
      </c>
    </row>
    <row r="1446" ht="16" customHeight="1">
      <c r="A1446" s="47" t="n"/>
      <c r="B1446" s="46" t="n"/>
      <c r="C1446" s="49" t="n"/>
      <c r="D1446" s="49" t="n"/>
      <c r="E1446" s="49" t="n"/>
      <c r="F1446" s="49" t="n"/>
      <c r="G1446" s="47" t="n"/>
      <c r="H1446" s="50" t="n"/>
      <c r="I1446" s="51" t="n"/>
      <c r="J1446" s="46" t="n"/>
      <c r="K1446" s="46" t="n"/>
      <c r="L1446" s="23">
        <f>IF(OR($A1446="",$B1446=""),"",IF($K1446&lt;&gt;"",$K1446-$B1446,TODAY()-$B1446))</f>
        <v/>
      </c>
      <c r="M1446" s="27">
        <f>IF(OR($A1446="",$J1446=""),"",IF($K1446="",IF(TODAY()&gt;$J1446,"Atrasado","En ruta"),IF($K1446&lt;=$J1446,"Sí","No")))</f>
        <v/>
      </c>
      <c r="N1446" s="23">
        <f>IF($A1446="","",COUNTIFS(NOVEDADES!$C$4:$C$1503,$A1446))</f>
        <v/>
      </c>
      <c r="O1446" s="27">
        <f>IF($A1446="","",IF(COUNTIFS(NOVEDADES!$C$4:$C$1503,$A1446,NOVEDADES!$M$4:$M$1503,"SÍ")&gt;0,"No","Sí"))</f>
        <v/>
      </c>
      <c r="P1446" s="27">
        <f>IF(OR($A1446="",$K1446=""),"",IF(AND($M1446="Sí",$O1446="Sí"),"OTIF","Falló"))</f>
        <v/>
      </c>
    </row>
    <row r="1447" ht="16" customHeight="1">
      <c r="A1447" s="47" t="n"/>
      <c r="B1447" s="46" t="n"/>
      <c r="C1447" s="49" t="n"/>
      <c r="D1447" s="49" t="n"/>
      <c r="E1447" s="49" t="n"/>
      <c r="F1447" s="49" t="n"/>
      <c r="G1447" s="47" t="n"/>
      <c r="H1447" s="50" t="n"/>
      <c r="I1447" s="51" t="n"/>
      <c r="J1447" s="46" t="n"/>
      <c r="K1447" s="46" t="n"/>
      <c r="L1447" s="23">
        <f>IF(OR($A1447="",$B1447=""),"",IF($K1447&lt;&gt;"",$K1447-$B1447,TODAY()-$B1447))</f>
        <v/>
      </c>
      <c r="M1447" s="27">
        <f>IF(OR($A1447="",$J1447=""),"",IF($K1447="",IF(TODAY()&gt;$J1447,"Atrasado","En ruta"),IF($K1447&lt;=$J1447,"Sí","No")))</f>
        <v/>
      </c>
      <c r="N1447" s="23">
        <f>IF($A1447="","",COUNTIFS(NOVEDADES!$C$4:$C$1503,$A1447))</f>
        <v/>
      </c>
      <c r="O1447" s="27">
        <f>IF($A1447="","",IF(COUNTIFS(NOVEDADES!$C$4:$C$1503,$A1447,NOVEDADES!$M$4:$M$1503,"SÍ")&gt;0,"No","Sí"))</f>
        <v/>
      </c>
      <c r="P1447" s="27">
        <f>IF(OR($A1447="",$K1447=""),"",IF(AND($M1447="Sí",$O1447="Sí"),"OTIF","Falló"))</f>
        <v/>
      </c>
    </row>
    <row r="1448" ht="16" customHeight="1">
      <c r="A1448" s="47" t="n"/>
      <c r="B1448" s="46" t="n"/>
      <c r="C1448" s="49" t="n"/>
      <c r="D1448" s="49" t="n"/>
      <c r="E1448" s="49" t="n"/>
      <c r="F1448" s="49" t="n"/>
      <c r="G1448" s="47" t="n"/>
      <c r="H1448" s="50" t="n"/>
      <c r="I1448" s="51" t="n"/>
      <c r="J1448" s="46" t="n"/>
      <c r="K1448" s="46" t="n"/>
      <c r="L1448" s="23">
        <f>IF(OR($A1448="",$B1448=""),"",IF($K1448&lt;&gt;"",$K1448-$B1448,TODAY()-$B1448))</f>
        <v/>
      </c>
      <c r="M1448" s="27">
        <f>IF(OR($A1448="",$J1448=""),"",IF($K1448="",IF(TODAY()&gt;$J1448,"Atrasado","En ruta"),IF($K1448&lt;=$J1448,"Sí","No")))</f>
        <v/>
      </c>
      <c r="N1448" s="23">
        <f>IF($A1448="","",COUNTIFS(NOVEDADES!$C$4:$C$1503,$A1448))</f>
        <v/>
      </c>
      <c r="O1448" s="27">
        <f>IF($A1448="","",IF(COUNTIFS(NOVEDADES!$C$4:$C$1503,$A1448,NOVEDADES!$M$4:$M$1503,"SÍ")&gt;0,"No","Sí"))</f>
        <v/>
      </c>
      <c r="P1448" s="27">
        <f>IF(OR($A1448="",$K1448=""),"",IF(AND($M1448="Sí",$O1448="Sí"),"OTIF","Falló"))</f>
        <v/>
      </c>
    </row>
    <row r="1449" ht="16" customHeight="1">
      <c r="A1449" s="47" t="n"/>
      <c r="B1449" s="46" t="n"/>
      <c r="C1449" s="49" t="n"/>
      <c r="D1449" s="49" t="n"/>
      <c r="E1449" s="49" t="n"/>
      <c r="F1449" s="49" t="n"/>
      <c r="G1449" s="47" t="n"/>
      <c r="H1449" s="50" t="n"/>
      <c r="I1449" s="51" t="n"/>
      <c r="J1449" s="46" t="n"/>
      <c r="K1449" s="46" t="n"/>
      <c r="L1449" s="23">
        <f>IF(OR($A1449="",$B1449=""),"",IF($K1449&lt;&gt;"",$K1449-$B1449,TODAY()-$B1449))</f>
        <v/>
      </c>
      <c r="M1449" s="27">
        <f>IF(OR($A1449="",$J1449=""),"",IF($K1449="",IF(TODAY()&gt;$J1449,"Atrasado","En ruta"),IF($K1449&lt;=$J1449,"Sí","No")))</f>
        <v/>
      </c>
      <c r="N1449" s="23">
        <f>IF($A1449="","",COUNTIFS(NOVEDADES!$C$4:$C$1503,$A1449))</f>
        <v/>
      </c>
      <c r="O1449" s="27">
        <f>IF($A1449="","",IF(COUNTIFS(NOVEDADES!$C$4:$C$1503,$A1449,NOVEDADES!$M$4:$M$1503,"SÍ")&gt;0,"No","Sí"))</f>
        <v/>
      </c>
      <c r="P1449" s="27">
        <f>IF(OR($A1449="",$K1449=""),"",IF(AND($M1449="Sí",$O1449="Sí"),"OTIF","Falló"))</f>
        <v/>
      </c>
    </row>
    <row r="1450" ht="16" customHeight="1">
      <c r="A1450" s="47" t="n"/>
      <c r="B1450" s="46" t="n"/>
      <c r="C1450" s="49" t="n"/>
      <c r="D1450" s="49" t="n"/>
      <c r="E1450" s="49" t="n"/>
      <c r="F1450" s="49" t="n"/>
      <c r="G1450" s="47" t="n"/>
      <c r="H1450" s="50" t="n"/>
      <c r="I1450" s="51" t="n"/>
      <c r="J1450" s="46" t="n"/>
      <c r="K1450" s="46" t="n"/>
      <c r="L1450" s="23">
        <f>IF(OR($A1450="",$B1450=""),"",IF($K1450&lt;&gt;"",$K1450-$B1450,TODAY()-$B1450))</f>
        <v/>
      </c>
      <c r="M1450" s="27">
        <f>IF(OR($A1450="",$J1450=""),"",IF($K1450="",IF(TODAY()&gt;$J1450,"Atrasado","En ruta"),IF($K1450&lt;=$J1450,"Sí","No")))</f>
        <v/>
      </c>
      <c r="N1450" s="23">
        <f>IF($A1450="","",COUNTIFS(NOVEDADES!$C$4:$C$1503,$A1450))</f>
        <v/>
      </c>
      <c r="O1450" s="27">
        <f>IF($A1450="","",IF(COUNTIFS(NOVEDADES!$C$4:$C$1503,$A1450,NOVEDADES!$M$4:$M$1503,"SÍ")&gt;0,"No","Sí"))</f>
        <v/>
      </c>
      <c r="P1450" s="27">
        <f>IF(OR($A1450="",$K1450=""),"",IF(AND($M1450="Sí",$O1450="Sí"),"OTIF","Falló"))</f>
        <v/>
      </c>
    </row>
    <row r="1451" ht="16" customHeight="1">
      <c r="A1451" s="47" t="n"/>
      <c r="B1451" s="46" t="n"/>
      <c r="C1451" s="49" t="n"/>
      <c r="D1451" s="49" t="n"/>
      <c r="E1451" s="49" t="n"/>
      <c r="F1451" s="49" t="n"/>
      <c r="G1451" s="47" t="n"/>
      <c r="H1451" s="50" t="n"/>
      <c r="I1451" s="51" t="n"/>
      <c r="J1451" s="46" t="n"/>
      <c r="K1451" s="46" t="n"/>
      <c r="L1451" s="23">
        <f>IF(OR($A1451="",$B1451=""),"",IF($K1451&lt;&gt;"",$K1451-$B1451,TODAY()-$B1451))</f>
        <v/>
      </c>
      <c r="M1451" s="27">
        <f>IF(OR($A1451="",$J1451=""),"",IF($K1451="",IF(TODAY()&gt;$J1451,"Atrasado","En ruta"),IF($K1451&lt;=$J1451,"Sí","No")))</f>
        <v/>
      </c>
      <c r="N1451" s="23">
        <f>IF($A1451="","",COUNTIFS(NOVEDADES!$C$4:$C$1503,$A1451))</f>
        <v/>
      </c>
      <c r="O1451" s="27">
        <f>IF($A1451="","",IF(COUNTIFS(NOVEDADES!$C$4:$C$1503,$A1451,NOVEDADES!$M$4:$M$1503,"SÍ")&gt;0,"No","Sí"))</f>
        <v/>
      </c>
      <c r="P1451" s="27">
        <f>IF(OR($A1451="",$K1451=""),"",IF(AND($M1451="Sí",$O1451="Sí"),"OTIF","Falló"))</f>
        <v/>
      </c>
    </row>
    <row r="1452" ht="16" customHeight="1">
      <c r="A1452" s="47" t="n"/>
      <c r="B1452" s="46" t="n"/>
      <c r="C1452" s="49" t="n"/>
      <c r="D1452" s="49" t="n"/>
      <c r="E1452" s="49" t="n"/>
      <c r="F1452" s="49" t="n"/>
      <c r="G1452" s="47" t="n"/>
      <c r="H1452" s="50" t="n"/>
      <c r="I1452" s="51" t="n"/>
      <c r="J1452" s="46" t="n"/>
      <c r="K1452" s="46" t="n"/>
      <c r="L1452" s="23">
        <f>IF(OR($A1452="",$B1452=""),"",IF($K1452&lt;&gt;"",$K1452-$B1452,TODAY()-$B1452))</f>
        <v/>
      </c>
      <c r="M1452" s="27">
        <f>IF(OR($A1452="",$J1452=""),"",IF($K1452="",IF(TODAY()&gt;$J1452,"Atrasado","En ruta"),IF($K1452&lt;=$J1452,"Sí","No")))</f>
        <v/>
      </c>
      <c r="N1452" s="23">
        <f>IF($A1452="","",COUNTIFS(NOVEDADES!$C$4:$C$1503,$A1452))</f>
        <v/>
      </c>
      <c r="O1452" s="27">
        <f>IF($A1452="","",IF(COUNTIFS(NOVEDADES!$C$4:$C$1503,$A1452,NOVEDADES!$M$4:$M$1503,"SÍ")&gt;0,"No","Sí"))</f>
        <v/>
      </c>
      <c r="P1452" s="27">
        <f>IF(OR($A1452="",$K1452=""),"",IF(AND($M1452="Sí",$O1452="Sí"),"OTIF","Falló"))</f>
        <v/>
      </c>
    </row>
    <row r="1453" ht="16" customHeight="1">
      <c r="A1453" s="47" t="n"/>
      <c r="B1453" s="46" t="n"/>
      <c r="C1453" s="49" t="n"/>
      <c r="D1453" s="49" t="n"/>
      <c r="E1453" s="49" t="n"/>
      <c r="F1453" s="49" t="n"/>
      <c r="G1453" s="47" t="n"/>
      <c r="H1453" s="50" t="n"/>
      <c r="I1453" s="51" t="n"/>
      <c r="J1453" s="46" t="n"/>
      <c r="K1453" s="46" t="n"/>
      <c r="L1453" s="23">
        <f>IF(OR($A1453="",$B1453=""),"",IF($K1453&lt;&gt;"",$K1453-$B1453,TODAY()-$B1453))</f>
        <v/>
      </c>
      <c r="M1453" s="27">
        <f>IF(OR($A1453="",$J1453=""),"",IF($K1453="",IF(TODAY()&gt;$J1453,"Atrasado","En ruta"),IF($K1453&lt;=$J1453,"Sí","No")))</f>
        <v/>
      </c>
      <c r="N1453" s="23">
        <f>IF($A1453="","",COUNTIFS(NOVEDADES!$C$4:$C$1503,$A1453))</f>
        <v/>
      </c>
      <c r="O1453" s="27">
        <f>IF($A1453="","",IF(COUNTIFS(NOVEDADES!$C$4:$C$1503,$A1453,NOVEDADES!$M$4:$M$1503,"SÍ")&gt;0,"No","Sí"))</f>
        <v/>
      </c>
      <c r="P1453" s="27">
        <f>IF(OR($A1453="",$K1453=""),"",IF(AND($M1453="Sí",$O1453="Sí"),"OTIF","Falló"))</f>
        <v/>
      </c>
    </row>
    <row r="1454" ht="16" customHeight="1">
      <c r="A1454" s="47" t="n"/>
      <c r="B1454" s="46" t="n"/>
      <c r="C1454" s="49" t="n"/>
      <c r="D1454" s="49" t="n"/>
      <c r="E1454" s="49" t="n"/>
      <c r="F1454" s="49" t="n"/>
      <c r="G1454" s="47" t="n"/>
      <c r="H1454" s="50" t="n"/>
      <c r="I1454" s="51" t="n"/>
      <c r="J1454" s="46" t="n"/>
      <c r="K1454" s="46" t="n"/>
      <c r="L1454" s="23">
        <f>IF(OR($A1454="",$B1454=""),"",IF($K1454&lt;&gt;"",$K1454-$B1454,TODAY()-$B1454))</f>
        <v/>
      </c>
      <c r="M1454" s="27">
        <f>IF(OR($A1454="",$J1454=""),"",IF($K1454="",IF(TODAY()&gt;$J1454,"Atrasado","En ruta"),IF($K1454&lt;=$J1454,"Sí","No")))</f>
        <v/>
      </c>
      <c r="N1454" s="23">
        <f>IF($A1454="","",COUNTIFS(NOVEDADES!$C$4:$C$1503,$A1454))</f>
        <v/>
      </c>
      <c r="O1454" s="27">
        <f>IF($A1454="","",IF(COUNTIFS(NOVEDADES!$C$4:$C$1503,$A1454,NOVEDADES!$M$4:$M$1503,"SÍ")&gt;0,"No","Sí"))</f>
        <v/>
      </c>
      <c r="P1454" s="27">
        <f>IF(OR($A1454="",$K1454=""),"",IF(AND($M1454="Sí",$O1454="Sí"),"OTIF","Falló"))</f>
        <v/>
      </c>
    </row>
    <row r="1455" ht="16" customHeight="1">
      <c r="A1455" s="47" t="n"/>
      <c r="B1455" s="46" t="n"/>
      <c r="C1455" s="49" t="n"/>
      <c r="D1455" s="49" t="n"/>
      <c r="E1455" s="49" t="n"/>
      <c r="F1455" s="49" t="n"/>
      <c r="G1455" s="47" t="n"/>
      <c r="H1455" s="50" t="n"/>
      <c r="I1455" s="51" t="n"/>
      <c r="J1455" s="46" t="n"/>
      <c r="K1455" s="46" t="n"/>
      <c r="L1455" s="23">
        <f>IF(OR($A1455="",$B1455=""),"",IF($K1455&lt;&gt;"",$K1455-$B1455,TODAY()-$B1455))</f>
        <v/>
      </c>
      <c r="M1455" s="27">
        <f>IF(OR($A1455="",$J1455=""),"",IF($K1455="",IF(TODAY()&gt;$J1455,"Atrasado","En ruta"),IF($K1455&lt;=$J1455,"Sí","No")))</f>
        <v/>
      </c>
      <c r="N1455" s="23">
        <f>IF($A1455="","",COUNTIFS(NOVEDADES!$C$4:$C$1503,$A1455))</f>
        <v/>
      </c>
      <c r="O1455" s="27">
        <f>IF($A1455="","",IF(COUNTIFS(NOVEDADES!$C$4:$C$1503,$A1455,NOVEDADES!$M$4:$M$1503,"SÍ")&gt;0,"No","Sí"))</f>
        <v/>
      </c>
      <c r="P1455" s="27">
        <f>IF(OR($A1455="",$K1455=""),"",IF(AND($M1455="Sí",$O1455="Sí"),"OTIF","Falló"))</f>
        <v/>
      </c>
    </row>
    <row r="1456" ht="16" customHeight="1">
      <c r="A1456" s="47" t="n"/>
      <c r="B1456" s="46" t="n"/>
      <c r="C1456" s="49" t="n"/>
      <c r="D1456" s="49" t="n"/>
      <c r="E1456" s="49" t="n"/>
      <c r="F1456" s="49" t="n"/>
      <c r="G1456" s="47" t="n"/>
      <c r="H1456" s="50" t="n"/>
      <c r="I1456" s="51" t="n"/>
      <c r="J1456" s="46" t="n"/>
      <c r="K1456" s="46" t="n"/>
      <c r="L1456" s="23">
        <f>IF(OR($A1456="",$B1456=""),"",IF($K1456&lt;&gt;"",$K1456-$B1456,TODAY()-$B1456))</f>
        <v/>
      </c>
      <c r="M1456" s="27">
        <f>IF(OR($A1456="",$J1456=""),"",IF($K1456="",IF(TODAY()&gt;$J1456,"Atrasado","En ruta"),IF($K1456&lt;=$J1456,"Sí","No")))</f>
        <v/>
      </c>
      <c r="N1456" s="23">
        <f>IF($A1456="","",COUNTIFS(NOVEDADES!$C$4:$C$1503,$A1456))</f>
        <v/>
      </c>
      <c r="O1456" s="27">
        <f>IF($A1456="","",IF(COUNTIFS(NOVEDADES!$C$4:$C$1503,$A1456,NOVEDADES!$M$4:$M$1503,"SÍ")&gt;0,"No","Sí"))</f>
        <v/>
      </c>
      <c r="P1456" s="27">
        <f>IF(OR($A1456="",$K1456=""),"",IF(AND($M1456="Sí",$O1456="Sí"),"OTIF","Falló"))</f>
        <v/>
      </c>
    </row>
    <row r="1457" ht="16" customHeight="1">
      <c r="A1457" s="47" t="n"/>
      <c r="B1457" s="46" t="n"/>
      <c r="C1457" s="49" t="n"/>
      <c r="D1457" s="49" t="n"/>
      <c r="E1457" s="49" t="n"/>
      <c r="F1457" s="49" t="n"/>
      <c r="G1457" s="47" t="n"/>
      <c r="H1457" s="50" t="n"/>
      <c r="I1457" s="51" t="n"/>
      <c r="J1457" s="46" t="n"/>
      <c r="K1457" s="46" t="n"/>
      <c r="L1457" s="23">
        <f>IF(OR($A1457="",$B1457=""),"",IF($K1457&lt;&gt;"",$K1457-$B1457,TODAY()-$B1457))</f>
        <v/>
      </c>
      <c r="M1457" s="27">
        <f>IF(OR($A1457="",$J1457=""),"",IF($K1457="",IF(TODAY()&gt;$J1457,"Atrasado","En ruta"),IF($K1457&lt;=$J1457,"Sí","No")))</f>
        <v/>
      </c>
      <c r="N1457" s="23">
        <f>IF($A1457="","",COUNTIFS(NOVEDADES!$C$4:$C$1503,$A1457))</f>
        <v/>
      </c>
      <c r="O1457" s="27">
        <f>IF($A1457="","",IF(COUNTIFS(NOVEDADES!$C$4:$C$1503,$A1457,NOVEDADES!$M$4:$M$1503,"SÍ")&gt;0,"No","Sí"))</f>
        <v/>
      </c>
      <c r="P1457" s="27">
        <f>IF(OR($A1457="",$K1457=""),"",IF(AND($M1457="Sí",$O1457="Sí"),"OTIF","Falló"))</f>
        <v/>
      </c>
    </row>
    <row r="1458" ht="16" customHeight="1">
      <c r="A1458" s="47" t="n"/>
      <c r="B1458" s="46" t="n"/>
      <c r="C1458" s="49" t="n"/>
      <c r="D1458" s="49" t="n"/>
      <c r="E1458" s="49" t="n"/>
      <c r="F1458" s="49" t="n"/>
      <c r="G1458" s="47" t="n"/>
      <c r="H1458" s="50" t="n"/>
      <c r="I1458" s="51" t="n"/>
      <c r="J1458" s="46" t="n"/>
      <c r="K1458" s="46" t="n"/>
      <c r="L1458" s="23">
        <f>IF(OR($A1458="",$B1458=""),"",IF($K1458&lt;&gt;"",$K1458-$B1458,TODAY()-$B1458))</f>
        <v/>
      </c>
      <c r="M1458" s="27">
        <f>IF(OR($A1458="",$J1458=""),"",IF($K1458="",IF(TODAY()&gt;$J1458,"Atrasado","En ruta"),IF($K1458&lt;=$J1458,"Sí","No")))</f>
        <v/>
      </c>
      <c r="N1458" s="23">
        <f>IF($A1458="","",COUNTIFS(NOVEDADES!$C$4:$C$1503,$A1458))</f>
        <v/>
      </c>
      <c r="O1458" s="27">
        <f>IF($A1458="","",IF(COUNTIFS(NOVEDADES!$C$4:$C$1503,$A1458,NOVEDADES!$M$4:$M$1503,"SÍ")&gt;0,"No","Sí"))</f>
        <v/>
      </c>
      <c r="P1458" s="27">
        <f>IF(OR($A1458="",$K1458=""),"",IF(AND($M1458="Sí",$O1458="Sí"),"OTIF","Falló"))</f>
        <v/>
      </c>
    </row>
    <row r="1459" ht="16" customHeight="1">
      <c r="A1459" s="47" t="n"/>
      <c r="B1459" s="46" t="n"/>
      <c r="C1459" s="49" t="n"/>
      <c r="D1459" s="49" t="n"/>
      <c r="E1459" s="49" t="n"/>
      <c r="F1459" s="49" t="n"/>
      <c r="G1459" s="47" t="n"/>
      <c r="H1459" s="50" t="n"/>
      <c r="I1459" s="51" t="n"/>
      <c r="J1459" s="46" t="n"/>
      <c r="K1459" s="46" t="n"/>
      <c r="L1459" s="23">
        <f>IF(OR($A1459="",$B1459=""),"",IF($K1459&lt;&gt;"",$K1459-$B1459,TODAY()-$B1459))</f>
        <v/>
      </c>
      <c r="M1459" s="27">
        <f>IF(OR($A1459="",$J1459=""),"",IF($K1459="",IF(TODAY()&gt;$J1459,"Atrasado","En ruta"),IF($K1459&lt;=$J1459,"Sí","No")))</f>
        <v/>
      </c>
      <c r="N1459" s="23">
        <f>IF($A1459="","",COUNTIFS(NOVEDADES!$C$4:$C$1503,$A1459))</f>
        <v/>
      </c>
      <c r="O1459" s="27">
        <f>IF($A1459="","",IF(COUNTIFS(NOVEDADES!$C$4:$C$1503,$A1459,NOVEDADES!$M$4:$M$1503,"SÍ")&gt;0,"No","Sí"))</f>
        <v/>
      </c>
      <c r="P1459" s="27">
        <f>IF(OR($A1459="",$K1459=""),"",IF(AND($M1459="Sí",$O1459="Sí"),"OTIF","Falló"))</f>
        <v/>
      </c>
    </row>
    <row r="1460" ht="16" customHeight="1">
      <c r="A1460" s="47" t="n"/>
      <c r="B1460" s="46" t="n"/>
      <c r="C1460" s="49" t="n"/>
      <c r="D1460" s="49" t="n"/>
      <c r="E1460" s="49" t="n"/>
      <c r="F1460" s="49" t="n"/>
      <c r="G1460" s="47" t="n"/>
      <c r="H1460" s="50" t="n"/>
      <c r="I1460" s="51" t="n"/>
      <c r="J1460" s="46" t="n"/>
      <c r="K1460" s="46" t="n"/>
      <c r="L1460" s="23">
        <f>IF(OR($A1460="",$B1460=""),"",IF($K1460&lt;&gt;"",$K1460-$B1460,TODAY()-$B1460))</f>
        <v/>
      </c>
      <c r="M1460" s="27">
        <f>IF(OR($A1460="",$J1460=""),"",IF($K1460="",IF(TODAY()&gt;$J1460,"Atrasado","En ruta"),IF($K1460&lt;=$J1460,"Sí","No")))</f>
        <v/>
      </c>
      <c r="N1460" s="23">
        <f>IF($A1460="","",COUNTIFS(NOVEDADES!$C$4:$C$1503,$A1460))</f>
        <v/>
      </c>
      <c r="O1460" s="27">
        <f>IF($A1460="","",IF(COUNTIFS(NOVEDADES!$C$4:$C$1503,$A1460,NOVEDADES!$M$4:$M$1503,"SÍ")&gt;0,"No","Sí"))</f>
        <v/>
      </c>
      <c r="P1460" s="27">
        <f>IF(OR($A1460="",$K1460=""),"",IF(AND($M1460="Sí",$O1460="Sí"),"OTIF","Falló"))</f>
        <v/>
      </c>
    </row>
    <row r="1461" ht="16" customHeight="1">
      <c r="A1461" s="47" t="n"/>
      <c r="B1461" s="46" t="n"/>
      <c r="C1461" s="49" t="n"/>
      <c r="D1461" s="49" t="n"/>
      <c r="E1461" s="49" t="n"/>
      <c r="F1461" s="49" t="n"/>
      <c r="G1461" s="47" t="n"/>
      <c r="H1461" s="50" t="n"/>
      <c r="I1461" s="51" t="n"/>
      <c r="J1461" s="46" t="n"/>
      <c r="K1461" s="46" t="n"/>
      <c r="L1461" s="23">
        <f>IF(OR($A1461="",$B1461=""),"",IF($K1461&lt;&gt;"",$K1461-$B1461,TODAY()-$B1461))</f>
        <v/>
      </c>
      <c r="M1461" s="27">
        <f>IF(OR($A1461="",$J1461=""),"",IF($K1461="",IF(TODAY()&gt;$J1461,"Atrasado","En ruta"),IF($K1461&lt;=$J1461,"Sí","No")))</f>
        <v/>
      </c>
      <c r="N1461" s="23">
        <f>IF($A1461="","",COUNTIFS(NOVEDADES!$C$4:$C$1503,$A1461))</f>
        <v/>
      </c>
      <c r="O1461" s="27">
        <f>IF($A1461="","",IF(COUNTIFS(NOVEDADES!$C$4:$C$1503,$A1461,NOVEDADES!$M$4:$M$1503,"SÍ")&gt;0,"No","Sí"))</f>
        <v/>
      </c>
      <c r="P1461" s="27">
        <f>IF(OR($A1461="",$K1461=""),"",IF(AND($M1461="Sí",$O1461="Sí"),"OTIF","Falló"))</f>
        <v/>
      </c>
    </row>
    <row r="1462" ht="16" customHeight="1">
      <c r="A1462" s="47" t="n"/>
      <c r="B1462" s="46" t="n"/>
      <c r="C1462" s="49" t="n"/>
      <c r="D1462" s="49" t="n"/>
      <c r="E1462" s="49" t="n"/>
      <c r="F1462" s="49" t="n"/>
      <c r="G1462" s="47" t="n"/>
      <c r="H1462" s="50" t="n"/>
      <c r="I1462" s="51" t="n"/>
      <c r="J1462" s="46" t="n"/>
      <c r="K1462" s="46" t="n"/>
      <c r="L1462" s="23">
        <f>IF(OR($A1462="",$B1462=""),"",IF($K1462&lt;&gt;"",$K1462-$B1462,TODAY()-$B1462))</f>
        <v/>
      </c>
      <c r="M1462" s="27">
        <f>IF(OR($A1462="",$J1462=""),"",IF($K1462="",IF(TODAY()&gt;$J1462,"Atrasado","En ruta"),IF($K1462&lt;=$J1462,"Sí","No")))</f>
        <v/>
      </c>
      <c r="N1462" s="23">
        <f>IF($A1462="","",COUNTIFS(NOVEDADES!$C$4:$C$1503,$A1462))</f>
        <v/>
      </c>
      <c r="O1462" s="27">
        <f>IF($A1462="","",IF(COUNTIFS(NOVEDADES!$C$4:$C$1503,$A1462,NOVEDADES!$M$4:$M$1503,"SÍ")&gt;0,"No","Sí"))</f>
        <v/>
      </c>
      <c r="P1462" s="27">
        <f>IF(OR($A1462="",$K1462=""),"",IF(AND($M1462="Sí",$O1462="Sí"),"OTIF","Falló"))</f>
        <v/>
      </c>
    </row>
    <row r="1463" ht="16" customHeight="1">
      <c r="A1463" s="47" t="n"/>
      <c r="B1463" s="46" t="n"/>
      <c r="C1463" s="49" t="n"/>
      <c r="D1463" s="49" t="n"/>
      <c r="E1463" s="49" t="n"/>
      <c r="F1463" s="49" t="n"/>
      <c r="G1463" s="47" t="n"/>
      <c r="H1463" s="50" t="n"/>
      <c r="I1463" s="51" t="n"/>
      <c r="J1463" s="46" t="n"/>
      <c r="K1463" s="46" t="n"/>
      <c r="L1463" s="23">
        <f>IF(OR($A1463="",$B1463=""),"",IF($K1463&lt;&gt;"",$K1463-$B1463,TODAY()-$B1463))</f>
        <v/>
      </c>
      <c r="M1463" s="27">
        <f>IF(OR($A1463="",$J1463=""),"",IF($K1463="",IF(TODAY()&gt;$J1463,"Atrasado","En ruta"),IF($K1463&lt;=$J1463,"Sí","No")))</f>
        <v/>
      </c>
      <c r="N1463" s="23">
        <f>IF($A1463="","",COUNTIFS(NOVEDADES!$C$4:$C$1503,$A1463))</f>
        <v/>
      </c>
      <c r="O1463" s="27">
        <f>IF($A1463="","",IF(COUNTIFS(NOVEDADES!$C$4:$C$1503,$A1463,NOVEDADES!$M$4:$M$1503,"SÍ")&gt;0,"No","Sí"))</f>
        <v/>
      </c>
      <c r="P1463" s="27">
        <f>IF(OR($A1463="",$K1463=""),"",IF(AND($M1463="Sí",$O1463="Sí"),"OTIF","Falló"))</f>
        <v/>
      </c>
    </row>
    <row r="1464" ht="16" customHeight="1">
      <c r="A1464" s="47" t="n"/>
      <c r="B1464" s="46" t="n"/>
      <c r="C1464" s="49" t="n"/>
      <c r="D1464" s="49" t="n"/>
      <c r="E1464" s="49" t="n"/>
      <c r="F1464" s="49" t="n"/>
      <c r="G1464" s="47" t="n"/>
      <c r="H1464" s="50" t="n"/>
      <c r="I1464" s="51" t="n"/>
      <c r="J1464" s="46" t="n"/>
      <c r="K1464" s="46" t="n"/>
      <c r="L1464" s="23">
        <f>IF(OR($A1464="",$B1464=""),"",IF($K1464&lt;&gt;"",$K1464-$B1464,TODAY()-$B1464))</f>
        <v/>
      </c>
      <c r="M1464" s="27">
        <f>IF(OR($A1464="",$J1464=""),"",IF($K1464="",IF(TODAY()&gt;$J1464,"Atrasado","En ruta"),IF($K1464&lt;=$J1464,"Sí","No")))</f>
        <v/>
      </c>
      <c r="N1464" s="23">
        <f>IF($A1464="","",COUNTIFS(NOVEDADES!$C$4:$C$1503,$A1464))</f>
        <v/>
      </c>
      <c r="O1464" s="27">
        <f>IF($A1464="","",IF(COUNTIFS(NOVEDADES!$C$4:$C$1503,$A1464,NOVEDADES!$M$4:$M$1503,"SÍ")&gt;0,"No","Sí"))</f>
        <v/>
      </c>
      <c r="P1464" s="27">
        <f>IF(OR($A1464="",$K1464=""),"",IF(AND($M1464="Sí",$O1464="Sí"),"OTIF","Falló"))</f>
        <v/>
      </c>
    </row>
    <row r="1465" ht="16" customHeight="1">
      <c r="A1465" s="47" t="n"/>
      <c r="B1465" s="46" t="n"/>
      <c r="C1465" s="49" t="n"/>
      <c r="D1465" s="49" t="n"/>
      <c r="E1465" s="49" t="n"/>
      <c r="F1465" s="49" t="n"/>
      <c r="G1465" s="47" t="n"/>
      <c r="H1465" s="50" t="n"/>
      <c r="I1465" s="51" t="n"/>
      <c r="J1465" s="46" t="n"/>
      <c r="K1465" s="46" t="n"/>
      <c r="L1465" s="23">
        <f>IF(OR($A1465="",$B1465=""),"",IF($K1465&lt;&gt;"",$K1465-$B1465,TODAY()-$B1465))</f>
        <v/>
      </c>
      <c r="M1465" s="27">
        <f>IF(OR($A1465="",$J1465=""),"",IF($K1465="",IF(TODAY()&gt;$J1465,"Atrasado","En ruta"),IF($K1465&lt;=$J1465,"Sí","No")))</f>
        <v/>
      </c>
      <c r="N1465" s="23">
        <f>IF($A1465="","",COUNTIFS(NOVEDADES!$C$4:$C$1503,$A1465))</f>
        <v/>
      </c>
      <c r="O1465" s="27">
        <f>IF($A1465="","",IF(COUNTIFS(NOVEDADES!$C$4:$C$1503,$A1465,NOVEDADES!$M$4:$M$1503,"SÍ")&gt;0,"No","Sí"))</f>
        <v/>
      </c>
      <c r="P1465" s="27">
        <f>IF(OR($A1465="",$K1465=""),"",IF(AND($M1465="Sí",$O1465="Sí"),"OTIF","Falló"))</f>
        <v/>
      </c>
    </row>
    <row r="1466" ht="16" customHeight="1">
      <c r="A1466" s="47" t="n"/>
      <c r="B1466" s="46" t="n"/>
      <c r="C1466" s="49" t="n"/>
      <c r="D1466" s="49" t="n"/>
      <c r="E1466" s="49" t="n"/>
      <c r="F1466" s="49" t="n"/>
      <c r="G1466" s="47" t="n"/>
      <c r="H1466" s="50" t="n"/>
      <c r="I1466" s="51" t="n"/>
      <c r="J1466" s="46" t="n"/>
      <c r="K1466" s="46" t="n"/>
      <c r="L1466" s="23">
        <f>IF(OR($A1466="",$B1466=""),"",IF($K1466&lt;&gt;"",$K1466-$B1466,TODAY()-$B1466))</f>
        <v/>
      </c>
      <c r="M1466" s="27">
        <f>IF(OR($A1466="",$J1466=""),"",IF($K1466="",IF(TODAY()&gt;$J1466,"Atrasado","En ruta"),IF($K1466&lt;=$J1466,"Sí","No")))</f>
        <v/>
      </c>
      <c r="N1466" s="23">
        <f>IF($A1466="","",COUNTIFS(NOVEDADES!$C$4:$C$1503,$A1466))</f>
        <v/>
      </c>
      <c r="O1466" s="27">
        <f>IF($A1466="","",IF(COUNTIFS(NOVEDADES!$C$4:$C$1503,$A1466,NOVEDADES!$M$4:$M$1503,"SÍ")&gt;0,"No","Sí"))</f>
        <v/>
      </c>
      <c r="P1466" s="27">
        <f>IF(OR($A1466="",$K1466=""),"",IF(AND($M1466="Sí",$O1466="Sí"),"OTIF","Falló"))</f>
        <v/>
      </c>
    </row>
    <row r="1467" ht="16" customHeight="1">
      <c r="A1467" s="47" t="n"/>
      <c r="B1467" s="46" t="n"/>
      <c r="C1467" s="49" t="n"/>
      <c r="D1467" s="49" t="n"/>
      <c r="E1467" s="49" t="n"/>
      <c r="F1467" s="49" t="n"/>
      <c r="G1467" s="47" t="n"/>
      <c r="H1467" s="50" t="n"/>
      <c r="I1467" s="51" t="n"/>
      <c r="J1467" s="46" t="n"/>
      <c r="K1467" s="46" t="n"/>
      <c r="L1467" s="23">
        <f>IF(OR($A1467="",$B1467=""),"",IF($K1467&lt;&gt;"",$K1467-$B1467,TODAY()-$B1467))</f>
        <v/>
      </c>
      <c r="M1467" s="27">
        <f>IF(OR($A1467="",$J1467=""),"",IF($K1467="",IF(TODAY()&gt;$J1467,"Atrasado","En ruta"),IF($K1467&lt;=$J1467,"Sí","No")))</f>
        <v/>
      </c>
      <c r="N1467" s="23">
        <f>IF($A1467="","",COUNTIFS(NOVEDADES!$C$4:$C$1503,$A1467))</f>
        <v/>
      </c>
      <c r="O1467" s="27">
        <f>IF($A1467="","",IF(COUNTIFS(NOVEDADES!$C$4:$C$1503,$A1467,NOVEDADES!$M$4:$M$1503,"SÍ")&gt;0,"No","Sí"))</f>
        <v/>
      </c>
      <c r="P1467" s="27">
        <f>IF(OR($A1467="",$K1467=""),"",IF(AND($M1467="Sí",$O1467="Sí"),"OTIF","Falló"))</f>
        <v/>
      </c>
    </row>
    <row r="1468" ht="16" customHeight="1">
      <c r="A1468" s="47" t="n"/>
      <c r="B1468" s="46" t="n"/>
      <c r="C1468" s="49" t="n"/>
      <c r="D1468" s="49" t="n"/>
      <c r="E1468" s="49" t="n"/>
      <c r="F1468" s="49" t="n"/>
      <c r="G1468" s="47" t="n"/>
      <c r="H1468" s="50" t="n"/>
      <c r="I1468" s="51" t="n"/>
      <c r="J1468" s="46" t="n"/>
      <c r="K1468" s="46" t="n"/>
      <c r="L1468" s="23">
        <f>IF(OR($A1468="",$B1468=""),"",IF($K1468&lt;&gt;"",$K1468-$B1468,TODAY()-$B1468))</f>
        <v/>
      </c>
      <c r="M1468" s="27">
        <f>IF(OR($A1468="",$J1468=""),"",IF($K1468="",IF(TODAY()&gt;$J1468,"Atrasado","En ruta"),IF($K1468&lt;=$J1468,"Sí","No")))</f>
        <v/>
      </c>
      <c r="N1468" s="23">
        <f>IF($A1468="","",COUNTIFS(NOVEDADES!$C$4:$C$1503,$A1468))</f>
        <v/>
      </c>
      <c r="O1468" s="27">
        <f>IF($A1468="","",IF(COUNTIFS(NOVEDADES!$C$4:$C$1503,$A1468,NOVEDADES!$M$4:$M$1503,"SÍ")&gt;0,"No","Sí"))</f>
        <v/>
      </c>
      <c r="P1468" s="27">
        <f>IF(OR($A1468="",$K1468=""),"",IF(AND($M1468="Sí",$O1468="Sí"),"OTIF","Falló"))</f>
        <v/>
      </c>
    </row>
    <row r="1469" ht="16" customHeight="1">
      <c r="A1469" s="47" t="n"/>
      <c r="B1469" s="46" t="n"/>
      <c r="C1469" s="49" t="n"/>
      <c r="D1469" s="49" t="n"/>
      <c r="E1469" s="49" t="n"/>
      <c r="F1469" s="49" t="n"/>
      <c r="G1469" s="47" t="n"/>
      <c r="H1469" s="50" t="n"/>
      <c r="I1469" s="51" t="n"/>
      <c r="J1469" s="46" t="n"/>
      <c r="K1469" s="46" t="n"/>
      <c r="L1469" s="23">
        <f>IF(OR($A1469="",$B1469=""),"",IF($K1469&lt;&gt;"",$K1469-$B1469,TODAY()-$B1469))</f>
        <v/>
      </c>
      <c r="M1469" s="27">
        <f>IF(OR($A1469="",$J1469=""),"",IF($K1469="",IF(TODAY()&gt;$J1469,"Atrasado","En ruta"),IF($K1469&lt;=$J1469,"Sí","No")))</f>
        <v/>
      </c>
      <c r="N1469" s="23">
        <f>IF($A1469="","",COUNTIFS(NOVEDADES!$C$4:$C$1503,$A1469))</f>
        <v/>
      </c>
      <c r="O1469" s="27">
        <f>IF($A1469="","",IF(COUNTIFS(NOVEDADES!$C$4:$C$1503,$A1469,NOVEDADES!$M$4:$M$1503,"SÍ")&gt;0,"No","Sí"))</f>
        <v/>
      </c>
      <c r="P1469" s="27">
        <f>IF(OR($A1469="",$K1469=""),"",IF(AND($M1469="Sí",$O1469="Sí"),"OTIF","Falló"))</f>
        <v/>
      </c>
    </row>
    <row r="1470" ht="16" customHeight="1">
      <c r="A1470" s="47" t="n"/>
      <c r="B1470" s="46" t="n"/>
      <c r="C1470" s="49" t="n"/>
      <c r="D1470" s="49" t="n"/>
      <c r="E1470" s="49" t="n"/>
      <c r="F1470" s="49" t="n"/>
      <c r="G1470" s="47" t="n"/>
      <c r="H1470" s="50" t="n"/>
      <c r="I1470" s="51" t="n"/>
      <c r="J1470" s="46" t="n"/>
      <c r="K1470" s="46" t="n"/>
      <c r="L1470" s="23">
        <f>IF(OR($A1470="",$B1470=""),"",IF($K1470&lt;&gt;"",$K1470-$B1470,TODAY()-$B1470))</f>
        <v/>
      </c>
      <c r="M1470" s="27">
        <f>IF(OR($A1470="",$J1470=""),"",IF($K1470="",IF(TODAY()&gt;$J1470,"Atrasado","En ruta"),IF($K1470&lt;=$J1470,"Sí","No")))</f>
        <v/>
      </c>
      <c r="N1470" s="23">
        <f>IF($A1470="","",COUNTIFS(NOVEDADES!$C$4:$C$1503,$A1470))</f>
        <v/>
      </c>
      <c r="O1470" s="27">
        <f>IF($A1470="","",IF(COUNTIFS(NOVEDADES!$C$4:$C$1503,$A1470,NOVEDADES!$M$4:$M$1503,"SÍ")&gt;0,"No","Sí"))</f>
        <v/>
      </c>
      <c r="P1470" s="27">
        <f>IF(OR($A1470="",$K1470=""),"",IF(AND($M1470="Sí",$O1470="Sí"),"OTIF","Falló"))</f>
        <v/>
      </c>
    </row>
    <row r="1471" ht="16" customHeight="1">
      <c r="A1471" s="47" t="n"/>
      <c r="B1471" s="46" t="n"/>
      <c r="C1471" s="49" t="n"/>
      <c r="D1471" s="49" t="n"/>
      <c r="E1471" s="49" t="n"/>
      <c r="F1471" s="49" t="n"/>
      <c r="G1471" s="47" t="n"/>
      <c r="H1471" s="50" t="n"/>
      <c r="I1471" s="51" t="n"/>
      <c r="J1471" s="46" t="n"/>
      <c r="K1471" s="46" t="n"/>
      <c r="L1471" s="23">
        <f>IF(OR($A1471="",$B1471=""),"",IF($K1471&lt;&gt;"",$K1471-$B1471,TODAY()-$B1471))</f>
        <v/>
      </c>
      <c r="M1471" s="27">
        <f>IF(OR($A1471="",$J1471=""),"",IF($K1471="",IF(TODAY()&gt;$J1471,"Atrasado","En ruta"),IF($K1471&lt;=$J1471,"Sí","No")))</f>
        <v/>
      </c>
      <c r="N1471" s="23">
        <f>IF($A1471="","",COUNTIFS(NOVEDADES!$C$4:$C$1503,$A1471))</f>
        <v/>
      </c>
      <c r="O1471" s="27">
        <f>IF($A1471="","",IF(COUNTIFS(NOVEDADES!$C$4:$C$1503,$A1471,NOVEDADES!$M$4:$M$1503,"SÍ")&gt;0,"No","Sí"))</f>
        <v/>
      </c>
      <c r="P1471" s="27">
        <f>IF(OR($A1471="",$K1471=""),"",IF(AND($M1471="Sí",$O1471="Sí"),"OTIF","Falló"))</f>
        <v/>
      </c>
    </row>
    <row r="1472" ht="16" customHeight="1">
      <c r="A1472" s="47" t="n"/>
      <c r="B1472" s="46" t="n"/>
      <c r="C1472" s="49" t="n"/>
      <c r="D1472" s="49" t="n"/>
      <c r="E1472" s="49" t="n"/>
      <c r="F1472" s="49" t="n"/>
      <c r="G1472" s="47" t="n"/>
      <c r="H1472" s="50" t="n"/>
      <c r="I1472" s="51" t="n"/>
      <c r="J1472" s="46" t="n"/>
      <c r="K1472" s="46" t="n"/>
      <c r="L1472" s="23">
        <f>IF(OR($A1472="",$B1472=""),"",IF($K1472&lt;&gt;"",$K1472-$B1472,TODAY()-$B1472))</f>
        <v/>
      </c>
      <c r="M1472" s="27">
        <f>IF(OR($A1472="",$J1472=""),"",IF($K1472="",IF(TODAY()&gt;$J1472,"Atrasado","En ruta"),IF($K1472&lt;=$J1472,"Sí","No")))</f>
        <v/>
      </c>
      <c r="N1472" s="23">
        <f>IF($A1472="","",COUNTIFS(NOVEDADES!$C$4:$C$1503,$A1472))</f>
        <v/>
      </c>
      <c r="O1472" s="27">
        <f>IF($A1472="","",IF(COUNTIFS(NOVEDADES!$C$4:$C$1503,$A1472,NOVEDADES!$M$4:$M$1503,"SÍ")&gt;0,"No","Sí"))</f>
        <v/>
      </c>
      <c r="P1472" s="27">
        <f>IF(OR($A1472="",$K1472=""),"",IF(AND($M1472="Sí",$O1472="Sí"),"OTIF","Falló"))</f>
        <v/>
      </c>
    </row>
    <row r="1473" ht="16" customHeight="1">
      <c r="A1473" s="47" t="n"/>
      <c r="B1473" s="46" t="n"/>
      <c r="C1473" s="49" t="n"/>
      <c r="D1473" s="49" t="n"/>
      <c r="E1473" s="49" t="n"/>
      <c r="F1473" s="49" t="n"/>
      <c r="G1473" s="47" t="n"/>
      <c r="H1473" s="50" t="n"/>
      <c r="I1473" s="51" t="n"/>
      <c r="J1473" s="46" t="n"/>
      <c r="K1473" s="46" t="n"/>
      <c r="L1473" s="23">
        <f>IF(OR($A1473="",$B1473=""),"",IF($K1473&lt;&gt;"",$K1473-$B1473,TODAY()-$B1473))</f>
        <v/>
      </c>
      <c r="M1473" s="27">
        <f>IF(OR($A1473="",$J1473=""),"",IF($K1473="",IF(TODAY()&gt;$J1473,"Atrasado","En ruta"),IF($K1473&lt;=$J1473,"Sí","No")))</f>
        <v/>
      </c>
      <c r="N1473" s="23">
        <f>IF($A1473="","",COUNTIFS(NOVEDADES!$C$4:$C$1503,$A1473))</f>
        <v/>
      </c>
      <c r="O1473" s="27">
        <f>IF($A1473="","",IF(COUNTIFS(NOVEDADES!$C$4:$C$1503,$A1473,NOVEDADES!$M$4:$M$1503,"SÍ")&gt;0,"No","Sí"))</f>
        <v/>
      </c>
      <c r="P1473" s="27">
        <f>IF(OR($A1473="",$K1473=""),"",IF(AND($M1473="Sí",$O1473="Sí"),"OTIF","Falló"))</f>
        <v/>
      </c>
    </row>
    <row r="1474" ht="16" customHeight="1">
      <c r="A1474" s="47" t="n"/>
      <c r="B1474" s="46" t="n"/>
      <c r="C1474" s="49" t="n"/>
      <c r="D1474" s="49" t="n"/>
      <c r="E1474" s="49" t="n"/>
      <c r="F1474" s="49" t="n"/>
      <c r="G1474" s="47" t="n"/>
      <c r="H1474" s="50" t="n"/>
      <c r="I1474" s="51" t="n"/>
      <c r="J1474" s="46" t="n"/>
      <c r="K1474" s="46" t="n"/>
      <c r="L1474" s="23">
        <f>IF(OR($A1474="",$B1474=""),"",IF($K1474&lt;&gt;"",$K1474-$B1474,TODAY()-$B1474))</f>
        <v/>
      </c>
      <c r="M1474" s="27">
        <f>IF(OR($A1474="",$J1474=""),"",IF($K1474="",IF(TODAY()&gt;$J1474,"Atrasado","En ruta"),IF($K1474&lt;=$J1474,"Sí","No")))</f>
        <v/>
      </c>
      <c r="N1474" s="23">
        <f>IF($A1474="","",COUNTIFS(NOVEDADES!$C$4:$C$1503,$A1474))</f>
        <v/>
      </c>
      <c r="O1474" s="27">
        <f>IF($A1474="","",IF(COUNTIFS(NOVEDADES!$C$4:$C$1503,$A1474,NOVEDADES!$M$4:$M$1503,"SÍ")&gt;0,"No","Sí"))</f>
        <v/>
      </c>
      <c r="P1474" s="27">
        <f>IF(OR($A1474="",$K1474=""),"",IF(AND($M1474="Sí",$O1474="Sí"),"OTIF","Falló"))</f>
        <v/>
      </c>
    </row>
    <row r="1475" ht="16" customHeight="1">
      <c r="A1475" s="47" t="n"/>
      <c r="B1475" s="46" t="n"/>
      <c r="C1475" s="49" t="n"/>
      <c r="D1475" s="49" t="n"/>
      <c r="E1475" s="49" t="n"/>
      <c r="F1475" s="49" t="n"/>
      <c r="G1475" s="47" t="n"/>
      <c r="H1475" s="50" t="n"/>
      <c r="I1475" s="51" t="n"/>
      <c r="J1475" s="46" t="n"/>
      <c r="K1475" s="46" t="n"/>
      <c r="L1475" s="23">
        <f>IF(OR($A1475="",$B1475=""),"",IF($K1475&lt;&gt;"",$K1475-$B1475,TODAY()-$B1475))</f>
        <v/>
      </c>
      <c r="M1475" s="27">
        <f>IF(OR($A1475="",$J1475=""),"",IF($K1475="",IF(TODAY()&gt;$J1475,"Atrasado","En ruta"),IF($K1475&lt;=$J1475,"Sí","No")))</f>
        <v/>
      </c>
      <c r="N1475" s="23">
        <f>IF($A1475="","",COUNTIFS(NOVEDADES!$C$4:$C$1503,$A1475))</f>
        <v/>
      </c>
      <c r="O1475" s="27">
        <f>IF($A1475="","",IF(COUNTIFS(NOVEDADES!$C$4:$C$1503,$A1475,NOVEDADES!$M$4:$M$1503,"SÍ")&gt;0,"No","Sí"))</f>
        <v/>
      </c>
      <c r="P1475" s="27">
        <f>IF(OR($A1475="",$K1475=""),"",IF(AND($M1475="Sí",$O1475="Sí"),"OTIF","Falló"))</f>
        <v/>
      </c>
    </row>
    <row r="1476" ht="16" customHeight="1">
      <c r="A1476" s="47" t="n"/>
      <c r="B1476" s="46" t="n"/>
      <c r="C1476" s="49" t="n"/>
      <c r="D1476" s="49" t="n"/>
      <c r="E1476" s="49" t="n"/>
      <c r="F1476" s="49" t="n"/>
      <c r="G1476" s="47" t="n"/>
      <c r="H1476" s="50" t="n"/>
      <c r="I1476" s="51" t="n"/>
      <c r="J1476" s="46" t="n"/>
      <c r="K1476" s="46" t="n"/>
      <c r="L1476" s="23">
        <f>IF(OR($A1476="",$B1476=""),"",IF($K1476&lt;&gt;"",$K1476-$B1476,TODAY()-$B1476))</f>
        <v/>
      </c>
      <c r="M1476" s="27">
        <f>IF(OR($A1476="",$J1476=""),"",IF($K1476="",IF(TODAY()&gt;$J1476,"Atrasado","En ruta"),IF($K1476&lt;=$J1476,"Sí","No")))</f>
        <v/>
      </c>
      <c r="N1476" s="23">
        <f>IF($A1476="","",COUNTIFS(NOVEDADES!$C$4:$C$1503,$A1476))</f>
        <v/>
      </c>
      <c r="O1476" s="27">
        <f>IF($A1476="","",IF(COUNTIFS(NOVEDADES!$C$4:$C$1503,$A1476,NOVEDADES!$M$4:$M$1503,"SÍ")&gt;0,"No","Sí"))</f>
        <v/>
      </c>
      <c r="P1476" s="27">
        <f>IF(OR($A1476="",$K1476=""),"",IF(AND($M1476="Sí",$O1476="Sí"),"OTIF","Falló"))</f>
        <v/>
      </c>
    </row>
    <row r="1477" ht="16" customHeight="1">
      <c r="A1477" s="47" t="n"/>
      <c r="B1477" s="46" t="n"/>
      <c r="C1477" s="49" t="n"/>
      <c r="D1477" s="49" t="n"/>
      <c r="E1477" s="49" t="n"/>
      <c r="F1477" s="49" t="n"/>
      <c r="G1477" s="47" t="n"/>
      <c r="H1477" s="50" t="n"/>
      <c r="I1477" s="51" t="n"/>
      <c r="J1477" s="46" t="n"/>
      <c r="K1477" s="46" t="n"/>
      <c r="L1477" s="23">
        <f>IF(OR($A1477="",$B1477=""),"",IF($K1477&lt;&gt;"",$K1477-$B1477,TODAY()-$B1477))</f>
        <v/>
      </c>
      <c r="M1477" s="27">
        <f>IF(OR($A1477="",$J1477=""),"",IF($K1477="",IF(TODAY()&gt;$J1477,"Atrasado","En ruta"),IF($K1477&lt;=$J1477,"Sí","No")))</f>
        <v/>
      </c>
      <c r="N1477" s="23">
        <f>IF($A1477="","",COUNTIFS(NOVEDADES!$C$4:$C$1503,$A1477))</f>
        <v/>
      </c>
      <c r="O1477" s="27">
        <f>IF($A1477="","",IF(COUNTIFS(NOVEDADES!$C$4:$C$1503,$A1477,NOVEDADES!$M$4:$M$1503,"SÍ")&gt;0,"No","Sí"))</f>
        <v/>
      </c>
      <c r="P1477" s="27">
        <f>IF(OR($A1477="",$K1477=""),"",IF(AND($M1477="Sí",$O1477="Sí"),"OTIF","Falló"))</f>
        <v/>
      </c>
    </row>
    <row r="1478" ht="16" customHeight="1">
      <c r="A1478" s="47" t="n"/>
      <c r="B1478" s="46" t="n"/>
      <c r="C1478" s="49" t="n"/>
      <c r="D1478" s="49" t="n"/>
      <c r="E1478" s="49" t="n"/>
      <c r="F1478" s="49" t="n"/>
      <c r="G1478" s="47" t="n"/>
      <c r="H1478" s="50" t="n"/>
      <c r="I1478" s="51" t="n"/>
      <c r="J1478" s="46" t="n"/>
      <c r="K1478" s="46" t="n"/>
      <c r="L1478" s="23">
        <f>IF(OR($A1478="",$B1478=""),"",IF($K1478&lt;&gt;"",$K1478-$B1478,TODAY()-$B1478))</f>
        <v/>
      </c>
      <c r="M1478" s="27">
        <f>IF(OR($A1478="",$J1478=""),"",IF($K1478="",IF(TODAY()&gt;$J1478,"Atrasado","En ruta"),IF($K1478&lt;=$J1478,"Sí","No")))</f>
        <v/>
      </c>
      <c r="N1478" s="23">
        <f>IF($A1478="","",COUNTIFS(NOVEDADES!$C$4:$C$1503,$A1478))</f>
        <v/>
      </c>
      <c r="O1478" s="27">
        <f>IF($A1478="","",IF(COUNTIFS(NOVEDADES!$C$4:$C$1503,$A1478,NOVEDADES!$M$4:$M$1503,"SÍ")&gt;0,"No","Sí"))</f>
        <v/>
      </c>
      <c r="P1478" s="27">
        <f>IF(OR($A1478="",$K1478=""),"",IF(AND($M1478="Sí",$O1478="Sí"),"OTIF","Falló"))</f>
        <v/>
      </c>
    </row>
    <row r="1479" ht="16" customHeight="1">
      <c r="A1479" s="47" t="n"/>
      <c r="B1479" s="46" t="n"/>
      <c r="C1479" s="49" t="n"/>
      <c r="D1479" s="49" t="n"/>
      <c r="E1479" s="49" t="n"/>
      <c r="F1479" s="49" t="n"/>
      <c r="G1479" s="47" t="n"/>
      <c r="H1479" s="50" t="n"/>
      <c r="I1479" s="51" t="n"/>
      <c r="J1479" s="46" t="n"/>
      <c r="K1479" s="46" t="n"/>
      <c r="L1479" s="23">
        <f>IF(OR($A1479="",$B1479=""),"",IF($K1479&lt;&gt;"",$K1479-$B1479,TODAY()-$B1479))</f>
        <v/>
      </c>
      <c r="M1479" s="27">
        <f>IF(OR($A1479="",$J1479=""),"",IF($K1479="",IF(TODAY()&gt;$J1479,"Atrasado","En ruta"),IF($K1479&lt;=$J1479,"Sí","No")))</f>
        <v/>
      </c>
      <c r="N1479" s="23">
        <f>IF($A1479="","",COUNTIFS(NOVEDADES!$C$4:$C$1503,$A1479))</f>
        <v/>
      </c>
      <c r="O1479" s="27">
        <f>IF($A1479="","",IF(COUNTIFS(NOVEDADES!$C$4:$C$1503,$A1479,NOVEDADES!$M$4:$M$1503,"SÍ")&gt;0,"No","Sí"))</f>
        <v/>
      </c>
      <c r="P1479" s="27">
        <f>IF(OR($A1479="",$K1479=""),"",IF(AND($M1479="Sí",$O1479="Sí"),"OTIF","Falló"))</f>
        <v/>
      </c>
    </row>
    <row r="1480" ht="16" customHeight="1">
      <c r="A1480" s="47" t="n"/>
      <c r="B1480" s="46" t="n"/>
      <c r="C1480" s="49" t="n"/>
      <c r="D1480" s="49" t="n"/>
      <c r="E1480" s="49" t="n"/>
      <c r="F1480" s="49" t="n"/>
      <c r="G1480" s="47" t="n"/>
      <c r="H1480" s="50" t="n"/>
      <c r="I1480" s="51" t="n"/>
      <c r="J1480" s="46" t="n"/>
      <c r="K1480" s="46" t="n"/>
      <c r="L1480" s="23">
        <f>IF(OR($A1480="",$B1480=""),"",IF($K1480&lt;&gt;"",$K1480-$B1480,TODAY()-$B1480))</f>
        <v/>
      </c>
      <c r="M1480" s="27">
        <f>IF(OR($A1480="",$J1480=""),"",IF($K1480="",IF(TODAY()&gt;$J1480,"Atrasado","En ruta"),IF($K1480&lt;=$J1480,"Sí","No")))</f>
        <v/>
      </c>
      <c r="N1480" s="23">
        <f>IF($A1480="","",COUNTIFS(NOVEDADES!$C$4:$C$1503,$A1480))</f>
        <v/>
      </c>
      <c r="O1480" s="27">
        <f>IF($A1480="","",IF(COUNTIFS(NOVEDADES!$C$4:$C$1503,$A1480,NOVEDADES!$M$4:$M$1503,"SÍ")&gt;0,"No","Sí"))</f>
        <v/>
      </c>
      <c r="P1480" s="27">
        <f>IF(OR($A1480="",$K1480=""),"",IF(AND($M1480="Sí",$O1480="Sí"),"OTIF","Falló"))</f>
        <v/>
      </c>
    </row>
    <row r="1481" ht="16" customHeight="1">
      <c r="A1481" s="47" t="n"/>
      <c r="B1481" s="46" t="n"/>
      <c r="C1481" s="49" t="n"/>
      <c r="D1481" s="49" t="n"/>
      <c r="E1481" s="49" t="n"/>
      <c r="F1481" s="49" t="n"/>
      <c r="G1481" s="47" t="n"/>
      <c r="H1481" s="50" t="n"/>
      <c r="I1481" s="51" t="n"/>
      <c r="J1481" s="46" t="n"/>
      <c r="K1481" s="46" t="n"/>
      <c r="L1481" s="23">
        <f>IF(OR($A1481="",$B1481=""),"",IF($K1481&lt;&gt;"",$K1481-$B1481,TODAY()-$B1481))</f>
        <v/>
      </c>
      <c r="M1481" s="27">
        <f>IF(OR($A1481="",$J1481=""),"",IF($K1481="",IF(TODAY()&gt;$J1481,"Atrasado","En ruta"),IF($K1481&lt;=$J1481,"Sí","No")))</f>
        <v/>
      </c>
      <c r="N1481" s="23">
        <f>IF($A1481="","",COUNTIFS(NOVEDADES!$C$4:$C$1503,$A1481))</f>
        <v/>
      </c>
      <c r="O1481" s="27">
        <f>IF($A1481="","",IF(COUNTIFS(NOVEDADES!$C$4:$C$1503,$A1481,NOVEDADES!$M$4:$M$1503,"SÍ")&gt;0,"No","Sí"))</f>
        <v/>
      </c>
      <c r="P1481" s="27">
        <f>IF(OR($A1481="",$K1481=""),"",IF(AND($M1481="Sí",$O1481="Sí"),"OTIF","Falló"))</f>
        <v/>
      </c>
    </row>
    <row r="1482" ht="16" customHeight="1">
      <c r="A1482" s="47" t="n"/>
      <c r="B1482" s="46" t="n"/>
      <c r="C1482" s="49" t="n"/>
      <c r="D1482" s="49" t="n"/>
      <c r="E1482" s="49" t="n"/>
      <c r="F1482" s="49" t="n"/>
      <c r="G1482" s="47" t="n"/>
      <c r="H1482" s="50" t="n"/>
      <c r="I1482" s="51" t="n"/>
      <c r="J1482" s="46" t="n"/>
      <c r="K1482" s="46" t="n"/>
      <c r="L1482" s="23">
        <f>IF(OR($A1482="",$B1482=""),"",IF($K1482&lt;&gt;"",$K1482-$B1482,TODAY()-$B1482))</f>
        <v/>
      </c>
      <c r="M1482" s="27">
        <f>IF(OR($A1482="",$J1482=""),"",IF($K1482="",IF(TODAY()&gt;$J1482,"Atrasado","En ruta"),IF($K1482&lt;=$J1482,"Sí","No")))</f>
        <v/>
      </c>
      <c r="N1482" s="23">
        <f>IF($A1482="","",COUNTIFS(NOVEDADES!$C$4:$C$1503,$A1482))</f>
        <v/>
      </c>
      <c r="O1482" s="27">
        <f>IF($A1482="","",IF(COUNTIFS(NOVEDADES!$C$4:$C$1503,$A1482,NOVEDADES!$M$4:$M$1503,"SÍ")&gt;0,"No","Sí"))</f>
        <v/>
      </c>
      <c r="P1482" s="27">
        <f>IF(OR($A1482="",$K1482=""),"",IF(AND($M1482="Sí",$O1482="Sí"),"OTIF","Falló"))</f>
        <v/>
      </c>
    </row>
    <row r="1483" ht="16" customHeight="1">
      <c r="A1483" s="47" t="n"/>
      <c r="B1483" s="46" t="n"/>
      <c r="C1483" s="49" t="n"/>
      <c r="D1483" s="49" t="n"/>
      <c r="E1483" s="49" t="n"/>
      <c r="F1483" s="49" t="n"/>
      <c r="G1483" s="47" t="n"/>
      <c r="H1483" s="50" t="n"/>
      <c r="I1483" s="51" t="n"/>
      <c r="J1483" s="46" t="n"/>
      <c r="K1483" s="46" t="n"/>
      <c r="L1483" s="23">
        <f>IF(OR($A1483="",$B1483=""),"",IF($K1483&lt;&gt;"",$K1483-$B1483,TODAY()-$B1483))</f>
        <v/>
      </c>
      <c r="M1483" s="27">
        <f>IF(OR($A1483="",$J1483=""),"",IF($K1483="",IF(TODAY()&gt;$J1483,"Atrasado","En ruta"),IF($K1483&lt;=$J1483,"Sí","No")))</f>
        <v/>
      </c>
      <c r="N1483" s="23">
        <f>IF($A1483="","",COUNTIFS(NOVEDADES!$C$4:$C$1503,$A1483))</f>
        <v/>
      </c>
      <c r="O1483" s="27">
        <f>IF($A1483="","",IF(COUNTIFS(NOVEDADES!$C$4:$C$1503,$A1483,NOVEDADES!$M$4:$M$1503,"SÍ")&gt;0,"No","Sí"))</f>
        <v/>
      </c>
      <c r="P1483" s="27">
        <f>IF(OR($A1483="",$K1483=""),"",IF(AND($M1483="Sí",$O1483="Sí"),"OTIF","Falló"))</f>
        <v/>
      </c>
    </row>
    <row r="1484" ht="16" customHeight="1">
      <c r="A1484" s="47" t="n"/>
      <c r="B1484" s="46" t="n"/>
      <c r="C1484" s="49" t="n"/>
      <c r="D1484" s="49" t="n"/>
      <c r="E1484" s="49" t="n"/>
      <c r="F1484" s="49" t="n"/>
      <c r="G1484" s="47" t="n"/>
      <c r="H1484" s="50" t="n"/>
      <c r="I1484" s="51" t="n"/>
      <c r="J1484" s="46" t="n"/>
      <c r="K1484" s="46" t="n"/>
      <c r="L1484" s="23">
        <f>IF(OR($A1484="",$B1484=""),"",IF($K1484&lt;&gt;"",$K1484-$B1484,TODAY()-$B1484))</f>
        <v/>
      </c>
      <c r="M1484" s="27">
        <f>IF(OR($A1484="",$J1484=""),"",IF($K1484="",IF(TODAY()&gt;$J1484,"Atrasado","En ruta"),IF($K1484&lt;=$J1484,"Sí","No")))</f>
        <v/>
      </c>
      <c r="N1484" s="23">
        <f>IF($A1484="","",COUNTIFS(NOVEDADES!$C$4:$C$1503,$A1484))</f>
        <v/>
      </c>
      <c r="O1484" s="27">
        <f>IF($A1484="","",IF(COUNTIFS(NOVEDADES!$C$4:$C$1503,$A1484,NOVEDADES!$M$4:$M$1503,"SÍ")&gt;0,"No","Sí"))</f>
        <v/>
      </c>
      <c r="P1484" s="27">
        <f>IF(OR($A1484="",$K1484=""),"",IF(AND($M1484="Sí",$O1484="Sí"),"OTIF","Falló"))</f>
        <v/>
      </c>
    </row>
    <row r="1485" ht="16" customHeight="1">
      <c r="A1485" s="47" t="n"/>
      <c r="B1485" s="46" t="n"/>
      <c r="C1485" s="49" t="n"/>
      <c r="D1485" s="49" t="n"/>
      <c r="E1485" s="49" t="n"/>
      <c r="F1485" s="49" t="n"/>
      <c r="G1485" s="47" t="n"/>
      <c r="H1485" s="50" t="n"/>
      <c r="I1485" s="51" t="n"/>
      <c r="J1485" s="46" t="n"/>
      <c r="K1485" s="46" t="n"/>
      <c r="L1485" s="23">
        <f>IF(OR($A1485="",$B1485=""),"",IF($K1485&lt;&gt;"",$K1485-$B1485,TODAY()-$B1485))</f>
        <v/>
      </c>
      <c r="M1485" s="27">
        <f>IF(OR($A1485="",$J1485=""),"",IF($K1485="",IF(TODAY()&gt;$J1485,"Atrasado","En ruta"),IF($K1485&lt;=$J1485,"Sí","No")))</f>
        <v/>
      </c>
      <c r="N1485" s="23">
        <f>IF($A1485="","",COUNTIFS(NOVEDADES!$C$4:$C$1503,$A1485))</f>
        <v/>
      </c>
      <c r="O1485" s="27">
        <f>IF($A1485="","",IF(COUNTIFS(NOVEDADES!$C$4:$C$1503,$A1485,NOVEDADES!$M$4:$M$1503,"SÍ")&gt;0,"No","Sí"))</f>
        <v/>
      </c>
      <c r="P1485" s="27">
        <f>IF(OR($A1485="",$K1485=""),"",IF(AND($M1485="Sí",$O1485="Sí"),"OTIF","Falló"))</f>
        <v/>
      </c>
    </row>
    <row r="1486" ht="16" customHeight="1">
      <c r="A1486" s="47" t="n"/>
      <c r="B1486" s="46" t="n"/>
      <c r="C1486" s="49" t="n"/>
      <c r="D1486" s="49" t="n"/>
      <c r="E1486" s="49" t="n"/>
      <c r="F1486" s="49" t="n"/>
      <c r="G1486" s="47" t="n"/>
      <c r="H1486" s="50" t="n"/>
      <c r="I1486" s="51" t="n"/>
      <c r="J1486" s="46" t="n"/>
      <c r="K1486" s="46" t="n"/>
      <c r="L1486" s="23">
        <f>IF(OR($A1486="",$B1486=""),"",IF($K1486&lt;&gt;"",$K1486-$B1486,TODAY()-$B1486))</f>
        <v/>
      </c>
      <c r="M1486" s="27">
        <f>IF(OR($A1486="",$J1486=""),"",IF($K1486="",IF(TODAY()&gt;$J1486,"Atrasado","En ruta"),IF($K1486&lt;=$J1486,"Sí","No")))</f>
        <v/>
      </c>
      <c r="N1486" s="23">
        <f>IF($A1486="","",COUNTIFS(NOVEDADES!$C$4:$C$1503,$A1486))</f>
        <v/>
      </c>
      <c r="O1486" s="27">
        <f>IF($A1486="","",IF(COUNTIFS(NOVEDADES!$C$4:$C$1503,$A1486,NOVEDADES!$M$4:$M$1503,"SÍ")&gt;0,"No","Sí"))</f>
        <v/>
      </c>
      <c r="P1486" s="27">
        <f>IF(OR($A1486="",$K1486=""),"",IF(AND($M1486="Sí",$O1486="Sí"),"OTIF","Falló"))</f>
        <v/>
      </c>
    </row>
    <row r="1487" ht="16" customHeight="1">
      <c r="A1487" s="47" t="n"/>
      <c r="B1487" s="46" t="n"/>
      <c r="C1487" s="49" t="n"/>
      <c r="D1487" s="49" t="n"/>
      <c r="E1487" s="49" t="n"/>
      <c r="F1487" s="49" t="n"/>
      <c r="G1487" s="47" t="n"/>
      <c r="H1487" s="50" t="n"/>
      <c r="I1487" s="51" t="n"/>
      <c r="J1487" s="46" t="n"/>
      <c r="K1487" s="46" t="n"/>
      <c r="L1487" s="23">
        <f>IF(OR($A1487="",$B1487=""),"",IF($K1487&lt;&gt;"",$K1487-$B1487,TODAY()-$B1487))</f>
        <v/>
      </c>
      <c r="M1487" s="27">
        <f>IF(OR($A1487="",$J1487=""),"",IF($K1487="",IF(TODAY()&gt;$J1487,"Atrasado","En ruta"),IF($K1487&lt;=$J1487,"Sí","No")))</f>
        <v/>
      </c>
      <c r="N1487" s="23">
        <f>IF($A1487="","",COUNTIFS(NOVEDADES!$C$4:$C$1503,$A1487))</f>
        <v/>
      </c>
      <c r="O1487" s="27">
        <f>IF($A1487="","",IF(COUNTIFS(NOVEDADES!$C$4:$C$1503,$A1487,NOVEDADES!$M$4:$M$1503,"SÍ")&gt;0,"No","Sí"))</f>
        <v/>
      </c>
      <c r="P1487" s="27">
        <f>IF(OR($A1487="",$K1487=""),"",IF(AND($M1487="Sí",$O1487="Sí"),"OTIF","Falló"))</f>
        <v/>
      </c>
    </row>
    <row r="1488" ht="16" customHeight="1">
      <c r="A1488" s="47" t="n"/>
      <c r="B1488" s="46" t="n"/>
      <c r="C1488" s="49" t="n"/>
      <c r="D1488" s="49" t="n"/>
      <c r="E1488" s="49" t="n"/>
      <c r="F1488" s="49" t="n"/>
      <c r="G1488" s="47" t="n"/>
      <c r="H1488" s="50" t="n"/>
      <c r="I1488" s="51" t="n"/>
      <c r="J1488" s="46" t="n"/>
      <c r="K1488" s="46" t="n"/>
      <c r="L1488" s="23">
        <f>IF(OR($A1488="",$B1488=""),"",IF($K1488&lt;&gt;"",$K1488-$B1488,TODAY()-$B1488))</f>
        <v/>
      </c>
      <c r="M1488" s="27">
        <f>IF(OR($A1488="",$J1488=""),"",IF($K1488="",IF(TODAY()&gt;$J1488,"Atrasado","En ruta"),IF($K1488&lt;=$J1488,"Sí","No")))</f>
        <v/>
      </c>
      <c r="N1488" s="23">
        <f>IF($A1488="","",COUNTIFS(NOVEDADES!$C$4:$C$1503,$A1488))</f>
        <v/>
      </c>
      <c r="O1488" s="27">
        <f>IF($A1488="","",IF(COUNTIFS(NOVEDADES!$C$4:$C$1503,$A1488,NOVEDADES!$M$4:$M$1503,"SÍ")&gt;0,"No","Sí"))</f>
        <v/>
      </c>
      <c r="P1488" s="27">
        <f>IF(OR($A1488="",$K1488=""),"",IF(AND($M1488="Sí",$O1488="Sí"),"OTIF","Falló"))</f>
        <v/>
      </c>
    </row>
    <row r="1489" ht="16" customHeight="1">
      <c r="A1489" s="47" t="n"/>
      <c r="B1489" s="46" t="n"/>
      <c r="C1489" s="49" t="n"/>
      <c r="D1489" s="49" t="n"/>
      <c r="E1489" s="49" t="n"/>
      <c r="F1489" s="49" t="n"/>
      <c r="G1489" s="47" t="n"/>
      <c r="H1489" s="50" t="n"/>
      <c r="I1489" s="51" t="n"/>
      <c r="J1489" s="46" t="n"/>
      <c r="K1489" s="46" t="n"/>
      <c r="L1489" s="23">
        <f>IF(OR($A1489="",$B1489=""),"",IF($K1489&lt;&gt;"",$K1489-$B1489,TODAY()-$B1489))</f>
        <v/>
      </c>
      <c r="M1489" s="27">
        <f>IF(OR($A1489="",$J1489=""),"",IF($K1489="",IF(TODAY()&gt;$J1489,"Atrasado","En ruta"),IF($K1489&lt;=$J1489,"Sí","No")))</f>
        <v/>
      </c>
      <c r="N1489" s="23">
        <f>IF($A1489="","",COUNTIFS(NOVEDADES!$C$4:$C$1503,$A1489))</f>
        <v/>
      </c>
      <c r="O1489" s="27">
        <f>IF($A1489="","",IF(COUNTIFS(NOVEDADES!$C$4:$C$1503,$A1489,NOVEDADES!$M$4:$M$1503,"SÍ")&gt;0,"No","Sí"))</f>
        <v/>
      </c>
      <c r="P1489" s="27">
        <f>IF(OR($A1489="",$K1489=""),"",IF(AND($M1489="Sí",$O1489="Sí"),"OTIF","Falló"))</f>
        <v/>
      </c>
    </row>
    <row r="1490" ht="16" customHeight="1">
      <c r="A1490" s="47" t="n"/>
      <c r="B1490" s="46" t="n"/>
      <c r="C1490" s="49" t="n"/>
      <c r="D1490" s="49" t="n"/>
      <c r="E1490" s="49" t="n"/>
      <c r="F1490" s="49" t="n"/>
      <c r="G1490" s="47" t="n"/>
      <c r="H1490" s="50" t="n"/>
      <c r="I1490" s="51" t="n"/>
      <c r="J1490" s="46" t="n"/>
      <c r="K1490" s="46" t="n"/>
      <c r="L1490" s="23">
        <f>IF(OR($A1490="",$B1490=""),"",IF($K1490&lt;&gt;"",$K1490-$B1490,TODAY()-$B1490))</f>
        <v/>
      </c>
      <c r="M1490" s="27">
        <f>IF(OR($A1490="",$J1490=""),"",IF($K1490="",IF(TODAY()&gt;$J1490,"Atrasado","En ruta"),IF($K1490&lt;=$J1490,"Sí","No")))</f>
        <v/>
      </c>
      <c r="N1490" s="23">
        <f>IF($A1490="","",COUNTIFS(NOVEDADES!$C$4:$C$1503,$A1490))</f>
        <v/>
      </c>
      <c r="O1490" s="27">
        <f>IF($A1490="","",IF(COUNTIFS(NOVEDADES!$C$4:$C$1503,$A1490,NOVEDADES!$M$4:$M$1503,"SÍ")&gt;0,"No","Sí"))</f>
        <v/>
      </c>
      <c r="P1490" s="27">
        <f>IF(OR($A1490="",$K1490=""),"",IF(AND($M1490="Sí",$O1490="Sí"),"OTIF","Falló"))</f>
        <v/>
      </c>
    </row>
    <row r="1491" ht="16" customHeight="1">
      <c r="A1491" s="47" t="n"/>
      <c r="B1491" s="46" t="n"/>
      <c r="C1491" s="49" t="n"/>
      <c r="D1491" s="49" t="n"/>
      <c r="E1491" s="49" t="n"/>
      <c r="F1491" s="49" t="n"/>
      <c r="G1491" s="47" t="n"/>
      <c r="H1491" s="50" t="n"/>
      <c r="I1491" s="51" t="n"/>
      <c r="J1491" s="46" t="n"/>
      <c r="K1491" s="46" t="n"/>
      <c r="L1491" s="23">
        <f>IF(OR($A1491="",$B1491=""),"",IF($K1491&lt;&gt;"",$K1491-$B1491,TODAY()-$B1491))</f>
        <v/>
      </c>
      <c r="M1491" s="27">
        <f>IF(OR($A1491="",$J1491=""),"",IF($K1491="",IF(TODAY()&gt;$J1491,"Atrasado","En ruta"),IF($K1491&lt;=$J1491,"Sí","No")))</f>
        <v/>
      </c>
      <c r="N1491" s="23">
        <f>IF($A1491="","",COUNTIFS(NOVEDADES!$C$4:$C$1503,$A1491))</f>
        <v/>
      </c>
      <c r="O1491" s="27">
        <f>IF($A1491="","",IF(COUNTIFS(NOVEDADES!$C$4:$C$1503,$A1491,NOVEDADES!$M$4:$M$1503,"SÍ")&gt;0,"No","Sí"))</f>
        <v/>
      </c>
      <c r="P1491" s="27">
        <f>IF(OR($A1491="",$K1491=""),"",IF(AND($M1491="Sí",$O1491="Sí"),"OTIF","Falló"))</f>
        <v/>
      </c>
    </row>
    <row r="1492" ht="16" customHeight="1">
      <c r="A1492" s="47" t="n"/>
      <c r="B1492" s="46" t="n"/>
      <c r="C1492" s="49" t="n"/>
      <c r="D1492" s="49" t="n"/>
      <c r="E1492" s="49" t="n"/>
      <c r="F1492" s="49" t="n"/>
      <c r="G1492" s="47" t="n"/>
      <c r="H1492" s="50" t="n"/>
      <c r="I1492" s="51" t="n"/>
      <c r="J1492" s="46" t="n"/>
      <c r="K1492" s="46" t="n"/>
      <c r="L1492" s="23">
        <f>IF(OR($A1492="",$B1492=""),"",IF($K1492&lt;&gt;"",$K1492-$B1492,TODAY()-$B1492))</f>
        <v/>
      </c>
      <c r="M1492" s="27">
        <f>IF(OR($A1492="",$J1492=""),"",IF($K1492="",IF(TODAY()&gt;$J1492,"Atrasado","En ruta"),IF($K1492&lt;=$J1492,"Sí","No")))</f>
        <v/>
      </c>
      <c r="N1492" s="23">
        <f>IF($A1492="","",COUNTIFS(NOVEDADES!$C$4:$C$1503,$A1492))</f>
        <v/>
      </c>
      <c r="O1492" s="27">
        <f>IF($A1492="","",IF(COUNTIFS(NOVEDADES!$C$4:$C$1503,$A1492,NOVEDADES!$M$4:$M$1503,"SÍ")&gt;0,"No","Sí"))</f>
        <v/>
      </c>
      <c r="P1492" s="27">
        <f>IF(OR($A1492="",$K1492=""),"",IF(AND($M1492="Sí",$O1492="Sí"),"OTIF","Falló"))</f>
        <v/>
      </c>
    </row>
    <row r="1493" ht="16" customHeight="1">
      <c r="A1493" s="47" t="n"/>
      <c r="B1493" s="46" t="n"/>
      <c r="C1493" s="49" t="n"/>
      <c r="D1493" s="49" t="n"/>
      <c r="E1493" s="49" t="n"/>
      <c r="F1493" s="49" t="n"/>
      <c r="G1493" s="47" t="n"/>
      <c r="H1493" s="50" t="n"/>
      <c r="I1493" s="51" t="n"/>
      <c r="J1493" s="46" t="n"/>
      <c r="K1493" s="46" t="n"/>
      <c r="L1493" s="23">
        <f>IF(OR($A1493="",$B1493=""),"",IF($K1493&lt;&gt;"",$K1493-$B1493,TODAY()-$B1493))</f>
        <v/>
      </c>
      <c r="M1493" s="27">
        <f>IF(OR($A1493="",$J1493=""),"",IF($K1493="",IF(TODAY()&gt;$J1493,"Atrasado","En ruta"),IF($K1493&lt;=$J1493,"Sí","No")))</f>
        <v/>
      </c>
      <c r="N1493" s="23">
        <f>IF($A1493="","",COUNTIFS(NOVEDADES!$C$4:$C$1503,$A1493))</f>
        <v/>
      </c>
      <c r="O1493" s="27">
        <f>IF($A1493="","",IF(COUNTIFS(NOVEDADES!$C$4:$C$1503,$A1493,NOVEDADES!$M$4:$M$1503,"SÍ")&gt;0,"No","Sí"))</f>
        <v/>
      </c>
      <c r="P1493" s="27">
        <f>IF(OR($A1493="",$K1493=""),"",IF(AND($M1493="Sí",$O1493="Sí"),"OTIF","Falló"))</f>
        <v/>
      </c>
    </row>
    <row r="1494" ht="16" customHeight="1">
      <c r="A1494" s="47" t="n"/>
      <c r="B1494" s="46" t="n"/>
      <c r="C1494" s="49" t="n"/>
      <c r="D1494" s="49" t="n"/>
      <c r="E1494" s="49" t="n"/>
      <c r="F1494" s="49" t="n"/>
      <c r="G1494" s="47" t="n"/>
      <c r="H1494" s="50" t="n"/>
      <c r="I1494" s="51" t="n"/>
      <c r="J1494" s="46" t="n"/>
      <c r="K1494" s="46" t="n"/>
      <c r="L1494" s="23">
        <f>IF(OR($A1494="",$B1494=""),"",IF($K1494&lt;&gt;"",$K1494-$B1494,TODAY()-$B1494))</f>
        <v/>
      </c>
      <c r="M1494" s="27">
        <f>IF(OR($A1494="",$J1494=""),"",IF($K1494="",IF(TODAY()&gt;$J1494,"Atrasado","En ruta"),IF($K1494&lt;=$J1494,"Sí","No")))</f>
        <v/>
      </c>
      <c r="N1494" s="23">
        <f>IF($A1494="","",COUNTIFS(NOVEDADES!$C$4:$C$1503,$A1494))</f>
        <v/>
      </c>
      <c r="O1494" s="27">
        <f>IF($A1494="","",IF(COUNTIFS(NOVEDADES!$C$4:$C$1503,$A1494,NOVEDADES!$M$4:$M$1503,"SÍ")&gt;0,"No","Sí"))</f>
        <v/>
      </c>
      <c r="P1494" s="27">
        <f>IF(OR($A1494="",$K1494=""),"",IF(AND($M1494="Sí",$O1494="Sí"),"OTIF","Falló"))</f>
        <v/>
      </c>
    </row>
    <row r="1495" ht="16" customHeight="1">
      <c r="A1495" s="47" t="n"/>
      <c r="B1495" s="46" t="n"/>
      <c r="C1495" s="49" t="n"/>
      <c r="D1495" s="49" t="n"/>
      <c r="E1495" s="49" t="n"/>
      <c r="F1495" s="49" t="n"/>
      <c r="G1495" s="47" t="n"/>
      <c r="H1495" s="50" t="n"/>
      <c r="I1495" s="51" t="n"/>
      <c r="J1495" s="46" t="n"/>
      <c r="K1495" s="46" t="n"/>
      <c r="L1495" s="23">
        <f>IF(OR($A1495="",$B1495=""),"",IF($K1495&lt;&gt;"",$K1495-$B1495,TODAY()-$B1495))</f>
        <v/>
      </c>
      <c r="M1495" s="27">
        <f>IF(OR($A1495="",$J1495=""),"",IF($K1495="",IF(TODAY()&gt;$J1495,"Atrasado","En ruta"),IF($K1495&lt;=$J1495,"Sí","No")))</f>
        <v/>
      </c>
      <c r="N1495" s="23">
        <f>IF($A1495="","",COUNTIFS(NOVEDADES!$C$4:$C$1503,$A1495))</f>
        <v/>
      </c>
      <c r="O1495" s="27">
        <f>IF($A1495="","",IF(COUNTIFS(NOVEDADES!$C$4:$C$1503,$A1495,NOVEDADES!$M$4:$M$1503,"SÍ")&gt;0,"No","Sí"))</f>
        <v/>
      </c>
      <c r="P1495" s="27">
        <f>IF(OR($A1495="",$K1495=""),"",IF(AND($M1495="Sí",$O1495="Sí"),"OTIF","Falló"))</f>
        <v/>
      </c>
    </row>
    <row r="1496" ht="16" customHeight="1">
      <c r="A1496" s="47" t="n"/>
      <c r="B1496" s="46" t="n"/>
      <c r="C1496" s="49" t="n"/>
      <c r="D1496" s="49" t="n"/>
      <c r="E1496" s="49" t="n"/>
      <c r="F1496" s="49" t="n"/>
      <c r="G1496" s="47" t="n"/>
      <c r="H1496" s="50" t="n"/>
      <c r="I1496" s="51" t="n"/>
      <c r="J1496" s="46" t="n"/>
      <c r="K1496" s="46" t="n"/>
      <c r="L1496" s="23">
        <f>IF(OR($A1496="",$B1496=""),"",IF($K1496&lt;&gt;"",$K1496-$B1496,TODAY()-$B1496))</f>
        <v/>
      </c>
      <c r="M1496" s="27">
        <f>IF(OR($A1496="",$J1496=""),"",IF($K1496="",IF(TODAY()&gt;$J1496,"Atrasado","En ruta"),IF($K1496&lt;=$J1496,"Sí","No")))</f>
        <v/>
      </c>
      <c r="N1496" s="23">
        <f>IF($A1496="","",COUNTIFS(NOVEDADES!$C$4:$C$1503,$A1496))</f>
        <v/>
      </c>
      <c r="O1496" s="27">
        <f>IF($A1496="","",IF(COUNTIFS(NOVEDADES!$C$4:$C$1503,$A1496,NOVEDADES!$M$4:$M$1503,"SÍ")&gt;0,"No","Sí"))</f>
        <v/>
      </c>
      <c r="P1496" s="27">
        <f>IF(OR($A1496="",$K1496=""),"",IF(AND($M1496="Sí",$O1496="Sí"),"OTIF","Falló"))</f>
        <v/>
      </c>
    </row>
    <row r="1497" ht="16" customHeight="1">
      <c r="A1497" s="47" t="n"/>
      <c r="B1497" s="46" t="n"/>
      <c r="C1497" s="49" t="n"/>
      <c r="D1497" s="49" t="n"/>
      <c r="E1497" s="49" t="n"/>
      <c r="F1497" s="49" t="n"/>
      <c r="G1497" s="47" t="n"/>
      <c r="H1497" s="50" t="n"/>
      <c r="I1497" s="51" t="n"/>
      <c r="J1497" s="46" t="n"/>
      <c r="K1497" s="46" t="n"/>
      <c r="L1497" s="23">
        <f>IF(OR($A1497="",$B1497=""),"",IF($K1497&lt;&gt;"",$K1497-$B1497,TODAY()-$B1497))</f>
        <v/>
      </c>
      <c r="M1497" s="27">
        <f>IF(OR($A1497="",$J1497=""),"",IF($K1497="",IF(TODAY()&gt;$J1497,"Atrasado","En ruta"),IF($K1497&lt;=$J1497,"Sí","No")))</f>
        <v/>
      </c>
      <c r="N1497" s="23">
        <f>IF($A1497="","",COUNTIFS(NOVEDADES!$C$4:$C$1503,$A1497))</f>
        <v/>
      </c>
      <c r="O1497" s="27">
        <f>IF($A1497="","",IF(COUNTIFS(NOVEDADES!$C$4:$C$1503,$A1497,NOVEDADES!$M$4:$M$1503,"SÍ")&gt;0,"No","Sí"))</f>
        <v/>
      </c>
      <c r="P1497" s="27">
        <f>IF(OR($A1497="",$K1497=""),"",IF(AND($M1497="Sí",$O1497="Sí"),"OTIF","Falló"))</f>
        <v/>
      </c>
    </row>
    <row r="1498" ht="16" customHeight="1">
      <c r="A1498" s="47" t="n"/>
      <c r="B1498" s="46" t="n"/>
      <c r="C1498" s="49" t="n"/>
      <c r="D1498" s="49" t="n"/>
      <c r="E1498" s="49" t="n"/>
      <c r="F1498" s="49" t="n"/>
      <c r="G1498" s="47" t="n"/>
      <c r="H1498" s="50" t="n"/>
      <c r="I1498" s="51" t="n"/>
      <c r="J1498" s="46" t="n"/>
      <c r="K1498" s="46" t="n"/>
      <c r="L1498" s="23">
        <f>IF(OR($A1498="",$B1498=""),"",IF($K1498&lt;&gt;"",$K1498-$B1498,TODAY()-$B1498))</f>
        <v/>
      </c>
      <c r="M1498" s="27">
        <f>IF(OR($A1498="",$J1498=""),"",IF($K1498="",IF(TODAY()&gt;$J1498,"Atrasado","En ruta"),IF($K1498&lt;=$J1498,"Sí","No")))</f>
        <v/>
      </c>
      <c r="N1498" s="23">
        <f>IF($A1498="","",COUNTIFS(NOVEDADES!$C$4:$C$1503,$A1498))</f>
        <v/>
      </c>
      <c r="O1498" s="27">
        <f>IF($A1498="","",IF(COUNTIFS(NOVEDADES!$C$4:$C$1503,$A1498,NOVEDADES!$M$4:$M$1503,"SÍ")&gt;0,"No","Sí"))</f>
        <v/>
      </c>
      <c r="P1498" s="27">
        <f>IF(OR($A1498="",$K1498=""),"",IF(AND($M1498="Sí",$O1498="Sí"),"OTIF","Falló"))</f>
        <v/>
      </c>
    </row>
    <row r="1499" ht="16" customHeight="1">
      <c r="A1499" s="47" t="n"/>
      <c r="B1499" s="46" t="n"/>
      <c r="C1499" s="49" t="n"/>
      <c r="D1499" s="49" t="n"/>
      <c r="E1499" s="49" t="n"/>
      <c r="F1499" s="49" t="n"/>
      <c r="G1499" s="47" t="n"/>
      <c r="H1499" s="50" t="n"/>
      <c r="I1499" s="51" t="n"/>
      <c r="J1499" s="46" t="n"/>
      <c r="K1499" s="46" t="n"/>
      <c r="L1499" s="23">
        <f>IF(OR($A1499="",$B1499=""),"",IF($K1499&lt;&gt;"",$K1499-$B1499,TODAY()-$B1499))</f>
        <v/>
      </c>
      <c r="M1499" s="27">
        <f>IF(OR($A1499="",$J1499=""),"",IF($K1499="",IF(TODAY()&gt;$J1499,"Atrasado","En ruta"),IF($K1499&lt;=$J1499,"Sí","No")))</f>
        <v/>
      </c>
      <c r="N1499" s="23">
        <f>IF($A1499="","",COUNTIFS(NOVEDADES!$C$4:$C$1503,$A1499))</f>
        <v/>
      </c>
      <c r="O1499" s="27">
        <f>IF($A1499="","",IF(COUNTIFS(NOVEDADES!$C$4:$C$1503,$A1499,NOVEDADES!$M$4:$M$1503,"SÍ")&gt;0,"No","Sí"))</f>
        <v/>
      </c>
      <c r="P1499" s="27">
        <f>IF(OR($A1499="",$K1499=""),"",IF(AND($M1499="Sí",$O1499="Sí"),"OTIF","Falló"))</f>
        <v/>
      </c>
    </row>
    <row r="1500" ht="16" customHeight="1">
      <c r="A1500" s="47" t="n"/>
      <c r="B1500" s="46" t="n"/>
      <c r="C1500" s="49" t="n"/>
      <c r="D1500" s="49" t="n"/>
      <c r="E1500" s="49" t="n"/>
      <c r="F1500" s="49" t="n"/>
      <c r="G1500" s="47" t="n"/>
      <c r="H1500" s="50" t="n"/>
      <c r="I1500" s="51" t="n"/>
      <c r="J1500" s="46" t="n"/>
      <c r="K1500" s="46" t="n"/>
      <c r="L1500" s="23">
        <f>IF(OR($A1500="",$B1500=""),"",IF($K1500&lt;&gt;"",$K1500-$B1500,TODAY()-$B1500))</f>
        <v/>
      </c>
      <c r="M1500" s="27">
        <f>IF(OR($A1500="",$J1500=""),"",IF($K1500="",IF(TODAY()&gt;$J1500,"Atrasado","En ruta"),IF($K1500&lt;=$J1500,"Sí","No")))</f>
        <v/>
      </c>
      <c r="N1500" s="23">
        <f>IF($A1500="","",COUNTIFS(NOVEDADES!$C$4:$C$1503,$A1500))</f>
        <v/>
      </c>
      <c r="O1500" s="27">
        <f>IF($A1500="","",IF(COUNTIFS(NOVEDADES!$C$4:$C$1503,$A1500,NOVEDADES!$M$4:$M$1503,"SÍ")&gt;0,"No","Sí"))</f>
        <v/>
      </c>
      <c r="P1500" s="27">
        <f>IF(OR($A1500="",$K1500=""),"",IF(AND($M1500="Sí",$O1500="Sí"),"OTIF","Falló"))</f>
        <v/>
      </c>
    </row>
    <row r="1501" ht="16" customHeight="1">
      <c r="A1501" s="47" t="n"/>
      <c r="B1501" s="46" t="n"/>
      <c r="C1501" s="49" t="n"/>
      <c r="D1501" s="49" t="n"/>
      <c r="E1501" s="49" t="n"/>
      <c r="F1501" s="49" t="n"/>
      <c r="G1501" s="47" t="n"/>
      <c r="H1501" s="50" t="n"/>
      <c r="I1501" s="51" t="n"/>
      <c r="J1501" s="46" t="n"/>
      <c r="K1501" s="46" t="n"/>
      <c r="L1501" s="23">
        <f>IF(OR($A1501="",$B1501=""),"",IF($K1501&lt;&gt;"",$K1501-$B1501,TODAY()-$B1501))</f>
        <v/>
      </c>
      <c r="M1501" s="27">
        <f>IF(OR($A1501="",$J1501=""),"",IF($K1501="",IF(TODAY()&gt;$J1501,"Atrasado","En ruta"),IF($K1501&lt;=$J1501,"Sí","No")))</f>
        <v/>
      </c>
      <c r="N1501" s="23">
        <f>IF($A1501="","",COUNTIFS(NOVEDADES!$C$4:$C$1503,$A1501))</f>
        <v/>
      </c>
      <c r="O1501" s="27">
        <f>IF($A1501="","",IF(COUNTIFS(NOVEDADES!$C$4:$C$1503,$A1501,NOVEDADES!$M$4:$M$1503,"SÍ")&gt;0,"No","Sí"))</f>
        <v/>
      </c>
      <c r="P1501" s="27">
        <f>IF(OR($A1501="",$K1501=""),"",IF(AND($M1501="Sí",$O1501="Sí"),"OTIF","Falló"))</f>
        <v/>
      </c>
    </row>
    <row r="1502" ht="16" customHeight="1">
      <c r="A1502" s="47" t="n"/>
      <c r="B1502" s="46" t="n"/>
      <c r="C1502" s="49" t="n"/>
      <c r="D1502" s="49" t="n"/>
      <c r="E1502" s="49" t="n"/>
      <c r="F1502" s="49" t="n"/>
      <c r="G1502" s="47" t="n"/>
      <c r="H1502" s="50" t="n"/>
      <c r="I1502" s="51" t="n"/>
      <c r="J1502" s="46" t="n"/>
      <c r="K1502" s="46" t="n"/>
      <c r="L1502" s="23">
        <f>IF(OR($A1502="",$B1502=""),"",IF($K1502&lt;&gt;"",$K1502-$B1502,TODAY()-$B1502))</f>
        <v/>
      </c>
      <c r="M1502" s="27">
        <f>IF(OR($A1502="",$J1502=""),"",IF($K1502="",IF(TODAY()&gt;$J1502,"Atrasado","En ruta"),IF($K1502&lt;=$J1502,"Sí","No")))</f>
        <v/>
      </c>
      <c r="N1502" s="23">
        <f>IF($A1502="","",COUNTIFS(NOVEDADES!$C$4:$C$1503,$A1502))</f>
        <v/>
      </c>
      <c r="O1502" s="27">
        <f>IF($A1502="","",IF(COUNTIFS(NOVEDADES!$C$4:$C$1503,$A1502,NOVEDADES!$M$4:$M$1503,"SÍ")&gt;0,"No","Sí"))</f>
        <v/>
      </c>
      <c r="P1502" s="27">
        <f>IF(OR($A1502="",$K1502=""),"",IF(AND($M1502="Sí",$O1502="Sí"),"OTIF","Falló"))</f>
        <v/>
      </c>
    </row>
    <row r="1503" ht="16" customHeight="1">
      <c r="A1503" s="47" t="n"/>
      <c r="B1503" s="46" t="n"/>
      <c r="C1503" s="49" t="n"/>
      <c r="D1503" s="49" t="n"/>
      <c r="E1503" s="49" t="n"/>
      <c r="F1503" s="49" t="n"/>
      <c r="G1503" s="47" t="n"/>
      <c r="H1503" s="50" t="n"/>
      <c r="I1503" s="51" t="n"/>
      <c r="J1503" s="46" t="n"/>
      <c r="K1503" s="46" t="n"/>
      <c r="L1503" s="23">
        <f>IF(OR($A1503="",$B1503=""),"",IF($K1503&lt;&gt;"",$K1503-$B1503,TODAY()-$B1503))</f>
        <v/>
      </c>
      <c r="M1503" s="27">
        <f>IF(OR($A1503="",$J1503=""),"",IF($K1503="",IF(TODAY()&gt;$J1503,"Atrasado","En ruta"),IF($K1503&lt;=$J1503,"Sí","No")))</f>
        <v/>
      </c>
      <c r="N1503" s="23">
        <f>IF($A1503="","",COUNTIFS(NOVEDADES!$C$4:$C$1503,$A1503))</f>
        <v/>
      </c>
      <c r="O1503" s="27">
        <f>IF($A1503="","",IF(COUNTIFS(NOVEDADES!$C$4:$C$1503,$A1503,NOVEDADES!$M$4:$M$1503,"SÍ")&gt;0,"No","Sí"))</f>
        <v/>
      </c>
      <c r="P1503" s="27">
        <f>IF(OR($A1503="",$K1503=""),"",IF(AND($M1503="Sí",$O1503="Sí"),"OTIF","Falló"))</f>
        <v/>
      </c>
    </row>
    <row r="1504" ht="16" customHeight="1">
      <c r="A1504" s="47" t="n"/>
      <c r="B1504" s="46" t="n"/>
      <c r="C1504" s="49" t="n"/>
      <c r="D1504" s="49" t="n"/>
      <c r="E1504" s="49" t="n"/>
      <c r="F1504" s="49" t="n"/>
      <c r="G1504" s="47" t="n"/>
      <c r="H1504" s="50" t="n"/>
      <c r="I1504" s="51" t="n"/>
      <c r="J1504" s="46" t="n"/>
      <c r="K1504" s="46" t="n"/>
      <c r="L1504" s="23">
        <f>IF(OR($A1504="",$B1504=""),"",IF($K1504&lt;&gt;"",$K1504-$B1504,TODAY()-$B1504))</f>
        <v/>
      </c>
      <c r="M1504" s="27">
        <f>IF(OR($A1504="",$J1504=""),"",IF($K1504="",IF(TODAY()&gt;$J1504,"Atrasado","En ruta"),IF($K1504&lt;=$J1504,"Sí","No")))</f>
        <v/>
      </c>
      <c r="N1504" s="23">
        <f>IF($A1504="","",COUNTIFS(NOVEDADES!$C$4:$C$1503,$A1504))</f>
        <v/>
      </c>
      <c r="O1504" s="27">
        <f>IF($A1504="","",IF(COUNTIFS(NOVEDADES!$C$4:$C$1503,$A1504,NOVEDADES!$M$4:$M$1503,"SÍ")&gt;0,"No","Sí"))</f>
        <v/>
      </c>
      <c r="P1504" s="27">
        <f>IF(OR($A1504="",$K1504=""),"",IF(AND($M1504="Sí",$O1504="Sí"),"OTIF","Falló"))</f>
        <v/>
      </c>
    </row>
    <row r="1505" ht="16" customHeight="1">
      <c r="A1505" s="47" t="n"/>
      <c r="B1505" s="46" t="n"/>
      <c r="C1505" s="49" t="n"/>
      <c r="D1505" s="49" t="n"/>
      <c r="E1505" s="49" t="n"/>
      <c r="F1505" s="49" t="n"/>
      <c r="G1505" s="47" t="n"/>
      <c r="H1505" s="50" t="n"/>
      <c r="I1505" s="51" t="n"/>
      <c r="J1505" s="46" t="n"/>
      <c r="K1505" s="46" t="n"/>
      <c r="L1505" s="23">
        <f>IF(OR($A1505="",$B1505=""),"",IF($K1505&lt;&gt;"",$K1505-$B1505,TODAY()-$B1505))</f>
        <v/>
      </c>
      <c r="M1505" s="27">
        <f>IF(OR($A1505="",$J1505=""),"",IF($K1505="",IF(TODAY()&gt;$J1505,"Atrasado","En ruta"),IF($K1505&lt;=$J1505,"Sí","No")))</f>
        <v/>
      </c>
      <c r="N1505" s="23">
        <f>IF($A1505="","",COUNTIFS(NOVEDADES!$C$4:$C$1503,$A1505))</f>
        <v/>
      </c>
      <c r="O1505" s="27">
        <f>IF($A1505="","",IF(COUNTIFS(NOVEDADES!$C$4:$C$1503,$A1505,NOVEDADES!$M$4:$M$1503,"SÍ")&gt;0,"No","Sí"))</f>
        <v/>
      </c>
      <c r="P1505" s="27">
        <f>IF(OR($A1505="",$K1505=""),"",IF(AND($M1505="Sí",$O1505="Sí"),"OTIF","Falló"))</f>
        <v/>
      </c>
    </row>
    <row r="1506" ht="16" customHeight="1">
      <c r="A1506" s="47" t="n"/>
      <c r="B1506" s="46" t="n"/>
      <c r="C1506" s="49" t="n"/>
      <c r="D1506" s="49" t="n"/>
      <c r="E1506" s="49" t="n"/>
      <c r="F1506" s="49" t="n"/>
      <c r="G1506" s="47" t="n"/>
      <c r="H1506" s="50" t="n"/>
      <c r="I1506" s="51" t="n"/>
      <c r="J1506" s="46" t="n"/>
      <c r="K1506" s="46" t="n"/>
      <c r="L1506" s="23">
        <f>IF(OR($A1506="",$B1506=""),"",IF($K1506&lt;&gt;"",$K1506-$B1506,TODAY()-$B1506))</f>
        <v/>
      </c>
      <c r="M1506" s="27">
        <f>IF(OR($A1506="",$J1506=""),"",IF($K1506="",IF(TODAY()&gt;$J1506,"Atrasado","En ruta"),IF($K1506&lt;=$J1506,"Sí","No")))</f>
        <v/>
      </c>
      <c r="N1506" s="23">
        <f>IF($A1506="","",COUNTIFS(NOVEDADES!$C$4:$C$1503,$A1506))</f>
        <v/>
      </c>
      <c r="O1506" s="27">
        <f>IF($A1506="","",IF(COUNTIFS(NOVEDADES!$C$4:$C$1503,$A1506,NOVEDADES!$M$4:$M$1503,"SÍ")&gt;0,"No","Sí"))</f>
        <v/>
      </c>
      <c r="P1506" s="27">
        <f>IF(OR($A1506="",$K1506=""),"",IF(AND($M1506="Sí",$O1506="Sí"),"OTIF","Falló"))</f>
        <v/>
      </c>
    </row>
    <row r="1507" ht="16" customHeight="1">
      <c r="A1507" s="47" t="n"/>
      <c r="B1507" s="46" t="n"/>
      <c r="C1507" s="49" t="n"/>
      <c r="D1507" s="49" t="n"/>
      <c r="E1507" s="49" t="n"/>
      <c r="F1507" s="49" t="n"/>
      <c r="G1507" s="47" t="n"/>
      <c r="H1507" s="50" t="n"/>
      <c r="I1507" s="51" t="n"/>
      <c r="J1507" s="46" t="n"/>
      <c r="K1507" s="46" t="n"/>
      <c r="L1507" s="23">
        <f>IF(OR($A1507="",$B1507=""),"",IF($K1507&lt;&gt;"",$K1507-$B1507,TODAY()-$B1507))</f>
        <v/>
      </c>
      <c r="M1507" s="27">
        <f>IF(OR($A1507="",$J1507=""),"",IF($K1507="",IF(TODAY()&gt;$J1507,"Atrasado","En ruta"),IF($K1507&lt;=$J1507,"Sí","No")))</f>
        <v/>
      </c>
      <c r="N1507" s="23">
        <f>IF($A1507="","",COUNTIFS(NOVEDADES!$C$4:$C$1503,$A1507))</f>
        <v/>
      </c>
      <c r="O1507" s="27">
        <f>IF($A1507="","",IF(COUNTIFS(NOVEDADES!$C$4:$C$1503,$A1507,NOVEDADES!$M$4:$M$1503,"SÍ")&gt;0,"No","Sí"))</f>
        <v/>
      </c>
      <c r="P1507" s="27">
        <f>IF(OR($A1507="",$K1507=""),"",IF(AND($M1507="Sí",$O1507="Sí"),"OTIF","Falló"))</f>
        <v/>
      </c>
    </row>
    <row r="1508" ht="16" customHeight="1">
      <c r="A1508" s="47" t="n"/>
      <c r="B1508" s="46" t="n"/>
      <c r="C1508" s="49" t="n"/>
      <c r="D1508" s="49" t="n"/>
      <c r="E1508" s="49" t="n"/>
      <c r="F1508" s="49" t="n"/>
      <c r="G1508" s="47" t="n"/>
      <c r="H1508" s="50" t="n"/>
      <c r="I1508" s="51" t="n"/>
      <c r="J1508" s="46" t="n"/>
      <c r="K1508" s="46" t="n"/>
      <c r="L1508" s="23">
        <f>IF(OR($A1508="",$B1508=""),"",IF($K1508&lt;&gt;"",$K1508-$B1508,TODAY()-$B1508))</f>
        <v/>
      </c>
      <c r="M1508" s="27">
        <f>IF(OR($A1508="",$J1508=""),"",IF($K1508="",IF(TODAY()&gt;$J1508,"Atrasado","En ruta"),IF($K1508&lt;=$J1508,"Sí","No")))</f>
        <v/>
      </c>
      <c r="N1508" s="23">
        <f>IF($A1508="","",COUNTIFS(NOVEDADES!$C$4:$C$1503,$A1508))</f>
        <v/>
      </c>
      <c r="O1508" s="27">
        <f>IF($A1508="","",IF(COUNTIFS(NOVEDADES!$C$4:$C$1503,$A1508,NOVEDADES!$M$4:$M$1503,"SÍ")&gt;0,"No","Sí"))</f>
        <v/>
      </c>
      <c r="P1508" s="27">
        <f>IF(OR($A1508="",$K1508=""),"",IF(AND($M1508="Sí",$O1508="Sí"),"OTIF","Falló"))</f>
        <v/>
      </c>
    </row>
    <row r="1509" ht="16" customHeight="1">
      <c r="A1509" s="47" t="n"/>
      <c r="B1509" s="46" t="n"/>
      <c r="C1509" s="49" t="n"/>
      <c r="D1509" s="49" t="n"/>
      <c r="E1509" s="49" t="n"/>
      <c r="F1509" s="49" t="n"/>
      <c r="G1509" s="47" t="n"/>
      <c r="H1509" s="50" t="n"/>
      <c r="I1509" s="51" t="n"/>
      <c r="J1509" s="46" t="n"/>
      <c r="K1509" s="46" t="n"/>
      <c r="L1509" s="23">
        <f>IF(OR($A1509="",$B1509=""),"",IF($K1509&lt;&gt;"",$K1509-$B1509,TODAY()-$B1509))</f>
        <v/>
      </c>
      <c r="M1509" s="27">
        <f>IF(OR($A1509="",$J1509=""),"",IF($K1509="",IF(TODAY()&gt;$J1509,"Atrasado","En ruta"),IF($K1509&lt;=$J1509,"Sí","No")))</f>
        <v/>
      </c>
      <c r="N1509" s="23">
        <f>IF($A1509="","",COUNTIFS(NOVEDADES!$C$4:$C$1503,$A1509))</f>
        <v/>
      </c>
      <c r="O1509" s="27">
        <f>IF($A1509="","",IF(COUNTIFS(NOVEDADES!$C$4:$C$1503,$A1509,NOVEDADES!$M$4:$M$1503,"SÍ")&gt;0,"No","Sí"))</f>
        <v/>
      </c>
      <c r="P1509" s="27">
        <f>IF(OR($A1509="",$K1509=""),"",IF(AND($M1509="Sí",$O1509="Sí"),"OTIF","Falló"))</f>
        <v/>
      </c>
    </row>
    <row r="1510" ht="16" customHeight="1">
      <c r="A1510" s="47" t="n"/>
      <c r="B1510" s="46" t="n"/>
      <c r="C1510" s="49" t="n"/>
      <c r="D1510" s="49" t="n"/>
      <c r="E1510" s="49" t="n"/>
      <c r="F1510" s="49" t="n"/>
      <c r="G1510" s="47" t="n"/>
      <c r="H1510" s="50" t="n"/>
      <c r="I1510" s="51" t="n"/>
      <c r="J1510" s="46" t="n"/>
      <c r="K1510" s="46" t="n"/>
      <c r="L1510" s="23">
        <f>IF(OR($A1510="",$B1510=""),"",IF($K1510&lt;&gt;"",$K1510-$B1510,TODAY()-$B1510))</f>
        <v/>
      </c>
      <c r="M1510" s="27">
        <f>IF(OR($A1510="",$J1510=""),"",IF($K1510="",IF(TODAY()&gt;$J1510,"Atrasado","En ruta"),IF($K1510&lt;=$J1510,"Sí","No")))</f>
        <v/>
      </c>
      <c r="N1510" s="23">
        <f>IF($A1510="","",COUNTIFS(NOVEDADES!$C$4:$C$1503,$A1510))</f>
        <v/>
      </c>
      <c r="O1510" s="27">
        <f>IF($A1510="","",IF(COUNTIFS(NOVEDADES!$C$4:$C$1503,$A1510,NOVEDADES!$M$4:$M$1503,"SÍ")&gt;0,"No","Sí"))</f>
        <v/>
      </c>
      <c r="P1510" s="27">
        <f>IF(OR($A1510="",$K1510=""),"",IF(AND($M1510="Sí",$O1510="Sí"),"OTIF","Falló"))</f>
        <v/>
      </c>
    </row>
    <row r="1511" ht="16" customHeight="1">
      <c r="A1511" s="47" t="n"/>
      <c r="B1511" s="46" t="n"/>
      <c r="C1511" s="49" t="n"/>
      <c r="D1511" s="49" t="n"/>
      <c r="E1511" s="49" t="n"/>
      <c r="F1511" s="49" t="n"/>
      <c r="G1511" s="47" t="n"/>
      <c r="H1511" s="50" t="n"/>
      <c r="I1511" s="51" t="n"/>
      <c r="J1511" s="46" t="n"/>
      <c r="K1511" s="46" t="n"/>
      <c r="L1511" s="23">
        <f>IF(OR($A1511="",$B1511=""),"",IF($K1511&lt;&gt;"",$K1511-$B1511,TODAY()-$B1511))</f>
        <v/>
      </c>
      <c r="M1511" s="27">
        <f>IF(OR($A1511="",$J1511=""),"",IF($K1511="",IF(TODAY()&gt;$J1511,"Atrasado","En ruta"),IF($K1511&lt;=$J1511,"Sí","No")))</f>
        <v/>
      </c>
      <c r="N1511" s="23">
        <f>IF($A1511="","",COUNTIFS(NOVEDADES!$C$4:$C$1503,$A1511))</f>
        <v/>
      </c>
      <c r="O1511" s="27">
        <f>IF($A1511="","",IF(COUNTIFS(NOVEDADES!$C$4:$C$1503,$A1511,NOVEDADES!$M$4:$M$1503,"SÍ")&gt;0,"No","Sí"))</f>
        <v/>
      </c>
      <c r="P1511" s="27">
        <f>IF(OR($A1511="",$K1511=""),"",IF(AND($M1511="Sí",$O1511="Sí"),"OTIF","Falló"))</f>
        <v/>
      </c>
    </row>
    <row r="1512" ht="16" customHeight="1">
      <c r="A1512" s="47" t="n"/>
      <c r="B1512" s="46" t="n"/>
      <c r="C1512" s="49" t="n"/>
      <c r="D1512" s="49" t="n"/>
      <c r="E1512" s="49" t="n"/>
      <c r="F1512" s="49" t="n"/>
      <c r="G1512" s="47" t="n"/>
      <c r="H1512" s="50" t="n"/>
      <c r="I1512" s="51" t="n"/>
      <c r="J1512" s="46" t="n"/>
      <c r="K1512" s="46" t="n"/>
      <c r="L1512" s="23">
        <f>IF(OR($A1512="",$B1512=""),"",IF($K1512&lt;&gt;"",$K1512-$B1512,TODAY()-$B1512))</f>
        <v/>
      </c>
      <c r="M1512" s="27">
        <f>IF(OR($A1512="",$J1512=""),"",IF($K1512="",IF(TODAY()&gt;$J1512,"Atrasado","En ruta"),IF($K1512&lt;=$J1512,"Sí","No")))</f>
        <v/>
      </c>
      <c r="N1512" s="23">
        <f>IF($A1512="","",COUNTIFS(NOVEDADES!$C$4:$C$1503,$A1512))</f>
        <v/>
      </c>
      <c r="O1512" s="27">
        <f>IF($A1512="","",IF(COUNTIFS(NOVEDADES!$C$4:$C$1503,$A1512,NOVEDADES!$M$4:$M$1503,"SÍ")&gt;0,"No","Sí"))</f>
        <v/>
      </c>
      <c r="P1512" s="27">
        <f>IF(OR($A1512="",$K1512=""),"",IF(AND($M1512="Sí",$O1512="Sí"),"OTIF","Falló"))</f>
        <v/>
      </c>
    </row>
    <row r="1513" ht="16" customHeight="1">
      <c r="A1513" s="47" t="n"/>
      <c r="B1513" s="46" t="n"/>
      <c r="C1513" s="49" t="n"/>
      <c r="D1513" s="49" t="n"/>
      <c r="E1513" s="49" t="n"/>
      <c r="F1513" s="49" t="n"/>
      <c r="G1513" s="47" t="n"/>
      <c r="H1513" s="50" t="n"/>
      <c r="I1513" s="51" t="n"/>
      <c r="J1513" s="46" t="n"/>
      <c r="K1513" s="46" t="n"/>
      <c r="L1513" s="23">
        <f>IF(OR($A1513="",$B1513=""),"",IF($K1513&lt;&gt;"",$K1513-$B1513,TODAY()-$B1513))</f>
        <v/>
      </c>
      <c r="M1513" s="27">
        <f>IF(OR($A1513="",$J1513=""),"",IF($K1513="",IF(TODAY()&gt;$J1513,"Atrasado","En ruta"),IF($K1513&lt;=$J1513,"Sí","No")))</f>
        <v/>
      </c>
      <c r="N1513" s="23">
        <f>IF($A1513="","",COUNTIFS(NOVEDADES!$C$4:$C$1503,$A1513))</f>
        <v/>
      </c>
      <c r="O1513" s="27">
        <f>IF($A1513="","",IF(COUNTIFS(NOVEDADES!$C$4:$C$1503,$A1513,NOVEDADES!$M$4:$M$1503,"SÍ")&gt;0,"No","Sí"))</f>
        <v/>
      </c>
      <c r="P1513" s="27">
        <f>IF(OR($A1513="",$K1513=""),"",IF(AND($M1513="Sí",$O1513="Sí"),"OTIF","Falló"))</f>
        <v/>
      </c>
    </row>
    <row r="1514" ht="16" customHeight="1">
      <c r="A1514" s="47" t="n"/>
      <c r="B1514" s="46" t="n"/>
      <c r="C1514" s="49" t="n"/>
      <c r="D1514" s="49" t="n"/>
      <c r="E1514" s="49" t="n"/>
      <c r="F1514" s="49" t="n"/>
      <c r="G1514" s="47" t="n"/>
      <c r="H1514" s="50" t="n"/>
      <c r="I1514" s="51" t="n"/>
      <c r="J1514" s="46" t="n"/>
      <c r="K1514" s="46" t="n"/>
      <c r="L1514" s="23">
        <f>IF(OR($A1514="",$B1514=""),"",IF($K1514&lt;&gt;"",$K1514-$B1514,TODAY()-$B1514))</f>
        <v/>
      </c>
      <c r="M1514" s="27">
        <f>IF(OR($A1514="",$J1514=""),"",IF($K1514="",IF(TODAY()&gt;$J1514,"Atrasado","En ruta"),IF($K1514&lt;=$J1514,"Sí","No")))</f>
        <v/>
      </c>
      <c r="N1514" s="23">
        <f>IF($A1514="","",COUNTIFS(NOVEDADES!$C$4:$C$1503,$A1514))</f>
        <v/>
      </c>
      <c r="O1514" s="27">
        <f>IF($A1514="","",IF(COUNTIFS(NOVEDADES!$C$4:$C$1503,$A1514,NOVEDADES!$M$4:$M$1503,"SÍ")&gt;0,"No","Sí"))</f>
        <v/>
      </c>
      <c r="P1514" s="27">
        <f>IF(OR($A1514="",$K1514=""),"",IF(AND($M1514="Sí",$O1514="Sí"),"OTIF","Falló"))</f>
        <v/>
      </c>
    </row>
    <row r="1515" ht="16" customHeight="1">
      <c r="A1515" s="47" t="n"/>
      <c r="B1515" s="46" t="n"/>
      <c r="C1515" s="49" t="n"/>
      <c r="D1515" s="49" t="n"/>
      <c r="E1515" s="49" t="n"/>
      <c r="F1515" s="49" t="n"/>
      <c r="G1515" s="47" t="n"/>
      <c r="H1515" s="50" t="n"/>
      <c r="I1515" s="51" t="n"/>
      <c r="J1515" s="46" t="n"/>
      <c r="K1515" s="46" t="n"/>
      <c r="L1515" s="23">
        <f>IF(OR($A1515="",$B1515=""),"",IF($K1515&lt;&gt;"",$K1515-$B1515,TODAY()-$B1515))</f>
        <v/>
      </c>
      <c r="M1515" s="27">
        <f>IF(OR($A1515="",$J1515=""),"",IF($K1515="",IF(TODAY()&gt;$J1515,"Atrasado","En ruta"),IF($K1515&lt;=$J1515,"Sí","No")))</f>
        <v/>
      </c>
      <c r="N1515" s="23">
        <f>IF($A1515="","",COUNTIFS(NOVEDADES!$C$4:$C$1503,$A1515))</f>
        <v/>
      </c>
      <c r="O1515" s="27">
        <f>IF($A1515="","",IF(COUNTIFS(NOVEDADES!$C$4:$C$1503,$A1515,NOVEDADES!$M$4:$M$1503,"SÍ")&gt;0,"No","Sí"))</f>
        <v/>
      </c>
      <c r="P1515" s="27">
        <f>IF(OR($A1515="",$K1515=""),"",IF(AND($M1515="Sí",$O1515="Sí"),"OTIF","Falló"))</f>
        <v/>
      </c>
    </row>
    <row r="1516" ht="16" customHeight="1">
      <c r="A1516" s="47" t="n"/>
      <c r="B1516" s="46" t="n"/>
      <c r="C1516" s="49" t="n"/>
      <c r="D1516" s="49" t="n"/>
      <c r="E1516" s="49" t="n"/>
      <c r="F1516" s="49" t="n"/>
      <c r="G1516" s="47" t="n"/>
      <c r="H1516" s="50" t="n"/>
      <c r="I1516" s="51" t="n"/>
      <c r="J1516" s="46" t="n"/>
      <c r="K1516" s="46" t="n"/>
      <c r="L1516" s="23">
        <f>IF(OR($A1516="",$B1516=""),"",IF($K1516&lt;&gt;"",$K1516-$B1516,TODAY()-$B1516))</f>
        <v/>
      </c>
      <c r="M1516" s="27">
        <f>IF(OR($A1516="",$J1516=""),"",IF($K1516="",IF(TODAY()&gt;$J1516,"Atrasado","En ruta"),IF($K1516&lt;=$J1516,"Sí","No")))</f>
        <v/>
      </c>
      <c r="N1516" s="23">
        <f>IF($A1516="","",COUNTIFS(NOVEDADES!$C$4:$C$1503,$A1516))</f>
        <v/>
      </c>
      <c r="O1516" s="27">
        <f>IF($A1516="","",IF(COUNTIFS(NOVEDADES!$C$4:$C$1503,$A1516,NOVEDADES!$M$4:$M$1503,"SÍ")&gt;0,"No","Sí"))</f>
        <v/>
      </c>
      <c r="P1516" s="27">
        <f>IF(OR($A1516="",$K1516=""),"",IF(AND($M1516="Sí",$O1516="Sí"),"OTIF","Falló"))</f>
        <v/>
      </c>
    </row>
    <row r="1517" ht="16" customHeight="1">
      <c r="A1517" s="47" t="n"/>
      <c r="B1517" s="46" t="n"/>
      <c r="C1517" s="49" t="n"/>
      <c r="D1517" s="49" t="n"/>
      <c r="E1517" s="49" t="n"/>
      <c r="F1517" s="49" t="n"/>
      <c r="G1517" s="47" t="n"/>
      <c r="H1517" s="50" t="n"/>
      <c r="I1517" s="51" t="n"/>
      <c r="J1517" s="46" t="n"/>
      <c r="K1517" s="46" t="n"/>
      <c r="L1517" s="23">
        <f>IF(OR($A1517="",$B1517=""),"",IF($K1517&lt;&gt;"",$K1517-$B1517,TODAY()-$B1517))</f>
        <v/>
      </c>
      <c r="M1517" s="27">
        <f>IF(OR($A1517="",$J1517=""),"",IF($K1517="",IF(TODAY()&gt;$J1517,"Atrasado","En ruta"),IF($K1517&lt;=$J1517,"Sí","No")))</f>
        <v/>
      </c>
      <c r="N1517" s="23">
        <f>IF($A1517="","",COUNTIFS(NOVEDADES!$C$4:$C$1503,$A1517))</f>
        <v/>
      </c>
      <c r="O1517" s="27">
        <f>IF($A1517="","",IF(COUNTIFS(NOVEDADES!$C$4:$C$1503,$A1517,NOVEDADES!$M$4:$M$1503,"SÍ")&gt;0,"No","Sí"))</f>
        <v/>
      </c>
      <c r="P1517" s="27">
        <f>IF(OR($A1517="",$K1517=""),"",IF(AND($M1517="Sí",$O1517="Sí"),"OTIF","Falló"))</f>
        <v/>
      </c>
    </row>
    <row r="1518" ht="16" customHeight="1">
      <c r="A1518" s="47" t="n"/>
      <c r="B1518" s="46" t="n"/>
      <c r="C1518" s="49" t="n"/>
      <c r="D1518" s="49" t="n"/>
      <c r="E1518" s="49" t="n"/>
      <c r="F1518" s="49" t="n"/>
      <c r="G1518" s="47" t="n"/>
      <c r="H1518" s="50" t="n"/>
      <c r="I1518" s="51" t="n"/>
      <c r="J1518" s="46" t="n"/>
      <c r="K1518" s="46" t="n"/>
      <c r="L1518" s="23">
        <f>IF(OR($A1518="",$B1518=""),"",IF($K1518&lt;&gt;"",$K1518-$B1518,TODAY()-$B1518))</f>
        <v/>
      </c>
      <c r="M1518" s="27">
        <f>IF(OR($A1518="",$J1518=""),"",IF($K1518="",IF(TODAY()&gt;$J1518,"Atrasado","En ruta"),IF($K1518&lt;=$J1518,"Sí","No")))</f>
        <v/>
      </c>
      <c r="N1518" s="23">
        <f>IF($A1518="","",COUNTIFS(NOVEDADES!$C$4:$C$1503,$A1518))</f>
        <v/>
      </c>
      <c r="O1518" s="27">
        <f>IF($A1518="","",IF(COUNTIFS(NOVEDADES!$C$4:$C$1503,$A1518,NOVEDADES!$M$4:$M$1503,"SÍ")&gt;0,"No","Sí"))</f>
        <v/>
      </c>
      <c r="P1518" s="27">
        <f>IF(OR($A1518="",$K1518=""),"",IF(AND($M1518="Sí",$O1518="Sí"),"OTIF","Falló"))</f>
        <v/>
      </c>
    </row>
    <row r="1519" ht="16" customHeight="1">
      <c r="A1519" s="47" t="n"/>
      <c r="B1519" s="46" t="n"/>
      <c r="C1519" s="49" t="n"/>
      <c r="D1519" s="49" t="n"/>
      <c r="E1519" s="49" t="n"/>
      <c r="F1519" s="49" t="n"/>
      <c r="G1519" s="47" t="n"/>
      <c r="H1519" s="50" t="n"/>
      <c r="I1519" s="51" t="n"/>
      <c r="J1519" s="46" t="n"/>
      <c r="K1519" s="46" t="n"/>
      <c r="L1519" s="23">
        <f>IF(OR($A1519="",$B1519=""),"",IF($K1519&lt;&gt;"",$K1519-$B1519,TODAY()-$B1519))</f>
        <v/>
      </c>
      <c r="M1519" s="27">
        <f>IF(OR($A1519="",$J1519=""),"",IF($K1519="",IF(TODAY()&gt;$J1519,"Atrasado","En ruta"),IF($K1519&lt;=$J1519,"Sí","No")))</f>
        <v/>
      </c>
      <c r="N1519" s="23">
        <f>IF($A1519="","",COUNTIFS(NOVEDADES!$C$4:$C$1503,$A1519))</f>
        <v/>
      </c>
      <c r="O1519" s="27">
        <f>IF($A1519="","",IF(COUNTIFS(NOVEDADES!$C$4:$C$1503,$A1519,NOVEDADES!$M$4:$M$1503,"SÍ")&gt;0,"No","Sí"))</f>
        <v/>
      </c>
      <c r="P1519" s="27">
        <f>IF(OR($A1519="",$K1519=""),"",IF(AND($M1519="Sí",$O1519="Sí"),"OTIF","Falló"))</f>
        <v/>
      </c>
    </row>
    <row r="1520" ht="16" customHeight="1">
      <c r="A1520" s="47" t="n"/>
      <c r="B1520" s="46" t="n"/>
      <c r="C1520" s="49" t="n"/>
      <c r="D1520" s="49" t="n"/>
      <c r="E1520" s="49" t="n"/>
      <c r="F1520" s="49" t="n"/>
      <c r="G1520" s="47" t="n"/>
      <c r="H1520" s="50" t="n"/>
      <c r="I1520" s="51" t="n"/>
      <c r="J1520" s="46" t="n"/>
      <c r="K1520" s="46" t="n"/>
      <c r="L1520" s="23">
        <f>IF(OR($A1520="",$B1520=""),"",IF($K1520&lt;&gt;"",$K1520-$B1520,TODAY()-$B1520))</f>
        <v/>
      </c>
      <c r="M1520" s="27">
        <f>IF(OR($A1520="",$J1520=""),"",IF($K1520="",IF(TODAY()&gt;$J1520,"Atrasado","En ruta"),IF($K1520&lt;=$J1520,"Sí","No")))</f>
        <v/>
      </c>
      <c r="N1520" s="23">
        <f>IF($A1520="","",COUNTIFS(NOVEDADES!$C$4:$C$1503,$A1520))</f>
        <v/>
      </c>
      <c r="O1520" s="27">
        <f>IF($A1520="","",IF(COUNTIFS(NOVEDADES!$C$4:$C$1503,$A1520,NOVEDADES!$M$4:$M$1503,"SÍ")&gt;0,"No","Sí"))</f>
        <v/>
      </c>
      <c r="P1520" s="27">
        <f>IF(OR($A1520="",$K1520=""),"",IF(AND($M1520="Sí",$O1520="Sí"),"OTIF","Falló"))</f>
        <v/>
      </c>
    </row>
    <row r="1521" ht="16" customHeight="1">
      <c r="A1521" s="47" t="n"/>
      <c r="B1521" s="46" t="n"/>
      <c r="C1521" s="49" t="n"/>
      <c r="D1521" s="49" t="n"/>
      <c r="E1521" s="49" t="n"/>
      <c r="F1521" s="49" t="n"/>
      <c r="G1521" s="47" t="n"/>
      <c r="H1521" s="50" t="n"/>
      <c r="I1521" s="51" t="n"/>
      <c r="J1521" s="46" t="n"/>
      <c r="K1521" s="46" t="n"/>
      <c r="L1521" s="23">
        <f>IF(OR($A1521="",$B1521=""),"",IF($K1521&lt;&gt;"",$K1521-$B1521,TODAY()-$B1521))</f>
        <v/>
      </c>
      <c r="M1521" s="27">
        <f>IF(OR($A1521="",$J1521=""),"",IF($K1521="",IF(TODAY()&gt;$J1521,"Atrasado","En ruta"),IF($K1521&lt;=$J1521,"Sí","No")))</f>
        <v/>
      </c>
      <c r="N1521" s="23">
        <f>IF($A1521="","",COUNTIFS(NOVEDADES!$C$4:$C$1503,$A1521))</f>
        <v/>
      </c>
      <c r="O1521" s="27">
        <f>IF($A1521="","",IF(COUNTIFS(NOVEDADES!$C$4:$C$1503,$A1521,NOVEDADES!$M$4:$M$1503,"SÍ")&gt;0,"No","Sí"))</f>
        <v/>
      </c>
      <c r="P1521" s="27">
        <f>IF(OR($A1521="",$K1521=""),"",IF(AND($M1521="Sí",$O1521="Sí"),"OTIF","Falló"))</f>
        <v/>
      </c>
    </row>
    <row r="1522" ht="16" customHeight="1">
      <c r="A1522" s="47" t="n"/>
      <c r="B1522" s="46" t="n"/>
      <c r="C1522" s="49" t="n"/>
      <c r="D1522" s="49" t="n"/>
      <c r="E1522" s="49" t="n"/>
      <c r="F1522" s="49" t="n"/>
      <c r="G1522" s="47" t="n"/>
      <c r="H1522" s="50" t="n"/>
      <c r="I1522" s="51" t="n"/>
      <c r="J1522" s="46" t="n"/>
      <c r="K1522" s="46" t="n"/>
      <c r="L1522" s="23">
        <f>IF(OR($A1522="",$B1522=""),"",IF($K1522&lt;&gt;"",$K1522-$B1522,TODAY()-$B1522))</f>
        <v/>
      </c>
      <c r="M1522" s="27">
        <f>IF(OR($A1522="",$J1522=""),"",IF($K1522="",IF(TODAY()&gt;$J1522,"Atrasado","En ruta"),IF($K1522&lt;=$J1522,"Sí","No")))</f>
        <v/>
      </c>
      <c r="N1522" s="23">
        <f>IF($A1522="","",COUNTIFS(NOVEDADES!$C$4:$C$1503,$A1522))</f>
        <v/>
      </c>
      <c r="O1522" s="27">
        <f>IF($A1522="","",IF(COUNTIFS(NOVEDADES!$C$4:$C$1503,$A1522,NOVEDADES!$M$4:$M$1503,"SÍ")&gt;0,"No","Sí"))</f>
        <v/>
      </c>
      <c r="P1522" s="27">
        <f>IF(OR($A1522="",$K1522=""),"",IF(AND($M1522="Sí",$O1522="Sí"),"OTIF","Falló"))</f>
        <v/>
      </c>
    </row>
    <row r="1523" ht="16" customHeight="1">
      <c r="A1523" s="47" t="n"/>
      <c r="B1523" s="46" t="n"/>
      <c r="C1523" s="49" t="n"/>
      <c r="D1523" s="49" t="n"/>
      <c r="E1523" s="49" t="n"/>
      <c r="F1523" s="49" t="n"/>
      <c r="G1523" s="47" t="n"/>
      <c r="H1523" s="50" t="n"/>
      <c r="I1523" s="51" t="n"/>
      <c r="J1523" s="46" t="n"/>
      <c r="K1523" s="46" t="n"/>
      <c r="L1523" s="23">
        <f>IF(OR($A1523="",$B1523=""),"",IF($K1523&lt;&gt;"",$K1523-$B1523,TODAY()-$B1523))</f>
        <v/>
      </c>
      <c r="M1523" s="27">
        <f>IF(OR($A1523="",$J1523=""),"",IF($K1523="",IF(TODAY()&gt;$J1523,"Atrasado","En ruta"),IF($K1523&lt;=$J1523,"Sí","No")))</f>
        <v/>
      </c>
      <c r="N1523" s="23">
        <f>IF($A1523="","",COUNTIFS(NOVEDADES!$C$4:$C$1503,$A1523))</f>
        <v/>
      </c>
      <c r="O1523" s="27">
        <f>IF($A1523="","",IF(COUNTIFS(NOVEDADES!$C$4:$C$1503,$A1523,NOVEDADES!$M$4:$M$1503,"SÍ")&gt;0,"No","Sí"))</f>
        <v/>
      </c>
      <c r="P1523" s="27">
        <f>IF(OR($A1523="",$K1523=""),"",IF(AND($M1523="Sí",$O1523="Sí"),"OTIF","Falló"))</f>
        <v/>
      </c>
    </row>
    <row r="1524" ht="16" customHeight="1">
      <c r="A1524" s="47" t="n"/>
      <c r="B1524" s="46" t="n"/>
      <c r="C1524" s="49" t="n"/>
      <c r="D1524" s="49" t="n"/>
      <c r="E1524" s="49" t="n"/>
      <c r="F1524" s="49" t="n"/>
      <c r="G1524" s="47" t="n"/>
      <c r="H1524" s="50" t="n"/>
      <c r="I1524" s="51" t="n"/>
      <c r="J1524" s="46" t="n"/>
      <c r="K1524" s="46" t="n"/>
      <c r="L1524" s="23">
        <f>IF(OR($A1524="",$B1524=""),"",IF($K1524&lt;&gt;"",$K1524-$B1524,TODAY()-$B1524))</f>
        <v/>
      </c>
      <c r="M1524" s="27">
        <f>IF(OR($A1524="",$J1524=""),"",IF($K1524="",IF(TODAY()&gt;$J1524,"Atrasado","En ruta"),IF($K1524&lt;=$J1524,"Sí","No")))</f>
        <v/>
      </c>
      <c r="N1524" s="23">
        <f>IF($A1524="","",COUNTIFS(NOVEDADES!$C$4:$C$1503,$A1524))</f>
        <v/>
      </c>
      <c r="O1524" s="27">
        <f>IF($A1524="","",IF(COUNTIFS(NOVEDADES!$C$4:$C$1503,$A1524,NOVEDADES!$M$4:$M$1503,"SÍ")&gt;0,"No","Sí"))</f>
        <v/>
      </c>
      <c r="P1524" s="27">
        <f>IF(OR($A1524="",$K1524=""),"",IF(AND($M1524="Sí",$O1524="Sí"),"OTIF","Falló"))</f>
        <v/>
      </c>
    </row>
    <row r="1525" ht="16" customHeight="1">
      <c r="A1525" s="47" t="n"/>
      <c r="B1525" s="46" t="n"/>
      <c r="C1525" s="49" t="n"/>
      <c r="D1525" s="49" t="n"/>
      <c r="E1525" s="49" t="n"/>
      <c r="F1525" s="49" t="n"/>
      <c r="G1525" s="47" t="n"/>
      <c r="H1525" s="50" t="n"/>
      <c r="I1525" s="51" t="n"/>
      <c r="J1525" s="46" t="n"/>
      <c r="K1525" s="46" t="n"/>
      <c r="L1525" s="23">
        <f>IF(OR($A1525="",$B1525=""),"",IF($K1525&lt;&gt;"",$K1525-$B1525,TODAY()-$B1525))</f>
        <v/>
      </c>
      <c r="M1525" s="27">
        <f>IF(OR($A1525="",$J1525=""),"",IF($K1525="",IF(TODAY()&gt;$J1525,"Atrasado","En ruta"),IF($K1525&lt;=$J1525,"Sí","No")))</f>
        <v/>
      </c>
      <c r="N1525" s="23">
        <f>IF($A1525="","",COUNTIFS(NOVEDADES!$C$4:$C$1503,$A1525))</f>
        <v/>
      </c>
      <c r="O1525" s="27">
        <f>IF($A1525="","",IF(COUNTIFS(NOVEDADES!$C$4:$C$1503,$A1525,NOVEDADES!$M$4:$M$1503,"SÍ")&gt;0,"No","Sí"))</f>
        <v/>
      </c>
      <c r="P1525" s="27">
        <f>IF(OR($A1525="",$K1525=""),"",IF(AND($M1525="Sí",$O1525="Sí"),"OTIF","Falló"))</f>
        <v/>
      </c>
    </row>
    <row r="1526" ht="16" customHeight="1">
      <c r="A1526" s="47" t="n"/>
      <c r="B1526" s="46" t="n"/>
      <c r="C1526" s="49" t="n"/>
      <c r="D1526" s="49" t="n"/>
      <c r="E1526" s="49" t="n"/>
      <c r="F1526" s="49" t="n"/>
      <c r="G1526" s="47" t="n"/>
      <c r="H1526" s="50" t="n"/>
      <c r="I1526" s="51" t="n"/>
      <c r="J1526" s="46" t="n"/>
      <c r="K1526" s="46" t="n"/>
      <c r="L1526" s="23">
        <f>IF(OR($A1526="",$B1526=""),"",IF($K1526&lt;&gt;"",$K1526-$B1526,TODAY()-$B1526))</f>
        <v/>
      </c>
      <c r="M1526" s="27">
        <f>IF(OR($A1526="",$J1526=""),"",IF($K1526="",IF(TODAY()&gt;$J1526,"Atrasado","En ruta"),IF($K1526&lt;=$J1526,"Sí","No")))</f>
        <v/>
      </c>
      <c r="N1526" s="23">
        <f>IF($A1526="","",COUNTIFS(NOVEDADES!$C$4:$C$1503,$A1526))</f>
        <v/>
      </c>
      <c r="O1526" s="27">
        <f>IF($A1526="","",IF(COUNTIFS(NOVEDADES!$C$4:$C$1503,$A1526,NOVEDADES!$M$4:$M$1503,"SÍ")&gt;0,"No","Sí"))</f>
        <v/>
      </c>
      <c r="P1526" s="27">
        <f>IF(OR($A1526="",$K1526=""),"",IF(AND($M1526="Sí",$O1526="Sí"),"OTIF","Falló"))</f>
        <v/>
      </c>
    </row>
    <row r="1527" ht="16" customHeight="1">
      <c r="A1527" s="47" t="n"/>
      <c r="B1527" s="46" t="n"/>
      <c r="C1527" s="49" t="n"/>
      <c r="D1527" s="49" t="n"/>
      <c r="E1527" s="49" t="n"/>
      <c r="F1527" s="49" t="n"/>
      <c r="G1527" s="47" t="n"/>
      <c r="H1527" s="50" t="n"/>
      <c r="I1527" s="51" t="n"/>
      <c r="J1527" s="46" t="n"/>
      <c r="K1527" s="46" t="n"/>
      <c r="L1527" s="23">
        <f>IF(OR($A1527="",$B1527=""),"",IF($K1527&lt;&gt;"",$K1527-$B1527,TODAY()-$B1527))</f>
        <v/>
      </c>
      <c r="M1527" s="27">
        <f>IF(OR($A1527="",$J1527=""),"",IF($K1527="",IF(TODAY()&gt;$J1527,"Atrasado","En ruta"),IF($K1527&lt;=$J1527,"Sí","No")))</f>
        <v/>
      </c>
      <c r="N1527" s="23">
        <f>IF($A1527="","",COUNTIFS(NOVEDADES!$C$4:$C$1503,$A1527))</f>
        <v/>
      </c>
      <c r="O1527" s="27">
        <f>IF($A1527="","",IF(COUNTIFS(NOVEDADES!$C$4:$C$1503,$A1527,NOVEDADES!$M$4:$M$1503,"SÍ")&gt;0,"No","Sí"))</f>
        <v/>
      </c>
      <c r="P1527" s="27">
        <f>IF(OR($A1527="",$K1527=""),"",IF(AND($M1527="Sí",$O1527="Sí"),"OTIF","Falló"))</f>
        <v/>
      </c>
    </row>
    <row r="1528" ht="16" customHeight="1">
      <c r="A1528" s="47" t="n"/>
      <c r="B1528" s="46" t="n"/>
      <c r="C1528" s="49" t="n"/>
      <c r="D1528" s="49" t="n"/>
      <c r="E1528" s="49" t="n"/>
      <c r="F1528" s="49" t="n"/>
      <c r="G1528" s="47" t="n"/>
      <c r="H1528" s="50" t="n"/>
      <c r="I1528" s="51" t="n"/>
      <c r="J1528" s="46" t="n"/>
      <c r="K1528" s="46" t="n"/>
      <c r="L1528" s="23">
        <f>IF(OR($A1528="",$B1528=""),"",IF($K1528&lt;&gt;"",$K1528-$B1528,TODAY()-$B1528))</f>
        <v/>
      </c>
      <c r="M1528" s="27">
        <f>IF(OR($A1528="",$J1528=""),"",IF($K1528="",IF(TODAY()&gt;$J1528,"Atrasado","En ruta"),IF($K1528&lt;=$J1528,"Sí","No")))</f>
        <v/>
      </c>
      <c r="N1528" s="23">
        <f>IF($A1528="","",COUNTIFS(NOVEDADES!$C$4:$C$1503,$A1528))</f>
        <v/>
      </c>
      <c r="O1528" s="27">
        <f>IF($A1528="","",IF(COUNTIFS(NOVEDADES!$C$4:$C$1503,$A1528,NOVEDADES!$M$4:$M$1503,"SÍ")&gt;0,"No","Sí"))</f>
        <v/>
      </c>
      <c r="P1528" s="27">
        <f>IF(OR($A1528="",$K1528=""),"",IF(AND($M1528="Sí",$O1528="Sí"),"OTIF","Falló"))</f>
        <v/>
      </c>
    </row>
    <row r="1529" ht="16" customHeight="1">
      <c r="A1529" s="47" t="n"/>
      <c r="B1529" s="46" t="n"/>
      <c r="C1529" s="49" t="n"/>
      <c r="D1529" s="49" t="n"/>
      <c r="E1529" s="49" t="n"/>
      <c r="F1529" s="49" t="n"/>
      <c r="G1529" s="47" t="n"/>
      <c r="H1529" s="50" t="n"/>
      <c r="I1529" s="51" t="n"/>
      <c r="J1529" s="46" t="n"/>
      <c r="K1529" s="46" t="n"/>
      <c r="L1529" s="23">
        <f>IF(OR($A1529="",$B1529=""),"",IF($K1529&lt;&gt;"",$K1529-$B1529,TODAY()-$B1529))</f>
        <v/>
      </c>
      <c r="M1529" s="27">
        <f>IF(OR($A1529="",$J1529=""),"",IF($K1529="",IF(TODAY()&gt;$J1529,"Atrasado","En ruta"),IF($K1529&lt;=$J1529,"Sí","No")))</f>
        <v/>
      </c>
      <c r="N1529" s="23">
        <f>IF($A1529="","",COUNTIFS(NOVEDADES!$C$4:$C$1503,$A1529))</f>
        <v/>
      </c>
      <c r="O1529" s="27">
        <f>IF($A1529="","",IF(COUNTIFS(NOVEDADES!$C$4:$C$1503,$A1529,NOVEDADES!$M$4:$M$1503,"SÍ")&gt;0,"No","Sí"))</f>
        <v/>
      </c>
      <c r="P1529" s="27">
        <f>IF(OR($A1529="",$K1529=""),"",IF(AND($M1529="Sí",$O1529="Sí"),"OTIF","Falló"))</f>
        <v/>
      </c>
    </row>
    <row r="1530" ht="16" customHeight="1">
      <c r="A1530" s="47" t="n"/>
      <c r="B1530" s="46" t="n"/>
      <c r="C1530" s="49" t="n"/>
      <c r="D1530" s="49" t="n"/>
      <c r="E1530" s="49" t="n"/>
      <c r="F1530" s="49" t="n"/>
      <c r="G1530" s="47" t="n"/>
      <c r="H1530" s="50" t="n"/>
      <c r="I1530" s="51" t="n"/>
      <c r="J1530" s="46" t="n"/>
      <c r="K1530" s="46" t="n"/>
      <c r="L1530" s="23">
        <f>IF(OR($A1530="",$B1530=""),"",IF($K1530&lt;&gt;"",$K1530-$B1530,TODAY()-$B1530))</f>
        <v/>
      </c>
      <c r="M1530" s="27">
        <f>IF(OR($A1530="",$J1530=""),"",IF($K1530="",IF(TODAY()&gt;$J1530,"Atrasado","En ruta"),IF($K1530&lt;=$J1530,"Sí","No")))</f>
        <v/>
      </c>
      <c r="N1530" s="23">
        <f>IF($A1530="","",COUNTIFS(NOVEDADES!$C$4:$C$1503,$A1530))</f>
        <v/>
      </c>
      <c r="O1530" s="27">
        <f>IF($A1530="","",IF(COUNTIFS(NOVEDADES!$C$4:$C$1503,$A1530,NOVEDADES!$M$4:$M$1503,"SÍ")&gt;0,"No","Sí"))</f>
        <v/>
      </c>
      <c r="P1530" s="27">
        <f>IF(OR($A1530="",$K1530=""),"",IF(AND($M1530="Sí",$O1530="Sí"),"OTIF","Falló"))</f>
        <v/>
      </c>
    </row>
    <row r="1531" ht="16" customHeight="1">
      <c r="A1531" s="47" t="n"/>
      <c r="B1531" s="46" t="n"/>
      <c r="C1531" s="49" t="n"/>
      <c r="D1531" s="49" t="n"/>
      <c r="E1531" s="49" t="n"/>
      <c r="F1531" s="49" t="n"/>
      <c r="G1531" s="47" t="n"/>
      <c r="H1531" s="50" t="n"/>
      <c r="I1531" s="51" t="n"/>
      <c r="J1531" s="46" t="n"/>
      <c r="K1531" s="46" t="n"/>
      <c r="L1531" s="23">
        <f>IF(OR($A1531="",$B1531=""),"",IF($K1531&lt;&gt;"",$K1531-$B1531,TODAY()-$B1531))</f>
        <v/>
      </c>
      <c r="M1531" s="27">
        <f>IF(OR($A1531="",$J1531=""),"",IF($K1531="",IF(TODAY()&gt;$J1531,"Atrasado","En ruta"),IF($K1531&lt;=$J1531,"Sí","No")))</f>
        <v/>
      </c>
      <c r="N1531" s="23">
        <f>IF($A1531="","",COUNTIFS(NOVEDADES!$C$4:$C$1503,$A1531))</f>
        <v/>
      </c>
      <c r="O1531" s="27">
        <f>IF($A1531="","",IF(COUNTIFS(NOVEDADES!$C$4:$C$1503,$A1531,NOVEDADES!$M$4:$M$1503,"SÍ")&gt;0,"No","Sí"))</f>
        <v/>
      </c>
      <c r="P1531" s="27">
        <f>IF(OR($A1531="",$K1531=""),"",IF(AND($M1531="Sí",$O1531="Sí"),"OTIF","Falló"))</f>
        <v/>
      </c>
    </row>
    <row r="1532" ht="16" customHeight="1">
      <c r="A1532" s="47" t="n"/>
      <c r="B1532" s="46" t="n"/>
      <c r="C1532" s="49" t="n"/>
      <c r="D1532" s="49" t="n"/>
      <c r="E1532" s="49" t="n"/>
      <c r="F1532" s="49" t="n"/>
      <c r="G1532" s="47" t="n"/>
      <c r="H1532" s="50" t="n"/>
      <c r="I1532" s="51" t="n"/>
      <c r="J1532" s="46" t="n"/>
      <c r="K1532" s="46" t="n"/>
      <c r="L1532" s="23">
        <f>IF(OR($A1532="",$B1532=""),"",IF($K1532&lt;&gt;"",$K1532-$B1532,TODAY()-$B1532))</f>
        <v/>
      </c>
      <c r="M1532" s="27">
        <f>IF(OR($A1532="",$J1532=""),"",IF($K1532="",IF(TODAY()&gt;$J1532,"Atrasado","En ruta"),IF($K1532&lt;=$J1532,"Sí","No")))</f>
        <v/>
      </c>
      <c r="N1532" s="23">
        <f>IF($A1532="","",COUNTIFS(NOVEDADES!$C$4:$C$1503,$A1532))</f>
        <v/>
      </c>
      <c r="O1532" s="27">
        <f>IF($A1532="","",IF(COUNTIFS(NOVEDADES!$C$4:$C$1503,$A1532,NOVEDADES!$M$4:$M$1503,"SÍ")&gt;0,"No","Sí"))</f>
        <v/>
      </c>
      <c r="P1532" s="27">
        <f>IF(OR($A1532="",$K1532=""),"",IF(AND($M1532="Sí",$O1532="Sí"),"OTIF","Falló"))</f>
        <v/>
      </c>
    </row>
    <row r="1533" ht="16" customHeight="1">
      <c r="A1533" s="47" t="n"/>
      <c r="B1533" s="46" t="n"/>
      <c r="C1533" s="49" t="n"/>
      <c r="D1533" s="49" t="n"/>
      <c r="E1533" s="49" t="n"/>
      <c r="F1533" s="49" t="n"/>
      <c r="G1533" s="47" t="n"/>
      <c r="H1533" s="50" t="n"/>
      <c r="I1533" s="51" t="n"/>
      <c r="J1533" s="46" t="n"/>
      <c r="K1533" s="46" t="n"/>
      <c r="L1533" s="23">
        <f>IF(OR($A1533="",$B1533=""),"",IF($K1533&lt;&gt;"",$K1533-$B1533,TODAY()-$B1533))</f>
        <v/>
      </c>
      <c r="M1533" s="27">
        <f>IF(OR($A1533="",$J1533=""),"",IF($K1533="",IF(TODAY()&gt;$J1533,"Atrasado","En ruta"),IF($K1533&lt;=$J1533,"Sí","No")))</f>
        <v/>
      </c>
      <c r="N1533" s="23">
        <f>IF($A1533="","",COUNTIFS(NOVEDADES!$C$4:$C$1503,$A1533))</f>
        <v/>
      </c>
      <c r="O1533" s="27">
        <f>IF($A1533="","",IF(COUNTIFS(NOVEDADES!$C$4:$C$1503,$A1533,NOVEDADES!$M$4:$M$1503,"SÍ")&gt;0,"No","Sí"))</f>
        <v/>
      </c>
      <c r="P1533" s="27">
        <f>IF(OR($A1533="",$K1533=""),"",IF(AND($M1533="Sí",$O1533="Sí"),"OTIF","Falló"))</f>
        <v/>
      </c>
    </row>
    <row r="1534" ht="16" customHeight="1">
      <c r="A1534" s="47" t="n"/>
      <c r="B1534" s="46" t="n"/>
      <c r="C1534" s="49" t="n"/>
      <c r="D1534" s="49" t="n"/>
      <c r="E1534" s="49" t="n"/>
      <c r="F1534" s="49" t="n"/>
      <c r="G1534" s="47" t="n"/>
      <c r="H1534" s="50" t="n"/>
      <c r="I1534" s="51" t="n"/>
      <c r="J1534" s="46" t="n"/>
      <c r="K1534" s="46" t="n"/>
      <c r="L1534" s="23">
        <f>IF(OR($A1534="",$B1534=""),"",IF($K1534&lt;&gt;"",$K1534-$B1534,TODAY()-$B1534))</f>
        <v/>
      </c>
      <c r="M1534" s="27">
        <f>IF(OR($A1534="",$J1534=""),"",IF($K1534="",IF(TODAY()&gt;$J1534,"Atrasado","En ruta"),IF($K1534&lt;=$J1534,"Sí","No")))</f>
        <v/>
      </c>
      <c r="N1534" s="23">
        <f>IF($A1534="","",COUNTIFS(NOVEDADES!$C$4:$C$1503,$A1534))</f>
        <v/>
      </c>
      <c r="O1534" s="27">
        <f>IF($A1534="","",IF(COUNTIFS(NOVEDADES!$C$4:$C$1503,$A1534,NOVEDADES!$M$4:$M$1503,"SÍ")&gt;0,"No","Sí"))</f>
        <v/>
      </c>
      <c r="P1534" s="27">
        <f>IF(OR($A1534="",$K1534=""),"",IF(AND($M1534="Sí",$O1534="Sí"),"OTIF","Falló"))</f>
        <v/>
      </c>
    </row>
    <row r="1535" ht="16" customHeight="1">
      <c r="A1535" s="47" t="n"/>
      <c r="B1535" s="46" t="n"/>
      <c r="C1535" s="49" t="n"/>
      <c r="D1535" s="49" t="n"/>
      <c r="E1535" s="49" t="n"/>
      <c r="F1535" s="49" t="n"/>
      <c r="G1535" s="47" t="n"/>
      <c r="H1535" s="50" t="n"/>
      <c r="I1535" s="51" t="n"/>
      <c r="J1535" s="46" t="n"/>
      <c r="K1535" s="46" t="n"/>
      <c r="L1535" s="23">
        <f>IF(OR($A1535="",$B1535=""),"",IF($K1535&lt;&gt;"",$K1535-$B1535,TODAY()-$B1535))</f>
        <v/>
      </c>
      <c r="M1535" s="27">
        <f>IF(OR($A1535="",$J1535=""),"",IF($K1535="",IF(TODAY()&gt;$J1535,"Atrasado","En ruta"),IF($K1535&lt;=$J1535,"Sí","No")))</f>
        <v/>
      </c>
      <c r="N1535" s="23">
        <f>IF($A1535="","",COUNTIFS(NOVEDADES!$C$4:$C$1503,$A1535))</f>
        <v/>
      </c>
      <c r="O1535" s="27">
        <f>IF($A1535="","",IF(COUNTIFS(NOVEDADES!$C$4:$C$1503,$A1535,NOVEDADES!$M$4:$M$1503,"SÍ")&gt;0,"No","Sí"))</f>
        <v/>
      </c>
      <c r="P1535" s="27">
        <f>IF(OR($A1535="",$K1535=""),"",IF(AND($M1535="Sí",$O1535="Sí"),"OTIF","Falló"))</f>
        <v/>
      </c>
    </row>
    <row r="1536" ht="16" customHeight="1">
      <c r="A1536" s="47" t="n"/>
      <c r="B1536" s="46" t="n"/>
      <c r="C1536" s="49" t="n"/>
      <c r="D1536" s="49" t="n"/>
      <c r="E1536" s="49" t="n"/>
      <c r="F1536" s="49" t="n"/>
      <c r="G1536" s="47" t="n"/>
      <c r="H1536" s="50" t="n"/>
      <c r="I1536" s="51" t="n"/>
      <c r="J1536" s="46" t="n"/>
      <c r="K1536" s="46" t="n"/>
      <c r="L1536" s="23">
        <f>IF(OR($A1536="",$B1536=""),"",IF($K1536&lt;&gt;"",$K1536-$B1536,TODAY()-$B1536))</f>
        <v/>
      </c>
      <c r="M1536" s="27">
        <f>IF(OR($A1536="",$J1536=""),"",IF($K1536="",IF(TODAY()&gt;$J1536,"Atrasado","En ruta"),IF($K1536&lt;=$J1536,"Sí","No")))</f>
        <v/>
      </c>
      <c r="N1536" s="23">
        <f>IF($A1536="","",COUNTIFS(NOVEDADES!$C$4:$C$1503,$A1536))</f>
        <v/>
      </c>
      <c r="O1536" s="27">
        <f>IF($A1536="","",IF(COUNTIFS(NOVEDADES!$C$4:$C$1503,$A1536,NOVEDADES!$M$4:$M$1503,"SÍ")&gt;0,"No","Sí"))</f>
        <v/>
      </c>
      <c r="P1536" s="27">
        <f>IF(OR($A1536="",$K1536=""),"",IF(AND($M1536="Sí",$O1536="Sí"),"OTIF","Falló"))</f>
        <v/>
      </c>
    </row>
    <row r="1537" ht="16" customHeight="1">
      <c r="A1537" s="47" t="n"/>
      <c r="B1537" s="46" t="n"/>
      <c r="C1537" s="49" t="n"/>
      <c r="D1537" s="49" t="n"/>
      <c r="E1537" s="49" t="n"/>
      <c r="F1537" s="49" t="n"/>
      <c r="G1537" s="47" t="n"/>
      <c r="H1537" s="50" t="n"/>
      <c r="I1537" s="51" t="n"/>
      <c r="J1537" s="46" t="n"/>
      <c r="K1537" s="46" t="n"/>
      <c r="L1537" s="23">
        <f>IF(OR($A1537="",$B1537=""),"",IF($K1537&lt;&gt;"",$K1537-$B1537,TODAY()-$B1537))</f>
        <v/>
      </c>
      <c r="M1537" s="27">
        <f>IF(OR($A1537="",$J1537=""),"",IF($K1537="",IF(TODAY()&gt;$J1537,"Atrasado","En ruta"),IF($K1537&lt;=$J1537,"Sí","No")))</f>
        <v/>
      </c>
      <c r="N1537" s="23">
        <f>IF($A1537="","",COUNTIFS(NOVEDADES!$C$4:$C$1503,$A1537))</f>
        <v/>
      </c>
      <c r="O1537" s="27">
        <f>IF($A1537="","",IF(COUNTIFS(NOVEDADES!$C$4:$C$1503,$A1537,NOVEDADES!$M$4:$M$1503,"SÍ")&gt;0,"No","Sí"))</f>
        <v/>
      </c>
      <c r="P1537" s="27">
        <f>IF(OR($A1537="",$K1537=""),"",IF(AND($M1537="Sí",$O1537="Sí"),"OTIF","Falló"))</f>
        <v/>
      </c>
    </row>
    <row r="1538" ht="16" customHeight="1">
      <c r="A1538" s="47" t="n"/>
      <c r="B1538" s="46" t="n"/>
      <c r="C1538" s="49" t="n"/>
      <c r="D1538" s="49" t="n"/>
      <c r="E1538" s="49" t="n"/>
      <c r="F1538" s="49" t="n"/>
      <c r="G1538" s="47" t="n"/>
      <c r="H1538" s="50" t="n"/>
      <c r="I1538" s="51" t="n"/>
      <c r="J1538" s="46" t="n"/>
      <c r="K1538" s="46" t="n"/>
      <c r="L1538" s="23">
        <f>IF(OR($A1538="",$B1538=""),"",IF($K1538&lt;&gt;"",$K1538-$B1538,TODAY()-$B1538))</f>
        <v/>
      </c>
      <c r="M1538" s="27">
        <f>IF(OR($A1538="",$J1538=""),"",IF($K1538="",IF(TODAY()&gt;$J1538,"Atrasado","En ruta"),IF($K1538&lt;=$J1538,"Sí","No")))</f>
        <v/>
      </c>
      <c r="N1538" s="23">
        <f>IF($A1538="","",COUNTIFS(NOVEDADES!$C$4:$C$1503,$A1538))</f>
        <v/>
      </c>
      <c r="O1538" s="27">
        <f>IF($A1538="","",IF(COUNTIFS(NOVEDADES!$C$4:$C$1503,$A1538,NOVEDADES!$M$4:$M$1503,"SÍ")&gt;0,"No","Sí"))</f>
        <v/>
      </c>
      <c r="P1538" s="27">
        <f>IF(OR($A1538="",$K1538=""),"",IF(AND($M1538="Sí",$O1538="Sí"),"OTIF","Falló"))</f>
        <v/>
      </c>
    </row>
    <row r="1539" ht="16" customHeight="1">
      <c r="A1539" s="47" t="n"/>
      <c r="B1539" s="46" t="n"/>
      <c r="C1539" s="49" t="n"/>
      <c r="D1539" s="49" t="n"/>
      <c r="E1539" s="49" t="n"/>
      <c r="F1539" s="49" t="n"/>
      <c r="G1539" s="47" t="n"/>
      <c r="H1539" s="50" t="n"/>
      <c r="I1539" s="51" t="n"/>
      <c r="J1539" s="46" t="n"/>
      <c r="K1539" s="46" t="n"/>
      <c r="L1539" s="23">
        <f>IF(OR($A1539="",$B1539=""),"",IF($K1539&lt;&gt;"",$K1539-$B1539,TODAY()-$B1539))</f>
        <v/>
      </c>
      <c r="M1539" s="27">
        <f>IF(OR($A1539="",$J1539=""),"",IF($K1539="",IF(TODAY()&gt;$J1539,"Atrasado","En ruta"),IF($K1539&lt;=$J1539,"Sí","No")))</f>
        <v/>
      </c>
      <c r="N1539" s="23">
        <f>IF($A1539="","",COUNTIFS(NOVEDADES!$C$4:$C$1503,$A1539))</f>
        <v/>
      </c>
      <c r="O1539" s="27">
        <f>IF($A1539="","",IF(COUNTIFS(NOVEDADES!$C$4:$C$1503,$A1539,NOVEDADES!$M$4:$M$1503,"SÍ")&gt;0,"No","Sí"))</f>
        <v/>
      </c>
      <c r="P1539" s="27">
        <f>IF(OR($A1539="",$K1539=""),"",IF(AND($M1539="Sí",$O1539="Sí"),"OTIF","Falló"))</f>
        <v/>
      </c>
    </row>
    <row r="1540" ht="16" customHeight="1">
      <c r="A1540" s="47" t="n"/>
      <c r="B1540" s="46" t="n"/>
      <c r="C1540" s="49" t="n"/>
      <c r="D1540" s="49" t="n"/>
      <c r="E1540" s="49" t="n"/>
      <c r="F1540" s="49" t="n"/>
      <c r="G1540" s="47" t="n"/>
      <c r="H1540" s="50" t="n"/>
      <c r="I1540" s="51" t="n"/>
      <c r="J1540" s="46" t="n"/>
      <c r="K1540" s="46" t="n"/>
      <c r="L1540" s="23">
        <f>IF(OR($A1540="",$B1540=""),"",IF($K1540&lt;&gt;"",$K1540-$B1540,TODAY()-$B1540))</f>
        <v/>
      </c>
      <c r="M1540" s="27">
        <f>IF(OR($A1540="",$J1540=""),"",IF($K1540="",IF(TODAY()&gt;$J1540,"Atrasado","En ruta"),IF($K1540&lt;=$J1540,"Sí","No")))</f>
        <v/>
      </c>
      <c r="N1540" s="23">
        <f>IF($A1540="","",COUNTIFS(NOVEDADES!$C$4:$C$1503,$A1540))</f>
        <v/>
      </c>
      <c r="O1540" s="27">
        <f>IF($A1540="","",IF(COUNTIFS(NOVEDADES!$C$4:$C$1503,$A1540,NOVEDADES!$M$4:$M$1503,"SÍ")&gt;0,"No","Sí"))</f>
        <v/>
      </c>
      <c r="P1540" s="27">
        <f>IF(OR($A1540="",$K1540=""),"",IF(AND($M1540="Sí",$O1540="Sí"),"OTIF","Falló"))</f>
        <v/>
      </c>
    </row>
    <row r="1541" ht="16" customHeight="1">
      <c r="A1541" s="47" t="n"/>
      <c r="B1541" s="46" t="n"/>
      <c r="C1541" s="49" t="n"/>
      <c r="D1541" s="49" t="n"/>
      <c r="E1541" s="49" t="n"/>
      <c r="F1541" s="49" t="n"/>
      <c r="G1541" s="47" t="n"/>
      <c r="H1541" s="50" t="n"/>
      <c r="I1541" s="51" t="n"/>
      <c r="J1541" s="46" t="n"/>
      <c r="K1541" s="46" t="n"/>
      <c r="L1541" s="23">
        <f>IF(OR($A1541="",$B1541=""),"",IF($K1541&lt;&gt;"",$K1541-$B1541,TODAY()-$B1541))</f>
        <v/>
      </c>
      <c r="M1541" s="27">
        <f>IF(OR($A1541="",$J1541=""),"",IF($K1541="",IF(TODAY()&gt;$J1541,"Atrasado","En ruta"),IF($K1541&lt;=$J1541,"Sí","No")))</f>
        <v/>
      </c>
      <c r="N1541" s="23">
        <f>IF($A1541="","",COUNTIFS(NOVEDADES!$C$4:$C$1503,$A1541))</f>
        <v/>
      </c>
      <c r="O1541" s="27">
        <f>IF($A1541="","",IF(COUNTIFS(NOVEDADES!$C$4:$C$1503,$A1541,NOVEDADES!$M$4:$M$1503,"SÍ")&gt;0,"No","Sí"))</f>
        <v/>
      </c>
      <c r="P1541" s="27">
        <f>IF(OR($A1541="",$K1541=""),"",IF(AND($M1541="Sí",$O1541="Sí"),"OTIF","Falló"))</f>
        <v/>
      </c>
    </row>
    <row r="1542" ht="16" customHeight="1">
      <c r="A1542" s="47" t="n"/>
      <c r="B1542" s="46" t="n"/>
      <c r="C1542" s="49" t="n"/>
      <c r="D1542" s="49" t="n"/>
      <c r="E1542" s="49" t="n"/>
      <c r="F1542" s="49" t="n"/>
      <c r="G1542" s="47" t="n"/>
      <c r="H1542" s="50" t="n"/>
      <c r="I1542" s="51" t="n"/>
      <c r="J1542" s="46" t="n"/>
      <c r="K1542" s="46" t="n"/>
      <c r="L1542" s="23">
        <f>IF(OR($A1542="",$B1542=""),"",IF($K1542&lt;&gt;"",$K1542-$B1542,TODAY()-$B1542))</f>
        <v/>
      </c>
      <c r="M1542" s="27">
        <f>IF(OR($A1542="",$J1542=""),"",IF($K1542="",IF(TODAY()&gt;$J1542,"Atrasado","En ruta"),IF($K1542&lt;=$J1542,"Sí","No")))</f>
        <v/>
      </c>
      <c r="N1542" s="23">
        <f>IF($A1542="","",COUNTIFS(NOVEDADES!$C$4:$C$1503,$A1542))</f>
        <v/>
      </c>
      <c r="O1542" s="27">
        <f>IF($A1542="","",IF(COUNTIFS(NOVEDADES!$C$4:$C$1503,$A1542,NOVEDADES!$M$4:$M$1503,"SÍ")&gt;0,"No","Sí"))</f>
        <v/>
      </c>
      <c r="P1542" s="27">
        <f>IF(OR($A1542="",$K1542=""),"",IF(AND($M1542="Sí",$O1542="Sí"),"OTIF","Falló"))</f>
        <v/>
      </c>
    </row>
    <row r="1543" ht="16" customHeight="1">
      <c r="A1543" s="47" t="n"/>
      <c r="B1543" s="46" t="n"/>
      <c r="C1543" s="49" t="n"/>
      <c r="D1543" s="49" t="n"/>
      <c r="E1543" s="49" t="n"/>
      <c r="F1543" s="49" t="n"/>
      <c r="G1543" s="47" t="n"/>
      <c r="H1543" s="50" t="n"/>
      <c r="I1543" s="51" t="n"/>
      <c r="J1543" s="46" t="n"/>
      <c r="K1543" s="46" t="n"/>
      <c r="L1543" s="23">
        <f>IF(OR($A1543="",$B1543=""),"",IF($K1543&lt;&gt;"",$K1543-$B1543,TODAY()-$B1543))</f>
        <v/>
      </c>
      <c r="M1543" s="27">
        <f>IF(OR($A1543="",$J1543=""),"",IF($K1543="",IF(TODAY()&gt;$J1543,"Atrasado","En ruta"),IF($K1543&lt;=$J1543,"Sí","No")))</f>
        <v/>
      </c>
      <c r="N1543" s="23">
        <f>IF($A1543="","",COUNTIFS(NOVEDADES!$C$4:$C$1503,$A1543))</f>
        <v/>
      </c>
      <c r="O1543" s="27">
        <f>IF($A1543="","",IF(COUNTIFS(NOVEDADES!$C$4:$C$1503,$A1543,NOVEDADES!$M$4:$M$1503,"SÍ")&gt;0,"No","Sí"))</f>
        <v/>
      </c>
      <c r="P1543" s="27">
        <f>IF(OR($A1543="",$K1543=""),"",IF(AND($M1543="Sí",$O1543="Sí"),"OTIF","Falló"))</f>
        <v/>
      </c>
    </row>
    <row r="1544" ht="16" customHeight="1">
      <c r="A1544" s="47" t="n"/>
      <c r="B1544" s="46" t="n"/>
      <c r="C1544" s="49" t="n"/>
      <c r="D1544" s="49" t="n"/>
      <c r="E1544" s="49" t="n"/>
      <c r="F1544" s="49" t="n"/>
      <c r="G1544" s="47" t="n"/>
      <c r="H1544" s="50" t="n"/>
      <c r="I1544" s="51" t="n"/>
      <c r="J1544" s="46" t="n"/>
      <c r="K1544" s="46" t="n"/>
      <c r="L1544" s="23">
        <f>IF(OR($A1544="",$B1544=""),"",IF($K1544&lt;&gt;"",$K1544-$B1544,TODAY()-$B1544))</f>
        <v/>
      </c>
      <c r="M1544" s="27">
        <f>IF(OR($A1544="",$J1544=""),"",IF($K1544="",IF(TODAY()&gt;$J1544,"Atrasado","En ruta"),IF($K1544&lt;=$J1544,"Sí","No")))</f>
        <v/>
      </c>
      <c r="N1544" s="23">
        <f>IF($A1544="","",COUNTIFS(NOVEDADES!$C$4:$C$1503,$A1544))</f>
        <v/>
      </c>
      <c r="O1544" s="27">
        <f>IF($A1544="","",IF(COUNTIFS(NOVEDADES!$C$4:$C$1503,$A1544,NOVEDADES!$M$4:$M$1503,"SÍ")&gt;0,"No","Sí"))</f>
        <v/>
      </c>
      <c r="P1544" s="27">
        <f>IF(OR($A1544="",$K1544=""),"",IF(AND($M1544="Sí",$O1544="Sí"),"OTIF","Falló"))</f>
        <v/>
      </c>
    </row>
    <row r="1545" ht="16" customHeight="1">
      <c r="A1545" s="47" t="n"/>
      <c r="B1545" s="46" t="n"/>
      <c r="C1545" s="49" t="n"/>
      <c r="D1545" s="49" t="n"/>
      <c r="E1545" s="49" t="n"/>
      <c r="F1545" s="49" t="n"/>
      <c r="G1545" s="47" t="n"/>
      <c r="H1545" s="50" t="n"/>
      <c r="I1545" s="51" t="n"/>
      <c r="J1545" s="46" t="n"/>
      <c r="K1545" s="46" t="n"/>
      <c r="L1545" s="23">
        <f>IF(OR($A1545="",$B1545=""),"",IF($K1545&lt;&gt;"",$K1545-$B1545,TODAY()-$B1545))</f>
        <v/>
      </c>
      <c r="M1545" s="27">
        <f>IF(OR($A1545="",$J1545=""),"",IF($K1545="",IF(TODAY()&gt;$J1545,"Atrasado","En ruta"),IF($K1545&lt;=$J1545,"Sí","No")))</f>
        <v/>
      </c>
      <c r="N1545" s="23">
        <f>IF($A1545="","",COUNTIFS(NOVEDADES!$C$4:$C$1503,$A1545))</f>
        <v/>
      </c>
      <c r="O1545" s="27">
        <f>IF($A1545="","",IF(COUNTIFS(NOVEDADES!$C$4:$C$1503,$A1545,NOVEDADES!$M$4:$M$1503,"SÍ")&gt;0,"No","Sí"))</f>
        <v/>
      </c>
      <c r="P1545" s="27">
        <f>IF(OR($A1545="",$K1545=""),"",IF(AND($M1545="Sí",$O1545="Sí"),"OTIF","Falló"))</f>
        <v/>
      </c>
    </row>
    <row r="1546" ht="16" customHeight="1">
      <c r="A1546" s="47" t="n"/>
      <c r="B1546" s="46" t="n"/>
      <c r="C1546" s="49" t="n"/>
      <c r="D1546" s="49" t="n"/>
      <c r="E1546" s="49" t="n"/>
      <c r="F1546" s="49" t="n"/>
      <c r="G1546" s="47" t="n"/>
      <c r="H1546" s="50" t="n"/>
      <c r="I1546" s="51" t="n"/>
      <c r="J1546" s="46" t="n"/>
      <c r="K1546" s="46" t="n"/>
      <c r="L1546" s="23">
        <f>IF(OR($A1546="",$B1546=""),"",IF($K1546&lt;&gt;"",$K1546-$B1546,TODAY()-$B1546))</f>
        <v/>
      </c>
      <c r="M1546" s="27">
        <f>IF(OR($A1546="",$J1546=""),"",IF($K1546="",IF(TODAY()&gt;$J1546,"Atrasado","En ruta"),IF($K1546&lt;=$J1546,"Sí","No")))</f>
        <v/>
      </c>
      <c r="N1546" s="23">
        <f>IF($A1546="","",COUNTIFS(NOVEDADES!$C$4:$C$1503,$A1546))</f>
        <v/>
      </c>
      <c r="O1546" s="27">
        <f>IF($A1546="","",IF(COUNTIFS(NOVEDADES!$C$4:$C$1503,$A1546,NOVEDADES!$M$4:$M$1503,"SÍ")&gt;0,"No","Sí"))</f>
        <v/>
      </c>
      <c r="P1546" s="27">
        <f>IF(OR($A1546="",$K1546=""),"",IF(AND($M1546="Sí",$O1546="Sí"),"OTIF","Falló"))</f>
        <v/>
      </c>
    </row>
    <row r="1547" ht="16" customHeight="1">
      <c r="A1547" s="47" t="n"/>
      <c r="B1547" s="46" t="n"/>
      <c r="C1547" s="49" t="n"/>
      <c r="D1547" s="49" t="n"/>
      <c r="E1547" s="49" t="n"/>
      <c r="F1547" s="49" t="n"/>
      <c r="G1547" s="47" t="n"/>
      <c r="H1547" s="50" t="n"/>
      <c r="I1547" s="51" t="n"/>
      <c r="J1547" s="46" t="n"/>
      <c r="K1547" s="46" t="n"/>
      <c r="L1547" s="23">
        <f>IF(OR($A1547="",$B1547=""),"",IF($K1547&lt;&gt;"",$K1547-$B1547,TODAY()-$B1547))</f>
        <v/>
      </c>
      <c r="M1547" s="27">
        <f>IF(OR($A1547="",$J1547=""),"",IF($K1547="",IF(TODAY()&gt;$J1547,"Atrasado","En ruta"),IF($K1547&lt;=$J1547,"Sí","No")))</f>
        <v/>
      </c>
      <c r="N1547" s="23">
        <f>IF($A1547="","",COUNTIFS(NOVEDADES!$C$4:$C$1503,$A1547))</f>
        <v/>
      </c>
      <c r="O1547" s="27">
        <f>IF($A1547="","",IF(COUNTIFS(NOVEDADES!$C$4:$C$1503,$A1547,NOVEDADES!$M$4:$M$1503,"SÍ")&gt;0,"No","Sí"))</f>
        <v/>
      </c>
      <c r="P1547" s="27">
        <f>IF(OR($A1547="",$K1547=""),"",IF(AND($M1547="Sí",$O1547="Sí"),"OTIF","Falló"))</f>
        <v/>
      </c>
    </row>
    <row r="1548" ht="16" customHeight="1">
      <c r="A1548" s="47" t="n"/>
      <c r="B1548" s="46" t="n"/>
      <c r="C1548" s="49" t="n"/>
      <c r="D1548" s="49" t="n"/>
      <c r="E1548" s="49" t="n"/>
      <c r="F1548" s="49" t="n"/>
      <c r="G1548" s="47" t="n"/>
      <c r="H1548" s="50" t="n"/>
      <c r="I1548" s="51" t="n"/>
      <c r="J1548" s="46" t="n"/>
      <c r="K1548" s="46" t="n"/>
      <c r="L1548" s="23">
        <f>IF(OR($A1548="",$B1548=""),"",IF($K1548&lt;&gt;"",$K1548-$B1548,TODAY()-$B1548))</f>
        <v/>
      </c>
      <c r="M1548" s="27">
        <f>IF(OR($A1548="",$J1548=""),"",IF($K1548="",IF(TODAY()&gt;$J1548,"Atrasado","En ruta"),IF($K1548&lt;=$J1548,"Sí","No")))</f>
        <v/>
      </c>
      <c r="N1548" s="23">
        <f>IF($A1548="","",COUNTIFS(NOVEDADES!$C$4:$C$1503,$A1548))</f>
        <v/>
      </c>
      <c r="O1548" s="27">
        <f>IF($A1548="","",IF(COUNTIFS(NOVEDADES!$C$4:$C$1503,$A1548,NOVEDADES!$M$4:$M$1503,"SÍ")&gt;0,"No","Sí"))</f>
        <v/>
      </c>
      <c r="P1548" s="27">
        <f>IF(OR($A1548="",$K1548=""),"",IF(AND($M1548="Sí",$O1548="Sí"),"OTIF","Falló"))</f>
        <v/>
      </c>
    </row>
    <row r="1549" ht="16" customHeight="1">
      <c r="A1549" s="47" t="n"/>
      <c r="B1549" s="46" t="n"/>
      <c r="C1549" s="49" t="n"/>
      <c r="D1549" s="49" t="n"/>
      <c r="E1549" s="49" t="n"/>
      <c r="F1549" s="49" t="n"/>
      <c r="G1549" s="47" t="n"/>
      <c r="H1549" s="50" t="n"/>
      <c r="I1549" s="51" t="n"/>
      <c r="J1549" s="46" t="n"/>
      <c r="K1549" s="46" t="n"/>
      <c r="L1549" s="23">
        <f>IF(OR($A1549="",$B1549=""),"",IF($K1549&lt;&gt;"",$K1549-$B1549,TODAY()-$B1549))</f>
        <v/>
      </c>
      <c r="M1549" s="27">
        <f>IF(OR($A1549="",$J1549=""),"",IF($K1549="",IF(TODAY()&gt;$J1549,"Atrasado","En ruta"),IF($K1549&lt;=$J1549,"Sí","No")))</f>
        <v/>
      </c>
      <c r="N1549" s="23">
        <f>IF($A1549="","",COUNTIFS(NOVEDADES!$C$4:$C$1503,$A1549))</f>
        <v/>
      </c>
      <c r="O1549" s="27">
        <f>IF($A1549="","",IF(COUNTIFS(NOVEDADES!$C$4:$C$1503,$A1549,NOVEDADES!$M$4:$M$1503,"SÍ")&gt;0,"No","Sí"))</f>
        <v/>
      </c>
      <c r="P1549" s="27">
        <f>IF(OR($A1549="",$K1549=""),"",IF(AND($M1549="Sí",$O1549="Sí"),"OTIF","Falló"))</f>
        <v/>
      </c>
    </row>
    <row r="1550" ht="16" customHeight="1">
      <c r="A1550" s="47" t="n"/>
      <c r="B1550" s="46" t="n"/>
      <c r="C1550" s="49" t="n"/>
      <c r="D1550" s="49" t="n"/>
      <c r="E1550" s="49" t="n"/>
      <c r="F1550" s="49" t="n"/>
      <c r="G1550" s="47" t="n"/>
      <c r="H1550" s="50" t="n"/>
      <c r="I1550" s="51" t="n"/>
      <c r="J1550" s="46" t="n"/>
      <c r="K1550" s="46" t="n"/>
      <c r="L1550" s="23">
        <f>IF(OR($A1550="",$B1550=""),"",IF($K1550&lt;&gt;"",$K1550-$B1550,TODAY()-$B1550))</f>
        <v/>
      </c>
      <c r="M1550" s="27">
        <f>IF(OR($A1550="",$J1550=""),"",IF($K1550="",IF(TODAY()&gt;$J1550,"Atrasado","En ruta"),IF($K1550&lt;=$J1550,"Sí","No")))</f>
        <v/>
      </c>
      <c r="N1550" s="23">
        <f>IF($A1550="","",COUNTIFS(NOVEDADES!$C$4:$C$1503,$A1550))</f>
        <v/>
      </c>
      <c r="O1550" s="27">
        <f>IF($A1550="","",IF(COUNTIFS(NOVEDADES!$C$4:$C$1503,$A1550,NOVEDADES!$M$4:$M$1503,"SÍ")&gt;0,"No","Sí"))</f>
        <v/>
      </c>
      <c r="P1550" s="27">
        <f>IF(OR($A1550="",$K1550=""),"",IF(AND($M1550="Sí",$O1550="Sí"),"OTIF","Falló"))</f>
        <v/>
      </c>
    </row>
    <row r="1551" ht="16" customHeight="1">
      <c r="A1551" s="47" t="n"/>
      <c r="B1551" s="46" t="n"/>
      <c r="C1551" s="49" t="n"/>
      <c r="D1551" s="49" t="n"/>
      <c r="E1551" s="49" t="n"/>
      <c r="F1551" s="49" t="n"/>
      <c r="G1551" s="47" t="n"/>
      <c r="H1551" s="50" t="n"/>
      <c r="I1551" s="51" t="n"/>
      <c r="J1551" s="46" t="n"/>
      <c r="K1551" s="46" t="n"/>
      <c r="L1551" s="23">
        <f>IF(OR($A1551="",$B1551=""),"",IF($K1551&lt;&gt;"",$K1551-$B1551,TODAY()-$B1551))</f>
        <v/>
      </c>
      <c r="M1551" s="27">
        <f>IF(OR($A1551="",$J1551=""),"",IF($K1551="",IF(TODAY()&gt;$J1551,"Atrasado","En ruta"),IF($K1551&lt;=$J1551,"Sí","No")))</f>
        <v/>
      </c>
      <c r="N1551" s="23">
        <f>IF($A1551="","",COUNTIFS(NOVEDADES!$C$4:$C$1503,$A1551))</f>
        <v/>
      </c>
      <c r="O1551" s="27">
        <f>IF($A1551="","",IF(COUNTIFS(NOVEDADES!$C$4:$C$1503,$A1551,NOVEDADES!$M$4:$M$1503,"SÍ")&gt;0,"No","Sí"))</f>
        <v/>
      </c>
      <c r="P1551" s="27">
        <f>IF(OR($A1551="",$K1551=""),"",IF(AND($M1551="Sí",$O1551="Sí"),"OTIF","Falló"))</f>
        <v/>
      </c>
    </row>
    <row r="1552" ht="16" customHeight="1">
      <c r="A1552" s="47" t="n"/>
      <c r="B1552" s="46" t="n"/>
      <c r="C1552" s="49" t="n"/>
      <c r="D1552" s="49" t="n"/>
      <c r="E1552" s="49" t="n"/>
      <c r="F1552" s="49" t="n"/>
      <c r="G1552" s="47" t="n"/>
      <c r="H1552" s="50" t="n"/>
      <c r="I1552" s="51" t="n"/>
      <c r="J1552" s="46" t="n"/>
      <c r="K1552" s="46" t="n"/>
      <c r="L1552" s="23">
        <f>IF(OR($A1552="",$B1552=""),"",IF($K1552&lt;&gt;"",$K1552-$B1552,TODAY()-$B1552))</f>
        <v/>
      </c>
      <c r="M1552" s="27">
        <f>IF(OR($A1552="",$J1552=""),"",IF($K1552="",IF(TODAY()&gt;$J1552,"Atrasado","En ruta"),IF($K1552&lt;=$J1552,"Sí","No")))</f>
        <v/>
      </c>
      <c r="N1552" s="23">
        <f>IF($A1552="","",COUNTIFS(NOVEDADES!$C$4:$C$1503,$A1552))</f>
        <v/>
      </c>
      <c r="O1552" s="27">
        <f>IF($A1552="","",IF(COUNTIFS(NOVEDADES!$C$4:$C$1503,$A1552,NOVEDADES!$M$4:$M$1503,"SÍ")&gt;0,"No","Sí"))</f>
        <v/>
      </c>
      <c r="P1552" s="27">
        <f>IF(OR($A1552="",$K1552=""),"",IF(AND($M1552="Sí",$O1552="Sí"),"OTIF","Falló"))</f>
        <v/>
      </c>
    </row>
    <row r="1553" ht="16" customHeight="1">
      <c r="A1553" s="47" t="n"/>
      <c r="B1553" s="46" t="n"/>
      <c r="C1553" s="49" t="n"/>
      <c r="D1553" s="49" t="n"/>
      <c r="E1553" s="49" t="n"/>
      <c r="F1553" s="49" t="n"/>
      <c r="G1553" s="47" t="n"/>
      <c r="H1553" s="50" t="n"/>
      <c r="I1553" s="51" t="n"/>
      <c r="J1553" s="46" t="n"/>
      <c r="K1553" s="46" t="n"/>
      <c r="L1553" s="23">
        <f>IF(OR($A1553="",$B1553=""),"",IF($K1553&lt;&gt;"",$K1553-$B1553,TODAY()-$B1553))</f>
        <v/>
      </c>
      <c r="M1553" s="27">
        <f>IF(OR($A1553="",$J1553=""),"",IF($K1553="",IF(TODAY()&gt;$J1553,"Atrasado","En ruta"),IF($K1553&lt;=$J1553,"Sí","No")))</f>
        <v/>
      </c>
      <c r="N1553" s="23">
        <f>IF($A1553="","",COUNTIFS(NOVEDADES!$C$4:$C$1503,$A1553))</f>
        <v/>
      </c>
      <c r="O1553" s="27">
        <f>IF($A1553="","",IF(COUNTIFS(NOVEDADES!$C$4:$C$1503,$A1553,NOVEDADES!$M$4:$M$1503,"SÍ")&gt;0,"No","Sí"))</f>
        <v/>
      </c>
      <c r="P1553" s="27">
        <f>IF(OR($A1553="",$K1553=""),"",IF(AND($M1553="Sí",$O1553="Sí"),"OTIF","Falló"))</f>
        <v/>
      </c>
    </row>
    <row r="1554" ht="16" customHeight="1">
      <c r="A1554" s="47" t="n"/>
      <c r="B1554" s="46" t="n"/>
      <c r="C1554" s="49" t="n"/>
      <c r="D1554" s="49" t="n"/>
      <c r="E1554" s="49" t="n"/>
      <c r="F1554" s="49" t="n"/>
      <c r="G1554" s="47" t="n"/>
      <c r="H1554" s="50" t="n"/>
      <c r="I1554" s="51" t="n"/>
      <c r="J1554" s="46" t="n"/>
      <c r="K1554" s="46" t="n"/>
      <c r="L1554" s="23">
        <f>IF(OR($A1554="",$B1554=""),"",IF($K1554&lt;&gt;"",$K1554-$B1554,TODAY()-$B1554))</f>
        <v/>
      </c>
      <c r="M1554" s="27">
        <f>IF(OR($A1554="",$J1554=""),"",IF($K1554="",IF(TODAY()&gt;$J1554,"Atrasado","En ruta"),IF($K1554&lt;=$J1554,"Sí","No")))</f>
        <v/>
      </c>
      <c r="N1554" s="23">
        <f>IF($A1554="","",COUNTIFS(NOVEDADES!$C$4:$C$1503,$A1554))</f>
        <v/>
      </c>
      <c r="O1554" s="27">
        <f>IF($A1554="","",IF(COUNTIFS(NOVEDADES!$C$4:$C$1503,$A1554,NOVEDADES!$M$4:$M$1503,"SÍ")&gt;0,"No","Sí"))</f>
        <v/>
      </c>
      <c r="P1554" s="27">
        <f>IF(OR($A1554="",$K1554=""),"",IF(AND($M1554="Sí",$O1554="Sí"),"OTIF","Falló"))</f>
        <v/>
      </c>
    </row>
    <row r="1555" ht="16" customHeight="1">
      <c r="A1555" s="47" t="n"/>
      <c r="B1555" s="46" t="n"/>
      <c r="C1555" s="49" t="n"/>
      <c r="D1555" s="49" t="n"/>
      <c r="E1555" s="49" t="n"/>
      <c r="F1555" s="49" t="n"/>
      <c r="G1555" s="47" t="n"/>
      <c r="H1555" s="50" t="n"/>
      <c r="I1555" s="51" t="n"/>
      <c r="J1555" s="46" t="n"/>
      <c r="K1555" s="46" t="n"/>
      <c r="L1555" s="23">
        <f>IF(OR($A1555="",$B1555=""),"",IF($K1555&lt;&gt;"",$K1555-$B1555,TODAY()-$B1555))</f>
        <v/>
      </c>
      <c r="M1555" s="27">
        <f>IF(OR($A1555="",$J1555=""),"",IF($K1555="",IF(TODAY()&gt;$J1555,"Atrasado","En ruta"),IF($K1555&lt;=$J1555,"Sí","No")))</f>
        <v/>
      </c>
      <c r="N1555" s="23">
        <f>IF($A1555="","",COUNTIFS(NOVEDADES!$C$4:$C$1503,$A1555))</f>
        <v/>
      </c>
      <c r="O1555" s="27">
        <f>IF($A1555="","",IF(COUNTIFS(NOVEDADES!$C$4:$C$1503,$A1555,NOVEDADES!$M$4:$M$1503,"SÍ")&gt;0,"No","Sí"))</f>
        <v/>
      </c>
      <c r="P1555" s="27">
        <f>IF(OR($A1555="",$K1555=""),"",IF(AND($M1555="Sí",$O1555="Sí"),"OTIF","Falló"))</f>
        <v/>
      </c>
    </row>
    <row r="1556" ht="16" customHeight="1">
      <c r="A1556" s="47" t="n"/>
      <c r="B1556" s="46" t="n"/>
      <c r="C1556" s="49" t="n"/>
      <c r="D1556" s="49" t="n"/>
      <c r="E1556" s="49" t="n"/>
      <c r="F1556" s="49" t="n"/>
      <c r="G1556" s="47" t="n"/>
      <c r="H1556" s="50" t="n"/>
      <c r="I1556" s="51" t="n"/>
      <c r="J1556" s="46" t="n"/>
      <c r="K1556" s="46" t="n"/>
      <c r="L1556" s="23">
        <f>IF(OR($A1556="",$B1556=""),"",IF($K1556&lt;&gt;"",$K1556-$B1556,TODAY()-$B1556))</f>
        <v/>
      </c>
      <c r="M1556" s="27">
        <f>IF(OR($A1556="",$J1556=""),"",IF($K1556="",IF(TODAY()&gt;$J1556,"Atrasado","En ruta"),IF($K1556&lt;=$J1556,"Sí","No")))</f>
        <v/>
      </c>
      <c r="N1556" s="23">
        <f>IF($A1556="","",COUNTIFS(NOVEDADES!$C$4:$C$1503,$A1556))</f>
        <v/>
      </c>
      <c r="O1556" s="27">
        <f>IF($A1556="","",IF(COUNTIFS(NOVEDADES!$C$4:$C$1503,$A1556,NOVEDADES!$M$4:$M$1503,"SÍ")&gt;0,"No","Sí"))</f>
        <v/>
      </c>
      <c r="P1556" s="27">
        <f>IF(OR($A1556="",$K1556=""),"",IF(AND($M1556="Sí",$O1556="Sí"),"OTIF","Falló"))</f>
        <v/>
      </c>
    </row>
    <row r="1557" ht="16" customHeight="1">
      <c r="A1557" s="47" t="n"/>
      <c r="B1557" s="46" t="n"/>
      <c r="C1557" s="49" t="n"/>
      <c r="D1557" s="49" t="n"/>
      <c r="E1557" s="49" t="n"/>
      <c r="F1557" s="49" t="n"/>
      <c r="G1557" s="47" t="n"/>
      <c r="H1557" s="50" t="n"/>
      <c r="I1557" s="51" t="n"/>
      <c r="J1557" s="46" t="n"/>
      <c r="K1557" s="46" t="n"/>
      <c r="L1557" s="23">
        <f>IF(OR($A1557="",$B1557=""),"",IF($K1557&lt;&gt;"",$K1557-$B1557,TODAY()-$B1557))</f>
        <v/>
      </c>
      <c r="M1557" s="27">
        <f>IF(OR($A1557="",$J1557=""),"",IF($K1557="",IF(TODAY()&gt;$J1557,"Atrasado","En ruta"),IF($K1557&lt;=$J1557,"Sí","No")))</f>
        <v/>
      </c>
      <c r="N1557" s="23">
        <f>IF($A1557="","",COUNTIFS(NOVEDADES!$C$4:$C$1503,$A1557))</f>
        <v/>
      </c>
      <c r="O1557" s="27">
        <f>IF($A1557="","",IF(COUNTIFS(NOVEDADES!$C$4:$C$1503,$A1557,NOVEDADES!$M$4:$M$1503,"SÍ")&gt;0,"No","Sí"))</f>
        <v/>
      </c>
      <c r="P1557" s="27">
        <f>IF(OR($A1557="",$K1557=""),"",IF(AND($M1557="Sí",$O1557="Sí"),"OTIF","Falló"))</f>
        <v/>
      </c>
    </row>
    <row r="1558" ht="16" customHeight="1">
      <c r="A1558" s="47" t="n"/>
      <c r="B1558" s="46" t="n"/>
      <c r="C1558" s="49" t="n"/>
      <c r="D1558" s="49" t="n"/>
      <c r="E1558" s="49" t="n"/>
      <c r="F1558" s="49" t="n"/>
      <c r="G1558" s="47" t="n"/>
      <c r="H1558" s="50" t="n"/>
      <c r="I1558" s="51" t="n"/>
      <c r="J1558" s="46" t="n"/>
      <c r="K1558" s="46" t="n"/>
      <c r="L1558" s="23">
        <f>IF(OR($A1558="",$B1558=""),"",IF($K1558&lt;&gt;"",$K1558-$B1558,TODAY()-$B1558))</f>
        <v/>
      </c>
      <c r="M1558" s="27">
        <f>IF(OR($A1558="",$J1558=""),"",IF($K1558="",IF(TODAY()&gt;$J1558,"Atrasado","En ruta"),IF($K1558&lt;=$J1558,"Sí","No")))</f>
        <v/>
      </c>
      <c r="N1558" s="23">
        <f>IF($A1558="","",COUNTIFS(NOVEDADES!$C$4:$C$1503,$A1558))</f>
        <v/>
      </c>
      <c r="O1558" s="27">
        <f>IF($A1558="","",IF(COUNTIFS(NOVEDADES!$C$4:$C$1503,$A1558,NOVEDADES!$M$4:$M$1503,"SÍ")&gt;0,"No","Sí"))</f>
        <v/>
      </c>
      <c r="P1558" s="27">
        <f>IF(OR($A1558="",$K1558=""),"",IF(AND($M1558="Sí",$O1558="Sí"),"OTIF","Falló"))</f>
        <v/>
      </c>
    </row>
    <row r="1559" ht="16" customHeight="1">
      <c r="A1559" s="47" t="n"/>
      <c r="B1559" s="46" t="n"/>
      <c r="C1559" s="49" t="n"/>
      <c r="D1559" s="49" t="n"/>
      <c r="E1559" s="49" t="n"/>
      <c r="F1559" s="49" t="n"/>
      <c r="G1559" s="47" t="n"/>
      <c r="H1559" s="50" t="n"/>
      <c r="I1559" s="51" t="n"/>
      <c r="J1559" s="46" t="n"/>
      <c r="K1559" s="46" t="n"/>
      <c r="L1559" s="23">
        <f>IF(OR($A1559="",$B1559=""),"",IF($K1559&lt;&gt;"",$K1559-$B1559,TODAY()-$B1559))</f>
        <v/>
      </c>
      <c r="M1559" s="27">
        <f>IF(OR($A1559="",$J1559=""),"",IF($K1559="",IF(TODAY()&gt;$J1559,"Atrasado","En ruta"),IF($K1559&lt;=$J1559,"Sí","No")))</f>
        <v/>
      </c>
      <c r="N1559" s="23">
        <f>IF($A1559="","",COUNTIFS(NOVEDADES!$C$4:$C$1503,$A1559))</f>
        <v/>
      </c>
      <c r="O1559" s="27">
        <f>IF($A1559="","",IF(COUNTIFS(NOVEDADES!$C$4:$C$1503,$A1559,NOVEDADES!$M$4:$M$1503,"SÍ")&gt;0,"No","Sí"))</f>
        <v/>
      </c>
      <c r="P1559" s="27">
        <f>IF(OR($A1559="",$K1559=""),"",IF(AND($M1559="Sí",$O1559="Sí"),"OTIF","Falló"))</f>
        <v/>
      </c>
    </row>
    <row r="1560" ht="16" customHeight="1">
      <c r="A1560" s="47" t="n"/>
      <c r="B1560" s="46" t="n"/>
      <c r="C1560" s="49" t="n"/>
      <c r="D1560" s="49" t="n"/>
      <c r="E1560" s="49" t="n"/>
      <c r="F1560" s="49" t="n"/>
      <c r="G1560" s="47" t="n"/>
      <c r="H1560" s="50" t="n"/>
      <c r="I1560" s="51" t="n"/>
      <c r="J1560" s="46" t="n"/>
      <c r="K1560" s="46" t="n"/>
      <c r="L1560" s="23">
        <f>IF(OR($A1560="",$B1560=""),"",IF($K1560&lt;&gt;"",$K1560-$B1560,TODAY()-$B1560))</f>
        <v/>
      </c>
      <c r="M1560" s="27">
        <f>IF(OR($A1560="",$J1560=""),"",IF($K1560="",IF(TODAY()&gt;$J1560,"Atrasado","En ruta"),IF($K1560&lt;=$J1560,"Sí","No")))</f>
        <v/>
      </c>
      <c r="N1560" s="23">
        <f>IF($A1560="","",COUNTIFS(NOVEDADES!$C$4:$C$1503,$A1560))</f>
        <v/>
      </c>
      <c r="O1560" s="27">
        <f>IF($A1560="","",IF(COUNTIFS(NOVEDADES!$C$4:$C$1503,$A1560,NOVEDADES!$M$4:$M$1503,"SÍ")&gt;0,"No","Sí"))</f>
        <v/>
      </c>
      <c r="P1560" s="27">
        <f>IF(OR($A1560="",$K1560=""),"",IF(AND($M1560="Sí",$O1560="Sí"),"OTIF","Falló"))</f>
        <v/>
      </c>
    </row>
    <row r="1561" ht="16" customHeight="1">
      <c r="A1561" s="47" t="n"/>
      <c r="B1561" s="46" t="n"/>
      <c r="C1561" s="49" t="n"/>
      <c r="D1561" s="49" t="n"/>
      <c r="E1561" s="49" t="n"/>
      <c r="F1561" s="49" t="n"/>
      <c r="G1561" s="47" t="n"/>
      <c r="H1561" s="50" t="n"/>
      <c r="I1561" s="51" t="n"/>
      <c r="J1561" s="46" t="n"/>
      <c r="K1561" s="46" t="n"/>
      <c r="L1561" s="23">
        <f>IF(OR($A1561="",$B1561=""),"",IF($K1561&lt;&gt;"",$K1561-$B1561,TODAY()-$B1561))</f>
        <v/>
      </c>
      <c r="M1561" s="27">
        <f>IF(OR($A1561="",$J1561=""),"",IF($K1561="",IF(TODAY()&gt;$J1561,"Atrasado","En ruta"),IF($K1561&lt;=$J1561,"Sí","No")))</f>
        <v/>
      </c>
      <c r="N1561" s="23">
        <f>IF($A1561="","",COUNTIFS(NOVEDADES!$C$4:$C$1503,$A1561))</f>
        <v/>
      </c>
      <c r="O1561" s="27">
        <f>IF($A1561="","",IF(COUNTIFS(NOVEDADES!$C$4:$C$1503,$A1561,NOVEDADES!$M$4:$M$1503,"SÍ")&gt;0,"No","Sí"))</f>
        <v/>
      </c>
      <c r="P1561" s="27">
        <f>IF(OR($A1561="",$K1561=""),"",IF(AND($M1561="Sí",$O1561="Sí"),"OTIF","Falló"))</f>
        <v/>
      </c>
    </row>
    <row r="1562" ht="16" customHeight="1">
      <c r="A1562" s="47" t="n"/>
      <c r="B1562" s="46" t="n"/>
      <c r="C1562" s="49" t="n"/>
      <c r="D1562" s="49" t="n"/>
      <c r="E1562" s="49" t="n"/>
      <c r="F1562" s="49" t="n"/>
      <c r="G1562" s="47" t="n"/>
      <c r="H1562" s="50" t="n"/>
      <c r="I1562" s="51" t="n"/>
      <c r="J1562" s="46" t="n"/>
      <c r="K1562" s="46" t="n"/>
      <c r="L1562" s="23">
        <f>IF(OR($A1562="",$B1562=""),"",IF($K1562&lt;&gt;"",$K1562-$B1562,TODAY()-$B1562))</f>
        <v/>
      </c>
      <c r="M1562" s="27">
        <f>IF(OR($A1562="",$J1562=""),"",IF($K1562="",IF(TODAY()&gt;$J1562,"Atrasado","En ruta"),IF($K1562&lt;=$J1562,"Sí","No")))</f>
        <v/>
      </c>
      <c r="N1562" s="23">
        <f>IF($A1562="","",COUNTIFS(NOVEDADES!$C$4:$C$1503,$A1562))</f>
        <v/>
      </c>
      <c r="O1562" s="27">
        <f>IF($A1562="","",IF(COUNTIFS(NOVEDADES!$C$4:$C$1503,$A1562,NOVEDADES!$M$4:$M$1503,"SÍ")&gt;0,"No","Sí"))</f>
        <v/>
      </c>
      <c r="P1562" s="27">
        <f>IF(OR($A1562="",$K1562=""),"",IF(AND($M1562="Sí",$O1562="Sí"),"OTIF","Falló"))</f>
        <v/>
      </c>
    </row>
    <row r="1563" ht="16" customHeight="1">
      <c r="A1563" s="47" t="n"/>
      <c r="B1563" s="46" t="n"/>
      <c r="C1563" s="49" t="n"/>
      <c r="D1563" s="49" t="n"/>
      <c r="E1563" s="49" t="n"/>
      <c r="F1563" s="49" t="n"/>
      <c r="G1563" s="47" t="n"/>
      <c r="H1563" s="50" t="n"/>
      <c r="I1563" s="51" t="n"/>
      <c r="J1563" s="46" t="n"/>
      <c r="K1563" s="46" t="n"/>
      <c r="L1563" s="23">
        <f>IF(OR($A1563="",$B1563=""),"",IF($K1563&lt;&gt;"",$K1563-$B1563,TODAY()-$B1563))</f>
        <v/>
      </c>
      <c r="M1563" s="27">
        <f>IF(OR($A1563="",$J1563=""),"",IF($K1563="",IF(TODAY()&gt;$J1563,"Atrasado","En ruta"),IF($K1563&lt;=$J1563,"Sí","No")))</f>
        <v/>
      </c>
      <c r="N1563" s="23">
        <f>IF($A1563="","",COUNTIFS(NOVEDADES!$C$4:$C$1503,$A1563))</f>
        <v/>
      </c>
      <c r="O1563" s="27">
        <f>IF($A1563="","",IF(COUNTIFS(NOVEDADES!$C$4:$C$1503,$A1563,NOVEDADES!$M$4:$M$1503,"SÍ")&gt;0,"No","Sí"))</f>
        <v/>
      </c>
      <c r="P1563" s="27">
        <f>IF(OR($A1563="",$K1563=""),"",IF(AND($M1563="Sí",$O1563="Sí"),"OTIF","Falló"))</f>
        <v/>
      </c>
    </row>
    <row r="1564" ht="16" customHeight="1">
      <c r="A1564" s="47" t="n"/>
      <c r="B1564" s="46" t="n"/>
      <c r="C1564" s="49" t="n"/>
      <c r="D1564" s="49" t="n"/>
      <c r="E1564" s="49" t="n"/>
      <c r="F1564" s="49" t="n"/>
      <c r="G1564" s="47" t="n"/>
      <c r="H1564" s="50" t="n"/>
      <c r="I1564" s="51" t="n"/>
      <c r="J1564" s="46" t="n"/>
      <c r="K1564" s="46" t="n"/>
      <c r="L1564" s="23">
        <f>IF(OR($A1564="",$B1564=""),"",IF($K1564&lt;&gt;"",$K1564-$B1564,TODAY()-$B1564))</f>
        <v/>
      </c>
      <c r="M1564" s="27">
        <f>IF(OR($A1564="",$J1564=""),"",IF($K1564="",IF(TODAY()&gt;$J1564,"Atrasado","En ruta"),IF($K1564&lt;=$J1564,"Sí","No")))</f>
        <v/>
      </c>
      <c r="N1564" s="23">
        <f>IF($A1564="","",COUNTIFS(NOVEDADES!$C$4:$C$1503,$A1564))</f>
        <v/>
      </c>
      <c r="O1564" s="27">
        <f>IF($A1564="","",IF(COUNTIFS(NOVEDADES!$C$4:$C$1503,$A1564,NOVEDADES!$M$4:$M$1503,"SÍ")&gt;0,"No","Sí"))</f>
        <v/>
      </c>
      <c r="P1564" s="27">
        <f>IF(OR($A1564="",$K1564=""),"",IF(AND($M1564="Sí",$O1564="Sí"),"OTIF","Falló"))</f>
        <v/>
      </c>
    </row>
    <row r="1565" ht="16" customHeight="1">
      <c r="A1565" s="47" t="n"/>
      <c r="B1565" s="46" t="n"/>
      <c r="C1565" s="49" t="n"/>
      <c r="D1565" s="49" t="n"/>
      <c r="E1565" s="49" t="n"/>
      <c r="F1565" s="49" t="n"/>
      <c r="G1565" s="47" t="n"/>
      <c r="H1565" s="50" t="n"/>
      <c r="I1565" s="51" t="n"/>
      <c r="J1565" s="46" t="n"/>
      <c r="K1565" s="46" t="n"/>
      <c r="L1565" s="23">
        <f>IF(OR($A1565="",$B1565=""),"",IF($K1565&lt;&gt;"",$K1565-$B1565,TODAY()-$B1565))</f>
        <v/>
      </c>
      <c r="M1565" s="27">
        <f>IF(OR($A1565="",$J1565=""),"",IF($K1565="",IF(TODAY()&gt;$J1565,"Atrasado","En ruta"),IF($K1565&lt;=$J1565,"Sí","No")))</f>
        <v/>
      </c>
      <c r="N1565" s="23">
        <f>IF($A1565="","",COUNTIFS(NOVEDADES!$C$4:$C$1503,$A1565))</f>
        <v/>
      </c>
      <c r="O1565" s="27">
        <f>IF($A1565="","",IF(COUNTIFS(NOVEDADES!$C$4:$C$1503,$A1565,NOVEDADES!$M$4:$M$1503,"SÍ")&gt;0,"No","Sí"))</f>
        <v/>
      </c>
      <c r="P1565" s="27">
        <f>IF(OR($A1565="",$K1565=""),"",IF(AND($M1565="Sí",$O1565="Sí"),"OTIF","Falló"))</f>
        <v/>
      </c>
    </row>
    <row r="1566" ht="16" customHeight="1">
      <c r="A1566" s="47" t="n"/>
      <c r="B1566" s="46" t="n"/>
      <c r="C1566" s="49" t="n"/>
      <c r="D1566" s="49" t="n"/>
      <c r="E1566" s="49" t="n"/>
      <c r="F1566" s="49" t="n"/>
      <c r="G1566" s="47" t="n"/>
      <c r="H1566" s="50" t="n"/>
      <c r="I1566" s="51" t="n"/>
      <c r="J1566" s="46" t="n"/>
      <c r="K1566" s="46" t="n"/>
      <c r="L1566" s="23">
        <f>IF(OR($A1566="",$B1566=""),"",IF($K1566&lt;&gt;"",$K1566-$B1566,TODAY()-$B1566))</f>
        <v/>
      </c>
      <c r="M1566" s="27">
        <f>IF(OR($A1566="",$J1566=""),"",IF($K1566="",IF(TODAY()&gt;$J1566,"Atrasado","En ruta"),IF($K1566&lt;=$J1566,"Sí","No")))</f>
        <v/>
      </c>
      <c r="N1566" s="23">
        <f>IF($A1566="","",COUNTIFS(NOVEDADES!$C$4:$C$1503,$A1566))</f>
        <v/>
      </c>
      <c r="O1566" s="27">
        <f>IF($A1566="","",IF(COUNTIFS(NOVEDADES!$C$4:$C$1503,$A1566,NOVEDADES!$M$4:$M$1503,"SÍ")&gt;0,"No","Sí"))</f>
        <v/>
      </c>
      <c r="P1566" s="27">
        <f>IF(OR($A1566="",$K1566=""),"",IF(AND($M1566="Sí",$O1566="Sí"),"OTIF","Falló"))</f>
        <v/>
      </c>
    </row>
    <row r="1567" ht="16" customHeight="1">
      <c r="A1567" s="47" t="n"/>
      <c r="B1567" s="46" t="n"/>
      <c r="C1567" s="49" t="n"/>
      <c r="D1567" s="49" t="n"/>
      <c r="E1567" s="49" t="n"/>
      <c r="F1567" s="49" t="n"/>
      <c r="G1567" s="47" t="n"/>
      <c r="H1567" s="50" t="n"/>
      <c r="I1567" s="51" t="n"/>
      <c r="J1567" s="46" t="n"/>
      <c r="K1567" s="46" t="n"/>
      <c r="L1567" s="23">
        <f>IF(OR($A1567="",$B1567=""),"",IF($K1567&lt;&gt;"",$K1567-$B1567,TODAY()-$B1567))</f>
        <v/>
      </c>
      <c r="M1567" s="27">
        <f>IF(OR($A1567="",$J1567=""),"",IF($K1567="",IF(TODAY()&gt;$J1567,"Atrasado","En ruta"),IF($K1567&lt;=$J1567,"Sí","No")))</f>
        <v/>
      </c>
      <c r="N1567" s="23">
        <f>IF($A1567="","",COUNTIFS(NOVEDADES!$C$4:$C$1503,$A1567))</f>
        <v/>
      </c>
      <c r="O1567" s="27">
        <f>IF($A1567="","",IF(COUNTIFS(NOVEDADES!$C$4:$C$1503,$A1567,NOVEDADES!$M$4:$M$1503,"SÍ")&gt;0,"No","Sí"))</f>
        <v/>
      </c>
      <c r="P1567" s="27">
        <f>IF(OR($A1567="",$K1567=""),"",IF(AND($M1567="Sí",$O1567="Sí"),"OTIF","Falló"))</f>
        <v/>
      </c>
    </row>
    <row r="1568" ht="16" customHeight="1">
      <c r="A1568" s="47" t="n"/>
      <c r="B1568" s="46" t="n"/>
      <c r="C1568" s="49" t="n"/>
      <c r="D1568" s="49" t="n"/>
      <c r="E1568" s="49" t="n"/>
      <c r="F1568" s="49" t="n"/>
      <c r="G1568" s="47" t="n"/>
      <c r="H1568" s="50" t="n"/>
      <c r="I1568" s="51" t="n"/>
      <c r="J1568" s="46" t="n"/>
      <c r="K1568" s="46" t="n"/>
      <c r="L1568" s="23">
        <f>IF(OR($A1568="",$B1568=""),"",IF($K1568&lt;&gt;"",$K1568-$B1568,TODAY()-$B1568))</f>
        <v/>
      </c>
      <c r="M1568" s="27">
        <f>IF(OR($A1568="",$J1568=""),"",IF($K1568="",IF(TODAY()&gt;$J1568,"Atrasado","En ruta"),IF($K1568&lt;=$J1568,"Sí","No")))</f>
        <v/>
      </c>
      <c r="N1568" s="23">
        <f>IF($A1568="","",COUNTIFS(NOVEDADES!$C$4:$C$1503,$A1568))</f>
        <v/>
      </c>
      <c r="O1568" s="27">
        <f>IF($A1568="","",IF(COUNTIFS(NOVEDADES!$C$4:$C$1503,$A1568,NOVEDADES!$M$4:$M$1503,"SÍ")&gt;0,"No","Sí"))</f>
        <v/>
      </c>
      <c r="P1568" s="27">
        <f>IF(OR($A1568="",$K1568=""),"",IF(AND($M1568="Sí",$O1568="Sí"),"OTIF","Falló"))</f>
        <v/>
      </c>
    </row>
    <row r="1569" ht="16" customHeight="1">
      <c r="A1569" s="47" t="n"/>
      <c r="B1569" s="46" t="n"/>
      <c r="C1569" s="49" t="n"/>
      <c r="D1569" s="49" t="n"/>
      <c r="E1569" s="49" t="n"/>
      <c r="F1569" s="49" t="n"/>
      <c r="G1569" s="47" t="n"/>
      <c r="H1569" s="50" t="n"/>
      <c r="I1569" s="51" t="n"/>
      <c r="J1569" s="46" t="n"/>
      <c r="K1569" s="46" t="n"/>
      <c r="L1569" s="23">
        <f>IF(OR($A1569="",$B1569=""),"",IF($K1569&lt;&gt;"",$K1569-$B1569,TODAY()-$B1569))</f>
        <v/>
      </c>
      <c r="M1569" s="27">
        <f>IF(OR($A1569="",$J1569=""),"",IF($K1569="",IF(TODAY()&gt;$J1569,"Atrasado","En ruta"),IF($K1569&lt;=$J1569,"Sí","No")))</f>
        <v/>
      </c>
      <c r="N1569" s="23">
        <f>IF($A1569="","",COUNTIFS(NOVEDADES!$C$4:$C$1503,$A1569))</f>
        <v/>
      </c>
      <c r="O1569" s="27">
        <f>IF($A1569="","",IF(COUNTIFS(NOVEDADES!$C$4:$C$1503,$A1569,NOVEDADES!$M$4:$M$1503,"SÍ")&gt;0,"No","Sí"))</f>
        <v/>
      </c>
      <c r="P1569" s="27">
        <f>IF(OR($A1569="",$K1569=""),"",IF(AND($M1569="Sí",$O1569="Sí"),"OTIF","Falló"))</f>
        <v/>
      </c>
    </row>
    <row r="1570" ht="16" customHeight="1">
      <c r="A1570" s="47" t="n"/>
      <c r="B1570" s="46" t="n"/>
      <c r="C1570" s="49" t="n"/>
      <c r="D1570" s="49" t="n"/>
      <c r="E1570" s="49" t="n"/>
      <c r="F1570" s="49" t="n"/>
      <c r="G1570" s="47" t="n"/>
      <c r="H1570" s="50" t="n"/>
      <c r="I1570" s="51" t="n"/>
      <c r="J1570" s="46" t="n"/>
      <c r="K1570" s="46" t="n"/>
      <c r="L1570" s="23">
        <f>IF(OR($A1570="",$B1570=""),"",IF($K1570&lt;&gt;"",$K1570-$B1570,TODAY()-$B1570))</f>
        <v/>
      </c>
      <c r="M1570" s="27">
        <f>IF(OR($A1570="",$J1570=""),"",IF($K1570="",IF(TODAY()&gt;$J1570,"Atrasado","En ruta"),IF($K1570&lt;=$J1570,"Sí","No")))</f>
        <v/>
      </c>
      <c r="N1570" s="23">
        <f>IF($A1570="","",COUNTIFS(NOVEDADES!$C$4:$C$1503,$A1570))</f>
        <v/>
      </c>
      <c r="O1570" s="27">
        <f>IF($A1570="","",IF(COUNTIFS(NOVEDADES!$C$4:$C$1503,$A1570,NOVEDADES!$M$4:$M$1503,"SÍ")&gt;0,"No","Sí"))</f>
        <v/>
      </c>
      <c r="P1570" s="27">
        <f>IF(OR($A1570="",$K1570=""),"",IF(AND($M1570="Sí",$O1570="Sí"),"OTIF","Falló"))</f>
        <v/>
      </c>
    </row>
    <row r="1571" ht="16" customHeight="1">
      <c r="A1571" s="47" t="n"/>
      <c r="B1571" s="46" t="n"/>
      <c r="C1571" s="49" t="n"/>
      <c r="D1571" s="49" t="n"/>
      <c r="E1571" s="49" t="n"/>
      <c r="F1571" s="49" t="n"/>
      <c r="G1571" s="47" t="n"/>
      <c r="H1571" s="50" t="n"/>
      <c r="I1571" s="51" t="n"/>
      <c r="J1571" s="46" t="n"/>
      <c r="K1571" s="46" t="n"/>
      <c r="L1571" s="23">
        <f>IF(OR($A1571="",$B1571=""),"",IF($K1571&lt;&gt;"",$K1571-$B1571,TODAY()-$B1571))</f>
        <v/>
      </c>
      <c r="M1571" s="27">
        <f>IF(OR($A1571="",$J1571=""),"",IF($K1571="",IF(TODAY()&gt;$J1571,"Atrasado","En ruta"),IF($K1571&lt;=$J1571,"Sí","No")))</f>
        <v/>
      </c>
      <c r="N1571" s="23">
        <f>IF($A1571="","",COUNTIFS(NOVEDADES!$C$4:$C$1503,$A1571))</f>
        <v/>
      </c>
      <c r="O1571" s="27">
        <f>IF($A1571="","",IF(COUNTIFS(NOVEDADES!$C$4:$C$1503,$A1571,NOVEDADES!$M$4:$M$1503,"SÍ")&gt;0,"No","Sí"))</f>
        <v/>
      </c>
      <c r="P1571" s="27">
        <f>IF(OR($A1571="",$K1571=""),"",IF(AND($M1571="Sí",$O1571="Sí"),"OTIF","Falló"))</f>
        <v/>
      </c>
    </row>
    <row r="1572" ht="16" customHeight="1">
      <c r="A1572" s="47" t="n"/>
      <c r="B1572" s="46" t="n"/>
      <c r="C1572" s="49" t="n"/>
      <c r="D1572" s="49" t="n"/>
      <c r="E1572" s="49" t="n"/>
      <c r="F1572" s="49" t="n"/>
      <c r="G1572" s="47" t="n"/>
      <c r="H1572" s="50" t="n"/>
      <c r="I1572" s="51" t="n"/>
      <c r="J1572" s="46" t="n"/>
      <c r="K1572" s="46" t="n"/>
      <c r="L1572" s="23">
        <f>IF(OR($A1572="",$B1572=""),"",IF($K1572&lt;&gt;"",$K1572-$B1572,TODAY()-$B1572))</f>
        <v/>
      </c>
      <c r="M1572" s="27">
        <f>IF(OR($A1572="",$J1572=""),"",IF($K1572="",IF(TODAY()&gt;$J1572,"Atrasado","En ruta"),IF($K1572&lt;=$J1572,"Sí","No")))</f>
        <v/>
      </c>
      <c r="N1572" s="23">
        <f>IF($A1572="","",COUNTIFS(NOVEDADES!$C$4:$C$1503,$A1572))</f>
        <v/>
      </c>
      <c r="O1572" s="27">
        <f>IF($A1572="","",IF(COUNTIFS(NOVEDADES!$C$4:$C$1503,$A1572,NOVEDADES!$M$4:$M$1503,"SÍ")&gt;0,"No","Sí"))</f>
        <v/>
      </c>
      <c r="P1572" s="27">
        <f>IF(OR($A1572="",$K1572=""),"",IF(AND($M1572="Sí",$O1572="Sí"),"OTIF","Falló"))</f>
        <v/>
      </c>
    </row>
    <row r="1573" ht="16" customHeight="1">
      <c r="A1573" s="47" t="n"/>
      <c r="B1573" s="46" t="n"/>
      <c r="C1573" s="49" t="n"/>
      <c r="D1573" s="49" t="n"/>
      <c r="E1573" s="49" t="n"/>
      <c r="F1573" s="49" t="n"/>
      <c r="G1573" s="47" t="n"/>
      <c r="H1573" s="50" t="n"/>
      <c r="I1573" s="51" t="n"/>
      <c r="J1573" s="46" t="n"/>
      <c r="K1573" s="46" t="n"/>
      <c r="L1573" s="23">
        <f>IF(OR($A1573="",$B1573=""),"",IF($K1573&lt;&gt;"",$K1573-$B1573,TODAY()-$B1573))</f>
        <v/>
      </c>
      <c r="M1573" s="27">
        <f>IF(OR($A1573="",$J1573=""),"",IF($K1573="",IF(TODAY()&gt;$J1573,"Atrasado","En ruta"),IF($K1573&lt;=$J1573,"Sí","No")))</f>
        <v/>
      </c>
      <c r="N1573" s="23">
        <f>IF($A1573="","",COUNTIFS(NOVEDADES!$C$4:$C$1503,$A1573))</f>
        <v/>
      </c>
      <c r="O1573" s="27">
        <f>IF($A1573="","",IF(COUNTIFS(NOVEDADES!$C$4:$C$1503,$A1573,NOVEDADES!$M$4:$M$1503,"SÍ")&gt;0,"No","Sí"))</f>
        <v/>
      </c>
      <c r="P1573" s="27">
        <f>IF(OR($A1573="",$K1573=""),"",IF(AND($M1573="Sí",$O1573="Sí"),"OTIF","Falló"))</f>
        <v/>
      </c>
    </row>
    <row r="1574" ht="16" customHeight="1">
      <c r="A1574" s="47" t="n"/>
      <c r="B1574" s="46" t="n"/>
      <c r="C1574" s="49" t="n"/>
      <c r="D1574" s="49" t="n"/>
      <c r="E1574" s="49" t="n"/>
      <c r="F1574" s="49" t="n"/>
      <c r="G1574" s="47" t="n"/>
      <c r="H1574" s="50" t="n"/>
      <c r="I1574" s="51" t="n"/>
      <c r="J1574" s="46" t="n"/>
      <c r="K1574" s="46" t="n"/>
      <c r="L1574" s="23">
        <f>IF(OR($A1574="",$B1574=""),"",IF($K1574&lt;&gt;"",$K1574-$B1574,TODAY()-$B1574))</f>
        <v/>
      </c>
      <c r="M1574" s="27">
        <f>IF(OR($A1574="",$J1574=""),"",IF($K1574="",IF(TODAY()&gt;$J1574,"Atrasado","En ruta"),IF($K1574&lt;=$J1574,"Sí","No")))</f>
        <v/>
      </c>
      <c r="N1574" s="23">
        <f>IF($A1574="","",COUNTIFS(NOVEDADES!$C$4:$C$1503,$A1574))</f>
        <v/>
      </c>
      <c r="O1574" s="27">
        <f>IF($A1574="","",IF(COUNTIFS(NOVEDADES!$C$4:$C$1503,$A1574,NOVEDADES!$M$4:$M$1503,"SÍ")&gt;0,"No","Sí"))</f>
        <v/>
      </c>
      <c r="P1574" s="27">
        <f>IF(OR($A1574="",$K1574=""),"",IF(AND($M1574="Sí",$O1574="Sí"),"OTIF","Falló"))</f>
        <v/>
      </c>
    </row>
    <row r="1575" ht="16" customHeight="1">
      <c r="A1575" s="47" t="n"/>
      <c r="B1575" s="46" t="n"/>
      <c r="C1575" s="49" t="n"/>
      <c r="D1575" s="49" t="n"/>
      <c r="E1575" s="49" t="n"/>
      <c r="F1575" s="49" t="n"/>
      <c r="G1575" s="47" t="n"/>
      <c r="H1575" s="50" t="n"/>
      <c r="I1575" s="51" t="n"/>
      <c r="J1575" s="46" t="n"/>
      <c r="K1575" s="46" t="n"/>
      <c r="L1575" s="23">
        <f>IF(OR($A1575="",$B1575=""),"",IF($K1575&lt;&gt;"",$K1575-$B1575,TODAY()-$B1575))</f>
        <v/>
      </c>
      <c r="M1575" s="27">
        <f>IF(OR($A1575="",$J1575=""),"",IF($K1575="",IF(TODAY()&gt;$J1575,"Atrasado","En ruta"),IF($K1575&lt;=$J1575,"Sí","No")))</f>
        <v/>
      </c>
      <c r="N1575" s="23">
        <f>IF($A1575="","",COUNTIFS(NOVEDADES!$C$4:$C$1503,$A1575))</f>
        <v/>
      </c>
      <c r="O1575" s="27">
        <f>IF($A1575="","",IF(COUNTIFS(NOVEDADES!$C$4:$C$1503,$A1575,NOVEDADES!$M$4:$M$1503,"SÍ")&gt;0,"No","Sí"))</f>
        <v/>
      </c>
      <c r="P1575" s="27">
        <f>IF(OR($A1575="",$K1575=""),"",IF(AND($M1575="Sí",$O1575="Sí"),"OTIF","Falló"))</f>
        <v/>
      </c>
    </row>
    <row r="1576" ht="16" customHeight="1">
      <c r="A1576" s="47" t="n"/>
      <c r="B1576" s="46" t="n"/>
      <c r="C1576" s="49" t="n"/>
      <c r="D1576" s="49" t="n"/>
      <c r="E1576" s="49" t="n"/>
      <c r="F1576" s="49" t="n"/>
      <c r="G1576" s="47" t="n"/>
      <c r="H1576" s="50" t="n"/>
      <c r="I1576" s="51" t="n"/>
      <c r="J1576" s="46" t="n"/>
      <c r="K1576" s="46" t="n"/>
      <c r="L1576" s="23">
        <f>IF(OR($A1576="",$B1576=""),"",IF($K1576&lt;&gt;"",$K1576-$B1576,TODAY()-$B1576))</f>
        <v/>
      </c>
      <c r="M1576" s="27">
        <f>IF(OR($A1576="",$J1576=""),"",IF($K1576="",IF(TODAY()&gt;$J1576,"Atrasado","En ruta"),IF($K1576&lt;=$J1576,"Sí","No")))</f>
        <v/>
      </c>
      <c r="N1576" s="23">
        <f>IF($A1576="","",COUNTIFS(NOVEDADES!$C$4:$C$1503,$A1576))</f>
        <v/>
      </c>
      <c r="O1576" s="27">
        <f>IF($A1576="","",IF(COUNTIFS(NOVEDADES!$C$4:$C$1503,$A1576,NOVEDADES!$M$4:$M$1503,"SÍ")&gt;0,"No","Sí"))</f>
        <v/>
      </c>
      <c r="P1576" s="27">
        <f>IF(OR($A1576="",$K1576=""),"",IF(AND($M1576="Sí",$O1576="Sí"),"OTIF","Falló"))</f>
        <v/>
      </c>
    </row>
    <row r="1577" ht="16" customHeight="1">
      <c r="A1577" s="47" t="n"/>
      <c r="B1577" s="46" t="n"/>
      <c r="C1577" s="49" t="n"/>
      <c r="D1577" s="49" t="n"/>
      <c r="E1577" s="49" t="n"/>
      <c r="F1577" s="49" t="n"/>
      <c r="G1577" s="47" t="n"/>
      <c r="H1577" s="50" t="n"/>
      <c r="I1577" s="51" t="n"/>
      <c r="J1577" s="46" t="n"/>
      <c r="K1577" s="46" t="n"/>
      <c r="L1577" s="23">
        <f>IF(OR($A1577="",$B1577=""),"",IF($K1577&lt;&gt;"",$K1577-$B1577,TODAY()-$B1577))</f>
        <v/>
      </c>
      <c r="M1577" s="27">
        <f>IF(OR($A1577="",$J1577=""),"",IF($K1577="",IF(TODAY()&gt;$J1577,"Atrasado","En ruta"),IF($K1577&lt;=$J1577,"Sí","No")))</f>
        <v/>
      </c>
      <c r="N1577" s="23">
        <f>IF($A1577="","",COUNTIFS(NOVEDADES!$C$4:$C$1503,$A1577))</f>
        <v/>
      </c>
      <c r="O1577" s="27">
        <f>IF($A1577="","",IF(COUNTIFS(NOVEDADES!$C$4:$C$1503,$A1577,NOVEDADES!$M$4:$M$1503,"SÍ")&gt;0,"No","Sí"))</f>
        <v/>
      </c>
      <c r="P1577" s="27">
        <f>IF(OR($A1577="",$K1577=""),"",IF(AND($M1577="Sí",$O1577="Sí"),"OTIF","Falló"))</f>
        <v/>
      </c>
    </row>
    <row r="1578" ht="16" customHeight="1">
      <c r="A1578" s="47" t="n"/>
      <c r="B1578" s="46" t="n"/>
      <c r="C1578" s="49" t="n"/>
      <c r="D1578" s="49" t="n"/>
      <c r="E1578" s="49" t="n"/>
      <c r="F1578" s="49" t="n"/>
      <c r="G1578" s="47" t="n"/>
      <c r="H1578" s="50" t="n"/>
      <c r="I1578" s="51" t="n"/>
      <c r="J1578" s="46" t="n"/>
      <c r="K1578" s="46" t="n"/>
      <c r="L1578" s="23">
        <f>IF(OR($A1578="",$B1578=""),"",IF($K1578&lt;&gt;"",$K1578-$B1578,TODAY()-$B1578))</f>
        <v/>
      </c>
      <c r="M1578" s="27">
        <f>IF(OR($A1578="",$J1578=""),"",IF($K1578="",IF(TODAY()&gt;$J1578,"Atrasado","En ruta"),IF($K1578&lt;=$J1578,"Sí","No")))</f>
        <v/>
      </c>
      <c r="N1578" s="23">
        <f>IF($A1578="","",COUNTIFS(NOVEDADES!$C$4:$C$1503,$A1578))</f>
        <v/>
      </c>
      <c r="O1578" s="27">
        <f>IF($A1578="","",IF(COUNTIFS(NOVEDADES!$C$4:$C$1503,$A1578,NOVEDADES!$M$4:$M$1503,"SÍ")&gt;0,"No","Sí"))</f>
        <v/>
      </c>
      <c r="P1578" s="27">
        <f>IF(OR($A1578="",$K1578=""),"",IF(AND($M1578="Sí",$O1578="Sí"),"OTIF","Falló"))</f>
        <v/>
      </c>
    </row>
    <row r="1579" ht="16" customHeight="1">
      <c r="A1579" s="47" t="n"/>
      <c r="B1579" s="46" t="n"/>
      <c r="C1579" s="49" t="n"/>
      <c r="D1579" s="49" t="n"/>
      <c r="E1579" s="49" t="n"/>
      <c r="F1579" s="49" t="n"/>
      <c r="G1579" s="47" t="n"/>
      <c r="H1579" s="50" t="n"/>
      <c r="I1579" s="51" t="n"/>
      <c r="J1579" s="46" t="n"/>
      <c r="K1579" s="46" t="n"/>
      <c r="L1579" s="23">
        <f>IF(OR($A1579="",$B1579=""),"",IF($K1579&lt;&gt;"",$K1579-$B1579,TODAY()-$B1579))</f>
        <v/>
      </c>
      <c r="M1579" s="27">
        <f>IF(OR($A1579="",$J1579=""),"",IF($K1579="",IF(TODAY()&gt;$J1579,"Atrasado","En ruta"),IF($K1579&lt;=$J1579,"Sí","No")))</f>
        <v/>
      </c>
      <c r="N1579" s="23">
        <f>IF($A1579="","",COUNTIFS(NOVEDADES!$C$4:$C$1503,$A1579))</f>
        <v/>
      </c>
      <c r="O1579" s="27">
        <f>IF($A1579="","",IF(COUNTIFS(NOVEDADES!$C$4:$C$1503,$A1579,NOVEDADES!$M$4:$M$1503,"SÍ")&gt;0,"No","Sí"))</f>
        <v/>
      </c>
      <c r="P1579" s="27">
        <f>IF(OR($A1579="",$K1579=""),"",IF(AND($M1579="Sí",$O1579="Sí"),"OTIF","Falló"))</f>
        <v/>
      </c>
    </row>
    <row r="1580" ht="16" customHeight="1">
      <c r="A1580" s="47" t="n"/>
      <c r="B1580" s="46" t="n"/>
      <c r="C1580" s="49" t="n"/>
      <c r="D1580" s="49" t="n"/>
      <c r="E1580" s="49" t="n"/>
      <c r="F1580" s="49" t="n"/>
      <c r="G1580" s="47" t="n"/>
      <c r="H1580" s="50" t="n"/>
      <c r="I1580" s="51" t="n"/>
      <c r="J1580" s="46" t="n"/>
      <c r="K1580" s="46" t="n"/>
      <c r="L1580" s="23">
        <f>IF(OR($A1580="",$B1580=""),"",IF($K1580&lt;&gt;"",$K1580-$B1580,TODAY()-$B1580))</f>
        <v/>
      </c>
      <c r="M1580" s="27">
        <f>IF(OR($A1580="",$J1580=""),"",IF($K1580="",IF(TODAY()&gt;$J1580,"Atrasado","En ruta"),IF($K1580&lt;=$J1580,"Sí","No")))</f>
        <v/>
      </c>
      <c r="N1580" s="23">
        <f>IF($A1580="","",COUNTIFS(NOVEDADES!$C$4:$C$1503,$A1580))</f>
        <v/>
      </c>
      <c r="O1580" s="27">
        <f>IF($A1580="","",IF(COUNTIFS(NOVEDADES!$C$4:$C$1503,$A1580,NOVEDADES!$M$4:$M$1503,"SÍ")&gt;0,"No","Sí"))</f>
        <v/>
      </c>
      <c r="P1580" s="27">
        <f>IF(OR($A1580="",$K1580=""),"",IF(AND($M1580="Sí",$O1580="Sí"),"OTIF","Falló"))</f>
        <v/>
      </c>
    </row>
    <row r="1581" ht="16" customHeight="1">
      <c r="A1581" s="47" t="n"/>
      <c r="B1581" s="46" t="n"/>
      <c r="C1581" s="49" t="n"/>
      <c r="D1581" s="49" t="n"/>
      <c r="E1581" s="49" t="n"/>
      <c r="F1581" s="49" t="n"/>
      <c r="G1581" s="47" t="n"/>
      <c r="H1581" s="50" t="n"/>
      <c r="I1581" s="51" t="n"/>
      <c r="J1581" s="46" t="n"/>
      <c r="K1581" s="46" t="n"/>
      <c r="L1581" s="23">
        <f>IF(OR($A1581="",$B1581=""),"",IF($K1581&lt;&gt;"",$K1581-$B1581,TODAY()-$B1581))</f>
        <v/>
      </c>
      <c r="M1581" s="27">
        <f>IF(OR($A1581="",$J1581=""),"",IF($K1581="",IF(TODAY()&gt;$J1581,"Atrasado","En ruta"),IF($K1581&lt;=$J1581,"Sí","No")))</f>
        <v/>
      </c>
      <c r="N1581" s="23">
        <f>IF($A1581="","",COUNTIFS(NOVEDADES!$C$4:$C$1503,$A1581))</f>
        <v/>
      </c>
      <c r="O1581" s="27">
        <f>IF($A1581="","",IF(COUNTIFS(NOVEDADES!$C$4:$C$1503,$A1581,NOVEDADES!$M$4:$M$1503,"SÍ")&gt;0,"No","Sí"))</f>
        <v/>
      </c>
      <c r="P1581" s="27">
        <f>IF(OR($A1581="",$K1581=""),"",IF(AND($M1581="Sí",$O1581="Sí"),"OTIF","Falló"))</f>
        <v/>
      </c>
    </row>
    <row r="1582" ht="16" customHeight="1">
      <c r="A1582" s="47" t="n"/>
      <c r="B1582" s="46" t="n"/>
      <c r="C1582" s="49" t="n"/>
      <c r="D1582" s="49" t="n"/>
      <c r="E1582" s="49" t="n"/>
      <c r="F1582" s="49" t="n"/>
      <c r="G1582" s="47" t="n"/>
      <c r="H1582" s="50" t="n"/>
      <c r="I1582" s="51" t="n"/>
      <c r="J1582" s="46" t="n"/>
      <c r="K1582" s="46" t="n"/>
      <c r="L1582" s="23">
        <f>IF(OR($A1582="",$B1582=""),"",IF($K1582&lt;&gt;"",$K1582-$B1582,TODAY()-$B1582))</f>
        <v/>
      </c>
      <c r="M1582" s="27">
        <f>IF(OR($A1582="",$J1582=""),"",IF($K1582="",IF(TODAY()&gt;$J1582,"Atrasado","En ruta"),IF($K1582&lt;=$J1582,"Sí","No")))</f>
        <v/>
      </c>
      <c r="N1582" s="23">
        <f>IF($A1582="","",COUNTIFS(NOVEDADES!$C$4:$C$1503,$A1582))</f>
        <v/>
      </c>
      <c r="O1582" s="27">
        <f>IF($A1582="","",IF(COUNTIFS(NOVEDADES!$C$4:$C$1503,$A1582,NOVEDADES!$M$4:$M$1503,"SÍ")&gt;0,"No","Sí"))</f>
        <v/>
      </c>
      <c r="P1582" s="27">
        <f>IF(OR($A1582="",$K1582=""),"",IF(AND($M1582="Sí",$O1582="Sí"),"OTIF","Falló"))</f>
        <v/>
      </c>
    </row>
    <row r="1583" ht="16" customHeight="1">
      <c r="A1583" s="47" t="n"/>
      <c r="B1583" s="46" t="n"/>
      <c r="C1583" s="49" t="n"/>
      <c r="D1583" s="49" t="n"/>
      <c r="E1583" s="49" t="n"/>
      <c r="F1583" s="49" t="n"/>
      <c r="G1583" s="47" t="n"/>
      <c r="H1583" s="50" t="n"/>
      <c r="I1583" s="51" t="n"/>
      <c r="J1583" s="46" t="n"/>
      <c r="K1583" s="46" t="n"/>
      <c r="L1583" s="23">
        <f>IF(OR($A1583="",$B1583=""),"",IF($K1583&lt;&gt;"",$K1583-$B1583,TODAY()-$B1583))</f>
        <v/>
      </c>
      <c r="M1583" s="27">
        <f>IF(OR($A1583="",$J1583=""),"",IF($K1583="",IF(TODAY()&gt;$J1583,"Atrasado","En ruta"),IF($K1583&lt;=$J1583,"Sí","No")))</f>
        <v/>
      </c>
      <c r="N1583" s="23">
        <f>IF($A1583="","",COUNTIFS(NOVEDADES!$C$4:$C$1503,$A1583))</f>
        <v/>
      </c>
      <c r="O1583" s="27">
        <f>IF($A1583="","",IF(COUNTIFS(NOVEDADES!$C$4:$C$1503,$A1583,NOVEDADES!$M$4:$M$1503,"SÍ")&gt;0,"No","Sí"))</f>
        <v/>
      </c>
      <c r="P1583" s="27">
        <f>IF(OR($A1583="",$K1583=""),"",IF(AND($M1583="Sí",$O1583="Sí"),"OTIF","Falló"))</f>
        <v/>
      </c>
    </row>
    <row r="1584" ht="16" customHeight="1">
      <c r="A1584" s="47" t="n"/>
      <c r="B1584" s="46" t="n"/>
      <c r="C1584" s="49" t="n"/>
      <c r="D1584" s="49" t="n"/>
      <c r="E1584" s="49" t="n"/>
      <c r="F1584" s="49" t="n"/>
      <c r="G1584" s="47" t="n"/>
      <c r="H1584" s="50" t="n"/>
      <c r="I1584" s="51" t="n"/>
      <c r="J1584" s="46" t="n"/>
      <c r="K1584" s="46" t="n"/>
      <c r="L1584" s="23">
        <f>IF(OR($A1584="",$B1584=""),"",IF($K1584&lt;&gt;"",$K1584-$B1584,TODAY()-$B1584))</f>
        <v/>
      </c>
      <c r="M1584" s="27">
        <f>IF(OR($A1584="",$J1584=""),"",IF($K1584="",IF(TODAY()&gt;$J1584,"Atrasado","En ruta"),IF($K1584&lt;=$J1584,"Sí","No")))</f>
        <v/>
      </c>
      <c r="N1584" s="23">
        <f>IF($A1584="","",COUNTIFS(NOVEDADES!$C$4:$C$1503,$A1584))</f>
        <v/>
      </c>
      <c r="O1584" s="27">
        <f>IF($A1584="","",IF(COUNTIFS(NOVEDADES!$C$4:$C$1503,$A1584,NOVEDADES!$M$4:$M$1503,"SÍ")&gt;0,"No","Sí"))</f>
        <v/>
      </c>
      <c r="P1584" s="27">
        <f>IF(OR($A1584="",$K1584=""),"",IF(AND($M1584="Sí",$O1584="Sí"),"OTIF","Falló"))</f>
        <v/>
      </c>
    </row>
    <row r="1585" ht="16" customHeight="1">
      <c r="A1585" s="47" t="n"/>
      <c r="B1585" s="46" t="n"/>
      <c r="C1585" s="49" t="n"/>
      <c r="D1585" s="49" t="n"/>
      <c r="E1585" s="49" t="n"/>
      <c r="F1585" s="49" t="n"/>
      <c r="G1585" s="47" t="n"/>
      <c r="H1585" s="50" t="n"/>
      <c r="I1585" s="51" t="n"/>
      <c r="J1585" s="46" t="n"/>
      <c r="K1585" s="46" t="n"/>
      <c r="L1585" s="23">
        <f>IF(OR($A1585="",$B1585=""),"",IF($K1585&lt;&gt;"",$K1585-$B1585,TODAY()-$B1585))</f>
        <v/>
      </c>
      <c r="M1585" s="27">
        <f>IF(OR($A1585="",$J1585=""),"",IF($K1585="",IF(TODAY()&gt;$J1585,"Atrasado","En ruta"),IF($K1585&lt;=$J1585,"Sí","No")))</f>
        <v/>
      </c>
      <c r="N1585" s="23">
        <f>IF($A1585="","",COUNTIFS(NOVEDADES!$C$4:$C$1503,$A1585))</f>
        <v/>
      </c>
      <c r="O1585" s="27">
        <f>IF($A1585="","",IF(COUNTIFS(NOVEDADES!$C$4:$C$1503,$A1585,NOVEDADES!$M$4:$M$1503,"SÍ")&gt;0,"No","Sí"))</f>
        <v/>
      </c>
      <c r="P1585" s="27">
        <f>IF(OR($A1585="",$K1585=""),"",IF(AND($M1585="Sí",$O1585="Sí"),"OTIF","Falló"))</f>
        <v/>
      </c>
    </row>
    <row r="1586" ht="16" customHeight="1">
      <c r="A1586" s="47" t="n"/>
      <c r="B1586" s="46" t="n"/>
      <c r="C1586" s="49" t="n"/>
      <c r="D1586" s="49" t="n"/>
      <c r="E1586" s="49" t="n"/>
      <c r="F1586" s="49" t="n"/>
      <c r="G1586" s="47" t="n"/>
      <c r="H1586" s="50" t="n"/>
      <c r="I1586" s="51" t="n"/>
      <c r="J1586" s="46" t="n"/>
      <c r="K1586" s="46" t="n"/>
      <c r="L1586" s="23">
        <f>IF(OR($A1586="",$B1586=""),"",IF($K1586&lt;&gt;"",$K1586-$B1586,TODAY()-$B1586))</f>
        <v/>
      </c>
      <c r="M1586" s="27">
        <f>IF(OR($A1586="",$J1586=""),"",IF($K1586="",IF(TODAY()&gt;$J1586,"Atrasado","En ruta"),IF($K1586&lt;=$J1586,"Sí","No")))</f>
        <v/>
      </c>
      <c r="N1586" s="23">
        <f>IF($A1586="","",COUNTIFS(NOVEDADES!$C$4:$C$1503,$A1586))</f>
        <v/>
      </c>
      <c r="O1586" s="27">
        <f>IF($A1586="","",IF(COUNTIFS(NOVEDADES!$C$4:$C$1503,$A1586,NOVEDADES!$M$4:$M$1503,"SÍ")&gt;0,"No","Sí"))</f>
        <v/>
      </c>
      <c r="P1586" s="27">
        <f>IF(OR($A1586="",$K1586=""),"",IF(AND($M1586="Sí",$O1586="Sí"),"OTIF","Falló"))</f>
        <v/>
      </c>
    </row>
    <row r="1587" ht="16" customHeight="1">
      <c r="A1587" s="47" t="n"/>
      <c r="B1587" s="46" t="n"/>
      <c r="C1587" s="49" t="n"/>
      <c r="D1587" s="49" t="n"/>
      <c r="E1587" s="49" t="n"/>
      <c r="F1587" s="49" t="n"/>
      <c r="G1587" s="47" t="n"/>
      <c r="H1587" s="50" t="n"/>
      <c r="I1587" s="51" t="n"/>
      <c r="J1587" s="46" t="n"/>
      <c r="K1587" s="46" t="n"/>
      <c r="L1587" s="23">
        <f>IF(OR($A1587="",$B1587=""),"",IF($K1587&lt;&gt;"",$K1587-$B1587,TODAY()-$B1587))</f>
        <v/>
      </c>
      <c r="M1587" s="27">
        <f>IF(OR($A1587="",$J1587=""),"",IF($K1587="",IF(TODAY()&gt;$J1587,"Atrasado","En ruta"),IF($K1587&lt;=$J1587,"Sí","No")))</f>
        <v/>
      </c>
      <c r="N1587" s="23">
        <f>IF($A1587="","",COUNTIFS(NOVEDADES!$C$4:$C$1503,$A1587))</f>
        <v/>
      </c>
      <c r="O1587" s="27">
        <f>IF($A1587="","",IF(COUNTIFS(NOVEDADES!$C$4:$C$1503,$A1587,NOVEDADES!$M$4:$M$1503,"SÍ")&gt;0,"No","Sí"))</f>
        <v/>
      </c>
      <c r="P1587" s="27">
        <f>IF(OR($A1587="",$K1587=""),"",IF(AND($M1587="Sí",$O1587="Sí"),"OTIF","Falló"))</f>
        <v/>
      </c>
    </row>
    <row r="1588" ht="16" customHeight="1">
      <c r="A1588" s="47" t="n"/>
      <c r="B1588" s="46" t="n"/>
      <c r="C1588" s="49" t="n"/>
      <c r="D1588" s="49" t="n"/>
      <c r="E1588" s="49" t="n"/>
      <c r="F1588" s="49" t="n"/>
      <c r="G1588" s="47" t="n"/>
      <c r="H1588" s="50" t="n"/>
      <c r="I1588" s="51" t="n"/>
      <c r="J1588" s="46" t="n"/>
      <c r="K1588" s="46" t="n"/>
      <c r="L1588" s="23">
        <f>IF(OR($A1588="",$B1588=""),"",IF($K1588&lt;&gt;"",$K1588-$B1588,TODAY()-$B1588))</f>
        <v/>
      </c>
      <c r="M1588" s="27">
        <f>IF(OR($A1588="",$J1588=""),"",IF($K1588="",IF(TODAY()&gt;$J1588,"Atrasado","En ruta"),IF($K1588&lt;=$J1588,"Sí","No")))</f>
        <v/>
      </c>
      <c r="N1588" s="23">
        <f>IF($A1588="","",COUNTIFS(NOVEDADES!$C$4:$C$1503,$A1588))</f>
        <v/>
      </c>
      <c r="O1588" s="27">
        <f>IF($A1588="","",IF(COUNTIFS(NOVEDADES!$C$4:$C$1503,$A1588,NOVEDADES!$M$4:$M$1503,"SÍ")&gt;0,"No","Sí"))</f>
        <v/>
      </c>
      <c r="P1588" s="27">
        <f>IF(OR($A1588="",$K1588=""),"",IF(AND($M1588="Sí",$O1588="Sí"),"OTIF","Falló"))</f>
        <v/>
      </c>
    </row>
    <row r="1589" ht="16" customHeight="1">
      <c r="A1589" s="47" t="n"/>
      <c r="B1589" s="46" t="n"/>
      <c r="C1589" s="49" t="n"/>
      <c r="D1589" s="49" t="n"/>
      <c r="E1589" s="49" t="n"/>
      <c r="F1589" s="49" t="n"/>
      <c r="G1589" s="47" t="n"/>
      <c r="H1589" s="50" t="n"/>
      <c r="I1589" s="51" t="n"/>
      <c r="J1589" s="46" t="n"/>
      <c r="K1589" s="46" t="n"/>
      <c r="L1589" s="23">
        <f>IF(OR($A1589="",$B1589=""),"",IF($K1589&lt;&gt;"",$K1589-$B1589,TODAY()-$B1589))</f>
        <v/>
      </c>
      <c r="M1589" s="27">
        <f>IF(OR($A1589="",$J1589=""),"",IF($K1589="",IF(TODAY()&gt;$J1589,"Atrasado","En ruta"),IF($K1589&lt;=$J1589,"Sí","No")))</f>
        <v/>
      </c>
      <c r="N1589" s="23">
        <f>IF($A1589="","",COUNTIFS(NOVEDADES!$C$4:$C$1503,$A1589))</f>
        <v/>
      </c>
      <c r="O1589" s="27">
        <f>IF($A1589="","",IF(COUNTIFS(NOVEDADES!$C$4:$C$1503,$A1589,NOVEDADES!$M$4:$M$1503,"SÍ")&gt;0,"No","Sí"))</f>
        <v/>
      </c>
      <c r="P1589" s="27">
        <f>IF(OR($A1589="",$K1589=""),"",IF(AND($M1589="Sí",$O1589="Sí"),"OTIF","Falló"))</f>
        <v/>
      </c>
    </row>
    <row r="1590" ht="16" customHeight="1">
      <c r="A1590" s="47" t="n"/>
      <c r="B1590" s="46" t="n"/>
      <c r="C1590" s="49" t="n"/>
      <c r="D1590" s="49" t="n"/>
      <c r="E1590" s="49" t="n"/>
      <c r="F1590" s="49" t="n"/>
      <c r="G1590" s="47" t="n"/>
      <c r="H1590" s="50" t="n"/>
      <c r="I1590" s="51" t="n"/>
      <c r="J1590" s="46" t="n"/>
      <c r="K1590" s="46" t="n"/>
      <c r="L1590" s="23">
        <f>IF(OR($A1590="",$B1590=""),"",IF($K1590&lt;&gt;"",$K1590-$B1590,TODAY()-$B1590))</f>
        <v/>
      </c>
      <c r="M1590" s="27">
        <f>IF(OR($A1590="",$J1590=""),"",IF($K1590="",IF(TODAY()&gt;$J1590,"Atrasado","En ruta"),IF($K1590&lt;=$J1590,"Sí","No")))</f>
        <v/>
      </c>
      <c r="N1590" s="23">
        <f>IF($A1590="","",COUNTIFS(NOVEDADES!$C$4:$C$1503,$A1590))</f>
        <v/>
      </c>
      <c r="O1590" s="27">
        <f>IF($A1590="","",IF(COUNTIFS(NOVEDADES!$C$4:$C$1503,$A1590,NOVEDADES!$M$4:$M$1503,"SÍ")&gt;0,"No","Sí"))</f>
        <v/>
      </c>
      <c r="P1590" s="27">
        <f>IF(OR($A1590="",$K1590=""),"",IF(AND($M1590="Sí",$O1590="Sí"),"OTIF","Falló"))</f>
        <v/>
      </c>
    </row>
    <row r="1591" ht="16" customHeight="1">
      <c r="A1591" s="47" t="n"/>
      <c r="B1591" s="46" t="n"/>
      <c r="C1591" s="49" t="n"/>
      <c r="D1591" s="49" t="n"/>
      <c r="E1591" s="49" t="n"/>
      <c r="F1591" s="49" t="n"/>
      <c r="G1591" s="47" t="n"/>
      <c r="H1591" s="50" t="n"/>
      <c r="I1591" s="51" t="n"/>
      <c r="J1591" s="46" t="n"/>
      <c r="K1591" s="46" t="n"/>
      <c r="L1591" s="23">
        <f>IF(OR($A1591="",$B1591=""),"",IF($K1591&lt;&gt;"",$K1591-$B1591,TODAY()-$B1591))</f>
        <v/>
      </c>
      <c r="M1591" s="27">
        <f>IF(OR($A1591="",$J1591=""),"",IF($K1591="",IF(TODAY()&gt;$J1591,"Atrasado","En ruta"),IF($K1591&lt;=$J1591,"Sí","No")))</f>
        <v/>
      </c>
      <c r="N1591" s="23">
        <f>IF($A1591="","",COUNTIFS(NOVEDADES!$C$4:$C$1503,$A1591))</f>
        <v/>
      </c>
      <c r="O1591" s="27">
        <f>IF($A1591="","",IF(COUNTIFS(NOVEDADES!$C$4:$C$1503,$A1591,NOVEDADES!$M$4:$M$1503,"SÍ")&gt;0,"No","Sí"))</f>
        <v/>
      </c>
      <c r="P1591" s="27">
        <f>IF(OR($A1591="",$K1591=""),"",IF(AND($M1591="Sí",$O1591="Sí"),"OTIF","Falló"))</f>
        <v/>
      </c>
    </row>
    <row r="1592" ht="16" customHeight="1">
      <c r="A1592" s="47" t="n"/>
      <c r="B1592" s="46" t="n"/>
      <c r="C1592" s="49" t="n"/>
      <c r="D1592" s="49" t="n"/>
      <c r="E1592" s="49" t="n"/>
      <c r="F1592" s="49" t="n"/>
      <c r="G1592" s="47" t="n"/>
      <c r="H1592" s="50" t="n"/>
      <c r="I1592" s="51" t="n"/>
      <c r="J1592" s="46" t="n"/>
      <c r="K1592" s="46" t="n"/>
      <c r="L1592" s="23">
        <f>IF(OR($A1592="",$B1592=""),"",IF($K1592&lt;&gt;"",$K1592-$B1592,TODAY()-$B1592))</f>
        <v/>
      </c>
      <c r="M1592" s="27">
        <f>IF(OR($A1592="",$J1592=""),"",IF($K1592="",IF(TODAY()&gt;$J1592,"Atrasado","En ruta"),IF($K1592&lt;=$J1592,"Sí","No")))</f>
        <v/>
      </c>
      <c r="N1592" s="23">
        <f>IF($A1592="","",COUNTIFS(NOVEDADES!$C$4:$C$1503,$A1592))</f>
        <v/>
      </c>
      <c r="O1592" s="27">
        <f>IF($A1592="","",IF(COUNTIFS(NOVEDADES!$C$4:$C$1503,$A1592,NOVEDADES!$M$4:$M$1503,"SÍ")&gt;0,"No","Sí"))</f>
        <v/>
      </c>
      <c r="P1592" s="27">
        <f>IF(OR($A1592="",$K1592=""),"",IF(AND($M1592="Sí",$O1592="Sí"),"OTIF","Falló"))</f>
        <v/>
      </c>
    </row>
    <row r="1593" ht="16" customHeight="1">
      <c r="A1593" s="47" t="n"/>
      <c r="B1593" s="46" t="n"/>
      <c r="C1593" s="49" t="n"/>
      <c r="D1593" s="49" t="n"/>
      <c r="E1593" s="49" t="n"/>
      <c r="F1593" s="49" t="n"/>
      <c r="G1593" s="47" t="n"/>
      <c r="H1593" s="50" t="n"/>
      <c r="I1593" s="51" t="n"/>
      <c r="J1593" s="46" t="n"/>
      <c r="K1593" s="46" t="n"/>
      <c r="L1593" s="23">
        <f>IF(OR($A1593="",$B1593=""),"",IF($K1593&lt;&gt;"",$K1593-$B1593,TODAY()-$B1593))</f>
        <v/>
      </c>
      <c r="M1593" s="27">
        <f>IF(OR($A1593="",$J1593=""),"",IF($K1593="",IF(TODAY()&gt;$J1593,"Atrasado","En ruta"),IF($K1593&lt;=$J1593,"Sí","No")))</f>
        <v/>
      </c>
      <c r="N1593" s="23">
        <f>IF($A1593="","",COUNTIFS(NOVEDADES!$C$4:$C$1503,$A1593))</f>
        <v/>
      </c>
      <c r="O1593" s="27">
        <f>IF($A1593="","",IF(COUNTIFS(NOVEDADES!$C$4:$C$1503,$A1593,NOVEDADES!$M$4:$M$1503,"SÍ")&gt;0,"No","Sí"))</f>
        <v/>
      </c>
      <c r="P1593" s="27">
        <f>IF(OR($A1593="",$K1593=""),"",IF(AND($M1593="Sí",$O1593="Sí"),"OTIF","Falló"))</f>
        <v/>
      </c>
    </row>
    <row r="1594" ht="16" customHeight="1">
      <c r="A1594" s="47" t="n"/>
      <c r="B1594" s="46" t="n"/>
      <c r="C1594" s="49" t="n"/>
      <c r="D1594" s="49" t="n"/>
      <c r="E1594" s="49" t="n"/>
      <c r="F1594" s="49" t="n"/>
      <c r="G1594" s="47" t="n"/>
      <c r="H1594" s="50" t="n"/>
      <c r="I1594" s="51" t="n"/>
      <c r="J1594" s="46" t="n"/>
      <c r="K1594" s="46" t="n"/>
      <c r="L1594" s="23">
        <f>IF(OR($A1594="",$B1594=""),"",IF($K1594&lt;&gt;"",$K1594-$B1594,TODAY()-$B1594))</f>
        <v/>
      </c>
      <c r="M1594" s="27">
        <f>IF(OR($A1594="",$J1594=""),"",IF($K1594="",IF(TODAY()&gt;$J1594,"Atrasado","En ruta"),IF($K1594&lt;=$J1594,"Sí","No")))</f>
        <v/>
      </c>
      <c r="N1594" s="23">
        <f>IF($A1594="","",COUNTIFS(NOVEDADES!$C$4:$C$1503,$A1594))</f>
        <v/>
      </c>
      <c r="O1594" s="27">
        <f>IF($A1594="","",IF(COUNTIFS(NOVEDADES!$C$4:$C$1503,$A1594,NOVEDADES!$M$4:$M$1503,"SÍ")&gt;0,"No","Sí"))</f>
        <v/>
      </c>
      <c r="P1594" s="27">
        <f>IF(OR($A1594="",$K1594=""),"",IF(AND($M1594="Sí",$O1594="Sí"),"OTIF","Falló"))</f>
        <v/>
      </c>
    </row>
    <row r="1595" ht="16" customHeight="1">
      <c r="A1595" s="47" t="n"/>
      <c r="B1595" s="46" t="n"/>
      <c r="C1595" s="49" t="n"/>
      <c r="D1595" s="49" t="n"/>
      <c r="E1595" s="49" t="n"/>
      <c r="F1595" s="49" t="n"/>
      <c r="G1595" s="47" t="n"/>
      <c r="H1595" s="50" t="n"/>
      <c r="I1595" s="51" t="n"/>
      <c r="J1595" s="46" t="n"/>
      <c r="K1595" s="46" t="n"/>
      <c r="L1595" s="23">
        <f>IF(OR($A1595="",$B1595=""),"",IF($K1595&lt;&gt;"",$K1595-$B1595,TODAY()-$B1595))</f>
        <v/>
      </c>
      <c r="M1595" s="27">
        <f>IF(OR($A1595="",$J1595=""),"",IF($K1595="",IF(TODAY()&gt;$J1595,"Atrasado","En ruta"),IF($K1595&lt;=$J1595,"Sí","No")))</f>
        <v/>
      </c>
      <c r="N1595" s="23">
        <f>IF($A1595="","",COUNTIFS(NOVEDADES!$C$4:$C$1503,$A1595))</f>
        <v/>
      </c>
      <c r="O1595" s="27">
        <f>IF($A1595="","",IF(COUNTIFS(NOVEDADES!$C$4:$C$1503,$A1595,NOVEDADES!$M$4:$M$1503,"SÍ")&gt;0,"No","Sí"))</f>
        <v/>
      </c>
      <c r="P1595" s="27">
        <f>IF(OR($A1595="",$K1595=""),"",IF(AND($M1595="Sí",$O1595="Sí"),"OTIF","Falló"))</f>
        <v/>
      </c>
    </row>
    <row r="1596" ht="16" customHeight="1">
      <c r="A1596" s="47" t="n"/>
      <c r="B1596" s="46" t="n"/>
      <c r="C1596" s="49" t="n"/>
      <c r="D1596" s="49" t="n"/>
      <c r="E1596" s="49" t="n"/>
      <c r="F1596" s="49" t="n"/>
      <c r="G1596" s="47" t="n"/>
      <c r="H1596" s="50" t="n"/>
      <c r="I1596" s="51" t="n"/>
      <c r="J1596" s="46" t="n"/>
      <c r="K1596" s="46" t="n"/>
      <c r="L1596" s="23">
        <f>IF(OR($A1596="",$B1596=""),"",IF($K1596&lt;&gt;"",$K1596-$B1596,TODAY()-$B1596))</f>
        <v/>
      </c>
      <c r="M1596" s="27">
        <f>IF(OR($A1596="",$J1596=""),"",IF($K1596="",IF(TODAY()&gt;$J1596,"Atrasado","En ruta"),IF($K1596&lt;=$J1596,"Sí","No")))</f>
        <v/>
      </c>
      <c r="N1596" s="23">
        <f>IF($A1596="","",COUNTIFS(NOVEDADES!$C$4:$C$1503,$A1596))</f>
        <v/>
      </c>
      <c r="O1596" s="27">
        <f>IF($A1596="","",IF(COUNTIFS(NOVEDADES!$C$4:$C$1503,$A1596,NOVEDADES!$M$4:$M$1503,"SÍ")&gt;0,"No","Sí"))</f>
        <v/>
      </c>
      <c r="P1596" s="27">
        <f>IF(OR($A1596="",$K1596=""),"",IF(AND($M1596="Sí",$O1596="Sí"),"OTIF","Falló"))</f>
        <v/>
      </c>
    </row>
    <row r="1597" ht="16" customHeight="1">
      <c r="A1597" s="47" t="n"/>
      <c r="B1597" s="46" t="n"/>
      <c r="C1597" s="49" t="n"/>
      <c r="D1597" s="49" t="n"/>
      <c r="E1597" s="49" t="n"/>
      <c r="F1597" s="49" t="n"/>
      <c r="G1597" s="47" t="n"/>
      <c r="H1597" s="50" t="n"/>
      <c r="I1597" s="51" t="n"/>
      <c r="J1597" s="46" t="n"/>
      <c r="K1597" s="46" t="n"/>
      <c r="L1597" s="23">
        <f>IF(OR($A1597="",$B1597=""),"",IF($K1597&lt;&gt;"",$K1597-$B1597,TODAY()-$B1597))</f>
        <v/>
      </c>
      <c r="M1597" s="27">
        <f>IF(OR($A1597="",$J1597=""),"",IF($K1597="",IF(TODAY()&gt;$J1597,"Atrasado","En ruta"),IF($K1597&lt;=$J1597,"Sí","No")))</f>
        <v/>
      </c>
      <c r="N1597" s="23">
        <f>IF($A1597="","",COUNTIFS(NOVEDADES!$C$4:$C$1503,$A1597))</f>
        <v/>
      </c>
      <c r="O1597" s="27">
        <f>IF($A1597="","",IF(COUNTIFS(NOVEDADES!$C$4:$C$1503,$A1597,NOVEDADES!$M$4:$M$1503,"SÍ")&gt;0,"No","Sí"))</f>
        <v/>
      </c>
      <c r="P1597" s="27">
        <f>IF(OR($A1597="",$K1597=""),"",IF(AND($M1597="Sí",$O1597="Sí"),"OTIF","Falló"))</f>
        <v/>
      </c>
    </row>
    <row r="1598" ht="16" customHeight="1">
      <c r="A1598" s="47" t="n"/>
      <c r="B1598" s="46" t="n"/>
      <c r="C1598" s="49" t="n"/>
      <c r="D1598" s="49" t="n"/>
      <c r="E1598" s="49" t="n"/>
      <c r="F1598" s="49" t="n"/>
      <c r="G1598" s="47" t="n"/>
      <c r="H1598" s="50" t="n"/>
      <c r="I1598" s="51" t="n"/>
      <c r="J1598" s="46" t="n"/>
      <c r="K1598" s="46" t="n"/>
      <c r="L1598" s="23">
        <f>IF(OR($A1598="",$B1598=""),"",IF($K1598&lt;&gt;"",$K1598-$B1598,TODAY()-$B1598))</f>
        <v/>
      </c>
      <c r="M1598" s="27">
        <f>IF(OR($A1598="",$J1598=""),"",IF($K1598="",IF(TODAY()&gt;$J1598,"Atrasado","En ruta"),IF($K1598&lt;=$J1598,"Sí","No")))</f>
        <v/>
      </c>
      <c r="N1598" s="23">
        <f>IF($A1598="","",COUNTIFS(NOVEDADES!$C$4:$C$1503,$A1598))</f>
        <v/>
      </c>
      <c r="O1598" s="27">
        <f>IF($A1598="","",IF(COUNTIFS(NOVEDADES!$C$4:$C$1503,$A1598,NOVEDADES!$M$4:$M$1503,"SÍ")&gt;0,"No","Sí"))</f>
        <v/>
      </c>
      <c r="P1598" s="27">
        <f>IF(OR($A1598="",$K1598=""),"",IF(AND($M1598="Sí",$O1598="Sí"),"OTIF","Falló"))</f>
        <v/>
      </c>
    </row>
    <row r="1599" ht="16" customHeight="1">
      <c r="A1599" s="47" t="n"/>
      <c r="B1599" s="46" t="n"/>
      <c r="C1599" s="49" t="n"/>
      <c r="D1599" s="49" t="n"/>
      <c r="E1599" s="49" t="n"/>
      <c r="F1599" s="49" t="n"/>
      <c r="G1599" s="47" t="n"/>
      <c r="H1599" s="50" t="n"/>
      <c r="I1599" s="51" t="n"/>
      <c r="J1599" s="46" t="n"/>
      <c r="K1599" s="46" t="n"/>
      <c r="L1599" s="23">
        <f>IF(OR($A1599="",$B1599=""),"",IF($K1599&lt;&gt;"",$K1599-$B1599,TODAY()-$B1599))</f>
        <v/>
      </c>
      <c r="M1599" s="27">
        <f>IF(OR($A1599="",$J1599=""),"",IF($K1599="",IF(TODAY()&gt;$J1599,"Atrasado","En ruta"),IF($K1599&lt;=$J1599,"Sí","No")))</f>
        <v/>
      </c>
      <c r="N1599" s="23">
        <f>IF($A1599="","",COUNTIFS(NOVEDADES!$C$4:$C$1503,$A1599))</f>
        <v/>
      </c>
      <c r="O1599" s="27">
        <f>IF($A1599="","",IF(COUNTIFS(NOVEDADES!$C$4:$C$1503,$A1599,NOVEDADES!$M$4:$M$1503,"SÍ")&gt;0,"No","Sí"))</f>
        <v/>
      </c>
      <c r="P1599" s="27">
        <f>IF(OR($A1599="",$K1599=""),"",IF(AND($M1599="Sí",$O1599="Sí"),"OTIF","Falló"))</f>
        <v/>
      </c>
    </row>
    <row r="1600" ht="16" customHeight="1">
      <c r="A1600" s="47" t="n"/>
      <c r="B1600" s="46" t="n"/>
      <c r="C1600" s="49" t="n"/>
      <c r="D1600" s="49" t="n"/>
      <c r="E1600" s="49" t="n"/>
      <c r="F1600" s="49" t="n"/>
      <c r="G1600" s="47" t="n"/>
      <c r="H1600" s="50" t="n"/>
      <c r="I1600" s="51" t="n"/>
      <c r="J1600" s="46" t="n"/>
      <c r="K1600" s="46" t="n"/>
      <c r="L1600" s="23">
        <f>IF(OR($A1600="",$B1600=""),"",IF($K1600&lt;&gt;"",$K1600-$B1600,TODAY()-$B1600))</f>
        <v/>
      </c>
      <c r="M1600" s="27">
        <f>IF(OR($A1600="",$J1600=""),"",IF($K1600="",IF(TODAY()&gt;$J1600,"Atrasado","En ruta"),IF($K1600&lt;=$J1600,"Sí","No")))</f>
        <v/>
      </c>
      <c r="N1600" s="23">
        <f>IF($A1600="","",COUNTIFS(NOVEDADES!$C$4:$C$1503,$A1600))</f>
        <v/>
      </c>
      <c r="O1600" s="27">
        <f>IF($A1600="","",IF(COUNTIFS(NOVEDADES!$C$4:$C$1503,$A1600,NOVEDADES!$M$4:$M$1503,"SÍ")&gt;0,"No","Sí"))</f>
        <v/>
      </c>
      <c r="P1600" s="27">
        <f>IF(OR($A1600="",$K1600=""),"",IF(AND($M1600="Sí",$O1600="Sí"),"OTIF","Falló"))</f>
        <v/>
      </c>
    </row>
    <row r="1601" ht="16" customHeight="1">
      <c r="A1601" s="47" t="n"/>
      <c r="B1601" s="46" t="n"/>
      <c r="C1601" s="49" t="n"/>
      <c r="D1601" s="49" t="n"/>
      <c r="E1601" s="49" t="n"/>
      <c r="F1601" s="49" t="n"/>
      <c r="G1601" s="47" t="n"/>
      <c r="H1601" s="50" t="n"/>
      <c r="I1601" s="51" t="n"/>
      <c r="J1601" s="46" t="n"/>
      <c r="K1601" s="46" t="n"/>
      <c r="L1601" s="23">
        <f>IF(OR($A1601="",$B1601=""),"",IF($K1601&lt;&gt;"",$K1601-$B1601,TODAY()-$B1601))</f>
        <v/>
      </c>
      <c r="M1601" s="27">
        <f>IF(OR($A1601="",$J1601=""),"",IF($K1601="",IF(TODAY()&gt;$J1601,"Atrasado","En ruta"),IF($K1601&lt;=$J1601,"Sí","No")))</f>
        <v/>
      </c>
      <c r="N1601" s="23">
        <f>IF($A1601="","",COUNTIFS(NOVEDADES!$C$4:$C$1503,$A1601))</f>
        <v/>
      </c>
      <c r="O1601" s="27">
        <f>IF($A1601="","",IF(COUNTIFS(NOVEDADES!$C$4:$C$1503,$A1601,NOVEDADES!$M$4:$M$1503,"SÍ")&gt;0,"No","Sí"))</f>
        <v/>
      </c>
      <c r="P1601" s="27">
        <f>IF(OR($A1601="",$K1601=""),"",IF(AND($M1601="Sí",$O1601="Sí"),"OTIF","Falló"))</f>
        <v/>
      </c>
    </row>
    <row r="1602" ht="16" customHeight="1">
      <c r="A1602" s="47" t="n"/>
      <c r="B1602" s="46" t="n"/>
      <c r="C1602" s="49" t="n"/>
      <c r="D1602" s="49" t="n"/>
      <c r="E1602" s="49" t="n"/>
      <c r="F1602" s="49" t="n"/>
      <c r="G1602" s="47" t="n"/>
      <c r="H1602" s="50" t="n"/>
      <c r="I1602" s="51" t="n"/>
      <c r="J1602" s="46" t="n"/>
      <c r="K1602" s="46" t="n"/>
      <c r="L1602" s="23">
        <f>IF(OR($A1602="",$B1602=""),"",IF($K1602&lt;&gt;"",$K1602-$B1602,TODAY()-$B1602))</f>
        <v/>
      </c>
      <c r="M1602" s="27">
        <f>IF(OR($A1602="",$J1602=""),"",IF($K1602="",IF(TODAY()&gt;$J1602,"Atrasado","En ruta"),IF($K1602&lt;=$J1602,"Sí","No")))</f>
        <v/>
      </c>
      <c r="N1602" s="23">
        <f>IF($A1602="","",COUNTIFS(NOVEDADES!$C$4:$C$1503,$A1602))</f>
        <v/>
      </c>
      <c r="O1602" s="27">
        <f>IF($A1602="","",IF(COUNTIFS(NOVEDADES!$C$4:$C$1503,$A1602,NOVEDADES!$M$4:$M$1503,"SÍ")&gt;0,"No","Sí"))</f>
        <v/>
      </c>
      <c r="P1602" s="27">
        <f>IF(OR($A1602="",$K1602=""),"",IF(AND($M1602="Sí",$O1602="Sí"),"OTIF","Falló"))</f>
        <v/>
      </c>
    </row>
    <row r="1603" ht="16" customHeight="1">
      <c r="A1603" s="47" t="n"/>
      <c r="B1603" s="46" t="n"/>
      <c r="C1603" s="49" t="n"/>
      <c r="D1603" s="49" t="n"/>
      <c r="E1603" s="49" t="n"/>
      <c r="F1603" s="49" t="n"/>
      <c r="G1603" s="47" t="n"/>
      <c r="H1603" s="50" t="n"/>
      <c r="I1603" s="51" t="n"/>
      <c r="J1603" s="46" t="n"/>
      <c r="K1603" s="46" t="n"/>
      <c r="L1603" s="23">
        <f>IF(OR($A1603="",$B1603=""),"",IF($K1603&lt;&gt;"",$K1603-$B1603,TODAY()-$B1603))</f>
        <v/>
      </c>
      <c r="M1603" s="27">
        <f>IF(OR($A1603="",$J1603=""),"",IF($K1603="",IF(TODAY()&gt;$J1603,"Atrasado","En ruta"),IF($K1603&lt;=$J1603,"Sí","No")))</f>
        <v/>
      </c>
      <c r="N1603" s="23">
        <f>IF($A1603="","",COUNTIFS(NOVEDADES!$C$4:$C$1503,$A1603))</f>
        <v/>
      </c>
      <c r="O1603" s="27">
        <f>IF($A1603="","",IF(COUNTIFS(NOVEDADES!$C$4:$C$1503,$A1603,NOVEDADES!$M$4:$M$1503,"SÍ")&gt;0,"No","Sí"))</f>
        <v/>
      </c>
      <c r="P1603" s="27">
        <f>IF(OR($A1603="",$K1603=""),"",IF(AND($M1603="Sí",$O1603="Sí"),"OTIF","Falló"))</f>
        <v/>
      </c>
    </row>
    <row r="1604" ht="16" customHeight="1">
      <c r="A1604" s="47" t="n"/>
      <c r="B1604" s="46" t="n"/>
      <c r="C1604" s="49" t="n"/>
      <c r="D1604" s="49" t="n"/>
      <c r="E1604" s="49" t="n"/>
      <c r="F1604" s="49" t="n"/>
      <c r="G1604" s="47" t="n"/>
      <c r="H1604" s="50" t="n"/>
      <c r="I1604" s="51" t="n"/>
      <c r="J1604" s="46" t="n"/>
      <c r="K1604" s="46" t="n"/>
      <c r="L1604" s="23">
        <f>IF(OR($A1604="",$B1604=""),"",IF($K1604&lt;&gt;"",$K1604-$B1604,TODAY()-$B1604))</f>
        <v/>
      </c>
      <c r="M1604" s="27">
        <f>IF(OR($A1604="",$J1604=""),"",IF($K1604="",IF(TODAY()&gt;$J1604,"Atrasado","En ruta"),IF($K1604&lt;=$J1604,"Sí","No")))</f>
        <v/>
      </c>
      <c r="N1604" s="23">
        <f>IF($A1604="","",COUNTIFS(NOVEDADES!$C$4:$C$1503,$A1604))</f>
        <v/>
      </c>
      <c r="O1604" s="27">
        <f>IF($A1604="","",IF(COUNTIFS(NOVEDADES!$C$4:$C$1503,$A1604,NOVEDADES!$M$4:$M$1503,"SÍ")&gt;0,"No","Sí"))</f>
        <v/>
      </c>
      <c r="P1604" s="27">
        <f>IF(OR($A1604="",$K1604=""),"",IF(AND($M1604="Sí",$O1604="Sí"),"OTIF","Falló"))</f>
        <v/>
      </c>
    </row>
    <row r="1605" ht="16" customHeight="1">
      <c r="A1605" s="47" t="n"/>
      <c r="B1605" s="46" t="n"/>
      <c r="C1605" s="49" t="n"/>
      <c r="D1605" s="49" t="n"/>
      <c r="E1605" s="49" t="n"/>
      <c r="F1605" s="49" t="n"/>
      <c r="G1605" s="47" t="n"/>
      <c r="H1605" s="50" t="n"/>
      <c r="I1605" s="51" t="n"/>
      <c r="J1605" s="46" t="n"/>
      <c r="K1605" s="46" t="n"/>
      <c r="L1605" s="23">
        <f>IF(OR($A1605="",$B1605=""),"",IF($K1605&lt;&gt;"",$K1605-$B1605,TODAY()-$B1605))</f>
        <v/>
      </c>
      <c r="M1605" s="27">
        <f>IF(OR($A1605="",$J1605=""),"",IF($K1605="",IF(TODAY()&gt;$J1605,"Atrasado","En ruta"),IF($K1605&lt;=$J1605,"Sí","No")))</f>
        <v/>
      </c>
      <c r="N1605" s="23">
        <f>IF($A1605="","",COUNTIFS(NOVEDADES!$C$4:$C$1503,$A1605))</f>
        <v/>
      </c>
      <c r="O1605" s="27">
        <f>IF($A1605="","",IF(COUNTIFS(NOVEDADES!$C$4:$C$1503,$A1605,NOVEDADES!$M$4:$M$1503,"SÍ")&gt;0,"No","Sí"))</f>
        <v/>
      </c>
      <c r="P1605" s="27">
        <f>IF(OR($A1605="",$K1605=""),"",IF(AND($M1605="Sí",$O1605="Sí"),"OTIF","Falló"))</f>
        <v/>
      </c>
    </row>
    <row r="1606" ht="16" customHeight="1">
      <c r="A1606" s="47" t="n"/>
      <c r="B1606" s="46" t="n"/>
      <c r="C1606" s="49" t="n"/>
      <c r="D1606" s="49" t="n"/>
      <c r="E1606" s="49" t="n"/>
      <c r="F1606" s="49" t="n"/>
      <c r="G1606" s="47" t="n"/>
      <c r="H1606" s="50" t="n"/>
      <c r="I1606" s="51" t="n"/>
      <c r="J1606" s="46" t="n"/>
      <c r="K1606" s="46" t="n"/>
      <c r="L1606" s="23">
        <f>IF(OR($A1606="",$B1606=""),"",IF($K1606&lt;&gt;"",$K1606-$B1606,TODAY()-$B1606))</f>
        <v/>
      </c>
      <c r="M1606" s="27">
        <f>IF(OR($A1606="",$J1606=""),"",IF($K1606="",IF(TODAY()&gt;$J1606,"Atrasado","En ruta"),IF($K1606&lt;=$J1606,"Sí","No")))</f>
        <v/>
      </c>
      <c r="N1606" s="23">
        <f>IF($A1606="","",COUNTIFS(NOVEDADES!$C$4:$C$1503,$A1606))</f>
        <v/>
      </c>
      <c r="O1606" s="27">
        <f>IF($A1606="","",IF(COUNTIFS(NOVEDADES!$C$4:$C$1503,$A1606,NOVEDADES!$M$4:$M$1503,"SÍ")&gt;0,"No","Sí"))</f>
        <v/>
      </c>
      <c r="P1606" s="27">
        <f>IF(OR($A1606="",$K1606=""),"",IF(AND($M1606="Sí",$O1606="Sí"),"OTIF","Falló"))</f>
        <v/>
      </c>
    </row>
    <row r="1607" ht="16" customHeight="1">
      <c r="A1607" s="47" t="n"/>
      <c r="B1607" s="46" t="n"/>
      <c r="C1607" s="49" t="n"/>
      <c r="D1607" s="49" t="n"/>
      <c r="E1607" s="49" t="n"/>
      <c r="F1607" s="49" t="n"/>
      <c r="G1607" s="47" t="n"/>
      <c r="H1607" s="50" t="n"/>
      <c r="I1607" s="51" t="n"/>
      <c r="J1607" s="46" t="n"/>
      <c r="K1607" s="46" t="n"/>
      <c r="L1607" s="23">
        <f>IF(OR($A1607="",$B1607=""),"",IF($K1607&lt;&gt;"",$K1607-$B1607,TODAY()-$B1607))</f>
        <v/>
      </c>
      <c r="M1607" s="27">
        <f>IF(OR($A1607="",$J1607=""),"",IF($K1607="",IF(TODAY()&gt;$J1607,"Atrasado","En ruta"),IF($K1607&lt;=$J1607,"Sí","No")))</f>
        <v/>
      </c>
      <c r="N1607" s="23">
        <f>IF($A1607="","",COUNTIFS(NOVEDADES!$C$4:$C$1503,$A1607))</f>
        <v/>
      </c>
      <c r="O1607" s="27">
        <f>IF($A1607="","",IF(COUNTIFS(NOVEDADES!$C$4:$C$1503,$A1607,NOVEDADES!$M$4:$M$1503,"SÍ")&gt;0,"No","Sí"))</f>
        <v/>
      </c>
      <c r="P1607" s="27">
        <f>IF(OR($A1607="",$K1607=""),"",IF(AND($M1607="Sí",$O1607="Sí"),"OTIF","Falló"))</f>
        <v/>
      </c>
    </row>
    <row r="1608" ht="16" customHeight="1">
      <c r="A1608" s="47" t="n"/>
      <c r="B1608" s="46" t="n"/>
      <c r="C1608" s="49" t="n"/>
      <c r="D1608" s="49" t="n"/>
      <c r="E1608" s="49" t="n"/>
      <c r="F1608" s="49" t="n"/>
      <c r="G1608" s="47" t="n"/>
      <c r="H1608" s="50" t="n"/>
      <c r="I1608" s="51" t="n"/>
      <c r="J1608" s="46" t="n"/>
      <c r="K1608" s="46" t="n"/>
      <c r="L1608" s="23">
        <f>IF(OR($A1608="",$B1608=""),"",IF($K1608&lt;&gt;"",$K1608-$B1608,TODAY()-$B1608))</f>
        <v/>
      </c>
      <c r="M1608" s="27">
        <f>IF(OR($A1608="",$J1608=""),"",IF($K1608="",IF(TODAY()&gt;$J1608,"Atrasado","En ruta"),IF($K1608&lt;=$J1608,"Sí","No")))</f>
        <v/>
      </c>
      <c r="N1608" s="23">
        <f>IF($A1608="","",COUNTIFS(NOVEDADES!$C$4:$C$1503,$A1608))</f>
        <v/>
      </c>
      <c r="O1608" s="27">
        <f>IF($A1608="","",IF(COUNTIFS(NOVEDADES!$C$4:$C$1503,$A1608,NOVEDADES!$M$4:$M$1503,"SÍ")&gt;0,"No","Sí"))</f>
        <v/>
      </c>
      <c r="P1608" s="27">
        <f>IF(OR($A1608="",$K1608=""),"",IF(AND($M1608="Sí",$O1608="Sí"),"OTIF","Falló"))</f>
        <v/>
      </c>
    </row>
    <row r="1609" ht="16" customHeight="1">
      <c r="A1609" s="47" t="n"/>
      <c r="B1609" s="46" t="n"/>
      <c r="C1609" s="49" t="n"/>
      <c r="D1609" s="49" t="n"/>
      <c r="E1609" s="49" t="n"/>
      <c r="F1609" s="49" t="n"/>
      <c r="G1609" s="47" t="n"/>
      <c r="H1609" s="50" t="n"/>
      <c r="I1609" s="51" t="n"/>
      <c r="J1609" s="46" t="n"/>
      <c r="K1609" s="46" t="n"/>
      <c r="L1609" s="23">
        <f>IF(OR($A1609="",$B1609=""),"",IF($K1609&lt;&gt;"",$K1609-$B1609,TODAY()-$B1609))</f>
        <v/>
      </c>
      <c r="M1609" s="27">
        <f>IF(OR($A1609="",$J1609=""),"",IF($K1609="",IF(TODAY()&gt;$J1609,"Atrasado","En ruta"),IF($K1609&lt;=$J1609,"Sí","No")))</f>
        <v/>
      </c>
      <c r="N1609" s="23">
        <f>IF($A1609="","",COUNTIFS(NOVEDADES!$C$4:$C$1503,$A1609))</f>
        <v/>
      </c>
      <c r="O1609" s="27">
        <f>IF($A1609="","",IF(COUNTIFS(NOVEDADES!$C$4:$C$1503,$A1609,NOVEDADES!$M$4:$M$1503,"SÍ")&gt;0,"No","Sí"))</f>
        <v/>
      </c>
      <c r="P1609" s="27">
        <f>IF(OR($A1609="",$K1609=""),"",IF(AND($M1609="Sí",$O1609="Sí"),"OTIF","Falló"))</f>
        <v/>
      </c>
    </row>
    <row r="1610" ht="16" customHeight="1">
      <c r="A1610" s="47" t="n"/>
      <c r="B1610" s="46" t="n"/>
      <c r="C1610" s="49" t="n"/>
      <c r="D1610" s="49" t="n"/>
      <c r="E1610" s="49" t="n"/>
      <c r="F1610" s="49" t="n"/>
      <c r="G1610" s="47" t="n"/>
      <c r="H1610" s="50" t="n"/>
      <c r="I1610" s="51" t="n"/>
      <c r="J1610" s="46" t="n"/>
      <c r="K1610" s="46" t="n"/>
      <c r="L1610" s="23">
        <f>IF(OR($A1610="",$B1610=""),"",IF($K1610&lt;&gt;"",$K1610-$B1610,TODAY()-$B1610))</f>
        <v/>
      </c>
      <c r="M1610" s="27">
        <f>IF(OR($A1610="",$J1610=""),"",IF($K1610="",IF(TODAY()&gt;$J1610,"Atrasado","En ruta"),IF($K1610&lt;=$J1610,"Sí","No")))</f>
        <v/>
      </c>
      <c r="N1610" s="23">
        <f>IF($A1610="","",COUNTIFS(NOVEDADES!$C$4:$C$1503,$A1610))</f>
        <v/>
      </c>
      <c r="O1610" s="27">
        <f>IF($A1610="","",IF(COUNTIFS(NOVEDADES!$C$4:$C$1503,$A1610,NOVEDADES!$M$4:$M$1503,"SÍ")&gt;0,"No","Sí"))</f>
        <v/>
      </c>
      <c r="P1610" s="27">
        <f>IF(OR($A1610="",$K1610=""),"",IF(AND($M1610="Sí",$O1610="Sí"),"OTIF","Falló"))</f>
        <v/>
      </c>
    </row>
    <row r="1611" ht="16" customHeight="1">
      <c r="A1611" s="47" t="n"/>
      <c r="B1611" s="46" t="n"/>
      <c r="C1611" s="49" t="n"/>
      <c r="D1611" s="49" t="n"/>
      <c r="E1611" s="49" t="n"/>
      <c r="F1611" s="49" t="n"/>
      <c r="G1611" s="47" t="n"/>
      <c r="H1611" s="50" t="n"/>
      <c r="I1611" s="51" t="n"/>
      <c r="J1611" s="46" t="n"/>
      <c r="K1611" s="46" t="n"/>
      <c r="L1611" s="23">
        <f>IF(OR($A1611="",$B1611=""),"",IF($K1611&lt;&gt;"",$K1611-$B1611,TODAY()-$B1611))</f>
        <v/>
      </c>
      <c r="M1611" s="27">
        <f>IF(OR($A1611="",$J1611=""),"",IF($K1611="",IF(TODAY()&gt;$J1611,"Atrasado","En ruta"),IF($K1611&lt;=$J1611,"Sí","No")))</f>
        <v/>
      </c>
      <c r="N1611" s="23">
        <f>IF($A1611="","",COUNTIFS(NOVEDADES!$C$4:$C$1503,$A1611))</f>
        <v/>
      </c>
      <c r="O1611" s="27">
        <f>IF($A1611="","",IF(COUNTIFS(NOVEDADES!$C$4:$C$1503,$A1611,NOVEDADES!$M$4:$M$1503,"SÍ")&gt;0,"No","Sí"))</f>
        <v/>
      </c>
      <c r="P1611" s="27">
        <f>IF(OR($A1611="",$K1611=""),"",IF(AND($M1611="Sí",$O1611="Sí"),"OTIF","Falló"))</f>
        <v/>
      </c>
    </row>
    <row r="1612" ht="16" customHeight="1">
      <c r="A1612" s="47" t="n"/>
      <c r="B1612" s="46" t="n"/>
      <c r="C1612" s="49" t="n"/>
      <c r="D1612" s="49" t="n"/>
      <c r="E1612" s="49" t="n"/>
      <c r="F1612" s="49" t="n"/>
      <c r="G1612" s="47" t="n"/>
      <c r="H1612" s="50" t="n"/>
      <c r="I1612" s="51" t="n"/>
      <c r="J1612" s="46" t="n"/>
      <c r="K1612" s="46" t="n"/>
      <c r="L1612" s="23">
        <f>IF(OR($A1612="",$B1612=""),"",IF($K1612&lt;&gt;"",$K1612-$B1612,TODAY()-$B1612))</f>
        <v/>
      </c>
      <c r="M1612" s="27">
        <f>IF(OR($A1612="",$J1612=""),"",IF($K1612="",IF(TODAY()&gt;$J1612,"Atrasado","En ruta"),IF($K1612&lt;=$J1612,"Sí","No")))</f>
        <v/>
      </c>
      <c r="N1612" s="23">
        <f>IF($A1612="","",COUNTIFS(NOVEDADES!$C$4:$C$1503,$A1612))</f>
        <v/>
      </c>
      <c r="O1612" s="27">
        <f>IF($A1612="","",IF(COUNTIFS(NOVEDADES!$C$4:$C$1503,$A1612,NOVEDADES!$M$4:$M$1503,"SÍ")&gt;0,"No","Sí"))</f>
        <v/>
      </c>
      <c r="P1612" s="27">
        <f>IF(OR($A1612="",$K1612=""),"",IF(AND($M1612="Sí",$O1612="Sí"),"OTIF","Falló"))</f>
        <v/>
      </c>
    </row>
    <row r="1613" ht="16" customHeight="1">
      <c r="A1613" s="47" t="n"/>
      <c r="B1613" s="46" t="n"/>
      <c r="C1613" s="49" t="n"/>
      <c r="D1613" s="49" t="n"/>
      <c r="E1613" s="49" t="n"/>
      <c r="F1613" s="49" t="n"/>
      <c r="G1613" s="47" t="n"/>
      <c r="H1613" s="50" t="n"/>
      <c r="I1613" s="51" t="n"/>
      <c r="J1613" s="46" t="n"/>
      <c r="K1613" s="46" t="n"/>
      <c r="L1613" s="23">
        <f>IF(OR($A1613="",$B1613=""),"",IF($K1613&lt;&gt;"",$K1613-$B1613,TODAY()-$B1613))</f>
        <v/>
      </c>
      <c r="M1613" s="27">
        <f>IF(OR($A1613="",$J1613=""),"",IF($K1613="",IF(TODAY()&gt;$J1613,"Atrasado","En ruta"),IF($K1613&lt;=$J1613,"Sí","No")))</f>
        <v/>
      </c>
      <c r="N1613" s="23">
        <f>IF($A1613="","",COUNTIFS(NOVEDADES!$C$4:$C$1503,$A1613))</f>
        <v/>
      </c>
      <c r="O1613" s="27">
        <f>IF($A1613="","",IF(COUNTIFS(NOVEDADES!$C$4:$C$1503,$A1613,NOVEDADES!$M$4:$M$1503,"SÍ")&gt;0,"No","Sí"))</f>
        <v/>
      </c>
      <c r="P1613" s="27">
        <f>IF(OR($A1613="",$K1613=""),"",IF(AND($M1613="Sí",$O1613="Sí"),"OTIF","Falló"))</f>
        <v/>
      </c>
    </row>
    <row r="1614" ht="16" customHeight="1">
      <c r="A1614" s="47" t="n"/>
      <c r="B1614" s="46" t="n"/>
      <c r="C1614" s="49" t="n"/>
      <c r="D1614" s="49" t="n"/>
      <c r="E1614" s="49" t="n"/>
      <c r="F1614" s="49" t="n"/>
      <c r="G1614" s="47" t="n"/>
      <c r="H1614" s="50" t="n"/>
      <c r="I1614" s="51" t="n"/>
      <c r="J1614" s="46" t="n"/>
      <c r="K1614" s="46" t="n"/>
      <c r="L1614" s="23">
        <f>IF(OR($A1614="",$B1614=""),"",IF($K1614&lt;&gt;"",$K1614-$B1614,TODAY()-$B1614))</f>
        <v/>
      </c>
      <c r="M1614" s="27">
        <f>IF(OR($A1614="",$J1614=""),"",IF($K1614="",IF(TODAY()&gt;$J1614,"Atrasado","En ruta"),IF($K1614&lt;=$J1614,"Sí","No")))</f>
        <v/>
      </c>
      <c r="N1614" s="23">
        <f>IF($A1614="","",COUNTIFS(NOVEDADES!$C$4:$C$1503,$A1614))</f>
        <v/>
      </c>
      <c r="O1614" s="27">
        <f>IF($A1614="","",IF(COUNTIFS(NOVEDADES!$C$4:$C$1503,$A1614,NOVEDADES!$M$4:$M$1503,"SÍ")&gt;0,"No","Sí"))</f>
        <v/>
      </c>
      <c r="P1614" s="27">
        <f>IF(OR($A1614="",$K1614=""),"",IF(AND($M1614="Sí",$O1614="Sí"),"OTIF","Falló"))</f>
        <v/>
      </c>
    </row>
    <row r="1615" ht="16" customHeight="1">
      <c r="A1615" s="47" t="n"/>
      <c r="B1615" s="46" t="n"/>
      <c r="C1615" s="49" t="n"/>
      <c r="D1615" s="49" t="n"/>
      <c r="E1615" s="49" t="n"/>
      <c r="F1615" s="49" t="n"/>
      <c r="G1615" s="47" t="n"/>
      <c r="H1615" s="50" t="n"/>
      <c r="I1615" s="51" t="n"/>
      <c r="J1615" s="46" t="n"/>
      <c r="K1615" s="46" t="n"/>
      <c r="L1615" s="23">
        <f>IF(OR($A1615="",$B1615=""),"",IF($K1615&lt;&gt;"",$K1615-$B1615,TODAY()-$B1615))</f>
        <v/>
      </c>
      <c r="M1615" s="27">
        <f>IF(OR($A1615="",$J1615=""),"",IF($K1615="",IF(TODAY()&gt;$J1615,"Atrasado","En ruta"),IF($K1615&lt;=$J1615,"Sí","No")))</f>
        <v/>
      </c>
      <c r="N1615" s="23">
        <f>IF($A1615="","",COUNTIFS(NOVEDADES!$C$4:$C$1503,$A1615))</f>
        <v/>
      </c>
      <c r="O1615" s="27">
        <f>IF($A1615="","",IF(COUNTIFS(NOVEDADES!$C$4:$C$1503,$A1615,NOVEDADES!$M$4:$M$1503,"SÍ")&gt;0,"No","Sí"))</f>
        <v/>
      </c>
      <c r="P1615" s="27">
        <f>IF(OR($A1615="",$K1615=""),"",IF(AND($M1615="Sí",$O1615="Sí"),"OTIF","Falló"))</f>
        <v/>
      </c>
    </row>
    <row r="1616" ht="16" customHeight="1">
      <c r="A1616" s="47" t="n"/>
      <c r="B1616" s="46" t="n"/>
      <c r="C1616" s="49" t="n"/>
      <c r="D1616" s="49" t="n"/>
      <c r="E1616" s="49" t="n"/>
      <c r="F1616" s="49" t="n"/>
      <c r="G1616" s="47" t="n"/>
      <c r="H1616" s="50" t="n"/>
      <c r="I1616" s="51" t="n"/>
      <c r="J1616" s="46" t="n"/>
      <c r="K1616" s="46" t="n"/>
      <c r="L1616" s="23">
        <f>IF(OR($A1616="",$B1616=""),"",IF($K1616&lt;&gt;"",$K1616-$B1616,TODAY()-$B1616))</f>
        <v/>
      </c>
      <c r="M1616" s="27">
        <f>IF(OR($A1616="",$J1616=""),"",IF($K1616="",IF(TODAY()&gt;$J1616,"Atrasado","En ruta"),IF($K1616&lt;=$J1616,"Sí","No")))</f>
        <v/>
      </c>
      <c r="N1616" s="23">
        <f>IF($A1616="","",COUNTIFS(NOVEDADES!$C$4:$C$1503,$A1616))</f>
        <v/>
      </c>
      <c r="O1616" s="27">
        <f>IF($A1616="","",IF(COUNTIFS(NOVEDADES!$C$4:$C$1503,$A1616,NOVEDADES!$M$4:$M$1503,"SÍ")&gt;0,"No","Sí"))</f>
        <v/>
      </c>
      <c r="P1616" s="27">
        <f>IF(OR($A1616="",$K1616=""),"",IF(AND($M1616="Sí",$O1616="Sí"),"OTIF","Falló"))</f>
        <v/>
      </c>
    </row>
    <row r="1617" ht="16" customHeight="1">
      <c r="A1617" s="47" t="n"/>
      <c r="B1617" s="46" t="n"/>
      <c r="C1617" s="49" t="n"/>
      <c r="D1617" s="49" t="n"/>
      <c r="E1617" s="49" t="n"/>
      <c r="F1617" s="49" t="n"/>
      <c r="G1617" s="47" t="n"/>
      <c r="H1617" s="50" t="n"/>
      <c r="I1617" s="51" t="n"/>
      <c r="J1617" s="46" t="n"/>
      <c r="K1617" s="46" t="n"/>
      <c r="L1617" s="23">
        <f>IF(OR($A1617="",$B1617=""),"",IF($K1617&lt;&gt;"",$K1617-$B1617,TODAY()-$B1617))</f>
        <v/>
      </c>
      <c r="M1617" s="27">
        <f>IF(OR($A1617="",$J1617=""),"",IF($K1617="",IF(TODAY()&gt;$J1617,"Atrasado","En ruta"),IF($K1617&lt;=$J1617,"Sí","No")))</f>
        <v/>
      </c>
      <c r="N1617" s="23">
        <f>IF($A1617="","",COUNTIFS(NOVEDADES!$C$4:$C$1503,$A1617))</f>
        <v/>
      </c>
      <c r="O1617" s="27">
        <f>IF($A1617="","",IF(COUNTIFS(NOVEDADES!$C$4:$C$1503,$A1617,NOVEDADES!$M$4:$M$1503,"SÍ")&gt;0,"No","Sí"))</f>
        <v/>
      </c>
      <c r="P1617" s="27">
        <f>IF(OR($A1617="",$K1617=""),"",IF(AND($M1617="Sí",$O1617="Sí"),"OTIF","Falló"))</f>
        <v/>
      </c>
    </row>
    <row r="1618" ht="16" customHeight="1">
      <c r="A1618" s="47" t="n"/>
      <c r="B1618" s="46" t="n"/>
      <c r="C1618" s="49" t="n"/>
      <c r="D1618" s="49" t="n"/>
      <c r="E1618" s="49" t="n"/>
      <c r="F1618" s="49" t="n"/>
      <c r="G1618" s="47" t="n"/>
      <c r="H1618" s="50" t="n"/>
      <c r="I1618" s="51" t="n"/>
      <c r="J1618" s="46" t="n"/>
      <c r="K1618" s="46" t="n"/>
      <c r="L1618" s="23">
        <f>IF(OR($A1618="",$B1618=""),"",IF($K1618&lt;&gt;"",$K1618-$B1618,TODAY()-$B1618))</f>
        <v/>
      </c>
      <c r="M1618" s="27">
        <f>IF(OR($A1618="",$J1618=""),"",IF($K1618="",IF(TODAY()&gt;$J1618,"Atrasado","En ruta"),IF($K1618&lt;=$J1618,"Sí","No")))</f>
        <v/>
      </c>
      <c r="N1618" s="23">
        <f>IF($A1618="","",COUNTIFS(NOVEDADES!$C$4:$C$1503,$A1618))</f>
        <v/>
      </c>
      <c r="O1618" s="27">
        <f>IF($A1618="","",IF(COUNTIFS(NOVEDADES!$C$4:$C$1503,$A1618,NOVEDADES!$M$4:$M$1503,"SÍ")&gt;0,"No","Sí"))</f>
        <v/>
      </c>
      <c r="P1618" s="27">
        <f>IF(OR($A1618="",$K1618=""),"",IF(AND($M1618="Sí",$O1618="Sí"),"OTIF","Falló"))</f>
        <v/>
      </c>
    </row>
    <row r="1619" ht="16" customHeight="1">
      <c r="A1619" s="47" t="n"/>
      <c r="B1619" s="46" t="n"/>
      <c r="C1619" s="49" t="n"/>
      <c r="D1619" s="49" t="n"/>
      <c r="E1619" s="49" t="n"/>
      <c r="F1619" s="49" t="n"/>
      <c r="G1619" s="47" t="n"/>
      <c r="H1619" s="50" t="n"/>
      <c r="I1619" s="51" t="n"/>
      <c r="J1619" s="46" t="n"/>
      <c r="K1619" s="46" t="n"/>
      <c r="L1619" s="23">
        <f>IF(OR($A1619="",$B1619=""),"",IF($K1619&lt;&gt;"",$K1619-$B1619,TODAY()-$B1619))</f>
        <v/>
      </c>
      <c r="M1619" s="27">
        <f>IF(OR($A1619="",$J1619=""),"",IF($K1619="",IF(TODAY()&gt;$J1619,"Atrasado","En ruta"),IF($K1619&lt;=$J1619,"Sí","No")))</f>
        <v/>
      </c>
      <c r="N1619" s="23">
        <f>IF($A1619="","",COUNTIFS(NOVEDADES!$C$4:$C$1503,$A1619))</f>
        <v/>
      </c>
      <c r="O1619" s="27">
        <f>IF($A1619="","",IF(COUNTIFS(NOVEDADES!$C$4:$C$1503,$A1619,NOVEDADES!$M$4:$M$1503,"SÍ")&gt;0,"No","Sí"))</f>
        <v/>
      </c>
      <c r="P1619" s="27">
        <f>IF(OR($A1619="",$K1619=""),"",IF(AND($M1619="Sí",$O1619="Sí"),"OTIF","Falló"))</f>
        <v/>
      </c>
    </row>
    <row r="1620" ht="16" customHeight="1">
      <c r="A1620" s="47" t="n"/>
      <c r="B1620" s="46" t="n"/>
      <c r="C1620" s="49" t="n"/>
      <c r="D1620" s="49" t="n"/>
      <c r="E1620" s="49" t="n"/>
      <c r="F1620" s="49" t="n"/>
      <c r="G1620" s="47" t="n"/>
      <c r="H1620" s="50" t="n"/>
      <c r="I1620" s="51" t="n"/>
      <c r="J1620" s="46" t="n"/>
      <c r="K1620" s="46" t="n"/>
      <c r="L1620" s="23">
        <f>IF(OR($A1620="",$B1620=""),"",IF($K1620&lt;&gt;"",$K1620-$B1620,TODAY()-$B1620))</f>
        <v/>
      </c>
      <c r="M1620" s="27">
        <f>IF(OR($A1620="",$J1620=""),"",IF($K1620="",IF(TODAY()&gt;$J1620,"Atrasado","En ruta"),IF($K1620&lt;=$J1620,"Sí","No")))</f>
        <v/>
      </c>
      <c r="N1620" s="23">
        <f>IF($A1620="","",COUNTIFS(NOVEDADES!$C$4:$C$1503,$A1620))</f>
        <v/>
      </c>
      <c r="O1620" s="27">
        <f>IF($A1620="","",IF(COUNTIFS(NOVEDADES!$C$4:$C$1503,$A1620,NOVEDADES!$M$4:$M$1503,"SÍ")&gt;0,"No","Sí"))</f>
        <v/>
      </c>
      <c r="P1620" s="27">
        <f>IF(OR($A1620="",$K1620=""),"",IF(AND($M1620="Sí",$O1620="Sí"),"OTIF","Falló"))</f>
        <v/>
      </c>
    </row>
    <row r="1621" ht="16" customHeight="1">
      <c r="A1621" s="47" t="n"/>
      <c r="B1621" s="46" t="n"/>
      <c r="C1621" s="49" t="n"/>
      <c r="D1621" s="49" t="n"/>
      <c r="E1621" s="49" t="n"/>
      <c r="F1621" s="49" t="n"/>
      <c r="G1621" s="47" t="n"/>
      <c r="H1621" s="50" t="n"/>
      <c r="I1621" s="51" t="n"/>
      <c r="J1621" s="46" t="n"/>
      <c r="K1621" s="46" t="n"/>
      <c r="L1621" s="23">
        <f>IF(OR($A1621="",$B1621=""),"",IF($K1621&lt;&gt;"",$K1621-$B1621,TODAY()-$B1621))</f>
        <v/>
      </c>
      <c r="M1621" s="27">
        <f>IF(OR($A1621="",$J1621=""),"",IF($K1621="",IF(TODAY()&gt;$J1621,"Atrasado","En ruta"),IF($K1621&lt;=$J1621,"Sí","No")))</f>
        <v/>
      </c>
      <c r="N1621" s="23">
        <f>IF($A1621="","",COUNTIFS(NOVEDADES!$C$4:$C$1503,$A1621))</f>
        <v/>
      </c>
      <c r="O1621" s="27">
        <f>IF($A1621="","",IF(COUNTIFS(NOVEDADES!$C$4:$C$1503,$A1621,NOVEDADES!$M$4:$M$1503,"SÍ")&gt;0,"No","Sí"))</f>
        <v/>
      </c>
      <c r="P1621" s="27">
        <f>IF(OR($A1621="",$K1621=""),"",IF(AND($M1621="Sí",$O1621="Sí"),"OTIF","Falló"))</f>
        <v/>
      </c>
    </row>
    <row r="1622" ht="16" customHeight="1">
      <c r="A1622" s="47" t="n"/>
      <c r="B1622" s="46" t="n"/>
      <c r="C1622" s="49" t="n"/>
      <c r="D1622" s="49" t="n"/>
      <c r="E1622" s="49" t="n"/>
      <c r="F1622" s="49" t="n"/>
      <c r="G1622" s="47" t="n"/>
      <c r="H1622" s="50" t="n"/>
      <c r="I1622" s="51" t="n"/>
      <c r="J1622" s="46" t="n"/>
      <c r="K1622" s="46" t="n"/>
      <c r="L1622" s="23">
        <f>IF(OR($A1622="",$B1622=""),"",IF($K1622&lt;&gt;"",$K1622-$B1622,TODAY()-$B1622))</f>
        <v/>
      </c>
      <c r="M1622" s="27">
        <f>IF(OR($A1622="",$J1622=""),"",IF($K1622="",IF(TODAY()&gt;$J1622,"Atrasado","En ruta"),IF($K1622&lt;=$J1622,"Sí","No")))</f>
        <v/>
      </c>
      <c r="N1622" s="23">
        <f>IF($A1622="","",COUNTIFS(NOVEDADES!$C$4:$C$1503,$A1622))</f>
        <v/>
      </c>
      <c r="O1622" s="27">
        <f>IF($A1622="","",IF(COUNTIFS(NOVEDADES!$C$4:$C$1503,$A1622,NOVEDADES!$M$4:$M$1503,"SÍ")&gt;0,"No","Sí"))</f>
        <v/>
      </c>
      <c r="P1622" s="27">
        <f>IF(OR($A1622="",$K1622=""),"",IF(AND($M1622="Sí",$O1622="Sí"),"OTIF","Falló"))</f>
        <v/>
      </c>
    </row>
    <row r="1623" ht="16" customHeight="1">
      <c r="A1623" s="47" t="n"/>
      <c r="B1623" s="46" t="n"/>
      <c r="C1623" s="49" t="n"/>
      <c r="D1623" s="49" t="n"/>
      <c r="E1623" s="49" t="n"/>
      <c r="F1623" s="49" t="n"/>
      <c r="G1623" s="47" t="n"/>
      <c r="H1623" s="50" t="n"/>
      <c r="I1623" s="51" t="n"/>
      <c r="J1623" s="46" t="n"/>
      <c r="K1623" s="46" t="n"/>
      <c r="L1623" s="23">
        <f>IF(OR($A1623="",$B1623=""),"",IF($K1623&lt;&gt;"",$K1623-$B1623,TODAY()-$B1623))</f>
        <v/>
      </c>
      <c r="M1623" s="27">
        <f>IF(OR($A1623="",$J1623=""),"",IF($K1623="",IF(TODAY()&gt;$J1623,"Atrasado","En ruta"),IF($K1623&lt;=$J1623,"Sí","No")))</f>
        <v/>
      </c>
      <c r="N1623" s="23">
        <f>IF($A1623="","",COUNTIFS(NOVEDADES!$C$4:$C$1503,$A1623))</f>
        <v/>
      </c>
      <c r="O1623" s="27">
        <f>IF($A1623="","",IF(COUNTIFS(NOVEDADES!$C$4:$C$1503,$A1623,NOVEDADES!$M$4:$M$1503,"SÍ")&gt;0,"No","Sí"))</f>
        <v/>
      </c>
      <c r="P1623" s="27">
        <f>IF(OR($A1623="",$K1623=""),"",IF(AND($M1623="Sí",$O1623="Sí"),"OTIF","Falló"))</f>
        <v/>
      </c>
    </row>
    <row r="1624" ht="16" customHeight="1">
      <c r="A1624" s="47" t="n"/>
      <c r="B1624" s="46" t="n"/>
      <c r="C1624" s="49" t="n"/>
      <c r="D1624" s="49" t="n"/>
      <c r="E1624" s="49" t="n"/>
      <c r="F1624" s="49" t="n"/>
      <c r="G1624" s="47" t="n"/>
      <c r="H1624" s="50" t="n"/>
      <c r="I1624" s="51" t="n"/>
      <c r="J1624" s="46" t="n"/>
      <c r="K1624" s="46" t="n"/>
      <c r="L1624" s="23">
        <f>IF(OR($A1624="",$B1624=""),"",IF($K1624&lt;&gt;"",$K1624-$B1624,TODAY()-$B1624))</f>
        <v/>
      </c>
      <c r="M1624" s="27">
        <f>IF(OR($A1624="",$J1624=""),"",IF($K1624="",IF(TODAY()&gt;$J1624,"Atrasado","En ruta"),IF($K1624&lt;=$J1624,"Sí","No")))</f>
        <v/>
      </c>
      <c r="N1624" s="23">
        <f>IF($A1624="","",COUNTIFS(NOVEDADES!$C$4:$C$1503,$A1624))</f>
        <v/>
      </c>
      <c r="O1624" s="27">
        <f>IF($A1624="","",IF(COUNTIFS(NOVEDADES!$C$4:$C$1503,$A1624,NOVEDADES!$M$4:$M$1503,"SÍ")&gt;0,"No","Sí"))</f>
        <v/>
      </c>
      <c r="P1624" s="27">
        <f>IF(OR($A1624="",$K1624=""),"",IF(AND($M1624="Sí",$O1624="Sí"),"OTIF","Falló"))</f>
        <v/>
      </c>
    </row>
    <row r="1625" ht="16" customHeight="1">
      <c r="A1625" s="47" t="n"/>
      <c r="B1625" s="46" t="n"/>
      <c r="C1625" s="49" t="n"/>
      <c r="D1625" s="49" t="n"/>
      <c r="E1625" s="49" t="n"/>
      <c r="F1625" s="49" t="n"/>
      <c r="G1625" s="47" t="n"/>
      <c r="H1625" s="50" t="n"/>
      <c r="I1625" s="51" t="n"/>
      <c r="J1625" s="46" t="n"/>
      <c r="K1625" s="46" t="n"/>
      <c r="L1625" s="23">
        <f>IF(OR($A1625="",$B1625=""),"",IF($K1625&lt;&gt;"",$K1625-$B1625,TODAY()-$B1625))</f>
        <v/>
      </c>
      <c r="M1625" s="27">
        <f>IF(OR($A1625="",$J1625=""),"",IF($K1625="",IF(TODAY()&gt;$J1625,"Atrasado","En ruta"),IF($K1625&lt;=$J1625,"Sí","No")))</f>
        <v/>
      </c>
      <c r="N1625" s="23">
        <f>IF($A1625="","",COUNTIFS(NOVEDADES!$C$4:$C$1503,$A1625))</f>
        <v/>
      </c>
      <c r="O1625" s="27">
        <f>IF($A1625="","",IF(COUNTIFS(NOVEDADES!$C$4:$C$1503,$A1625,NOVEDADES!$M$4:$M$1503,"SÍ")&gt;0,"No","Sí"))</f>
        <v/>
      </c>
      <c r="P1625" s="27">
        <f>IF(OR($A1625="",$K1625=""),"",IF(AND($M1625="Sí",$O1625="Sí"),"OTIF","Falló"))</f>
        <v/>
      </c>
    </row>
    <row r="1626" ht="16" customHeight="1">
      <c r="A1626" s="47" t="n"/>
      <c r="B1626" s="46" t="n"/>
      <c r="C1626" s="49" t="n"/>
      <c r="D1626" s="49" t="n"/>
      <c r="E1626" s="49" t="n"/>
      <c r="F1626" s="49" t="n"/>
      <c r="G1626" s="47" t="n"/>
      <c r="H1626" s="50" t="n"/>
      <c r="I1626" s="51" t="n"/>
      <c r="J1626" s="46" t="n"/>
      <c r="K1626" s="46" t="n"/>
      <c r="L1626" s="23">
        <f>IF(OR($A1626="",$B1626=""),"",IF($K1626&lt;&gt;"",$K1626-$B1626,TODAY()-$B1626))</f>
        <v/>
      </c>
      <c r="M1626" s="27">
        <f>IF(OR($A1626="",$J1626=""),"",IF($K1626="",IF(TODAY()&gt;$J1626,"Atrasado","En ruta"),IF($K1626&lt;=$J1626,"Sí","No")))</f>
        <v/>
      </c>
      <c r="N1626" s="23">
        <f>IF($A1626="","",COUNTIFS(NOVEDADES!$C$4:$C$1503,$A1626))</f>
        <v/>
      </c>
      <c r="O1626" s="27">
        <f>IF($A1626="","",IF(COUNTIFS(NOVEDADES!$C$4:$C$1503,$A1626,NOVEDADES!$M$4:$M$1503,"SÍ")&gt;0,"No","Sí"))</f>
        <v/>
      </c>
      <c r="P1626" s="27">
        <f>IF(OR($A1626="",$K1626=""),"",IF(AND($M1626="Sí",$O1626="Sí"),"OTIF","Falló"))</f>
        <v/>
      </c>
    </row>
    <row r="1627" ht="16" customHeight="1">
      <c r="A1627" s="47" t="n"/>
      <c r="B1627" s="46" t="n"/>
      <c r="C1627" s="49" t="n"/>
      <c r="D1627" s="49" t="n"/>
      <c r="E1627" s="49" t="n"/>
      <c r="F1627" s="49" t="n"/>
      <c r="G1627" s="47" t="n"/>
      <c r="H1627" s="50" t="n"/>
      <c r="I1627" s="51" t="n"/>
      <c r="J1627" s="46" t="n"/>
      <c r="K1627" s="46" t="n"/>
      <c r="L1627" s="23">
        <f>IF(OR($A1627="",$B1627=""),"",IF($K1627&lt;&gt;"",$K1627-$B1627,TODAY()-$B1627))</f>
        <v/>
      </c>
      <c r="M1627" s="27">
        <f>IF(OR($A1627="",$J1627=""),"",IF($K1627="",IF(TODAY()&gt;$J1627,"Atrasado","En ruta"),IF($K1627&lt;=$J1627,"Sí","No")))</f>
        <v/>
      </c>
      <c r="N1627" s="23">
        <f>IF($A1627="","",COUNTIFS(NOVEDADES!$C$4:$C$1503,$A1627))</f>
        <v/>
      </c>
      <c r="O1627" s="27">
        <f>IF($A1627="","",IF(COUNTIFS(NOVEDADES!$C$4:$C$1503,$A1627,NOVEDADES!$M$4:$M$1503,"SÍ")&gt;0,"No","Sí"))</f>
        <v/>
      </c>
      <c r="P1627" s="27">
        <f>IF(OR($A1627="",$K1627=""),"",IF(AND($M1627="Sí",$O1627="Sí"),"OTIF","Falló"))</f>
        <v/>
      </c>
    </row>
    <row r="1628" ht="16" customHeight="1">
      <c r="A1628" s="47" t="n"/>
      <c r="B1628" s="46" t="n"/>
      <c r="C1628" s="49" t="n"/>
      <c r="D1628" s="49" t="n"/>
      <c r="E1628" s="49" t="n"/>
      <c r="F1628" s="49" t="n"/>
      <c r="G1628" s="47" t="n"/>
      <c r="H1628" s="50" t="n"/>
      <c r="I1628" s="51" t="n"/>
      <c r="J1628" s="46" t="n"/>
      <c r="K1628" s="46" t="n"/>
      <c r="L1628" s="23">
        <f>IF(OR($A1628="",$B1628=""),"",IF($K1628&lt;&gt;"",$K1628-$B1628,TODAY()-$B1628))</f>
        <v/>
      </c>
      <c r="M1628" s="27">
        <f>IF(OR($A1628="",$J1628=""),"",IF($K1628="",IF(TODAY()&gt;$J1628,"Atrasado","En ruta"),IF($K1628&lt;=$J1628,"Sí","No")))</f>
        <v/>
      </c>
      <c r="N1628" s="23">
        <f>IF($A1628="","",COUNTIFS(NOVEDADES!$C$4:$C$1503,$A1628))</f>
        <v/>
      </c>
      <c r="O1628" s="27">
        <f>IF($A1628="","",IF(COUNTIFS(NOVEDADES!$C$4:$C$1503,$A1628,NOVEDADES!$M$4:$M$1503,"SÍ")&gt;0,"No","Sí"))</f>
        <v/>
      </c>
      <c r="P1628" s="27">
        <f>IF(OR($A1628="",$K1628=""),"",IF(AND($M1628="Sí",$O1628="Sí"),"OTIF","Falló"))</f>
        <v/>
      </c>
    </row>
    <row r="1629" ht="16" customHeight="1">
      <c r="A1629" s="47" t="n"/>
      <c r="B1629" s="46" t="n"/>
      <c r="C1629" s="49" t="n"/>
      <c r="D1629" s="49" t="n"/>
      <c r="E1629" s="49" t="n"/>
      <c r="F1629" s="49" t="n"/>
      <c r="G1629" s="47" t="n"/>
      <c r="H1629" s="50" t="n"/>
      <c r="I1629" s="51" t="n"/>
      <c r="J1629" s="46" t="n"/>
      <c r="K1629" s="46" t="n"/>
      <c r="L1629" s="23">
        <f>IF(OR($A1629="",$B1629=""),"",IF($K1629&lt;&gt;"",$K1629-$B1629,TODAY()-$B1629))</f>
        <v/>
      </c>
      <c r="M1629" s="27">
        <f>IF(OR($A1629="",$J1629=""),"",IF($K1629="",IF(TODAY()&gt;$J1629,"Atrasado","En ruta"),IF($K1629&lt;=$J1629,"Sí","No")))</f>
        <v/>
      </c>
      <c r="N1629" s="23">
        <f>IF($A1629="","",COUNTIFS(NOVEDADES!$C$4:$C$1503,$A1629))</f>
        <v/>
      </c>
      <c r="O1629" s="27">
        <f>IF($A1629="","",IF(COUNTIFS(NOVEDADES!$C$4:$C$1503,$A1629,NOVEDADES!$M$4:$M$1503,"SÍ")&gt;0,"No","Sí"))</f>
        <v/>
      </c>
      <c r="P1629" s="27">
        <f>IF(OR($A1629="",$K1629=""),"",IF(AND($M1629="Sí",$O1629="Sí"),"OTIF","Falló"))</f>
        <v/>
      </c>
    </row>
    <row r="1630" ht="16" customHeight="1">
      <c r="A1630" s="47" t="n"/>
      <c r="B1630" s="46" t="n"/>
      <c r="C1630" s="49" t="n"/>
      <c r="D1630" s="49" t="n"/>
      <c r="E1630" s="49" t="n"/>
      <c r="F1630" s="49" t="n"/>
      <c r="G1630" s="47" t="n"/>
      <c r="H1630" s="50" t="n"/>
      <c r="I1630" s="51" t="n"/>
      <c r="J1630" s="46" t="n"/>
      <c r="K1630" s="46" t="n"/>
      <c r="L1630" s="23">
        <f>IF(OR($A1630="",$B1630=""),"",IF($K1630&lt;&gt;"",$K1630-$B1630,TODAY()-$B1630))</f>
        <v/>
      </c>
      <c r="M1630" s="27">
        <f>IF(OR($A1630="",$J1630=""),"",IF($K1630="",IF(TODAY()&gt;$J1630,"Atrasado","En ruta"),IF($K1630&lt;=$J1630,"Sí","No")))</f>
        <v/>
      </c>
      <c r="N1630" s="23">
        <f>IF($A1630="","",COUNTIFS(NOVEDADES!$C$4:$C$1503,$A1630))</f>
        <v/>
      </c>
      <c r="O1630" s="27">
        <f>IF($A1630="","",IF(COUNTIFS(NOVEDADES!$C$4:$C$1503,$A1630,NOVEDADES!$M$4:$M$1503,"SÍ")&gt;0,"No","Sí"))</f>
        <v/>
      </c>
      <c r="P1630" s="27">
        <f>IF(OR($A1630="",$K1630=""),"",IF(AND($M1630="Sí",$O1630="Sí"),"OTIF","Falló"))</f>
        <v/>
      </c>
    </row>
    <row r="1631" ht="16" customHeight="1">
      <c r="A1631" s="47" t="n"/>
      <c r="B1631" s="46" t="n"/>
      <c r="C1631" s="49" t="n"/>
      <c r="D1631" s="49" t="n"/>
      <c r="E1631" s="49" t="n"/>
      <c r="F1631" s="49" t="n"/>
      <c r="G1631" s="47" t="n"/>
      <c r="H1631" s="50" t="n"/>
      <c r="I1631" s="51" t="n"/>
      <c r="J1631" s="46" t="n"/>
      <c r="K1631" s="46" t="n"/>
      <c r="L1631" s="23">
        <f>IF(OR($A1631="",$B1631=""),"",IF($K1631&lt;&gt;"",$K1631-$B1631,TODAY()-$B1631))</f>
        <v/>
      </c>
      <c r="M1631" s="27">
        <f>IF(OR($A1631="",$J1631=""),"",IF($K1631="",IF(TODAY()&gt;$J1631,"Atrasado","En ruta"),IF($K1631&lt;=$J1631,"Sí","No")))</f>
        <v/>
      </c>
      <c r="N1631" s="23">
        <f>IF($A1631="","",COUNTIFS(NOVEDADES!$C$4:$C$1503,$A1631))</f>
        <v/>
      </c>
      <c r="O1631" s="27">
        <f>IF($A1631="","",IF(COUNTIFS(NOVEDADES!$C$4:$C$1503,$A1631,NOVEDADES!$M$4:$M$1503,"SÍ")&gt;0,"No","Sí"))</f>
        <v/>
      </c>
      <c r="P1631" s="27">
        <f>IF(OR($A1631="",$K1631=""),"",IF(AND($M1631="Sí",$O1631="Sí"),"OTIF","Falló"))</f>
        <v/>
      </c>
    </row>
    <row r="1632" ht="16" customHeight="1">
      <c r="A1632" s="47" t="n"/>
      <c r="B1632" s="46" t="n"/>
      <c r="C1632" s="49" t="n"/>
      <c r="D1632" s="49" t="n"/>
      <c r="E1632" s="49" t="n"/>
      <c r="F1632" s="49" t="n"/>
      <c r="G1632" s="47" t="n"/>
      <c r="H1632" s="50" t="n"/>
      <c r="I1632" s="51" t="n"/>
      <c r="J1632" s="46" t="n"/>
      <c r="K1632" s="46" t="n"/>
      <c r="L1632" s="23">
        <f>IF(OR($A1632="",$B1632=""),"",IF($K1632&lt;&gt;"",$K1632-$B1632,TODAY()-$B1632))</f>
        <v/>
      </c>
      <c r="M1632" s="27">
        <f>IF(OR($A1632="",$J1632=""),"",IF($K1632="",IF(TODAY()&gt;$J1632,"Atrasado","En ruta"),IF($K1632&lt;=$J1632,"Sí","No")))</f>
        <v/>
      </c>
      <c r="N1632" s="23">
        <f>IF($A1632="","",COUNTIFS(NOVEDADES!$C$4:$C$1503,$A1632))</f>
        <v/>
      </c>
      <c r="O1632" s="27">
        <f>IF($A1632="","",IF(COUNTIFS(NOVEDADES!$C$4:$C$1503,$A1632,NOVEDADES!$M$4:$M$1503,"SÍ")&gt;0,"No","Sí"))</f>
        <v/>
      </c>
      <c r="P1632" s="27">
        <f>IF(OR($A1632="",$K1632=""),"",IF(AND($M1632="Sí",$O1632="Sí"),"OTIF","Falló"))</f>
        <v/>
      </c>
    </row>
    <row r="1633" ht="16" customHeight="1">
      <c r="A1633" s="47" t="n"/>
      <c r="B1633" s="46" t="n"/>
      <c r="C1633" s="49" t="n"/>
      <c r="D1633" s="49" t="n"/>
      <c r="E1633" s="49" t="n"/>
      <c r="F1633" s="49" t="n"/>
      <c r="G1633" s="47" t="n"/>
      <c r="H1633" s="50" t="n"/>
      <c r="I1633" s="51" t="n"/>
      <c r="J1633" s="46" t="n"/>
      <c r="K1633" s="46" t="n"/>
      <c r="L1633" s="23">
        <f>IF(OR($A1633="",$B1633=""),"",IF($K1633&lt;&gt;"",$K1633-$B1633,TODAY()-$B1633))</f>
        <v/>
      </c>
      <c r="M1633" s="27">
        <f>IF(OR($A1633="",$J1633=""),"",IF($K1633="",IF(TODAY()&gt;$J1633,"Atrasado","En ruta"),IF($K1633&lt;=$J1633,"Sí","No")))</f>
        <v/>
      </c>
      <c r="N1633" s="23">
        <f>IF($A1633="","",COUNTIFS(NOVEDADES!$C$4:$C$1503,$A1633))</f>
        <v/>
      </c>
      <c r="O1633" s="27">
        <f>IF($A1633="","",IF(COUNTIFS(NOVEDADES!$C$4:$C$1503,$A1633,NOVEDADES!$M$4:$M$1503,"SÍ")&gt;0,"No","Sí"))</f>
        <v/>
      </c>
      <c r="P1633" s="27">
        <f>IF(OR($A1633="",$K1633=""),"",IF(AND($M1633="Sí",$O1633="Sí"),"OTIF","Falló"))</f>
        <v/>
      </c>
    </row>
    <row r="1634" ht="16" customHeight="1">
      <c r="A1634" s="47" t="n"/>
      <c r="B1634" s="46" t="n"/>
      <c r="C1634" s="49" t="n"/>
      <c r="D1634" s="49" t="n"/>
      <c r="E1634" s="49" t="n"/>
      <c r="F1634" s="49" t="n"/>
      <c r="G1634" s="47" t="n"/>
      <c r="H1634" s="50" t="n"/>
      <c r="I1634" s="51" t="n"/>
      <c r="J1634" s="46" t="n"/>
      <c r="K1634" s="46" t="n"/>
      <c r="L1634" s="23">
        <f>IF(OR($A1634="",$B1634=""),"",IF($K1634&lt;&gt;"",$K1634-$B1634,TODAY()-$B1634))</f>
        <v/>
      </c>
      <c r="M1634" s="27">
        <f>IF(OR($A1634="",$J1634=""),"",IF($K1634="",IF(TODAY()&gt;$J1634,"Atrasado","En ruta"),IF($K1634&lt;=$J1634,"Sí","No")))</f>
        <v/>
      </c>
      <c r="N1634" s="23">
        <f>IF($A1634="","",COUNTIFS(NOVEDADES!$C$4:$C$1503,$A1634))</f>
        <v/>
      </c>
      <c r="O1634" s="27">
        <f>IF($A1634="","",IF(COUNTIFS(NOVEDADES!$C$4:$C$1503,$A1634,NOVEDADES!$M$4:$M$1503,"SÍ")&gt;0,"No","Sí"))</f>
        <v/>
      </c>
      <c r="P1634" s="27">
        <f>IF(OR($A1634="",$K1634=""),"",IF(AND($M1634="Sí",$O1634="Sí"),"OTIF","Falló"))</f>
        <v/>
      </c>
    </row>
    <row r="1635" ht="16" customHeight="1">
      <c r="A1635" s="47" t="n"/>
      <c r="B1635" s="46" t="n"/>
      <c r="C1635" s="49" t="n"/>
      <c r="D1635" s="49" t="n"/>
      <c r="E1635" s="49" t="n"/>
      <c r="F1635" s="49" t="n"/>
      <c r="G1635" s="47" t="n"/>
      <c r="H1635" s="50" t="n"/>
      <c r="I1635" s="51" t="n"/>
      <c r="J1635" s="46" t="n"/>
      <c r="K1635" s="46" t="n"/>
      <c r="L1635" s="23">
        <f>IF(OR($A1635="",$B1635=""),"",IF($K1635&lt;&gt;"",$K1635-$B1635,TODAY()-$B1635))</f>
        <v/>
      </c>
      <c r="M1635" s="27">
        <f>IF(OR($A1635="",$J1635=""),"",IF($K1635="",IF(TODAY()&gt;$J1635,"Atrasado","En ruta"),IF($K1635&lt;=$J1635,"Sí","No")))</f>
        <v/>
      </c>
      <c r="N1635" s="23">
        <f>IF($A1635="","",COUNTIFS(NOVEDADES!$C$4:$C$1503,$A1635))</f>
        <v/>
      </c>
      <c r="O1635" s="27">
        <f>IF($A1635="","",IF(COUNTIFS(NOVEDADES!$C$4:$C$1503,$A1635,NOVEDADES!$M$4:$M$1503,"SÍ")&gt;0,"No","Sí"))</f>
        <v/>
      </c>
      <c r="P1635" s="27">
        <f>IF(OR($A1635="",$K1635=""),"",IF(AND($M1635="Sí",$O1635="Sí"),"OTIF","Falló"))</f>
        <v/>
      </c>
    </row>
    <row r="1636" ht="16" customHeight="1">
      <c r="A1636" s="47" t="n"/>
      <c r="B1636" s="46" t="n"/>
      <c r="C1636" s="49" t="n"/>
      <c r="D1636" s="49" t="n"/>
      <c r="E1636" s="49" t="n"/>
      <c r="F1636" s="49" t="n"/>
      <c r="G1636" s="47" t="n"/>
      <c r="H1636" s="50" t="n"/>
      <c r="I1636" s="51" t="n"/>
      <c r="J1636" s="46" t="n"/>
      <c r="K1636" s="46" t="n"/>
      <c r="L1636" s="23">
        <f>IF(OR($A1636="",$B1636=""),"",IF($K1636&lt;&gt;"",$K1636-$B1636,TODAY()-$B1636))</f>
        <v/>
      </c>
      <c r="M1636" s="27">
        <f>IF(OR($A1636="",$J1636=""),"",IF($K1636="",IF(TODAY()&gt;$J1636,"Atrasado","En ruta"),IF($K1636&lt;=$J1636,"Sí","No")))</f>
        <v/>
      </c>
      <c r="N1636" s="23">
        <f>IF($A1636="","",COUNTIFS(NOVEDADES!$C$4:$C$1503,$A1636))</f>
        <v/>
      </c>
      <c r="O1636" s="27">
        <f>IF($A1636="","",IF(COUNTIFS(NOVEDADES!$C$4:$C$1503,$A1636,NOVEDADES!$M$4:$M$1503,"SÍ")&gt;0,"No","Sí"))</f>
        <v/>
      </c>
      <c r="P1636" s="27">
        <f>IF(OR($A1636="",$K1636=""),"",IF(AND($M1636="Sí",$O1636="Sí"),"OTIF","Falló"))</f>
        <v/>
      </c>
    </row>
    <row r="1637" ht="16" customHeight="1">
      <c r="A1637" s="47" t="n"/>
      <c r="B1637" s="46" t="n"/>
      <c r="C1637" s="49" t="n"/>
      <c r="D1637" s="49" t="n"/>
      <c r="E1637" s="49" t="n"/>
      <c r="F1637" s="49" t="n"/>
      <c r="G1637" s="47" t="n"/>
      <c r="H1637" s="50" t="n"/>
      <c r="I1637" s="51" t="n"/>
      <c r="J1637" s="46" t="n"/>
      <c r="K1637" s="46" t="n"/>
      <c r="L1637" s="23">
        <f>IF(OR($A1637="",$B1637=""),"",IF($K1637&lt;&gt;"",$K1637-$B1637,TODAY()-$B1637))</f>
        <v/>
      </c>
      <c r="M1637" s="27">
        <f>IF(OR($A1637="",$J1637=""),"",IF($K1637="",IF(TODAY()&gt;$J1637,"Atrasado","En ruta"),IF($K1637&lt;=$J1637,"Sí","No")))</f>
        <v/>
      </c>
      <c r="N1637" s="23">
        <f>IF($A1637="","",COUNTIFS(NOVEDADES!$C$4:$C$1503,$A1637))</f>
        <v/>
      </c>
      <c r="O1637" s="27">
        <f>IF($A1637="","",IF(COUNTIFS(NOVEDADES!$C$4:$C$1503,$A1637,NOVEDADES!$M$4:$M$1503,"SÍ")&gt;0,"No","Sí"))</f>
        <v/>
      </c>
      <c r="P1637" s="27">
        <f>IF(OR($A1637="",$K1637=""),"",IF(AND($M1637="Sí",$O1637="Sí"),"OTIF","Falló"))</f>
        <v/>
      </c>
    </row>
    <row r="1638" ht="16" customHeight="1">
      <c r="A1638" s="47" t="n"/>
      <c r="B1638" s="46" t="n"/>
      <c r="C1638" s="49" t="n"/>
      <c r="D1638" s="49" t="n"/>
      <c r="E1638" s="49" t="n"/>
      <c r="F1638" s="49" t="n"/>
      <c r="G1638" s="47" t="n"/>
      <c r="H1638" s="50" t="n"/>
      <c r="I1638" s="51" t="n"/>
      <c r="J1638" s="46" t="n"/>
      <c r="K1638" s="46" t="n"/>
      <c r="L1638" s="23">
        <f>IF(OR($A1638="",$B1638=""),"",IF($K1638&lt;&gt;"",$K1638-$B1638,TODAY()-$B1638))</f>
        <v/>
      </c>
      <c r="M1638" s="27">
        <f>IF(OR($A1638="",$J1638=""),"",IF($K1638="",IF(TODAY()&gt;$J1638,"Atrasado","En ruta"),IF($K1638&lt;=$J1638,"Sí","No")))</f>
        <v/>
      </c>
      <c r="N1638" s="23">
        <f>IF($A1638="","",COUNTIFS(NOVEDADES!$C$4:$C$1503,$A1638))</f>
        <v/>
      </c>
      <c r="O1638" s="27">
        <f>IF($A1638="","",IF(COUNTIFS(NOVEDADES!$C$4:$C$1503,$A1638,NOVEDADES!$M$4:$M$1503,"SÍ")&gt;0,"No","Sí"))</f>
        <v/>
      </c>
      <c r="P1638" s="27">
        <f>IF(OR($A1638="",$K1638=""),"",IF(AND($M1638="Sí",$O1638="Sí"),"OTIF","Falló"))</f>
        <v/>
      </c>
    </row>
    <row r="1639" ht="16" customHeight="1">
      <c r="A1639" s="47" t="n"/>
      <c r="B1639" s="46" t="n"/>
      <c r="C1639" s="49" t="n"/>
      <c r="D1639" s="49" t="n"/>
      <c r="E1639" s="49" t="n"/>
      <c r="F1639" s="49" t="n"/>
      <c r="G1639" s="47" t="n"/>
      <c r="H1639" s="50" t="n"/>
      <c r="I1639" s="51" t="n"/>
      <c r="J1639" s="46" t="n"/>
      <c r="K1639" s="46" t="n"/>
      <c r="L1639" s="23">
        <f>IF(OR($A1639="",$B1639=""),"",IF($K1639&lt;&gt;"",$K1639-$B1639,TODAY()-$B1639))</f>
        <v/>
      </c>
      <c r="M1639" s="27">
        <f>IF(OR($A1639="",$J1639=""),"",IF($K1639="",IF(TODAY()&gt;$J1639,"Atrasado","En ruta"),IF($K1639&lt;=$J1639,"Sí","No")))</f>
        <v/>
      </c>
      <c r="N1639" s="23">
        <f>IF($A1639="","",COUNTIFS(NOVEDADES!$C$4:$C$1503,$A1639))</f>
        <v/>
      </c>
      <c r="O1639" s="27">
        <f>IF($A1639="","",IF(COUNTIFS(NOVEDADES!$C$4:$C$1503,$A1639,NOVEDADES!$M$4:$M$1503,"SÍ")&gt;0,"No","Sí"))</f>
        <v/>
      </c>
      <c r="P1639" s="27">
        <f>IF(OR($A1639="",$K1639=""),"",IF(AND($M1639="Sí",$O1639="Sí"),"OTIF","Falló"))</f>
        <v/>
      </c>
    </row>
    <row r="1640" ht="16" customHeight="1">
      <c r="A1640" s="47" t="n"/>
      <c r="B1640" s="46" t="n"/>
      <c r="C1640" s="49" t="n"/>
      <c r="D1640" s="49" t="n"/>
      <c r="E1640" s="49" t="n"/>
      <c r="F1640" s="49" t="n"/>
      <c r="G1640" s="47" t="n"/>
      <c r="H1640" s="50" t="n"/>
      <c r="I1640" s="51" t="n"/>
      <c r="J1640" s="46" t="n"/>
      <c r="K1640" s="46" t="n"/>
      <c r="L1640" s="23">
        <f>IF(OR($A1640="",$B1640=""),"",IF($K1640&lt;&gt;"",$K1640-$B1640,TODAY()-$B1640))</f>
        <v/>
      </c>
      <c r="M1640" s="27">
        <f>IF(OR($A1640="",$J1640=""),"",IF($K1640="",IF(TODAY()&gt;$J1640,"Atrasado","En ruta"),IF($K1640&lt;=$J1640,"Sí","No")))</f>
        <v/>
      </c>
      <c r="N1640" s="23">
        <f>IF($A1640="","",COUNTIFS(NOVEDADES!$C$4:$C$1503,$A1640))</f>
        <v/>
      </c>
      <c r="O1640" s="27">
        <f>IF($A1640="","",IF(COUNTIFS(NOVEDADES!$C$4:$C$1503,$A1640,NOVEDADES!$M$4:$M$1503,"SÍ")&gt;0,"No","Sí"))</f>
        <v/>
      </c>
      <c r="P1640" s="27">
        <f>IF(OR($A1640="",$K1640=""),"",IF(AND($M1640="Sí",$O1640="Sí"),"OTIF","Falló"))</f>
        <v/>
      </c>
    </row>
    <row r="1641" ht="16" customHeight="1">
      <c r="A1641" s="47" t="n"/>
      <c r="B1641" s="46" t="n"/>
      <c r="C1641" s="49" t="n"/>
      <c r="D1641" s="49" t="n"/>
      <c r="E1641" s="49" t="n"/>
      <c r="F1641" s="49" t="n"/>
      <c r="G1641" s="47" t="n"/>
      <c r="H1641" s="50" t="n"/>
      <c r="I1641" s="51" t="n"/>
      <c r="J1641" s="46" t="n"/>
      <c r="K1641" s="46" t="n"/>
      <c r="L1641" s="23">
        <f>IF(OR($A1641="",$B1641=""),"",IF($K1641&lt;&gt;"",$K1641-$B1641,TODAY()-$B1641))</f>
        <v/>
      </c>
      <c r="M1641" s="27">
        <f>IF(OR($A1641="",$J1641=""),"",IF($K1641="",IF(TODAY()&gt;$J1641,"Atrasado","En ruta"),IF($K1641&lt;=$J1641,"Sí","No")))</f>
        <v/>
      </c>
      <c r="N1641" s="23">
        <f>IF($A1641="","",COUNTIFS(NOVEDADES!$C$4:$C$1503,$A1641))</f>
        <v/>
      </c>
      <c r="O1641" s="27">
        <f>IF($A1641="","",IF(COUNTIFS(NOVEDADES!$C$4:$C$1503,$A1641,NOVEDADES!$M$4:$M$1503,"SÍ")&gt;0,"No","Sí"))</f>
        <v/>
      </c>
      <c r="P1641" s="27">
        <f>IF(OR($A1641="",$K1641=""),"",IF(AND($M1641="Sí",$O1641="Sí"),"OTIF","Falló"))</f>
        <v/>
      </c>
    </row>
    <row r="1642" ht="16" customHeight="1">
      <c r="A1642" s="47" t="n"/>
      <c r="B1642" s="46" t="n"/>
      <c r="C1642" s="49" t="n"/>
      <c r="D1642" s="49" t="n"/>
      <c r="E1642" s="49" t="n"/>
      <c r="F1642" s="49" t="n"/>
      <c r="G1642" s="47" t="n"/>
      <c r="H1642" s="50" t="n"/>
      <c r="I1642" s="51" t="n"/>
      <c r="J1642" s="46" t="n"/>
      <c r="K1642" s="46" t="n"/>
      <c r="L1642" s="23">
        <f>IF(OR($A1642="",$B1642=""),"",IF($K1642&lt;&gt;"",$K1642-$B1642,TODAY()-$B1642))</f>
        <v/>
      </c>
      <c r="M1642" s="27">
        <f>IF(OR($A1642="",$J1642=""),"",IF($K1642="",IF(TODAY()&gt;$J1642,"Atrasado","En ruta"),IF($K1642&lt;=$J1642,"Sí","No")))</f>
        <v/>
      </c>
      <c r="N1642" s="23">
        <f>IF($A1642="","",COUNTIFS(NOVEDADES!$C$4:$C$1503,$A1642))</f>
        <v/>
      </c>
      <c r="O1642" s="27">
        <f>IF($A1642="","",IF(COUNTIFS(NOVEDADES!$C$4:$C$1503,$A1642,NOVEDADES!$M$4:$M$1503,"SÍ")&gt;0,"No","Sí"))</f>
        <v/>
      </c>
      <c r="P1642" s="27">
        <f>IF(OR($A1642="",$K1642=""),"",IF(AND($M1642="Sí",$O1642="Sí"),"OTIF","Falló"))</f>
        <v/>
      </c>
    </row>
    <row r="1643" ht="16" customHeight="1">
      <c r="A1643" s="47" t="n"/>
      <c r="B1643" s="46" t="n"/>
      <c r="C1643" s="49" t="n"/>
      <c r="D1643" s="49" t="n"/>
      <c r="E1643" s="49" t="n"/>
      <c r="F1643" s="49" t="n"/>
      <c r="G1643" s="47" t="n"/>
      <c r="H1643" s="50" t="n"/>
      <c r="I1643" s="51" t="n"/>
      <c r="J1643" s="46" t="n"/>
      <c r="K1643" s="46" t="n"/>
      <c r="L1643" s="23">
        <f>IF(OR($A1643="",$B1643=""),"",IF($K1643&lt;&gt;"",$K1643-$B1643,TODAY()-$B1643))</f>
        <v/>
      </c>
      <c r="M1643" s="27">
        <f>IF(OR($A1643="",$J1643=""),"",IF($K1643="",IF(TODAY()&gt;$J1643,"Atrasado","En ruta"),IF($K1643&lt;=$J1643,"Sí","No")))</f>
        <v/>
      </c>
      <c r="N1643" s="23">
        <f>IF($A1643="","",COUNTIFS(NOVEDADES!$C$4:$C$1503,$A1643))</f>
        <v/>
      </c>
      <c r="O1643" s="27">
        <f>IF($A1643="","",IF(COUNTIFS(NOVEDADES!$C$4:$C$1503,$A1643,NOVEDADES!$M$4:$M$1503,"SÍ")&gt;0,"No","Sí"))</f>
        <v/>
      </c>
      <c r="P1643" s="27">
        <f>IF(OR($A1643="",$K1643=""),"",IF(AND($M1643="Sí",$O1643="Sí"),"OTIF","Falló"))</f>
        <v/>
      </c>
    </row>
    <row r="1644" ht="16" customHeight="1">
      <c r="A1644" s="47" t="n"/>
      <c r="B1644" s="46" t="n"/>
      <c r="C1644" s="49" t="n"/>
      <c r="D1644" s="49" t="n"/>
      <c r="E1644" s="49" t="n"/>
      <c r="F1644" s="49" t="n"/>
      <c r="G1644" s="47" t="n"/>
      <c r="H1644" s="50" t="n"/>
      <c r="I1644" s="51" t="n"/>
      <c r="J1644" s="46" t="n"/>
      <c r="K1644" s="46" t="n"/>
      <c r="L1644" s="23">
        <f>IF(OR($A1644="",$B1644=""),"",IF($K1644&lt;&gt;"",$K1644-$B1644,TODAY()-$B1644))</f>
        <v/>
      </c>
      <c r="M1644" s="27">
        <f>IF(OR($A1644="",$J1644=""),"",IF($K1644="",IF(TODAY()&gt;$J1644,"Atrasado","En ruta"),IF($K1644&lt;=$J1644,"Sí","No")))</f>
        <v/>
      </c>
      <c r="N1644" s="23">
        <f>IF($A1644="","",COUNTIFS(NOVEDADES!$C$4:$C$1503,$A1644))</f>
        <v/>
      </c>
      <c r="O1644" s="27">
        <f>IF($A1644="","",IF(COUNTIFS(NOVEDADES!$C$4:$C$1503,$A1644,NOVEDADES!$M$4:$M$1503,"SÍ")&gt;0,"No","Sí"))</f>
        <v/>
      </c>
      <c r="P1644" s="27">
        <f>IF(OR($A1644="",$K1644=""),"",IF(AND($M1644="Sí",$O1644="Sí"),"OTIF","Falló"))</f>
        <v/>
      </c>
    </row>
    <row r="1645" ht="16" customHeight="1">
      <c r="A1645" s="47" t="n"/>
      <c r="B1645" s="46" t="n"/>
      <c r="C1645" s="49" t="n"/>
      <c r="D1645" s="49" t="n"/>
      <c r="E1645" s="49" t="n"/>
      <c r="F1645" s="49" t="n"/>
      <c r="G1645" s="47" t="n"/>
      <c r="H1645" s="50" t="n"/>
      <c r="I1645" s="51" t="n"/>
      <c r="J1645" s="46" t="n"/>
      <c r="K1645" s="46" t="n"/>
      <c r="L1645" s="23">
        <f>IF(OR($A1645="",$B1645=""),"",IF($K1645&lt;&gt;"",$K1645-$B1645,TODAY()-$B1645))</f>
        <v/>
      </c>
      <c r="M1645" s="27">
        <f>IF(OR($A1645="",$J1645=""),"",IF($K1645="",IF(TODAY()&gt;$J1645,"Atrasado","En ruta"),IF($K1645&lt;=$J1645,"Sí","No")))</f>
        <v/>
      </c>
      <c r="N1645" s="23">
        <f>IF($A1645="","",COUNTIFS(NOVEDADES!$C$4:$C$1503,$A1645))</f>
        <v/>
      </c>
      <c r="O1645" s="27">
        <f>IF($A1645="","",IF(COUNTIFS(NOVEDADES!$C$4:$C$1503,$A1645,NOVEDADES!$M$4:$M$1503,"SÍ")&gt;0,"No","Sí"))</f>
        <v/>
      </c>
      <c r="P1645" s="27">
        <f>IF(OR($A1645="",$K1645=""),"",IF(AND($M1645="Sí",$O1645="Sí"),"OTIF","Falló"))</f>
        <v/>
      </c>
    </row>
    <row r="1646" ht="16" customHeight="1">
      <c r="A1646" s="47" t="n"/>
      <c r="B1646" s="46" t="n"/>
      <c r="C1646" s="49" t="n"/>
      <c r="D1646" s="49" t="n"/>
      <c r="E1646" s="49" t="n"/>
      <c r="F1646" s="49" t="n"/>
      <c r="G1646" s="47" t="n"/>
      <c r="H1646" s="50" t="n"/>
      <c r="I1646" s="51" t="n"/>
      <c r="J1646" s="46" t="n"/>
      <c r="K1646" s="46" t="n"/>
      <c r="L1646" s="23">
        <f>IF(OR($A1646="",$B1646=""),"",IF($K1646&lt;&gt;"",$K1646-$B1646,TODAY()-$B1646))</f>
        <v/>
      </c>
      <c r="M1646" s="27">
        <f>IF(OR($A1646="",$J1646=""),"",IF($K1646="",IF(TODAY()&gt;$J1646,"Atrasado","En ruta"),IF($K1646&lt;=$J1646,"Sí","No")))</f>
        <v/>
      </c>
      <c r="N1646" s="23">
        <f>IF($A1646="","",COUNTIFS(NOVEDADES!$C$4:$C$1503,$A1646))</f>
        <v/>
      </c>
      <c r="O1646" s="27">
        <f>IF($A1646="","",IF(COUNTIFS(NOVEDADES!$C$4:$C$1503,$A1646,NOVEDADES!$M$4:$M$1503,"SÍ")&gt;0,"No","Sí"))</f>
        <v/>
      </c>
      <c r="P1646" s="27">
        <f>IF(OR($A1646="",$K1646=""),"",IF(AND($M1646="Sí",$O1646="Sí"),"OTIF","Falló"))</f>
        <v/>
      </c>
    </row>
    <row r="1647" ht="16" customHeight="1">
      <c r="A1647" s="47" t="n"/>
      <c r="B1647" s="46" t="n"/>
      <c r="C1647" s="49" t="n"/>
      <c r="D1647" s="49" t="n"/>
      <c r="E1647" s="49" t="n"/>
      <c r="F1647" s="49" t="n"/>
      <c r="G1647" s="47" t="n"/>
      <c r="H1647" s="50" t="n"/>
      <c r="I1647" s="51" t="n"/>
      <c r="J1647" s="46" t="n"/>
      <c r="K1647" s="46" t="n"/>
      <c r="L1647" s="23">
        <f>IF(OR($A1647="",$B1647=""),"",IF($K1647&lt;&gt;"",$K1647-$B1647,TODAY()-$B1647))</f>
        <v/>
      </c>
      <c r="M1647" s="27">
        <f>IF(OR($A1647="",$J1647=""),"",IF($K1647="",IF(TODAY()&gt;$J1647,"Atrasado","En ruta"),IF($K1647&lt;=$J1647,"Sí","No")))</f>
        <v/>
      </c>
      <c r="N1647" s="23">
        <f>IF($A1647="","",COUNTIFS(NOVEDADES!$C$4:$C$1503,$A1647))</f>
        <v/>
      </c>
      <c r="O1647" s="27">
        <f>IF($A1647="","",IF(COUNTIFS(NOVEDADES!$C$4:$C$1503,$A1647,NOVEDADES!$M$4:$M$1503,"SÍ")&gt;0,"No","Sí"))</f>
        <v/>
      </c>
      <c r="P1647" s="27">
        <f>IF(OR($A1647="",$K1647=""),"",IF(AND($M1647="Sí",$O1647="Sí"),"OTIF","Falló"))</f>
        <v/>
      </c>
    </row>
    <row r="1648" ht="16" customHeight="1">
      <c r="A1648" s="47" t="n"/>
      <c r="B1648" s="46" t="n"/>
      <c r="C1648" s="49" t="n"/>
      <c r="D1648" s="49" t="n"/>
      <c r="E1648" s="49" t="n"/>
      <c r="F1648" s="49" t="n"/>
      <c r="G1648" s="47" t="n"/>
      <c r="H1648" s="50" t="n"/>
      <c r="I1648" s="51" t="n"/>
      <c r="J1648" s="46" t="n"/>
      <c r="K1648" s="46" t="n"/>
      <c r="L1648" s="23">
        <f>IF(OR($A1648="",$B1648=""),"",IF($K1648&lt;&gt;"",$K1648-$B1648,TODAY()-$B1648))</f>
        <v/>
      </c>
      <c r="M1648" s="27">
        <f>IF(OR($A1648="",$J1648=""),"",IF($K1648="",IF(TODAY()&gt;$J1648,"Atrasado","En ruta"),IF($K1648&lt;=$J1648,"Sí","No")))</f>
        <v/>
      </c>
      <c r="N1648" s="23">
        <f>IF($A1648="","",COUNTIFS(NOVEDADES!$C$4:$C$1503,$A1648))</f>
        <v/>
      </c>
      <c r="O1648" s="27">
        <f>IF($A1648="","",IF(COUNTIFS(NOVEDADES!$C$4:$C$1503,$A1648,NOVEDADES!$M$4:$M$1503,"SÍ")&gt;0,"No","Sí"))</f>
        <v/>
      </c>
      <c r="P1648" s="27">
        <f>IF(OR($A1648="",$K1648=""),"",IF(AND($M1648="Sí",$O1648="Sí"),"OTIF","Falló"))</f>
        <v/>
      </c>
    </row>
    <row r="1649" ht="16" customHeight="1">
      <c r="A1649" s="47" t="n"/>
      <c r="B1649" s="46" t="n"/>
      <c r="C1649" s="49" t="n"/>
      <c r="D1649" s="49" t="n"/>
      <c r="E1649" s="49" t="n"/>
      <c r="F1649" s="49" t="n"/>
      <c r="G1649" s="47" t="n"/>
      <c r="H1649" s="50" t="n"/>
      <c r="I1649" s="51" t="n"/>
      <c r="J1649" s="46" t="n"/>
      <c r="K1649" s="46" t="n"/>
      <c r="L1649" s="23">
        <f>IF(OR($A1649="",$B1649=""),"",IF($K1649&lt;&gt;"",$K1649-$B1649,TODAY()-$B1649))</f>
        <v/>
      </c>
      <c r="M1649" s="27">
        <f>IF(OR($A1649="",$J1649=""),"",IF($K1649="",IF(TODAY()&gt;$J1649,"Atrasado","En ruta"),IF($K1649&lt;=$J1649,"Sí","No")))</f>
        <v/>
      </c>
      <c r="N1649" s="23">
        <f>IF($A1649="","",COUNTIFS(NOVEDADES!$C$4:$C$1503,$A1649))</f>
        <v/>
      </c>
      <c r="O1649" s="27">
        <f>IF($A1649="","",IF(COUNTIFS(NOVEDADES!$C$4:$C$1503,$A1649,NOVEDADES!$M$4:$M$1503,"SÍ")&gt;0,"No","Sí"))</f>
        <v/>
      </c>
      <c r="P1649" s="27">
        <f>IF(OR($A1649="",$K1649=""),"",IF(AND($M1649="Sí",$O1649="Sí"),"OTIF","Falló"))</f>
        <v/>
      </c>
    </row>
    <row r="1650" ht="16" customHeight="1">
      <c r="A1650" s="47" t="n"/>
      <c r="B1650" s="46" t="n"/>
      <c r="C1650" s="49" t="n"/>
      <c r="D1650" s="49" t="n"/>
      <c r="E1650" s="49" t="n"/>
      <c r="F1650" s="49" t="n"/>
      <c r="G1650" s="47" t="n"/>
      <c r="H1650" s="50" t="n"/>
      <c r="I1650" s="51" t="n"/>
      <c r="J1650" s="46" t="n"/>
      <c r="K1650" s="46" t="n"/>
      <c r="L1650" s="23">
        <f>IF(OR($A1650="",$B1650=""),"",IF($K1650&lt;&gt;"",$K1650-$B1650,TODAY()-$B1650))</f>
        <v/>
      </c>
      <c r="M1650" s="27">
        <f>IF(OR($A1650="",$J1650=""),"",IF($K1650="",IF(TODAY()&gt;$J1650,"Atrasado","En ruta"),IF($K1650&lt;=$J1650,"Sí","No")))</f>
        <v/>
      </c>
      <c r="N1650" s="23">
        <f>IF($A1650="","",COUNTIFS(NOVEDADES!$C$4:$C$1503,$A1650))</f>
        <v/>
      </c>
      <c r="O1650" s="27">
        <f>IF($A1650="","",IF(COUNTIFS(NOVEDADES!$C$4:$C$1503,$A1650,NOVEDADES!$M$4:$M$1503,"SÍ")&gt;0,"No","Sí"))</f>
        <v/>
      </c>
      <c r="P1650" s="27">
        <f>IF(OR($A1650="",$K1650=""),"",IF(AND($M1650="Sí",$O1650="Sí"),"OTIF","Falló"))</f>
        <v/>
      </c>
    </row>
    <row r="1651" ht="16" customHeight="1">
      <c r="A1651" s="47" t="n"/>
      <c r="B1651" s="46" t="n"/>
      <c r="C1651" s="49" t="n"/>
      <c r="D1651" s="49" t="n"/>
      <c r="E1651" s="49" t="n"/>
      <c r="F1651" s="49" t="n"/>
      <c r="G1651" s="47" t="n"/>
      <c r="H1651" s="50" t="n"/>
      <c r="I1651" s="51" t="n"/>
      <c r="J1651" s="46" t="n"/>
      <c r="K1651" s="46" t="n"/>
      <c r="L1651" s="23">
        <f>IF(OR($A1651="",$B1651=""),"",IF($K1651&lt;&gt;"",$K1651-$B1651,TODAY()-$B1651))</f>
        <v/>
      </c>
      <c r="M1651" s="27">
        <f>IF(OR($A1651="",$J1651=""),"",IF($K1651="",IF(TODAY()&gt;$J1651,"Atrasado","En ruta"),IF($K1651&lt;=$J1651,"Sí","No")))</f>
        <v/>
      </c>
      <c r="N1651" s="23">
        <f>IF($A1651="","",COUNTIFS(NOVEDADES!$C$4:$C$1503,$A1651))</f>
        <v/>
      </c>
      <c r="O1651" s="27">
        <f>IF($A1651="","",IF(COUNTIFS(NOVEDADES!$C$4:$C$1503,$A1651,NOVEDADES!$M$4:$M$1503,"SÍ")&gt;0,"No","Sí"))</f>
        <v/>
      </c>
      <c r="P1651" s="27">
        <f>IF(OR($A1651="",$K1651=""),"",IF(AND($M1651="Sí",$O1651="Sí"),"OTIF","Falló"))</f>
        <v/>
      </c>
    </row>
    <row r="1652" ht="16" customHeight="1">
      <c r="A1652" s="47" t="n"/>
      <c r="B1652" s="46" t="n"/>
      <c r="C1652" s="49" t="n"/>
      <c r="D1652" s="49" t="n"/>
      <c r="E1652" s="49" t="n"/>
      <c r="F1652" s="49" t="n"/>
      <c r="G1652" s="47" t="n"/>
      <c r="H1652" s="50" t="n"/>
      <c r="I1652" s="51" t="n"/>
      <c r="J1652" s="46" t="n"/>
      <c r="K1652" s="46" t="n"/>
      <c r="L1652" s="23">
        <f>IF(OR($A1652="",$B1652=""),"",IF($K1652&lt;&gt;"",$K1652-$B1652,TODAY()-$B1652))</f>
        <v/>
      </c>
      <c r="M1652" s="27">
        <f>IF(OR($A1652="",$J1652=""),"",IF($K1652="",IF(TODAY()&gt;$J1652,"Atrasado","En ruta"),IF($K1652&lt;=$J1652,"Sí","No")))</f>
        <v/>
      </c>
      <c r="N1652" s="23">
        <f>IF($A1652="","",COUNTIFS(NOVEDADES!$C$4:$C$1503,$A1652))</f>
        <v/>
      </c>
      <c r="O1652" s="27">
        <f>IF($A1652="","",IF(COUNTIFS(NOVEDADES!$C$4:$C$1503,$A1652,NOVEDADES!$M$4:$M$1503,"SÍ")&gt;0,"No","Sí"))</f>
        <v/>
      </c>
      <c r="P1652" s="27">
        <f>IF(OR($A1652="",$K1652=""),"",IF(AND($M1652="Sí",$O1652="Sí"),"OTIF","Falló"))</f>
        <v/>
      </c>
    </row>
    <row r="1653" ht="16" customHeight="1">
      <c r="A1653" s="47" t="n"/>
      <c r="B1653" s="46" t="n"/>
      <c r="C1653" s="49" t="n"/>
      <c r="D1653" s="49" t="n"/>
      <c r="E1653" s="49" t="n"/>
      <c r="F1653" s="49" t="n"/>
      <c r="G1653" s="47" t="n"/>
      <c r="H1653" s="50" t="n"/>
      <c r="I1653" s="51" t="n"/>
      <c r="J1653" s="46" t="n"/>
      <c r="K1653" s="46" t="n"/>
      <c r="L1653" s="23">
        <f>IF(OR($A1653="",$B1653=""),"",IF($K1653&lt;&gt;"",$K1653-$B1653,TODAY()-$B1653))</f>
        <v/>
      </c>
      <c r="M1653" s="27">
        <f>IF(OR($A1653="",$J1653=""),"",IF($K1653="",IF(TODAY()&gt;$J1653,"Atrasado","En ruta"),IF($K1653&lt;=$J1653,"Sí","No")))</f>
        <v/>
      </c>
      <c r="N1653" s="23">
        <f>IF($A1653="","",COUNTIFS(NOVEDADES!$C$4:$C$1503,$A1653))</f>
        <v/>
      </c>
      <c r="O1653" s="27">
        <f>IF($A1653="","",IF(COUNTIFS(NOVEDADES!$C$4:$C$1503,$A1653,NOVEDADES!$M$4:$M$1503,"SÍ")&gt;0,"No","Sí"))</f>
        <v/>
      </c>
      <c r="P1653" s="27">
        <f>IF(OR($A1653="",$K1653=""),"",IF(AND($M1653="Sí",$O1653="Sí"),"OTIF","Falló"))</f>
        <v/>
      </c>
    </row>
    <row r="1654" ht="16" customHeight="1">
      <c r="A1654" s="47" t="n"/>
      <c r="B1654" s="46" t="n"/>
      <c r="C1654" s="49" t="n"/>
      <c r="D1654" s="49" t="n"/>
      <c r="E1654" s="49" t="n"/>
      <c r="F1654" s="49" t="n"/>
      <c r="G1654" s="47" t="n"/>
      <c r="H1654" s="50" t="n"/>
      <c r="I1654" s="51" t="n"/>
      <c r="J1654" s="46" t="n"/>
      <c r="K1654" s="46" t="n"/>
      <c r="L1654" s="23">
        <f>IF(OR($A1654="",$B1654=""),"",IF($K1654&lt;&gt;"",$K1654-$B1654,TODAY()-$B1654))</f>
        <v/>
      </c>
      <c r="M1654" s="27">
        <f>IF(OR($A1654="",$J1654=""),"",IF($K1654="",IF(TODAY()&gt;$J1654,"Atrasado","En ruta"),IF($K1654&lt;=$J1654,"Sí","No")))</f>
        <v/>
      </c>
      <c r="N1654" s="23">
        <f>IF($A1654="","",COUNTIFS(NOVEDADES!$C$4:$C$1503,$A1654))</f>
        <v/>
      </c>
      <c r="O1654" s="27">
        <f>IF($A1654="","",IF(COUNTIFS(NOVEDADES!$C$4:$C$1503,$A1654,NOVEDADES!$M$4:$M$1503,"SÍ")&gt;0,"No","Sí"))</f>
        <v/>
      </c>
      <c r="P1654" s="27">
        <f>IF(OR($A1654="",$K1654=""),"",IF(AND($M1654="Sí",$O1654="Sí"),"OTIF","Falló"))</f>
        <v/>
      </c>
    </row>
    <row r="1655" ht="16" customHeight="1">
      <c r="A1655" s="47" t="n"/>
      <c r="B1655" s="46" t="n"/>
      <c r="C1655" s="49" t="n"/>
      <c r="D1655" s="49" t="n"/>
      <c r="E1655" s="49" t="n"/>
      <c r="F1655" s="49" t="n"/>
      <c r="G1655" s="47" t="n"/>
      <c r="H1655" s="50" t="n"/>
      <c r="I1655" s="51" t="n"/>
      <c r="J1655" s="46" t="n"/>
      <c r="K1655" s="46" t="n"/>
      <c r="L1655" s="23">
        <f>IF(OR($A1655="",$B1655=""),"",IF($K1655&lt;&gt;"",$K1655-$B1655,TODAY()-$B1655))</f>
        <v/>
      </c>
      <c r="M1655" s="27">
        <f>IF(OR($A1655="",$J1655=""),"",IF($K1655="",IF(TODAY()&gt;$J1655,"Atrasado","En ruta"),IF($K1655&lt;=$J1655,"Sí","No")))</f>
        <v/>
      </c>
      <c r="N1655" s="23">
        <f>IF($A1655="","",COUNTIFS(NOVEDADES!$C$4:$C$1503,$A1655))</f>
        <v/>
      </c>
      <c r="O1655" s="27">
        <f>IF($A1655="","",IF(COUNTIFS(NOVEDADES!$C$4:$C$1503,$A1655,NOVEDADES!$M$4:$M$1503,"SÍ")&gt;0,"No","Sí"))</f>
        <v/>
      </c>
      <c r="P1655" s="27">
        <f>IF(OR($A1655="",$K1655=""),"",IF(AND($M1655="Sí",$O1655="Sí"),"OTIF","Falló"))</f>
        <v/>
      </c>
    </row>
    <row r="1656" ht="16" customHeight="1">
      <c r="A1656" s="47" t="n"/>
      <c r="B1656" s="46" t="n"/>
      <c r="C1656" s="49" t="n"/>
      <c r="D1656" s="49" t="n"/>
      <c r="E1656" s="49" t="n"/>
      <c r="F1656" s="49" t="n"/>
      <c r="G1656" s="47" t="n"/>
      <c r="H1656" s="50" t="n"/>
      <c r="I1656" s="51" t="n"/>
      <c r="J1656" s="46" t="n"/>
      <c r="K1656" s="46" t="n"/>
      <c r="L1656" s="23">
        <f>IF(OR($A1656="",$B1656=""),"",IF($K1656&lt;&gt;"",$K1656-$B1656,TODAY()-$B1656))</f>
        <v/>
      </c>
      <c r="M1656" s="27">
        <f>IF(OR($A1656="",$J1656=""),"",IF($K1656="",IF(TODAY()&gt;$J1656,"Atrasado","En ruta"),IF($K1656&lt;=$J1656,"Sí","No")))</f>
        <v/>
      </c>
      <c r="N1656" s="23">
        <f>IF($A1656="","",COUNTIFS(NOVEDADES!$C$4:$C$1503,$A1656))</f>
        <v/>
      </c>
      <c r="O1656" s="27">
        <f>IF($A1656="","",IF(COUNTIFS(NOVEDADES!$C$4:$C$1503,$A1656,NOVEDADES!$M$4:$M$1503,"SÍ")&gt;0,"No","Sí"))</f>
        <v/>
      </c>
      <c r="P1656" s="27">
        <f>IF(OR($A1656="",$K1656=""),"",IF(AND($M1656="Sí",$O1656="Sí"),"OTIF","Falló"))</f>
        <v/>
      </c>
    </row>
    <row r="1657" ht="16" customHeight="1">
      <c r="A1657" s="47" t="n"/>
      <c r="B1657" s="46" t="n"/>
      <c r="C1657" s="49" t="n"/>
      <c r="D1657" s="49" t="n"/>
      <c r="E1657" s="49" t="n"/>
      <c r="F1657" s="49" t="n"/>
      <c r="G1657" s="47" t="n"/>
      <c r="H1657" s="50" t="n"/>
      <c r="I1657" s="51" t="n"/>
      <c r="J1657" s="46" t="n"/>
      <c r="K1657" s="46" t="n"/>
      <c r="L1657" s="23">
        <f>IF(OR($A1657="",$B1657=""),"",IF($K1657&lt;&gt;"",$K1657-$B1657,TODAY()-$B1657))</f>
        <v/>
      </c>
      <c r="M1657" s="27">
        <f>IF(OR($A1657="",$J1657=""),"",IF($K1657="",IF(TODAY()&gt;$J1657,"Atrasado","En ruta"),IF($K1657&lt;=$J1657,"Sí","No")))</f>
        <v/>
      </c>
      <c r="N1657" s="23">
        <f>IF($A1657="","",COUNTIFS(NOVEDADES!$C$4:$C$1503,$A1657))</f>
        <v/>
      </c>
      <c r="O1657" s="27">
        <f>IF($A1657="","",IF(COUNTIFS(NOVEDADES!$C$4:$C$1503,$A1657,NOVEDADES!$M$4:$M$1503,"SÍ")&gt;0,"No","Sí"))</f>
        <v/>
      </c>
      <c r="P1657" s="27">
        <f>IF(OR($A1657="",$K1657=""),"",IF(AND($M1657="Sí",$O1657="Sí"),"OTIF","Falló"))</f>
        <v/>
      </c>
    </row>
    <row r="1658" ht="16" customHeight="1">
      <c r="A1658" s="47" t="n"/>
      <c r="B1658" s="46" t="n"/>
      <c r="C1658" s="49" t="n"/>
      <c r="D1658" s="49" t="n"/>
      <c r="E1658" s="49" t="n"/>
      <c r="F1658" s="49" t="n"/>
      <c r="G1658" s="47" t="n"/>
      <c r="H1658" s="50" t="n"/>
      <c r="I1658" s="51" t="n"/>
      <c r="J1658" s="46" t="n"/>
      <c r="K1658" s="46" t="n"/>
      <c r="L1658" s="23">
        <f>IF(OR($A1658="",$B1658=""),"",IF($K1658&lt;&gt;"",$K1658-$B1658,TODAY()-$B1658))</f>
        <v/>
      </c>
      <c r="M1658" s="27">
        <f>IF(OR($A1658="",$J1658=""),"",IF($K1658="",IF(TODAY()&gt;$J1658,"Atrasado","En ruta"),IF($K1658&lt;=$J1658,"Sí","No")))</f>
        <v/>
      </c>
      <c r="N1658" s="23">
        <f>IF($A1658="","",COUNTIFS(NOVEDADES!$C$4:$C$1503,$A1658))</f>
        <v/>
      </c>
      <c r="O1658" s="27">
        <f>IF($A1658="","",IF(COUNTIFS(NOVEDADES!$C$4:$C$1503,$A1658,NOVEDADES!$M$4:$M$1503,"SÍ")&gt;0,"No","Sí"))</f>
        <v/>
      </c>
      <c r="P1658" s="27">
        <f>IF(OR($A1658="",$K1658=""),"",IF(AND($M1658="Sí",$O1658="Sí"),"OTIF","Falló"))</f>
        <v/>
      </c>
    </row>
    <row r="1659" ht="16" customHeight="1">
      <c r="A1659" s="47" t="n"/>
      <c r="B1659" s="46" t="n"/>
      <c r="C1659" s="49" t="n"/>
      <c r="D1659" s="49" t="n"/>
      <c r="E1659" s="49" t="n"/>
      <c r="F1659" s="49" t="n"/>
      <c r="G1659" s="47" t="n"/>
      <c r="H1659" s="50" t="n"/>
      <c r="I1659" s="51" t="n"/>
      <c r="J1659" s="46" t="n"/>
      <c r="K1659" s="46" t="n"/>
      <c r="L1659" s="23">
        <f>IF(OR($A1659="",$B1659=""),"",IF($K1659&lt;&gt;"",$K1659-$B1659,TODAY()-$B1659))</f>
        <v/>
      </c>
      <c r="M1659" s="27">
        <f>IF(OR($A1659="",$J1659=""),"",IF($K1659="",IF(TODAY()&gt;$J1659,"Atrasado","En ruta"),IF($K1659&lt;=$J1659,"Sí","No")))</f>
        <v/>
      </c>
      <c r="N1659" s="23">
        <f>IF($A1659="","",COUNTIFS(NOVEDADES!$C$4:$C$1503,$A1659))</f>
        <v/>
      </c>
      <c r="O1659" s="27">
        <f>IF($A1659="","",IF(COUNTIFS(NOVEDADES!$C$4:$C$1503,$A1659,NOVEDADES!$M$4:$M$1503,"SÍ")&gt;0,"No","Sí"))</f>
        <v/>
      </c>
      <c r="P1659" s="27">
        <f>IF(OR($A1659="",$K1659=""),"",IF(AND($M1659="Sí",$O1659="Sí"),"OTIF","Falló"))</f>
        <v/>
      </c>
    </row>
    <row r="1660" ht="16" customHeight="1">
      <c r="A1660" s="47" t="n"/>
      <c r="B1660" s="46" t="n"/>
      <c r="C1660" s="49" t="n"/>
      <c r="D1660" s="49" t="n"/>
      <c r="E1660" s="49" t="n"/>
      <c r="F1660" s="49" t="n"/>
      <c r="G1660" s="47" t="n"/>
      <c r="H1660" s="50" t="n"/>
      <c r="I1660" s="51" t="n"/>
      <c r="J1660" s="46" t="n"/>
      <c r="K1660" s="46" t="n"/>
      <c r="L1660" s="23">
        <f>IF(OR($A1660="",$B1660=""),"",IF($K1660&lt;&gt;"",$K1660-$B1660,TODAY()-$B1660))</f>
        <v/>
      </c>
      <c r="M1660" s="27">
        <f>IF(OR($A1660="",$J1660=""),"",IF($K1660="",IF(TODAY()&gt;$J1660,"Atrasado","En ruta"),IF($K1660&lt;=$J1660,"Sí","No")))</f>
        <v/>
      </c>
      <c r="N1660" s="23">
        <f>IF($A1660="","",COUNTIFS(NOVEDADES!$C$4:$C$1503,$A1660))</f>
        <v/>
      </c>
      <c r="O1660" s="27">
        <f>IF($A1660="","",IF(COUNTIFS(NOVEDADES!$C$4:$C$1503,$A1660,NOVEDADES!$M$4:$M$1503,"SÍ")&gt;0,"No","Sí"))</f>
        <v/>
      </c>
      <c r="P1660" s="27">
        <f>IF(OR($A1660="",$K1660=""),"",IF(AND($M1660="Sí",$O1660="Sí"),"OTIF","Falló"))</f>
        <v/>
      </c>
    </row>
    <row r="1661" ht="16" customHeight="1">
      <c r="A1661" s="47" t="n"/>
      <c r="B1661" s="46" t="n"/>
      <c r="C1661" s="49" t="n"/>
      <c r="D1661" s="49" t="n"/>
      <c r="E1661" s="49" t="n"/>
      <c r="F1661" s="49" t="n"/>
      <c r="G1661" s="47" t="n"/>
      <c r="H1661" s="50" t="n"/>
      <c r="I1661" s="51" t="n"/>
      <c r="J1661" s="46" t="n"/>
      <c r="K1661" s="46" t="n"/>
      <c r="L1661" s="23">
        <f>IF(OR($A1661="",$B1661=""),"",IF($K1661&lt;&gt;"",$K1661-$B1661,TODAY()-$B1661))</f>
        <v/>
      </c>
      <c r="M1661" s="27">
        <f>IF(OR($A1661="",$J1661=""),"",IF($K1661="",IF(TODAY()&gt;$J1661,"Atrasado","En ruta"),IF($K1661&lt;=$J1661,"Sí","No")))</f>
        <v/>
      </c>
      <c r="N1661" s="23">
        <f>IF($A1661="","",COUNTIFS(NOVEDADES!$C$4:$C$1503,$A1661))</f>
        <v/>
      </c>
      <c r="O1661" s="27">
        <f>IF($A1661="","",IF(COUNTIFS(NOVEDADES!$C$4:$C$1503,$A1661,NOVEDADES!$M$4:$M$1503,"SÍ")&gt;0,"No","Sí"))</f>
        <v/>
      </c>
      <c r="P1661" s="27">
        <f>IF(OR($A1661="",$K1661=""),"",IF(AND($M1661="Sí",$O1661="Sí"),"OTIF","Falló"))</f>
        <v/>
      </c>
    </row>
    <row r="1662" ht="16" customHeight="1">
      <c r="A1662" s="47" t="n"/>
      <c r="B1662" s="46" t="n"/>
      <c r="C1662" s="49" t="n"/>
      <c r="D1662" s="49" t="n"/>
      <c r="E1662" s="49" t="n"/>
      <c r="F1662" s="49" t="n"/>
      <c r="G1662" s="47" t="n"/>
      <c r="H1662" s="50" t="n"/>
      <c r="I1662" s="51" t="n"/>
      <c r="J1662" s="46" t="n"/>
      <c r="K1662" s="46" t="n"/>
      <c r="L1662" s="23">
        <f>IF(OR($A1662="",$B1662=""),"",IF($K1662&lt;&gt;"",$K1662-$B1662,TODAY()-$B1662))</f>
        <v/>
      </c>
      <c r="M1662" s="27">
        <f>IF(OR($A1662="",$J1662=""),"",IF($K1662="",IF(TODAY()&gt;$J1662,"Atrasado","En ruta"),IF($K1662&lt;=$J1662,"Sí","No")))</f>
        <v/>
      </c>
      <c r="N1662" s="23">
        <f>IF($A1662="","",COUNTIFS(NOVEDADES!$C$4:$C$1503,$A1662))</f>
        <v/>
      </c>
      <c r="O1662" s="27">
        <f>IF($A1662="","",IF(COUNTIFS(NOVEDADES!$C$4:$C$1503,$A1662,NOVEDADES!$M$4:$M$1503,"SÍ")&gt;0,"No","Sí"))</f>
        <v/>
      </c>
      <c r="P1662" s="27">
        <f>IF(OR($A1662="",$K1662=""),"",IF(AND($M1662="Sí",$O1662="Sí"),"OTIF","Falló"))</f>
        <v/>
      </c>
    </row>
    <row r="1663" ht="16" customHeight="1">
      <c r="A1663" s="47" t="n"/>
      <c r="B1663" s="46" t="n"/>
      <c r="C1663" s="49" t="n"/>
      <c r="D1663" s="49" t="n"/>
      <c r="E1663" s="49" t="n"/>
      <c r="F1663" s="49" t="n"/>
      <c r="G1663" s="47" t="n"/>
      <c r="H1663" s="50" t="n"/>
      <c r="I1663" s="51" t="n"/>
      <c r="J1663" s="46" t="n"/>
      <c r="K1663" s="46" t="n"/>
      <c r="L1663" s="23">
        <f>IF(OR($A1663="",$B1663=""),"",IF($K1663&lt;&gt;"",$K1663-$B1663,TODAY()-$B1663))</f>
        <v/>
      </c>
      <c r="M1663" s="27">
        <f>IF(OR($A1663="",$J1663=""),"",IF($K1663="",IF(TODAY()&gt;$J1663,"Atrasado","En ruta"),IF($K1663&lt;=$J1663,"Sí","No")))</f>
        <v/>
      </c>
      <c r="N1663" s="23">
        <f>IF($A1663="","",COUNTIFS(NOVEDADES!$C$4:$C$1503,$A1663))</f>
        <v/>
      </c>
      <c r="O1663" s="27">
        <f>IF($A1663="","",IF(COUNTIFS(NOVEDADES!$C$4:$C$1503,$A1663,NOVEDADES!$M$4:$M$1503,"SÍ")&gt;0,"No","Sí"))</f>
        <v/>
      </c>
      <c r="P1663" s="27">
        <f>IF(OR($A1663="",$K1663=""),"",IF(AND($M1663="Sí",$O1663="Sí"),"OTIF","Falló"))</f>
        <v/>
      </c>
    </row>
    <row r="1664" ht="16" customHeight="1">
      <c r="A1664" s="47" t="n"/>
      <c r="B1664" s="46" t="n"/>
      <c r="C1664" s="49" t="n"/>
      <c r="D1664" s="49" t="n"/>
      <c r="E1664" s="49" t="n"/>
      <c r="F1664" s="49" t="n"/>
      <c r="G1664" s="47" t="n"/>
      <c r="H1664" s="50" t="n"/>
      <c r="I1664" s="51" t="n"/>
      <c r="J1664" s="46" t="n"/>
      <c r="K1664" s="46" t="n"/>
      <c r="L1664" s="23">
        <f>IF(OR($A1664="",$B1664=""),"",IF($K1664&lt;&gt;"",$K1664-$B1664,TODAY()-$B1664))</f>
        <v/>
      </c>
      <c r="M1664" s="27">
        <f>IF(OR($A1664="",$J1664=""),"",IF($K1664="",IF(TODAY()&gt;$J1664,"Atrasado","En ruta"),IF($K1664&lt;=$J1664,"Sí","No")))</f>
        <v/>
      </c>
      <c r="N1664" s="23">
        <f>IF($A1664="","",COUNTIFS(NOVEDADES!$C$4:$C$1503,$A1664))</f>
        <v/>
      </c>
      <c r="O1664" s="27">
        <f>IF($A1664="","",IF(COUNTIFS(NOVEDADES!$C$4:$C$1503,$A1664,NOVEDADES!$M$4:$M$1503,"SÍ")&gt;0,"No","Sí"))</f>
        <v/>
      </c>
      <c r="P1664" s="27">
        <f>IF(OR($A1664="",$K1664=""),"",IF(AND($M1664="Sí",$O1664="Sí"),"OTIF","Falló"))</f>
        <v/>
      </c>
    </row>
    <row r="1665" ht="16" customHeight="1">
      <c r="A1665" s="47" t="n"/>
      <c r="B1665" s="46" t="n"/>
      <c r="C1665" s="49" t="n"/>
      <c r="D1665" s="49" t="n"/>
      <c r="E1665" s="49" t="n"/>
      <c r="F1665" s="49" t="n"/>
      <c r="G1665" s="47" t="n"/>
      <c r="H1665" s="50" t="n"/>
      <c r="I1665" s="51" t="n"/>
      <c r="J1665" s="46" t="n"/>
      <c r="K1665" s="46" t="n"/>
      <c r="L1665" s="23">
        <f>IF(OR($A1665="",$B1665=""),"",IF($K1665&lt;&gt;"",$K1665-$B1665,TODAY()-$B1665))</f>
        <v/>
      </c>
      <c r="M1665" s="27">
        <f>IF(OR($A1665="",$J1665=""),"",IF($K1665="",IF(TODAY()&gt;$J1665,"Atrasado","En ruta"),IF($K1665&lt;=$J1665,"Sí","No")))</f>
        <v/>
      </c>
      <c r="N1665" s="23">
        <f>IF($A1665="","",COUNTIFS(NOVEDADES!$C$4:$C$1503,$A1665))</f>
        <v/>
      </c>
      <c r="O1665" s="27">
        <f>IF($A1665="","",IF(COUNTIFS(NOVEDADES!$C$4:$C$1503,$A1665,NOVEDADES!$M$4:$M$1503,"SÍ")&gt;0,"No","Sí"))</f>
        <v/>
      </c>
      <c r="P1665" s="27">
        <f>IF(OR($A1665="",$K1665=""),"",IF(AND($M1665="Sí",$O1665="Sí"),"OTIF","Falló"))</f>
        <v/>
      </c>
    </row>
    <row r="1666" ht="16" customHeight="1">
      <c r="A1666" s="47" t="n"/>
      <c r="B1666" s="46" t="n"/>
      <c r="C1666" s="49" t="n"/>
      <c r="D1666" s="49" t="n"/>
      <c r="E1666" s="49" t="n"/>
      <c r="F1666" s="49" t="n"/>
      <c r="G1666" s="47" t="n"/>
      <c r="H1666" s="50" t="n"/>
      <c r="I1666" s="51" t="n"/>
      <c r="J1666" s="46" t="n"/>
      <c r="K1666" s="46" t="n"/>
      <c r="L1666" s="23">
        <f>IF(OR($A1666="",$B1666=""),"",IF($K1666&lt;&gt;"",$K1666-$B1666,TODAY()-$B1666))</f>
        <v/>
      </c>
      <c r="M1666" s="27">
        <f>IF(OR($A1666="",$J1666=""),"",IF($K1666="",IF(TODAY()&gt;$J1666,"Atrasado","En ruta"),IF($K1666&lt;=$J1666,"Sí","No")))</f>
        <v/>
      </c>
      <c r="N1666" s="23">
        <f>IF($A1666="","",COUNTIFS(NOVEDADES!$C$4:$C$1503,$A1666))</f>
        <v/>
      </c>
      <c r="O1666" s="27">
        <f>IF($A1666="","",IF(COUNTIFS(NOVEDADES!$C$4:$C$1503,$A1666,NOVEDADES!$M$4:$M$1503,"SÍ")&gt;0,"No","Sí"))</f>
        <v/>
      </c>
      <c r="P1666" s="27">
        <f>IF(OR($A1666="",$K1666=""),"",IF(AND($M1666="Sí",$O1666="Sí"),"OTIF","Falló"))</f>
        <v/>
      </c>
    </row>
    <row r="1667" ht="16" customHeight="1">
      <c r="A1667" s="47" t="n"/>
      <c r="B1667" s="46" t="n"/>
      <c r="C1667" s="49" t="n"/>
      <c r="D1667" s="49" t="n"/>
      <c r="E1667" s="49" t="n"/>
      <c r="F1667" s="49" t="n"/>
      <c r="G1667" s="47" t="n"/>
      <c r="H1667" s="50" t="n"/>
      <c r="I1667" s="51" t="n"/>
      <c r="J1667" s="46" t="n"/>
      <c r="K1667" s="46" t="n"/>
      <c r="L1667" s="23">
        <f>IF(OR($A1667="",$B1667=""),"",IF($K1667&lt;&gt;"",$K1667-$B1667,TODAY()-$B1667))</f>
        <v/>
      </c>
      <c r="M1667" s="27">
        <f>IF(OR($A1667="",$J1667=""),"",IF($K1667="",IF(TODAY()&gt;$J1667,"Atrasado","En ruta"),IF($K1667&lt;=$J1667,"Sí","No")))</f>
        <v/>
      </c>
      <c r="N1667" s="23">
        <f>IF($A1667="","",COUNTIFS(NOVEDADES!$C$4:$C$1503,$A1667))</f>
        <v/>
      </c>
      <c r="O1667" s="27">
        <f>IF($A1667="","",IF(COUNTIFS(NOVEDADES!$C$4:$C$1503,$A1667,NOVEDADES!$M$4:$M$1503,"SÍ")&gt;0,"No","Sí"))</f>
        <v/>
      </c>
      <c r="P1667" s="27">
        <f>IF(OR($A1667="",$K1667=""),"",IF(AND($M1667="Sí",$O1667="Sí"),"OTIF","Falló"))</f>
        <v/>
      </c>
    </row>
    <row r="1668" ht="16" customHeight="1">
      <c r="A1668" s="47" t="n"/>
      <c r="B1668" s="46" t="n"/>
      <c r="C1668" s="49" t="n"/>
      <c r="D1668" s="49" t="n"/>
      <c r="E1668" s="49" t="n"/>
      <c r="F1668" s="49" t="n"/>
      <c r="G1668" s="47" t="n"/>
      <c r="H1668" s="50" t="n"/>
      <c r="I1668" s="51" t="n"/>
      <c r="J1668" s="46" t="n"/>
      <c r="K1668" s="46" t="n"/>
      <c r="L1668" s="23">
        <f>IF(OR($A1668="",$B1668=""),"",IF($K1668&lt;&gt;"",$K1668-$B1668,TODAY()-$B1668))</f>
        <v/>
      </c>
      <c r="M1668" s="27">
        <f>IF(OR($A1668="",$J1668=""),"",IF($K1668="",IF(TODAY()&gt;$J1668,"Atrasado","En ruta"),IF($K1668&lt;=$J1668,"Sí","No")))</f>
        <v/>
      </c>
      <c r="N1668" s="23">
        <f>IF($A1668="","",COUNTIFS(NOVEDADES!$C$4:$C$1503,$A1668))</f>
        <v/>
      </c>
      <c r="O1668" s="27">
        <f>IF($A1668="","",IF(COUNTIFS(NOVEDADES!$C$4:$C$1503,$A1668,NOVEDADES!$M$4:$M$1503,"SÍ")&gt;0,"No","Sí"))</f>
        <v/>
      </c>
      <c r="P1668" s="27">
        <f>IF(OR($A1668="",$K1668=""),"",IF(AND($M1668="Sí",$O1668="Sí"),"OTIF","Falló"))</f>
        <v/>
      </c>
    </row>
    <row r="1669" ht="16" customHeight="1">
      <c r="A1669" s="47" t="n"/>
      <c r="B1669" s="46" t="n"/>
      <c r="C1669" s="49" t="n"/>
      <c r="D1669" s="49" t="n"/>
      <c r="E1669" s="49" t="n"/>
      <c r="F1669" s="49" t="n"/>
      <c r="G1669" s="47" t="n"/>
      <c r="H1669" s="50" t="n"/>
      <c r="I1669" s="51" t="n"/>
      <c r="J1669" s="46" t="n"/>
      <c r="K1669" s="46" t="n"/>
      <c r="L1669" s="23">
        <f>IF(OR($A1669="",$B1669=""),"",IF($K1669&lt;&gt;"",$K1669-$B1669,TODAY()-$B1669))</f>
        <v/>
      </c>
      <c r="M1669" s="27">
        <f>IF(OR($A1669="",$J1669=""),"",IF($K1669="",IF(TODAY()&gt;$J1669,"Atrasado","En ruta"),IF($K1669&lt;=$J1669,"Sí","No")))</f>
        <v/>
      </c>
      <c r="N1669" s="23">
        <f>IF($A1669="","",COUNTIFS(NOVEDADES!$C$4:$C$1503,$A1669))</f>
        <v/>
      </c>
      <c r="O1669" s="27">
        <f>IF($A1669="","",IF(COUNTIFS(NOVEDADES!$C$4:$C$1503,$A1669,NOVEDADES!$M$4:$M$1503,"SÍ")&gt;0,"No","Sí"))</f>
        <v/>
      </c>
      <c r="P1669" s="27">
        <f>IF(OR($A1669="",$K1669=""),"",IF(AND($M1669="Sí",$O1669="Sí"),"OTIF","Falló"))</f>
        <v/>
      </c>
    </row>
    <row r="1670" ht="16" customHeight="1">
      <c r="A1670" s="47" t="n"/>
      <c r="B1670" s="46" t="n"/>
      <c r="C1670" s="49" t="n"/>
      <c r="D1670" s="49" t="n"/>
      <c r="E1670" s="49" t="n"/>
      <c r="F1670" s="49" t="n"/>
      <c r="G1670" s="47" t="n"/>
      <c r="H1670" s="50" t="n"/>
      <c r="I1670" s="51" t="n"/>
      <c r="J1670" s="46" t="n"/>
      <c r="K1670" s="46" t="n"/>
      <c r="L1670" s="23">
        <f>IF(OR($A1670="",$B1670=""),"",IF($K1670&lt;&gt;"",$K1670-$B1670,TODAY()-$B1670))</f>
        <v/>
      </c>
      <c r="M1670" s="27">
        <f>IF(OR($A1670="",$J1670=""),"",IF($K1670="",IF(TODAY()&gt;$J1670,"Atrasado","En ruta"),IF($K1670&lt;=$J1670,"Sí","No")))</f>
        <v/>
      </c>
      <c r="N1670" s="23">
        <f>IF($A1670="","",COUNTIFS(NOVEDADES!$C$4:$C$1503,$A1670))</f>
        <v/>
      </c>
      <c r="O1670" s="27">
        <f>IF($A1670="","",IF(COUNTIFS(NOVEDADES!$C$4:$C$1503,$A1670,NOVEDADES!$M$4:$M$1503,"SÍ")&gt;0,"No","Sí"))</f>
        <v/>
      </c>
      <c r="P1670" s="27">
        <f>IF(OR($A1670="",$K1670=""),"",IF(AND($M1670="Sí",$O1670="Sí"),"OTIF","Falló"))</f>
        <v/>
      </c>
    </row>
    <row r="1671" ht="16" customHeight="1">
      <c r="A1671" s="47" t="n"/>
      <c r="B1671" s="46" t="n"/>
      <c r="C1671" s="49" t="n"/>
      <c r="D1671" s="49" t="n"/>
      <c r="E1671" s="49" t="n"/>
      <c r="F1671" s="49" t="n"/>
      <c r="G1671" s="47" t="n"/>
      <c r="H1671" s="50" t="n"/>
      <c r="I1671" s="51" t="n"/>
      <c r="J1671" s="46" t="n"/>
      <c r="K1671" s="46" t="n"/>
      <c r="L1671" s="23">
        <f>IF(OR($A1671="",$B1671=""),"",IF($K1671&lt;&gt;"",$K1671-$B1671,TODAY()-$B1671))</f>
        <v/>
      </c>
      <c r="M1671" s="27">
        <f>IF(OR($A1671="",$J1671=""),"",IF($K1671="",IF(TODAY()&gt;$J1671,"Atrasado","En ruta"),IF($K1671&lt;=$J1671,"Sí","No")))</f>
        <v/>
      </c>
      <c r="N1671" s="23">
        <f>IF($A1671="","",COUNTIFS(NOVEDADES!$C$4:$C$1503,$A1671))</f>
        <v/>
      </c>
      <c r="O1671" s="27">
        <f>IF($A1671="","",IF(COUNTIFS(NOVEDADES!$C$4:$C$1503,$A1671,NOVEDADES!$M$4:$M$1503,"SÍ")&gt;0,"No","Sí"))</f>
        <v/>
      </c>
      <c r="P1671" s="27">
        <f>IF(OR($A1671="",$K1671=""),"",IF(AND($M1671="Sí",$O1671="Sí"),"OTIF","Falló"))</f>
        <v/>
      </c>
    </row>
    <row r="1672" ht="16" customHeight="1">
      <c r="A1672" s="47" t="n"/>
      <c r="B1672" s="46" t="n"/>
      <c r="C1672" s="49" t="n"/>
      <c r="D1672" s="49" t="n"/>
      <c r="E1672" s="49" t="n"/>
      <c r="F1672" s="49" t="n"/>
      <c r="G1672" s="47" t="n"/>
      <c r="H1672" s="50" t="n"/>
      <c r="I1672" s="51" t="n"/>
      <c r="J1672" s="46" t="n"/>
      <c r="K1672" s="46" t="n"/>
      <c r="L1672" s="23">
        <f>IF(OR($A1672="",$B1672=""),"",IF($K1672&lt;&gt;"",$K1672-$B1672,TODAY()-$B1672))</f>
        <v/>
      </c>
      <c r="M1672" s="27">
        <f>IF(OR($A1672="",$J1672=""),"",IF($K1672="",IF(TODAY()&gt;$J1672,"Atrasado","En ruta"),IF($K1672&lt;=$J1672,"Sí","No")))</f>
        <v/>
      </c>
      <c r="N1672" s="23">
        <f>IF($A1672="","",COUNTIFS(NOVEDADES!$C$4:$C$1503,$A1672))</f>
        <v/>
      </c>
      <c r="O1672" s="27">
        <f>IF($A1672="","",IF(COUNTIFS(NOVEDADES!$C$4:$C$1503,$A1672,NOVEDADES!$M$4:$M$1503,"SÍ")&gt;0,"No","Sí"))</f>
        <v/>
      </c>
      <c r="P1672" s="27">
        <f>IF(OR($A1672="",$K1672=""),"",IF(AND($M1672="Sí",$O1672="Sí"),"OTIF","Falló"))</f>
        <v/>
      </c>
    </row>
    <row r="1673" ht="16" customHeight="1">
      <c r="A1673" s="47" t="n"/>
      <c r="B1673" s="46" t="n"/>
      <c r="C1673" s="49" t="n"/>
      <c r="D1673" s="49" t="n"/>
      <c r="E1673" s="49" t="n"/>
      <c r="F1673" s="49" t="n"/>
      <c r="G1673" s="47" t="n"/>
      <c r="H1673" s="50" t="n"/>
      <c r="I1673" s="51" t="n"/>
      <c r="J1673" s="46" t="n"/>
      <c r="K1673" s="46" t="n"/>
      <c r="L1673" s="23">
        <f>IF(OR($A1673="",$B1673=""),"",IF($K1673&lt;&gt;"",$K1673-$B1673,TODAY()-$B1673))</f>
        <v/>
      </c>
      <c r="M1673" s="27">
        <f>IF(OR($A1673="",$J1673=""),"",IF($K1673="",IF(TODAY()&gt;$J1673,"Atrasado","En ruta"),IF($K1673&lt;=$J1673,"Sí","No")))</f>
        <v/>
      </c>
      <c r="N1673" s="23">
        <f>IF($A1673="","",COUNTIFS(NOVEDADES!$C$4:$C$1503,$A1673))</f>
        <v/>
      </c>
      <c r="O1673" s="27">
        <f>IF($A1673="","",IF(COUNTIFS(NOVEDADES!$C$4:$C$1503,$A1673,NOVEDADES!$M$4:$M$1503,"SÍ")&gt;0,"No","Sí"))</f>
        <v/>
      </c>
      <c r="P1673" s="27">
        <f>IF(OR($A1673="",$K1673=""),"",IF(AND($M1673="Sí",$O1673="Sí"),"OTIF","Falló"))</f>
        <v/>
      </c>
    </row>
    <row r="1674" ht="16" customHeight="1">
      <c r="A1674" s="47" t="n"/>
      <c r="B1674" s="46" t="n"/>
      <c r="C1674" s="49" t="n"/>
      <c r="D1674" s="49" t="n"/>
      <c r="E1674" s="49" t="n"/>
      <c r="F1674" s="49" t="n"/>
      <c r="G1674" s="47" t="n"/>
      <c r="H1674" s="50" t="n"/>
      <c r="I1674" s="51" t="n"/>
      <c r="J1674" s="46" t="n"/>
      <c r="K1674" s="46" t="n"/>
      <c r="L1674" s="23">
        <f>IF(OR($A1674="",$B1674=""),"",IF($K1674&lt;&gt;"",$K1674-$B1674,TODAY()-$B1674))</f>
        <v/>
      </c>
      <c r="M1674" s="27">
        <f>IF(OR($A1674="",$J1674=""),"",IF($K1674="",IF(TODAY()&gt;$J1674,"Atrasado","En ruta"),IF($K1674&lt;=$J1674,"Sí","No")))</f>
        <v/>
      </c>
      <c r="N1674" s="23">
        <f>IF($A1674="","",COUNTIFS(NOVEDADES!$C$4:$C$1503,$A1674))</f>
        <v/>
      </c>
      <c r="O1674" s="27">
        <f>IF($A1674="","",IF(COUNTIFS(NOVEDADES!$C$4:$C$1503,$A1674,NOVEDADES!$M$4:$M$1503,"SÍ")&gt;0,"No","Sí"))</f>
        <v/>
      </c>
      <c r="P1674" s="27">
        <f>IF(OR($A1674="",$K1674=""),"",IF(AND($M1674="Sí",$O1674="Sí"),"OTIF","Falló"))</f>
        <v/>
      </c>
    </row>
    <row r="1675" ht="16" customHeight="1">
      <c r="A1675" s="47" t="n"/>
      <c r="B1675" s="46" t="n"/>
      <c r="C1675" s="49" t="n"/>
      <c r="D1675" s="49" t="n"/>
      <c r="E1675" s="49" t="n"/>
      <c r="F1675" s="49" t="n"/>
      <c r="G1675" s="47" t="n"/>
      <c r="H1675" s="50" t="n"/>
      <c r="I1675" s="51" t="n"/>
      <c r="J1675" s="46" t="n"/>
      <c r="K1675" s="46" t="n"/>
      <c r="L1675" s="23">
        <f>IF(OR($A1675="",$B1675=""),"",IF($K1675&lt;&gt;"",$K1675-$B1675,TODAY()-$B1675))</f>
        <v/>
      </c>
      <c r="M1675" s="27">
        <f>IF(OR($A1675="",$J1675=""),"",IF($K1675="",IF(TODAY()&gt;$J1675,"Atrasado","En ruta"),IF($K1675&lt;=$J1675,"Sí","No")))</f>
        <v/>
      </c>
      <c r="N1675" s="23">
        <f>IF($A1675="","",COUNTIFS(NOVEDADES!$C$4:$C$1503,$A1675))</f>
        <v/>
      </c>
      <c r="O1675" s="27">
        <f>IF($A1675="","",IF(COUNTIFS(NOVEDADES!$C$4:$C$1503,$A1675,NOVEDADES!$M$4:$M$1503,"SÍ")&gt;0,"No","Sí"))</f>
        <v/>
      </c>
      <c r="P1675" s="27">
        <f>IF(OR($A1675="",$K1675=""),"",IF(AND($M1675="Sí",$O1675="Sí"),"OTIF","Falló"))</f>
        <v/>
      </c>
    </row>
    <row r="1676" ht="16" customHeight="1">
      <c r="A1676" s="47" t="n"/>
      <c r="B1676" s="46" t="n"/>
      <c r="C1676" s="49" t="n"/>
      <c r="D1676" s="49" t="n"/>
      <c r="E1676" s="49" t="n"/>
      <c r="F1676" s="49" t="n"/>
      <c r="G1676" s="47" t="n"/>
      <c r="H1676" s="50" t="n"/>
      <c r="I1676" s="51" t="n"/>
      <c r="J1676" s="46" t="n"/>
      <c r="K1676" s="46" t="n"/>
      <c r="L1676" s="23">
        <f>IF(OR($A1676="",$B1676=""),"",IF($K1676&lt;&gt;"",$K1676-$B1676,TODAY()-$B1676))</f>
        <v/>
      </c>
      <c r="M1676" s="27">
        <f>IF(OR($A1676="",$J1676=""),"",IF($K1676="",IF(TODAY()&gt;$J1676,"Atrasado","En ruta"),IF($K1676&lt;=$J1676,"Sí","No")))</f>
        <v/>
      </c>
      <c r="N1676" s="23">
        <f>IF($A1676="","",COUNTIFS(NOVEDADES!$C$4:$C$1503,$A1676))</f>
        <v/>
      </c>
      <c r="O1676" s="27">
        <f>IF($A1676="","",IF(COUNTIFS(NOVEDADES!$C$4:$C$1503,$A1676,NOVEDADES!$M$4:$M$1503,"SÍ")&gt;0,"No","Sí"))</f>
        <v/>
      </c>
      <c r="P1676" s="27">
        <f>IF(OR($A1676="",$K1676=""),"",IF(AND($M1676="Sí",$O1676="Sí"),"OTIF","Falló"))</f>
        <v/>
      </c>
    </row>
    <row r="1677" ht="16" customHeight="1">
      <c r="A1677" s="47" t="n"/>
      <c r="B1677" s="46" t="n"/>
      <c r="C1677" s="49" t="n"/>
      <c r="D1677" s="49" t="n"/>
      <c r="E1677" s="49" t="n"/>
      <c r="F1677" s="49" t="n"/>
      <c r="G1677" s="47" t="n"/>
      <c r="H1677" s="50" t="n"/>
      <c r="I1677" s="51" t="n"/>
      <c r="J1677" s="46" t="n"/>
      <c r="K1677" s="46" t="n"/>
      <c r="L1677" s="23">
        <f>IF(OR($A1677="",$B1677=""),"",IF($K1677&lt;&gt;"",$K1677-$B1677,TODAY()-$B1677))</f>
        <v/>
      </c>
      <c r="M1677" s="27">
        <f>IF(OR($A1677="",$J1677=""),"",IF($K1677="",IF(TODAY()&gt;$J1677,"Atrasado","En ruta"),IF($K1677&lt;=$J1677,"Sí","No")))</f>
        <v/>
      </c>
      <c r="N1677" s="23">
        <f>IF($A1677="","",COUNTIFS(NOVEDADES!$C$4:$C$1503,$A1677))</f>
        <v/>
      </c>
      <c r="O1677" s="27">
        <f>IF($A1677="","",IF(COUNTIFS(NOVEDADES!$C$4:$C$1503,$A1677,NOVEDADES!$M$4:$M$1503,"SÍ")&gt;0,"No","Sí"))</f>
        <v/>
      </c>
      <c r="P1677" s="27">
        <f>IF(OR($A1677="",$K1677=""),"",IF(AND($M1677="Sí",$O1677="Sí"),"OTIF","Falló"))</f>
        <v/>
      </c>
    </row>
    <row r="1678" ht="16" customHeight="1">
      <c r="A1678" s="47" t="n"/>
      <c r="B1678" s="46" t="n"/>
      <c r="C1678" s="49" t="n"/>
      <c r="D1678" s="49" t="n"/>
      <c r="E1678" s="49" t="n"/>
      <c r="F1678" s="49" t="n"/>
      <c r="G1678" s="47" t="n"/>
      <c r="H1678" s="50" t="n"/>
      <c r="I1678" s="51" t="n"/>
      <c r="J1678" s="46" t="n"/>
      <c r="K1678" s="46" t="n"/>
      <c r="L1678" s="23">
        <f>IF(OR($A1678="",$B1678=""),"",IF($K1678&lt;&gt;"",$K1678-$B1678,TODAY()-$B1678))</f>
        <v/>
      </c>
      <c r="M1678" s="27">
        <f>IF(OR($A1678="",$J1678=""),"",IF($K1678="",IF(TODAY()&gt;$J1678,"Atrasado","En ruta"),IF($K1678&lt;=$J1678,"Sí","No")))</f>
        <v/>
      </c>
      <c r="N1678" s="23">
        <f>IF($A1678="","",COUNTIFS(NOVEDADES!$C$4:$C$1503,$A1678))</f>
        <v/>
      </c>
      <c r="O1678" s="27">
        <f>IF($A1678="","",IF(COUNTIFS(NOVEDADES!$C$4:$C$1503,$A1678,NOVEDADES!$M$4:$M$1503,"SÍ")&gt;0,"No","Sí"))</f>
        <v/>
      </c>
      <c r="P1678" s="27">
        <f>IF(OR($A1678="",$K1678=""),"",IF(AND($M1678="Sí",$O1678="Sí"),"OTIF","Falló"))</f>
        <v/>
      </c>
    </row>
    <row r="1679" ht="16" customHeight="1">
      <c r="A1679" s="47" t="n"/>
      <c r="B1679" s="46" t="n"/>
      <c r="C1679" s="49" t="n"/>
      <c r="D1679" s="49" t="n"/>
      <c r="E1679" s="49" t="n"/>
      <c r="F1679" s="49" t="n"/>
      <c r="G1679" s="47" t="n"/>
      <c r="H1679" s="50" t="n"/>
      <c r="I1679" s="51" t="n"/>
      <c r="J1679" s="46" t="n"/>
      <c r="K1679" s="46" t="n"/>
      <c r="L1679" s="23">
        <f>IF(OR($A1679="",$B1679=""),"",IF($K1679&lt;&gt;"",$K1679-$B1679,TODAY()-$B1679))</f>
        <v/>
      </c>
      <c r="M1679" s="27">
        <f>IF(OR($A1679="",$J1679=""),"",IF($K1679="",IF(TODAY()&gt;$J1679,"Atrasado","En ruta"),IF($K1679&lt;=$J1679,"Sí","No")))</f>
        <v/>
      </c>
      <c r="N1679" s="23">
        <f>IF($A1679="","",COUNTIFS(NOVEDADES!$C$4:$C$1503,$A1679))</f>
        <v/>
      </c>
      <c r="O1679" s="27">
        <f>IF($A1679="","",IF(COUNTIFS(NOVEDADES!$C$4:$C$1503,$A1679,NOVEDADES!$M$4:$M$1503,"SÍ")&gt;0,"No","Sí"))</f>
        <v/>
      </c>
      <c r="P1679" s="27">
        <f>IF(OR($A1679="",$K1679=""),"",IF(AND($M1679="Sí",$O1679="Sí"),"OTIF","Falló"))</f>
        <v/>
      </c>
    </row>
    <row r="1680" ht="16" customHeight="1">
      <c r="A1680" s="47" t="n"/>
      <c r="B1680" s="46" t="n"/>
      <c r="C1680" s="49" t="n"/>
      <c r="D1680" s="49" t="n"/>
      <c r="E1680" s="49" t="n"/>
      <c r="F1680" s="49" t="n"/>
      <c r="G1680" s="47" t="n"/>
      <c r="H1680" s="50" t="n"/>
      <c r="I1680" s="51" t="n"/>
      <c r="J1680" s="46" t="n"/>
      <c r="K1680" s="46" t="n"/>
      <c r="L1680" s="23">
        <f>IF(OR($A1680="",$B1680=""),"",IF($K1680&lt;&gt;"",$K1680-$B1680,TODAY()-$B1680))</f>
        <v/>
      </c>
      <c r="M1680" s="27">
        <f>IF(OR($A1680="",$J1680=""),"",IF($K1680="",IF(TODAY()&gt;$J1680,"Atrasado","En ruta"),IF($K1680&lt;=$J1680,"Sí","No")))</f>
        <v/>
      </c>
      <c r="N1680" s="23">
        <f>IF($A1680="","",COUNTIFS(NOVEDADES!$C$4:$C$1503,$A1680))</f>
        <v/>
      </c>
      <c r="O1680" s="27">
        <f>IF($A1680="","",IF(COUNTIFS(NOVEDADES!$C$4:$C$1503,$A1680,NOVEDADES!$M$4:$M$1503,"SÍ")&gt;0,"No","Sí"))</f>
        <v/>
      </c>
      <c r="P1680" s="27">
        <f>IF(OR($A1680="",$K1680=""),"",IF(AND($M1680="Sí",$O1680="Sí"),"OTIF","Falló"))</f>
        <v/>
      </c>
    </row>
    <row r="1681" ht="16" customHeight="1">
      <c r="A1681" s="47" t="n"/>
      <c r="B1681" s="46" t="n"/>
      <c r="C1681" s="49" t="n"/>
      <c r="D1681" s="49" t="n"/>
      <c r="E1681" s="49" t="n"/>
      <c r="F1681" s="49" t="n"/>
      <c r="G1681" s="47" t="n"/>
      <c r="H1681" s="50" t="n"/>
      <c r="I1681" s="51" t="n"/>
      <c r="J1681" s="46" t="n"/>
      <c r="K1681" s="46" t="n"/>
      <c r="L1681" s="23">
        <f>IF(OR($A1681="",$B1681=""),"",IF($K1681&lt;&gt;"",$K1681-$B1681,TODAY()-$B1681))</f>
        <v/>
      </c>
      <c r="M1681" s="27">
        <f>IF(OR($A1681="",$J1681=""),"",IF($K1681="",IF(TODAY()&gt;$J1681,"Atrasado","En ruta"),IF($K1681&lt;=$J1681,"Sí","No")))</f>
        <v/>
      </c>
      <c r="N1681" s="23">
        <f>IF($A1681="","",COUNTIFS(NOVEDADES!$C$4:$C$1503,$A1681))</f>
        <v/>
      </c>
      <c r="O1681" s="27">
        <f>IF($A1681="","",IF(COUNTIFS(NOVEDADES!$C$4:$C$1503,$A1681,NOVEDADES!$M$4:$M$1503,"SÍ")&gt;0,"No","Sí"))</f>
        <v/>
      </c>
      <c r="P1681" s="27">
        <f>IF(OR($A1681="",$K1681=""),"",IF(AND($M1681="Sí",$O1681="Sí"),"OTIF","Falló"))</f>
        <v/>
      </c>
    </row>
    <row r="1682" ht="16" customHeight="1">
      <c r="A1682" s="47" t="n"/>
      <c r="B1682" s="46" t="n"/>
      <c r="C1682" s="49" t="n"/>
      <c r="D1682" s="49" t="n"/>
      <c r="E1682" s="49" t="n"/>
      <c r="F1682" s="49" t="n"/>
      <c r="G1682" s="47" t="n"/>
      <c r="H1682" s="50" t="n"/>
      <c r="I1682" s="51" t="n"/>
      <c r="J1682" s="46" t="n"/>
      <c r="K1682" s="46" t="n"/>
      <c r="L1682" s="23">
        <f>IF(OR($A1682="",$B1682=""),"",IF($K1682&lt;&gt;"",$K1682-$B1682,TODAY()-$B1682))</f>
        <v/>
      </c>
      <c r="M1682" s="27">
        <f>IF(OR($A1682="",$J1682=""),"",IF($K1682="",IF(TODAY()&gt;$J1682,"Atrasado","En ruta"),IF($K1682&lt;=$J1682,"Sí","No")))</f>
        <v/>
      </c>
      <c r="N1682" s="23">
        <f>IF($A1682="","",COUNTIFS(NOVEDADES!$C$4:$C$1503,$A1682))</f>
        <v/>
      </c>
      <c r="O1682" s="27">
        <f>IF($A1682="","",IF(COUNTIFS(NOVEDADES!$C$4:$C$1503,$A1682,NOVEDADES!$M$4:$M$1503,"SÍ")&gt;0,"No","Sí"))</f>
        <v/>
      </c>
      <c r="P1682" s="27">
        <f>IF(OR($A1682="",$K1682=""),"",IF(AND($M1682="Sí",$O1682="Sí"),"OTIF","Falló"))</f>
        <v/>
      </c>
    </row>
    <row r="1683" ht="16" customHeight="1">
      <c r="A1683" s="47" t="n"/>
      <c r="B1683" s="46" t="n"/>
      <c r="C1683" s="49" t="n"/>
      <c r="D1683" s="49" t="n"/>
      <c r="E1683" s="49" t="n"/>
      <c r="F1683" s="49" t="n"/>
      <c r="G1683" s="47" t="n"/>
      <c r="H1683" s="50" t="n"/>
      <c r="I1683" s="51" t="n"/>
      <c r="J1683" s="46" t="n"/>
      <c r="K1683" s="46" t="n"/>
      <c r="L1683" s="23">
        <f>IF(OR($A1683="",$B1683=""),"",IF($K1683&lt;&gt;"",$K1683-$B1683,TODAY()-$B1683))</f>
        <v/>
      </c>
      <c r="M1683" s="27">
        <f>IF(OR($A1683="",$J1683=""),"",IF($K1683="",IF(TODAY()&gt;$J1683,"Atrasado","En ruta"),IF($K1683&lt;=$J1683,"Sí","No")))</f>
        <v/>
      </c>
      <c r="N1683" s="23">
        <f>IF($A1683="","",COUNTIFS(NOVEDADES!$C$4:$C$1503,$A1683))</f>
        <v/>
      </c>
      <c r="O1683" s="27">
        <f>IF($A1683="","",IF(COUNTIFS(NOVEDADES!$C$4:$C$1503,$A1683,NOVEDADES!$M$4:$M$1503,"SÍ")&gt;0,"No","Sí"))</f>
        <v/>
      </c>
      <c r="P1683" s="27">
        <f>IF(OR($A1683="",$K1683=""),"",IF(AND($M1683="Sí",$O1683="Sí"),"OTIF","Falló"))</f>
        <v/>
      </c>
    </row>
    <row r="1684" ht="16" customHeight="1">
      <c r="A1684" s="47" t="n"/>
      <c r="B1684" s="46" t="n"/>
      <c r="C1684" s="49" t="n"/>
      <c r="D1684" s="49" t="n"/>
      <c r="E1684" s="49" t="n"/>
      <c r="F1684" s="49" t="n"/>
      <c r="G1684" s="47" t="n"/>
      <c r="H1684" s="50" t="n"/>
      <c r="I1684" s="51" t="n"/>
      <c r="J1684" s="46" t="n"/>
      <c r="K1684" s="46" t="n"/>
      <c r="L1684" s="23">
        <f>IF(OR($A1684="",$B1684=""),"",IF($K1684&lt;&gt;"",$K1684-$B1684,TODAY()-$B1684))</f>
        <v/>
      </c>
      <c r="M1684" s="27">
        <f>IF(OR($A1684="",$J1684=""),"",IF($K1684="",IF(TODAY()&gt;$J1684,"Atrasado","En ruta"),IF($K1684&lt;=$J1684,"Sí","No")))</f>
        <v/>
      </c>
      <c r="N1684" s="23">
        <f>IF($A1684="","",COUNTIFS(NOVEDADES!$C$4:$C$1503,$A1684))</f>
        <v/>
      </c>
      <c r="O1684" s="27">
        <f>IF($A1684="","",IF(COUNTIFS(NOVEDADES!$C$4:$C$1503,$A1684,NOVEDADES!$M$4:$M$1503,"SÍ")&gt;0,"No","Sí"))</f>
        <v/>
      </c>
      <c r="P1684" s="27">
        <f>IF(OR($A1684="",$K1684=""),"",IF(AND($M1684="Sí",$O1684="Sí"),"OTIF","Falló"))</f>
        <v/>
      </c>
    </row>
    <row r="1685" ht="16" customHeight="1">
      <c r="A1685" s="47" t="n"/>
      <c r="B1685" s="46" t="n"/>
      <c r="C1685" s="49" t="n"/>
      <c r="D1685" s="49" t="n"/>
      <c r="E1685" s="49" t="n"/>
      <c r="F1685" s="49" t="n"/>
      <c r="G1685" s="47" t="n"/>
      <c r="H1685" s="50" t="n"/>
      <c r="I1685" s="51" t="n"/>
      <c r="J1685" s="46" t="n"/>
      <c r="K1685" s="46" t="n"/>
      <c r="L1685" s="23">
        <f>IF(OR($A1685="",$B1685=""),"",IF($K1685&lt;&gt;"",$K1685-$B1685,TODAY()-$B1685))</f>
        <v/>
      </c>
      <c r="M1685" s="27">
        <f>IF(OR($A1685="",$J1685=""),"",IF($K1685="",IF(TODAY()&gt;$J1685,"Atrasado","En ruta"),IF($K1685&lt;=$J1685,"Sí","No")))</f>
        <v/>
      </c>
      <c r="N1685" s="23">
        <f>IF($A1685="","",COUNTIFS(NOVEDADES!$C$4:$C$1503,$A1685))</f>
        <v/>
      </c>
      <c r="O1685" s="27">
        <f>IF($A1685="","",IF(COUNTIFS(NOVEDADES!$C$4:$C$1503,$A1685,NOVEDADES!$M$4:$M$1503,"SÍ")&gt;0,"No","Sí"))</f>
        <v/>
      </c>
      <c r="P1685" s="27">
        <f>IF(OR($A1685="",$K1685=""),"",IF(AND($M1685="Sí",$O1685="Sí"),"OTIF","Falló"))</f>
        <v/>
      </c>
    </row>
    <row r="1686" ht="16" customHeight="1">
      <c r="A1686" s="47" t="n"/>
      <c r="B1686" s="46" t="n"/>
      <c r="C1686" s="49" t="n"/>
      <c r="D1686" s="49" t="n"/>
      <c r="E1686" s="49" t="n"/>
      <c r="F1686" s="49" t="n"/>
      <c r="G1686" s="47" t="n"/>
      <c r="H1686" s="50" t="n"/>
      <c r="I1686" s="51" t="n"/>
      <c r="J1686" s="46" t="n"/>
      <c r="K1686" s="46" t="n"/>
      <c r="L1686" s="23">
        <f>IF(OR($A1686="",$B1686=""),"",IF($K1686&lt;&gt;"",$K1686-$B1686,TODAY()-$B1686))</f>
        <v/>
      </c>
      <c r="M1686" s="27">
        <f>IF(OR($A1686="",$J1686=""),"",IF($K1686="",IF(TODAY()&gt;$J1686,"Atrasado","En ruta"),IF($K1686&lt;=$J1686,"Sí","No")))</f>
        <v/>
      </c>
      <c r="N1686" s="23">
        <f>IF($A1686="","",COUNTIFS(NOVEDADES!$C$4:$C$1503,$A1686))</f>
        <v/>
      </c>
      <c r="O1686" s="27">
        <f>IF($A1686="","",IF(COUNTIFS(NOVEDADES!$C$4:$C$1503,$A1686,NOVEDADES!$M$4:$M$1503,"SÍ")&gt;0,"No","Sí"))</f>
        <v/>
      </c>
      <c r="P1686" s="27">
        <f>IF(OR($A1686="",$K1686=""),"",IF(AND($M1686="Sí",$O1686="Sí"),"OTIF","Falló"))</f>
        <v/>
      </c>
    </row>
    <row r="1687" ht="16" customHeight="1">
      <c r="A1687" s="47" t="n"/>
      <c r="B1687" s="46" t="n"/>
      <c r="C1687" s="49" t="n"/>
      <c r="D1687" s="49" t="n"/>
      <c r="E1687" s="49" t="n"/>
      <c r="F1687" s="49" t="n"/>
      <c r="G1687" s="47" t="n"/>
      <c r="H1687" s="50" t="n"/>
      <c r="I1687" s="51" t="n"/>
      <c r="J1687" s="46" t="n"/>
      <c r="K1687" s="46" t="n"/>
      <c r="L1687" s="23">
        <f>IF(OR($A1687="",$B1687=""),"",IF($K1687&lt;&gt;"",$K1687-$B1687,TODAY()-$B1687))</f>
        <v/>
      </c>
      <c r="M1687" s="27">
        <f>IF(OR($A1687="",$J1687=""),"",IF($K1687="",IF(TODAY()&gt;$J1687,"Atrasado","En ruta"),IF($K1687&lt;=$J1687,"Sí","No")))</f>
        <v/>
      </c>
      <c r="N1687" s="23">
        <f>IF($A1687="","",COUNTIFS(NOVEDADES!$C$4:$C$1503,$A1687))</f>
        <v/>
      </c>
      <c r="O1687" s="27">
        <f>IF($A1687="","",IF(COUNTIFS(NOVEDADES!$C$4:$C$1503,$A1687,NOVEDADES!$M$4:$M$1503,"SÍ")&gt;0,"No","Sí"))</f>
        <v/>
      </c>
      <c r="P1687" s="27">
        <f>IF(OR($A1687="",$K1687=""),"",IF(AND($M1687="Sí",$O1687="Sí"),"OTIF","Falló"))</f>
        <v/>
      </c>
    </row>
    <row r="1688" ht="16" customHeight="1">
      <c r="A1688" s="47" t="n"/>
      <c r="B1688" s="46" t="n"/>
      <c r="C1688" s="49" t="n"/>
      <c r="D1688" s="49" t="n"/>
      <c r="E1688" s="49" t="n"/>
      <c r="F1688" s="49" t="n"/>
      <c r="G1688" s="47" t="n"/>
      <c r="H1688" s="50" t="n"/>
      <c r="I1688" s="51" t="n"/>
      <c r="J1688" s="46" t="n"/>
      <c r="K1688" s="46" t="n"/>
      <c r="L1688" s="23">
        <f>IF(OR($A1688="",$B1688=""),"",IF($K1688&lt;&gt;"",$K1688-$B1688,TODAY()-$B1688))</f>
        <v/>
      </c>
      <c r="M1688" s="27">
        <f>IF(OR($A1688="",$J1688=""),"",IF($K1688="",IF(TODAY()&gt;$J1688,"Atrasado","En ruta"),IF($K1688&lt;=$J1688,"Sí","No")))</f>
        <v/>
      </c>
      <c r="N1688" s="23">
        <f>IF($A1688="","",COUNTIFS(NOVEDADES!$C$4:$C$1503,$A1688))</f>
        <v/>
      </c>
      <c r="O1688" s="27">
        <f>IF($A1688="","",IF(COUNTIFS(NOVEDADES!$C$4:$C$1503,$A1688,NOVEDADES!$M$4:$M$1503,"SÍ")&gt;0,"No","Sí"))</f>
        <v/>
      </c>
      <c r="P1688" s="27">
        <f>IF(OR($A1688="",$K1688=""),"",IF(AND($M1688="Sí",$O1688="Sí"),"OTIF","Falló"))</f>
        <v/>
      </c>
    </row>
    <row r="1689" ht="16" customHeight="1">
      <c r="A1689" s="47" t="n"/>
      <c r="B1689" s="46" t="n"/>
      <c r="C1689" s="49" t="n"/>
      <c r="D1689" s="49" t="n"/>
      <c r="E1689" s="49" t="n"/>
      <c r="F1689" s="49" t="n"/>
      <c r="G1689" s="47" t="n"/>
      <c r="H1689" s="50" t="n"/>
      <c r="I1689" s="51" t="n"/>
      <c r="J1689" s="46" t="n"/>
      <c r="K1689" s="46" t="n"/>
      <c r="L1689" s="23">
        <f>IF(OR($A1689="",$B1689=""),"",IF($K1689&lt;&gt;"",$K1689-$B1689,TODAY()-$B1689))</f>
        <v/>
      </c>
      <c r="M1689" s="27">
        <f>IF(OR($A1689="",$J1689=""),"",IF($K1689="",IF(TODAY()&gt;$J1689,"Atrasado","En ruta"),IF($K1689&lt;=$J1689,"Sí","No")))</f>
        <v/>
      </c>
      <c r="N1689" s="23">
        <f>IF($A1689="","",COUNTIFS(NOVEDADES!$C$4:$C$1503,$A1689))</f>
        <v/>
      </c>
      <c r="O1689" s="27">
        <f>IF($A1689="","",IF(COUNTIFS(NOVEDADES!$C$4:$C$1503,$A1689,NOVEDADES!$M$4:$M$1503,"SÍ")&gt;0,"No","Sí"))</f>
        <v/>
      </c>
      <c r="P1689" s="27">
        <f>IF(OR($A1689="",$K1689=""),"",IF(AND($M1689="Sí",$O1689="Sí"),"OTIF","Falló"))</f>
        <v/>
      </c>
    </row>
    <row r="1690" ht="16" customHeight="1">
      <c r="A1690" s="47" t="n"/>
      <c r="B1690" s="46" t="n"/>
      <c r="C1690" s="49" t="n"/>
      <c r="D1690" s="49" t="n"/>
      <c r="E1690" s="49" t="n"/>
      <c r="F1690" s="49" t="n"/>
      <c r="G1690" s="47" t="n"/>
      <c r="H1690" s="50" t="n"/>
      <c r="I1690" s="51" t="n"/>
      <c r="J1690" s="46" t="n"/>
      <c r="K1690" s="46" t="n"/>
      <c r="L1690" s="23">
        <f>IF(OR($A1690="",$B1690=""),"",IF($K1690&lt;&gt;"",$K1690-$B1690,TODAY()-$B1690))</f>
        <v/>
      </c>
      <c r="M1690" s="27">
        <f>IF(OR($A1690="",$J1690=""),"",IF($K1690="",IF(TODAY()&gt;$J1690,"Atrasado","En ruta"),IF($K1690&lt;=$J1690,"Sí","No")))</f>
        <v/>
      </c>
      <c r="N1690" s="23">
        <f>IF($A1690="","",COUNTIFS(NOVEDADES!$C$4:$C$1503,$A1690))</f>
        <v/>
      </c>
      <c r="O1690" s="27">
        <f>IF($A1690="","",IF(COUNTIFS(NOVEDADES!$C$4:$C$1503,$A1690,NOVEDADES!$M$4:$M$1503,"SÍ")&gt;0,"No","Sí"))</f>
        <v/>
      </c>
      <c r="P1690" s="27">
        <f>IF(OR($A1690="",$K1690=""),"",IF(AND($M1690="Sí",$O1690="Sí"),"OTIF","Falló"))</f>
        <v/>
      </c>
    </row>
    <row r="1691" ht="16" customHeight="1">
      <c r="A1691" s="47" t="n"/>
      <c r="B1691" s="46" t="n"/>
      <c r="C1691" s="49" t="n"/>
      <c r="D1691" s="49" t="n"/>
      <c r="E1691" s="49" t="n"/>
      <c r="F1691" s="49" t="n"/>
      <c r="G1691" s="47" t="n"/>
      <c r="H1691" s="50" t="n"/>
      <c r="I1691" s="51" t="n"/>
      <c r="J1691" s="46" t="n"/>
      <c r="K1691" s="46" t="n"/>
      <c r="L1691" s="23">
        <f>IF(OR($A1691="",$B1691=""),"",IF($K1691&lt;&gt;"",$K1691-$B1691,TODAY()-$B1691))</f>
        <v/>
      </c>
      <c r="M1691" s="27">
        <f>IF(OR($A1691="",$J1691=""),"",IF($K1691="",IF(TODAY()&gt;$J1691,"Atrasado","En ruta"),IF($K1691&lt;=$J1691,"Sí","No")))</f>
        <v/>
      </c>
      <c r="N1691" s="23">
        <f>IF($A1691="","",COUNTIFS(NOVEDADES!$C$4:$C$1503,$A1691))</f>
        <v/>
      </c>
      <c r="O1691" s="27">
        <f>IF($A1691="","",IF(COUNTIFS(NOVEDADES!$C$4:$C$1503,$A1691,NOVEDADES!$M$4:$M$1503,"SÍ")&gt;0,"No","Sí"))</f>
        <v/>
      </c>
      <c r="P1691" s="27">
        <f>IF(OR($A1691="",$K1691=""),"",IF(AND($M1691="Sí",$O1691="Sí"),"OTIF","Falló"))</f>
        <v/>
      </c>
    </row>
    <row r="1692" ht="16" customHeight="1">
      <c r="A1692" s="47" t="n"/>
      <c r="B1692" s="46" t="n"/>
      <c r="C1692" s="49" t="n"/>
      <c r="D1692" s="49" t="n"/>
      <c r="E1692" s="49" t="n"/>
      <c r="F1692" s="49" t="n"/>
      <c r="G1692" s="47" t="n"/>
      <c r="H1692" s="50" t="n"/>
      <c r="I1692" s="51" t="n"/>
      <c r="J1692" s="46" t="n"/>
      <c r="K1692" s="46" t="n"/>
      <c r="L1692" s="23">
        <f>IF(OR($A1692="",$B1692=""),"",IF($K1692&lt;&gt;"",$K1692-$B1692,TODAY()-$B1692))</f>
        <v/>
      </c>
      <c r="M1692" s="27">
        <f>IF(OR($A1692="",$J1692=""),"",IF($K1692="",IF(TODAY()&gt;$J1692,"Atrasado","En ruta"),IF($K1692&lt;=$J1692,"Sí","No")))</f>
        <v/>
      </c>
      <c r="N1692" s="23">
        <f>IF($A1692="","",COUNTIFS(NOVEDADES!$C$4:$C$1503,$A1692))</f>
        <v/>
      </c>
      <c r="O1692" s="27">
        <f>IF($A1692="","",IF(COUNTIFS(NOVEDADES!$C$4:$C$1503,$A1692,NOVEDADES!$M$4:$M$1503,"SÍ")&gt;0,"No","Sí"))</f>
        <v/>
      </c>
      <c r="P1692" s="27">
        <f>IF(OR($A1692="",$K1692=""),"",IF(AND($M1692="Sí",$O1692="Sí"),"OTIF","Falló"))</f>
        <v/>
      </c>
    </row>
    <row r="1693" ht="16" customHeight="1">
      <c r="A1693" s="47" t="n"/>
      <c r="B1693" s="46" t="n"/>
      <c r="C1693" s="49" t="n"/>
      <c r="D1693" s="49" t="n"/>
      <c r="E1693" s="49" t="n"/>
      <c r="F1693" s="49" t="n"/>
      <c r="G1693" s="47" t="n"/>
      <c r="H1693" s="50" t="n"/>
      <c r="I1693" s="51" t="n"/>
      <c r="J1693" s="46" t="n"/>
      <c r="K1693" s="46" t="n"/>
      <c r="L1693" s="23">
        <f>IF(OR($A1693="",$B1693=""),"",IF($K1693&lt;&gt;"",$K1693-$B1693,TODAY()-$B1693))</f>
        <v/>
      </c>
      <c r="M1693" s="27">
        <f>IF(OR($A1693="",$J1693=""),"",IF($K1693="",IF(TODAY()&gt;$J1693,"Atrasado","En ruta"),IF($K1693&lt;=$J1693,"Sí","No")))</f>
        <v/>
      </c>
      <c r="N1693" s="23">
        <f>IF($A1693="","",COUNTIFS(NOVEDADES!$C$4:$C$1503,$A1693))</f>
        <v/>
      </c>
      <c r="O1693" s="27">
        <f>IF($A1693="","",IF(COUNTIFS(NOVEDADES!$C$4:$C$1503,$A1693,NOVEDADES!$M$4:$M$1503,"SÍ")&gt;0,"No","Sí"))</f>
        <v/>
      </c>
      <c r="P1693" s="27">
        <f>IF(OR($A1693="",$K1693=""),"",IF(AND($M1693="Sí",$O1693="Sí"),"OTIF","Falló"))</f>
        <v/>
      </c>
    </row>
    <row r="1694" ht="16" customHeight="1">
      <c r="A1694" s="47" t="n"/>
      <c r="B1694" s="46" t="n"/>
      <c r="C1694" s="49" t="n"/>
      <c r="D1694" s="49" t="n"/>
      <c r="E1694" s="49" t="n"/>
      <c r="F1694" s="49" t="n"/>
      <c r="G1694" s="47" t="n"/>
      <c r="H1694" s="50" t="n"/>
      <c r="I1694" s="51" t="n"/>
      <c r="J1694" s="46" t="n"/>
      <c r="K1694" s="46" t="n"/>
      <c r="L1694" s="23">
        <f>IF(OR($A1694="",$B1694=""),"",IF($K1694&lt;&gt;"",$K1694-$B1694,TODAY()-$B1694))</f>
        <v/>
      </c>
      <c r="M1694" s="27">
        <f>IF(OR($A1694="",$J1694=""),"",IF($K1694="",IF(TODAY()&gt;$J1694,"Atrasado","En ruta"),IF($K1694&lt;=$J1694,"Sí","No")))</f>
        <v/>
      </c>
      <c r="N1694" s="23">
        <f>IF($A1694="","",COUNTIFS(NOVEDADES!$C$4:$C$1503,$A1694))</f>
        <v/>
      </c>
      <c r="O1694" s="27">
        <f>IF($A1694="","",IF(COUNTIFS(NOVEDADES!$C$4:$C$1503,$A1694,NOVEDADES!$M$4:$M$1503,"SÍ")&gt;0,"No","Sí"))</f>
        <v/>
      </c>
      <c r="P1694" s="27">
        <f>IF(OR($A1694="",$K1694=""),"",IF(AND($M1694="Sí",$O1694="Sí"),"OTIF","Falló"))</f>
        <v/>
      </c>
    </row>
    <row r="1695" ht="16" customHeight="1">
      <c r="A1695" s="47" t="n"/>
      <c r="B1695" s="46" t="n"/>
      <c r="C1695" s="49" t="n"/>
      <c r="D1695" s="49" t="n"/>
      <c r="E1695" s="49" t="n"/>
      <c r="F1695" s="49" t="n"/>
      <c r="G1695" s="47" t="n"/>
      <c r="H1695" s="50" t="n"/>
      <c r="I1695" s="51" t="n"/>
      <c r="J1695" s="46" t="n"/>
      <c r="K1695" s="46" t="n"/>
      <c r="L1695" s="23">
        <f>IF(OR($A1695="",$B1695=""),"",IF($K1695&lt;&gt;"",$K1695-$B1695,TODAY()-$B1695))</f>
        <v/>
      </c>
      <c r="M1695" s="27">
        <f>IF(OR($A1695="",$J1695=""),"",IF($K1695="",IF(TODAY()&gt;$J1695,"Atrasado","En ruta"),IF($K1695&lt;=$J1695,"Sí","No")))</f>
        <v/>
      </c>
      <c r="N1695" s="23">
        <f>IF($A1695="","",COUNTIFS(NOVEDADES!$C$4:$C$1503,$A1695))</f>
        <v/>
      </c>
      <c r="O1695" s="27">
        <f>IF($A1695="","",IF(COUNTIFS(NOVEDADES!$C$4:$C$1503,$A1695,NOVEDADES!$M$4:$M$1503,"SÍ")&gt;0,"No","Sí"))</f>
        <v/>
      </c>
      <c r="P1695" s="27">
        <f>IF(OR($A1695="",$K1695=""),"",IF(AND($M1695="Sí",$O1695="Sí"),"OTIF","Falló"))</f>
        <v/>
      </c>
    </row>
    <row r="1696" ht="16" customHeight="1">
      <c r="A1696" s="47" t="n"/>
      <c r="B1696" s="46" t="n"/>
      <c r="C1696" s="49" t="n"/>
      <c r="D1696" s="49" t="n"/>
      <c r="E1696" s="49" t="n"/>
      <c r="F1696" s="49" t="n"/>
      <c r="G1696" s="47" t="n"/>
      <c r="H1696" s="50" t="n"/>
      <c r="I1696" s="51" t="n"/>
      <c r="J1696" s="46" t="n"/>
      <c r="K1696" s="46" t="n"/>
      <c r="L1696" s="23">
        <f>IF(OR($A1696="",$B1696=""),"",IF($K1696&lt;&gt;"",$K1696-$B1696,TODAY()-$B1696))</f>
        <v/>
      </c>
      <c r="M1696" s="27">
        <f>IF(OR($A1696="",$J1696=""),"",IF($K1696="",IF(TODAY()&gt;$J1696,"Atrasado","En ruta"),IF($K1696&lt;=$J1696,"Sí","No")))</f>
        <v/>
      </c>
      <c r="N1696" s="23">
        <f>IF($A1696="","",COUNTIFS(NOVEDADES!$C$4:$C$1503,$A1696))</f>
        <v/>
      </c>
      <c r="O1696" s="27">
        <f>IF($A1696="","",IF(COUNTIFS(NOVEDADES!$C$4:$C$1503,$A1696,NOVEDADES!$M$4:$M$1503,"SÍ")&gt;0,"No","Sí"))</f>
        <v/>
      </c>
      <c r="P1696" s="27">
        <f>IF(OR($A1696="",$K1696=""),"",IF(AND($M1696="Sí",$O1696="Sí"),"OTIF","Falló"))</f>
        <v/>
      </c>
    </row>
    <row r="1697" ht="16" customHeight="1">
      <c r="A1697" s="47" t="n"/>
      <c r="B1697" s="46" t="n"/>
      <c r="C1697" s="49" t="n"/>
      <c r="D1697" s="49" t="n"/>
      <c r="E1697" s="49" t="n"/>
      <c r="F1697" s="49" t="n"/>
      <c r="G1697" s="47" t="n"/>
      <c r="H1697" s="50" t="n"/>
      <c r="I1697" s="51" t="n"/>
      <c r="J1697" s="46" t="n"/>
      <c r="K1697" s="46" t="n"/>
      <c r="L1697" s="23">
        <f>IF(OR($A1697="",$B1697=""),"",IF($K1697&lt;&gt;"",$K1697-$B1697,TODAY()-$B1697))</f>
        <v/>
      </c>
      <c r="M1697" s="27">
        <f>IF(OR($A1697="",$J1697=""),"",IF($K1697="",IF(TODAY()&gt;$J1697,"Atrasado","En ruta"),IF($K1697&lt;=$J1697,"Sí","No")))</f>
        <v/>
      </c>
      <c r="N1697" s="23">
        <f>IF($A1697="","",COUNTIFS(NOVEDADES!$C$4:$C$1503,$A1697))</f>
        <v/>
      </c>
      <c r="O1697" s="27">
        <f>IF($A1697="","",IF(COUNTIFS(NOVEDADES!$C$4:$C$1503,$A1697,NOVEDADES!$M$4:$M$1503,"SÍ")&gt;0,"No","Sí"))</f>
        <v/>
      </c>
      <c r="P1697" s="27">
        <f>IF(OR($A1697="",$K1697=""),"",IF(AND($M1697="Sí",$O1697="Sí"),"OTIF","Falló"))</f>
        <v/>
      </c>
    </row>
    <row r="1698" ht="16" customHeight="1">
      <c r="A1698" s="47" t="n"/>
      <c r="B1698" s="46" t="n"/>
      <c r="C1698" s="49" t="n"/>
      <c r="D1698" s="49" t="n"/>
      <c r="E1698" s="49" t="n"/>
      <c r="F1698" s="49" t="n"/>
      <c r="G1698" s="47" t="n"/>
      <c r="H1698" s="50" t="n"/>
      <c r="I1698" s="51" t="n"/>
      <c r="J1698" s="46" t="n"/>
      <c r="K1698" s="46" t="n"/>
      <c r="L1698" s="23">
        <f>IF(OR($A1698="",$B1698=""),"",IF($K1698&lt;&gt;"",$K1698-$B1698,TODAY()-$B1698))</f>
        <v/>
      </c>
      <c r="M1698" s="27">
        <f>IF(OR($A1698="",$J1698=""),"",IF($K1698="",IF(TODAY()&gt;$J1698,"Atrasado","En ruta"),IF($K1698&lt;=$J1698,"Sí","No")))</f>
        <v/>
      </c>
      <c r="N1698" s="23">
        <f>IF($A1698="","",COUNTIFS(NOVEDADES!$C$4:$C$1503,$A1698))</f>
        <v/>
      </c>
      <c r="O1698" s="27">
        <f>IF($A1698="","",IF(COUNTIFS(NOVEDADES!$C$4:$C$1503,$A1698,NOVEDADES!$M$4:$M$1503,"SÍ")&gt;0,"No","Sí"))</f>
        <v/>
      </c>
      <c r="P1698" s="27">
        <f>IF(OR($A1698="",$K1698=""),"",IF(AND($M1698="Sí",$O1698="Sí"),"OTIF","Falló"))</f>
        <v/>
      </c>
    </row>
    <row r="1699" ht="16" customHeight="1">
      <c r="A1699" s="47" t="n"/>
      <c r="B1699" s="46" t="n"/>
      <c r="C1699" s="49" t="n"/>
      <c r="D1699" s="49" t="n"/>
      <c r="E1699" s="49" t="n"/>
      <c r="F1699" s="49" t="n"/>
      <c r="G1699" s="47" t="n"/>
      <c r="H1699" s="50" t="n"/>
      <c r="I1699" s="51" t="n"/>
      <c r="J1699" s="46" t="n"/>
      <c r="K1699" s="46" t="n"/>
      <c r="L1699" s="23">
        <f>IF(OR($A1699="",$B1699=""),"",IF($K1699&lt;&gt;"",$K1699-$B1699,TODAY()-$B1699))</f>
        <v/>
      </c>
      <c r="M1699" s="27">
        <f>IF(OR($A1699="",$J1699=""),"",IF($K1699="",IF(TODAY()&gt;$J1699,"Atrasado","En ruta"),IF($K1699&lt;=$J1699,"Sí","No")))</f>
        <v/>
      </c>
      <c r="N1699" s="23">
        <f>IF($A1699="","",COUNTIFS(NOVEDADES!$C$4:$C$1503,$A1699))</f>
        <v/>
      </c>
      <c r="O1699" s="27">
        <f>IF($A1699="","",IF(COUNTIFS(NOVEDADES!$C$4:$C$1503,$A1699,NOVEDADES!$M$4:$M$1503,"SÍ")&gt;0,"No","Sí"))</f>
        <v/>
      </c>
      <c r="P1699" s="27">
        <f>IF(OR($A1699="",$K1699=""),"",IF(AND($M1699="Sí",$O1699="Sí"),"OTIF","Falló"))</f>
        <v/>
      </c>
    </row>
    <row r="1700" ht="16" customHeight="1">
      <c r="A1700" s="47" t="n"/>
      <c r="B1700" s="46" t="n"/>
      <c r="C1700" s="49" t="n"/>
      <c r="D1700" s="49" t="n"/>
      <c r="E1700" s="49" t="n"/>
      <c r="F1700" s="49" t="n"/>
      <c r="G1700" s="47" t="n"/>
      <c r="H1700" s="50" t="n"/>
      <c r="I1700" s="51" t="n"/>
      <c r="J1700" s="46" t="n"/>
      <c r="K1700" s="46" t="n"/>
      <c r="L1700" s="23">
        <f>IF(OR($A1700="",$B1700=""),"",IF($K1700&lt;&gt;"",$K1700-$B1700,TODAY()-$B1700))</f>
        <v/>
      </c>
      <c r="M1700" s="27">
        <f>IF(OR($A1700="",$J1700=""),"",IF($K1700="",IF(TODAY()&gt;$J1700,"Atrasado","En ruta"),IF($K1700&lt;=$J1700,"Sí","No")))</f>
        <v/>
      </c>
      <c r="N1700" s="23">
        <f>IF($A1700="","",COUNTIFS(NOVEDADES!$C$4:$C$1503,$A1700))</f>
        <v/>
      </c>
      <c r="O1700" s="27">
        <f>IF($A1700="","",IF(COUNTIFS(NOVEDADES!$C$4:$C$1503,$A1700,NOVEDADES!$M$4:$M$1503,"SÍ")&gt;0,"No","Sí"))</f>
        <v/>
      </c>
      <c r="P1700" s="27">
        <f>IF(OR($A1700="",$K1700=""),"",IF(AND($M1700="Sí",$O1700="Sí"),"OTIF","Falló"))</f>
        <v/>
      </c>
    </row>
    <row r="1701" ht="16" customHeight="1">
      <c r="A1701" s="47" t="n"/>
      <c r="B1701" s="46" t="n"/>
      <c r="C1701" s="49" t="n"/>
      <c r="D1701" s="49" t="n"/>
      <c r="E1701" s="49" t="n"/>
      <c r="F1701" s="49" t="n"/>
      <c r="G1701" s="47" t="n"/>
      <c r="H1701" s="50" t="n"/>
      <c r="I1701" s="51" t="n"/>
      <c r="J1701" s="46" t="n"/>
      <c r="K1701" s="46" t="n"/>
      <c r="L1701" s="23">
        <f>IF(OR($A1701="",$B1701=""),"",IF($K1701&lt;&gt;"",$K1701-$B1701,TODAY()-$B1701))</f>
        <v/>
      </c>
      <c r="M1701" s="27">
        <f>IF(OR($A1701="",$J1701=""),"",IF($K1701="",IF(TODAY()&gt;$J1701,"Atrasado","En ruta"),IF($K1701&lt;=$J1701,"Sí","No")))</f>
        <v/>
      </c>
      <c r="N1701" s="23">
        <f>IF($A1701="","",COUNTIFS(NOVEDADES!$C$4:$C$1503,$A1701))</f>
        <v/>
      </c>
      <c r="O1701" s="27">
        <f>IF($A1701="","",IF(COUNTIFS(NOVEDADES!$C$4:$C$1503,$A1701,NOVEDADES!$M$4:$M$1503,"SÍ")&gt;0,"No","Sí"))</f>
        <v/>
      </c>
      <c r="P1701" s="27">
        <f>IF(OR($A1701="",$K1701=""),"",IF(AND($M1701="Sí",$O1701="Sí"),"OTIF","Falló"))</f>
        <v/>
      </c>
    </row>
    <row r="1702" ht="16" customHeight="1">
      <c r="A1702" s="47" t="n"/>
      <c r="B1702" s="46" t="n"/>
      <c r="C1702" s="49" t="n"/>
      <c r="D1702" s="49" t="n"/>
      <c r="E1702" s="49" t="n"/>
      <c r="F1702" s="49" t="n"/>
      <c r="G1702" s="47" t="n"/>
      <c r="H1702" s="50" t="n"/>
      <c r="I1702" s="51" t="n"/>
      <c r="J1702" s="46" t="n"/>
      <c r="K1702" s="46" t="n"/>
      <c r="L1702" s="23">
        <f>IF(OR($A1702="",$B1702=""),"",IF($K1702&lt;&gt;"",$K1702-$B1702,TODAY()-$B1702))</f>
        <v/>
      </c>
      <c r="M1702" s="27">
        <f>IF(OR($A1702="",$J1702=""),"",IF($K1702="",IF(TODAY()&gt;$J1702,"Atrasado","En ruta"),IF($K1702&lt;=$J1702,"Sí","No")))</f>
        <v/>
      </c>
      <c r="N1702" s="23">
        <f>IF($A1702="","",COUNTIFS(NOVEDADES!$C$4:$C$1503,$A1702))</f>
        <v/>
      </c>
      <c r="O1702" s="27">
        <f>IF($A1702="","",IF(COUNTIFS(NOVEDADES!$C$4:$C$1503,$A1702,NOVEDADES!$M$4:$M$1503,"SÍ")&gt;0,"No","Sí"))</f>
        <v/>
      </c>
      <c r="P1702" s="27">
        <f>IF(OR($A1702="",$K1702=""),"",IF(AND($M1702="Sí",$O1702="Sí"),"OTIF","Falló"))</f>
        <v/>
      </c>
    </row>
    <row r="1703" ht="16" customHeight="1">
      <c r="A1703" s="47" t="n"/>
      <c r="B1703" s="46" t="n"/>
      <c r="C1703" s="49" t="n"/>
      <c r="D1703" s="49" t="n"/>
      <c r="E1703" s="49" t="n"/>
      <c r="F1703" s="49" t="n"/>
      <c r="G1703" s="47" t="n"/>
      <c r="H1703" s="50" t="n"/>
      <c r="I1703" s="51" t="n"/>
      <c r="J1703" s="46" t="n"/>
      <c r="K1703" s="46" t="n"/>
      <c r="L1703" s="23">
        <f>IF(OR($A1703="",$B1703=""),"",IF($K1703&lt;&gt;"",$K1703-$B1703,TODAY()-$B1703))</f>
        <v/>
      </c>
      <c r="M1703" s="27">
        <f>IF(OR($A1703="",$J1703=""),"",IF($K1703="",IF(TODAY()&gt;$J1703,"Atrasado","En ruta"),IF($K1703&lt;=$J1703,"Sí","No")))</f>
        <v/>
      </c>
      <c r="N1703" s="23">
        <f>IF($A1703="","",COUNTIFS(NOVEDADES!$C$4:$C$1503,$A1703))</f>
        <v/>
      </c>
      <c r="O1703" s="27">
        <f>IF($A1703="","",IF(COUNTIFS(NOVEDADES!$C$4:$C$1503,$A1703,NOVEDADES!$M$4:$M$1503,"SÍ")&gt;0,"No","Sí"))</f>
        <v/>
      </c>
      <c r="P1703" s="27">
        <f>IF(OR($A1703="",$K1703=""),"",IF(AND($M1703="Sí",$O1703="Sí"),"OTIF","Falló"))</f>
        <v/>
      </c>
    </row>
    <row r="1704" ht="16" customHeight="1">
      <c r="A1704" s="47" t="n"/>
      <c r="B1704" s="46" t="n"/>
      <c r="C1704" s="49" t="n"/>
      <c r="D1704" s="49" t="n"/>
      <c r="E1704" s="49" t="n"/>
      <c r="F1704" s="49" t="n"/>
      <c r="G1704" s="47" t="n"/>
      <c r="H1704" s="50" t="n"/>
      <c r="I1704" s="51" t="n"/>
      <c r="J1704" s="46" t="n"/>
      <c r="K1704" s="46" t="n"/>
      <c r="L1704" s="23">
        <f>IF(OR($A1704="",$B1704=""),"",IF($K1704&lt;&gt;"",$K1704-$B1704,TODAY()-$B1704))</f>
        <v/>
      </c>
      <c r="M1704" s="27">
        <f>IF(OR($A1704="",$J1704=""),"",IF($K1704="",IF(TODAY()&gt;$J1704,"Atrasado","En ruta"),IF($K1704&lt;=$J1704,"Sí","No")))</f>
        <v/>
      </c>
      <c r="N1704" s="23">
        <f>IF($A1704="","",COUNTIFS(NOVEDADES!$C$4:$C$1503,$A1704))</f>
        <v/>
      </c>
      <c r="O1704" s="27">
        <f>IF($A1704="","",IF(COUNTIFS(NOVEDADES!$C$4:$C$1503,$A1704,NOVEDADES!$M$4:$M$1503,"SÍ")&gt;0,"No","Sí"))</f>
        <v/>
      </c>
      <c r="P1704" s="27">
        <f>IF(OR($A1704="",$K1704=""),"",IF(AND($M1704="Sí",$O1704="Sí"),"OTIF","Falló"))</f>
        <v/>
      </c>
    </row>
    <row r="1705" ht="16" customHeight="1">
      <c r="A1705" s="47" t="n"/>
      <c r="B1705" s="46" t="n"/>
      <c r="C1705" s="49" t="n"/>
      <c r="D1705" s="49" t="n"/>
      <c r="E1705" s="49" t="n"/>
      <c r="F1705" s="49" t="n"/>
      <c r="G1705" s="47" t="n"/>
      <c r="H1705" s="50" t="n"/>
      <c r="I1705" s="51" t="n"/>
      <c r="J1705" s="46" t="n"/>
      <c r="K1705" s="46" t="n"/>
      <c r="L1705" s="23">
        <f>IF(OR($A1705="",$B1705=""),"",IF($K1705&lt;&gt;"",$K1705-$B1705,TODAY()-$B1705))</f>
        <v/>
      </c>
      <c r="M1705" s="27">
        <f>IF(OR($A1705="",$J1705=""),"",IF($K1705="",IF(TODAY()&gt;$J1705,"Atrasado","En ruta"),IF($K1705&lt;=$J1705,"Sí","No")))</f>
        <v/>
      </c>
      <c r="N1705" s="23">
        <f>IF($A1705="","",COUNTIFS(NOVEDADES!$C$4:$C$1503,$A1705))</f>
        <v/>
      </c>
      <c r="O1705" s="27">
        <f>IF($A1705="","",IF(COUNTIFS(NOVEDADES!$C$4:$C$1503,$A1705,NOVEDADES!$M$4:$M$1503,"SÍ")&gt;0,"No","Sí"))</f>
        <v/>
      </c>
      <c r="P1705" s="27">
        <f>IF(OR($A1705="",$K1705=""),"",IF(AND($M1705="Sí",$O1705="Sí"),"OTIF","Falló"))</f>
        <v/>
      </c>
    </row>
    <row r="1706" ht="16" customHeight="1">
      <c r="A1706" s="47" t="n"/>
      <c r="B1706" s="46" t="n"/>
      <c r="C1706" s="49" t="n"/>
      <c r="D1706" s="49" t="n"/>
      <c r="E1706" s="49" t="n"/>
      <c r="F1706" s="49" t="n"/>
      <c r="G1706" s="47" t="n"/>
      <c r="H1706" s="50" t="n"/>
      <c r="I1706" s="51" t="n"/>
      <c r="J1706" s="46" t="n"/>
      <c r="K1706" s="46" t="n"/>
      <c r="L1706" s="23">
        <f>IF(OR($A1706="",$B1706=""),"",IF($K1706&lt;&gt;"",$K1706-$B1706,TODAY()-$B1706))</f>
        <v/>
      </c>
      <c r="M1706" s="27">
        <f>IF(OR($A1706="",$J1706=""),"",IF($K1706="",IF(TODAY()&gt;$J1706,"Atrasado","En ruta"),IF($K1706&lt;=$J1706,"Sí","No")))</f>
        <v/>
      </c>
      <c r="N1706" s="23">
        <f>IF($A1706="","",COUNTIFS(NOVEDADES!$C$4:$C$1503,$A1706))</f>
        <v/>
      </c>
      <c r="O1706" s="27">
        <f>IF($A1706="","",IF(COUNTIFS(NOVEDADES!$C$4:$C$1503,$A1706,NOVEDADES!$M$4:$M$1503,"SÍ")&gt;0,"No","Sí"))</f>
        <v/>
      </c>
      <c r="P1706" s="27">
        <f>IF(OR($A1706="",$K1706=""),"",IF(AND($M1706="Sí",$O1706="Sí"),"OTIF","Falló"))</f>
        <v/>
      </c>
    </row>
    <row r="1707" ht="16" customHeight="1">
      <c r="A1707" s="47" t="n"/>
      <c r="B1707" s="46" t="n"/>
      <c r="C1707" s="49" t="n"/>
      <c r="D1707" s="49" t="n"/>
      <c r="E1707" s="49" t="n"/>
      <c r="F1707" s="49" t="n"/>
      <c r="G1707" s="47" t="n"/>
      <c r="H1707" s="50" t="n"/>
      <c r="I1707" s="51" t="n"/>
      <c r="J1707" s="46" t="n"/>
      <c r="K1707" s="46" t="n"/>
      <c r="L1707" s="23">
        <f>IF(OR($A1707="",$B1707=""),"",IF($K1707&lt;&gt;"",$K1707-$B1707,TODAY()-$B1707))</f>
        <v/>
      </c>
      <c r="M1707" s="27">
        <f>IF(OR($A1707="",$J1707=""),"",IF($K1707="",IF(TODAY()&gt;$J1707,"Atrasado","En ruta"),IF($K1707&lt;=$J1707,"Sí","No")))</f>
        <v/>
      </c>
      <c r="N1707" s="23">
        <f>IF($A1707="","",COUNTIFS(NOVEDADES!$C$4:$C$1503,$A1707))</f>
        <v/>
      </c>
      <c r="O1707" s="27">
        <f>IF($A1707="","",IF(COUNTIFS(NOVEDADES!$C$4:$C$1503,$A1707,NOVEDADES!$M$4:$M$1503,"SÍ")&gt;0,"No","Sí"))</f>
        <v/>
      </c>
      <c r="P1707" s="27">
        <f>IF(OR($A1707="",$K1707=""),"",IF(AND($M1707="Sí",$O1707="Sí"),"OTIF","Falló"))</f>
        <v/>
      </c>
    </row>
    <row r="1708" ht="16" customHeight="1">
      <c r="A1708" s="47" t="n"/>
      <c r="B1708" s="46" t="n"/>
      <c r="C1708" s="49" t="n"/>
      <c r="D1708" s="49" t="n"/>
      <c r="E1708" s="49" t="n"/>
      <c r="F1708" s="49" t="n"/>
      <c r="G1708" s="47" t="n"/>
      <c r="H1708" s="50" t="n"/>
      <c r="I1708" s="51" t="n"/>
      <c r="J1708" s="46" t="n"/>
      <c r="K1708" s="46" t="n"/>
      <c r="L1708" s="23">
        <f>IF(OR($A1708="",$B1708=""),"",IF($K1708&lt;&gt;"",$K1708-$B1708,TODAY()-$B1708))</f>
        <v/>
      </c>
      <c r="M1708" s="27">
        <f>IF(OR($A1708="",$J1708=""),"",IF($K1708="",IF(TODAY()&gt;$J1708,"Atrasado","En ruta"),IF($K1708&lt;=$J1708,"Sí","No")))</f>
        <v/>
      </c>
      <c r="N1708" s="23">
        <f>IF($A1708="","",COUNTIFS(NOVEDADES!$C$4:$C$1503,$A1708))</f>
        <v/>
      </c>
      <c r="O1708" s="27">
        <f>IF($A1708="","",IF(COUNTIFS(NOVEDADES!$C$4:$C$1503,$A1708,NOVEDADES!$M$4:$M$1503,"SÍ")&gt;0,"No","Sí"))</f>
        <v/>
      </c>
      <c r="P1708" s="27">
        <f>IF(OR($A1708="",$K1708=""),"",IF(AND($M1708="Sí",$O1708="Sí"),"OTIF","Falló"))</f>
        <v/>
      </c>
    </row>
    <row r="1709" ht="16" customHeight="1">
      <c r="A1709" s="47" t="n"/>
      <c r="B1709" s="46" t="n"/>
      <c r="C1709" s="49" t="n"/>
      <c r="D1709" s="49" t="n"/>
      <c r="E1709" s="49" t="n"/>
      <c r="F1709" s="49" t="n"/>
      <c r="G1709" s="47" t="n"/>
      <c r="H1709" s="50" t="n"/>
      <c r="I1709" s="51" t="n"/>
      <c r="J1709" s="46" t="n"/>
      <c r="K1709" s="46" t="n"/>
      <c r="L1709" s="23">
        <f>IF(OR($A1709="",$B1709=""),"",IF($K1709&lt;&gt;"",$K1709-$B1709,TODAY()-$B1709))</f>
        <v/>
      </c>
      <c r="M1709" s="27">
        <f>IF(OR($A1709="",$J1709=""),"",IF($K1709="",IF(TODAY()&gt;$J1709,"Atrasado","En ruta"),IF($K1709&lt;=$J1709,"Sí","No")))</f>
        <v/>
      </c>
      <c r="N1709" s="23">
        <f>IF($A1709="","",COUNTIFS(NOVEDADES!$C$4:$C$1503,$A1709))</f>
        <v/>
      </c>
      <c r="O1709" s="27">
        <f>IF($A1709="","",IF(COUNTIFS(NOVEDADES!$C$4:$C$1503,$A1709,NOVEDADES!$M$4:$M$1503,"SÍ")&gt;0,"No","Sí"))</f>
        <v/>
      </c>
      <c r="P1709" s="27">
        <f>IF(OR($A1709="",$K1709=""),"",IF(AND($M1709="Sí",$O1709="Sí"),"OTIF","Falló"))</f>
        <v/>
      </c>
    </row>
    <row r="1710" ht="16" customHeight="1">
      <c r="A1710" s="47" t="n"/>
      <c r="B1710" s="46" t="n"/>
      <c r="C1710" s="49" t="n"/>
      <c r="D1710" s="49" t="n"/>
      <c r="E1710" s="49" t="n"/>
      <c r="F1710" s="49" t="n"/>
      <c r="G1710" s="47" t="n"/>
      <c r="H1710" s="50" t="n"/>
      <c r="I1710" s="51" t="n"/>
      <c r="J1710" s="46" t="n"/>
      <c r="K1710" s="46" t="n"/>
      <c r="L1710" s="23">
        <f>IF(OR($A1710="",$B1710=""),"",IF($K1710&lt;&gt;"",$K1710-$B1710,TODAY()-$B1710))</f>
        <v/>
      </c>
      <c r="M1710" s="27">
        <f>IF(OR($A1710="",$J1710=""),"",IF($K1710="",IF(TODAY()&gt;$J1710,"Atrasado","En ruta"),IF($K1710&lt;=$J1710,"Sí","No")))</f>
        <v/>
      </c>
      <c r="N1710" s="23">
        <f>IF($A1710="","",COUNTIFS(NOVEDADES!$C$4:$C$1503,$A1710))</f>
        <v/>
      </c>
      <c r="O1710" s="27">
        <f>IF($A1710="","",IF(COUNTIFS(NOVEDADES!$C$4:$C$1503,$A1710,NOVEDADES!$M$4:$M$1503,"SÍ")&gt;0,"No","Sí"))</f>
        <v/>
      </c>
      <c r="P1710" s="27">
        <f>IF(OR($A1710="",$K1710=""),"",IF(AND($M1710="Sí",$O1710="Sí"),"OTIF","Falló"))</f>
        <v/>
      </c>
    </row>
    <row r="1711" ht="16" customHeight="1">
      <c r="A1711" s="47" t="n"/>
      <c r="B1711" s="46" t="n"/>
      <c r="C1711" s="49" t="n"/>
      <c r="D1711" s="49" t="n"/>
      <c r="E1711" s="49" t="n"/>
      <c r="F1711" s="49" t="n"/>
      <c r="G1711" s="47" t="n"/>
      <c r="H1711" s="50" t="n"/>
      <c r="I1711" s="51" t="n"/>
      <c r="J1711" s="46" t="n"/>
      <c r="K1711" s="46" t="n"/>
      <c r="L1711" s="23">
        <f>IF(OR($A1711="",$B1711=""),"",IF($K1711&lt;&gt;"",$K1711-$B1711,TODAY()-$B1711))</f>
        <v/>
      </c>
      <c r="M1711" s="27">
        <f>IF(OR($A1711="",$J1711=""),"",IF($K1711="",IF(TODAY()&gt;$J1711,"Atrasado","En ruta"),IF($K1711&lt;=$J1711,"Sí","No")))</f>
        <v/>
      </c>
      <c r="N1711" s="23">
        <f>IF($A1711="","",COUNTIFS(NOVEDADES!$C$4:$C$1503,$A1711))</f>
        <v/>
      </c>
      <c r="O1711" s="27">
        <f>IF($A1711="","",IF(COUNTIFS(NOVEDADES!$C$4:$C$1503,$A1711,NOVEDADES!$M$4:$M$1503,"SÍ")&gt;0,"No","Sí"))</f>
        <v/>
      </c>
      <c r="P1711" s="27">
        <f>IF(OR($A1711="",$K1711=""),"",IF(AND($M1711="Sí",$O1711="Sí"),"OTIF","Falló"))</f>
        <v/>
      </c>
    </row>
    <row r="1712" ht="16" customHeight="1">
      <c r="A1712" s="47" t="n"/>
      <c r="B1712" s="46" t="n"/>
      <c r="C1712" s="49" t="n"/>
      <c r="D1712" s="49" t="n"/>
      <c r="E1712" s="49" t="n"/>
      <c r="F1712" s="49" t="n"/>
      <c r="G1712" s="47" t="n"/>
      <c r="H1712" s="50" t="n"/>
      <c r="I1712" s="51" t="n"/>
      <c r="J1712" s="46" t="n"/>
      <c r="K1712" s="46" t="n"/>
      <c r="L1712" s="23">
        <f>IF(OR($A1712="",$B1712=""),"",IF($K1712&lt;&gt;"",$K1712-$B1712,TODAY()-$B1712))</f>
        <v/>
      </c>
      <c r="M1712" s="27">
        <f>IF(OR($A1712="",$J1712=""),"",IF($K1712="",IF(TODAY()&gt;$J1712,"Atrasado","En ruta"),IF($K1712&lt;=$J1712,"Sí","No")))</f>
        <v/>
      </c>
      <c r="N1712" s="23">
        <f>IF($A1712="","",COUNTIFS(NOVEDADES!$C$4:$C$1503,$A1712))</f>
        <v/>
      </c>
      <c r="O1712" s="27">
        <f>IF($A1712="","",IF(COUNTIFS(NOVEDADES!$C$4:$C$1503,$A1712,NOVEDADES!$M$4:$M$1503,"SÍ")&gt;0,"No","Sí"))</f>
        <v/>
      </c>
      <c r="P1712" s="27">
        <f>IF(OR($A1712="",$K1712=""),"",IF(AND($M1712="Sí",$O1712="Sí"),"OTIF","Falló"))</f>
        <v/>
      </c>
    </row>
    <row r="1713" ht="16" customHeight="1">
      <c r="A1713" s="47" t="n"/>
      <c r="B1713" s="46" t="n"/>
      <c r="C1713" s="49" t="n"/>
      <c r="D1713" s="49" t="n"/>
      <c r="E1713" s="49" t="n"/>
      <c r="F1713" s="49" t="n"/>
      <c r="G1713" s="47" t="n"/>
      <c r="H1713" s="50" t="n"/>
      <c r="I1713" s="51" t="n"/>
      <c r="J1713" s="46" t="n"/>
      <c r="K1713" s="46" t="n"/>
      <c r="L1713" s="23">
        <f>IF(OR($A1713="",$B1713=""),"",IF($K1713&lt;&gt;"",$K1713-$B1713,TODAY()-$B1713))</f>
        <v/>
      </c>
      <c r="M1713" s="27">
        <f>IF(OR($A1713="",$J1713=""),"",IF($K1713="",IF(TODAY()&gt;$J1713,"Atrasado","En ruta"),IF($K1713&lt;=$J1713,"Sí","No")))</f>
        <v/>
      </c>
      <c r="N1713" s="23">
        <f>IF($A1713="","",COUNTIFS(NOVEDADES!$C$4:$C$1503,$A1713))</f>
        <v/>
      </c>
      <c r="O1713" s="27">
        <f>IF($A1713="","",IF(COUNTIFS(NOVEDADES!$C$4:$C$1503,$A1713,NOVEDADES!$M$4:$M$1503,"SÍ")&gt;0,"No","Sí"))</f>
        <v/>
      </c>
      <c r="P1713" s="27">
        <f>IF(OR($A1713="",$K1713=""),"",IF(AND($M1713="Sí",$O1713="Sí"),"OTIF","Falló"))</f>
        <v/>
      </c>
    </row>
    <row r="1714" ht="16" customHeight="1">
      <c r="A1714" s="47" t="n"/>
      <c r="B1714" s="46" t="n"/>
      <c r="C1714" s="49" t="n"/>
      <c r="D1714" s="49" t="n"/>
      <c r="E1714" s="49" t="n"/>
      <c r="F1714" s="49" t="n"/>
      <c r="G1714" s="47" t="n"/>
      <c r="H1714" s="50" t="n"/>
      <c r="I1714" s="51" t="n"/>
      <c r="J1714" s="46" t="n"/>
      <c r="K1714" s="46" t="n"/>
      <c r="L1714" s="23">
        <f>IF(OR($A1714="",$B1714=""),"",IF($K1714&lt;&gt;"",$K1714-$B1714,TODAY()-$B1714))</f>
        <v/>
      </c>
      <c r="M1714" s="27">
        <f>IF(OR($A1714="",$J1714=""),"",IF($K1714="",IF(TODAY()&gt;$J1714,"Atrasado","En ruta"),IF($K1714&lt;=$J1714,"Sí","No")))</f>
        <v/>
      </c>
      <c r="N1714" s="23">
        <f>IF($A1714="","",COUNTIFS(NOVEDADES!$C$4:$C$1503,$A1714))</f>
        <v/>
      </c>
      <c r="O1714" s="27">
        <f>IF($A1714="","",IF(COUNTIFS(NOVEDADES!$C$4:$C$1503,$A1714,NOVEDADES!$M$4:$M$1503,"SÍ")&gt;0,"No","Sí"))</f>
        <v/>
      </c>
      <c r="P1714" s="27">
        <f>IF(OR($A1714="",$K1714=""),"",IF(AND($M1714="Sí",$O1714="Sí"),"OTIF","Falló"))</f>
        <v/>
      </c>
    </row>
    <row r="1715" ht="16" customHeight="1">
      <c r="A1715" s="47" t="n"/>
      <c r="B1715" s="46" t="n"/>
      <c r="C1715" s="49" t="n"/>
      <c r="D1715" s="49" t="n"/>
      <c r="E1715" s="49" t="n"/>
      <c r="F1715" s="49" t="n"/>
      <c r="G1715" s="47" t="n"/>
      <c r="H1715" s="50" t="n"/>
      <c r="I1715" s="51" t="n"/>
      <c r="J1715" s="46" t="n"/>
      <c r="K1715" s="46" t="n"/>
      <c r="L1715" s="23">
        <f>IF(OR($A1715="",$B1715=""),"",IF($K1715&lt;&gt;"",$K1715-$B1715,TODAY()-$B1715))</f>
        <v/>
      </c>
      <c r="M1715" s="27">
        <f>IF(OR($A1715="",$J1715=""),"",IF($K1715="",IF(TODAY()&gt;$J1715,"Atrasado","En ruta"),IF($K1715&lt;=$J1715,"Sí","No")))</f>
        <v/>
      </c>
      <c r="N1715" s="23">
        <f>IF($A1715="","",COUNTIFS(NOVEDADES!$C$4:$C$1503,$A1715))</f>
        <v/>
      </c>
      <c r="O1715" s="27">
        <f>IF($A1715="","",IF(COUNTIFS(NOVEDADES!$C$4:$C$1503,$A1715,NOVEDADES!$M$4:$M$1503,"SÍ")&gt;0,"No","Sí"))</f>
        <v/>
      </c>
      <c r="P1715" s="27">
        <f>IF(OR($A1715="",$K1715=""),"",IF(AND($M1715="Sí",$O1715="Sí"),"OTIF","Falló"))</f>
        <v/>
      </c>
    </row>
    <row r="1716" ht="16" customHeight="1">
      <c r="A1716" s="47" t="n"/>
      <c r="B1716" s="46" t="n"/>
      <c r="C1716" s="49" t="n"/>
      <c r="D1716" s="49" t="n"/>
      <c r="E1716" s="49" t="n"/>
      <c r="F1716" s="49" t="n"/>
      <c r="G1716" s="47" t="n"/>
      <c r="H1716" s="50" t="n"/>
      <c r="I1716" s="51" t="n"/>
      <c r="J1716" s="46" t="n"/>
      <c r="K1716" s="46" t="n"/>
      <c r="L1716" s="23">
        <f>IF(OR($A1716="",$B1716=""),"",IF($K1716&lt;&gt;"",$K1716-$B1716,TODAY()-$B1716))</f>
        <v/>
      </c>
      <c r="M1716" s="27">
        <f>IF(OR($A1716="",$J1716=""),"",IF($K1716="",IF(TODAY()&gt;$J1716,"Atrasado","En ruta"),IF($K1716&lt;=$J1716,"Sí","No")))</f>
        <v/>
      </c>
      <c r="N1716" s="23">
        <f>IF($A1716="","",COUNTIFS(NOVEDADES!$C$4:$C$1503,$A1716))</f>
        <v/>
      </c>
      <c r="O1716" s="27">
        <f>IF($A1716="","",IF(COUNTIFS(NOVEDADES!$C$4:$C$1503,$A1716,NOVEDADES!$M$4:$M$1503,"SÍ")&gt;0,"No","Sí"))</f>
        <v/>
      </c>
      <c r="P1716" s="27">
        <f>IF(OR($A1716="",$K1716=""),"",IF(AND($M1716="Sí",$O1716="Sí"),"OTIF","Falló"))</f>
        <v/>
      </c>
    </row>
    <row r="1717" ht="16" customHeight="1">
      <c r="A1717" s="47" t="n"/>
      <c r="B1717" s="46" t="n"/>
      <c r="C1717" s="49" t="n"/>
      <c r="D1717" s="49" t="n"/>
      <c r="E1717" s="49" t="n"/>
      <c r="F1717" s="49" t="n"/>
      <c r="G1717" s="47" t="n"/>
      <c r="H1717" s="50" t="n"/>
      <c r="I1717" s="51" t="n"/>
      <c r="J1717" s="46" t="n"/>
      <c r="K1717" s="46" t="n"/>
      <c r="L1717" s="23">
        <f>IF(OR($A1717="",$B1717=""),"",IF($K1717&lt;&gt;"",$K1717-$B1717,TODAY()-$B1717))</f>
        <v/>
      </c>
      <c r="M1717" s="27">
        <f>IF(OR($A1717="",$J1717=""),"",IF($K1717="",IF(TODAY()&gt;$J1717,"Atrasado","En ruta"),IF($K1717&lt;=$J1717,"Sí","No")))</f>
        <v/>
      </c>
      <c r="N1717" s="23">
        <f>IF($A1717="","",COUNTIFS(NOVEDADES!$C$4:$C$1503,$A1717))</f>
        <v/>
      </c>
      <c r="O1717" s="27">
        <f>IF($A1717="","",IF(COUNTIFS(NOVEDADES!$C$4:$C$1503,$A1717,NOVEDADES!$M$4:$M$1503,"SÍ")&gt;0,"No","Sí"))</f>
        <v/>
      </c>
      <c r="P1717" s="27">
        <f>IF(OR($A1717="",$K1717=""),"",IF(AND($M1717="Sí",$O1717="Sí"),"OTIF","Falló"))</f>
        <v/>
      </c>
    </row>
    <row r="1718" ht="16" customHeight="1">
      <c r="A1718" s="47" t="n"/>
      <c r="B1718" s="46" t="n"/>
      <c r="C1718" s="49" t="n"/>
      <c r="D1718" s="49" t="n"/>
      <c r="E1718" s="49" t="n"/>
      <c r="F1718" s="49" t="n"/>
      <c r="G1718" s="47" t="n"/>
      <c r="H1718" s="50" t="n"/>
      <c r="I1718" s="51" t="n"/>
      <c r="J1718" s="46" t="n"/>
      <c r="K1718" s="46" t="n"/>
      <c r="L1718" s="23">
        <f>IF(OR($A1718="",$B1718=""),"",IF($K1718&lt;&gt;"",$K1718-$B1718,TODAY()-$B1718))</f>
        <v/>
      </c>
      <c r="M1718" s="27">
        <f>IF(OR($A1718="",$J1718=""),"",IF($K1718="",IF(TODAY()&gt;$J1718,"Atrasado","En ruta"),IF($K1718&lt;=$J1718,"Sí","No")))</f>
        <v/>
      </c>
      <c r="N1718" s="23">
        <f>IF($A1718="","",COUNTIFS(NOVEDADES!$C$4:$C$1503,$A1718))</f>
        <v/>
      </c>
      <c r="O1718" s="27">
        <f>IF($A1718="","",IF(COUNTIFS(NOVEDADES!$C$4:$C$1503,$A1718,NOVEDADES!$M$4:$M$1503,"SÍ")&gt;0,"No","Sí"))</f>
        <v/>
      </c>
      <c r="P1718" s="27">
        <f>IF(OR($A1718="",$K1718=""),"",IF(AND($M1718="Sí",$O1718="Sí"),"OTIF","Falló"))</f>
        <v/>
      </c>
    </row>
    <row r="1719" ht="16" customHeight="1">
      <c r="A1719" s="47" t="n"/>
      <c r="B1719" s="46" t="n"/>
      <c r="C1719" s="49" t="n"/>
      <c r="D1719" s="49" t="n"/>
      <c r="E1719" s="49" t="n"/>
      <c r="F1719" s="49" t="n"/>
      <c r="G1719" s="47" t="n"/>
      <c r="H1719" s="50" t="n"/>
      <c r="I1719" s="51" t="n"/>
      <c r="J1719" s="46" t="n"/>
      <c r="K1719" s="46" t="n"/>
      <c r="L1719" s="23">
        <f>IF(OR($A1719="",$B1719=""),"",IF($K1719&lt;&gt;"",$K1719-$B1719,TODAY()-$B1719))</f>
        <v/>
      </c>
      <c r="M1719" s="27">
        <f>IF(OR($A1719="",$J1719=""),"",IF($K1719="",IF(TODAY()&gt;$J1719,"Atrasado","En ruta"),IF($K1719&lt;=$J1719,"Sí","No")))</f>
        <v/>
      </c>
      <c r="N1719" s="23">
        <f>IF($A1719="","",COUNTIFS(NOVEDADES!$C$4:$C$1503,$A1719))</f>
        <v/>
      </c>
      <c r="O1719" s="27">
        <f>IF($A1719="","",IF(COUNTIFS(NOVEDADES!$C$4:$C$1503,$A1719,NOVEDADES!$M$4:$M$1503,"SÍ")&gt;0,"No","Sí"))</f>
        <v/>
      </c>
      <c r="P1719" s="27">
        <f>IF(OR($A1719="",$K1719=""),"",IF(AND($M1719="Sí",$O1719="Sí"),"OTIF","Falló"))</f>
        <v/>
      </c>
    </row>
    <row r="1720" ht="16" customHeight="1">
      <c r="A1720" s="47" t="n"/>
      <c r="B1720" s="46" t="n"/>
      <c r="C1720" s="49" t="n"/>
      <c r="D1720" s="49" t="n"/>
      <c r="E1720" s="49" t="n"/>
      <c r="F1720" s="49" t="n"/>
      <c r="G1720" s="47" t="n"/>
      <c r="H1720" s="50" t="n"/>
      <c r="I1720" s="51" t="n"/>
      <c r="J1720" s="46" t="n"/>
      <c r="K1720" s="46" t="n"/>
      <c r="L1720" s="23">
        <f>IF(OR($A1720="",$B1720=""),"",IF($K1720&lt;&gt;"",$K1720-$B1720,TODAY()-$B1720))</f>
        <v/>
      </c>
      <c r="M1720" s="27">
        <f>IF(OR($A1720="",$J1720=""),"",IF($K1720="",IF(TODAY()&gt;$J1720,"Atrasado","En ruta"),IF($K1720&lt;=$J1720,"Sí","No")))</f>
        <v/>
      </c>
      <c r="N1720" s="23">
        <f>IF($A1720="","",COUNTIFS(NOVEDADES!$C$4:$C$1503,$A1720))</f>
        <v/>
      </c>
      <c r="O1720" s="27">
        <f>IF($A1720="","",IF(COUNTIFS(NOVEDADES!$C$4:$C$1503,$A1720,NOVEDADES!$M$4:$M$1503,"SÍ")&gt;0,"No","Sí"))</f>
        <v/>
      </c>
      <c r="P1720" s="27">
        <f>IF(OR($A1720="",$K1720=""),"",IF(AND($M1720="Sí",$O1720="Sí"),"OTIF","Falló"))</f>
        <v/>
      </c>
    </row>
    <row r="1721" ht="16" customHeight="1">
      <c r="A1721" s="47" t="n"/>
      <c r="B1721" s="46" t="n"/>
      <c r="C1721" s="49" t="n"/>
      <c r="D1721" s="49" t="n"/>
      <c r="E1721" s="49" t="n"/>
      <c r="F1721" s="49" t="n"/>
      <c r="G1721" s="47" t="n"/>
      <c r="H1721" s="50" t="n"/>
      <c r="I1721" s="51" t="n"/>
      <c r="J1721" s="46" t="n"/>
      <c r="K1721" s="46" t="n"/>
      <c r="L1721" s="23">
        <f>IF(OR($A1721="",$B1721=""),"",IF($K1721&lt;&gt;"",$K1721-$B1721,TODAY()-$B1721))</f>
        <v/>
      </c>
      <c r="M1721" s="27">
        <f>IF(OR($A1721="",$J1721=""),"",IF($K1721="",IF(TODAY()&gt;$J1721,"Atrasado","En ruta"),IF($K1721&lt;=$J1721,"Sí","No")))</f>
        <v/>
      </c>
      <c r="N1721" s="23">
        <f>IF($A1721="","",COUNTIFS(NOVEDADES!$C$4:$C$1503,$A1721))</f>
        <v/>
      </c>
      <c r="O1721" s="27">
        <f>IF($A1721="","",IF(COUNTIFS(NOVEDADES!$C$4:$C$1503,$A1721,NOVEDADES!$M$4:$M$1503,"SÍ")&gt;0,"No","Sí"))</f>
        <v/>
      </c>
      <c r="P1721" s="27">
        <f>IF(OR($A1721="",$K1721=""),"",IF(AND($M1721="Sí",$O1721="Sí"),"OTIF","Falló"))</f>
        <v/>
      </c>
    </row>
    <row r="1722" ht="16" customHeight="1">
      <c r="A1722" s="47" t="n"/>
      <c r="B1722" s="46" t="n"/>
      <c r="C1722" s="49" t="n"/>
      <c r="D1722" s="49" t="n"/>
      <c r="E1722" s="49" t="n"/>
      <c r="F1722" s="49" t="n"/>
      <c r="G1722" s="47" t="n"/>
      <c r="H1722" s="50" t="n"/>
      <c r="I1722" s="51" t="n"/>
      <c r="J1722" s="46" t="n"/>
      <c r="K1722" s="46" t="n"/>
      <c r="L1722" s="23">
        <f>IF(OR($A1722="",$B1722=""),"",IF($K1722&lt;&gt;"",$K1722-$B1722,TODAY()-$B1722))</f>
        <v/>
      </c>
      <c r="M1722" s="27">
        <f>IF(OR($A1722="",$J1722=""),"",IF($K1722="",IF(TODAY()&gt;$J1722,"Atrasado","En ruta"),IF($K1722&lt;=$J1722,"Sí","No")))</f>
        <v/>
      </c>
      <c r="N1722" s="23">
        <f>IF($A1722="","",COUNTIFS(NOVEDADES!$C$4:$C$1503,$A1722))</f>
        <v/>
      </c>
      <c r="O1722" s="27">
        <f>IF($A1722="","",IF(COUNTIFS(NOVEDADES!$C$4:$C$1503,$A1722,NOVEDADES!$M$4:$M$1503,"SÍ")&gt;0,"No","Sí"))</f>
        <v/>
      </c>
      <c r="P1722" s="27">
        <f>IF(OR($A1722="",$K1722=""),"",IF(AND($M1722="Sí",$O1722="Sí"),"OTIF","Falló"))</f>
        <v/>
      </c>
    </row>
    <row r="1723" ht="16" customHeight="1">
      <c r="A1723" s="47" t="n"/>
      <c r="B1723" s="46" t="n"/>
      <c r="C1723" s="49" t="n"/>
      <c r="D1723" s="49" t="n"/>
      <c r="E1723" s="49" t="n"/>
      <c r="F1723" s="49" t="n"/>
      <c r="G1723" s="47" t="n"/>
      <c r="H1723" s="50" t="n"/>
      <c r="I1723" s="51" t="n"/>
      <c r="J1723" s="46" t="n"/>
      <c r="K1723" s="46" t="n"/>
      <c r="L1723" s="23">
        <f>IF(OR($A1723="",$B1723=""),"",IF($K1723&lt;&gt;"",$K1723-$B1723,TODAY()-$B1723))</f>
        <v/>
      </c>
      <c r="M1723" s="27">
        <f>IF(OR($A1723="",$J1723=""),"",IF($K1723="",IF(TODAY()&gt;$J1723,"Atrasado","En ruta"),IF($K1723&lt;=$J1723,"Sí","No")))</f>
        <v/>
      </c>
      <c r="N1723" s="23">
        <f>IF($A1723="","",COUNTIFS(NOVEDADES!$C$4:$C$1503,$A1723))</f>
        <v/>
      </c>
      <c r="O1723" s="27">
        <f>IF($A1723="","",IF(COUNTIFS(NOVEDADES!$C$4:$C$1503,$A1723,NOVEDADES!$M$4:$M$1503,"SÍ")&gt;0,"No","Sí"))</f>
        <v/>
      </c>
      <c r="P1723" s="27">
        <f>IF(OR($A1723="",$K1723=""),"",IF(AND($M1723="Sí",$O1723="Sí"),"OTIF","Falló"))</f>
        <v/>
      </c>
    </row>
    <row r="1724" ht="16" customHeight="1">
      <c r="A1724" s="47" t="n"/>
      <c r="B1724" s="46" t="n"/>
      <c r="C1724" s="49" t="n"/>
      <c r="D1724" s="49" t="n"/>
      <c r="E1724" s="49" t="n"/>
      <c r="F1724" s="49" t="n"/>
      <c r="G1724" s="47" t="n"/>
      <c r="H1724" s="50" t="n"/>
      <c r="I1724" s="51" t="n"/>
      <c r="J1724" s="46" t="n"/>
      <c r="K1724" s="46" t="n"/>
      <c r="L1724" s="23">
        <f>IF(OR($A1724="",$B1724=""),"",IF($K1724&lt;&gt;"",$K1724-$B1724,TODAY()-$B1724))</f>
        <v/>
      </c>
      <c r="M1724" s="27">
        <f>IF(OR($A1724="",$J1724=""),"",IF($K1724="",IF(TODAY()&gt;$J1724,"Atrasado","En ruta"),IF($K1724&lt;=$J1724,"Sí","No")))</f>
        <v/>
      </c>
      <c r="N1724" s="23">
        <f>IF($A1724="","",COUNTIFS(NOVEDADES!$C$4:$C$1503,$A1724))</f>
        <v/>
      </c>
      <c r="O1724" s="27">
        <f>IF($A1724="","",IF(COUNTIFS(NOVEDADES!$C$4:$C$1503,$A1724,NOVEDADES!$M$4:$M$1503,"SÍ")&gt;0,"No","Sí"))</f>
        <v/>
      </c>
      <c r="P1724" s="27">
        <f>IF(OR($A1724="",$K1724=""),"",IF(AND($M1724="Sí",$O1724="Sí"),"OTIF","Falló"))</f>
        <v/>
      </c>
    </row>
    <row r="1725" ht="16" customHeight="1">
      <c r="A1725" s="47" t="n"/>
      <c r="B1725" s="46" t="n"/>
      <c r="C1725" s="49" t="n"/>
      <c r="D1725" s="49" t="n"/>
      <c r="E1725" s="49" t="n"/>
      <c r="F1725" s="49" t="n"/>
      <c r="G1725" s="47" t="n"/>
      <c r="H1725" s="50" t="n"/>
      <c r="I1725" s="51" t="n"/>
      <c r="J1725" s="46" t="n"/>
      <c r="K1725" s="46" t="n"/>
      <c r="L1725" s="23">
        <f>IF(OR($A1725="",$B1725=""),"",IF($K1725&lt;&gt;"",$K1725-$B1725,TODAY()-$B1725))</f>
        <v/>
      </c>
      <c r="M1725" s="27">
        <f>IF(OR($A1725="",$J1725=""),"",IF($K1725="",IF(TODAY()&gt;$J1725,"Atrasado","En ruta"),IF($K1725&lt;=$J1725,"Sí","No")))</f>
        <v/>
      </c>
      <c r="N1725" s="23">
        <f>IF($A1725="","",COUNTIFS(NOVEDADES!$C$4:$C$1503,$A1725))</f>
        <v/>
      </c>
      <c r="O1725" s="27">
        <f>IF($A1725="","",IF(COUNTIFS(NOVEDADES!$C$4:$C$1503,$A1725,NOVEDADES!$M$4:$M$1503,"SÍ")&gt;0,"No","Sí"))</f>
        <v/>
      </c>
      <c r="P1725" s="27">
        <f>IF(OR($A1725="",$K1725=""),"",IF(AND($M1725="Sí",$O1725="Sí"),"OTIF","Falló"))</f>
        <v/>
      </c>
    </row>
    <row r="1726" ht="16" customHeight="1">
      <c r="A1726" s="47" t="n"/>
      <c r="B1726" s="46" t="n"/>
      <c r="C1726" s="49" t="n"/>
      <c r="D1726" s="49" t="n"/>
      <c r="E1726" s="49" t="n"/>
      <c r="F1726" s="49" t="n"/>
      <c r="G1726" s="47" t="n"/>
      <c r="H1726" s="50" t="n"/>
      <c r="I1726" s="51" t="n"/>
      <c r="J1726" s="46" t="n"/>
      <c r="K1726" s="46" t="n"/>
      <c r="L1726" s="23">
        <f>IF(OR($A1726="",$B1726=""),"",IF($K1726&lt;&gt;"",$K1726-$B1726,TODAY()-$B1726))</f>
        <v/>
      </c>
      <c r="M1726" s="27">
        <f>IF(OR($A1726="",$J1726=""),"",IF($K1726="",IF(TODAY()&gt;$J1726,"Atrasado","En ruta"),IF($K1726&lt;=$J1726,"Sí","No")))</f>
        <v/>
      </c>
      <c r="N1726" s="23">
        <f>IF($A1726="","",COUNTIFS(NOVEDADES!$C$4:$C$1503,$A1726))</f>
        <v/>
      </c>
      <c r="O1726" s="27">
        <f>IF($A1726="","",IF(COUNTIFS(NOVEDADES!$C$4:$C$1503,$A1726,NOVEDADES!$M$4:$M$1503,"SÍ")&gt;0,"No","Sí"))</f>
        <v/>
      </c>
      <c r="P1726" s="27">
        <f>IF(OR($A1726="",$K1726=""),"",IF(AND($M1726="Sí",$O1726="Sí"),"OTIF","Falló"))</f>
        <v/>
      </c>
    </row>
    <row r="1727" ht="16" customHeight="1">
      <c r="A1727" s="47" t="n"/>
      <c r="B1727" s="46" t="n"/>
      <c r="C1727" s="49" t="n"/>
      <c r="D1727" s="49" t="n"/>
      <c r="E1727" s="49" t="n"/>
      <c r="F1727" s="49" t="n"/>
      <c r="G1727" s="47" t="n"/>
      <c r="H1727" s="50" t="n"/>
      <c r="I1727" s="51" t="n"/>
      <c r="J1727" s="46" t="n"/>
      <c r="K1727" s="46" t="n"/>
      <c r="L1727" s="23">
        <f>IF(OR($A1727="",$B1727=""),"",IF($K1727&lt;&gt;"",$K1727-$B1727,TODAY()-$B1727))</f>
        <v/>
      </c>
      <c r="M1727" s="27">
        <f>IF(OR($A1727="",$J1727=""),"",IF($K1727="",IF(TODAY()&gt;$J1727,"Atrasado","En ruta"),IF($K1727&lt;=$J1727,"Sí","No")))</f>
        <v/>
      </c>
      <c r="N1727" s="23">
        <f>IF($A1727="","",COUNTIFS(NOVEDADES!$C$4:$C$1503,$A1727))</f>
        <v/>
      </c>
      <c r="O1727" s="27">
        <f>IF($A1727="","",IF(COUNTIFS(NOVEDADES!$C$4:$C$1503,$A1727,NOVEDADES!$M$4:$M$1503,"SÍ")&gt;0,"No","Sí"))</f>
        <v/>
      </c>
      <c r="P1727" s="27">
        <f>IF(OR($A1727="",$K1727=""),"",IF(AND($M1727="Sí",$O1727="Sí"),"OTIF","Falló"))</f>
        <v/>
      </c>
    </row>
    <row r="1728" ht="16" customHeight="1">
      <c r="A1728" s="47" t="n"/>
      <c r="B1728" s="46" t="n"/>
      <c r="C1728" s="49" t="n"/>
      <c r="D1728" s="49" t="n"/>
      <c r="E1728" s="49" t="n"/>
      <c r="F1728" s="49" t="n"/>
      <c r="G1728" s="47" t="n"/>
      <c r="H1728" s="50" t="n"/>
      <c r="I1728" s="51" t="n"/>
      <c r="J1728" s="46" t="n"/>
      <c r="K1728" s="46" t="n"/>
      <c r="L1728" s="23">
        <f>IF(OR($A1728="",$B1728=""),"",IF($K1728&lt;&gt;"",$K1728-$B1728,TODAY()-$B1728))</f>
        <v/>
      </c>
      <c r="M1728" s="27">
        <f>IF(OR($A1728="",$J1728=""),"",IF($K1728="",IF(TODAY()&gt;$J1728,"Atrasado","En ruta"),IF($K1728&lt;=$J1728,"Sí","No")))</f>
        <v/>
      </c>
      <c r="N1728" s="23">
        <f>IF($A1728="","",COUNTIFS(NOVEDADES!$C$4:$C$1503,$A1728))</f>
        <v/>
      </c>
      <c r="O1728" s="27">
        <f>IF($A1728="","",IF(COUNTIFS(NOVEDADES!$C$4:$C$1503,$A1728,NOVEDADES!$M$4:$M$1503,"SÍ")&gt;0,"No","Sí"))</f>
        <v/>
      </c>
      <c r="P1728" s="27">
        <f>IF(OR($A1728="",$K1728=""),"",IF(AND($M1728="Sí",$O1728="Sí"),"OTIF","Falló"))</f>
        <v/>
      </c>
    </row>
    <row r="1729" ht="16" customHeight="1">
      <c r="A1729" s="47" t="n"/>
      <c r="B1729" s="46" t="n"/>
      <c r="C1729" s="49" t="n"/>
      <c r="D1729" s="49" t="n"/>
      <c r="E1729" s="49" t="n"/>
      <c r="F1729" s="49" t="n"/>
      <c r="G1729" s="47" t="n"/>
      <c r="H1729" s="50" t="n"/>
      <c r="I1729" s="51" t="n"/>
      <c r="J1729" s="46" t="n"/>
      <c r="K1729" s="46" t="n"/>
      <c r="L1729" s="23">
        <f>IF(OR($A1729="",$B1729=""),"",IF($K1729&lt;&gt;"",$K1729-$B1729,TODAY()-$B1729))</f>
        <v/>
      </c>
      <c r="M1729" s="27">
        <f>IF(OR($A1729="",$J1729=""),"",IF($K1729="",IF(TODAY()&gt;$J1729,"Atrasado","En ruta"),IF($K1729&lt;=$J1729,"Sí","No")))</f>
        <v/>
      </c>
      <c r="N1729" s="23">
        <f>IF($A1729="","",COUNTIFS(NOVEDADES!$C$4:$C$1503,$A1729))</f>
        <v/>
      </c>
      <c r="O1729" s="27">
        <f>IF($A1729="","",IF(COUNTIFS(NOVEDADES!$C$4:$C$1503,$A1729,NOVEDADES!$M$4:$M$1503,"SÍ")&gt;0,"No","Sí"))</f>
        <v/>
      </c>
      <c r="P1729" s="27">
        <f>IF(OR($A1729="",$K1729=""),"",IF(AND($M1729="Sí",$O1729="Sí"),"OTIF","Falló"))</f>
        <v/>
      </c>
    </row>
    <row r="1730" ht="16" customHeight="1">
      <c r="A1730" s="47" t="n"/>
      <c r="B1730" s="46" t="n"/>
      <c r="C1730" s="49" t="n"/>
      <c r="D1730" s="49" t="n"/>
      <c r="E1730" s="49" t="n"/>
      <c r="F1730" s="49" t="n"/>
      <c r="G1730" s="47" t="n"/>
      <c r="H1730" s="50" t="n"/>
      <c r="I1730" s="51" t="n"/>
      <c r="J1730" s="46" t="n"/>
      <c r="K1730" s="46" t="n"/>
      <c r="L1730" s="23">
        <f>IF(OR($A1730="",$B1730=""),"",IF($K1730&lt;&gt;"",$K1730-$B1730,TODAY()-$B1730))</f>
        <v/>
      </c>
      <c r="M1730" s="27">
        <f>IF(OR($A1730="",$J1730=""),"",IF($K1730="",IF(TODAY()&gt;$J1730,"Atrasado","En ruta"),IF($K1730&lt;=$J1730,"Sí","No")))</f>
        <v/>
      </c>
      <c r="N1730" s="23">
        <f>IF($A1730="","",COUNTIFS(NOVEDADES!$C$4:$C$1503,$A1730))</f>
        <v/>
      </c>
      <c r="O1730" s="27">
        <f>IF($A1730="","",IF(COUNTIFS(NOVEDADES!$C$4:$C$1503,$A1730,NOVEDADES!$M$4:$M$1503,"SÍ")&gt;0,"No","Sí"))</f>
        <v/>
      </c>
      <c r="P1730" s="27">
        <f>IF(OR($A1730="",$K1730=""),"",IF(AND($M1730="Sí",$O1730="Sí"),"OTIF","Falló"))</f>
        <v/>
      </c>
    </row>
    <row r="1731" ht="16" customHeight="1">
      <c r="A1731" s="47" t="n"/>
      <c r="B1731" s="46" t="n"/>
      <c r="C1731" s="49" t="n"/>
      <c r="D1731" s="49" t="n"/>
      <c r="E1731" s="49" t="n"/>
      <c r="F1731" s="49" t="n"/>
      <c r="G1731" s="47" t="n"/>
      <c r="H1731" s="50" t="n"/>
      <c r="I1731" s="51" t="n"/>
      <c r="J1731" s="46" t="n"/>
      <c r="K1731" s="46" t="n"/>
      <c r="L1731" s="23">
        <f>IF(OR($A1731="",$B1731=""),"",IF($K1731&lt;&gt;"",$K1731-$B1731,TODAY()-$B1731))</f>
        <v/>
      </c>
      <c r="M1731" s="27">
        <f>IF(OR($A1731="",$J1731=""),"",IF($K1731="",IF(TODAY()&gt;$J1731,"Atrasado","En ruta"),IF($K1731&lt;=$J1731,"Sí","No")))</f>
        <v/>
      </c>
      <c r="N1731" s="23">
        <f>IF($A1731="","",COUNTIFS(NOVEDADES!$C$4:$C$1503,$A1731))</f>
        <v/>
      </c>
      <c r="O1731" s="27">
        <f>IF($A1731="","",IF(COUNTIFS(NOVEDADES!$C$4:$C$1503,$A1731,NOVEDADES!$M$4:$M$1503,"SÍ")&gt;0,"No","Sí"))</f>
        <v/>
      </c>
      <c r="P1731" s="27">
        <f>IF(OR($A1731="",$K1731=""),"",IF(AND($M1731="Sí",$O1731="Sí"),"OTIF","Falló"))</f>
        <v/>
      </c>
    </row>
    <row r="1732" ht="16" customHeight="1">
      <c r="A1732" s="47" t="n"/>
      <c r="B1732" s="46" t="n"/>
      <c r="C1732" s="49" t="n"/>
      <c r="D1732" s="49" t="n"/>
      <c r="E1732" s="49" t="n"/>
      <c r="F1732" s="49" t="n"/>
      <c r="G1732" s="47" t="n"/>
      <c r="H1732" s="50" t="n"/>
      <c r="I1732" s="51" t="n"/>
      <c r="J1732" s="46" t="n"/>
      <c r="K1732" s="46" t="n"/>
      <c r="L1732" s="23">
        <f>IF(OR($A1732="",$B1732=""),"",IF($K1732&lt;&gt;"",$K1732-$B1732,TODAY()-$B1732))</f>
        <v/>
      </c>
      <c r="M1732" s="27">
        <f>IF(OR($A1732="",$J1732=""),"",IF($K1732="",IF(TODAY()&gt;$J1732,"Atrasado","En ruta"),IF($K1732&lt;=$J1732,"Sí","No")))</f>
        <v/>
      </c>
      <c r="N1732" s="23">
        <f>IF($A1732="","",COUNTIFS(NOVEDADES!$C$4:$C$1503,$A1732))</f>
        <v/>
      </c>
      <c r="O1732" s="27">
        <f>IF($A1732="","",IF(COUNTIFS(NOVEDADES!$C$4:$C$1503,$A1732,NOVEDADES!$M$4:$M$1503,"SÍ")&gt;0,"No","Sí"))</f>
        <v/>
      </c>
      <c r="P1732" s="27">
        <f>IF(OR($A1732="",$K1732=""),"",IF(AND($M1732="Sí",$O1732="Sí"),"OTIF","Falló"))</f>
        <v/>
      </c>
    </row>
    <row r="1733" ht="16" customHeight="1">
      <c r="A1733" s="47" t="n"/>
      <c r="B1733" s="46" t="n"/>
      <c r="C1733" s="49" t="n"/>
      <c r="D1733" s="49" t="n"/>
      <c r="E1733" s="49" t="n"/>
      <c r="F1733" s="49" t="n"/>
      <c r="G1733" s="47" t="n"/>
      <c r="H1733" s="50" t="n"/>
      <c r="I1733" s="51" t="n"/>
      <c r="J1733" s="46" t="n"/>
      <c r="K1733" s="46" t="n"/>
      <c r="L1733" s="23">
        <f>IF(OR($A1733="",$B1733=""),"",IF($K1733&lt;&gt;"",$K1733-$B1733,TODAY()-$B1733))</f>
        <v/>
      </c>
      <c r="M1733" s="27">
        <f>IF(OR($A1733="",$J1733=""),"",IF($K1733="",IF(TODAY()&gt;$J1733,"Atrasado","En ruta"),IF($K1733&lt;=$J1733,"Sí","No")))</f>
        <v/>
      </c>
      <c r="N1733" s="23">
        <f>IF($A1733="","",COUNTIFS(NOVEDADES!$C$4:$C$1503,$A1733))</f>
        <v/>
      </c>
      <c r="O1733" s="27">
        <f>IF($A1733="","",IF(COUNTIFS(NOVEDADES!$C$4:$C$1503,$A1733,NOVEDADES!$M$4:$M$1503,"SÍ")&gt;0,"No","Sí"))</f>
        <v/>
      </c>
      <c r="P1733" s="27">
        <f>IF(OR($A1733="",$K1733=""),"",IF(AND($M1733="Sí",$O1733="Sí"),"OTIF","Falló"))</f>
        <v/>
      </c>
    </row>
    <row r="1734" ht="16" customHeight="1">
      <c r="A1734" s="47" t="n"/>
      <c r="B1734" s="46" t="n"/>
      <c r="C1734" s="49" t="n"/>
      <c r="D1734" s="49" t="n"/>
      <c r="E1734" s="49" t="n"/>
      <c r="F1734" s="49" t="n"/>
      <c r="G1734" s="47" t="n"/>
      <c r="H1734" s="50" t="n"/>
      <c r="I1734" s="51" t="n"/>
      <c r="J1734" s="46" t="n"/>
      <c r="K1734" s="46" t="n"/>
      <c r="L1734" s="23">
        <f>IF(OR($A1734="",$B1734=""),"",IF($K1734&lt;&gt;"",$K1734-$B1734,TODAY()-$B1734))</f>
        <v/>
      </c>
      <c r="M1734" s="27">
        <f>IF(OR($A1734="",$J1734=""),"",IF($K1734="",IF(TODAY()&gt;$J1734,"Atrasado","En ruta"),IF($K1734&lt;=$J1734,"Sí","No")))</f>
        <v/>
      </c>
      <c r="N1734" s="23">
        <f>IF($A1734="","",COUNTIFS(NOVEDADES!$C$4:$C$1503,$A1734))</f>
        <v/>
      </c>
      <c r="O1734" s="27">
        <f>IF($A1734="","",IF(COUNTIFS(NOVEDADES!$C$4:$C$1503,$A1734,NOVEDADES!$M$4:$M$1503,"SÍ")&gt;0,"No","Sí"))</f>
        <v/>
      </c>
      <c r="P1734" s="27">
        <f>IF(OR($A1734="",$K1734=""),"",IF(AND($M1734="Sí",$O1734="Sí"),"OTIF","Falló"))</f>
        <v/>
      </c>
    </row>
    <row r="1735" ht="16" customHeight="1">
      <c r="A1735" s="47" t="n"/>
      <c r="B1735" s="46" t="n"/>
      <c r="C1735" s="49" t="n"/>
      <c r="D1735" s="49" t="n"/>
      <c r="E1735" s="49" t="n"/>
      <c r="F1735" s="49" t="n"/>
      <c r="G1735" s="47" t="n"/>
      <c r="H1735" s="50" t="n"/>
      <c r="I1735" s="51" t="n"/>
      <c r="J1735" s="46" t="n"/>
      <c r="K1735" s="46" t="n"/>
      <c r="L1735" s="23">
        <f>IF(OR($A1735="",$B1735=""),"",IF($K1735&lt;&gt;"",$K1735-$B1735,TODAY()-$B1735))</f>
        <v/>
      </c>
      <c r="M1735" s="27">
        <f>IF(OR($A1735="",$J1735=""),"",IF($K1735="",IF(TODAY()&gt;$J1735,"Atrasado","En ruta"),IF($K1735&lt;=$J1735,"Sí","No")))</f>
        <v/>
      </c>
      <c r="N1735" s="23">
        <f>IF($A1735="","",COUNTIFS(NOVEDADES!$C$4:$C$1503,$A1735))</f>
        <v/>
      </c>
      <c r="O1735" s="27">
        <f>IF($A1735="","",IF(COUNTIFS(NOVEDADES!$C$4:$C$1503,$A1735,NOVEDADES!$M$4:$M$1503,"SÍ")&gt;0,"No","Sí"))</f>
        <v/>
      </c>
      <c r="P1735" s="27">
        <f>IF(OR($A1735="",$K1735=""),"",IF(AND($M1735="Sí",$O1735="Sí"),"OTIF","Falló"))</f>
        <v/>
      </c>
    </row>
    <row r="1736" ht="16" customHeight="1">
      <c r="A1736" s="47" t="n"/>
      <c r="B1736" s="46" t="n"/>
      <c r="C1736" s="49" t="n"/>
      <c r="D1736" s="49" t="n"/>
      <c r="E1736" s="49" t="n"/>
      <c r="F1736" s="49" t="n"/>
      <c r="G1736" s="47" t="n"/>
      <c r="H1736" s="50" t="n"/>
      <c r="I1736" s="51" t="n"/>
      <c r="J1736" s="46" t="n"/>
      <c r="K1736" s="46" t="n"/>
      <c r="L1736" s="23">
        <f>IF(OR($A1736="",$B1736=""),"",IF($K1736&lt;&gt;"",$K1736-$B1736,TODAY()-$B1736))</f>
        <v/>
      </c>
      <c r="M1736" s="27">
        <f>IF(OR($A1736="",$J1736=""),"",IF($K1736="",IF(TODAY()&gt;$J1736,"Atrasado","En ruta"),IF($K1736&lt;=$J1736,"Sí","No")))</f>
        <v/>
      </c>
      <c r="N1736" s="23">
        <f>IF($A1736="","",COUNTIFS(NOVEDADES!$C$4:$C$1503,$A1736))</f>
        <v/>
      </c>
      <c r="O1736" s="27">
        <f>IF($A1736="","",IF(COUNTIFS(NOVEDADES!$C$4:$C$1503,$A1736,NOVEDADES!$M$4:$M$1503,"SÍ")&gt;0,"No","Sí"))</f>
        <v/>
      </c>
      <c r="P1736" s="27">
        <f>IF(OR($A1736="",$K1736=""),"",IF(AND($M1736="Sí",$O1736="Sí"),"OTIF","Falló"))</f>
        <v/>
      </c>
    </row>
    <row r="1737" ht="16" customHeight="1">
      <c r="A1737" s="47" t="n"/>
      <c r="B1737" s="46" t="n"/>
      <c r="C1737" s="49" t="n"/>
      <c r="D1737" s="49" t="n"/>
      <c r="E1737" s="49" t="n"/>
      <c r="F1737" s="49" t="n"/>
      <c r="G1737" s="47" t="n"/>
      <c r="H1737" s="50" t="n"/>
      <c r="I1737" s="51" t="n"/>
      <c r="J1737" s="46" t="n"/>
      <c r="K1737" s="46" t="n"/>
      <c r="L1737" s="23">
        <f>IF(OR($A1737="",$B1737=""),"",IF($K1737&lt;&gt;"",$K1737-$B1737,TODAY()-$B1737))</f>
        <v/>
      </c>
      <c r="M1737" s="27">
        <f>IF(OR($A1737="",$J1737=""),"",IF($K1737="",IF(TODAY()&gt;$J1737,"Atrasado","En ruta"),IF($K1737&lt;=$J1737,"Sí","No")))</f>
        <v/>
      </c>
      <c r="N1737" s="23">
        <f>IF($A1737="","",COUNTIFS(NOVEDADES!$C$4:$C$1503,$A1737))</f>
        <v/>
      </c>
      <c r="O1737" s="27">
        <f>IF($A1737="","",IF(COUNTIFS(NOVEDADES!$C$4:$C$1503,$A1737,NOVEDADES!$M$4:$M$1503,"SÍ")&gt;0,"No","Sí"))</f>
        <v/>
      </c>
      <c r="P1737" s="27">
        <f>IF(OR($A1737="",$K1737=""),"",IF(AND($M1737="Sí",$O1737="Sí"),"OTIF","Falló"))</f>
        <v/>
      </c>
    </row>
    <row r="1738" ht="16" customHeight="1">
      <c r="A1738" s="47" t="n"/>
      <c r="B1738" s="46" t="n"/>
      <c r="C1738" s="49" t="n"/>
      <c r="D1738" s="49" t="n"/>
      <c r="E1738" s="49" t="n"/>
      <c r="F1738" s="49" t="n"/>
      <c r="G1738" s="47" t="n"/>
      <c r="H1738" s="50" t="n"/>
      <c r="I1738" s="51" t="n"/>
      <c r="J1738" s="46" t="n"/>
      <c r="K1738" s="46" t="n"/>
      <c r="L1738" s="23">
        <f>IF(OR($A1738="",$B1738=""),"",IF($K1738&lt;&gt;"",$K1738-$B1738,TODAY()-$B1738))</f>
        <v/>
      </c>
      <c r="M1738" s="27">
        <f>IF(OR($A1738="",$J1738=""),"",IF($K1738="",IF(TODAY()&gt;$J1738,"Atrasado","En ruta"),IF($K1738&lt;=$J1738,"Sí","No")))</f>
        <v/>
      </c>
      <c r="N1738" s="23">
        <f>IF($A1738="","",COUNTIFS(NOVEDADES!$C$4:$C$1503,$A1738))</f>
        <v/>
      </c>
      <c r="O1738" s="27">
        <f>IF($A1738="","",IF(COUNTIFS(NOVEDADES!$C$4:$C$1503,$A1738,NOVEDADES!$M$4:$M$1503,"SÍ")&gt;0,"No","Sí"))</f>
        <v/>
      </c>
      <c r="P1738" s="27">
        <f>IF(OR($A1738="",$K1738=""),"",IF(AND($M1738="Sí",$O1738="Sí"),"OTIF","Falló"))</f>
        <v/>
      </c>
    </row>
    <row r="1739" ht="16" customHeight="1">
      <c r="A1739" s="47" t="n"/>
      <c r="B1739" s="46" t="n"/>
      <c r="C1739" s="49" t="n"/>
      <c r="D1739" s="49" t="n"/>
      <c r="E1739" s="49" t="n"/>
      <c r="F1739" s="49" t="n"/>
      <c r="G1739" s="47" t="n"/>
      <c r="H1739" s="50" t="n"/>
      <c r="I1739" s="51" t="n"/>
      <c r="J1739" s="46" t="n"/>
      <c r="K1739" s="46" t="n"/>
      <c r="L1739" s="23">
        <f>IF(OR($A1739="",$B1739=""),"",IF($K1739&lt;&gt;"",$K1739-$B1739,TODAY()-$B1739))</f>
        <v/>
      </c>
      <c r="M1739" s="27">
        <f>IF(OR($A1739="",$J1739=""),"",IF($K1739="",IF(TODAY()&gt;$J1739,"Atrasado","En ruta"),IF($K1739&lt;=$J1739,"Sí","No")))</f>
        <v/>
      </c>
      <c r="N1739" s="23">
        <f>IF($A1739="","",COUNTIFS(NOVEDADES!$C$4:$C$1503,$A1739))</f>
        <v/>
      </c>
      <c r="O1739" s="27">
        <f>IF($A1739="","",IF(COUNTIFS(NOVEDADES!$C$4:$C$1503,$A1739,NOVEDADES!$M$4:$M$1503,"SÍ")&gt;0,"No","Sí"))</f>
        <v/>
      </c>
      <c r="P1739" s="27">
        <f>IF(OR($A1739="",$K1739=""),"",IF(AND($M1739="Sí",$O1739="Sí"),"OTIF","Falló"))</f>
        <v/>
      </c>
    </row>
    <row r="1740" ht="16" customHeight="1">
      <c r="A1740" s="47" t="n"/>
      <c r="B1740" s="46" t="n"/>
      <c r="C1740" s="49" t="n"/>
      <c r="D1740" s="49" t="n"/>
      <c r="E1740" s="49" t="n"/>
      <c r="F1740" s="49" t="n"/>
      <c r="G1740" s="47" t="n"/>
      <c r="H1740" s="50" t="n"/>
      <c r="I1740" s="51" t="n"/>
      <c r="J1740" s="46" t="n"/>
      <c r="K1740" s="46" t="n"/>
      <c r="L1740" s="23">
        <f>IF(OR($A1740="",$B1740=""),"",IF($K1740&lt;&gt;"",$K1740-$B1740,TODAY()-$B1740))</f>
        <v/>
      </c>
      <c r="M1740" s="27">
        <f>IF(OR($A1740="",$J1740=""),"",IF($K1740="",IF(TODAY()&gt;$J1740,"Atrasado","En ruta"),IF($K1740&lt;=$J1740,"Sí","No")))</f>
        <v/>
      </c>
      <c r="N1740" s="23">
        <f>IF($A1740="","",COUNTIFS(NOVEDADES!$C$4:$C$1503,$A1740))</f>
        <v/>
      </c>
      <c r="O1740" s="27">
        <f>IF($A1740="","",IF(COUNTIFS(NOVEDADES!$C$4:$C$1503,$A1740,NOVEDADES!$M$4:$M$1503,"SÍ")&gt;0,"No","Sí"))</f>
        <v/>
      </c>
      <c r="P1740" s="27">
        <f>IF(OR($A1740="",$K1740=""),"",IF(AND($M1740="Sí",$O1740="Sí"),"OTIF","Falló"))</f>
        <v/>
      </c>
    </row>
    <row r="1741" ht="16" customHeight="1">
      <c r="A1741" s="47" t="n"/>
      <c r="B1741" s="46" t="n"/>
      <c r="C1741" s="49" t="n"/>
      <c r="D1741" s="49" t="n"/>
      <c r="E1741" s="49" t="n"/>
      <c r="F1741" s="49" t="n"/>
      <c r="G1741" s="47" t="n"/>
      <c r="H1741" s="50" t="n"/>
      <c r="I1741" s="51" t="n"/>
      <c r="J1741" s="46" t="n"/>
      <c r="K1741" s="46" t="n"/>
      <c r="L1741" s="23">
        <f>IF(OR($A1741="",$B1741=""),"",IF($K1741&lt;&gt;"",$K1741-$B1741,TODAY()-$B1741))</f>
        <v/>
      </c>
      <c r="M1741" s="27">
        <f>IF(OR($A1741="",$J1741=""),"",IF($K1741="",IF(TODAY()&gt;$J1741,"Atrasado","En ruta"),IF($K1741&lt;=$J1741,"Sí","No")))</f>
        <v/>
      </c>
      <c r="N1741" s="23">
        <f>IF($A1741="","",COUNTIFS(NOVEDADES!$C$4:$C$1503,$A1741))</f>
        <v/>
      </c>
      <c r="O1741" s="27">
        <f>IF($A1741="","",IF(COUNTIFS(NOVEDADES!$C$4:$C$1503,$A1741,NOVEDADES!$M$4:$M$1503,"SÍ")&gt;0,"No","Sí"))</f>
        <v/>
      </c>
      <c r="P1741" s="27">
        <f>IF(OR($A1741="",$K1741=""),"",IF(AND($M1741="Sí",$O1741="Sí"),"OTIF","Falló"))</f>
        <v/>
      </c>
    </row>
    <row r="1742" ht="16" customHeight="1">
      <c r="A1742" s="47" t="n"/>
      <c r="B1742" s="46" t="n"/>
      <c r="C1742" s="49" t="n"/>
      <c r="D1742" s="49" t="n"/>
      <c r="E1742" s="49" t="n"/>
      <c r="F1742" s="49" t="n"/>
      <c r="G1742" s="47" t="n"/>
      <c r="H1742" s="50" t="n"/>
      <c r="I1742" s="51" t="n"/>
      <c r="J1742" s="46" t="n"/>
      <c r="K1742" s="46" t="n"/>
      <c r="L1742" s="23">
        <f>IF(OR($A1742="",$B1742=""),"",IF($K1742&lt;&gt;"",$K1742-$B1742,TODAY()-$B1742))</f>
        <v/>
      </c>
      <c r="M1742" s="27">
        <f>IF(OR($A1742="",$J1742=""),"",IF($K1742="",IF(TODAY()&gt;$J1742,"Atrasado","En ruta"),IF($K1742&lt;=$J1742,"Sí","No")))</f>
        <v/>
      </c>
      <c r="N1742" s="23">
        <f>IF($A1742="","",COUNTIFS(NOVEDADES!$C$4:$C$1503,$A1742))</f>
        <v/>
      </c>
      <c r="O1742" s="27">
        <f>IF($A1742="","",IF(COUNTIFS(NOVEDADES!$C$4:$C$1503,$A1742,NOVEDADES!$M$4:$M$1503,"SÍ")&gt;0,"No","Sí"))</f>
        <v/>
      </c>
      <c r="P1742" s="27">
        <f>IF(OR($A1742="",$K1742=""),"",IF(AND($M1742="Sí",$O1742="Sí"),"OTIF","Falló"))</f>
        <v/>
      </c>
    </row>
    <row r="1743" ht="16" customHeight="1">
      <c r="A1743" s="47" t="n"/>
      <c r="B1743" s="46" t="n"/>
      <c r="C1743" s="49" t="n"/>
      <c r="D1743" s="49" t="n"/>
      <c r="E1743" s="49" t="n"/>
      <c r="F1743" s="49" t="n"/>
      <c r="G1743" s="47" t="n"/>
      <c r="H1743" s="50" t="n"/>
      <c r="I1743" s="51" t="n"/>
      <c r="J1743" s="46" t="n"/>
      <c r="K1743" s="46" t="n"/>
      <c r="L1743" s="23">
        <f>IF(OR($A1743="",$B1743=""),"",IF($K1743&lt;&gt;"",$K1743-$B1743,TODAY()-$B1743))</f>
        <v/>
      </c>
      <c r="M1743" s="27">
        <f>IF(OR($A1743="",$J1743=""),"",IF($K1743="",IF(TODAY()&gt;$J1743,"Atrasado","En ruta"),IF($K1743&lt;=$J1743,"Sí","No")))</f>
        <v/>
      </c>
      <c r="N1743" s="23">
        <f>IF($A1743="","",COUNTIFS(NOVEDADES!$C$4:$C$1503,$A1743))</f>
        <v/>
      </c>
      <c r="O1743" s="27">
        <f>IF($A1743="","",IF(COUNTIFS(NOVEDADES!$C$4:$C$1503,$A1743,NOVEDADES!$M$4:$M$1503,"SÍ")&gt;0,"No","Sí"))</f>
        <v/>
      </c>
      <c r="P1743" s="27">
        <f>IF(OR($A1743="",$K1743=""),"",IF(AND($M1743="Sí",$O1743="Sí"),"OTIF","Falló"))</f>
        <v/>
      </c>
    </row>
    <row r="1744" ht="16" customHeight="1">
      <c r="A1744" s="47" t="n"/>
      <c r="B1744" s="46" t="n"/>
      <c r="C1744" s="49" t="n"/>
      <c r="D1744" s="49" t="n"/>
      <c r="E1744" s="49" t="n"/>
      <c r="F1744" s="49" t="n"/>
      <c r="G1744" s="47" t="n"/>
      <c r="H1744" s="50" t="n"/>
      <c r="I1744" s="51" t="n"/>
      <c r="J1744" s="46" t="n"/>
      <c r="K1744" s="46" t="n"/>
      <c r="L1744" s="23">
        <f>IF(OR($A1744="",$B1744=""),"",IF($K1744&lt;&gt;"",$K1744-$B1744,TODAY()-$B1744))</f>
        <v/>
      </c>
      <c r="M1744" s="27">
        <f>IF(OR($A1744="",$J1744=""),"",IF($K1744="",IF(TODAY()&gt;$J1744,"Atrasado","En ruta"),IF($K1744&lt;=$J1744,"Sí","No")))</f>
        <v/>
      </c>
      <c r="N1744" s="23">
        <f>IF($A1744="","",COUNTIFS(NOVEDADES!$C$4:$C$1503,$A1744))</f>
        <v/>
      </c>
      <c r="O1744" s="27">
        <f>IF($A1744="","",IF(COUNTIFS(NOVEDADES!$C$4:$C$1503,$A1744,NOVEDADES!$M$4:$M$1503,"SÍ")&gt;0,"No","Sí"))</f>
        <v/>
      </c>
      <c r="P1744" s="27">
        <f>IF(OR($A1744="",$K1744=""),"",IF(AND($M1744="Sí",$O1744="Sí"),"OTIF","Falló"))</f>
        <v/>
      </c>
    </row>
    <row r="1745" ht="16" customHeight="1">
      <c r="A1745" s="47" t="n"/>
      <c r="B1745" s="46" t="n"/>
      <c r="C1745" s="49" t="n"/>
      <c r="D1745" s="49" t="n"/>
      <c r="E1745" s="49" t="n"/>
      <c r="F1745" s="49" t="n"/>
      <c r="G1745" s="47" t="n"/>
      <c r="H1745" s="50" t="n"/>
      <c r="I1745" s="51" t="n"/>
      <c r="J1745" s="46" t="n"/>
      <c r="K1745" s="46" t="n"/>
      <c r="L1745" s="23">
        <f>IF(OR($A1745="",$B1745=""),"",IF($K1745&lt;&gt;"",$K1745-$B1745,TODAY()-$B1745))</f>
        <v/>
      </c>
      <c r="M1745" s="27">
        <f>IF(OR($A1745="",$J1745=""),"",IF($K1745="",IF(TODAY()&gt;$J1745,"Atrasado","En ruta"),IF($K1745&lt;=$J1745,"Sí","No")))</f>
        <v/>
      </c>
      <c r="N1745" s="23">
        <f>IF($A1745="","",COUNTIFS(NOVEDADES!$C$4:$C$1503,$A1745))</f>
        <v/>
      </c>
      <c r="O1745" s="27">
        <f>IF($A1745="","",IF(COUNTIFS(NOVEDADES!$C$4:$C$1503,$A1745,NOVEDADES!$M$4:$M$1503,"SÍ")&gt;0,"No","Sí"))</f>
        <v/>
      </c>
      <c r="P1745" s="27">
        <f>IF(OR($A1745="",$K1745=""),"",IF(AND($M1745="Sí",$O1745="Sí"),"OTIF","Falló"))</f>
        <v/>
      </c>
    </row>
    <row r="1746" ht="16" customHeight="1">
      <c r="A1746" s="47" t="n"/>
      <c r="B1746" s="46" t="n"/>
      <c r="C1746" s="49" t="n"/>
      <c r="D1746" s="49" t="n"/>
      <c r="E1746" s="49" t="n"/>
      <c r="F1746" s="49" t="n"/>
      <c r="G1746" s="47" t="n"/>
      <c r="H1746" s="50" t="n"/>
      <c r="I1746" s="51" t="n"/>
      <c r="J1746" s="46" t="n"/>
      <c r="K1746" s="46" t="n"/>
      <c r="L1746" s="23">
        <f>IF(OR($A1746="",$B1746=""),"",IF($K1746&lt;&gt;"",$K1746-$B1746,TODAY()-$B1746))</f>
        <v/>
      </c>
      <c r="M1746" s="27">
        <f>IF(OR($A1746="",$J1746=""),"",IF($K1746="",IF(TODAY()&gt;$J1746,"Atrasado","En ruta"),IF($K1746&lt;=$J1746,"Sí","No")))</f>
        <v/>
      </c>
      <c r="N1746" s="23">
        <f>IF($A1746="","",COUNTIFS(NOVEDADES!$C$4:$C$1503,$A1746))</f>
        <v/>
      </c>
      <c r="O1746" s="27">
        <f>IF($A1746="","",IF(COUNTIFS(NOVEDADES!$C$4:$C$1503,$A1746,NOVEDADES!$M$4:$M$1503,"SÍ")&gt;0,"No","Sí"))</f>
        <v/>
      </c>
      <c r="P1746" s="27">
        <f>IF(OR($A1746="",$K1746=""),"",IF(AND($M1746="Sí",$O1746="Sí"),"OTIF","Falló"))</f>
        <v/>
      </c>
    </row>
    <row r="1747" ht="16" customHeight="1">
      <c r="A1747" s="47" t="n"/>
      <c r="B1747" s="46" t="n"/>
      <c r="C1747" s="49" t="n"/>
      <c r="D1747" s="49" t="n"/>
      <c r="E1747" s="49" t="n"/>
      <c r="F1747" s="49" t="n"/>
      <c r="G1747" s="47" t="n"/>
      <c r="H1747" s="50" t="n"/>
      <c r="I1747" s="51" t="n"/>
      <c r="J1747" s="46" t="n"/>
      <c r="K1747" s="46" t="n"/>
      <c r="L1747" s="23">
        <f>IF(OR($A1747="",$B1747=""),"",IF($K1747&lt;&gt;"",$K1747-$B1747,TODAY()-$B1747))</f>
        <v/>
      </c>
      <c r="M1747" s="27">
        <f>IF(OR($A1747="",$J1747=""),"",IF($K1747="",IF(TODAY()&gt;$J1747,"Atrasado","En ruta"),IF($K1747&lt;=$J1747,"Sí","No")))</f>
        <v/>
      </c>
      <c r="N1747" s="23">
        <f>IF($A1747="","",COUNTIFS(NOVEDADES!$C$4:$C$1503,$A1747))</f>
        <v/>
      </c>
      <c r="O1747" s="27">
        <f>IF($A1747="","",IF(COUNTIFS(NOVEDADES!$C$4:$C$1503,$A1747,NOVEDADES!$M$4:$M$1503,"SÍ")&gt;0,"No","Sí"))</f>
        <v/>
      </c>
      <c r="P1747" s="27">
        <f>IF(OR($A1747="",$K1747=""),"",IF(AND($M1747="Sí",$O1747="Sí"),"OTIF","Falló"))</f>
        <v/>
      </c>
    </row>
    <row r="1748" ht="16" customHeight="1">
      <c r="A1748" s="47" t="n"/>
      <c r="B1748" s="46" t="n"/>
      <c r="C1748" s="49" t="n"/>
      <c r="D1748" s="49" t="n"/>
      <c r="E1748" s="49" t="n"/>
      <c r="F1748" s="49" t="n"/>
      <c r="G1748" s="47" t="n"/>
      <c r="H1748" s="50" t="n"/>
      <c r="I1748" s="51" t="n"/>
      <c r="J1748" s="46" t="n"/>
      <c r="K1748" s="46" t="n"/>
      <c r="L1748" s="23">
        <f>IF(OR($A1748="",$B1748=""),"",IF($K1748&lt;&gt;"",$K1748-$B1748,TODAY()-$B1748))</f>
        <v/>
      </c>
      <c r="M1748" s="27">
        <f>IF(OR($A1748="",$J1748=""),"",IF($K1748="",IF(TODAY()&gt;$J1748,"Atrasado","En ruta"),IF($K1748&lt;=$J1748,"Sí","No")))</f>
        <v/>
      </c>
      <c r="N1748" s="23">
        <f>IF($A1748="","",COUNTIFS(NOVEDADES!$C$4:$C$1503,$A1748))</f>
        <v/>
      </c>
      <c r="O1748" s="27">
        <f>IF($A1748="","",IF(COUNTIFS(NOVEDADES!$C$4:$C$1503,$A1748,NOVEDADES!$M$4:$M$1503,"SÍ")&gt;0,"No","Sí"))</f>
        <v/>
      </c>
      <c r="P1748" s="27">
        <f>IF(OR($A1748="",$K1748=""),"",IF(AND($M1748="Sí",$O1748="Sí"),"OTIF","Falló"))</f>
        <v/>
      </c>
    </row>
    <row r="1749" ht="16" customHeight="1">
      <c r="A1749" s="47" t="n"/>
      <c r="B1749" s="46" t="n"/>
      <c r="C1749" s="49" t="n"/>
      <c r="D1749" s="49" t="n"/>
      <c r="E1749" s="49" t="n"/>
      <c r="F1749" s="49" t="n"/>
      <c r="G1749" s="47" t="n"/>
      <c r="H1749" s="50" t="n"/>
      <c r="I1749" s="51" t="n"/>
      <c r="J1749" s="46" t="n"/>
      <c r="K1749" s="46" t="n"/>
      <c r="L1749" s="23">
        <f>IF(OR($A1749="",$B1749=""),"",IF($K1749&lt;&gt;"",$K1749-$B1749,TODAY()-$B1749))</f>
        <v/>
      </c>
      <c r="M1749" s="27">
        <f>IF(OR($A1749="",$J1749=""),"",IF($K1749="",IF(TODAY()&gt;$J1749,"Atrasado","En ruta"),IF($K1749&lt;=$J1749,"Sí","No")))</f>
        <v/>
      </c>
      <c r="N1749" s="23">
        <f>IF($A1749="","",COUNTIFS(NOVEDADES!$C$4:$C$1503,$A1749))</f>
        <v/>
      </c>
      <c r="O1749" s="27">
        <f>IF($A1749="","",IF(COUNTIFS(NOVEDADES!$C$4:$C$1503,$A1749,NOVEDADES!$M$4:$M$1503,"SÍ")&gt;0,"No","Sí"))</f>
        <v/>
      </c>
      <c r="P1749" s="27">
        <f>IF(OR($A1749="",$K1749=""),"",IF(AND($M1749="Sí",$O1749="Sí"),"OTIF","Falló"))</f>
        <v/>
      </c>
    </row>
    <row r="1750" ht="16" customHeight="1">
      <c r="A1750" s="47" t="n"/>
      <c r="B1750" s="46" t="n"/>
      <c r="C1750" s="49" t="n"/>
      <c r="D1750" s="49" t="n"/>
      <c r="E1750" s="49" t="n"/>
      <c r="F1750" s="49" t="n"/>
      <c r="G1750" s="47" t="n"/>
      <c r="H1750" s="50" t="n"/>
      <c r="I1750" s="51" t="n"/>
      <c r="J1750" s="46" t="n"/>
      <c r="K1750" s="46" t="n"/>
      <c r="L1750" s="23">
        <f>IF(OR($A1750="",$B1750=""),"",IF($K1750&lt;&gt;"",$K1750-$B1750,TODAY()-$B1750))</f>
        <v/>
      </c>
      <c r="M1750" s="27">
        <f>IF(OR($A1750="",$J1750=""),"",IF($K1750="",IF(TODAY()&gt;$J1750,"Atrasado","En ruta"),IF($K1750&lt;=$J1750,"Sí","No")))</f>
        <v/>
      </c>
      <c r="N1750" s="23">
        <f>IF($A1750="","",COUNTIFS(NOVEDADES!$C$4:$C$1503,$A1750))</f>
        <v/>
      </c>
      <c r="O1750" s="27">
        <f>IF($A1750="","",IF(COUNTIFS(NOVEDADES!$C$4:$C$1503,$A1750,NOVEDADES!$M$4:$M$1503,"SÍ")&gt;0,"No","Sí"))</f>
        <v/>
      </c>
      <c r="P1750" s="27">
        <f>IF(OR($A1750="",$K1750=""),"",IF(AND($M1750="Sí",$O1750="Sí"),"OTIF","Falló"))</f>
        <v/>
      </c>
    </row>
    <row r="1751" ht="16" customHeight="1">
      <c r="A1751" s="47" t="n"/>
      <c r="B1751" s="46" t="n"/>
      <c r="C1751" s="49" t="n"/>
      <c r="D1751" s="49" t="n"/>
      <c r="E1751" s="49" t="n"/>
      <c r="F1751" s="49" t="n"/>
      <c r="G1751" s="47" t="n"/>
      <c r="H1751" s="50" t="n"/>
      <c r="I1751" s="51" t="n"/>
      <c r="J1751" s="46" t="n"/>
      <c r="K1751" s="46" t="n"/>
      <c r="L1751" s="23">
        <f>IF(OR($A1751="",$B1751=""),"",IF($K1751&lt;&gt;"",$K1751-$B1751,TODAY()-$B1751))</f>
        <v/>
      </c>
      <c r="M1751" s="27">
        <f>IF(OR($A1751="",$J1751=""),"",IF($K1751="",IF(TODAY()&gt;$J1751,"Atrasado","En ruta"),IF($K1751&lt;=$J1751,"Sí","No")))</f>
        <v/>
      </c>
      <c r="N1751" s="23">
        <f>IF($A1751="","",COUNTIFS(NOVEDADES!$C$4:$C$1503,$A1751))</f>
        <v/>
      </c>
      <c r="O1751" s="27">
        <f>IF($A1751="","",IF(COUNTIFS(NOVEDADES!$C$4:$C$1503,$A1751,NOVEDADES!$M$4:$M$1503,"SÍ")&gt;0,"No","Sí"))</f>
        <v/>
      </c>
      <c r="P1751" s="27">
        <f>IF(OR($A1751="",$K1751=""),"",IF(AND($M1751="Sí",$O1751="Sí"),"OTIF","Falló"))</f>
        <v/>
      </c>
    </row>
    <row r="1752" ht="16" customHeight="1">
      <c r="A1752" s="47" t="n"/>
      <c r="B1752" s="46" t="n"/>
      <c r="C1752" s="49" t="n"/>
      <c r="D1752" s="49" t="n"/>
      <c r="E1752" s="49" t="n"/>
      <c r="F1752" s="49" t="n"/>
      <c r="G1752" s="47" t="n"/>
      <c r="H1752" s="50" t="n"/>
      <c r="I1752" s="51" t="n"/>
      <c r="J1752" s="46" t="n"/>
      <c r="K1752" s="46" t="n"/>
      <c r="L1752" s="23">
        <f>IF(OR($A1752="",$B1752=""),"",IF($K1752&lt;&gt;"",$K1752-$B1752,TODAY()-$B1752))</f>
        <v/>
      </c>
      <c r="M1752" s="27">
        <f>IF(OR($A1752="",$J1752=""),"",IF($K1752="",IF(TODAY()&gt;$J1752,"Atrasado","En ruta"),IF($K1752&lt;=$J1752,"Sí","No")))</f>
        <v/>
      </c>
      <c r="N1752" s="23">
        <f>IF($A1752="","",COUNTIFS(NOVEDADES!$C$4:$C$1503,$A1752))</f>
        <v/>
      </c>
      <c r="O1752" s="27">
        <f>IF($A1752="","",IF(COUNTIFS(NOVEDADES!$C$4:$C$1503,$A1752,NOVEDADES!$M$4:$M$1503,"SÍ")&gt;0,"No","Sí"))</f>
        <v/>
      </c>
      <c r="P1752" s="27">
        <f>IF(OR($A1752="",$K1752=""),"",IF(AND($M1752="Sí",$O1752="Sí"),"OTIF","Falló"))</f>
        <v/>
      </c>
    </row>
    <row r="1753" ht="16" customHeight="1">
      <c r="A1753" s="47" t="n"/>
      <c r="B1753" s="46" t="n"/>
      <c r="C1753" s="49" t="n"/>
      <c r="D1753" s="49" t="n"/>
      <c r="E1753" s="49" t="n"/>
      <c r="F1753" s="49" t="n"/>
      <c r="G1753" s="47" t="n"/>
      <c r="H1753" s="50" t="n"/>
      <c r="I1753" s="51" t="n"/>
      <c r="J1753" s="46" t="n"/>
      <c r="K1753" s="46" t="n"/>
      <c r="L1753" s="23">
        <f>IF(OR($A1753="",$B1753=""),"",IF($K1753&lt;&gt;"",$K1753-$B1753,TODAY()-$B1753))</f>
        <v/>
      </c>
      <c r="M1753" s="27">
        <f>IF(OR($A1753="",$J1753=""),"",IF($K1753="",IF(TODAY()&gt;$J1753,"Atrasado","En ruta"),IF($K1753&lt;=$J1753,"Sí","No")))</f>
        <v/>
      </c>
      <c r="N1753" s="23">
        <f>IF($A1753="","",COUNTIFS(NOVEDADES!$C$4:$C$1503,$A1753))</f>
        <v/>
      </c>
      <c r="O1753" s="27">
        <f>IF($A1753="","",IF(COUNTIFS(NOVEDADES!$C$4:$C$1503,$A1753,NOVEDADES!$M$4:$M$1503,"SÍ")&gt;0,"No","Sí"))</f>
        <v/>
      </c>
      <c r="P1753" s="27">
        <f>IF(OR($A1753="",$K1753=""),"",IF(AND($M1753="Sí",$O1753="Sí"),"OTIF","Falló"))</f>
        <v/>
      </c>
    </row>
    <row r="1754" ht="16" customHeight="1">
      <c r="A1754" s="47" t="n"/>
      <c r="B1754" s="46" t="n"/>
      <c r="C1754" s="49" t="n"/>
      <c r="D1754" s="49" t="n"/>
      <c r="E1754" s="49" t="n"/>
      <c r="F1754" s="49" t="n"/>
      <c r="G1754" s="47" t="n"/>
      <c r="H1754" s="50" t="n"/>
      <c r="I1754" s="51" t="n"/>
      <c r="J1754" s="46" t="n"/>
      <c r="K1754" s="46" t="n"/>
      <c r="L1754" s="23">
        <f>IF(OR($A1754="",$B1754=""),"",IF($K1754&lt;&gt;"",$K1754-$B1754,TODAY()-$B1754))</f>
        <v/>
      </c>
      <c r="M1754" s="27">
        <f>IF(OR($A1754="",$J1754=""),"",IF($K1754="",IF(TODAY()&gt;$J1754,"Atrasado","En ruta"),IF($K1754&lt;=$J1754,"Sí","No")))</f>
        <v/>
      </c>
      <c r="N1754" s="23">
        <f>IF($A1754="","",COUNTIFS(NOVEDADES!$C$4:$C$1503,$A1754))</f>
        <v/>
      </c>
      <c r="O1754" s="27">
        <f>IF($A1754="","",IF(COUNTIFS(NOVEDADES!$C$4:$C$1503,$A1754,NOVEDADES!$M$4:$M$1503,"SÍ")&gt;0,"No","Sí"))</f>
        <v/>
      </c>
      <c r="P1754" s="27">
        <f>IF(OR($A1754="",$K1754=""),"",IF(AND($M1754="Sí",$O1754="Sí"),"OTIF","Falló"))</f>
        <v/>
      </c>
    </row>
    <row r="1755" ht="16" customHeight="1">
      <c r="A1755" s="47" t="n"/>
      <c r="B1755" s="46" t="n"/>
      <c r="C1755" s="49" t="n"/>
      <c r="D1755" s="49" t="n"/>
      <c r="E1755" s="49" t="n"/>
      <c r="F1755" s="49" t="n"/>
      <c r="G1755" s="47" t="n"/>
      <c r="H1755" s="50" t="n"/>
      <c r="I1755" s="51" t="n"/>
      <c r="J1755" s="46" t="n"/>
      <c r="K1755" s="46" t="n"/>
      <c r="L1755" s="23">
        <f>IF(OR($A1755="",$B1755=""),"",IF($K1755&lt;&gt;"",$K1755-$B1755,TODAY()-$B1755))</f>
        <v/>
      </c>
      <c r="M1755" s="27">
        <f>IF(OR($A1755="",$J1755=""),"",IF($K1755="",IF(TODAY()&gt;$J1755,"Atrasado","En ruta"),IF($K1755&lt;=$J1755,"Sí","No")))</f>
        <v/>
      </c>
      <c r="N1755" s="23">
        <f>IF($A1755="","",COUNTIFS(NOVEDADES!$C$4:$C$1503,$A1755))</f>
        <v/>
      </c>
      <c r="O1755" s="27">
        <f>IF($A1755="","",IF(COUNTIFS(NOVEDADES!$C$4:$C$1503,$A1755,NOVEDADES!$M$4:$M$1503,"SÍ")&gt;0,"No","Sí"))</f>
        <v/>
      </c>
      <c r="P1755" s="27">
        <f>IF(OR($A1755="",$K1755=""),"",IF(AND($M1755="Sí",$O1755="Sí"),"OTIF","Falló"))</f>
        <v/>
      </c>
    </row>
    <row r="1756" ht="16" customHeight="1">
      <c r="A1756" s="47" t="n"/>
      <c r="B1756" s="46" t="n"/>
      <c r="C1756" s="49" t="n"/>
      <c r="D1756" s="49" t="n"/>
      <c r="E1756" s="49" t="n"/>
      <c r="F1756" s="49" t="n"/>
      <c r="G1756" s="47" t="n"/>
      <c r="H1756" s="50" t="n"/>
      <c r="I1756" s="51" t="n"/>
      <c r="J1756" s="46" t="n"/>
      <c r="K1756" s="46" t="n"/>
      <c r="L1756" s="23">
        <f>IF(OR($A1756="",$B1756=""),"",IF($K1756&lt;&gt;"",$K1756-$B1756,TODAY()-$B1756))</f>
        <v/>
      </c>
      <c r="M1756" s="27">
        <f>IF(OR($A1756="",$J1756=""),"",IF($K1756="",IF(TODAY()&gt;$J1756,"Atrasado","En ruta"),IF($K1756&lt;=$J1756,"Sí","No")))</f>
        <v/>
      </c>
      <c r="N1756" s="23">
        <f>IF($A1756="","",COUNTIFS(NOVEDADES!$C$4:$C$1503,$A1756))</f>
        <v/>
      </c>
      <c r="O1756" s="27">
        <f>IF($A1756="","",IF(COUNTIFS(NOVEDADES!$C$4:$C$1503,$A1756,NOVEDADES!$M$4:$M$1503,"SÍ")&gt;0,"No","Sí"))</f>
        <v/>
      </c>
      <c r="P1756" s="27">
        <f>IF(OR($A1756="",$K1756=""),"",IF(AND($M1756="Sí",$O1756="Sí"),"OTIF","Falló"))</f>
        <v/>
      </c>
    </row>
    <row r="1757" ht="16" customHeight="1">
      <c r="A1757" s="47" t="n"/>
      <c r="B1757" s="46" t="n"/>
      <c r="C1757" s="49" t="n"/>
      <c r="D1757" s="49" t="n"/>
      <c r="E1757" s="49" t="n"/>
      <c r="F1757" s="49" t="n"/>
      <c r="G1757" s="47" t="n"/>
      <c r="H1757" s="50" t="n"/>
      <c r="I1757" s="51" t="n"/>
      <c r="J1757" s="46" t="n"/>
      <c r="K1757" s="46" t="n"/>
      <c r="L1757" s="23">
        <f>IF(OR($A1757="",$B1757=""),"",IF($K1757&lt;&gt;"",$K1757-$B1757,TODAY()-$B1757))</f>
        <v/>
      </c>
      <c r="M1757" s="27">
        <f>IF(OR($A1757="",$J1757=""),"",IF($K1757="",IF(TODAY()&gt;$J1757,"Atrasado","En ruta"),IF($K1757&lt;=$J1757,"Sí","No")))</f>
        <v/>
      </c>
      <c r="N1757" s="23">
        <f>IF($A1757="","",COUNTIFS(NOVEDADES!$C$4:$C$1503,$A1757))</f>
        <v/>
      </c>
      <c r="O1757" s="27">
        <f>IF($A1757="","",IF(COUNTIFS(NOVEDADES!$C$4:$C$1503,$A1757,NOVEDADES!$M$4:$M$1503,"SÍ")&gt;0,"No","Sí"))</f>
        <v/>
      </c>
      <c r="P1757" s="27">
        <f>IF(OR($A1757="",$K1757=""),"",IF(AND($M1757="Sí",$O1757="Sí"),"OTIF","Falló"))</f>
        <v/>
      </c>
    </row>
    <row r="1758" ht="16" customHeight="1">
      <c r="A1758" s="47" t="n"/>
      <c r="B1758" s="46" t="n"/>
      <c r="C1758" s="49" t="n"/>
      <c r="D1758" s="49" t="n"/>
      <c r="E1758" s="49" t="n"/>
      <c r="F1758" s="49" t="n"/>
      <c r="G1758" s="47" t="n"/>
      <c r="H1758" s="50" t="n"/>
      <c r="I1758" s="51" t="n"/>
      <c r="J1758" s="46" t="n"/>
      <c r="K1758" s="46" t="n"/>
      <c r="L1758" s="23">
        <f>IF(OR($A1758="",$B1758=""),"",IF($K1758&lt;&gt;"",$K1758-$B1758,TODAY()-$B1758))</f>
        <v/>
      </c>
      <c r="M1758" s="27">
        <f>IF(OR($A1758="",$J1758=""),"",IF($K1758="",IF(TODAY()&gt;$J1758,"Atrasado","En ruta"),IF($K1758&lt;=$J1758,"Sí","No")))</f>
        <v/>
      </c>
      <c r="N1758" s="23">
        <f>IF($A1758="","",COUNTIFS(NOVEDADES!$C$4:$C$1503,$A1758))</f>
        <v/>
      </c>
      <c r="O1758" s="27">
        <f>IF($A1758="","",IF(COUNTIFS(NOVEDADES!$C$4:$C$1503,$A1758,NOVEDADES!$M$4:$M$1503,"SÍ")&gt;0,"No","Sí"))</f>
        <v/>
      </c>
      <c r="P1758" s="27">
        <f>IF(OR($A1758="",$K1758=""),"",IF(AND($M1758="Sí",$O1758="Sí"),"OTIF","Falló"))</f>
        <v/>
      </c>
    </row>
    <row r="1759" ht="16" customHeight="1">
      <c r="A1759" s="47" t="n"/>
      <c r="B1759" s="46" t="n"/>
      <c r="C1759" s="49" t="n"/>
      <c r="D1759" s="49" t="n"/>
      <c r="E1759" s="49" t="n"/>
      <c r="F1759" s="49" t="n"/>
      <c r="G1759" s="47" t="n"/>
      <c r="H1759" s="50" t="n"/>
      <c r="I1759" s="51" t="n"/>
      <c r="J1759" s="46" t="n"/>
      <c r="K1759" s="46" t="n"/>
      <c r="L1759" s="23">
        <f>IF(OR($A1759="",$B1759=""),"",IF($K1759&lt;&gt;"",$K1759-$B1759,TODAY()-$B1759))</f>
        <v/>
      </c>
      <c r="M1759" s="27">
        <f>IF(OR($A1759="",$J1759=""),"",IF($K1759="",IF(TODAY()&gt;$J1759,"Atrasado","En ruta"),IF($K1759&lt;=$J1759,"Sí","No")))</f>
        <v/>
      </c>
      <c r="N1759" s="23">
        <f>IF($A1759="","",COUNTIFS(NOVEDADES!$C$4:$C$1503,$A1759))</f>
        <v/>
      </c>
      <c r="O1759" s="27">
        <f>IF($A1759="","",IF(COUNTIFS(NOVEDADES!$C$4:$C$1503,$A1759,NOVEDADES!$M$4:$M$1503,"SÍ")&gt;0,"No","Sí"))</f>
        <v/>
      </c>
      <c r="P1759" s="27">
        <f>IF(OR($A1759="",$K1759=""),"",IF(AND($M1759="Sí",$O1759="Sí"),"OTIF","Falló"))</f>
        <v/>
      </c>
    </row>
    <row r="1760" ht="16" customHeight="1">
      <c r="A1760" s="47" t="n"/>
      <c r="B1760" s="46" t="n"/>
      <c r="C1760" s="49" t="n"/>
      <c r="D1760" s="49" t="n"/>
      <c r="E1760" s="49" t="n"/>
      <c r="F1760" s="49" t="n"/>
      <c r="G1760" s="47" t="n"/>
      <c r="H1760" s="50" t="n"/>
      <c r="I1760" s="51" t="n"/>
      <c r="J1760" s="46" t="n"/>
      <c r="K1760" s="46" t="n"/>
      <c r="L1760" s="23">
        <f>IF(OR($A1760="",$B1760=""),"",IF($K1760&lt;&gt;"",$K1760-$B1760,TODAY()-$B1760))</f>
        <v/>
      </c>
      <c r="M1760" s="27">
        <f>IF(OR($A1760="",$J1760=""),"",IF($K1760="",IF(TODAY()&gt;$J1760,"Atrasado","En ruta"),IF($K1760&lt;=$J1760,"Sí","No")))</f>
        <v/>
      </c>
      <c r="N1760" s="23">
        <f>IF($A1760="","",COUNTIFS(NOVEDADES!$C$4:$C$1503,$A1760))</f>
        <v/>
      </c>
      <c r="O1760" s="27">
        <f>IF($A1760="","",IF(COUNTIFS(NOVEDADES!$C$4:$C$1503,$A1760,NOVEDADES!$M$4:$M$1503,"SÍ")&gt;0,"No","Sí"))</f>
        <v/>
      </c>
      <c r="P1760" s="27">
        <f>IF(OR($A1760="",$K1760=""),"",IF(AND($M1760="Sí",$O1760="Sí"),"OTIF","Falló"))</f>
        <v/>
      </c>
    </row>
    <row r="1761" ht="16" customHeight="1">
      <c r="A1761" s="47" t="n"/>
      <c r="B1761" s="46" t="n"/>
      <c r="C1761" s="49" t="n"/>
      <c r="D1761" s="49" t="n"/>
      <c r="E1761" s="49" t="n"/>
      <c r="F1761" s="49" t="n"/>
      <c r="G1761" s="47" t="n"/>
      <c r="H1761" s="50" t="n"/>
      <c r="I1761" s="51" t="n"/>
      <c r="J1761" s="46" t="n"/>
      <c r="K1761" s="46" t="n"/>
      <c r="L1761" s="23">
        <f>IF(OR($A1761="",$B1761=""),"",IF($K1761&lt;&gt;"",$K1761-$B1761,TODAY()-$B1761))</f>
        <v/>
      </c>
      <c r="M1761" s="27">
        <f>IF(OR($A1761="",$J1761=""),"",IF($K1761="",IF(TODAY()&gt;$J1761,"Atrasado","En ruta"),IF($K1761&lt;=$J1761,"Sí","No")))</f>
        <v/>
      </c>
      <c r="N1761" s="23">
        <f>IF($A1761="","",COUNTIFS(NOVEDADES!$C$4:$C$1503,$A1761))</f>
        <v/>
      </c>
      <c r="O1761" s="27">
        <f>IF($A1761="","",IF(COUNTIFS(NOVEDADES!$C$4:$C$1503,$A1761,NOVEDADES!$M$4:$M$1503,"SÍ")&gt;0,"No","Sí"))</f>
        <v/>
      </c>
      <c r="P1761" s="27">
        <f>IF(OR($A1761="",$K1761=""),"",IF(AND($M1761="Sí",$O1761="Sí"),"OTIF","Falló"))</f>
        <v/>
      </c>
    </row>
    <row r="1762" ht="16" customHeight="1">
      <c r="A1762" s="47" t="n"/>
      <c r="B1762" s="46" t="n"/>
      <c r="C1762" s="49" t="n"/>
      <c r="D1762" s="49" t="n"/>
      <c r="E1762" s="49" t="n"/>
      <c r="F1762" s="49" t="n"/>
      <c r="G1762" s="47" t="n"/>
      <c r="H1762" s="50" t="n"/>
      <c r="I1762" s="51" t="n"/>
      <c r="J1762" s="46" t="n"/>
      <c r="K1762" s="46" t="n"/>
      <c r="L1762" s="23">
        <f>IF(OR($A1762="",$B1762=""),"",IF($K1762&lt;&gt;"",$K1762-$B1762,TODAY()-$B1762))</f>
        <v/>
      </c>
      <c r="M1762" s="27">
        <f>IF(OR($A1762="",$J1762=""),"",IF($K1762="",IF(TODAY()&gt;$J1762,"Atrasado","En ruta"),IF($K1762&lt;=$J1762,"Sí","No")))</f>
        <v/>
      </c>
      <c r="N1762" s="23">
        <f>IF($A1762="","",COUNTIFS(NOVEDADES!$C$4:$C$1503,$A1762))</f>
        <v/>
      </c>
      <c r="O1762" s="27">
        <f>IF($A1762="","",IF(COUNTIFS(NOVEDADES!$C$4:$C$1503,$A1762,NOVEDADES!$M$4:$M$1503,"SÍ")&gt;0,"No","Sí"))</f>
        <v/>
      </c>
      <c r="P1762" s="27">
        <f>IF(OR($A1762="",$K1762=""),"",IF(AND($M1762="Sí",$O1762="Sí"),"OTIF","Falló"))</f>
        <v/>
      </c>
    </row>
    <row r="1763" ht="16" customHeight="1">
      <c r="A1763" s="47" t="n"/>
      <c r="B1763" s="46" t="n"/>
      <c r="C1763" s="49" t="n"/>
      <c r="D1763" s="49" t="n"/>
      <c r="E1763" s="49" t="n"/>
      <c r="F1763" s="49" t="n"/>
      <c r="G1763" s="47" t="n"/>
      <c r="H1763" s="50" t="n"/>
      <c r="I1763" s="51" t="n"/>
      <c r="J1763" s="46" t="n"/>
      <c r="K1763" s="46" t="n"/>
      <c r="L1763" s="23">
        <f>IF(OR($A1763="",$B1763=""),"",IF($K1763&lt;&gt;"",$K1763-$B1763,TODAY()-$B1763))</f>
        <v/>
      </c>
      <c r="M1763" s="27">
        <f>IF(OR($A1763="",$J1763=""),"",IF($K1763="",IF(TODAY()&gt;$J1763,"Atrasado","En ruta"),IF($K1763&lt;=$J1763,"Sí","No")))</f>
        <v/>
      </c>
      <c r="N1763" s="23">
        <f>IF($A1763="","",COUNTIFS(NOVEDADES!$C$4:$C$1503,$A1763))</f>
        <v/>
      </c>
      <c r="O1763" s="27">
        <f>IF($A1763="","",IF(COUNTIFS(NOVEDADES!$C$4:$C$1503,$A1763,NOVEDADES!$M$4:$M$1503,"SÍ")&gt;0,"No","Sí"))</f>
        <v/>
      </c>
      <c r="P1763" s="27">
        <f>IF(OR($A1763="",$K1763=""),"",IF(AND($M1763="Sí",$O1763="Sí"),"OTIF","Falló"))</f>
        <v/>
      </c>
    </row>
    <row r="1764" ht="16" customHeight="1">
      <c r="A1764" s="47" t="n"/>
      <c r="B1764" s="46" t="n"/>
      <c r="C1764" s="49" t="n"/>
      <c r="D1764" s="49" t="n"/>
      <c r="E1764" s="49" t="n"/>
      <c r="F1764" s="49" t="n"/>
      <c r="G1764" s="47" t="n"/>
      <c r="H1764" s="50" t="n"/>
      <c r="I1764" s="51" t="n"/>
      <c r="J1764" s="46" t="n"/>
      <c r="K1764" s="46" t="n"/>
      <c r="L1764" s="23">
        <f>IF(OR($A1764="",$B1764=""),"",IF($K1764&lt;&gt;"",$K1764-$B1764,TODAY()-$B1764))</f>
        <v/>
      </c>
      <c r="M1764" s="27">
        <f>IF(OR($A1764="",$J1764=""),"",IF($K1764="",IF(TODAY()&gt;$J1764,"Atrasado","En ruta"),IF($K1764&lt;=$J1764,"Sí","No")))</f>
        <v/>
      </c>
      <c r="N1764" s="23">
        <f>IF($A1764="","",COUNTIFS(NOVEDADES!$C$4:$C$1503,$A1764))</f>
        <v/>
      </c>
      <c r="O1764" s="27">
        <f>IF($A1764="","",IF(COUNTIFS(NOVEDADES!$C$4:$C$1503,$A1764,NOVEDADES!$M$4:$M$1503,"SÍ")&gt;0,"No","Sí"))</f>
        <v/>
      </c>
      <c r="P1764" s="27">
        <f>IF(OR($A1764="",$K1764=""),"",IF(AND($M1764="Sí",$O1764="Sí"),"OTIF","Falló"))</f>
        <v/>
      </c>
    </row>
    <row r="1765" ht="16" customHeight="1">
      <c r="A1765" s="47" t="n"/>
      <c r="B1765" s="46" t="n"/>
      <c r="C1765" s="49" t="n"/>
      <c r="D1765" s="49" t="n"/>
      <c r="E1765" s="49" t="n"/>
      <c r="F1765" s="49" t="n"/>
      <c r="G1765" s="47" t="n"/>
      <c r="H1765" s="50" t="n"/>
      <c r="I1765" s="51" t="n"/>
      <c r="J1765" s="46" t="n"/>
      <c r="K1765" s="46" t="n"/>
      <c r="L1765" s="23">
        <f>IF(OR($A1765="",$B1765=""),"",IF($K1765&lt;&gt;"",$K1765-$B1765,TODAY()-$B1765))</f>
        <v/>
      </c>
      <c r="M1765" s="27">
        <f>IF(OR($A1765="",$J1765=""),"",IF($K1765="",IF(TODAY()&gt;$J1765,"Atrasado","En ruta"),IF($K1765&lt;=$J1765,"Sí","No")))</f>
        <v/>
      </c>
      <c r="N1765" s="23">
        <f>IF($A1765="","",COUNTIFS(NOVEDADES!$C$4:$C$1503,$A1765))</f>
        <v/>
      </c>
      <c r="O1765" s="27">
        <f>IF($A1765="","",IF(COUNTIFS(NOVEDADES!$C$4:$C$1503,$A1765,NOVEDADES!$M$4:$M$1503,"SÍ")&gt;0,"No","Sí"))</f>
        <v/>
      </c>
      <c r="P1765" s="27">
        <f>IF(OR($A1765="",$K1765=""),"",IF(AND($M1765="Sí",$O1765="Sí"),"OTIF","Falló"))</f>
        <v/>
      </c>
    </row>
    <row r="1766" ht="16" customHeight="1">
      <c r="A1766" s="47" t="n"/>
      <c r="B1766" s="46" t="n"/>
      <c r="C1766" s="49" t="n"/>
      <c r="D1766" s="49" t="n"/>
      <c r="E1766" s="49" t="n"/>
      <c r="F1766" s="49" t="n"/>
      <c r="G1766" s="47" t="n"/>
      <c r="H1766" s="50" t="n"/>
      <c r="I1766" s="51" t="n"/>
      <c r="J1766" s="46" t="n"/>
      <c r="K1766" s="46" t="n"/>
      <c r="L1766" s="23">
        <f>IF(OR($A1766="",$B1766=""),"",IF($K1766&lt;&gt;"",$K1766-$B1766,TODAY()-$B1766))</f>
        <v/>
      </c>
      <c r="M1766" s="27">
        <f>IF(OR($A1766="",$J1766=""),"",IF($K1766="",IF(TODAY()&gt;$J1766,"Atrasado","En ruta"),IF($K1766&lt;=$J1766,"Sí","No")))</f>
        <v/>
      </c>
      <c r="N1766" s="23">
        <f>IF($A1766="","",COUNTIFS(NOVEDADES!$C$4:$C$1503,$A1766))</f>
        <v/>
      </c>
      <c r="O1766" s="27">
        <f>IF($A1766="","",IF(COUNTIFS(NOVEDADES!$C$4:$C$1503,$A1766,NOVEDADES!$M$4:$M$1503,"SÍ")&gt;0,"No","Sí"))</f>
        <v/>
      </c>
      <c r="P1766" s="27">
        <f>IF(OR($A1766="",$K1766=""),"",IF(AND($M1766="Sí",$O1766="Sí"),"OTIF","Falló"))</f>
        <v/>
      </c>
    </row>
    <row r="1767" ht="16" customHeight="1">
      <c r="A1767" s="47" t="n"/>
      <c r="B1767" s="46" t="n"/>
      <c r="C1767" s="49" t="n"/>
      <c r="D1767" s="49" t="n"/>
      <c r="E1767" s="49" t="n"/>
      <c r="F1767" s="49" t="n"/>
      <c r="G1767" s="47" t="n"/>
      <c r="H1767" s="50" t="n"/>
      <c r="I1767" s="51" t="n"/>
      <c r="J1767" s="46" t="n"/>
      <c r="K1767" s="46" t="n"/>
      <c r="L1767" s="23">
        <f>IF(OR($A1767="",$B1767=""),"",IF($K1767&lt;&gt;"",$K1767-$B1767,TODAY()-$B1767))</f>
        <v/>
      </c>
      <c r="M1767" s="27">
        <f>IF(OR($A1767="",$J1767=""),"",IF($K1767="",IF(TODAY()&gt;$J1767,"Atrasado","En ruta"),IF($K1767&lt;=$J1767,"Sí","No")))</f>
        <v/>
      </c>
      <c r="N1767" s="23">
        <f>IF($A1767="","",COUNTIFS(NOVEDADES!$C$4:$C$1503,$A1767))</f>
        <v/>
      </c>
      <c r="O1767" s="27">
        <f>IF($A1767="","",IF(COUNTIFS(NOVEDADES!$C$4:$C$1503,$A1767,NOVEDADES!$M$4:$M$1503,"SÍ")&gt;0,"No","Sí"))</f>
        <v/>
      </c>
      <c r="P1767" s="27">
        <f>IF(OR($A1767="",$K1767=""),"",IF(AND($M1767="Sí",$O1767="Sí"),"OTIF","Falló"))</f>
        <v/>
      </c>
    </row>
    <row r="1768" ht="16" customHeight="1">
      <c r="A1768" s="47" t="n"/>
      <c r="B1768" s="46" t="n"/>
      <c r="C1768" s="49" t="n"/>
      <c r="D1768" s="49" t="n"/>
      <c r="E1768" s="49" t="n"/>
      <c r="F1768" s="49" t="n"/>
      <c r="G1768" s="47" t="n"/>
      <c r="H1768" s="50" t="n"/>
      <c r="I1768" s="51" t="n"/>
      <c r="J1768" s="46" t="n"/>
      <c r="K1768" s="46" t="n"/>
      <c r="L1768" s="23">
        <f>IF(OR($A1768="",$B1768=""),"",IF($K1768&lt;&gt;"",$K1768-$B1768,TODAY()-$B1768))</f>
        <v/>
      </c>
      <c r="M1768" s="27">
        <f>IF(OR($A1768="",$J1768=""),"",IF($K1768="",IF(TODAY()&gt;$J1768,"Atrasado","En ruta"),IF($K1768&lt;=$J1768,"Sí","No")))</f>
        <v/>
      </c>
      <c r="N1768" s="23">
        <f>IF($A1768="","",COUNTIFS(NOVEDADES!$C$4:$C$1503,$A1768))</f>
        <v/>
      </c>
      <c r="O1768" s="27">
        <f>IF($A1768="","",IF(COUNTIFS(NOVEDADES!$C$4:$C$1503,$A1768,NOVEDADES!$M$4:$M$1503,"SÍ")&gt;0,"No","Sí"))</f>
        <v/>
      </c>
      <c r="P1768" s="27">
        <f>IF(OR($A1768="",$K1768=""),"",IF(AND($M1768="Sí",$O1768="Sí"),"OTIF","Falló"))</f>
        <v/>
      </c>
    </row>
    <row r="1769" ht="16" customHeight="1">
      <c r="A1769" s="47" t="n"/>
      <c r="B1769" s="46" t="n"/>
      <c r="C1769" s="49" t="n"/>
      <c r="D1769" s="49" t="n"/>
      <c r="E1769" s="49" t="n"/>
      <c r="F1769" s="49" t="n"/>
      <c r="G1769" s="47" t="n"/>
      <c r="H1769" s="50" t="n"/>
      <c r="I1769" s="51" t="n"/>
      <c r="J1769" s="46" t="n"/>
      <c r="K1769" s="46" t="n"/>
      <c r="L1769" s="23">
        <f>IF(OR($A1769="",$B1769=""),"",IF($K1769&lt;&gt;"",$K1769-$B1769,TODAY()-$B1769))</f>
        <v/>
      </c>
      <c r="M1769" s="27">
        <f>IF(OR($A1769="",$J1769=""),"",IF($K1769="",IF(TODAY()&gt;$J1769,"Atrasado","En ruta"),IF($K1769&lt;=$J1769,"Sí","No")))</f>
        <v/>
      </c>
      <c r="N1769" s="23">
        <f>IF($A1769="","",COUNTIFS(NOVEDADES!$C$4:$C$1503,$A1769))</f>
        <v/>
      </c>
      <c r="O1769" s="27">
        <f>IF($A1769="","",IF(COUNTIFS(NOVEDADES!$C$4:$C$1503,$A1769,NOVEDADES!$M$4:$M$1503,"SÍ")&gt;0,"No","Sí"))</f>
        <v/>
      </c>
      <c r="P1769" s="27">
        <f>IF(OR($A1769="",$K1769=""),"",IF(AND($M1769="Sí",$O1769="Sí"),"OTIF","Falló"))</f>
        <v/>
      </c>
    </row>
    <row r="1770" ht="16" customHeight="1">
      <c r="A1770" s="47" t="n"/>
      <c r="B1770" s="46" t="n"/>
      <c r="C1770" s="49" t="n"/>
      <c r="D1770" s="49" t="n"/>
      <c r="E1770" s="49" t="n"/>
      <c r="F1770" s="49" t="n"/>
      <c r="G1770" s="47" t="n"/>
      <c r="H1770" s="50" t="n"/>
      <c r="I1770" s="51" t="n"/>
      <c r="J1770" s="46" t="n"/>
      <c r="K1770" s="46" t="n"/>
      <c r="L1770" s="23">
        <f>IF(OR($A1770="",$B1770=""),"",IF($K1770&lt;&gt;"",$K1770-$B1770,TODAY()-$B1770))</f>
        <v/>
      </c>
      <c r="M1770" s="27">
        <f>IF(OR($A1770="",$J1770=""),"",IF($K1770="",IF(TODAY()&gt;$J1770,"Atrasado","En ruta"),IF($K1770&lt;=$J1770,"Sí","No")))</f>
        <v/>
      </c>
      <c r="N1770" s="23">
        <f>IF($A1770="","",COUNTIFS(NOVEDADES!$C$4:$C$1503,$A1770))</f>
        <v/>
      </c>
      <c r="O1770" s="27">
        <f>IF($A1770="","",IF(COUNTIFS(NOVEDADES!$C$4:$C$1503,$A1770,NOVEDADES!$M$4:$M$1503,"SÍ")&gt;0,"No","Sí"))</f>
        <v/>
      </c>
      <c r="P1770" s="27">
        <f>IF(OR($A1770="",$K1770=""),"",IF(AND($M1770="Sí",$O1770="Sí"),"OTIF","Falló"))</f>
        <v/>
      </c>
    </row>
    <row r="1771" ht="16" customHeight="1">
      <c r="A1771" s="47" t="n"/>
      <c r="B1771" s="46" t="n"/>
      <c r="C1771" s="49" t="n"/>
      <c r="D1771" s="49" t="n"/>
      <c r="E1771" s="49" t="n"/>
      <c r="F1771" s="49" t="n"/>
      <c r="G1771" s="47" t="n"/>
      <c r="H1771" s="50" t="n"/>
      <c r="I1771" s="51" t="n"/>
      <c r="J1771" s="46" t="n"/>
      <c r="K1771" s="46" t="n"/>
      <c r="L1771" s="23">
        <f>IF(OR($A1771="",$B1771=""),"",IF($K1771&lt;&gt;"",$K1771-$B1771,TODAY()-$B1771))</f>
        <v/>
      </c>
      <c r="M1771" s="27">
        <f>IF(OR($A1771="",$J1771=""),"",IF($K1771="",IF(TODAY()&gt;$J1771,"Atrasado","En ruta"),IF($K1771&lt;=$J1771,"Sí","No")))</f>
        <v/>
      </c>
      <c r="N1771" s="23">
        <f>IF($A1771="","",COUNTIFS(NOVEDADES!$C$4:$C$1503,$A1771))</f>
        <v/>
      </c>
      <c r="O1771" s="27">
        <f>IF($A1771="","",IF(COUNTIFS(NOVEDADES!$C$4:$C$1503,$A1771,NOVEDADES!$M$4:$M$1503,"SÍ")&gt;0,"No","Sí"))</f>
        <v/>
      </c>
      <c r="P1771" s="27">
        <f>IF(OR($A1771="",$K1771=""),"",IF(AND($M1771="Sí",$O1771="Sí"),"OTIF","Falló"))</f>
        <v/>
      </c>
    </row>
    <row r="1772" ht="16" customHeight="1">
      <c r="A1772" s="47" t="n"/>
      <c r="B1772" s="46" t="n"/>
      <c r="C1772" s="49" t="n"/>
      <c r="D1772" s="49" t="n"/>
      <c r="E1772" s="49" t="n"/>
      <c r="F1772" s="49" t="n"/>
      <c r="G1772" s="47" t="n"/>
      <c r="H1772" s="50" t="n"/>
      <c r="I1772" s="51" t="n"/>
      <c r="J1772" s="46" t="n"/>
      <c r="K1772" s="46" t="n"/>
      <c r="L1772" s="23">
        <f>IF(OR($A1772="",$B1772=""),"",IF($K1772&lt;&gt;"",$K1772-$B1772,TODAY()-$B1772))</f>
        <v/>
      </c>
      <c r="M1772" s="27">
        <f>IF(OR($A1772="",$J1772=""),"",IF($K1772="",IF(TODAY()&gt;$J1772,"Atrasado","En ruta"),IF($K1772&lt;=$J1772,"Sí","No")))</f>
        <v/>
      </c>
      <c r="N1772" s="23">
        <f>IF($A1772="","",COUNTIFS(NOVEDADES!$C$4:$C$1503,$A1772))</f>
        <v/>
      </c>
      <c r="O1772" s="27">
        <f>IF($A1772="","",IF(COUNTIFS(NOVEDADES!$C$4:$C$1503,$A1772,NOVEDADES!$M$4:$M$1503,"SÍ")&gt;0,"No","Sí"))</f>
        <v/>
      </c>
      <c r="P1772" s="27">
        <f>IF(OR($A1772="",$K1772=""),"",IF(AND($M1772="Sí",$O1772="Sí"),"OTIF","Falló"))</f>
        <v/>
      </c>
    </row>
    <row r="1773" ht="16" customHeight="1">
      <c r="A1773" s="47" t="n"/>
      <c r="B1773" s="46" t="n"/>
      <c r="C1773" s="49" t="n"/>
      <c r="D1773" s="49" t="n"/>
      <c r="E1773" s="49" t="n"/>
      <c r="F1773" s="49" t="n"/>
      <c r="G1773" s="47" t="n"/>
      <c r="H1773" s="50" t="n"/>
      <c r="I1773" s="51" t="n"/>
      <c r="J1773" s="46" t="n"/>
      <c r="K1773" s="46" t="n"/>
      <c r="L1773" s="23">
        <f>IF(OR($A1773="",$B1773=""),"",IF($K1773&lt;&gt;"",$K1773-$B1773,TODAY()-$B1773))</f>
        <v/>
      </c>
      <c r="M1773" s="27">
        <f>IF(OR($A1773="",$J1773=""),"",IF($K1773="",IF(TODAY()&gt;$J1773,"Atrasado","En ruta"),IF($K1773&lt;=$J1773,"Sí","No")))</f>
        <v/>
      </c>
      <c r="N1773" s="23">
        <f>IF($A1773="","",COUNTIFS(NOVEDADES!$C$4:$C$1503,$A1773))</f>
        <v/>
      </c>
      <c r="O1773" s="27">
        <f>IF($A1773="","",IF(COUNTIFS(NOVEDADES!$C$4:$C$1503,$A1773,NOVEDADES!$M$4:$M$1503,"SÍ")&gt;0,"No","Sí"))</f>
        <v/>
      </c>
      <c r="P1773" s="27">
        <f>IF(OR($A1773="",$K1773=""),"",IF(AND($M1773="Sí",$O1773="Sí"),"OTIF","Falló"))</f>
        <v/>
      </c>
    </row>
    <row r="1774" ht="16" customHeight="1">
      <c r="A1774" s="47" t="n"/>
      <c r="B1774" s="46" t="n"/>
      <c r="C1774" s="49" t="n"/>
      <c r="D1774" s="49" t="n"/>
      <c r="E1774" s="49" t="n"/>
      <c r="F1774" s="49" t="n"/>
      <c r="G1774" s="47" t="n"/>
      <c r="H1774" s="50" t="n"/>
      <c r="I1774" s="51" t="n"/>
      <c r="J1774" s="46" t="n"/>
      <c r="K1774" s="46" t="n"/>
      <c r="L1774" s="23">
        <f>IF(OR($A1774="",$B1774=""),"",IF($K1774&lt;&gt;"",$K1774-$B1774,TODAY()-$B1774))</f>
        <v/>
      </c>
      <c r="M1774" s="27">
        <f>IF(OR($A1774="",$J1774=""),"",IF($K1774="",IF(TODAY()&gt;$J1774,"Atrasado","En ruta"),IF($K1774&lt;=$J1774,"Sí","No")))</f>
        <v/>
      </c>
      <c r="N1774" s="23">
        <f>IF($A1774="","",COUNTIFS(NOVEDADES!$C$4:$C$1503,$A1774))</f>
        <v/>
      </c>
      <c r="O1774" s="27">
        <f>IF($A1774="","",IF(COUNTIFS(NOVEDADES!$C$4:$C$1503,$A1774,NOVEDADES!$M$4:$M$1503,"SÍ")&gt;0,"No","Sí"))</f>
        <v/>
      </c>
      <c r="P1774" s="27">
        <f>IF(OR($A1774="",$K1774=""),"",IF(AND($M1774="Sí",$O1774="Sí"),"OTIF","Falló"))</f>
        <v/>
      </c>
    </row>
    <row r="1775" ht="16" customHeight="1">
      <c r="A1775" s="47" t="n"/>
      <c r="B1775" s="46" t="n"/>
      <c r="C1775" s="49" t="n"/>
      <c r="D1775" s="49" t="n"/>
      <c r="E1775" s="49" t="n"/>
      <c r="F1775" s="49" t="n"/>
      <c r="G1775" s="47" t="n"/>
      <c r="H1775" s="50" t="n"/>
      <c r="I1775" s="51" t="n"/>
      <c r="J1775" s="46" t="n"/>
      <c r="K1775" s="46" t="n"/>
      <c r="L1775" s="23">
        <f>IF(OR($A1775="",$B1775=""),"",IF($K1775&lt;&gt;"",$K1775-$B1775,TODAY()-$B1775))</f>
        <v/>
      </c>
      <c r="M1775" s="27">
        <f>IF(OR($A1775="",$J1775=""),"",IF($K1775="",IF(TODAY()&gt;$J1775,"Atrasado","En ruta"),IF($K1775&lt;=$J1775,"Sí","No")))</f>
        <v/>
      </c>
      <c r="N1775" s="23">
        <f>IF($A1775="","",COUNTIFS(NOVEDADES!$C$4:$C$1503,$A1775))</f>
        <v/>
      </c>
      <c r="O1775" s="27">
        <f>IF($A1775="","",IF(COUNTIFS(NOVEDADES!$C$4:$C$1503,$A1775,NOVEDADES!$M$4:$M$1503,"SÍ")&gt;0,"No","Sí"))</f>
        <v/>
      </c>
      <c r="P1775" s="27">
        <f>IF(OR($A1775="",$K1775=""),"",IF(AND($M1775="Sí",$O1775="Sí"),"OTIF","Falló"))</f>
        <v/>
      </c>
    </row>
    <row r="1776" ht="16" customHeight="1">
      <c r="A1776" s="47" t="n"/>
      <c r="B1776" s="46" t="n"/>
      <c r="C1776" s="49" t="n"/>
      <c r="D1776" s="49" t="n"/>
      <c r="E1776" s="49" t="n"/>
      <c r="F1776" s="49" t="n"/>
      <c r="G1776" s="47" t="n"/>
      <c r="H1776" s="50" t="n"/>
      <c r="I1776" s="51" t="n"/>
      <c r="J1776" s="46" t="n"/>
      <c r="K1776" s="46" t="n"/>
      <c r="L1776" s="23">
        <f>IF(OR($A1776="",$B1776=""),"",IF($K1776&lt;&gt;"",$K1776-$B1776,TODAY()-$B1776))</f>
        <v/>
      </c>
      <c r="M1776" s="27">
        <f>IF(OR($A1776="",$J1776=""),"",IF($K1776="",IF(TODAY()&gt;$J1776,"Atrasado","En ruta"),IF($K1776&lt;=$J1776,"Sí","No")))</f>
        <v/>
      </c>
      <c r="N1776" s="23">
        <f>IF($A1776="","",COUNTIFS(NOVEDADES!$C$4:$C$1503,$A1776))</f>
        <v/>
      </c>
      <c r="O1776" s="27">
        <f>IF($A1776="","",IF(COUNTIFS(NOVEDADES!$C$4:$C$1503,$A1776,NOVEDADES!$M$4:$M$1503,"SÍ")&gt;0,"No","Sí"))</f>
        <v/>
      </c>
      <c r="P1776" s="27">
        <f>IF(OR($A1776="",$K1776=""),"",IF(AND($M1776="Sí",$O1776="Sí"),"OTIF","Falló"))</f>
        <v/>
      </c>
    </row>
    <row r="1777" ht="16" customHeight="1">
      <c r="A1777" s="47" t="n"/>
      <c r="B1777" s="46" t="n"/>
      <c r="C1777" s="49" t="n"/>
      <c r="D1777" s="49" t="n"/>
      <c r="E1777" s="49" t="n"/>
      <c r="F1777" s="49" t="n"/>
      <c r="G1777" s="47" t="n"/>
      <c r="H1777" s="50" t="n"/>
      <c r="I1777" s="51" t="n"/>
      <c r="J1777" s="46" t="n"/>
      <c r="K1777" s="46" t="n"/>
      <c r="L1777" s="23">
        <f>IF(OR($A1777="",$B1777=""),"",IF($K1777&lt;&gt;"",$K1777-$B1777,TODAY()-$B1777))</f>
        <v/>
      </c>
      <c r="M1777" s="27">
        <f>IF(OR($A1777="",$J1777=""),"",IF($K1777="",IF(TODAY()&gt;$J1777,"Atrasado","En ruta"),IF($K1777&lt;=$J1777,"Sí","No")))</f>
        <v/>
      </c>
      <c r="N1777" s="23">
        <f>IF($A1777="","",COUNTIFS(NOVEDADES!$C$4:$C$1503,$A1777))</f>
        <v/>
      </c>
      <c r="O1777" s="27">
        <f>IF($A1777="","",IF(COUNTIFS(NOVEDADES!$C$4:$C$1503,$A1777,NOVEDADES!$M$4:$M$1503,"SÍ")&gt;0,"No","Sí"))</f>
        <v/>
      </c>
      <c r="P1777" s="27">
        <f>IF(OR($A1777="",$K1777=""),"",IF(AND($M1777="Sí",$O1777="Sí"),"OTIF","Falló"))</f>
        <v/>
      </c>
    </row>
    <row r="1778" ht="16" customHeight="1">
      <c r="A1778" s="47" t="n"/>
      <c r="B1778" s="46" t="n"/>
      <c r="C1778" s="49" t="n"/>
      <c r="D1778" s="49" t="n"/>
      <c r="E1778" s="49" t="n"/>
      <c r="F1778" s="49" t="n"/>
      <c r="G1778" s="47" t="n"/>
      <c r="H1778" s="50" t="n"/>
      <c r="I1778" s="51" t="n"/>
      <c r="J1778" s="46" t="n"/>
      <c r="K1778" s="46" t="n"/>
      <c r="L1778" s="23">
        <f>IF(OR($A1778="",$B1778=""),"",IF($K1778&lt;&gt;"",$K1778-$B1778,TODAY()-$B1778))</f>
        <v/>
      </c>
      <c r="M1778" s="27">
        <f>IF(OR($A1778="",$J1778=""),"",IF($K1778="",IF(TODAY()&gt;$J1778,"Atrasado","En ruta"),IF($K1778&lt;=$J1778,"Sí","No")))</f>
        <v/>
      </c>
      <c r="N1778" s="23">
        <f>IF($A1778="","",COUNTIFS(NOVEDADES!$C$4:$C$1503,$A1778))</f>
        <v/>
      </c>
      <c r="O1778" s="27">
        <f>IF($A1778="","",IF(COUNTIFS(NOVEDADES!$C$4:$C$1503,$A1778,NOVEDADES!$M$4:$M$1503,"SÍ")&gt;0,"No","Sí"))</f>
        <v/>
      </c>
      <c r="P1778" s="27">
        <f>IF(OR($A1778="",$K1778=""),"",IF(AND($M1778="Sí",$O1778="Sí"),"OTIF","Falló"))</f>
        <v/>
      </c>
    </row>
    <row r="1779" ht="16" customHeight="1">
      <c r="A1779" s="47" t="n"/>
      <c r="B1779" s="46" t="n"/>
      <c r="C1779" s="49" t="n"/>
      <c r="D1779" s="49" t="n"/>
      <c r="E1779" s="49" t="n"/>
      <c r="F1779" s="49" t="n"/>
      <c r="G1779" s="47" t="n"/>
      <c r="H1779" s="50" t="n"/>
      <c r="I1779" s="51" t="n"/>
      <c r="J1779" s="46" t="n"/>
      <c r="K1779" s="46" t="n"/>
      <c r="L1779" s="23">
        <f>IF(OR($A1779="",$B1779=""),"",IF($K1779&lt;&gt;"",$K1779-$B1779,TODAY()-$B1779))</f>
        <v/>
      </c>
      <c r="M1779" s="27">
        <f>IF(OR($A1779="",$J1779=""),"",IF($K1779="",IF(TODAY()&gt;$J1779,"Atrasado","En ruta"),IF($K1779&lt;=$J1779,"Sí","No")))</f>
        <v/>
      </c>
      <c r="N1779" s="23">
        <f>IF($A1779="","",COUNTIFS(NOVEDADES!$C$4:$C$1503,$A1779))</f>
        <v/>
      </c>
      <c r="O1779" s="27">
        <f>IF($A1779="","",IF(COUNTIFS(NOVEDADES!$C$4:$C$1503,$A1779,NOVEDADES!$M$4:$M$1503,"SÍ")&gt;0,"No","Sí"))</f>
        <v/>
      </c>
      <c r="P1779" s="27">
        <f>IF(OR($A1779="",$K1779=""),"",IF(AND($M1779="Sí",$O1779="Sí"),"OTIF","Falló"))</f>
        <v/>
      </c>
    </row>
    <row r="1780" ht="16" customHeight="1">
      <c r="A1780" s="47" t="n"/>
      <c r="B1780" s="46" t="n"/>
      <c r="C1780" s="49" t="n"/>
      <c r="D1780" s="49" t="n"/>
      <c r="E1780" s="49" t="n"/>
      <c r="F1780" s="49" t="n"/>
      <c r="G1780" s="47" t="n"/>
      <c r="H1780" s="50" t="n"/>
      <c r="I1780" s="51" t="n"/>
      <c r="J1780" s="46" t="n"/>
      <c r="K1780" s="46" t="n"/>
      <c r="L1780" s="23">
        <f>IF(OR($A1780="",$B1780=""),"",IF($K1780&lt;&gt;"",$K1780-$B1780,TODAY()-$B1780))</f>
        <v/>
      </c>
      <c r="M1780" s="27">
        <f>IF(OR($A1780="",$J1780=""),"",IF($K1780="",IF(TODAY()&gt;$J1780,"Atrasado","En ruta"),IF($K1780&lt;=$J1780,"Sí","No")))</f>
        <v/>
      </c>
      <c r="N1780" s="23">
        <f>IF($A1780="","",COUNTIFS(NOVEDADES!$C$4:$C$1503,$A1780))</f>
        <v/>
      </c>
      <c r="O1780" s="27">
        <f>IF($A1780="","",IF(COUNTIFS(NOVEDADES!$C$4:$C$1503,$A1780,NOVEDADES!$M$4:$M$1503,"SÍ")&gt;0,"No","Sí"))</f>
        <v/>
      </c>
      <c r="P1780" s="27">
        <f>IF(OR($A1780="",$K1780=""),"",IF(AND($M1780="Sí",$O1780="Sí"),"OTIF","Falló"))</f>
        <v/>
      </c>
    </row>
    <row r="1781" ht="16" customHeight="1">
      <c r="A1781" s="47" t="n"/>
      <c r="B1781" s="46" t="n"/>
      <c r="C1781" s="49" t="n"/>
      <c r="D1781" s="49" t="n"/>
      <c r="E1781" s="49" t="n"/>
      <c r="F1781" s="49" t="n"/>
      <c r="G1781" s="47" t="n"/>
      <c r="H1781" s="50" t="n"/>
      <c r="I1781" s="51" t="n"/>
      <c r="J1781" s="46" t="n"/>
      <c r="K1781" s="46" t="n"/>
      <c r="L1781" s="23">
        <f>IF(OR($A1781="",$B1781=""),"",IF($K1781&lt;&gt;"",$K1781-$B1781,TODAY()-$B1781))</f>
        <v/>
      </c>
      <c r="M1781" s="27">
        <f>IF(OR($A1781="",$J1781=""),"",IF($K1781="",IF(TODAY()&gt;$J1781,"Atrasado","En ruta"),IF($K1781&lt;=$J1781,"Sí","No")))</f>
        <v/>
      </c>
      <c r="N1781" s="23">
        <f>IF($A1781="","",COUNTIFS(NOVEDADES!$C$4:$C$1503,$A1781))</f>
        <v/>
      </c>
      <c r="O1781" s="27">
        <f>IF($A1781="","",IF(COUNTIFS(NOVEDADES!$C$4:$C$1503,$A1781,NOVEDADES!$M$4:$M$1503,"SÍ")&gt;0,"No","Sí"))</f>
        <v/>
      </c>
      <c r="P1781" s="27">
        <f>IF(OR($A1781="",$K1781=""),"",IF(AND($M1781="Sí",$O1781="Sí"),"OTIF","Falló"))</f>
        <v/>
      </c>
    </row>
    <row r="1782" ht="16" customHeight="1">
      <c r="A1782" s="47" t="n"/>
      <c r="B1782" s="46" t="n"/>
      <c r="C1782" s="49" t="n"/>
      <c r="D1782" s="49" t="n"/>
      <c r="E1782" s="49" t="n"/>
      <c r="F1782" s="49" t="n"/>
      <c r="G1782" s="47" t="n"/>
      <c r="H1782" s="50" t="n"/>
      <c r="I1782" s="51" t="n"/>
      <c r="J1782" s="46" t="n"/>
      <c r="K1782" s="46" t="n"/>
      <c r="L1782" s="23">
        <f>IF(OR($A1782="",$B1782=""),"",IF($K1782&lt;&gt;"",$K1782-$B1782,TODAY()-$B1782))</f>
        <v/>
      </c>
      <c r="M1782" s="27">
        <f>IF(OR($A1782="",$J1782=""),"",IF($K1782="",IF(TODAY()&gt;$J1782,"Atrasado","En ruta"),IF($K1782&lt;=$J1782,"Sí","No")))</f>
        <v/>
      </c>
      <c r="N1782" s="23">
        <f>IF($A1782="","",COUNTIFS(NOVEDADES!$C$4:$C$1503,$A1782))</f>
        <v/>
      </c>
      <c r="O1782" s="27">
        <f>IF($A1782="","",IF(COUNTIFS(NOVEDADES!$C$4:$C$1503,$A1782,NOVEDADES!$M$4:$M$1503,"SÍ")&gt;0,"No","Sí"))</f>
        <v/>
      </c>
      <c r="P1782" s="27">
        <f>IF(OR($A1782="",$K1782=""),"",IF(AND($M1782="Sí",$O1782="Sí"),"OTIF","Falló"))</f>
        <v/>
      </c>
    </row>
    <row r="1783" ht="16" customHeight="1">
      <c r="A1783" s="47" t="n"/>
      <c r="B1783" s="46" t="n"/>
      <c r="C1783" s="49" t="n"/>
      <c r="D1783" s="49" t="n"/>
      <c r="E1783" s="49" t="n"/>
      <c r="F1783" s="49" t="n"/>
      <c r="G1783" s="47" t="n"/>
      <c r="H1783" s="50" t="n"/>
      <c r="I1783" s="51" t="n"/>
      <c r="J1783" s="46" t="n"/>
      <c r="K1783" s="46" t="n"/>
      <c r="L1783" s="23">
        <f>IF(OR($A1783="",$B1783=""),"",IF($K1783&lt;&gt;"",$K1783-$B1783,TODAY()-$B1783))</f>
        <v/>
      </c>
      <c r="M1783" s="27">
        <f>IF(OR($A1783="",$J1783=""),"",IF($K1783="",IF(TODAY()&gt;$J1783,"Atrasado","En ruta"),IF($K1783&lt;=$J1783,"Sí","No")))</f>
        <v/>
      </c>
      <c r="N1783" s="23">
        <f>IF($A1783="","",COUNTIFS(NOVEDADES!$C$4:$C$1503,$A1783))</f>
        <v/>
      </c>
      <c r="O1783" s="27">
        <f>IF($A1783="","",IF(COUNTIFS(NOVEDADES!$C$4:$C$1503,$A1783,NOVEDADES!$M$4:$M$1503,"SÍ")&gt;0,"No","Sí"))</f>
        <v/>
      </c>
      <c r="P1783" s="27">
        <f>IF(OR($A1783="",$K1783=""),"",IF(AND($M1783="Sí",$O1783="Sí"),"OTIF","Falló"))</f>
        <v/>
      </c>
    </row>
    <row r="1784" ht="16" customHeight="1">
      <c r="A1784" s="47" t="n"/>
      <c r="B1784" s="46" t="n"/>
      <c r="C1784" s="49" t="n"/>
      <c r="D1784" s="49" t="n"/>
      <c r="E1784" s="49" t="n"/>
      <c r="F1784" s="49" t="n"/>
      <c r="G1784" s="47" t="n"/>
      <c r="H1784" s="50" t="n"/>
      <c r="I1784" s="51" t="n"/>
      <c r="J1784" s="46" t="n"/>
      <c r="K1784" s="46" t="n"/>
      <c r="L1784" s="23">
        <f>IF(OR($A1784="",$B1784=""),"",IF($K1784&lt;&gt;"",$K1784-$B1784,TODAY()-$B1784))</f>
        <v/>
      </c>
      <c r="M1784" s="27">
        <f>IF(OR($A1784="",$J1784=""),"",IF($K1784="",IF(TODAY()&gt;$J1784,"Atrasado","En ruta"),IF($K1784&lt;=$J1784,"Sí","No")))</f>
        <v/>
      </c>
      <c r="N1784" s="23">
        <f>IF($A1784="","",COUNTIFS(NOVEDADES!$C$4:$C$1503,$A1784))</f>
        <v/>
      </c>
      <c r="O1784" s="27">
        <f>IF($A1784="","",IF(COUNTIFS(NOVEDADES!$C$4:$C$1503,$A1784,NOVEDADES!$M$4:$M$1503,"SÍ")&gt;0,"No","Sí"))</f>
        <v/>
      </c>
      <c r="P1784" s="27">
        <f>IF(OR($A1784="",$K1784=""),"",IF(AND($M1784="Sí",$O1784="Sí"),"OTIF","Falló"))</f>
        <v/>
      </c>
    </row>
    <row r="1785" ht="16" customHeight="1">
      <c r="A1785" s="47" t="n"/>
      <c r="B1785" s="46" t="n"/>
      <c r="C1785" s="49" t="n"/>
      <c r="D1785" s="49" t="n"/>
      <c r="E1785" s="49" t="n"/>
      <c r="F1785" s="49" t="n"/>
      <c r="G1785" s="47" t="n"/>
      <c r="H1785" s="50" t="n"/>
      <c r="I1785" s="51" t="n"/>
      <c r="J1785" s="46" t="n"/>
      <c r="K1785" s="46" t="n"/>
      <c r="L1785" s="23">
        <f>IF(OR($A1785="",$B1785=""),"",IF($K1785&lt;&gt;"",$K1785-$B1785,TODAY()-$B1785))</f>
        <v/>
      </c>
      <c r="M1785" s="27">
        <f>IF(OR($A1785="",$J1785=""),"",IF($K1785="",IF(TODAY()&gt;$J1785,"Atrasado","En ruta"),IF($K1785&lt;=$J1785,"Sí","No")))</f>
        <v/>
      </c>
      <c r="N1785" s="23">
        <f>IF($A1785="","",COUNTIFS(NOVEDADES!$C$4:$C$1503,$A1785))</f>
        <v/>
      </c>
      <c r="O1785" s="27">
        <f>IF($A1785="","",IF(COUNTIFS(NOVEDADES!$C$4:$C$1503,$A1785,NOVEDADES!$M$4:$M$1503,"SÍ")&gt;0,"No","Sí"))</f>
        <v/>
      </c>
      <c r="P1785" s="27">
        <f>IF(OR($A1785="",$K1785=""),"",IF(AND($M1785="Sí",$O1785="Sí"),"OTIF","Falló"))</f>
        <v/>
      </c>
    </row>
    <row r="1786" ht="16" customHeight="1">
      <c r="A1786" s="47" t="n"/>
      <c r="B1786" s="46" t="n"/>
      <c r="C1786" s="49" t="n"/>
      <c r="D1786" s="49" t="n"/>
      <c r="E1786" s="49" t="n"/>
      <c r="F1786" s="49" t="n"/>
      <c r="G1786" s="47" t="n"/>
      <c r="H1786" s="50" t="n"/>
      <c r="I1786" s="51" t="n"/>
      <c r="J1786" s="46" t="n"/>
      <c r="K1786" s="46" t="n"/>
      <c r="L1786" s="23">
        <f>IF(OR($A1786="",$B1786=""),"",IF($K1786&lt;&gt;"",$K1786-$B1786,TODAY()-$B1786))</f>
        <v/>
      </c>
      <c r="M1786" s="27">
        <f>IF(OR($A1786="",$J1786=""),"",IF($K1786="",IF(TODAY()&gt;$J1786,"Atrasado","En ruta"),IF($K1786&lt;=$J1786,"Sí","No")))</f>
        <v/>
      </c>
      <c r="N1786" s="23">
        <f>IF($A1786="","",COUNTIFS(NOVEDADES!$C$4:$C$1503,$A1786))</f>
        <v/>
      </c>
      <c r="O1786" s="27">
        <f>IF($A1786="","",IF(COUNTIFS(NOVEDADES!$C$4:$C$1503,$A1786,NOVEDADES!$M$4:$M$1503,"SÍ")&gt;0,"No","Sí"))</f>
        <v/>
      </c>
      <c r="P1786" s="27">
        <f>IF(OR($A1786="",$K1786=""),"",IF(AND($M1786="Sí",$O1786="Sí"),"OTIF","Falló"))</f>
        <v/>
      </c>
    </row>
    <row r="1787" ht="16" customHeight="1">
      <c r="A1787" s="47" t="n"/>
      <c r="B1787" s="46" t="n"/>
      <c r="C1787" s="49" t="n"/>
      <c r="D1787" s="49" t="n"/>
      <c r="E1787" s="49" t="n"/>
      <c r="F1787" s="49" t="n"/>
      <c r="G1787" s="47" t="n"/>
      <c r="H1787" s="50" t="n"/>
      <c r="I1787" s="51" t="n"/>
      <c r="J1787" s="46" t="n"/>
      <c r="K1787" s="46" t="n"/>
      <c r="L1787" s="23">
        <f>IF(OR($A1787="",$B1787=""),"",IF($K1787&lt;&gt;"",$K1787-$B1787,TODAY()-$B1787))</f>
        <v/>
      </c>
      <c r="M1787" s="27">
        <f>IF(OR($A1787="",$J1787=""),"",IF($K1787="",IF(TODAY()&gt;$J1787,"Atrasado","En ruta"),IF($K1787&lt;=$J1787,"Sí","No")))</f>
        <v/>
      </c>
      <c r="N1787" s="23">
        <f>IF($A1787="","",COUNTIFS(NOVEDADES!$C$4:$C$1503,$A1787))</f>
        <v/>
      </c>
      <c r="O1787" s="27">
        <f>IF($A1787="","",IF(COUNTIFS(NOVEDADES!$C$4:$C$1503,$A1787,NOVEDADES!$M$4:$M$1503,"SÍ")&gt;0,"No","Sí"))</f>
        <v/>
      </c>
      <c r="P1787" s="27">
        <f>IF(OR($A1787="",$K1787=""),"",IF(AND($M1787="Sí",$O1787="Sí"),"OTIF","Falló"))</f>
        <v/>
      </c>
    </row>
    <row r="1788" ht="16" customHeight="1">
      <c r="A1788" s="47" t="n"/>
      <c r="B1788" s="46" t="n"/>
      <c r="C1788" s="49" t="n"/>
      <c r="D1788" s="49" t="n"/>
      <c r="E1788" s="49" t="n"/>
      <c r="F1788" s="49" t="n"/>
      <c r="G1788" s="47" t="n"/>
      <c r="H1788" s="50" t="n"/>
      <c r="I1788" s="51" t="n"/>
      <c r="J1788" s="46" t="n"/>
      <c r="K1788" s="46" t="n"/>
      <c r="L1788" s="23">
        <f>IF(OR($A1788="",$B1788=""),"",IF($K1788&lt;&gt;"",$K1788-$B1788,TODAY()-$B1788))</f>
        <v/>
      </c>
      <c r="M1788" s="27">
        <f>IF(OR($A1788="",$J1788=""),"",IF($K1788="",IF(TODAY()&gt;$J1788,"Atrasado","En ruta"),IF($K1788&lt;=$J1788,"Sí","No")))</f>
        <v/>
      </c>
      <c r="N1788" s="23">
        <f>IF($A1788="","",COUNTIFS(NOVEDADES!$C$4:$C$1503,$A1788))</f>
        <v/>
      </c>
      <c r="O1788" s="27">
        <f>IF($A1788="","",IF(COUNTIFS(NOVEDADES!$C$4:$C$1503,$A1788,NOVEDADES!$M$4:$M$1503,"SÍ")&gt;0,"No","Sí"))</f>
        <v/>
      </c>
      <c r="P1788" s="27">
        <f>IF(OR($A1788="",$K1788=""),"",IF(AND($M1788="Sí",$O1788="Sí"),"OTIF","Falló"))</f>
        <v/>
      </c>
    </row>
    <row r="1789" ht="16" customHeight="1">
      <c r="A1789" s="47" t="n"/>
      <c r="B1789" s="46" t="n"/>
      <c r="C1789" s="49" t="n"/>
      <c r="D1789" s="49" t="n"/>
      <c r="E1789" s="49" t="n"/>
      <c r="F1789" s="49" t="n"/>
      <c r="G1789" s="47" t="n"/>
      <c r="H1789" s="50" t="n"/>
      <c r="I1789" s="51" t="n"/>
      <c r="J1789" s="46" t="n"/>
      <c r="K1789" s="46" t="n"/>
      <c r="L1789" s="23">
        <f>IF(OR($A1789="",$B1789=""),"",IF($K1789&lt;&gt;"",$K1789-$B1789,TODAY()-$B1789))</f>
        <v/>
      </c>
      <c r="M1789" s="27">
        <f>IF(OR($A1789="",$J1789=""),"",IF($K1789="",IF(TODAY()&gt;$J1789,"Atrasado","En ruta"),IF($K1789&lt;=$J1789,"Sí","No")))</f>
        <v/>
      </c>
      <c r="N1789" s="23">
        <f>IF($A1789="","",COUNTIFS(NOVEDADES!$C$4:$C$1503,$A1789))</f>
        <v/>
      </c>
      <c r="O1789" s="27">
        <f>IF($A1789="","",IF(COUNTIFS(NOVEDADES!$C$4:$C$1503,$A1789,NOVEDADES!$M$4:$M$1503,"SÍ")&gt;0,"No","Sí"))</f>
        <v/>
      </c>
      <c r="P1789" s="27">
        <f>IF(OR($A1789="",$K1789=""),"",IF(AND($M1789="Sí",$O1789="Sí"),"OTIF","Falló"))</f>
        <v/>
      </c>
    </row>
    <row r="1790" ht="16" customHeight="1">
      <c r="A1790" s="47" t="n"/>
      <c r="B1790" s="46" t="n"/>
      <c r="C1790" s="49" t="n"/>
      <c r="D1790" s="49" t="n"/>
      <c r="E1790" s="49" t="n"/>
      <c r="F1790" s="49" t="n"/>
      <c r="G1790" s="47" t="n"/>
      <c r="H1790" s="50" t="n"/>
      <c r="I1790" s="51" t="n"/>
      <c r="J1790" s="46" t="n"/>
      <c r="K1790" s="46" t="n"/>
      <c r="L1790" s="23">
        <f>IF(OR($A1790="",$B1790=""),"",IF($K1790&lt;&gt;"",$K1790-$B1790,TODAY()-$B1790))</f>
        <v/>
      </c>
      <c r="M1790" s="27">
        <f>IF(OR($A1790="",$J1790=""),"",IF($K1790="",IF(TODAY()&gt;$J1790,"Atrasado","En ruta"),IF($K1790&lt;=$J1790,"Sí","No")))</f>
        <v/>
      </c>
      <c r="N1790" s="23">
        <f>IF($A1790="","",COUNTIFS(NOVEDADES!$C$4:$C$1503,$A1790))</f>
        <v/>
      </c>
      <c r="O1790" s="27">
        <f>IF($A1790="","",IF(COUNTIFS(NOVEDADES!$C$4:$C$1503,$A1790,NOVEDADES!$M$4:$M$1503,"SÍ")&gt;0,"No","Sí"))</f>
        <v/>
      </c>
      <c r="P1790" s="27">
        <f>IF(OR($A1790="",$K1790=""),"",IF(AND($M1790="Sí",$O1790="Sí"),"OTIF","Falló"))</f>
        <v/>
      </c>
    </row>
    <row r="1791" ht="16" customHeight="1">
      <c r="A1791" s="47" t="n"/>
      <c r="B1791" s="46" t="n"/>
      <c r="C1791" s="49" t="n"/>
      <c r="D1791" s="49" t="n"/>
      <c r="E1791" s="49" t="n"/>
      <c r="F1791" s="49" t="n"/>
      <c r="G1791" s="47" t="n"/>
      <c r="H1791" s="50" t="n"/>
      <c r="I1791" s="51" t="n"/>
      <c r="J1791" s="46" t="n"/>
      <c r="K1791" s="46" t="n"/>
      <c r="L1791" s="23">
        <f>IF(OR($A1791="",$B1791=""),"",IF($K1791&lt;&gt;"",$K1791-$B1791,TODAY()-$B1791))</f>
        <v/>
      </c>
      <c r="M1791" s="27">
        <f>IF(OR($A1791="",$J1791=""),"",IF($K1791="",IF(TODAY()&gt;$J1791,"Atrasado","En ruta"),IF($K1791&lt;=$J1791,"Sí","No")))</f>
        <v/>
      </c>
      <c r="N1791" s="23">
        <f>IF($A1791="","",COUNTIFS(NOVEDADES!$C$4:$C$1503,$A1791))</f>
        <v/>
      </c>
      <c r="O1791" s="27">
        <f>IF($A1791="","",IF(COUNTIFS(NOVEDADES!$C$4:$C$1503,$A1791,NOVEDADES!$M$4:$M$1503,"SÍ")&gt;0,"No","Sí"))</f>
        <v/>
      </c>
      <c r="P1791" s="27">
        <f>IF(OR($A1791="",$K1791=""),"",IF(AND($M1791="Sí",$O1791="Sí"),"OTIF","Falló"))</f>
        <v/>
      </c>
    </row>
    <row r="1792" ht="16" customHeight="1">
      <c r="A1792" s="47" t="n"/>
      <c r="B1792" s="46" t="n"/>
      <c r="C1792" s="49" t="n"/>
      <c r="D1792" s="49" t="n"/>
      <c r="E1792" s="49" t="n"/>
      <c r="F1792" s="49" t="n"/>
      <c r="G1792" s="47" t="n"/>
      <c r="H1792" s="50" t="n"/>
      <c r="I1792" s="51" t="n"/>
      <c r="J1792" s="46" t="n"/>
      <c r="K1792" s="46" t="n"/>
      <c r="L1792" s="23">
        <f>IF(OR($A1792="",$B1792=""),"",IF($K1792&lt;&gt;"",$K1792-$B1792,TODAY()-$B1792))</f>
        <v/>
      </c>
      <c r="M1792" s="27">
        <f>IF(OR($A1792="",$J1792=""),"",IF($K1792="",IF(TODAY()&gt;$J1792,"Atrasado","En ruta"),IF($K1792&lt;=$J1792,"Sí","No")))</f>
        <v/>
      </c>
      <c r="N1792" s="23">
        <f>IF($A1792="","",COUNTIFS(NOVEDADES!$C$4:$C$1503,$A1792))</f>
        <v/>
      </c>
      <c r="O1792" s="27">
        <f>IF($A1792="","",IF(COUNTIFS(NOVEDADES!$C$4:$C$1503,$A1792,NOVEDADES!$M$4:$M$1503,"SÍ")&gt;0,"No","Sí"))</f>
        <v/>
      </c>
      <c r="P1792" s="27">
        <f>IF(OR($A1792="",$K1792=""),"",IF(AND($M1792="Sí",$O1792="Sí"),"OTIF","Falló"))</f>
        <v/>
      </c>
    </row>
    <row r="1793" ht="16" customHeight="1">
      <c r="A1793" s="47" t="n"/>
      <c r="B1793" s="46" t="n"/>
      <c r="C1793" s="49" t="n"/>
      <c r="D1793" s="49" t="n"/>
      <c r="E1793" s="49" t="n"/>
      <c r="F1793" s="49" t="n"/>
      <c r="G1793" s="47" t="n"/>
      <c r="H1793" s="50" t="n"/>
      <c r="I1793" s="51" t="n"/>
      <c r="J1793" s="46" t="n"/>
      <c r="K1793" s="46" t="n"/>
      <c r="L1793" s="23">
        <f>IF(OR($A1793="",$B1793=""),"",IF($K1793&lt;&gt;"",$K1793-$B1793,TODAY()-$B1793))</f>
        <v/>
      </c>
      <c r="M1793" s="27">
        <f>IF(OR($A1793="",$J1793=""),"",IF($K1793="",IF(TODAY()&gt;$J1793,"Atrasado","En ruta"),IF($K1793&lt;=$J1793,"Sí","No")))</f>
        <v/>
      </c>
      <c r="N1793" s="23">
        <f>IF($A1793="","",COUNTIFS(NOVEDADES!$C$4:$C$1503,$A1793))</f>
        <v/>
      </c>
      <c r="O1793" s="27">
        <f>IF($A1793="","",IF(COUNTIFS(NOVEDADES!$C$4:$C$1503,$A1793,NOVEDADES!$M$4:$M$1503,"SÍ")&gt;0,"No","Sí"))</f>
        <v/>
      </c>
      <c r="P1793" s="27">
        <f>IF(OR($A1793="",$K1793=""),"",IF(AND($M1793="Sí",$O1793="Sí"),"OTIF","Falló"))</f>
        <v/>
      </c>
    </row>
    <row r="1794" ht="16" customHeight="1">
      <c r="A1794" s="47" t="n"/>
      <c r="B1794" s="46" t="n"/>
      <c r="C1794" s="49" t="n"/>
      <c r="D1794" s="49" t="n"/>
      <c r="E1794" s="49" t="n"/>
      <c r="F1794" s="49" t="n"/>
      <c r="G1794" s="47" t="n"/>
      <c r="H1794" s="50" t="n"/>
      <c r="I1794" s="51" t="n"/>
      <c r="J1794" s="46" t="n"/>
      <c r="K1794" s="46" t="n"/>
      <c r="L1794" s="23">
        <f>IF(OR($A1794="",$B1794=""),"",IF($K1794&lt;&gt;"",$K1794-$B1794,TODAY()-$B1794))</f>
        <v/>
      </c>
      <c r="M1794" s="27">
        <f>IF(OR($A1794="",$J1794=""),"",IF($K1794="",IF(TODAY()&gt;$J1794,"Atrasado","En ruta"),IF($K1794&lt;=$J1794,"Sí","No")))</f>
        <v/>
      </c>
      <c r="N1794" s="23">
        <f>IF($A1794="","",COUNTIFS(NOVEDADES!$C$4:$C$1503,$A1794))</f>
        <v/>
      </c>
      <c r="O1794" s="27">
        <f>IF($A1794="","",IF(COUNTIFS(NOVEDADES!$C$4:$C$1503,$A1794,NOVEDADES!$M$4:$M$1503,"SÍ")&gt;0,"No","Sí"))</f>
        <v/>
      </c>
      <c r="P1794" s="27">
        <f>IF(OR($A1794="",$K1794=""),"",IF(AND($M1794="Sí",$O1794="Sí"),"OTIF","Falló"))</f>
        <v/>
      </c>
    </row>
    <row r="1795" ht="16" customHeight="1">
      <c r="A1795" s="47" t="n"/>
      <c r="B1795" s="46" t="n"/>
      <c r="C1795" s="49" t="n"/>
      <c r="D1795" s="49" t="n"/>
      <c r="E1795" s="49" t="n"/>
      <c r="F1795" s="49" t="n"/>
      <c r="G1795" s="47" t="n"/>
      <c r="H1795" s="50" t="n"/>
      <c r="I1795" s="51" t="n"/>
      <c r="J1795" s="46" t="n"/>
      <c r="K1795" s="46" t="n"/>
      <c r="L1795" s="23">
        <f>IF(OR($A1795="",$B1795=""),"",IF($K1795&lt;&gt;"",$K1795-$B1795,TODAY()-$B1795))</f>
        <v/>
      </c>
      <c r="M1795" s="27">
        <f>IF(OR($A1795="",$J1795=""),"",IF($K1795="",IF(TODAY()&gt;$J1795,"Atrasado","En ruta"),IF($K1795&lt;=$J1795,"Sí","No")))</f>
        <v/>
      </c>
      <c r="N1795" s="23">
        <f>IF($A1795="","",COUNTIFS(NOVEDADES!$C$4:$C$1503,$A1795))</f>
        <v/>
      </c>
      <c r="O1795" s="27">
        <f>IF($A1795="","",IF(COUNTIFS(NOVEDADES!$C$4:$C$1503,$A1795,NOVEDADES!$M$4:$M$1503,"SÍ")&gt;0,"No","Sí"))</f>
        <v/>
      </c>
      <c r="P1795" s="27">
        <f>IF(OR($A1795="",$K1795=""),"",IF(AND($M1795="Sí",$O1795="Sí"),"OTIF","Falló"))</f>
        <v/>
      </c>
    </row>
    <row r="1796" ht="16" customHeight="1">
      <c r="A1796" s="47" t="n"/>
      <c r="B1796" s="46" t="n"/>
      <c r="C1796" s="49" t="n"/>
      <c r="D1796" s="49" t="n"/>
      <c r="E1796" s="49" t="n"/>
      <c r="F1796" s="49" t="n"/>
      <c r="G1796" s="47" t="n"/>
      <c r="H1796" s="50" t="n"/>
      <c r="I1796" s="51" t="n"/>
      <c r="J1796" s="46" t="n"/>
      <c r="K1796" s="46" t="n"/>
      <c r="L1796" s="23">
        <f>IF(OR($A1796="",$B1796=""),"",IF($K1796&lt;&gt;"",$K1796-$B1796,TODAY()-$B1796))</f>
        <v/>
      </c>
      <c r="M1796" s="27">
        <f>IF(OR($A1796="",$J1796=""),"",IF($K1796="",IF(TODAY()&gt;$J1796,"Atrasado","En ruta"),IF($K1796&lt;=$J1796,"Sí","No")))</f>
        <v/>
      </c>
      <c r="N1796" s="23">
        <f>IF($A1796="","",COUNTIFS(NOVEDADES!$C$4:$C$1503,$A1796))</f>
        <v/>
      </c>
      <c r="O1796" s="27">
        <f>IF($A1796="","",IF(COUNTIFS(NOVEDADES!$C$4:$C$1503,$A1796,NOVEDADES!$M$4:$M$1503,"SÍ")&gt;0,"No","Sí"))</f>
        <v/>
      </c>
      <c r="P1796" s="27">
        <f>IF(OR($A1796="",$K1796=""),"",IF(AND($M1796="Sí",$O1796="Sí"),"OTIF","Falló"))</f>
        <v/>
      </c>
    </row>
    <row r="1797" ht="16" customHeight="1">
      <c r="A1797" s="47" t="n"/>
      <c r="B1797" s="46" t="n"/>
      <c r="C1797" s="49" t="n"/>
      <c r="D1797" s="49" t="n"/>
      <c r="E1797" s="49" t="n"/>
      <c r="F1797" s="49" t="n"/>
      <c r="G1797" s="47" t="n"/>
      <c r="H1797" s="50" t="n"/>
      <c r="I1797" s="51" t="n"/>
      <c r="J1797" s="46" t="n"/>
      <c r="K1797" s="46" t="n"/>
      <c r="L1797" s="23">
        <f>IF(OR($A1797="",$B1797=""),"",IF($K1797&lt;&gt;"",$K1797-$B1797,TODAY()-$B1797))</f>
        <v/>
      </c>
      <c r="M1797" s="27">
        <f>IF(OR($A1797="",$J1797=""),"",IF($K1797="",IF(TODAY()&gt;$J1797,"Atrasado","En ruta"),IF($K1797&lt;=$J1797,"Sí","No")))</f>
        <v/>
      </c>
      <c r="N1797" s="23">
        <f>IF($A1797="","",COUNTIFS(NOVEDADES!$C$4:$C$1503,$A1797))</f>
        <v/>
      </c>
      <c r="O1797" s="27">
        <f>IF($A1797="","",IF(COUNTIFS(NOVEDADES!$C$4:$C$1503,$A1797,NOVEDADES!$M$4:$M$1503,"SÍ")&gt;0,"No","Sí"))</f>
        <v/>
      </c>
      <c r="P1797" s="27">
        <f>IF(OR($A1797="",$K1797=""),"",IF(AND($M1797="Sí",$O1797="Sí"),"OTIF","Falló"))</f>
        <v/>
      </c>
    </row>
    <row r="1798" ht="16" customHeight="1">
      <c r="A1798" s="47" t="n"/>
      <c r="B1798" s="46" t="n"/>
      <c r="C1798" s="49" t="n"/>
      <c r="D1798" s="49" t="n"/>
      <c r="E1798" s="49" t="n"/>
      <c r="F1798" s="49" t="n"/>
      <c r="G1798" s="47" t="n"/>
      <c r="H1798" s="50" t="n"/>
      <c r="I1798" s="51" t="n"/>
      <c r="J1798" s="46" t="n"/>
      <c r="K1798" s="46" t="n"/>
      <c r="L1798" s="23">
        <f>IF(OR($A1798="",$B1798=""),"",IF($K1798&lt;&gt;"",$K1798-$B1798,TODAY()-$B1798))</f>
        <v/>
      </c>
      <c r="M1798" s="27">
        <f>IF(OR($A1798="",$J1798=""),"",IF($K1798="",IF(TODAY()&gt;$J1798,"Atrasado","En ruta"),IF($K1798&lt;=$J1798,"Sí","No")))</f>
        <v/>
      </c>
      <c r="N1798" s="23">
        <f>IF($A1798="","",COUNTIFS(NOVEDADES!$C$4:$C$1503,$A1798))</f>
        <v/>
      </c>
      <c r="O1798" s="27">
        <f>IF($A1798="","",IF(COUNTIFS(NOVEDADES!$C$4:$C$1503,$A1798,NOVEDADES!$M$4:$M$1503,"SÍ")&gt;0,"No","Sí"))</f>
        <v/>
      </c>
      <c r="P1798" s="27">
        <f>IF(OR($A1798="",$K1798=""),"",IF(AND($M1798="Sí",$O1798="Sí"),"OTIF","Falló"))</f>
        <v/>
      </c>
    </row>
    <row r="1799" ht="16" customHeight="1">
      <c r="A1799" s="47" t="n"/>
      <c r="B1799" s="46" t="n"/>
      <c r="C1799" s="49" t="n"/>
      <c r="D1799" s="49" t="n"/>
      <c r="E1799" s="49" t="n"/>
      <c r="F1799" s="49" t="n"/>
      <c r="G1799" s="47" t="n"/>
      <c r="H1799" s="50" t="n"/>
      <c r="I1799" s="51" t="n"/>
      <c r="J1799" s="46" t="n"/>
      <c r="K1799" s="46" t="n"/>
      <c r="L1799" s="23">
        <f>IF(OR($A1799="",$B1799=""),"",IF($K1799&lt;&gt;"",$K1799-$B1799,TODAY()-$B1799))</f>
        <v/>
      </c>
      <c r="M1799" s="27">
        <f>IF(OR($A1799="",$J1799=""),"",IF($K1799="",IF(TODAY()&gt;$J1799,"Atrasado","En ruta"),IF($K1799&lt;=$J1799,"Sí","No")))</f>
        <v/>
      </c>
      <c r="N1799" s="23">
        <f>IF($A1799="","",COUNTIFS(NOVEDADES!$C$4:$C$1503,$A1799))</f>
        <v/>
      </c>
      <c r="O1799" s="27">
        <f>IF($A1799="","",IF(COUNTIFS(NOVEDADES!$C$4:$C$1503,$A1799,NOVEDADES!$M$4:$M$1503,"SÍ")&gt;0,"No","Sí"))</f>
        <v/>
      </c>
      <c r="P1799" s="27">
        <f>IF(OR($A1799="",$K1799=""),"",IF(AND($M1799="Sí",$O1799="Sí"),"OTIF","Falló"))</f>
        <v/>
      </c>
    </row>
    <row r="1800" ht="16" customHeight="1">
      <c r="A1800" s="47" t="n"/>
      <c r="B1800" s="46" t="n"/>
      <c r="C1800" s="49" t="n"/>
      <c r="D1800" s="49" t="n"/>
      <c r="E1800" s="49" t="n"/>
      <c r="F1800" s="49" t="n"/>
      <c r="G1800" s="47" t="n"/>
      <c r="H1800" s="50" t="n"/>
      <c r="I1800" s="51" t="n"/>
      <c r="J1800" s="46" t="n"/>
      <c r="K1800" s="46" t="n"/>
      <c r="L1800" s="23">
        <f>IF(OR($A1800="",$B1800=""),"",IF($K1800&lt;&gt;"",$K1800-$B1800,TODAY()-$B1800))</f>
        <v/>
      </c>
      <c r="M1800" s="27">
        <f>IF(OR($A1800="",$J1800=""),"",IF($K1800="",IF(TODAY()&gt;$J1800,"Atrasado","En ruta"),IF($K1800&lt;=$J1800,"Sí","No")))</f>
        <v/>
      </c>
      <c r="N1800" s="23">
        <f>IF($A1800="","",COUNTIFS(NOVEDADES!$C$4:$C$1503,$A1800))</f>
        <v/>
      </c>
      <c r="O1800" s="27">
        <f>IF($A1800="","",IF(COUNTIFS(NOVEDADES!$C$4:$C$1503,$A1800,NOVEDADES!$M$4:$M$1503,"SÍ")&gt;0,"No","Sí"))</f>
        <v/>
      </c>
      <c r="P1800" s="27">
        <f>IF(OR($A1800="",$K1800=""),"",IF(AND($M1800="Sí",$O1800="Sí"),"OTIF","Falló"))</f>
        <v/>
      </c>
    </row>
    <row r="1801" ht="16" customHeight="1">
      <c r="A1801" s="47" t="n"/>
      <c r="B1801" s="46" t="n"/>
      <c r="C1801" s="49" t="n"/>
      <c r="D1801" s="49" t="n"/>
      <c r="E1801" s="49" t="n"/>
      <c r="F1801" s="49" t="n"/>
      <c r="G1801" s="47" t="n"/>
      <c r="H1801" s="50" t="n"/>
      <c r="I1801" s="51" t="n"/>
      <c r="J1801" s="46" t="n"/>
      <c r="K1801" s="46" t="n"/>
      <c r="L1801" s="23">
        <f>IF(OR($A1801="",$B1801=""),"",IF($K1801&lt;&gt;"",$K1801-$B1801,TODAY()-$B1801))</f>
        <v/>
      </c>
      <c r="M1801" s="27">
        <f>IF(OR($A1801="",$J1801=""),"",IF($K1801="",IF(TODAY()&gt;$J1801,"Atrasado","En ruta"),IF($K1801&lt;=$J1801,"Sí","No")))</f>
        <v/>
      </c>
      <c r="N1801" s="23">
        <f>IF($A1801="","",COUNTIFS(NOVEDADES!$C$4:$C$1503,$A1801))</f>
        <v/>
      </c>
      <c r="O1801" s="27">
        <f>IF($A1801="","",IF(COUNTIFS(NOVEDADES!$C$4:$C$1503,$A1801,NOVEDADES!$M$4:$M$1503,"SÍ")&gt;0,"No","Sí"))</f>
        <v/>
      </c>
      <c r="P1801" s="27">
        <f>IF(OR($A1801="",$K1801=""),"",IF(AND($M1801="Sí",$O1801="Sí"),"OTIF","Falló"))</f>
        <v/>
      </c>
    </row>
    <row r="1802" ht="16" customHeight="1">
      <c r="A1802" s="47" t="n"/>
      <c r="B1802" s="46" t="n"/>
      <c r="C1802" s="49" t="n"/>
      <c r="D1802" s="49" t="n"/>
      <c r="E1802" s="49" t="n"/>
      <c r="F1802" s="49" t="n"/>
      <c r="G1802" s="47" t="n"/>
      <c r="H1802" s="50" t="n"/>
      <c r="I1802" s="51" t="n"/>
      <c r="J1802" s="46" t="n"/>
      <c r="K1802" s="46" t="n"/>
      <c r="L1802" s="23">
        <f>IF(OR($A1802="",$B1802=""),"",IF($K1802&lt;&gt;"",$K1802-$B1802,TODAY()-$B1802))</f>
        <v/>
      </c>
      <c r="M1802" s="27">
        <f>IF(OR($A1802="",$J1802=""),"",IF($K1802="",IF(TODAY()&gt;$J1802,"Atrasado","En ruta"),IF($K1802&lt;=$J1802,"Sí","No")))</f>
        <v/>
      </c>
      <c r="N1802" s="23">
        <f>IF($A1802="","",COUNTIFS(NOVEDADES!$C$4:$C$1503,$A1802))</f>
        <v/>
      </c>
      <c r="O1802" s="27">
        <f>IF($A1802="","",IF(COUNTIFS(NOVEDADES!$C$4:$C$1503,$A1802,NOVEDADES!$M$4:$M$1503,"SÍ")&gt;0,"No","Sí"))</f>
        <v/>
      </c>
      <c r="P1802" s="27">
        <f>IF(OR($A1802="",$K1802=""),"",IF(AND($M1802="Sí",$O1802="Sí"),"OTIF","Falló"))</f>
        <v/>
      </c>
    </row>
    <row r="1803" ht="16" customHeight="1">
      <c r="A1803" s="47" t="n"/>
      <c r="B1803" s="46" t="n"/>
      <c r="C1803" s="49" t="n"/>
      <c r="D1803" s="49" t="n"/>
      <c r="E1803" s="49" t="n"/>
      <c r="F1803" s="49" t="n"/>
      <c r="G1803" s="47" t="n"/>
      <c r="H1803" s="50" t="n"/>
      <c r="I1803" s="51" t="n"/>
      <c r="J1803" s="46" t="n"/>
      <c r="K1803" s="46" t="n"/>
      <c r="L1803" s="23">
        <f>IF(OR($A1803="",$B1803=""),"",IF($K1803&lt;&gt;"",$K1803-$B1803,TODAY()-$B1803))</f>
        <v/>
      </c>
      <c r="M1803" s="27">
        <f>IF(OR($A1803="",$J1803=""),"",IF($K1803="",IF(TODAY()&gt;$J1803,"Atrasado","En ruta"),IF($K1803&lt;=$J1803,"Sí","No")))</f>
        <v/>
      </c>
      <c r="N1803" s="23">
        <f>IF($A1803="","",COUNTIFS(NOVEDADES!$C$4:$C$1503,$A1803))</f>
        <v/>
      </c>
      <c r="O1803" s="27">
        <f>IF($A1803="","",IF(COUNTIFS(NOVEDADES!$C$4:$C$1503,$A1803,NOVEDADES!$M$4:$M$1503,"SÍ")&gt;0,"No","Sí"))</f>
        <v/>
      </c>
      <c r="P1803" s="27">
        <f>IF(OR($A1803="",$K1803=""),"",IF(AND($M1803="Sí",$O1803="Sí"),"OTIF","Falló"))</f>
        <v/>
      </c>
    </row>
    <row r="1804" ht="16" customHeight="1">
      <c r="A1804" s="47" t="n"/>
      <c r="B1804" s="46" t="n"/>
      <c r="C1804" s="49" t="n"/>
      <c r="D1804" s="49" t="n"/>
      <c r="E1804" s="49" t="n"/>
      <c r="F1804" s="49" t="n"/>
      <c r="G1804" s="47" t="n"/>
      <c r="H1804" s="50" t="n"/>
      <c r="I1804" s="51" t="n"/>
      <c r="J1804" s="46" t="n"/>
      <c r="K1804" s="46" t="n"/>
      <c r="L1804" s="23">
        <f>IF(OR($A1804="",$B1804=""),"",IF($K1804&lt;&gt;"",$K1804-$B1804,TODAY()-$B1804))</f>
        <v/>
      </c>
      <c r="M1804" s="27">
        <f>IF(OR($A1804="",$J1804=""),"",IF($K1804="",IF(TODAY()&gt;$J1804,"Atrasado","En ruta"),IF($K1804&lt;=$J1804,"Sí","No")))</f>
        <v/>
      </c>
      <c r="N1804" s="23">
        <f>IF($A1804="","",COUNTIFS(NOVEDADES!$C$4:$C$1503,$A1804))</f>
        <v/>
      </c>
      <c r="O1804" s="27">
        <f>IF($A1804="","",IF(COUNTIFS(NOVEDADES!$C$4:$C$1503,$A1804,NOVEDADES!$M$4:$M$1503,"SÍ")&gt;0,"No","Sí"))</f>
        <v/>
      </c>
      <c r="P1804" s="27">
        <f>IF(OR($A1804="",$K1804=""),"",IF(AND($M1804="Sí",$O1804="Sí"),"OTIF","Falló"))</f>
        <v/>
      </c>
    </row>
    <row r="1805" ht="16" customHeight="1">
      <c r="A1805" s="47" t="n"/>
      <c r="B1805" s="46" t="n"/>
      <c r="C1805" s="49" t="n"/>
      <c r="D1805" s="49" t="n"/>
      <c r="E1805" s="49" t="n"/>
      <c r="F1805" s="49" t="n"/>
      <c r="G1805" s="47" t="n"/>
      <c r="H1805" s="50" t="n"/>
      <c r="I1805" s="51" t="n"/>
      <c r="J1805" s="46" t="n"/>
      <c r="K1805" s="46" t="n"/>
      <c r="L1805" s="23">
        <f>IF(OR($A1805="",$B1805=""),"",IF($K1805&lt;&gt;"",$K1805-$B1805,TODAY()-$B1805))</f>
        <v/>
      </c>
      <c r="M1805" s="27">
        <f>IF(OR($A1805="",$J1805=""),"",IF($K1805="",IF(TODAY()&gt;$J1805,"Atrasado","En ruta"),IF($K1805&lt;=$J1805,"Sí","No")))</f>
        <v/>
      </c>
      <c r="N1805" s="23">
        <f>IF($A1805="","",COUNTIFS(NOVEDADES!$C$4:$C$1503,$A1805))</f>
        <v/>
      </c>
      <c r="O1805" s="27">
        <f>IF($A1805="","",IF(COUNTIFS(NOVEDADES!$C$4:$C$1503,$A1805,NOVEDADES!$M$4:$M$1503,"SÍ")&gt;0,"No","Sí"))</f>
        <v/>
      </c>
      <c r="P1805" s="27">
        <f>IF(OR($A1805="",$K1805=""),"",IF(AND($M1805="Sí",$O1805="Sí"),"OTIF","Falló"))</f>
        <v/>
      </c>
    </row>
    <row r="1806" ht="16" customHeight="1">
      <c r="A1806" s="47" t="n"/>
      <c r="B1806" s="46" t="n"/>
      <c r="C1806" s="49" t="n"/>
      <c r="D1806" s="49" t="n"/>
      <c r="E1806" s="49" t="n"/>
      <c r="F1806" s="49" t="n"/>
      <c r="G1806" s="47" t="n"/>
      <c r="H1806" s="50" t="n"/>
      <c r="I1806" s="51" t="n"/>
      <c r="J1806" s="46" t="n"/>
      <c r="K1806" s="46" t="n"/>
      <c r="L1806" s="23">
        <f>IF(OR($A1806="",$B1806=""),"",IF($K1806&lt;&gt;"",$K1806-$B1806,TODAY()-$B1806))</f>
        <v/>
      </c>
      <c r="M1806" s="27">
        <f>IF(OR($A1806="",$J1806=""),"",IF($K1806="",IF(TODAY()&gt;$J1806,"Atrasado","En ruta"),IF($K1806&lt;=$J1806,"Sí","No")))</f>
        <v/>
      </c>
      <c r="N1806" s="23">
        <f>IF($A1806="","",COUNTIFS(NOVEDADES!$C$4:$C$1503,$A1806))</f>
        <v/>
      </c>
      <c r="O1806" s="27">
        <f>IF($A1806="","",IF(COUNTIFS(NOVEDADES!$C$4:$C$1503,$A1806,NOVEDADES!$M$4:$M$1503,"SÍ")&gt;0,"No","Sí"))</f>
        <v/>
      </c>
      <c r="P1806" s="27">
        <f>IF(OR($A1806="",$K1806=""),"",IF(AND($M1806="Sí",$O1806="Sí"),"OTIF","Falló"))</f>
        <v/>
      </c>
    </row>
    <row r="1807" ht="16" customHeight="1">
      <c r="A1807" s="47" t="n"/>
      <c r="B1807" s="46" t="n"/>
      <c r="C1807" s="49" t="n"/>
      <c r="D1807" s="49" t="n"/>
      <c r="E1807" s="49" t="n"/>
      <c r="F1807" s="49" t="n"/>
      <c r="G1807" s="47" t="n"/>
      <c r="H1807" s="50" t="n"/>
      <c r="I1807" s="51" t="n"/>
      <c r="J1807" s="46" t="n"/>
      <c r="K1807" s="46" t="n"/>
      <c r="L1807" s="23">
        <f>IF(OR($A1807="",$B1807=""),"",IF($K1807&lt;&gt;"",$K1807-$B1807,TODAY()-$B1807))</f>
        <v/>
      </c>
      <c r="M1807" s="27">
        <f>IF(OR($A1807="",$J1807=""),"",IF($K1807="",IF(TODAY()&gt;$J1807,"Atrasado","En ruta"),IF($K1807&lt;=$J1807,"Sí","No")))</f>
        <v/>
      </c>
      <c r="N1807" s="23">
        <f>IF($A1807="","",COUNTIFS(NOVEDADES!$C$4:$C$1503,$A1807))</f>
        <v/>
      </c>
      <c r="O1807" s="27">
        <f>IF($A1807="","",IF(COUNTIFS(NOVEDADES!$C$4:$C$1503,$A1807,NOVEDADES!$M$4:$M$1503,"SÍ")&gt;0,"No","Sí"))</f>
        <v/>
      </c>
      <c r="P1807" s="27">
        <f>IF(OR($A1807="",$K1807=""),"",IF(AND($M1807="Sí",$O1807="Sí"),"OTIF","Falló"))</f>
        <v/>
      </c>
    </row>
    <row r="1808" ht="16" customHeight="1">
      <c r="A1808" s="47" t="n"/>
      <c r="B1808" s="46" t="n"/>
      <c r="C1808" s="49" t="n"/>
      <c r="D1808" s="49" t="n"/>
      <c r="E1808" s="49" t="n"/>
      <c r="F1808" s="49" t="n"/>
      <c r="G1808" s="47" t="n"/>
      <c r="H1808" s="50" t="n"/>
      <c r="I1808" s="51" t="n"/>
      <c r="J1808" s="46" t="n"/>
      <c r="K1808" s="46" t="n"/>
      <c r="L1808" s="23">
        <f>IF(OR($A1808="",$B1808=""),"",IF($K1808&lt;&gt;"",$K1808-$B1808,TODAY()-$B1808))</f>
        <v/>
      </c>
      <c r="M1808" s="27">
        <f>IF(OR($A1808="",$J1808=""),"",IF($K1808="",IF(TODAY()&gt;$J1808,"Atrasado","En ruta"),IF($K1808&lt;=$J1808,"Sí","No")))</f>
        <v/>
      </c>
      <c r="N1808" s="23">
        <f>IF($A1808="","",COUNTIFS(NOVEDADES!$C$4:$C$1503,$A1808))</f>
        <v/>
      </c>
      <c r="O1808" s="27">
        <f>IF($A1808="","",IF(COUNTIFS(NOVEDADES!$C$4:$C$1503,$A1808,NOVEDADES!$M$4:$M$1503,"SÍ")&gt;0,"No","Sí"))</f>
        <v/>
      </c>
      <c r="P1808" s="27">
        <f>IF(OR($A1808="",$K1808=""),"",IF(AND($M1808="Sí",$O1808="Sí"),"OTIF","Falló"))</f>
        <v/>
      </c>
    </row>
    <row r="1809" ht="16" customHeight="1">
      <c r="A1809" s="47" t="n"/>
      <c r="B1809" s="46" t="n"/>
      <c r="C1809" s="49" t="n"/>
      <c r="D1809" s="49" t="n"/>
      <c r="E1809" s="49" t="n"/>
      <c r="F1809" s="49" t="n"/>
      <c r="G1809" s="47" t="n"/>
      <c r="H1809" s="50" t="n"/>
      <c r="I1809" s="51" t="n"/>
      <c r="J1809" s="46" t="n"/>
      <c r="K1809" s="46" t="n"/>
      <c r="L1809" s="23">
        <f>IF(OR($A1809="",$B1809=""),"",IF($K1809&lt;&gt;"",$K1809-$B1809,TODAY()-$B1809))</f>
        <v/>
      </c>
      <c r="M1809" s="27">
        <f>IF(OR($A1809="",$J1809=""),"",IF($K1809="",IF(TODAY()&gt;$J1809,"Atrasado","En ruta"),IF($K1809&lt;=$J1809,"Sí","No")))</f>
        <v/>
      </c>
      <c r="N1809" s="23">
        <f>IF($A1809="","",COUNTIFS(NOVEDADES!$C$4:$C$1503,$A1809))</f>
        <v/>
      </c>
      <c r="O1809" s="27">
        <f>IF($A1809="","",IF(COUNTIFS(NOVEDADES!$C$4:$C$1503,$A1809,NOVEDADES!$M$4:$M$1503,"SÍ")&gt;0,"No","Sí"))</f>
        <v/>
      </c>
      <c r="P1809" s="27">
        <f>IF(OR($A1809="",$K1809=""),"",IF(AND($M1809="Sí",$O1809="Sí"),"OTIF","Falló"))</f>
        <v/>
      </c>
    </row>
    <row r="1810" ht="16" customHeight="1">
      <c r="A1810" s="47" t="n"/>
      <c r="B1810" s="46" t="n"/>
      <c r="C1810" s="49" t="n"/>
      <c r="D1810" s="49" t="n"/>
      <c r="E1810" s="49" t="n"/>
      <c r="F1810" s="49" t="n"/>
      <c r="G1810" s="47" t="n"/>
      <c r="H1810" s="50" t="n"/>
      <c r="I1810" s="51" t="n"/>
      <c r="J1810" s="46" t="n"/>
      <c r="K1810" s="46" t="n"/>
      <c r="L1810" s="23">
        <f>IF(OR($A1810="",$B1810=""),"",IF($K1810&lt;&gt;"",$K1810-$B1810,TODAY()-$B1810))</f>
        <v/>
      </c>
      <c r="M1810" s="27">
        <f>IF(OR($A1810="",$J1810=""),"",IF($K1810="",IF(TODAY()&gt;$J1810,"Atrasado","En ruta"),IF($K1810&lt;=$J1810,"Sí","No")))</f>
        <v/>
      </c>
      <c r="N1810" s="23">
        <f>IF($A1810="","",COUNTIFS(NOVEDADES!$C$4:$C$1503,$A1810))</f>
        <v/>
      </c>
      <c r="O1810" s="27">
        <f>IF($A1810="","",IF(COUNTIFS(NOVEDADES!$C$4:$C$1503,$A1810,NOVEDADES!$M$4:$M$1503,"SÍ")&gt;0,"No","Sí"))</f>
        <v/>
      </c>
      <c r="P1810" s="27">
        <f>IF(OR($A1810="",$K1810=""),"",IF(AND($M1810="Sí",$O1810="Sí"),"OTIF","Falló"))</f>
        <v/>
      </c>
    </row>
    <row r="1811" ht="16" customHeight="1">
      <c r="A1811" s="47" t="n"/>
      <c r="B1811" s="46" t="n"/>
      <c r="C1811" s="49" t="n"/>
      <c r="D1811" s="49" t="n"/>
      <c r="E1811" s="49" t="n"/>
      <c r="F1811" s="49" t="n"/>
      <c r="G1811" s="47" t="n"/>
      <c r="H1811" s="50" t="n"/>
      <c r="I1811" s="51" t="n"/>
      <c r="J1811" s="46" t="n"/>
      <c r="K1811" s="46" t="n"/>
      <c r="L1811" s="23">
        <f>IF(OR($A1811="",$B1811=""),"",IF($K1811&lt;&gt;"",$K1811-$B1811,TODAY()-$B1811))</f>
        <v/>
      </c>
      <c r="M1811" s="27">
        <f>IF(OR($A1811="",$J1811=""),"",IF($K1811="",IF(TODAY()&gt;$J1811,"Atrasado","En ruta"),IF($K1811&lt;=$J1811,"Sí","No")))</f>
        <v/>
      </c>
      <c r="N1811" s="23">
        <f>IF($A1811="","",COUNTIFS(NOVEDADES!$C$4:$C$1503,$A1811))</f>
        <v/>
      </c>
      <c r="O1811" s="27">
        <f>IF($A1811="","",IF(COUNTIFS(NOVEDADES!$C$4:$C$1503,$A1811,NOVEDADES!$M$4:$M$1503,"SÍ")&gt;0,"No","Sí"))</f>
        <v/>
      </c>
      <c r="P1811" s="27">
        <f>IF(OR($A1811="",$K1811=""),"",IF(AND($M1811="Sí",$O1811="Sí"),"OTIF","Falló"))</f>
        <v/>
      </c>
    </row>
    <row r="1812" ht="16" customHeight="1">
      <c r="A1812" s="47" t="n"/>
      <c r="B1812" s="46" t="n"/>
      <c r="C1812" s="49" t="n"/>
      <c r="D1812" s="49" t="n"/>
      <c r="E1812" s="49" t="n"/>
      <c r="F1812" s="49" t="n"/>
      <c r="G1812" s="47" t="n"/>
      <c r="H1812" s="50" t="n"/>
      <c r="I1812" s="51" t="n"/>
      <c r="J1812" s="46" t="n"/>
      <c r="K1812" s="46" t="n"/>
      <c r="L1812" s="23">
        <f>IF(OR($A1812="",$B1812=""),"",IF($K1812&lt;&gt;"",$K1812-$B1812,TODAY()-$B1812))</f>
        <v/>
      </c>
      <c r="M1812" s="27">
        <f>IF(OR($A1812="",$J1812=""),"",IF($K1812="",IF(TODAY()&gt;$J1812,"Atrasado","En ruta"),IF($K1812&lt;=$J1812,"Sí","No")))</f>
        <v/>
      </c>
      <c r="N1812" s="23">
        <f>IF($A1812="","",COUNTIFS(NOVEDADES!$C$4:$C$1503,$A1812))</f>
        <v/>
      </c>
      <c r="O1812" s="27">
        <f>IF($A1812="","",IF(COUNTIFS(NOVEDADES!$C$4:$C$1503,$A1812,NOVEDADES!$M$4:$M$1503,"SÍ")&gt;0,"No","Sí"))</f>
        <v/>
      </c>
      <c r="P1812" s="27">
        <f>IF(OR($A1812="",$K1812=""),"",IF(AND($M1812="Sí",$O1812="Sí"),"OTIF","Falló"))</f>
        <v/>
      </c>
    </row>
    <row r="1813" ht="16" customHeight="1">
      <c r="A1813" s="47" t="n"/>
      <c r="B1813" s="46" t="n"/>
      <c r="C1813" s="49" t="n"/>
      <c r="D1813" s="49" t="n"/>
      <c r="E1813" s="49" t="n"/>
      <c r="F1813" s="49" t="n"/>
      <c r="G1813" s="47" t="n"/>
      <c r="H1813" s="50" t="n"/>
      <c r="I1813" s="51" t="n"/>
      <c r="J1813" s="46" t="n"/>
      <c r="K1813" s="46" t="n"/>
      <c r="L1813" s="23">
        <f>IF(OR($A1813="",$B1813=""),"",IF($K1813&lt;&gt;"",$K1813-$B1813,TODAY()-$B1813))</f>
        <v/>
      </c>
      <c r="M1813" s="27">
        <f>IF(OR($A1813="",$J1813=""),"",IF($K1813="",IF(TODAY()&gt;$J1813,"Atrasado","En ruta"),IF($K1813&lt;=$J1813,"Sí","No")))</f>
        <v/>
      </c>
      <c r="N1813" s="23">
        <f>IF($A1813="","",COUNTIFS(NOVEDADES!$C$4:$C$1503,$A1813))</f>
        <v/>
      </c>
      <c r="O1813" s="27">
        <f>IF($A1813="","",IF(COUNTIFS(NOVEDADES!$C$4:$C$1503,$A1813,NOVEDADES!$M$4:$M$1503,"SÍ")&gt;0,"No","Sí"))</f>
        <v/>
      </c>
      <c r="P1813" s="27">
        <f>IF(OR($A1813="",$K1813=""),"",IF(AND($M1813="Sí",$O1813="Sí"),"OTIF","Falló"))</f>
        <v/>
      </c>
    </row>
    <row r="1814" ht="16" customHeight="1">
      <c r="A1814" s="47" t="n"/>
      <c r="B1814" s="46" t="n"/>
      <c r="C1814" s="49" t="n"/>
      <c r="D1814" s="49" t="n"/>
      <c r="E1814" s="49" t="n"/>
      <c r="F1814" s="49" t="n"/>
      <c r="G1814" s="47" t="n"/>
      <c r="H1814" s="50" t="n"/>
      <c r="I1814" s="51" t="n"/>
      <c r="J1814" s="46" t="n"/>
      <c r="K1814" s="46" t="n"/>
      <c r="L1814" s="23">
        <f>IF(OR($A1814="",$B1814=""),"",IF($K1814&lt;&gt;"",$K1814-$B1814,TODAY()-$B1814))</f>
        <v/>
      </c>
      <c r="M1814" s="27">
        <f>IF(OR($A1814="",$J1814=""),"",IF($K1814="",IF(TODAY()&gt;$J1814,"Atrasado","En ruta"),IF($K1814&lt;=$J1814,"Sí","No")))</f>
        <v/>
      </c>
      <c r="N1814" s="23">
        <f>IF($A1814="","",COUNTIFS(NOVEDADES!$C$4:$C$1503,$A1814))</f>
        <v/>
      </c>
      <c r="O1814" s="27">
        <f>IF($A1814="","",IF(COUNTIFS(NOVEDADES!$C$4:$C$1503,$A1814,NOVEDADES!$M$4:$M$1503,"SÍ")&gt;0,"No","Sí"))</f>
        <v/>
      </c>
      <c r="P1814" s="27">
        <f>IF(OR($A1814="",$K1814=""),"",IF(AND($M1814="Sí",$O1814="Sí"),"OTIF","Falló"))</f>
        <v/>
      </c>
    </row>
    <row r="1815" ht="16" customHeight="1">
      <c r="A1815" s="47" t="n"/>
      <c r="B1815" s="46" t="n"/>
      <c r="C1815" s="49" t="n"/>
      <c r="D1815" s="49" t="n"/>
      <c r="E1815" s="49" t="n"/>
      <c r="F1815" s="49" t="n"/>
      <c r="G1815" s="47" t="n"/>
      <c r="H1815" s="50" t="n"/>
      <c r="I1815" s="51" t="n"/>
      <c r="J1815" s="46" t="n"/>
      <c r="K1815" s="46" t="n"/>
      <c r="L1815" s="23">
        <f>IF(OR($A1815="",$B1815=""),"",IF($K1815&lt;&gt;"",$K1815-$B1815,TODAY()-$B1815))</f>
        <v/>
      </c>
      <c r="M1815" s="27">
        <f>IF(OR($A1815="",$J1815=""),"",IF($K1815="",IF(TODAY()&gt;$J1815,"Atrasado","En ruta"),IF($K1815&lt;=$J1815,"Sí","No")))</f>
        <v/>
      </c>
      <c r="N1815" s="23">
        <f>IF($A1815="","",COUNTIFS(NOVEDADES!$C$4:$C$1503,$A1815))</f>
        <v/>
      </c>
      <c r="O1815" s="27">
        <f>IF($A1815="","",IF(COUNTIFS(NOVEDADES!$C$4:$C$1503,$A1815,NOVEDADES!$M$4:$M$1503,"SÍ")&gt;0,"No","Sí"))</f>
        <v/>
      </c>
      <c r="P1815" s="27">
        <f>IF(OR($A1815="",$K1815=""),"",IF(AND($M1815="Sí",$O1815="Sí"),"OTIF","Falló"))</f>
        <v/>
      </c>
    </row>
    <row r="1816" ht="16" customHeight="1">
      <c r="A1816" s="47" t="n"/>
      <c r="B1816" s="46" t="n"/>
      <c r="C1816" s="49" t="n"/>
      <c r="D1816" s="49" t="n"/>
      <c r="E1816" s="49" t="n"/>
      <c r="F1816" s="49" t="n"/>
      <c r="G1816" s="47" t="n"/>
      <c r="H1816" s="50" t="n"/>
      <c r="I1816" s="51" t="n"/>
      <c r="J1816" s="46" t="n"/>
      <c r="K1816" s="46" t="n"/>
      <c r="L1816" s="23">
        <f>IF(OR($A1816="",$B1816=""),"",IF($K1816&lt;&gt;"",$K1816-$B1816,TODAY()-$B1816))</f>
        <v/>
      </c>
      <c r="M1816" s="27">
        <f>IF(OR($A1816="",$J1816=""),"",IF($K1816="",IF(TODAY()&gt;$J1816,"Atrasado","En ruta"),IF($K1816&lt;=$J1816,"Sí","No")))</f>
        <v/>
      </c>
      <c r="N1816" s="23">
        <f>IF($A1816="","",COUNTIFS(NOVEDADES!$C$4:$C$1503,$A1816))</f>
        <v/>
      </c>
      <c r="O1816" s="27">
        <f>IF($A1816="","",IF(COUNTIFS(NOVEDADES!$C$4:$C$1503,$A1816,NOVEDADES!$M$4:$M$1503,"SÍ")&gt;0,"No","Sí"))</f>
        <v/>
      </c>
      <c r="P1816" s="27">
        <f>IF(OR($A1816="",$K1816=""),"",IF(AND($M1816="Sí",$O1816="Sí"),"OTIF","Falló"))</f>
        <v/>
      </c>
    </row>
    <row r="1817" ht="16" customHeight="1">
      <c r="A1817" s="47" t="n"/>
      <c r="B1817" s="46" t="n"/>
      <c r="C1817" s="49" t="n"/>
      <c r="D1817" s="49" t="n"/>
      <c r="E1817" s="49" t="n"/>
      <c r="F1817" s="49" t="n"/>
      <c r="G1817" s="47" t="n"/>
      <c r="H1817" s="50" t="n"/>
      <c r="I1817" s="51" t="n"/>
      <c r="J1817" s="46" t="n"/>
      <c r="K1817" s="46" t="n"/>
      <c r="L1817" s="23">
        <f>IF(OR($A1817="",$B1817=""),"",IF($K1817&lt;&gt;"",$K1817-$B1817,TODAY()-$B1817))</f>
        <v/>
      </c>
      <c r="M1817" s="27">
        <f>IF(OR($A1817="",$J1817=""),"",IF($K1817="",IF(TODAY()&gt;$J1817,"Atrasado","En ruta"),IF($K1817&lt;=$J1817,"Sí","No")))</f>
        <v/>
      </c>
      <c r="N1817" s="23">
        <f>IF($A1817="","",COUNTIFS(NOVEDADES!$C$4:$C$1503,$A1817))</f>
        <v/>
      </c>
      <c r="O1817" s="27">
        <f>IF($A1817="","",IF(COUNTIFS(NOVEDADES!$C$4:$C$1503,$A1817,NOVEDADES!$M$4:$M$1503,"SÍ")&gt;0,"No","Sí"))</f>
        <v/>
      </c>
      <c r="P1817" s="27">
        <f>IF(OR($A1817="",$K1817=""),"",IF(AND($M1817="Sí",$O1817="Sí"),"OTIF","Falló"))</f>
        <v/>
      </c>
    </row>
    <row r="1818" ht="16" customHeight="1">
      <c r="A1818" s="47" t="n"/>
      <c r="B1818" s="46" t="n"/>
      <c r="C1818" s="49" t="n"/>
      <c r="D1818" s="49" t="n"/>
      <c r="E1818" s="49" t="n"/>
      <c r="F1818" s="49" t="n"/>
      <c r="G1818" s="47" t="n"/>
      <c r="H1818" s="50" t="n"/>
      <c r="I1818" s="51" t="n"/>
      <c r="J1818" s="46" t="n"/>
      <c r="K1818" s="46" t="n"/>
      <c r="L1818" s="23">
        <f>IF(OR($A1818="",$B1818=""),"",IF($K1818&lt;&gt;"",$K1818-$B1818,TODAY()-$B1818))</f>
        <v/>
      </c>
      <c r="M1818" s="27">
        <f>IF(OR($A1818="",$J1818=""),"",IF($K1818="",IF(TODAY()&gt;$J1818,"Atrasado","En ruta"),IF($K1818&lt;=$J1818,"Sí","No")))</f>
        <v/>
      </c>
      <c r="N1818" s="23">
        <f>IF($A1818="","",COUNTIFS(NOVEDADES!$C$4:$C$1503,$A1818))</f>
        <v/>
      </c>
      <c r="O1818" s="27">
        <f>IF($A1818="","",IF(COUNTIFS(NOVEDADES!$C$4:$C$1503,$A1818,NOVEDADES!$M$4:$M$1503,"SÍ")&gt;0,"No","Sí"))</f>
        <v/>
      </c>
      <c r="P1818" s="27">
        <f>IF(OR($A1818="",$K1818=""),"",IF(AND($M1818="Sí",$O1818="Sí"),"OTIF","Falló"))</f>
        <v/>
      </c>
    </row>
    <row r="1819" ht="16" customHeight="1">
      <c r="A1819" s="47" t="n"/>
      <c r="B1819" s="46" t="n"/>
      <c r="C1819" s="49" t="n"/>
      <c r="D1819" s="49" t="n"/>
      <c r="E1819" s="49" t="n"/>
      <c r="F1819" s="49" t="n"/>
      <c r="G1819" s="47" t="n"/>
      <c r="H1819" s="50" t="n"/>
      <c r="I1819" s="51" t="n"/>
      <c r="J1819" s="46" t="n"/>
      <c r="K1819" s="46" t="n"/>
      <c r="L1819" s="23">
        <f>IF(OR($A1819="",$B1819=""),"",IF($K1819&lt;&gt;"",$K1819-$B1819,TODAY()-$B1819))</f>
        <v/>
      </c>
      <c r="M1819" s="27">
        <f>IF(OR($A1819="",$J1819=""),"",IF($K1819="",IF(TODAY()&gt;$J1819,"Atrasado","En ruta"),IF($K1819&lt;=$J1819,"Sí","No")))</f>
        <v/>
      </c>
      <c r="N1819" s="23">
        <f>IF($A1819="","",COUNTIFS(NOVEDADES!$C$4:$C$1503,$A1819))</f>
        <v/>
      </c>
      <c r="O1819" s="27">
        <f>IF($A1819="","",IF(COUNTIFS(NOVEDADES!$C$4:$C$1503,$A1819,NOVEDADES!$M$4:$M$1503,"SÍ")&gt;0,"No","Sí"))</f>
        <v/>
      </c>
      <c r="P1819" s="27">
        <f>IF(OR($A1819="",$K1819=""),"",IF(AND($M1819="Sí",$O1819="Sí"),"OTIF","Falló"))</f>
        <v/>
      </c>
    </row>
    <row r="1820" ht="16" customHeight="1">
      <c r="A1820" s="47" t="n"/>
      <c r="B1820" s="46" t="n"/>
      <c r="C1820" s="49" t="n"/>
      <c r="D1820" s="49" t="n"/>
      <c r="E1820" s="49" t="n"/>
      <c r="F1820" s="49" t="n"/>
      <c r="G1820" s="47" t="n"/>
      <c r="H1820" s="50" t="n"/>
      <c r="I1820" s="51" t="n"/>
      <c r="J1820" s="46" t="n"/>
      <c r="K1820" s="46" t="n"/>
      <c r="L1820" s="23">
        <f>IF(OR($A1820="",$B1820=""),"",IF($K1820&lt;&gt;"",$K1820-$B1820,TODAY()-$B1820))</f>
        <v/>
      </c>
      <c r="M1820" s="27">
        <f>IF(OR($A1820="",$J1820=""),"",IF($K1820="",IF(TODAY()&gt;$J1820,"Atrasado","En ruta"),IF($K1820&lt;=$J1820,"Sí","No")))</f>
        <v/>
      </c>
      <c r="N1820" s="23">
        <f>IF($A1820="","",COUNTIFS(NOVEDADES!$C$4:$C$1503,$A1820))</f>
        <v/>
      </c>
      <c r="O1820" s="27">
        <f>IF($A1820="","",IF(COUNTIFS(NOVEDADES!$C$4:$C$1503,$A1820,NOVEDADES!$M$4:$M$1503,"SÍ")&gt;0,"No","Sí"))</f>
        <v/>
      </c>
      <c r="P1820" s="27">
        <f>IF(OR($A1820="",$K1820=""),"",IF(AND($M1820="Sí",$O1820="Sí"),"OTIF","Falló"))</f>
        <v/>
      </c>
    </row>
    <row r="1821" ht="16" customHeight="1">
      <c r="A1821" s="47" t="n"/>
      <c r="B1821" s="46" t="n"/>
      <c r="C1821" s="49" t="n"/>
      <c r="D1821" s="49" t="n"/>
      <c r="E1821" s="49" t="n"/>
      <c r="F1821" s="49" t="n"/>
      <c r="G1821" s="47" t="n"/>
      <c r="H1821" s="50" t="n"/>
      <c r="I1821" s="51" t="n"/>
      <c r="J1821" s="46" t="n"/>
      <c r="K1821" s="46" t="n"/>
      <c r="L1821" s="23">
        <f>IF(OR($A1821="",$B1821=""),"",IF($K1821&lt;&gt;"",$K1821-$B1821,TODAY()-$B1821))</f>
        <v/>
      </c>
      <c r="M1821" s="27">
        <f>IF(OR($A1821="",$J1821=""),"",IF($K1821="",IF(TODAY()&gt;$J1821,"Atrasado","En ruta"),IF($K1821&lt;=$J1821,"Sí","No")))</f>
        <v/>
      </c>
      <c r="N1821" s="23">
        <f>IF($A1821="","",COUNTIFS(NOVEDADES!$C$4:$C$1503,$A1821))</f>
        <v/>
      </c>
      <c r="O1821" s="27">
        <f>IF($A1821="","",IF(COUNTIFS(NOVEDADES!$C$4:$C$1503,$A1821,NOVEDADES!$M$4:$M$1503,"SÍ")&gt;0,"No","Sí"))</f>
        <v/>
      </c>
      <c r="P1821" s="27">
        <f>IF(OR($A1821="",$K1821=""),"",IF(AND($M1821="Sí",$O1821="Sí"),"OTIF","Falló"))</f>
        <v/>
      </c>
    </row>
    <row r="1822" ht="16" customHeight="1">
      <c r="A1822" s="47" t="n"/>
      <c r="B1822" s="46" t="n"/>
      <c r="C1822" s="49" t="n"/>
      <c r="D1822" s="49" t="n"/>
      <c r="E1822" s="49" t="n"/>
      <c r="F1822" s="49" t="n"/>
      <c r="G1822" s="47" t="n"/>
      <c r="H1822" s="50" t="n"/>
      <c r="I1822" s="51" t="n"/>
      <c r="J1822" s="46" t="n"/>
      <c r="K1822" s="46" t="n"/>
      <c r="L1822" s="23">
        <f>IF(OR($A1822="",$B1822=""),"",IF($K1822&lt;&gt;"",$K1822-$B1822,TODAY()-$B1822))</f>
        <v/>
      </c>
      <c r="M1822" s="27">
        <f>IF(OR($A1822="",$J1822=""),"",IF($K1822="",IF(TODAY()&gt;$J1822,"Atrasado","En ruta"),IF($K1822&lt;=$J1822,"Sí","No")))</f>
        <v/>
      </c>
      <c r="N1822" s="23">
        <f>IF($A1822="","",COUNTIFS(NOVEDADES!$C$4:$C$1503,$A1822))</f>
        <v/>
      </c>
      <c r="O1822" s="27">
        <f>IF($A1822="","",IF(COUNTIFS(NOVEDADES!$C$4:$C$1503,$A1822,NOVEDADES!$M$4:$M$1503,"SÍ")&gt;0,"No","Sí"))</f>
        <v/>
      </c>
      <c r="P1822" s="27">
        <f>IF(OR($A1822="",$K1822=""),"",IF(AND($M1822="Sí",$O1822="Sí"),"OTIF","Falló"))</f>
        <v/>
      </c>
    </row>
    <row r="1823" ht="16" customHeight="1">
      <c r="A1823" s="47" t="n"/>
      <c r="B1823" s="46" t="n"/>
      <c r="C1823" s="49" t="n"/>
      <c r="D1823" s="49" t="n"/>
      <c r="E1823" s="49" t="n"/>
      <c r="F1823" s="49" t="n"/>
      <c r="G1823" s="47" t="n"/>
      <c r="H1823" s="50" t="n"/>
      <c r="I1823" s="51" t="n"/>
      <c r="J1823" s="46" t="n"/>
      <c r="K1823" s="46" t="n"/>
      <c r="L1823" s="23">
        <f>IF(OR($A1823="",$B1823=""),"",IF($K1823&lt;&gt;"",$K1823-$B1823,TODAY()-$B1823))</f>
        <v/>
      </c>
      <c r="M1823" s="27">
        <f>IF(OR($A1823="",$J1823=""),"",IF($K1823="",IF(TODAY()&gt;$J1823,"Atrasado","En ruta"),IF($K1823&lt;=$J1823,"Sí","No")))</f>
        <v/>
      </c>
      <c r="N1823" s="23">
        <f>IF($A1823="","",COUNTIFS(NOVEDADES!$C$4:$C$1503,$A1823))</f>
        <v/>
      </c>
      <c r="O1823" s="27">
        <f>IF($A1823="","",IF(COUNTIFS(NOVEDADES!$C$4:$C$1503,$A1823,NOVEDADES!$M$4:$M$1503,"SÍ")&gt;0,"No","Sí"))</f>
        <v/>
      </c>
      <c r="P1823" s="27">
        <f>IF(OR($A1823="",$K1823=""),"",IF(AND($M1823="Sí",$O1823="Sí"),"OTIF","Falló"))</f>
        <v/>
      </c>
    </row>
    <row r="1824" ht="16" customHeight="1">
      <c r="A1824" s="47" t="n"/>
      <c r="B1824" s="46" t="n"/>
      <c r="C1824" s="49" t="n"/>
      <c r="D1824" s="49" t="n"/>
      <c r="E1824" s="49" t="n"/>
      <c r="F1824" s="49" t="n"/>
      <c r="G1824" s="47" t="n"/>
      <c r="H1824" s="50" t="n"/>
      <c r="I1824" s="51" t="n"/>
      <c r="J1824" s="46" t="n"/>
      <c r="K1824" s="46" t="n"/>
      <c r="L1824" s="23">
        <f>IF(OR($A1824="",$B1824=""),"",IF($K1824&lt;&gt;"",$K1824-$B1824,TODAY()-$B1824))</f>
        <v/>
      </c>
      <c r="M1824" s="27">
        <f>IF(OR($A1824="",$J1824=""),"",IF($K1824="",IF(TODAY()&gt;$J1824,"Atrasado","En ruta"),IF($K1824&lt;=$J1824,"Sí","No")))</f>
        <v/>
      </c>
      <c r="N1824" s="23">
        <f>IF($A1824="","",COUNTIFS(NOVEDADES!$C$4:$C$1503,$A1824))</f>
        <v/>
      </c>
      <c r="O1824" s="27">
        <f>IF($A1824="","",IF(COUNTIFS(NOVEDADES!$C$4:$C$1503,$A1824,NOVEDADES!$M$4:$M$1503,"SÍ")&gt;0,"No","Sí"))</f>
        <v/>
      </c>
      <c r="P1824" s="27">
        <f>IF(OR($A1824="",$K1824=""),"",IF(AND($M1824="Sí",$O1824="Sí"),"OTIF","Falló"))</f>
        <v/>
      </c>
    </row>
    <row r="1825" ht="16" customHeight="1">
      <c r="A1825" s="47" t="n"/>
      <c r="B1825" s="46" t="n"/>
      <c r="C1825" s="49" t="n"/>
      <c r="D1825" s="49" t="n"/>
      <c r="E1825" s="49" t="n"/>
      <c r="F1825" s="49" t="n"/>
      <c r="G1825" s="47" t="n"/>
      <c r="H1825" s="50" t="n"/>
      <c r="I1825" s="51" t="n"/>
      <c r="J1825" s="46" t="n"/>
      <c r="K1825" s="46" t="n"/>
      <c r="L1825" s="23">
        <f>IF(OR($A1825="",$B1825=""),"",IF($K1825&lt;&gt;"",$K1825-$B1825,TODAY()-$B1825))</f>
        <v/>
      </c>
      <c r="M1825" s="27">
        <f>IF(OR($A1825="",$J1825=""),"",IF($K1825="",IF(TODAY()&gt;$J1825,"Atrasado","En ruta"),IF($K1825&lt;=$J1825,"Sí","No")))</f>
        <v/>
      </c>
      <c r="N1825" s="23">
        <f>IF($A1825="","",COUNTIFS(NOVEDADES!$C$4:$C$1503,$A1825))</f>
        <v/>
      </c>
      <c r="O1825" s="27">
        <f>IF($A1825="","",IF(COUNTIFS(NOVEDADES!$C$4:$C$1503,$A1825,NOVEDADES!$M$4:$M$1503,"SÍ")&gt;0,"No","Sí"))</f>
        <v/>
      </c>
      <c r="P1825" s="27">
        <f>IF(OR($A1825="",$K1825=""),"",IF(AND($M1825="Sí",$O1825="Sí"),"OTIF","Falló"))</f>
        <v/>
      </c>
    </row>
    <row r="1826" ht="16" customHeight="1">
      <c r="A1826" s="47" t="n"/>
      <c r="B1826" s="46" t="n"/>
      <c r="C1826" s="49" t="n"/>
      <c r="D1826" s="49" t="n"/>
      <c r="E1826" s="49" t="n"/>
      <c r="F1826" s="49" t="n"/>
      <c r="G1826" s="47" t="n"/>
      <c r="H1826" s="50" t="n"/>
      <c r="I1826" s="51" t="n"/>
      <c r="J1826" s="46" t="n"/>
      <c r="K1826" s="46" t="n"/>
      <c r="L1826" s="23">
        <f>IF(OR($A1826="",$B1826=""),"",IF($K1826&lt;&gt;"",$K1826-$B1826,TODAY()-$B1826))</f>
        <v/>
      </c>
      <c r="M1826" s="27">
        <f>IF(OR($A1826="",$J1826=""),"",IF($K1826="",IF(TODAY()&gt;$J1826,"Atrasado","En ruta"),IF($K1826&lt;=$J1826,"Sí","No")))</f>
        <v/>
      </c>
      <c r="N1826" s="23">
        <f>IF($A1826="","",COUNTIFS(NOVEDADES!$C$4:$C$1503,$A1826))</f>
        <v/>
      </c>
      <c r="O1826" s="27">
        <f>IF($A1826="","",IF(COUNTIFS(NOVEDADES!$C$4:$C$1503,$A1826,NOVEDADES!$M$4:$M$1503,"SÍ")&gt;0,"No","Sí"))</f>
        <v/>
      </c>
      <c r="P1826" s="27">
        <f>IF(OR($A1826="",$K1826=""),"",IF(AND($M1826="Sí",$O1826="Sí"),"OTIF","Falló"))</f>
        <v/>
      </c>
    </row>
    <row r="1827" ht="16" customHeight="1">
      <c r="A1827" s="47" t="n"/>
      <c r="B1827" s="46" t="n"/>
      <c r="C1827" s="49" t="n"/>
      <c r="D1827" s="49" t="n"/>
      <c r="E1827" s="49" t="n"/>
      <c r="F1827" s="49" t="n"/>
      <c r="G1827" s="47" t="n"/>
      <c r="H1827" s="50" t="n"/>
      <c r="I1827" s="51" t="n"/>
      <c r="J1827" s="46" t="n"/>
      <c r="K1827" s="46" t="n"/>
      <c r="L1827" s="23">
        <f>IF(OR($A1827="",$B1827=""),"",IF($K1827&lt;&gt;"",$K1827-$B1827,TODAY()-$B1827))</f>
        <v/>
      </c>
      <c r="M1827" s="27">
        <f>IF(OR($A1827="",$J1827=""),"",IF($K1827="",IF(TODAY()&gt;$J1827,"Atrasado","En ruta"),IF($K1827&lt;=$J1827,"Sí","No")))</f>
        <v/>
      </c>
      <c r="N1827" s="23">
        <f>IF($A1827="","",COUNTIFS(NOVEDADES!$C$4:$C$1503,$A1827))</f>
        <v/>
      </c>
      <c r="O1827" s="27">
        <f>IF($A1827="","",IF(COUNTIFS(NOVEDADES!$C$4:$C$1503,$A1827,NOVEDADES!$M$4:$M$1503,"SÍ")&gt;0,"No","Sí"))</f>
        <v/>
      </c>
      <c r="P1827" s="27">
        <f>IF(OR($A1827="",$K1827=""),"",IF(AND($M1827="Sí",$O1827="Sí"),"OTIF","Falló"))</f>
        <v/>
      </c>
    </row>
    <row r="1828" ht="16" customHeight="1">
      <c r="A1828" s="47" t="n"/>
      <c r="B1828" s="46" t="n"/>
      <c r="C1828" s="49" t="n"/>
      <c r="D1828" s="49" t="n"/>
      <c r="E1828" s="49" t="n"/>
      <c r="F1828" s="49" t="n"/>
      <c r="G1828" s="47" t="n"/>
      <c r="H1828" s="50" t="n"/>
      <c r="I1828" s="51" t="n"/>
      <c r="J1828" s="46" t="n"/>
      <c r="K1828" s="46" t="n"/>
      <c r="L1828" s="23">
        <f>IF(OR($A1828="",$B1828=""),"",IF($K1828&lt;&gt;"",$K1828-$B1828,TODAY()-$B1828))</f>
        <v/>
      </c>
      <c r="M1828" s="27">
        <f>IF(OR($A1828="",$J1828=""),"",IF($K1828="",IF(TODAY()&gt;$J1828,"Atrasado","En ruta"),IF($K1828&lt;=$J1828,"Sí","No")))</f>
        <v/>
      </c>
      <c r="N1828" s="23">
        <f>IF($A1828="","",COUNTIFS(NOVEDADES!$C$4:$C$1503,$A1828))</f>
        <v/>
      </c>
      <c r="O1828" s="27">
        <f>IF($A1828="","",IF(COUNTIFS(NOVEDADES!$C$4:$C$1503,$A1828,NOVEDADES!$M$4:$M$1503,"SÍ")&gt;0,"No","Sí"))</f>
        <v/>
      </c>
      <c r="P1828" s="27">
        <f>IF(OR($A1828="",$K1828=""),"",IF(AND($M1828="Sí",$O1828="Sí"),"OTIF","Falló"))</f>
        <v/>
      </c>
    </row>
    <row r="1829" ht="16" customHeight="1">
      <c r="A1829" s="47" t="n"/>
      <c r="B1829" s="46" t="n"/>
      <c r="C1829" s="49" t="n"/>
      <c r="D1829" s="49" t="n"/>
      <c r="E1829" s="49" t="n"/>
      <c r="F1829" s="49" t="n"/>
      <c r="G1829" s="47" t="n"/>
      <c r="H1829" s="50" t="n"/>
      <c r="I1829" s="51" t="n"/>
      <c r="J1829" s="46" t="n"/>
      <c r="K1829" s="46" t="n"/>
      <c r="L1829" s="23">
        <f>IF(OR($A1829="",$B1829=""),"",IF($K1829&lt;&gt;"",$K1829-$B1829,TODAY()-$B1829))</f>
        <v/>
      </c>
      <c r="M1829" s="27">
        <f>IF(OR($A1829="",$J1829=""),"",IF($K1829="",IF(TODAY()&gt;$J1829,"Atrasado","En ruta"),IF($K1829&lt;=$J1829,"Sí","No")))</f>
        <v/>
      </c>
      <c r="N1829" s="23">
        <f>IF($A1829="","",COUNTIFS(NOVEDADES!$C$4:$C$1503,$A1829))</f>
        <v/>
      </c>
      <c r="O1829" s="27">
        <f>IF($A1829="","",IF(COUNTIFS(NOVEDADES!$C$4:$C$1503,$A1829,NOVEDADES!$M$4:$M$1503,"SÍ")&gt;0,"No","Sí"))</f>
        <v/>
      </c>
      <c r="P1829" s="27">
        <f>IF(OR($A1829="",$K1829=""),"",IF(AND($M1829="Sí",$O1829="Sí"),"OTIF","Falló"))</f>
        <v/>
      </c>
    </row>
    <row r="1830" ht="16" customHeight="1">
      <c r="A1830" s="47" t="n"/>
      <c r="B1830" s="46" t="n"/>
      <c r="C1830" s="49" t="n"/>
      <c r="D1830" s="49" t="n"/>
      <c r="E1830" s="49" t="n"/>
      <c r="F1830" s="49" t="n"/>
      <c r="G1830" s="47" t="n"/>
      <c r="H1830" s="50" t="n"/>
      <c r="I1830" s="51" t="n"/>
      <c r="J1830" s="46" t="n"/>
      <c r="K1830" s="46" t="n"/>
      <c r="L1830" s="23">
        <f>IF(OR($A1830="",$B1830=""),"",IF($K1830&lt;&gt;"",$K1830-$B1830,TODAY()-$B1830))</f>
        <v/>
      </c>
      <c r="M1830" s="27">
        <f>IF(OR($A1830="",$J1830=""),"",IF($K1830="",IF(TODAY()&gt;$J1830,"Atrasado","En ruta"),IF($K1830&lt;=$J1830,"Sí","No")))</f>
        <v/>
      </c>
      <c r="N1830" s="23">
        <f>IF($A1830="","",COUNTIFS(NOVEDADES!$C$4:$C$1503,$A1830))</f>
        <v/>
      </c>
      <c r="O1830" s="27">
        <f>IF($A1830="","",IF(COUNTIFS(NOVEDADES!$C$4:$C$1503,$A1830,NOVEDADES!$M$4:$M$1503,"SÍ")&gt;0,"No","Sí"))</f>
        <v/>
      </c>
      <c r="P1830" s="27">
        <f>IF(OR($A1830="",$K1830=""),"",IF(AND($M1830="Sí",$O1830="Sí"),"OTIF","Falló"))</f>
        <v/>
      </c>
    </row>
    <row r="1831" ht="16" customHeight="1">
      <c r="A1831" s="47" t="n"/>
      <c r="B1831" s="46" t="n"/>
      <c r="C1831" s="49" t="n"/>
      <c r="D1831" s="49" t="n"/>
      <c r="E1831" s="49" t="n"/>
      <c r="F1831" s="49" t="n"/>
      <c r="G1831" s="47" t="n"/>
      <c r="H1831" s="50" t="n"/>
      <c r="I1831" s="51" t="n"/>
      <c r="J1831" s="46" t="n"/>
      <c r="K1831" s="46" t="n"/>
      <c r="L1831" s="23">
        <f>IF(OR($A1831="",$B1831=""),"",IF($K1831&lt;&gt;"",$K1831-$B1831,TODAY()-$B1831))</f>
        <v/>
      </c>
      <c r="M1831" s="27">
        <f>IF(OR($A1831="",$J1831=""),"",IF($K1831="",IF(TODAY()&gt;$J1831,"Atrasado","En ruta"),IF($K1831&lt;=$J1831,"Sí","No")))</f>
        <v/>
      </c>
      <c r="N1831" s="23">
        <f>IF($A1831="","",COUNTIFS(NOVEDADES!$C$4:$C$1503,$A1831))</f>
        <v/>
      </c>
      <c r="O1831" s="27">
        <f>IF($A1831="","",IF(COUNTIFS(NOVEDADES!$C$4:$C$1503,$A1831,NOVEDADES!$M$4:$M$1503,"SÍ")&gt;0,"No","Sí"))</f>
        <v/>
      </c>
      <c r="P1831" s="27">
        <f>IF(OR($A1831="",$K1831=""),"",IF(AND($M1831="Sí",$O1831="Sí"),"OTIF","Falló"))</f>
        <v/>
      </c>
    </row>
    <row r="1832" ht="16" customHeight="1">
      <c r="A1832" s="47" t="n"/>
      <c r="B1832" s="46" t="n"/>
      <c r="C1832" s="49" t="n"/>
      <c r="D1832" s="49" t="n"/>
      <c r="E1832" s="49" t="n"/>
      <c r="F1832" s="49" t="n"/>
      <c r="G1832" s="47" t="n"/>
      <c r="H1832" s="50" t="n"/>
      <c r="I1832" s="51" t="n"/>
      <c r="J1832" s="46" t="n"/>
      <c r="K1832" s="46" t="n"/>
      <c r="L1832" s="23">
        <f>IF(OR($A1832="",$B1832=""),"",IF($K1832&lt;&gt;"",$K1832-$B1832,TODAY()-$B1832))</f>
        <v/>
      </c>
      <c r="M1832" s="27">
        <f>IF(OR($A1832="",$J1832=""),"",IF($K1832="",IF(TODAY()&gt;$J1832,"Atrasado","En ruta"),IF($K1832&lt;=$J1832,"Sí","No")))</f>
        <v/>
      </c>
      <c r="N1832" s="23">
        <f>IF($A1832="","",COUNTIFS(NOVEDADES!$C$4:$C$1503,$A1832))</f>
        <v/>
      </c>
      <c r="O1832" s="27">
        <f>IF($A1832="","",IF(COUNTIFS(NOVEDADES!$C$4:$C$1503,$A1832,NOVEDADES!$M$4:$M$1503,"SÍ")&gt;0,"No","Sí"))</f>
        <v/>
      </c>
      <c r="P1832" s="27">
        <f>IF(OR($A1832="",$K1832=""),"",IF(AND($M1832="Sí",$O1832="Sí"),"OTIF","Falló"))</f>
        <v/>
      </c>
    </row>
    <row r="1833" ht="16" customHeight="1">
      <c r="A1833" s="47" t="n"/>
      <c r="B1833" s="46" t="n"/>
      <c r="C1833" s="49" t="n"/>
      <c r="D1833" s="49" t="n"/>
      <c r="E1833" s="49" t="n"/>
      <c r="F1833" s="49" t="n"/>
      <c r="G1833" s="47" t="n"/>
      <c r="H1833" s="50" t="n"/>
      <c r="I1833" s="51" t="n"/>
      <c r="J1833" s="46" t="n"/>
      <c r="K1833" s="46" t="n"/>
      <c r="L1833" s="23">
        <f>IF(OR($A1833="",$B1833=""),"",IF($K1833&lt;&gt;"",$K1833-$B1833,TODAY()-$B1833))</f>
        <v/>
      </c>
      <c r="M1833" s="27">
        <f>IF(OR($A1833="",$J1833=""),"",IF($K1833="",IF(TODAY()&gt;$J1833,"Atrasado","En ruta"),IF($K1833&lt;=$J1833,"Sí","No")))</f>
        <v/>
      </c>
      <c r="N1833" s="23">
        <f>IF($A1833="","",COUNTIFS(NOVEDADES!$C$4:$C$1503,$A1833))</f>
        <v/>
      </c>
      <c r="O1833" s="27">
        <f>IF($A1833="","",IF(COUNTIFS(NOVEDADES!$C$4:$C$1503,$A1833,NOVEDADES!$M$4:$M$1503,"SÍ")&gt;0,"No","Sí"))</f>
        <v/>
      </c>
      <c r="P1833" s="27">
        <f>IF(OR($A1833="",$K1833=""),"",IF(AND($M1833="Sí",$O1833="Sí"),"OTIF","Falló"))</f>
        <v/>
      </c>
    </row>
    <row r="1834" ht="16" customHeight="1">
      <c r="A1834" s="47" t="n"/>
      <c r="B1834" s="46" t="n"/>
      <c r="C1834" s="49" t="n"/>
      <c r="D1834" s="49" t="n"/>
      <c r="E1834" s="49" t="n"/>
      <c r="F1834" s="49" t="n"/>
      <c r="G1834" s="47" t="n"/>
      <c r="H1834" s="50" t="n"/>
      <c r="I1834" s="51" t="n"/>
      <c r="J1834" s="46" t="n"/>
      <c r="K1834" s="46" t="n"/>
      <c r="L1834" s="23">
        <f>IF(OR($A1834="",$B1834=""),"",IF($K1834&lt;&gt;"",$K1834-$B1834,TODAY()-$B1834))</f>
        <v/>
      </c>
      <c r="M1834" s="27">
        <f>IF(OR($A1834="",$J1834=""),"",IF($K1834="",IF(TODAY()&gt;$J1834,"Atrasado","En ruta"),IF($K1834&lt;=$J1834,"Sí","No")))</f>
        <v/>
      </c>
      <c r="N1834" s="23">
        <f>IF($A1834="","",COUNTIFS(NOVEDADES!$C$4:$C$1503,$A1834))</f>
        <v/>
      </c>
      <c r="O1834" s="27">
        <f>IF($A1834="","",IF(COUNTIFS(NOVEDADES!$C$4:$C$1503,$A1834,NOVEDADES!$M$4:$M$1503,"SÍ")&gt;0,"No","Sí"))</f>
        <v/>
      </c>
      <c r="P1834" s="27">
        <f>IF(OR($A1834="",$K1834=""),"",IF(AND($M1834="Sí",$O1834="Sí"),"OTIF","Falló"))</f>
        <v/>
      </c>
    </row>
    <row r="1835" ht="16" customHeight="1">
      <c r="A1835" s="47" t="n"/>
      <c r="B1835" s="46" t="n"/>
      <c r="C1835" s="49" t="n"/>
      <c r="D1835" s="49" t="n"/>
      <c r="E1835" s="49" t="n"/>
      <c r="F1835" s="49" t="n"/>
      <c r="G1835" s="47" t="n"/>
      <c r="H1835" s="50" t="n"/>
      <c r="I1835" s="51" t="n"/>
      <c r="J1835" s="46" t="n"/>
      <c r="K1835" s="46" t="n"/>
      <c r="L1835" s="23">
        <f>IF(OR($A1835="",$B1835=""),"",IF($K1835&lt;&gt;"",$K1835-$B1835,TODAY()-$B1835))</f>
        <v/>
      </c>
      <c r="M1835" s="27">
        <f>IF(OR($A1835="",$J1835=""),"",IF($K1835="",IF(TODAY()&gt;$J1835,"Atrasado","En ruta"),IF($K1835&lt;=$J1835,"Sí","No")))</f>
        <v/>
      </c>
      <c r="N1835" s="23">
        <f>IF($A1835="","",COUNTIFS(NOVEDADES!$C$4:$C$1503,$A1835))</f>
        <v/>
      </c>
      <c r="O1835" s="27">
        <f>IF($A1835="","",IF(COUNTIFS(NOVEDADES!$C$4:$C$1503,$A1835,NOVEDADES!$M$4:$M$1503,"SÍ")&gt;0,"No","Sí"))</f>
        <v/>
      </c>
      <c r="P1835" s="27">
        <f>IF(OR($A1835="",$K1835=""),"",IF(AND($M1835="Sí",$O1835="Sí"),"OTIF","Falló"))</f>
        <v/>
      </c>
    </row>
    <row r="1836" ht="16" customHeight="1">
      <c r="A1836" s="47" t="n"/>
      <c r="B1836" s="46" t="n"/>
      <c r="C1836" s="49" t="n"/>
      <c r="D1836" s="49" t="n"/>
      <c r="E1836" s="49" t="n"/>
      <c r="F1836" s="49" t="n"/>
      <c r="G1836" s="47" t="n"/>
      <c r="H1836" s="50" t="n"/>
      <c r="I1836" s="51" t="n"/>
      <c r="J1836" s="46" t="n"/>
      <c r="K1836" s="46" t="n"/>
      <c r="L1836" s="23">
        <f>IF(OR($A1836="",$B1836=""),"",IF($K1836&lt;&gt;"",$K1836-$B1836,TODAY()-$B1836))</f>
        <v/>
      </c>
      <c r="M1836" s="27">
        <f>IF(OR($A1836="",$J1836=""),"",IF($K1836="",IF(TODAY()&gt;$J1836,"Atrasado","En ruta"),IF($K1836&lt;=$J1836,"Sí","No")))</f>
        <v/>
      </c>
      <c r="N1836" s="23">
        <f>IF($A1836="","",COUNTIFS(NOVEDADES!$C$4:$C$1503,$A1836))</f>
        <v/>
      </c>
      <c r="O1836" s="27">
        <f>IF($A1836="","",IF(COUNTIFS(NOVEDADES!$C$4:$C$1503,$A1836,NOVEDADES!$M$4:$M$1503,"SÍ")&gt;0,"No","Sí"))</f>
        <v/>
      </c>
      <c r="P1836" s="27">
        <f>IF(OR($A1836="",$K1836=""),"",IF(AND($M1836="Sí",$O1836="Sí"),"OTIF","Falló"))</f>
        <v/>
      </c>
    </row>
    <row r="1837" ht="16" customHeight="1">
      <c r="A1837" s="47" t="n"/>
      <c r="B1837" s="46" t="n"/>
      <c r="C1837" s="49" t="n"/>
      <c r="D1837" s="49" t="n"/>
      <c r="E1837" s="49" t="n"/>
      <c r="F1837" s="49" t="n"/>
      <c r="G1837" s="47" t="n"/>
      <c r="H1837" s="50" t="n"/>
      <c r="I1837" s="51" t="n"/>
      <c r="J1837" s="46" t="n"/>
      <c r="K1837" s="46" t="n"/>
      <c r="L1837" s="23">
        <f>IF(OR($A1837="",$B1837=""),"",IF($K1837&lt;&gt;"",$K1837-$B1837,TODAY()-$B1837))</f>
        <v/>
      </c>
      <c r="M1837" s="27">
        <f>IF(OR($A1837="",$J1837=""),"",IF($K1837="",IF(TODAY()&gt;$J1837,"Atrasado","En ruta"),IF($K1837&lt;=$J1837,"Sí","No")))</f>
        <v/>
      </c>
      <c r="N1837" s="23">
        <f>IF($A1837="","",COUNTIFS(NOVEDADES!$C$4:$C$1503,$A1837))</f>
        <v/>
      </c>
      <c r="O1837" s="27">
        <f>IF($A1837="","",IF(COUNTIFS(NOVEDADES!$C$4:$C$1503,$A1837,NOVEDADES!$M$4:$M$1503,"SÍ")&gt;0,"No","Sí"))</f>
        <v/>
      </c>
      <c r="P1837" s="27">
        <f>IF(OR($A1837="",$K1837=""),"",IF(AND($M1837="Sí",$O1837="Sí"),"OTIF","Falló"))</f>
        <v/>
      </c>
    </row>
    <row r="1838" ht="16" customHeight="1">
      <c r="A1838" s="47" t="n"/>
      <c r="B1838" s="46" t="n"/>
      <c r="C1838" s="49" t="n"/>
      <c r="D1838" s="49" t="n"/>
      <c r="E1838" s="49" t="n"/>
      <c r="F1838" s="49" t="n"/>
      <c r="G1838" s="47" t="n"/>
      <c r="H1838" s="50" t="n"/>
      <c r="I1838" s="51" t="n"/>
      <c r="J1838" s="46" t="n"/>
      <c r="K1838" s="46" t="n"/>
      <c r="L1838" s="23">
        <f>IF(OR($A1838="",$B1838=""),"",IF($K1838&lt;&gt;"",$K1838-$B1838,TODAY()-$B1838))</f>
        <v/>
      </c>
      <c r="M1838" s="27">
        <f>IF(OR($A1838="",$J1838=""),"",IF($K1838="",IF(TODAY()&gt;$J1838,"Atrasado","En ruta"),IF($K1838&lt;=$J1838,"Sí","No")))</f>
        <v/>
      </c>
      <c r="N1838" s="23">
        <f>IF($A1838="","",COUNTIFS(NOVEDADES!$C$4:$C$1503,$A1838))</f>
        <v/>
      </c>
      <c r="O1838" s="27">
        <f>IF($A1838="","",IF(COUNTIFS(NOVEDADES!$C$4:$C$1503,$A1838,NOVEDADES!$M$4:$M$1503,"SÍ")&gt;0,"No","Sí"))</f>
        <v/>
      </c>
      <c r="P1838" s="27">
        <f>IF(OR($A1838="",$K1838=""),"",IF(AND($M1838="Sí",$O1838="Sí"),"OTIF","Falló"))</f>
        <v/>
      </c>
    </row>
    <row r="1839" ht="16" customHeight="1">
      <c r="A1839" s="47" t="n"/>
      <c r="B1839" s="46" t="n"/>
      <c r="C1839" s="49" t="n"/>
      <c r="D1839" s="49" t="n"/>
      <c r="E1839" s="49" t="n"/>
      <c r="F1839" s="49" t="n"/>
      <c r="G1839" s="47" t="n"/>
      <c r="H1839" s="50" t="n"/>
      <c r="I1839" s="51" t="n"/>
      <c r="J1839" s="46" t="n"/>
      <c r="K1839" s="46" t="n"/>
      <c r="L1839" s="23">
        <f>IF(OR($A1839="",$B1839=""),"",IF($K1839&lt;&gt;"",$K1839-$B1839,TODAY()-$B1839))</f>
        <v/>
      </c>
      <c r="M1839" s="27">
        <f>IF(OR($A1839="",$J1839=""),"",IF($K1839="",IF(TODAY()&gt;$J1839,"Atrasado","En ruta"),IF($K1839&lt;=$J1839,"Sí","No")))</f>
        <v/>
      </c>
      <c r="N1839" s="23">
        <f>IF($A1839="","",COUNTIFS(NOVEDADES!$C$4:$C$1503,$A1839))</f>
        <v/>
      </c>
      <c r="O1839" s="27">
        <f>IF($A1839="","",IF(COUNTIFS(NOVEDADES!$C$4:$C$1503,$A1839,NOVEDADES!$M$4:$M$1503,"SÍ")&gt;0,"No","Sí"))</f>
        <v/>
      </c>
      <c r="P1839" s="27">
        <f>IF(OR($A1839="",$K1839=""),"",IF(AND($M1839="Sí",$O1839="Sí"),"OTIF","Falló"))</f>
        <v/>
      </c>
    </row>
    <row r="1840" ht="16" customHeight="1">
      <c r="A1840" s="47" t="n"/>
      <c r="B1840" s="46" t="n"/>
      <c r="C1840" s="49" t="n"/>
      <c r="D1840" s="49" t="n"/>
      <c r="E1840" s="49" t="n"/>
      <c r="F1840" s="49" t="n"/>
      <c r="G1840" s="47" t="n"/>
      <c r="H1840" s="50" t="n"/>
      <c r="I1840" s="51" t="n"/>
      <c r="J1840" s="46" t="n"/>
      <c r="K1840" s="46" t="n"/>
      <c r="L1840" s="23">
        <f>IF(OR($A1840="",$B1840=""),"",IF($K1840&lt;&gt;"",$K1840-$B1840,TODAY()-$B1840))</f>
        <v/>
      </c>
      <c r="M1840" s="27">
        <f>IF(OR($A1840="",$J1840=""),"",IF($K1840="",IF(TODAY()&gt;$J1840,"Atrasado","En ruta"),IF($K1840&lt;=$J1840,"Sí","No")))</f>
        <v/>
      </c>
      <c r="N1840" s="23">
        <f>IF($A1840="","",COUNTIFS(NOVEDADES!$C$4:$C$1503,$A1840))</f>
        <v/>
      </c>
      <c r="O1840" s="27">
        <f>IF($A1840="","",IF(COUNTIFS(NOVEDADES!$C$4:$C$1503,$A1840,NOVEDADES!$M$4:$M$1503,"SÍ")&gt;0,"No","Sí"))</f>
        <v/>
      </c>
      <c r="P1840" s="27">
        <f>IF(OR($A1840="",$K1840=""),"",IF(AND($M1840="Sí",$O1840="Sí"),"OTIF","Falló"))</f>
        <v/>
      </c>
    </row>
    <row r="1841" ht="16" customHeight="1">
      <c r="A1841" s="47" t="n"/>
      <c r="B1841" s="46" t="n"/>
      <c r="C1841" s="49" t="n"/>
      <c r="D1841" s="49" t="n"/>
      <c r="E1841" s="49" t="n"/>
      <c r="F1841" s="49" t="n"/>
      <c r="G1841" s="47" t="n"/>
      <c r="H1841" s="50" t="n"/>
      <c r="I1841" s="51" t="n"/>
      <c r="J1841" s="46" t="n"/>
      <c r="K1841" s="46" t="n"/>
      <c r="L1841" s="23">
        <f>IF(OR($A1841="",$B1841=""),"",IF($K1841&lt;&gt;"",$K1841-$B1841,TODAY()-$B1841))</f>
        <v/>
      </c>
      <c r="M1841" s="27">
        <f>IF(OR($A1841="",$J1841=""),"",IF($K1841="",IF(TODAY()&gt;$J1841,"Atrasado","En ruta"),IF($K1841&lt;=$J1841,"Sí","No")))</f>
        <v/>
      </c>
      <c r="N1841" s="23">
        <f>IF($A1841="","",COUNTIFS(NOVEDADES!$C$4:$C$1503,$A1841))</f>
        <v/>
      </c>
      <c r="O1841" s="27">
        <f>IF($A1841="","",IF(COUNTIFS(NOVEDADES!$C$4:$C$1503,$A1841,NOVEDADES!$M$4:$M$1503,"SÍ")&gt;0,"No","Sí"))</f>
        <v/>
      </c>
      <c r="P1841" s="27">
        <f>IF(OR($A1841="",$K1841=""),"",IF(AND($M1841="Sí",$O1841="Sí"),"OTIF","Falló"))</f>
        <v/>
      </c>
    </row>
    <row r="1842" ht="16" customHeight="1">
      <c r="A1842" s="47" t="n"/>
      <c r="B1842" s="46" t="n"/>
      <c r="C1842" s="49" t="n"/>
      <c r="D1842" s="49" t="n"/>
      <c r="E1842" s="49" t="n"/>
      <c r="F1842" s="49" t="n"/>
      <c r="G1842" s="47" t="n"/>
      <c r="H1842" s="50" t="n"/>
      <c r="I1842" s="51" t="n"/>
      <c r="J1842" s="46" t="n"/>
      <c r="K1842" s="46" t="n"/>
      <c r="L1842" s="23">
        <f>IF(OR($A1842="",$B1842=""),"",IF($K1842&lt;&gt;"",$K1842-$B1842,TODAY()-$B1842))</f>
        <v/>
      </c>
      <c r="M1842" s="27">
        <f>IF(OR($A1842="",$J1842=""),"",IF($K1842="",IF(TODAY()&gt;$J1842,"Atrasado","En ruta"),IF($K1842&lt;=$J1842,"Sí","No")))</f>
        <v/>
      </c>
      <c r="N1842" s="23">
        <f>IF($A1842="","",COUNTIFS(NOVEDADES!$C$4:$C$1503,$A1842))</f>
        <v/>
      </c>
      <c r="O1842" s="27">
        <f>IF($A1842="","",IF(COUNTIFS(NOVEDADES!$C$4:$C$1503,$A1842,NOVEDADES!$M$4:$M$1503,"SÍ")&gt;0,"No","Sí"))</f>
        <v/>
      </c>
      <c r="P1842" s="27">
        <f>IF(OR($A1842="",$K1842=""),"",IF(AND($M1842="Sí",$O1842="Sí"),"OTIF","Falló"))</f>
        <v/>
      </c>
    </row>
    <row r="1843" ht="16" customHeight="1">
      <c r="A1843" s="47" t="n"/>
      <c r="B1843" s="46" t="n"/>
      <c r="C1843" s="49" t="n"/>
      <c r="D1843" s="49" t="n"/>
      <c r="E1843" s="49" t="n"/>
      <c r="F1843" s="49" t="n"/>
      <c r="G1843" s="47" t="n"/>
      <c r="H1843" s="50" t="n"/>
      <c r="I1843" s="51" t="n"/>
      <c r="J1843" s="46" t="n"/>
      <c r="K1843" s="46" t="n"/>
      <c r="L1843" s="23">
        <f>IF(OR($A1843="",$B1843=""),"",IF($K1843&lt;&gt;"",$K1843-$B1843,TODAY()-$B1843))</f>
        <v/>
      </c>
      <c r="M1843" s="27">
        <f>IF(OR($A1843="",$J1843=""),"",IF($K1843="",IF(TODAY()&gt;$J1843,"Atrasado","En ruta"),IF($K1843&lt;=$J1843,"Sí","No")))</f>
        <v/>
      </c>
      <c r="N1843" s="23">
        <f>IF($A1843="","",COUNTIFS(NOVEDADES!$C$4:$C$1503,$A1843))</f>
        <v/>
      </c>
      <c r="O1843" s="27">
        <f>IF($A1843="","",IF(COUNTIFS(NOVEDADES!$C$4:$C$1503,$A1843,NOVEDADES!$M$4:$M$1503,"SÍ")&gt;0,"No","Sí"))</f>
        <v/>
      </c>
      <c r="P1843" s="27">
        <f>IF(OR($A1843="",$K1843=""),"",IF(AND($M1843="Sí",$O1843="Sí"),"OTIF","Falló"))</f>
        <v/>
      </c>
    </row>
    <row r="1844" ht="16" customHeight="1">
      <c r="A1844" s="47" t="n"/>
      <c r="B1844" s="46" t="n"/>
      <c r="C1844" s="49" t="n"/>
      <c r="D1844" s="49" t="n"/>
      <c r="E1844" s="49" t="n"/>
      <c r="F1844" s="49" t="n"/>
      <c r="G1844" s="47" t="n"/>
      <c r="H1844" s="50" t="n"/>
      <c r="I1844" s="51" t="n"/>
      <c r="J1844" s="46" t="n"/>
      <c r="K1844" s="46" t="n"/>
      <c r="L1844" s="23">
        <f>IF(OR($A1844="",$B1844=""),"",IF($K1844&lt;&gt;"",$K1844-$B1844,TODAY()-$B1844))</f>
        <v/>
      </c>
      <c r="M1844" s="27">
        <f>IF(OR($A1844="",$J1844=""),"",IF($K1844="",IF(TODAY()&gt;$J1844,"Atrasado","En ruta"),IF($K1844&lt;=$J1844,"Sí","No")))</f>
        <v/>
      </c>
      <c r="N1844" s="23">
        <f>IF($A1844="","",COUNTIFS(NOVEDADES!$C$4:$C$1503,$A1844))</f>
        <v/>
      </c>
      <c r="O1844" s="27">
        <f>IF($A1844="","",IF(COUNTIFS(NOVEDADES!$C$4:$C$1503,$A1844,NOVEDADES!$M$4:$M$1503,"SÍ")&gt;0,"No","Sí"))</f>
        <v/>
      </c>
      <c r="P1844" s="27">
        <f>IF(OR($A1844="",$K1844=""),"",IF(AND($M1844="Sí",$O1844="Sí"),"OTIF","Falló"))</f>
        <v/>
      </c>
    </row>
    <row r="1845" ht="16" customHeight="1">
      <c r="A1845" s="47" t="n"/>
      <c r="B1845" s="46" t="n"/>
      <c r="C1845" s="49" t="n"/>
      <c r="D1845" s="49" t="n"/>
      <c r="E1845" s="49" t="n"/>
      <c r="F1845" s="49" t="n"/>
      <c r="G1845" s="47" t="n"/>
      <c r="H1845" s="50" t="n"/>
      <c r="I1845" s="51" t="n"/>
      <c r="J1845" s="46" t="n"/>
      <c r="K1845" s="46" t="n"/>
      <c r="L1845" s="23">
        <f>IF(OR($A1845="",$B1845=""),"",IF($K1845&lt;&gt;"",$K1845-$B1845,TODAY()-$B1845))</f>
        <v/>
      </c>
      <c r="M1845" s="27">
        <f>IF(OR($A1845="",$J1845=""),"",IF($K1845="",IF(TODAY()&gt;$J1845,"Atrasado","En ruta"),IF($K1845&lt;=$J1845,"Sí","No")))</f>
        <v/>
      </c>
      <c r="N1845" s="23">
        <f>IF($A1845="","",COUNTIFS(NOVEDADES!$C$4:$C$1503,$A1845))</f>
        <v/>
      </c>
      <c r="O1845" s="27">
        <f>IF($A1845="","",IF(COUNTIFS(NOVEDADES!$C$4:$C$1503,$A1845,NOVEDADES!$M$4:$M$1503,"SÍ")&gt;0,"No","Sí"))</f>
        <v/>
      </c>
      <c r="P1845" s="27">
        <f>IF(OR($A1845="",$K1845=""),"",IF(AND($M1845="Sí",$O1845="Sí"),"OTIF","Falló"))</f>
        <v/>
      </c>
    </row>
    <row r="1846" ht="16" customHeight="1">
      <c r="A1846" s="47" t="n"/>
      <c r="B1846" s="46" t="n"/>
      <c r="C1846" s="49" t="n"/>
      <c r="D1846" s="49" t="n"/>
      <c r="E1846" s="49" t="n"/>
      <c r="F1846" s="49" t="n"/>
      <c r="G1846" s="47" t="n"/>
      <c r="H1846" s="50" t="n"/>
      <c r="I1846" s="51" t="n"/>
      <c r="J1846" s="46" t="n"/>
      <c r="K1846" s="46" t="n"/>
      <c r="L1846" s="23">
        <f>IF(OR($A1846="",$B1846=""),"",IF($K1846&lt;&gt;"",$K1846-$B1846,TODAY()-$B1846))</f>
        <v/>
      </c>
      <c r="M1846" s="27">
        <f>IF(OR($A1846="",$J1846=""),"",IF($K1846="",IF(TODAY()&gt;$J1846,"Atrasado","En ruta"),IF($K1846&lt;=$J1846,"Sí","No")))</f>
        <v/>
      </c>
      <c r="N1846" s="23">
        <f>IF($A1846="","",COUNTIFS(NOVEDADES!$C$4:$C$1503,$A1846))</f>
        <v/>
      </c>
      <c r="O1846" s="27">
        <f>IF($A1846="","",IF(COUNTIFS(NOVEDADES!$C$4:$C$1503,$A1846,NOVEDADES!$M$4:$M$1503,"SÍ")&gt;0,"No","Sí"))</f>
        <v/>
      </c>
      <c r="P1846" s="27">
        <f>IF(OR($A1846="",$K1846=""),"",IF(AND($M1846="Sí",$O1846="Sí"),"OTIF","Falló"))</f>
        <v/>
      </c>
    </row>
    <row r="1847" ht="16" customHeight="1">
      <c r="A1847" s="47" t="n"/>
      <c r="B1847" s="46" t="n"/>
      <c r="C1847" s="49" t="n"/>
      <c r="D1847" s="49" t="n"/>
      <c r="E1847" s="49" t="n"/>
      <c r="F1847" s="49" t="n"/>
      <c r="G1847" s="47" t="n"/>
      <c r="H1847" s="50" t="n"/>
      <c r="I1847" s="51" t="n"/>
      <c r="J1847" s="46" t="n"/>
      <c r="K1847" s="46" t="n"/>
      <c r="L1847" s="23">
        <f>IF(OR($A1847="",$B1847=""),"",IF($K1847&lt;&gt;"",$K1847-$B1847,TODAY()-$B1847))</f>
        <v/>
      </c>
      <c r="M1847" s="27">
        <f>IF(OR($A1847="",$J1847=""),"",IF($K1847="",IF(TODAY()&gt;$J1847,"Atrasado","En ruta"),IF($K1847&lt;=$J1847,"Sí","No")))</f>
        <v/>
      </c>
      <c r="N1847" s="23">
        <f>IF($A1847="","",COUNTIFS(NOVEDADES!$C$4:$C$1503,$A1847))</f>
        <v/>
      </c>
      <c r="O1847" s="27">
        <f>IF($A1847="","",IF(COUNTIFS(NOVEDADES!$C$4:$C$1503,$A1847,NOVEDADES!$M$4:$M$1503,"SÍ")&gt;0,"No","Sí"))</f>
        <v/>
      </c>
      <c r="P1847" s="27">
        <f>IF(OR($A1847="",$K1847=""),"",IF(AND($M1847="Sí",$O1847="Sí"),"OTIF","Falló"))</f>
        <v/>
      </c>
    </row>
    <row r="1848" ht="16" customHeight="1">
      <c r="A1848" s="47" t="n"/>
      <c r="B1848" s="46" t="n"/>
      <c r="C1848" s="49" t="n"/>
      <c r="D1848" s="49" t="n"/>
      <c r="E1848" s="49" t="n"/>
      <c r="F1848" s="49" t="n"/>
      <c r="G1848" s="47" t="n"/>
      <c r="H1848" s="50" t="n"/>
      <c r="I1848" s="51" t="n"/>
      <c r="J1848" s="46" t="n"/>
      <c r="K1848" s="46" t="n"/>
      <c r="L1848" s="23">
        <f>IF(OR($A1848="",$B1848=""),"",IF($K1848&lt;&gt;"",$K1848-$B1848,TODAY()-$B1848))</f>
        <v/>
      </c>
      <c r="M1848" s="27">
        <f>IF(OR($A1848="",$J1848=""),"",IF($K1848="",IF(TODAY()&gt;$J1848,"Atrasado","En ruta"),IF($K1848&lt;=$J1848,"Sí","No")))</f>
        <v/>
      </c>
      <c r="N1848" s="23">
        <f>IF($A1848="","",COUNTIFS(NOVEDADES!$C$4:$C$1503,$A1848))</f>
        <v/>
      </c>
      <c r="O1848" s="27">
        <f>IF($A1848="","",IF(COUNTIFS(NOVEDADES!$C$4:$C$1503,$A1848,NOVEDADES!$M$4:$M$1503,"SÍ")&gt;0,"No","Sí"))</f>
        <v/>
      </c>
      <c r="P1848" s="27">
        <f>IF(OR($A1848="",$K1848=""),"",IF(AND($M1848="Sí",$O1848="Sí"),"OTIF","Falló"))</f>
        <v/>
      </c>
    </row>
    <row r="1849" ht="16" customHeight="1">
      <c r="A1849" s="47" t="n"/>
      <c r="B1849" s="46" t="n"/>
      <c r="C1849" s="49" t="n"/>
      <c r="D1849" s="49" t="n"/>
      <c r="E1849" s="49" t="n"/>
      <c r="F1849" s="49" t="n"/>
      <c r="G1849" s="47" t="n"/>
      <c r="H1849" s="50" t="n"/>
      <c r="I1849" s="51" t="n"/>
      <c r="J1849" s="46" t="n"/>
      <c r="K1849" s="46" t="n"/>
      <c r="L1849" s="23">
        <f>IF(OR($A1849="",$B1849=""),"",IF($K1849&lt;&gt;"",$K1849-$B1849,TODAY()-$B1849))</f>
        <v/>
      </c>
      <c r="M1849" s="27">
        <f>IF(OR($A1849="",$J1849=""),"",IF($K1849="",IF(TODAY()&gt;$J1849,"Atrasado","En ruta"),IF($K1849&lt;=$J1849,"Sí","No")))</f>
        <v/>
      </c>
      <c r="N1849" s="23">
        <f>IF($A1849="","",COUNTIFS(NOVEDADES!$C$4:$C$1503,$A1849))</f>
        <v/>
      </c>
      <c r="O1849" s="27">
        <f>IF($A1849="","",IF(COUNTIFS(NOVEDADES!$C$4:$C$1503,$A1849,NOVEDADES!$M$4:$M$1503,"SÍ")&gt;0,"No","Sí"))</f>
        <v/>
      </c>
      <c r="P1849" s="27">
        <f>IF(OR($A1849="",$K1849=""),"",IF(AND($M1849="Sí",$O1849="Sí"),"OTIF","Falló"))</f>
        <v/>
      </c>
    </row>
    <row r="1850" ht="16" customHeight="1">
      <c r="A1850" s="47" t="n"/>
      <c r="B1850" s="46" t="n"/>
      <c r="C1850" s="49" t="n"/>
      <c r="D1850" s="49" t="n"/>
      <c r="E1850" s="49" t="n"/>
      <c r="F1850" s="49" t="n"/>
      <c r="G1850" s="47" t="n"/>
      <c r="H1850" s="50" t="n"/>
      <c r="I1850" s="51" t="n"/>
      <c r="J1850" s="46" t="n"/>
      <c r="K1850" s="46" t="n"/>
      <c r="L1850" s="23">
        <f>IF(OR($A1850="",$B1850=""),"",IF($K1850&lt;&gt;"",$K1850-$B1850,TODAY()-$B1850))</f>
        <v/>
      </c>
      <c r="M1850" s="27">
        <f>IF(OR($A1850="",$J1850=""),"",IF($K1850="",IF(TODAY()&gt;$J1850,"Atrasado","En ruta"),IF($K1850&lt;=$J1850,"Sí","No")))</f>
        <v/>
      </c>
      <c r="N1850" s="23">
        <f>IF($A1850="","",COUNTIFS(NOVEDADES!$C$4:$C$1503,$A1850))</f>
        <v/>
      </c>
      <c r="O1850" s="27">
        <f>IF($A1850="","",IF(COUNTIFS(NOVEDADES!$C$4:$C$1503,$A1850,NOVEDADES!$M$4:$M$1503,"SÍ")&gt;0,"No","Sí"))</f>
        <v/>
      </c>
      <c r="P1850" s="27">
        <f>IF(OR($A1850="",$K1850=""),"",IF(AND($M1850="Sí",$O1850="Sí"),"OTIF","Falló"))</f>
        <v/>
      </c>
    </row>
    <row r="1851" ht="16" customHeight="1">
      <c r="A1851" s="47" t="n"/>
      <c r="B1851" s="46" t="n"/>
      <c r="C1851" s="49" t="n"/>
      <c r="D1851" s="49" t="n"/>
      <c r="E1851" s="49" t="n"/>
      <c r="F1851" s="49" t="n"/>
      <c r="G1851" s="47" t="n"/>
      <c r="H1851" s="50" t="n"/>
      <c r="I1851" s="51" t="n"/>
      <c r="J1851" s="46" t="n"/>
      <c r="K1851" s="46" t="n"/>
      <c r="L1851" s="23">
        <f>IF(OR($A1851="",$B1851=""),"",IF($K1851&lt;&gt;"",$K1851-$B1851,TODAY()-$B1851))</f>
        <v/>
      </c>
      <c r="M1851" s="27">
        <f>IF(OR($A1851="",$J1851=""),"",IF($K1851="",IF(TODAY()&gt;$J1851,"Atrasado","En ruta"),IF($K1851&lt;=$J1851,"Sí","No")))</f>
        <v/>
      </c>
      <c r="N1851" s="23">
        <f>IF($A1851="","",COUNTIFS(NOVEDADES!$C$4:$C$1503,$A1851))</f>
        <v/>
      </c>
      <c r="O1851" s="27">
        <f>IF($A1851="","",IF(COUNTIFS(NOVEDADES!$C$4:$C$1503,$A1851,NOVEDADES!$M$4:$M$1503,"SÍ")&gt;0,"No","Sí"))</f>
        <v/>
      </c>
      <c r="P1851" s="27">
        <f>IF(OR($A1851="",$K1851=""),"",IF(AND($M1851="Sí",$O1851="Sí"),"OTIF","Falló"))</f>
        <v/>
      </c>
    </row>
    <row r="1852" ht="16" customHeight="1">
      <c r="A1852" s="47" t="n"/>
      <c r="B1852" s="46" t="n"/>
      <c r="C1852" s="49" t="n"/>
      <c r="D1852" s="49" t="n"/>
      <c r="E1852" s="49" t="n"/>
      <c r="F1852" s="49" t="n"/>
      <c r="G1852" s="47" t="n"/>
      <c r="H1852" s="50" t="n"/>
      <c r="I1852" s="51" t="n"/>
      <c r="J1852" s="46" t="n"/>
      <c r="K1852" s="46" t="n"/>
      <c r="L1852" s="23">
        <f>IF(OR($A1852="",$B1852=""),"",IF($K1852&lt;&gt;"",$K1852-$B1852,TODAY()-$B1852))</f>
        <v/>
      </c>
      <c r="M1852" s="27">
        <f>IF(OR($A1852="",$J1852=""),"",IF($K1852="",IF(TODAY()&gt;$J1852,"Atrasado","En ruta"),IF($K1852&lt;=$J1852,"Sí","No")))</f>
        <v/>
      </c>
      <c r="N1852" s="23">
        <f>IF($A1852="","",COUNTIFS(NOVEDADES!$C$4:$C$1503,$A1852))</f>
        <v/>
      </c>
      <c r="O1852" s="27">
        <f>IF($A1852="","",IF(COUNTIFS(NOVEDADES!$C$4:$C$1503,$A1852,NOVEDADES!$M$4:$M$1503,"SÍ")&gt;0,"No","Sí"))</f>
        <v/>
      </c>
      <c r="P1852" s="27">
        <f>IF(OR($A1852="",$K1852=""),"",IF(AND($M1852="Sí",$O1852="Sí"),"OTIF","Falló"))</f>
        <v/>
      </c>
    </row>
    <row r="1853" ht="16" customHeight="1">
      <c r="A1853" s="47" t="n"/>
      <c r="B1853" s="46" t="n"/>
      <c r="C1853" s="49" t="n"/>
      <c r="D1853" s="49" t="n"/>
      <c r="E1853" s="49" t="n"/>
      <c r="F1853" s="49" t="n"/>
      <c r="G1853" s="47" t="n"/>
      <c r="H1853" s="50" t="n"/>
      <c r="I1853" s="51" t="n"/>
      <c r="J1853" s="46" t="n"/>
      <c r="K1853" s="46" t="n"/>
      <c r="L1853" s="23">
        <f>IF(OR($A1853="",$B1853=""),"",IF($K1853&lt;&gt;"",$K1853-$B1853,TODAY()-$B1853))</f>
        <v/>
      </c>
      <c r="M1853" s="27">
        <f>IF(OR($A1853="",$J1853=""),"",IF($K1853="",IF(TODAY()&gt;$J1853,"Atrasado","En ruta"),IF($K1853&lt;=$J1853,"Sí","No")))</f>
        <v/>
      </c>
      <c r="N1853" s="23">
        <f>IF($A1853="","",COUNTIFS(NOVEDADES!$C$4:$C$1503,$A1853))</f>
        <v/>
      </c>
      <c r="O1853" s="27">
        <f>IF($A1853="","",IF(COUNTIFS(NOVEDADES!$C$4:$C$1503,$A1853,NOVEDADES!$M$4:$M$1503,"SÍ")&gt;0,"No","Sí"))</f>
        <v/>
      </c>
      <c r="P1853" s="27">
        <f>IF(OR($A1853="",$K1853=""),"",IF(AND($M1853="Sí",$O1853="Sí"),"OTIF","Falló"))</f>
        <v/>
      </c>
    </row>
    <row r="1854" ht="16" customHeight="1">
      <c r="A1854" s="47" t="n"/>
      <c r="B1854" s="46" t="n"/>
      <c r="C1854" s="49" t="n"/>
      <c r="D1854" s="49" t="n"/>
      <c r="E1854" s="49" t="n"/>
      <c r="F1854" s="49" t="n"/>
      <c r="G1854" s="47" t="n"/>
      <c r="H1854" s="50" t="n"/>
      <c r="I1854" s="51" t="n"/>
      <c r="J1854" s="46" t="n"/>
      <c r="K1854" s="46" t="n"/>
      <c r="L1854" s="23">
        <f>IF(OR($A1854="",$B1854=""),"",IF($K1854&lt;&gt;"",$K1854-$B1854,TODAY()-$B1854))</f>
        <v/>
      </c>
      <c r="M1854" s="27">
        <f>IF(OR($A1854="",$J1854=""),"",IF($K1854="",IF(TODAY()&gt;$J1854,"Atrasado","En ruta"),IF($K1854&lt;=$J1854,"Sí","No")))</f>
        <v/>
      </c>
      <c r="N1854" s="23">
        <f>IF($A1854="","",COUNTIFS(NOVEDADES!$C$4:$C$1503,$A1854))</f>
        <v/>
      </c>
      <c r="O1854" s="27">
        <f>IF($A1854="","",IF(COUNTIFS(NOVEDADES!$C$4:$C$1503,$A1854,NOVEDADES!$M$4:$M$1503,"SÍ")&gt;0,"No","Sí"))</f>
        <v/>
      </c>
      <c r="P1854" s="27">
        <f>IF(OR($A1854="",$K1854=""),"",IF(AND($M1854="Sí",$O1854="Sí"),"OTIF","Falló"))</f>
        <v/>
      </c>
    </row>
    <row r="1855" ht="16" customHeight="1">
      <c r="A1855" s="47" t="n"/>
      <c r="B1855" s="46" t="n"/>
      <c r="C1855" s="49" t="n"/>
      <c r="D1855" s="49" t="n"/>
      <c r="E1855" s="49" t="n"/>
      <c r="F1855" s="49" t="n"/>
      <c r="G1855" s="47" t="n"/>
      <c r="H1855" s="50" t="n"/>
      <c r="I1855" s="51" t="n"/>
      <c r="J1855" s="46" t="n"/>
      <c r="K1855" s="46" t="n"/>
      <c r="L1855" s="23">
        <f>IF(OR($A1855="",$B1855=""),"",IF($K1855&lt;&gt;"",$K1855-$B1855,TODAY()-$B1855))</f>
        <v/>
      </c>
      <c r="M1855" s="27">
        <f>IF(OR($A1855="",$J1855=""),"",IF($K1855="",IF(TODAY()&gt;$J1855,"Atrasado","En ruta"),IF($K1855&lt;=$J1855,"Sí","No")))</f>
        <v/>
      </c>
      <c r="N1855" s="23">
        <f>IF($A1855="","",COUNTIFS(NOVEDADES!$C$4:$C$1503,$A1855))</f>
        <v/>
      </c>
      <c r="O1855" s="27">
        <f>IF($A1855="","",IF(COUNTIFS(NOVEDADES!$C$4:$C$1503,$A1855,NOVEDADES!$M$4:$M$1503,"SÍ")&gt;0,"No","Sí"))</f>
        <v/>
      </c>
      <c r="P1855" s="27">
        <f>IF(OR($A1855="",$K1855=""),"",IF(AND($M1855="Sí",$O1855="Sí"),"OTIF","Falló"))</f>
        <v/>
      </c>
    </row>
    <row r="1856" ht="16" customHeight="1">
      <c r="A1856" s="47" t="n"/>
      <c r="B1856" s="46" t="n"/>
      <c r="C1856" s="49" t="n"/>
      <c r="D1856" s="49" t="n"/>
      <c r="E1856" s="49" t="n"/>
      <c r="F1856" s="49" t="n"/>
      <c r="G1856" s="47" t="n"/>
      <c r="H1856" s="50" t="n"/>
      <c r="I1856" s="51" t="n"/>
      <c r="J1856" s="46" t="n"/>
      <c r="K1856" s="46" t="n"/>
      <c r="L1856" s="23">
        <f>IF(OR($A1856="",$B1856=""),"",IF($K1856&lt;&gt;"",$K1856-$B1856,TODAY()-$B1856))</f>
        <v/>
      </c>
      <c r="M1856" s="27">
        <f>IF(OR($A1856="",$J1856=""),"",IF($K1856="",IF(TODAY()&gt;$J1856,"Atrasado","En ruta"),IF($K1856&lt;=$J1856,"Sí","No")))</f>
        <v/>
      </c>
      <c r="N1856" s="23">
        <f>IF($A1856="","",COUNTIFS(NOVEDADES!$C$4:$C$1503,$A1856))</f>
        <v/>
      </c>
      <c r="O1856" s="27">
        <f>IF($A1856="","",IF(COUNTIFS(NOVEDADES!$C$4:$C$1503,$A1856,NOVEDADES!$M$4:$M$1503,"SÍ")&gt;0,"No","Sí"))</f>
        <v/>
      </c>
      <c r="P1856" s="27">
        <f>IF(OR($A1856="",$K1856=""),"",IF(AND($M1856="Sí",$O1856="Sí"),"OTIF","Falló"))</f>
        <v/>
      </c>
    </row>
    <row r="1857" ht="16" customHeight="1">
      <c r="A1857" s="47" t="n"/>
      <c r="B1857" s="46" t="n"/>
      <c r="C1857" s="49" t="n"/>
      <c r="D1857" s="49" t="n"/>
      <c r="E1857" s="49" t="n"/>
      <c r="F1857" s="49" t="n"/>
      <c r="G1857" s="47" t="n"/>
      <c r="H1857" s="50" t="n"/>
      <c r="I1857" s="51" t="n"/>
      <c r="J1857" s="46" t="n"/>
      <c r="K1857" s="46" t="n"/>
      <c r="L1857" s="23">
        <f>IF(OR($A1857="",$B1857=""),"",IF($K1857&lt;&gt;"",$K1857-$B1857,TODAY()-$B1857))</f>
        <v/>
      </c>
      <c r="M1857" s="27">
        <f>IF(OR($A1857="",$J1857=""),"",IF($K1857="",IF(TODAY()&gt;$J1857,"Atrasado","En ruta"),IF($K1857&lt;=$J1857,"Sí","No")))</f>
        <v/>
      </c>
      <c r="N1857" s="23">
        <f>IF($A1857="","",COUNTIFS(NOVEDADES!$C$4:$C$1503,$A1857))</f>
        <v/>
      </c>
      <c r="O1857" s="27">
        <f>IF($A1857="","",IF(COUNTIFS(NOVEDADES!$C$4:$C$1503,$A1857,NOVEDADES!$M$4:$M$1503,"SÍ")&gt;0,"No","Sí"))</f>
        <v/>
      </c>
      <c r="P1857" s="27">
        <f>IF(OR($A1857="",$K1857=""),"",IF(AND($M1857="Sí",$O1857="Sí"),"OTIF","Falló"))</f>
        <v/>
      </c>
    </row>
    <row r="1858" ht="16" customHeight="1">
      <c r="A1858" s="47" t="n"/>
      <c r="B1858" s="46" t="n"/>
      <c r="C1858" s="49" t="n"/>
      <c r="D1858" s="49" t="n"/>
      <c r="E1858" s="49" t="n"/>
      <c r="F1858" s="49" t="n"/>
      <c r="G1858" s="47" t="n"/>
      <c r="H1858" s="50" t="n"/>
      <c r="I1858" s="51" t="n"/>
      <c r="J1858" s="46" t="n"/>
      <c r="K1858" s="46" t="n"/>
      <c r="L1858" s="23">
        <f>IF(OR($A1858="",$B1858=""),"",IF($K1858&lt;&gt;"",$K1858-$B1858,TODAY()-$B1858))</f>
        <v/>
      </c>
      <c r="M1858" s="27">
        <f>IF(OR($A1858="",$J1858=""),"",IF($K1858="",IF(TODAY()&gt;$J1858,"Atrasado","En ruta"),IF($K1858&lt;=$J1858,"Sí","No")))</f>
        <v/>
      </c>
      <c r="N1858" s="23">
        <f>IF($A1858="","",COUNTIFS(NOVEDADES!$C$4:$C$1503,$A1858))</f>
        <v/>
      </c>
      <c r="O1858" s="27">
        <f>IF($A1858="","",IF(COUNTIFS(NOVEDADES!$C$4:$C$1503,$A1858,NOVEDADES!$M$4:$M$1503,"SÍ")&gt;0,"No","Sí"))</f>
        <v/>
      </c>
      <c r="P1858" s="27">
        <f>IF(OR($A1858="",$K1858=""),"",IF(AND($M1858="Sí",$O1858="Sí"),"OTIF","Falló"))</f>
        <v/>
      </c>
    </row>
    <row r="1859" ht="16" customHeight="1">
      <c r="A1859" s="47" t="n"/>
      <c r="B1859" s="46" t="n"/>
      <c r="C1859" s="49" t="n"/>
      <c r="D1859" s="49" t="n"/>
      <c r="E1859" s="49" t="n"/>
      <c r="F1859" s="49" t="n"/>
      <c r="G1859" s="47" t="n"/>
      <c r="H1859" s="50" t="n"/>
      <c r="I1859" s="51" t="n"/>
      <c r="J1859" s="46" t="n"/>
      <c r="K1859" s="46" t="n"/>
      <c r="L1859" s="23">
        <f>IF(OR($A1859="",$B1859=""),"",IF($K1859&lt;&gt;"",$K1859-$B1859,TODAY()-$B1859))</f>
        <v/>
      </c>
      <c r="M1859" s="27">
        <f>IF(OR($A1859="",$J1859=""),"",IF($K1859="",IF(TODAY()&gt;$J1859,"Atrasado","En ruta"),IF($K1859&lt;=$J1859,"Sí","No")))</f>
        <v/>
      </c>
      <c r="N1859" s="23">
        <f>IF($A1859="","",COUNTIFS(NOVEDADES!$C$4:$C$1503,$A1859))</f>
        <v/>
      </c>
      <c r="O1859" s="27">
        <f>IF($A1859="","",IF(COUNTIFS(NOVEDADES!$C$4:$C$1503,$A1859,NOVEDADES!$M$4:$M$1503,"SÍ")&gt;0,"No","Sí"))</f>
        <v/>
      </c>
      <c r="P1859" s="27">
        <f>IF(OR($A1859="",$K1859=""),"",IF(AND($M1859="Sí",$O1859="Sí"),"OTIF","Falló"))</f>
        <v/>
      </c>
    </row>
    <row r="1860" ht="16" customHeight="1">
      <c r="A1860" s="47" t="n"/>
      <c r="B1860" s="46" t="n"/>
      <c r="C1860" s="49" t="n"/>
      <c r="D1860" s="49" t="n"/>
      <c r="E1860" s="49" t="n"/>
      <c r="F1860" s="49" t="n"/>
      <c r="G1860" s="47" t="n"/>
      <c r="H1860" s="50" t="n"/>
      <c r="I1860" s="51" t="n"/>
      <c r="J1860" s="46" t="n"/>
      <c r="K1860" s="46" t="n"/>
      <c r="L1860" s="23">
        <f>IF(OR($A1860="",$B1860=""),"",IF($K1860&lt;&gt;"",$K1860-$B1860,TODAY()-$B1860))</f>
        <v/>
      </c>
      <c r="M1860" s="27">
        <f>IF(OR($A1860="",$J1860=""),"",IF($K1860="",IF(TODAY()&gt;$J1860,"Atrasado","En ruta"),IF($K1860&lt;=$J1860,"Sí","No")))</f>
        <v/>
      </c>
      <c r="N1860" s="23">
        <f>IF($A1860="","",COUNTIFS(NOVEDADES!$C$4:$C$1503,$A1860))</f>
        <v/>
      </c>
      <c r="O1860" s="27">
        <f>IF($A1860="","",IF(COUNTIFS(NOVEDADES!$C$4:$C$1503,$A1860,NOVEDADES!$M$4:$M$1503,"SÍ")&gt;0,"No","Sí"))</f>
        <v/>
      </c>
      <c r="P1860" s="27">
        <f>IF(OR($A1860="",$K1860=""),"",IF(AND($M1860="Sí",$O1860="Sí"),"OTIF","Falló"))</f>
        <v/>
      </c>
    </row>
    <row r="1861" ht="16" customHeight="1">
      <c r="A1861" s="47" t="n"/>
      <c r="B1861" s="46" t="n"/>
      <c r="C1861" s="49" t="n"/>
      <c r="D1861" s="49" t="n"/>
      <c r="E1861" s="49" t="n"/>
      <c r="F1861" s="49" t="n"/>
      <c r="G1861" s="47" t="n"/>
      <c r="H1861" s="50" t="n"/>
      <c r="I1861" s="51" t="n"/>
      <c r="J1861" s="46" t="n"/>
      <c r="K1861" s="46" t="n"/>
      <c r="L1861" s="23">
        <f>IF(OR($A1861="",$B1861=""),"",IF($K1861&lt;&gt;"",$K1861-$B1861,TODAY()-$B1861))</f>
        <v/>
      </c>
      <c r="M1861" s="27">
        <f>IF(OR($A1861="",$J1861=""),"",IF($K1861="",IF(TODAY()&gt;$J1861,"Atrasado","En ruta"),IF($K1861&lt;=$J1861,"Sí","No")))</f>
        <v/>
      </c>
      <c r="N1861" s="23">
        <f>IF($A1861="","",COUNTIFS(NOVEDADES!$C$4:$C$1503,$A1861))</f>
        <v/>
      </c>
      <c r="O1861" s="27">
        <f>IF($A1861="","",IF(COUNTIFS(NOVEDADES!$C$4:$C$1503,$A1861,NOVEDADES!$M$4:$M$1503,"SÍ")&gt;0,"No","Sí"))</f>
        <v/>
      </c>
      <c r="P1861" s="27">
        <f>IF(OR($A1861="",$K1861=""),"",IF(AND($M1861="Sí",$O1861="Sí"),"OTIF","Falló"))</f>
        <v/>
      </c>
    </row>
    <row r="1862" ht="16" customHeight="1">
      <c r="A1862" s="47" t="n"/>
      <c r="B1862" s="46" t="n"/>
      <c r="C1862" s="49" t="n"/>
      <c r="D1862" s="49" t="n"/>
      <c r="E1862" s="49" t="n"/>
      <c r="F1862" s="49" t="n"/>
      <c r="G1862" s="47" t="n"/>
      <c r="H1862" s="50" t="n"/>
      <c r="I1862" s="51" t="n"/>
      <c r="J1862" s="46" t="n"/>
      <c r="K1862" s="46" t="n"/>
      <c r="L1862" s="23">
        <f>IF(OR($A1862="",$B1862=""),"",IF($K1862&lt;&gt;"",$K1862-$B1862,TODAY()-$B1862))</f>
        <v/>
      </c>
      <c r="M1862" s="27">
        <f>IF(OR($A1862="",$J1862=""),"",IF($K1862="",IF(TODAY()&gt;$J1862,"Atrasado","En ruta"),IF($K1862&lt;=$J1862,"Sí","No")))</f>
        <v/>
      </c>
      <c r="N1862" s="23">
        <f>IF($A1862="","",COUNTIFS(NOVEDADES!$C$4:$C$1503,$A1862))</f>
        <v/>
      </c>
      <c r="O1862" s="27">
        <f>IF($A1862="","",IF(COUNTIFS(NOVEDADES!$C$4:$C$1503,$A1862,NOVEDADES!$M$4:$M$1503,"SÍ")&gt;0,"No","Sí"))</f>
        <v/>
      </c>
      <c r="P1862" s="27">
        <f>IF(OR($A1862="",$K1862=""),"",IF(AND($M1862="Sí",$O1862="Sí"),"OTIF","Falló"))</f>
        <v/>
      </c>
    </row>
    <row r="1863" ht="16" customHeight="1">
      <c r="A1863" s="47" t="n"/>
      <c r="B1863" s="46" t="n"/>
      <c r="C1863" s="49" t="n"/>
      <c r="D1863" s="49" t="n"/>
      <c r="E1863" s="49" t="n"/>
      <c r="F1863" s="49" t="n"/>
      <c r="G1863" s="47" t="n"/>
      <c r="H1863" s="50" t="n"/>
      <c r="I1863" s="51" t="n"/>
      <c r="J1863" s="46" t="n"/>
      <c r="K1863" s="46" t="n"/>
      <c r="L1863" s="23">
        <f>IF(OR($A1863="",$B1863=""),"",IF($K1863&lt;&gt;"",$K1863-$B1863,TODAY()-$B1863))</f>
        <v/>
      </c>
      <c r="M1863" s="27">
        <f>IF(OR($A1863="",$J1863=""),"",IF($K1863="",IF(TODAY()&gt;$J1863,"Atrasado","En ruta"),IF($K1863&lt;=$J1863,"Sí","No")))</f>
        <v/>
      </c>
      <c r="N1863" s="23">
        <f>IF($A1863="","",COUNTIFS(NOVEDADES!$C$4:$C$1503,$A1863))</f>
        <v/>
      </c>
      <c r="O1863" s="27">
        <f>IF($A1863="","",IF(COUNTIFS(NOVEDADES!$C$4:$C$1503,$A1863,NOVEDADES!$M$4:$M$1503,"SÍ")&gt;0,"No","Sí"))</f>
        <v/>
      </c>
      <c r="P1863" s="27">
        <f>IF(OR($A1863="",$K1863=""),"",IF(AND($M1863="Sí",$O1863="Sí"),"OTIF","Falló"))</f>
        <v/>
      </c>
    </row>
    <row r="1864" ht="16" customHeight="1">
      <c r="A1864" s="47" t="n"/>
      <c r="B1864" s="46" t="n"/>
      <c r="C1864" s="49" t="n"/>
      <c r="D1864" s="49" t="n"/>
      <c r="E1864" s="49" t="n"/>
      <c r="F1864" s="49" t="n"/>
      <c r="G1864" s="47" t="n"/>
      <c r="H1864" s="50" t="n"/>
      <c r="I1864" s="51" t="n"/>
      <c r="J1864" s="46" t="n"/>
      <c r="K1864" s="46" t="n"/>
      <c r="L1864" s="23">
        <f>IF(OR($A1864="",$B1864=""),"",IF($K1864&lt;&gt;"",$K1864-$B1864,TODAY()-$B1864))</f>
        <v/>
      </c>
      <c r="M1864" s="27">
        <f>IF(OR($A1864="",$J1864=""),"",IF($K1864="",IF(TODAY()&gt;$J1864,"Atrasado","En ruta"),IF($K1864&lt;=$J1864,"Sí","No")))</f>
        <v/>
      </c>
      <c r="N1864" s="23">
        <f>IF($A1864="","",COUNTIFS(NOVEDADES!$C$4:$C$1503,$A1864))</f>
        <v/>
      </c>
      <c r="O1864" s="27">
        <f>IF($A1864="","",IF(COUNTIFS(NOVEDADES!$C$4:$C$1503,$A1864,NOVEDADES!$M$4:$M$1503,"SÍ")&gt;0,"No","Sí"))</f>
        <v/>
      </c>
      <c r="P1864" s="27">
        <f>IF(OR($A1864="",$K1864=""),"",IF(AND($M1864="Sí",$O1864="Sí"),"OTIF","Falló"))</f>
        <v/>
      </c>
    </row>
    <row r="1865" ht="16" customHeight="1">
      <c r="A1865" s="47" t="n"/>
      <c r="B1865" s="46" t="n"/>
      <c r="C1865" s="49" t="n"/>
      <c r="D1865" s="49" t="n"/>
      <c r="E1865" s="49" t="n"/>
      <c r="F1865" s="49" t="n"/>
      <c r="G1865" s="47" t="n"/>
      <c r="H1865" s="50" t="n"/>
      <c r="I1865" s="51" t="n"/>
      <c r="J1865" s="46" t="n"/>
      <c r="K1865" s="46" t="n"/>
      <c r="L1865" s="23">
        <f>IF(OR($A1865="",$B1865=""),"",IF($K1865&lt;&gt;"",$K1865-$B1865,TODAY()-$B1865))</f>
        <v/>
      </c>
      <c r="M1865" s="27">
        <f>IF(OR($A1865="",$J1865=""),"",IF($K1865="",IF(TODAY()&gt;$J1865,"Atrasado","En ruta"),IF($K1865&lt;=$J1865,"Sí","No")))</f>
        <v/>
      </c>
      <c r="N1865" s="23">
        <f>IF($A1865="","",COUNTIFS(NOVEDADES!$C$4:$C$1503,$A1865))</f>
        <v/>
      </c>
      <c r="O1865" s="27">
        <f>IF($A1865="","",IF(COUNTIFS(NOVEDADES!$C$4:$C$1503,$A1865,NOVEDADES!$M$4:$M$1503,"SÍ")&gt;0,"No","Sí"))</f>
        <v/>
      </c>
      <c r="P1865" s="27">
        <f>IF(OR($A1865="",$K1865=""),"",IF(AND($M1865="Sí",$O1865="Sí"),"OTIF","Falló"))</f>
        <v/>
      </c>
    </row>
    <row r="1866" ht="16" customHeight="1">
      <c r="A1866" s="47" t="n"/>
      <c r="B1866" s="46" t="n"/>
      <c r="C1866" s="49" t="n"/>
      <c r="D1866" s="49" t="n"/>
      <c r="E1866" s="49" t="n"/>
      <c r="F1866" s="49" t="n"/>
      <c r="G1866" s="47" t="n"/>
      <c r="H1866" s="50" t="n"/>
      <c r="I1866" s="51" t="n"/>
      <c r="J1866" s="46" t="n"/>
      <c r="K1866" s="46" t="n"/>
      <c r="L1866" s="23">
        <f>IF(OR($A1866="",$B1866=""),"",IF($K1866&lt;&gt;"",$K1866-$B1866,TODAY()-$B1866))</f>
        <v/>
      </c>
      <c r="M1866" s="27">
        <f>IF(OR($A1866="",$J1866=""),"",IF($K1866="",IF(TODAY()&gt;$J1866,"Atrasado","En ruta"),IF($K1866&lt;=$J1866,"Sí","No")))</f>
        <v/>
      </c>
      <c r="N1866" s="23">
        <f>IF($A1866="","",COUNTIFS(NOVEDADES!$C$4:$C$1503,$A1866))</f>
        <v/>
      </c>
      <c r="O1866" s="27">
        <f>IF($A1866="","",IF(COUNTIFS(NOVEDADES!$C$4:$C$1503,$A1866,NOVEDADES!$M$4:$M$1503,"SÍ")&gt;0,"No","Sí"))</f>
        <v/>
      </c>
      <c r="P1866" s="27">
        <f>IF(OR($A1866="",$K1866=""),"",IF(AND($M1866="Sí",$O1866="Sí"),"OTIF","Falló"))</f>
        <v/>
      </c>
    </row>
    <row r="1867" ht="16" customHeight="1">
      <c r="A1867" s="47" t="n"/>
      <c r="B1867" s="46" t="n"/>
      <c r="C1867" s="49" t="n"/>
      <c r="D1867" s="49" t="n"/>
      <c r="E1867" s="49" t="n"/>
      <c r="F1867" s="49" t="n"/>
      <c r="G1867" s="47" t="n"/>
      <c r="H1867" s="50" t="n"/>
      <c r="I1867" s="51" t="n"/>
      <c r="J1867" s="46" t="n"/>
      <c r="K1867" s="46" t="n"/>
      <c r="L1867" s="23">
        <f>IF(OR($A1867="",$B1867=""),"",IF($K1867&lt;&gt;"",$K1867-$B1867,TODAY()-$B1867))</f>
        <v/>
      </c>
      <c r="M1867" s="27">
        <f>IF(OR($A1867="",$J1867=""),"",IF($K1867="",IF(TODAY()&gt;$J1867,"Atrasado","En ruta"),IF($K1867&lt;=$J1867,"Sí","No")))</f>
        <v/>
      </c>
      <c r="N1867" s="23">
        <f>IF($A1867="","",COUNTIFS(NOVEDADES!$C$4:$C$1503,$A1867))</f>
        <v/>
      </c>
      <c r="O1867" s="27">
        <f>IF($A1867="","",IF(COUNTIFS(NOVEDADES!$C$4:$C$1503,$A1867,NOVEDADES!$M$4:$M$1503,"SÍ")&gt;0,"No","Sí"))</f>
        <v/>
      </c>
      <c r="P1867" s="27">
        <f>IF(OR($A1867="",$K1867=""),"",IF(AND($M1867="Sí",$O1867="Sí"),"OTIF","Falló"))</f>
        <v/>
      </c>
    </row>
    <row r="1868" ht="16" customHeight="1">
      <c r="A1868" s="47" t="n"/>
      <c r="B1868" s="46" t="n"/>
      <c r="C1868" s="49" t="n"/>
      <c r="D1868" s="49" t="n"/>
      <c r="E1868" s="49" t="n"/>
      <c r="F1868" s="49" t="n"/>
      <c r="G1868" s="47" t="n"/>
      <c r="H1868" s="50" t="n"/>
      <c r="I1868" s="51" t="n"/>
      <c r="J1868" s="46" t="n"/>
      <c r="K1868" s="46" t="n"/>
      <c r="L1868" s="23">
        <f>IF(OR($A1868="",$B1868=""),"",IF($K1868&lt;&gt;"",$K1868-$B1868,TODAY()-$B1868))</f>
        <v/>
      </c>
      <c r="M1868" s="27">
        <f>IF(OR($A1868="",$J1868=""),"",IF($K1868="",IF(TODAY()&gt;$J1868,"Atrasado","En ruta"),IF($K1868&lt;=$J1868,"Sí","No")))</f>
        <v/>
      </c>
      <c r="N1868" s="23">
        <f>IF($A1868="","",COUNTIFS(NOVEDADES!$C$4:$C$1503,$A1868))</f>
        <v/>
      </c>
      <c r="O1868" s="27">
        <f>IF($A1868="","",IF(COUNTIFS(NOVEDADES!$C$4:$C$1503,$A1868,NOVEDADES!$M$4:$M$1503,"SÍ")&gt;0,"No","Sí"))</f>
        <v/>
      </c>
      <c r="P1868" s="27">
        <f>IF(OR($A1868="",$K1868=""),"",IF(AND($M1868="Sí",$O1868="Sí"),"OTIF","Falló"))</f>
        <v/>
      </c>
    </row>
    <row r="1869" ht="16" customHeight="1">
      <c r="A1869" s="47" t="n"/>
      <c r="B1869" s="46" t="n"/>
      <c r="C1869" s="49" t="n"/>
      <c r="D1869" s="49" t="n"/>
      <c r="E1869" s="49" t="n"/>
      <c r="F1869" s="49" t="n"/>
      <c r="G1869" s="47" t="n"/>
      <c r="H1869" s="50" t="n"/>
      <c r="I1869" s="51" t="n"/>
      <c r="J1869" s="46" t="n"/>
      <c r="K1869" s="46" t="n"/>
      <c r="L1869" s="23">
        <f>IF(OR($A1869="",$B1869=""),"",IF($K1869&lt;&gt;"",$K1869-$B1869,TODAY()-$B1869))</f>
        <v/>
      </c>
      <c r="M1869" s="27">
        <f>IF(OR($A1869="",$J1869=""),"",IF($K1869="",IF(TODAY()&gt;$J1869,"Atrasado","En ruta"),IF($K1869&lt;=$J1869,"Sí","No")))</f>
        <v/>
      </c>
      <c r="N1869" s="23">
        <f>IF($A1869="","",COUNTIFS(NOVEDADES!$C$4:$C$1503,$A1869))</f>
        <v/>
      </c>
      <c r="O1869" s="27">
        <f>IF($A1869="","",IF(COUNTIFS(NOVEDADES!$C$4:$C$1503,$A1869,NOVEDADES!$M$4:$M$1503,"SÍ")&gt;0,"No","Sí"))</f>
        <v/>
      </c>
      <c r="P1869" s="27">
        <f>IF(OR($A1869="",$K1869=""),"",IF(AND($M1869="Sí",$O1869="Sí"),"OTIF","Falló"))</f>
        <v/>
      </c>
    </row>
    <row r="1870" ht="16" customHeight="1">
      <c r="A1870" s="47" t="n"/>
      <c r="B1870" s="46" t="n"/>
      <c r="C1870" s="49" t="n"/>
      <c r="D1870" s="49" t="n"/>
      <c r="E1870" s="49" t="n"/>
      <c r="F1870" s="49" t="n"/>
      <c r="G1870" s="47" t="n"/>
      <c r="H1870" s="50" t="n"/>
      <c r="I1870" s="51" t="n"/>
      <c r="J1870" s="46" t="n"/>
      <c r="K1870" s="46" t="n"/>
      <c r="L1870" s="23">
        <f>IF(OR($A1870="",$B1870=""),"",IF($K1870&lt;&gt;"",$K1870-$B1870,TODAY()-$B1870))</f>
        <v/>
      </c>
      <c r="M1870" s="27">
        <f>IF(OR($A1870="",$J1870=""),"",IF($K1870="",IF(TODAY()&gt;$J1870,"Atrasado","En ruta"),IF($K1870&lt;=$J1870,"Sí","No")))</f>
        <v/>
      </c>
      <c r="N1870" s="23">
        <f>IF($A1870="","",COUNTIFS(NOVEDADES!$C$4:$C$1503,$A1870))</f>
        <v/>
      </c>
      <c r="O1870" s="27">
        <f>IF($A1870="","",IF(COUNTIFS(NOVEDADES!$C$4:$C$1503,$A1870,NOVEDADES!$M$4:$M$1503,"SÍ")&gt;0,"No","Sí"))</f>
        <v/>
      </c>
      <c r="P1870" s="27">
        <f>IF(OR($A1870="",$K1870=""),"",IF(AND($M1870="Sí",$O1870="Sí"),"OTIF","Falló"))</f>
        <v/>
      </c>
    </row>
    <row r="1871" ht="16" customHeight="1">
      <c r="A1871" s="47" t="n"/>
      <c r="B1871" s="46" t="n"/>
      <c r="C1871" s="49" t="n"/>
      <c r="D1871" s="49" t="n"/>
      <c r="E1871" s="49" t="n"/>
      <c r="F1871" s="49" t="n"/>
      <c r="G1871" s="47" t="n"/>
      <c r="H1871" s="50" t="n"/>
      <c r="I1871" s="51" t="n"/>
      <c r="J1871" s="46" t="n"/>
      <c r="K1871" s="46" t="n"/>
      <c r="L1871" s="23">
        <f>IF(OR($A1871="",$B1871=""),"",IF($K1871&lt;&gt;"",$K1871-$B1871,TODAY()-$B1871))</f>
        <v/>
      </c>
      <c r="M1871" s="27">
        <f>IF(OR($A1871="",$J1871=""),"",IF($K1871="",IF(TODAY()&gt;$J1871,"Atrasado","En ruta"),IF($K1871&lt;=$J1871,"Sí","No")))</f>
        <v/>
      </c>
      <c r="N1871" s="23">
        <f>IF($A1871="","",COUNTIFS(NOVEDADES!$C$4:$C$1503,$A1871))</f>
        <v/>
      </c>
      <c r="O1871" s="27">
        <f>IF($A1871="","",IF(COUNTIFS(NOVEDADES!$C$4:$C$1503,$A1871,NOVEDADES!$M$4:$M$1503,"SÍ")&gt;0,"No","Sí"))</f>
        <v/>
      </c>
      <c r="P1871" s="27">
        <f>IF(OR($A1871="",$K1871=""),"",IF(AND($M1871="Sí",$O1871="Sí"),"OTIF","Falló"))</f>
        <v/>
      </c>
    </row>
    <row r="1872" ht="16" customHeight="1">
      <c r="A1872" s="47" t="n"/>
      <c r="B1872" s="46" t="n"/>
      <c r="C1872" s="49" t="n"/>
      <c r="D1872" s="49" t="n"/>
      <c r="E1872" s="49" t="n"/>
      <c r="F1872" s="49" t="n"/>
      <c r="G1872" s="47" t="n"/>
      <c r="H1872" s="50" t="n"/>
      <c r="I1872" s="51" t="n"/>
      <c r="J1872" s="46" t="n"/>
      <c r="K1872" s="46" t="n"/>
      <c r="L1872" s="23">
        <f>IF(OR($A1872="",$B1872=""),"",IF($K1872&lt;&gt;"",$K1872-$B1872,TODAY()-$B1872))</f>
        <v/>
      </c>
      <c r="M1872" s="27">
        <f>IF(OR($A1872="",$J1872=""),"",IF($K1872="",IF(TODAY()&gt;$J1872,"Atrasado","En ruta"),IF($K1872&lt;=$J1872,"Sí","No")))</f>
        <v/>
      </c>
      <c r="N1872" s="23">
        <f>IF($A1872="","",COUNTIFS(NOVEDADES!$C$4:$C$1503,$A1872))</f>
        <v/>
      </c>
      <c r="O1872" s="27">
        <f>IF($A1872="","",IF(COUNTIFS(NOVEDADES!$C$4:$C$1503,$A1872,NOVEDADES!$M$4:$M$1503,"SÍ")&gt;0,"No","Sí"))</f>
        <v/>
      </c>
      <c r="P1872" s="27">
        <f>IF(OR($A1872="",$K1872=""),"",IF(AND($M1872="Sí",$O1872="Sí"),"OTIF","Falló"))</f>
        <v/>
      </c>
    </row>
    <row r="1873" ht="16" customHeight="1">
      <c r="A1873" s="47" t="n"/>
      <c r="B1873" s="46" t="n"/>
      <c r="C1873" s="49" t="n"/>
      <c r="D1873" s="49" t="n"/>
      <c r="E1873" s="49" t="n"/>
      <c r="F1873" s="49" t="n"/>
      <c r="G1873" s="47" t="n"/>
      <c r="H1873" s="50" t="n"/>
      <c r="I1873" s="51" t="n"/>
      <c r="J1873" s="46" t="n"/>
      <c r="K1873" s="46" t="n"/>
      <c r="L1873" s="23">
        <f>IF(OR($A1873="",$B1873=""),"",IF($K1873&lt;&gt;"",$K1873-$B1873,TODAY()-$B1873))</f>
        <v/>
      </c>
      <c r="M1873" s="27">
        <f>IF(OR($A1873="",$J1873=""),"",IF($K1873="",IF(TODAY()&gt;$J1873,"Atrasado","En ruta"),IF($K1873&lt;=$J1873,"Sí","No")))</f>
        <v/>
      </c>
      <c r="N1873" s="23">
        <f>IF($A1873="","",COUNTIFS(NOVEDADES!$C$4:$C$1503,$A1873))</f>
        <v/>
      </c>
      <c r="O1873" s="27">
        <f>IF($A1873="","",IF(COUNTIFS(NOVEDADES!$C$4:$C$1503,$A1873,NOVEDADES!$M$4:$M$1503,"SÍ")&gt;0,"No","Sí"))</f>
        <v/>
      </c>
      <c r="P1873" s="27">
        <f>IF(OR($A1873="",$K1873=""),"",IF(AND($M1873="Sí",$O1873="Sí"),"OTIF","Falló"))</f>
        <v/>
      </c>
    </row>
    <row r="1874" ht="16" customHeight="1">
      <c r="A1874" s="47" t="n"/>
      <c r="B1874" s="46" t="n"/>
      <c r="C1874" s="49" t="n"/>
      <c r="D1874" s="49" t="n"/>
      <c r="E1874" s="49" t="n"/>
      <c r="F1874" s="49" t="n"/>
      <c r="G1874" s="47" t="n"/>
      <c r="H1874" s="50" t="n"/>
      <c r="I1874" s="51" t="n"/>
      <c r="J1874" s="46" t="n"/>
      <c r="K1874" s="46" t="n"/>
      <c r="L1874" s="23">
        <f>IF(OR($A1874="",$B1874=""),"",IF($K1874&lt;&gt;"",$K1874-$B1874,TODAY()-$B1874))</f>
        <v/>
      </c>
      <c r="M1874" s="27">
        <f>IF(OR($A1874="",$J1874=""),"",IF($K1874="",IF(TODAY()&gt;$J1874,"Atrasado","En ruta"),IF($K1874&lt;=$J1874,"Sí","No")))</f>
        <v/>
      </c>
      <c r="N1874" s="23">
        <f>IF($A1874="","",COUNTIFS(NOVEDADES!$C$4:$C$1503,$A1874))</f>
        <v/>
      </c>
      <c r="O1874" s="27">
        <f>IF($A1874="","",IF(COUNTIFS(NOVEDADES!$C$4:$C$1503,$A1874,NOVEDADES!$M$4:$M$1503,"SÍ")&gt;0,"No","Sí"))</f>
        <v/>
      </c>
      <c r="P1874" s="27">
        <f>IF(OR($A1874="",$K1874=""),"",IF(AND($M1874="Sí",$O1874="Sí"),"OTIF","Falló"))</f>
        <v/>
      </c>
    </row>
    <row r="1875" ht="16" customHeight="1">
      <c r="A1875" s="47" t="n"/>
      <c r="B1875" s="46" t="n"/>
      <c r="C1875" s="49" t="n"/>
      <c r="D1875" s="49" t="n"/>
      <c r="E1875" s="49" t="n"/>
      <c r="F1875" s="49" t="n"/>
      <c r="G1875" s="47" t="n"/>
      <c r="H1875" s="50" t="n"/>
      <c r="I1875" s="51" t="n"/>
      <c r="J1875" s="46" t="n"/>
      <c r="K1875" s="46" t="n"/>
      <c r="L1875" s="23">
        <f>IF(OR($A1875="",$B1875=""),"",IF($K1875&lt;&gt;"",$K1875-$B1875,TODAY()-$B1875))</f>
        <v/>
      </c>
      <c r="M1875" s="27">
        <f>IF(OR($A1875="",$J1875=""),"",IF($K1875="",IF(TODAY()&gt;$J1875,"Atrasado","En ruta"),IF($K1875&lt;=$J1875,"Sí","No")))</f>
        <v/>
      </c>
      <c r="N1875" s="23">
        <f>IF($A1875="","",COUNTIFS(NOVEDADES!$C$4:$C$1503,$A1875))</f>
        <v/>
      </c>
      <c r="O1875" s="27">
        <f>IF($A1875="","",IF(COUNTIFS(NOVEDADES!$C$4:$C$1503,$A1875,NOVEDADES!$M$4:$M$1503,"SÍ")&gt;0,"No","Sí"))</f>
        <v/>
      </c>
      <c r="P1875" s="27">
        <f>IF(OR($A1875="",$K1875=""),"",IF(AND($M1875="Sí",$O1875="Sí"),"OTIF","Falló"))</f>
        <v/>
      </c>
    </row>
    <row r="1876" ht="16" customHeight="1">
      <c r="A1876" s="47" t="n"/>
      <c r="B1876" s="46" t="n"/>
      <c r="C1876" s="49" t="n"/>
      <c r="D1876" s="49" t="n"/>
      <c r="E1876" s="49" t="n"/>
      <c r="F1876" s="49" t="n"/>
      <c r="G1876" s="47" t="n"/>
      <c r="H1876" s="50" t="n"/>
      <c r="I1876" s="51" t="n"/>
      <c r="J1876" s="46" t="n"/>
      <c r="K1876" s="46" t="n"/>
      <c r="L1876" s="23">
        <f>IF(OR($A1876="",$B1876=""),"",IF($K1876&lt;&gt;"",$K1876-$B1876,TODAY()-$B1876))</f>
        <v/>
      </c>
      <c r="M1876" s="27">
        <f>IF(OR($A1876="",$J1876=""),"",IF($K1876="",IF(TODAY()&gt;$J1876,"Atrasado","En ruta"),IF($K1876&lt;=$J1876,"Sí","No")))</f>
        <v/>
      </c>
      <c r="N1876" s="23">
        <f>IF($A1876="","",COUNTIFS(NOVEDADES!$C$4:$C$1503,$A1876))</f>
        <v/>
      </c>
      <c r="O1876" s="27">
        <f>IF($A1876="","",IF(COUNTIFS(NOVEDADES!$C$4:$C$1503,$A1876,NOVEDADES!$M$4:$M$1503,"SÍ")&gt;0,"No","Sí"))</f>
        <v/>
      </c>
      <c r="P1876" s="27">
        <f>IF(OR($A1876="",$K1876=""),"",IF(AND($M1876="Sí",$O1876="Sí"),"OTIF","Falló"))</f>
        <v/>
      </c>
    </row>
    <row r="1877" ht="16" customHeight="1">
      <c r="A1877" s="47" t="n"/>
      <c r="B1877" s="46" t="n"/>
      <c r="C1877" s="49" t="n"/>
      <c r="D1877" s="49" t="n"/>
      <c r="E1877" s="49" t="n"/>
      <c r="F1877" s="49" t="n"/>
      <c r="G1877" s="47" t="n"/>
      <c r="H1877" s="50" t="n"/>
      <c r="I1877" s="51" t="n"/>
      <c r="J1877" s="46" t="n"/>
      <c r="K1877" s="46" t="n"/>
      <c r="L1877" s="23">
        <f>IF(OR($A1877="",$B1877=""),"",IF($K1877&lt;&gt;"",$K1877-$B1877,TODAY()-$B1877))</f>
        <v/>
      </c>
      <c r="M1877" s="27">
        <f>IF(OR($A1877="",$J1877=""),"",IF($K1877="",IF(TODAY()&gt;$J1877,"Atrasado","En ruta"),IF($K1877&lt;=$J1877,"Sí","No")))</f>
        <v/>
      </c>
      <c r="N1877" s="23">
        <f>IF($A1877="","",COUNTIFS(NOVEDADES!$C$4:$C$1503,$A1877))</f>
        <v/>
      </c>
      <c r="O1877" s="27">
        <f>IF($A1877="","",IF(COUNTIFS(NOVEDADES!$C$4:$C$1503,$A1877,NOVEDADES!$M$4:$M$1503,"SÍ")&gt;0,"No","Sí"))</f>
        <v/>
      </c>
      <c r="P1877" s="27">
        <f>IF(OR($A1877="",$K1877=""),"",IF(AND($M1877="Sí",$O1877="Sí"),"OTIF","Falló"))</f>
        <v/>
      </c>
    </row>
    <row r="1878" ht="16" customHeight="1">
      <c r="A1878" s="47" t="n"/>
      <c r="B1878" s="46" t="n"/>
      <c r="C1878" s="49" t="n"/>
      <c r="D1878" s="49" t="n"/>
      <c r="E1878" s="49" t="n"/>
      <c r="F1878" s="49" t="n"/>
      <c r="G1878" s="47" t="n"/>
      <c r="H1878" s="50" t="n"/>
      <c r="I1878" s="51" t="n"/>
      <c r="J1878" s="46" t="n"/>
      <c r="K1878" s="46" t="n"/>
      <c r="L1878" s="23">
        <f>IF(OR($A1878="",$B1878=""),"",IF($K1878&lt;&gt;"",$K1878-$B1878,TODAY()-$B1878))</f>
        <v/>
      </c>
      <c r="M1878" s="27">
        <f>IF(OR($A1878="",$J1878=""),"",IF($K1878="",IF(TODAY()&gt;$J1878,"Atrasado","En ruta"),IF($K1878&lt;=$J1878,"Sí","No")))</f>
        <v/>
      </c>
      <c r="N1878" s="23">
        <f>IF($A1878="","",COUNTIFS(NOVEDADES!$C$4:$C$1503,$A1878))</f>
        <v/>
      </c>
      <c r="O1878" s="27">
        <f>IF($A1878="","",IF(COUNTIFS(NOVEDADES!$C$4:$C$1503,$A1878,NOVEDADES!$M$4:$M$1503,"SÍ")&gt;0,"No","Sí"))</f>
        <v/>
      </c>
      <c r="P1878" s="27">
        <f>IF(OR($A1878="",$K1878=""),"",IF(AND($M1878="Sí",$O1878="Sí"),"OTIF","Falló"))</f>
        <v/>
      </c>
    </row>
    <row r="1879" ht="16" customHeight="1">
      <c r="A1879" s="47" t="n"/>
      <c r="B1879" s="46" t="n"/>
      <c r="C1879" s="49" t="n"/>
      <c r="D1879" s="49" t="n"/>
      <c r="E1879" s="49" t="n"/>
      <c r="F1879" s="49" t="n"/>
      <c r="G1879" s="47" t="n"/>
      <c r="H1879" s="50" t="n"/>
      <c r="I1879" s="51" t="n"/>
      <c r="J1879" s="46" t="n"/>
      <c r="K1879" s="46" t="n"/>
      <c r="L1879" s="23">
        <f>IF(OR($A1879="",$B1879=""),"",IF($K1879&lt;&gt;"",$K1879-$B1879,TODAY()-$B1879))</f>
        <v/>
      </c>
      <c r="M1879" s="27">
        <f>IF(OR($A1879="",$J1879=""),"",IF($K1879="",IF(TODAY()&gt;$J1879,"Atrasado","En ruta"),IF($K1879&lt;=$J1879,"Sí","No")))</f>
        <v/>
      </c>
      <c r="N1879" s="23">
        <f>IF($A1879="","",COUNTIFS(NOVEDADES!$C$4:$C$1503,$A1879))</f>
        <v/>
      </c>
      <c r="O1879" s="27">
        <f>IF($A1879="","",IF(COUNTIFS(NOVEDADES!$C$4:$C$1503,$A1879,NOVEDADES!$M$4:$M$1503,"SÍ")&gt;0,"No","Sí"))</f>
        <v/>
      </c>
      <c r="P1879" s="27">
        <f>IF(OR($A1879="",$K1879=""),"",IF(AND($M1879="Sí",$O1879="Sí"),"OTIF","Falló"))</f>
        <v/>
      </c>
    </row>
    <row r="1880" ht="16" customHeight="1">
      <c r="A1880" s="47" t="n"/>
      <c r="B1880" s="46" t="n"/>
      <c r="C1880" s="49" t="n"/>
      <c r="D1880" s="49" t="n"/>
      <c r="E1880" s="49" t="n"/>
      <c r="F1880" s="49" t="n"/>
      <c r="G1880" s="47" t="n"/>
      <c r="H1880" s="50" t="n"/>
      <c r="I1880" s="51" t="n"/>
      <c r="J1880" s="46" t="n"/>
      <c r="K1880" s="46" t="n"/>
      <c r="L1880" s="23">
        <f>IF(OR($A1880="",$B1880=""),"",IF($K1880&lt;&gt;"",$K1880-$B1880,TODAY()-$B1880))</f>
        <v/>
      </c>
      <c r="M1880" s="27">
        <f>IF(OR($A1880="",$J1880=""),"",IF($K1880="",IF(TODAY()&gt;$J1880,"Atrasado","En ruta"),IF($K1880&lt;=$J1880,"Sí","No")))</f>
        <v/>
      </c>
      <c r="N1880" s="23">
        <f>IF($A1880="","",COUNTIFS(NOVEDADES!$C$4:$C$1503,$A1880))</f>
        <v/>
      </c>
      <c r="O1880" s="27">
        <f>IF($A1880="","",IF(COUNTIFS(NOVEDADES!$C$4:$C$1503,$A1880,NOVEDADES!$M$4:$M$1503,"SÍ")&gt;0,"No","Sí"))</f>
        <v/>
      </c>
      <c r="P1880" s="27">
        <f>IF(OR($A1880="",$K1880=""),"",IF(AND($M1880="Sí",$O1880="Sí"),"OTIF","Falló"))</f>
        <v/>
      </c>
    </row>
    <row r="1881" ht="16" customHeight="1">
      <c r="A1881" s="47" t="n"/>
      <c r="B1881" s="46" t="n"/>
      <c r="C1881" s="49" t="n"/>
      <c r="D1881" s="49" t="n"/>
      <c r="E1881" s="49" t="n"/>
      <c r="F1881" s="49" t="n"/>
      <c r="G1881" s="47" t="n"/>
      <c r="H1881" s="50" t="n"/>
      <c r="I1881" s="51" t="n"/>
      <c r="J1881" s="46" t="n"/>
      <c r="K1881" s="46" t="n"/>
      <c r="L1881" s="23">
        <f>IF(OR($A1881="",$B1881=""),"",IF($K1881&lt;&gt;"",$K1881-$B1881,TODAY()-$B1881))</f>
        <v/>
      </c>
      <c r="M1881" s="27">
        <f>IF(OR($A1881="",$J1881=""),"",IF($K1881="",IF(TODAY()&gt;$J1881,"Atrasado","En ruta"),IF($K1881&lt;=$J1881,"Sí","No")))</f>
        <v/>
      </c>
      <c r="N1881" s="23">
        <f>IF($A1881="","",COUNTIFS(NOVEDADES!$C$4:$C$1503,$A1881))</f>
        <v/>
      </c>
      <c r="O1881" s="27">
        <f>IF($A1881="","",IF(COUNTIFS(NOVEDADES!$C$4:$C$1503,$A1881,NOVEDADES!$M$4:$M$1503,"SÍ")&gt;0,"No","Sí"))</f>
        <v/>
      </c>
      <c r="P1881" s="27">
        <f>IF(OR($A1881="",$K1881=""),"",IF(AND($M1881="Sí",$O1881="Sí"),"OTIF","Falló"))</f>
        <v/>
      </c>
    </row>
    <row r="1882" ht="16" customHeight="1">
      <c r="A1882" s="47" t="n"/>
      <c r="B1882" s="46" t="n"/>
      <c r="C1882" s="49" t="n"/>
      <c r="D1882" s="49" t="n"/>
      <c r="E1882" s="49" t="n"/>
      <c r="F1882" s="49" t="n"/>
      <c r="G1882" s="47" t="n"/>
      <c r="H1882" s="50" t="n"/>
      <c r="I1882" s="51" t="n"/>
      <c r="J1882" s="46" t="n"/>
      <c r="K1882" s="46" t="n"/>
      <c r="L1882" s="23">
        <f>IF(OR($A1882="",$B1882=""),"",IF($K1882&lt;&gt;"",$K1882-$B1882,TODAY()-$B1882))</f>
        <v/>
      </c>
      <c r="M1882" s="27">
        <f>IF(OR($A1882="",$J1882=""),"",IF($K1882="",IF(TODAY()&gt;$J1882,"Atrasado","En ruta"),IF($K1882&lt;=$J1882,"Sí","No")))</f>
        <v/>
      </c>
      <c r="N1882" s="23">
        <f>IF($A1882="","",COUNTIFS(NOVEDADES!$C$4:$C$1503,$A1882))</f>
        <v/>
      </c>
      <c r="O1882" s="27">
        <f>IF($A1882="","",IF(COUNTIFS(NOVEDADES!$C$4:$C$1503,$A1882,NOVEDADES!$M$4:$M$1503,"SÍ")&gt;0,"No","Sí"))</f>
        <v/>
      </c>
      <c r="P1882" s="27">
        <f>IF(OR($A1882="",$K1882=""),"",IF(AND($M1882="Sí",$O1882="Sí"),"OTIF","Falló"))</f>
        <v/>
      </c>
    </row>
    <row r="1883" ht="16" customHeight="1">
      <c r="A1883" s="47" t="n"/>
      <c r="B1883" s="46" t="n"/>
      <c r="C1883" s="49" t="n"/>
      <c r="D1883" s="49" t="n"/>
      <c r="E1883" s="49" t="n"/>
      <c r="F1883" s="49" t="n"/>
      <c r="G1883" s="47" t="n"/>
      <c r="H1883" s="50" t="n"/>
      <c r="I1883" s="51" t="n"/>
      <c r="J1883" s="46" t="n"/>
      <c r="K1883" s="46" t="n"/>
      <c r="L1883" s="23">
        <f>IF(OR($A1883="",$B1883=""),"",IF($K1883&lt;&gt;"",$K1883-$B1883,TODAY()-$B1883))</f>
        <v/>
      </c>
      <c r="M1883" s="27">
        <f>IF(OR($A1883="",$J1883=""),"",IF($K1883="",IF(TODAY()&gt;$J1883,"Atrasado","En ruta"),IF($K1883&lt;=$J1883,"Sí","No")))</f>
        <v/>
      </c>
      <c r="N1883" s="23">
        <f>IF($A1883="","",COUNTIFS(NOVEDADES!$C$4:$C$1503,$A1883))</f>
        <v/>
      </c>
      <c r="O1883" s="27">
        <f>IF($A1883="","",IF(COUNTIFS(NOVEDADES!$C$4:$C$1503,$A1883,NOVEDADES!$M$4:$M$1503,"SÍ")&gt;0,"No","Sí"))</f>
        <v/>
      </c>
      <c r="P1883" s="27">
        <f>IF(OR($A1883="",$K1883=""),"",IF(AND($M1883="Sí",$O1883="Sí"),"OTIF","Falló"))</f>
        <v/>
      </c>
    </row>
    <row r="1884" ht="16" customHeight="1">
      <c r="A1884" s="47" t="n"/>
      <c r="B1884" s="46" t="n"/>
      <c r="C1884" s="49" t="n"/>
      <c r="D1884" s="49" t="n"/>
      <c r="E1884" s="49" t="n"/>
      <c r="F1884" s="49" t="n"/>
      <c r="G1884" s="47" t="n"/>
      <c r="H1884" s="50" t="n"/>
      <c r="I1884" s="51" t="n"/>
      <c r="J1884" s="46" t="n"/>
      <c r="K1884" s="46" t="n"/>
      <c r="L1884" s="23">
        <f>IF(OR($A1884="",$B1884=""),"",IF($K1884&lt;&gt;"",$K1884-$B1884,TODAY()-$B1884))</f>
        <v/>
      </c>
      <c r="M1884" s="27">
        <f>IF(OR($A1884="",$J1884=""),"",IF($K1884="",IF(TODAY()&gt;$J1884,"Atrasado","En ruta"),IF($K1884&lt;=$J1884,"Sí","No")))</f>
        <v/>
      </c>
      <c r="N1884" s="23">
        <f>IF($A1884="","",COUNTIFS(NOVEDADES!$C$4:$C$1503,$A1884))</f>
        <v/>
      </c>
      <c r="O1884" s="27">
        <f>IF($A1884="","",IF(COUNTIFS(NOVEDADES!$C$4:$C$1503,$A1884,NOVEDADES!$M$4:$M$1503,"SÍ")&gt;0,"No","Sí"))</f>
        <v/>
      </c>
      <c r="P1884" s="27">
        <f>IF(OR($A1884="",$K1884=""),"",IF(AND($M1884="Sí",$O1884="Sí"),"OTIF","Falló"))</f>
        <v/>
      </c>
    </row>
    <row r="1885" ht="16" customHeight="1">
      <c r="A1885" s="47" t="n"/>
      <c r="B1885" s="46" t="n"/>
      <c r="C1885" s="49" t="n"/>
      <c r="D1885" s="49" t="n"/>
      <c r="E1885" s="49" t="n"/>
      <c r="F1885" s="49" t="n"/>
      <c r="G1885" s="47" t="n"/>
      <c r="H1885" s="50" t="n"/>
      <c r="I1885" s="51" t="n"/>
      <c r="J1885" s="46" t="n"/>
      <c r="K1885" s="46" t="n"/>
      <c r="L1885" s="23">
        <f>IF(OR($A1885="",$B1885=""),"",IF($K1885&lt;&gt;"",$K1885-$B1885,TODAY()-$B1885))</f>
        <v/>
      </c>
      <c r="M1885" s="27">
        <f>IF(OR($A1885="",$J1885=""),"",IF($K1885="",IF(TODAY()&gt;$J1885,"Atrasado","En ruta"),IF($K1885&lt;=$J1885,"Sí","No")))</f>
        <v/>
      </c>
      <c r="N1885" s="23">
        <f>IF($A1885="","",COUNTIFS(NOVEDADES!$C$4:$C$1503,$A1885))</f>
        <v/>
      </c>
      <c r="O1885" s="27">
        <f>IF($A1885="","",IF(COUNTIFS(NOVEDADES!$C$4:$C$1503,$A1885,NOVEDADES!$M$4:$M$1503,"SÍ")&gt;0,"No","Sí"))</f>
        <v/>
      </c>
      <c r="P1885" s="27">
        <f>IF(OR($A1885="",$K1885=""),"",IF(AND($M1885="Sí",$O1885="Sí"),"OTIF","Falló"))</f>
        <v/>
      </c>
    </row>
    <row r="1886" ht="16" customHeight="1">
      <c r="A1886" s="47" t="n"/>
      <c r="B1886" s="46" t="n"/>
      <c r="C1886" s="49" t="n"/>
      <c r="D1886" s="49" t="n"/>
      <c r="E1886" s="49" t="n"/>
      <c r="F1886" s="49" t="n"/>
      <c r="G1886" s="47" t="n"/>
      <c r="H1886" s="50" t="n"/>
      <c r="I1886" s="51" t="n"/>
      <c r="J1886" s="46" t="n"/>
      <c r="K1886" s="46" t="n"/>
      <c r="L1886" s="23">
        <f>IF(OR($A1886="",$B1886=""),"",IF($K1886&lt;&gt;"",$K1886-$B1886,TODAY()-$B1886))</f>
        <v/>
      </c>
      <c r="M1886" s="27">
        <f>IF(OR($A1886="",$J1886=""),"",IF($K1886="",IF(TODAY()&gt;$J1886,"Atrasado","En ruta"),IF($K1886&lt;=$J1886,"Sí","No")))</f>
        <v/>
      </c>
      <c r="N1886" s="23">
        <f>IF($A1886="","",COUNTIFS(NOVEDADES!$C$4:$C$1503,$A1886))</f>
        <v/>
      </c>
      <c r="O1886" s="27">
        <f>IF($A1886="","",IF(COUNTIFS(NOVEDADES!$C$4:$C$1503,$A1886,NOVEDADES!$M$4:$M$1503,"SÍ")&gt;0,"No","Sí"))</f>
        <v/>
      </c>
      <c r="P1886" s="27">
        <f>IF(OR($A1886="",$K1886=""),"",IF(AND($M1886="Sí",$O1886="Sí"),"OTIF","Falló"))</f>
        <v/>
      </c>
    </row>
    <row r="1887" ht="16" customHeight="1">
      <c r="A1887" s="47" t="n"/>
      <c r="B1887" s="46" t="n"/>
      <c r="C1887" s="49" t="n"/>
      <c r="D1887" s="49" t="n"/>
      <c r="E1887" s="49" t="n"/>
      <c r="F1887" s="49" t="n"/>
      <c r="G1887" s="47" t="n"/>
      <c r="H1887" s="50" t="n"/>
      <c r="I1887" s="51" t="n"/>
      <c r="J1887" s="46" t="n"/>
      <c r="K1887" s="46" t="n"/>
      <c r="L1887" s="23">
        <f>IF(OR($A1887="",$B1887=""),"",IF($K1887&lt;&gt;"",$K1887-$B1887,TODAY()-$B1887))</f>
        <v/>
      </c>
      <c r="M1887" s="27">
        <f>IF(OR($A1887="",$J1887=""),"",IF($K1887="",IF(TODAY()&gt;$J1887,"Atrasado","En ruta"),IF($K1887&lt;=$J1887,"Sí","No")))</f>
        <v/>
      </c>
      <c r="N1887" s="23">
        <f>IF($A1887="","",COUNTIFS(NOVEDADES!$C$4:$C$1503,$A1887))</f>
        <v/>
      </c>
      <c r="O1887" s="27">
        <f>IF($A1887="","",IF(COUNTIFS(NOVEDADES!$C$4:$C$1503,$A1887,NOVEDADES!$M$4:$M$1503,"SÍ")&gt;0,"No","Sí"))</f>
        <v/>
      </c>
      <c r="P1887" s="27">
        <f>IF(OR($A1887="",$K1887=""),"",IF(AND($M1887="Sí",$O1887="Sí"),"OTIF","Falló"))</f>
        <v/>
      </c>
    </row>
    <row r="1888" ht="16" customHeight="1">
      <c r="A1888" s="47" t="n"/>
      <c r="B1888" s="46" t="n"/>
      <c r="C1888" s="49" t="n"/>
      <c r="D1888" s="49" t="n"/>
      <c r="E1888" s="49" t="n"/>
      <c r="F1888" s="49" t="n"/>
      <c r="G1888" s="47" t="n"/>
      <c r="H1888" s="50" t="n"/>
      <c r="I1888" s="51" t="n"/>
      <c r="J1888" s="46" t="n"/>
      <c r="K1888" s="46" t="n"/>
      <c r="L1888" s="23">
        <f>IF(OR($A1888="",$B1888=""),"",IF($K1888&lt;&gt;"",$K1888-$B1888,TODAY()-$B1888))</f>
        <v/>
      </c>
      <c r="M1888" s="27">
        <f>IF(OR($A1888="",$J1888=""),"",IF($K1888="",IF(TODAY()&gt;$J1888,"Atrasado","En ruta"),IF($K1888&lt;=$J1888,"Sí","No")))</f>
        <v/>
      </c>
      <c r="N1888" s="23">
        <f>IF($A1888="","",COUNTIFS(NOVEDADES!$C$4:$C$1503,$A1888))</f>
        <v/>
      </c>
      <c r="O1888" s="27">
        <f>IF($A1888="","",IF(COUNTIFS(NOVEDADES!$C$4:$C$1503,$A1888,NOVEDADES!$M$4:$M$1503,"SÍ")&gt;0,"No","Sí"))</f>
        <v/>
      </c>
      <c r="P1888" s="27">
        <f>IF(OR($A1888="",$K1888=""),"",IF(AND($M1888="Sí",$O1888="Sí"),"OTIF","Falló"))</f>
        <v/>
      </c>
    </row>
    <row r="1889" ht="16" customHeight="1">
      <c r="A1889" s="47" t="n"/>
      <c r="B1889" s="46" t="n"/>
      <c r="C1889" s="49" t="n"/>
      <c r="D1889" s="49" t="n"/>
      <c r="E1889" s="49" t="n"/>
      <c r="F1889" s="49" t="n"/>
      <c r="G1889" s="47" t="n"/>
      <c r="H1889" s="50" t="n"/>
      <c r="I1889" s="51" t="n"/>
      <c r="J1889" s="46" t="n"/>
      <c r="K1889" s="46" t="n"/>
      <c r="L1889" s="23">
        <f>IF(OR($A1889="",$B1889=""),"",IF($K1889&lt;&gt;"",$K1889-$B1889,TODAY()-$B1889))</f>
        <v/>
      </c>
      <c r="M1889" s="27">
        <f>IF(OR($A1889="",$J1889=""),"",IF($K1889="",IF(TODAY()&gt;$J1889,"Atrasado","En ruta"),IF($K1889&lt;=$J1889,"Sí","No")))</f>
        <v/>
      </c>
      <c r="N1889" s="23">
        <f>IF($A1889="","",COUNTIFS(NOVEDADES!$C$4:$C$1503,$A1889))</f>
        <v/>
      </c>
      <c r="O1889" s="27">
        <f>IF($A1889="","",IF(COUNTIFS(NOVEDADES!$C$4:$C$1503,$A1889,NOVEDADES!$M$4:$M$1503,"SÍ")&gt;0,"No","Sí"))</f>
        <v/>
      </c>
      <c r="P1889" s="27">
        <f>IF(OR($A1889="",$K1889=""),"",IF(AND($M1889="Sí",$O1889="Sí"),"OTIF","Falló"))</f>
        <v/>
      </c>
    </row>
    <row r="1890" ht="16" customHeight="1">
      <c r="A1890" s="47" t="n"/>
      <c r="B1890" s="46" t="n"/>
      <c r="C1890" s="49" t="n"/>
      <c r="D1890" s="49" t="n"/>
      <c r="E1890" s="49" t="n"/>
      <c r="F1890" s="49" t="n"/>
      <c r="G1890" s="47" t="n"/>
      <c r="H1890" s="50" t="n"/>
      <c r="I1890" s="51" t="n"/>
      <c r="J1890" s="46" t="n"/>
      <c r="K1890" s="46" t="n"/>
      <c r="L1890" s="23">
        <f>IF(OR($A1890="",$B1890=""),"",IF($K1890&lt;&gt;"",$K1890-$B1890,TODAY()-$B1890))</f>
        <v/>
      </c>
      <c r="M1890" s="27">
        <f>IF(OR($A1890="",$J1890=""),"",IF($K1890="",IF(TODAY()&gt;$J1890,"Atrasado","En ruta"),IF($K1890&lt;=$J1890,"Sí","No")))</f>
        <v/>
      </c>
      <c r="N1890" s="23">
        <f>IF($A1890="","",COUNTIFS(NOVEDADES!$C$4:$C$1503,$A1890))</f>
        <v/>
      </c>
      <c r="O1890" s="27">
        <f>IF($A1890="","",IF(COUNTIFS(NOVEDADES!$C$4:$C$1503,$A1890,NOVEDADES!$M$4:$M$1503,"SÍ")&gt;0,"No","Sí"))</f>
        <v/>
      </c>
      <c r="P1890" s="27">
        <f>IF(OR($A1890="",$K1890=""),"",IF(AND($M1890="Sí",$O1890="Sí"),"OTIF","Falló"))</f>
        <v/>
      </c>
    </row>
    <row r="1891" ht="16" customHeight="1">
      <c r="A1891" s="47" t="n"/>
      <c r="B1891" s="46" t="n"/>
      <c r="C1891" s="49" t="n"/>
      <c r="D1891" s="49" t="n"/>
      <c r="E1891" s="49" t="n"/>
      <c r="F1891" s="49" t="n"/>
      <c r="G1891" s="47" t="n"/>
      <c r="H1891" s="50" t="n"/>
      <c r="I1891" s="51" t="n"/>
      <c r="J1891" s="46" t="n"/>
      <c r="K1891" s="46" t="n"/>
      <c r="L1891" s="23">
        <f>IF(OR($A1891="",$B1891=""),"",IF($K1891&lt;&gt;"",$K1891-$B1891,TODAY()-$B1891))</f>
        <v/>
      </c>
      <c r="M1891" s="27">
        <f>IF(OR($A1891="",$J1891=""),"",IF($K1891="",IF(TODAY()&gt;$J1891,"Atrasado","En ruta"),IF($K1891&lt;=$J1891,"Sí","No")))</f>
        <v/>
      </c>
      <c r="N1891" s="23">
        <f>IF($A1891="","",COUNTIFS(NOVEDADES!$C$4:$C$1503,$A1891))</f>
        <v/>
      </c>
      <c r="O1891" s="27">
        <f>IF($A1891="","",IF(COUNTIFS(NOVEDADES!$C$4:$C$1503,$A1891,NOVEDADES!$M$4:$M$1503,"SÍ")&gt;0,"No","Sí"))</f>
        <v/>
      </c>
      <c r="P1891" s="27">
        <f>IF(OR($A1891="",$K1891=""),"",IF(AND($M1891="Sí",$O1891="Sí"),"OTIF","Falló"))</f>
        <v/>
      </c>
    </row>
    <row r="1892" ht="16" customHeight="1">
      <c r="A1892" s="47" t="n"/>
      <c r="B1892" s="46" t="n"/>
      <c r="C1892" s="49" t="n"/>
      <c r="D1892" s="49" t="n"/>
      <c r="E1892" s="49" t="n"/>
      <c r="F1892" s="49" t="n"/>
      <c r="G1892" s="47" t="n"/>
      <c r="H1892" s="50" t="n"/>
      <c r="I1892" s="51" t="n"/>
      <c r="J1892" s="46" t="n"/>
      <c r="K1892" s="46" t="n"/>
      <c r="L1892" s="23">
        <f>IF(OR($A1892="",$B1892=""),"",IF($K1892&lt;&gt;"",$K1892-$B1892,TODAY()-$B1892))</f>
        <v/>
      </c>
      <c r="M1892" s="27">
        <f>IF(OR($A1892="",$J1892=""),"",IF($K1892="",IF(TODAY()&gt;$J1892,"Atrasado","En ruta"),IF($K1892&lt;=$J1892,"Sí","No")))</f>
        <v/>
      </c>
      <c r="N1892" s="23">
        <f>IF($A1892="","",COUNTIFS(NOVEDADES!$C$4:$C$1503,$A1892))</f>
        <v/>
      </c>
      <c r="O1892" s="27">
        <f>IF($A1892="","",IF(COUNTIFS(NOVEDADES!$C$4:$C$1503,$A1892,NOVEDADES!$M$4:$M$1503,"SÍ")&gt;0,"No","Sí"))</f>
        <v/>
      </c>
      <c r="P1892" s="27">
        <f>IF(OR($A1892="",$K1892=""),"",IF(AND($M1892="Sí",$O1892="Sí"),"OTIF","Falló"))</f>
        <v/>
      </c>
    </row>
    <row r="1893" ht="16" customHeight="1">
      <c r="A1893" s="47" t="n"/>
      <c r="B1893" s="46" t="n"/>
      <c r="C1893" s="49" t="n"/>
      <c r="D1893" s="49" t="n"/>
      <c r="E1893" s="49" t="n"/>
      <c r="F1893" s="49" t="n"/>
      <c r="G1893" s="47" t="n"/>
      <c r="H1893" s="50" t="n"/>
      <c r="I1893" s="51" t="n"/>
      <c r="J1893" s="46" t="n"/>
      <c r="K1893" s="46" t="n"/>
      <c r="L1893" s="23">
        <f>IF(OR($A1893="",$B1893=""),"",IF($K1893&lt;&gt;"",$K1893-$B1893,TODAY()-$B1893))</f>
        <v/>
      </c>
      <c r="M1893" s="27">
        <f>IF(OR($A1893="",$J1893=""),"",IF($K1893="",IF(TODAY()&gt;$J1893,"Atrasado","En ruta"),IF($K1893&lt;=$J1893,"Sí","No")))</f>
        <v/>
      </c>
      <c r="N1893" s="23">
        <f>IF($A1893="","",COUNTIFS(NOVEDADES!$C$4:$C$1503,$A1893))</f>
        <v/>
      </c>
      <c r="O1893" s="27">
        <f>IF($A1893="","",IF(COUNTIFS(NOVEDADES!$C$4:$C$1503,$A1893,NOVEDADES!$M$4:$M$1503,"SÍ")&gt;0,"No","Sí"))</f>
        <v/>
      </c>
      <c r="P1893" s="27">
        <f>IF(OR($A1893="",$K1893=""),"",IF(AND($M1893="Sí",$O1893="Sí"),"OTIF","Falló"))</f>
        <v/>
      </c>
    </row>
    <row r="1894" ht="16" customHeight="1">
      <c r="A1894" s="47" t="n"/>
      <c r="B1894" s="46" t="n"/>
      <c r="C1894" s="49" t="n"/>
      <c r="D1894" s="49" t="n"/>
      <c r="E1894" s="49" t="n"/>
      <c r="F1894" s="49" t="n"/>
      <c r="G1894" s="47" t="n"/>
      <c r="H1894" s="50" t="n"/>
      <c r="I1894" s="51" t="n"/>
      <c r="J1894" s="46" t="n"/>
      <c r="K1894" s="46" t="n"/>
      <c r="L1894" s="23">
        <f>IF(OR($A1894="",$B1894=""),"",IF($K1894&lt;&gt;"",$K1894-$B1894,TODAY()-$B1894))</f>
        <v/>
      </c>
      <c r="M1894" s="27">
        <f>IF(OR($A1894="",$J1894=""),"",IF($K1894="",IF(TODAY()&gt;$J1894,"Atrasado","En ruta"),IF($K1894&lt;=$J1894,"Sí","No")))</f>
        <v/>
      </c>
      <c r="N1894" s="23">
        <f>IF($A1894="","",COUNTIFS(NOVEDADES!$C$4:$C$1503,$A1894))</f>
        <v/>
      </c>
      <c r="O1894" s="27">
        <f>IF($A1894="","",IF(COUNTIFS(NOVEDADES!$C$4:$C$1503,$A1894,NOVEDADES!$M$4:$M$1503,"SÍ")&gt;0,"No","Sí"))</f>
        <v/>
      </c>
      <c r="P1894" s="27">
        <f>IF(OR($A1894="",$K1894=""),"",IF(AND($M1894="Sí",$O1894="Sí"),"OTIF","Falló"))</f>
        <v/>
      </c>
    </row>
    <row r="1895" ht="16" customHeight="1">
      <c r="A1895" s="47" t="n"/>
      <c r="B1895" s="46" t="n"/>
      <c r="C1895" s="49" t="n"/>
      <c r="D1895" s="49" t="n"/>
      <c r="E1895" s="49" t="n"/>
      <c r="F1895" s="49" t="n"/>
      <c r="G1895" s="47" t="n"/>
      <c r="H1895" s="50" t="n"/>
      <c r="I1895" s="51" t="n"/>
      <c r="J1895" s="46" t="n"/>
      <c r="K1895" s="46" t="n"/>
      <c r="L1895" s="23">
        <f>IF(OR($A1895="",$B1895=""),"",IF($K1895&lt;&gt;"",$K1895-$B1895,TODAY()-$B1895))</f>
        <v/>
      </c>
      <c r="M1895" s="27">
        <f>IF(OR($A1895="",$J1895=""),"",IF($K1895="",IF(TODAY()&gt;$J1895,"Atrasado","En ruta"),IF($K1895&lt;=$J1895,"Sí","No")))</f>
        <v/>
      </c>
      <c r="N1895" s="23">
        <f>IF($A1895="","",COUNTIFS(NOVEDADES!$C$4:$C$1503,$A1895))</f>
        <v/>
      </c>
      <c r="O1895" s="27">
        <f>IF($A1895="","",IF(COUNTIFS(NOVEDADES!$C$4:$C$1503,$A1895,NOVEDADES!$M$4:$M$1503,"SÍ")&gt;0,"No","Sí"))</f>
        <v/>
      </c>
      <c r="P1895" s="27">
        <f>IF(OR($A1895="",$K1895=""),"",IF(AND($M1895="Sí",$O1895="Sí"),"OTIF","Falló"))</f>
        <v/>
      </c>
    </row>
    <row r="1896" ht="16" customHeight="1">
      <c r="A1896" s="47" t="n"/>
      <c r="B1896" s="46" t="n"/>
      <c r="C1896" s="49" t="n"/>
      <c r="D1896" s="49" t="n"/>
      <c r="E1896" s="49" t="n"/>
      <c r="F1896" s="49" t="n"/>
      <c r="G1896" s="47" t="n"/>
      <c r="H1896" s="50" t="n"/>
      <c r="I1896" s="51" t="n"/>
      <c r="J1896" s="46" t="n"/>
      <c r="K1896" s="46" t="n"/>
      <c r="L1896" s="23">
        <f>IF(OR($A1896="",$B1896=""),"",IF($K1896&lt;&gt;"",$K1896-$B1896,TODAY()-$B1896))</f>
        <v/>
      </c>
      <c r="M1896" s="27">
        <f>IF(OR($A1896="",$J1896=""),"",IF($K1896="",IF(TODAY()&gt;$J1896,"Atrasado","En ruta"),IF($K1896&lt;=$J1896,"Sí","No")))</f>
        <v/>
      </c>
      <c r="N1896" s="23">
        <f>IF($A1896="","",COUNTIFS(NOVEDADES!$C$4:$C$1503,$A1896))</f>
        <v/>
      </c>
      <c r="O1896" s="27">
        <f>IF($A1896="","",IF(COUNTIFS(NOVEDADES!$C$4:$C$1503,$A1896,NOVEDADES!$M$4:$M$1503,"SÍ")&gt;0,"No","Sí"))</f>
        <v/>
      </c>
      <c r="P1896" s="27">
        <f>IF(OR($A1896="",$K1896=""),"",IF(AND($M1896="Sí",$O1896="Sí"),"OTIF","Falló"))</f>
        <v/>
      </c>
    </row>
    <row r="1897" ht="16" customHeight="1">
      <c r="A1897" s="47" t="n"/>
      <c r="B1897" s="46" t="n"/>
      <c r="C1897" s="49" t="n"/>
      <c r="D1897" s="49" t="n"/>
      <c r="E1897" s="49" t="n"/>
      <c r="F1897" s="49" t="n"/>
      <c r="G1897" s="47" t="n"/>
      <c r="H1897" s="50" t="n"/>
      <c r="I1897" s="51" t="n"/>
      <c r="J1897" s="46" t="n"/>
      <c r="K1897" s="46" t="n"/>
      <c r="L1897" s="23">
        <f>IF(OR($A1897="",$B1897=""),"",IF($K1897&lt;&gt;"",$K1897-$B1897,TODAY()-$B1897))</f>
        <v/>
      </c>
      <c r="M1897" s="27">
        <f>IF(OR($A1897="",$J1897=""),"",IF($K1897="",IF(TODAY()&gt;$J1897,"Atrasado","En ruta"),IF($K1897&lt;=$J1897,"Sí","No")))</f>
        <v/>
      </c>
      <c r="N1897" s="23">
        <f>IF($A1897="","",COUNTIFS(NOVEDADES!$C$4:$C$1503,$A1897))</f>
        <v/>
      </c>
      <c r="O1897" s="27">
        <f>IF($A1897="","",IF(COUNTIFS(NOVEDADES!$C$4:$C$1503,$A1897,NOVEDADES!$M$4:$M$1503,"SÍ")&gt;0,"No","Sí"))</f>
        <v/>
      </c>
      <c r="P1897" s="27">
        <f>IF(OR($A1897="",$K1897=""),"",IF(AND($M1897="Sí",$O1897="Sí"),"OTIF","Falló"))</f>
        <v/>
      </c>
    </row>
    <row r="1898" ht="16" customHeight="1">
      <c r="A1898" s="47" t="n"/>
      <c r="B1898" s="46" t="n"/>
      <c r="C1898" s="49" t="n"/>
      <c r="D1898" s="49" t="n"/>
      <c r="E1898" s="49" t="n"/>
      <c r="F1898" s="49" t="n"/>
      <c r="G1898" s="47" t="n"/>
      <c r="H1898" s="50" t="n"/>
      <c r="I1898" s="51" t="n"/>
      <c r="J1898" s="46" t="n"/>
      <c r="K1898" s="46" t="n"/>
      <c r="L1898" s="23">
        <f>IF(OR($A1898="",$B1898=""),"",IF($K1898&lt;&gt;"",$K1898-$B1898,TODAY()-$B1898))</f>
        <v/>
      </c>
      <c r="M1898" s="27">
        <f>IF(OR($A1898="",$J1898=""),"",IF($K1898="",IF(TODAY()&gt;$J1898,"Atrasado","En ruta"),IF($K1898&lt;=$J1898,"Sí","No")))</f>
        <v/>
      </c>
      <c r="N1898" s="23">
        <f>IF($A1898="","",COUNTIFS(NOVEDADES!$C$4:$C$1503,$A1898))</f>
        <v/>
      </c>
      <c r="O1898" s="27">
        <f>IF($A1898="","",IF(COUNTIFS(NOVEDADES!$C$4:$C$1503,$A1898,NOVEDADES!$M$4:$M$1503,"SÍ")&gt;0,"No","Sí"))</f>
        <v/>
      </c>
      <c r="P1898" s="27">
        <f>IF(OR($A1898="",$K1898=""),"",IF(AND($M1898="Sí",$O1898="Sí"),"OTIF","Falló"))</f>
        <v/>
      </c>
    </row>
    <row r="1899" ht="16" customHeight="1">
      <c r="A1899" s="47" t="n"/>
      <c r="B1899" s="46" t="n"/>
      <c r="C1899" s="49" t="n"/>
      <c r="D1899" s="49" t="n"/>
      <c r="E1899" s="49" t="n"/>
      <c r="F1899" s="49" t="n"/>
      <c r="G1899" s="47" t="n"/>
      <c r="H1899" s="50" t="n"/>
      <c r="I1899" s="51" t="n"/>
      <c r="J1899" s="46" t="n"/>
      <c r="K1899" s="46" t="n"/>
      <c r="L1899" s="23">
        <f>IF(OR($A1899="",$B1899=""),"",IF($K1899&lt;&gt;"",$K1899-$B1899,TODAY()-$B1899))</f>
        <v/>
      </c>
      <c r="M1899" s="27">
        <f>IF(OR($A1899="",$J1899=""),"",IF($K1899="",IF(TODAY()&gt;$J1899,"Atrasado","En ruta"),IF($K1899&lt;=$J1899,"Sí","No")))</f>
        <v/>
      </c>
      <c r="N1899" s="23">
        <f>IF($A1899="","",COUNTIFS(NOVEDADES!$C$4:$C$1503,$A1899))</f>
        <v/>
      </c>
      <c r="O1899" s="27">
        <f>IF($A1899="","",IF(COUNTIFS(NOVEDADES!$C$4:$C$1503,$A1899,NOVEDADES!$M$4:$M$1503,"SÍ")&gt;0,"No","Sí"))</f>
        <v/>
      </c>
      <c r="P1899" s="27">
        <f>IF(OR($A1899="",$K1899=""),"",IF(AND($M1899="Sí",$O1899="Sí"),"OTIF","Falló"))</f>
        <v/>
      </c>
    </row>
    <row r="1900" ht="16" customHeight="1">
      <c r="A1900" s="47" t="n"/>
      <c r="B1900" s="46" t="n"/>
      <c r="C1900" s="49" t="n"/>
      <c r="D1900" s="49" t="n"/>
      <c r="E1900" s="49" t="n"/>
      <c r="F1900" s="49" t="n"/>
      <c r="G1900" s="47" t="n"/>
      <c r="H1900" s="50" t="n"/>
      <c r="I1900" s="51" t="n"/>
      <c r="J1900" s="46" t="n"/>
      <c r="K1900" s="46" t="n"/>
      <c r="L1900" s="23">
        <f>IF(OR($A1900="",$B1900=""),"",IF($K1900&lt;&gt;"",$K1900-$B1900,TODAY()-$B1900))</f>
        <v/>
      </c>
      <c r="M1900" s="27">
        <f>IF(OR($A1900="",$J1900=""),"",IF($K1900="",IF(TODAY()&gt;$J1900,"Atrasado","En ruta"),IF($K1900&lt;=$J1900,"Sí","No")))</f>
        <v/>
      </c>
      <c r="N1900" s="23">
        <f>IF($A1900="","",COUNTIFS(NOVEDADES!$C$4:$C$1503,$A1900))</f>
        <v/>
      </c>
      <c r="O1900" s="27">
        <f>IF($A1900="","",IF(COUNTIFS(NOVEDADES!$C$4:$C$1503,$A1900,NOVEDADES!$M$4:$M$1503,"SÍ")&gt;0,"No","Sí"))</f>
        <v/>
      </c>
      <c r="P1900" s="27">
        <f>IF(OR($A1900="",$K1900=""),"",IF(AND($M1900="Sí",$O1900="Sí"),"OTIF","Falló"))</f>
        <v/>
      </c>
    </row>
    <row r="1901" ht="16" customHeight="1">
      <c r="A1901" s="47" t="n"/>
      <c r="B1901" s="46" t="n"/>
      <c r="C1901" s="49" t="n"/>
      <c r="D1901" s="49" t="n"/>
      <c r="E1901" s="49" t="n"/>
      <c r="F1901" s="49" t="n"/>
      <c r="G1901" s="47" t="n"/>
      <c r="H1901" s="50" t="n"/>
      <c r="I1901" s="51" t="n"/>
      <c r="J1901" s="46" t="n"/>
      <c r="K1901" s="46" t="n"/>
      <c r="L1901" s="23">
        <f>IF(OR($A1901="",$B1901=""),"",IF($K1901&lt;&gt;"",$K1901-$B1901,TODAY()-$B1901))</f>
        <v/>
      </c>
      <c r="M1901" s="27">
        <f>IF(OR($A1901="",$J1901=""),"",IF($K1901="",IF(TODAY()&gt;$J1901,"Atrasado","En ruta"),IF($K1901&lt;=$J1901,"Sí","No")))</f>
        <v/>
      </c>
      <c r="N1901" s="23">
        <f>IF($A1901="","",COUNTIFS(NOVEDADES!$C$4:$C$1503,$A1901))</f>
        <v/>
      </c>
      <c r="O1901" s="27">
        <f>IF($A1901="","",IF(COUNTIFS(NOVEDADES!$C$4:$C$1503,$A1901,NOVEDADES!$M$4:$M$1503,"SÍ")&gt;0,"No","Sí"))</f>
        <v/>
      </c>
      <c r="P1901" s="27">
        <f>IF(OR($A1901="",$K1901=""),"",IF(AND($M1901="Sí",$O1901="Sí"),"OTIF","Falló"))</f>
        <v/>
      </c>
    </row>
    <row r="1902" ht="16" customHeight="1">
      <c r="A1902" s="47" t="n"/>
      <c r="B1902" s="46" t="n"/>
      <c r="C1902" s="49" t="n"/>
      <c r="D1902" s="49" t="n"/>
      <c r="E1902" s="49" t="n"/>
      <c r="F1902" s="49" t="n"/>
      <c r="G1902" s="47" t="n"/>
      <c r="H1902" s="50" t="n"/>
      <c r="I1902" s="51" t="n"/>
      <c r="J1902" s="46" t="n"/>
      <c r="K1902" s="46" t="n"/>
      <c r="L1902" s="23">
        <f>IF(OR($A1902="",$B1902=""),"",IF($K1902&lt;&gt;"",$K1902-$B1902,TODAY()-$B1902))</f>
        <v/>
      </c>
      <c r="M1902" s="27">
        <f>IF(OR($A1902="",$J1902=""),"",IF($K1902="",IF(TODAY()&gt;$J1902,"Atrasado","En ruta"),IF($K1902&lt;=$J1902,"Sí","No")))</f>
        <v/>
      </c>
      <c r="N1902" s="23">
        <f>IF($A1902="","",COUNTIFS(NOVEDADES!$C$4:$C$1503,$A1902))</f>
        <v/>
      </c>
      <c r="O1902" s="27">
        <f>IF($A1902="","",IF(COUNTIFS(NOVEDADES!$C$4:$C$1503,$A1902,NOVEDADES!$M$4:$M$1503,"SÍ")&gt;0,"No","Sí"))</f>
        <v/>
      </c>
      <c r="P1902" s="27">
        <f>IF(OR($A1902="",$K1902=""),"",IF(AND($M1902="Sí",$O1902="Sí"),"OTIF","Falló"))</f>
        <v/>
      </c>
    </row>
    <row r="1903" ht="16" customHeight="1">
      <c r="A1903" s="47" t="n"/>
      <c r="B1903" s="46" t="n"/>
      <c r="C1903" s="49" t="n"/>
      <c r="D1903" s="49" t="n"/>
      <c r="E1903" s="49" t="n"/>
      <c r="F1903" s="49" t="n"/>
      <c r="G1903" s="47" t="n"/>
      <c r="H1903" s="50" t="n"/>
      <c r="I1903" s="51" t="n"/>
      <c r="J1903" s="46" t="n"/>
      <c r="K1903" s="46" t="n"/>
      <c r="L1903" s="23">
        <f>IF(OR($A1903="",$B1903=""),"",IF($K1903&lt;&gt;"",$K1903-$B1903,TODAY()-$B1903))</f>
        <v/>
      </c>
      <c r="M1903" s="27">
        <f>IF(OR($A1903="",$J1903=""),"",IF($K1903="",IF(TODAY()&gt;$J1903,"Atrasado","En ruta"),IF($K1903&lt;=$J1903,"Sí","No")))</f>
        <v/>
      </c>
      <c r="N1903" s="23">
        <f>IF($A1903="","",COUNTIFS(NOVEDADES!$C$4:$C$1503,$A1903))</f>
        <v/>
      </c>
      <c r="O1903" s="27">
        <f>IF($A1903="","",IF(COUNTIFS(NOVEDADES!$C$4:$C$1503,$A1903,NOVEDADES!$M$4:$M$1503,"SÍ")&gt;0,"No","Sí"))</f>
        <v/>
      </c>
      <c r="P1903" s="27">
        <f>IF(OR($A1903="",$K1903=""),"",IF(AND($M1903="Sí",$O1903="Sí"),"OTIF","Falló"))</f>
        <v/>
      </c>
    </row>
    <row r="1904" ht="16" customHeight="1">
      <c r="A1904" s="47" t="n"/>
      <c r="B1904" s="46" t="n"/>
      <c r="C1904" s="49" t="n"/>
      <c r="D1904" s="49" t="n"/>
      <c r="E1904" s="49" t="n"/>
      <c r="F1904" s="49" t="n"/>
      <c r="G1904" s="47" t="n"/>
      <c r="H1904" s="50" t="n"/>
      <c r="I1904" s="51" t="n"/>
      <c r="J1904" s="46" t="n"/>
      <c r="K1904" s="46" t="n"/>
      <c r="L1904" s="23">
        <f>IF(OR($A1904="",$B1904=""),"",IF($K1904&lt;&gt;"",$K1904-$B1904,TODAY()-$B1904))</f>
        <v/>
      </c>
      <c r="M1904" s="27">
        <f>IF(OR($A1904="",$J1904=""),"",IF($K1904="",IF(TODAY()&gt;$J1904,"Atrasado","En ruta"),IF($K1904&lt;=$J1904,"Sí","No")))</f>
        <v/>
      </c>
      <c r="N1904" s="23">
        <f>IF($A1904="","",COUNTIFS(NOVEDADES!$C$4:$C$1503,$A1904))</f>
        <v/>
      </c>
      <c r="O1904" s="27">
        <f>IF($A1904="","",IF(COUNTIFS(NOVEDADES!$C$4:$C$1503,$A1904,NOVEDADES!$M$4:$M$1503,"SÍ")&gt;0,"No","Sí"))</f>
        <v/>
      </c>
      <c r="P1904" s="27">
        <f>IF(OR($A1904="",$K1904=""),"",IF(AND($M1904="Sí",$O1904="Sí"),"OTIF","Falló"))</f>
        <v/>
      </c>
    </row>
    <row r="1905" ht="16" customHeight="1">
      <c r="A1905" s="47" t="n"/>
      <c r="B1905" s="46" t="n"/>
      <c r="C1905" s="49" t="n"/>
      <c r="D1905" s="49" t="n"/>
      <c r="E1905" s="49" t="n"/>
      <c r="F1905" s="49" t="n"/>
      <c r="G1905" s="47" t="n"/>
      <c r="H1905" s="50" t="n"/>
      <c r="I1905" s="51" t="n"/>
      <c r="J1905" s="46" t="n"/>
      <c r="K1905" s="46" t="n"/>
      <c r="L1905" s="23">
        <f>IF(OR($A1905="",$B1905=""),"",IF($K1905&lt;&gt;"",$K1905-$B1905,TODAY()-$B1905))</f>
        <v/>
      </c>
      <c r="M1905" s="27">
        <f>IF(OR($A1905="",$J1905=""),"",IF($K1905="",IF(TODAY()&gt;$J1905,"Atrasado","En ruta"),IF($K1905&lt;=$J1905,"Sí","No")))</f>
        <v/>
      </c>
      <c r="N1905" s="23">
        <f>IF($A1905="","",COUNTIFS(NOVEDADES!$C$4:$C$1503,$A1905))</f>
        <v/>
      </c>
      <c r="O1905" s="27">
        <f>IF($A1905="","",IF(COUNTIFS(NOVEDADES!$C$4:$C$1503,$A1905,NOVEDADES!$M$4:$M$1503,"SÍ")&gt;0,"No","Sí"))</f>
        <v/>
      </c>
      <c r="P1905" s="27">
        <f>IF(OR($A1905="",$K1905=""),"",IF(AND($M1905="Sí",$O1905="Sí"),"OTIF","Falló"))</f>
        <v/>
      </c>
    </row>
    <row r="1906" ht="16" customHeight="1">
      <c r="A1906" s="47" t="n"/>
      <c r="B1906" s="46" t="n"/>
      <c r="C1906" s="49" t="n"/>
      <c r="D1906" s="49" t="n"/>
      <c r="E1906" s="49" t="n"/>
      <c r="F1906" s="49" t="n"/>
      <c r="G1906" s="47" t="n"/>
      <c r="H1906" s="50" t="n"/>
      <c r="I1906" s="51" t="n"/>
      <c r="J1906" s="46" t="n"/>
      <c r="K1906" s="46" t="n"/>
      <c r="L1906" s="23">
        <f>IF(OR($A1906="",$B1906=""),"",IF($K1906&lt;&gt;"",$K1906-$B1906,TODAY()-$B1906))</f>
        <v/>
      </c>
      <c r="M1906" s="27">
        <f>IF(OR($A1906="",$J1906=""),"",IF($K1906="",IF(TODAY()&gt;$J1906,"Atrasado","En ruta"),IF($K1906&lt;=$J1906,"Sí","No")))</f>
        <v/>
      </c>
      <c r="N1906" s="23">
        <f>IF($A1906="","",COUNTIFS(NOVEDADES!$C$4:$C$1503,$A1906))</f>
        <v/>
      </c>
      <c r="O1906" s="27">
        <f>IF($A1906="","",IF(COUNTIFS(NOVEDADES!$C$4:$C$1503,$A1906,NOVEDADES!$M$4:$M$1503,"SÍ")&gt;0,"No","Sí"))</f>
        <v/>
      </c>
      <c r="P1906" s="27">
        <f>IF(OR($A1906="",$K1906=""),"",IF(AND($M1906="Sí",$O1906="Sí"),"OTIF","Falló"))</f>
        <v/>
      </c>
    </row>
    <row r="1907" ht="16" customHeight="1">
      <c r="A1907" s="47" t="n"/>
      <c r="B1907" s="46" t="n"/>
      <c r="C1907" s="49" t="n"/>
      <c r="D1907" s="49" t="n"/>
      <c r="E1907" s="49" t="n"/>
      <c r="F1907" s="49" t="n"/>
      <c r="G1907" s="47" t="n"/>
      <c r="H1907" s="50" t="n"/>
      <c r="I1907" s="51" t="n"/>
      <c r="J1907" s="46" t="n"/>
      <c r="K1907" s="46" t="n"/>
      <c r="L1907" s="23">
        <f>IF(OR($A1907="",$B1907=""),"",IF($K1907&lt;&gt;"",$K1907-$B1907,TODAY()-$B1907))</f>
        <v/>
      </c>
      <c r="M1907" s="27">
        <f>IF(OR($A1907="",$J1907=""),"",IF($K1907="",IF(TODAY()&gt;$J1907,"Atrasado","En ruta"),IF($K1907&lt;=$J1907,"Sí","No")))</f>
        <v/>
      </c>
      <c r="N1907" s="23">
        <f>IF($A1907="","",COUNTIFS(NOVEDADES!$C$4:$C$1503,$A1907))</f>
        <v/>
      </c>
      <c r="O1907" s="27">
        <f>IF($A1907="","",IF(COUNTIFS(NOVEDADES!$C$4:$C$1503,$A1907,NOVEDADES!$M$4:$M$1503,"SÍ")&gt;0,"No","Sí"))</f>
        <v/>
      </c>
      <c r="P1907" s="27">
        <f>IF(OR($A1907="",$K1907=""),"",IF(AND($M1907="Sí",$O1907="Sí"),"OTIF","Falló"))</f>
        <v/>
      </c>
    </row>
    <row r="1908" ht="16" customHeight="1">
      <c r="A1908" s="47" t="n"/>
      <c r="B1908" s="46" t="n"/>
      <c r="C1908" s="49" t="n"/>
      <c r="D1908" s="49" t="n"/>
      <c r="E1908" s="49" t="n"/>
      <c r="F1908" s="49" t="n"/>
      <c r="G1908" s="47" t="n"/>
      <c r="H1908" s="50" t="n"/>
      <c r="I1908" s="51" t="n"/>
      <c r="J1908" s="46" t="n"/>
      <c r="K1908" s="46" t="n"/>
      <c r="L1908" s="23">
        <f>IF(OR($A1908="",$B1908=""),"",IF($K1908&lt;&gt;"",$K1908-$B1908,TODAY()-$B1908))</f>
        <v/>
      </c>
      <c r="M1908" s="27">
        <f>IF(OR($A1908="",$J1908=""),"",IF($K1908="",IF(TODAY()&gt;$J1908,"Atrasado","En ruta"),IF($K1908&lt;=$J1908,"Sí","No")))</f>
        <v/>
      </c>
      <c r="N1908" s="23">
        <f>IF($A1908="","",COUNTIFS(NOVEDADES!$C$4:$C$1503,$A1908))</f>
        <v/>
      </c>
      <c r="O1908" s="27">
        <f>IF($A1908="","",IF(COUNTIFS(NOVEDADES!$C$4:$C$1503,$A1908,NOVEDADES!$M$4:$M$1503,"SÍ")&gt;0,"No","Sí"))</f>
        <v/>
      </c>
      <c r="P1908" s="27">
        <f>IF(OR($A1908="",$K1908=""),"",IF(AND($M1908="Sí",$O1908="Sí"),"OTIF","Falló"))</f>
        <v/>
      </c>
    </row>
    <row r="1909" ht="16" customHeight="1">
      <c r="A1909" s="47" t="n"/>
      <c r="B1909" s="46" t="n"/>
      <c r="C1909" s="49" t="n"/>
      <c r="D1909" s="49" t="n"/>
      <c r="E1909" s="49" t="n"/>
      <c r="F1909" s="49" t="n"/>
      <c r="G1909" s="47" t="n"/>
      <c r="H1909" s="50" t="n"/>
      <c r="I1909" s="51" t="n"/>
      <c r="J1909" s="46" t="n"/>
      <c r="K1909" s="46" t="n"/>
      <c r="L1909" s="23">
        <f>IF(OR($A1909="",$B1909=""),"",IF($K1909&lt;&gt;"",$K1909-$B1909,TODAY()-$B1909))</f>
        <v/>
      </c>
      <c r="M1909" s="27">
        <f>IF(OR($A1909="",$J1909=""),"",IF($K1909="",IF(TODAY()&gt;$J1909,"Atrasado","En ruta"),IF($K1909&lt;=$J1909,"Sí","No")))</f>
        <v/>
      </c>
      <c r="N1909" s="23">
        <f>IF($A1909="","",COUNTIFS(NOVEDADES!$C$4:$C$1503,$A1909))</f>
        <v/>
      </c>
      <c r="O1909" s="27">
        <f>IF($A1909="","",IF(COUNTIFS(NOVEDADES!$C$4:$C$1503,$A1909,NOVEDADES!$M$4:$M$1503,"SÍ")&gt;0,"No","Sí"))</f>
        <v/>
      </c>
      <c r="P1909" s="27">
        <f>IF(OR($A1909="",$K1909=""),"",IF(AND($M1909="Sí",$O1909="Sí"),"OTIF","Falló"))</f>
        <v/>
      </c>
    </row>
    <row r="1910" ht="16" customHeight="1">
      <c r="A1910" s="47" t="n"/>
      <c r="B1910" s="46" t="n"/>
      <c r="C1910" s="49" t="n"/>
      <c r="D1910" s="49" t="n"/>
      <c r="E1910" s="49" t="n"/>
      <c r="F1910" s="49" t="n"/>
      <c r="G1910" s="47" t="n"/>
      <c r="H1910" s="50" t="n"/>
      <c r="I1910" s="51" t="n"/>
      <c r="J1910" s="46" t="n"/>
      <c r="K1910" s="46" t="n"/>
      <c r="L1910" s="23">
        <f>IF(OR($A1910="",$B1910=""),"",IF($K1910&lt;&gt;"",$K1910-$B1910,TODAY()-$B1910))</f>
        <v/>
      </c>
      <c r="M1910" s="27">
        <f>IF(OR($A1910="",$J1910=""),"",IF($K1910="",IF(TODAY()&gt;$J1910,"Atrasado","En ruta"),IF($K1910&lt;=$J1910,"Sí","No")))</f>
        <v/>
      </c>
      <c r="N1910" s="23">
        <f>IF($A1910="","",COUNTIFS(NOVEDADES!$C$4:$C$1503,$A1910))</f>
        <v/>
      </c>
      <c r="O1910" s="27">
        <f>IF($A1910="","",IF(COUNTIFS(NOVEDADES!$C$4:$C$1503,$A1910,NOVEDADES!$M$4:$M$1503,"SÍ")&gt;0,"No","Sí"))</f>
        <v/>
      </c>
      <c r="P1910" s="27">
        <f>IF(OR($A1910="",$K1910=""),"",IF(AND($M1910="Sí",$O1910="Sí"),"OTIF","Falló"))</f>
        <v/>
      </c>
    </row>
    <row r="1911" ht="16" customHeight="1">
      <c r="A1911" s="47" t="n"/>
      <c r="B1911" s="46" t="n"/>
      <c r="C1911" s="49" t="n"/>
      <c r="D1911" s="49" t="n"/>
      <c r="E1911" s="49" t="n"/>
      <c r="F1911" s="49" t="n"/>
      <c r="G1911" s="47" t="n"/>
      <c r="H1911" s="50" t="n"/>
      <c r="I1911" s="51" t="n"/>
      <c r="J1911" s="46" t="n"/>
      <c r="K1911" s="46" t="n"/>
      <c r="L1911" s="23">
        <f>IF(OR($A1911="",$B1911=""),"",IF($K1911&lt;&gt;"",$K1911-$B1911,TODAY()-$B1911))</f>
        <v/>
      </c>
      <c r="M1911" s="27">
        <f>IF(OR($A1911="",$J1911=""),"",IF($K1911="",IF(TODAY()&gt;$J1911,"Atrasado","En ruta"),IF($K1911&lt;=$J1911,"Sí","No")))</f>
        <v/>
      </c>
      <c r="N1911" s="23">
        <f>IF($A1911="","",COUNTIFS(NOVEDADES!$C$4:$C$1503,$A1911))</f>
        <v/>
      </c>
      <c r="O1911" s="27">
        <f>IF($A1911="","",IF(COUNTIFS(NOVEDADES!$C$4:$C$1503,$A1911,NOVEDADES!$M$4:$M$1503,"SÍ")&gt;0,"No","Sí"))</f>
        <v/>
      </c>
      <c r="P1911" s="27">
        <f>IF(OR($A1911="",$K1911=""),"",IF(AND($M1911="Sí",$O1911="Sí"),"OTIF","Falló"))</f>
        <v/>
      </c>
    </row>
    <row r="1912" ht="16" customHeight="1">
      <c r="A1912" s="47" t="n"/>
      <c r="B1912" s="46" t="n"/>
      <c r="C1912" s="49" t="n"/>
      <c r="D1912" s="49" t="n"/>
      <c r="E1912" s="49" t="n"/>
      <c r="F1912" s="49" t="n"/>
      <c r="G1912" s="47" t="n"/>
      <c r="H1912" s="50" t="n"/>
      <c r="I1912" s="51" t="n"/>
      <c r="J1912" s="46" t="n"/>
      <c r="K1912" s="46" t="n"/>
      <c r="L1912" s="23">
        <f>IF(OR($A1912="",$B1912=""),"",IF($K1912&lt;&gt;"",$K1912-$B1912,TODAY()-$B1912))</f>
        <v/>
      </c>
      <c r="M1912" s="27">
        <f>IF(OR($A1912="",$J1912=""),"",IF($K1912="",IF(TODAY()&gt;$J1912,"Atrasado","En ruta"),IF($K1912&lt;=$J1912,"Sí","No")))</f>
        <v/>
      </c>
      <c r="N1912" s="23">
        <f>IF($A1912="","",COUNTIFS(NOVEDADES!$C$4:$C$1503,$A1912))</f>
        <v/>
      </c>
      <c r="O1912" s="27">
        <f>IF($A1912="","",IF(COUNTIFS(NOVEDADES!$C$4:$C$1503,$A1912,NOVEDADES!$M$4:$M$1503,"SÍ")&gt;0,"No","Sí"))</f>
        <v/>
      </c>
      <c r="P1912" s="27">
        <f>IF(OR($A1912="",$K1912=""),"",IF(AND($M1912="Sí",$O1912="Sí"),"OTIF","Falló"))</f>
        <v/>
      </c>
    </row>
    <row r="1913" ht="16" customHeight="1">
      <c r="A1913" s="47" t="n"/>
      <c r="B1913" s="46" t="n"/>
      <c r="C1913" s="49" t="n"/>
      <c r="D1913" s="49" t="n"/>
      <c r="E1913" s="49" t="n"/>
      <c r="F1913" s="49" t="n"/>
      <c r="G1913" s="47" t="n"/>
      <c r="H1913" s="50" t="n"/>
      <c r="I1913" s="51" t="n"/>
      <c r="J1913" s="46" t="n"/>
      <c r="K1913" s="46" t="n"/>
      <c r="L1913" s="23">
        <f>IF(OR($A1913="",$B1913=""),"",IF($K1913&lt;&gt;"",$K1913-$B1913,TODAY()-$B1913))</f>
        <v/>
      </c>
      <c r="M1913" s="27">
        <f>IF(OR($A1913="",$J1913=""),"",IF($K1913="",IF(TODAY()&gt;$J1913,"Atrasado","En ruta"),IF($K1913&lt;=$J1913,"Sí","No")))</f>
        <v/>
      </c>
      <c r="N1913" s="23">
        <f>IF($A1913="","",COUNTIFS(NOVEDADES!$C$4:$C$1503,$A1913))</f>
        <v/>
      </c>
      <c r="O1913" s="27">
        <f>IF($A1913="","",IF(COUNTIFS(NOVEDADES!$C$4:$C$1503,$A1913,NOVEDADES!$M$4:$M$1503,"SÍ")&gt;0,"No","Sí"))</f>
        <v/>
      </c>
      <c r="P1913" s="27">
        <f>IF(OR($A1913="",$K1913=""),"",IF(AND($M1913="Sí",$O1913="Sí"),"OTIF","Falló"))</f>
        <v/>
      </c>
    </row>
    <row r="1914" ht="16" customHeight="1">
      <c r="A1914" s="47" t="n"/>
      <c r="B1914" s="46" t="n"/>
      <c r="C1914" s="49" t="n"/>
      <c r="D1914" s="49" t="n"/>
      <c r="E1914" s="49" t="n"/>
      <c r="F1914" s="49" t="n"/>
      <c r="G1914" s="47" t="n"/>
      <c r="H1914" s="50" t="n"/>
      <c r="I1914" s="51" t="n"/>
      <c r="J1914" s="46" t="n"/>
      <c r="K1914" s="46" t="n"/>
      <c r="L1914" s="23">
        <f>IF(OR($A1914="",$B1914=""),"",IF($K1914&lt;&gt;"",$K1914-$B1914,TODAY()-$B1914))</f>
        <v/>
      </c>
      <c r="M1914" s="27">
        <f>IF(OR($A1914="",$J1914=""),"",IF($K1914="",IF(TODAY()&gt;$J1914,"Atrasado","En ruta"),IF($K1914&lt;=$J1914,"Sí","No")))</f>
        <v/>
      </c>
      <c r="N1914" s="23">
        <f>IF($A1914="","",COUNTIFS(NOVEDADES!$C$4:$C$1503,$A1914))</f>
        <v/>
      </c>
      <c r="O1914" s="27">
        <f>IF($A1914="","",IF(COUNTIFS(NOVEDADES!$C$4:$C$1503,$A1914,NOVEDADES!$M$4:$M$1503,"SÍ")&gt;0,"No","Sí"))</f>
        <v/>
      </c>
      <c r="P1914" s="27">
        <f>IF(OR($A1914="",$K1914=""),"",IF(AND($M1914="Sí",$O1914="Sí"),"OTIF","Falló"))</f>
        <v/>
      </c>
    </row>
    <row r="1915" ht="16" customHeight="1">
      <c r="A1915" s="47" t="n"/>
      <c r="B1915" s="46" t="n"/>
      <c r="C1915" s="49" t="n"/>
      <c r="D1915" s="49" t="n"/>
      <c r="E1915" s="49" t="n"/>
      <c r="F1915" s="49" t="n"/>
      <c r="G1915" s="47" t="n"/>
      <c r="H1915" s="50" t="n"/>
      <c r="I1915" s="51" t="n"/>
      <c r="J1915" s="46" t="n"/>
      <c r="K1915" s="46" t="n"/>
      <c r="L1915" s="23">
        <f>IF(OR($A1915="",$B1915=""),"",IF($K1915&lt;&gt;"",$K1915-$B1915,TODAY()-$B1915))</f>
        <v/>
      </c>
      <c r="M1915" s="27">
        <f>IF(OR($A1915="",$J1915=""),"",IF($K1915="",IF(TODAY()&gt;$J1915,"Atrasado","En ruta"),IF($K1915&lt;=$J1915,"Sí","No")))</f>
        <v/>
      </c>
      <c r="N1915" s="23">
        <f>IF($A1915="","",COUNTIFS(NOVEDADES!$C$4:$C$1503,$A1915))</f>
        <v/>
      </c>
      <c r="O1915" s="27">
        <f>IF($A1915="","",IF(COUNTIFS(NOVEDADES!$C$4:$C$1503,$A1915,NOVEDADES!$M$4:$M$1503,"SÍ")&gt;0,"No","Sí"))</f>
        <v/>
      </c>
      <c r="P1915" s="27">
        <f>IF(OR($A1915="",$K1915=""),"",IF(AND($M1915="Sí",$O1915="Sí"),"OTIF","Falló"))</f>
        <v/>
      </c>
    </row>
    <row r="1916" ht="16" customHeight="1">
      <c r="A1916" s="47" t="n"/>
      <c r="B1916" s="46" t="n"/>
      <c r="C1916" s="49" t="n"/>
      <c r="D1916" s="49" t="n"/>
      <c r="E1916" s="49" t="n"/>
      <c r="F1916" s="49" t="n"/>
      <c r="G1916" s="47" t="n"/>
      <c r="H1916" s="50" t="n"/>
      <c r="I1916" s="51" t="n"/>
      <c r="J1916" s="46" t="n"/>
      <c r="K1916" s="46" t="n"/>
      <c r="L1916" s="23">
        <f>IF(OR($A1916="",$B1916=""),"",IF($K1916&lt;&gt;"",$K1916-$B1916,TODAY()-$B1916))</f>
        <v/>
      </c>
      <c r="M1916" s="27">
        <f>IF(OR($A1916="",$J1916=""),"",IF($K1916="",IF(TODAY()&gt;$J1916,"Atrasado","En ruta"),IF($K1916&lt;=$J1916,"Sí","No")))</f>
        <v/>
      </c>
      <c r="N1916" s="23">
        <f>IF($A1916="","",COUNTIFS(NOVEDADES!$C$4:$C$1503,$A1916))</f>
        <v/>
      </c>
      <c r="O1916" s="27">
        <f>IF($A1916="","",IF(COUNTIFS(NOVEDADES!$C$4:$C$1503,$A1916,NOVEDADES!$M$4:$M$1503,"SÍ")&gt;0,"No","Sí"))</f>
        <v/>
      </c>
      <c r="P1916" s="27">
        <f>IF(OR($A1916="",$K1916=""),"",IF(AND($M1916="Sí",$O1916="Sí"),"OTIF","Falló"))</f>
        <v/>
      </c>
    </row>
    <row r="1917" ht="16" customHeight="1">
      <c r="A1917" s="47" t="n"/>
      <c r="B1917" s="46" t="n"/>
      <c r="C1917" s="49" t="n"/>
      <c r="D1917" s="49" t="n"/>
      <c r="E1917" s="49" t="n"/>
      <c r="F1917" s="49" t="n"/>
      <c r="G1917" s="47" t="n"/>
      <c r="H1917" s="50" t="n"/>
      <c r="I1917" s="51" t="n"/>
      <c r="J1917" s="46" t="n"/>
      <c r="K1917" s="46" t="n"/>
      <c r="L1917" s="23">
        <f>IF(OR($A1917="",$B1917=""),"",IF($K1917&lt;&gt;"",$K1917-$B1917,TODAY()-$B1917))</f>
        <v/>
      </c>
      <c r="M1917" s="27">
        <f>IF(OR($A1917="",$J1917=""),"",IF($K1917="",IF(TODAY()&gt;$J1917,"Atrasado","En ruta"),IF($K1917&lt;=$J1917,"Sí","No")))</f>
        <v/>
      </c>
      <c r="N1917" s="23">
        <f>IF($A1917="","",COUNTIFS(NOVEDADES!$C$4:$C$1503,$A1917))</f>
        <v/>
      </c>
      <c r="O1917" s="27">
        <f>IF($A1917="","",IF(COUNTIFS(NOVEDADES!$C$4:$C$1503,$A1917,NOVEDADES!$M$4:$M$1503,"SÍ")&gt;0,"No","Sí"))</f>
        <v/>
      </c>
      <c r="P1917" s="27">
        <f>IF(OR($A1917="",$K1917=""),"",IF(AND($M1917="Sí",$O1917="Sí"),"OTIF","Falló"))</f>
        <v/>
      </c>
    </row>
    <row r="1918" ht="16" customHeight="1">
      <c r="A1918" s="47" t="n"/>
      <c r="B1918" s="46" t="n"/>
      <c r="C1918" s="49" t="n"/>
      <c r="D1918" s="49" t="n"/>
      <c r="E1918" s="49" t="n"/>
      <c r="F1918" s="49" t="n"/>
      <c r="G1918" s="47" t="n"/>
      <c r="H1918" s="50" t="n"/>
      <c r="I1918" s="51" t="n"/>
      <c r="J1918" s="46" t="n"/>
      <c r="K1918" s="46" t="n"/>
      <c r="L1918" s="23">
        <f>IF(OR($A1918="",$B1918=""),"",IF($K1918&lt;&gt;"",$K1918-$B1918,TODAY()-$B1918))</f>
        <v/>
      </c>
      <c r="M1918" s="27">
        <f>IF(OR($A1918="",$J1918=""),"",IF($K1918="",IF(TODAY()&gt;$J1918,"Atrasado","En ruta"),IF($K1918&lt;=$J1918,"Sí","No")))</f>
        <v/>
      </c>
      <c r="N1918" s="23">
        <f>IF($A1918="","",COUNTIFS(NOVEDADES!$C$4:$C$1503,$A1918))</f>
        <v/>
      </c>
      <c r="O1918" s="27">
        <f>IF($A1918="","",IF(COUNTIFS(NOVEDADES!$C$4:$C$1503,$A1918,NOVEDADES!$M$4:$M$1503,"SÍ")&gt;0,"No","Sí"))</f>
        <v/>
      </c>
      <c r="P1918" s="27">
        <f>IF(OR($A1918="",$K1918=""),"",IF(AND($M1918="Sí",$O1918="Sí"),"OTIF","Falló"))</f>
        <v/>
      </c>
    </row>
    <row r="1919" ht="16" customHeight="1">
      <c r="A1919" s="47" t="n"/>
      <c r="B1919" s="46" t="n"/>
      <c r="C1919" s="49" t="n"/>
      <c r="D1919" s="49" t="n"/>
      <c r="E1919" s="49" t="n"/>
      <c r="F1919" s="49" t="n"/>
      <c r="G1919" s="47" t="n"/>
      <c r="H1919" s="50" t="n"/>
      <c r="I1919" s="51" t="n"/>
      <c r="J1919" s="46" t="n"/>
      <c r="K1919" s="46" t="n"/>
      <c r="L1919" s="23">
        <f>IF(OR($A1919="",$B1919=""),"",IF($K1919&lt;&gt;"",$K1919-$B1919,TODAY()-$B1919))</f>
        <v/>
      </c>
      <c r="M1919" s="27">
        <f>IF(OR($A1919="",$J1919=""),"",IF($K1919="",IF(TODAY()&gt;$J1919,"Atrasado","En ruta"),IF($K1919&lt;=$J1919,"Sí","No")))</f>
        <v/>
      </c>
      <c r="N1919" s="23">
        <f>IF($A1919="","",COUNTIFS(NOVEDADES!$C$4:$C$1503,$A1919))</f>
        <v/>
      </c>
      <c r="O1919" s="27">
        <f>IF($A1919="","",IF(COUNTIFS(NOVEDADES!$C$4:$C$1503,$A1919,NOVEDADES!$M$4:$M$1503,"SÍ")&gt;0,"No","Sí"))</f>
        <v/>
      </c>
      <c r="P1919" s="27">
        <f>IF(OR($A1919="",$K1919=""),"",IF(AND($M1919="Sí",$O1919="Sí"),"OTIF","Falló"))</f>
        <v/>
      </c>
    </row>
    <row r="1920" ht="16" customHeight="1">
      <c r="A1920" s="47" t="n"/>
      <c r="B1920" s="46" t="n"/>
      <c r="C1920" s="49" t="n"/>
      <c r="D1920" s="49" t="n"/>
      <c r="E1920" s="49" t="n"/>
      <c r="F1920" s="49" t="n"/>
      <c r="G1920" s="47" t="n"/>
      <c r="H1920" s="50" t="n"/>
      <c r="I1920" s="51" t="n"/>
      <c r="J1920" s="46" t="n"/>
      <c r="K1920" s="46" t="n"/>
      <c r="L1920" s="23">
        <f>IF(OR($A1920="",$B1920=""),"",IF($K1920&lt;&gt;"",$K1920-$B1920,TODAY()-$B1920))</f>
        <v/>
      </c>
      <c r="M1920" s="27">
        <f>IF(OR($A1920="",$J1920=""),"",IF($K1920="",IF(TODAY()&gt;$J1920,"Atrasado","En ruta"),IF($K1920&lt;=$J1920,"Sí","No")))</f>
        <v/>
      </c>
      <c r="N1920" s="23">
        <f>IF($A1920="","",COUNTIFS(NOVEDADES!$C$4:$C$1503,$A1920))</f>
        <v/>
      </c>
      <c r="O1920" s="27">
        <f>IF($A1920="","",IF(COUNTIFS(NOVEDADES!$C$4:$C$1503,$A1920,NOVEDADES!$M$4:$M$1503,"SÍ")&gt;0,"No","Sí"))</f>
        <v/>
      </c>
      <c r="P1920" s="27">
        <f>IF(OR($A1920="",$K1920=""),"",IF(AND($M1920="Sí",$O1920="Sí"),"OTIF","Falló"))</f>
        <v/>
      </c>
    </row>
    <row r="1921" ht="16" customHeight="1">
      <c r="A1921" s="47" t="n"/>
      <c r="B1921" s="46" t="n"/>
      <c r="C1921" s="49" t="n"/>
      <c r="D1921" s="49" t="n"/>
      <c r="E1921" s="49" t="n"/>
      <c r="F1921" s="49" t="n"/>
      <c r="G1921" s="47" t="n"/>
      <c r="H1921" s="50" t="n"/>
      <c r="I1921" s="51" t="n"/>
      <c r="J1921" s="46" t="n"/>
      <c r="K1921" s="46" t="n"/>
      <c r="L1921" s="23">
        <f>IF(OR($A1921="",$B1921=""),"",IF($K1921&lt;&gt;"",$K1921-$B1921,TODAY()-$B1921))</f>
        <v/>
      </c>
      <c r="M1921" s="27">
        <f>IF(OR($A1921="",$J1921=""),"",IF($K1921="",IF(TODAY()&gt;$J1921,"Atrasado","En ruta"),IF($K1921&lt;=$J1921,"Sí","No")))</f>
        <v/>
      </c>
      <c r="N1921" s="23">
        <f>IF($A1921="","",COUNTIFS(NOVEDADES!$C$4:$C$1503,$A1921))</f>
        <v/>
      </c>
      <c r="O1921" s="27">
        <f>IF($A1921="","",IF(COUNTIFS(NOVEDADES!$C$4:$C$1503,$A1921,NOVEDADES!$M$4:$M$1503,"SÍ")&gt;0,"No","Sí"))</f>
        <v/>
      </c>
      <c r="P1921" s="27">
        <f>IF(OR($A1921="",$K1921=""),"",IF(AND($M1921="Sí",$O1921="Sí"),"OTIF","Falló"))</f>
        <v/>
      </c>
    </row>
    <row r="1922" ht="16" customHeight="1">
      <c r="A1922" s="47" t="n"/>
      <c r="B1922" s="46" t="n"/>
      <c r="C1922" s="49" t="n"/>
      <c r="D1922" s="49" t="n"/>
      <c r="E1922" s="49" t="n"/>
      <c r="F1922" s="49" t="n"/>
      <c r="G1922" s="47" t="n"/>
      <c r="H1922" s="50" t="n"/>
      <c r="I1922" s="51" t="n"/>
      <c r="J1922" s="46" t="n"/>
      <c r="K1922" s="46" t="n"/>
      <c r="L1922" s="23">
        <f>IF(OR($A1922="",$B1922=""),"",IF($K1922&lt;&gt;"",$K1922-$B1922,TODAY()-$B1922))</f>
        <v/>
      </c>
      <c r="M1922" s="27">
        <f>IF(OR($A1922="",$J1922=""),"",IF($K1922="",IF(TODAY()&gt;$J1922,"Atrasado","En ruta"),IF($K1922&lt;=$J1922,"Sí","No")))</f>
        <v/>
      </c>
      <c r="N1922" s="23">
        <f>IF($A1922="","",COUNTIFS(NOVEDADES!$C$4:$C$1503,$A1922))</f>
        <v/>
      </c>
      <c r="O1922" s="27">
        <f>IF($A1922="","",IF(COUNTIFS(NOVEDADES!$C$4:$C$1503,$A1922,NOVEDADES!$M$4:$M$1503,"SÍ")&gt;0,"No","Sí"))</f>
        <v/>
      </c>
      <c r="P1922" s="27">
        <f>IF(OR($A1922="",$K1922=""),"",IF(AND($M1922="Sí",$O1922="Sí"),"OTIF","Falló"))</f>
        <v/>
      </c>
    </row>
    <row r="1923" ht="16" customHeight="1">
      <c r="A1923" s="47" t="n"/>
      <c r="B1923" s="46" t="n"/>
      <c r="C1923" s="49" t="n"/>
      <c r="D1923" s="49" t="n"/>
      <c r="E1923" s="49" t="n"/>
      <c r="F1923" s="49" t="n"/>
      <c r="G1923" s="47" t="n"/>
      <c r="H1923" s="50" t="n"/>
      <c r="I1923" s="51" t="n"/>
      <c r="J1923" s="46" t="n"/>
      <c r="K1923" s="46" t="n"/>
      <c r="L1923" s="23">
        <f>IF(OR($A1923="",$B1923=""),"",IF($K1923&lt;&gt;"",$K1923-$B1923,TODAY()-$B1923))</f>
        <v/>
      </c>
      <c r="M1923" s="27">
        <f>IF(OR($A1923="",$J1923=""),"",IF($K1923="",IF(TODAY()&gt;$J1923,"Atrasado","En ruta"),IF($K1923&lt;=$J1923,"Sí","No")))</f>
        <v/>
      </c>
      <c r="N1923" s="23">
        <f>IF($A1923="","",COUNTIFS(NOVEDADES!$C$4:$C$1503,$A1923))</f>
        <v/>
      </c>
      <c r="O1923" s="27">
        <f>IF($A1923="","",IF(COUNTIFS(NOVEDADES!$C$4:$C$1503,$A1923,NOVEDADES!$M$4:$M$1503,"SÍ")&gt;0,"No","Sí"))</f>
        <v/>
      </c>
      <c r="P1923" s="27">
        <f>IF(OR($A1923="",$K1923=""),"",IF(AND($M1923="Sí",$O1923="Sí"),"OTIF","Falló"))</f>
        <v/>
      </c>
    </row>
    <row r="1924" ht="16" customHeight="1">
      <c r="A1924" s="47" t="n"/>
      <c r="B1924" s="46" t="n"/>
      <c r="C1924" s="49" t="n"/>
      <c r="D1924" s="49" t="n"/>
      <c r="E1924" s="49" t="n"/>
      <c r="F1924" s="49" t="n"/>
      <c r="G1924" s="47" t="n"/>
      <c r="H1924" s="50" t="n"/>
      <c r="I1924" s="51" t="n"/>
      <c r="J1924" s="46" t="n"/>
      <c r="K1924" s="46" t="n"/>
      <c r="L1924" s="23">
        <f>IF(OR($A1924="",$B1924=""),"",IF($K1924&lt;&gt;"",$K1924-$B1924,TODAY()-$B1924))</f>
        <v/>
      </c>
      <c r="M1924" s="27">
        <f>IF(OR($A1924="",$J1924=""),"",IF($K1924="",IF(TODAY()&gt;$J1924,"Atrasado","En ruta"),IF($K1924&lt;=$J1924,"Sí","No")))</f>
        <v/>
      </c>
      <c r="N1924" s="23">
        <f>IF($A1924="","",COUNTIFS(NOVEDADES!$C$4:$C$1503,$A1924))</f>
        <v/>
      </c>
      <c r="O1924" s="27">
        <f>IF($A1924="","",IF(COUNTIFS(NOVEDADES!$C$4:$C$1503,$A1924,NOVEDADES!$M$4:$M$1503,"SÍ")&gt;0,"No","Sí"))</f>
        <v/>
      </c>
      <c r="P1924" s="27">
        <f>IF(OR($A1924="",$K1924=""),"",IF(AND($M1924="Sí",$O1924="Sí"),"OTIF","Falló"))</f>
        <v/>
      </c>
    </row>
    <row r="1925" ht="16" customHeight="1">
      <c r="A1925" s="47" t="n"/>
      <c r="B1925" s="46" t="n"/>
      <c r="C1925" s="49" t="n"/>
      <c r="D1925" s="49" t="n"/>
      <c r="E1925" s="49" t="n"/>
      <c r="F1925" s="49" t="n"/>
      <c r="G1925" s="47" t="n"/>
      <c r="H1925" s="50" t="n"/>
      <c r="I1925" s="51" t="n"/>
      <c r="J1925" s="46" t="n"/>
      <c r="K1925" s="46" t="n"/>
      <c r="L1925" s="23">
        <f>IF(OR($A1925="",$B1925=""),"",IF($K1925&lt;&gt;"",$K1925-$B1925,TODAY()-$B1925))</f>
        <v/>
      </c>
      <c r="M1925" s="27">
        <f>IF(OR($A1925="",$J1925=""),"",IF($K1925="",IF(TODAY()&gt;$J1925,"Atrasado","En ruta"),IF($K1925&lt;=$J1925,"Sí","No")))</f>
        <v/>
      </c>
      <c r="N1925" s="23">
        <f>IF($A1925="","",COUNTIFS(NOVEDADES!$C$4:$C$1503,$A1925))</f>
        <v/>
      </c>
      <c r="O1925" s="27">
        <f>IF($A1925="","",IF(COUNTIFS(NOVEDADES!$C$4:$C$1503,$A1925,NOVEDADES!$M$4:$M$1503,"SÍ")&gt;0,"No","Sí"))</f>
        <v/>
      </c>
      <c r="P1925" s="27">
        <f>IF(OR($A1925="",$K1925=""),"",IF(AND($M1925="Sí",$O1925="Sí"),"OTIF","Falló"))</f>
        <v/>
      </c>
    </row>
    <row r="1926" ht="16" customHeight="1">
      <c r="A1926" s="47" t="n"/>
      <c r="B1926" s="46" t="n"/>
      <c r="C1926" s="49" t="n"/>
      <c r="D1926" s="49" t="n"/>
      <c r="E1926" s="49" t="n"/>
      <c r="F1926" s="49" t="n"/>
      <c r="G1926" s="47" t="n"/>
      <c r="H1926" s="50" t="n"/>
      <c r="I1926" s="51" t="n"/>
      <c r="J1926" s="46" t="n"/>
      <c r="K1926" s="46" t="n"/>
      <c r="L1926" s="23">
        <f>IF(OR($A1926="",$B1926=""),"",IF($K1926&lt;&gt;"",$K1926-$B1926,TODAY()-$B1926))</f>
        <v/>
      </c>
      <c r="M1926" s="27">
        <f>IF(OR($A1926="",$J1926=""),"",IF($K1926="",IF(TODAY()&gt;$J1926,"Atrasado","En ruta"),IF($K1926&lt;=$J1926,"Sí","No")))</f>
        <v/>
      </c>
      <c r="N1926" s="23">
        <f>IF($A1926="","",COUNTIFS(NOVEDADES!$C$4:$C$1503,$A1926))</f>
        <v/>
      </c>
      <c r="O1926" s="27">
        <f>IF($A1926="","",IF(COUNTIFS(NOVEDADES!$C$4:$C$1503,$A1926,NOVEDADES!$M$4:$M$1503,"SÍ")&gt;0,"No","Sí"))</f>
        <v/>
      </c>
      <c r="P1926" s="27">
        <f>IF(OR($A1926="",$K1926=""),"",IF(AND($M1926="Sí",$O1926="Sí"),"OTIF","Falló"))</f>
        <v/>
      </c>
    </row>
    <row r="1927" ht="16" customHeight="1">
      <c r="A1927" s="47" t="n"/>
      <c r="B1927" s="46" t="n"/>
      <c r="C1927" s="49" t="n"/>
      <c r="D1927" s="49" t="n"/>
      <c r="E1927" s="49" t="n"/>
      <c r="F1927" s="49" t="n"/>
      <c r="G1927" s="47" t="n"/>
      <c r="H1927" s="50" t="n"/>
      <c r="I1927" s="51" t="n"/>
      <c r="J1927" s="46" t="n"/>
      <c r="K1927" s="46" t="n"/>
      <c r="L1927" s="23">
        <f>IF(OR($A1927="",$B1927=""),"",IF($K1927&lt;&gt;"",$K1927-$B1927,TODAY()-$B1927))</f>
        <v/>
      </c>
      <c r="M1927" s="27">
        <f>IF(OR($A1927="",$J1927=""),"",IF($K1927="",IF(TODAY()&gt;$J1927,"Atrasado","En ruta"),IF($K1927&lt;=$J1927,"Sí","No")))</f>
        <v/>
      </c>
      <c r="N1927" s="23">
        <f>IF($A1927="","",COUNTIFS(NOVEDADES!$C$4:$C$1503,$A1927))</f>
        <v/>
      </c>
      <c r="O1927" s="27">
        <f>IF($A1927="","",IF(COUNTIFS(NOVEDADES!$C$4:$C$1503,$A1927,NOVEDADES!$M$4:$M$1503,"SÍ")&gt;0,"No","Sí"))</f>
        <v/>
      </c>
      <c r="P1927" s="27">
        <f>IF(OR($A1927="",$K1927=""),"",IF(AND($M1927="Sí",$O1927="Sí"),"OTIF","Falló"))</f>
        <v/>
      </c>
    </row>
    <row r="1928" ht="16" customHeight="1">
      <c r="A1928" s="47" t="n"/>
      <c r="B1928" s="46" t="n"/>
      <c r="C1928" s="49" t="n"/>
      <c r="D1928" s="49" t="n"/>
      <c r="E1928" s="49" t="n"/>
      <c r="F1928" s="49" t="n"/>
      <c r="G1928" s="47" t="n"/>
      <c r="H1928" s="50" t="n"/>
      <c r="I1928" s="51" t="n"/>
      <c r="J1928" s="46" t="n"/>
      <c r="K1928" s="46" t="n"/>
      <c r="L1928" s="23">
        <f>IF(OR($A1928="",$B1928=""),"",IF($K1928&lt;&gt;"",$K1928-$B1928,TODAY()-$B1928))</f>
        <v/>
      </c>
      <c r="M1928" s="27">
        <f>IF(OR($A1928="",$J1928=""),"",IF($K1928="",IF(TODAY()&gt;$J1928,"Atrasado","En ruta"),IF($K1928&lt;=$J1928,"Sí","No")))</f>
        <v/>
      </c>
      <c r="N1928" s="23">
        <f>IF($A1928="","",COUNTIFS(NOVEDADES!$C$4:$C$1503,$A1928))</f>
        <v/>
      </c>
      <c r="O1928" s="27">
        <f>IF($A1928="","",IF(COUNTIFS(NOVEDADES!$C$4:$C$1503,$A1928,NOVEDADES!$M$4:$M$1503,"SÍ")&gt;0,"No","Sí"))</f>
        <v/>
      </c>
      <c r="P1928" s="27">
        <f>IF(OR($A1928="",$K1928=""),"",IF(AND($M1928="Sí",$O1928="Sí"),"OTIF","Falló"))</f>
        <v/>
      </c>
    </row>
    <row r="1929" ht="16" customHeight="1">
      <c r="A1929" s="47" t="n"/>
      <c r="B1929" s="46" t="n"/>
      <c r="C1929" s="49" t="n"/>
      <c r="D1929" s="49" t="n"/>
      <c r="E1929" s="49" t="n"/>
      <c r="F1929" s="49" t="n"/>
      <c r="G1929" s="47" t="n"/>
      <c r="H1929" s="50" t="n"/>
      <c r="I1929" s="51" t="n"/>
      <c r="J1929" s="46" t="n"/>
      <c r="K1929" s="46" t="n"/>
      <c r="L1929" s="23">
        <f>IF(OR($A1929="",$B1929=""),"",IF($K1929&lt;&gt;"",$K1929-$B1929,TODAY()-$B1929))</f>
        <v/>
      </c>
      <c r="M1929" s="27">
        <f>IF(OR($A1929="",$J1929=""),"",IF($K1929="",IF(TODAY()&gt;$J1929,"Atrasado","En ruta"),IF($K1929&lt;=$J1929,"Sí","No")))</f>
        <v/>
      </c>
      <c r="N1929" s="23">
        <f>IF($A1929="","",COUNTIFS(NOVEDADES!$C$4:$C$1503,$A1929))</f>
        <v/>
      </c>
      <c r="O1929" s="27">
        <f>IF($A1929="","",IF(COUNTIFS(NOVEDADES!$C$4:$C$1503,$A1929,NOVEDADES!$M$4:$M$1503,"SÍ")&gt;0,"No","Sí"))</f>
        <v/>
      </c>
      <c r="P1929" s="27">
        <f>IF(OR($A1929="",$K1929=""),"",IF(AND($M1929="Sí",$O1929="Sí"),"OTIF","Falló"))</f>
        <v/>
      </c>
    </row>
    <row r="1930" ht="16" customHeight="1">
      <c r="A1930" s="47" t="n"/>
      <c r="B1930" s="46" t="n"/>
      <c r="C1930" s="49" t="n"/>
      <c r="D1930" s="49" t="n"/>
      <c r="E1930" s="49" t="n"/>
      <c r="F1930" s="49" t="n"/>
      <c r="G1930" s="47" t="n"/>
      <c r="H1930" s="50" t="n"/>
      <c r="I1930" s="51" t="n"/>
      <c r="J1930" s="46" t="n"/>
      <c r="K1930" s="46" t="n"/>
      <c r="L1930" s="23">
        <f>IF(OR($A1930="",$B1930=""),"",IF($K1930&lt;&gt;"",$K1930-$B1930,TODAY()-$B1930))</f>
        <v/>
      </c>
      <c r="M1930" s="27">
        <f>IF(OR($A1930="",$J1930=""),"",IF($K1930="",IF(TODAY()&gt;$J1930,"Atrasado","En ruta"),IF($K1930&lt;=$J1930,"Sí","No")))</f>
        <v/>
      </c>
      <c r="N1930" s="23">
        <f>IF($A1930="","",COUNTIFS(NOVEDADES!$C$4:$C$1503,$A1930))</f>
        <v/>
      </c>
      <c r="O1930" s="27">
        <f>IF($A1930="","",IF(COUNTIFS(NOVEDADES!$C$4:$C$1503,$A1930,NOVEDADES!$M$4:$M$1503,"SÍ")&gt;0,"No","Sí"))</f>
        <v/>
      </c>
      <c r="P1930" s="27">
        <f>IF(OR($A1930="",$K1930=""),"",IF(AND($M1930="Sí",$O1930="Sí"),"OTIF","Falló"))</f>
        <v/>
      </c>
    </row>
    <row r="1931" ht="16" customHeight="1">
      <c r="A1931" s="47" t="n"/>
      <c r="B1931" s="46" t="n"/>
      <c r="C1931" s="49" t="n"/>
      <c r="D1931" s="49" t="n"/>
      <c r="E1931" s="49" t="n"/>
      <c r="F1931" s="49" t="n"/>
      <c r="G1931" s="47" t="n"/>
      <c r="H1931" s="50" t="n"/>
      <c r="I1931" s="51" t="n"/>
      <c r="J1931" s="46" t="n"/>
      <c r="K1931" s="46" t="n"/>
      <c r="L1931" s="23">
        <f>IF(OR($A1931="",$B1931=""),"",IF($K1931&lt;&gt;"",$K1931-$B1931,TODAY()-$B1931))</f>
        <v/>
      </c>
      <c r="M1931" s="27">
        <f>IF(OR($A1931="",$J1931=""),"",IF($K1931="",IF(TODAY()&gt;$J1931,"Atrasado","En ruta"),IF($K1931&lt;=$J1931,"Sí","No")))</f>
        <v/>
      </c>
      <c r="N1931" s="23">
        <f>IF($A1931="","",COUNTIFS(NOVEDADES!$C$4:$C$1503,$A1931))</f>
        <v/>
      </c>
      <c r="O1931" s="27">
        <f>IF($A1931="","",IF(COUNTIFS(NOVEDADES!$C$4:$C$1503,$A1931,NOVEDADES!$M$4:$M$1503,"SÍ")&gt;0,"No","Sí"))</f>
        <v/>
      </c>
      <c r="P1931" s="27">
        <f>IF(OR($A1931="",$K1931=""),"",IF(AND($M1931="Sí",$O1931="Sí"),"OTIF","Falló"))</f>
        <v/>
      </c>
    </row>
    <row r="1932" ht="16" customHeight="1">
      <c r="A1932" s="47" t="n"/>
      <c r="B1932" s="46" t="n"/>
      <c r="C1932" s="49" t="n"/>
      <c r="D1932" s="49" t="n"/>
      <c r="E1932" s="49" t="n"/>
      <c r="F1932" s="49" t="n"/>
      <c r="G1932" s="47" t="n"/>
      <c r="H1932" s="50" t="n"/>
      <c r="I1932" s="51" t="n"/>
      <c r="J1932" s="46" t="n"/>
      <c r="K1932" s="46" t="n"/>
      <c r="L1932" s="23">
        <f>IF(OR($A1932="",$B1932=""),"",IF($K1932&lt;&gt;"",$K1932-$B1932,TODAY()-$B1932))</f>
        <v/>
      </c>
      <c r="M1932" s="27">
        <f>IF(OR($A1932="",$J1932=""),"",IF($K1932="",IF(TODAY()&gt;$J1932,"Atrasado","En ruta"),IF($K1932&lt;=$J1932,"Sí","No")))</f>
        <v/>
      </c>
      <c r="N1932" s="23">
        <f>IF($A1932="","",COUNTIFS(NOVEDADES!$C$4:$C$1503,$A1932))</f>
        <v/>
      </c>
      <c r="O1932" s="27">
        <f>IF($A1932="","",IF(COUNTIFS(NOVEDADES!$C$4:$C$1503,$A1932,NOVEDADES!$M$4:$M$1503,"SÍ")&gt;0,"No","Sí"))</f>
        <v/>
      </c>
      <c r="P1932" s="27">
        <f>IF(OR($A1932="",$K1932=""),"",IF(AND($M1932="Sí",$O1932="Sí"),"OTIF","Falló"))</f>
        <v/>
      </c>
    </row>
    <row r="1933" ht="16" customHeight="1">
      <c r="A1933" s="47" t="n"/>
      <c r="B1933" s="46" t="n"/>
      <c r="C1933" s="49" t="n"/>
      <c r="D1933" s="49" t="n"/>
      <c r="E1933" s="49" t="n"/>
      <c r="F1933" s="49" t="n"/>
      <c r="G1933" s="47" t="n"/>
      <c r="H1933" s="50" t="n"/>
      <c r="I1933" s="51" t="n"/>
      <c r="J1933" s="46" t="n"/>
      <c r="K1933" s="46" t="n"/>
      <c r="L1933" s="23">
        <f>IF(OR($A1933="",$B1933=""),"",IF($K1933&lt;&gt;"",$K1933-$B1933,TODAY()-$B1933))</f>
        <v/>
      </c>
      <c r="M1933" s="27">
        <f>IF(OR($A1933="",$J1933=""),"",IF($K1933="",IF(TODAY()&gt;$J1933,"Atrasado","En ruta"),IF($K1933&lt;=$J1933,"Sí","No")))</f>
        <v/>
      </c>
      <c r="N1933" s="23">
        <f>IF($A1933="","",COUNTIFS(NOVEDADES!$C$4:$C$1503,$A1933))</f>
        <v/>
      </c>
      <c r="O1933" s="27">
        <f>IF($A1933="","",IF(COUNTIFS(NOVEDADES!$C$4:$C$1503,$A1933,NOVEDADES!$M$4:$M$1503,"SÍ")&gt;0,"No","Sí"))</f>
        <v/>
      </c>
      <c r="P1933" s="27">
        <f>IF(OR($A1933="",$K1933=""),"",IF(AND($M1933="Sí",$O1933="Sí"),"OTIF","Falló"))</f>
        <v/>
      </c>
    </row>
    <row r="1934" ht="16" customHeight="1">
      <c r="A1934" s="47" t="n"/>
      <c r="B1934" s="46" t="n"/>
      <c r="C1934" s="49" t="n"/>
      <c r="D1934" s="49" t="n"/>
      <c r="E1934" s="49" t="n"/>
      <c r="F1934" s="49" t="n"/>
      <c r="G1934" s="47" t="n"/>
      <c r="H1934" s="50" t="n"/>
      <c r="I1934" s="51" t="n"/>
      <c r="J1934" s="46" t="n"/>
      <c r="K1934" s="46" t="n"/>
      <c r="L1934" s="23">
        <f>IF(OR($A1934="",$B1934=""),"",IF($K1934&lt;&gt;"",$K1934-$B1934,TODAY()-$B1934))</f>
        <v/>
      </c>
      <c r="M1934" s="27">
        <f>IF(OR($A1934="",$J1934=""),"",IF($K1934="",IF(TODAY()&gt;$J1934,"Atrasado","En ruta"),IF($K1934&lt;=$J1934,"Sí","No")))</f>
        <v/>
      </c>
      <c r="N1934" s="23">
        <f>IF($A1934="","",COUNTIFS(NOVEDADES!$C$4:$C$1503,$A1934))</f>
        <v/>
      </c>
      <c r="O1934" s="27">
        <f>IF($A1934="","",IF(COUNTIFS(NOVEDADES!$C$4:$C$1503,$A1934,NOVEDADES!$M$4:$M$1503,"SÍ")&gt;0,"No","Sí"))</f>
        <v/>
      </c>
      <c r="P1934" s="27">
        <f>IF(OR($A1934="",$K1934=""),"",IF(AND($M1934="Sí",$O1934="Sí"),"OTIF","Falló"))</f>
        <v/>
      </c>
    </row>
    <row r="1935" ht="16" customHeight="1">
      <c r="A1935" s="47" t="n"/>
      <c r="B1935" s="46" t="n"/>
      <c r="C1935" s="49" t="n"/>
      <c r="D1935" s="49" t="n"/>
      <c r="E1935" s="49" t="n"/>
      <c r="F1935" s="49" t="n"/>
      <c r="G1935" s="47" t="n"/>
      <c r="H1935" s="50" t="n"/>
      <c r="I1935" s="51" t="n"/>
      <c r="J1935" s="46" t="n"/>
      <c r="K1935" s="46" t="n"/>
      <c r="L1935" s="23">
        <f>IF(OR($A1935="",$B1935=""),"",IF($K1935&lt;&gt;"",$K1935-$B1935,TODAY()-$B1935))</f>
        <v/>
      </c>
      <c r="M1935" s="27">
        <f>IF(OR($A1935="",$J1935=""),"",IF($K1935="",IF(TODAY()&gt;$J1935,"Atrasado","En ruta"),IF($K1935&lt;=$J1935,"Sí","No")))</f>
        <v/>
      </c>
      <c r="N1935" s="23">
        <f>IF($A1935="","",COUNTIFS(NOVEDADES!$C$4:$C$1503,$A1935))</f>
        <v/>
      </c>
      <c r="O1935" s="27">
        <f>IF($A1935="","",IF(COUNTIFS(NOVEDADES!$C$4:$C$1503,$A1935,NOVEDADES!$M$4:$M$1503,"SÍ")&gt;0,"No","Sí"))</f>
        <v/>
      </c>
      <c r="P1935" s="27">
        <f>IF(OR($A1935="",$K1935=""),"",IF(AND($M1935="Sí",$O1935="Sí"),"OTIF","Falló"))</f>
        <v/>
      </c>
    </row>
    <row r="1936" ht="16" customHeight="1">
      <c r="A1936" s="47" t="n"/>
      <c r="B1936" s="46" t="n"/>
      <c r="C1936" s="49" t="n"/>
      <c r="D1936" s="49" t="n"/>
      <c r="E1936" s="49" t="n"/>
      <c r="F1936" s="49" t="n"/>
      <c r="G1936" s="47" t="n"/>
      <c r="H1936" s="50" t="n"/>
      <c r="I1936" s="51" t="n"/>
      <c r="J1936" s="46" t="n"/>
      <c r="K1936" s="46" t="n"/>
      <c r="L1936" s="23">
        <f>IF(OR($A1936="",$B1936=""),"",IF($K1936&lt;&gt;"",$K1936-$B1936,TODAY()-$B1936))</f>
        <v/>
      </c>
      <c r="M1936" s="27">
        <f>IF(OR($A1936="",$J1936=""),"",IF($K1936="",IF(TODAY()&gt;$J1936,"Atrasado","En ruta"),IF($K1936&lt;=$J1936,"Sí","No")))</f>
        <v/>
      </c>
      <c r="N1936" s="23">
        <f>IF($A1936="","",COUNTIFS(NOVEDADES!$C$4:$C$1503,$A1936))</f>
        <v/>
      </c>
      <c r="O1936" s="27">
        <f>IF($A1936="","",IF(COUNTIFS(NOVEDADES!$C$4:$C$1503,$A1936,NOVEDADES!$M$4:$M$1503,"SÍ")&gt;0,"No","Sí"))</f>
        <v/>
      </c>
      <c r="P1936" s="27">
        <f>IF(OR($A1936="",$K1936=""),"",IF(AND($M1936="Sí",$O1936="Sí"),"OTIF","Falló"))</f>
        <v/>
      </c>
    </row>
    <row r="1937" ht="16" customHeight="1">
      <c r="A1937" s="47" t="n"/>
      <c r="B1937" s="46" t="n"/>
      <c r="C1937" s="49" t="n"/>
      <c r="D1937" s="49" t="n"/>
      <c r="E1937" s="49" t="n"/>
      <c r="F1937" s="49" t="n"/>
      <c r="G1937" s="47" t="n"/>
      <c r="H1937" s="50" t="n"/>
      <c r="I1937" s="51" t="n"/>
      <c r="J1937" s="46" t="n"/>
      <c r="K1937" s="46" t="n"/>
      <c r="L1937" s="23">
        <f>IF(OR($A1937="",$B1937=""),"",IF($K1937&lt;&gt;"",$K1937-$B1937,TODAY()-$B1937))</f>
        <v/>
      </c>
      <c r="M1937" s="27">
        <f>IF(OR($A1937="",$J1937=""),"",IF($K1937="",IF(TODAY()&gt;$J1937,"Atrasado","En ruta"),IF($K1937&lt;=$J1937,"Sí","No")))</f>
        <v/>
      </c>
      <c r="N1937" s="23">
        <f>IF($A1937="","",COUNTIFS(NOVEDADES!$C$4:$C$1503,$A1937))</f>
        <v/>
      </c>
      <c r="O1937" s="27">
        <f>IF($A1937="","",IF(COUNTIFS(NOVEDADES!$C$4:$C$1503,$A1937,NOVEDADES!$M$4:$M$1503,"SÍ")&gt;0,"No","Sí"))</f>
        <v/>
      </c>
      <c r="P1937" s="27">
        <f>IF(OR($A1937="",$K1937=""),"",IF(AND($M1937="Sí",$O1937="Sí"),"OTIF","Falló"))</f>
        <v/>
      </c>
    </row>
    <row r="1938" ht="16" customHeight="1">
      <c r="A1938" s="47" t="n"/>
      <c r="B1938" s="46" t="n"/>
      <c r="C1938" s="49" t="n"/>
      <c r="D1938" s="49" t="n"/>
      <c r="E1938" s="49" t="n"/>
      <c r="F1938" s="49" t="n"/>
      <c r="G1938" s="47" t="n"/>
      <c r="H1938" s="50" t="n"/>
      <c r="I1938" s="51" t="n"/>
      <c r="J1938" s="46" t="n"/>
      <c r="K1938" s="46" t="n"/>
      <c r="L1938" s="23">
        <f>IF(OR($A1938="",$B1938=""),"",IF($K1938&lt;&gt;"",$K1938-$B1938,TODAY()-$B1938))</f>
        <v/>
      </c>
      <c r="M1938" s="27">
        <f>IF(OR($A1938="",$J1938=""),"",IF($K1938="",IF(TODAY()&gt;$J1938,"Atrasado","En ruta"),IF($K1938&lt;=$J1938,"Sí","No")))</f>
        <v/>
      </c>
      <c r="N1938" s="23">
        <f>IF($A1938="","",COUNTIFS(NOVEDADES!$C$4:$C$1503,$A1938))</f>
        <v/>
      </c>
      <c r="O1938" s="27">
        <f>IF($A1938="","",IF(COUNTIFS(NOVEDADES!$C$4:$C$1503,$A1938,NOVEDADES!$M$4:$M$1503,"SÍ")&gt;0,"No","Sí"))</f>
        <v/>
      </c>
      <c r="P1938" s="27">
        <f>IF(OR($A1938="",$K1938=""),"",IF(AND($M1938="Sí",$O1938="Sí"),"OTIF","Falló"))</f>
        <v/>
      </c>
    </row>
    <row r="1939" ht="16" customHeight="1">
      <c r="A1939" s="47" t="n"/>
      <c r="B1939" s="46" t="n"/>
      <c r="C1939" s="49" t="n"/>
      <c r="D1939" s="49" t="n"/>
      <c r="E1939" s="49" t="n"/>
      <c r="F1939" s="49" t="n"/>
      <c r="G1939" s="47" t="n"/>
      <c r="H1939" s="50" t="n"/>
      <c r="I1939" s="51" t="n"/>
      <c r="J1939" s="46" t="n"/>
      <c r="K1939" s="46" t="n"/>
      <c r="L1939" s="23">
        <f>IF(OR($A1939="",$B1939=""),"",IF($K1939&lt;&gt;"",$K1939-$B1939,TODAY()-$B1939))</f>
        <v/>
      </c>
      <c r="M1939" s="27">
        <f>IF(OR($A1939="",$J1939=""),"",IF($K1939="",IF(TODAY()&gt;$J1939,"Atrasado","En ruta"),IF($K1939&lt;=$J1939,"Sí","No")))</f>
        <v/>
      </c>
      <c r="N1939" s="23">
        <f>IF($A1939="","",COUNTIFS(NOVEDADES!$C$4:$C$1503,$A1939))</f>
        <v/>
      </c>
      <c r="O1939" s="27">
        <f>IF($A1939="","",IF(COUNTIFS(NOVEDADES!$C$4:$C$1503,$A1939,NOVEDADES!$M$4:$M$1503,"SÍ")&gt;0,"No","Sí"))</f>
        <v/>
      </c>
      <c r="P1939" s="27">
        <f>IF(OR($A1939="",$K1939=""),"",IF(AND($M1939="Sí",$O1939="Sí"),"OTIF","Falló"))</f>
        <v/>
      </c>
    </row>
    <row r="1940" ht="16" customHeight="1">
      <c r="A1940" s="47" t="n"/>
      <c r="B1940" s="46" t="n"/>
      <c r="C1940" s="49" t="n"/>
      <c r="D1940" s="49" t="n"/>
      <c r="E1940" s="49" t="n"/>
      <c r="F1940" s="49" t="n"/>
      <c r="G1940" s="47" t="n"/>
      <c r="H1940" s="50" t="n"/>
      <c r="I1940" s="51" t="n"/>
      <c r="J1940" s="46" t="n"/>
      <c r="K1940" s="46" t="n"/>
      <c r="L1940" s="23">
        <f>IF(OR($A1940="",$B1940=""),"",IF($K1940&lt;&gt;"",$K1940-$B1940,TODAY()-$B1940))</f>
        <v/>
      </c>
      <c r="M1940" s="27">
        <f>IF(OR($A1940="",$J1940=""),"",IF($K1940="",IF(TODAY()&gt;$J1940,"Atrasado","En ruta"),IF($K1940&lt;=$J1940,"Sí","No")))</f>
        <v/>
      </c>
      <c r="N1940" s="23">
        <f>IF($A1940="","",COUNTIFS(NOVEDADES!$C$4:$C$1503,$A1940))</f>
        <v/>
      </c>
      <c r="O1940" s="27">
        <f>IF($A1940="","",IF(COUNTIFS(NOVEDADES!$C$4:$C$1503,$A1940,NOVEDADES!$M$4:$M$1503,"SÍ")&gt;0,"No","Sí"))</f>
        <v/>
      </c>
      <c r="P1940" s="27">
        <f>IF(OR($A1940="",$K1940=""),"",IF(AND($M1940="Sí",$O1940="Sí"),"OTIF","Falló"))</f>
        <v/>
      </c>
    </row>
    <row r="1941" ht="16" customHeight="1">
      <c r="A1941" s="47" t="n"/>
      <c r="B1941" s="46" t="n"/>
      <c r="C1941" s="49" t="n"/>
      <c r="D1941" s="49" t="n"/>
      <c r="E1941" s="49" t="n"/>
      <c r="F1941" s="49" t="n"/>
      <c r="G1941" s="47" t="n"/>
      <c r="H1941" s="50" t="n"/>
      <c r="I1941" s="51" t="n"/>
      <c r="J1941" s="46" t="n"/>
      <c r="K1941" s="46" t="n"/>
      <c r="L1941" s="23">
        <f>IF(OR($A1941="",$B1941=""),"",IF($K1941&lt;&gt;"",$K1941-$B1941,TODAY()-$B1941))</f>
        <v/>
      </c>
      <c r="M1941" s="27">
        <f>IF(OR($A1941="",$J1941=""),"",IF($K1941="",IF(TODAY()&gt;$J1941,"Atrasado","En ruta"),IF($K1941&lt;=$J1941,"Sí","No")))</f>
        <v/>
      </c>
      <c r="N1941" s="23">
        <f>IF($A1941="","",COUNTIFS(NOVEDADES!$C$4:$C$1503,$A1941))</f>
        <v/>
      </c>
      <c r="O1941" s="27">
        <f>IF($A1941="","",IF(COUNTIFS(NOVEDADES!$C$4:$C$1503,$A1941,NOVEDADES!$M$4:$M$1503,"SÍ")&gt;0,"No","Sí"))</f>
        <v/>
      </c>
      <c r="P1941" s="27">
        <f>IF(OR($A1941="",$K1941=""),"",IF(AND($M1941="Sí",$O1941="Sí"),"OTIF","Falló"))</f>
        <v/>
      </c>
    </row>
    <row r="1942" ht="16" customHeight="1">
      <c r="A1942" s="47" t="n"/>
      <c r="B1942" s="46" t="n"/>
      <c r="C1942" s="49" t="n"/>
      <c r="D1942" s="49" t="n"/>
      <c r="E1942" s="49" t="n"/>
      <c r="F1942" s="49" t="n"/>
      <c r="G1942" s="47" t="n"/>
      <c r="H1942" s="50" t="n"/>
      <c r="I1942" s="51" t="n"/>
      <c r="J1942" s="46" t="n"/>
      <c r="K1942" s="46" t="n"/>
      <c r="L1942" s="23">
        <f>IF(OR($A1942="",$B1942=""),"",IF($K1942&lt;&gt;"",$K1942-$B1942,TODAY()-$B1942))</f>
        <v/>
      </c>
      <c r="M1942" s="27">
        <f>IF(OR($A1942="",$J1942=""),"",IF($K1942="",IF(TODAY()&gt;$J1942,"Atrasado","En ruta"),IF($K1942&lt;=$J1942,"Sí","No")))</f>
        <v/>
      </c>
      <c r="N1942" s="23">
        <f>IF($A1942="","",COUNTIFS(NOVEDADES!$C$4:$C$1503,$A1942))</f>
        <v/>
      </c>
      <c r="O1942" s="27">
        <f>IF($A1942="","",IF(COUNTIFS(NOVEDADES!$C$4:$C$1503,$A1942,NOVEDADES!$M$4:$M$1503,"SÍ")&gt;0,"No","Sí"))</f>
        <v/>
      </c>
      <c r="P1942" s="27">
        <f>IF(OR($A1942="",$K1942=""),"",IF(AND($M1942="Sí",$O1942="Sí"),"OTIF","Falló"))</f>
        <v/>
      </c>
    </row>
    <row r="1943" ht="16" customHeight="1">
      <c r="A1943" s="47" t="n"/>
      <c r="B1943" s="46" t="n"/>
      <c r="C1943" s="49" t="n"/>
      <c r="D1943" s="49" t="n"/>
      <c r="E1943" s="49" t="n"/>
      <c r="F1943" s="49" t="n"/>
      <c r="G1943" s="47" t="n"/>
      <c r="H1943" s="50" t="n"/>
      <c r="I1943" s="51" t="n"/>
      <c r="J1943" s="46" t="n"/>
      <c r="K1943" s="46" t="n"/>
      <c r="L1943" s="23">
        <f>IF(OR($A1943="",$B1943=""),"",IF($K1943&lt;&gt;"",$K1943-$B1943,TODAY()-$B1943))</f>
        <v/>
      </c>
      <c r="M1943" s="27">
        <f>IF(OR($A1943="",$J1943=""),"",IF($K1943="",IF(TODAY()&gt;$J1943,"Atrasado","En ruta"),IF($K1943&lt;=$J1943,"Sí","No")))</f>
        <v/>
      </c>
      <c r="N1943" s="23">
        <f>IF($A1943="","",COUNTIFS(NOVEDADES!$C$4:$C$1503,$A1943))</f>
        <v/>
      </c>
      <c r="O1943" s="27">
        <f>IF($A1943="","",IF(COUNTIFS(NOVEDADES!$C$4:$C$1503,$A1943,NOVEDADES!$M$4:$M$1503,"SÍ")&gt;0,"No","Sí"))</f>
        <v/>
      </c>
      <c r="P1943" s="27">
        <f>IF(OR($A1943="",$K1943=""),"",IF(AND($M1943="Sí",$O1943="Sí"),"OTIF","Falló"))</f>
        <v/>
      </c>
    </row>
    <row r="1944" ht="16" customHeight="1">
      <c r="A1944" s="47" t="n"/>
      <c r="B1944" s="46" t="n"/>
      <c r="C1944" s="49" t="n"/>
      <c r="D1944" s="49" t="n"/>
      <c r="E1944" s="49" t="n"/>
      <c r="F1944" s="49" t="n"/>
      <c r="G1944" s="47" t="n"/>
      <c r="H1944" s="50" t="n"/>
      <c r="I1944" s="51" t="n"/>
      <c r="J1944" s="46" t="n"/>
      <c r="K1944" s="46" t="n"/>
      <c r="L1944" s="23">
        <f>IF(OR($A1944="",$B1944=""),"",IF($K1944&lt;&gt;"",$K1944-$B1944,TODAY()-$B1944))</f>
        <v/>
      </c>
      <c r="M1944" s="27">
        <f>IF(OR($A1944="",$J1944=""),"",IF($K1944="",IF(TODAY()&gt;$J1944,"Atrasado","En ruta"),IF($K1944&lt;=$J1944,"Sí","No")))</f>
        <v/>
      </c>
      <c r="N1944" s="23">
        <f>IF($A1944="","",COUNTIFS(NOVEDADES!$C$4:$C$1503,$A1944))</f>
        <v/>
      </c>
      <c r="O1944" s="27">
        <f>IF($A1944="","",IF(COUNTIFS(NOVEDADES!$C$4:$C$1503,$A1944,NOVEDADES!$M$4:$M$1503,"SÍ")&gt;0,"No","Sí"))</f>
        <v/>
      </c>
      <c r="P1944" s="27">
        <f>IF(OR($A1944="",$K1944=""),"",IF(AND($M1944="Sí",$O1944="Sí"),"OTIF","Falló"))</f>
        <v/>
      </c>
    </row>
    <row r="1945" ht="16" customHeight="1">
      <c r="A1945" s="47" t="n"/>
      <c r="B1945" s="46" t="n"/>
      <c r="C1945" s="49" t="n"/>
      <c r="D1945" s="49" t="n"/>
      <c r="E1945" s="49" t="n"/>
      <c r="F1945" s="49" t="n"/>
      <c r="G1945" s="47" t="n"/>
      <c r="H1945" s="50" t="n"/>
      <c r="I1945" s="51" t="n"/>
      <c r="J1945" s="46" t="n"/>
      <c r="K1945" s="46" t="n"/>
      <c r="L1945" s="23">
        <f>IF(OR($A1945="",$B1945=""),"",IF($K1945&lt;&gt;"",$K1945-$B1945,TODAY()-$B1945))</f>
        <v/>
      </c>
      <c r="M1945" s="27">
        <f>IF(OR($A1945="",$J1945=""),"",IF($K1945="",IF(TODAY()&gt;$J1945,"Atrasado","En ruta"),IF($K1945&lt;=$J1945,"Sí","No")))</f>
        <v/>
      </c>
      <c r="N1945" s="23">
        <f>IF($A1945="","",COUNTIFS(NOVEDADES!$C$4:$C$1503,$A1945))</f>
        <v/>
      </c>
      <c r="O1945" s="27">
        <f>IF($A1945="","",IF(COUNTIFS(NOVEDADES!$C$4:$C$1503,$A1945,NOVEDADES!$M$4:$M$1503,"SÍ")&gt;0,"No","Sí"))</f>
        <v/>
      </c>
      <c r="P1945" s="27">
        <f>IF(OR($A1945="",$K1945=""),"",IF(AND($M1945="Sí",$O1945="Sí"),"OTIF","Falló"))</f>
        <v/>
      </c>
    </row>
    <row r="1946" ht="16" customHeight="1">
      <c r="A1946" s="47" t="n"/>
      <c r="B1946" s="46" t="n"/>
      <c r="C1946" s="49" t="n"/>
      <c r="D1946" s="49" t="n"/>
      <c r="E1946" s="49" t="n"/>
      <c r="F1946" s="49" t="n"/>
      <c r="G1946" s="47" t="n"/>
      <c r="H1946" s="50" t="n"/>
      <c r="I1946" s="51" t="n"/>
      <c r="J1946" s="46" t="n"/>
      <c r="K1946" s="46" t="n"/>
      <c r="L1946" s="23">
        <f>IF(OR($A1946="",$B1946=""),"",IF($K1946&lt;&gt;"",$K1946-$B1946,TODAY()-$B1946))</f>
        <v/>
      </c>
      <c r="M1946" s="27">
        <f>IF(OR($A1946="",$J1946=""),"",IF($K1946="",IF(TODAY()&gt;$J1946,"Atrasado","En ruta"),IF($K1946&lt;=$J1946,"Sí","No")))</f>
        <v/>
      </c>
      <c r="N1946" s="23">
        <f>IF($A1946="","",COUNTIFS(NOVEDADES!$C$4:$C$1503,$A1946))</f>
        <v/>
      </c>
      <c r="O1946" s="27">
        <f>IF($A1946="","",IF(COUNTIFS(NOVEDADES!$C$4:$C$1503,$A1946,NOVEDADES!$M$4:$M$1503,"SÍ")&gt;0,"No","Sí"))</f>
        <v/>
      </c>
      <c r="P1946" s="27">
        <f>IF(OR($A1946="",$K1946=""),"",IF(AND($M1946="Sí",$O1946="Sí"),"OTIF","Falló"))</f>
        <v/>
      </c>
    </row>
    <row r="1947" ht="16" customHeight="1">
      <c r="A1947" s="47" t="n"/>
      <c r="B1947" s="46" t="n"/>
      <c r="C1947" s="49" t="n"/>
      <c r="D1947" s="49" t="n"/>
      <c r="E1947" s="49" t="n"/>
      <c r="F1947" s="49" t="n"/>
      <c r="G1947" s="47" t="n"/>
      <c r="H1947" s="50" t="n"/>
      <c r="I1947" s="51" t="n"/>
      <c r="J1947" s="46" t="n"/>
      <c r="K1947" s="46" t="n"/>
      <c r="L1947" s="23">
        <f>IF(OR($A1947="",$B1947=""),"",IF($K1947&lt;&gt;"",$K1947-$B1947,TODAY()-$B1947))</f>
        <v/>
      </c>
      <c r="M1947" s="27">
        <f>IF(OR($A1947="",$J1947=""),"",IF($K1947="",IF(TODAY()&gt;$J1947,"Atrasado","En ruta"),IF($K1947&lt;=$J1947,"Sí","No")))</f>
        <v/>
      </c>
      <c r="N1947" s="23">
        <f>IF($A1947="","",COUNTIFS(NOVEDADES!$C$4:$C$1503,$A1947))</f>
        <v/>
      </c>
      <c r="O1947" s="27">
        <f>IF($A1947="","",IF(COUNTIFS(NOVEDADES!$C$4:$C$1503,$A1947,NOVEDADES!$M$4:$M$1503,"SÍ")&gt;0,"No","Sí"))</f>
        <v/>
      </c>
      <c r="P1947" s="27">
        <f>IF(OR($A1947="",$K1947=""),"",IF(AND($M1947="Sí",$O1947="Sí"),"OTIF","Falló"))</f>
        <v/>
      </c>
    </row>
    <row r="1948" ht="16" customHeight="1">
      <c r="A1948" s="47" t="n"/>
      <c r="B1948" s="46" t="n"/>
      <c r="C1948" s="49" t="n"/>
      <c r="D1948" s="49" t="n"/>
      <c r="E1948" s="49" t="n"/>
      <c r="F1948" s="49" t="n"/>
      <c r="G1948" s="47" t="n"/>
      <c r="H1948" s="50" t="n"/>
      <c r="I1948" s="51" t="n"/>
      <c r="J1948" s="46" t="n"/>
      <c r="K1948" s="46" t="n"/>
      <c r="L1948" s="23">
        <f>IF(OR($A1948="",$B1948=""),"",IF($K1948&lt;&gt;"",$K1948-$B1948,TODAY()-$B1948))</f>
        <v/>
      </c>
      <c r="M1948" s="27">
        <f>IF(OR($A1948="",$J1948=""),"",IF($K1948="",IF(TODAY()&gt;$J1948,"Atrasado","En ruta"),IF($K1948&lt;=$J1948,"Sí","No")))</f>
        <v/>
      </c>
      <c r="N1948" s="23">
        <f>IF($A1948="","",COUNTIFS(NOVEDADES!$C$4:$C$1503,$A1948))</f>
        <v/>
      </c>
      <c r="O1948" s="27">
        <f>IF($A1948="","",IF(COUNTIFS(NOVEDADES!$C$4:$C$1503,$A1948,NOVEDADES!$M$4:$M$1503,"SÍ")&gt;0,"No","Sí"))</f>
        <v/>
      </c>
      <c r="P1948" s="27">
        <f>IF(OR($A1948="",$K1948=""),"",IF(AND($M1948="Sí",$O1948="Sí"),"OTIF","Falló"))</f>
        <v/>
      </c>
    </row>
    <row r="1949" ht="16" customHeight="1">
      <c r="A1949" s="47" t="n"/>
      <c r="B1949" s="46" t="n"/>
      <c r="C1949" s="49" t="n"/>
      <c r="D1949" s="49" t="n"/>
      <c r="E1949" s="49" t="n"/>
      <c r="F1949" s="49" t="n"/>
      <c r="G1949" s="47" t="n"/>
      <c r="H1949" s="50" t="n"/>
      <c r="I1949" s="51" t="n"/>
      <c r="J1949" s="46" t="n"/>
      <c r="K1949" s="46" t="n"/>
      <c r="L1949" s="23">
        <f>IF(OR($A1949="",$B1949=""),"",IF($K1949&lt;&gt;"",$K1949-$B1949,TODAY()-$B1949))</f>
        <v/>
      </c>
      <c r="M1949" s="27">
        <f>IF(OR($A1949="",$J1949=""),"",IF($K1949="",IF(TODAY()&gt;$J1949,"Atrasado","En ruta"),IF($K1949&lt;=$J1949,"Sí","No")))</f>
        <v/>
      </c>
      <c r="N1949" s="23">
        <f>IF($A1949="","",COUNTIFS(NOVEDADES!$C$4:$C$1503,$A1949))</f>
        <v/>
      </c>
      <c r="O1949" s="27">
        <f>IF($A1949="","",IF(COUNTIFS(NOVEDADES!$C$4:$C$1503,$A1949,NOVEDADES!$M$4:$M$1503,"SÍ")&gt;0,"No","Sí"))</f>
        <v/>
      </c>
      <c r="P1949" s="27">
        <f>IF(OR($A1949="",$K1949=""),"",IF(AND($M1949="Sí",$O1949="Sí"),"OTIF","Falló"))</f>
        <v/>
      </c>
    </row>
    <row r="1950" ht="16" customHeight="1">
      <c r="A1950" s="47" t="n"/>
      <c r="B1950" s="46" t="n"/>
      <c r="C1950" s="49" t="n"/>
      <c r="D1950" s="49" t="n"/>
      <c r="E1950" s="49" t="n"/>
      <c r="F1950" s="49" t="n"/>
      <c r="G1950" s="47" t="n"/>
      <c r="H1950" s="50" t="n"/>
      <c r="I1950" s="51" t="n"/>
      <c r="J1950" s="46" t="n"/>
      <c r="K1950" s="46" t="n"/>
      <c r="L1950" s="23">
        <f>IF(OR($A1950="",$B1950=""),"",IF($K1950&lt;&gt;"",$K1950-$B1950,TODAY()-$B1950))</f>
        <v/>
      </c>
      <c r="M1950" s="27">
        <f>IF(OR($A1950="",$J1950=""),"",IF($K1950="",IF(TODAY()&gt;$J1950,"Atrasado","En ruta"),IF($K1950&lt;=$J1950,"Sí","No")))</f>
        <v/>
      </c>
      <c r="N1950" s="23">
        <f>IF($A1950="","",COUNTIFS(NOVEDADES!$C$4:$C$1503,$A1950))</f>
        <v/>
      </c>
      <c r="O1950" s="27">
        <f>IF($A1950="","",IF(COUNTIFS(NOVEDADES!$C$4:$C$1503,$A1950,NOVEDADES!$M$4:$M$1503,"SÍ")&gt;0,"No","Sí"))</f>
        <v/>
      </c>
      <c r="P1950" s="27">
        <f>IF(OR($A1950="",$K1950=""),"",IF(AND($M1950="Sí",$O1950="Sí"),"OTIF","Falló"))</f>
        <v/>
      </c>
    </row>
    <row r="1951" ht="16" customHeight="1">
      <c r="A1951" s="47" t="n"/>
      <c r="B1951" s="46" t="n"/>
      <c r="C1951" s="49" t="n"/>
      <c r="D1951" s="49" t="n"/>
      <c r="E1951" s="49" t="n"/>
      <c r="F1951" s="49" t="n"/>
      <c r="G1951" s="47" t="n"/>
      <c r="H1951" s="50" t="n"/>
      <c r="I1951" s="51" t="n"/>
      <c r="J1951" s="46" t="n"/>
      <c r="K1951" s="46" t="n"/>
      <c r="L1951" s="23">
        <f>IF(OR($A1951="",$B1951=""),"",IF($K1951&lt;&gt;"",$K1951-$B1951,TODAY()-$B1951))</f>
        <v/>
      </c>
      <c r="M1951" s="27">
        <f>IF(OR($A1951="",$J1951=""),"",IF($K1951="",IF(TODAY()&gt;$J1951,"Atrasado","En ruta"),IF($K1951&lt;=$J1951,"Sí","No")))</f>
        <v/>
      </c>
      <c r="N1951" s="23">
        <f>IF($A1951="","",COUNTIFS(NOVEDADES!$C$4:$C$1503,$A1951))</f>
        <v/>
      </c>
      <c r="O1951" s="27">
        <f>IF($A1951="","",IF(COUNTIFS(NOVEDADES!$C$4:$C$1503,$A1951,NOVEDADES!$M$4:$M$1503,"SÍ")&gt;0,"No","Sí"))</f>
        <v/>
      </c>
      <c r="P1951" s="27">
        <f>IF(OR($A1951="",$K1951=""),"",IF(AND($M1951="Sí",$O1951="Sí"),"OTIF","Falló"))</f>
        <v/>
      </c>
    </row>
    <row r="1952" ht="16" customHeight="1">
      <c r="A1952" s="47" t="n"/>
      <c r="B1952" s="46" t="n"/>
      <c r="C1952" s="49" t="n"/>
      <c r="D1952" s="49" t="n"/>
      <c r="E1952" s="49" t="n"/>
      <c r="F1952" s="49" t="n"/>
      <c r="G1952" s="47" t="n"/>
      <c r="H1952" s="50" t="n"/>
      <c r="I1952" s="51" t="n"/>
      <c r="J1952" s="46" t="n"/>
      <c r="K1952" s="46" t="n"/>
      <c r="L1952" s="23">
        <f>IF(OR($A1952="",$B1952=""),"",IF($K1952&lt;&gt;"",$K1952-$B1952,TODAY()-$B1952))</f>
        <v/>
      </c>
      <c r="M1952" s="27">
        <f>IF(OR($A1952="",$J1952=""),"",IF($K1952="",IF(TODAY()&gt;$J1952,"Atrasado","En ruta"),IF($K1952&lt;=$J1952,"Sí","No")))</f>
        <v/>
      </c>
      <c r="N1952" s="23">
        <f>IF($A1952="","",COUNTIFS(NOVEDADES!$C$4:$C$1503,$A1952))</f>
        <v/>
      </c>
      <c r="O1952" s="27">
        <f>IF($A1952="","",IF(COUNTIFS(NOVEDADES!$C$4:$C$1503,$A1952,NOVEDADES!$M$4:$M$1503,"SÍ")&gt;0,"No","Sí"))</f>
        <v/>
      </c>
      <c r="P1952" s="27">
        <f>IF(OR($A1952="",$K1952=""),"",IF(AND($M1952="Sí",$O1952="Sí"),"OTIF","Falló"))</f>
        <v/>
      </c>
    </row>
    <row r="1953" ht="16" customHeight="1">
      <c r="A1953" s="47" t="n"/>
      <c r="B1953" s="46" t="n"/>
      <c r="C1953" s="49" t="n"/>
      <c r="D1953" s="49" t="n"/>
      <c r="E1953" s="49" t="n"/>
      <c r="F1953" s="49" t="n"/>
      <c r="G1953" s="47" t="n"/>
      <c r="H1953" s="50" t="n"/>
      <c r="I1953" s="51" t="n"/>
      <c r="J1953" s="46" t="n"/>
      <c r="K1953" s="46" t="n"/>
      <c r="L1953" s="23">
        <f>IF(OR($A1953="",$B1953=""),"",IF($K1953&lt;&gt;"",$K1953-$B1953,TODAY()-$B1953))</f>
        <v/>
      </c>
      <c r="M1953" s="27">
        <f>IF(OR($A1953="",$J1953=""),"",IF($K1953="",IF(TODAY()&gt;$J1953,"Atrasado","En ruta"),IF($K1953&lt;=$J1953,"Sí","No")))</f>
        <v/>
      </c>
      <c r="N1953" s="23">
        <f>IF($A1953="","",COUNTIFS(NOVEDADES!$C$4:$C$1503,$A1953))</f>
        <v/>
      </c>
      <c r="O1953" s="27">
        <f>IF($A1953="","",IF(COUNTIFS(NOVEDADES!$C$4:$C$1503,$A1953,NOVEDADES!$M$4:$M$1503,"SÍ")&gt;0,"No","Sí"))</f>
        <v/>
      </c>
      <c r="P1953" s="27">
        <f>IF(OR($A1953="",$K1953=""),"",IF(AND($M1953="Sí",$O1953="Sí"),"OTIF","Falló"))</f>
        <v/>
      </c>
    </row>
    <row r="1954" ht="16" customHeight="1">
      <c r="A1954" s="47" t="n"/>
      <c r="B1954" s="46" t="n"/>
      <c r="C1954" s="49" t="n"/>
      <c r="D1954" s="49" t="n"/>
      <c r="E1954" s="49" t="n"/>
      <c r="F1954" s="49" t="n"/>
      <c r="G1954" s="47" t="n"/>
      <c r="H1954" s="50" t="n"/>
      <c r="I1954" s="51" t="n"/>
      <c r="J1954" s="46" t="n"/>
      <c r="K1954" s="46" t="n"/>
      <c r="L1954" s="23">
        <f>IF(OR($A1954="",$B1954=""),"",IF($K1954&lt;&gt;"",$K1954-$B1954,TODAY()-$B1954))</f>
        <v/>
      </c>
      <c r="M1954" s="27">
        <f>IF(OR($A1954="",$J1954=""),"",IF($K1954="",IF(TODAY()&gt;$J1954,"Atrasado","En ruta"),IF($K1954&lt;=$J1954,"Sí","No")))</f>
        <v/>
      </c>
      <c r="N1954" s="23">
        <f>IF($A1954="","",COUNTIFS(NOVEDADES!$C$4:$C$1503,$A1954))</f>
        <v/>
      </c>
      <c r="O1954" s="27">
        <f>IF($A1954="","",IF(COUNTIFS(NOVEDADES!$C$4:$C$1503,$A1954,NOVEDADES!$M$4:$M$1503,"SÍ")&gt;0,"No","Sí"))</f>
        <v/>
      </c>
      <c r="P1954" s="27">
        <f>IF(OR($A1954="",$K1954=""),"",IF(AND($M1954="Sí",$O1954="Sí"),"OTIF","Falló"))</f>
        <v/>
      </c>
    </row>
    <row r="1955" ht="16" customHeight="1">
      <c r="A1955" s="47" t="n"/>
      <c r="B1955" s="46" t="n"/>
      <c r="C1955" s="49" t="n"/>
      <c r="D1955" s="49" t="n"/>
      <c r="E1955" s="49" t="n"/>
      <c r="F1955" s="49" t="n"/>
      <c r="G1955" s="47" t="n"/>
      <c r="H1955" s="50" t="n"/>
      <c r="I1955" s="51" t="n"/>
      <c r="J1955" s="46" t="n"/>
      <c r="K1955" s="46" t="n"/>
      <c r="L1955" s="23">
        <f>IF(OR($A1955="",$B1955=""),"",IF($K1955&lt;&gt;"",$K1955-$B1955,TODAY()-$B1955))</f>
        <v/>
      </c>
      <c r="M1955" s="27">
        <f>IF(OR($A1955="",$J1955=""),"",IF($K1955="",IF(TODAY()&gt;$J1955,"Atrasado","En ruta"),IF($K1955&lt;=$J1955,"Sí","No")))</f>
        <v/>
      </c>
      <c r="N1955" s="23">
        <f>IF($A1955="","",COUNTIFS(NOVEDADES!$C$4:$C$1503,$A1955))</f>
        <v/>
      </c>
      <c r="O1955" s="27">
        <f>IF($A1955="","",IF(COUNTIFS(NOVEDADES!$C$4:$C$1503,$A1955,NOVEDADES!$M$4:$M$1503,"SÍ")&gt;0,"No","Sí"))</f>
        <v/>
      </c>
      <c r="P1955" s="27">
        <f>IF(OR($A1955="",$K1955=""),"",IF(AND($M1955="Sí",$O1955="Sí"),"OTIF","Falló"))</f>
        <v/>
      </c>
    </row>
    <row r="1956" ht="16" customHeight="1">
      <c r="A1956" s="47" t="n"/>
      <c r="B1956" s="46" t="n"/>
      <c r="C1956" s="49" t="n"/>
      <c r="D1956" s="49" t="n"/>
      <c r="E1956" s="49" t="n"/>
      <c r="F1956" s="49" t="n"/>
      <c r="G1956" s="47" t="n"/>
      <c r="H1956" s="50" t="n"/>
      <c r="I1956" s="51" t="n"/>
      <c r="J1956" s="46" t="n"/>
      <c r="K1956" s="46" t="n"/>
      <c r="L1956" s="23">
        <f>IF(OR($A1956="",$B1956=""),"",IF($K1956&lt;&gt;"",$K1956-$B1956,TODAY()-$B1956))</f>
        <v/>
      </c>
      <c r="M1956" s="27">
        <f>IF(OR($A1956="",$J1956=""),"",IF($K1956="",IF(TODAY()&gt;$J1956,"Atrasado","En ruta"),IF($K1956&lt;=$J1956,"Sí","No")))</f>
        <v/>
      </c>
      <c r="N1956" s="23">
        <f>IF($A1956="","",COUNTIFS(NOVEDADES!$C$4:$C$1503,$A1956))</f>
        <v/>
      </c>
      <c r="O1956" s="27">
        <f>IF($A1956="","",IF(COUNTIFS(NOVEDADES!$C$4:$C$1503,$A1956,NOVEDADES!$M$4:$M$1503,"SÍ")&gt;0,"No","Sí"))</f>
        <v/>
      </c>
      <c r="P1956" s="27">
        <f>IF(OR($A1956="",$K1956=""),"",IF(AND($M1956="Sí",$O1956="Sí"),"OTIF","Falló"))</f>
        <v/>
      </c>
    </row>
    <row r="1957" ht="16" customHeight="1">
      <c r="A1957" s="47" t="n"/>
      <c r="B1957" s="46" t="n"/>
      <c r="C1957" s="49" t="n"/>
      <c r="D1957" s="49" t="n"/>
      <c r="E1957" s="49" t="n"/>
      <c r="F1957" s="49" t="n"/>
      <c r="G1957" s="47" t="n"/>
      <c r="H1957" s="50" t="n"/>
      <c r="I1957" s="51" t="n"/>
      <c r="J1957" s="46" t="n"/>
      <c r="K1957" s="46" t="n"/>
      <c r="L1957" s="23">
        <f>IF(OR($A1957="",$B1957=""),"",IF($K1957&lt;&gt;"",$K1957-$B1957,TODAY()-$B1957))</f>
        <v/>
      </c>
      <c r="M1957" s="27">
        <f>IF(OR($A1957="",$J1957=""),"",IF($K1957="",IF(TODAY()&gt;$J1957,"Atrasado","En ruta"),IF($K1957&lt;=$J1957,"Sí","No")))</f>
        <v/>
      </c>
      <c r="N1957" s="23">
        <f>IF($A1957="","",COUNTIFS(NOVEDADES!$C$4:$C$1503,$A1957))</f>
        <v/>
      </c>
      <c r="O1957" s="27">
        <f>IF($A1957="","",IF(COUNTIFS(NOVEDADES!$C$4:$C$1503,$A1957,NOVEDADES!$M$4:$M$1503,"SÍ")&gt;0,"No","Sí"))</f>
        <v/>
      </c>
      <c r="P1957" s="27">
        <f>IF(OR($A1957="",$K1957=""),"",IF(AND($M1957="Sí",$O1957="Sí"),"OTIF","Falló"))</f>
        <v/>
      </c>
    </row>
    <row r="1958" ht="16" customHeight="1">
      <c r="A1958" s="47" t="n"/>
      <c r="B1958" s="46" t="n"/>
      <c r="C1958" s="49" t="n"/>
      <c r="D1958" s="49" t="n"/>
      <c r="E1958" s="49" t="n"/>
      <c r="F1958" s="49" t="n"/>
      <c r="G1958" s="47" t="n"/>
      <c r="H1958" s="50" t="n"/>
      <c r="I1958" s="51" t="n"/>
      <c r="J1958" s="46" t="n"/>
      <c r="K1958" s="46" t="n"/>
      <c r="L1958" s="23">
        <f>IF(OR($A1958="",$B1958=""),"",IF($K1958&lt;&gt;"",$K1958-$B1958,TODAY()-$B1958))</f>
        <v/>
      </c>
      <c r="M1958" s="27">
        <f>IF(OR($A1958="",$J1958=""),"",IF($K1958="",IF(TODAY()&gt;$J1958,"Atrasado","En ruta"),IF($K1958&lt;=$J1958,"Sí","No")))</f>
        <v/>
      </c>
      <c r="N1958" s="23">
        <f>IF($A1958="","",COUNTIFS(NOVEDADES!$C$4:$C$1503,$A1958))</f>
        <v/>
      </c>
      <c r="O1958" s="27">
        <f>IF($A1958="","",IF(COUNTIFS(NOVEDADES!$C$4:$C$1503,$A1958,NOVEDADES!$M$4:$M$1503,"SÍ")&gt;0,"No","Sí"))</f>
        <v/>
      </c>
      <c r="P1958" s="27">
        <f>IF(OR($A1958="",$K1958=""),"",IF(AND($M1958="Sí",$O1958="Sí"),"OTIF","Falló"))</f>
        <v/>
      </c>
    </row>
    <row r="1959" ht="16" customHeight="1">
      <c r="A1959" s="47" t="n"/>
      <c r="B1959" s="46" t="n"/>
      <c r="C1959" s="49" t="n"/>
      <c r="D1959" s="49" t="n"/>
      <c r="E1959" s="49" t="n"/>
      <c r="F1959" s="49" t="n"/>
      <c r="G1959" s="47" t="n"/>
      <c r="H1959" s="50" t="n"/>
      <c r="I1959" s="51" t="n"/>
      <c r="J1959" s="46" t="n"/>
      <c r="K1959" s="46" t="n"/>
      <c r="L1959" s="23">
        <f>IF(OR($A1959="",$B1959=""),"",IF($K1959&lt;&gt;"",$K1959-$B1959,TODAY()-$B1959))</f>
        <v/>
      </c>
      <c r="M1959" s="27">
        <f>IF(OR($A1959="",$J1959=""),"",IF($K1959="",IF(TODAY()&gt;$J1959,"Atrasado","En ruta"),IF($K1959&lt;=$J1959,"Sí","No")))</f>
        <v/>
      </c>
      <c r="N1959" s="23">
        <f>IF($A1959="","",COUNTIFS(NOVEDADES!$C$4:$C$1503,$A1959))</f>
        <v/>
      </c>
      <c r="O1959" s="27">
        <f>IF($A1959="","",IF(COUNTIFS(NOVEDADES!$C$4:$C$1503,$A1959,NOVEDADES!$M$4:$M$1503,"SÍ")&gt;0,"No","Sí"))</f>
        <v/>
      </c>
      <c r="P1959" s="27">
        <f>IF(OR($A1959="",$K1959=""),"",IF(AND($M1959="Sí",$O1959="Sí"),"OTIF","Falló"))</f>
        <v/>
      </c>
    </row>
    <row r="1960" ht="16" customHeight="1">
      <c r="A1960" s="47" t="n"/>
      <c r="B1960" s="46" t="n"/>
      <c r="C1960" s="49" t="n"/>
      <c r="D1960" s="49" t="n"/>
      <c r="E1960" s="49" t="n"/>
      <c r="F1960" s="49" t="n"/>
      <c r="G1960" s="47" t="n"/>
      <c r="H1960" s="50" t="n"/>
      <c r="I1960" s="51" t="n"/>
      <c r="J1960" s="46" t="n"/>
      <c r="K1960" s="46" t="n"/>
      <c r="L1960" s="23">
        <f>IF(OR($A1960="",$B1960=""),"",IF($K1960&lt;&gt;"",$K1960-$B1960,TODAY()-$B1960))</f>
        <v/>
      </c>
      <c r="M1960" s="27">
        <f>IF(OR($A1960="",$J1960=""),"",IF($K1960="",IF(TODAY()&gt;$J1960,"Atrasado","En ruta"),IF($K1960&lt;=$J1960,"Sí","No")))</f>
        <v/>
      </c>
      <c r="N1960" s="23">
        <f>IF($A1960="","",COUNTIFS(NOVEDADES!$C$4:$C$1503,$A1960))</f>
        <v/>
      </c>
      <c r="O1960" s="27">
        <f>IF($A1960="","",IF(COUNTIFS(NOVEDADES!$C$4:$C$1503,$A1960,NOVEDADES!$M$4:$M$1503,"SÍ")&gt;0,"No","Sí"))</f>
        <v/>
      </c>
      <c r="P1960" s="27">
        <f>IF(OR($A1960="",$K1960=""),"",IF(AND($M1960="Sí",$O1960="Sí"),"OTIF","Falló"))</f>
        <v/>
      </c>
    </row>
    <row r="1961" ht="16" customHeight="1">
      <c r="A1961" s="47" t="n"/>
      <c r="B1961" s="46" t="n"/>
      <c r="C1961" s="49" t="n"/>
      <c r="D1961" s="49" t="n"/>
      <c r="E1961" s="49" t="n"/>
      <c r="F1961" s="49" t="n"/>
      <c r="G1961" s="47" t="n"/>
      <c r="H1961" s="50" t="n"/>
      <c r="I1961" s="51" t="n"/>
      <c r="J1961" s="46" t="n"/>
      <c r="K1961" s="46" t="n"/>
      <c r="L1961" s="23">
        <f>IF(OR($A1961="",$B1961=""),"",IF($K1961&lt;&gt;"",$K1961-$B1961,TODAY()-$B1961))</f>
        <v/>
      </c>
      <c r="M1961" s="27">
        <f>IF(OR($A1961="",$J1961=""),"",IF($K1961="",IF(TODAY()&gt;$J1961,"Atrasado","En ruta"),IF($K1961&lt;=$J1961,"Sí","No")))</f>
        <v/>
      </c>
      <c r="N1961" s="23">
        <f>IF($A1961="","",COUNTIFS(NOVEDADES!$C$4:$C$1503,$A1961))</f>
        <v/>
      </c>
      <c r="O1961" s="27">
        <f>IF($A1961="","",IF(COUNTIFS(NOVEDADES!$C$4:$C$1503,$A1961,NOVEDADES!$M$4:$M$1503,"SÍ")&gt;0,"No","Sí"))</f>
        <v/>
      </c>
      <c r="P1961" s="27">
        <f>IF(OR($A1961="",$K1961=""),"",IF(AND($M1961="Sí",$O1961="Sí"),"OTIF","Falló"))</f>
        <v/>
      </c>
    </row>
    <row r="1962" ht="16" customHeight="1">
      <c r="A1962" s="47" t="n"/>
      <c r="B1962" s="46" t="n"/>
      <c r="C1962" s="49" t="n"/>
      <c r="D1962" s="49" t="n"/>
      <c r="E1962" s="49" t="n"/>
      <c r="F1962" s="49" t="n"/>
      <c r="G1962" s="47" t="n"/>
      <c r="H1962" s="50" t="n"/>
      <c r="I1962" s="51" t="n"/>
      <c r="J1962" s="46" t="n"/>
      <c r="K1962" s="46" t="n"/>
      <c r="L1962" s="23">
        <f>IF(OR($A1962="",$B1962=""),"",IF($K1962&lt;&gt;"",$K1962-$B1962,TODAY()-$B1962))</f>
        <v/>
      </c>
      <c r="M1962" s="27">
        <f>IF(OR($A1962="",$J1962=""),"",IF($K1962="",IF(TODAY()&gt;$J1962,"Atrasado","En ruta"),IF($K1962&lt;=$J1962,"Sí","No")))</f>
        <v/>
      </c>
      <c r="N1962" s="23">
        <f>IF($A1962="","",COUNTIFS(NOVEDADES!$C$4:$C$1503,$A1962))</f>
        <v/>
      </c>
      <c r="O1962" s="27">
        <f>IF($A1962="","",IF(COUNTIFS(NOVEDADES!$C$4:$C$1503,$A1962,NOVEDADES!$M$4:$M$1503,"SÍ")&gt;0,"No","Sí"))</f>
        <v/>
      </c>
      <c r="P1962" s="27">
        <f>IF(OR($A1962="",$K1962=""),"",IF(AND($M1962="Sí",$O1962="Sí"),"OTIF","Falló"))</f>
        <v/>
      </c>
    </row>
    <row r="1963" ht="16" customHeight="1">
      <c r="A1963" s="47" t="n"/>
      <c r="B1963" s="46" t="n"/>
      <c r="C1963" s="49" t="n"/>
      <c r="D1963" s="49" t="n"/>
      <c r="E1963" s="49" t="n"/>
      <c r="F1963" s="49" t="n"/>
      <c r="G1963" s="47" t="n"/>
      <c r="H1963" s="50" t="n"/>
      <c r="I1963" s="51" t="n"/>
      <c r="J1963" s="46" t="n"/>
      <c r="K1963" s="46" t="n"/>
      <c r="L1963" s="23">
        <f>IF(OR($A1963="",$B1963=""),"",IF($K1963&lt;&gt;"",$K1963-$B1963,TODAY()-$B1963))</f>
        <v/>
      </c>
      <c r="M1963" s="27">
        <f>IF(OR($A1963="",$J1963=""),"",IF($K1963="",IF(TODAY()&gt;$J1963,"Atrasado","En ruta"),IF($K1963&lt;=$J1963,"Sí","No")))</f>
        <v/>
      </c>
      <c r="N1963" s="23">
        <f>IF($A1963="","",COUNTIFS(NOVEDADES!$C$4:$C$1503,$A1963))</f>
        <v/>
      </c>
      <c r="O1963" s="27">
        <f>IF($A1963="","",IF(COUNTIFS(NOVEDADES!$C$4:$C$1503,$A1963,NOVEDADES!$M$4:$M$1503,"SÍ")&gt;0,"No","Sí"))</f>
        <v/>
      </c>
      <c r="P1963" s="27">
        <f>IF(OR($A1963="",$K1963=""),"",IF(AND($M1963="Sí",$O1963="Sí"),"OTIF","Falló"))</f>
        <v/>
      </c>
    </row>
    <row r="1964" ht="16" customHeight="1">
      <c r="A1964" s="47" t="n"/>
      <c r="B1964" s="46" t="n"/>
      <c r="C1964" s="49" t="n"/>
      <c r="D1964" s="49" t="n"/>
      <c r="E1964" s="49" t="n"/>
      <c r="F1964" s="49" t="n"/>
      <c r="G1964" s="47" t="n"/>
      <c r="H1964" s="50" t="n"/>
      <c r="I1964" s="51" t="n"/>
      <c r="J1964" s="46" t="n"/>
      <c r="K1964" s="46" t="n"/>
      <c r="L1964" s="23">
        <f>IF(OR($A1964="",$B1964=""),"",IF($K1964&lt;&gt;"",$K1964-$B1964,TODAY()-$B1964))</f>
        <v/>
      </c>
      <c r="M1964" s="27">
        <f>IF(OR($A1964="",$J1964=""),"",IF($K1964="",IF(TODAY()&gt;$J1964,"Atrasado","En ruta"),IF($K1964&lt;=$J1964,"Sí","No")))</f>
        <v/>
      </c>
      <c r="N1964" s="23">
        <f>IF($A1964="","",COUNTIFS(NOVEDADES!$C$4:$C$1503,$A1964))</f>
        <v/>
      </c>
      <c r="O1964" s="27">
        <f>IF($A1964="","",IF(COUNTIFS(NOVEDADES!$C$4:$C$1503,$A1964,NOVEDADES!$M$4:$M$1503,"SÍ")&gt;0,"No","Sí"))</f>
        <v/>
      </c>
      <c r="P1964" s="27">
        <f>IF(OR($A1964="",$K1964=""),"",IF(AND($M1964="Sí",$O1964="Sí"),"OTIF","Falló"))</f>
        <v/>
      </c>
    </row>
    <row r="1965" ht="16" customHeight="1">
      <c r="A1965" s="47" t="n"/>
      <c r="B1965" s="46" t="n"/>
      <c r="C1965" s="49" t="n"/>
      <c r="D1965" s="49" t="n"/>
      <c r="E1965" s="49" t="n"/>
      <c r="F1965" s="49" t="n"/>
      <c r="G1965" s="47" t="n"/>
      <c r="H1965" s="50" t="n"/>
      <c r="I1965" s="51" t="n"/>
      <c r="J1965" s="46" t="n"/>
      <c r="K1965" s="46" t="n"/>
      <c r="L1965" s="23">
        <f>IF(OR($A1965="",$B1965=""),"",IF($K1965&lt;&gt;"",$K1965-$B1965,TODAY()-$B1965))</f>
        <v/>
      </c>
      <c r="M1965" s="27">
        <f>IF(OR($A1965="",$J1965=""),"",IF($K1965="",IF(TODAY()&gt;$J1965,"Atrasado","En ruta"),IF($K1965&lt;=$J1965,"Sí","No")))</f>
        <v/>
      </c>
      <c r="N1965" s="23">
        <f>IF($A1965="","",COUNTIFS(NOVEDADES!$C$4:$C$1503,$A1965))</f>
        <v/>
      </c>
      <c r="O1965" s="27">
        <f>IF($A1965="","",IF(COUNTIFS(NOVEDADES!$C$4:$C$1503,$A1965,NOVEDADES!$M$4:$M$1503,"SÍ")&gt;0,"No","Sí"))</f>
        <v/>
      </c>
      <c r="P1965" s="27">
        <f>IF(OR($A1965="",$K1965=""),"",IF(AND($M1965="Sí",$O1965="Sí"),"OTIF","Falló"))</f>
        <v/>
      </c>
    </row>
    <row r="1966" ht="16" customHeight="1">
      <c r="A1966" s="47" t="n"/>
      <c r="B1966" s="46" t="n"/>
      <c r="C1966" s="49" t="n"/>
      <c r="D1966" s="49" t="n"/>
      <c r="E1966" s="49" t="n"/>
      <c r="F1966" s="49" t="n"/>
      <c r="G1966" s="47" t="n"/>
      <c r="H1966" s="50" t="n"/>
      <c r="I1966" s="51" t="n"/>
      <c r="J1966" s="46" t="n"/>
      <c r="K1966" s="46" t="n"/>
      <c r="L1966" s="23">
        <f>IF(OR($A1966="",$B1966=""),"",IF($K1966&lt;&gt;"",$K1966-$B1966,TODAY()-$B1966))</f>
        <v/>
      </c>
      <c r="M1966" s="27">
        <f>IF(OR($A1966="",$J1966=""),"",IF($K1966="",IF(TODAY()&gt;$J1966,"Atrasado","En ruta"),IF($K1966&lt;=$J1966,"Sí","No")))</f>
        <v/>
      </c>
      <c r="N1966" s="23">
        <f>IF($A1966="","",COUNTIFS(NOVEDADES!$C$4:$C$1503,$A1966))</f>
        <v/>
      </c>
      <c r="O1966" s="27">
        <f>IF($A1966="","",IF(COUNTIFS(NOVEDADES!$C$4:$C$1503,$A1966,NOVEDADES!$M$4:$M$1503,"SÍ")&gt;0,"No","Sí"))</f>
        <v/>
      </c>
      <c r="P1966" s="27">
        <f>IF(OR($A1966="",$K1966=""),"",IF(AND($M1966="Sí",$O1966="Sí"),"OTIF","Falló"))</f>
        <v/>
      </c>
    </row>
    <row r="1967" ht="16" customHeight="1">
      <c r="A1967" s="47" t="n"/>
      <c r="B1967" s="46" t="n"/>
      <c r="C1967" s="49" t="n"/>
      <c r="D1967" s="49" t="n"/>
      <c r="E1967" s="49" t="n"/>
      <c r="F1967" s="49" t="n"/>
      <c r="G1967" s="47" t="n"/>
      <c r="H1967" s="50" t="n"/>
      <c r="I1967" s="51" t="n"/>
      <c r="J1967" s="46" t="n"/>
      <c r="K1967" s="46" t="n"/>
      <c r="L1967" s="23">
        <f>IF(OR($A1967="",$B1967=""),"",IF($K1967&lt;&gt;"",$K1967-$B1967,TODAY()-$B1967))</f>
        <v/>
      </c>
      <c r="M1967" s="27">
        <f>IF(OR($A1967="",$J1967=""),"",IF($K1967="",IF(TODAY()&gt;$J1967,"Atrasado","En ruta"),IF($K1967&lt;=$J1967,"Sí","No")))</f>
        <v/>
      </c>
      <c r="N1967" s="23">
        <f>IF($A1967="","",COUNTIFS(NOVEDADES!$C$4:$C$1503,$A1967))</f>
        <v/>
      </c>
      <c r="O1967" s="27">
        <f>IF($A1967="","",IF(COUNTIFS(NOVEDADES!$C$4:$C$1503,$A1967,NOVEDADES!$M$4:$M$1503,"SÍ")&gt;0,"No","Sí"))</f>
        <v/>
      </c>
      <c r="P1967" s="27">
        <f>IF(OR($A1967="",$K1967=""),"",IF(AND($M1967="Sí",$O1967="Sí"),"OTIF","Falló"))</f>
        <v/>
      </c>
    </row>
    <row r="1968" ht="16" customHeight="1">
      <c r="A1968" s="47" t="n"/>
      <c r="B1968" s="46" t="n"/>
      <c r="C1968" s="49" t="n"/>
      <c r="D1968" s="49" t="n"/>
      <c r="E1968" s="49" t="n"/>
      <c r="F1968" s="49" t="n"/>
      <c r="G1968" s="47" t="n"/>
      <c r="H1968" s="50" t="n"/>
      <c r="I1968" s="51" t="n"/>
      <c r="J1968" s="46" t="n"/>
      <c r="K1968" s="46" t="n"/>
      <c r="L1968" s="23">
        <f>IF(OR($A1968="",$B1968=""),"",IF($K1968&lt;&gt;"",$K1968-$B1968,TODAY()-$B1968))</f>
        <v/>
      </c>
      <c r="M1968" s="27">
        <f>IF(OR($A1968="",$J1968=""),"",IF($K1968="",IF(TODAY()&gt;$J1968,"Atrasado","En ruta"),IF($K1968&lt;=$J1968,"Sí","No")))</f>
        <v/>
      </c>
      <c r="N1968" s="23">
        <f>IF($A1968="","",COUNTIFS(NOVEDADES!$C$4:$C$1503,$A1968))</f>
        <v/>
      </c>
      <c r="O1968" s="27">
        <f>IF($A1968="","",IF(COUNTIFS(NOVEDADES!$C$4:$C$1503,$A1968,NOVEDADES!$M$4:$M$1503,"SÍ")&gt;0,"No","Sí"))</f>
        <v/>
      </c>
      <c r="P1968" s="27">
        <f>IF(OR($A1968="",$K1968=""),"",IF(AND($M1968="Sí",$O1968="Sí"),"OTIF","Falló"))</f>
        <v/>
      </c>
    </row>
    <row r="1969" ht="16" customHeight="1">
      <c r="A1969" s="47" t="n"/>
      <c r="B1969" s="46" t="n"/>
      <c r="C1969" s="49" t="n"/>
      <c r="D1969" s="49" t="n"/>
      <c r="E1969" s="49" t="n"/>
      <c r="F1969" s="49" t="n"/>
      <c r="G1969" s="47" t="n"/>
      <c r="H1969" s="50" t="n"/>
      <c r="I1969" s="51" t="n"/>
      <c r="J1969" s="46" t="n"/>
      <c r="K1969" s="46" t="n"/>
      <c r="L1969" s="23">
        <f>IF(OR($A1969="",$B1969=""),"",IF($K1969&lt;&gt;"",$K1969-$B1969,TODAY()-$B1969))</f>
        <v/>
      </c>
      <c r="M1969" s="27">
        <f>IF(OR($A1969="",$J1969=""),"",IF($K1969="",IF(TODAY()&gt;$J1969,"Atrasado","En ruta"),IF($K1969&lt;=$J1969,"Sí","No")))</f>
        <v/>
      </c>
      <c r="N1969" s="23">
        <f>IF($A1969="","",COUNTIFS(NOVEDADES!$C$4:$C$1503,$A1969))</f>
        <v/>
      </c>
      <c r="O1969" s="27">
        <f>IF($A1969="","",IF(COUNTIFS(NOVEDADES!$C$4:$C$1503,$A1969,NOVEDADES!$M$4:$M$1503,"SÍ")&gt;0,"No","Sí"))</f>
        <v/>
      </c>
      <c r="P1969" s="27">
        <f>IF(OR($A1969="",$K1969=""),"",IF(AND($M1969="Sí",$O1969="Sí"),"OTIF","Falló"))</f>
        <v/>
      </c>
    </row>
    <row r="1970" ht="16" customHeight="1">
      <c r="A1970" s="47" t="n"/>
      <c r="B1970" s="46" t="n"/>
      <c r="C1970" s="49" t="n"/>
      <c r="D1970" s="49" t="n"/>
      <c r="E1970" s="49" t="n"/>
      <c r="F1970" s="49" t="n"/>
      <c r="G1970" s="47" t="n"/>
      <c r="H1970" s="50" t="n"/>
      <c r="I1970" s="51" t="n"/>
      <c r="J1970" s="46" t="n"/>
      <c r="K1970" s="46" t="n"/>
      <c r="L1970" s="23">
        <f>IF(OR($A1970="",$B1970=""),"",IF($K1970&lt;&gt;"",$K1970-$B1970,TODAY()-$B1970))</f>
        <v/>
      </c>
      <c r="M1970" s="27">
        <f>IF(OR($A1970="",$J1970=""),"",IF($K1970="",IF(TODAY()&gt;$J1970,"Atrasado","En ruta"),IF($K1970&lt;=$J1970,"Sí","No")))</f>
        <v/>
      </c>
      <c r="N1970" s="23">
        <f>IF($A1970="","",COUNTIFS(NOVEDADES!$C$4:$C$1503,$A1970))</f>
        <v/>
      </c>
      <c r="O1970" s="27">
        <f>IF($A1970="","",IF(COUNTIFS(NOVEDADES!$C$4:$C$1503,$A1970,NOVEDADES!$M$4:$M$1503,"SÍ")&gt;0,"No","Sí"))</f>
        <v/>
      </c>
      <c r="P1970" s="27">
        <f>IF(OR($A1970="",$K1970=""),"",IF(AND($M1970="Sí",$O1970="Sí"),"OTIF","Falló"))</f>
        <v/>
      </c>
    </row>
    <row r="1971" ht="16" customHeight="1">
      <c r="A1971" s="47" t="n"/>
      <c r="B1971" s="46" t="n"/>
      <c r="C1971" s="49" t="n"/>
      <c r="D1971" s="49" t="n"/>
      <c r="E1971" s="49" t="n"/>
      <c r="F1971" s="49" t="n"/>
      <c r="G1971" s="47" t="n"/>
      <c r="H1971" s="50" t="n"/>
      <c r="I1971" s="51" t="n"/>
      <c r="J1971" s="46" t="n"/>
      <c r="K1971" s="46" t="n"/>
      <c r="L1971" s="23">
        <f>IF(OR($A1971="",$B1971=""),"",IF($K1971&lt;&gt;"",$K1971-$B1971,TODAY()-$B1971))</f>
        <v/>
      </c>
      <c r="M1971" s="27">
        <f>IF(OR($A1971="",$J1971=""),"",IF($K1971="",IF(TODAY()&gt;$J1971,"Atrasado","En ruta"),IF($K1971&lt;=$J1971,"Sí","No")))</f>
        <v/>
      </c>
      <c r="N1971" s="23">
        <f>IF($A1971="","",COUNTIFS(NOVEDADES!$C$4:$C$1503,$A1971))</f>
        <v/>
      </c>
      <c r="O1971" s="27">
        <f>IF($A1971="","",IF(COUNTIFS(NOVEDADES!$C$4:$C$1503,$A1971,NOVEDADES!$M$4:$M$1503,"SÍ")&gt;0,"No","Sí"))</f>
        <v/>
      </c>
      <c r="P1971" s="27">
        <f>IF(OR($A1971="",$K1971=""),"",IF(AND($M1971="Sí",$O1971="Sí"),"OTIF","Falló"))</f>
        <v/>
      </c>
    </row>
    <row r="1972" ht="16" customHeight="1">
      <c r="A1972" s="47" t="n"/>
      <c r="B1972" s="46" t="n"/>
      <c r="C1972" s="49" t="n"/>
      <c r="D1972" s="49" t="n"/>
      <c r="E1972" s="49" t="n"/>
      <c r="F1972" s="49" t="n"/>
      <c r="G1972" s="47" t="n"/>
      <c r="H1972" s="50" t="n"/>
      <c r="I1972" s="51" t="n"/>
      <c r="J1972" s="46" t="n"/>
      <c r="K1972" s="46" t="n"/>
      <c r="L1972" s="23">
        <f>IF(OR($A1972="",$B1972=""),"",IF($K1972&lt;&gt;"",$K1972-$B1972,TODAY()-$B1972))</f>
        <v/>
      </c>
      <c r="M1972" s="27">
        <f>IF(OR($A1972="",$J1972=""),"",IF($K1972="",IF(TODAY()&gt;$J1972,"Atrasado","En ruta"),IF($K1972&lt;=$J1972,"Sí","No")))</f>
        <v/>
      </c>
      <c r="N1972" s="23">
        <f>IF($A1972="","",COUNTIFS(NOVEDADES!$C$4:$C$1503,$A1972))</f>
        <v/>
      </c>
      <c r="O1972" s="27">
        <f>IF($A1972="","",IF(COUNTIFS(NOVEDADES!$C$4:$C$1503,$A1972,NOVEDADES!$M$4:$M$1503,"SÍ")&gt;0,"No","Sí"))</f>
        <v/>
      </c>
      <c r="P1972" s="27">
        <f>IF(OR($A1972="",$K1972=""),"",IF(AND($M1972="Sí",$O1972="Sí"),"OTIF","Falló"))</f>
        <v/>
      </c>
    </row>
    <row r="1973" ht="16" customHeight="1">
      <c r="A1973" s="47" t="n"/>
      <c r="B1973" s="46" t="n"/>
      <c r="C1973" s="49" t="n"/>
      <c r="D1973" s="49" t="n"/>
      <c r="E1973" s="49" t="n"/>
      <c r="F1973" s="49" t="n"/>
      <c r="G1973" s="47" t="n"/>
      <c r="H1973" s="50" t="n"/>
      <c r="I1973" s="51" t="n"/>
      <c r="J1973" s="46" t="n"/>
      <c r="K1973" s="46" t="n"/>
      <c r="L1973" s="23">
        <f>IF(OR($A1973="",$B1973=""),"",IF($K1973&lt;&gt;"",$K1973-$B1973,TODAY()-$B1973))</f>
        <v/>
      </c>
      <c r="M1973" s="27">
        <f>IF(OR($A1973="",$J1973=""),"",IF($K1973="",IF(TODAY()&gt;$J1973,"Atrasado","En ruta"),IF($K1973&lt;=$J1973,"Sí","No")))</f>
        <v/>
      </c>
      <c r="N1973" s="23">
        <f>IF($A1973="","",COUNTIFS(NOVEDADES!$C$4:$C$1503,$A1973))</f>
        <v/>
      </c>
      <c r="O1973" s="27">
        <f>IF($A1973="","",IF(COUNTIFS(NOVEDADES!$C$4:$C$1503,$A1973,NOVEDADES!$M$4:$M$1503,"SÍ")&gt;0,"No","Sí"))</f>
        <v/>
      </c>
      <c r="P1973" s="27">
        <f>IF(OR($A1973="",$K1973=""),"",IF(AND($M1973="Sí",$O1973="Sí"),"OTIF","Falló"))</f>
        <v/>
      </c>
    </row>
    <row r="1974" ht="16" customHeight="1">
      <c r="A1974" s="47" t="n"/>
      <c r="B1974" s="46" t="n"/>
      <c r="C1974" s="49" t="n"/>
      <c r="D1974" s="49" t="n"/>
      <c r="E1974" s="49" t="n"/>
      <c r="F1974" s="49" t="n"/>
      <c r="G1974" s="47" t="n"/>
      <c r="H1974" s="50" t="n"/>
      <c r="I1974" s="51" t="n"/>
      <c r="J1974" s="46" t="n"/>
      <c r="K1974" s="46" t="n"/>
      <c r="L1974" s="23">
        <f>IF(OR($A1974="",$B1974=""),"",IF($K1974&lt;&gt;"",$K1974-$B1974,TODAY()-$B1974))</f>
        <v/>
      </c>
      <c r="M1974" s="27">
        <f>IF(OR($A1974="",$J1974=""),"",IF($K1974="",IF(TODAY()&gt;$J1974,"Atrasado","En ruta"),IF($K1974&lt;=$J1974,"Sí","No")))</f>
        <v/>
      </c>
      <c r="N1974" s="23">
        <f>IF($A1974="","",COUNTIFS(NOVEDADES!$C$4:$C$1503,$A1974))</f>
        <v/>
      </c>
      <c r="O1974" s="27">
        <f>IF($A1974="","",IF(COUNTIFS(NOVEDADES!$C$4:$C$1503,$A1974,NOVEDADES!$M$4:$M$1503,"SÍ")&gt;0,"No","Sí"))</f>
        <v/>
      </c>
      <c r="P1974" s="27">
        <f>IF(OR($A1974="",$K1974=""),"",IF(AND($M1974="Sí",$O1974="Sí"),"OTIF","Falló"))</f>
        <v/>
      </c>
    </row>
    <row r="1975" ht="16" customHeight="1">
      <c r="A1975" s="47" t="n"/>
      <c r="B1975" s="46" t="n"/>
      <c r="C1975" s="49" t="n"/>
      <c r="D1975" s="49" t="n"/>
      <c r="E1975" s="49" t="n"/>
      <c r="F1975" s="49" t="n"/>
      <c r="G1975" s="47" t="n"/>
      <c r="H1975" s="50" t="n"/>
      <c r="I1975" s="51" t="n"/>
      <c r="J1975" s="46" t="n"/>
      <c r="K1975" s="46" t="n"/>
      <c r="L1975" s="23">
        <f>IF(OR($A1975="",$B1975=""),"",IF($K1975&lt;&gt;"",$K1975-$B1975,TODAY()-$B1975))</f>
        <v/>
      </c>
      <c r="M1975" s="27">
        <f>IF(OR($A1975="",$J1975=""),"",IF($K1975="",IF(TODAY()&gt;$J1975,"Atrasado","En ruta"),IF($K1975&lt;=$J1975,"Sí","No")))</f>
        <v/>
      </c>
      <c r="N1975" s="23">
        <f>IF($A1975="","",COUNTIFS(NOVEDADES!$C$4:$C$1503,$A1975))</f>
        <v/>
      </c>
      <c r="O1975" s="27">
        <f>IF($A1975="","",IF(COUNTIFS(NOVEDADES!$C$4:$C$1503,$A1975,NOVEDADES!$M$4:$M$1503,"SÍ")&gt;0,"No","Sí"))</f>
        <v/>
      </c>
      <c r="P1975" s="27">
        <f>IF(OR($A1975="",$K1975=""),"",IF(AND($M1975="Sí",$O1975="Sí"),"OTIF","Falló"))</f>
        <v/>
      </c>
    </row>
    <row r="1976" ht="16" customHeight="1">
      <c r="A1976" s="47" t="n"/>
      <c r="B1976" s="46" t="n"/>
      <c r="C1976" s="49" t="n"/>
      <c r="D1976" s="49" t="n"/>
      <c r="E1976" s="49" t="n"/>
      <c r="F1976" s="49" t="n"/>
      <c r="G1976" s="47" t="n"/>
      <c r="H1976" s="50" t="n"/>
      <c r="I1976" s="51" t="n"/>
      <c r="J1976" s="46" t="n"/>
      <c r="K1976" s="46" t="n"/>
      <c r="L1976" s="23">
        <f>IF(OR($A1976="",$B1976=""),"",IF($K1976&lt;&gt;"",$K1976-$B1976,TODAY()-$B1976))</f>
        <v/>
      </c>
      <c r="M1976" s="27">
        <f>IF(OR($A1976="",$J1976=""),"",IF($K1976="",IF(TODAY()&gt;$J1976,"Atrasado","En ruta"),IF($K1976&lt;=$J1976,"Sí","No")))</f>
        <v/>
      </c>
      <c r="N1976" s="23">
        <f>IF($A1976="","",COUNTIFS(NOVEDADES!$C$4:$C$1503,$A1976))</f>
        <v/>
      </c>
      <c r="O1976" s="27">
        <f>IF($A1976="","",IF(COUNTIFS(NOVEDADES!$C$4:$C$1503,$A1976,NOVEDADES!$M$4:$M$1503,"SÍ")&gt;0,"No","Sí"))</f>
        <v/>
      </c>
      <c r="P1976" s="27">
        <f>IF(OR($A1976="",$K1976=""),"",IF(AND($M1976="Sí",$O1976="Sí"),"OTIF","Falló"))</f>
        <v/>
      </c>
    </row>
    <row r="1977" ht="16" customHeight="1">
      <c r="A1977" s="47" t="n"/>
      <c r="B1977" s="46" t="n"/>
      <c r="C1977" s="49" t="n"/>
      <c r="D1977" s="49" t="n"/>
      <c r="E1977" s="49" t="n"/>
      <c r="F1977" s="49" t="n"/>
      <c r="G1977" s="47" t="n"/>
      <c r="H1977" s="50" t="n"/>
      <c r="I1977" s="51" t="n"/>
      <c r="J1977" s="46" t="n"/>
      <c r="K1977" s="46" t="n"/>
      <c r="L1977" s="23">
        <f>IF(OR($A1977="",$B1977=""),"",IF($K1977&lt;&gt;"",$K1977-$B1977,TODAY()-$B1977))</f>
        <v/>
      </c>
      <c r="M1977" s="27">
        <f>IF(OR($A1977="",$J1977=""),"",IF($K1977="",IF(TODAY()&gt;$J1977,"Atrasado","En ruta"),IF($K1977&lt;=$J1977,"Sí","No")))</f>
        <v/>
      </c>
      <c r="N1977" s="23">
        <f>IF($A1977="","",COUNTIFS(NOVEDADES!$C$4:$C$1503,$A1977))</f>
        <v/>
      </c>
      <c r="O1977" s="27">
        <f>IF($A1977="","",IF(COUNTIFS(NOVEDADES!$C$4:$C$1503,$A1977,NOVEDADES!$M$4:$M$1503,"SÍ")&gt;0,"No","Sí"))</f>
        <v/>
      </c>
      <c r="P1977" s="27">
        <f>IF(OR($A1977="",$K1977=""),"",IF(AND($M1977="Sí",$O1977="Sí"),"OTIF","Falló"))</f>
        <v/>
      </c>
    </row>
    <row r="1978" ht="16" customHeight="1">
      <c r="A1978" s="47" t="n"/>
      <c r="B1978" s="46" t="n"/>
      <c r="C1978" s="49" t="n"/>
      <c r="D1978" s="49" t="n"/>
      <c r="E1978" s="49" t="n"/>
      <c r="F1978" s="49" t="n"/>
      <c r="G1978" s="47" t="n"/>
      <c r="H1978" s="50" t="n"/>
      <c r="I1978" s="51" t="n"/>
      <c r="J1978" s="46" t="n"/>
      <c r="K1978" s="46" t="n"/>
      <c r="L1978" s="23">
        <f>IF(OR($A1978="",$B1978=""),"",IF($K1978&lt;&gt;"",$K1978-$B1978,TODAY()-$B1978))</f>
        <v/>
      </c>
      <c r="M1978" s="27">
        <f>IF(OR($A1978="",$J1978=""),"",IF($K1978="",IF(TODAY()&gt;$J1978,"Atrasado","En ruta"),IF($K1978&lt;=$J1978,"Sí","No")))</f>
        <v/>
      </c>
      <c r="N1978" s="23">
        <f>IF($A1978="","",COUNTIFS(NOVEDADES!$C$4:$C$1503,$A1978))</f>
        <v/>
      </c>
      <c r="O1978" s="27">
        <f>IF($A1978="","",IF(COUNTIFS(NOVEDADES!$C$4:$C$1503,$A1978,NOVEDADES!$M$4:$M$1503,"SÍ")&gt;0,"No","Sí"))</f>
        <v/>
      </c>
      <c r="P1978" s="27">
        <f>IF(OR($A1978="",$K1978=""),"",IF(AND($M1978="Sí",$O1978="Sí"),"OTIF","Falló"))</f>
        <v/>
      </c>
    </row>
    <row r="1979" ht="16" customHeight="1">
      <c r="A1979" s="47" t="n"/>
      <c r="B1979" s="46" t="n"/>
      <c r="C1979" s="49" t="n"/>
      <c r="D1979" s="49" t="n"/>
      <c r="E1979" s="49" t="n"/>
      <c r="F1979" s="49" t="n"/>
      <c r="G1979" s="47" t="n"/>
      <c r="H1979" s="50" t="n"/>
      <c r="I1979" s="51" t="n"/>
      <c r="J1979" s="46" t="n"/>
      <c r="K1979" s="46" t="n"/>
      <c r="L1979" s="23">
        <f>IF(OR($A1979="",$B1979=""),"",IF($K1979&lt;&gt;"",$K1979-$B1979,TODAY()-$B1979))</f>
        <v/>
      </c>
      <c r="M1979" s="27">
        <f>IF(OR($A1979="",$J1979=""),"",IF($K1979="",IF(TODAY()&gt;$J1979,"Atrasado","En ruta"),IF($K1979&lt;=$J1979,"Sí","No")))</f>
        <v/>
      </c>
      <c r="N1979" s="23">
        <f>IF($A1979="","",COUNTIFS(NOVEDADES!$C$4:$C$1503,$A1979))</f>
        <v/>
      </c>
      <c r="O1979" s="27">
        <f>IF($A1979="","",IF(COUNTIFS(NOVEDADES!$C$4:$C$1503,$A1979,NOVEDADES!$M$4:$M$1503,"SÍ")&gt;0,"No","Sí"))</f>
        <v/>
      </c>
      <c r="P1979" s="27">
        <f>IF(OR($A1979="",$K1979=""),"",IF(AND($M1979="Sí",$O1979="Sí"),"OTIF","Falló"))</f>
        <v/>
      </c>
    </row>
    <row r="1980" ht="16" customHeight="1">
      <c r="A1980" s="47" t="n"/>
      <c r="B1980" s="46" t="n"/>
      <c r="C1980" s="49" t="n"/>
      <c r="D1980" s="49" t="n"/>
      <c r="E1980" s="49" t="n"/>
      <c r="F1980" s="49" t="n"/>
      <c r="G1980" s="47" t="n"/>
      <c r="H1980" s="50" t="n"/>
      <c r="I1980" s="51" t="n"/>
      <c r="J1980" s="46" t="n"/>
      <c r="K1980" s="46" t="n"/>
      <c r="L1980" s="23">
        <f>IF(OR($A1980="",$B1980=""),"",IF($K1980&lt;&gt;"",$K1980-$B1980,TODAY()-$B1980))</f>
        <v/>
      </c>
      <c r="M1980" s="27">
        <f>IF(OR($A1980="",$J1980=""),"",IF($K1980="",IF(TODAY()&gt;$J1980,"Atrasado","En ruta"),IF($K1980&lt;=$J1980,"Sí","No")))</f>
        <v/>
      </c>
      <c r="N1980" s="23">
        <f>IF($A1980="","",COUNTIFS(NOVEDADES!$C$4:$C$1503,$A1980))</f>
        <v/>
      </c>
      <c r="O1980" s="27">
        <f>IF($A1980="","",IF(COUNTIFS(NOVEDADES!$C$4:$C$1503,$A1980,NOVEDADES!$M$4:$M$1503,"SÍ")&gt;0,"No","Sí"))</f>
        <v/>
      </c>
      <c r="P1980" s="27">
        <f>IF(OR($A1980="",$K1980=""),"",IF(AND($M1980="Sí",$O1980="Sí"),"OTIF","Falló"))</f>
        <v/>
      </c>
    </row>
    <row r="1981" ht="16" customHeight="1">
      <c r="A1981" s="47" t="n"/>
      <c r="B1981" s="46" t="n"/>
      <c r="C1981" s="49" t="n"/>
      <c r="D1981" s="49" t="n"/>
      <c r="E1981" s="49" t="n"/>
      <c r="F1981" s="49" t="n"/>
      <c r="G1981" s="47" t="n"/>
      <c r="H1981" s="50" t="n"/>
      <c r="I1981" s="51" t="n"/>
      <c r="J1981" s="46" t="n"/>
      <c r="K1981" s="46" t="n"/>
      <c r="L1981" s="23">
        <f>IF(OR($A1981="",$B1981=""),"",IF($K1981&lt;&gt;"",$K1981-$B1981,TODAY()-$B1981))</f>
        <v/>
      </c>
      <c r="M1981" s="27">
        <f>IF(OR($A1981="",$J1981=""),"",IF($K1981="",IF(TODAY()&gt;$J1981,"Atrasado","En ruta"),IF($K1981&lt;=$J1981,"Sí","No")))</f>
        <v/>
      </c>
      <c r="N1981" s="23">
        <f>IF($A1981="","",COUNTIFS(NOVEDADES!$C$4:$C$1503,$A1981))</f>
        <v/>
      </c>
      <c r="O1981" s="27">
        <f>IF($A1981="","",IF(COUNTIFS(NOVEDADES!$C$4:$C$1503,$A1981,NOVEDADES!$M$4:$M$1503,"SÍ")&gt;0,"No","Sí"))</f>
        <v/>
      </c>
      <c r="P1981" s="27">
        <f>IF(OR($A1981="",$K1981=""),"",IF(AND($M1981="Sí",$O1981="Sí"),"OTIF","Falló"))</f>
        <v/>
      </c>
    </row>
    <row r="1982" ht="16" customHeight="1">
      <c r="A1982" s="47" t="n"/>
      <c r="B1982" s="46" t="n"/>
      <c r="C1982" s="49" t="n"/>
      <c r="D1982" s="49" t="n"/>
      <c r="E1982" s="49" t="n"/>
      <c r="F1982" s="49" t="n"/>
      <c r="G1982" s="47" t="n"/>
      <c r="H1982" s="50" t="n"/>
      <c r="I1982" s="51" t="n"/>
      <c r="J1982" s="46" t="n"/>
      <c r="K1982" s="46" t="n"/>
      <c r="L1982" s="23">
        <f>IF(OR($A1982="",$B1982=""),"",IF($K1982&lt;&gt;"",$K1982-$B1982,TODAY()-$B1982))</f>
        <v/>
      </c>
      <c r="M1982" s="27">
        <f>IF(OR($A1982="",$J1982=""),"",IF($K1982="",IF(TODAY()&gt;$J1982,"Atrasado","En ruta"),IF($K1982&lt;=$J1982,"Sí","No")))</f>
        <v/>
      </c>
      <c r="N1982" s="23">
        <f>IF($A1982="","",COUNTIFS(NOVEDADES!$C$4:$C$1503,$A1982))</f>
        <v/>
      </c>
      <c r="O1982" s="27">
        <f>IF($A1982="","",IF(COUNTIFS(NOVEDADES!$C$4:$C$1503,$A1982,NOVEDADES!$M$4:$M$1503,"SÍ")&gt;0,"No","Sí"))</f>
        <v/>
      </c>
      <c r="P1982" s="27">
        <f>IF(OR($A1982="",$K1982=""),"",IF(AND($M1982="Sí",$O1982="Sí"),"OTIF","Falló"))</f>
        <v/>
      </c>
    </row>
    <row r="1983" ht="16" customHeight="1">
      <c r="A1983" s="47" t="n"/>
      <c r="B1983" s="46" t="n"/>
      <c r="C1983" s="49" t="n"/>
      <c r="D1983" s="49" t="n"/>
      <c r="E1983" s="49" t="n"/>
      <c r="F1983" s="49" t="n"/>
      <c r="G1983" s="47" t="n"/>
      <c r="H1983" s="50" t="n"/>
      <c r="I1983" s="51" t="n"/>
      <c r="J1983" s="46" t="n"/>
      <c r="K1983" s="46" t="n"/>
      <c r="L1983" s="23">
        <f>IF(OR($A1983="",$B1983=""),"",IF($K1983&lt;&gt;"",$K1983-$B1983,TODAY()-$B1983))</f>
        <v/>
      </c>
      <c r="M1983" s="27">
        <f>IF(OR($A1983="",$J1983=""),"",IF($K1983="",IF(TODAY()&gt;$J1983,"Atrasado","En ruta"),IF($K1983&lt;=$J1983,"Sí","No")))</f>
        <v/>
      </c>
      <c r="N1983" s="23">
        <f>IF($A1983="","",COUNTIFS(NOVEDADES!$C$4:$C$1503,$A1983))</f>
        <v/>
      </c>
      <c r="O1983" s="27">
        <f>IF($A1983="","",IF(COUNTIFS(NOVEDADES!$C$4:$C$1503,$A1983,NOVEDADES!$M$4:$M$1503,"SÍ")&gt;0,"No","Sí"))</f>
        <v/>
      </c>
      <c r="P1983" s="27">
        <f>IF(OR($A1983="",$K1983=""),"",IF(AND($M1983="Sí",$O1983="Sí"),"OTIF","Falló"))</f>
        <v/>
      </c>
    </row>
    <row r="1984" ht="16" customHeight="1">
      <c r="A1984" s="47" t="n"/>
      <c r="B1984" s="46" t="n"/>
      <c r="C1984" s="49" t="n"/>
      <c r="D1984" s="49" t="n"/>
      <c r="E1984" s="49" t="n"/>
      <c r="F1984" s="49" t="n"/>
      <c r="G1984" s="47" t="n"/>
      <c r="H1984" s="50" t="n"/>
      <c r="I1984" s="51" t="n"/>
      <c r="J1984" s="46" t="n"/>
      <c r="K1984" s="46" t="n"/>
      <c r="L1984" s="23">
        <f>IF(OR($A1984="",$B1984=""),"",IF($K1984&lt;&gt;"",$K1984-$B1984,TODAY()-$B1984))</f>
        <v/>
      </c>
      <c r="M1984" s="27">
        <f>IF(OR($A1984="",$J1984=""),"",IF($K1984="",IF(TODAY()&gt;$J1984,"Atrasado","En ruta"),IF($K1984&lt;=$J1984,"Sí","No")))</f>
        <v/>
      </c>
      <c r="N1984" s="23">
        <f>IF($A1984="","",COUNTIFS(NOVEDADES!$C$4:$C$1503,$A1984))</f>
        <v/>
      </c>
      <c r="O1984" s="27">
        <f>IF($A1984="","",IF(COUNTIFS(NOVEDADES!$C$4:$C$1503,$A1984,NOVEDADES!$M$4:$M$1503,"SÍ")&gt;0,"No","Sí"))</f>
        <v/>
      </c>
      <c r="P1984" s="27">
        <f>IF(OR($A1984="",$K1984=""),"",IF(AND($M1984="Sí",$O1984="Sí"),"OTIF","Falló"))</f>
        <v/>
      </c>
    </row>
    <row r="1985" ht="16" customHeight="1">
      <c r="A1985" s="47" t="n"/>
      <c r="B1985" s="46" t="n"/>
      <c r="C1985" s="49" t="n"/>
      <c r="D1985" s="49" t="n"/>
      <c r="E1985" s="49" t="n"/>
      <c r="F1985" s="49" t="n"/>
      <c r="G1985" s="47" t="n"/>
      <c r="H1985" s="50" t="n"/>
      <c r="I1985" s="51" t="n"/>
      <c r="J1985" s="46" t="n"/>
      <c r="K1985" s="46" t="n"/>
      <c r="L1985" s="23">
        <f>IF(OR($A1985="",$B1985=""),"",IF($K1985&lt;&gt;"",$K1985-$B1985,TODAY()-$B1985))</f>
        <v/>
      </c>
      <c r="M1985" s="27">
        <f>IF(OR($A1985="",$J1985=""),"",IF($K1985="",IF(TODAY()&gt;$J1985,"Atrasado","En ruta"),IF($K1985&lt;=$J1985,"Sí","No")))</f>
        <v/>
      </c>
      <c r="N1985" s="23">
        <f>IF($A1985="","",COUNTIFS(NOVEDADES!$C$4:$C$1503,$A1985))</f>
        <v/>
      </c>
      <c r="O1985" s="27">
        <f>IF($A1985="","",IF(COUNTIFS(NOVEDADES!$C$4:$C$1503,$A1985,NOVEDADES!$M$4:$M$1503,"SÍ")&gt;0,"No","Sí"))</f>
        <v/>
      </c>
      <c r="P1985" s="27">
        <f>IF(OR($A1985="",$K1985=""),"",IF(AND($M1985="Sí",$O1985="Sí"),"OTIF","Falló"))</f>
        <v/>
      </c>
    </row>
    <row r="1986" ht="16" customHeight="1">
      <c r="A1986" s="47" t="n"/>
      <c r="B1986" s="46" t="n"/>
      <c r="C1986" s="49" t="n"/>
      <c r="D1986" s="49" t="n"/>
      <c r="E1986" s="49" t="n"/>
      <c r="F1986" s="49" t="n"/>
      <c r="G1986" s="47" t="n"/>
      <c r="H1986" s="50" t="n"/>
      <c r="I1986" s="51" t="n"/>
      <c r="J1986" s="46" t="n"/>
      <c r="K1986" s="46" t="n"/>
      <c r="L1986" s="23">
        <f>IF(OR($A1986="",$B1986=""),"",IF($K1986&lt;&gt;"",$K1986-$B1986,TODAY()-$B1986))</f>
        <v/>
      </c>
      <c r="M1986" s="27">
        <f>IF(OR($A1986="",$J1986=""),"",IF($K1986="",IF(TODAY()&gt;$J1986,"Atrasado","En ruta"),IF($K1986&lt;=$J1986,"Sí","No")))</f>
        <v/>
      </c>
      <c r="N1986" s="23">
        <f>IF($A1986="","",COUNTIFS(NOVEDADES!$C$4:$C$1503,$A1986))</f>
        <v/>
      </c>
      <c r="O1986" s="27">
        <f>IF($A1986="","",IF(COUNTIFS(NOVEDADES!$C$4:$C$1503,$A1986,NOVEDADES!$M$4:$M$1503,"SÍ")&gt;0,"No","Sí"))</f>
        <v/>
      </c>
      <c r="P1986" s="27">
        <f>IF(OR($A1986="",$K1986=""),"",IF(AND($M1986="Sí",$O1986="Sí"),"OTIF","Falló"))</f>
        <v/>
      </c>
    </row>
    <row r="1987" ht="16" customHeight="1">
      <c r="A1987" s="47" t="n"/>
      <c r="B1987" s="46" t="n"/>
      <c r="C1987" s="49" t="n"/>
      <c r="D1987" s="49" t="n"/>
      <c r="E1987" s="49" t="n"/>
      <c r="F1987" s="49" t="n"/>
      <c r="G1987" s="47" t="n"/>
      <c r="H1987" s="50" t="n"/>
      <c r="I1987" s="51" t="n"/>
      <c r="J1987" s="46" t="n"/>
      <c r="K1987" s="46" t="n"/>
      <c r="L1987" s="23">
        <f>IF(OR($A1987="",$B1987=""),"",IF($K1987&lt;&gt;"",$K1987-$B1987,TODAY()-$B1987))</f>
        <v/>
      </c>
      <c r="M1987" s="27">
        <f>IF(OR($A1987="",$J1987=""),"",IF($K1987="",IF(TODAY()&gt;$J1987,"Atrasado","En ruta"),IF($K1987&lt;=$J1987,"Sí","No")))</f>
        <v/>
      </c>
      <c r="N1987" s="23">
        <f>IF($A1987="","",COUNTIFS(NOVEDADES!$C$4:$C$1503,$A1987))</f>
        <v/>
      </c>
      <c r="O1987" s="27">
        <f>IF($A1987="","",IF(COUNTIFS(NOVEDADES!$C$4:$C$1503,$A1987,NOVEDADES!$M$4:$M$1503,"SÍ")&gt;0,"No","Sí"))</f>
        <v/>
      </c>
      <c r="P1987" s="27">
        <f>IF(OR($A1987="",$K1987=""),"",IF(AND($M1987="Sí",$O1987="Sí"),"OTIF","Falló"))</f>
        <v/>
      </c>
    </row>
    <row r="1988" ht="16" customHeight="1">
      <c r="A1988" s="47" t="n"/>
      <c r="B1988" s="46" t="n"/>
      <c r="C1988" s="49" t="n"/>
      <c r="D1988" s="49" t="n"/>
      <c r="E1988" s="49" t="n"/>
      <c r="F1988" s="49" t="n"/>
      <c r="G1988" s="47" t="n"/>
      <c r="H1988" s="50" t="n"/>
      <c r="I1988" s="51" t="n"/>
      <c r="J1988" s="46" t="n"/>
      <c r="K1988" s="46" t="n"/>
      <c r="L1988" s="23">
        <f>IF(OR($A1988="",$B1988=""),"",IF($K1988&lt;&gt;"",$K1988-$B1988,TODAY()-$B1988))</f>
        <v/>
      </c>
      <c r="M1988" s="27">
        <f>IF(OR($A1988="",$J1988=""),"",IF($K1988="",IF(TODAY()&gt;$J1988,"Atrasado","En ruta"),IF($K1988&lt;=$J1988,"Sí","No")))</f>
        <v/>
      </c>
      <c r="N1988" s="23">
        <f>IF($A1988="","",COUNTIFS(NOVEDADES!$C$4:$C$1503,$A1988))</f>
        <v/>
      </c>
      <c r="O1988" s="27">
        <f>IF($A1988="","",IF(COUNTIFS(NOVEDADES!$C$4:$C$1503,$A1988,NOVEDADES!$M$4:$M$1503,"SÍ")&gt;0,"No","Sí"))</f>
        <v/>
      </c>
      <c r="P1988" s="27">
        <f>IF(OR($A1988="",$K1988=""),"",IF(AND($M1988="Sí",$O1988="Sí"),"OTIF","Falló"))</f>
        <v/>
      </c>
    </row>
    <row r="1989" ht="16" customHeight="1">
      <c r="A1989" s="47" t="n"/>
      <c r="B1989" s="46" t="n"/>
      <c r="C1989" s="49" t="n"/>
      <c r="D1989" s="49" t="n"/>
      <c r="E1989" s="49" t="n"/>
      <c r="F1989" s="49" t="n"/>
      <c r="G1989" s="47" t="n"/>
      <c r="H1989" s="50" t="n"/>
      <c r="I1989" s="51" t="n"/>
      <c r="J1989" s="46" t="n"/>
      <c r="K1989" s="46" t="n"/>
      <c r="L1989" s="23">
        <f>IF(OR($A1989="",$B1989=""),"",IF($K1989&lt;&gt;"",$K1989-$B1989,TODAY()-$B1989))</f>
        <v/>
      </c>
      <c r="M1989" s="27">
        <f>IF(OR($A1989="",$J1989=""),"",IF($K1989="",IF(TODAY()&gt;$J1989,"Atrasado","En ruta"),IF($K1989&lt;=$J1989,"Sí","No")))</f>
        <v/>
      </c>
      <c r="N1989" s="23">
        <f>IF($A1989="","",COUNTIFS(NOVEDADES!$C$4:$C$1503,$A1989))</f>
        <v/>
      </c>
      <c r="O1989" s="27">
        <f>IF($A1989="","",IF(COUNTIFS(NOVEDADES!$C$4:$C$1503,$A1989,NOVEDADES!$M$4:$M$1503,"SÍ")&gt;0,"No","Sí"))</f>
        <v/>
      </c>
      <c r="P1989" s="27">
        <f>IF(OR($A1989="",$K1989=""),"",IF(AND($M1989="Sí",$O1989="Sí"),"OTIF","Falló"))</f>
        <v/>
      </c>
    </row>
    <row r="1990" ht="16" customHeight="1">
      <c r="A1990" s="47" t="n"/>
      <c r="B1990" s="46" t="n"/>
      <c r="C1990" s="49" t="n"/>
      <c r="D1990" s="49" t="n"/>
      <c r="E1990" s="49" t="n"/>
      <c r="F1990" s="49" t="n"/>
      <c r="G1990" s="47" t="n"/>
      <c r="H1990" s="50" t="n"/>
      <c r="I1990" s="51" t="n"/>
      <c r="J1990" s="46" t="n"/>
      <c r="K1990" s="46" t="n"/>
      <c r="L1990" s="23">
        <f>IF(OR($A1990="",$B1990=""),"",IF($K1990&lt;&gt;"",$K1990-$B1990,TODAY()-$B1990))</f>
        <v/>
      </c>
      <c r="M1990" s="27">
        <f>IF(OR($A1990="",$J1990=""),"",IF($K1990="",IF(TODAY()&gt;$J1990,"Atrasado","En ruta"),IF($K1990&lt;=$J1990,"Sí","No")))</f>
        <v/>
      </c>
      <c r="N1990" s="23">
        <f>IF($A1990="","",COUNTIFS(NOVEDADES!$C$4:$C$1503,$A1990))</f>
        <v/>
      </c>
      <c r="O1990" s="27">
        <f>IF($A1990="","",IF(COUNTIFS(NOVEDADES!$C$4:$C$1503,$A1990,NOVEDADES!$M$4:$M$1503,"SÍ")&gt;0,"No","Sí"))</f>
        <v/>
      </c>
      <c r="P1990" s="27">
        <f>IF(OR($A1990="",$K1990=""),"",IF(AND($M1990="Sí",$O1990="Sí"),"OTIF","Falló"))</f>
        <v/>
      </c>
    </row>
    <row r="1991" ht="16" customHeight="1">
      <c r="A1991" s="47" t="n"/>
      <c r="B1991" s="46" t="n"/>
      <c r="C1991" s="49" t="n"/>
      <c r="D1991" s="49" t="n"/>
      <c r="E1991" s="49" t="n"/>
      <c r="F1991" s="49" t="n"/>
      <c r="G1991" s="47" t="n"/>
      <c r="H1991" s="50" t="n"/>
      <c r="I1991" s="51" t="n"/>
      <c r="J1991" s="46" t="n"/>
      <c r="K1991" s="46" t="n"/>
      <c r="L1991" s="23">
        <f>IF(OR($A1991="",$B1991=""),"",IF($K1991&lt;&gt;"",$K1991-$B1991,TODAY()-$B1991))</f>
        <v/>
      </c>
      <c r="M1991" s="27">
        <f>IF(OR($A1991="",$J1991=""),"",IF($K1991="",IF(TODAY()&gt;$J1991,"Atrasado","En ruta"),IF($K1991&lt;=$J1991,"Sí","No")))</f>
        <v/>
      </c>
      <c r="N1991" s="23">
        <f>IF($A1991="","",COUNTIFS(NOVEDADES!$C$4:$C$1503,$A1991))</f>
        <v/>
      </c>
      <c r="O1991" s="27">
        <f>IF($A1991="","",IF(COUNTIFS(NOVEDADES!$C$4:$C$1503,$A1991,NOVEDADES!$M$4:$M$1503,"SÍ")&gt;0,"No","Sí"))</f>
        <v/>
      </c>
      <c r="P1991" s="27">
        <f>IF(OR($A1991="",$K1991=""),"",IF(AND($M1991="Sí",$O1991="Sí"),"OTIF","Falló"))</f>
        <v/>
      </c>
    </row>
    <row r="1992" ht="16" customHeight="1">
      <c r="A1992" s="47" t="n"/>
      <c r="B1992" s="46" t="n"/>
      <c r="C1992" s="49" t="n"/>
      <c r="D1992" s="49" t="n"/>
      <c r="E1992" s="49" t="n"/>
      <c r="F1992" s="49" t="n"/>
      <c r="G1992" s="47" t="n"/>
      <c r="H1992" s="50" t="n"/>
      <c r="I1992" s="51" t="n"/>
      <c r="J1992" s="46" t="n"/>
      <c r="K1992" s="46" t="n"/>
      <c r="L1992" s="23">
        <f>IF(OR($A1992="",$B1992=""),"",IF($K1992&lt;&gt;"",$K1992-$B1992,TODAY()-$B1992))</f>
        <v/>
      </c>
      <c r="M1992" s="27">
        <f>IF(OR($A1992="",$J1992=""),"",IF($K1992="",IF(TODAY()&gt;$J1992,"Atrasado","En ruta"),IF($K1992&lt;=$J1992,"Sí","No")))</f>
        <v/>
      </c>
      <c r="N1992" s="23">
        <f>IF($A1992="","",COUNTIFS(NOVEDADES!$C$4:$C$1503,$A1992))</f>
        <v/>
      </c>
      <c r="O1992" s="27">
        <f>IF($A1992="","",IF(COUNTIFS(NOVEDADES!$C$4:$C$1503,$A1992,NOVEDADES!$M$4:$M$1503,"SÍ")&gt;0,"No","Sí"))</f>
        <v/>
      </c>
      <c r="P1992" s="27">
        <f>IF(OR($A1992="",$K1992=""),"",IF(AND($M1992="Sí",$O1992="Sí"),"OTIF","Falló"))</f>
        <v/>
      </c>
    </row>
    <row r="1993" ht="16" customHeight="1">
      <c r="A1993" s="47" t="n"/>
      <c r="B1993" s="46" t="n"/>
      <c r="C1993" s="49" t="n"/>
      <c r="D1993" s="49" t="n"/>
      <c r="E1993" s="49" t="n"/>
      <c r="F1993" s="49" t="n"/>
      <c r="G1993" s="47" t="n"/>
      <c r="H1993" s="50" t="n"/>
      <c r="I1993" s="51" t="n"/>
      <c r="J1993" s="46" t="n"/>
      <c r="K1993" s="46" t="n"/>
      <c r="L1993" s="23">
        <f>IF(OR($A1993="",$B1993=""),"",IF($K1993&lt;&gt;"",$K1993-$B1993,TODAY()-$B1993))</f>
        <v/>
      </c>
      <c r="M1993" s="27">
        <f>IF(OR($A1993="",$J1993=""),"",IF($K1993="",IF(TODAY()&gt;$J1993,"Atrasado","En ruta"),IF($K1993&lt;=$J1993,"Sí","No")))</f>
        <v/>
      </c>
      <c r="N1993" s="23">
        <f>IF($A1993="","",COUNTIFS(NOVEDADES!$C$4:$C$1503,$A1993))</f>
        <v/>
      </c>
      <c r="O1993" s="27">
        <f>IF($A1993="","",IF(COUNTIFS(NOVEDADES!$C$4:$C$1503,$A1993,NOVEDADES!$M$4:$M$1503,"SÍ")&gt;0,"No","Sí"))</f>
        <v/>
      </c>
      <c r="P1993" s="27">
        <f>IF(OR($A1993="",$K1993=""),"",IF(AND($M1993="Sí",$O1993="Sí"),"OTIF","Falló"))</f>
        <v/>
      </c>
    </row>
    <row r="1994" ht="16" customHeight="1">
      <c r="A1994" s="47" t="n"/>
      <c r="B1994" s="46" t="n"/>
      <c r="C1994" s="49" t="n"/>
      <c r="D1994" s="49" t="n"/>
      <c r="E1994" s="49" t="n"/>
      <c r="F1994" s="49" t="n"/>
      <c r="G1994" s="47" t="n"/>
      <c r="H1994" s="50" t="n"/>
      <c r="I1994" s="51" t="n"/>
      <c r="J1994" s="46" t="n"/>
      <c r="K1994" s="46" t="n"/>
      <c r="L1994" s="23">
        <f>IF(OR($A1994="",$B1994=""),"",IF($K1994&lt;&gt;"",$K1994-$B1994,TODAY()-$B1994))</f>
        <v/>
      </c>
      <c r="M1994" s="27">
        <f>IF(OR($A1994="",$J1994=""),"",IF($K1994="",IF(TODAY()&gt;$J1994,"Atrasado","En ruta"),IF($K1994&lt;=$J1994,"Sí","No")))</f>
        <v/>
      </c>
      <c r="N1994" s="23">
        <f>IF($A1994="","",COUNTIFS(NOVEDADES!$C$4:$C$1503,$A1994))</f>
        <v/>
      </c>
      <c r="O1994" s="27">
        <f>IF($A1994="","",IF(COUNTIFS(NOVEDADES!$C$4:$C$1503,$A1994,NOVEDADES!$M$4:$M$1503,"SÍ")&gt;0,"No","Sí"))</f>
        <v/>
      </c>
      <c r="P1994" s="27">
        <f>IF(OR($A1994="",$K1994=""),"",IF(AND($M1994="Sí",$O1994="Sí"),"OTIF","Falló"))</f>
        <v/>
      </c>
    </row>
    <row r="1995" ht="16" customHeight="1">
      <c r="A1995" s="47" t="n"/>
      <c r="B1995" s="46" t="n"/>
      <c r="C1995" s="49" t="n"/>
      <c r="D1995" s="49" t="n"/>
      <c r="E1995" s="49" t="n"/>
      <c r="F1995" s="49" t="n"/>
      <c r="G1995" s="47" t="n"/>
      <c r="H1995" s="50" t="n"/>
      <c r="I1995" s="51" t="n"/>
      <c r="J1995" s="46" t="n"/>
      <c r="K1995" s="46" t="n"/>
      <c r="L1995" s="23">
        <f>IF(OR($A1995="",$B1995=""),"",IF($K1995&lt;&gt;"",$K1995-$B1995,TODAY()-$B1995))</f>
        <v/>
      </c>
      <c r="M1995" s="27">
        <f>IF(OR($A1995="",$J1995=""),"",IF($K1995="",IF(TODAY()&gt;$J1995,"Atrasado","En ruta"),IF($K1995&lt;=$J1995,"Sí","No")))</f>
        <v/>
      </c>
      <c r="N1995" s="23">
        <f>IF($A1995="","",COUNTIFS(NOVEDADES!$C$4:$C$1503,$A1995))</f>
        <v/>
      </c>
      <c r="O1995" s="27">
        <f>IF($A1995="","",IF(COUNTIFS(NOVEDADES!$C$4:$C$1503,$A1995,NOVEDADES!$M$4:$M$1503,"SÍ")&gt;0,"No","Sí"))</f>
        <v/>
      </c>
      <c r="P1995" s="27">
        <f>IF(OR($A1995="",$K1995=""),"",IF(AND($M1995="Sí",$O1995="Sí"),"OTIF","Falló"))</f>
        <v/>
      </c>
    </row>
    <row r="1996" ht="16" customHeight="1">
      <c r="A1996" s="47" t="n"/>
      <c r="B1996" s="46" t="n"/>
      <c r="C1996" s="49" t="n"/>
      <c r="D1996" s="49" t="n"/>
      <c r="E1996" s="49" t="n"/>
      <c r="F1996" s="49" t="n"/>
      <c r="G1996" s="47" t="n"/>
      <c r="H1996" s="50" t="n"/>
      <c r="I1996" s="51" t="n"/>
      <c r="J1996" s="46" t="n"/>
      <c r="K1996" s="46" t="n"/>
      <c r="L1996" s="23">
        <f>IF(OR($A1996="",$B1996=""),"",IF($K1996&lt;&gt;"",$K1996-$B1996,TODAY()-$B1996))</f>
        <v/>
      </c>
      <c r="M1996" s="27">
        <f>IF(OR($A1996="",$J1996=""),"",IF($K1996="",IF(TODAY()&gt;$J1996,"Atrasado","En ruta"),IF($K1996&lt;=$J1996,"Sí","No")))</f>
        <v/>
      </c>
      <c r="N1996" s="23">
        <f>IF($A1996="","",COUNTIFS(NOVEDADES!$C$4:$C$1503,$A1996))</f>
        <v/>
      </c>
      <c r="O1996" s="27">
        <f>IF($A1996="","",IF(COUNTIFS(NOVEDADES!$C$4:$C$1503,$A1996,NOVEDADES!$M$4:$M$1503,"SÍ")&gt;0,"No","Sí"))</f>
        <v/>
      </c>
      <c r="P1996" s="27">
        <f>IF(OR($A1996="",$K1996=""),"",IF(AND($M1996="Sí",$O1996="Sí"),"OTIF","Falló"))</f>
        <v/>
      </c>
    </row>
    <row r="1997" ht="16" customHeight="1">
      <c r="A1997" s="47" t="n"/>
      <c r="B1997" s="46" t="n"/>
      <c r="C1997" s="49" t="n"/>
      <c r="D1997" s="49" t="n"/>
      <c r="E1997" s="49" t="n"/>
      <c r="F1997" s="49" t="n"/>
      <c r="G1997" s="47" t="n"/>
      <c r="H1997" s="50" t="n"/>
      <c r="I1997" s="51" t="n"/>
      <c r="J1997" s="46" t="n"/>
      <c r="K1997" s="46" t="n"/>
      <c r="L1997" s="23">
        <f>IF(OR($A1997="",$B1997=""),"",IF($K1997&lt;&gt;"",$K1997-$B1997,TODAY()-$B1997))</f>
        <v/>
      </c>
      <c r="M1997" s="27">
        <f>IF(OR($A1997="",$J1997=""),"",IF($K1997="",IF(TODAY()&gt;$J1997,"Atrasado","En ruta"),IF($K1997&lt;=$J1997,"Sí","No")))</f>
        <v/>
      </c>
      <c r="N1997" s="23">
        <f>IF($A1997="","",COUNTIFS(NOVEDADES!$C$4:$C$1503,$A1997))</f>
        <v/>
      </c>
      <c r="O1997" s="27">
        <f>IF($A1997="","",IF(COUNTIFS(NOVEDADES!$C$4:$C$1503,$A1997,NOVEDADES!$M$4:$M$1503,"SÍ")&gt;0,"No","Sí"))</f>
        <v/>
      </c>
      <c r="P1997" s="27">
        <f>IF(OR($A1997="",$K1997=""),"",IF(AND($M1997="Sí",$O1997="Sí"),"OTIF","Falló"))</f>
        <v/>
      </c>
    </row>
    <row r="1998" ht="16" customHeight="1">
      <c r="A1998" s="47" t="n"/>
      <c r="B1998" s="46" t="n"/>
      <c r="C1998" s="49" t="n"/>
      <c r="D1998" s="49" t="n"/>
      <c r="E1998" s="49" t="n"/>
      <c r="F1998" s="49" t="n"/>
      <c r="G1998" s="47" t="n"/>
      <c r="H1998" s="50" t="n"/>
      <c r="I1998" s="51" t="n"/>
      <c r="J1998" s="46" t="n"/>
      <c r="K1998" s="46" t="n"/>
      <c r="L1998" s="23">
        <f>IF(OR($A1998="",$B1998=""),"",IF($K1998&lt;&gt;"",$K1998-$B1998,TODAY()-$B1998))</f>
        <v/>
      </c>
      <c r="M1998" s="27">
        <f>IF(OR($A1998="",$J1998=""),"",IF($K1998="",IF(TODAY()&gt;$J1998,"Atrasado","En ruta"),IF($K1998&lt;=$J1998,"Sí","No")))</f>
        <v/>
      </c>
      <c r="N1998" s="23">
        <f>IF($A1998="","",COUNTIFS(NOVEDADES!$C$4:$C$1503,$A1998))</f>
        <v/>
      </c>
      <c r="O1998" s="27">
        <f>IF($A1998="","",IF(COUNTIFS(NOVEDADES!$C$4:$C$1503,$A1998,NOVEDADES!$M$4:$M$1503,"SÍ")&gt;0,"No","Sí"))</f>
        <v/>
      </c>
      <c r="P1998" s="27">
        <f>IF(OR($A1998="",$K1998=""),"",IF(AND($M1998="Sí",$O1998="Sí"),"OTIF","Falló"))</f>
        <v/>
      </c>
    </row>
    <row r="1999" ht="16" customHeight="1">
      <c r="A1999" s="47" t="n"/>
      <c r="B1999" s="46" t="n"/>
      <c r="C1999" s="49" t="n"/>
      <c r="D1999" s="49" t="n"/>
      <c r="E1999" s="49" t="n"/>
      <c r="F1999" s="49" t="n"/>
      <c r="G1999" s="47" t="n"/>
      <c r="H1999" s="50" t="n"/>
      <c r="I1999" s="51" t="n"/>
      <c r="J1999" s="46" t="n"/>
      <c r="K1999" s="46" t="n"/>
      <c r="L1999" s="23">
        <f>IF(OR($A1999="",$B1999=""),"",IF($K1999&lt;&gt;"",$K1999-$B1999,TODAY()-$B1999))</f>
        <v/>
      </c>
      <c r="M1999" s="27">
        <f>IF(OR($A1999="",$J1999=""),"",IF($K1999="",IF(TODAY()&gt;$J1999,"Atrasado","En ruta"),IF($K1999&lt;=$J1999,"Sí","No")))</f>
        <v/>
      </c>
      <c r="N1999" s="23">
        <f>IF($A1999="","",COUNTIFS(NOVEDADES!$C$4:$C$1503,$A1999))</f>
        <v/>
      </c>
      <c r="O1999" s="27">
        <f>IF($A1999="","",IF(COUNTIFS(NOVEDADES!$C$4:$C$1503,$A1999,NOVEDADES!$M$4:$M$1503,"SÍ")&gt;0,"No","Sí"))</f>
        <v/>
      </c>
      <c r="P1999" s="27">
        <f>IF(OR($A1999="",$K1999=""),"",IF(AND($M1999="Sí",$O1999="Sí"),"OTIF","Falló"))</f>
        <v/>
      </c>
    </row>
    <row r="2000" ht="16" customHeight="1">
      <c r="A2000" s="47" t="n"/>
      <c r="B2000" s="46" t="n"/>
      <c r="C2000" s="49" t="n"/>
      <c r="D2000" s="49" t="n"/>
      <c r="E2000" s="49" t="n"/>
      <c r="F2000" s="49" t="n"/>
      <c r="G2000" s="47" t="n"/>
      <c r="H2000" s="50" t="n"/>
      <c r="I2000" s="51" t="n"/>
      <c r="J2000" s="46" t="n"/>
      <c r="K2000" s="46" t="n"/>
      <c r="L2000" s="23">
        <f>IF(OR($A2000="",$B2000=""),"",IF($K2000&lt;&gt;"",$K2000-$B2000,TODAY()-$B2000))</f>
        <v/>
      </c>
      <c r="M2000" s="27">
        <f>IF(OR($A2000="",$J2000=""),"",IF($K2000="",IF(TODAY()&gt;$J2000,"Atrasado","En ruta"),IF($K2000&lt;=$J2000,"Sí","No")))</f>
        <v/>
      </c>
      <c r="N2000" s="23">
        <f>IF($A2000="","",COUNTIFS(NOVEDADES!$C$4:$C$1503,$A2000))</f>
        <v/>
      </c>
      <c r="O2000" s="27">
        <f>IF($A2000="","",IF(COUNTIFS(NOVEDADES!$C$4:$C$1503,$A2000,NOVEDADES!$M$4:$M$1503,"SÍ")&gt;0,"No","Sí"))</f>
        <v/>
      </c>
      <c r="P2000" s="27">
        <f>IF(OR($A2000="",$K2000=""),"",IF(AND($M2000="Sí",$O2000="Sí"),"OTIF","Falló"))</f>
        <v/>
      </c>
    </row>
    <row r="2001" ht="16" customHeight="1">
      <c r="A2001" s="47" t="n"/>
      <c r="B2001" s="46" t="n"/>
      <c r="C2001" s="49" t="n"/>
      <c r="D2001" s="49" t="n"/>
      <c r="E2001" s="49" t="n"/>
      <c r="F2001" s="49" t="n"/>
      <c r="G2001" s="47" t="n"/>
      <c r="H2001" s="50" t="n"/>
      <c r="I2001" s="51" t="n"/>
      <c r="J2001" s="46" t="n"/>
      <c r="K2001" s="46" t="n"/>
      <c r="L2001" s="23">
        <f>IF(OR($A2001="",$B2001=""),"",IF($K2001&lt;&gt;"",$K2001-$B2001,TODAY()-$B2001))</f>
        <v/>
      </c>
      <c r="M2001" s="27">
        <f>IF(OR($A2001="",$J2001=""),"",IF($K2001="",IF(TODAY()&gt;$J2001,"Atrasado","En ruta"),IF($K2001&lt;=$J2001,"Sí","No")))</f>
        <v/>
      </c>
      <c r="N2001" s="23">
        <f>IF($A2001="","",COUNTIFS(NOVEDADES!$C$4:$C$1503,$A2001))</f>
        <v/>
      </c>
      <c r="O2001" s="27">
        <f>IF($A2001="","",IF(COUNTIFS(NOVEDADES!$C$4:$C$1503,$A2001,NOVEDADES!$M$4:$M$1503,"SÍ")&gt;0,"No","Sí"))</f>
        <v/>
      </c>
      <c r="P2001" s="27">
        <f>IF(OR($A2001="",$K2001=""),"",IF(AND($M2001="Sí",$O2001="Sí"),"OTIF","Falló"))</f>
        <v/>
      </c>
    </row>
    <row r="2002" ht="16" customHeight="1">
      <c r="A2002" s="47" t="n"/>
      <c r="B2002" s="46" t="n"/>
      <c r="C2002" s="49" t="n"/>
      <c r="D2002" s="49" t="n"/>
      <c r="E2002" s="49" t="n"/>
      <c r="F2002" s="49" t="n"/>
      <c r="G2002" s="47" t="n"/>
      <c r="H2002" s="50" t="n"/>
      <c r="I2002" s="51" t="n"/>
      <c r="J2002" s="46" t="n"/>
      <c r="K2002" s="46" t="n"/>
      <c r="L2002" s="23">
        <f>IF(OR($A2002="",$B2002=""),"",IF($K2002&lt;&gt;"",$K2002-$B2002,TODAY()-$B2002))</f>
        <v/>
      </c>
      <c r="M2002" s="27">
        <f>IF(OR($A2002="",$J2002=""),"",IF($K2002="",IF(TODAY()&gt;$J2002,"Atrasado","En ruta"),IF($K2002&lt;=$J2002,"Sí","No")))</f>
        <v/>
      </c>
      <c r="N2002" s="23">
        <f>IF($A2002="","",COUNTIFS(NOVEDADES!$C$4:$C$1503,$A2002))</f>
        <v/>
      </c>
      <c r="O2002" s="27">
        <f>IF($A2002="","",IF(COUNTIFS(NOVEDADES!$C$4:$C$1503,$A2002,NOVEDADES!$M$4:$M$1503,"SÍ")&gt;0,"No","Sí"))</f>
        <v/>
      </c>
      <c r="P2002" s="27">
        <f>IF(OR($A2002="",$K2002=""),"",IF(AND($M2002="Sí",$O2002="Sí"),"OTIF","Falló"))</f>
        <v/>
      </c>
    </row>
    <row r="2003" ht="16" customHeight="1">
      <c r="A2003" s="47" t="n"/>
      <c r="B2003" s="46" t="n"/>
      <c r="C2003" s="49" t="n"/>
      <c r="D2003" s="49" t="n"/>
      <c r="E2003" s="49" t="n"/>
      <c r="F2003" s="49" t="n"/>
      <c r="G2003" s="47" t="n"/>
      <c r="H2003" s="50" t="n"/>
      <c r="I2003" s="51" t="n"/>
      <c r="J2003" s="46" t="n"/>
      <c r="K2003" s="46" t="n"/>
      <c r="L2003" s="23">
        <f>IF(OR($A2003="",$B2003=""),"",IF($K2003&lt;&gt;"",$K2003-$B2003,TODAY()-$B2003))</f>
        <v/>
      </c>
      <c r="M2003" s="27">
        <f>IF(OR($A2003="",$J2003=""),"",IF($K2003="",IF(TODAY()&gt;$J2003,"Atrasado","En ruta"),IF($K2003&lt;=$J2003,"Sí","No")))</f>
        <v/>
      </c>
      <c r="N2003" s="23">
        <f>IF($A2003="","",COUNTIFS(NOVEDADES!$C$4:$C$1503,$A2003))</f>
        <v/>
      </c>
      <c r="O2003" s="27">
        <f>IF($A2003="","",IF(COUNTIFS(NOVEDADES!$C$4:$C$1503,$A2003,NOVEDADES!$M$4:$M$1503,"SÍ")&gt;0,"No","Sí"))</f>
        <v/>
      </c>
      <c r="P2003" s="27">
        <f>IF(OR($A2003="",$K2003=""),"",IF(AND($M2003="Sí",$O2003="Sí"),"OTIF","Falló"))</f>
        <v/>
      </c>
    </row>
    <row r="2004" ht="16" customHeight="1">
      <c r="A2004" s="47" t="n"/>
      <c r="B2004" s="46" t="n"/>
      <c r="C2004" s="49" t="n"/>
      <c r="D2004" s="49" t="n"/>
      <c r="E2004" s="49" t="n"/>
      <c r="F2004" s="49" t="n"/>
      <c r="G2004" s="47" t="n"/>
      <c r="H2004" s="50" t="n"/>
      <c r="I2004" s="51" t="n"/>
      <c r="J2004" s="46" t="n"/>
      <c r="K2004" s="46" t="n"/>
      <c r="L2004" s="23">
        <f>IF(OR($A2004="",$B2004=""),"",IF($K2004&lt;&gt;"",$K2004-$B2004,TODAY()-$B2004))</f>
        <v/>
      </c>
      <c r="M2004" s="27">
        <f>IF(OR($A2004="",$J2004=""),"",IF($K2004="",IF(TODAY()&gt;$J2004,"Atrasado","En ruta"),IF($K2004&lt;=$J2004,"Sí","No")))</f>
        <v/>
      </c>
      <c r="N2004" s="23">
        <f>IF($A2004="","",COUNTIFS(NOVEDADES!$C$4:$C$1503,$A2004))</f>
        <v/>
      </c>
      <c r="O2004" s="27">
        <f>IF($A2004="","",IF(COUNTIFS(NOVEDADES!$C$4:$C$1503,$A2004,NOVEDADES!$M$4:$M$1503,"SÍ")&gt;0,"No","Sí"))</f>
        <v/>
      </c>
      <c r="P2004" s="27">
        <f>IF(OR($A2004="",$K2004=""),"",IF(AND($M2004="Sí",$O2004="Sí"),"OTIF","Falló"))</f>
        <v/>
      </c>
    </row>
    <row r="2005" ht="16" customHeight="1">
      <c r="A2005" s="47" t="n"/>
      <c r="B2005" s="46" t="n"/>
      <c r="C2005" s="49" t="n"/>
      <c r="D2005" s="49" t="n"/>
      <c r="E2005" s="49" t="n"/>
      <c r="F2005" s="49" t="n"/>
      <c r="G2005" s="47" t="n"/>
      <c r="H2005" s="50" t="n"/>
      <c r="I2005" s="51" t="n"/>
      <c r="J2005" s="46" t="n"/>
      <c r="K2005" s="46" t="n"/>
      <c r="L2005" s="23">
        <f>IF(OR($A2005="",$B2005=""),"",IF($K2005&lt;&gt;"",$K2005-$B2005,TODAY()-$B2005))</f>
        <v/>
      </c>
      <c r="M2005" s="27">
        <f>IF(OR($A2005="",$J2005=""),"",IF($K2005="",IF(TODAY()&gt;$J2005,"Atrasado","En ruta"),IF($K2005&lt;=$J2005,"Sí","No")))</f>
        <v/>
      </c>
      <c r="N2005" s="23">
        <f>IF($A2005="","",COUNTIFS(NOVEDADES!$C$4:$C$1503,$A2005))</f>
        <v/>
      </c>
      <c r="O2005" s="27">
        <f>IF($A2005="","",IF(COUNTIFS(NOVEDADES!$C$4:$C$1503,$A2005,NOVEDADES!$M$4:$M$1503,"SÍ")&gt;0,"No","Sí"))</f>
        <v/>
      </c>
      <c r="P2005" s="27">
        <f>IF(OR($A2005="",$K2005=""),"",IF(AND($M2005="Sí",$O2005="Sí"),"OTIF","Falló"))</f>
        <v/>
      </c>
    </row>
    <row r="2006" ht="16" customHeight="1">
      <c r="A2006" s="47" t="n"/>
      <c r="B2006" s="46" t="n"/>
      <c r="C2006" s="49" t="n"/>
      <c r="D2006" s="49" t="n"/>
      <c r="E2006" s="49" t="n"/>
      <c r="F2006" s="49" t="n"/>
      <c r="G2006" s="47" t="n"/>
      <c r="H2006" s="50" t="n"/>
      <c r="I2006" s="51" t="n"/>
      <c r="J2006" s="46" t="n"/>
      <c r="K2006" s="46" t="n"/>
      <c r="L2006" s="23">
        <f>IF(OR($A2006="",$B2006=""),"",IF($K2006&lt;&gt;"",$K2006-$B2006,TODAY()-$B2006))</f>
        <v/>
      </c>
      <c r="M2006" s="27">
        <f>IF(OR($A2006="",$J2006=""),"",IF($K2006="",IF(TODAY()&gt;$J2006,"Atrasado","En ruta"),IF($K2006&lt;=$J2006,"Sí","No")))</f>
        <v/>
      </c>
      <c r="N2006" s="23">
        <f>IF($A2006="","",COUNTIFS(NOVEDADES!$C$4:$C$1503,$A2006))</f>
        <v/>
      </c>
      <c r="O2006" s="27">
        <f>IF($A2006="","",IF(COUNTIFS(NOVEDADES!$C$4:$C$1503,$A2006,NOVEDADES!$M$4:$M$1503,"SÍ")&gt;0,"No","Sí"))</f>
        <v/>
      </c>
      <c r="P2006" s="27">
        <f>IF(OR($A2006="",$K2006=""),"",IF(AND($M2006="Sí",$O2006="Sí"),"OTIF","Falló"))</f>
        <v/>
      </c>
    </row>
    <row r="2007" ht="16" customHeight="1">
      <c r="A2007" s="47" t="n"/>
      <c r="B2007" s="46" t="n"/>
      <c r="C2007" s="49" t="n"/>
      <c r="D2007" s="49" t="n"/>
      <c r="E2007" s="49" t="n"/>
      <c r="F2007" s="49" t="n"/>
      <c r="G2007" s="47" t="n"/>
      <c r="H2007" s="50" t="n"/>
      <c r="I2007" s="51" t="n"/>
      <c r="J2007" s="46" t="n"/>
      <c r="K2007" s="46" t="n"/>
      <c r="L2007" s="23">
        <f>IF(OR($A2007="",$B2007=""),"",IF($K2007&lt;&gt;"",$K2007-$B2007,TODAY()-$B2007))</f>
        <v/>
      </c>
      <c r="M2007" s="27">
        <f>IF(OR($A2007="",$J2007=""),"",IF($K2007="",IF(TODAY()&gt;$J2007,"Atrasado","En ruta"),IF($K2007&lt;=$J2007,"Sí","No")))</f>
        <v/>
      </c>
      <c r="N2007" s="23">
        <f>IF($A2007="","",COUNTIFS(NOVEDADES!$C$4:$C$1503,$A2007))</f>
        <v/>
      </c>
      <c r="O2007" s="27">
        <f>IF($A2007="","",IF(COUNTIFS(NOVEDADES!$C$4:$C$1503,$A2007,NOVEDADES!$M$4:$M$1503,"SÍ")&gt;0,"No","Sí"))</f>
        <v/>
      </c>
      <c r="P2007" s="27">
        <f>IF(OR($A2007="",$K2007=""),"",IF(AND($M2007="Sí",$O2007="Sí"),"OTIF","Falló"))</f>
        <v/>
      </c>
    </row>
    <row r="2008" ht="16" customHeight="1">
      <c r="A2008" s="47" t="n"/>
      <c r="B2008" s="46" t="n"/>
      <c r="C2008" s="49" t="n"/>
      <c r="D2008" s="49" t="n"/>
      <c r="E2008" s="49" t="n"/>
      <c r="F2008" s="49" t="n"/>
      <c r="G2008" s="47" t="n"/>
      <c r="H2008" s="50" t="n"/>
      <c r="I2008" s="51" t="n"/>
      <c r="J2008" s="46" t="n"/>
      <c r="K2008" s="46" t="n"/>
      <c r="L2008" s="23">
        <f>IF(OR($A2008="",$B2008=""),"",IF($K2008&lt;&gt;"",$K2008-$B2008,TODAY()-$B2008))</f>
        <v/>
      </c>
      <c r="M2008" s="27">
        <f>IF(OR($A2008="",$J2008=""),"",IF($K2008="",IF(TODAY()&gt;$J2008,"Atrasado","En ruta"),IF($K2008&lt;=$J2008,"Sí","No")))</f>
        <v/>
      </c>
      <c r="N2008" s="23">
        <f>IF($A2008="","",COUNTIFS(NOVEDADES!$C$4:$C$1503,$A2008))</f>
        <v/>
      </c>
      <c r="O2008" s="27">
        <f>IF($A2008="","",IF(COUNTIFS(NOVEDADES!$C$4:$C$1503,$A2008,NOVEDADES!$M$4:$M$1503,"SÍ")&gt;0,"No","Sí"))</f>
        <v/>
      </c>
      <c r="P2008" s="27">
        <f>IF(OR($A2008="",$K2008=""),"",IF(AND($M2008="Sí",$O2008="Sí"),"OTIF","Falló"))</f>
        <v/>
      </c>
    </row>
    <row r="2009" ht="16" customHeight="1">
      <c r="A2009" s="47" t="n"/>
      <c r="B2009" s="46" t="n"/>
      <c r="C2009" s="49" t="n"/>
      <c r="D2009" s="49" t="n"/>
      <c r="E2009" s="49" t="n"/>
      <c r="F2009" s="49" t="n"/>
      <c r="G2009" s="47" t="n"/>
      <c r="H2009" s="50" t="n"/>
      <c r="I2009" s="51" t="n"/>
      <c r="J2009" s="46" t="n"/>
      <c r="K2009" s="46" t="n"/>
      <c r="L2009" s="23">
        <f>IF(OR($A2009="",$B2009=""),"",IF($K2009&lt;&gt;"",$K2009-$B2009,TODAY()-$B2009))</f>
        <v/>
      </c>
      <c r="M2009" s="27">
        <f>IF(OR($A2009="",$J2009=""),"",IF($K2009="",IF(TODAY()&gt;$J2009,"Atrasado","En ruta"),IF($K2009&lt;=$J2009,"Sí","No")))</f>
        <v/>
      </c>
      <c r="N2009" s="23">
        <f>IF($A2009="","",COUNTIFS(NOVEDADES!$C$4:$C$1503,$A2009))</f>
        <v/>
      </c>
      <c r="O2009" s="27">
        <f>IF($A2009="","",IF(COUNTIFS(NOVEDADES!$C$4:$C$1503,$A2009,NOVEDADES!$M$4:$M$1503,"SÍ")&gt;0,"No","Sí"))</f>
        <v/>
      </c>
      <c r="P2009" s="27">
        <f>IF(OR($A2009="",$K2009=""),"",IF(AND($M2009="Sí",$O2009="Sí"),"OTIF","Falló"))</f>
        <v/>
      </c>
    </row>
    <row r="2010" ht="16" customHeight="1">
      <c r="A2010" s="47" t="n"/>
      <c r="B2010" s="46" t="n"/>
      <c r="C2010" s="49" t="n"/>
      <c r="D2010" s="49" t="n"/>
      <c r="E2010" s="49" t="n"/>
      <c r="F2010" s="49" t="n"/>
      <c r="G2010" s="47" t="n"/>
      <c r="H2010" s="50" t="n"/>
      <c r="I2010" s="51" t="n"/>
      <c r="J2010" s="46" t="n"/>
      <c r="K2010" s="46" t="n"/>
      <c r="L2010" s="23">
        <f>IF(OR($A2010="",$B2010=""),"",IF($K2010&lt;&gt;"",$K2010-$B2010,TODAY()-$B2010))</f>
        <v/>
      </c>
      <c r="M2010" s="27">
        <f>IF(OR($A2010="",$J2010=""),"",IF($K2010="",IF(TODAY()&gt;$J2010,"Atrasado","En ruta"),IF($K2010&lt;=$J2010,"Sí","No")))</f>
        <v/>
      </c>
      <c r="N2010" s="23">
        <f>IF($A2010="","",COUNTIFS(NOVEDADES!$C$4:$C$1503,$A2010))</f>
        <v/>
      </c>
      <c r="O2010" s="27">
        <f>IF($A2010="","",IF(COUNTIFS(NOVEDADES!$C$4:$C$1503,$A2010,NOVEDADES!$M$4:$M$1503,"SÍ")&gt;0,"No","Sí"))</f>
        <v/>
      </c>
      <c r="P2010" s="27">
        <f>IF(OR($A2010="",$K2010=""),"",IF(AND($M2010="Sí",$O2010="Sí"),"OTIF","Falló"))</f>
        <v/>
      </c>
    </row>
    <row r="2011" ht="16" customHeight="1">
      <c r="A2011" s="47" t="n"/>
      <c r="B2011" s="46" t="n"/>
      <c r="C2011" s="49" t="n"/>
      <c r="D2011" s="49" t="n"/>
      <c r="E2011" s="49" t="n"/>
      <c r="F2011" s="49" t="n"/>
      <c r="G2011" s="47" t="n"/>
      <c r="H2011" s="50" t="n"/>
      <c r="I2011" s="51" t="n"/>
      <c r="J2011" s="46" t="n"/>
      <c r="K2011" s="46" t="n"/>
      <c r="L2011" s="23">
        <f>IF(OR($A2011="",$B2011=""),"",IF($K2011&lt;&gt;"",$K2011-$B2011,TODAY()-$B2011))</f>
        <v/>
      </c>
      <c r="M2011" s="27">
        <f>IF(OR($A2011="",$J2011=""),"",IF($K2011="",IF(TODAY()&gt;$J2011,"Atrasado","En ruta"),IF($K2011&lt;=$J2011,"Sí","No")))</f>
        <v/>
      </c>
      <c r="N2011" s="23">
        <f>IF($A2011="","",COUNTIFS(NOVEDADES!$C$4:$C$1503,$A2011))</f>
        <v/>
      </c>
      <c r="O2011" s="27">
        <f>IF($A2011="","",IF(COUNTIFS(NOVEDADES!$C$4:$C$1503,$A2011,NOVEDADES!$M$4:$M$1503,"SÍ")&gt;0,"No","Sí"))</f>
        <v/>
      </c>
      <c r="P2011" s="27">
        <f>IF(OR($A2011="",$K2011=""),"",IF(AND($M2011="Sí",$O2011="Sí"),"OTIF","Falló"))</f>
        <v/>
      </c>
    </row>
    <row r="2012" ht="16" customHeight="1">
      <c r="A2012" s="47" t="n"/>
      <c r="B2012" s="46" t="n"/>
      <c r="C2012" s="49" t="n"/>
      <c r="D2012" s="49" t="n"/>
      <c r="E2012" s="49" t="n"/>
      <c r="F2012" s="49" t="n"/>
      <c r="G2012" s="47" t="n"/>
      <c r="H2012" s="50" t="n"/>
      <c r="I2012" s="51" t="n"/>
      <c r="J2012" s="46" t="n"/>
      <c r="K2012" s="46" t="n"/>
      <c r="L2012" s="23">
        <f>IF(OR($A2012="",$B2012=""),"",IF($K2012&lt;&gt;"",$K2012-$B2012,TODAY()-$B2012))</f>
        <v/>
      </c>
      <c r="M2012" s="27">
        <f>IF(OR($A2012="",$J2012=""),"",IF($K2012="",IF(TODAY()&gt;$J2012,"Atrasado","En ruta"),IF($K2012&lt;=$J2012,"Sí","No")))</f>
        <v/>
      </c>
      <c r="N2012" s="23">
        <f>IF($A2012="","",COUNTIFS(NOVEDADES!$C$4:$C$1503,$A2012))</f>
        <v/>
      </c>
      <c r="O2012" s="27">
        <f>IF($A2012="","",IF(COUNTIFS(NOVEDADES!$C$4:$C$1503,$A2012,NOVEDADES!$M$4:$M$1503,"SÍ")&gt;0,"No","Sí"))</f>
        <v/>
      </c>
      <c r="P2012" s="27">
        <f>IF(OR($A2012="",$K2012=""),"",IF(AND($M2012="Sí",$O2012="Sí"),"OTIF","Falló"))</f>
        <v/>
      </c>
    </row>
    <row r="2013" ht="16" customHeight="1">
      <c r="A2013" s="47" t="n"/>
      <c r="B2013" s="46" t="n"/>
      <c r="C2013" s="49" t="n"/>
      <c r="D2013" s="49" t="n"/>
      <c r="E2013" s="49" t="n"/>
      <c r="F2013" s="49" t="n"/>
      <c r="G2013" s="47" t="n"/>
      <c r="H2013" s="50" t="n"/>
      <c r="I2013" s="51" t="n"/>
      <c r="J2013" s="46" t="n"/>
      <c r="K2013" s="46" t="n"/>
      <c r="L2013" s="23">
        <f>IF(OR($A2013="",$B2013=""),"",IF($K2013&lt;&gt;"",$K2013-$B2013,TODAY()-$B2013))</f>
        <v/>
      </c>
      <c r="M2013" s="27">
        <f>IF(OR($A2013="",$J2013=""),"",IF($K2013="",IF(TODAY()&gt;$J2013,"Atrasado","En ruta"),IF($K2013&lt;=$J2013,"Sí","No")))</f>
        <v/>
      </c>
      <c r="N2013" s="23">
        <f>IF($A2013="","",COUNTIFS(NOVEDADES!$C$4:$C$1503,$A2013))</f>
        <v/>
      </c>
      <c r="O2013" s="27">
        <f>IF($A2013="","",IF(COUNTIFS(NOVEDADES!$C$4:$C$1503,$A2013,NOVEDADES!$M$4:$M$1503,"SÍ")&gt;0,"No","Sí"))</f>
        <v/>
      </c>
      <c r="P2013" s="27">
        <f>IF(OR($A2013="",$K2013=""),"",IF(AND($M2013="Sí",$O2013="Sí"),"OTIF","Falló"))</f>
        <v/>
      </c>
    </row>
    <row r="2014" ht="16" customHeight="1">
      <c r="A2014" s="47" t="n"/>
      <c r="B2014" s="46" t="n"/>
      <c r="C2014" s="49" t="n"/>
      <c r="D2014" s="49" t="n"/>
      <c r="E2014" s="49" t="n"/>
      <c r="F2014" s="49" t="n"/>
      <c r="G2014" s="47" t="n"/>
      <c r="H2014" s="50" t="n"/>
      <c r="I2014" s="51" t="n"/>
      <c r="J2014" s="46" t="n"/>
      <c r="K2014" s="46" t="n"/>
      <c r="L2014" s="23">
        <f>IF(OR($A2014="",$B2014=""),"",IF($K2014&lt;&gt;"",$K2014-$B2014,TODAY()-$B2014))</f>
        <v/>
      </c>
      <c r="M2014" s="27">
        <f>IF(OR($A2014="",$J2014=""),"",IF($K2014="",IF(TODAY()&gt;$J2014,"Atrasado","En ruta"),IF($K2014&lt;=$J2014,"Sí","No")))</f>
        <v/>
      </c>
      <c r="N2014" s="23">
        <f>IF($A2014="","",COUNTIFS(NOVEDADES!$C$4:$C$1503,$A2014))</f>
        <v/>
      </c>
      <c r="O2014" s="27">
        <f>IF($A2014="","",IF(COUNTIFS(NOVEDADES!$C$4:$C$1503,$A2014,NOVEDADES!$M$4:$M$1503,"SÍ")&gt;0,"No","Sí"))</f>
        <v/>
      </c>
      <c r="P2014" s="27">
        <f>IF(OR($A2014="",$K2014=""),"",IF(AND($M2014="Sí",$O2014="Sí"),"OTIF","Falló"))</f>
        <v/>
      </c>
    </row>
    <row r="2015" ht="16" customHeight="1">
      <c r="A2015" s="47" t="n"/>
      <c r="B2015" s="46" t="n"/>
      <c r="C2015" s="49" t="n"/>
      <c r="D2015" s="49" t="n"/>
      <c r="E2015" s="49" t="n"/>
      <c r="F2015" s="49" t="n"/>
      <c r="G2015" s="47" t="n"/>
      <c r="H2015" s="50" t="n"/>
      <c r="I2015" s="51" t="n"/>
      <c r="J2015" s="46" t="n"/>
      <c r="K2015" s="46" t="n"/>
      <c r="L2015" s="23">
        <f>IF(OR($A2015="",$B2015=""),"",IF($K2015&lt;&gt;"",$K2015-$B2015,TODAY()-$B2015))</f>
        <v/>
      </c>
      <c r="M2015" s="27">
        <f>IF(OR($A2015="",$J2015=""),"",IF($K2015="",IF(TODAY()&gt;$J2015,"Atrasado","En ruta"),IF($K2015&lt;=$J2015,"Sí","No")))</f>
        <v/>
      </c>
      <c r="N2015" s="23">
        <f>IF($A2015="","",COUNTIFS(NOVEDADES!$C$4:$C$1503,$A2015))</f>
        <v/>
      </c>
      <c r="O2015" s="27">
        <f>IF($A2015="","",IF(COUNTIFS(NOVEDADES!$C$4:$C$1503,$A2015,NOVEDADES!$M$4:$M$1503,"SÍ")&gt;0,"No","Sí"))</f>
        <v/>
      </c>
      <c r="P2015" s="27">
        <f>IF(OR($A2015="",$K2015=""),"",IF(AND($M2015="Sí",$O2015="Sí"),"OTIF","Falló"))</f>
        <v/>
      </c>
    </row>
    <row r="2016" ht="16" customHeight="1">
      <c r="A2016" s="47" t="n"/>
      <c r="B2016" s="46" t="n"/>
      <c r="C2016" s="49" t="n"/>
      <c r="D2016" s="49" t="n"/>
      <c r="E2016" s="49" t="n"/>
      <c r="F2016" s="49" t="n"/>
      <c r="G2016" s="47" t="n"/>
      <c r="H2016" s="50" t="n"/>
      <c r="I2016" s="51" t="n"/>
      <c r="J2016" s="46" t="n"/>
      <c r="K2016" s="46" t="n"/>
      <c r="L2016" s="23">
        <f>IF(OR($A2016="",$B2016=""),"",IF($K2016&lt;&gt;"",$K2016-$B2016,TODAY()-$B2016))</f>
        <v/>
      </c>
      <c r="M2016" s="27">
        <f>IF(OR($A2016="",$J2016=""),"",IF($K2016="",IF(TODAY()&gt;$J2016,"Atrasado","En ruta"),IF($K2016&lt;=$J2016,"Sí","No")))</f>
        <v/>
      </c>
      <c r="N2016" s="23">
        <f>IF($A2016="","",COUNTIFS(NOVEDADES!$C$4:$C$1503,$A2016))</f>
        <v/>
      </c>
      <c r="O2016" s="27">
        <f>IF($A2016="","",IF(COUNTIFS(NOVEDADES!$C$4:$C$1503,$A2016,NOVEDADES!$M$4:$M$1503,"SÍ")&gt;0,"No","Sí"))</f>
        <v/>
      </c>
      <c r="P2016" s="27">
        <f>IF(OR($A2016="",$K2016=""),"",IF(AND($M2016="Sí",$O2016="Sí"),"OTIF","Falló"))</f>
        <v/>
      </c>
    </row>
    <row r="2017" ht="16" customHeight="1">
      <c r="A2017" s="47" t="n"/>
      <c r="B2017" s="46" t="n"/>
      <c r="C2017" s="49" t="n"/>
      <c r="D2017" s="49" t="n"/>
      <c r="E2017" s="49" t="n"/>
      <c r="F2017" s="49" t="n"/>
      <c r="G2017" s="47" t="n"/>
      <c r="H2017" s="50" t="n"/>
      <c r="I2017" s="51" t="n"/>
      <c r="J2017" s="46" t="n"/>
      <c r="K2017" s="46" t="n"/>
      <c r="L2017" s="23">
        <f>IF(OR($A2017="",$B2017=""),"",IF($K2017&lt;&gt;"",$K2017-$B2017,TODAY()-$B2017))</f>
        <v/>
      </c>
      <c r="M2017" s="27">
        <f>IF(OR($A2017="",$J2017=""),"",IF($K2017="",IF(TODAY()&gt;$J2017,"Atrasado","En ruta"),IF($K2017&lt;=$J2017,"Sí","No")))</f>
        <v/>
      </c>
      <c r="N2017" s="23">
        <f>IF($A2017="","",COUNTIFS(NOVEDADES!$C$4:$C$1503,$A2017))</f>
        <v/>
      </c>
      <c r="O2017" s="27">
        <f>IF($A2017="","",IF(COUNTIFS(NOVEDADES!$C$4:$C$1503,$A2017,NOVEDADES!$M$4:$M$1503,"SÍ")&gt;0,"No","Sí"))</f>
        <v/>
      </c>
      <c r="P2017" s="27">
        <f>IF(OR($A2017="",$K2017=""),"",IF(AND($M2017="Sí",$O2017="Sí"),"OTIF","Falló"))</f>
        <v/>
      </c>
    </row>
    <row r="2018" ht="16" customHeight="1">
      <c r="A2018" s="47" t="n"/>
      <c r="B2018" s="46" t="n"/>
      <c r="C2018" s="49" t="n"/>
      <c r="D2018" s="49" t="n"/>
      <c r="E2018" s="49" t="n"/>
      <c r="F2018" s="49" t="n"/>
      <c r="G2018" s="47" t="n"/>
      <c r="H2018" s="50" t="n"/>
      <c r="I2018" s="51" t="n"/>
      <c r="J2018" s="46" t="n"/>
      <c r="K2018" s="46" t="n"/>
      <c r="L2018" s="23">
        <f>IF(OR($A2018="",$B2018=""),"",IF($K2018&lt;&gt;"",$K2018-$B2018,TODAY()-$B2018))</f>
        <v/>
      </c>
      <c r="M2018" s="27">
        <f>IF(OR($A2018="",$J2018=""),"",IF($K2018="",IF(TODAY()&gt;$J2018,"Atrasado","En ruta"),IF($K2018&lt;=$J2018,"Sí","No")))</f>
        <v/>
      </c>
      <c r="N2018" s="23">
        <f>IF($A2018="","",COUNTIFS(NOVEDADES!$C$4:$C$1503,$A2018))</f>
        <v/>
      </c>
      <c r="O2018" s="27">
        <f>IF($A2018="","",IF(COUNTIFS(NOVEDADES!$C$4:$C$1503,$A2018,NOVEDADES!$M$4:$M$1503,"SÍ")&gt;0,"No","Sí"))</f>
        <v/>
      </c>
      <c r="P2018" s="27">
        <f>IF(OR($A2018="",$K2018=""),"",IF(AND($M2018="Sí",$O2018="Sí"),"OTIF","Falló"))</f>
        <v/>
      </c>
    </row>
    <row r="2019" ht="16" customHeight="1">
      <c r="A2019" s="47" t="n"/>
      <c r="B2019" s="46" t="n"/>
      <c r="C2019" s="49" t="n"/>
      <c r="D2019" s="49" t="n"/>
      <c r="E2019" s="49" t="n"/>
      <c r="F2019" s="49" t="n"/>
      <c r="G2019" s="47" t="n"/>
      <c r="H2019" s="50" t="n"/>
      <c r="I2019" s="51" t="n"/>
      <c r="J2019" s="46" t="n"/>
      <c r="K2019" s="46" t="n"/>
      <c r="L2019" s="23">
        <f>IF(OR($A2019="",$B2019=""),"",IF($K2019&lt;&gt;"",$K2019-$B2019,TODAY()-$B2019))</f>
        <v/>
      </c>
      <c r="M2019" s="27">
        <f>IF(OR($A2019="",$J2019=""),"",IF($K2019="",IF(TODAY()&gt;$J2019,"Atrasado","En ruta"),IF($K2019&lt;=$J2019,"Sí","No")))</f>
        <v/>
      </c>
      <c r="N2019" s="23">
        <f>IF($A2019="","",COUNTIFS(NOVEDADES!$C$4:$C$1503,$A2019))</f>
        <v/>
      </c>
      <c r="O2019" s="27">
        <f>IF($A2019="","",IF(COUNTIFS(NOVEDADES!$C$4:$C$1503,$A2019,NOVEDADES!$M$4:$M$1503,"SÍ")&gt;0,"No","Sí"))</f>
        <v/>
      </c>
      <c r="P2019" s="27">
        <f>IF(OR($A2019="",$K2019=""),"",IF(AND($M2019="Sí",$O2019="Sí"),"OTIF","Falló"))</f>
        <v/>
      </c>
    </row>
    <row r="2020" ht="16" customHeight="1">
      <c r="A2020" s="47" t="n"/>
      <c r="B2020" s="46" t="n"/>
      <c r="C2020" s="49" t="n"/>
      <c r="D2020" s="49" t="n"/>
      <c r="E2020" s="49" t="n"/>
      <c r="F2020" s="49" t="n"/>
      <c r="G2020" s="47" t="n"/>
      <c r="H2020" s="50" t="n"/>
      <c r="I2020" s="51" t="n"/>
      <c r="J2020" s="46" t="n"/>
      <c r="K2020" s="46" t="n"/>
      <c r="L2020" s="23">
        <f>IF(OR($A2020="",$B2020=""),"",IF($K2020&lt;&gt;"",$K2020-$B2020,TODAY()-$B2020))</f>
        <v/>
      </c>
      <c r="M2020" s="27">
        <f>IF(OR($A2020="",$J2020=""),"",IF($K2020="",IF(TODAY()&gt;$J2020,"Atrasado","En ruta"),IF($K2020&lt;=$J2020,"Sí","No")))</f>
        <v/>
      </c>
      <c r="N2020" s="23">
        <f>IF($A2020="","",COUNTIFS(NOVEDADES!$C$4:$C$1503,$A2020))</f>
        <v/>
      </c>
      <c r="O2020" s="27">
        <f>IF($A2020="","",IF(COUNTIFS(NOVEDADES!$C$4:$C$1503,$A2020,NOVEDADES!$M$4:$M$1503,"SÍ")&gt;0,"No","Sí"))</f>
        <v/>
      </c>
      <c r="P2020" s="27">
        <f>IF(OR($A2020="",$K2020=""),"",IF(AND($M2020="Sí",$O2020="Sí"),"OTIF","Falló"))</f>
        <v/>
      </c>
    </row>
    <row r="2021" ht="16" customHeight="1">
      <c r="A2021" s="47" t="n"/>
      <c r="B2021" s="46" t="n"/>
      <c r="C2021" s="49" t="n"/>
      <c r="D2021" s="49" t="n"/>
      <c r="E2021" s="49" t="n"/>
      <c r="F2021" s="49" t="n"/>
      <c r="G2021" s="47" t="n"/>
      <c r="H2021" s="50" t="n"/>
      <c r="I2021" s="51" t="n"/>
      <c r="J2021" s="46" t="n"/>
      <c r="K2021" s="46" t="n"/>
      <c r="L2021" s="23">
        <f>IF(OR($A2021="",$B2021=""),"",IF($K2021&lt;&gt;"",$K2021-$B2021,TODAY()-$B2021))</f>
        <v/>
      </c>
      <c r="M2021" s="27">
        <f>IF(OR($A2021="",$J2021=""),"",IF($K2021="",IF(TODAY()&gt;$J2021,"Atrasado","En ruta"),IF($K2021&lt;=$J2021,"Sí","No")))</f>
        <v/>
      </c>
      <c r="N2021" s="23">
        <f>IF($A2021="","",COUNTIFS(NOVEDADES!$C$4:$C$1503,$A2021))</f>
        <v/>
      </c>
      <c r="O2021" s="27">
        <f>IF($A2021="","",IF(COUNTIFS(NOVEDADES!$C$4:$C$1503,$A2021,NOVEDADES!$M$4:$M$1503,"SÍ")&gt;0,"No","Sí"))</f>
        <v/>
      </c>
      <c r="P2021" s="27">
        <f>IF(OR($A2021="",$K2021=""),"",IF(AND($M2021="Sí",$O2021="Sí"),"OTIF","Falló"))</f>
        <v/>
      </c>
    </row>
    <row r="2022" ht="16" customHeight="1">
      <c r="A2022" s="47" t="n"/>
      <c r="B2022" s="46" t="n"/>
      <c r="C2022" s="49" t="n"/>
      <c r="D2022" s="49" t="n"/>
      <c r="E2022" s="49" t="n"/>
      <c r="F2022" s="49" t="n"/>
      <c r="G2022" s="47" t="n"/>
      <c r="H2022" s="50" t="n"/>
      <c r="I2022" s="51" t="n"/>
      <c r="J2022" s="46" t="n"/>
      <c r="K2022" s="46" t="n"/>
      <c r="L2022" s="23">
        <f>IF(OR($A2022="",$B2022=""),"",IF($K2022&lt;&gt;"",$K2022-$B2022,TODAY()-$B2022))</f>
        <v/>
      </c>
      <c r="M2022" s="27">
        <f>IF(OR($A2022="",$J2022=""),"",IF($K2022="",IF(TODAY()&gt;$J2022,"Atrasado","En ruta"),IF($K2022&lt;=$J2022,"Sí","No")))</f>
        <v/>
      </c>
      <c r="N2022" s="23">
        <f>IF($A2022="","",COUNTIFS(NOVEDADES!$C$4:$C$1503,$A2022))</f>
        <v/>
      </c>
      <c r="O2022" s="27">
        <f>IF($A2022="","",IF(COUNTIFS(NOVEDADES!$C$4:$C$1503,$A2022,NOVEDADES!$M$4:$M$1503,"SÍ")&gt;0,"No","Sí"))</f>
        <v/>
      </c>
      <c r="P2022" s="27">
        <f>IF(OR($A2022="",$K2022=""),"",IF(AND($M2022="Sí",$O2022="Sí"),"OTIF","Falló"))</f>
        <v/>
      </c>
    </row>
    <row r="2023" ht="16" customHeight="1">
      <c r="A2023" s="47" t="n"/>
      <c r="B2023" s="46" t="n"/>
      <c r="C2023" s="49" t="n"/>
      <c r="D2023" s="49" t="n"/>
      <c r="E2023" s="49" t="n"/>
      <c r="F2023" s="49" t="n"/>
      <c r="G2023" s="47" t="n"/>
      <c r="H2023" s="50" t="n"/>
      <c r="I2023" s="51" t="n"/>
      <c r="J2023" s="46" t="n"/>
      <c r="K2023" s="46" t="n"/>
      <c r="L2023" s="23">
        <f>IF(OR($A2023="",$B2023=""),"",IF($K2023&lt;&gt;"",$K2023-$B2023,TODAY()-$B2023))</f>
        <v/>
      </c>
      <c r="M2023" s="27">
        <f>IF(OR($A2023="",$J2023=""),"",IF($K2023="",IF(TODAY()&gt;$J2023,"Atrasado","En ruta"),IF($K2023&lt;=$J2023,"Sí","No")))</f>
        <v/>
      </c>
      <c r="N2023" s="23">
        <f>IF($A2023="","",COUNTIFS(NOVEDADES!$C$4:$C$1503,$A2023))</f>
        <v/>
      </c>
      <c r="O2023" s="27">
        <f>IF($A2023="","",IF(COUNTIFS(NOVEDADES!$C$4:$C$1503,$A2023,NOVEDADES!$M$4:$M$1503,"SÍ")&gt;0,"No","Sí"))</f>
        <v/>
      </c>
      <c r="P2023" s="27">
        <f>IF(OR($A2023="",$K2023=""),"",IF(AND($M2023="Sí",$O2023="Sí"),"OTIF","Falló"))</f>
        <v/>
      </c>
    </row>
    <row r="2024" ht="16" customHeight="1">
      <c r="A2024" s="47" t="n"/>
      <c r="B2024" s="46" t="n"/>
      <c r="C2024" s="49" t="n"/>
      <c r="D2024" s="49" t="n"/>
      <c r="E2024" s="49" t="n"/>
      <c r="F2024" s="49" t="n"/>
      <c r="G2024" s="47" t="n"/>
      <c r="H2024" s="50" t="n"/>
      <c r="I2024" s="51" t="n"/>
      <c r="J2024" s="46" t="n"/>
      <c r="K2024" s="46" t="n"/>
      <c r="L2024" s="23">
        <f>IF(OR($A2024="",$B2024=""),"",IF($K2024&lt;&gt;"",$K2024-$B2024,TODAY()-$B2024))</f>
        <v/>
      </c>
      <c r="M2024" s="27">
        <f>IF(OR($A2024="",$J2024=""),"",IF($K2024="",IF(TODAY()&gt;$J2024,"Atrasado","En ruta"),IF($K2024&lt;=$J2024,"Sí","No")))</f>
        <v/>
      </c>
      <c r="N2024" s="23">
        <f>IF($A2024="","",COUNTIFS(NOVEDADES!$C$4:$C$1503,$A2024))</f>
        <v/>
      </c>
      <c r="O2024" s="27">
        <f>IF($A2024="","",IF(COUNTIFS(NOVEDADES!$C$4:$C$1503,$A2024,NOVEDADES!$M$4:$M$1503,"SÍ")&gt;0,"No","Sí"))</f>
        <v/>
      </c>
      <c r="P2024" s="27">
        <f>IF(OR($A2024="",$K2024=""),"",IF(AND($M2024="Sí",$O2024="Sí"),"OTIF","Falló"))</f>
        <v/>
      </c>
    </row>
    <row r="2025" ht="16" customHeight="1">
      <c r="A2025" s="47" t="n"/>
      <c r="B2025" s="46" t="n"/>
      <c r="C2025" s="49" t="n"/>
      <c r="D2025" s="49" t="n"/>
      <c r="E2025" s="49" t="n"/>
      <c r="F2025" s="49" t="n"/>
      <c r="G2025" s="47" t="n"/>
      <c r="H2025" s="50" t="n"/>
      <c r="I2025" s="51" t="n"/>
      <c r="J2025" s="46" t="n"/>
      <c r="K2025" s="46" t="n"/>
      <c r="L2025" s="23">
        <f>IF(OR($A2025="",$B2025=""),"",IF($K2025&lt;&gt;"",$K2025-$B2025,TODAY()-$B2025))</f>
        <v/>
      </c>
      <c r="M2025" s="27">
        <f>IF(OR($A2025="",$J2025=""),"",IF($K2025="",IF(TODAY()&gt;$J2025,"Atrasado","En ruta"),IF($K2025&lt;=$J2025,"Sí","No")))</f>
        <v/>
      </c>
      <c r="N2025" s="23">
        <f>IF($A2025="","",COUNTIFS(NOVEDADES!$C$4:$C$1503,$A2025))</f>
        <v/>
      </c>
      <c r="O2025" s="27">
        <f>IF($A2025="","",IF(COUNTIFS(NOVEDADES!$C$4:$C$1503,$A2025,NOVEDADES!$M$4:$M$1503,"SÍ")&gt;0,"No","Sí"))</f>
        <v/>
      </c>
      <c r="P2025" s="27">
        <f>IF(OR($A2025="",$K2025=""),"",IF(AND($M2025="Sí",$O2025="Sí"),"OTIF","Falló"))</f>
        <v/>
      </c>
    </row>
    <row r="2026" ht="16" customHeight="1">
      <c r="A2026" s="47" t="n"/>
      <c r="B2026" s="46" t="n"/>
      <c r="C2026" s="49" t="n"/>
      <c r="D2026" s="49" t="n"/>
      <c r="E2026" s="49" t="n"/>
      <c r="F2026" s="49" t="n"/>
      <c r="G2026" s="47" t="n"/>
      <c r="H2026" s="50" t="n"/>
      <c r="I2026" s="51" t="n"/>
      <c r="J2026" s="46" t="n"/>
      <c r="K2026" s="46" t="n"/>
      <c r="L2026" s="23">
        <f>IF(OR($A2026="",$B2026=""),"",IF($K2026&lt;&gt;"",$K2026-$B2026,TODAY()-$B2026))</f>
        <v/>
      </c>
      <c r="M2026" s="27">
        <f>IF(OR($A2026="",$J2026=""),"",IF($K2026="",IF(TODAY()&gt;$J2026,"Atrasado","En ruta"),IF($K2026&lt;=$J2026,"Sí","No")))</f>
        <v/>
      </c>
      <c r="N2026" s="23">
        <f>IF($A2026="","",COUNTIFS(NOVEDADES!$C$4:$C$1503,$A2026))</f>
        <v/>
      </c>
      <c r="O2026" s="27">
        <f>IF($A2026="","",IF(COUNTIFS(NOVEDADES!$C$4:$C$1503,$A2026,NOVEDADES!$M$4:$M$1503,"SÍ")&gt;0,"No","Sí"))</f>
        <v/>
      </c>
      <c r="P2026" s="27">
        <f>IF(OR($A2026="",$K2026=""),"",IF(AND($M2026="Sí",$O2026="Sí"),"OTIF","Falló"))</f>
        <v/>
      </c>
    </row>
    <row r="2027" ht="16" customHeight="1">
      <c r="A2027" s="47" t="n"/>
      <c r="B2027" s="46" t="n"/>
      <c r="C2027" s="49" t="n"/>
      <c r="D2027" s="49" t="n"/>
      <c r="E2027" s="49" t="n"/>
      <c r="F2027" s="49" t="n"/>
      <c r="G2027" s="47" t="n"/>
      <c r="H2027" s="50" t="n"/>
      <c r="I2027" s="51" t="n"/>
      <c r="J2027" s="46" t="n"/>
      <c r="K2027" s="46" t="n"/>
      <c r="L2027" s="23">
        <f>IF(OR($A2027="",$B2027=""),"",IF($K2027&lt;&gt;"",$K2027-$B2027,TODAY()-$B2027))</f>
        <v/>
      </c>
      <c r="M2027" s="27">
        <f>IF(OR($A2027="",$J2027=""),"",IF($K2027="",IF(TODAY()&gt;$J2027,"Atrasado","En ruta"),IF($K2027&lt;=$J2027,"Sí","No")))</f>
        <v/>
      </c>
      <c r="N2027" s="23">
        <f>IF($A2027="","",COUNTIFS(NOVEDADES!$C$4:$C$1503,$A2027))</f>
        <v/>
      </c>
      <c r="O2027" s="27">
        <f>IF($A2027="","",IF(COUNTIFS(NOVEDADES!$C$4:$C$1503,$A2027,NOVEDADES!$M$4:$M$1503,"SÍ")&gt;0,"No","Sí"))</f>
        <v/>
      </c>
      <c r="P2027" s="27">
        <f>IF(OR($A2027="",$K2027=""),"",IF(AND($M2027="Sí",$O2027="Sí"),"OTIF","Falló"))</f>
        <v/>
      </c>
    </row>
    <row r="2028" ht="16" customHeight="1">
      <c r="A2028" s="47" t="n"/>
      <c r="B2028" s="46" t="n"/>
      <c r="C2028" s="49" t="n"/>
      <c r="D2028" s="49" t="n"/>
      <c r="E2028" s="49" t="n"/>
      <c r="F2028" s="49" t="n"/>
      <c r="G2028" s="47" t="n"/>
      <c r="H2028" s="50" t="n"/>
      <c r="I2028" s="51" t="n"/>
      <c r="J2028" s="46" t="n"/>
      <c r="K2028" s="46" t="n"/>
      <c r="L2028" s="23">
        <f>IF(OR($A2028="",$B2028=""),"",IF($K2028&lt;&gt;"",$K2028-$B2028,TODAY()-$B2028))</f>
        <v/>
      </c>
      <c r="M2028" s="27">
        <f>IF(OR($A2028="",$J2028=""),"",IF($K2028="",IF(TODAY()&gt;$J2028,"Atrasado","En ruta"),IF($K2028&lt;=$J2028,"Sí","No")))</f>
        <v/>
      </c>
      <c r="N2028" s="23">
        <f>IF($A2028="","",COUNTIFS(NOVEDADES!$C$4:$C$1503,$A2028))</f>
        <v/>
      </c>
      <c r="O2028" s="27">
        <f>IF($A2028="","",IF(COUNTIFS(NOVEDADES!$C$4:$C$1503,$A2028,NOVEDADES!$M$4:$M$1503,"SÍ")&gt;0,"No","Sí"))</f>
        <v/>
      </c>
      <c r="P2028" s="27">
        <f>IF(OR($A2028="",$K2028=""),"",IF(AND($M2028="Sí",$O2028="Sí"),"OTIF","Falló"))</f>
        <v/>
      </c>
    </row>
    <row r="2029" ht="16" customHeight="1">
      <c r="A2029" s="47" t="n"/>
      <c r="B2029" s="46" t="n"/>
      <c r="C2029" s="49" t="n"/>
      <c r="D2029" s="49" t="n"/>
      <c r="E2029" s="49" t="n"/>
      <c r="F2029" s="49" t="n"/>
      <c r="G2029" s="47" t="n"/>
      <c r="H2029" s="50" t="n"/>
      <c r="I2029" s="51" t="n"/>
      <c r="J2029" s="46" t="n"/>
      <c r="K2029" s="46" t="n"/>
      <c r="L2029" s="23">
        <f>IF(OR($A2029="",$B2029=""),"",IF($K2029&lt;&gt;"",$K2029-$B2029,TODAY()-$B2029))</f>
        <v/>
      </c>
      <c r="M2029" s="27">
        <f>IF(OR($A2029="",$J2029=""),"",IF($K2029="",IF(TODAY()&gt;$J2029,"Atrasado","En ruta"),IF($K2029&lt;=$J2029,"Sí","No")))</f>
        <v/>
      </c>
      <c r="N2029" s="23">
        <f>IF($A2029="","",COUNTIFS(NOVEDADES!$C$4:$C$1503,$A2029))</f>
        <v/>
      </c>
      <c r="O2029" s="27">
        <f>IF($A2029="","",IF(COUNTIFS(NOVEDADES!$C$4:$C$1503,$A2029,NOVEDADES!$M$4:$M$1503,"SÍ")&gt;0,"No","Sí"))</f>
        <v/>
      </c>
      <c r="P2029" s="27">
        <f>IF(OR($A2029="",$K2029=""),"",IF(AND($M2029="Sí",$O2029="Sí"),"OTIF","Falló"))</f>
        <v/>
      </c>
    </row>
    <row r="2030" ht="16" customHeight="1">
      <c r="A2030" s="47" t="n"/>
      <c r="B2030" s="46" t="n"/>
      <c r="C2030" s="49" t="n"/>
      <c r="D2030" s="49" t="n"/>
      <c r="E2030" s="49" t="n"/>
      <c r="F2030" s="49" t="n"/>
      <c r="G2030" s="47" t="n"/>
      <c r="H2030" s="50" t="n"/>
      <c r="I2030" s="51" t="n"/>
      <c r="J2030" s="46" t="n"/>
      <c r="K2030" s="46" t="n"/>
      <c r="L2030" s="23">
        <f>IF(OR($A2030="",$B2030=""),"",IF($K2030&lt;&gt;"",$K2030-$B2030,TODAY()-$B2030))</f>
        <v/>
      </c>
      <c r="M2030" s="27">
        <f>IF(OR($A2030="",$J2030=""),"",IF($K2030="",IF(TODAY()&gt;$J2030,"Atrasado","En ruta"),IF($K2030&lt;=$J2030,"Sí","No")))</f>
        <v/>
      </c>
      <c r="N2030" s="23">
        <f>IF($A2030="","",COUNTIFS(NOVEDADES!$C$4:$C$1503,$A2030))</f>
        <v/>
      </c>
      <c r="O2030" s="27">
        <f>IF($A2030="","",IF(COUNTIFS(NOVEDADES!$C$4:$C$1503,$A2030,NOVEDADES!$M$4:$M$1503,"SÍ")&gt;0,"No","Sí"))</f>
        <v/>
      </c>
      <c r="P2030" s="27">
        <f>IF(OR($A2030="",$K2030=""),"",IF(AND($M2030="Sí",$O2030="Sí"),"OTIF","Falló"))</f>
        <v/>
      </c>
    </row>
    <row r="2031" ht="16" customHeight="1">
      <c r="A2031" s="47" t="n"/>
      <c r="B2031" s="46" t="n"/>
      <c r="C2031" s="49" t="n"/>
      <c r="D2031" s="49" t="n"/>
      <c r="E2031" s="49" t="n"/>
      <c r="F2031" s="49" t="n"/>
      <c r="G2031" s="47" t="n"/>
      <c r="H2031" s="50" t="n"/>
      <c r="I2031" s="51" t="n"/>
      <c r="J2031" s="46" t="n"/>
      <c r="K2031" s="46" t="n"/>
      <c r="L2031" s="23">
        <f>IF(OR($A2031="",$B2031=""),"",IF($K2031&lt;&gt;"",$K2031-$B2031,TODAY()-$B2031))</f>
        <v/>
      </c>
      <c r="M2031" s="27">
        <f>IF(OR($A2031="",$J2031=""),"",IF($K2031="",IF(TODAY()&gt;$J2031,"Atrasado","En ruta"),IF($K2031&lt;=$J2031,"Sí","No")))</f>
        <v/>
      </c>
      <c r="N2031" s="23">
        <f>IF($A2031="","",COUNTIFS(NOVEDADES!$C$4:$C$1503,$A2031))</f>
        <v/>
      </c>
      <c r="O2031" s="27">
        <f>IF($A2031="","",IF(COUNTIFS(NOVEDADES!$C$4:$C$1503,$A2031,NOVEDADES!$M$4:$M$1503,"SÍ")&gt;0,"No","Sí"))</f>
        <v/>
      </c>
      <c r="P2031" s="27">
        <f>IF(OR($A2031="",$K2031=""),"",IF(AND($M2031="Sí",$O2031="Sí"),"OTIF","Falló"))</f>
        <v/>
      </c>
    </row>
    <row r="2032" ht="16" customHeight="1">
      <c r="A2032" s="47" t="n"/>
      <c r="B2032" s="46" t="n"/>
      <c r="C2032" s="49" t="n"/>
      <c r="D2032" s="49" t="n"/>
      <c r="E2032" s="49" t="n"/>
      <c r="F2032" s="49" t="n"/>
      <c r="G2032" s="47" t="n"/>
      <c r="H2032" s="50" t="n"/>
      <c r="I2032" s="51" t="n"/>
      <c r="J2032" s="46" t="n"/>
      <c r="K2032" s="46" t="n"/>
      <c r="L2032" s="23">
        <f>IF(OR($A2032="",$B2032=""),"",IF($K2032&lt;&gt;"",$K2032-$B2032,TODAY()-$B2032))</f>
        <v/>
      </c>
      <c r="M2032" s="27">
        <f>IF(OR($A2032="",$J2032=""),"",IF($K2032="",IF(TODAY()&gt;$J2032,"Atrasado","En ruta"),IF($K2032&lt;=$J2032,"Sí","No")))</f>
        <v/>
      </c>
      <c r="N2032" s="23">
        <f>IF($A2032="","",COUNTIFS(NOVEDADES!$C$4:$C$1503,$A2032))</f>
        <v/>
      </c>
      <c r="O2032" s="27">
        <f>IF($A2032="","",IF(COUNTIFS(NOVEDADES!$C$4:$C$1503,$A2032,NOVEDADES!$M$4:$M$1503,"SÍ")&gt;0,"No","Sí"))</f>
        <v/>
      </c>
      <c r="P2032" s="27">
        <f>IF(OR($A2032="",$K2032=""),"",IF(AND($M2032="Sí",$O2032="Sí"),"OTIF","Falló"))</f>
        <v/>
      </c>
    </row>
    <row r="2033" ht="16" customHeight="1">
      <c r="A2033" s="47" t="n"/>
      <c r="B2033" s="46" t="n"/>
      <c r="C2033" s="49" t="n"/>
      <c r="D2033" s="49" t="n"/>
      <c r="E2033" s="49" t="n"/>
      <c r="F2033" s="49" t="n"/>
      <c r="G2033" s="47" t="n"/>
      <c r="H2033" s="50" t="n"/>
      <c r="I2033" s="51" t="n"/>
      <c r="J2033" s="46" t="n"/>
      <c r="K2033" s="46" t="n"/>
      <c r="L2033" s="23">
        <f>IF(OR($A2033="",$B2033=""),"",IF($K2033&lt;&gt;"",$K2033-$B2033,TODAY()-$B2033))</f>
        <v/>
      </c>
      <c r="M2033" s="27">
        <f>IF(OR($A2033="",$J2033=""),"",IF($K2033="",IF(TODAY()&gt;$J2033,"Atrasado","En ruta"),IF($K2033&lt;=$J2033,"Sí","No")))</f>
        <v/>
      </c>
      <c r="N2033" s="23">
        <f>IF($A2033="","",COUNTIFS(NOVEDADES!$C$4:$C$1503,$A2033))</f>
        <v/>
      </c>
      <c r="O2033" s="27">
        <f>IF($A2033="","",IF(COUNTIFS(NOVEDADES!$C$4:$C$1503,$A2033,NOVEDADES!$M$4:$M$1503,"SÍ")&gt;0,"No","Sí"))</f>
        <v/>
      </c>
      <c r="P2033" s="27">
        <f>IF(OR($A2033="",$K2033=""),"",IF(AND($M2033="Sí",$O2033="Sí"),"OTIF","Falló"))</f>
        <v/>
      </c>
    </row>
    <row r="2034" ht="16" customHeight="1">
      <c r="A2034" s="47" t="n"/>
      <c r="B2034" s="46" t="n"/>
      <c r="C2034" s="49" t="n"/>
      <c r="D2034" s="49" t="n"/>
      <c r="E2034" s="49" t="n"/>
      <c r="F2034" s="49" t="n"/>
      <c r="G2034" s="47" t="n"/>
      <c r="H2034" s="50" t="n"/>
      <c r="I2034" s="51" t="n"/>
      <c r="J2034" s="46" t="n"/>
      <c r="K2034" s="46" t="n"/>
      <c r="L2034" s="23">
        <f>IF(OR($A2034="",$B2034=""),"",IF($K2034&lt;&gt;"",$K2034-$B2034,TODAY()-$B2034))</f>
        <v/>
      </c>
      <c r="M2034" s="27">
        <f>IF(OR($A2034="",$J2034=""),"",IF($K2034="",IF(TODAY()&gt;$J2034,"Atrasado","En ruta"),IF($K2034&lt;=$J2034,"Sí","No")))</f>
        <v/>
      </c>
      <c r="N2034" s="23">
        <f>IF($A2034="","",COUNTIFS(NOVEDADES!$C$4:$C$1503,$A2034))</f>
        <v/>
      </c>
      <c r="O2034" s="27">
        <f>IF($A2034="","",IF(COUNTIFS(NOVEDADES!$C$4:$C$1503,$A2034,NOVEDADES!$M$4:$M$1503,"SÍ")&gt;0,"No","Sí"))</f>
        <v/>
      </c>
      <c r="P2034" s="27">
        <f>IF(OR($A2034="",$K2034=""),"",IF(AND($M2034="Sí",$O2034="Sí"),"OTIF","Falló"))</f>
        <v/>
      </c>
    </row>
    <row r="2035" ht="16" customHeight="1">
      <c r="A2035" s="47" t="n"/>
      <c r="B2035" s="46" t="n"/>
      <c r="C2035" s="49" t="n"/>
      <c r="D2035" s="49" t="n"/>
      <c r="E2035" s="49" t="n"/>
      <c r="F2035" s="49" t="n"/>
      <c r="G2035" s="47" t="n"/>
      <c r="H2035" s="50" t="n"/>
      <c r="I2035" s="51" t="n"/>
      <c r="J2035" s="46" t="n"/>
      <c r="K2035" s="46" t="n"/>
      <c r="L2035" s="23">
        <f>IF(OR($A2035="",$B2035=""),"",IF($K2035&lt;&gt;"",$K2035-$B2035,TODAY()-$B2035))</f>
        <v/>
      </c>
      <c r="M2035" s="27">
        <f>IF(OR($A2035="",$J2035=""),"",IF($K2035="",IF(TODAY()&gt;$J2035,"Atrasado","En ruta"),IF($K2035&lt;=$J2035,"Sí","No")))</f>
        <v/>
      </c>
      <c r="N2035" s="23">
        <f>IF($A2035="","",COUNTIFS(NOVEDADES!$C$4:$C$1503,$A2035))</f>
        <v/>
      </c>
      <c r="O2035" s="27">
        <f>IF($A2035="","",IF(COUNTIFS(NOVEDADES!$C$4:$C$1503,$A2035,NOVEDADES!$M$4:$M$1503,"SÍ")&gt;0,"No","Sí"))</f>
        <v/>
      </c>
      <c r="P2035" s="27">
        <f>IF(OR($A2035="",$K2035=""),"",IF(AND($M2035="Sí",$O2035="Sí"),"OTIF","Falló"))</f>
        <v/>
      </c>
    </row>
    <row r="2036" ht="16" customHeight="1">
      <c r="A2036" s="47" t="n"/>
      <c r="B2036" s="46" t="n"/>
      <c r="C2036" s="49" t="n"/>
      <c r="D2036" s="49" t="n"/>
      <c r="E2036" s="49" t="n"/>
      <c r="F2036" s="49" t="n"/>
      <c r="G2036" s="47" t="n"/>
      <c r="H2036" s="50" t="n"/>
      <c r="I2036" s="51" t="n"/>
      <c r="J2036" s="46" t="n"/>
      <c r="K2036" s="46" t="n"/>
      <c r="L2036" s="23">
        <f>IF(OR($A2036="",$B2036=""),"",IF($K2036&lt;&gt;"",$K2036-$B2036,TODAY()-$B2036))</f>
        <v/>
      </c>
      <c r="M2036" s="27">
        <f>IF(OR($A2036="",$J2036=""),"",IF($K2036="",IF(TODAY()&gt;$J2036,"Atrasado","En ruta"),IF($K2036&lt;=$J2036,"Sí","No")))</f>
        <v/>
      </c>
      <c r="N2036" s="23">
        <f>IF($A2036="","",COUNTIFS(NOVEDADES!$C$4:$C$1503,$A2036))</f>
        <v/>
      </c>
      <c r="O2036" s="27">
        <f>IF($A2036="","",IF(COUNTIFS(NOVEDADES!$C$4:$C$1503,$A2036,NOVEDADES!$M$4:$M$1503,"SÍ")&gt;0,"No","Sí"))</f>
        <v/>
      </c>
      <c r="P2036" s="27">
        <f>IF(OR($A2036="",$K2036=""),"",IF(AND($M2036="Sí",$O2036="Sí"),"OTIF","Falló"))</f>
        <v/>
      </c>
    </row>
    <row r="2037" ht="16" customHeight="1">
      <c r="A2037" s="47" t="n"/>
      <c r="B2037" s="46" t="n"/>
      <c r="C2037" s="49" t="n"/>
      <c r="D2037" s="49" t="n"/>
      <c r="E2037" s="49" t="n"/>
      <c r="F2037" s="49" t="n"/>
      <c r="G2037" s="47" t="n"/>
      <c r="H2037" s="50" t="n"/>
      <c r="I2037" s="51" t="n"/>
      <c r="J2037" s="46" t="n"/>
      <c r="K2037" s="46" t="n"/>
      <c r="L2037" s="23">
        <f>IF(OR($A2037="",$B2037=""),"",IF($K2037&lt;&gt;"",$K2037-$B2037,TODAY()-$B2037))</f>
        <v/>
      </c>
      <c r="M2037" s="27">
        <f>IF(OR($A2037="",$J2037=""),"",IF($K2037="",IF(TODAY()&gt;$J2037,"Atrasado","En ruta"),IF($K2037&lt;=$J2037,"Sí","No")))</f>
        <v/>
      </c>
      <c r="N2037" s="23">
        <f>IF($A2037="","",COUNTIFS(NOVEDADES!$C$4:$C$1503,$A2037))</f>
        <v/>
      </c>
      <c r="O2037" s="27">
        <f>IF($A2037="","",IF(COUNTIFS(NOVEDADES!$C$4:$C$1503,$A2037,NOVEDADES!$M$4:$M$1503,"SÍ")&gt;0,"No","Sí"))</f>
        <v/>
      </c>
      <c r="P2037" s="27">
        <f>IF(OR($A2037="",$K2037=""),"",IF(AND($M2037="Sí",$O2037="Sí"),"OTIF","Falló"))</f>
        <v/>
      </c>
    </row>
    <row r="2038" ht="16" customHeight="1">
      <c r="A2038" s="47" t="n"/>
      <c r="B2038" s="46" t="n"/>
      <c r="C2038" s="49" t="n"/>
      <c r="D2038" s="49" t="n"/>
      <c r="E2038" s="49" t="n"/>
      <c r="F2038" s="49" t="n"/>
      <c r="G2038" s="47" t="n"/>
      <c r="H2038" s="50" t="n"/>
      <c r="I2038" s="51" t="n"/>
      <c r="J2038" s="46" t="n"/>
      <c r="K2038" s="46" t="n"/>
      <c r="L2038" s="23">
        <f>IF(OR($A2038="",$B2038=""),"",IF($K2038&lt;&gt;"",$K2038-$B2038,TODAY()-$B2038))</f>
        <v/>
      </c>
      <c r="M2038" s="27">
        <f>IF(OR($A2038="",$J2038=""),"",IF($K2038="",IF(TODAY()&gt;$J2038,"Atrasado","En ruta"),IF($K2038&lt;=$J2038,"Sí","No")))</f>
        <v/>
      </c>
      <c r="N2038" s="23">
        <f>IF($A2038="","",COUNTIFS(NOVEDADES!$C$4:$C$1503,$A2038))</f>
        <v/>
      </c>
      <c r="O2038" s="27">
        <f>IF($A2038="","",IF(COUNTIFS(NOVEDADES!$C$4:$C$1503,$A2038,NOVEDADES!$M$4:$M$1503,"SÍ")&gt;0,"No","Sí"))</f>
        <v/>
      </c>
      <c r="P2038" s="27">
        <f>IF(OR($A2038="",$K2038=""),"",IF(AND($M2038="Sí",$O2038="Sí"),"OTIF","Falló"))</f>
        <v/>
      </c>
    </row>
    <row r="2039" ht="16" customHeight="1">
      <c r="A2039" s="47" t="n"/>
      <c r="B2039" s="46" t="n"/>
      <c r="C2039" s="49" t="n"/>
      <c r="D2039" s="49" t="n"/>
      <c r="E2039" s="49" t="n"/>
      <c r="F2039" s="49" t="n"/>
      <c r="G2039" s="47" t="n"/>
      <c r="H2039" s="50" t="n"/>
      <c r="I2039" s="51" t="n"/>
      <c r="J2039" s="46" t="n"/>
      <c r="K2039" s="46" t="n"/>
      <c r="L2039" s="23">
        <f>IF(OR($A2039="",$B2039=""),"",IF($K2039&lt;&gt;"",$K2039-$B2039,TODAY()-$B2039))</f>
        <v/>
      </c>
      <c r="M2039" s="27">
        <f>IF(OR($A2039="",$J2039=""),"",IF($K2039="",IF(TODAY()&gt;$J2039,"Atrasado","En ruta"),IF($K2039&lt;=$J2039,"Sí","No")))</f>
        <v/>
      </c>
      <c r="N2039" s="23">
        <f>IF($A2039="","",COUNTIFS(NOVEDADES!$C$4:$C$1503,$A2039))</f>
        <v/>
      </c>
      <c r="O2039" s="27">
        <f>IF($A2039="","",IF(COUNTIFS(NOVEDADES!$C$4:$C$1503,$A2039,NOVEDADES!$M$4:$M$1503,"SÍ")&gt;0,"No","Sí"))</f>
        <v/>
      </c>
      <c r="P2039" s="27">
        <f>IF(OR($A2039="",$K2039=""),"",IF(AND($M2039="Sí",$O2039="Sí"),"OTIF","Falló"))</f>
        <v/>
      </c>
    </row>
    <row r="2040" ht="16" customHeight="1">
      <c r="A2040" s="47" t="n"/>
      <c r="B2040" s="46" t="n"/>
      <c r="C2040" s="49" t="n"/>
      <c r="D2040" s="49" t="n"/>
      <c r="E2040" s="49" t="n"/>
      <c r="F2040" s="49" t="n"/>
      <c r="G2040" s="47" t="n"/>
      <c r="H2040" s="50" t="n"/>
      <c r="I2040" s="51" t="n"/>
      <c r="J2040" s="46" t="n"/>
      <c r="K2040" s="46" t="n"/>
      <c r="L2040" s="23">
        <f>IF(OR($A2040="",$B2040=""),"",IF($K2040&lt;&gt;"",$K2040-$B2040,TODAY()-$B2040))</f>
        <v/>
      </c>
      <c r="M2040" s="27">
        <f>IF(OR($A2040="",$J2040=""),"",IF($K2040="",IF(TODAY()&gt;$J2040,"Atrasado","En ruta"),IF($K2040&lt;=$J2040,"Sí","No")))</f>
        <v/>
      </c>
      <c r="N2040" s="23">
        <f>IF($A2040="","",COUNTIFS(NOVEDADES!$C$4:$C$1503,$A2040))</f>
        <v/>
      </c>
      <c r="O2040" s="27">
        <f>IF($A2040="","",IF(COUNTIFS(NOVEDADES!$C$4:$C$1503,$A2040,NOVEDADES!$M$4:$M$1503,"SÍ")&gt;0,"No","Sí"))</f>
        <v/>
      </c>
      <c r="P2040" s="27">
        <f>IF(OR($A2040="",$K2040=""),"",IF(AND($M2040="Sí",$O2040="Sí"),"OTIF","Falló"))</f>
        <v/>
      </c>
    </row>
    <row r="2041" ht="16" customHeight="1">
      <c r="A2041" s="47" t="n"/>
      <c r="B2041" s="46" t="n"/>
      <c r="C2041" s="49" t="n"/>
      <c r="D2041" s="49" t="n"/>
      <c r="E2041" s="49" t="n"/>
      <c r="F2041" s="49" t="n"/>
      <c r="G2041" s="47" t="n"/>
      <c r="H2041" s="50" t="n"/>
      <c r="I2041" s="51" t="n"/>
      <c r="J2041" s="46" t="n"/>
      <c r="K2041" s="46" t="n"/>
      <c r="L2041" s="23">
        <f>IF(OR($A2041="",$B2041=""),"",IF($K2041&lt;&gt;"",$K2041-$B2041,TODAY()-$B2041))</f>
        <v/>
      </c>
      <c r="M2041" s="27">
        <f>IF(OR($A2041="",$J2041=""),"",IF($K2041="",IF(TODAY()&gt;$J2041,"Atrasado","En ruta"),IF($K2041&lt;=$J2041,"Sí","No")))</f>
        <v/>
      </c>
      <c r="N2041" s="23">
        <f>IF($A2041="","",COUNTIFS(NOVEDADES!$C$4:$C$1503,$A2041))</f>
        <v/>
      </c>
      <c r="O2041" s="27">
        <f>IF($A2041="","",IF(COUNTIFS(NOVEDADES!$C$4:$C$1503,$A2041,NOVEDADES!$M$4:$M$1503,"SÍ")&gt;0,"No","Sí"))</f>
        <v/>
      </c>
      <c r="P2041" s="27">
        <f>IF(OR($A2041="",$K2041=""),"",IF(AND($M2041="Sí",$O2041="Sí"),"OTIF","Falló"))</f>
        <v/>
      </c>
    </row>
    <row r="2042" ht="16" customHeight="1">
      <c r="A2042" s="47" t="n"/>
      <c r="B2042" s="46" t="n"/>
      <c r="C2042" s="49" t="n"/>
      <c r="D2042" s="49" t="n"/>
      <c r="E2042" s="49" t="n"/>
      <c r="F2042" s="49" t="n"/>
      <c r="G2042" s="47" t="n"/>
      <c r="H2042" s="50" t="n"/>
      <c r="I2042" s="51" t="n"/>
      <c r="J2042" s="46" t="n"/>
      <c r="K2042" s="46" t="n"/>
      <c r="L2042" s="23">
        <f>IF(OR($A2042="",$B2042=""),"",IF($K2042&lt;&gt;"",$K2042-$B2042,TODAY()-$B2042))</f>
        <v/>
      </c>
      <c r="M2042" s="27">
        <f>IF(OR($A2042="",$J2042=""),"",IF($K2042="",IF(TODAY()&gt;$J2042,"Atrasado","En ruta"),IF($K2042&lt;=$J2042,"Sí","No")))</f>
        <v/>
      </c>
      <c r="N2042" s="23">
        <f>IF($A2042="","",COUNTIFS(NOVEDADES!$C$4:$C$1503,$A2042))</f>
        <v/>
      </c>
      <c r="O2042" s="27">
        <f>IF($A2042="","",IF(COUNTIFS(NOVEDADES!$C$4:$C$1503,$A2042,NOVEDADES!$M$4:$M$1503,"SÍ")&gt;0,"No","Sí"))</f>
        <v/>
      </c>
      <c r="P2042" s="27">
        <f>IF(OR($A2042="",$K2042=""),"",IF(AND($M2042="Sí",$O2042="Sí"),"OTIF","Falló"))</f>
        <v/>
      </c>
    </row>
    <row r="2043" ht="16" customHeight="1">
      <c r="A2043" s="47" t="n"/>
      <c r="B2043" s="46" t="n"/>
      <c r="C2043" s="49" t="n"/>
      <c r="D2043" s="49" t="n"/>
      <c r="E2043" s="49" t="n"/>
      <c r="F2043" s="49" t="n"/>
      <c r="G2043" s="47" t="n"/>
      <c r="H2043" s="50" t="n"/>
      <c r="I2043" s="51" t="n"/>
      <c r="J2043" s="46" t="n"/>
      <c r="K2043" s="46" t="n"/>
      <c r="L2043" s="23">
        <f>IF(OR($A2043="",$B2043=""),"",IF($K2043&lt;&gt;"",$K2043-$B2043,TODAY()-$B2043))</f>
        <v/>
      </c>
      <c r="M2043" s="27">
        <f>IF(OR($A2043="",$J2043=""),"",IF($K2043="",IF(TODAY()&gt;$J2043,"Atrasado","En ruta"),IF($K2043&lt;=$J2043,"Sí","No")))</f>
        <v/>
      </c>
      <c r="N2043" s="23">
        <f>IF($A2043="","",COUNTIFS(NOVEDADES!$C$4:$C$1503,$A2043))</f>
        <v/>
      </c>
      <c r="O2043" s="27">
        <f>IF($A2043="","",IF(COUNTIFS(NOVEDADES!$C$4:$C$1503,$A2043,NOVEDADES!$M$4:$M$1503,"SÍ")&gt;0,"No","Sí"))</f>
        <v/>
      </c>
      <c r="P2043" s="27">
        <f>IF(OR($A2043="",$K2043=""),"",IF(AND($M2043="Sí",$O2043="Sí"),"OTIF","Falló"))</f>
        <v/>
      </c>
    </row>
    <row r="2044" ht="16" customHeight="1">
      <c r="A2044" s="47" t="n"/>
      <c r="B2044" s="46" t="n"/>
      <c r="C2044" s="49" t="n"/>
      <c r="D2044" s="49" t="n"/>
      <c r="E2044" s="49" t="n"/>
      <c r="F2044" s="49" t="n"/>
      <c r="G2044" s="47" t="n"/>
      <c r="H2044" s="50" t="n"/>
      <c r="I2044" s="51" t="n"/>
      <c r="J2044" s="46" t="n"/>
      <c r="K2044" s="46" t="n"/>
      <c r="L2044" s="23">
        <f>IF(OR($A2044="",$B2044=""),"",IF($K2044&lt;&gt;"",$K2044-$B2044,TODAY()-$B2044))</f>
        <v/>
      </c>
      <c r="M2044" s="27">
        <f>IF(OR($A2044="",$J2044=""),"",IF($K2044="",IF(TODAY()&gt;$J2044,"Atrasado","En ruta"),IF($K2044&lt;=$J2044,"Sí","No")))</f>
        <v/>
      </c>
      <c r="N2044" s="23">
        <f>IF($A2044="","",COUNTIFS(NOVEDADES!$C$4:$C$1503,$A2044))</f>
        <v/>
      </c>
      <c r="O2044" s="27">
        <f>IF($A2044="","",IF(COUNTIFS(NOVEDADES!$C$4:$C$1503,$A2044,NOVEDADES!$M$4:$M$1503,"SÍ")&gt;0,"No","Sí"))</f>
        <v/>
      </c>
      <c r="P2044" s="27">
        <f>IF(OR($A2044="",$K2044=""),"",IF(AND($M2044="Sí",$O2044="Sí"),"OTIF","Falló"))</f>
        <v/>
      </c>
    </row>
    <row r="2045" ht="16" customHeight="1">
      <c r="A2045" s="47" t="n"/>
      <c r="B2045" s="46" t="n"/>
      <c r="C2045" s="49" t="n"/>
      <c r="D2045" s="49" t="n"/>
      <c r="E2045" s="49" t="n"/>
      <c r="F2045" s="49" t="n"/>
      <c r="G2045" s="47" t="n"/>
      <c r="H2045" s="50" t="n"/>
      <c r="I2045" s="51" t="n"/>
      <c r="J2045" s="46" t="n"/>
      <c r="K2045" s="46" t="n"/>
      <c r="L2045" s="23">
        <f>IF(OR($A2045="",$B2045=""),"",IF($K2045&lt;&gt;"",$K2045-$B2045,TODAY()-$B2045))</f>
        <v/>
      </c>
      <c r="M2045" s="27">
        <f>IF(OR($A2045="",$J2045=""),"",IF($K2045="",IF(TODAY()&gt;$J2045,"Atrasado","En ruta"),IF($K2045&lt;=$J2045,"Sí","No")))</f>
        <v/>
      </c>
      <c r="N2045" s="23">
        <f>IF($A2045="","",COUNTIFS(NOVEDADES!$C$4:$C$1503,$A2045))</f>
        <v/>
      </c>
      <c r="O2045" s="27">
        <f>IF($A2045="","",IF(COUNTIFS(NOVEDADES!$C$4:$C$1503,$A2045,NOVEDADES!$M$4:$M$1503,"SÍ")&gt;0,"No","Sí"))</f>
        <v/>
      </c>
      <c r="P2045" s="27">
        <f>IF(OR($A2045="",$K2045=""),"",IF(AND($M2045="Sí",$O2045="Sí"),"OTIF","Falló"))</f>
        <v/>
      </c>
    </row>
    <row r="2046" ht="16" customHeight="1">
      <c r="A2046" s="47" t="n"/>
      <c r="B2046" s="46" t="n"/>
      <c r="C2046" s="49" t="n"/>
      <c r="D2046" s="49" t="n"/>
      <c r="E2046" s="49" t="n"/>
      <c r="F2046" s="49" t="n"/>
      <c r="G2046" s="47" t="n"/>
      <c r="H2046" s="50" t="n"/>
      <c r="I2046" s="51" t="n"/>
      <c r="J2046" s="46" t="n"/>
      <c r="K2046" s="46" t="n"/>
      <c r="L2046" s="23">
        <f>IF(OR($A2046="",$B2046=""),"",IF($K2046&lt;&gt;"",$K2046-$B2046,TODAY()-$B2046))</f>
        <v/>
      </c>
      <c r="M2046" s="27">
        <f>IF(OR($A2046="",$J2046=""),"",IF($K2046="",IF(TODAY()&gt;$J2046,"Atrasado","En ruta"),IF($K2046&lt;=$J2046,"Sí","No")))</f>
        <v/>
      </c>
      <c r="N2046" s="23">
        <f>IF($A2046="","",COUNTIFS(NOVEDADES!$C$4:$C$1503,$A2046))</f>
        <v/>
      </c>
      <c r="O2046" s="27">
        <f>IF($A2046="","",IF(COUNTIFS(NOVEDADES!$C$4:$C$1503,$A2046,NOVEDADES!$M$4:$M$1503,"SÍ")&gt;0,"No","Sí"))</f>
        <v/>
      </c>
      <c r="P2046" s="27">
        <f>IF(OR($A2046="",$K2046=""),"",IF(AND($M2046="Sí",$O2046="Sí"),"OTIF","Falló"))</f>
        <v/>
      </c>
    </row>
    <row r="2047" ht="16" customHeight="1">
      <c r="A2047" s="47" t="n"/>
      <c r="B2047" s="46" t="n"/>
      <c r="C2047" s="49" t="n"/>
      <c r="D2047" s="49" t="n"/>
      <c r="E2047" s="49" t="n"/>
      <c r="F2047" s="49" t="n"/>
      <c r="G2047" s="47" t="n"/>
      <c r="H2047" s="50" t="n"/>
      <c r="I2047" s="51" t="n"/>
      <c r="J2047" s="46" t="n"/>
      <c r="K2047" s="46" t="n"/>
      <c r="L2047" s="23">
        <f>IF(OR($A2047="",$B2047=""),"",IF($K2047&lt;&gt;"",$K2047-$B2047,TODAY()-$B2047))</f>
        <v/>
      </c>
      <c r="M2047" s="27">
        <f>IF(OR($A2047="",$J2047=""),"",IF($K2047="",IF(TODAY()&gt;$J2047,"Atrasado","En ruta"),IF($K2047&lt;=$J2047,"Sí","No")))</f>
        <v/>
      </c>
      <c r="N2047" s="23">
        <f>IF($A2047="","",COUNTIFS(NOVEDADES!$C$4:$C$1503,$A2047))</f>
        <v/>
      </c>
      <c r="O2047" s="27">
        <f>IF($A2047="","",IF(COUNTIFS(NOVEDADES!$C$4:$C$1503,$A2047,NOVEDADES!$M$4:$M$1503,"SÍ")&gt;0,"No","Sí"))</f>
        <v/>
      </c>
      <c r="P2047" s="27">
        <f>IF(OR($A2047="",$K2047=""),"",IF(AND($M2047="Sí",$O2047="Sí"),"OTIF","Falló"))</f>
        <v/>
      </c>
    </row>
    <row r="2048" ht="16" customHeight="1">
      <c r="A2048" s="47" t="n"/>
      <c r="B2048" s="46" t="n"/>
      <c r="C2048" s="49" t="n"/>
      <c r="D2048" s="49" t="n"/>
      <c r="E2048" s="49" t="n"/>
      <c r="F2048" s="49" t="n"/>
      <c r="G2048" s="47" t="n"/>
      <c r="H2048" s="50" t="n"/>
      <c r="I2048" s="51" t="n"/>
      <c r="J2048" s="46" t="n"/>
      <c r="K2048" s="46" t="n"/>
      <c r="L2048" s="23">
        <f>IF(OR($A2048="",$B2048=""),"",IF($K2048&lt;&gt;"",$K2048-$B2048,TODAY()-$B2048))</f>
        <v/>
      </c>
      <c r="M2048" s="27">
        <f>IF(OR($A2048="",$J2048=""),"",IF($K2048="",IF(TODAY()&gt;$J2048,"Atrasado","En ruta"),IF($K2048&lt;=$J2048,"Sí","No")))</f>
        <v/>
      </c>
      <c r="N2048" s="23">
        <f>IF($A2048="","",COUNTIFS(NOVEDADES!$C$4:$C$1503,$A2048))</f>
        <v/>
      </c>
      <c r="O2048" s="27">
        <f>IF($A2048="","",IF(COUNTIFS(NOVEDADES!$C$4:$C$1503,$A2048,NOVEDADES!$M$4:$M$1503,"SÍ")&gt;0,"No","Sí"))</f>
        <v/>
      </c>
      <c r="P2048" s="27">
        <f>IF(OR($A2048="",$K2048=""),"",IF(AND($M2048="Sí",$O2048="Sí"),"OTIF","Falló"))</f>
        <v/>
      </c>
    </row>
    <row r="2049" ht="16" customHeight="1">
      <c r="A2049" s="47" t="n"/>
      <c r="B2049" s="46" t="n"/>
      <c r="C2049" s="49" t="n"/>
      <c r="D2049" s="49" t="n"/>
      <c r="E2049" s="49" t="n"/>
      <c r="F2049" s="49" t="n"/>
      <c r="G2049" s="47" t="n"/>
      <c r="H2049" s="50" t="n"/>
      <c r="I2049" s="51" t="n"/>
      <c r="J2049" s="46" t="n"/>
      <c r="K2049" s="46" t="n"/>
      <c r="L2049" s="23">
        <f>IF(OR($A2049="",$B2049=""),"",IF($K2049&lt;&gt;"",$K2049-$B2049,TODAY()-$B2049))</f>
        <v/>
      </c>
      <c r="M2049" s="27">
        <f>IF(OR($A2049="",$J2049=""),"",IF($K2049="",IF(TODAY()&gt;$J2049,"Atrasado","En ruta"),IF($K2049&lt;=$J2049,"Sí","No")))</f>
        <v/>
      </c>
      <c r="N2049" s="23">
        <f>IF($A2049="","",COUNTIFS(NOVEDADES!$C$4:$C$1503,$A2049))</f>
        <v/>
      </c>
      <c r="O2049" s="27">
        <f>IF($A2049="","",IF(COUNTIFS(NOVEDADES!$C$4:$C$1503,$A2049,NOVEDADES!$M$4:$M$1503,"SÍ")&gt;0,"No","Sí"))</f>
        <v/>
      </c>
      <c r="P2049" s="27">
        <f>IF(OR($A2049="",$K2049=""),"",IF(AND($M2049="Sí",$O2049="Sí"),"OTIF","Falló"))</f>
        <v/>
      </c>
    </row>
    <row r="2050" ht="16" customHeight="1">
      <c r="A2050" s="47" t="n"/>
      <c r="B2050" s="46" t="n"/>
      <c r="C2050" s="49" t="n"/>
      <c r="D2050" s="49" t="n"/>
      <c r="E2050" s="49" t="n"/>
      <c r="F2050" s="49" t="n"/>
      <c r="G2050" s="47" t="n"/>
      <c r="H2050" s="50" t="n"/>
      <c r="I2050" s="51" t="n"/>
      <c r="J2050" s="46" t="n"/>
      <c r="K2050" s="46" t="n"/>
      <c r="L2050" s="23">
        <f>IF(OR($A2050="",$B2050=""),"",IF($K2050&lt;&gt;"",$K2050-$B2050,TODAY()-$B2050))</f>
        <v/>
      </c>
      <c r="M2050" s="27">
        <f>IF(OR($A2050="",$J2050=""),"",IF($K2050="",IF(TODAY()&gt;$J2050,"Atrasado","En ruta"),IF($K2050&lt;=$J2050,"Sí","No")))</f>
        <v/>
      </c>
      <c r="N2050" s="23">
        <f>IF($A2050="","",COUNTIFS(NOVEDADES!$C$4:$C$1503,$A2050))</f>
        <v/>
      </c>
      <c r="O2050" s="27">
        <f>IF($A2050="","",IF(COUNTIFS(NOVEDADES!$C$4:$C$1503,$A2050,NOVEDADES!$M$4:$M$1503,"SÍ")&gt;0,"No","Sí"))</f>
        <v/>
      </c>
      <c r="P2050" s="27">
        <f>IF(OR($A2050="",$K2050=""),"",IF(AND($M2050="Sí",$O2050="Sí"),"OTIF","Falló"))</f>
        <v/>
      </c>
    </row>
    <row r="2051" ht="16" customHeight="1">
      <c r="A2051" s="47" t="n"/>
      <c r="B2051" s="46" t="n"/>
      <c r="C2051" s="49" t="n"/>
      <c r="D2051" s="49" t="n"/>
      <c r="E2051" s="49" t="n"/>
      <c r="F2051" s="49" t="n"/>
      <c r="G2051" s="47" t="n"/>
      <c r="H2051" s="50" t="n"/>
      <c r="I2051" s="51" t="n"/>
      <c r="J2051" s="46" t="n"/>
      <c r="K2051" s="46" t="n"/>
      <c r="L2051" s="23">
        <f>IF(OR($A2051="",$B2051=""),"",IF($K2051&lt;&gt;"",$K2051-$B2051,TODAY()-$B2051))</f>
        <v/>
      </c>
      <c r="M2051" s="27">
        <f>IF(OR($A2051="",$J2051=""),"",IF($K2051="",IF(TODAY()&gt;$J2051,"Atrasado","En ruta"),IF($K2051&lt;=$J2051,"Sí","No")))</f>
        <v/>
      </c>
      <c r="N2051" s="23">
        <f>IF($A2051="","",COUNTIFS(NOVEDADES!$C$4:$C$1503,$A2051))</f>
        <v/>
      </c>
      <c r="O2051" s="27">
        <f>IF($A2051="","",IF(COUNTIFS(NOVEDADES!$C$4:$C$1503,$A2051,NOVEDADES!$M$4:$M$1503,"SÍ")&gt;0,"No","Sí"))</f>
        <v/>
      </c>
      <c r="P2051" s="27">
        <f>IF(OR($A2051="",$K2051=""),"",IF(AND($M2051="Sí",$O2051="Sí"),"OTIF","Falló"))</f>
        <v/>
      </c>
    </row>
    <row r="2052" ht="16" customHeight="1">
      <c r="A2052" s="47" t="n"/>
      <c r="B2052" s="46" t="n"/>
      <c r="C2052" s="49" t="n"/>
      <c r="D2052" s="49" t="n"/>
      <c r="E2052" s="49" t="n"/>
      <c r="F2052" s="49" t="n"/>
      <c r="G2052" s="47" t="n"/>
      <c r="H2052" s="50" t="n"/>
      <c r="I2052" s="51" t="n"/>
      <c r="J2052" s="46" t="n"/>
      <c r="K2052" s="46" t="n"/>
      <c r="L2052" s="23">
        <f>IF(OR($A2052="",$B2052=""),"",IF($K2052&lt;&gt;"",$K2052-$B2052,TODAY()-$B2052))</f>
        <v/>
      </c>
      <c r="M2052" s="27">
        <f>IF(OR($A2052="",$J2052=""),"",IF($K2052="",IF(TODAY()&gt;$J2052,"Atrasado","En ruta"),IF($K2052&lt;=$J2052,"Sí","No")))</f>
        <v/>
      </c>
      <c r="N2052" s="23">
        <f>IF($A2052="","",COUNTIFS(NOVEDADES!$C$4:$C$1503,$A2052))</f>
        <v/>
      </c>
      <c r="O2052" s="27">
        <f>IF($A2052="","",IF(COUNTIFS(NOVEDADES!$C$4:$C$1503,$A2052,NOVEDADES!$M$4:$M$1503,"SÍ")&gt;0,"No","Sí"))</f>
        <v/>
      </c>
      <c r="P2052" s="27">
        <f>IF(OR($A2052="",$K2052=""),"",IF(AND($M2052="Sí",$O2052="Sí"),"OTIF","Falló"))</f>
        <v/>
      </c>
    </row>
    <row r="2053" ht="16" customHeight="1">
      <c r="A2053" s="47" t="n"/>
      <c r="B2053" s="46" t="n"/>
      <c r="C2053" s="49" t="n"/>
      <c r="D2053" s="49" t="n"/>
      <c r="E2053" s="49" t="n"/>
      <c r="F2053" s="49" t="n"/>
      <c r="G2053" s="47" t="n"/>
      <c r="H2053" s="50" t="n"/>
      <c r="I2053" s="51" t="n"/>
      <c r="J2053" s="46" t="n"/>
      <c r="K2053" s="46" t="n"/>
      <c r="L2053" s="23">
        <f>IF(OR($A2053="",$B2053=""),"",IF($K2053&lt;&gt;"",$K2053-$B2053,TODAY()-$B2053))</f>
        <v/>
      </c>
      <c r="M2053" s="27">
        <f>IF(OR($A2053="",$J2053=""),"",IF($K2053="",IF(TODAY()&gt;$J2053,"Atrasado","En ruta"),IF($K2053&lt;=$J2053,"Sí","No")))</f>
        <v/>
      </c>
      <c r="N2053" s="23">
        <f>IF($A2053="","",COUNTIFS(NOVEDADES!$C$4:$C$1503,$A2053))</f>
        <v/>
      </c>
      <c r="O2053" s="27">
        <f>IF($A2053="","",IF(COUNTIFS(NOVEDADES!$C$4:$C$1503,$A2053,NOVEDADES!$M$4:$M$1503,"SÍ")&gt;0,"No","Sí"))</f>
        <v/>
      </c>
      <c r="P2053" s="27">
        <f>IF(OR($A2053="",$K2053=""),"",IF(AND($M2053="Sí",$O2053="Sí"),"OTIF","Falló"))</f>
        <v/>
      </c>
    </row>
    <row r="2054" ht="16" customHeight="1">
      <c r="A2054" s="47" t="n"/>
      <c r="B2054" s="46" t="n"/>
      <c r="C2054" s="49" t="n"/>
      <c r="D2054" s="49" t="n"/>
      <c r="E2054" s="49" t="n"/>
      <c r="F2054" s="49" t="n"/>
      <c r="G2054" s="47" t="n"/>
      <c r="H2054" s="50" t="n"/>
      <c r="I2054" s="51" t="n"/>
      <c r="J2054" s="46" t="n"/>
      <c r="K2054" s="46" t="n"/>
      <c r="L2054" s="23">
        <f>IF(OR($A2054="",$B2054=""),"",IF($K2054&lt;&gt;"",$K2054-$B2054,TODAY()-$B2054))</f>
        <v/>
      </c>
      <c r="M2054" s="27">
        <f>IF(OR($A2054="",$J2054=""),"",IF($K2054="",IF(TODAY()&gt;$J2054,"Atrasado","En ruta"),IF($K2054&lt;=$J2054,"Sí","No")))</f>
        <v/>
      </c>
      <c r="N2054" s="23">
        <f>IF($A2054="","",COUNTIFS(NOVEDADES!$C$4:$C$1503,$A2054))</f>
        <v/>
      </c>
      <c r="O2054" s="27">
        <f>IF($A2054="","",IF(COUNTIFS(NOVEDADES!$C$4:$C$1503,$A2054,NOVEDADES!$M$4:$M$1503,"SÍ")&gt;0,"No","Sí"))</f>
        <v/>
      </c>
      <c r="P2054" s="27">
        <f>IF(OR($A2054="",$K2054=""),"",IF(AND($M2054="Sí",$O2054="Sí"),"OTIF","Falló"))</f>
        <v/>
      </c>
    </row>
    <row r="2055" ht="16" customHeight="1">
      <c r="A2055" s="47" t="n"/>
      <c r="B2055" s="46" t="n"/>
      <c r="C2055" s="49" t="n"/>
      <c r="D2055" s="49" t="n"/>
      <c r="E2055" s="49" t="n"/>
      <c r="F2055" s="49" t="n"/>
      <c r="G2055" s="47" t="n"/>
      <c r="H2055" s="50" t="n"/>
      <c r="I2055" s="51" t="n"/>
      <c r="J2055" s="46" t="n"/>
      <c r="K2055" s="46" t="n"/>
      <c r="L2055" s="23">
        <f>IF(OR($A2055="",$B2055=""),"",IF($K2055&lt;&gt;"",$K2055-$B2055,TODAY()-$B2055))</f>
        <v/>
      </c>
      <c r="M2055" s="27">
        <f>IF(OR($A2055="",$J2055=""),"",IF($K2055="",IF(TODAY()&gt;$J2055,"Atrasado","En ruta"),IF($K2055&lt;=$J2055,"Sí","No")))</f>
        <v/>
      </c>
      <c r="N2055" s="23">
        <f>IF($A2055="","",COUNTIFS(NOVEDADES!$C$4:$C$1503,$A2055))</f>
        <v/>
      </c>
      <c r="O2055" s="27">
        <f>IF($A2055="","",IF(COUNTIFS(NOVEDADES!$C$4:$C$1503,$A2055,NOVEDADES!$M$4:$M$1503,"SÍ")&gt;0,"No","Sí"))</f>
        <v/>
      </c>
      <c r="P2055" s="27">
        <f>IF(OR($A2055="",$K2055=""),"",IF(AND($M2055="Sí",$O2055="Sí"),"OTIF","Falló"))</f>
        <v/>
      </c>
    </row>
    <row r="2056" ht="16" customHeight="1">
      <c r="A2056" s="47" t="n"/>
      <c r="B2056" s="46" t="n"/>
      <c r="C2056" s="49" t="n"/>
      <c r="D2056" s="49" t="n"/>
      <c r="E2056" s="49" t="n"/>
      <c r="F2056" s="49" t="n"/>
      <c r="G2056" s="47" t="n"/>
      <c r="H2056" s="50" t="n"/>
      <c r="I2056" s="51" t="n"/>
      <c r="J2056" s="46" t="n"/>
      <c r="K2056" s="46" t="n"/>
      <c r="L2056" s="23">
        <f>IF(OR($A2056="",$B2056=""),"",IF($K2056&lt;&gt;"",$K2056-$B2056,TODAY()-$B2056))</f>
        <v/>
      </c>
      <c r="M2056" s="27">
        <f>IF(OR($A2056="",$J2056=""),"",IF($K2056="",IF(TODAY()&gt;$J2056,"Atrasado","En ruta"),IF($K2056&lt;=$J2056,"Sí","No")))</f>
        <v/>
      </c>
      <c r="N2056" s="23">
        <f>IF($A2056="","",COUNTIFS(NOVEDADES!$C$4:$C$1503,$A2056))</f>
        <v/>
      </c>
      <c r="O2056" s="27">
        <f>IF($A2056="","",IF(COUNTIFS(NOVEDADES!$C$4:$C$1503,$A2056,NOVEDADES!$M$4:$M$1503,"SÍ")&gt;0,"No","Sí"))</f>
        <v/>
      </c>
      <c r="P2056" s="27">
        <f>IF(OR($A2056="",$K2056=""),"",IF(AND($M2056="Sí",$O2056="Sí"),"OTIF","Falló"))</f>
        <v/>
      </c>
    </row>
    <row r="2057" ht="16" customHeight="1">
      <c r="A2057" s="47" t="n"/>
      <c r="B2057" s="46" t="n"/>
      <c r="C2057" s="49" t="n"/>
      <c r="D2057" s="49" t="n"/>
      <c r="E2057" s="49" t="n"/>
      <c r="F2057" s="49" t="n"/>
      <c r="G2057" s="47" t="n"/>
      <c r="H2057" s="50" t="n"/>
      <c r="I2057" s="51" t="n"/>
      <c r="J2057" s="46" t="n"/>
      <c r="K2057" s="46" t="n"/>
      <c r="L2057" s="23">
        <f>IF(OR($A2057="",$B2057=""),"",IF($K2057&lt;&gt;"",$K2057-$B2057,TODAY()-$B2057))</f>
        <v/>
      </c>
      <c r="M2057" s="27">
        <f>IF(OR($A2057="",$J2057=""),"",IF($K2057="",IF(TODAY()&gt;$J2057,"Atrasado","En ruta"),IF($K2057&lt;=$J2057,"Sí","No")))</f>
        <v/>
      </c>
      <c r="N2057" s="23">
        <f>IF($A2057="","",COUNTIFS(NOVEDADES!$C$4:$C$1503,$A2057))</f>
        <v/>
      </c>
      <c r="O2057" s="27">
        <f>IF($A2057="","",IF(COUNTIFS(NOVEDADES!$C$4:$C$1503,$A2057,NOVEDADES!$M$4:$M$1503,"SÍ")&gt;0,"No","Sí"))</f>
        <v/>
      </c>
      <c r="P2057" s="27">
        <f>IF(OR($A2057="",$K2057=""),"",IF(AND($M2057="Sí",$O2057="Sí"),"OTIF","Falló"))</f>
        <v/>
      </c>
    </row>
    <row r="2058" ht="16" customHeight="1">
      <c r="A2058" s="47" t="n"/>
      <c r="B2058" s="46" t="n"/>
      <c r="C2058" s="49" t="n"/>
      <c r="D2058" s="49" t="n"/>
      <c r="E2058" s="49" t="n"/>
      <c r="F2058" s="49" t="n"/>
      <c r="G2058" s="47" t="n"/>
      <c r="H2058" s="50" t="n"/>
      <c r="I2058" s="51" t="n"/>
      <c r="J2058" s="46" t="n"/>
      <c r="K2058" s="46" t="n"/>
      <c r="L2058" s="23">
        <f>IF(OR($A2058="",$B2058=""),"",IF($K2058&lt;&gt;"",$K2058-$B2058,TODAY()-$B2058))</f>
        <v/>
      </c>
      <c r="M2058" s="27">
        <f>IF(OR($A2058="",$J2058=""),"",IF($K2058="",IF(TODAY()&gt;$J2058,"Atrasado","En ruta"),IF($K2058&lt;=$J2058,"Sí","No")))</f>
        <v/>
      </c>
      <c r="N2058" s="23">
        <f>IF($A2058="","",COUNTIFS(NOVEDADES!$C$4:$C$1503,$A2058))</f>
        <v/>
      </c>
      <c r="O2058" s="27">
        <f>IF($A2058="","",IF(COUNTIFS(NOVEDADES!$C$4:$C$1503,$A2058,NOVEDADES!$M$4:$M$1503,"SÍ")&gt;0,"No","Sí"))</f>
        <v/>
      </c>
      <c r="P2058" s="27">
        <f>IF(OR($A2058="",$K2058=""),"",IF(AND($M2058="Sí",$O2058="Sí"),"OTIF","Falló"))</f>
        <v/>
      </c>
    </row>
    <row r="2059" ht="16" customHeight="1">
      <c r="A2059" s="47" t="n"/>
      <c r="B2059" s="46" t="n"/>
      <c r="C2059" s="49" t="n"/>
      <c r="D2059" s="49" t="n"/>
      <c r="E2059" s="49" t="n"/>
      <c r="F2059" s="49" t="n"/>
      <c r="G2059" s="47" t="n"/>
      <c r="H2059" s="50" t="n"/>
      <c r="I2059" s="51" t="n"/>
      <c r="J2059" s="46" t="n"/>
      <c r="K2059" s="46" t="n"/>
      <c r="L2059" s="23">
        <f>IF(OR($A2059="",$B2059=""),"",IF($K2059&lt;&gt;"",$K2059-$B2059,TODAY()-$B2059))</f>
        <v/>
      </c>
      <c r="M2059" s="27">
        <f>IF(OR($A2059="",$J2059=""),"",IF($K2059="",IF(TODAY()&gt;$J2059,"Atrasado","En ruta"),IF($K2059&lt;=$J2059,"Sí","No")))</f>
        <v/>
      </c>
      <c r="N2059" s="23">
        <f>IF($A2059="","",COUNTIFS(NOVEDADES!$C$4:$C$1503,$A2059))</f>
        <v/>
      </c>
      <c r="O2059" s="27">
        <f>IF($A2059="","",IF(COUNTIFS(NOVEDADES!$C$4:$C$1503,$A2059,NOVEDADES!$M$4:$M$1503,"SÍ")&gt;0,"No","Sí"))</f>
        <v/>
      </c>
      <c r="P2059" s="27">
        <f>IF(OR($A2059="",$K2059=""),"",IF(AND($M2059="Sí",$O2059="Sí"),"OTIF","Falló"))</f>
        <v/>
      </c>
    </row>
    <row r="2060" ht="16" customHeight="1">
      <c r="A2060" s="47" t="n"/>
      <c r="B2060" s="46" t="n"/>
      <c r="C2060" s="49" t="n"/>
      <c r="D2060" s="49" t="n"/>
      <c r="E2060" s="49" t="n"/>
      <c r="F2060" s="49" t="n"/>
      <c r="G2060" s="47" t="n"/>
      <c r="H2060" s="50" t="n"/>
      <c r="I2060" s="51" t="n"/>
      <c r="J2060" s="46" t="n"/>
      <c r="K2060" s="46" t="n"/>
      <c r="L2060" s="23">
        <f>IF(OR($A2060="",$B2060=""),"",IF($K2060&lt;&gt;"",$K2060-$B2060,TODAY()-$B2060))</f>
        <v/>
      </c>
      <c r="M2060" s="27">
        <f>IF(OR($A2060="",$J2060=""),"",IF($K2060="",IF(TODAY()&gt;$J2060,"Atrasado","En ruta"),IF($K2060&lt;=$J2060,"Sí","No")))</f>
        <v/>
      </c>
      <c r="N2060" s="23">
        <f>IF($A2060="","",COUNTIFS(NOVEDADES!$C$4:$C$1503,$A2060))</f>
        <v/>
      </c>
      <c r="O2060" s="27">
        <f>IF($A2060="","",IF(COUNTIFS(NOVEDADES!$C$4:$C$1503,$A2060,NOVEDADES!$M$4:$M$1503,"SÍ")&gt;0,"No","Sí"))</f>
        <v/>
      </c>
      <c r="P2060" s="27">
        <f>IF(OR($A2060="",$K2060=""),"",IF(AND($M2060="Sí",$O2060="Sí"),"OTIF","Falló"))</f>
        <v/>
      </c>
    </row>
    <row r="2061" ht="16" customHeight="1">
      <c r="A2061" s="47" t="n"/>
      <c r="B2061" s="46" t="n"/>
      <c r="C2061" s="49" t="n"/>
      <c r="D2061" s="49" t="n"/>
      <c r="E2061" s="49" t="n"/>
      <c r="F2061" s="49" t="n"/>
      <c r="G2061" s="47" t="n"/>
      <c r="H2061" s="50" t="n"/>
      <c r="I2061" s="51" t="n"/>
      <c r="J2061" s="46" t="n"/>
      <c r="K2061" s="46" t="n"/>
      <c r="L2061" s="23">
        <f>IF(OR($A2061="",$B2061=""),"",IF($K2061&lt;&gt;"",$K2061-$B2061,TODAY()-$B2061))</f>
        <v/>
      </c>
      <c r="M2061" s="27">
        <f>IF(OR($A2061="",$J2061=""),"",IF($K2061="",IF(TODAY()&gt;$J2061,"Atrasado","En ruta"),IF($K2061&lt;=$J2061,"Sí","No")))</f>
        <v/>
      </c>
      <c r="N2061" s="23">
        <f>IF($A2061="","",COUNTIFS(NOVEDADES!$C$4:$C$1503,$A2061))</f>
        <v/>
      </c>
      <c r="O2061" s="27">
        <f>IF($A2061="","",IF(COUNTIFS(NOVEDADES!$C$4:$C$1503,$A2061,NOVEDADES!$M$4:$M$1503,"SÍ")&gt;0,"No","Sí"))</f>
        <v/>
      </c>
      <c r="P2061" s="27">
        <f>IF(OR($A2061="",$K2061=""),"",IF(AND($M2061="Sí",$O2061="Sí"),"OTIF","Falló"))</f>
        <v/>
      </c>
    </row>
    <row r="2062" ht="16" customHeight="1">
      <c r="A2062" s="47" t="n"/>
      <c r="B2062" s="46" t="n"/>
      <c r="C2062" s="49" t="n"/>
      <c r="D2062" s="49" t="n"/>
      <c r="E2062" s="49" t="n"/>
      <c r="F2062" s="49" t="n"/>
      <c r="G2062" s="47" t="n"/>
      <c r="H2062" s="50" t="n"/>
      <c r="I2062" s="51" t="n"/>
      <c r="J2062" s="46" t="n"/>
      <c r="K2062" s="46" t="n"/>
      <c r="L2062" s="23">
        <f>IF(OR($A2062="",$B2062=""),"",IF($K2062&lt;&gt;"",$K2062-$B2062,TODAY()-$B2062))</f>
        <v/>
      </c>
      <c r="M2062" s="27">
        <f>IF(OR($A2062="",$J2062=""),"",IF($K2062="",IF(TODAY()&gt;$J2062,"Atrasado","En ruta"),IF($K2062&lt;=$J2062,"Sí","No")))</f>
        <v/>
      </c>
      <c r="N2062" s="23">
        <f>IF($A2062="","",COUNTIFS(NOVEDADES!$C$4:$C$1503,$A2062))</f>
        <v/>
      </c>
      <c r="O2062" s="27">
        <f>IF($A2062="","",IF(COUNTIFS(NOVEDADES!$C$4:$C$1503,$A2062,NOVEDADES!$M$4:$M$1503,"SÍ")&gt;0,"No","Sí"))</f>
        <v/>
      </c>
      <c r="P2062" s="27">
        <f>IF(OR($A2062="",$K2062=""),"",IF(AND($M2062="Sí",$O2062="Sí"),"OTIF","Falló"))</f>
        <v/>
      </c>
    </row>
    <row r="2063" ht="16" customHeight="1">
      <c r="A2063" s="47" t="n"/>
      <c r="B2063" s="46" t="n"/>
      <c r="C2063" s="49" t="n"/>
      <c r="D2063" s="49" t="n"/>
      <c r="E2063" s="49" t="n"/>
      <c r="F2063" s="49" t="n"/>
      <c r="G2063" s="47" t="n"/>
      <c r="H2063" s="50" t="n"/>
      <c r="I2063" s="51" t="n"/>
      <c r="J2063" s="46" t="n"/>
      <c r="K2063" s="46" t="n"/>
      <c r="L2063" s="23">
        <f>IF(OR($A2063="",$B2063=""),"",IF($K2063&lt;&gt;"",$K2063-$B2063,TODAY()-$B2063))</f>
        <v/>
      </c>
      <c r="M2063" s="27">
        <f>IF(OR($A2063="",$J2063=""),"",IF($K2063="",IF(TODAY()&gt;$J2063,"Atrasado","En ruta"),IF($K2063&lt;=$J2063,"Sí","No")))</f>
        <v/>
      </c>
      <c r="N2063" s="23">
        <f>IF($A2063="","",COUNTIFS(NOVEDADES!$C$4:$C$1503,$A2063))</f>
        <v/>
      </c>
      <c r="O2063" s="27">
        <f>IF($A2063="","",IF(COUNTIFS(NOVEDADES!$C$4:$C$1503,$A2063,NOVEDADES!$M$4:$M$1503,"SÍ")&gt;0,"No","Sí"))</f>
        <v/>
      </c>
      <c r="P2063" s="27">
        <f>IF(OR($A2063="",$K2063=""),"",IF(AND($M2063="Sí",$O2063="Sí"),"OTIF","Falló"))</f>
        <v/>
      </c>
    </row>
    <row r="2064" ht="16" customHeight="1">
      <c r="A2064" s="47" t="n"/>
      <c r="B2064" s="46" t="n"/>
      <c r="C2064" s="49" t="n"/>
      <c r="D2064" s="49" t="n"/>
      <c r="E2064" s="49" t="n"/>
      <c r="F2064" s="49" t="n"/>
      <c r="G2064" s="47" t="n"/>
      <c r="H2064" s="50" t="n"/>
      <c r="I2064" s="51" t="n"/>
      <c r="J2064" s="46" t="n"/>
      <c r="K2064" s="46" t="n"/>
      <c r="L2064" s="23">
        <f>IF(OR($A2064="",$B2064=""),"",IF($K2064&lt;&gt;"",$K2064-$B2064,TODAY()-$B2064))</f>
        <v/>
      </c>
      <c r="M2064" s="27">
        <f>IF(OR($A2064="",$J2064=""),"",IF($K2064="",IF(TODAY()&gt;$J2064,"Atrasado","En ruta"),IF($K2064&lt;=$J2064,"Sí","No")))</f>
        <v/>
      </c>
      <c r="N2064" s="23">
        <f>IF($A2064="","",COUNTIFS(NOVEDADES!$C$4:$C$1503,$A2064))</f>
        <v/>
      </c>
      <c r="O2064" s="27">
        <f>IF($A2064="","",IF(COUNTIFS(NOVEDADES!$C$4:$C$1503,$A2064,NOVEDADES!$M$4:$M$1503,"SÍ")&gt;0,"No","Sí"))</f>
        <v/>
      </c>
      <c r="P2064" s="27">
        <f>IF(OR($A2064="",$K2064=""),"",IF(AND($M2064="Sí",$O2064="Sí"),"OTIF","Falló"))</f>
        <v/>
      </c>
    </row>
    <row r="2065" ht="16" customHeight="1">
      <c r="A2065" s="47" t="n"/>
      <c r="B2065" s="46" t="n"/>
      <c r="C2065" s="49" t="n"/>
      <c r="D2065" s="49" t="n"/>
      <c r="E2065" s="49" t="n"/>
      <c r="F2065" s="49" t="n"/>
      <c r="G2065" s="47" t="n"/>
      <c r="H2065" s="50" t="n"/>
      <c r="I2065" s="51" t="n"/>
      <c r="J2065" s="46" t="n"/>
      <c r="K2065" s="46" t="n"/>
      <c r="L2065" s="23">
        <f>IF(OR($A2065="",$B2065=""),"",IF($K2065&lt;&gt;"",$K2065-$B2065,TODAY()-$B2065))</f>
        <v/>
      </c>
      <c r="M2065" s="27">
        <f>IF(OR($A2065="",$J2065=""),"",IF($K2065="",IF(TODAY()&gt;$J2065,"Atrasado","En ruta"),IF($K2065&lt;=$J2065,"Sí","No")))</f>
        <v/>
      </c>
      <c r="N2065" s="23">
        <f>IF($A2065="","",COUNTIFS(NOVEDADES!$C$4:$C$1503,$A2065))</f>
        <v/>
      </c>
      <c r="O2065" s="27">
        <f>IF($A2065="","",IF(COUNTIFS(NOVEDADES!$C$4:$C$1503,$A2065,NOVEDADES!$M$4:$M$1503,"SÍ")&gt;0,"No","Sí"))</f>
        <v/>
      </c>
      <c r="P2065" s="27">
        <f>IF(OR($A2065="",$K2065=""),"",IF(AND($M2065="Sí",$O2065="Sí"),"OTIF","Falló"))</f>
        <v/>
      </c>
    </row>
    <row r="2066" ht="16" customHeight="1">
      <c r="A2066" s="47" t="n"/>
      <c r="B2066" s="46" t="n"/>
      <c r="C2066" s="49" t="n"/>
      <c r="D2066" s="49" t="n"/>
      <c r="E2066" s="49" t="n"/>
      <c r="F2066" s="49" t="n"/>
      <c r="G2066" s="47" t="n"/>
      <c r="H2066" s="50" t="n"/>
      <c r="I2066" s="51" t="n"/>
      <c r="J2066" s="46" t="n"/>
      <c r="K2066" s="46" t="n"/>
      <c r="L2066" s="23">
        <f>IF(OR($A2066="",$B2066=""),"",IF($K2066&lt;&gt;"",$K2066-$B2066,TODAY()-$B2066))</f>
        <v/>
      </c>
      <c r="M2066" s="27">
        <f>IF(OR($A2066="",$J2066=""),"",IF($K2066="",IF(TODAY()&gt;$J2066,"Atrasado","En ruta"),IF($K2066&lt;=$J2066,"Sí","No")))</f>
        <v/>
      </c>
      <c r="N2066" s="23">
        <f>IF($A2066="","",COUNTIFS(NOVEDADES!$C$4:$C$1503,$A2066))</f>
        <v/>
      </c>
      <c r="O2066" s="27">
        <f>IF($A2066="","",IF(COUNTIFS(NOVEDADES!$C$4:$C$1503,$A2066,NOVEDADES!$M$4:$M$1503,"SÍ")&gt;0,"No","Sí"))</f>
        <v/>
      </c>
      <c r="P2066" s="27">
        <f>IF(OR($A2066="",$K2066=""),"",IF(AND($M2066="Sí",$O2066="Sí"),"OTIF","Falló"))</f>
        <v/>
      </c>
    </row>
    <row r="2067" ht="16" customHeight="1">
      <c r="A2067" s="47" t="n"/>
      <c r="B2067" s="46" t="n"/>
      <c r="C2067" s="49" t="n"/>
      <c r="D2067" s="49" t="n"/>
      <c r="E2067" s="49" t="n"/>
      <c r="F2067" s="49" t="n"/>
      <c r="G2067" s="47" t="n"/>
      <c r="H2067" s="50" t="n"/>
      <c r="I2067" s="51" t="n"/>
      <c r="J2067" s="46" t="n"/>
      <c r="K2067" s="46" t="n"/>
      <c r="L2067" s="23">
        <f>IF(OR($A2067="",$B2067=""),"",IF($K2067&lt;&gt;"",$K2067-$B2067,TODAY()-$B2067))</f>
        <v/>
      </c>
      <c r="M2067" s="27">
        <f>IF(OR($A2067="",$J2067=""),"",IF($K2067="",IF(TODAY()&gt;$J2067,"Atrasado","En ruta"),IF($K2067&lt;=$J2067,"Sí","No")))</f>
        <v/>
      </c>
      <c r="N2067" s="23">
        <f>IF($A2067="","",COUNTIFS(NOVEDADES!$C$4:$C$1503,$A2067))</f>
        <v/>
      </c>
      <c r="O2067" s="27">
        <f>IF($A2067="","",IF(COUNTIFS(NOVEDADES!$C$4:$C$1503,$A2067,NOVEDADES!$M$4:$M$1503,"SÍ")&gt;0,"No","Sí"))</f>
        <v/>
      </c>
      <c r="P2067" s="27">
        <f>IF(OR($A2067="",$K2067=""),"",IF(AND($M2067="Sí",$O2067="Sí"),"OTIF","Falló"))</f>
        <v/>
      </c>
    </row>
    <row r="2068" ht="16" customHeight="1">
      <c r="A2068" s="47" t="n"/>
      <c r="B2068" s="46" t="n"/>
      <c r="C2068" s="49" t="n"/>
      <c r="D2068" s="49" t="n"/>
      <c r="E2068" s="49" t="n"/>
      <c r="F2068" s="49" t="n"/>
      <c r="G2068" s="47" t="n"/>
      <c r="H2068" s="50" t="n"/>
      <c r="I2068" s="51" t="n"/>
      <c r="J2068" s="46" t="n"/>
      <c r="K2068" s="46" t="n"/>
      <c r="L2068" s="23">
        <f>IF(OR($A2068="",$B2068=""),"",IF($K2068&lt;&gt;"",$K2068-$B2068,TODAY()-$B2068))</f>
        <v/>
      </c>
      <c r="M2068" s="27">
        <f>IF(OR($A2068="",$J2068=""),"",IF($K2068="",IF(TODAY()&gt;$J2068,"Atrasado","En ruta"),IF($K2068&lt;=$J2068,"Sí","No")))</f>
        <v/>
      </c>
      <c r="N2068" s="23">
        <f>IF($A2068="","",COUNTIFS(NOVEDADES!$C$4:$C$1503,$A2068))</f>
        <v/>
      </c>
      <c r="O2068" s="27">
        <f>IF($A2068="","",IF(COUNTIFS(NOVEDADES!$C$4:$C$1503,$A2068,NOVEDADES!$M$4:$M$1503,"SÍ")&gt;0,"No","Sí"))</f>
        <v/>
      </c>
      <c r="P2068" s="27">
        <f>IF(OR($A2068="",$K2068=""),"",IF(AND($M2068="Sí",$O2068="Sí"),"OTIF","Falló"))</f>
        <v/>
      </c>
    </row>
    <row r="2069" ht="16" customHeight="1">
      <c r="A2069" s="47" t="n"/>
      <c r="B2069" s="46" t="n"/>
      <c r="C2069" s="49" t="n"/>
      <c r="D2069" s="49" t="n"/>
      <c r="E2069" s="49" t="n"/>
      <c r="F2069" s="49" t="n"/>
      <c r="G2069" s="47" t="n"/>
      <c r="H2069" s="50" t="n"/>
      <c r="I2069" s="51" t="n"/>
      <c r="J2069" s="46" t="n"/>
      <c r="K2069" s="46" t="n"/>
      <c r="L2069" s="23">
        <f>IF(OR($A2069="",$B2069=""),"",IF($K2069&lt;&gt;"",$K2069-$B2069,TODAY()-$B2069))</f>
        <v/>
      </c>
      <c r="M2069" s="27">
        <f>IF(OR($A2069="",$J2069=""),"",IF($K2069="",IF(TODAY()&gt;$J2069,"Atrasado","En ruta"),IF($K2069&lt;=$J2069,"Sí","No")))</f>
        <v/>
      </c>
      <c r="N2069" s="23">
        <f>IF($A2069="","",COUNTIFS(NOVEDADES!$C$4:$C$1503,$A2069))</f>
        <v/>
      </c>
      <c r="O2069" s="27">
        <f>IF($A2069="","",IF(COUNTIFS(NOVEDADES!$C$4:$C$1503,$A2069,NOVEDADES!$M$4:$M$1503,"SÍ")&gt;0,"No","Sí"))</f>
        <v/>
      </c>
      <c r="P2069" s="27">
        <f>IF(OR($A2069="",$K2069=""),"",IF(AND($M2069="Sí",$O2069="Sí"),"OTIF","Falló"))</f>
        <v/>
      </c>
    </row>
    <row r="2070" ht="16" customHeight="1">
      <c r="A2070" s="47" t="n"/>
      <c r="B2070" s="46" t="n"/>
      <c r="C2070" s="49" t="n"/>
      <c r="D2070" s="49" t="n"/>
      <c r="E2070" s="49" t="n"/>
      <c r="F2070" s="49" t="n"/>
      <c r="G2070" s="47" t="n"/>
      <c r="H2070" s="50" t="n"/>
      <c r="I2070" s="51" t="n"/>
      <c r="J2070" s="46" t="n"/>
      <c r="K2070" s="46" t="n"/>
      <c r="L2070" s="23">
        <f>IF(OR($A2070="",$B2070=""),"",IF($K2070&lt;&gt;"",$K2070-$B2070,TODAY()-$B2070))</f>
        <v/>
      </c>
      <c r="M2070" s="27">
        <f>IF(OR($A2070="",$J2070=""),"",IF($K2070="",IF(TODAY()&gt;$J2070,"Atrasado","En ruta"),IF($K2070&lt;=$J2070,"Sí","No")))</f>
        <v/>
      </c>
      <c r="N2070" s="23">
        <f>IF($A2070="","",COUNTIFS(NOVEDADES!$C$4:$C$1503,$A2070))</f>
        <v/>
      </c>
      <c r="O2070" s="27">
        <f>IF($A2070="","",IF(COUNTIFS(NOVEDADES!$C$4:$C$1503,$A2070,NOVEDADES!$M$4:$M$1503,"SÍ")&gt;0,"No","Sí"))</f>
        <v/>
      </c>
      <c r="P2070" s="27">
        <f>IF(OR($A2070="",$K2070=""),"",IF(AND($M2070="Sí",$O2070="Sí"),"OTIF","Falló"))</f>
        <v/>
      </c>
    </row>
    <row r="2071" ht="16" customHeight="1">
      <c r="A2071" s="47" t="n"/>
      <c r="B2071" s="46" t="n"/>
      <c r="C2071" s="49" t="n"/>
      <c r="D2071" s="49" t="n"/>
      <c r="E2071" s="49" t="n"/>
      <c r="F2071" s="49" t="n"/>
      <c r="G2071" s="47" t="n"/>
      <c r="H2071" s="50" t="n"/>
      <c r="I2071" s="51" t="n"/>
      <c r="J2071" s="46" t="n"/>
      <c r="K2071" s="46" t="n"/>
      <c r="L2071" s="23">
        <f>IF(OR($A2071="",$B2071=""),"",IF($K2071&lt;&gt;"",$K2071-$B2071,TODAY()-$B2071))</f>
        <v/>
      </c>
      <c r="M2071" s="27">
        <f>IF(OR($A2071="",$J2071=""),"",IF($K2071="",IF(TODAY()&gt;$J2071,"Atrasado","En ruta"),IF($K2071&lt;=$J2071,"Sí","No")))</f>
        <v/>
      </c>
      <c r="N2071" s="23">
        <f>IF($A2071="","",COUNTIFS(NOVEDADES!$C$4:$C$1503,$A2071))</f>
        <v/>
      </c>
      <c r="O2071" s="27">
        <f>IF($A2071="","",IF(COUNTIFS(NOVEDADES!$C$4:$C$1503,$A2071,NOVEDADES!$M$4:$M$1503,"SÍ")&gt;0,"No","Sí"))</f>
        <v/>
      </c>
      <c r="P2071" s="27">
        <f>IF(OR($A2071="",$K2071=""),"",IF(AND($M2071="Sí",$O2071="Sí"),"OTIF","Falló"))</f>
        <v/>
      </c>
    </row>
    <row r="2072" ht="16" customHeight="1">
      <c r="A2072" s="47" t="n"/>
      <c r="B2072" s="46" t="n"/>
      <c r="C2072" s="49" t="n"/>
      <c r="D2072" s="49" t="n"/>
      <c r="E2072" s="49" t="n"/>
      <c r="F2072" s="49" t="n"/>
      <c r="G2072" s="47" t="n"/>
      <c r="H2072" s="50" t="n"/>
      <c r="I2072" s="51" t="n"/>
      <c r="J2072" s="46" t="n"/>
      <c r="K2072" s="46" t="n"/>
      <c r="L2072" s="23">
        <f>IF(OR($A2072="",$B2072=""),"",IF($K2072&lt;&gt;"",$K2072-$B2072,TODAY()-$B2072))</f>
        <v/>
      </c>
      <c r="M2072" s="27">
        <f>IF(OR($A2072="",$J2072=""),"",IF($K2072="",IF(TODAY()&gt;$J2072,"Atrasado","En ruta"),IF($K2072&lt;=$J2072,"Sí","No")))</f>
        <v/>
      </c>
      <c r="N2072" s="23">
        <f>IF($A2072="","",COUNTIFS(NOVEDADES!$C$4:$C$1503,$A2072))</f>
        <v/>
      </c>
      <c r="O2072" s="27">
        <f>IF($A2072="","",IF(COUNTIFS(NOVEDADES!$C$4:$C$1503,$A2072,NOVEDADES!$M$4:$M$1503,"SÍ")&gt;0,"No","Sí"))</f>
        <v/>
      </c>
      <c r="P2072" s="27">
        <f>IF(OR($A2072="",$K2072=""),"",IF(AND($M2072="Sí",$O2072="Sí"),"OTIF","Falló"))</f>
        <v/>
      </c>
    </row>
    <row r="2073" ht="16" customHeight="1">
      <c r="A2073" s="47" t="n"/>
      <c r="B2073" s="46" t="n"/>
      <c r="C2073" s="49" t="n"/>
      <c r="D2073" s="49" t="n"/>
      <c r="E2073" s="49" t="n"/>
      <c r="F2073" s="49" t="n"/>
      <c r="G2073" s="47" t="n"/>
      <c r="H2073" s="50" t="n"/>
      <c r="I2073" s="51" t="n"/>
      <c r="J2073" s="46" t="n"/>
      <c r="K2073" s="46" t="n"/>
      <c r="L2073" s="23">
        <f>IF(OR($A2073="",$B2073=""),"",IF($K2073&lt;&gt;"",$K2073-$B2073,TODAY()-$B2073))</f>
        <v/>
      </c>
      <c r="M2073" s="27">
        <f>IF(OR($A2073="",$J2073=""),"",IF($K2073="",IF(TODAY()&gt;$J2073,"Atrasado","En ruta"),IF($K2073&lt;=$J2073,"Sí","No")))</f>
        <v/>
      </c>
      <c r="N2073" s="23">
        <f>IF($A2073="","",COUNTIFS(NOVEDADES!$C$4:$C$1503,$A2073))</f>
        <v/>
      </c>
      <c r="O2073" s="27">
        <f>IF($A2073="","",IF(COUNTIFS(NOVEDADES!$C$4:$C$1503,$A2073,NOVEDADES!$M$4:$M$1503,"SÍ")&gt;0,"No","Sí"))</f>
        <v/>
      </c>
      <c r="P2073" s="27">
        <f>IF(OR($A2073="",$K2073=""),"",IF(AND($M2073="Sí",$O2073="Sí"),"OTIF","Falló"))</f>
        <v/>
      </c>
    </row>
    <row r="2074" ht="16" customHeight="1">
      <c r="A2074" s="47" t="n"/>
      <c r="B2074" s="46" t="n"/>
      <c r="C2074" s="49" t="n"/>
      <c r="D2074" s="49" t="n"/>
      <c r="E2074" s="49" t="n"/>
      <c r="F2074" s="49" t="n"/>
      <c r="G2074" s="47" t="n"/>
      <c r="H2074" s="50" t="n"/>
      <c r="I2074" s="51" t="n"/>
      <c r="J2074" s="46" t="n"/>
      <c r="K2074" s="46" t="n"/>
      <c r="L2074" s="23">
        <f>IF(OR($A2074="",$B2074=""),"",IF($K2074&lt;&gt;"",$K2074-$B2074,TODAY()-$B2074))</f>
        <v/>
      </c>
      <c r="M2074" s="27">
        <f>IF(OR($A2074="",$J2074=""),"",IF($K2074="",IF(TODAY()&gt;$J2074,"Atrasado","En ruta"),IF($K2074&lt;=$J2074,"Sí","No")))</f>
        <v/>
      </c>
      <c r="N2074" s="23">
        <f>IF($A2074="","",COUNTIFS(NOVEDADES!$C$4:$C$1503,$A2074))</f>
        <v/>
      </c>
      <c r="O2074" s="27">
        <f>IF($A2074="","",IF(COUNTIFS(NOVEDADES!$C$4:$C$1503,$A2074,NOVEDADES!$M$4:$M$1503,"SÍ")&gt;0,"No","Sí"))</f>
        <v/>
      </c>
      <c r="P2074" s="27">
        <f>IF(OR($A2074="",$K2074=""),"",IF(AND($M2074="Sí",$O2074="Sí"),"OTIF","Falló"))</f>
        <v/>
      </c>
    </row>
    <row r="2075" ht="16" customHeight="1">
      <c r="A2075" s="47" t="n"/>
      <c r="B2075" s="46" t="n"/>
      <c r="C2075" s="49" t="n"/>
      <c r="D2075" s="49" t="n"/>
      <c r="E2075" s="49" t="n"/>
      <c r="F2075" s="49" t="n"/>
      <c r="G2075" s="47" t="n"/>
      <c r="H2075" s="50" t="n"/>
      <c r="I2075" s="51" t="n"/>
      <c r="J2075" s="46" t="n"/>
      <c r="K2075" s="46" t="n"/>
      <c r="L2075" s="23">
        <f>IF(OR($A2075="",$B2075=""),"",IF($K2075&lt;&gt;"",$K2075-$B2075,TODAY()-$B2075))</f>
        <v/>
      </c>
      <c r="M2075" s="27">
        <f>IF(OR($A2075="",$J2075=""),"",IF($K2075="",IF(TODAY()&gt;$J2075,"Atrasado","En ruta"),IF($K2075&lt;=$J2075,"Sí","No")))</f>
        <v/>
      </c>
      <c r="N2075" s="23">
        <f>IF($A2075="","",COUNTIFS(NOVEDADES!$C$4:$C$1503,$A2075))</f>
        <v/>
      </c>
      <c r="O2075" s="27">
        <f>IF($A2075="","",IF(COUNTIFS(NOVEDADES!$C$4:$C$1503,$A2075,NOVEDADES!$M$4:$M$1503,"SÍ")&gt;0,"No","Sí"))</f>
        <v/>
      </c>
      <c r="P2075" s="27">
        <f>IF(OR($A2075="",$K2075=""),"",IF(AND($M2075="Sí",$O2075="Sí"),"OTIF","Falló"))</f>
        <v/>
      </c>
    </row>
    <row r="2076" ht="16" customHeight="1">
      <c r="A2076" s="47" t="n"/>
      <c r="B2076" s="46" t="n"/>
      <c r="C2076" s="49" t="n"/>
      <c r="D2076" s="49" t="n"/>
      <c r="E2076" s="49" t="n"/>
      <c r="F2076" s="49" t="n"/>
      <c r="G2076" s="47" t="n"/>
      <c r="H2076" s="50" t="n"/>
      <c r="I2076" s="51" t="n"/>
      <c r="J2076" s="46" t="n"/>
      <c r="K2076" s="46" t="n"/>
      <c r="L2076" s="23">
        <f>IF(OR($A2076="",$B2076=""),"",IF($K2076&lt;&gt;"",$K2076-$B2076,TODAY()-$B2076))</f>
        <v/>
      </c>
      <c r="M2076" s="27">
        <f>IF(OR($A2076="",$J2076=""),"",IF($K2076="",IF(TODAY()&gt;$J2076,"Atrasado","En ruta"),IF($K2076&lt;=$J2076,"Sí","No")))</f>
        <v/>
      </c>
      <c r="N2076" s="23">
        <f>IF($A2076="","",COUNTIFS(NOVEDADES!$C$4:$C$1503,$A2076))</f>
        <v/>
      </c>
      <c r="O2076" s="27">
        <f>IF($A2076="","",IF(COUNTIFS(NOVEDADES!$C$4:$C$1503,$A2076,NOVEDADES!$M$4:$M$1503,"SÍ")&gt;0,"No","Sí"))</f>
        <v/>
      </c>
      <c r="P2076" s="27">
        <f>IF(OR($A2076="",$K2076=""),"",IF(AND($M2076="Sí",$O2076="Sí"),"OTIF","Falló"))</f>
        <v/>
      </c>
    </row>
    <row r="2077" ht="16" customHeight="1">
      <c r="A2077" s="47" t="n"/>
      <c r="B2077" s="46" t="n"/>
      <c r="C2077" s="49" t="n"/>
      <c r="D2077" s="49" t="n"/>
      <c r="E2077" s="49" t="n"/>
      <c r="F2077" s="49" t="n"/>
      <c r="G2077" s="47" t="n"/>
      <c r="H2077" s="50" t="n"/>
      <c r="I2077" s="51" t="n"/>
      <c r="J2077" s="46" t="n"/>
      <c r="K2077" s="46" t="n"/>
      <c r="L2077" s="23">
        <f>IF(OR($A2077="",$B2077=""),"",IF($K2077&lt;&gt;"",$K2077-$B2077,TODAY()-$B2077))</f>
        <v/>
      </c>
      <c r="M2077" s="27">
        <f>IF(OR($A2077="",$J2077=""),"",IF($K2077="",IF(TODAY()&gt;$J2077,"Atrasado","En ruta"),IF($K2077&lt;=$J2077,"Sí","No")))</f>
        <v/>
      </c>
      <c r="N2077" s="23">
        <f>IF($A2077="","",COUNTIFS(NOVEDADES!$C$4:$C$1503,$A2077))</f>
        <v/>
      </c>
      <c r="O2077" s="27">
        <f>IF($A2077="","",IF(COUNTIFS(NOVEDADES!$C$4:$C$1503,$A2077,NOVEDADES!$M$4:$M$1503,"SÍ")&gt;0,"No","Sí"))</f>
        <v/>
      </c>
      <c r="P2077" s="27">
        <f>IF(OR($A2077="",$K2077=""),"",IF(AND($M2077="Sí",$O2077="Sí"),"OTIF","Falló"))</f>
        <v/>
      </c>
    </row>
    <row r="2078" ht="16" customHeight="1">
      <c r="A2078" s="47" t="n"/>
      <c r="B2078" s="46" t="n"/>
      <c r="C2078" s="49" t="n"/>
      <c r="D2078" s="49" t="n"/>
      <c r="E2078" s="49" t="n"/>
      <c r="F2078" s="49" t="n"/>
      <c r="G2078" s="47" t="n"/>
      <c r="H2078" s="50" t="n"/>
      <c r="I2078" s="51" t="n"/>
      <c r="J2078" s="46" t="n"/>
      <c r="K2078" s="46" t="n"/>
      <c r="L2078" s="23">
        <f>IF(OR($A2078="",$B2078=""),"",IF($K2078&lt;&gt;"",$K2078-$B2078,TODAY()-$B2078))</f>
        <v/>
      </c>
      <c r="M2078" s="27">
        <f>IF(OR($A2078="",$J2078=""),"",IF($K2078="",IF(TODAY()&gt;$J2078,"Atrasado","En ruta"),IF($K2078&lt;=$J2078,"Sí","No")))</f>
        <v/>
      </c>
      <c r="N2078" s="23">
        <f>IF($A2078="","",COUNTIFS(NOVEDADES!$C$4:$C$1503,$A2078))</f>
        <v/>
      </c>
      <c r="O2078" s="27">
        <f>IF($A2078="","",IF(COUNTIFS(NOVEDADES!$C$4:$C$1503,$A2078,NOVEDADES!$M$4:$M$1503,"SÍ")&gt;0,"No","Sí"))</f>
        <v/>
      </c>
      <c r="P2078" s="27">
        <f>IF(OR($A2078="",$K2078=""),"",IF(AND($M2078="Sí",$O2078="Sí"),"OTIF","Falló"))</f>
        <v/>
      </c>
    </row>
    <row r="2079" ht="16" customHeight="1">
      <c r="A2079" s="47" t="n"/>
      <c r="B2079" s="46" t="n"/>
      <c r="C2079" s="49" t="n"/>
      <c r="D2079" s="49" t="n"/>
      <c r="E2079" s="49" t="n"/>
      <c r="F2079" s="49" t="n"/>
      <c r="G2079" s="47" t="n"/>
      <c r="H2079" s="50" t="n"/>
      <c r="I2079" s="51" t="n"/>
      <c r="J2079" s="46" t="n"/>
      <c r="K2079" s="46" t="n"/>
      <c r="L2079" s="23">
        <f>IF(OR($A2079="",$B2079=""),"",IF($K2079&lt;&gt;"",$K2079-$B2079,TODAY()-$B2079))</f>
        <v/>
      </c>
      <c r="M2079" s="27">
        <f>IF(OR($A2079="",$J2079=""),"",IF($K2079="",IF(TODAY()&gt;$J2079,"Atrasado","En ruta"),IF($K2079&lt;=$J2079,"Sí","No")))</f>
        <v/>
      </c>
      <c r="N2079" s="23">
        <f>IF($A2079="","",COUNTIFS(NOVEDADES!$C$4:$C$1503,$A2079))</f>
        <v/>
      </c>
      <c r="O2079" s="27">
        <f>IF($A2079="","",IF(COUNTIFS(NOVEDADES!$C$4:$C$1503,$A2079,NOVEDADES!$M$4:$M$1503,"SÍ")&gt;0,"No","Sí"))</f>
        <v/>
      </c>
      <c r="P2079" s="27">
        <f>IF(OR($A2079="",$K2079=""),"",IF(AND($M2079="Sí",$O2079="Sí"),"OTIF","Falló"))</f>
        <v/>
      </c>
    </row>
    <row r="2080" ht="16" customHeight="1">
      <c r="A2080" s="47" t="n"/>
      <c r="B2080" s="46" t="n"/>
      <c r="C2080" s="49" t="n"/>
      <c r="D2080" s="49" t="n"/>
      <c r="E2080" s="49" t="n"/>
      <c r="F2080" s="49" t="n"/>
      <c r="G2080" s="47" t="n"/>
      <c r="H2080" s="50" t="n"/>
      <c r="I2080" s="51" t="n"/>
      <c r="J2080" s="46" t="n"/>
      <c r="K2080" s="46" t="n"/>
      <c r="L2080" s="23">
        <f>IF(OR($A2080="",$B2080=""),"",IF($K2080&lt;&gt;"",$K2080-$B2080,TODAY()-$B2080))</f>
        <v/>
      </c>
      <c r="M2080" s="27">
        <f>IF(OR($A2080="",$J2080=""),"",IF($K2080="",IF(TODAY()&gt;$J2080,"Atrasado","En ruta"),IF($K2080&lt;=$J2080,"Sí","No")))</f>
        <v/>
      </c>
      <c r="N2080" s="23">
        <f>IF($A2080="","",COUNTIFS(NOVEDADES!$C$4:$C$1503,$A2080))</f>
        <v/>
      </c>
      <c r="O2080" s="27">
        <f>IF($A2080="","",IF(COUNTIFS(NOVEDADES!$C$4:$C$1503,$A2080,NOVEDADES!$M$4:$M$1503,"SÍ")&gt;0,"No","Sí"))</f>
        <v/>
      </c>
      <c r="P2080" s="27">
        <f>IF(OR($A2080="",$K2080=""),"",IF(AND($M2080="Sí",$O2080="Sí"),"OTIF","Falló"))</f>
        <v/>
      </c>
    </row>
    <row r="2081" ht="16" customHeight="1">
      <c r="A2081" s="47" t="n"/>
      <c r="B2081" s="46" t="n"/>
      <c r="C2081" s="49" t="n"/>
      <c r="D2081" s="49" t="n"/>
      <c r="E2081" s="49" t="n"/>
      <c r="F2081" s="49" t="n"/>
      <c r="G2081" s="47" t="n"/>
      <c r="H2081" s="50" t="n"/>
      <c r="I2081" s="51" t="n"/>
      <c r="J2081" s="46" t="n"/>
      <c r="K2081" s="46" t="n"/>
      <c r="L2081" s="23">
        <f>IF(OR($A2081="",$B2081=""),"",IF($K2081&lt;&gt;"",$K2081-$B2081,TODAY()-$B2081))</f>
        <v/>
      </c>
      <c r="M2081" s="27">
        <f>IF(OR($A2081="",$J2081=""),"",IF($K2081="",IF(TODAY()&gt;$J2081,"Atrasado","En ruta"),IF($K2081&lt;=$J2081,"Sí","No")))</f>
        <v/>
      </c>
      <c r="N2081" s="23">
        <f>IF($A2081="","",COUNTIFS(NOVEDADES!$C$4:$C$1503,$A2081))</f>
        <v/>
      </c>
      <c r="O2081" s="27">
        <f>IF($A2081="","",IF(COUNTIFS(NOVEDADES!$C$4:$C$1503,$A2081,NOVEDADES!$M$4:$M$1503,"SÍ")&gt;0,"No","Sí"))</f>
        <v/>
      </c>
      <c r="P2081" s="27">
        <f>IF(OR($A2081="",$K2081=""),"",IF(AND($M2081="Sí",$O2081="Sí"),"OTIF","Falló"))</f>
        <v/>
      </c>
    </row>
    <row r="2082" ht="16" customHeight="1">
      <c r="A2082" s="47" t="n"/>
      <c r="B2082" s="46" t="n"/>
      <c r="C2082" s="49" t="n"/>
      <c r="D2082" s="49" t="n"/>
      <c r="E2082" s="49" t="n"/>
      <c r="F2082" s="49" t="n"/>
      <c r="G2082" s="47" t="n"/>
      <c r="H2082" s="50" t="n"/>
      <c r="I2082" s="51" t="n"/>
      <c r="J2082" s="46" t="n"/>
      <c r="K2082" s="46" t="n"/>
      <c r="L2082" s="23">
        <f>IF(OR($A2082="",$B2082=""),"",IF($K2082&lt;&gt;"",$K2082-$B2082,TODAY()-$B2082))</f>
        <v/>
      </c>
      <c r="M2082" s="27">
        <f>IF(OR($A2082="",$J2082=""),"",IF($K2082="",IF(TODAY()&gt;$J2082,"Atrasado","En ruta"),IF($K2082&lt;=$J2082,"Sí","No")))</f>
        <v/>
      </c>
      <c r="N2082" s="23">
        <f>IF($A2082="","",COUNTIFS(NOVEDADES!$C$4:$C$1503,$A2082))</f>
        <v/>
      </c>
      <c r="O2082" s="27">
        <f>IF($A2082="","",IF(COUNTIFS(NOVEDADES!$C$4:$C$1503,$A2082,NOVEDADES!$M$4:$M$1503,"SÍ")&gt;0,"No","Sí"))</f>
        <v/>
      </c>
      <c r="P2082" s="27">
        <f>IF(OR($A2082="",$K2082=""),"",IF(AND($M2082="Sí",$O2082="Sí"),"OTIF","Falló"))</f>
        <v/>
      </c>
    </row>
    <row r="2083" ht="16" customHeight="1">
      <c r="A2083" s="47" t="n"/>
      <c r="B2083" s="46" t="n"/>
      <c r="C2083" s="49" t="n"/>
      <c r="D2083" s="49" t="n"/>
      <c r="E2083" s="49" t="n"/>
      <c r="F2083" s="49" t="n"/>
      <c r="G2083" s="47" t="n"/>
      <c r="H2083" s="50" t="n"/>
      <c r="I2083" s="51" t="n"/>
      <c r="J2083" s="46" t="n"/>
      <c r="K2083" s="46" t="n"/>
      <c r="L2083" s="23">
        <f>IF(OR($A2083="",$B2083=""),"",IF($K2083&lt;&gt;"",$K2083-$B2083,TODAY()-$B2083))</f>
        <v/>
      </c>
      <c r="M2083" s="27">
        <f>IF(OR($A2083="",$J2083=""),"",IF($K2083="",IF(TODAY()&gt;$J2083,"Atrasado","En ruta"),IF($K2083&lt;=$J2083,"Sí","No")))</f>
        <v/>
      </c>
      <c r="N2083" s="23">
        <f>IF($A2083="","",COUNTIFS(NOVEDADES!$C$4:$C$1503,$A2083))</f>
        <v/>
      </c>
      <c r="O2083" s="27">
        <f>IF($A2083="","",IF(COUNTIFS(NOVEDADES!$C$4:$C$1503,$A2083,NOVEDADES!$M$4:$M$1503,"SÍ")&gt;0,"No","Sí"))</f>
        <v/>
      </c>
      <c r="P2083" s="27">
        <f>IF(OR($A2083="",$K2083=""),"",IF(AND($M2083="Sí",$O2083="Sí"),"OTIF","Falló"))</f>
        <v/>
      </c>
    </row>
    <row r="2084" ht="16" customHeight="1">
      <c r="A2084" s="47" t="n"/>
      <c r="B2084" s="46" t="n"/>
      <c r="C2084" s="49" t="n"/>
      <c r="D2084" s="49" t="n"/>
      <c r="E2084" s="49" t="n"/>
      <c r="F2084" s="49" t="n"/>
      <c r="G2084" s="47" t="n"/>
      <c r="H2084" s="50" t="n"/>
      <c r="I2084" s="51" t="n"/>
      <c r="J2084" s="46" t="n"/>
      <c r="K2084" s="46" t="n"/>
      <c r="L2084" s="23">
        <f>IF(OR($A2084="",$B2084=""),"",IF($K2084&lt;&gt;"",$K2084-$B2084,TODAY()-$B2084))</f>
        <v/>
      </c>
      <c r="M2084" s="27">
        <f>IF(OR($A2084="",$J2084=""),"",IF($K2084="",IF(TODAY()&gt;$J2084,"Atrasado","En ruta"),IF($K2084&lt;=$J2084,"Sí","No")))</f>
        <v/>
      </c>
      <c r="N2084" s="23">
        <f>IF($A2084="","",COUNTIFS(NOVEDADES!$C$4:$C$1503,$A2084))</f>
        <v/>
      </c>
      <c r="O2084" s="27">
        <f>IF($A2084="","",IF(COUNTIFS(NOVEDADES!$C$4:$C$1503,$A2084,NOVEDADES!$M$4:$M$1503,"SÍ")&gt;0,"No","Sí"))</f>
        <v/>
      </c>
      <c r="P2084" s="27">
        <f>IF(OR($A2084="",$K2084=""),"",IF(AND($M2084="Sí",$O2084="Sí"),"OTIF","Falló"))</f>
        <v/>
      </c>
    </row>
    <row r="2085" ht="16" customHeight="1">
      <c r="A2085" s="47" t="n"/>
      <c r="B2085" s="46" t="n"/>
      <c r="C2085" s="49" t="n"/>
      <c r="D2085" s="49" t="n"/>
      <c r="E2085" s="49" t="n"/>
      <c r="F2085" s="49" t="n"/>
      <c r="G2085" s="47" t="n"/>
      <c r="H2085" s="50" t="n"/>
      <c r="I2085" s="51" t="n"/>
      <c r="J2085" s="46" t="n"/>
      <c r="K2085" s="46" t="n"/>
      <c r="L2085" s="23">
        <f>IF(OR($A2085="",$B2085=""),"",IF($K2085&lt;&gt;"",$K2085-$B2085,TODAY()-$B2085))</f>
        <v/>
      </c>
      <c r="M2085" s="27">
        <f>IF(OR($A2085="",$J2085=""),"",IF($K2085="",IF(TODAY()&gt;$J2085,"Atrasado","En ruta"),IF($K2085&lt;=$J2085,"Sí","No")))</f>
        <v/>
      </c>
      <c r="N2085" s="23">
        <f>IF($A2085="","",COUNTIFS(NOVEDADES!$C$4:$C$1503,$A2085))</f>
        <v/>
      </c>
      <c r="O2085" s="27">
        <f>IF($A2085="","",IF(COUNTIFS(NOVEDADES!$C$4:$C$1503,$A2085,NOVEDADES!$M$4:$M$1503,"SÍ")&gt;0,"No","Sí"))</f>
        <v/>
      </c>
      <c r="P2085" s="27">
        <f>IF(OR($A2085="",$K2085=""),"",IF(AND($M2085="Sí",$O2085="Sí"),"OTIF","Falló"))</f>
        <v/>
      </c>
    </row>
    <row r="2086" ht="16" customHeight="1">
      <c r="A2086" s="47" t="n"/>
      <c r="B2086" s="46" t="n"/>
      <c r="C2086" s="49" t="n"/>
      <c r="D2086" s="49" t="n"/>
      <c r="E2086" s="49" t="n"/>
      <c r="F2086" s="49" t="n"/>
      <c r="G2086" s="47" t="n"/>
      <c r="H2086" s="50" t="n"/>
      <c r="I2086" s="51" t="n"/>
      <c r="J2086" s="46" t="n"/>
      <c r="K2086" s="46" t="n"/>
      <c r="L2086" s="23">
        <f>IF(OR($A2086="",$B2086=""),"",IF($K2086&lt;&gt;"",$K2086-$B2086,TODAY()-$B2086))</f>
        <v/>
      </c>
      <c r="M2086" s="27">
        <f>IF(OR($A2086="",$J2086=""),"",IF($K2086="",IF(TODAY()&gt;$J2086,"Atrasado","En ruta"),IF($K2086&lt;=$J2086,"Sí","No")))</f>
        <v/>
      </c>
      <c r="N2086" s="23">
        <f>IF($A2086="","",COUNTIFS(NOVEDADES!$C$4:$C$1503,$A2086))</f>
        <v/>
      </c>
      <c r="O2086" s="27">
        <f>IF($A2086="","",IF(COUNTIFS(NOVEDADES!$C$4:$C$1503,$A2086,NOVEDADES!$M$4:$M$1503,"SÍ")&gt;0,"No","Sí"))</f>
        <v/>
      </c>
      <c r="P2086" s="27">
        <f>IF(OR($A2086="",$K2086=""),"",IF(AND($M2086="Sí",$O2086="Sí"),"OTIF","Falló"))</f>
        <v/>
      </c>
    </row>
    <row r="2087" ht="16" customHeight="1">
      <c r="A2087" s="47" t="n"/>
      <c r="B2087" s="46" t="n"/>
      <c r="C2087" s="49" t="n"/>
      <c r="D2087" s="49" t="n"/>
      <c r="E2087" s="49" t="n"/>
      <c r="F2087" s="49" t="n"/>
      <c r="G2087" s="47" t="n"/>
      <c r="H2087" s="50" t="n"/>
      <c r="I2087" s="51" t="n"/>
      <c r="J2087" s="46" t="n"/>
      <c r="K2087" s="46" t="n"/>
      <c r="L2087" s="23">
        <f>IF(OR($A2087="",$B2087=""),"",IF($K2087&lt;&gt;"",$K2087-$B2087,TODAY()-$B2087))</f>
        <v/>
      </c>
      <c r="M2087" s="27">
        <f>IF(OR($A2087="",$J2087=""),"",IF($K2087="",IF(TODAY()&gt;$J2087,"Atrasado","En ruta"),IF($K2087&lt;=$J2087,"Sí","No")))</f>
        <v/>
      </c>
      <c r="N2087" s="23">
        <f>IF($A2087="","",COUNTIFS(NOVEDADES!$C$4:$C$1503,$A2087))</f>
        <v/>
      </c>
      <c r="O2087" s="27">
        <f>IF($A2087="","",IF(COUNTIFS(NOVEDADES!$C$4:$C$1503,$A2087,NOVEDADES!$M$4:$M$1503,"SÍ")&gt;0,"No","Sí"))</f>
        <v/>
      </c>
      <c r="P2087" s="27">
        <f>IF(OR($A2087="",$K2087=""),"",IF(AND($M2087="Sí",$O2087="Sí"),"OTIF","Falló"))</f>
        <v/>
      </c>
    </row>
    <row r="2088" ht="16" customHeight="1">
      <c r="A2088" s="47" t="n"/>
      <c r="B2088" s="46" t="n"/>
      <c r="C2088" s="49" t="n"/>
      <c r="D2088" s="49" t="n"/>
      <c r="E2088" s="49" t="n"/>
      <c r="F2088" s="49" t="n"/>
      <c r="G2088" s="47" t="n"/>
      <c r="H2088" s="50" t="n"/>
      <c r="I2088" s="51" t="n"/>
      <c r="J2088" s="46" t="n"/>
      <c r="K2088" s="46" t="n"/>
      <c r="L2088" s="23">
        <f>IF(OR($A2088="",$B2088=""),"",IF($K2088&lt;&gt;"",$K2088-$B2088,TODAY()-$B2088))</f>
        <v/>
      </c>
      <c r="M2088" s="27">
        <f>IF(OR($A2088="",$J2088=""),"",IF($K2088="",IF(TODAY()&gt;$J2088,"Atrasado","En ruta"),IF($K2088&lt;=$J2088,"Sí","No")))</f>
        <v/>
      </c>
      <c r="N2088" s="23">
        <f>IF($A2088="","",COUNTIFS(NOVEDADES!$C$4:$C$1503,$A2088))</f>
        <v/>
      </c>
      <c r="O2088" s="27">
        <f>IF($A2088="","",IF(COUNTIFS(NOVEDADES!$C$4:$C$1503,$A2088,NOVEDADES!$M$4:$M$1503,"SÍ")&gt;0,"No","Sí"))</f>
        <v/>
      </c>
      <c r="P2088" s="27">
        <f>IF(OR($A2088="",$K2088=""),"",IF(AND($M2088="Sí",$O2088="Sí"),"OTIF","Falló"))</f>
        <v/>
      </c>
    </row>
    <row r="2089" ht="16" customHeight="1">
      <c r="A2089" s="47" t="n"/>
      <c r="B2089" s="46" t="n"/>
      <c r="C2089" s="49" t="n"/>
      <c r="D2089" s="49" t="n"/>
      <c r="E2089" s="49" t="n"/>
      <c r="F2089" s="49" t="n"/>
      <c r="G2089" s="47" t="n"/>
      <c r="H2089" s="50" t="n"/>
      <c r="I2089" s="51" t="n"/>
      <c r="J2089" s="46" t="n"/>
      <c r="K2089" s="46" t="n"/>
      <c r="L2089" s="23">
        <f>IF(OR($A2089="",$B2089=""),"",IF($K2089&lt;&gt;"",$K2089-$B2089,TODAY()-$B2089))</f>
        <v/>
      </c>
      <c r="M2089" s="27">
        <f>IF(OR($A2089="",$J2089=""),"",IF($K2089="",IF(TODAY()&gt;$J2089,"Atrasado","En ruta"),IF($K2089&lt;=$J2089,"Sí","No")))</f>
        <v/>
      </c>
      <c r="N2089" s="23">
        <f>IF($A2089="","",COUNTIFS(NOVEDADES!$C$4:$C$1503,$A2089))</f>
        <v/>
      </c>
      <c r="O2089" s="27">
        <f>IF($A2089="","",IF(COUNTIFS(NOVEDADES!$C$4:$C$1503,$A2089,NOVEDADES!$M$4:$M$1503,"SÍ")&gt;0,"No","Sí"))</f>
        <v/>
      </c>
      <c r="P2089" s="27">
        <f>IF(OR($A2089="",$K2089=""),"",IF(AND($M2089="Sí",$O2089="Sí"),"OTIF","Falló"))</f>
        <v/>
      </c>
    </row>
    <row r="2090" ht="16" customHeight="1">
      <c r="A2090" s="47" t="n"/>
      <c r="B2090" s="46" t="n"/>
      <c r="C2090" s="49" t="n"/>
      <c r="D2090" s="49" t="n"/>
      <c r="E2090" s="49" t="n"/>
      <c r="F2090" s="49" t="n"/>
      <c r="G2090" s="47" t="n"/>
      <c r="H2090" s="50" t="n"/>
      <c r="I2090" s="51" t="n"/>
      <c r="J2090" s="46" t="n"/>
      <c r="K2090" s="46" t="n"/>
      <c r="L2090" s="23">
        <f>IF(OR($A2090="",$B2090=""),"",IF($K2090&lt;&gt;"",$K2090-$B2090,TODAY()-$B2090))</f>
        <v/>
      </c>
      <c r="M2090" s="27">
        <f>IF(OR($A2090="",$J2090=""),"",IF($K2090="",IF(TODAY()&gt;$J2090,"Atrasado","En ruta"),IF($K2090&lt;=$J2090,"Sí","No")))</f>
        <v/>
      </c>
      <c r="N2090" s="23">
        <f>IF($A2090="","",COUNTIFS(NOVEDADES!$C$4:$C$1503,$A2090))</f>
        <v/>
      </c>
      <c r="O2090" s="27">
        <f>IF($A2090="","",IF(COUNTIFS(NOVEDADES!$C$4:$C$1503,$A2090,NOVEDADES!$M$4:$M$1503,"SÍ")&gt;0,"No","Sí"))</f>
        <v/>
      </c>
      <c r="P2090" s="27">
        <f>IF(OR($A2090="",$K2090=""),"",IF(AND($M2090="Sí",$O2090="Sí"),"OTIF","Falló"))</f>
        <v/>
      </c>
    </row>
    <row r="2091" ht="16" customHeight="1">
      <c r="A2091" s="47" t="n"/>
      <c r="B2091" s="46" t="n"/>
      <c r="C2091" s="49" t="n"/>
      <c r="D2091" s="49" t="n"/>
      <c r="E2091" s="49" t="n"/>
      <c r="F2091" s="49" t="n"/>
      <c r="G2091" s="47" t="n"/>
      <c r="H2091" s="50" t="n"/>
      <c r="I2091" s="51" t="n"/>
      <c r="J2091" s="46" t="n"/>
      <c r="K2091" s="46" t="n"/>
      <c r="L2091" s="23">
        <f>IF(OR($A2091="",$B2091=""),"",IF($K2091&lt;&gt;"",$K2091-$B2091,TODAY()-$B2091))</f>
        <v/>
      </c>
      <c r="M2091" s="27">
        <f>IF(OR($A2091="",$J2091=""),"",IF($K2091="",IF(TODAY()&gt;$J2091,"Atrasado","En ruta"),IF($K2091&lt;=$J2091,"Sí","No")))</f>
        <v/>
      </c>
      <c r="N2091" s="23">
        <f>IF($A2091="","",COUNTIFS(NOVEDADES!$C$4:$C$1503,$A2091))</f>
        <v/>
      </c>
      <c r="O2091" s="27">
        <f>IF($A2091="","",IF(COUNTIFS(NOVEDADES!$C$4:$C$1503,$A2091,NOVEDADES!$M$4:$M$1503,"SÍ")&gt;0,"No","Sí"))</f>
        <v/>
      </c>
      <c r="P2091" s="27">
        <f>IF(OR($A2091="",$K2091=""),"",IF(AND($M2091="Sí",$O2091="Sí"),"OTIF","Falló"))</f>
        <v/>
      </c>
    </row>
    <row r="2092" ht="16" customHeight="1">
      <c r="A2092" s="47" t="n"/>
      <c r="B2092" s="46" t="n"/>
      <c r="C2092" s="49" t="n"/>
      <c r="D2092" s="49" t="n"/>
      <c r="E2092" s="49" t="n"/>
      <c r="F2092" s="49" t="n"/>
      <c r="G2092" s="47" t="n"/>
      <c r="H2092" s="50" t="n"/>
      <c r="I2092" s="51" t="n"/>
      <c r="J2092" s="46" t="n"/>
      <c r="K2092" s="46" t="n"/>
      <c r="L2092" s="23">
        <f>IF(OR($A2092="",$B2092=""),"",IF($K2092&lt;&gt;"",$K2092-$B2092,TODAY()-$B2092))</f>
        <v/>
      </c>
      <c r="M2092" s="27">
        <f>IF(OR($A2092="",$J2092=""),"",IF($K2092="",IF(TODAY()&gt;$J2092,"Atrasado","En ruta"),IF($K2092&lt;=$J2092,"Sí","No")))</f>
        <v/>
      </c>
      <c r="N2092" s="23">
        <f>IF($A2092="","",COUNTIFS(NOVEDADES!$C$4:$C$1503,$A2092))</f>
        <v/>
      </c>
      <c r="O2092" s="27">
        <f>IF($A2092="","",IF(COUNTIFS(NOVEDADES!$C$4:$C$1503,$A2092,NOVEDADES!$M$4:$M$1503,"SÍ")&gt;0,"No","Sí"))</f>
        <v/>
      </c>
      <c r="P2092" s="27">
        <f>IF(OR($A2092="",$K2092=""),"",IF(AND($M2092="Sí",$O2092="Sí"),"OTIF","Falló"))</f>
        <v/>
      </c>
    </row>
    <row r="2093" ht="16" customHeight="1">
      <c r="A2093" s="47" t="n"/>
      <c r="B2093" s="46" t="n"/>
      <c r="C2093" s="49" t="n"/>
      <c r="D2093" s="49" t="n"/>
      <c r="E2093" s="49" t="n"/>
      <c r="F2093" s="49" t="n"/>
      <c r="G2093" s="47" t="n"/>
      <c r="H2093" s="50" t="n"/>
      <c r="I2093" s="51" t="n"/>
      <c r="J2093" s="46" t="n"/>
      <c r="K2093" s="46" t="n"/>
      <c r="L2093" s="23">
        <f>IF(OR($A2093="",$B2093=""),"",IF($K2093&lt;&gt;"",$K2093-$B2093,TODAY()-$B2093))</f>
        <v/>
      </c>
      <c r="M2093" s="27">
        <f>IF(OR($A2093="",$J2093=""),"",IF($K2093="",IF(TODAY()&gt;$J2093,"Atrasado","En ruta"),IF($K2093&lt;=$J2093,"Sí","No")))</f>
        <v/>
      </c>
      <c r="N2093" s="23">
        <f>IF($A2093="","",COUNTIFS(NOVEDADES!$C$4:$C$1503,$A2093))</f>
        <v/>
      </c>
      <c r="O2093" s="27">
        <f>IF($A2093="","",IF(COUNTIFS(NOVEDADES!$C$4:$C$1503,$A2093,NOVEDADES!$M$4:$M$1503,"SÍ")&gt;0,"No","Sí"))</f>
        <v/>
      </c>
      <c r="P2093" s="27">
        <f>IF(OR($A2093="",$K2093=""),"",IF(AND($M2093="Sí",$O2093="Sí"),"OTIF","Falló"))</f>
        <v/>
      </c>
    </row>
    <row r="2094" ht="16" customHeight="1">
      <c r="A2094" s="47" t="n"/>
      <c r="B2094" s="46" t="n"/>
      <c r="C2094" s="49" t="n"/>
      <c r="D2094" s="49" t="n"/>
      <c r="E2094" s="49" t="n"/>
      <c r="F2094" s="49" t="n"/>
      <c r="G2094" s="47" t="n"/>
      <c r="H2094" s="50" t="n"/>
      <c r="I2094" s="51" t="n"/>
      <c r="J2094" s="46" t="n"/>
      <c r="K2094" s="46" t="n"/>
      <c r="L2094" s="23">
        <f>IF(OR($A2094="",$B2094=""),"",IF($K2094&lt;&gt;"",$K2094-$B2094,TODAY()-$B2094))</f>
        <v/>
      </c>
      <c r="M2094" s="27">
        <f>IF(OR($A2094="",$J2094=""),"",IF($K2094="",IF(TODAY()&gt;$J2094,"Atrasado","En ruta"),IF($K2094&lt;=$J2094,"Sí","No")))</f>
        <v/>
      </c>
      <c r="N2094" s="23">
        <f>IF($A2094="","",COUNTIFS(NOVEDADES!$C$4:$C$1503,$A2094))</f>
        <v/>
      </c>
      <c r="O2094" s="27">
        <f>IF($A2094="","",IF(COUNTIFS(NOVEDADES!$C$4:$C$1503,$A2094,NOVEDADES!$M$4:$M$1503,"SÍ")&gt;0,"No","Sí"))</f>
        <v/>
      </c>
      <c r="P2094" s="27">
        <f>IF(OR($A2094="",$K2094=""),"",IF(AND($M2094="Sí",$O2094="Sí"),"OTIF","Falló"))</f>
        <v/>
      </c>
    </row>
    <row r="2095" ht="16" customHeight="1">
      <c r="A2095" s="47" t="n"/>
      <c r="B2095" s="46" t="n"/>
      <c r="C2095" s="49" t="n"/>
      <c r="D2095" s="49" t="n"/>
      <c r="E2095" s="49" t="n"/>
      <c r="F2095" s="49" t="n"/>
      <c r="G2095" s="47" t="n"/>
      <c r="H2095" s="50" t="n"/>
      <c r="I2095" s="51" t="n"/>
      <c r="J2095" s="46" t="n"/>
      <c r="K2095" s="46" t="n"/>
      <c r="L2095" s="23">
        <f>IF(OR($A2095="",$B2095=""),"",IF($K2095&lt;&gt;"",$K2095-$B2095,TODAY()-$B2095))</f>
        <v/>
      </c>
      <c r="M2095" s="27">
        <f>IF(OR($A2095="",$J2095=""),"",IF($K2095="",IF(TODAY()&gt;$J2095,"Atrasado","En ruta"),IF($K2095&lt;=$J2095,"Sí","No")))</f>
        <v/>
      </c>
      <c r="N2095" s="23">
        <f>IF($A2095="","",COUNTIFS(NOVEDADES!$C$4:$C$1503,$A2095))</f>
        <v/>
      </c>
      <c r="O2095" s="27">
        <f>IF($A2095="","",IF(COUNTIFS(NOVEDADES!$C$4:$C$1503,$A2095,NOVEDADES!$M$4:$M$1503,"SÍ")&gt;0,"No","Sí"))</f>
        <v/>
      </c>
      <c r="P2095" s="27">
        <f>IF(OR($A2095="",$K2095=""),"",IF(AND($M2095="Sí",$O2095="Sí"),"OTIF","Falló"))</f>
        <v/>
      </c>
    </row>
    <row r="2096" ht="16" customHeight="1">
      <c r="A2096" s="47" t="n"/>
      <c r="B2096" s="46" t="n"/>
      <c r="C2096" s="49" t="n"/>
      <c r="D2096" s="49" t="n"/>
      <c r="E2096" s="49" t="n"/>
      <c r="F2096" s="49" t="n"/>
      <c r="G2096" s="47" t="n"/>
      <c r="H2096" s="50" t="n"/>
      <c r="I2096" s="51" t="n"/>
      <c r="J2096" s="46" t="n"/>
      <c r="K2096" s="46" t="n"/>
      <c r="L2096" s="23">
        <f>IF(OR($A2096="",$B2096=""),"",IF($K2096&lt;&gt;"",$K2096-$B2096,TODAY()-$B2096))</f>
        <v/>
      </c>
      <c r="M2096" s="27">
        <f>IF(OR($A2096="",$J2096=""),"",IF($K2096="",IF(TODAY()&gt;$J2096,"Atrasado","En ruta"),IF($K2096&lt;=$J2096,"Sí","No")))</f>
        <v/>
      </c>
      <c r="N2096" s="23">
        <f>IF($A2096="","",COUNTIFS(NOVEDADES!$C$4:$C$1503,$A2096))</f>
        <v/>
      </c>
      <c r="O2096" s="27">
        <f>IF($A2096="","",IF(COUNTIFS(NOVEDADES!$C$4:$C$1503,$A2096,NOVEDADES!$M$4:$M$1503,"SÍ")&gt;0,"No","Sí"))</f>
        <v/>
      </c>
      <c r="P2096" s="27">
        <f>IF(OR($A2096="",$K2096=""),"",IF(AND($M2096="Sí",$O2096="Sí"),"OTIF","Falló"))</f>
        <v/>
      </c>
    </row>
    <row r="2097" ht="16" customHeight="1">
      <c r="A2097" s="47" t="n"/>
      <c r="B2097" s="46" t="n"/>
      <c r="C2097" s="49" t="n"/>
      <c r="D2097" s="49" t="n"/>
      <c r="E2097" s="49" t="n"/>
      <c r="F2097" s="49" t="n"/>
      <c r="G2097" s="47" t="n"/>
      <c r="H2097" s="50" t="n"/>
      <c r="I2097" s="51" t="n"/>
      <c r="J2097" s="46" t="n"/>
      <c r="K2097" s="46" t="n"/>
      <c r="L2097" s="23">
        <f>IF(OR($A2097="",$B2097=""),"",IF($K2097&lt;&gt;"",$K2097-$B2097,TODAY()-$B2097))</f>
        <v/>
      </c>
      <c r="M2097" s="27">
        <f>IF(OR($A2097="",$J2097=""),"",IF($K2097="",IF(TODAY()&gt;$J2097,"Atrasado","En ruta"),IF($K2097&lt;=$J2097,"Sí","No")))</f>
        <v/>
      </c>
      <c r="N2097" s="23">
        <f>IF($A2097="","",COUNTIFS(NOVEDADES!$C$4:$C$1503,$A2097))</f>
        <v/>
      </c>
      <c r="O2097" s="27">
        <f>IF($A2097="","",IF(COUNTIFS(NOVEDADES!$C$4:$C$1503,$A2097,NOVEDADES!$M$4:$M$1503,"SÍ")&gt;0,"No","Sí"))</f>
        <v/>
      </c>
      <c r="P2097" s="27">
        <f>IF(OR($A2097="",$K2097=""),"",IF(AND($M2097="Sí",$O2097="Sí"),"OTIF","Falló"))</f>
        <v/>
      </c>
    </row>
    <row r="2098" ht="16" customHeight="1">
      <c r="A2098" s="47" t="n"/>
      <c r="B2098" s="46" t="n"/>
      <c r="C2098" s="49" t="n"/>
      <c r="D2098" s="49" t="n"/>
      <c r="E2098" s="49" t="n"/>
      <c r="F2098" s="49" t="n"/>
      <c r="G2098" s="47" t="n"/>
      <c r="H2098" s="50" t="n"/>
      <c r="I2098" s="51" t="n"/>
      <c r="J2098" s="46" t="n"/>
      <c r="K2098" s="46" t="n"/>
      <c r="L2098" s="23">
        <f>IF(OR($A2098="",$B2098=""),"",IF($K2098&lt;&gt;"",$K2098-$B2098,TODAY()-$B2098))</f>
        <v/>
      </c>
      <c r="M2098" s="27">
        <f>IF(OR($A2098="",$J2098=""),"",IF($K2098="",IF(TODAY()&gt;$J2098,"Atrasado","En ruta"),IF($K2098&lt;=$J2098,"Sí","No")))</f>
        <v/>
      </c>
      <c r="N2098" s="23">
        <f>IF($A2098="","",COUNTIFS(NOVEDADES!$C$4:$C$1503,$A2098))</f>
        <v/>
      </c>
      <c r="O2098" s="27">
        <f>IF($A2098="","",IF(COUNTIFS(NOVEDADES!$C$4:$C$1503,$A2098,NOVEDADES!$M$4:$M$1503,"SÍ")&gt;0,"No","Sí"))</f>
        <v/>
      </c>
      <c r="P2098" s="27">
        <f>IF(OR($A2098="",$K2098=""),"",IF(AND($M2098="Sí",$O2098="Sí"),"OTIF","Falló"))</f>
        <v/>
      </c>
    </row>
    <row r="2099" ht="16" customHeight="1">
      <c r="A2099" s="47" t="n"/>
      <c r="B2099" s="46" t="n"/>
      <c r="C2099" s="49" t="n"/>
      <c r="D2099" s="49" t="n"/>
      <c r="E2099" s="49" t="n"/>
      <c r="F2099" s="49" t="n"/>
      <c r="G2099" s="47" t="n"/>
      <c r="H2099" s="50" t="n"/>
      <c r="I2099" s="51" t="n"/>
      <c r="J2099" s="46" t="n"/>
      <c r="K2099" s="46" t="n"/>
      <c r="L2099" s="23">
        <f>IF(OR($A2099="",$B2099=""),"",IF($K2099&lt;&gt;"",$K2099-$B2099,TODAY()-$B2099))</f>
        <v/>
      </c>
      <c r="M2099" s="27">
        <f>IF(OR($A2099="",$J2099=""),"",IF($K2099="",IF(TODAY()&gt;$J2099,"Atrasado","En ruta"),IF($K2099&lt;=$J2099,"Sí","No")))</f>
        <v/>
      </c>
      <c r="N2099" s="23">
        <f>IF($A2099="","",COUNTIFS(NOVEDADES!$C$4:$C$1503,$A2099))</f>
        <v/>
      </c>
      <c r="O2099" s="27">
        <f>IF($A2099="","",IF(COUNTIFS(NOVEDADES!$C$4:$C$1503,$A2099,NOVEDADES!$M$4:$M$1503,"SÍ")&gt;0,"No","Sí"))</f>
        <v/>
      </c>
      <c r="P2099" s="27">
        <f>IF(OR($A2099="",$K2099=""),"",IF(AND($M2099="Sí",$O2099="Sí"),"OTIF","Falló"))</f>
        <v/>
      </c>
    </row>
    <row r="2100" ht="16" customHeight="1">
      <c r="A2100" s="47" t="n"/>
      <c r="B2100" s="46" t="n"/>
      <c r="C2100" s="49" t="n"/>
      <c r="D2100" s="49" t="n"/>
      <c r="E2100" s="49" t="n"/>
      <c r="F2100" s="49" t="n"/>
      <c r="G2100" s="47" t="n"/>
      <c r="H2100" s="50" t="n"/>
      <c r="I2100" s="51" t="n"/>
      <c r="J2100" s="46" t="n"/>
      <c r="K2100" s="46" t="n"/>
      <c r="L2100" s="23">
        <f>IF(OR($A2100="",$B2100=""),"",IF($K2100&lt;&gt;"",$K2100-$B2100,TODAY()-$B2100))</f>
        <v/>
      </c>
      <c r="M2100" s="27">
        <f>IF(OR($A2100="",$J2100=""),"",IF($K2100="",IF(TODAY()&gt;$J2100,"Atrasado","En ruta"),IF($K2100&lt;=$J2100,"Sí","No")))</f>
        <v/>
      </c>
      <c r="N2100" s="23">
        <f>IF($A2100="","",COUNTIFS(NOVEDADES!$C$4:$C$1503,$A2100))</f>
        <v/>
      </c>
      <c r="O2100" s="27">
        <f>IF($A2100="","",IF(COUNTIFS(NOVEDADES!$C$4:$C$1503,$A2100,NOVEDADES!$M$4:$M$1503,"SÍ")&gt;0,"No","Sí"))</f>
        <v/>
      </c>
      <c r="P2100" s="27">
        <f>IF(OR($A2100="",$K2100=""),"",IF(AND($M2100="Sí",$O2100="Sí"),"OTIF","Falló"))</f>
        <v/>
      </c>
    </row>
    <row r="2101" ht="16" customHeight="1">
      <c r="A2101" s="47" t="n"/>
      <c r="B2101" s="46" t="n"/>
      <c r="C2101" s="49" t="n"/>
      <c r="D2101" s="49" t="n"/>
      <c r="E2101" s="49" t="n"/>
      <c r="F2101" s="49" t="n"/>
      <c r="G2101" s="47" t="n"/>
      <c r="H2101" s="50" t="n"/>
      <c r="I2101" s="51" t="n"/>
      <c r="J2101" s="46" t="n"/>
      <c r="K2101" s="46" t="n"/>
      <c r="L2101" s="23">
        <f>IF(OR($A2101="",$B2101=""),"",IF($K2101&lt;&gt;"",$K2101-$B2101,TODAY()-$B2101))</f>
        <v/>
      </c>
      <c r="M2101" s="27">
        <f>IF(OR($A2101="",$J2101=""),"",IF($K2101="",IF(TODAY()&gt;$J2101,"Atrasado","En ruta"),IF($K2101&lt;=$J2101,"Sí","No")))</f>
        <v/>
      </c>
      <c r="N2101" s="23">
        <f>IF($A2101="","",COUNTIFS(NOVEDADES!$C$4:$C$1503,$A2101))</f>
        <v/>
      </c>
      <c r="O2101" s="27">
        <f>IF($A2101="","",IF(COUNTIFS(NOVEDADES!$C$4:$C$1503,$A2101,NOVEDADES!$M$4:$M$1503,"SÍ")&gt;0,"No","Sí"))</f>
        <v/>
      </c>
      <c r="P2101" s="27">
        <f>IF(OR($A2101="",$K2101=""),"",IF(AND($M2101="Sí",$O2101="Sí"),"OTIF","Falló"))</f>
        <v/>
      </c>
    </row>
    <row r="2102" ht="16" customHeight="1">
      <c r="A2102" s="47" t="n"/>
      <c r="B2102" s="46" t="n"/>
      <c r="C2102" s="49" t="n"/>
      <c r="D2102" s="49" t="n"/>
      <c r="E2102" s="49" t="n"/>
      <c r="F2102" s="49" t="n"/>
      <c r="G2102" s="47" t="n"/>
      <c r="H2102" s="50" t="n"/>
      <c r="I2102" s="51" t="n"/>
      <c r="J2102" s="46" t="n"/>
      <c r="K2102" s="46" t="n"/>
      <c r="L2102" s="23">
        <f>IF(OR($A2102="",$B2102=""),"",IF($K2102&lt;&gt;"",$K2102-$B2102,TODAY()-$B2102))</f>
        <v/>
      </c>
      <c r="M2102" s="27">
        <f>IF(OR($A2102="",$J2102=""),"",IF($K2102="",IF(TODAY()&gt;$J2102,"Atrasado","En ruta"),IF($K2102&lt;=$J2102,"Sí","No")))</f>
        <v/>
      </c>
      <c r="N2102" s="23">
        <f>IF($A2102="","",COUNTIFS(NOVEDADES!$C$4:$C$1503,$A2102))</f>
        <v/>
      </c>
      <c r="O2102" s="27">
        <f>IF($A2102="","",IF(COUNTIFS(NOVEDADES!$C$4:$C$1503,$A2102,NOVEDADES!$M$4:$M$1503,"SÍ")&gt;0,"No","Sí"))</f>
        <v/>
      </c>
      <c r="P2102" s="27">
        <f>IF(OR($A2102="",$K2102=""),"",IF(AND($M2102="Sí",$O2102="Sí"),"OTIF","Falló"))</f>
        <v/>
      </c>
    </row>
    <row r="2103" ht="16" customHeight="1">
      <c r="A2103" s="47" t="n"/>
      <c r="B2103" s="46" t="n"/>
      <c r="C2103" s="49" t="n"/>
      <c r="D2103" s="49" t="n"/>
      <c r="E2103" s="49" t="n"/>
      <c r="F2103" s="49" t="n"/>
      <c r="G2103" s="47" t="n"/>
      <c r="H2103" s="50" t="n"/>
      <c r="I2103" s="51" t="n"/>
      <c r="J2103" s="46" t="n"/>
      <c r="K2103" s="46" t="n"/>
      <c r="L2103" s="23">
        <f>IF(OR($A2103="",$B2103=""),"",IF($K2103&lt;&gt;"",$K2103-$B2103,TODAY()-$B2103))</f>
        <v/>
      </c>
      <c r="M2103" s="27">
        <f>IF(OR($A2103="",$J2103=""),"",IF($K2103="",IF(TODAY()&gt;$J2103,"Atrasado","En ruta"),IF($K2103&lt;=$J2103,"Sí","No")))</f>
        <v/>
      </c>
      <c r="N2103" s="23">
        <f>IF($A2103="","",COUNTIFS(NOVEDADES!$C$4:$C$1503,$A2103))</f>
        <v/>
      </c>
      <c r="O2103" s="27">
        <f>IF($A2103="","",IF(COUNTIFS(NOVEDADES!$C$4:$C$1503,$A2103,NOVEDADES!$M$4:$M$1503,"SÍ")&gt;0,"No","Sí"))</f>
        <v/>
      </c>
      <c r="P2103" s="27">
        <f>IF(OR($A2103="",$K2103=""),"",IF(AND($M2103="Sí",$O2103="Sí"),"OTIF","Falló"))</f>
        <v/>
      </c>
    </row>
    <row r="2104" ht="16" customHeight="1">
      <c r="A2104" s="47" t="n"/>
      <c r="B2104" s="46" t="n"/>
      <c r="C2104" s="49" t="n"/>
      <c r="D2104" s="49" t="n"/>
      <c r="E2104" s="49" t="n"/>
      <c r="F2104" s="49" t="n"/>
      <c r="G2104" s="47" t="n"/>
      <c r="H2104" s="50" t="n"/>
      <c r="I2104" s="51" t="n"/>
      <c r="J2104" s="46" t="n"/>
      <c r="K2104" s="46" t="n"/>
      <c r="L2104" s="23">
        <f>IF(OR($A2104="",$B2104=""),"",IF($K2104&lt;&gt;"",$K2104-$B2104,TODAY()-$B2104))</f>
        <v/>
      </c>
      <c r="M2104" s="27">
        <f>IF(OR($A2104="",$J2104=""),"",IF($K2104="",IF(TODAY()&gt;$J2104,"Atrasado","En ruta"),IF($K2104&lt;=$J2104,"Sí","No")))</f>
        <v/>
      </c>
      <c r="N2104" s="23">
        <f>IF($A2104="","",COUNTIFS(NOVEDADES!$C$4:$C$1503,$A2104))</f>
        <v/>
      </c>
      <c r="O2104" s="27">
        <f>IF($A2104="","",IF(COUNTIFS(NOVEDADES!$C$4:$C$1503,$A2104,NOVEDADES!$M$4:$M$1503,"SÍ")&gt;0,"No","Sí"))</f>
        <v/>
      </c>
      <c r="P2104" s="27">
        <f>IF(OR($A2104="",$K2104=""),"",IF(AND($M2104="Sí",$O2104="Sí"),"OTIF","Falló"))</f>
        <v/>
      </c>
    </row>
    <row r="2105" ht="16" customHeight="1">
      <c r="A2105" s="47" t="n"/>
      <c r="B2105" s="46" t="n"/>
      <c r="C2105" s="49" t="n"/>
      <c r="D2105" s="49" t="n"/>
      <c r="E2105" s="49" t="n"/>
      <c r="F2105" s="49" t="n"/>
      <c r="G2105" s="47" t="n"/>
      <c r="H2105" s="50" t="n"/>
      <c r="I2105" s="51" t="n"/>
      <c r="J2105" s="46" t="n"/>
      <c r="K2105" s="46" t="n"/>
      <c r="L2105" s="23">
        <f>IF(OR($A2105="",$B2105=""),"",IF($K2105&lt;&gt;"",$K2105-$B2105,TODAY()-$B2105))</f>
        <v/>
      </c>
      <c r="M2105" s="27">
        <f>IF(OR($A2105="",$J2105=""),"",IF($K2105="",IF(TODAY()&gt;$J2105,"Atrasado","En ruta"),IF($K2105&lt;=$J2105,"Sí","No")))</f>
        <v/>
      </c>
      <c r="N2105" s="23">
        <f>IF($A2105="","",COUNTIFS(NOVEDADES!$C$4:$C$1503,$A2105))</f>
        <v/>
      </c>
      <c r="O2105" s="27">
        <f>IF($A2105="","",IF(COUNTIFS(NOVEDADES!$C$4:$C$1503,$A2105,NOVEDADES!$M$4:$M$1503,"SÍ")&gt;0,"No","Sí"))</f>
        <v/>
      </c>
      <c r="P2105" s="27">
        <f>IF(OR($A2105="",$K2105=""),"",IF(AND($M2105="Sí",$O2105="Sí"),"OTIF","Falló"))</f>
        <v/>
      </c>
    </row>
    <row r="2106" ht="16" customHeight="1">
      <c r="A2106" s="47" t="n"/>
      <c r="B2106" s="46" t="n"/>
      <c r="C2106" s="49" t="n"/>
      <c r="D2106" s="49" t="n"/>
      <c r="E2106" s="49" t="n"/>
      <c r="F2106" s="49" t="n"/>
      <c r="G2106" s="47" t="n"/>
      <c r="H2106" s="50" t="n"/>
      <c r="I2106" s="51" t="n"/>
      <c r="J2106" s="46" t="n"/>
      <c r="K2106" s="46" t="n"/>
      <c r="L2106" s="23">
        <f>IF(OR($A2106="",$B2106=""),"",IF($K2106&lt;&gt;"",$K2106-$B2106,TODAY()-$B2106))</f>
        <v/>
      </c>
      <c r="M2106" s="27">
        <f>IF(OR($A2106="",$J2106=""),"",IF($K2106="",IF(TODAY()&gt;$J2106,"Atrasado","En ruta"),IF($K2106&lt;=$J2106,"Sí","No")))</f>
        <v/>
      </c>
      <c r="N2106" s="23">
        <f>IF($A2106="","",COUNTIFS(NOVEDADES!$C$4:$C$1503,$A2106))</f>
        <v/>
      </c>
      <c r="O2106" s="27">
        <f>IF($A2106="","",IF(COUNTIFS(NOVEDADES!$C$4:$C$1503,$A2106,NOVEDADES!$M$4:$M$1503,"SÍ")&gt;0,"No","Sí"))</f>
        <v/>
      </c>
      <c r="P2106" s="27">
        <f>IF(OR($A2106="",$K2106=""),"",IF(AND($M2106="Sí",$O2106="Sí"),"OTIF","Falló"))</f>
        <v/>
      </c>
    </row>
    <row r="2107" ht="16" customHeight="1">
      <c r="A2107" s="47" t="n"/>
      <c r="B2107" s="46" t="n"/>
      <c r="C2107" s="49" t="n"/>
      <c r="D2107" s="49" t="n"/>
      <c r="E2107" s="49" t="n"/>
      <c r="F2107" s="49" t="n"/>
      <c r="G2107" s="47" t="n"/>
      <c r="H2107" s="50" t="n"/>
      <c r="I2107" s="51" t="n"/>
      <c r="J2107" s="46" t="n"/>
      <c r="K2107" s="46" t="n"/>
      <c r="L2107" s="23">
        <f>IF(OR($A2107="",$B2107=""),"",IF($K2107&lt;&gt;"",$K2107-$B2107,TODAY()-$B2107))</f>
        <v/>
      </c>
      <c r="M2107" s="27">
        <f>IF(OR($A2107="",$J2107=""),"",IF($K2107="",IF(TODAY()&gt;$J2107,"Atrasado","En ruta"),IF($K2107&lt;=$J2107,"Sí","No")))</f>
        <v/>
      </c>
      <c r="N2107" s="23">
        <f>IF($A2107="","",COUNTIFS(NOVEDADES!$C$4:$C$1503,$A2107))</f>
        <v/>
      </c>
      <c r="O2107" s="27">
        <f>IF($A2107="","",IF(COUNTIFS(NOVEDADES!$C$4:$C$1503,$A2107,NOVEDADES!$M$4:$M$1503,"SÍ")&gt;0,"No","Sí"))</f>
        <v/>
      </c>
      <c r="P2107" s="27">
        <f>IF(OR($A2107="",$K2107=""),"",IF(AND($M2107="Sí",$O2107="Sí"),"OTIF","Falló"))</f>
        <v/>
      </c>
    </row>
    <row r="2108" ht="16" customHeight="1">
      <c r="A2108" s="47" t="n"/>
      <c r="B2108" s="46" t="n"/>
      <c r="C2108" s="49" t="n"/>
      <c r="D2108" s="49" t="n"/>
      <c r="E2108" s="49" t="n"/>
      <c r="F2108" s="49" t="n"/>
      <c r="G2108" s="47" t="n"/>
      <c r="H2108" s="50" t="n"/>
      <c r="I2108" s="51" t="n"/>
      <c r="J2108" s="46" t="n"/>
      <c r="K2108" s="46" t="n"/>
      <c r="L2108" s="23">
        <f>IF(OR($A2108="",$B2108=""),"",IF($K2108&lt;&gt;"",$K2108-$B2108,TODAY()-$B2108))</f>
        <v/>
      </c>
      <c r="M2108" s="27">
        <f>IF(OR($A2108="",$J2108=""),"",IF($K2108="",IF(TODAY()&gt;$J2108,"Atrasado","En ruta"),IF($K2108&lt;=$J2108,"Sí","No")))</f>
        <v/>
      </c>
      <c r="N2108" s="23">
        <f>IF($A2108="","",COUNTIFS(NOVEDADES!$C$4:$C$1503,$A2108))</f>
        <v/>
      </c>
      <c r="O2108" s="27">
        <f>IF($A2108="","",IF(COUNTIFS(NOVEDADES!$C$4:$C$1503,$A2108,NOVEDADES!$M$4:$M$1503,"SÍ")&gt;0,"No","Sí"))</f>
        <v/>
      </c>
      <c r="P2108" s="27">
        <f>IF(OR($A2108="",$K2108=""),"",IF(AND($M2108="Sí",$O2108="Sí"),"OTIF","Falló"))</f>
        <v/>
      </c>
    </row>
    <row r="2109" ht="16" customHeight="1">
      <c r="A2109" s="47" t="n"/>
      <c r="B2109" s="46" t="n"/>
      <c r="C2109" s="49" t="n"/>
      <c r="D2109" s="49" t="n"/>
      <c r="E2109" s="49" t="n"/>
      <c r="F2109" s="49" t="n"/>
      <c r="G2109" s="47" t="n"/>
      <c r="H2109" s="50" t="n"/>
      <c r="I2109" s="51" t="n"/>
      <c r="J2109" s="46" t="n"/>
      <c r="K2109" s="46" t="n"/>
      <c r="L2109" s="23">
        <f>IF(OR($A2109="",$B2109=""),"",IF($K2109&lt;&gt;"",$K2109-$B2109,TODAY()-$B2109))</f>
        <v/>
      </c>
      <c r="M2109" s="27">
        <f>IF(OR($A2109="",$J2109=""),"",IF($K2109="",IF(TODAY()&gt;$J2109,"Atrasado","En ruta"),IF($K2109&lt;=$J2109,"Sí","No")))</f>
        <v/>
      </c>
      <c r="N2109" s="23">
        <f>IF($A2109="","",COUNTIFS(NOVEDADES!$C$4:$C$1503,$A2109))</f>
        <v/>
      </c>
      <c r="O2109" s="27">
        <f>IF($A2109="","",IF(COUNTIFS(NOVEDADES!$C$4:$C$1503,$A2109,NOVEDADES!$M$4:$M$1503,"SÍ")&gt;0,"No","Sí"))</f>
        <v/>
      </c>
      <c r="P2109" s="27">
        <f>IF(OR($A2109="",$K2109=""),"",IF(AND($M2109="Sí",$O2109="Sí"),"OTIF","Falló"))</f>
        <v/>
      </c>
    </row>
    <row r="2110" ht="16" customHeight="1">
      <c r="A2110" s="47" t="n"/>
      <c r="B2110" s="46" t="n"/>
      <c r="C2110" s="49" t="n"/>
      <c r="D2110" s="49" t="n"/>
      <c r="E2110" s="49" t="n"/>
      <c r="F2110" s="49" t="n"/>
      <c r="G2110" s="47" t="n"/>
      <c r="H2110" s="50" t="n"/>
      <c r="I2110" s="51" t="n"/>
      <c r="J2110" s="46" t="n"/>
      <c r="K2110" s="46" t="n"/>
      <c r="L2110" s="23">
        <f>IF(OR($A2110="",$B2110=""),"",IF($K2110&lt;&gt;"",$K2110-$B2110,TODAY()-$B2110))</f>
        <v/>
      </c>
      <c r="M2110" s="27">
        <f>IF(OR($A2110="",$J2110=""),"",IF($K2110="",IF(TODAY()&gt;$J2110,"Atrasado","En ruta"),IF($K2110&lt;=$J2110,"Sí","No")))</f>
        <v/>
      </c>
      <c r="N2110" s="23">
        <f>IF($A2110="","",COUNTIFS(NOVEDADES!$C$4:$C$1503,$A2110))</f>
        <v/>
      </c>
      <c r="O2110" s="27">
        <f>IF($A2110="","",IF(COUNTIFS(NOVEDADES!$C$4:$C$1503,$A2110,NOVEDADES!$M$4:$M$1503,"SÍ")&gt;0,"No","Sí"))</f>
        <v/>
      </c>
      <c r="P2110" s="27">
        <f>IF(OR($A2110="",$K2110=""),"",IF(AND($M2110="Sí",$O2110="Sí"),"OTIF","Falló"))</f>
        <v/>
      </c>
    </row>
    <row r="2111" ht="16" customHeight="1">
      <c r="A2111" s="47" t="n"/>
      <c r="B2111" s="46" t="n"/>
      <c r="C2111" s="49" t="n"/>
      <c r="D2111" s="49" t="n"/>
      <c r="E2111" s="49" t="n"/>
      <c r="F2111" s="49" t="n"/>
      <c r="G2111" s="47" t="n"/>
      <c r="H2111" s="50" t="n"/>
      <c r="I2111" s="51" t="n"/>
      <c r="J2111" s="46" t="n"/>
      <c r="K2111" s="46" t="n"/>
      <c r="L2111" s="23">
        <f>IF(OR($A2111="",$B2111=""),"",IF($K2111&lt;&gt;"",$K2111-$B2111,TODAY()-$B2111))</f>
        <v/>
      </c>
      <c r="M2111" s="27">
        <f>IF(OR($A2111="",$J2111=""),"",IF($K2111="",IF(TODAY()&gt;$J2111,"Atrasado","En ruta"),IF($K2111&lt;=$J2111,"Sí","No")))</f>
        <v/>
      </c>
      <c r="N2111" s="23">
        <f>IF($A2111="","",COUNTIFS(NOVEDADES!$C$4:$C$1503,$A2111))</f>
        <v/>
      </c>
      <c r="O2111" s="27">
        <f>IF($A2111="","",IF(COUNTIFS(NOVEDADES!$C$4:$C$1503,$A2111,NOVEDADES!$M$4:$M$1503,"SÍ")&gt;0,"No","Sí"))</f>
        <v/>
      </c>
      <c r="P2111" s="27">
        <f>IF(OR($A2111="",$K2111=""),"",IF(AND($M2111="Sí",$O2111="Sí"),"OTIF","Falló"))</f>
        <v/>
      </c>
    </row>
    <row r="2112" ht="16" customHeight="1">
      <c r="A2112" s="47" t="n"/>
      <c r="B2112" s="46" t="n"/>
      <c r="C2112" s="49" t="n"/>
      <c r="D2112" s="49" t="n"/>
      <c r="E2112" s="49" t="n"/>
      <c r="F2112" s="49" t="n"/>
      <c r="G2112" s="47" t="n"/>
      <c r="H2112" s="50" t="n"/>
      <c r="I2112" s="51" t="n"/>
      <c r="J2112" s="46" t="n"/>
      <c r="K2112" s="46" t="n"/>
      <c r="L2112" s="23">
        <f>IF(OR($A2112="",$B2112=""),"",IF($K2112&lt;&gt;"",$K2112-$B2112,TODAY()-$B2112))</f>
        <v/>
      </c>
      <c r="M2112" s="27">
        <f>IF(OR($A2112="",$J2112=""),"",IF($K2112="",IF(TODAY()&gt;$J2112,"Atrasado","En ruta"),IF($K2112&lt;=$J2112,"Sí","No")))</f>
        <v/>
      </c>
      <c r="N2112" s="23">
        <f>IF($A2112="","",COUNTIFS(NOVEDADES!$C$4:$C$1503,$A2112))</f>
        <v/>
      </c>
      <c r="O2112" s="27">
        <f>IF($A2112="","",IF(COUNTIFS(NOVEDADES!$C$4:$C$1503,$A2112,NOVEDADES!$M$4:$M$1503,"SÍ")&gt;0,"No","Sí"))</f>
        <v/>
      </c>
      <c r="P2112" s="27">
        <f>IF(OR($A2112="",$K2112=""),"",IF(AND($M2112="Sí",$O2112="Sí"),"OTIF","Falló"))</f>
        <v/>
      </c>
    </row>
    <row r="2113" ht="16" customHeight="1">
      <c r="A2113" s="47" t="n"/>
      <c r="B2113" s="46" t="n"/>
      <c r="C2113" s="49" t="n"/>
      <c r="D2113" s="49" t="n"/>
      <c r="E2113" s="49" t="n"/>
      <c r="F2113" s="49" t="n"/>
      <c r="G2113" s="47" t="n"/>
      <c r="H2113" s="50" t="n"/>
      <c r="I2113" s="51" t="n"/>
      <c r="J2113" s="46" t="n"/>
      <c r="K2113" s="46" t="n"/>
      <c r="L2113" s="23">
        <f>IF(OR($A2113="",$B2113=""),"",IF($K2113&lt;&gt;"",$K2113-$B2113,TODAY()-$B2113))</f>
        <v/>
      </c>
      <c r="M2113" s="27">
        <f>IF(OR($A2113="",$J2113=""),"",IF($K2113="",IF(TODAY()&gt;$J2113,"Atrasado","En ruta"),IF($K2113&lt;=$J2113,"Sí","No")))</f>
        <v/>
      </c>
      <c r="N2113" s="23">
        <f>IF($A2113="","",COUNTIFS(NOVEDADES!$C$4:$C$1503,$A2113))</f>
        <v/>
      </c>
      <c r="O2113" s="27">
        <f>IF($A2113="","",IF(COUNTIFS(NOVEDADES!$C$4:$C$1503,$A2113,NOVEDADES!$M$4:$M$1503,"SÍ")&gt;0,"No","Sí"))</f>
        <v/>
      </c>
      <c r="P2113" s="27">
        <f>IF(OR($A2113="",$K2113=""),"",IF(AND($M2113="Sí",$O2113="Sí"),"OTIF","Falló"))</f>
        <v/>
      </c>
    </row>
    <row r="2114" ht="16" customHeight="1">
      <c r="A2114" s="47" t="n"/>
      <c r="B2114" s="46" t="n"/>
      <c r="C2114" s="49" t="n"/>
      <c r="D2114" s="49" t="n"/>
      <c r="E2114" s="49" t="n"/>
      <c r="F2114" s="49" t="n"/>
      <c r="G2114" s="47" t="n"/>
      <c r="H2114" s="50" t="n"/>
      <c r="I2114" s="51" t="n"/>
      <c r="J2114" s="46" t="n"/>
      <c r="K2114" s="46" t="n"/>
      <c r="L2114" s="23">
        <f>IF(OR($A2114="",$B2114=""),"",IF($K2114&lt;&gt;"",$K2114-$B2114,TODAY()-$B2114))</f>
        <v/>
      </c>
      <c r="M2114" s="27">
        <f>IF(OR($A2114="",$J2114=""),"",IF($K2114="",IF(TODAY()&gt;$J2114,"Atrasado","En ruta"),IF($K2114&lt;=$J2114,"Sí","No")))</f>
        <v/>
      </c>
      <c r="N2114" s="23">
        <f>IF($A2114="","",COUNTIFS(NOVEDADES!$C$4:$C$1503,$A2114))</f>
        <v/>
      </c>
      <c r="O2114" s="27">
        <f>IF($A2114="","",IF(COUNTIFS(NOVEDADES!$C$4:$C$1503,$A2114,NOVEDADES!$M$4:$M$1503,"SÍ")&gt;0,"No","Sí"))</f>
        <v/>
      </c>
      <c r="P2114" s="27">
        <f>IF(OR($A2114="",$K2114=""),"",IF(AND($M2114="Sí",$O2114="Sí"),"OTIF","Falló"))</f>
        <v/>
      </c>
    </row>
    <row r="2115" ht="16" customHeight="1">
      <c r="A2115" s="47" t="n"/>
      <c r="B2115" s="46" t="n"/>
      <c r="C2115" s="49" t="n"/>
      <c r="D2115" s="49" t="n"/>
      <c r="E2115" s="49" t="n"/>
      <c r="F2115" s="49" t="n"/>
      <c r="G2115" s="47" t="n"/>
      <c r="H2115" s="50" t="n"/>
      <c r="I2115" s="51" t="n"/>
      <c r="J2115" s="46" t="n"/>
      <c r="K2115" s="46" t="n"/>
      <c r="L2115" s="23">
        <f>IF(OR($A2115="",$B2115=""),"",IF($K2115&lt;&gt;"",$K2115-$B2115,TODAY()-$B2115))</f>
        <v/>
      </c>
      <c r="M2115" s="27">
        <f>IF(OR($A2115="",$J2115=""),"",IF($K2115="",IF(TODAY()&gt;$J2115,"Atrasado","En ruta"),IF($K2115&lt;=$J2115,"Sí","No")))</f>
        <v/>
      </c>
      <c r="N2115" s="23">
        <f>IF($A2115="","",COUNTIFS(NOVEDADES!$C$4:$C$1503,$A2115))</f>
        <v/>
      </c>
      <c r="O2115" s="27">
        <f>IF($A2115="","",IF(COUNTIFS(NOVEDADES!$C$4:$C$1503,$A2115,NOVEDADES!$M$4:$M$1503,"SÍ")&gt;0,"No","Sí"))</f>
        <v/>
      </c>
      <c r="P2115" s="27">
        <f>IF(OR($A2115="",$K2115=""),"",IF(AND($M2115="Sí",$O2115="Sí"),"OTIF","Falló"))</f>
        <v/>
      </c>
    </row>
    <row r="2116" ht="16" customHeight="1">
      <c r="A2116" s="47" t="n"/>
      <c r="B2116" s="46" t="n"/>
      <c r="C2116" s="49" t="n"/>
      <c r="D2116" s="49" t="n"/>
      <c r="E2116" s="49" t="n"/>
      <c r="F2116" s="49" t="n"/>
      <c r="G2116" s="47" t="n"/>
      <c r="H2116" s="50" t="n"/>
      <c r="I2116" s="51" t="n"/>
      <c r="J2116" s="46" t="n"/>
      <c r="K2116" s="46" t="n"/>
      <c r="L2116" s="23">
        <f>IF(OR($A2116="",$B2116=""),"",IF($K2116&lt;&gt;"",$K2116-$B2116,TODAY()-$B2116))</f>
        <v/>
      </c>
      <c r="M2116" s="27">
        <f>IF(OR($A2116="",$J2116=""),"",IF($K2116="",IF(TODAY()&gt;$J2116,"Atrasado","En ruta"),IF($K2116&lt;=$J2116,"Sí","No")))</f>
        <v/>
      </c>
      <c r="N2116" s="23">
        <f>IF($A2116="","",COUNTIFS(NOVEDADES!$C$4:$C$1503,$A2116))</f>
        <v/>
      </c>
      <c r="O2116" s="27">
        <f>IF($A2116="","",IF(COUNTIFS(NOVEDADES!$C$4:$C$1503,$A2116,NOVEDADES!$M$4:$M$1503,"SÍ")&gt;0,"No","Sí"))</f>
        <v/>
      </c>
      <c r="P2116" s="27">
        <f>IF(OR($A2116="",$K2116=""),"",IF(AND($M2116="Sí",$O2116="Sí"),"OTIF","Falló"))</f>
        <v/>
      </c>
    </row>
    <row r="2117" ht="16" customHeight="1">
      <c r="A2117" s="47" t="n"/>
      <c r="B2117" s="46" t="n"/>
      <c r="C2117" s="49" t="n"/>
      <c r="D2117" s="49" t="n"/>
      <c r="E2117" s="49" t="n"/>
      <c r="F2117" s="49" t="n"/>
      <c r="G2117" s="47" t="n"/>
      <c r="H2117" s="50" t="n"/>
      <c r="I2117" s="51" t="n"/>
      <c r="J2117" s="46" t="n"/>
      <c r="K2117" s="46" t="n"/>
      <c r="L2117" s="23">
        <f>IF(OR($A2117="",$B2117=""),"",IF($K2117&lt;&gt;"",$K2117-$B2117,TODAY()-$B2117))</f>
        <v/>
      </c>
      <c r="M2117" s="27">
        <f>IF(OR($A2117="",$J2117=""),"",IF($K2117="",IF(TODAY()&gt;$J2117,"Atrasado","En ruta"),IF($K2117&lt;=$J2117,"Sí","No")))</f>
        <v/>
      </c>
      <c r="N2117" s="23">
        <f>IF($A2117="","",COUNTIFS(NOVEDADES!$C$4:$C$1503,$A2117))</f>
        <v/>
      </c>
      <c r="O2117" s="27">
        <f>IF($A2117="","",IF(COUNTIFS(NOVEDADES!$C$4:$C$1503,$A2117,NOVEDADES!$M$4:$M$1503,"SÍ")&gt;0,"No","Sí"))</f>
        <v/>
      </c>
      <c r="P2117" s="27">
        <f>IF(OR($A2117="",$K2117=""),"",IF(AND($M2117="Sí",$O2117="Sí"),"OTIF","Falló"))</f>
        <v/>
      </c>
    </row>
    <row r="2118" ht="16" customHeight="1">
      <c r="A2118" s="47" t="n"/>
      <c r="B2118" s="46" t="n"/>
      <c r="C2118" s="49" t="n"/>
      <c r="D2118" s="49" t="n"/>
      <c r="E2118" s="49" t="n"/>
      <c r="F2118" s="49" t="n"/>
      <c r="G2118" s="47" t="n"/>
      <c r="H2118" s="50" t="n"/>
      <c r="I2118" s="51" t="n"/>
      <c r="J2118" s="46" t="n"/>
      <c r="K2118" s="46" t="n"/>
      <c r="L2118" s="23">
        <f>IF(OR($A2118="",$B2118=""),"",IF($K2118&lt;&gt;"",$K2118-$B2118,TODAY()-$B2118))</f>
        <v/>
      </c>
      <c r="M2118" s="27">
        <f>IF(OR($A2118="",$J2118=""),"",IF($K2118="",IF(TODAY()&gt;$J2118,"Atrasado","En ruta"),IF($K2118&lt;=$J2118,"Sí","No")))</f>
        <v/>
      </c>
      <c r="N2118" s="23">
        <f>IF($A2118="","",COUNTIFS(NOVEDADES!$C$4:$C$1503,$A2118))</f>
        <v/>
      </c>
      <c r="O2118" s="27">
        <f>IF($A2118="","",IF(COUNTIFS(NOVEDADES!$C$4:$C$1503,$A2118,NOVEDADES!$M$4:$M$1503,"SÍ")&gt;0,"No","Sí"))</f>
        <v/>
      </c>
      <c r="P2118" s="27">
        <f>IF(OR($A2118="",$K2118=""),"",IF(AND($M2118="Sí",$O2118="Sí"),"OTIF","Falló"))</f>
        <v/>
      </c>
    </row>
    <row r="2119" ht="16" customHeight="1">
      <c r="A2119" s="47" t="n"/>
      <c r="B2119" s="46" t="n"/>
      <c r="C2119" s="49" t="n"/>
      <c r="D2119" s="49" t="n"/>
      <c r="E2119" s="49" t="n"/>
      <c r="F2119" s="49" t="n"/>
      <c r="G2119" s="47" t="n"/>
      <c r="H2119" s="50" t="n"/>
      <c r="I2119" s="51" t="n"/>
      <c r="J2119" s="46" t="n"/>
      <c r="K2119" s="46" t="n"/>
      <c r="L2119" s="23">
        <f>IF(OR($A2119="",$B2119=""),"",IF($K2119&lt;&gt;"",$K2119-$B2119,TODAY()-$B2119))</f>
        <v/>
      </c>
      <c r="M2119" s="27">
        <f>IF(OR($A2119="",$J2119=""),"",IF($K2119="",IF(TODAY()&gt;$J2119,"Atrasado","En ruta"),IF($K2119&lt;=$J2119,"Sí","No")))</f>
        <v/>
      </c>
      <c r="N2119" s="23">
        <f>IF($A2119="","",COUNTIFS(NOVEDADES!$C$4:$C$1503,$A2119))</f>
        <v/>
      </c>
      <c r="O2119" s="27">
        <f>IF($A2119="","",IF(COUNTIFS(NOVEDADES!$C$4:$C$1503,$A2119,NOVEDADES!$M$4:$M$1503,"SÍ")&gt;0,"No","Sí"))</f>
        <v/>
      </c>
      <c r="P2119" s="27">
        <f>IF(OR($A2119="",$K2119=""),"",IF(AND($M2119="Sí",$O2119="Sí"),"OTIF","Falló"))</f>
        <v/>
      </c>
    </row>
    <row r="2120" ht="16" customHeight="1">
      <c r="A2120" s="47" t="n"/>
      <c r="B2120" s="46" t="n"/>
      <c r="C2120" s="49" t="n"/>
      <c r="D2120" s="49" t="n"/>
      <c r="E2120" s="49" t="n"/>
      <c r="F2120" s="49" t="n"/>
      <c r="G2120" s="47" t="n"/>
      <c r="H2120" s="50" t="n"/>
      <c r="I2120" s="51" t="n"/>
      <c r="J2120" s="46" t="n"/>
      <c r="K2120" s="46" t="n"/>
      <c r="L2120" s="23">
        <f>IF(OR($A2120="",$B2120=""),"",IF($K2120&lt;&gt;"",$K2120-$B2120,TODAY()-$B2120))</f>
        <v/>
      </c>
      <c r="M2120" s="27">
        <f>IF(OR($A2120="",$J2120=""),"",IF($K2120="",IF(TODAY()&gt;$J2120,"Atrasado","En ruta"),IF($K2120&lt;=$J2120,"Sí","No")))</f>
        <v/>
      </c>
      <c r="N2120" s="23">
        <f>IF($A2120="","",COUNTIFS(NOVEDADES!$C$4:$C$1503,$A2120))</f>
        <v/>
      </c>
      <c r="O2120" s="27">
        <f>IF($A2120="","",IF(COUNTIFS(NOVEDADES!$C$4:$C$1503,$A2120,NOVEDADES!$M$4:$M$1503,"SÍ")&gt;0,"No","Sí"))</f>
        <v/>
      </c>
      <c r="P2120" s="27">
        <f>IF(OR($A2120="",$K2120=""),"",IF(AND($M2120="Sí",$O2120="Sí"),"OTIF","Falló"))</f>
        <v/>
      </c>
    </row>
    <row r="2121" ht="16" customHeight="1">
      <c r="A2121" s="47" t="n"/>
      <c r="B2121" s="46" t="n"/>
      <c r="C2121" s="49" t="n"/>
      <c r="D2121" s="49" t="n"/>
      <c r="E2121" s="49" t="n"/>
      <c r="F2121" s="49" t="n"/>
      <c r="G2121" s="47" t="n"/>
      <c r="H2121" s="50" t="n"/>
      <c r="I2121" s="51" t="n"/>
      <c r="J2121" s="46" t="n"/>
      <c r="K2121" s="46" t="n"/>
      <c r="L2121" s="23">
        <f>IF(OR($A2121="",$B2121=""),"",IF($K2121&lt;&gt;"",$K2121-$B2121,TODAY()-$B2121))</f>
        <v/>
      </c>
      <c r="M2121" s="27">
        <f>IF(OR($A2121="",$J2121=""),"",IF($K2121="",IF(TODAY()&gt;$J2121,"Atrasado","En ruta"),IF($K2121&lt;=$J2121,"Sí","No")))</f>
        <v/>
      </c>
      <c r="N2121" s="23">
        <f>IF($A2121="","",COUNTIFS(NOVEDADES!$C$4:$C$1503,$A2121))</f>
        <v/>
      </c>
      <c r="O2121" s="27">
        <f>IF($A2121="","",IF(COUNTIFS(NOVEDADES!$C$4:$C$1503,$A2121,NOVEDADES!$M$4:$M$1503,"SÍ")&gt;0,"No","Sí"))</f>
        <v/>
      </c>
      <c r="P2121" s="27">
        <f>IF(OR($A2121="",$K2121=""),"",IF(AND($M2121="Sí",$O2121="Sí"),"OTIF","Falló"))</f>
        <v/>
      </c>
    </row>
    <row r="2122" ht="16" customHeight="1">
      <c r="A2122" s="47" t="n"/>
      <c r="B2122" s="46" t="n"/>
      <c r="C2122" s="49" t="n"/>
      <c r="D2122" s="49" t="n"/>
      <c r="E2122" s="49" t="n"/>
      <c r="F2122" s="49" t="n"/>
      <c r="G2122" s="47" t="n"/>
      <c r="H2122" s="50" t="n"/>
      <c r="I2122" s="51" t="n"/>
      <c r="J2122" s="46" t="n"/>
      <c r="K2122" s="46" t="n"/>
      <c r="L2122" s="23">
        <f>IF(OR($A2122="",$B2122=""),"",IF($K2122&lt;&gt;"",$K2122-$B2122,TODAY()-$B2122))</f>
        <v/>
      </c>
      <c r="M2122" s="27">
        <f>IF(OR($A2122="",$J2122=""),"",IF($K2122="",IF(TODAY()&gt;$J2122,"Atrasado","En ruta"),IF($K2122&lt;=$J2122,"Sí","No")))</f>
        <v/>
      </c>
      <c r="N2122" s="23">
        <f>IF($A2122="","",COUNTIFS(NOVEDADES!$C$4:$C$1503,$A2122))</f>
        <v/>
      </c>
      <c r="O2122" s="27">
        <f>IF($A2122="","",IF(COUNTIFS(NOVEDADES!$C$4:$C$1503,$A2122,NOVEDADES!$M$4:$M$1503,"SÍ")&gt;0,"No","Sí"))</f>
        <v/>
      </c>
      <c r="P2122" s="27">
        <f>IF(OR($A2122="",$K2122=""),"",IF(AND($M2122="Sí",$O2122="Sí"),"OTIF","Falló"))</f>
        <v/>
      </c>
    </row>
    <row r="2123" ht="16" customHeight="1">
      <c r="A2123" s="47" t="n"/>
      <c r="B2123" s="46" t="n"/>
      <c r="C2123" s="49" t="n"/>
      <c r="D2123" s="49" t="n"/>
      <c r="E2123" s="49" t="n"/>
      <c r="F2123" s="49" t="n"/>
      <c r="G2123" s="47" t="n"/>
      <c r="H2123" s="50" t="n"/>
      <c r="I2123" s="51" t="n"/>
      <c r="J2123" s="46" t="n"/>
      <c r="K2123" s="46" t="n"/>
      <c r="L2123" s="23">
        <f>IF(OR($A2123="",$B2123=""),"",IF($K2123&lt;&gt;"",$K2123-$B2123,TODAY()-$B2123))</f>
        <v/>
      </c>
      <c r="M2123" s="27">
        <f>IF(OR($A2123="",$J2123=""),"",IF($K2123="",IF(TODAY()&gt;$J2123,"Atrasado","En ruta"),IF($K2123&lt;=$J2123,"Sí","No")))</f>
        <v/>
      </c>
      <c r="N2123" s="23">
        <f>IF($A2123="","",COUNTIFS(NOVEDADES!$C$4:$C$1503,$A2123))</f>
        <v/>
      </c>
      <c r="O2123" s="27">
        <f>IF($A2123="","",IF(COUNTIFS(NOVEDADES!$C$4:$C$1503,$A2123,NOVEDADES!$M$4:$M$1503,"SÍ")&gt;0,"No","Sí"))</f>
        <v/>
      </c>
      <c r="P2123" s="27">
        <f>IF(OR($A2123="",$K2123=""),"",IF(AND($M2123="Sí",$O2123="Sí"),"OTIF","Falló"))</f>
        <v/>
      </c>
    </row>
    <row r="2124" ht="16" customHeight="1">
      <c r="A2124" s="47" t="n"/>
      <c r="B2124" s="46" t="n"/>
      <c r="C2124" s="49" t="n"/>
      <c r="D2124" s="49" t="n"/>
      <c r="E2124" s="49" t="n"/>
      <c r="F2124" s="49" t="n"/>
      <c r="G2124" s="47" t="n"/>
      <c r="H2124" s="50" t="n"/>
      <c r="I2124" s="51" t="n"/>
      <c r="J2124" s="46" t="n"/>
      <c r="K2124" s="46" t="n"/>
      <c r="L2124" s="23">
        <f>IF(OR($A2124="",$B2124=""),"",IF($K2124&lt;&gt;"",$K2124-$B2124,TODAY()-$B2124))</f>
        <v/>
      </c>
      <c r="M2124" s="27">
        <f>IF(OR($A2124="",$J2124=""),"",IF($K2124="",IF(TODAY()&gt;$J2124,"Atrasado","En ruta"),IF($K2124&lt;=$J2124,"Sí","No")))</f>
        <v/>
      </c>
      <c r="N2124" s="23">
        <f>IF($A2124="","",COUNTIFS(NOVEDADES!$C$4:$C$1503,$A2124))</f>
        <v/>
      </c>
      <c r="O2124" s="27">
        <f>IF($A2124="","",IF(COUNTIFS(NOVEDADES!$C$4:$C$1503,$A2124,NOVEDADES!$M$4:$M$1503,"SÍ")&gt;0,"No","Sí"))</f>
        <v/>
      </c>
      <c r="P2124" s="27">
        <f>IF(OR($A2124="",$K2124=""),"",IF(AND($M2124="Sí",$O2124="Sí"),"OTIF","Falló"))</f>
        <v/>
      </c>
    </row>
    <row r="2125" ht="16" customHeight="1">
      <c r="A2125" s="47" t="n"/>
      <c r="B2125" s="46" t="n"/>
      <c r="C2125" s="49" t="n"/>
      <c r="D2125" s="49" t="n"/>
      <c r="E2125" s="49" t="n"/>
      <c r="F2125" s="49" t="n"/>
      <c r="G2125" s="47" t="n"/>
      <c r="H2125" s="50" t="n"/>
      <c r="I2125" s="51" t="n"/>
      <c r="J2125" s="46" t="n"/>
      <c r="K2125" s="46" t="n"/>
      <c r="L2125" s="23">
        <f>IF(OR($A2125="",$B2125=""),"",IF($K2125&lt;&gt;"",$K2125-$B2125,TODAY()-$B2125))</f>
        <v/>
      </c>
      <c r="M2125" s="27">
        <f>IF(OR($A2125="",$J2125=""),"",IF($K2125="",IF(TODAY()&gt;$J2125,"Atrasado","En ruta"),IF($K2125&lt;=$J2125,"Sí","No")))</f>
        <v/>
      </c>
      <c r="N2125" s="23">
        <f>IF($A2125="","",COUNTIFS(NOVEDADES!$C$4:$C$1503,$A2125))</f>
        <v/>
      </c>
      <c r="O2125" s="27">
        <f>IF($A2125="","",IF(COUNTIFS(NOVEDADES!$C$4:$C$1503,$A2125,NOVEDADES!$M$4:$M$1503,"SÍ")&gt;0,"No","Sí"))</f>
        <v/>
      </c>
      <c r="P2125" s="27">
        <f>IF(OR($A2125="",$K2125=""),"",IF(AND($M2125="Sí",$O2125="Sí"),"OTIF","Falló"))</f>
        <v/>
      </c>
    </row>
    <row r="2126" ht="16" customHeight="1">
      <c r="A2126" s="47" t="n"/>
      <c r="B2126" s="46" t="n"/>
      <c r="C2126" s="49" t="n"/>
      <c r="D2126" s="49" t="n"/>
      <c r="E2126" s="49" t="n"/>
      <c r="F2126" s="49" t="n"/>
      <c r="G2126" s="47" t="n"/>
      <c r="H2126" s="50" t="n"/>
      <c r="I2126" s="51" t="n"/>
      <c r="J2126" s="46" t="n"/>
      <c r="K2126" s="46" t="n"/>
      <c r="L2126" s="23">
        <f>IF(OR($A2126="",$B2126=""),"",IF($K2126&lt;&gt;"",$K2126-$B2126,TODAY()-$B2126))</f>
        <v/>
      </c>
      <c r="M2126" s="27">
        <f>IF(OR($A2126="",$J2126=""),"",IF($K2126="",IF(TODAY()&gt;$J2126,"Atrasado","En ruta"),IF($K2126&lt;=$J2126,"Sí","No")))</f>
        <v/>
      </c>
      <c r="N2126" s="23">
        <f>IF($A2126="","",COUNTIFS(NOVEDADES!$C$4:$C$1503,$A2126))</f>
        <v/>
      </c>
      <c r="O2126" s="27">
        <f>IF($A2126="","",IF(COUNTIFS(NOVEDADES!$C$4:$C$1503,$A2126,NOVEDADES!$M$4:$M$1503,"SÍ")&gt;0,"No","Sí"))</f>
        <v/>
      </c>
      <c r="P2126" s="27">
        <f>IF(OR($A2126="",$K2126=""),"",IF(AND($M2126="Sí",$O2126="Sí"),"OTIF","Falló"))</f>
        <v/>
      </c>
    </row>
    <row r="2127" ht="16" customHeight="1">
      <c r="A2127" s="47" t="n"/>
      <c r="B2127" s="46" t="n"/>
      <c r="C2127" s="49" t="n"/>
      <c r="D2127" s="49" t="n"/>
      <c r="E2127" s="49" t="n"/>
      <c r="F2127" s="49" t="n"/>
      <c r="G2127" s="47" t="n"/>
      <c r="H2127" s="50" t="n"/>
      <c r="I2127" s="51" t="n"/>
      <c r="J2127" s="46" t="n"/>
      <c r="K2127" s="46" t="n"/>
      <c r="L2127" s="23">
        <f>IF(OR($A2127="",$B2127=""),"",IF($K2127&lt;&gt;"",$K2127-$B2127,TODAY()-$B2127))</f>
        <v/>
      </c>
      <c r="M2127" s="27">
        <f>IF(OR($A2127="",$J2127=""),"",IF($K2127="",IF(TODAY()&gt;$J2127,"Atrasado","En ruta"),IF($K2127&lt;=$J2127,"Sí","No")))</f>
        <v/>
      </c>
      <c r="N2127" s="23">
        <f>IF($A2127="","",COUNTIFS(NOVEDADES!$C$4:$C$1503,$A2127))</f>
        <v/>
      </c>
      <c r="O2127" s="27">
        <f>IF($A2127="","",IF(COUNTIFS(NOVEDADES!$C$4:$C$1503,$A2127,NOVEDADES!$M$4:$M$1503,"SÍ")&gt;0,"No","Sí"))</f>
        <v/>
      </c>
      <c r="P2127" s="27">
        <f>IF(OR($A2127="",$K2127=""),"",IF(AND($M2127="Sí",$O2127="Sí"),"OTIF","Falló"))</f>
        <v/>
      </c>
    </row>
    <row r="2128" ht="16" customHeight="1">
      <c r="A2128" s="47" t="n"/>
      <c r="B2128" s="46" t="n"/>
      <c r="C2128" s="49" t="n"/>
      <c r="D2128" s="49" t="n"/>
      <c r="E2128" s="49" t="n"/>
      <c r="F2128" s="49" t="n"/>
      <c r="G2128" s="47" t="n"/>
      <c r="H2128" s="50" t="n"/>
      <c r="I2128" s="51" t="n"/>
      <c r="J2128" s="46" t="n"/>
      <c r="K2128" s="46" t="n"/>
      <c r="L2128" s="23">
        <f>IF(OR($A2128="",$B2128=""),"",IF($K2128&lt;&gt;"",$K2128-$B2128,TODAY()-$B2128))</f>
        <v/>
      </c>
      <c r="M2128" s="27">
        <f>IF(OR($A2128="",$J2128=""),"",IF($K2128="",IF(TODAY()&gt;$J2128,"Atrasado","En ruta"),IF($K2128&lt;=$J2128,"Sí","No")))</f>
        <v/>
      </c>
      <c r="N2128" s="23">
        <f>IF($A2128="","",COUNTIFS(NOVEDADES!$C$4:$C$1503,$A2128))</f>
        <v/>
      </c>
      <c r="O2128" s="27">
        <f>IF($A2128="","",IF(COUNTIFS(NOVEDADES!$C$4:$C$1503,$A2128,NOVEDADES!$M$4:$M$1503,"SÍ")&gt;0,"No","Sí"))</f>
        <v/>
      </c>
      <c r="P2128" s="27">
        <f>IF(OR($A2128="",$K2128=""),"",IF(AND($M2128="Sí",$O2128="Sí"),"OTIF","Falló"))</f>
        <v/>
      </c>
    </row>
    <row r="2129" ht="16" customHeight="1">
      <c r="A2129" s="47" t="n"/>
      <c r="B2129" s="46" t="n"/>
      <c r="C2129" s="49" t="n"/>
      <c r="D2129" s="49" t="n"/>
      <c r="E2129" s="49" t="n"/>
      <c r="F2129" s="49" t="n"/>
      <c r="G2129" s="47" t="n"/>
      <c r="H2129" s="50" t="n"/>
      <c r="I2129" s="51" t="n"/>
      <c r="J2129" s="46" t="n"/>
      <c r="K2129" s="46" t="n"/>
      <c r="L2129" s="23">
        <f>IF(OR($A2129="",$B2129=""),"",IF($K2129&lt;&gt;"",$K2129-$B2129,TODAY()-$B2129))</f>
        <v/>
      </c>
      <c r="M2129" s="27">
        <f>IF(OR($A2129="",$J2129=""),"",IF($K2129="",IF(TODAY()&gt;$J2129,"Atrasado","En ruta"),IF($K2129&lt;=$J2129,"Sí","No")))</f>
        <v/>
      </c>
      <c r="N2129" s="23">
        <f>IF($A2129="","",COUNTIFS(NOVEDADES!$C$4:$C$1503,$A2129))</f>
        <v/>
      </c>
      <c r="O2129" s="27">
        <f>IF($A2129="","",IF(COUNTIFS(NOVEDADES!$C$4:$C$1503,$A2129,NOVEDADES!$M$4:$M$1503,"SÍ")&gt;0,"No","Sí"))</f>
        <v/>
      </c>
      <c r="P2129" s="27">
        <f>IF(OR($A2129="",$K2129=""),"",IF(AND($M2129="Sí",$O2129="Sí"),"OTIF","Falló"))</f>
        <v/>
      </c>
    </row>
    <row r="2130" ht="16" customHeight="1">
      <c r="A2130" s="47" t="n"/>
      <c r="B2130" s="46" t="n"/>
      <c r="C2130" s="49" t="n"/>
      <c r="D2130" s="49" t="n"/>
      <c r="E2130" s="49" t="n"/>
      <c r="F2130" s="49" t="n"/>
      <c r="G2130" s="47" t="n"/>
      <c r="H2130" s="50" t="n"/>
      <c r="I2130" s="51" t="n"/>
      <c r="J2130" s="46" t="n"/>
      <c r="K2130" s="46" t="n"/>
      <c r="L2130" s="23">
        <f>IF(OR($A2130="",$B2130=""),"",IF($K2130&lt;&gt;"",$K2130-$B2130,TODAY()-$B2130))</f>
        <v/>
      </c>
      <c r="M2130" s="27">
        <f>IF(OR($A2130="",$J2130=""),"",IF($K2130="",IF(TODAY()&gt;$J2130,"Atrasado","En ruta"),IF($K2130&lt;=$J2130,"Sí","No")))</f>
        <v/>
      </c>
      <c r="N2130" s="23">
        <f>IF($A2130="","",COUNTIFS(NOVEDADES!$C$4:$C$1503,$A2130))</f>
        <v/>
      </c>
      <c r="O2130" s="27">
        <f>IF($A2130="","",IF(COUNTIFS(NOVEDADES!$C$4:$C$1503,$A2130,NOVEDADES!$M$4:$M$1503,"SÍ")&gt;0,"No","Sí"))</f>
        <v/>
      </c>
      <c r="P2130" s="27">
        <f>IF(OR($A2130="",$K2130=""),"",IF(AND($M2130="Sí",$O2130="Sí"),"OTIF","Falló"))</f>
        <v/>
      </c>
    </row>
    <row r="2131" ht="16" customHeight="1">
      <c r="A2131" s="47" t="n"/>
      <c r="B2131" s="46" t="n"/>
      <c r="C2131" s="49" t="n"/>
      <c r="D2131" s="49" t="n"/>
      <c r="E2131" s="49" t="n"/>
      <c r="F2131" s="49" t="n"/>
      <c r="G2131" s="47" t="n"/>
      <c r="H2131" s="50" t="n"/>
      <c r="I2131" s="51" t="n"/>
      <c r="J2131" s="46" t="n"/>
      <c r="K2131" s="46" t="n"/>
      <c r="L2131" s="23">
        <f>IF(OR($A2131="",$B2131=""),"",IF($K2131&lt;&gt;"",$K2131-$B2131,TODAY()-$B2131))</f>
        <v/>
      </c>
      <c r="M2131" s="27">
        <f>IF(OR($A2131="",$J2131=""),"",IF($K2131="",IF(TODAY()&gt;$J2131,"Atrasado","En ruta"),IF($K2131&lt;=$J2131,"Sí","No")))</f>
        <v/>
      </c>
      <c r="N2131" s="23">
        <f>IF($A2131="","",COUNTIFS(NOVEDADES!$C$4:$C$1503,$A2131))</f>
        <v/>
      </c>
      <c r="O2131" s="27">
        <f>IF($A2131="","",IF(COUNTIFS(NOVEDADES!$C$4:$C$1503,$A2131,NOVEDADES!$M$4:$M$1503,"SÍ")&gt;0,"No","Sí"))</f>
        <v/>
      </c>
      <c r="P2131" s="27">
        <f>IF(OR($A2131="",$K2131=""),"",IF(AND($M2131="Sí",$O2131="Sí"),"OTIF","Falló"))</f>
        <v/>
      </c>
    </row>
    <row r="2132" ht="16" customHeight="1">
      <c r="A2132" s="47" t="n"/>
      <c r="B2132" s="46" t="n"/>
      <c r="C2132" s="49" t="n"/>
      <c r="D2132" s="49" t="n"/>
      <c r="E2132" s="49" t="n"/>
      <c r="F2132" s="49" t="n"/>
      <c r="G2132" s="47" t="n"/>
      <c r="H2132" s="50" t="n"/>
      <c r="I2132" s="51" t="n"/>
      <c r="J2132" s="46" t="n"/>
      <c r="K2132" s="46" t="n"/>
      <c r="L2132" s="23">
        <f>IF(OR($A2132="",$B2132=""),"",IF($K2132&lt;&gt;"",$K2132-$B2132,TODAY()-$B2132))</f>
        <v/>
      </c>
      <c r="M2132" s="27">
        <f>IF(OR($A2132="",$J2132=""),"",IF($K2132="",IF(TODAY()&gt;$J2132,"Atrasado","En ruta"),IF($K2132&lt;=$J2132,"Sí","No")))</f>
        <v/>
      </c>
      <c r="N2132" s="23">
        <f>IF($A2132="","",COUNTIFS(NOVEDADES!$C$4:$C$1503,$A2132))</f>
        <v/>
      </c>
      <c r="O2132" s="27">
        <f>IF($A2132="","",IF(COUNTIFS(NOVEDADES!$C$4:$C$1503,$A2132,NOVEDADES!$M$4:$M$1503,"SÍ")&gt;0,"No","Sí"))</f>
        <v/>
      </c>
      <c r="P2132" s="27">
        <f>IF(OR($A2132="",$K2132=""),"",IF(AND($M2132="Sí",$O2132="Sí"),"OTIF","Falló"))</f>
        <v/>
      </c>
    </row>
    <row r="2133" ht="16" customHeight="1">
      <c r="A2133" s="47" t="n"/>
      <c r="B2133" s="46" t="n"/>
      <c r="C2133" s="49" t="n"/>
      <c r="D2133" s="49" t="n"/>
      <c r="E2133" s="49" t="n"/>
      <c r="F2133" s="49" t="n"/>
      <c r="G2133" s="47" t="n"/>
      <c r="H2133" s="50" t="n"/>
      <c r="I2133" s="51" t="n"/>
      <c r="J2133" s="46" t="n"/>
      <c r="K2133" s="46" t="n"/>
      <c r="L2133" s="23">
        <f>IF(OR($A2133="",$B2133=""),"",IF($K2133&lt;&gt;"",$K2133-$B2133,TODAY()-$B2133))</f>
        <v/>
      </c>
      <c r="M2133" s="27">
        <f>IF(OR($A2133="",$J2133=""),"",IF($K2133="",IF(TODAY()&gt;$J2133,"Atrasado","En ruta"),IF($K2133&lt;=$J2133,"Sí","No")))</f>
        <v/>
      </c>
      <c r="N2133" s="23">
        <f>IF($A2133="","",COUNTIFS(NOVEDADES!$C$4:$C$1503,$A2133))</f>
        <v/>
      </c>
      <c r="O2133" s="27">
        <f>IF($A2133="","",IF(COUNTIFS(NOVEDADES!$C$4:$C$1503,$A2133,NOVEDADES!$M$4:$M$1503,"SÍ")&gt;0,"No","Sí"))</f>
        <v/>
      </c>
      <c r="P2133" s="27">
        <f>IF(OR($A2133="",$K2133=""),"",IF(AND($M2133="Sí",$O2133="Sí"),"OTIF","Falló"))</f>
        <v/>
      </c>
    </row>
    <row r="2134" ht="16" customHeight="1">
      <c r="A2134" s="47" t="n"/>
      <c r="B2134" s="46" t="n"/>
      <c r="C2134" s="49" t="n"/>
      <c r="D2134" s="49" t="n"/>
      <c r="E2134" s="49" t="n"/>
      <c r="F2134" s="49" t="n"/>
      <c r="G2134" s="47" t="n"/>
      <c r="H2134" s="50" t="n"/>
      <c r="I2134" s="51" t="n"/>
      <c r="J2134" s="46" t="n"/>
      <c r="K2134" s="46" t="n"/>
      <c r="L2134" s="23">
        <f>IF(OR($A2134="",$B2134=""),"",IF($K2134&lt;&gt;"",$K2134-$B2134,TODAY()-$B2134))</f>
        <v/>
      </c>
      <c r="M2134" s="27">
        <f>IF(OR($A2134="",$J2134=""),"",IF($K2134="",IF(TODAY()&gt;$J2134,"Atrasado","En ruta"),IF($K2134&lt;=$J2134,"Sí","No")))</f>
        <v/>
      </c>
      <c r="N2134" s="23">
        <f>IF($A2134="","",COUNTIFS(NOVEDADES!$C$4:$C$1503,$A2134))</f>
        <v/>
      </c>
      <c r="O2134" s="27">
        <f>IF($A2134="","",IF(COUNTIFS(NOVEDADES!$C$4:$C$1503,$A2134,NOVEDADES!$M$4:$M$1503,"SÍ")&gt;0,"No","Sí"))</f>
        <v/>
      </c>
      <c r="P2134" s="27">
        <f>IF(OR($A2134="",$K2134=""),"",IF(AND($M2134="Sí",$O2134="Sí"),"OTIF","Falló"))</f>
        <v/>
      </c>
    </row>
    <row r="2135" ht="16" customHeight="1">
      <c r="A2135" s="47" t="n"/>
      <c r="B2135" s="46" t="n"/>
      <c r="C2135" s="49" t="n"/>
      <c r="D2135" s="49" t="n"/>
      <c r="E2135" s="49" t="n"/>
      <c r="F2135" s="49" t="n"/>
      <c r="G2135" s="47" t="n"/>
      <c r="H2135" s="50" t="n"/>
      <c r="I2135" s="51" t="n"/>
      <c r="J2135" s="46" t="n"/>
      <c r="K2135" s="46" t="n"/>
      <c r="L2135" s="23">
        <f>IF(OR($A2135="",$B2135=""),"",IF($K2135&lt;&gt;"",$K2135-$B2135,TODAY()-$B2135))</f>
        <v/>
      </c>
      <c r="M2135" s="27">
        <f>IF(OR($A2135="",$J2135=""),"",IF($K2135="",IF(TODAY()&gt;$J2135,"Atrasado","En ruta"),IF($K2135&lt;=$J2135,"Sí","No")))</f>
        <v/>
      </c>
      <c r="N2135" s="23">
        <f>IF($A2135="","",COUNTIFS(NOVEDADES!$C$4:$C$1503,$A2135))</f>
        <v/>
      </c>
      <c r="O2135" s="27">
        <f>IF($A2135="","",IF(COUNTIFS(NOVEDADES!$C$4:$C$1503,$A2135,NOVEDADES!$M$4:$M$1503,"SÍ")&gt;0,"No","Sí"))</f>
        <v/>
      </c>
      <c r="P2135" s="27">
        <f>IF(OR($A2135="",$K2135=""),"",IF(AND($M2135="Sí",$O2135="Sí"),"OTIF","Falló"))</f>
        <v/>
      </c>
    </row>
    <row r="2136" ht="16" customHeight="1">
      <c r="A2136" s="47" t="n"/>
      <c r="B2136" s="46" t="n"/>
      <c r="C2136" s="49" t="n"/>
      <c r="D2136" s="49" t="n"/>
      <c r="E2136" s="49" t="n"/>
      <c r="F2136" s="49" t="n"/>
      <c r="G2136" s="47" t="n"/>
      <c r="H2136" s="50" t="n"/>
      <c r="I2136" s="51" t="n"/>
      <c r="J2136" s="46" t="n"/>
      <c r="K2136" s="46" t="n"/>
      <c r="L2136" s="23">
        <f>IF(OR($A2136="",$B2136=""),"",IF($K2136&lt;&gt;"",$K2136-$B2136,TODAY()-$B2136))</f>
        <v/>
      </c>
      <c r="M2136" s="27">
        <f>IF(OR($A2136="",$J2136=""),"",IF($K2136="",IF(TODAY()&gt;$J2136,"Atrasado","En ruta"),IF($K2136&lt;=$J2136,"Sí","No")))</f>
        <v/>
      </c>
      <c r="N2136" s="23">
        <f>IF($A2136="","",COUNTIFS(NOVEDADES!$C$4:$C$1503,$A2136))</f>
        <v/>
      </c>
      <c r="O2136" s="27">
        <f>IF($A2136="","",IF(COUNTIFS(NOVEDADES!$C$4:$C$1503,$A2136,NOVEDADES!$M$4:$M$1503,"SÍ")&gt;0,"No","Sí"))</f>
        <v/>
      </c>
      <c r="P2136" s="27">
        <f>IF(OR($A2136="",$K2136=""),"",IF(AND($M2136="Sí",$O2136="Sí"),"OTIF","Falló"))</f>
        <v/>
      </c>
    </row>
    <row r="2137" ht="16" customHeight="1">
      <c r="A2137" s="47" t="n"/>
      <c r="B2137" s="46" t="n"/>
      <c r="C2137" s="49" t="n"/>
      <c r="D2137" s="49" t="n"/>
      <c r="E2137" s="49" t="n"/>
      <c r="F2137" s="49" t="n"/>
      <c r="G2137" s="47" t="n"/>
      <c r="H2137" s="50" t="n"/>
      <c r="I2137" s="51" t="n"/>
      <c r="J2137" s="46" t="n"/>
      <c r="K2137" s="46" t="n"/>
      <c r="L2137" s="23">
        <f>IF(OR($A2137="",$B2137=""),"",IF($K2137&lt;&gt;"",$K2137-$B2137,TODAY()-$B2137))</f>
        <v/>
      </c>
      <c r="M2137" s="27">
        <f>IF(OR($A2137="",$J2137=""),"",IF($K2137="",IF(TODAY()&gt;$J2137,"Atrasado","En ruta"),IF($K2137&lt;=$J2137,"Sí","No")))</f>
        <v/>
      </c>
      <c r="N2137" s="23">
        <f>IF($A2137="","",COUNTIFS(NOVEDADES!$C$4:$C$1503,$A2137))</f>
        <v/>
      </c>
      <c r="O2137" s="27">
        <f>IF($A2137="","",IF(COUNTIFS(NOVEDADES!$C$4:$C$1503,$A2137,NOVEDADES!$M$4:$M$1503,"SÍ")&gt;0,"No","Sí"))</f>
        <v/>
      </c>
      <c r="P2137" s="27">
        <f>IF(OR($A2137="",$K2137=""),"",IF(AND($M2137="Sí",$O2137="Sí"),"OTIF","Falló"))</f>
        <v/>
      </c>
    </row>
    <row r="2138" ht="16" customHeight="1">
      <c r="A2138" s="47" t="n"/>
      <c r="B2138" s="46" t="n"/>
      <c r="C2138" s="49" t="n"/>
      <c r="D2138" s="49" t="n"/>
      <c r="E2138" s="49" t="n"/>
      <c r="F2138" s="49" t="n"/>
      <c r="G2138" s="47" t="n"/>
      <c r="H2138" s="50" t="n"/>
      <c r="I2138" s="51" t="n"/>
      <c r="J2138" s="46" t="n"/>
      <c r="K2138" s="46" t="n"/>
      <c r="L2138" s="23">
        <f>IF(OR($A2138="",$B2138=""),"",IF($K2138&lt;&gt;"",$K2138-$B2138,TODAY()-$B2138))</f>
        <v/>
      </c>
      <c r="M2138" s="27">
        <f>IF(OR($A2138="",$J2138=""),"",IF($K2138="",IF(TODAY()&gt;$J2138,"Atrasado","En ruta"),IF($K2138&lt;=$J2138,"Sí","No")))</f>
        <v/>
      </c>
      <c r="N2138" s="23">
        <f>IF($A2138="","",COUNTIFS(NOVEDADES!$C$4:$C$1503,$A2138))</f>
        <v/>
      </c>
      <c r="O2138" s="27">
        <f>IF($A2138="","",IF(COUNTIFS(NOVEDADES!$C$4:$C$1503,$A2138,NOVEDADES!$M$4:$M$1503,"SÍ")&gt;0,"No","Sí"))</f>
        <v/>
      </c>
      <c r="P2138" s="27">
        <f>IF(OR($A2138="",$K2138=""),"",IF(AND($M2138="Sí",$O2138="Sí"),"OTIF","Falló"))</f>
        <v/>
      </c>
    </row>
    <row r="2139" ht="16" customHeight="1">
      <c r="A2139" s="47" t="n"/>
      <c r="B2139" s="46" t="n"/>
      <c r="C2139" s="49" t="n"/>
      <c r="D2139" s="49" t="n"/>
      <c r="E2139" s="49" t="n"/>
      <c r="F2139" s="49" t="n"/>
      <c r="G2139" s="47" t="n"/>
      <c r="H2139" s="50" t="n"/>
      <c r="I2139" s="51" t="n"/>
      <c r="J2139" s="46" t="n"/>
      <c r="K2139" s="46" t="n"/>
      <c r="L2139" s="23">
        <f>IF(OR($A2139="",$B2139=""),"",IF($K2139&lt;&gt;"",$K2139-$B2139,TODAY()-$B2139))</f>
        <v/>
      </c>
      <c r="M2139" s="27">
        <f>IF(OR($A2139="",$J2139=""),"",IF($K2139="",IF(TODAY()&gt;$J2139,"Atrasado","En ruta"),IF($K2139&lt;=$J2139,"Sí","No")))</f>
        <v/>
      </c>
      <c r="N2139" s="23">
        <f>IF($A2139="","",COUNTIFS(NOVEDADES!$C$4:$C$1503,$A2139))</f>
        <v/>
      </c>
      <c r="O2139" s="27">
        <f>IF($A2139="","",IF(COUNTIFS(NOVEDADES!$C$4:$C$1503,$A2139,NOVEDADES!$M$4:$M$1503,"SÍ")&gt;0,"No","Sí"))</f>
        <v/>
      </c>
      <c r="P2139" s="27">
        <f>IF(OR($A2139="",$K2139=""),"",IF(AND($M2139="Sí",$O2139="Sí"),"OTIF","Falló"))</f>
        <v/>
      </c>
    </row>
    <row r="2140" ht="16" customHeight="1">
      <c r="A2140" s="47" t="n"/>
      <c r="B2140" s="46" t="n"/>
      <c r="C2140" s="49" t="n"/>
      <c r="D2140" s="49" t="n"/>
      <c r="E2140" s="49" t="n"/>
      <c r="F2140" s="49" t="n"/>
      <c r="G2140" s="47" t="n"/>
      <c r="H2140" s="50" t="n"/>
      <c r="I2140" s="51" t="n"/>
      <c r="J2140" s="46" t="n"/>
      <c r="K2140" s="46" t="n"/>
      <c r="L2140" s="23">
        <f>IF(OR($A2140="",$B2140=""),"",IF($K2140&lt;&gt;"",$K2140-$B2140,TODAY()-$B2140))</f>
        <v/>
      </c>
      <c r="M2140" s="27">
        <f>IF(OR($A2140="",$J2140=""),"",IF($K2140="",IF(TODAY()&gt;$J2140,"Atrasado","En ruta"),IF($K2140&lt;=$J2140,"Sí","No")))</f>
        <v/>
      </c>
      <c r="N2140" s="23">
        <f>IF($A2140="","",COUNTIFS(NOVEDADES!$C$4:$C$1503,$A2140))</f>
        <v/>
      </c>
      <c r="O2140" s="27">
        <f>IF($A2140="","",IF(COUNTIFS(NOVEDADES!$C$4:$C$1503,$A2140,NOVEDADES!$M$4:$M$1503,"SÍ")&gt;0,"No","Sí"))</f>
        <v/>
      </c>
      <c r="P2140" s="27">
        <f>IF(OR($A2140="",$K2140=""),"",IF(AND($M2140="Sí",$O2140="Sí"),"OTIF","Falló"))</f>
        <v/>
      </c>
    </row>
    <row r="2141" ht="16" customHeight="1">
      <c r="A2141" s="47" t="n"/>
      <c r="B2141" s="46" t="n"/>
      <c r="C2141" s="49" t="n"/>
      <c r="D2141" s="49" t="n"/>
      <c r="E2141" s="49" t="n"/>
      <c r="F2141" s="49" t="n"/>
      <c r="G2141" s="47" t="n"/>
      <c r="H2141" s="50" t="n"/>
      <c r="I2141" s="51" t="n"/>
      <c r="J2141" s="46" t="n"/>
      <c r="K2141" s="46" t="n"/>
      <c r="L2141" s="23">
        <f>IF(OR($A2141="",$B2141=""),"",IF($K2141&lt;&gt;"",$K2141-$B2141,TODAY()-$B2141))</f>
        <v/>
      </c>
      <c r="M2141" s="27">
        <f>IF(OR($A2141="",$J2141=""),"",IF($K2141="",IF(TODAY()&gt;$J2141,"Atrasado","En ruta"),IF($K2141&lt;=$J2141,"Sí","No")))</f>
        <v/>
      </c>
      <c r="N2141" s="23">
        <f>IF($A2141="","",COUNTIFS(NOVEDADES!$C$4:$C$1503,$A2141))</f>
        <v/>
      </c>
      <c r="O2141" s="27">
        <f>IF($A2141="","",IF(COUNTIFS(NOVEDADES!$C$4:$C$1503,$A2141,NOVEDADES!$M$4:$M$1503,"SÍ")&gt;0,"No","Sí"))</f>
        <v/>
      </c>
      <c r="P2141" s="27">
        <f>IF(OR($A2141="",$K2141=""),"",IF(AND($M2141="Sí",$O2141="Sí"),"OTIF","Falló"))</f>
        <v/>
      </c>
    </row>
    <row r="2142" ht="16" customHeight="1">
      <c r="A2142" s="47" t="n"/>
      <c r="B2142" s="46" t="n"/>
      <c r="C2142" s="49" t="n"/>
      <c r="D2142" s="49" t="n"/>
      <c r="E2142" s="49" t="n"/>
      <c r="F2142" s="49" t="n"/>
      <c r="G2142" s="47" t="n"/>
      <c r="H2142" s="50" t="n"/>
      <c r="I2142" s="51" t="n"/>
      <c r="J2142" s="46" t="n"/>
      <c r="K2142" s="46" t="n"/>
      <c r="L2142" s="23">
        <f>IF(OR($A2142="",$B2142=""),"",IF($K2142&lt;&gt;"",$K2142-$B2142,TODAY()-$B2142))</f>
        <v/>
      </c>
      <c r="M2142" s="27">
        <f>IF(OR($A2142="",$J2142=""),"",IF($K2142="",IF(TODAY()&gt;$J2142,"Atrasado","En ruta"),IF($K2142&lt;=$J2142,"Sí","No")))</f>
        <v/>
      </c>
      <c r="N2142" s="23">
        <f>IF($A2142="","",COUNTIFS(NOVEDADES!$C$4:$C$1503,$A2142))</f>
        <v/>
      </c>
      <c r="O2142" s="27">
        <f>IF($A2142="","",IF(COUNTIFS(NOVEDADES!$C$4:$C$1503,$A2142,NOVEDADES!$M$4:$M$1503,"SÍ")&gt;0,"No","Sí"))</f>
        <v/>
      </c>
      <c r="P2142" s="27">
        <f>IF(OR($A2142="",$K2142=""),"",IF(AND($M2142="Sí",$O2142="Sí"),"OTIF","Falló"))</f>
        <v/>
      </c>
    </row>
    <row r="2143" ht="16" customHeight="1">
      <c r="A2143" s="47" t="n"/>
      <c r="B2143" s="46" t="n"/>
      <c r="C2143" s="49" t="n"/>
      <c r="D2143" s="49" t="n"/>
      <c r="E2143" s="49" t="n"/>
      <c r="F2143" s="49" t="n"/>
      <c r="G2143" s="47" t="n"/>
      <c r="H2143" s="50" t="n"/>
      <c r="I2143" s="51" t="n"/>
      <c r="J2143" s="46" t="n"/>
      <c r="K2143" s="46" t="n"/>
      <c r="L2143" s="23">
        <f>IF(OR($A2143="",$B2143=""),"",IF($K2143&lt;&gt;"",$K2143-$B2143,TODAY()-$B2143))</f>
        <v/>
      </c>
      <c r="M2143" s="27">
        <f>IF(OR($A2143="",$J2143=""),"",IF($K2143="",IF(TODAY()&gt;$J2143,"Atrasado","En ruta"),IF($K2143&lt;=$J2143,"Sí","No")))</f>
        <v/>
      </c>
      <c r="N2143" s="23">
        <f>IF($A2143="","",COUNTIFS(NOVEDADES!$C$4:$C$1503,$A2143))</f>
        <v/>
      </c>
      <c r="O2143" s="27">
        <f>IF($A2143="","",IF(COUNTIFS(NOVEDADES!$C$4:$C$1503,$A2143,NOVEDADES!$M$4:$M$1503,"SÍ")&gt;0,"No","Sí"))</f>
        <v/>
      </c>
      <c r="P2143" s="27">
        <f>IF(OR($A2143="",$K2143=""),"",IF(AND($M2143="Sí",$O2143="Sí"),"OTIF","Falló"))</f>
        <v/>
      </c>
    </row>
    <row r="2144" ht="16" customHeight="1">
      <c r="A2144" s="47" t="n"/>
      <c r="B2144" s="46" t="n"/>
      <c r="C2144" s="49" t="n"/>
      <c r="D2144" s="49" t="n"/>
      <c r="E2144" s="49" t="n"/>
      <c r="F2144" s="49" t="n"/>
      <c r="G2144" s="47" t="n"/>
      <c r="H2144" s="50" t="n"/>
      <c r="I2144" s="51" t="n"/>
      <c r="J2144" s="46" t="n"/>
      <c r="K2144" s="46" t="n"/>
      <c r="L2144" s="23">
        <f>IF(OR($A2144="",$B2144=""),"",IF($K2144&lt;&gt;"",$K2144-$B2144,TODAY()-$B2144))</f>
        <v/>
      </c>
      <c r="M2144" s="27">
        <f>IF(OR($A2144="",$J2144=""),"",IF($K2144="",IF(TODAY()&gt;$J2144,"Atrasado","En ruta"),IF($K2144&lt;=$J2144,"Sí","No")))</f>
        <v/>
      </c>
      <c r="N2144" s="23">
        <f>IF($A2144="","",COUNTIFS(NOVEDADES!$C$4:$C$1503,$A2144))</f>
        <v/>
      </c>
      <c r="O2144" s="27">
        <f>IF($A2144="","",IF(COUNTIFS(NOVEDADES!$C$4:$C$1503,$A2144,NOVEDADES!$M$4:$M$1503,"SÍ")&gt;0,"No","Sí"))</f>
        <v/>
      </c>
      <c r="P2144" s="27">
        <f>IF(OR($A2144="",$K2144=""),"",IF(AND($M2144="Sí",$O2144="Sí"),"OTIF","Falló"))</f>
        <v/>
      </c>
    </row>
    <row r="2145" ht="16" customHeight="1">
      <c r="A2145" s="47" t="n"/>
      <c r="B2145" s="46" t="n"/>
      <c r="C2145" s="49" t="n"/>
      <c r="D2145" s="49" t="n"/>
      <c r="E2145" s="49" t="n"/>
      <c r="F2145" s="49" t="n"/>
      <c r="G2145" s="47" t="n"/>
      <c r="H2145" s="50" t="n"/>
      <c r="I2145" s="51" t="n"/>
      <c r="J2145" s="46" t="n"/>
      <c r="K2145" s="46" t="n"/>
      <c r="L2145" s="23">
        <f>IF(OR($A2145="",$B2145=""),"",IF($K2145&lt;&gt;"",$K2145-$B2145,TODAY()-$B2145))</f>
        <v/>
      </c>
      <c r="M2145" s="27">
        <f>IF(OR($A2145="",$J2145=""),"",IF($K2145="",IF(TODAY()&gt;$J2145,"Atrasado","En ruta"),IF($K2145&lt;=$J2145,"Sí","No")))</f>
        <v/>
      </c>
      <c r="N2145" s="23">
        <f>IF($A2145="","",COUNTIFS(NOVEDADES!$C$4:$C$1503,$A2145))</f>
        <v/>
      </c>
      <c r="O2145" s="27">
        <f>IF($A2145="","",IF(COUNTIFS(NOVEDADES!$C$4:$C$1503,$A2145,NOVEDADES!$M$4:$M$1503,"SÍ")&gt;0,"No","Sí"))</f>
        <v/>
      </c>
      <c r="P2145" s="27">
        <f>IF(OR($A2145="",$K2145=""),"",IF(AND($M2145="Sí",$O2145="Sí"),"OTIF","Falló"))</f>
        <v/>
      </c>
    </row>
    <row r="2146" ht="16" customHeight="1">
      <c r="A2146" s="47" t="n"/>
      <c r="B2146" s="46" t="n"/>
      <c r="C2146" s="49" t="n"/>
      <c r="D2146" s="49" t="n"/>
      <c r="E2146" s="49" t="n"/>
      <c r="F2146" s="49" t="n"/>
      <c r="G2146" s="47" t="n"/>
      <c r="H2146" s="50" t="n"/>
      <c r="I2146" s="51" t="n"/>
      <c r="J2146" s="46" t="n"/>
      <c r="K2146" s="46" t="n"/>
      <c r="L2146" s="23">
        <f>IF(OR($A2146="",$B2146=""),"",IF($K2146&lt;&gt;"",$K2146-$B2146,TODAY()-$B2146))</f>
        <v/>
      </c>
      <c r="M2146" s="27">
        <f>IF(OR($A2146="",$J2146=""),"",IF($K2146="",IF(TODAY()&gt;$J2146,"Atrasado","En ruta"),IF($K2146&lt;=$J2146,"Sí","No")))</f>
        <v/>
      </c>
      <c r="N2146" s="23">
        <f>IF($A2146="","",COUNTIFS(NOVEDADES!$C$4:$C$1503,$A2146))</f>
        <v/>
      </c>
      <c r="O2146" s="27">
        <f>IF($A2146="","",IF(COUNTIFS(NOVEDADES!$C$4:$C$1503,$A2146,NOVEDADES!$M$4:$M$1503,"SÍ")&gt;0,"No","Sí"))</f>
        <v/>
      </c>
      <c r="P2146" s="27">
        <f>IF(OR($A2146="",$K2146=""),"",IF(AND($M2146="Sí",$O2146="Sí"),"OTIF","Falló"))</f>
        <v/>
      </c>
    </row>
    <row r="2147" ht="16" customHeight="1">
      <c r="A2147" s="47" t="n"/>
      <c r="B2147" s="46" t="n"/>
      <c r="C2147" s="49" t="n"/>
      <c r="D2147" s="49" t="n"/>
      <c r="E2147" s="49" t="n"/>
      <c r="F2147" s="49" t="n"/>
      <c r="G2147" s="47" t="n"/>
      <c r="H2147" s="50" t="n"/>
      <c r="I2147" s="51" t="n"/>
      <c r="J2147" s="46" t="n"/>
      <c r="K2147" s="46" t="n"/>
      <c r="L2147" s="23">
        <f>IF(OR($A2147="",$B2147=""),"",IF($K2147&lt;&gt;"",$K2147-$B2147,TODAY()-$B2147))</f>
        <v/>
      </c>
      <c r="M2147" s="27">
        <f>IF(OR($A2147="",$J2147=""),"",IF($K2147="",IF(TODAY()&gt;$J2147,"Atrasado","En ruta"),IF($K2147&lt;=$J2147,"Sí","No")))</f>
        <v/>
      </c>
      <c r="N2147" s="23">
        <f>IF($A2147="","",COUNTIFS(NOVEDADES!$C$4:$C$1503,$A2147))</f>
        <v/>
      </c>
      <c r="O2147" s="27">
        <f>IF($A2147="","",IF(COUNTIFS(NOVEDADES!$C$4:$C$1503,$A2147,NOVEDADES!$M$4:$M$1503,"SÍ")&gt;0,"No","Sí"))</f>
        <v/>
      </c>
      <c r="P2147" s="27">
        <f>IF(OR($A2147="",$K2147=""),"",IF(AND($M2147="Sí",$O2147="Sí"),"OTIF","Falló"))</f>
        <v/>
      </c>
    </row>
    <row r="2148" ht="16" customHeight="1">
      <c r="A2148" s="47" t="n"/>
      <c r="B2148" s="46" t="n"/>
      <c r="C2148" s="49" t="n"/>
      <c r="D2148" s="49" t="n"/>
      <c r="E2148" s="49" t="n"/>
      <c r="F2148" s="49" t="n"/>
      <c r="G2148" s="47" t="n"/>
      <c r="H2148" s="50" t="n"/>
      <c r="I2148" s="51" t="n"/>
      <c r="J2148" s="46" t="n"/>
      <c r="K2148" s="46" t="n"/>
      <c r="L2148" s="23">
        <f>IF(OR($A2148="",$B2148=""),"",IF($K2148&lt;&gt;"",$K2148-$B2148,TODAY()-$B2148))</f>
        <v/>
      </c>
      <c r="M2148" s="27">
        <f>IF(OR($A2148="",$J2148=""),"",IF($K2148="",IF(TODAY()&gt;$J2148,"Atrasado","En ruta"),IF($K2148&lt;=$J2148,"Sí","No")))</f>
        <v/>
      </c>
      <c r="N2148" s="23">
        <f>IF($A2148="","",COUNTIFS(NOVEDADES!$C$4:$C$1503,$A2148))</f>
        <v/>
      </c>
      <c r="O2148" s="27">
        <f>IF($A2148="","",IF(COUNTIFS(NOVEDADES!$C$4:$C$1503,$A2148,NOVEDADES!$M$4:$M$1503,"SÍ")&gt;0,"No","Sí"))</f>
        <v/>
      </c>
      <c r="P2148" s="27">
        <f>IF(OR($A2148="",$K2148=""),"",IF(AND($M2148="Sí",$O2148="Sí"),"OTIF","Falló"))</f>
        <v/>
      </c>
    </row>
    <row r="2149" ht="16" customHeight="1">
      <c r="A2149" s="47" t="n"/>
      <c r="B2149" s="46" t="n"/>
      <c r="C2149" s="49" t="n"/>
      <c r="D2149" s="49" t="n"/>
      <c r="E2149" s="49" t="n"/>
      <c r="F2149" s="49" t="n"/>
      <c r="G2149" s="47" t="n"/>
      <c r="H2149" s="50" t="n"/>
      <c r="I2149" s="51" t="n"/>
      <c r="J2149" s="46" t="n"/>
      <c r="K2149" s="46" t="n"/>
      <c r="L2149" s="23">
        <f>IF(OR($A2149="",$B2149=""),"",IF($K2149&lt;&gt;"",$K2149-$B2149,TODAY()-$B2149))</f>
        <v/>
      </c>
      <c r="M2149" s="27">
        <f>IF(OR($A2149="",$J2149=""),"",IF($K2149="",IF(TODAY()&gt;$J2149,"Atrasado","En ruta"),IF($K2149&lt;=$J2149,"Sí","No")))</f>
        <v/>
      </c>
      <c r="N2149" s="23">
        <f>IF($A2149="","",COUNTIFS(NOVEDADES!$C$4:$C$1503,$A2149))</f>
        <v/>
      </c>
      <c r="O2149" s="27">
        <f>IF($A2149="","",IF(COUNTIFS(NOVEDADES!$C$4:$C$1503,$A2149,NOVEDADES!$M$4:$M$1503,"SÍ")&gt;0,"No","Sí"))</f>
        <v/>
      </c>
      <c r="P2149" s="27">
        <f>IF(OR($A2149="",$K2149=""),"",IF(AND($M2149="Sí",$O2149="Sí"),"OTIF","Falló"))</f>
        <v/>
      </c>
    </row>
    <row r="2150" ht="16" customHeight="1">
      <c r="A2150" s="47" t="n"/>
      <c r="B2150" s="46" t="n"/>
      <c r="C2150" s="49" t="n"/>
      <c r="D2150" s="49" t="n"/>
      <c r="E2150" s="49" t="n"/>
      <c r="F2150" s="49" t="n"/>
      <c r="G2150" s="47" t="n"/>
      <c r="H2150" s="50" t="n"/>
      <c r="I2150" s="51" t="n"/>
      <c r="J2150" s="46" t="n"/>
      <c r="K2150" s="46" t="n"/>
      <c r="L2150" s="23">
        <f>IF(OR($A2150="",$B2150=""),"",IF($K2150&lt;&gt;"",$K2150-$B2150,TODAY()-$B2150))</f>
        <v/>
      </c>
      <c r="M2150" s="27">
        <f>IF(OR($A2150="",$J2150=""),"",IF($K2150="",IF(TODAY()&gt;$J2150,"Atrasado","En ruta"),IF($K2150&lt;=$J2150,"Sí","No")))</f>
        <v/>
      </c>
      <c r="N2150" s="23">
        <f>IF($A2150="","",COUNTIFS(NOVEDADES!$C$4:$C$1503,$A2150))</f>
        <v/>
      </c>
      <c r="O2150" s="27">
        <f>IF($A2150="","",IF(COUNTIFS(NOVEDADES!$C$4:$C$1503,$A2150,NOVEDADES!$M$4:$M$1503,"SÍ")&gt;0,"No","Sí"))</f>
        <v/>
      </c>
      <c r="P2150" s="27">
        <f>IF(OR($A2150="",$K2150=""),"",IF(AND($M2150="Sí",$O2150="Sí"),"OTIF","Falló"))</f>
        <v/>
      </c>
    </row>
    <row r="2151" ht="16" customHeight="1">
      <c r="A2151" s="47" t="n"/>
      <c r="B2151" s="46" t="n"/>
      <c r="C2151" s="49" t="n"/>
      <c r="D2151" s="49" t="n"/>
      <c r="E2151" s="49" t="n"/>
      <c r="F2151" s="49" t="n"/>
      <c r="G2151" s="47" t="n"/>
      <c r="H2151" s="50" t="n"/>
      <c r="I2151" s="51" t="n"/>
      <c r="J2151" s="46" t="n"/>
      <c r="K2151" s="46" t="n"/>
      <c r="L2151" s="23">
        <f>IF(OR($A2151="",$B2151=""),"",IF($K2151&lt;&gt;"",$K2151-$B2151,TODAY()-$B2151))</f>
        <v/>
      </c>
      <c r="M2151" s="27">
        <f>IF(OR($A2151="",$J2151=""),"",IF($K2151="",IF(TODAY()&gt;$J2151,"Atrasado","En ruta"),IF($K2151&lt;=$J2151,"Sí","No")))</f>
        <v/>
      </c>
      <c r="N2151" s="23">
        <f>IF($A2151="","",COUNTIFS(NOVEDADES!$C$4:$C$1503,$A2151))</f>
        <v/>
      </c>
      <c r="O2151" s="27">
        <f>IF($A2151="","",IF(COUNTIFS(NOVEDADES!$C$4:$C$1503,$A2151,NOVEDADES!$M$4:$M$1503,"SÍ")&gt;0,"No","Sí"))</f>
        <v/>
      </c>
      <c r="P2151" s="27">
        <f>IF(OR($A2151="",$K2151=""),"",IF(AND($M2151="Sí",$O2151="Sí"),"OTIF","Falló"))</f>
        <v/>
      </c>
    </row>
    <row r="2152" ht="16" customHeight="1">
      <c r="A2152" s="47" t="n"/>
      <c r="B2152" s="46" t="n"/>
      <c r="C2152" s="49" t="n"/>
      <c r="D2152" s="49" t="n"/>
      <c r="E2152" s="49" t="n"/>
      <c r="F2152" s="49" t="n"/>
      <c r="G2152" s="47" t="n"/>
      <c r="H2152" s="50" t="n"/>
      <c r="I2152" s="51" t="n"/>
      <c r="J2152" s="46" t="n"/>
      <c r="K2152" s="46" t="n"/>
      <c r="L2152" s="23">
        <f>IF(OR($A2152="",$B2152=""),"",IF($K2152&lt;&gt;"",$K2152-$B2152,TODAY()-$B2152))</f>
        <v/>
      </c>
      <c r="M2152" s="27">
        <f>IF(OR($A2152="",$J2152=""),"",IF($K2152="",IF(TODAY()&gt;$J2152,"Atrasado","En ruta"),IF($K2152&lt;=$J2152,"Sí","No")))</f>
        <v/>
      </c>
      <c r="N2152" s="23">
        <f>IF($A2152="","",COUNTIFS(NOVEDADES!$C$4:$C$1503,$A2152))</f>
        <v/>
      </c>
      <c r="O2152" s="27">
        <f>IF($A2152="","",IF(COUNTIFS(NOVEDADES!$C$4:$C$1503,$A2152,NOVEDADES!$M$4:$M$1503,"SÍ")&gt;0,"No","Sí"))</f>
        <v/>
      </c>
      <c r="P2152" s="27">
        <f>IF(OR($A2152="",$K2152=""),"",IF(AND($M2152="Sí",$O2152="Sí"),"OTIF","Falló"))</f>
        <v/>
      </c>
    </row>
    <row r="2153" ht="16" customHeight="1">
      <c r="A2153" s="47" t="n"/>
      <c r="B2153" s="46" t="n"/>
      <c r="C2153" s="49" t="n"/>
      <c r="D2153" s="49" t="n"/>
      <c r="E2153" s="49" t="n"/>
      <c r="F2153" s="49" t="n"/>
      <c r="G2153" s="47" t="n"/>
      <c r="H2153" s="50" t="n"/>
      <c r="I2153" s="51" t="n"/>
      <c r="J2153" s="46" t="n"/>
      <c r="K2153" s="46" t="n"/>
      <c r="L2153" s="23">
        <f>IF(OR($A2153="",$B2153=""),"",IF($K2153&lt;&gt;"",$K2153-$B2153,TODAY()-$B2153))</f>
        <v/>
      </c>
      <c r="M2153" s="27">
        <f>IF(OR($A2153="",$J2153=""),"",IF($K2153="",IF(TODAY()&gt;$J2153,"Atrasado","En ruta"),IF($K2153&lt;=$J2153,"Sí","No")))</f>
        <v/>
      </c>
      <c r="N2153" s="23">
        <f>IF($A2153="","",COUNTIFS(NOVEDADES!$C$4:$C$1503,$A2153))</f>
        <v/>
      </c>
      <c r="O2153" s="27">
        <f>IF($A2153="","",IF(COUNTIFS(NOVEDADES!$C$4:$C$1503,$A2153,NOVEDADES!$M$4:$M$1503,"SÍ")&gt;0,"No","Sí"))</f>
        <v/>
      </c>
      <c r="P2153" s="27">
        <f>IF(OR($A2153="",$K2153=""),"",IF(AND($M2153="Sí",$O2153="Sí"),"OTIF","Falló"))</f>
        <v/>
      </c>
    </row>
    <row r="2154" ht="16" customHeight="1">
      <c r="A2154" s="47" t="n"/>
      <c r="B2154" s="46" t="n"/>
      <c r="C2154" s="49" t="n"/>
      <c r="D2154" s="49" t="n"/>
      <c r="E2154" s="49" t="n"/>
      <c r="F2154" s="49" t="n"/>
      <c r="G2154" s="47" t="n"/>
      <c r="H2154" s="50" t="n"/>
      <c r="I2154" s="51" t="n"/>
      <c r="J2154" s="46" t="n"/>
      <c r="K2154" s="46" t="n"/>
      <c r="L2154" s="23">
        <f>IF(OR($A2154="",$B2154=""),"",IF($K2154&lt;&gt;"",$K2154-$B2154,TODAY()-$B2154))</f>
        <v/>
      </c>
      <c r="M2154" s="27">
        <f>IF(OR($A2154="",$J2154=""),"",IF($K2154="",IF(TODAY()&gt;$J2154,"Atrasado","En ruta"),IF($K2154&lt;=$J2154,"Sí","No")))</f>
        <v/>
      </c>
      <c r="N2154" s="23">
        <f>IF($A2154="","",COUNTIFS(NOVEDADES!$C$4:$C$1503,$A2154))</f>
        <v/>
      </c>
      <c r="O2154" s="27">
        <f>IF($A2154="","",IF(COUNTIFS(NOVEDADES!$C$4:$C$1503,$A2154,NOVEDADES!$M$4:$M$1503,"SÍ")&gt;0,"No","Sí"))</f>
        <v/>
      </c>
      <c r="P2154" s="27">
        <f>IF(OR($A2154="",$K2154=""),"",IF(AND($M2154="Sí",$O2154="Sí"),"OTIF","Falló"))</f>
        <v/>
      </c>
    </row>
    <row r="2155" ht="16" customHeight="1">
      <c r="A2155" s="47" t="n"/>
      <c r="B2155" s="46" t="n"/>
      <c r="C2155" s="49" t="n"/>
      <c r="D2155" s="49" t="n"/>
      <c r="E2155" s="49" t="n"/>
      <c r="F2155" s="49" t="n"/>
      <c r="G2155" s="47" t="n"/>
      <c r="H2155" s="50" t="n"/>
      <c r="I2155" s="51" t="n"/>
      <c r="J2155" s="46" t="n"/>
      <c r="K2155" s="46" t="n"/>
      <c r="L2155" s="23">
        <f>IF(OR($A2155="",$B2155=""),"",IF($K2155&lt;&gt;"",$K2155-$B2155,TODAY()-$B2155))</f>
        <v/>
      </c>
      <c r="M2155" s="27">
        <f>IF(OR($A2155="",$J2155=""),"",IF($K2155="",IF(TODAY()&gt;$J2155,"Atrasado","En ruta"),IF($K2155&lt;=$J2155,"Sí","No")))</f>
        <v/>
      </c>
      <c r="N2155" s="23">
        <f>IF($A2155="","",COUNTIFS(NOVEDADES!$C$4:$C$1503,$A2155))</f>
        <v/>
      </c>
      <c r="O2155" s="27">
        <f>IF($A2155="","",IF(COUNTIFS(NOVEDADES!$C$4:$C$1503,$A2155,NOVEDADES!$M$4:$M$1503,"SÍ")&gt;0,"No","Sí"))</f>
        <v/>
      </c>
      <c r="P2155" s="27">
        <f>IF(OR($A2155="",$K2155=""),"",IF(AND($M2155="Sí",$O2155="Sí"),"OTIF","Falló"))</f>
        <v/>
      </c>
    </row>
    <row r="2156" ht="16" customHeight="1">
      <c r="A2156" s="47" t="n"/>
      <c r="B2156" s="46" t="n"/>
      <c r="C2156" s="49" t="n"/>
      <c r="D2156" s="49" t="n"/>
      <c r="E2156" s="49" t="n"/>
      <c r="F2156" s="49" t="n"/>
      <c r="G2156" s="47" t="n"/>
      <c r="H2156" s="50" t="n"/>
      <c r="I2156" s="51" t="n"/>
      <c r="J2156" s="46" t="n"/>
      <c r="K2156" s="46" t="n"/>
      <c r="L2156" s="23">
        <f>IF(OR($A2156="",$B2156=""),"",IF($K2156&lt;&gt;"",$K2156-$B2156,TODAY()-$B2156))</f>
        <v/>
      </c>
      <c r="M2156" s="27">
        <f>IF(OR($A2156="",$J2156=""),"",IF($K2156="",IF(TODAY()&gt;$J2156,"Atrasado","En ruta"),IF($K2156&lt;=$J2156,"Sí","No")))</f>
        <v/>
      </c>
      <c r="N2156" s="23">
        <f>IF($A2156="","",COUNTIFS(NOVEDADES!$C$4:$C$1503,$A2156))</f>
        <v/>
      </c>
      <c r="O2156" s="27">
        <f>IF($A2156="","",IF(COUNTIFS(NOVEDADES!$C$4:$C$1503,$A2156,NOVEDADES!$M$4:$M$1503,"SÍ")&gt;0,"No","Sí"))</f>
        <v/>
      </c>
      <c r="P2156" s="27">
        <f>IF(OR($A2156="",$K2156=""),"",IF(AND($M2156="Sí",$O2156="Sí"),"OTIF","Falló"))</f>
        <v/>
      </c>
    </row>
    <row r="2157" ht="16" customHeight="1">
      <c r="A2157" s="47" t="n"/>
      <c r="B2157" s="46" t="n"/>
      <c r="C2157" s="49" t="n"/>
      <c r="D2157" s="49" t="n"/>
      <c r="E2157" s="49" t="n"/>
      <c r="F2157" s="49" t="n"/>
      <c r="G2157" s="47" t="n"/>
      <c r="H2157" s="50" t="n"/>
      <c r="I2157" s="51" t="n"/>
      <c r="J2157" s="46" t="n"/>
      <c r="K2157" s="46" t="n"/>
      <c r="L2157" s="23">
        <f>IF(OR($A2157="",$B2157=""),"",IF($K2157&lt;&gt;"",$K2157-$B2157,TODAY()-$B2157))</f>
        <v/>
      </c>
      <c r="M2157" s="27">
        <f>IF(OR($A2157="",$J2157=""),"",IF($K2157="",IF(TODAY()&gt;$J2157,"Atrasado","En ruta"),IF($K2157&lt;=$J2157,"Sí","No")))</f>
        <v/>
      </c>
      <c r="N2157" s="23">
        <f>IF($A2157="","",COUNTIFS(NOVEDADES!$C$4:$C$1503,$A2157))</f>
        <v/>
      </c>
      <c r="O2157" s="27">
        <f>IF($A2157="","",IF(COUNTIFS(NOVEDADES!$C$4:$C$1503,$A2157,NOVEDADES!$M$4:$M$1503,"SÍ")&gt;0,"No","Sí"))</f>
        <v/>
      </c>
      <c r="P2157" s="27">
        <f>IF(OR($A2157="",$K2157=""),"",IF(AND($M2157="Sí",$O2157="Sí"),"OTIF","Falló"))</f>
        <v/>
      </c>
    </row>
    <row r="2158" ht="16" customHeight="1">
      <c r="A2158" s="47" t="n"/>
      <c r="B2158" s="46" t="n"/>
      <c r="C2158" s="49" t="n"/>
      <c r="D2158" s="49" t="n"/>
      <c r="E2158" s="49" t="n"/>
      <c r="F2158" s="49" t="n"/>
      <c r="G2158" s="47" t="n"/>
      <c r="H2158" s="50" t="n"/>
      <c r="I2158" s="51" t="n"/>
      <c r="J2158" s="46" t="n"/>
      <c r="K2158" s="46" t="n"/>
      <c r="L2158" s="23">
        <f>IF(OR($A2158="",$B2158=""),"",IF($K2158&lt;&gt;"",$K2158-$B2158,TODAY()-$B2158))</f>
        <v/>
      </c>
      <c r="M2158" s="27">
        <f>IF(OR($A2158="",$J2158=""),"",IF($K2158="",IF(TODAY()&gt;$J2158,"Atrasado","En ruta"),IF($K2158&lt;=$J2158,"Sí","No")))</f>
        <v/>
      </c>
      <c r="N2158" s="23">
        <f>IF($A2158="","",COUNTIFS(NOVEDADES!$C$4:$C$1503,$A2158))</f>
        <v/>
      </c>
      <c r="O2158" s="27">
        <f>IF($A2158="","",IF(COUNTIFS(NOVEDADES!$C$4:$C$1503,$A2158,NOVEDADES!$M$4:$M$1503,"SÍ")&gt;0,"No","Sí"))</f>
        <v/>
      </c>
      <c r="P2158" s="27">
        <f>IF(OR($A2158="",$K2158=""),"",IF(AND($M2158="Sí",$O2158="Sí"),"OTIF","Falló"))</f>
        <v/>
      </c>
    </row>
    <row r="2159" ht="16" customHeight="1">
      <c r="A2159" s="47" t="n"/>
      <c r="B2159" s="46" t="n"/>
      <c r="C2159" s="49" t="n"/>
      <c r="D2159" s="49" t="n"/>
      <c r="E2159" s="49" t="n"/>
      <c r="F2159" s="49" t="n"/>
      <c r="G2159" s="47" t="n"/>
      <c r="H2159" s="50" t="n"/>
      <c r="I2159" s="51" t="n"/>
      <c r="J2159" s="46" t="n"/>
      <c r="K2159" s="46" t="n"/>
      <c r="L2159" s="23">
        <f>IF(OR($A2159="",$B2159=""),"",IF($K2159&lt;&gt;"",$K2159-$B2159,TODAY()-$B2159))</f>
        <v/>
      </c>
      <c r="M2159" s="27">
        <f>IF(OR($A2159="",$J2159=""),"",IF($K2159="",IF(TODAY()&gt;$J2159,"Atrasado","En ruta"),IF($K2159&lt;=$J2159,"Sí","No")))</f>
        <v/>
      </c>
      <c r="N2159" s="23">
        <f>IF($A2159="","",COUNTIFS(NOVEDADES!$C$4:$C$1503,$A2159))</f>
        <v/>
      </c>
      <c r="O2159" s="27">
        <f>IF($A2159="","",IF(COUNTIFS(NOVEDADES!$C$4:$C$1503,$A2159,NOVEDADES!$M$4:$M$1503,"SÍ")&gt;0,"No","Sí"))</f>
        <v/>
      </c>
      <c r="P2159" s="27">
        <f>IF(OR($A2159="",$K2159=""),"",IF(AND($M2159="Sí",$O2159="Sí"),"OTIF","Falló"))</f>
        <v/>
      </c>
    </row>
    <row r="2160" ht="16" customHeight="1">
      <c r="A2160" s="47" t="n"/>
      <c r="B2160" s="46" t="n"/>
      <c r="C2160" s="49" t="n"/>
      <c r="D2160" s="49" t="n"/>
      <c r="E2160" s="49" t="n"/>
      <c r="F2160" s="49" t="n"/>
      <c r="G2160" s="47" t="n"/>
      <c r="H2160" s="50" t="n"/>
      <c r="I2160" s="51" t="n"/>
      <c r="J2160" s="46" t="n"/>
      <c r="K2160" s="46" t="n"/>
      <c r="L2160" s="23">
        <f>IF(OR($A2160="",$B2160=""),"",IF($K2160&lt;&gt;"",$K2160-$B2160,TODAY()-$B2160))</f>
        <v/>
      </c>
      <c r="M2160" s="27">
        <f>IF(OR($A2160="",$J2160=""),"",IF($K2160="",IF(TODAY()&gt;$J2160,"Atrasado","En ruta"),IF($K2160&lt;=$J2160,"Sí","No")))</f>
        <v/>
      </c>
      <c r="N2160" s="23">
        <f>IF($A2160="","",COUNTIFS(NOVEDADES!$C$4:$C$1503,$A2160))</f>
        <v/>
      </c>
      <c r="O2160" s="27">
        <f>IF($A2160="","",IF(COUNTIFS(NOVEDADES!$C$4:$C$1503,$A2160,NOVEDADES!$M$4:$M$1503,"SÍ")&gt;0,"No","Sí"))</f>
        <v/>
      </c>
      <c r="P2160" s="27">
        <f>IF(OR($A2160="",$K2160=""),"",IF(AND($M2160="Sí",$O2160="Sí"),"OTIF","Falló"))</f>
        <v/>
      </c>
    </row>
    <row r="2161" ht="16" customHeight="1">
      <c r="A2161" s="47" t="n"/>
      <c r="B2161" s="46" t="n"/>
      <c r="C2161" s="49" t="n"/>
      <c r="D2161" s="49" t="n"/>
      <c r="E2161" s="49" t="n"/>
      <c r="F2161" s="49" t="n"/>
      <c r="G2161" s="47" t="n"/>
      <c r="H2161" s="50" t="n"/>
      <c r="I2161" s="51" t="n"/>
      <c r="J2161" s="46" t="n"/>
      <c r="K2161" s="46" t="n"/>
      <c r="L2161" s="23">
        <f>IF(OR($A2161="",$B2161=""),"",IF($K2161&lt;&gt;"",$K2161-$B2161,TODAY()-$B2161))</f>
        <v/>
      </c>
      <c r="M2161" s="27">
        <f>IF(OR($A2161="",$J2161=""),"",IF($K2161="",IF(TODAY()&gt;$J2161,"Atrasado","En ruta"),IF($K2161&lt;=$J2161,"Sí","No")))</f>
        <v/>
      </c>
      <c r="N2161" s="23">
        <f>IF($A2161="","",COUNTIFS(NOVEDADES!$C$4:$C$1503,$A2161))</f>
        <v/>
      </c>
      <c r="O2161" s="27">
        <f>IF($A2161="","",IF(COUNTIFS(NOVEDADES!$C$4:$C$1503,$A2161,NOVEDADES!$M$4:$M$1503,"SÍ")&gt;0,"No","Sí"))</f>
        <v/>
      </c>
      <c r="P2161" s="27">
        <f>IF(OR($A2161="",$K2161=""),"",IF(AND($M2161="Sí",$O2161="Sí"),"OTIF","Falló"))</f>
        <v/>
      </c>
    </row>
    <row r="2162" ht="16" customHeight="1">
      <c r="A2162" s="47" t="n"/>
      <c r="B2162" s="46" t="n"/>
      <c r="C2162" s="49" t="n"/>
      <c r="D2162" s="49" t="n"/>
      <c r="E2162" s="49" t="n"/>
      <c r="F2162" s="49" t="n"/>
      <c r="G2162" s="47" t="n"/>
      <c r="H2162" s="50" t="n"/>
      <c r="I2162" s="51" t="n"/>
      <c r="J2162" s="46" t="n"/>
      <c r="K2162" s="46" t="n"/>
      <c r="L2162" s="23">
        <f>IF(OR($A2162="",$B2162=""),"",IF($K2162&lt;&gt;"",$K2162-$B2162,TODAY()-$B2162))</f>
        <v/>
      </c>
      <c r="M2162" s="27">
        <f>IF(OR($A2162="",$J2162=""),"",IF($K2162="",IF(TODAY()&gt;$J2162,"Atrasado","En ruta"),IF($K2162&lt;=$J2162,"Sí","No")))</f>
        <v/>
      </c>
      <c r="N2162" s="23">
        <f>IF($A2162="","",COUNTIFS(NOVEDADES!$C$4:$C$1503,$A2162))</f>
        <v/>
      </c>
      <c r="O2162" s="27">
        <f>IF($A2162="","",IF(COUNTIFS(NOVEDADES!$C$4:$C$1503,$A2162,NOVEDADES!$M$4:$M$1503,"SÍ")&gt;0,"No","Sí"))</f>
        <v/>
      </c>
      <c r="P2162" s="27">
        <f>IF(OR($A2162="",$K2162=""),"",IF(AND($M2162="Sí",$O2162="Sí"),"OTIF","Falló"))</f>
        <v/>
      </c>
    </row>
    <row r="2163" ht="16" customHeight="1">
      <c r="A2163" s="47" t="n"/>
      <c r="B2163" s="46" t="n"/>
      <c r="C2163" s="49" t="n"/>
      <c r="D2163" s="49" t="n"/>
      <c r="E2163" s="49" t="n"/>
      <c r="F2163" s="49" t="n"/>
      <c r="G2163" s="47" t="n"/>
      <c r="H2163" s="50" t="n"/>
      <c r="I2163" s="51" t="n"/>
      <c r="J2163" s="46" t="n"/>
      <c r="K2163" s="46" t="n"/>
      <c r="L2163" s="23">
        <f>IF(OR($A2163="",$B2163=""),"",IF($K2163&lt;&gt;"",$K2163-$B2163,TODAY()-$B2163))</f>
        <v/>
      </c>
      <c r="M2163" s="27">
        <f>IF(OR($A2163="",$J2163=""),"",IF($K2163="",IF(TODAY()&gt;$J2163,"Atrasado","En ruta"),IF($K2163&lt;=$J2163,"Sí","No")))</f>
        <v/>
      </c>
      <c r="N2163" s="23">
        <f>IF($A2163="","",COUNTIFS(NOVEDADES!$C$4:$C$1503,$A2163))</f>
        <v/>
      </c>
      <c r="O2163" s="27">
        <f>IF($A2163="","",IF(COUNTIFS(NOVEDADES!$C$4:$C$1503,$A2163,NOVEDADES!$M$4:$M$1503,"SÍ")&gt;0,"No","Sí"))</f>
        <v/>
      </c>
      <c r="P2163" s="27">
        <f>IF(OR($A2163="",$K2163=""),"",IF(AND($M2163="Sí",$O2163="Sí"),"OTIF","Falló"))</f>
        <v/>
      </c>
    </row>
    <row r="2164" ht="16" customHeight="1">
      <c r="A2164" s="47" t="n"/>
      <c r="B2164" s="46" t="n"/>
      <c r="C2164" s="49" t="n"/>
      <c r="D2164" s="49" t="n"/>
      <c r="E2164" s="49" t="n"/>
      <c r="F2164" s="49" t="n"/>
      <c r="G2164" s="47" t="n"/>
      <c r="H2164" s="50" t="n"/>
      <c r="I2164" s="51" t="n"/>
      <c r="J2164" s="46" t="n"/>
      <c r="K2164" s="46" t="n"/>
      <c r="L2164" s="23">
        <f>IF(OR($A2164="",$B2164=""),"",IF($K2164&lt;&gt;"",$K2164-$B2164,TODAY()-$B2164))</f>
        <v/>
      </c>
      <c r="M2164" s="27">
        <f>IF(OR($A2164="",$J2164=""),"",IF($K2164="",IF(TODAY()&gt;$J2164,"Atrasado","En ruta"),IF($K2164&lt;=$J2164,"Sí","No")))</f>
        <v/>
      </c>
      <c r="N2164" s="23">
        <f>IF($A2164="","",COUNTIFS(NOVEDADES!$C$4:$C$1503,$A2164))</f>
        <v/>
      </c>
      <c r="O2164" s="27">
        <f>IF($A2164="","",IF(COUNTIFS(NOVEDADES!$C$4:$C$1503,$A2164,NOVEDADES!$M$4:$M$1503,"SÍ")&gt;0,"No","Sí"))</f>
        <v/>
      </c>
      <c r="P2164" s="27">
        <f>IF(OR($A2164="",$K2164=""),"",IF(AND($M2164="Sí",$O2164="Sí"),"OTIF","Falló"))</f>
        <v/>
      </c>
    </row>
    <row r="2165" ht="16" customHeight="1">
      <c r="A2165" s="47" t="n"/>
      <c r="B2165" s="46" t="n"/>
      <c r="C2165" s="49" t="n"/>
      <c r="D2165" s="49" t="n"/>
      <c r="E2165" s="49" t="n"/>
      <c r="F2165" s="49" t="n"/>
      <c r="G2165" s="47" t="n"/>
      <c r="H2165" s="50" t="n"/>
      <c r="I2165" s="51" t="n"/>
      <c r="J2165" s="46" t="n"/>
      <c r="K2165" s="46" t="n"/>
      <c r="L2165" s="23">
        <f>IF(OR($A2165="",$B2165=""),"",IF($K2165&lt;&gt;"",$K2165-$B2165,TODAY()-$B2165))</f>
        <v/>
      </c>
      <c r="M2165" s="27">
        <f>IF(OR($A2165="",$J2165=""),"",IF($K2165="",IF(TODAY()&gt;$J2165,"Atrasado","En ruta"),IF($K2165&lt;=$J2165,"Sí","No")))</f>
        <v/>
      </c>
      <c r="N2165" s="23">
        <f>IF($A2165="","",COUNTIFS(NOVEDADES!$C$4:$C$1503,$A2165))</f>
        <v/>
      </c>
      <c r="O2165" s="27">
        <f>IF($A2165="","",IF(COUNTIFS(NOVEDADES!$C$4:$C$1503,$A2165,NOVEDADES!$M$4:$M$1503,"SÍ")&gt;0,"No","Sí"))</f>
        <v/>
      </c>
      <c r="P2165" s="27">
        <f>IF(OR($A2165="",$K2165=""),"",IF(AND($M2165="Sí",$O2165="Sí"),"OTIF","Falló"))</f>
        <v/>
      </c>
    </row>
    <row r="2166" ht="16" customHeight="1">
      <c r="A2166" s="47" t="n"/>
      <c r="B2166" s="46" t="n"/>
      <c r="C2166" s="49" t="n"/>
      <c r="D2166" s="49" t="n"/>
      <c r="E2166" s="49" t="n"/>
      <c r="F2166" s="49" t="n"/>
      <c r="G2166" s="47" t="n"/>
      <c r="H2166" s="50" t="n"/>
      <c r="I2166" s="51" t="n"/>
      <c r="J2166" s="46" t="n"/>
      <c r="K2166" s="46" t="n"/>
      <c r="L2166" s="23">
        <f>IF(OR($A2166="",$B2166=""),"",IF($K2166&lt;&gt;"",$K2166-$B2166,TODAY()-$B2166))</f>
        <v/>
      </c>
      <c r="M2166" s="27">
        <f>IF(OR($A2166="",$J2166=""),"",IF($K2166="",IF(TODAY()&gt;$J2166,"Atrasado","En ruta"),IF($K2166&lt;=$J2166,"Sí","No")))</f>
        <v/>
      </c>
      <c r="N2166" s="23">
        <f>IF($A2166="","",COUNTIFS(NOVEDADES!$C$4:$C$1503,$A2166))</f>
        <v/>
      </c>
      <c r="O2166" s="27">
        <f>IF($A2166="","",IF(COUNTIFS(NOVEDADES!$C$4:$C$1503,$A2166,NOVEDADES!$M$4:$M$1503,"SÍ")&gt;0,"No","Sí"))</f>
        <v/>
      </c>
      <c r="P2166" s="27">
        <f>IF(OR($A2166="",$K2166=""),"",IF(AND($M2166="Sí",$O2166="Sí"),"OTIF","Falló"))</f>
        <v/>
      </c>
    </row>
    <row r="2167" ht="16" customHeight="1">
      <c r="A2167" s="47" t="n"/>
      <c r="B2167" s="46" t="n"/>
      <c r="C2167" s="49" t="n"/>
      <c r="D2167" s="49" t="n"/>
      <c r="E2167" s="49" t="n"/>
      <c r="F2167" s="49" t="n"/>
      <c r="G2167" s="47" t="n"/>
      <c r="H2167" s="50" t="n"/>
      <c r="I2167" s="51" t="n"/>
      <c r="J2167" s="46" t="n"/>
      <c r="K2167" s="46" t="n"/>
      <c r="L2167" s="23">
        <f>IF(OR($A2167="",$B2167=""),"",IF($K2167&lt;&gt;"",$K2167-$B2167,TODAY()-$B2167))</f>
        <v/>
      </c>
      <c r="M2167" s="27">
        <f>IF(OR($A2167="",$J2167=""),"",IF($K2167="",IF(TODAY()&gt;$J2167,"Atrasado","En ruta"),IF($K2167&lt;=$J2167,"Sí","No")))</f>
        <v/>
      </c>
      <c r="N2167" s="23">
        <f>IF($A2167="","",COUNTIFS(NOVEDADES!$C$4:$C$1503,$A2167))</f>
        <v/>
      </c>
      <c r="O2167" s="27">
        <f>IF($A2167="","",IF(COUNTIFS(NOVEDADES!$C$4:$C$1503,$A2167,NOVEDADES!$M$4:$M$1503,"SÍ")&gt;0,"No","Sí"))</f>
        <v/>
      </c>
      <c r="P2167" s="27">
        <f>IF(OR($A2167="",$K2167=""),"",IF(AND($M2167="Sí",$O2167="Sí"),"OTIF","Falló"))</f>
        <v/>
      </c>
    </row>
    <row r="2168" ht="16" customHeight="1">
      <c r="A2168" s="47" t="n"/>
      <c r="B2168" s="46" t="n"/>
      <c r="C2168" s="49" t="n"/>
      <c r="D2168" s="49" t="n"/>
      <c r="E2168" s="49" t="n"/>
      <c r="F2168" s="49" t="n"/>
      <c r="G2168" s="47" t="n"/>
      <c r="H2168" s="50" t="n"/>
      <c r="I2168" s="51" t="n"/>
      <c r="J2168" s="46" t="n"/>
      <c r="K2168" s="46" t="n"/>
      <c r="L2168" s="23">
        <f>IF(OR($A2168="",$B2168=""),"",IF($K2168&lt;&gt;"",$K2168-$B2168,TODAY()-$B2168))</f>
        <v/>
      </c>
      <c r="M2168" s="27">
        <f>IF(OR($A2168="",$J2168=""),"",IF($K2168="",IF(TODAY()&gt;$J2168,"Atrasado","En ruta"),IF($K2168&lt;=$J2168,"Sí","No")))</f>
        <v/>
      </c>
      <c r="N2168" s="23">
        <f>IF($A2168="","",COUNTIFS(NOVEDADES!$C$4:$C$1503,$A2168))</f>
        <v/>
      </c>
      <c r="O2168" s="27">
        <f>IF($A2168="","",IF(COUNTIFS(NOVEDADES!$C$4:$C$1503,$A2168,NOVEDADES!$M$4:$M$1503,"SÍ")&gt;0,"No","Sí"))</f>
        <v/>
      </c>
      <c r="P2168" s="27">
        <f>IF(OR($A2168="",$K2168=""),"",IF(AND($M2168="Sí",$O2168="Sí"),"OTIF","Falló"))</f>
        <v/>
      </c>
    </row>
    <row r="2169" ht="16" customHeight="1">
      <c r="A2169" s="47" t="n"/>
      <c r="B2169" s="46" t="n"/>
      <c r="C2169" s="49" t="n"/>
      <c r="D2169" s="49" t="n"/>
      <c r="E2169" s="49" t="n"/>
      <c r="F2169" s="49" t="n"/>
      <c r="G2169" s="47" t="n"/>
      <c r="H2169" s="50" t="n"/>
      <c r="I2169" s="51" t="n"/>
      <c r="J2169" s="46" t="n"/>
      <c r="K2169" s="46" t="n"/>
      <c r="L2169" s="23">
        <f>IF(OR($A2169="",$B2169=""),"",IF($K2169&lt;&gt;"",$K2169-$B2169,TODAY()-$B2169))</f>
        <v/>
      </c>
      <c r="M2169" s="27">
        <f>IF(OR($A2169="",$J2169=""),"",IF($K2169="",IF(TODAY()&gt;$J2169,"Atrasado","En ruta"),IF($K2169&lt;=$J2169,"Sí","No")))</f>
        <v/>
      </c>
      <c r="N2169" s="23">
        <f>IF($A2169="","",COUNTIFS(NOVEDADES!$C$4:$C$1503,$A2169))</f>
        <v/>
      </c>
      <c r="O2169" s="27">
        <f>IF($A2169="","",IF(COUNTIFS(NOVEDADES!$C$4:$C$1503,$A2169,NOVEDADES!$M$4:$M$1503,"SÍ")&gt;0,"No","Sí"))</f>
        <v/>
      </c>
      <c r="P2169" s="27">
        <f>IF(OR($A2169="",$K2169=""),"",IF(AND($M2169="Sí",$O2169="Sí"),"OTIF","Falló"))</f>
        <v/>
      </c>
    </row>
    <row r="2170" ht="16" customHeight="1">
      <c r="A2170" s="47" t="n"/>
      <c r="B2170" s="46" t="n"/>
      <c r="C2170" s="49" t="n"/>
      <c r="D2170" s="49" t="n"/>
      <c r="E2170" s="49" t="n"/>
      <c r="F2170" s="49" t="n"/>
      <c r="G2170" s="47" t="n"/>
      <c r="H2170" s="50" t="n"/>
      <c r="I2170" s="51" t="n"/>
      <c r="J2170" s="46" t="n"/>
      <c r="K2170" s="46" t="n"/>
      <c r="L2170" s="23">
        <f>IF(OR($A2170="",$B2170=""),"",IF($K2170&lt;&gt;"",$K2170-$B2170,TODAY()-$B2170))</f>
        <v/>
      </c>
      <c r="M2170" s="27">
        <f>IF(OR($A2170="",$J2170=""),"",IF($K2170="",IF(TODAY()&gt;$J2170,"Atrasado","En ruta"),IF($K2170&lt;=$J2170,"Sí","No")))</f>
        <v/>
      </c>
      <c r="N2170" s="23">
        <f>IF($A2170="","",COUNTIFS(NOVEDADES!$C$4:$C$1503,$A2170))</f>
        <v/>
      </c>
      <c r="O2170" s="27">
        <f>IF($A2170="","",IF(COUNTIFS(NOVEDADES!$C$4:$C$1503,$A2170,NOVEDADES!$M$4:$M$1503,"SÍ")&gt;0,"No","Sí"))</f>
        <v/>
      </c>
      <c r="P2170" s="27">
        <f>IF(OR($A2170="",$K2170=""),"",IF(AND($M2170="Sí",$O2170="Sí"),"OTIF","Falló"))</f>
        <v/>
      </c>
    </row>
    <row r="2171" ht="16" customHeight="1">
      <c r="A2171" s="47" t="n"/>
      <c r="B2171" s="46" t="n"/>
      <c r="C2171" s="49" t="n"/>
      <c r="D2171" s="49" t="n"/>
      <c r="E2171" s="49" t="n"/>
      <c r="F2171" s="49" t="n"/>
      <c r="G2171" s="47" t="n"/>
      <c r="H2171" s="50" t="n"/>
      <c r="I2171" s="51" t="n"/>
      <c r="J2171" s="46" t="n"/>
      <c r="K2171" s="46" t="n"/>
      <c r="L2171" s="23">
        <f>IF(OR($A2171="",$B2171=""),"",IF($K2171&lt;&gt;"",$K2171-$B2171,TODAY()-$B2171))</f>
        <v/>
      </c>
      <c r="M2171" s="27">
        <f>IF(OR($A2171="",$J2171=""),"",IF($K2171="",IF(TODAY()&gt;$J2171,"Atrasado","En ruta"),IF($K2171&lt;=$J2171,"Sí","No")))</f>
        <v/>
      </c>
      <c r="N2171" s="23">
        <f>IF($A2171="","",COUNTIFS(NOVEDADES!$C$4:$C$1503,$A2171))</f>
        <v/>
      </c>
      <c r="O2171" s="27">
        <f>IF($A2171="","",IF(COUNTIFS(NOVEDADES!$C$4:$C$1503,$A2171,NOVEDADES!$M$4:$M$1503,"SÍ")&gt;0,"No","Sí"))</f>
        <v/>
      </c>
      <c r="P2171" s="27">
        <f>IF(OR($A2171="",$K2171=""),"",IF(AND($M2171="Sí",$O2171="Sí"),"OTIF","Falló"))</f>
        <v/>
      </c>
    </row>
    <row r="2172" ht="16" customHeight="1">
      <c r="A2172" s="47" t="n"/>
      <c r="B2172" s="46" t="n"/>
      <c r="C2172" s="49" t="n"/>
      <c r="D2172" s="49" t="n"/>
      <c r="E2172" s="49" t="n"/>
      <c r="F2172" s="49" t="n"/>
      <c r="G2172" s="47" t="n"/>
      <c r="H2172" s="50" t="n"/>
      <c r="I2172" s="51" t="n"/>
      <c r="J2172" s="46" t="n"/>
      <c r="K2172" s="46" t="n"/>
      <c r="L2172" s="23">
        <f>IF(OR($A2172="",$B2172=""),"",IF($K2172&lt;&gt;"",$K2172-$B2172,TODAY()-$B2172))</f>
        <v/>
      </c>
      <c r="M2172" s="27">
        <f>IF(OR($A2172="",$J2172=""),"",IF($K2172="",IF(TODAY()&gt;$J2172,"Atrasado","En ruta"),IF($K2172&lt;=$J2172,"Sí","No")))</f>
        <v/>
      </c>
      <c r="N2172" s="23">
        <f>IF($A2172="","",COUNTIFS(NOVEDADES!$C$4:$C$1503,$A2172))</f>
        <v/>
      </c>
      <c r="O2172" s="27">
        <f>IF($A2172="","",IF(COUNTIFS(NOVEDADES!$C$4:$C$1503,$A2172,NOVEDADES!$M$4:$M$1503,"SÍ")&gt;0,"No","Sí"))</f>
        <v/>
      </c>
      <c r="P2172" s="27">
        <f>IF(OR($A2172="",$K2172=""),"",IF(AND($M2172="Sí",$O2172="Sí"),"OTIF","Falló"))</f>
        <v/>
      </c>
    </row>
    <row r="2173" ht="16" customHeight="1">
      <c r="A2173" s="47" t="n"/>
      <c r="B2173" s="46" t="n"/>
      <c r="C2173" s="49" t="n"/>
      <c r="D2173" s="49" t="n"/>
      <c r="E2173" s="49" t="n"/>
      <c r="F2173" s="49" t="n"/>
      <c r="G2173" s="47" t="n"/>
      <c r="H2173" s="50" t="n"/>
      <c r="I2173" s="51" t="n"/>
      <c r="J2173" s="46" t="n"/>
      <c r="K2173" s="46" t="n"/>
      <c r="L2173" s="23">
        <f>IF(OR($A2173="",$B2173=""),"",IF($K2173&lt;&gt;"",$K2173-$B2173,TODAY()-$B2173))</f>
        <v/>
      </c>
      <c r="M2173" s="27">
        <f>IF(OR($A2173="",$J2173=""),"",IF($K2173="",IF(TODAY()&gt;$J2173,"Atrasado","En ruta"),IF($K2173&lt;=$J2173,"Sí","No")))</f>
        <v/>
      </c>
      <c r="N2173" s="23">
        <f>IF($A2173="","",COUNTIFS(NOVEDADES!$C$4:$C$1503,$A2173))</f>
        <v/>
      </c>
      <c r="O2173" s="27">
        <f>IF($A2173="","",IF(COUNTIFS(NOVEDADES!$C$4:$C$1503,$A2173,NOVEDADES!$M$4:$M$1503,"SÍ")&gt;0,"No","Sí"))</f>
        <v/>
      </c>
      <c r="P2173" s="27">
        <f>IF(OR($A2173="",$K2173=""),"",IF(AND($M2173="Sí",$O2173="Sí"),"OTIF","Falló"))</f>
        <v/>
      </c>
    </row>
    <row r="2174" ht="16" customHeight="1">
      <c r="A2174" s="47" t="n"/>
      <c r="B2174" s="46" t="n"/>
      <c r="C2174" s="49" t="n"/>
      <c r="D2174" s="49" t="n"/>
      <c r="E2174" s="49" t="n"/>
      <c r="F2174" s="49" t="n"/>
      <c r="G2174" s="47" t="n"/>
      <c r="H2174" s="50" t="n"/>
      <c r="I2174" s="51" t="n"/>
      <c r="J2174" s="46" t="n"/>
      <c r="K2174" s="46" t="n"/>
      <c r="L2174" s="23">
        <f>IF(OR($A2174="",$B2174=""),"",IF($K2174&lt;&gt;"",$K2174-$B2174,TODAY()-$B2174))</f>
        <v/>
      </c>
      <c r="M2174" s="27">
        <f>IF(OR($A2174="",$J2174=""),"",IF($K2174="",IF(TODAY()&gt;$J2174,"Atrasado","En ruta"),IF($K2174&lt;=$J2174,"Sí","No")))</f>
        <v/>
      </c>
      <c r="N2174" s="23">
        <f>IF($A2174="","",COUNTIFS(NOVEDADES!$C$4:$C$1503,$A2174))</f>
        <v/>
      </c>
      <c r="O2174" s="27">
        <f>IF($A2174="","",IF(COUNTIFS(NOVEDADES!$C$4:$C$1503,$A2174,NOVEDADES!$M$4:$M$1503,"SÍ")&gt;0,"No","Sí"))</f>
        <v/>
      </c>
      <c r="P2174" s="27">
        <f>IF(OR($A2174="",$K2174=""),"",IF(AND($M2174="Sí",$O2174="Sí"),"OTIF","Falló"))</f>
        <v/>
      </c>
    </row>
    <row r="2175" ht="16" customHeight="1">
      <c r="A2175" s="47" t="n"/>
      <c r="B2175" s="46" t="n"/>
      <c r="C2175" s="49" t="n"/>
      <c r="D2175" s="49" t="n"/>
      <c r="E2175" s="49" t="n"/>
      <c r="F2175" s="49" t="n"/>
      <c r="G2175" s="47" t="n"/>
      <c r="H2175" s="50" t="n"/>
      <c r="I2175" s="51" t="n"/>
      <c r="J2175" s="46" t="n"/>
      <c r="K2175" s="46" t="n"/>
      <c r="L2175" s="23">
        <f>IF(OR($A2175="",$B2175=""),"",IF($K2175&lt;&gt;"",$K2175-$B2175,TODAY()-$B2175))</f>
        <v/>
      </c>
      <c r="M2175" s="27">
        <f>IF(OR($A2175="",$J2175=""),"",IF($K2175="",IF(TODAY()&gt;$J2175,"Atrasado","En ruta"),IF($K2175&lt;=$J2175,"Sí","No")))</f>
        <v/>
      </c>
      <c r="N2175" s="23">
        <f>IF($A2175="","",COUNTIFS(NOVEDADES!$C$4:$C$1503,$A2175))</f>
        <v/>
      </c>
      <c r="O2175" s="27">
        <f>IF($A2175="","",IF(COUNTIFS(NOVEDADES!$C$4:$C$1503,$A2175,NOVEDADES!$M$4:$M$1503,"SÍ")&gt;0,"No","Sí"))</f>
        <v/>
      </c>
      <c r="P2175" s="27">
        <f>IF(OR($A2175="",$K2175=""),"",IF(AND($M2175="Sí",$O2175="Sí"),"OTIF","Falló"))</f>
        <v/>
      </c>
    </row>
    <row r="2176" ht="16" customHeight="1">
      <c r="A2176" s="47" t="n"/>
      <c r="B2176" s="46" t="n"/>
      <c r="C2176" s="49" t="n"/>
      <c r="D2176" s="49" t="n"/>
      <c r="E2176" s="49" t="n"/>
      <c r="F2176" s="49" t="n"/>
      <c r="G2176" s="47" t="n"/>
      <c r="H2176" s="50" t="n"/>
      <c r="I2176" s="51" t="n"/>
      <c r="J2176" s="46" t="n"/>
      <c r="K2176" s="46" t="n"/>
      <c r="L2176" s="23">
        <f>IF(OR($A2176="",$B2176=""),"",IF($K2176&lt;&gt;"",$K2176-$B2176,TODAY()-$B2176))</f>
        <v/>
      </c>
      <c r="M2176" s="27">
        <f>IF(OR($A2176="",$J2176=""),"",IF($K2176="",IF(TODAY()&gt;$J2176,"Atrasado","En ruta"),IF($K2176&lt;=$J2176,"Sí","No")))</f>
        <v/>
      </c>
      <c r="N2176" s="23">
        <f>IF($A2176="","",COUNTIFS(NOVEDADES!$C$4:$C$1503,$A2176))</f>
        <v/>
      </c>
      <c r="O2176" s="27">
        <f>IF($A2176="","",IF(COUNTIFS(NOVEDADES!$C$4:$C$1503,$A2176,NOVEDADES!$M$4:$M$1503,"SÍ")&gt;0,"No","Sí"))</f>
        <v/>
      </c>
      <c r="P2176" s="27">
        <f>IF(OR($A2176="",$K2176=""),"",IF(AND($M2176="Sí",$O2176="Sí"),"OTIF","Falló"))</f>
        <v/>
      </c>
    </row>
    <row r="2177" ht="16" customHeight="1">
      <c r="A2177" s="47" t="n"/>
      <c r="B2177" s="46" t="n"/>
      <c r="C2177" s="49" t="n"/>
      <c r="D2177" s="49" t="n"/>
      <c r="E2177" s="49" t="n"/>
      <c r="F2177" s="49" t="n"/>
      <c r="G2177" s="47" t="n"/>
      <c r="H2177" s="50" t="n"/>
      <c r="I2177" s="51" t="n"/>
      <c r="J2177" s="46" t="n"/>
      <c r="K2177" s="46" t="n"/>
      <c r="L2177" s="23">
        <f>IF(OR($A2177="",$B2177=""),"",IF($K2177&lt;&gt;"",$K2177-$B2177,TODAY()-$B2177))</f>
        <v/>
      </c>
      <c r="M2177" s="27">
        <f>IF(OR($A2177="",$J2177=""),"",IF($K2177="",IF(TODAY()&gt;$J2177,"Atrasado","En ruta"),IF($K2177&lt;=$J2177,"Sí","No")))</f>
        <v/>
      </c>
      <c r="N2177" s="23">
        <f>IF($A2177="","",COUNTIFS(NOVEDADES!$C$4:$C$1503,$A2177))</f>
        <v/>
      </c>
      <c r="O2177" s="27">
        <f>IF($A2177="","",IF(COUNTIFS(NOVEDADES!$C$4:$C$1503,$A2177,NOVEDADES!$M$4:$M$1503,"SÍ")&gt;0,"No","Sí"))</f>
        <v/>
      </c>
      <c r="P2177" s="27">
        <f>IF(OR($A2177="",$K2177=""),"",IF(AND($M2177="Sí",$O2177="Sí"),"OTIF","Falló"))</f>
        <v/>
      </c>
    </row>
    <row r="2178" ht="16" customHeight="1">
      <c r="A2178" s="47" t="n"/>
      <c r="B2178" s="46" t="n"/>
      <c r="C2178" s="49" t="n"/>
      <c r="D2178" s="49" t="n"/>
      <c r="E2178" s="49" t="n"/>
      <c r="F2178" s="49" t="n"/>
      <c r="G2178" s="47" t="n"/>
      <c r="H2178" s="50" t="n"/>
      <c r="I2178" s="51" t="n"/>
      <c r="J2178" s="46" t="n"/>
      <c r="K2178" s="46" t="n"/>
      <c r="L2178" s="23">
        <f>IF(OR($A2178="",$B2178=""),"",IF($K2178&lt;&gt;"",$K2178-$B2178,TODAY()-$B2178))</f>
        <v/>
      </c>
      <c r="M2178" s="27">
        <f>IF(OR($A2178="",$J2178=""),"",IF($K2178="",IF(TODAY()&gt;$J2178,"Atrasado","En ruta"),IF($K2178&lt;=$J2178,"Sí","No")))</f>
        <v/>
      </c>
      <c r="N2178" s="23">
        <f>IF($A2178="","",COUNTIFS(NOVEDADES!$C$4:$C$1503,$A2178))</f>
        <v/>
      </c>
      <c r="O2178" s="27">
        <f>IF($A2178="","",IF(COUNTIFS(NOVEDADES!$C$4:$C$1503,$A2178,NOVEDADES!$M$4:$M$1503,"SÍ")&gt;0,"No","Sí"))</f>
        <v/>
      </c>
      <c r="P2178" s="27">
        <f>IF(OR($A2178="",$K2178=""),"",IF(AND($M2178="Sí",$O2178="Sí"),"OTIF","Falló"))</f>
        <v/>
      </c>
    </row>
    <row r="2179" ht="16" customHeight="1">
      <c r="A2179" s="47" t="n"/>
      <c r="B2179" s="46" t="n"/>
      <c r="C2179" s="49" t="n"/>
      <c r="D2179" s="49" t="n"/>
      <c r="E2179" s="49" t="n"/>
      <c r="F2179" s="49" t="n"/>
      <c r="G2179" s="47" t="n"/>
      <c r="H2179" s="50" t="n"/>
      <c r="I2179" s="51" t="n"/>
      <c r="J2179" s="46" t="n"/>
      <c r="K2179" s="46" t="n"/>
      <c r="L2179" s="23">
        <f>IF(OR($A2179="",$B2179=""),"",IF($K2179&lt;&gt;"",$K2179-$B2179,TODAY()-$B2179))</f>
        <v/>
      </c>
      <c r="M2179" s="27">
        <f>IF(OR($A2179="",$J2179=""),"",IF($K2179="",IF(TODAY()&gt;$J2179,"Atrasado","En ruta"),IF($K2179&lt;=$J2179,"Sí","No")))</f>
        <v/>
      </c>
      <c r="N2179" s="23">
        <f>IF($A2179="","",COUNTIFS(NOVEDADES!$C$4:$C$1503,$A2179))</f>
        <v/>
      </c>
      <c r="O2179" s="27">
        <f>IF($A2179="","",IF(COUNTIFS(NOVEDADES!$C$4:$C$1503,$A2179,NOVEDADES!$M$4:$M$1503,"SÍ")&gt;0,"No","Sí"))</f>
        <v/>
      </c>
      <c r="P2179" s="27">
        <f>IF(OR($A2179="",$K2179=""),"",IF(AND($M2179="Sí",$O2179="Sí"),"OTIF","Falló"))</f>
        <v/>
      </c>
    </row>
    <row r="2180" ht="16" customHeight="1">
      <c r="A2180" s="47" t="n"/>
      <c r="B2180" s="46" t="n"/>
      <c r="C2180" s="49" t="n"/>
      <c r="D2180" s="49" t="n"/>
      <c r="E2180" s="49" t="n"/>
      <c r="F2180" s="49" t="n"/>
      <c r="G2180" s="47" t="n"/>
      <c r="H2180" s="50" t="n"/>
      <c r="I2180" s="51" t="n"/>
      <c r="J2180" s="46" t="n"/>
      <c r="K2180" s="46" t="n"/>
      <c r="L2180" s="23">
        <f>IF(OR($A2180="",$B2180=""),"",IF($K2180&lt;&gt;"",$K2180-$B2180,TODAY()-$B2180))</f>
        <v/>
      </c>
      <c r="M2180" s="27">
        <f>IF(OR($A2180="",$J2180=""),"",IF($K2180="",IF(TODAY()&gt;$J2180,"Atrasado","En ruta"),IF($K2180&lt;=$J2180,"Sí","No")))</f>
        <v/>
      </c>
      <c r="N2180" s="23">
        <f>IF($A2180="","",COUNTIFS(NOVEDADES!$C$4:$C$1503,$A2180))</f>
        <v/>
      </c>
      <c r="O2180" s="27">
        <f>IF($A2180="","",IF(COUNTIFS(NOVEDADES!$C$4:$C$1503,$A2180,NOVEDADES!$M$4:$M$1503,"SÍ")&gt;0,"No","Sí"))</f>
        <v/>
      </c>
      <c r="P2180" s="27">
        <f>IF(OR($A2180="",$K2180=""),"",IF(AND($M2180="Sí",$O2180="Sí"),"OTIF","Falló"))</f>
        <v/>
      </c>
    </row>
    <row r="2181" ht="16" customHeight="1">
      <c r="A2181" s="47" t="n"/>
      <c r="B2181" s="46" t="n"/>
      <c r="C2181" s="49" t="n"/>
      <c r="D2181" s="49" t="n"/>
      <c r="E2181" s="49" t="n"/>
      <c r="F2181" s="49" t="n"/>
      <c r="G2181" s="47" t="n"/>
      <c r="H2181" s="50" t="n"/>
      <c r="I2181" s="51" t="n"/>
      <c r="J2181" s="46" t="n"/>
      <c r="K2181" s="46" t="n"/>
      <c r="L2181" s="23">
        <f>IF(OR($A2181="",$B2181=""),"",IF($K2181&lt;&gt;"",$K2181-$B2181,TODAY()-$B2181))</f>
        <v/>
      </c>
      <c r="M2181" s="27">
        <f>IF(OR($A2181="",$J2181=""),"",IF($K2181="",IF(TODAY()&gt;$J2181,"Atrasado","En ruta"),IF($K2181&lt;=$J2181,"Sí","No")))</f>
        <v/>
      </c>
      <c r="N2181" s="23">
        <f>IF($A2181="","",COUNTIFS(NOVEDADES!$C$4:$C$1503,$A2181))</f>
        <v/>
      </c>
      <c r="O2181" s="27">
        <f>IF($A2181="","",IF(COUNTIFS(NOVEDADES!$C$4:$C$1503,$A2181,NOVEDADES!$M$4:$M$1503,"SÍ")&gt;0,"No","Sí"))</f>
        <v/>
      </c>
      <c r="P2181" s="27">
        <f>IF(OR($A2181="",$K2181=""),"",IF(AND($M2181="Sí",$O2181="Sí"),"OTIF","Falló"))</f>
        <v/>
      </c>
    </row>
    <row r="2182" ht="16" customHeight="1">
      <c r="A2182" s="47" t="n"/>
      <c r="B2182" s="46" t="n"/>
      <c r="C2182" s="49" t="n"/>
      <c r="D2182" s="49" t="n"/>
      <c r="E2182" s="49" t="n"/>
      <c r="F2182" s="49" t="n"/>
      <c r="G2182" s="47" t="n"/>
      <c r="H2182" s="50" t="n"/>
      <c r="I2182" s="51" t="n"/>
      <c r="J2182" s="46" t="n"/>
      <c r="K2182" s="46" t="n"/>
      <c r="L2182" s="23">
        <f>IF(OR($A2182="",$B2182=""),"",IF($K2182&lt;&gt;"",$K2182-$B2182,TODAY()-$B2182))</f>
        <v/>
      </c>
      <c r="M2182" s="27">
        <f>IF(OR($A2182="",$J2182=""),"",IF($K2182="",IF(TODAY()&gt;$J2182,"Atrasado","En ruta"),IF($K2182&lt;=$J2182,"Sí","No")))</f>
        <v/>
      </c>
      <c r="N2182" s="23">
        <f>IF($A2182="","",COUNTIFS(NOVEDADES!$C$4:$C$1503,$A2182))</f>
        <v/>
      </c>
      <c r="O2182" s="27">
        <f>IF($A2182="","",IF(COUNTIFS(NOVEDADES!$C$4:$C$1503,$A2182,NOVEDADES!$M$4:$M$1503,"SÍ")&gt;0,"No","Sí"))</f>
        <v/>
      </c>
      <c r="P2182" s="27">
        <f>IF(OR($A2182="",$K2182=""),"",IF(AND($M2182="Sí",$O2182="Sí"),"OTIF","Falló"))</f>
        <v/>
      </c>
    </row>
    <row r="2183" ht="16" customHeight="1">
      <c r="A2183" s="47" t="n"/>
      <c r="B2183" s="46" t="n"/>
      <c r="C2183" s="49" t="n"/>
      <c r="D2183" s="49" t="n"/>
      <c r="E2183" s="49" t="n"/>
      <c r="F2183" s="49" t="n"/>
      <c r="G2183" s="47" t="n"/>
      <c r="H2183" s="50" t="n"/>
      <c r="I2183" s="51" t="n"/>
      <c r="J2183" s="46" t="n"/>
      <c r="K2183" s="46" t="n"/>
      <c r="L2183" s="23">
        <f>IF(OR($A2183="",$B2183=""),"",IF($K2183&lt;&gt;"",$K2183-$B2183,TODAY()-$B2183))</f>
        <v/>
      </c>
      <c r="M2183" s="27">
        <f>IF(OR($A2183="",$J2183=""),"",IF($K2183="",IF(TODAY()&gt;$J2183,"Atrasado","En ruta"),IF($K2183&lt;=$J2183,"Sí","No")))</f>
        <v/>
      </c>
      <c r="N2183" s="23">
        <f>IF($A2183="","",COUNTIFS(NOVEDADES!$C$4:$C$1503,$A2183))</f>
        <v/>
      </c>
      <c r="O2183" s="27">
        <f>IF($A2183="","",IF(COUNTIFS(NOVEDADES!$C$4:$C$1503,$A2183,NOVEDADES!$M$4:$M$1503,"SÍ")&gt;0,"No","Sí"))</f>
        <v/>
      </c>
      <c r="P2183" s="27">
        <f>IF(OR($A2183="",$K2183=""),"",IF(AND($M2183="Sí",$O2183="Sí"),"OTIF","Falló"))</f>
        <v/>
      </c>
    </row>
    <row r="2184" ht="16" customHeight="1">
      <c r="A2184" s="47" t="n"/>
      <c r="B2184" s="46" t="n"/>
      <c r="C2184" s="49" t="n"/>
      <c r="D2184" s="49" t="n"/>
      <c r="E2184" s="49" t="n"/>
      <c r="F2184" s="49" t="n"/>
      <c r="G2184" s="47" t="n"/>
      <c r="H2184" s="50" t="n"/>
      <c r="I2184" s="51" t="n"/>
      <c r="J2184" s="46" t="n"/>
      <c r="K2184" s="46" t="n"/>
      <c r="L2184" s="23">
        <f>IF(OR($A2184="",$B2184=""),"",IF($K2184&lt;&gt;"",$K2184-$B2184,TODAY()-$B2184))</f>
        <v/>
      </c>
      <c r="M2184" s="27">
        <f>IF(OR($A2184="",$J2184=""),"",IF($K2184="",IF(TODAY()&gt;$J2184,"Atrasado","En ruta"),IF($K2184&lt;=$J2184,"Sí","No")))</f>
        <v/>
      </c>
      <c r="N2184" s="23">
        <f>IF($A2184="","",COUNTIFS(NOVEDADES!$C$4:$C$1503,$A2184))</f>
        <v/>
      </c>
      <c r="O2184" s="27">
        <f>IF($A2184="","",IF(COUNTIFS(NOVEDADES!$C$4:$C$1503,$A2184,NOVEDADES!$M$4:$M$1503,"SÍ")&gt;0,"No","Sí"))</f>
        <v/>
      </c>
      <c r="P2184" s="27">
        <f>IF(OR($A2184="",$K2184=""),"",IF(AND($M2184="Sí",$O2184="Sí"),"OTIF","Falló"))</f>
        <v/>
      </c>
    </row>
    <row r="2185" ht="16" customHeight="1">
      <c r="A2185" s="47" t="n"/>
      <c r="B2185" s="46" t="n"/>
      <c r="C2185" s="49" t="n"/>
      <c r="D2185" s="49" t="n"/>
      <c r="E2185" s="49" t="n"/>
      <c r="F2185" s="49" t="n"/>
      <c r="G2185" s="47" t="n"/>
      <c r="H2185" s="50" t="n"/>
      <c r="I2185" s="51" t="n"/>
      <c r="J2185" s="46" t="n"/>
      <c r="K2185" s="46" t="n"/>
      <c r="L2185" s="23">
        <f>IF(OR($A2185="",$B2185=""),"",IF($K2185&lt;&gt;"",$K2185-$B2185,TODAY()-$B2185))</f>
        <v/>
      </c>
      <c r="M2185" s="27">
        <f>IF(OR($A2185="",$J2185=""),"",IF($K2185="",IF(TODAY()&gt;$J2185,"Atrasado","En ruta"),IF($K2185&lt;=$J2185,"Sí","No")))</f>
        <v/>
      </c>
      <c r="N2185" s="23">
        <f>IF($A2185="","",COUNTIFS(NOVEDADES!$C$4:$C$1503,$A2185))</f>
        <v/>
      </c>
      <c r="O2185" s="27">
        <f>IF($A2185="","",IF(COUNTIFS(NOVEDADES!$C$4:$C$1503,$A2185,NOVEDADES!$M$4:$M$1503,"SÍ")&gt;0,"No","Sí"))</f>
        <v/>
      </c>
      <c r="P2185" s="27">
        <f>IF(OR($A2185="",$K2185=""),"",IF(AND($M2185="Sí",$O2185="Sí"),"OTIF","Falló"))</f>
        <v/>
      </c>
    </row>
    <row r="2186" ht="16" customHeight="1">
      <c r="A2186" s="47" t="n"/>
      <c r="B2186" s="46" t="n"/>
      <c r="C2186" s="49" t="n"/>
      <c r="D2186" s="49" t="n"/>
      <c r="E2186" s="49" t="n"/>
      <c r="F2186" s="49" t="n"/>
      <c r="G2186" s="47" t="n"/>
      <c r="H2186" s="50" t="n"/>
      <c r="I2186" s="51" t="n"/>
      <c r="J2186" s="46" t="n"/>
      <c r="K2186" s="46" t="n"/>
      <c r="L2186" s="23">
        <f>IF(OR($A2186="",$B2186=""),"",IF($K2186&lt;&gt;"",$K2186-$B2186,TODAY()-$B2186))</f>
        <v/>
      </c>
      <c r="M2186" s="27">
        <f>IF(OR($A2186="",$J2186=""),"",IF($K2186="",IF(TODAY()&gt;$J2186,"Atrasado","En ruta"),IF($K2186&lt;=$J2186,"Sí","No")))</f>
        <v/>
      </c>
      <c r="N2186" s="23">
        <f>IF($A2186="","",COUNTIFS(NOVEDADES!$C$4:$C$1503,$A2186))</f>
        <v/>
      </c>
      <c r="O2186" s="27">
        <f>IF($A2186="","",IF(COUNTIFS(NOVEDADES!$C$4:$C$1503,$A2186,NOVEDADES!$M$4:$M$1503,"SÍ")&gt;0,"No","Sí"))</f>
        <v/>
      </c>
      <c r="P2186" s="27">
        <f>IF(OR($A2186="",$K2186=""),"",IF(AND($M2186="Sí",$O2186="Sí"),"OTIF","Falló"))</f>
        <v/>
      </c>
    </row>
    <row r="2187" ht="16" customHeight="1">
      <c r="A2187" s="47" t="n"/>
      <c r="B2187" s="46" t="n"/>
      <c r="C2187" s="49" t="n"/>
      <c r="D2187" s="49" t="n"/>
      <c r="E2187" s="49" t="n"/>
      <c r="F2187" s="49" t="n"/>
      <c r="G2187" s="47" t="n"/>
      <c r="H2187" s="50" t="n"/>
      <c r="I2187" s="51" t="n"/>
      <c r="J2187" s="46" t="n"/>
      <c r="K2187" s="46" t="n"/>
      <c r="L2187" s="23">
        <f>IF(OR($A2187="",$B2187=""),"",IF($K2187&lt;&gt;"",$K2187-$B2187,TODAY()-$B2187))</f>
        <v/>
      </c>
      <c r="M2187" s="27">
        <f>IF(OR($A2187="",$J2187=""),"",IF($K2187="",IF(TODAY()&gt;$J2187,"Atrasado","En ruta"),IF($K2187&lt;=$J2187,"Sí","No")))</f>
        <v/>
      </c>
      <c r="N2187" s="23">
        <f>IF($A2187="","",COUNTIFS(NOVEDADES!$C$4:$C$1503,$A2187))</f>
        <v/>
      </c>
      <c r="O2187" s="27">
        <f>IF($A2187="","",IF(COUNTIFS(NOVEDADES!$C$4:$C$1503,$A2187,NOVEDADES!$M$4:$M$1503,"SÍ")&gt;0,"No","Sí"))</f>
        <v/>
      </c>
      <c r="P2187" s="27">
        <f>IF(OR($A2187="",$K2187=""),"",IF(AND($M2187="Sí",$O2187="Sí"),"OTIF","Falló"))</f>
        <v/>
      </c>
    </row>
    <row r="2188" ht="16" customHeight="1">
      <c r="A2188" s="47" t="n"/>
      <c r="B2188" s="46" t="n"/>
      <c r="C2188" s="49" t="n"/>
      <c r="D2188" s="49" t="n"/>
      <c r="E2188" s="49" t="n"/>
      <c r="F2188" s="49" t="n"/>
      <c r="G2188" s="47" t="n"/>
      <c r="H2188" s="50" t="n"/>
      <c r="I2188" s="51" t="n"/>
      <c r="J2188" s="46" t="n"/>
      <c r="K2188" s="46" t="n"/>
      <c r="L2188" s="23">
        <f>IF(OR($A2188="",$B2188=""),"",IF($K2188&lt;&gt;"",$K2188-$B2188,TODAY()-$B2188))</f>
        <v/>
      </c>
      <c r="M2188" s="27">
        <f>IF(OR($A2188="",$J2188=""),"",IF($K2188="",IF(TODAY()&gt;$J2188,"Atrasado","En ruta"),IF($K2188&lt;=$J2188,"Sí","No")))</f>
        <v/>
      </c>
      <c r="N2188" s="23">
        <f>IF($A2188="","",COUNTIFS(NOVEDADES!$C$4:$C$1503,$A2188))</f>
        <v/>
      </c>
      <c r="O2188" s="27">
        <f>IF($A2188="","",IF(COUNTIFS(NOVEDADES!$C$4:$C$1503,$A2188,NOVEDADES!$M$4:$M$1503,"SÍ")&gt;0,"No","Sí"))</f>
        <v/>
      </c>
      <c r="P2188" s="27">
        <f>IF(OR($A2188="",$K2188=""),"",IF(AND($M2188="Sí",$O2188="Sí"),"OTIF","Falló"))</f>
        <v/>
      </c>
    </row>
    <row r="2189" ht="16" customHeight="1">
      <c r="A2189" s="47" t="n"/>
      <c r="B2189" s="46" t="n"/>
      <c r="C2189" s="49" t="n"/>
      <c r="D2189" s="49" t="n"/>
      <c r="E2189" s="49" t="n"/>
      <c r="F2189" s="49" t="n"/>
      <c r="G2189" s="47" t="n"/>
      <c r="H2189" s="50" t="n"/>
      <c r="I2189" s="51" t="n"/>
      <c r="J2189" s="46" t="n"/>
      <c r="K2189" s="46" t="n"/>
      <c r="L2189" s="23">
        <f>IF(OR($A2189="",$B2189=""),"",IF($K2189&lt;&gt;"",$K2189-$B2189,TODAY()-$B2189))</f>
        <v/>
      </c>
      <c r="M2189" s="27">
        <f>IF(OR($A2189="",$J2189=""),"",IF($K2189="",IF(TODAY()&gt;$J2189,"Atrasado","En ruta"),IF($K2189&lt;=$J2189,"Sí","No")))</f>
        <v/>
      </c>
      <c r="N2189" s="23">
        <f>IF($A2189="","",COUNTIFS(NOVEDADES!$C$4:$C$1503,$A2189))</f>
        <v/>
      </c>
      <c r="O2189" s="27">
        <f>IF($A2189="","",IF(COUNTIFS(NOVEDADES!$C$4:$C$1503,$A2189,NOVEDADES!$M$4:$M$1503,"SÍ")&gt;0,"No","Sí"))</f>
        <v/>
      </c>
      <c r="P2189" s="27">
        <f>IF(OR($A2189="",$K2189=""),"",IF(AND($M2189="Sí",$O2189="Sí"),"OTIF","Falló"))</f>
        <v/>
      </c>
    </row>
    <row r="2190" ht="16" customHeight="1">
      <c r="A2190" s="47" t="n"/>
      <c r="B2190" s="46" t="n"/>
      <c r="C2190" s="49" t="n"/>
      <c r="D2190" s="49" t="n"/>
      <c r="E2190" s="49" t="n"/>
      <c r="F2190" s="49" t="n"/>
      <c r="G2190" s="47" t="n"/>
      <c r="H2190" s="50" t="n"/>
      <c r="I2190" s="51" t="n"/>
      <c r="J2190" s="46" t="n"/>
      <c r="K2190" s="46" t="n"/>
      <c r="L2190" s="23">
        <f>IF(OR($A2190="",$B2190=""),"",IF($K2190&lt;&gt;"",$K2190-$B2190,TODAY()-$B2190))</f>
        <v/>
      </c>
      <c r="M2190" s="27">
        <f>IF(OR($A2190="",$J2190=""),"",IF($K2190="",IF(TODAY()&gt;$J2190,"Atrasado","En ruta"),IF($K2190&lt;=$J2190,"Sí","No")))</f>
        <v/>
      </c>
      <c r="N2190" s="23">
        <f>IF($A2190="","",COUNTIFS(NOVEDADES!$C$4:$C$1503,$A2190))</f>
        <v/>
      </c>
      <c r="O2190" s="27">
        <f>IF($A2190="","",IF(COUNTIFS(NOVEDADES!$C$4:$C$1503,$A2190,NOVEDADES!$M$4:$M$1503,"SÍ")&gt;0,"No","Sí"))</f>
        <v/>
      </c>
      <c r="P2190" s="27">
        <f>IF(OR($A2190="",$K2190=""),"",IF(AND($M2190="Sí",$O2190="Sí"),"OTIF","Falló"))</f>
        <v/>
      </c>
    </row>
    <row r="2191" ht="16" customHeight="1">
      <c r="A2191" s="47" t="n"/>
      <c r="B2191" s="46" t="n"/>
      <c r="C2191" s="49" t="n"/>
      <c r="D2191" s="49" t="n"/>
      <c r="E2191" s="49" t="n"/>
      <c r="F2191" s="49" t="n"/>
      <c r="G2191" s="47" t="n"/>
      <c r="H2191" s="50" t="n"/>
      <c r="I2191" s="51" t="n"/>
      <c r="J2191" s="46" t="n"/>
      <c r="K2191" s="46" t="n"/>
      <c r="L2191" s="23">
        <f>IF(OR($A2191="",$B2191=""),"",IF($K2191&lt;&gt;"",$K2191-$B2191,TODAY()-$B2191))</f>
        <v/>
      </c>
      <c r="M2191" s="27">
        <f>IF(OR($A2191="",$J2191=""),"",IF($K2191="",IF(TODAY()&gt;$J2191,"Atrasado","En ruta"),IF($K2191&lt;=$J2191,"Sí","No")))</f>
        <v/>
      </c>
      <c r="N2191" s="23">
        <f>IF($A2191="","",COUNTIFS(NOVEDADES!$C$4:$C$1503,$A2191))</f>
        <v/>
      </c>
      <c r="O2191" s="27">
        <f>IF($A2191="","",IF(COUNTIFS(NOVEDADES!$C$4:$C$1503,$A2191,NOVEDADES!$M$4:$M$1503,"SÍ")&gt;0,"No","Sí"))</f>
        <v/>
      </c>
      <c r="P2191" s="27">
        <f>IF(OR($A2191="",$K2191=""),"",IF(AND($M2191="Sí",$O2191="Sí"),"OTIF","Falló"))</f>
        <v/>
      </c>
    </row>
    <row r="2192" ht="16" customHeight="1">
      <c r="A2192" s="47" t="n"/>
      <c r="B2192" s="46" t="n"/>
      <c r="C2192" s="49" t="n"/>
      <c r="D2192" s="49" t="n"/>
      <c r="E2192" s="49" t="n"/>
      <c r="F2192" s="49" t="n"/>
      <c r="G2192" s="47" t="n"/>
      <c r="H2192" s="50" t="n"/>
      <c r="I2192" s="51" t="n"/>
      <c r="J2192" s="46" t="n"/>
      <c r="K2192" s="46" t="n"/>
      <c r="L2192" s="23">
        <f>IF(OR($A2192="",$B2192=""),"",IF($K2192&lt;&gt;"",$K2192-$B2192,TODAY()-$B2192))</f>
        <v/>
      </c>
      <c r="M2192" s="27">
        <f>IF(OR($A2192="",$J2192=""),"",IF($K2192="",IF(TODAY()&gt;$J2192,"Atrasado","En ruta"),IF($K2192&lt;=$J2192,"Sí","No")))</f>
        <v/>
      </c>
      <c r="N2192" s="23">
        <f>IF($A2192="","",COUNTIFS(NOVEDADES!$C$4:$C$1503,$A2192))</f>
        <v/>
      </c>
      <c r="O2192" s="27">
        <f>IF($A2192="","",IF(COUNTIFS(NOVEDADES!$C$4:$C$1503,$A2192,NOVEDADES!$M$4:$M$1503,"SÍ")&gt;0,"No","Sí"))</f>
        <v/>
      </c>
      <c r="P2192" s="27">
        <f>IF(OR($A2192="",$K2192=""),"",IF(AND($M2192="Sí",$O2192="Sí"),"OTIF","Falló"))</f>
        <v/>
      </c>
    </row>
    <row r="2193" ht="16" customHeight="1">
      <c r="A2193" s="47" t="n"/>
      <c r="B2193" s="46" t="n"/>
      <c r="C2193" s="49" t="n"/>
      <c r="D2193" s="49" t="n"/>
      <c r="E2193" s="49" t="n"/>
      <c r="F2193" s="49" t="n"/>
      <c r="G2193" s="47" t="n"/>
      <c r="H2193" s="50" t="n"/>
      <c r="I2193" s="51" t="n"/>
      <c r="J2193" s="46" t="n"/>
      <c r="K2193" s="46" t="n"/>
      <c r="L2193" s="23">
        <f>IF(OR($A2193="",$B2193=""),"",IF($K2193&lt;&gt;"",$K2193-$B2193,TODAY()-$B2193))</f>
        <v/>
      </c>
      <c r="M2193" s="27">
        <f>IF(OR($A2193="",$J2193=""),"",IF($K2193="",IF(TODAY()&gt;$J2193,"Atrasado","En ruta"),IF($K2193&lt;=$J2193,"Sí","No")))</f>
        <v/>
      </c>
      <c r="N2193" s="23">
        <f>IF($A2193="","",COUNTIFS(NOVEDADES!$C$4:$C$1503,$A2193))</f>
        <v/>
      </c>
      <c r="O2193" s="27">
        <f>IF($A2193="","",IF(COUNTIFS(NOVEDADES!$C$4:$C$1503,$A2193,NOVEDADES!$M$4:$M$1503,"SÍ")&gt;0,"No","Sí"))</f>
        <v/>
      </c>
      <c r="P2193" s="27">
        <f>IF(OR($A2193="",$K2193=""),"",IF(AND($M2193="Sí",$O2193="Sí"),"OTIF","Falló"))</f>
        <v/>
      </c>
    </row>
    <row r="2194" ht="16" customHeight="1">
      <c r="A2194" s="47" t="n"/>
      <c r="B2194" s="46" t="n"/>
      <c r="C2194" s="49" t="n"/>
      <c r="D2194" s="49" t="n"/>
      <c r="E2194" s="49" t="n"/>
      <c r="F2194" s="49" t="n"/>
      <c r="G2194" s="47" t="n"/>
      <c r="H2194" s="50" t="n"/>
      <c r="I2194" s="51" t="n"/>
      <c r="J2194" s="46" t="n"/>
      <c r="K2194" s="46" t="n"/>
      <c r="L2194" s="23">
        <f>IF(OR($A2194="",$B2194=""),"",IF($K2194&lt;&gt;"",$K2194-$B2194,TODAY()-$B2194))</f>
        <v/>
      </c>
      <c r="M2194" s="27">
        <f>IF(OR($A2194="",$J2194=""),"",IF($K2194="",IF(TODAY()&gt;$J2194,"Atrasado","En ruta"),IF($K2194&lt;=$J2194,"Sí","No")))</f>
        <v/>
      </c>
      <c r="N2194" s="23">
        <f>IF($A2194="","",COUNTIFS(NOVEDADES!$C$4:$C$1503,$A2194))</f>
        <v/>
      </c>
      <c r="O2194" s="27">
        <f>IF($A2194="","",IF(COUNTIFS(NOVEDADES!$C$4:$C$1503,$A2194,NOVEDADES!$M$4:$M$1503,"SÍ")&gt;0,"No","Sí"))</f>
        <v/>
      </c>
      <c r="P2194" s="27">
        <f>IF(OR($A2194="",$K2194=""),"",IF(AND($M2194="Sí",$O2194="Sí"),"OTIF","Falló"))</f>
        <v/>
      </c>
    </row>
    <row r="2195" ht="16" customHeight="1">
      <c r="A2195" s="47" t="n"/>
      <c r="B2195" s="46" t="n"/>
      <c r="C2195" s="49" t="n"/>
      <c r="D2195" s="49" t="n"/>
      <c r="E2195" s="49" t="n"/>
      <c r="F2195" s="49" t="n"/>
      <c r="G2195" s="47" t="n"/>
      <c r="H2195" s="50" t="n"/>
      <c r="I2195" s="51" t="n"/>
      <c r="J2195" s="46" t="n"/>
      <c r="K2195" s="46" t="n"/>
      <c r="L2195" s="23">
        <f>IF(OR($A2195="",$B2195=""),"",IF($K2195&lt;&gt;"",$K2195-$B2195,TODAY()-$B2195))</f>
        <v/>
      </c>
      <c r="M2195" s="27">
        <f>IF(OR($A2195="",$J2195=""),"",IF($K2195="",IF(TODAY()&gt;$J2195,"Atrasado","En ruta"),IF($K2195&lt;=$J2195,"Sí","No")))</f>
        <v/>
      </c>
      <c r="N2195" s="23">
        <f>IF($A2195="","",COUNTIFS(NOVEDADES!$C$4:$C$1503,$A2195))</f>
        <v/>
      </c>
      <c r="O2195" s="27">
        <f>IF($A2195="","",IF(COUNTIFS(NOVEDADES!$C$4:$C$1503,$A2195,NOVEDADES!$M$4:$M$1503,"SÍ")&gt;0,"No","Sí"))</f>
        <v/>
      </c>
      <c r="P2195" s="27">
        <f>IF(OR($A2195="",$K2195=""),"",IF(AND($M2195="Sí",$O2195="Sí"),"OTIF","Falló"))</f>
        <v/>
      </c>
    </row>
    <row r="2196" ht="16" customHeight="1">
      <c r="A2196" s="47" t="n"/>
      <c r="B2196" s="46" t="n"/>
      <c r="C2196" s="49" t="n"/>
      <c r="D2196" s="49" t="n"/>
      <c r="E2196" s="49" t="n"/>
      <c r="F2196" s="49" t="n"/>
      <c r="G2196" s="47" t="n"/>
      <c r="H2196" s="50" t="n"/>
      <c r="I2196" s="51" t="n"/>
      <c r="J2196" s="46" t="n"/>
      <c r="K2196" s="46" t="n"/>
      <c r="L2196" s="23">
        <f>IF(OR($A2196="",$B2196=""),"",IF($K2196&lt;&gt;"",$K2196-$B2196,TODAY()-$B2196))</f>
        <v/>
      </c>
      <c r="M2196" s="27">
        <f>IF(OR($A2196="",$J2196=""),"",IF($K2196="",IF(TODAY()&gt;$J2196,"Atrasado","En ruta"),IF($K2196&lt;=$J2196,"Sí","No")))</f>
        <v/>
      </c>
      <c r="N2196" s="23">
        <f>IF($A2196="","",COUNTIFS(NOVEDADES!$C$4:$C$1503,$A2196))</f>
        <v/>
      </c>
      <c r="O2196" s="27">
        <f>IF($A2196="","",IF(COUNTIFS(NOVEDADES!$C$4:$C$1503,$A2196,NOVEDADES!$M$4:$M$1503,"SÍ")&gt;0,"No","Sí"))</f>
        <v/>
      </c>
      <c r="P2196" s="27">
        <f>IF(OR($A2196="",$K2196=""),"",IF(AND($M2196="Sí",$O2196="Sí"),"OTIF","Falló"))</f>
        <v/>
      </c>
    </row>
    <row r="2197" ht="16" customHeight="1">
      <c r="A2197" s="47" t="n"/>
      <c r="B2197" s="46" t="n"/>
      <c r="C2197" s="49" t="n"/>
      <c r="D2197" s="49" t="n"/>
      <c r="E2197" s="49" t="n"/>
      <c r="F2197" s="49" t="n"/>
      <c r="G2197" s="47" t="n"/>
      <c r="H2197" s="50" t="n"/>
      <c r="I2197" s="51" t="n"/>
      <c r="J2197" s="46" t="n"/>
      <c r="K2197" s="46" t="n"/>
      <c r="L2197" s="23">
        <f>IF(OR($A2197="",$B2197=""),"",IF($K2197&lt;&gt;"",$K2197-$B2197,TODAY()-$B2197))</f>
        <v/>
      </c>
      <c r="M2197" s="27">
        <f>IF(OR($A2197="",$J2197=""),"",IF($K2197="",IF(TODAY()&gt;$J2197,"Atrasado","En ruta"),IF($K2197&lt;=$J2197,"Sí","No")))</f>
        <v/>
      </c>
      <c r="N2197" s="23">
        <f>IF($A2197="","",COUNTIFS(NOVEDADES!$C$4:$C$1503,$A2197))</f>
        <v/>
      </c>
      <c r="O2197" s="27">
        <f>IF($A2197="","",IF(COUNTIFS(NOVEDADES!$C$4:$C$1503,$A2197,NOVEDADES!$M$4:$M$1503,"SÍ")&gt;0,"No","Sí"))</f>
        <v/>
      </c>
      <c r="P2197" s="27">
        <f>IF(OR($A2197="",$K2197=""),"",IF(AND($M2197="Sí",$O2197="Sí"),"OTIF","Falló"))</f>
        <v/>
      </c>
    </row>
    <row r="2198" ht="16" customHeight="1">
      <c r="A2198" s="47" t="n"/>
      <c r="B2198" s="46" t="n"/>
      <c r="C2198" s="49" t="n"/>
      <c r="D2198" s="49" t="n"/>
      <c r="E2198" s="49" t="n"/>
      <c r="F2198" s="49" t="n"/>
      <c r="G2198" s="47" t="n"/>
      <c r="H2198" s="50" t="n"/>
      <c r="I2198" s="51" t="n"/>
      <c r="J2198" s="46" t="n"/>
      <c r="K2198" s="46" t="n"/>
      <c r="L2198" s="23">
        <f>IF(OR($A2198="",$B2198=""),"",IF($K2198&lt;&gt;"",$K2198-$B2198,TODAY()-$B2198))</f>
        <v/>
      </c>
      <c r="M2198" s="27">
        <f>IF(OR($A2198="",$J2198=""),"",IF($K2198="",IF(TODAY()&gt;$J2198,"Atrasado","En ruta"),IF($K2198&lt;=$J2198,"Sí","No")))</f>
        <v/>
      </c>
      <c r="N2198" s="23">
        <f>IF($A2198="","",COUNTIFS(NOVEDADES!$C$4:$C$1503,$A2198))</f>
        <v/>
      </c>
      <c r="O2198" s="27">
        <f>IF($A2198="","",IF(COUNTIFS(NOVEDADES!$C$4:$C$1503,$A2198,NOVEDADES!$M$4:$M$1503,"SÍ")&gt;0,"No","Sí"))</f>
        <v/>
      </c>
      <c r="P2198" s="27">
        <f>IF(OR($A2198="",$K2198=""),"",IF(AND($M2198="Sí",$O2198="Sí"),"OTIF","Falló"))</f>
        <v/>
      </c>
    </row>
    <row r="2199" ht="16" customHeight="1">
      <c r="A2199" s="47" t="n"/>
      <c r="B2199" s="46" t="n"/>
      <c r="C2199" s="49" t="n"/>
      <c r="D2199" s="49" t="n"/>
      <c r="E2199" s="49" t="n"/>
      <c r="F2199" s="49" t="n"/>
      <c r="G2199" s="47" t="n"/>
      <c r="H2199" s="50" t="n"/>
      <c r="I2199" s="51" t="n"/>
      <c r="J2199" s="46" t="n"/>
      <c r="K2199" s="46" t="n"/>
      <c r="L2199" s="23">
        <f>IF(OR($A2199="",$B2199=""),"",IF($K2199&lt;&gt;"",$K2199-$B2199,TODAY()-$B2199))</f>
        <v/>
      </c>
      <c r="M2199" s="27">
        <f>IF(OR($A2199="",$J2199=""),"",IF($K2199="",IF(TODAY()&gt;$J2199,"Atrasado","En ruta"),IF($K2199&lt;=$J2199,"Sí","No")))</f>
        <v/>
      </c>
      <c r="N2199" s="23">
        <f>IF($A2199="","",COUNTIFS(NOVEDADES!$C$4:$C$1503,$A2199))</f>
        <v/>
      </c>
      <c r="O2199" s="27">
        <f>IF($A2199="","",IF(COUNTIFS(NOVEDADES!$C$4:$C$1503,$A2199,NOVEDADES!$M$4:$M$1503,"SÍ")&gt;0,"No","Sí"))</f>
        <v/>
      </c>
      <c r="P2199" s="27">
        <f>IF(OR($A2199="",$K2199=""),"",IF(AND($M2199="Sí",$O2199="Sí"),"OTIF","Falló"))</f>
        <v/>
      </c>
    </row>
    <row r="2200" ht="16" customHeight="1">
      <c r="A2200" s="47" t="n"/>
      <c r="B2200" s="46" t="n"/>
      <c r="C2200" s="49" t="n"/>
      <c r="D2200" s="49" t="n"/>
      <c r="E2200" s="49" t="n"/>
      <c r="F2200" s="49" t="n"/>
      <c r="G2200" s="47" t="n"/>
      <c r="H2200" s="50" t="n"/>
      <c r="I2200" s="51" t="n"/>
      <c r="J2200" s="46" t="n"/>
      <c r="K2200" s="46" t="n"/>
      <c r="L2200" s="23">
        <f>IF(OR($A2200="",$B2200=""),"",IF($K2200&lt;&gt;"",$K2200-$B2200,TODAY()-$B2200))</f>
        <v/>
      </c>
      <c r="M2200" s="27">
        <f>IF(OR($A2200="",$J2200=""),"",IF($K2200="",IF(TODAY()&gt;$J2200,"Atrasado","En ruta"),IF($K2200&lt;=$J2200,"Sí","No")))</f>
        <v/>
      </c>
      <c r="N2200" s="23">
        <f>IF($A2200="","",COUNTIFS(NOVEDADES!$C$4:$C$1503,$A2200))</f>
        <v/>
      </c>
      <c r="O2200" s="27">
        <f>IF($A2200="","",IF(COUNTIFS(NOVEDADES!$C$4:$C$1503,$A2200,NOVEDADES!$M$4:$M$1503,"SÍ")&gt;0,"No","Sí"))</f>
        <v/>
      </c>
      <c r="P2200" s="27">
        <f>IF(OR($A2200="",$K2200=""),"",IF(AND($M2200="Sí",$O2200="Sí"),"OTIF","Falló"))</f>
        <v/>
      </c>
    </row>
    <row r="2201" ht="16" customHeight="1">
      <c r="A2201" s="47" t="n"/>
      <c r="B2201" s="46" t="n"/>
      <c r="C2201" s="49" t="n"/>
      <c r="D2201" s="49" t="n"/>
      <c r="E2201" s="49" t="n"/>
      <c r="F2201" s="49" t="n"/>
      <c r="G2201" s="47" t="n"/>
      <c r="H2201" s="50" t="n"/>
      <c r="I2201" s="51" t="n"/>
      <c r="J2201" s="46" t="n"/>
      <c r="K2201" s="46" t="n"/>
      <c r="L2201" s="23">
        <f>IF(OR($A2201="",$B2201=""),"",IF($K2201&lt;&gt;"",$K2201-$B2201,TODAY()-$B2201))</f>
        <v/>
      </c>
      <c r="M2201" s="27">
        <f>IF(OR($A2201="",$J2201=""),"",IF($K2201="",IF(TODAY()&gt;$J2201,"Atrasado","En ruta"),IF($K2201&lt;=$J2201,"Sí","No")))</f>
        <v/>
      </c>
      <c r="N2201" s="23">
        <f>IF($A2201="","",COUNTIFS(NOVEDADES!$C$4:$C$1503,$A2201))</f>
        <v/>
      </c>
      <c r="O2201" s="27">
        <f>IF($A2201="","",IF(COUNTIFS(NOVEDADES!$C$4:$C$1503,$A2201,NOVEDADES!$M$4:$M$1503,"SÍ")&gt;0,"No","Sí"))</f>
        <v/>
      </c>
      <c r="P2201" s="27">
        <f>IF(OR($A2201="",$K2201=""),"",IF(AND($M2201="Sí",$O2201="Sí"),"OTIF","Falló"))</f>
        <v/>
      </c>
    </row>
    <row r="2202" ht="16" customHeight="1">
      <c r="A2202" s="47" t="n"/>
      <c r="B2202" s="46" t="n"/>
      <c r="C2202" s="49" t="n"/>
      <c r="D2202" s="49" t="n"/>
      <c r="E2202" s="49" t="n"/>
      <c r="F2202" s="49" t="n"/>
      <c r="G2202" s="47" t="n"/>
      <c r="H2202" s="50" t="n"/>
      <c r="I2202" s="51" t="n"/>
      <c r="J2202" s="46" t="n"/>
      <c r="K2202" s="46" t="n"/>
      <c r="L2202" s="23">
        <f>IF(OR($A2202="",$B2202=""),"",IF($K2202&lt;&gt;"",$K2202-$B2202,TODAY()-$B2202))</f>
        <v/>
      </c>
      <c r="M2202" s="27">
        <f>IF(OR($A2202="",$J2202=""),"",IF($K2202="",IF(TODAY()&gt;$J2202,"Atrasado","En ruta"),IF($K2202&lt;=$J2202,"Sí","No")))</f>
        <v/>
      </c>
      <c r="N2202" s="23">
        <f>IF($A2202="","",COUNTIFS(NOVEDADES!$C$4:$C$1503,$A2202))</f>
        <v/>
      </c>
      <c r="O2202" s="27">
        <f>IF($A2202="","",IF(COUNTIFS(NOVEDADES!$C$4:$C$1503,$A2202,NOVEDADES!$M$4:$M$1503,"SÍ")&gt;0,"No","Sí"))</f>
        <v/>
      </c>
      <c r="P2202" s="27">
        <f>IF(OR($A2202="",$K2202=""),"",IF(AND($M2202="Sí",$O2202="Sí"),"OTIF","Falló"))</f>
        <v/>
      </c>
    </row>
    <row r="2203" ht="16" customHeight="1">
      <c r="A2203" s="47" t="n"/>
      <c r="B2203" s="46" t="n"/>
      <c r="C2203" s="49" t="n"/>
      <c r="D2203" s="49" t="n"/>
      <c r="E2203" s="49" t="n"/>
      <c r="F2203" s="49" t="n"/>
      <c r="G2203" s="47" t="n"/>
      <c r="H2203" s="50" t="n"/>
      <c r="I2203" s="51" t="n"/>
      <c r="J2203" s="46" t="n"/>
      <c r="K2203" s="46" t="n"/>
      <c r="L2203" s="23">
        <f>IF(OR($A2203="",$B2203=""),"",IF($K2203&lt;&gt;"",$K2203-$B2203,TODAY()-$B2203))</f>
        <v/>
      </c>
      <c r="M2203" s="27">
        <f>IF(OR($A2203="",$J2203=""),"",IF($K2203="",IF(TODAY()&gt;$J2203,"Atrasado","En ruta"),IF($K2203&lt;=$J2203,"Sí","No")))</f>
        <v/>
      </c>
      <c r="N2203" s="23">
        <f>IF($A2203="","",COUNTIFS(NOVEDADES!$C$4:$C$1503,$A2203))</f>
        <v/>
      </c>
      <c r="O2203" s="27">
        <f>IF($A2203="","",IF(COUNTIFS(NOVEDADES!$C$4:$C$1503,$A2203,NOVEDADES!$M$4:$M$1503,"SÍ")&gt;0,"No","Sí"))</f>
        <v/>
      </c>
      <c r="P2203" s="27">
        <f>IF(OR($A2203="",$K2203=""),"",IF(AND($M2203="Sí",$O2203="Sí"),"OTIF","Falló"))</f>
        <v/>
      </c>
    </row>
    <row r="2204" ht="16" customHeight="1">
      <c r="A2204" s="47" t="n"/>
      <c r="B2204" s="46" t="n"/>
      <c r="C2204" s="49" t="n"/>
      <c r="D2204" s="49" t="n"/>
      <c r="E2204" s="49" t="n"/>
      <c r="F2204" s="49" t="n"/>
      <c r="G2204" s="47" t="n"/>
      <c r="H2204" s="50" t="n"/>
      <c r="I2204" s="51" t="n"/>
      <c r="J2204" s="46" t="n"/>
      <c r="K2204" s="46" t="n"/>
      <c r="L2204" s="23">
        <f>IF(OR($A2204="",$B2204=""),"",IF($K2204&lt;&gt;"",$K2204-$B2204,TODAY()-$B2204))</f>
        <v/>
      </c>
      <c r="M2204" s="27">
        <f>IF(OR($A2204="",$J2204=""),"",IF($K2204="",IF(TODAY()&gt;$J2204,"Atrasado","En ruta"),IF($K2204&lt;=$J2204,"Sí","No")))</f>
        <v/>
      </c>
      <c r="N2204" s="23">
        <f>IF($A2204="","",COUNTIFS(NOVEDADES!$C$4:$C$1503,$A2204))</f>
        <v/>
      </c>
      <c r="O2204" s="27">
        <f>IF($A2204="","",IF(COUNTIFS(NOVEDADES!$C$4:$C$1503,$A2204,NOVEDADES!$M$4:$M$1503,"SÍ")&gt;0,"No","Sí"))</f>
        <v/>
      </c>
      <c r="P2204" s="27">
        <f>IF(OR($A2204="",$K2204=""),"",IF(AND($M2204="Sí",$O2204="Sí"),"OTIF","Falló"))</f>
        <v/>
      </c>
    </row>
    <row r="2205" ht="16" customHeight="1">
      <c r="A2205" s="47" t="n"/>
      <c r="B2205" s="46" t="n"/>
      <c r="C2205" s="49" t="n"/>
      <c r="D2205" s="49" t="n"/>
      <c r="E2205" s="49" t="n"/>
      <c r="F2205" s="49" t="n"/>
      <c r="G2205" s="47" t="n"/>
      <c r="H2205" s="50" t="n"/>
      <c r="I2205" s="51" t="n"/>
      <c r="J2205" s="46" t="n"/>
      <c r="K2205" s="46" t="n"/>
      <c r="L2205" s="23">
        <f>IF(OR($A2205="",$B2205=""),"",IF($K2205&lt;&gt;"",$K2205-$B2205,TODAY()-$B2205))</f>
        <v/>
      </c>
      <c r="M2205" s="27">
        <f>IF(OR($A2205="",$J2205=""),"",IF($K2205="",IF(TODAY()&gt;$J2205,"Atrasado","En ruta"),IF($K2205&lt;=$J2205,"Sí","No")))</f>
        <v/>
      </c>
      <c r="N2205" s="23">
        <f>IF($A2205="","",COUNTIFS(NOVEDADES!$C$4:$C$1503,$A2205))</f>
        <v/>
      </c>
      <c r="O2205" s="27">
        <f>IF($A2205="","",IF(COUNTIFS(NOVEDADES!$C$4:$C$1503,$A2205,NOVEDADES!$M$4:$M$1503,"SÍ")&gt;0,"No","Sí"))</f>
        <v/>
      </c>
      <c r="P2205" s="27">
        <f>IF(OR($A2205="",$K2205=""),"",IF(AND($M2205="Sí",$O2205="Sí"),"OTIF","Falló"))</f>
        <v/>
      </c>
    </row>
    <row r="2206" ht="16" customHeight="1">
      <c r="A2206" s="47" t="n"/>
      <c r="B2206" s="46" t="n"/>
      <c r="C2206" s="49" t="n"/>
      <c r="D2206" s="49" t="n"/>
      <c r="E2206" s="49" t="n"/>
      <c r="F2206" s="49" t="n"/>
      <c r="G2206" s="47" t="n"/>
      <c r="H2206" s="50" t="n"/>
      <c r="I2206" s="51" t="n"/>
      <c r="J2206" s="46" t="n"/>
      <c r="K2206" s="46" t="n"/>
      <c r="L2206" s="23">
        <f>IF(OR($A2206="",$B2206=""),"",IF($K2206&lt;&gt;"",$K2206-$B2206,TODAY()-$B2206))</f>
        <v/>
      </c>
      <c r="M2206" s="27">
        <f>IF(OR($A2206="",$J2206=""),"",IF($K2206="",IF(TODAY()&gt;$J2206,"Atrasado","En ruta"),IF($K2206&lt;=$J2206,"Sí","No")))</f>
        <v/>
      </c>
      <c r="N2206" s="23">
        <f>IF($A2206="","",COUNTIFS(NOVEDADES!$C$4:$C$1503,$A2206))</f>
        <v/>
      </c>
      <c r="O2206" s="27">
        <f>IF($A2206="","",IF(COUNTIFS(NOVEDADES!$C$4:$C$1503,$A2206,NOVEDADES!$M$4:$M$1503,"SÍ")&gt;0,"No","Sí"))</f>
        <v/>
      </c>
      <c r="P2206" s="27">
        <f>IF(OR($A2206="",$K2206=""),"",IF(AND($M2206="Sí",$O2206="Sí"),"OTIF","Falló"))</f>
        <v/>
      </c>
    </row>
    <row r="2207" ht="16" customHeight="1">
      <c r="A2207" s="47" t="n"/>
      <c r="B2207" s="46" t="n"/>
      <c r="C2207" s="49" t="n"/>
      <c r="D2207" s="49" t="n"/>
      <c r="E2207" s="49" t="n"/>
      <c r="F2207" s="49" t="n"/>
      <c r="G2207" s="47" t="n"/>
      <c r="H2207" s="50" t="n"/>
      <c r="I2207" s="51" t="n"/>
      <c r="J2207" s="46" t="n"/>
      <c r="K2207" s="46" t="n"/>
      <c r="L2207" s="23">
        <f>IF(OR($A2207="",$B2207=""),"",IF($K2207&lt;&gt;"",$K2207-$B2207,TODAY()-$B2207))</f>
        <v/>
      </c>
      <c r="M2207" s="27">
        <f>IF(OR($A2207="",$J2207=""),"",IF($K2207="",IF(TODAY()&gt;$J2207,"Atrasado","En ruta"),IF($K2207&lt;=$J2207,"Sí","No")))</f>
        <v/>
      </c>
      <c r="N2207" s="23">
        <f>IF($A2207="","",COUNTIFS(NOVEDADES!$C$4:$C$1503,$A2207))</f>
        <v/>
      </c>
      <c r="O2207" s="27">
        <f>IF($A2207="","",IF(COUNTIFS(NOVEDADES!$C$4:$C$1503,$A2207,NOVEDADES!$M$4:$M$1503,"SÍ")&gt;0,"No","Sí"))</f>
        <v/>
      </c>
      <c r="P2207" s="27">
        <f>IF(OR($A2207="",$K2207=""),"",IF(AND($M2207="Sí",$O2207="Sí"),"OTIF","Falló"))</f>
        <v/>
      </c>
    </row>
    <row r="2208" ht="16" customHeight="1">
      <c r="A2208" s="47" t="n"/>
      <c r="B2208" s="46" t="n"/>
      <c r="C2208" s="49" t="n"/>
      <c r="D2208" s="49" t="n"/>
      <c r="E2208" s="49" t="n"/>
      <c r="F2208" s="49" t="n"/>
      <c r="G2208" s="47" t="n"/>
      <c r="H2208" s="50" t="n"/>
      <c r="I2208" s="51" t="n"/>
      <c r="J2208" s="46" t="n"/>
      <c r="K2208" s="46" t="n"/>
      <c r="L2208" s="23">
        <f>IF(OR($A2208="",$B2208=""),"",IF($K2208&lt;&gt;"",$K2208-$B2208,TODAY()-$B2208))</f>
        <v/>
      </c>
      <c r="M2208" s="27">
        <f>IF(OR($A2208="",$J2208=""),"",IF($K2208="",IF(TODAY()&gt;$J2208,"Atrasado","En ruta"),IF($K2208&lt;=$J2208,"Sí","No")))</f>
        <v/>
      </c>
      <c r="N2208" s="23">
        <f>IF($A2208="","",COUNTIFS(NOVEDADES!$C$4:$C$1503,$A2208))</f>
        <v/>
      </c>
      <c r="O2208" s="27">
        <f>IF($A2208="","",IF(COUNTIFS(NOVEDADES!$C$4:$C$1503,$A2208,NOVEDADES!$M$4:$M$1503,"SÍ")&gt;0,"No","Sí"))</f>
        <v/>
      </c>
      <c r="P2208" s="27">
        <f>IF(OR($A2208="",$K2208=""),"",IF(AND($M2208="Sí",$O2208="Sí"),"OTIF","Falló"))</f>
        <v/>
      </c>
    </row>
    <row r="2209" ht="16" customHeight="1">
      <c r="A2209" s="47" t="n"/>
      <c r="B2209" s="46" t="n"/>
      <c r="C2209" s="49" t="n"/>
      <c r="D2209" s="49" t="n"/>
      <c r="E2209" s="49" t="n"/>
      <c r="F2209" s="49" t="n"/>
      <c r="G2209" s="47" t="n"/>
      <c r="H2209" s="50" t="n"/>
      <c r="I2209" s="51" t="n"/>
      <c r="J2209" s="46" t="n"/>
      <c r="K2209" s="46" t="n"/>
      <c r="L2209" s="23">
        <f>IF(OR($A2209="",$B2209=""),"",IF($K2209&lt;&gt;"",$K2209-$B2209,TODAY()-$B2209))</f>
        <v/>
      </c>
      <c r="M2209" s="27">
        <f>IF(OR($A2209="",$J2209=""),"",IF($K2209="",IF(TODAY()&gt;$J2209,"Atrasado","En ruta"),IF($K2209&lt;=$J2209,"Sí","No")))</f>
        <v/>
      </c>
      <c r="N2209" s="23">
        <f>IF($A2209="","",COUNTIFS(NOVEDADES!$C$4:$C$1503,$A2209))</f>
        <v/>
      </c>
      <c r="O2209" s="27">
        <f>IF($A2209="","",IF(COUNTIFS(NOVEDADES!$C$4:$C$1503,$A2209,NOVEDADES!$M$4:$M$1503,"SÍ")&gt;0,"No","Sí"))</f>
        <v/>
      </c>
      <c r="P2209" s="27">
        <f>IF(OR($A2209="",$K2209=""),"",IF(AND($M2209="Sí",$O2209="Sí"),"OTIF","Falló"))</f>
        <v/>
      </c>
    </row>
    <row r="2210" ht="16" customHeight="1">
      <c r="A2210" s="47" t="n"/>
      <c r="B2210" s="46" t="n"/>
      <c r="C2210" s="49" t="n"/>
      <c r="D2210" s="49" t="n"/>
      <c r="E2210" s="49" t="n"/>
      <c r="F2210" s="49" t="n"/>
      <c r="G2210" s="47" t="n"/>
      <c r="H2210" s="50" t="n"/>
      <c r="I2210" s="51" t="n"/>
      <c r="J2210" s="46" t="n"/>
      <c r="K2210" s="46" t="n"/>
      <c r="L2210" s="23">
        <f>IF(OR($A2210="",$B2210=""),"",IF($K2210&lt;&gt;"",$K2210-$B2210,TODAY()-$B2210))</f>
        <v/>
      </c>
      <c r="M2210" s="27">
        <f>IF(OR($A2210="",$J2210=""),"",IF($K2210="",IF(TODAY()&gt;$J2210,"Atrasado","En ruta"),IF($K2210&lt;=$J2210,"Sí","No")))</f>
        <v/>
      </c>
      <c r="N2210" s="23">
        <f>IF($A2210="","",COUNTIFS(NOVEDADES!$C$4:$C$1503,$A2210))</f>
        <v/>
      </c>
      <c r="O2210" s="27">
        <f>IF($A2210="","",IF(COUNTIFS(NOVEDADES!$C$4:$C$1503,$A2210,NOVEDADES!$M$4:$M$1503,"SÍ")&gt;0,"No","Sí"))</f>
        <v/>
      </c>
      <c r="P2210" s="27">
        <f>IF(OR($A2210="",$K2210=""),"",IF(AND($M2210="Sí",$O2210="Sí"),"OTIF","Falló"))</f>
        <v/>
      </c>
    </row>
    <row r="2211" ht="16" customHeight="1">
      <c r="A2211" s="47" t="n"/>
      <c r="B2211" s="46" t="n"/>
      <c r="C2211" s="49" t="n"/>
      <c r="D2211" s="49" t="n"/>
      <c r="E2211" s="49" t="n"/>
      <c r="F2211" s="49" t="n"/>
      <c r="G2211" s="47" t="n"/>
      <c r="H2211" s="50" t="n"/>
      <c r="I2211" s="51" t="n"/>
      <c r="J2211" s="46" t="n"/>
      <c r="K2211" s="46" t="n"/>
      <c r="L2211" s="23">
        <f>IF(OR($A2211="",$B2211=""),"",IF($K2211&lt;&gt;"",$K2211-$B2211,TODAY()-$B2211))</f>
        <v/>
      </c>
      <c r="M2211" s="27">
        <f>IF(OR($A2211="",$J2211=""),"",IF($K2211="",IF(TODAY()&gt;$J2211,"Atrasado","En ruta"),IF($K2211&lt;=$J2211,"Sí","No")))</f>
        <v/>
      </c>
      <c r="N2211" s="23">
        <f>IF($A2211="","",COUNTIFS(NOVEDADES!$C$4:$C$1503,$A2211))</f>
        <v/>
      </c>
      <c r="O2211" s="27">
        <f>IF($A2211="","",IF(COUNTIFS(NOVEDADES!$C$4:$C$1503,$A2211,NOVEDADES!$M$4:$M$1503,"SÍ")&gt;0,"No","Sí"))</f>
        <v/>
      </c>
      <c r="P2211" s="27">
        <f>IF(OR($A2211="",$K2211=""),"",IF(AND($M2211="Sí",$O2211="Sí"),"OTIF","Falló"))</f>
        <v/>
      </c>
    </row>
    <row r="2212" ht="16" customHeight="1">
      <c r="A2212" s="47" t="n"/>
      <c r="B2212" s="46" t="n"/>
      <c r="C2212" s="49" t="n"/>
      <c r="D2212" s="49" t="n"/>
      <c r="E2212" s="49" t="n"/>
      <c r="F2212" s="49" t="n"/>
      <c r="G2212" s="47" t="n"/>
      <c r="H2212" s="50" t="n"/>
      <c r="I2212" s="51" t="n"/>
      <c r="J2212" s="46" t="n"/>
      <c r="K2212" s="46" t="n"/>
      <c r="L2212" s="23">
        <f>IF(OR($A2212="",$B2212=""),"",IF($K2212&lt;&gt;"",$K2212-$B2212,TODAY()-$B2212))</f>
        <v/>
      </c>
      <c r="M2212" s="27">
        <f>IF(OR($A2212="",$J2212=""),"",IF($K2212="",IF(TODAY()&gt;$J2212,"Atrasado","En ruta"),IF($K2212&lt;=$J2212,"Sí","No")))</f>
        <v/>
      </c>
      <c r="N2212" s="23">
        <f>IF($A2212="","",COUNTIFS(NOVEDADES!$C$4:$C$1503,$A2212))</f>
        <v/>
      </c>
      <c r="O2212" s="27">
        <f>IF($A2212="","",IF(COUNTIFS(NOVEDADES!$C$4:$C$1503,$A2212,NOVEDADES!$M$4:$M$1503,"SÍ")&gt;0,"No","Sí"))</f>
        <v/>
      </c>
      <c r="P2212" s="27">
        <f>IF(OR($A2212="",$K2212=""),"",IF(AND($M2212="Sí",$O2212="Sí"),"OTIF","Falló"))</f>
        <v/>
      </c>
    </row>
    <row r="2213" ht="16" customHeight="1">
      <c r="A2213" s="47" t="n"/>
      <c r="B2213" s="46" t="n"/>
      <c r="C2213" s="49" t="n"/>
      <c r="D2213" s="49" t="n"/>
      <c r="E2213" s="49" t="n"/>
      <c r="F2213" s="49" t="n"/>
      <c r="G2213" s="47" t="n"/>
      <c r="H2213" s="50" t="n"/>
      <c r="I2213" s="51" t="n"/>
      <c r="J2213" s="46" t="n"/>
      <c r="K2213" s="46" t="n"/>
      <c r="L2213" s="23">
        <f>IF(OR($A2213="",$B2213=""),"",IF($K2213&lt;&gt;"",$K2213-$B2213,TODAY()-$B2213))</f>
        <v/>
      </c>
      <c r="M2213" s="27">
        <f>IF(OR($A2213="",$J2213=""),"",IF($K2213="",IF(TODAY()&gt;$J2213,"Atrasado","En ruta"),IF($K2213&lt;=$J2213,"Sí","No")))</f>
        <v/>
      </c>
      <c r="N2213" s="23">
        <f>IF($A2213="","",COUNTIFS(NOVEDADES!$C$4:$C$1503,$A2213))</f>
        <v/>
      </c>
      <c r="O2213" s="27">
        <f>IF($A2213="","",IF(COUNTIFS(NOVEDADES!$C$4:$C$1503,$A2213,NOVEDADES!$M$4:$M$1503,"SÍ")&gt;0,"No","Sí"))</f>
        <v/>
      </c>
      <c r="P2213" s="27">
        <f>IF(OR($A2213="",$K2213=""),"",IF(AND($M2213="Sí",$O2213="Sí"),"OTIF","Falló"))</f>
        <v/>
      </c>
    </row>
    <row r="2214" ht="16" customHeight="1">
      <c r="A2214" s="47" t="n"/>
      <c r="B2214" s="46" t="n"/>
      <c r="C2214" s="49" t="n"/>
      <c r="D2214" s="49" t="n"/>
      <c r="E2214" s="49" t="n"/>
      <c r="F2214" s="49" t="n"/>
      <c r="G2214" s="47" t="n"/>
      <c r="H2214" s="50" t="n"/>
      <c r="I2214" s="51" t="n"/>
      <c r="J2214" s="46" t="n"/>
      <c r="K2214" s="46" t="n"/>
      <c r="L2214" s="23">
        <f>IF(OR($A2214="",$B2214=""),"",IF($K2214&lt;&gt;"",$K2214-$B2214,TODAY()-$B2214))</f>
        <v/>
      </c>
      <c r="M2214" s="27">
        <f>IF(OR($A2214="",$J2214=""),"",IF($K2214="",IF(TODAY()&gt;$J2214,"Atrasado","En ruta"),IF($K2214&lt;=$J2214,"Sí","No")))</f>
        <v/>
      </c>
      <c r="N2214" s="23">
        <f>IF($A2214="","",COUNTIFS(NOVEDADES!$C$4:$C$1503,$A2214))</f>
        <v/>
      </c>
      <c r="O2214" s="27">
        <f>IF($A2214="","",IF(COUNTIFS(NOVEDADES!$C$4:$C$1503,$A2214,NOVEDADES!$M$4:$M$1503,"SÍ")&gt;0,"No","Sí"))</f>
        <v/>
      </c>
      <c r="P2214" s="27">
        <f>IF(OR($A2214="",$K2214=""),"",IF(AND($M2214="Sí",$O2214="Sí"),"OTIF","Falló"))</f>
        <v/>
      </c>
    </row>
    <row r="2215" ht="16" customHeight="1">
      <c r="A2215" s="47" t="n"/>
      <c r="B2215" s="46" t="n"/>
      <c r="C2215" s="49" t="n"/>
      <c r="D2215" s="49" t="n"/>
      <c r="E2215" s="49" t="n"/>
      <c r="F2215" s="49" t="n"/>
      <c r="G2215" s="47" t="n"/>
      <c r="H2215" s="50" t="n"/>
      <c r="I2215" s="51" t="n"/>
      <c r="J2215" s="46" t="n"/>
      <c r="K2215" s="46" t="n"/>
      <c r="L2215" s="23">
        <f>IF(OR($A2215="",$B2215=""),"",IF($K2215&lt;&gt;"",$K2215-$B2215,TODAY()-$B2215))</f>
        <v/>
      </c>
      <c r="M2215" s="27">
        <f>IF(OR($A2215="",$J2215=""),"",IF($K2215="",IF(TODAY()&gt;$J2215,"Atrasado","En ruta"),IF($K2215&lt;=$J2215,"Sí","No")))</f>
        <v/>
      </c>
      <c r="N2215" s="23">
        <f>IF($A2215="","",COUNTIFS(NOVEDADES!$C$4:$C$1503,$A2215))</f>
        <v/>
      </c>
      <c r="O2215" s="27">
        <f>IF($A2215="","",IF(COUNTIFS(NOVEDADES!$C$4:$C$1503,$A2215,NOVEDADES!$M$4:$M$1503,"SÍ")&gt;0,"No","Sí"))</f>
        <v/>
      </c>
      <c r="P2215" s="27">
        <f>IF(OR($A2215="",$K2215=""),"",IF(AND($M2215="Sí",$O2215="Sí"),"OTIF","Falló"))</f>
        <v/>
      </c>
    </row>
    <row r="2216" ht="16" customHeight="1">
      <c r="A2216" s="47" t="n"/>
      <c r="B2216" s="46" t="n"/>
      <c r="C2216" s="49" t="n"/>
      <c r="D2216" s="49" t="n"/>
      <c r="E2216" s="49" t="n"/>
      <c r="F2216" s="49" t="n"/>
      <c r="G2216" s="47" t="n"/>
      <c r="H2216" s="50" t="n"/>
      <c r="I2216" s="51" t="n"/>
      <c r="J2216" s="46" t="n"/>
      <c r="K2216" s="46" t="n"/>
      <c r="L2216" s="23">
        <f>IF(OR($A2216="",$B2216=""),"",IF($K2216&lt;&gt;"",$K2216-$B2216,TODAY()-$B2216))</f>
        <v/>
      </c>
      <c r="M2216" s="27">
        <f>IF(OR($A2216="",$J2216=""),"",IF($K2216="",IF(TODAY()&gt;$J2216,"Atrasado","En ruta"),IF($K2216&lt;=$J2216,"Sí","No")))</f>
        <v/>
      </c>
      <c r="N2216" s="23">
        <f>IF($A2216="","",COUNTIFS(NOVEDADES!$C$4:$C$1503,$A2216))</f>
        <v/>
      </c>
      <c r="O2216" s="27">
        <f>IF($A2216="","",IF(COUNTIFS(NOVEDADES!$C$4:$C$1503,$A2216,NOVEDADES!$M$4:$M$1503,"SÍ")&gt;0,"No","Sí"))</f>
        <v/>
      </c>
      <c r="P2216" s="27">
        <f>IF(OR($A2216="",$K2216=""),"",IF(AND($M2216="Sí",$O2216="Sí"),"OTIF","Falló"))</f>
        <v/>
      </c>
    </row>
    <row r="2217" ht="16" customHeight="1">
      <c r="A2217" s="47" t="n"/>
      <c r="B2217" s="46" t="n"/>
      <c r="C2217" s="49" t="n"/>
      <c r="D2217" s="49" t="n"/>
      <c r="E2217" s="49" t="n"/>
      <c r="F2217" s="49" t="n"/>
      <c r="G2217" s="47" t="n"/>
      <c r="H2217" s="50" t="n"/>
      <c r="I2217" s="51" t="n"/>
      <c r="J2217" s="46" t="n"/>
      <c r="K2217" s="46" t="n"/>
      <c r="L2217" s="23">
        <f>IF(OR($A2217="",$B2217=""),"",IF($K2217&lt;&gt;"",$K2217-$B2217,TODAY()-$B2217))</f>
        <v/>
      </c>
      <c r="M2217" s="27">
        <f>IF(OR($A2217="",$J2217=""),"",IF($K2217="",IF(TODAY()&gt;$J2217,"Atrasado","En ruta"),IF($K2217&lt;=$J2217,"Sí","No")))</f>
        <v/>
      </c>
      <c r="N2217" s="23">
        <f>IF($A2217="","",COUNTIFS(NOVEDADES!$C$4:$C$1503,$A2217))</f>
        <v/>
      </c>
      <c r="O2217" s="27">
        <f>IF($A2217="","",IF(COUNTIFS(NOVEDADES!$C$4:$C$1503,$A2217,NOVEDADES!$M$4:$M$1503,"SÍ")&gt;0,"No","Sí"))</f>
        <v/>
      </c>
      <c r="P2217" s="27">
        <f>IF(OR($A2217="",$K2217=""),"",IF(AND($M2217="Sí",$O2217="Sí"),"OTIF","Falló"))</f>
        <v/>
      </c>
    </row>
    <row r="2218" ht="16" customHeight="1">
      <c r="A2218" s="47" t="n"/>
      <c r="B2218" s="46" t="n"/>
      <c r="C2218" s="49" t="n"/>
      <c r="D2218" s="49" t="n"/>
      <c r="E2218" s="49" t="n"/>
      <c r="F2218" s="49" t="n"/>
      <c r="G2218" s="47" t="n"/>
      <c r="H2218" s="50" t="n"/>
      <c r="I2218" s="51" t="n"/>
      <c r="J2218" s="46" t="n"/>
      <c r="K2218" s="46" t="n"/>
      <c r="L2218" s="23">
        <f>IF(OR($A2218="",$B2218=""),"",IF($K2218&lt;&gt;"",$K2218-$B2218,TODAY()-$B2218))</f>
        <v/>
      </c>
      <c r="M2218" s="27">
        <f>IF(OR($A2218="",$J2218=""),"",IF($K2218="",IF(TODAY()&gt;$J2218,"Atrasado","En ruta"),IF($K2218&lt;=$J2218,"Sí","No")))</f>
        <v/>
      </c>
      <c r="N2218" s="23">
        <f>IF($A2218="","",COUNTIFS(NOVEDADES!$C$4:$C$1503,$A2218))</f>
        <v/>
      </c>
      <c r="O2218" s="27">
        <f>IF($A2218="","",IF(COUNTIFS(NOVEDADES!$C$4:$C$1503,$A2218,NOVEDADES!$M$4:$M$1503,"SÍ")&gt;0,"No","Sí"))</f>
        <v/>
      </c>
      <c r="P2218" s="27">
        <f>IF(OR($A2218="",$K2218=""),"",IF(AND($M2218="Sí",$O2218="Sí"),"OTIF","Falló"))</f>
        <v/>
      </c>
    </row>
    <row r="2219" ht="16" customHeight="1">
      <c r="A2219" s="47" t="n"/>
      <c r="B2219" s="46" t="n"/>
      <c r="C2219" s="49" t="n"/>
      <c r="D2219" s="49" t="n"/>
      <c r="E2219" s="49" t="n"/>
      <c r="F2219" s="49" t="n"/>
      <c r="G2219" s="47" t="n"/>
      <c r="H2219" s="50" t="n"/>
      <c r="I2219" s="51" t="n"/>
      <c r="J2219" s="46" t="n"/>
      <c r="K2219" s="46" t="n"/>
      <c r="L2219" s="23">
        <f>IF(OR($A2219="",$B2219=""),"",IF($K2219&lt;&gt;"",$K2219-$B2219,TODAY()-$B2219))</f>
        <v/>
      </c>
      <c r="M2219" s="27">
        <f>IF(OR($A2219="",$J2219=""),"",IF($K2219="",IF(TODAY()&gt;$J2219,"Atrasado","En ruta"),IF($K2219&lt;=$J2219,"Sí","No")))</f>
        <v/>
      </c>
      <c r="N2219" s="23">
        <f>IF($A2219="","",COUNTIFS(NOVEDADES!$C$4:$C$1503,$A2219))</f>
        <v/>
      </c>
      <c r="O2219" s="27">
        <f>IF($A2219="","",IF(COUNTIFS(NOVEDADES!$C$4:$C$1503,$A2219,NOVEDADES!$M$4:$M$1503,"SÍ")&gt;0,"No","Sí"))</f>
        <v/>
      </c>
      <c r="P2219" s="27">
        <f>IF(OR($A2219="",$K2219=""),"",IF(AND($M2219="Sí",$O2219="Sí"),"OTIF","Falló"))</f>
        <v/>
      </c>
    </row>
    <row r="2220" ht="16" customHeight="1">
      <c r="A2220" s="47" t="n"/>
      <c r="B2220" s="46" t="n"/>
      <c r="C2220" s="49" t="n"/>
      <c r="D2220" s="49" t="n"/>
      <c r="E2220" s="49" t="n"/>
      <c r="F2220" s="49" t="n"/>
      <c r="G2220" s="47" t="n"/>
      <c r="H2220" s="50" t="n"/>
      <c r="I2220" s="51" t="n"/>
      <c r="J2220" s="46" t="n"/>
      <c r="K2220" s="46" t="n"/>
      <c r="L2220" s="23">
        <f>IF(OR($A2220="",$B2220=""),"",IF($K2220&lt;&gt;"",$K2220-$B2220,TODAY()-$B2220))</f>
        <v/>
      </c>
      <c r="M2220" s="27">
        <f>IF(OR($A2220="",$J2220=""),"",IF($K2220="",IF(TODAY()&gt;$J2220,"Atrasado","En ruta"),IF($K2220&lt;=$J2220,"Sí","No")))</f>
        <v/>
      </c>
      <c r="N2220" s="23">
        <f>IF($A2220="","",COUNTIFS(NOVEDADES!$C$4:$C$1503,$A2220))</f>
        <v/>
      </c>
      <c r="O2220" s="27">
        <f>IF($A2220="","",IF(COUNTIFS(NOVEDADES!$C$4:$C$1503,$A2220,NOVEDADES!$M$4:$M$1503,"SÍ")&gt;0,"No","Sí"))</f>
        <v/>
      </c>
      <c r="P2220" s="27">
        <f>IF(OR($A2220="",$K2220=""),"",IF(AND($M2220="Sí",$O2220="Sí"),"OTIF","Falló"))</f>
        <v/>
      </c>
    </row>
    <row r="2221" ht="16" customHeight="1">
      <c r="A2221" s="47" t="n"/>
      <c r="B2221" s="46" t="n"/>
      <c r="C2221" s="49" t="n"/>
      <c r="D2221" s="49" t="n"/>
      <c r="E2221" s="49" t="n"/>
      <c r="F2221" s="49" t="n"/>
      <c r="G2221" s="47" t="n"/>
      <c r="H2221" s="50" t="n"/>
      <c r="I2221" s="51" t="n"/>
      <c r="J2221" s="46" t="n"/>
      <c r="K2221" s="46" t="n"/>
      <c r="L2221" s="23">
        <f>IF(OR($A2221="",$B2221=""),"",IF($K2221&lt;&gt;"",$K2221-$B2221,TODAY()-$B2221))</f>
        <v/>
      </c>
      <c r="M2221" s="27">
        <f>IF(OR($A2221="",$J2221=""),"",IF($K2221="",IF(TODAY()&gt;$J2221,"Atrasado","En ruta"),IF($K2221&lt;=$J2221,"Sí","No")))</f>
        <v/>
      </c>
      <c r="N2221" s="23">
        <f>IF($A2221="","",COUNTIFS(NOVEDADES!$C$4:$C$1503,$A2221))</f>
        <v/>
      </c>
      <c r="O2221" s="27">
        <f>IF($A2221="","",IF(COUNTIFS(NOVEDADES!$C$4:$C$1503,$A2221,NOVEDADES!$M$4:$M$1503,"SÍ")&gt;0,"No","Sí"))</f>
        <v/>
      </c>
      <c r="P2221" s="27">
        <f>IF(OR($A2221="",$K2221=""),"",IF(AND($M2221="Sí",$O2221="Sí"),"OTIF","Falló"))</f>
        <v/>
      </c>
    </row>
    <row r="2222" ht="16" customHeight="1">
      <c r="A2222" s="47" t="n"/>
      <c r="B2222" s="46" t="n"/>
      <c r="C2222" s="49" t="n"/>
      <c r="D2222" s="49" t="n"/>
      <c r="E2222" s="49" t="n"/>
      <c r="F2222" s="49" t="n"/>
      <c r="G2222" s="47" t="n"/>
      <c r="H2222" s="50" t="n"/>
      <c r="I2222" s="51" t="n"/>
      <c r="J2222" s="46" t="n"/>
      <c r="K2222" s="46" t="n"/>
      <c r="L2222" s="23">
        <f>IF(OR($A2222="",$B2222=""),"",IF($K2222&lt;&gt;"",$K2222-$B2222,TODAY()-$B2222))</f>
        <v/>
      </c>
      <c r="M2222" s="27">
        <f>IF(OR($A2222="",$J2222=""),"",IF($K2222="",IF(TODAY()&gt;$J2222,"Atrasado","En ruta"),IF($K2222&lt;=$J2222,"Sí","No")))</f>
        <v/>
      </c>
      <c r="N2222" s="23">
        <f>IF($A2222="","",COUNTIFS(NOVEDADES!$C$4:$C$1503,$A2222))</f>
        <v/>
      </c>
      <c r="O2222" s="27">
        <f>IF($A2222="","",IF(COUNTIFS(NOVEDADES!$C$4:$C$1503,$A2222,NOVEDADES!$M$4:$M$1503,"SÍ")&gt;0,"No","Sí"))</f>
        <v/>
      </c>
      <c r="P2222" s="27">
        <f>IF(OR($A2222="",$K2222=""),"",IF(AND($M2222="Sí",$O2222="Sí"),"OTIF","Falló"))</f>
        <v/>
      </c>
    </row>
    <row r="2223" ht="16" customHeight="1">
      <c r="A2223" s="47" t="n"/>
      <c r="B2223" s="46" t="n"/>
      <c r="C2223" s="49" t="n"/>
      <c r="D2223" s="49" t="n"/>
      <c r="E2223" s="49" t="n"/>
      <c r="F2223" s="49" t="n"/>
      <c r="G2223" s="47" t="n"/>
      <c r="H2223" s="50" t="n"/>
      <c r="I2223" s="51" t="n"/>
      <c r="J2223" s="46" t="n"/>
      <c r="K2223" s="46" t="n"/>
      <c r="L2223" s="23">
        <f>IF(OR($A2223="",$B2223=""),"",IF($K2223&lt;&gt;"",$K2223-$B2223,TODAY()-$B2223))</f>
        <v/>
      </c>
      <c r="M2223" s="27">
        <f>IF(OR($A2223="",$J2223=""),"",IF($K2223="",IF(TODAY()&gt;$J2223,"Atrasado","En ruta"),IF($K2223&lt;=$J2223,"Sí","No")))</f>
        <v/>
      </c>
      <c r="N2223" s="23">
        <f>IF($A2223="","",COUNTIFS(NOVEDADES!$C$4:$C$1503,$A2223))</f>
        <v/>
      </c>
      <c r="O2223" s="27">
        <f>IF($A2223="","",IF(COUNTIFS(NOVEDADES!$C$4:$C$1503,$A2223,NOVEDADES!$M$4:$M$1503,"SÍ")&gt;0,"No","Sí"))</f>
        <v/>
      </c>
      <c r="P2223" s="27">
        <f>IF(OR($A2223="",$K2223=""),"",IF(AND($M2223="Sí",$O2223="Sí"),"OTIF","Falló"))</f>
        <v/>
      </c>
    </row>
    <row r="2224" ht="16" customHeight="1">
      <c r="A2224" s="47" t="n"/>
      <c r="B2224" s="46" t="n"/>
      <c r="C2224" s="49" t="n"/>
      <c r="D2224" s="49" t="n"/>
      <c r="E2224" s="49" t="n"/>
      <c r="F2224" s="49" t="n"/>
      <c r="G2224" s="47" t="n"/>
      <c r="H2224" s="50" t="n"/>
      <c r="I2224" s="51" t="n"/>
      <c r="J2224" s="46" t="n"/>
      <c r="K2224" s="46" t="n"/>
      <c r="L2224" s="23">
        <f>IF(OR($A2224="",$B2224=""),"",IF($K2224&lt;&gt;"",$K2224-$B2224,TODAY()-$B2224))</f>
        <v/>
      </c>
      <c r="M2224" s="27">
        <f>IF(OR($A2224="",$J2224=""),"",IF($K2224="",IF(TODAY()&gt;$J2224,"Atrasado","En ruta"),IF($K2224&lt;=$J2224,"Sí","No")))</f>
        <v/>
      </c>
      <c r="N2224" s="23">
        <f>IF($A2224="","",COUNTIFS(NOVEDADES!$C$4:$C$1503,$A2224))</f>
        <v/>
      </c>
      <c r="O2224" s="27">
        <f>IF($A2224="","",IF(COUNTIFS(NOVEDADES!$C$4:$C$1503,$A2224,NOVEDADES!$M$4:$M$1503,"SÍ")&gt;0,"No","Sí"))</f>
        <v/>
      </c>
      <c r="P2224" s="27">
        <f>IF(OR($A2224="",$K2224=""),"",IF(AND($M2224="Sí",$O2224="Sí"),"OTIF","Falló"))</f>
        <v/>
      </c>
    </row>
    <row r="2225" ht="16" customHeight="1">
      <c r="A2225" s="47" t="n"/>
      <c r="B2225" s="46" t="n"/>
      <c r="C2225" s="49" t="n"/>
      <c r="D2225" s="49" t="n"/>
      <c r="E2225" s="49" t="n"/>
      <c r="F2225" s="49" t="n"/>
      <c r="G2225" s="47" t="n"/>
      <c r="H2225" s="50" t="n"/>
      <c r="I2225" s="51" t="n"/>
      <c r="J2225" s="46" t="n"/>
      <c r="K2225" s="46" t="n"/>
      <c r="L2225" s="23">
        <f>IF(OR($A2225="",$B2225=""),"",IF($K2225&lt;&gt;"",$K2225-$B2225,TODAY()-$B2225))</f>
        <v/>
      </c>
      <c r="M2225" s="27">
        <f>IF(OR($A2225="",$J2225=""),"",IF($K2225="",IF(TODAY()&gt;$J2225,"Atrasado","En ruta"),IF($K2225&lt;=$J2225,"Sí","No")))</f>
        <v/>
      </c>
      <c r="N2225" s="23">
        <f>IF($A2225="","",COUNTIFS(NOVEDADES!$C$4:$C$1503,$A2225))</f>
        <v/>
      </c>
      <c r="O2225" s="27">
        <f>IF($A2225="","",IF(COUNTIFS(NOVEDADES!$C$4:$C$1503,$A2225,NOVEDADES!$M$4:$M$1503,"SÍ")&gt;0,"No","Sí"))</f>
        <v/>
      </c>
      <c r="P2225" s="27">
        <f>IF(OR($A2225="",$K2225=""),"",IF(AND($M2225="Sí",$O2225="Sí"),"OTIF","Falló"))</f>
        <v/>
      </c>
    </row>
    <row r="2226" ht="16" customHeight="1">
      <c r="A2226" s="47" t="n"/>
      <c r="B2226" s="46" t="n"/>
      <c r="C2226" s="49" t="n"/>
      <c r="D2226" s="49" t="n"/>
      <c r="E2226" s="49" t="n"/>
      <c r="F2226" s="49" t="n"/>
      <c r="G2226" s="47" t="n"/>
      <c r="H2226" s="50" t="n"/>
      <c r="I2226" s="51" t="n"/>
      <c r="J2226" s="46" t="n"/>
      <c r="K2226" s="46" t="n"/>
      <c r="L2226" s="23">
        <f>IF(OR($A2226="",$B2226=""),"",IF($K2226&lt;&gt;"",$K2226-$B2226,TODAY()-$B2226))</f>
        <v/>
      </c>
      <c r="M2226" s="27">
        <f>IF(OR($A2226="",$J2226=""),"",IF($K2226="",IF(TODAY()&gt;$J2226,"Atrasado","En ruta"),IF($K2226&lt;=$J2226,"Sí","No")))</f>
        <v/>
      </c>
      <c r="N2226" s="23">
        <f>IF($A2226="","",COUNTIFS(NOVEDADES!$C$4:$C$1503,$A2226))</f>
        <v/>
      </c>
      <c r="O2226" s="27">
        <f>IF($A2226="","",IF(COUNTIFS(NOVEDADES!$C$4:$C$1503,$A2226,NOVEDADES!$M$4:$M$1503,"SÍ")&gt;0,"No","Sí"))</f>
        <v/>
      </c>
      <c r="P2226" s="27">
        <f>IF(OR($A2226="",$K2226=""),"",IF(AND($M2226="Sí",$O2226="Sí"),"OTIF","Falló"))</f>
        <v/>
      </c>
    </row>
    <row r="2227" ht="16" customHeight="1">
      <c r="A2227" s="47" t="n"/>
      <c r="B2227" s="46" t="n"/>
      <c r="C2227" s="49" t="n"/>
      <c r="D2227" s="49" t="n"/>
      <c r="E2227" s="49" t="n"/>
      <c r="F2227" s="49" t="n"/>
      <c r="G2227" s="47" t="n"/>
      <c r="H2227" s="50" t="n"/>
      <c r="I2227" s="51" t="n"/>
      <c r="J2227" s="46" t="n"/>
      <c r="K2227" s="46" t="n"/>
      <c r="L2227" s="23">
        <f>IF(OR($A2227="",$B2227=""),"",IF($K2227&lt;&gt;"",$K2227-$B2227,TODAY()-$B2227))</f>
        <v/>
      </c>
      <c r="M2227" s="27">
        <f>IF(OR($A2227="",$J2227=""),"",IF($K2227="",IF(TODAY()&gt;$J2227,"Atrasado","En ruta"),IF($K2227&lt;=$J2227,"Sí","No")))</f>
        <v/>
      </c>
      <c r="N2227" s="23">
        <f>IF($A2227="","",COUNTIFS(NOVEDADES!$C$4:$C$1503,$A2227))</f>
        <v/>
      </c>
      <c r="O2227" s="27">
        <f>IF($A2227="","",IF(COUNTIFS(NOVEDADES!$C$4:$C$1503,$A2227,NOVEDADES!$M$4:$M$1503,"SÍ")&gt;0,"No","Sí"))</f>
        <v/>
      </c>
      <c r="P2227" s="27">
        <f>IF(OR($A2227="",$K2227=""),"",IF(AND($M2227="Sí",$O2227="Sí"),"OTIF","Falló"))</f>
        <v/>
      </c>
    </row>
    <row r="2228" ht="16" customHeight="1">
      <c r="A2228" s="47" t="n"/>
      <c r="B2228" s="46" t="n"/>
      <c r="C2228" s="49" t="n"/>
      <c r="D2228" s="49" t="n"/>
      <c r="E2228" s="49" t="n"/>
      <c r="F2228" s="49" t="n"/>
      <c r="G2228" s="47" t="n"/>
      <c r="H2228" s="50" t="n"/>
      <c r="I2228" s="51" t="n"/>
      <c r="J2228" s="46" t="n"/>
      <c r="K2228" s="46" t="n"/>
      <c r="L2228" s="23">
        <f>IF(OR($A2228="",$B2228=""),"",IF($K2228&lt;&gt;"",$K2228-$B2228,TODAY()-$B2228))</f>
        <v/>
      </c>
      <c r="M2228" s="27">
        <f>IF(OR($A2228="",$J2228=""),"",IF($K2228="",IF(TODAY()&gt;$J2228,"Atrasado","En ruta"),IF($K2228&lt;=$J2228,"Sí","No")))</f>
        <v/>
      </c>
      <c r="N2228" s="23">
        <f>IF($A2228="","",COUNTIFS(NOVEDADES!$C$4:$C$1503,$A2228))</f>
        <v/>
      </c>
      <c r="O2228" s="27">
        <f>IF($A2228="","",IF(COUNTIFS(NOVEDADES!$C$4:$C$1503,$A2228,NOVEDADES!$M$4:$M$1503,"SÍ")&gt;0,"No","Sí"))</f>
        <v/>
      </c>
      <c r="P2228" s="27">
        <f>IF(OR($A2228="",$K2228=""),"",IF(AND($M2228="Sí",$O2228="Sí"),"OTIF","Falló"))</f>
        <v/>
      </c>
    </row>
    <row r="2229" ht="16" customHeight="1">
      <c r="A2229" s="47" t="n"/>
      <c r="B2229" s="46" t="n"/>
      <c r="C2229" s="49" t="n"/>
      <c r="D2229" s="49" t="n"/>
      <c r="E2229" s="49" t="n"/>
      <c r="F2229" s="49" t="n"/>
      <c r="G2229" s="47" t="n"/>
      <c r="H2229" s="50" t="n"/>
      <c r="I2229" s="51" t="n"/>
      <c r="J2229" s="46" t="n"/>
      <c r="K2229" s="46" t="n"/>
      <c r="L2229" s="23">
        <f>IF(OR($A2229="",$B2229=""),"",IF($K2229&lt;&gt;"",$K2229-$B2229,TODAY()-$B2229))</f>
        <v/>
      </c>
      <c r="M2229" s="27">
        <f>IF(OR($A2229="",$J2229=""),"",IF($K2229="",IF(TODAY()&gt;$J2229,"Atrasado","En ruta"),IF($K2229&lt;=$J2229,"Sí","No")))</f>
        <v/>
      </c>
      <c r="N2229" s="23">
        <f>IF($A2229="","",COUNTIFS(NOVEDADES!$C$4:$C$1503,$A2229))</f>
        <v/>
      </c>
      <c r="O2229" s="27">
        <f>IF($A2229="","",IF(COUNTIFS(NOVEDADES!$C$4:$C$1503,$A2229,NOVEDADES!$M$4:$M$1503,"SÍ")&gt;0,"No","Sí"))</f>
        <v/>
      </c>
      <c r="P2229" s="27">
        <f>IF(OR($A2229="",$K2229=""),"",IF(AND($M2229="Sí",$O2229="Sí"),"OTIF","Falló"))</f>
        <v/>
      </c>
    </row>
    <row r="2230" ht="16" customHeight="1">
      <c r="A2230" s="47" t="n"/>
      <c r="B2230" s="46" t="n"/>
      <c r="C2230" s="49" t="n"/>
      <c r="D2230" s="49" t="n"/>
      <c r="E2230" s="49" t="n"/>
      <c r="F2230" s="49" t="n"/>
      <c r="G2230" s="47" t="n"/>
      <c r="H2230" s="50" t="n"/>
      <c r="I2230" s="51" t="n"/>
      <c r="J2230" s="46" t="n"/>
      <c r="K2230" s="46" t="n"/>
      <c r="L2230" s="23">
        <f>IF(OR($A2230="",$B2230=""),"",IF($K2230&lt;&gt;"",$K2230-$B2230,TODAY()-$B2230))</f>
        <v/>
      </c>
      <c r="M2230" s="27">
        <f>IF(OR($A2230="",$J2230=""),"",IF($K2230="",IF(TODAY()&gt;$J2230,"Atrasado","En ruta"),IF($K2230&lt;=$J2230,"Sí","No")))</f>
        <v/>
      </c>
      <c r="N2230" s="23">
        <f>IF($A2230="","",COUNTIFS(NOVEDADES!$C$4:$C$1503,$A2230))</f>
        <v/>
      </c>
      <c r="O2230" s="27">
        <f>IF($A2230="","",IF(COUNTIFS(NOVEDADES!$C$4:$C$1503,$A2230,NOVEDADES!$M$4:$M$1503,"SÍ")&gt;0,"No","Sí"))</f>
        <v/>
      </c>
      <c r="P2230" s="27">
        <f>IF(OR($A2230="",$K2230=""),"",IF(AND($M2230="Sí",$O2230="Sí"),"OTIF","Falló"))</f>
        <v/>
      </c>
    </row>
    <row r="2231" ht="16" customHeight="1">
      <c r="A2231" s="47" t="n"/>
      <c r="B2231" s="46" t="n"/>
      <c r="C2231" s="49" t="n"/>
      <c r="D2231" s="49" t="n"/>
      <c r="E2231" s="49" t="n"/>
      <c r="F2231" s="49" t="n"/>
      <c r="G2231" s="47" t="n"/>
      <c r="H2231" s="50" t="n"/>
      <c r="I2231" s="51" t="n"/>
      <c r="J2231" s="46" t="n"/>
      <c r="K2231" s="46" t="n"/>
      <c r="L2231" s="23">
        <f>IF(OR($A2231="",$B2231=""),"",IF($K2231&lt;&gt;"",$K2231-$B2231,TODAY()-$B2231))</f>
        <v/>
      </c>
      <c r="M2231" s="27">
        <f>IF(OR($A2231="",$J2231=""),"",IF($K2231="",IF(TODAY()&gt;$J2231,"Atrasado","En ruta"),IF($K2231&lt;=$J2231,"Sí","No")))</f>
        <v/>
      </c>
      <c r="N2231" s="23">
        <f>IF($A2231="","",COUNTIFS(NOVEDADES!$C$4:$C$1503,$A2231))</f>
        <v/>
      </c>
      <c r="O2231" s="27">
        <f>IF($A2231="","",IF(COUNTIFS(NOVEDADES!$C$4:$C$1503,$A2231,NOVEDADES!$M$4:$M$1503,"SÍ")&gt;0,"No","Sí"))</f>
        <v/>
      </c>
      <c r="P2231" s="27">
        <f>IF(OR($A2231="",$K2231=""),"",IF(AND($M2231="Sí",$O2231="Sí"),"OTIF","Falló"))</f>
        <v/>
      </c>
    </row>
    <row r="2232" ht="16" customHeight="1">
      <c r="A2232" s="47" t="n"/>
      <c r="B2232" s="46" t="n"/>
      <c r="C2232" s="49" t="n"/>
      <c r="D2232" s="49" t="n"/>
      <c r="E2232" s="49" t="n"/>
      <c r="F2232" s="49" t="n"/>
      <c r="G2232" s="47" t="n"/>
      <c r="H2232" s="50" t="n"/>
      <c r="I2232" s="51" t="n"/>
      <c r="J2232" s="46" t="n"/>
      <c r="K2232" s="46" t="n"/>
      <c r="L2232" s="23">
        <f>IF(OR($A2232="",$B2232=""),"",IF($K2232&lt;&gt;"",$K2232-$B2232,TODAY()-$B2232))</f>
        <v/>
      </c>
      <c r="M2232" s="27">
        <f>IF(OR($A2232="",$J2232=""),"",IF($K2232="",IF(TODAY()&gt;$J2232,"Atrasado","En ruta"),IF($K2232&lt;=$J2232,"Sí","No")))</f>
        <v/>
      </c>
      <c r="N2232" s="23">
        <f>IF($A2232="","",COUNTIFS(NOVEDADES!$C$4:$C$1503,$A2232))</f>
        <v/>
      </c>
      <c r="O2232" s="27">
        <f>IF($A2232="","",IF(COUNTIFS(NOVEDADES!$C$4:$C$1503,$A2232,NOVEDADES!$M$4:$M$1503,"SÍ")&gt;0,"No","Sí"))</f>
        <v/>
      </c>
      <c r="P2232" s="27">
        <f>IF(OR($A2232="",$K2232=""),"",IF(AND($M2232="Sí",$O2232="Sí"),"OTIF","Falló"))</f>
        <v/>
      </c>
    </row>
    <row r="2233" ht="16" customHeight="1">
      <c r="A2233" s="47" t="n"/>
      <c r="B2233" s="46" t="n"/>
      <c r="C2233" s="49" t="n"/>
      <c r="D2233" s="49" t="n"/>
      <c r="E2233" s="49" t="n"/>
      <c r="F2233" s="49" t="n"/>
      <c r="G2233" s="47" t="n"/>
      <c r="H2233" s="50" t="n"/>
      <c r="I2233" s="51" t="n"/>
      <c r="J2233" s="46" t="n"/>
      <c r="K2233" s="46" t="n"/>
      <c r="L2233" s="23">
        <f>IF(OR($A2233="",$B2233=""),"",IF($K2233&lt;&gt;"",$K2233-$B2233,TODAY()-$B2233))</f>
        <v/>
      </c>
      <c r="M2233" s="27">
        <f>IF(OR($A2233="",$J2233=""),"",IF($K2233="",IF(TODAY()&gt;$J2233,"Atrasado","En ruta"),IF($K2233&lt;=$J2233,"Sí","No")))</f>
        <v/>
      </c>
      <c r="N2233" s="23">
        <f>IF($A2233="","",COUNTIFS(NOVEDADES!$C$4:$C$1503,$A2233))</f>
        <v/>
      </c>
      <c r="O2233" s="27">
        <f>IF($A2233="","",IF(COUNTIFS(NOVEDADES!$C$4:$C$1503,$A2233,NOVEDADES!$M$4:$M$1503,"SÍ")&gt;0,"No","Sí"))</f>
        <v/>
      </c>
      <c r="P2233" s="27">
        <f>IF(OR($A2233="",$K2233=""),"",IF(AND($M2233="Sí",$O2233="Sí"),"OTIF","Falló"))</f>
        <v/>
      </c>
    </row>
    <row r="2234" ht="16" customHeight="1">
      <c r="A2234" s="47" t="n"/>
      <c r="B2234" s="46" t="n"/>
      <c r="C2234" s="49" t="n"/>
      <c r="D2234" s="49" t="n"/>
      <c r="E2234" s="49" t="n"/>
      <c r="F2234" s="49" t="n"/>
      <c r="G2234" s="47" t="n"/>
      <c r="H2234" s="50" t="n"/>
      <c r="I2234" s="51" t="n"/>
      <c r="J2234" s="46" t="n"/>
      <c r="K2234" s="46" t="n"/>
      <c r="L2234" s="23">
        <f>IF(OR($A2234="",$B2234=""),"",IF($K2234&lt;&gt;"",$K2234-$B2234,TODAY()-$B2234))</f>
        <v/>
      </c>
      <c r="M2234" s="27">
        <f>IF(OR($A2234="",$J2234=""),"",IF($K2234="",IF(TODAY()&gt;$J2234,"Atrasado","En ruta"),IF($K2234&lt;=$J2234,"Sí","No")))</f>
        <v/>
      </c>
      <c r="N2234" s="23">
        <f>IF($A2234="","",COUNTIFS(NOVEDADES!$C$4:$C$1503,$A2234))</f>
        <v/>
      </c>
      <c r="O2234" s="27">
        <f>IF($A2234="","",IF(COUNTIFS(NOVEDADES!$C$4:$C$1503,$A2234,NOVEDADES!$M$4:$M$1503,"SÍ")&gt;0,"No","Sí"))</f>
        <v/>
      </c>
      <c r="P2234" s="27">
        <f>IF(OR($A2234="",$K2234=""),"",IF(AND($M2234="Sí",$O2234="Sí"),"OTIF","Falló"))</f>
        <v/>
      </c>
    </row>
    <row r="2235" ht="16" customHeight="1">
      <c r="A2235" s="47" t="n"/>
      <c r="B2235" s="46" t="n"/>
      <c r="C2235" s="49" t="n"/>
      <c r="D2235" s="49" t="n"/>
      <c r="E2235" s="49" t="n"/>
      <c r="F2235" s="49" t="n"/>
      <c r="G2235" s="47" t="n"/>
      <c r="H2235" s="50" t="n"/>
      <c r="I2235" s="51" t="n"/>
      <c r="J2235" s="46" t="n"/>
      <c r="K2235" s="46" t="n"/>
      <c r="L2235" s="23">
        <f>IF(OR($A2235="",$B2235=""),"",IF($K2235&lt;&gt;"",$K2235-$B2235,TODAY()-$B2235))</f>
        <v/>
      </c>
      <c r="M2235" s="27">
        <f>IF(OR($A2235="",$J2235=""),"",IF($K2235="",IF(TODAY()&gt;$J2235,"Atrasado","En ruta"),IF($K2235&lt;=$J2235,"Sí","No")))</f>
        <v/>
      </c>
      <c r="N2235" s="23">
        <f>IF($A2235="","",COUNTIFS(NOVEDADES!$C$4:$C$1503,$A2235))</f>
        <v/>
      </c>
      <c r="O2235" s="27">
        <f>IF($A2235="","",IF(COUNTIFS(NOVEDADES!$C$4:$C$1503,$A2235,NOVEDADES!$M$4:$M$1503,"SÍ")&gt;0,"No","Sí"))</f>
        <v/>
      </c>
      <c r="P2235" s="27">
        <f>IF(OR($A2235="",$K2235=""),"",IF(AND($M2235="Sí",$O2235="Sí"),"OTIF","Falló"))</f>
        <v/>
      </c>
    </row>
    <row r="2236" ht="16" customHeight="1">
      <c r="A2236" s="47" t="n"/>
      <c r="B2236" s="46" t="n"/>
      <c r="C2236" s="49" t="n"/>
      <c r="D2236" s="49" t="n"/>
      <c r="E2236" s="49" t="n"/>
      <c r="F2236" s="49" t="n"/>
      <c r="G2236" s="47" t="n"/>
      <c r="H2236" s="50" t="n"/>
      <c r="I2236" s="51" t="n"/>
      <c r="J2236" s="46" t="n"/>
      <c r="K2236" s="46" t="n"/>
      <c r="L2236" s="23">
        <f>IF(OR($A2236="",$B2236=""),"",IF($K2236&lt;&gt;"",$K2236-$B2236,TODAY()-$B2236))</f>
        <v/>
      </c>
      <c r="M2236" s="27">
        <f>IF(OR($A2236="",$J2236=""),"",IF($K2236="",IF(TODAY()&gt;$J2236,"Atrasado","En ruta"),IF($K2236&lt;=$J2236,"Sí","No")))</f>
        <v/>
      </c>
      <c r="N2236" s="23">
        <f>IF($A2236="","",COUNTIFS(NOVEDADES!$C$4:$C$1503,$A2236))</f>
        <v/>
      </c>
      <c r="O2236" s="27">
        <f>IF($A2236="","",IF(COUNTIFS(NOVEDADES!$C$4:$C$1503,$A2236,NOVEDADES!$M$4:$M$1503,"SÍ")&gt;0,"No","Sí"))</f>
        <v/>
      </c>
      <c r="P2236" s="27">
        <f>IF(OR($A2236="",$K2236=""),"",IF(AND($M2236="Sí",$O2236="Sí"),"OTIF","Falló"))</f>
        <v/>
      </c>
    </row>
    <row r="2237" ht="16" customHeight="1">
      <c r="A2237" s="47" t="n"/>
      <c r="B2237" s="46" t="n"/>
      <c r="C2237" s="49" t="n"/>
      <c r="D2237" s="49" t="n"/>
      <c r="E2237" s="49" t="n"/>
      <c r="F2237" s="49" t="n"/>
      <c r="G2237" s="47" t="n"/>
      <c r="H2237" s="50" t="n"/>
      <c r="I2237" s="51" t="n"/>
      <c r="J2237" s="46" t="n"/>
      <c r="K2237" s="46" t="n"/>
      <c r="L2237" s="23">
        <f>IF(OR($A2237="",$B2237=""),"",IF($K2237&lt;&gt;"",$K2237-$B2237,TODAY()-$B2237))</f>
        <v/>
      </c>
      <c r="M2237" s="27">
        <f>IF(OR($A2237="",$J2237=""),"",IF($K2237="",IF(TODAY()&gt;$J2237,"Atrasado","En ruta"),IF($K2237&lt;=$J2237,"Sí","No")))</f>
        <v/>
      </c>
      <c r="N2237" s="23">
        <f>IF($A2237="","",COUNTIFS(NOVEDADES!$C$4:$C$1503,$A2237))</f>
        <v/>
      </c>
      <c r="O2237" s="27">
        <f>IF($A2237="","",IF(COUNTIFS(NOVEDADES!$C$4:$C$1503,$A2237,NOVEDADES!$M$4:$M$1503,"SÍ")&gt;0,"No","Sí"))</f>
        <v/>
      </c>
      <c r="P2237" s="27">
        <f>IF(OR($A2237="",$K2237=""),"",IF(AND($M2237="Sí",$O2237="Sí"),"OTIF","Falló"))</f>
        <v/>
      </c>
    </row>
    <row r="2238" ht="16" customHeight="1">
      <c r="A2238" s="47" t="n"/>
      <c r="B2238" s="46" t="n"/>
      <c r="C2238" s="49" t="n"/>
      <c r="D2238" s="49" t="n"/>
      <c r="E2238" s="49" t="n"/>
      <c r="F2238" s="49" t="n"/>
      <c r="G2238" s="47" t="n"/>
      <c r="H2238" s="50" t="n"/>
      <c r="I2238" s="51" t="n"/>
      <c r="J2238" s="46" t="n"/>
      <c r="K2238" s="46" t="n"/>
      <c r="L2238" s="23">
        <f>IF(OR($A2238="",$B2238=""),"",IF($K2238&lt;&gt;"",$K2238-$B2238,TODAY()-$B2238))</f>
        <v/>
      </c>
      <c r="M2238" s="27">
        <f>IF(OR($A2238="",$J2238=""),"",IF($K2238="",IF(TODAY()&gt;$J2238,"Atrasado","En ruta"),IF($K2238&lt;=$J2238,"Sí","No")))</f>
        <v/>
      </c>
      <c r="N2238" s="23">
        <f>IF($A2238="","",COUNTIFS(NOVEDADES!$C$4:$C$1503,$A2238))</f>
        <v/>
      </c>
      <c r="O2238" s="27">
        <f>IF($A2238="","",IF(COUNTIFS(NOVEDADES!$C$4:$C$1503,$A2238,NOVEDADES!$M$4:$M$1503,"SÍ")&gt;0,"No","Sí"))</f>
        <v/>
      </c>
      <c r="P2238" s="27">
        <f>IF(OR($A2238="",$K2238=""),"",IF(AND($M2238="Sí",$O2238="Sí"),"OTIF","Falló"))</f>
        <v/>
      </c>
    </row>
    <row r="2239" ht="16" customHeight="1">
      <c r="A2239" s="47" t="n"/>
      <c r="B2239" s="46" t="n"/>
      <c r="C2239" s="49" t="n"/>
      <c r="D2239" s="49" t="n"/>
      <c r="E2239" s="49" t="n"/>
      <c r="F2239" s="49" t="n"/>
      <c r="G2239" s="47" t="n"/>
      <c r="H2239" s="50" t="n"/>
      <c r="I2239" s="51" t="n"/>
      <c r="J2239" s="46" t="n"/>
      <c r="K2239" s="46" t="n"/>
      <c r="L2239" s="23">
        <f>IF(OR($A2239="",$B2239=""),"",IF($K2239&lt;&gt;"",$K2239-$B2239,TODAY()-$B2239))</f>
        <v/>
      </c>
      <c r="M2239" s="27">
        <f>IF(OR($A2239="",$J2239=""),"",IF($K2239="",IF(TODAY()&gt;$J2239,"Atrasado","En ruta"),IF($K2239&lt;=$J2239,"Sí","No")))</f>
        <v/>
      </c>
      <c r="N2239" s="23">
        <f>IF($A2239="","",COUNTIFS(NOVEDADES!$C$4:$C$1503,$A2239))</f>
        <v/>
      </c>
      <c r="O2239" s="27">
        <f>IF($A2239="","",IF(COUNTIFS(NOVEDADES!$C$4:$C$1503,$A2239,NOVEDADES!$M$4:$M$1503,"SÍ")&gt;0,"No","Sí"))</f>
        <v/>
      </c>
      <c r="P2239" s="27">
        <f>IF(OR($A2239="",$K2239=""),"",IF(AND($M2239="Sí",$O2239="Sí"),"OTIF","Falló"))</f>
        <v/>
      </c>
    </row>
    <row r="2240" ht="16" customHeight="1">
      <c r="A2240" s="47" t="n"/>
      <c r="B2240" s="46" t="n"/>
      <c r="C2240" s="49" t="n"/>
      <c r="D2240" s="49" t="n"/>
      <c r="E2240" s="49" t="n"/>
      <c r="F2240" s="49" t="n"/>
      <c r="G2240" s="47" t="n"/>
      <c r="H2240" s="50" t="n"/>
      <c r="I2240" s="51" t="n"/>
      <c r="J2240" s="46" t="n"/>
      <c r="K2240" s="46" t="n"/>
      <c r="L2240" s="23">
        <f>IF(OR($A2240="",$B2240=""),"",IF($K2240&lt;&gt;"",$K2240-$B2240,TODAY()-$B2240))</f>
        <v/>
      </c>
      <c r="M2240" s="27">
        <f>IF(OR($A2240="",$J2240=""),"",IF($K2240="",IF(TODAY()&gt;$J2240,"Atrasado","En ruta"),IF($K2240&lt;=$J2240,"Sí","No")))</f>
        <v/>
      </c>
      <c r="N2240" s="23">
        <f>IF($A2240="","",COUNTIFS(NOVEDADES!$C$4:$C$1503,$A2240))</f>
        <v/>
      </c>
      <c r="O2240" s="27">
        <f>IF($A2240="","",IF(COUNTIFS(NOVEDADES!$C$4:$C$1503,$A2240,NOVEDADES!$M$4:$M$1503,"SÍ")&gt;0,"No","Sí"))</f>
        <v/>
      </c>
      <c r="P2240" s="27">
        <f>IF(OR($A2240="",$K2240=""),"",IF(AND($M2240="Sí",$O2240="Sí"),"OTIF","Falló"))</f>
        <v/>
      </c>
    </row>
    <row r="2241" ht="16" customHeight="1">
      <c r="A2241" s="47" t="n"/>
      <c r="B2241" s="46" t="n"/>
      <c r="C2241" s="49" t="n"/>
      <c r="D2241" s="49" t="n"/>
      <c r="E2241" s="49" t="n"/>
      <c r="F2241" s="49" t="n"/>
      <c r="G2241" s="47" t="n"/>
      <c r="H2241" s="50" t="n"/>
      <c r="I2241" s="51" t="n"/>
      <c r="J2241" s="46" t="n"/>
      <c r="K2241" s="46" t="n"/>
      <c r="L2241" s="23">
        <f>IF(OR($A2241="",$B2241=""),"",IF($K2241&lt;&gt;"",$K2241-$B2241,TODAY()-$B2241))</f>
        <v/>
      </c>
      <c r="M2241" s="27">
        <f>IF(OR($A2241="",$J2241=""),"",IF($K2241="",IF(TODAY()&gt;$J2241,"Atrasado","En ruta"),IF($K2241&lt;=$J2241,"Sí","No")))</f>
        <v/>
      </c>
      <c r="N2241" s="23">
        <f>IF($A2241="","",COUNTIFS(NOVEDADES!$C$4:$C$1503,$A2241))</f>
        <v/>
      </c>
      <c r="O2241" s="27">
        <f>IF($A2241="","",IF(COUNTIFS(NOVEDADES!$C$4:$C$1503,$A2241,NOVEDADES!$M$4:$M$1503,"SÍ")&gt;0,"No","Sí"))</f>
        <v/>
      </c>
      <c r="P2241" s="27">
        <f>IF(OR($A2241="",$K2241=""),"",IF(AND($M2241="Sí",$O2241="Sí"),"OTIF","Falló"))</f>
        <v/>
      </c>
    </row>
    <row r="2242" ht="16" customHeight="1">
      <c r="A2242" s="47" t="n"/>
      <c r="B2242" s="46" t="n"/>
      <c r="C2242" s="49" t="n"/>
      <c r="D2242" s="49" t="n"/>
      <c r="E2242" s="49" t="n"/>
      <c r="F2242" s="49" t="n"/>
      <c r="G2242" s="47" t="n"/>
      <c r="H2242" s="50" t="n"/>
      <c r="I2242" s="51" t="n"/>
      <c r="J2242" s="46" t="n"/>
      <c r="K2242" s="46" t="n"/>
      <c r="L2242" s="23">
        <f>IF(OR($A2242="",$B2242=""),"",IF($K2242&lt;&gt;"",$K2242-$B2242,TODAY()-$B2242))</f>
        <v/>
      </c>
      <c r="M2242" s="27">
        <f>IF(OR($A2242="",$J2242=""),"",IF($K2242="",IF(TODAY()&gt;$J2242,"Atrasado","En ruta"),IF($K2242&lt;=$J2242,"Sí","No")))</f>
        <v/>
      </c>
      <c r="N2242" s="23">
        <f>IF($A2242="","",COUNTIFS(NOVEDADES!$C$4:$C$1503,$A2242))</f>
        <v/>
      </c>
      <c r="O2242" s="27">
        <f>IF($A2242="","",IF(COUNTIFS(NOVEDADES!$C$4:$C$1503,$A2242,NOVEDADES!$M$4:$M$1503,"SÍ")&gt;0,"No","Sí"))</f>
        <v/>
      </c>
      <c r="P2242" s="27">
        <f>IF(OR($A2242="",$K2242=""),"",IF(AND($M2242="Sí",$O2242="Sí"),"OTIF","Falló"))</f>
        <v/>
      </c>
    </row>
    <row r="2243" ht="16" customHeight="1">
      <c r="A2243" s="47" t="n"/>
      <c r="B2243" s="46" t="n"/>
      <c r="C2243" s="49" t="n"/>
      <c r="D2243" s="49" t="n"/>
      <c r="E2243" s="49" t="n"/>
      <c r="F2243" s="49" t="n"/>
      <c r="G2243" s="47" t="n"/>
      <c r="H2243" s="50" t="n"/>
      <c r="I2243" s="51" t="n"/>
      <c r="J2243" s="46" t="n"/>
      <c r="K2243" s="46" t="n"/>
      <c r="L2243" s="23">
        <f>IF(OR($A2243="",$B2243=""),"",IF($K2243&lt;&gt;"",$K2243-$B2243,TODAY()-$B2243))</f>
        <v/>
      </c>
      <c r="M2243" s="27">
        <f>IF(OR($A2243="",$J2243=""),"",IF($K2243="",IF(TODAY()&gt;$J2243,"Atrasado","En ruta"),IF($K2243&lt;=$J2243,"Sí","No")))</f>
        <v/>
      </c>
      <c r="N2243" s="23">
        <f>IF($A2243="","",COUNTIFS(NOVEDADES!$C$4:$C$1503,$A2243))</f>
        <v/>
      </c>
      <c r="O2243" s="27">
        <f>IF($A2243="","",IF(COUNTIFS(NOVEDADES!$C$4:$C$1503,$A2243,NOVEDADES!$M$4:$M$1503,"SÍ")&gt;0,"No","Sí"))</f>
        <v/>
      </c>
      <c r="P2243" s="27">
        <f>IF(OR($A2243="",$K2243=""),"",IF(AND($M2243="Sí",$O2243="Sí"),"OTIF","Falló"))</f>
        <v/>
      </c>
    </row>
    <row r="2244" ht="16" customHeight="1">
      <c r="A2244" s="47" t="n"/>
      <c r="B2244" s="46" t="n"/>
      <c r="C2244" s="49" t="n"/>
      <c r="D2244" s="49" t="n"/>
      <c r="E2244" s="49" t="n"/>
      <c r="F2244" s="49" t="n"/>
      <c r="G2244" s="47" t="n"/>
      <c r="H2244" s="50" t="n"/>
      <c r="I2244" s="51" t="n"/>
      <c r="J2244" s="46" t="n"/>
      <c r="K2244" s="46" t="n"/>
      <c r="L2244" s="23">
        <f>IF(OR($A2244="",$B2244=""),"",IF($K2244&lt;&gt;"",$K2244-$B2244,TODAY()-$B2244))</f>
        <v/>
      </c>
      <c r="M2244" s="27">
        <f>IF(OR($A2244="",$J2244=""),"",IF($K2244="",IF(TODAY()&gt;$J2244,"Atrasado","En ruta"),IF($K2244&lt;=$J2244,"Sí","No")))</f>
        <v/>
      </c>
      <c r="N2244" s="23">
        <f>IF($A2244="","",COUNTIFS(NOVEDADES!$C$4:$C$1503,$A2244))</f>
        <v/>
      </c>
      <c r="O2244" s="27">
        <f>IF($A2244="","",IF(COUNTIFS(NOVEDADES!$C$4:$C$1503,$A2244,NOVEDADES!$M$4:$M$1503,"SÍ")&gt;0,"No","Sí"))</f>
        <v/>
      </c>
      <c r="P2244" s="27">
        <f>IF(OR($A2244="",$K2244=""),"",IF(AND($M2244="Sí",$O2244="Sí"),"OTIF","Falló"))</f>
        <v/>
      </c>
    </row>
    <row r="2245" ht="16" customHeight="1">
      <c r="A2245" s="47" t="n"/>
      <c r="B2245" s="46" t="n"/>
      <c r="C2245" s="49" t="n"/>
      <c r="D2245" s="49" t="n"/>
      <c r="E2245" s="49" t="n"/>
      <c r="F2245" s="49" t="n"/>
      <c r="G2245" s="47" t="n"/>
      <c r="H2245" s="50" t="n"/>
      <c r="I2245" s="51" t="n"/>
      <c r="J2245" s="46" t="n"/>
      <c r="K2245" s="46" t="n"/>
      <c r="L2245" s="23">
        <f>IF(OR($A2245="",$B2245=""),"",IF($K2245&lt;&gt;"",$K2245-$B2245,TODAY()-$B2245))</f>
        <v/>
      </c>
      <c r="M2245" s="27">
        <f>IF(OR($A2245="",$J2245=""),"",IF($K2245="",IF(TODAY()&gt;$J2245,"Atrasado","En ruta"),IF($K2245&lt;=$J2245,"Sí","No")))</f>
        <v/>
      </c>
      <c r="N2245" s="23">
        <f>IF($A2245="","",COUNTIFS(NOVEDADES!$C$4:$C$1503,$A2245))</f>
        <v/>
      </c>
      <c r="O2245" s="27">
        <f>IF($A2245="","",IF(COUNTIFS(NOVEDADES!$C$4:$C$1503,$A2245,NOVEDADES!$M$4:$M$1503,"SÍ")&gt;0,"No","Sí"))</f>
        <v/>
      </c>
      <c r="P2245" s="27">
        <f>IF(OR($A2245="",$K2245=""),"",IF(AND($M2245="Sí",$O2245="Sí"),"OTIF","Falló"))</f>
        <v/>
      </c>
    </row>
    <row r="2246" ht="16" customHeight="1">
      <c r="A2246" s="47" t="n"/>
      <c r="B2246" s="46" t="n"/>
      <c r="C2246" s="49" t="n"/>
      <c r="D2246" s="49" t="n"/>
      <c r="E2246" s="49" t="n"/>
      <c r="F2246" s="49" t="n"/>
      <c r="G2246" s="47" t="n"/>
      <c r="H2246" s="50" t="n"/>
      <c r="I2246" s="51" t="n"/>
      <c r="J2246" s="46" t="n"/>
      <c r="K2246" s="46" t="n"/>
      <c r="L2246" s="23">
        <f>IF(OR($A2246="",$B2246=""),"",IF($K2246&lt;&gt;"",$K2246-$B2246,TODAY()-$B2246))</f>
        <v/>
      </c>
      <c r="M2246" s="27">
        <f>IF(OR($A2246="",$J2246=""),"",IF($K2246="",IF(TODAY()&gt;$J2246,"Atrasado","En ruta"),IF($K2246&lt;=$J2246,"Sí","No")))</f>
        <v/>
      </c>
      <c r="N2246" s="23">
        <f>IF($A2246="","",COUNTIFS(NOVEDADES!$C$4:$C$1503,$A2246))</f>
        <v/>
      </c>
      <c r="O2246" s="27">
        <f>IF($A2246="","",IF(COUNTIFS(NOVEDADES!$C$4:$C$1503,$A2246,NOVEDADES!$M$4:$M$1503,"SÍ")&gt;0,"No","Sí"))</f>
        <v/>
      </c>
      <c r="P2246" s="27">
        <f>IF(OR($A2246="",$K2246=""),"",IF(AND($M2246="Sí",$O2246="Sí"),"OTIF","Falló"))</f>
        <v/>
      </c>
    </row>
    <row r="2247" ht="16" customHeight="1">
      <c r="A2247" s="47" t="n"/>
      <c r="B2247" s="46" t="n"/>
      <c r="C2247" s="49" t="n"/>
      <c r="D2247" s="49" t="n"/>
      <c r="E2247" s="49" t="n"/>
      <c r="F2247" s="49" t="n"/>
      <c r="G2247" s="47" t="n"/>
      <c r="H2247" s="50" t="n"/>
      <c r="I2247" s="51" t="n"/>
      <c r="J2247" s="46" t="n"/>
      <c r="K2247" s="46" t="n"/>
      <c r="L2247" s="23">
        <f>IF(OR($A2247="",$B2247=""),"",IF($K2247&lt;&gt;"",$K2247-$B2247,TODAY()-$B2247))</f>
        <v/>
      </c>
      <c r="M2247" s="27">
        <f>IF(OR($A2247="",$J2247=""),"",IF($K2247="",IF(TODAY()&gt;$J2247,"Atrasado","En ruta"),IF($K2247&lt;=$J2247,"Sí","No")))</f>
        <v/>
      </c>
      <c r="N2247" s="23">
        <f>IF($A2247="","",COUNTIFS(NOVEDADES!$C$4:$C$1503,$A2247))</f>
        <v/>
      </c>
      <c r="O2247" s="27">
        <f>IF($A2247="","",IF(COUNTIFS(NOVEDADES!$C$4:$C$1503,$A2247,NOVEDADES!$M$4:$M$1503,"SÍ")&gt;0,"No","Sí"))</f>
        <v/>
      </c>
      <c r="P2247" s="27">
        <f>IF(OR($A2247="",$K2247=""),"",IF(AND($M2247="Sí",$O2247="Sí"),"OTIF","Falló"))</f>
        <v/>
      </c>
    </row>
    <row r="2248" ht="16" customHeight="1">
      <c r="A2248" s="47" t="n"/>
      <c r="B2248" s="46" t="n"/>
      <c r="C2248" s="49" t="n"/>
      <c r="D2248" s="49" t="n"/>
      <c r="E2248" s="49" t="n"/>
      <c r="F2248" s="49" t="n"/>
      <c r="G2248" s="47" t="n"/>
      <c r="H2248" s="50" t="n"/>
      <c r="I2248" s="51" t="n"/>
      <c r="J2248" s="46" t="n"/>
      <c r="K2248" s="46" t="n"/>
      <c r="L2248" s="23">
        <f>IF(OR($A2248="",$B2248=""),"",IF($K2248&lt;&gt;"",$K2248-$B2248,TODAY()-$B2248))</f>
        <v/>
      </c>
      <c r="M2248" s="27">
        <f>IF(OR($A2248="",$J2248=""),"",IF($K2248="",IF(TODAY()&gt;$J2248,"Atrasado","En ruta"),IF($K2248&lt;=$J2248,"Sí","No")))</f>
        <v/>
      </c>
      <c r="N2248" s="23">
        <f>IF($A2248="","",COUNTIFS(NOVEDADES!$C$4:$C$1503,$A2248))</f>
        <v/>
      </c>
      <c r="O2248" s="27">
        <f>IF($A2248="","",IF(COUNTIFS(NOVEDADES!$C$4:$C$1503,$A2248,NOVEDADES!$M$4:$M$1503,"SÍ")&gt;0,"No","Sí"))</f>
        <v/>
      </c>
      <c r="P2248" s="27">
        <f>IF(OR($A2248="",$K2248=""),"",IF(AND($M2248="Sí",$O2248="Sí"),"OTIF","Falló"))</f>
        <v/>
      </c>
    </row>
    <row r="2249" ht="16" customHeight="1">
      <c r="A2249" s="47" t="n"/>
      <c r="B2249" s="46" t="n"/>
      <c r="C2249" s="49" t="n"/>
      <c r="D2249" s="49" t="n"/>
      <c r="E2249" s="49" t="n"/>
      <c r="F2249" s="49" t="n"/>
      <c r="G2249" s="47" t="n"/>
      <c r="H2249" s="50" t="n"/>
      <c r="I2249" s="51" t="n"/>
      <c r="J2249" s="46" t="n"/>
      <c r="K2249" s="46" t="n"/>
      <c r="L2249" s="23">
        <f>IF(OR($A2249="",$B2249=""),"",IF($K2249&lt;&gt;"",$K2249-$B2249,TODAY()-$B2249))</f>
        <v/>
      </c>
      <c r="M2249" s="27">
        <f>IF(OR($A2249="",$J2249=""),"",IF($K2249="",IF(TODAY()&gt;$J2249,"Atrasado","En ruta"),IF($K2249&lt;=$J2249,"Sí","No")))</f>
        <v/>
      </c>
      <c r="N2249" s="23">
        <f>IF($A2249="","",COUNTIFS(NOVEDADES!$C$4:$C$1503,$A2249))</f>
        <v/>
      </c>
      <c r="O2249" s="27">
        <f>IF($A2249="","",IF(COUNTIFS(NOVEDADES!$C$4:$C$1503,$A2249,NOVEDADES!$M$4:$M$1503,"SÍ")&gt;0,"No","Sí"))</f>
        <v/>
      </c>
      <c r="P2249" s="27">
        <f>IF(OR($A2249="",$K2249=""),"",IF(AND($M2249="Sí",$O2249="Sí"),"OTIF","Falló"))</f>
        <v/>
      </c>
    </row>
    <row r="2250" ht="16" customHeight="1">
      <c r="A2250" s="47" t="n"/>
      <c r="B2250" s="46" t="n"/>
      <c r="C2250" s="49" t="n"/>
      <c r="D2250" s="49" t="n"/>
      <c r="E2250" s="49" t="n"/>
      <c r="F2250" s="49" t="n"/>
      <c r="G2250" s="47" t="n"/>
      <c r="H2250" s="50" t="n"/>
      <c r="I2250" s="51" t="n"/>
      <c r="J2250" s="46" t="n"/>
      <c r="K2250" s="46" t="n"/>
      <c r="L2250" s="23">
        <f>IF(OR($A2250="",$B2250=""),"",IF($K2250&lt;&gt;"",$K2250-$B2250,TODAY()-$B2250))</f>
        <v/>
      </c>
      <c r="M2250" s="27">
        <f>IF(OR($A2250="",$J2250=""),"",IF($K2250="",IF(TODAY()&gt;$J2250,"Atrasado","En ruta"),IF($K2250&lt;=$J2250,"Sí","No")))</f>
        <v/>
      </c>
      <c r="N2250" s="23">
        <f>IF($A2250="","",COUNTIFS(NOVEDADES!$C$4:$C$1503,$A2250))</f>
        <v/>
      </c>
      <c r="O2250" s="27">
        <f>IF($A2250="","",IF(COUNTIFS(NOVEDADES!$C$4:$C$1503,$A2250,NOVEDADES!$M$4:$M$1503,"SÍ")&gt;0,"No","Sí"))</f>
        <v/>
      </c>
      <c r="P2250" s="27">
        <f>IF(OR($A2250="",$K2250=""),"",IF(AND($M2250="Sí",$O2250="Sí"),"OTIF","Falló"))</f>
        <v/>
      </c>
    </row>
    <row r="2251" ht="16" customHeight="1">
      <c r="A2251" s="47" t="n"/>
      <c r="B2251" s="46" t="n"/>
      <c r="C2251" s="49" t="n"/>
      <c r="D2251" s="49" t="n"/>
      <c r="E2251" s="49" t="n"/>
      <c r="F2251" s="49" t="n"/>
      <c r="G2251" s="47" t="n"/>
      <c r="H2251" s="50" t="n"/>
      <c r="I2251" s="51" t="n"/>
      <c r="J2251" s="46" t="n"/>
      <c r="K2251" s="46" t="n"/>
      <c r="L2251" s="23">
        <f>IF(OR($A2251="",$B2251=""),"",IF($K2251&lt;&gt;"",$K2251-$B2251,TODAY()-$B2251))</f>
        <v/>
      </c>
      <c r="M2251" s="27">
        <f>IF(OR($A2251="",$J2251=""),"",IF($K2251="",IF(TODAY()&gt;$J2251,"Atrasado","En ruta"),IF($K2251&lt;=$J2251,"Sí","No")))</f>
        <v/>
      </c>
      <c r="N2251" s="23">
        <f>IF($A2251="","",COUNTIFS(NOVEDADES!$C$4:$C$1503,$A2251))</f>
        <v/>
      </c>
      <c r="O2251" s="27">
        <f>IF($A2251="","",IF(COUNTIFS(NOVEDADES!$C$4:$C$1503,$A2251,NOVEDADES!$M$4:$M$1503,"SÍ")&gt;0,"No","Sí"))</f>
        <v/>
      </c>
      <c r="P2251" s="27">
        <f>IF(OR($A2251="",$K2251=""),"",IF(AND($M2251="Sí",$O2251="Sí"),"OTIF","Falló"))</f>
        <v/>
      </c>
    </row>
    <row r="2252" ht="16" customHeight="1">
      <c r="A2252" s="47" t="n"/>
      <c r="B2252" s="46" t="n"/>
      <c r="C2252" s="49" t="n"/>
      <c r="D2252" s="49" t="n"/>
      <c r="E2252" s="49" t="n"/>
      <c r="F2252" s="49" t="n"/>
      <c r="G2252" s="47" t="n"/>
      <c r="H2252" s="50" t="n"/>
      <c r="I2252" s="51" t="n"/>
      <c r="J2252" s="46" t="n"/>
      <c r="K2252" s="46" t="n"/>
      <c r="L2252" s="23">
        <f>IF(OR($A2252="",$B2252=""),"",IF($K2252&lt;&gt;"",$K2252-$B2252,TODAY()-$B2252))</f>
        <v/>
      </c>
      <c r="M2252" s="27">
        <f>IF(OR($A2252="",$J2252=""),"",IF($K2252="",IF(TODAY()&gt;$J2252,"Atrasado","En ruta"),IF($K2252&lt;=$J2252,"Sí","No")))</f>
        <v/>
      </c>
      <c r="N2252" s="23">
        <f>IF($A2252="","",COUNTIFS(NOVEDADES!$C$4:$C$1503,$A2252))</f>
        <v/>
      </c>
      <c r="O2252" s="27">
        <f>IF($A2252="","",IF(COUNTIFS(NOVEDADES!$C$4:$C$1503,$A2252,NOVEDADES!$M$4:$M$1503,"SÍ")&gt;0,"No","Sí"))</f>
        <v/>
      </c>
      <c r="P2252" s="27">
        <f>IF(OR($A2252="",$K2252=""),"",IF(AND($M2252="Sí",$O2252="Sí"),"OTIF","Falló"))</f>
        <v/>
      </c>
    </row>
    <row r="2253" ht="16" customHeight="1">
      <c r="A2253" s="47" t="n"/>
      <c r="B2253" s="46" t="n"/>
      <c r="C2253" s="49" t="n"/>
      <c r="D2253" s="49" t="n"/>
      <c r="E2253" s="49" t="n"/>
      <c r="F2253" s="49" t="n"/>
      <c r="G2253" s="47" t="n"/>
      <c r="H2253" s="50" t="n"/>
      <c r="I2253" s="51" t="n"/>
      <c r="J2253" s="46" t="n"/>
      <c r="K2253" s="46" t="n"/>
      <c r="L2253" s="23">
        <f>IF(OR($A2253="",$B2253=""),"",IF($K2253&lt;&gt;"",$K2253-$B2253,TODAY()-$B2253))</f>
        <v/>
      </c>
      <c r="M2253" s="27">
        <f>IF(OR($A2253="",$J2253=""),"",IF($K2253="",IF(TODAY()&gt;$J2253,"Atrasado","En ruta"),IF($K2253&lt;=$J2253,"Sí","No")))</f>
        <v/>
      </c>
      <c r="N2253" s="23">
        <f>IF($A2253="","",COUNTIFS(NOVEDADES!$C$4:$C$1503,$A2253))</f>
        <v/>
      </c>
      <c r="O2253" s="27">
        <f>IF($A2253="","",IF(COUNTIFS(NOVEDADES!$C$4:$C$1503,$A2253,NOVEDADES!$M$4:$M$1503,"SÍ")&gt;0,"No","Sí"))</f>
        <v/>
      </c>
      <c r="P2253" s="27">
        <f>IF(OR($A2253="",$K2253=""),"",IF(AND($M2253="Sí",$O2253="Sí"),"OTIF","Falló"))</f>
        <v/>
      </c>
    </row>
    <row r="2254" ht="16" customHeight="1">
      <c r="A2254" s="47" t="n"/>
      <c r="B2254" s="46" t="n"/>
      <c r="C2254" s="49" t="n"/>
      <c r="D2254" s="49" t="n"/>
      <c r="E2254" s="49" t="n"/>
      <c r="F2254" s="49" t="n"/>
      <c r="G2254" s="47" t="n"/>
      <c r="H2254" s="50" t="n"/>
      <c r="I2254" s="51" t="n"/>
      <c r="J2254" s="46" t="n"/>
      <c r="K2254" s="46" t="n"/>
      <c r="L2254" s="23">
        <f>IF(OR($A2254="",$B2254=""),"",IF($K2254&lt;&gt;"",$K2254-$B2254,TODAY()-$B2254))</f>
        <v/>
      </c>
      <c r="M2254" s="27">
        <f>IF(OR($A2254="",$J2254=""),"",IF($K2254="",IF(TODAY()&gt;$J2254,"Atrasado","En ruta"),IF($K2254&lt;=$J2254,"Sí","No")))</f>
        <v/>
      </c>
      <c r="N2254" s="23">
        <f>IF($A2254="","",COUNTIFS(NOVEDADES!$C$4:$C$1503,$A2254))</f>
        <v/>
      </c>
      <c r="O2254" s="27">
        <f>IF($A2254="","",IF(COUNTIFS(NOVEDADES!$C$4:$C$1503,$A2254,NOVEDADES!$M$4:$M$1503,"SÍ")&gt;0,"No","Sí"))</f>
        <v/>
      </c>
      <c r="P2254" s="27">
        <f>IF(OR($A2254="",$K2254=""),"",IF(AND($M2254="Sí",$O2254="Sí"),"OTIF","Falló"))</f>
        <v/>
      </c>
    </row>
    <row r="2255" ht="16" customHeight="1">
      <c r="A2255" s="47" t="n"/>
      <c r="B2255" s="46" t="n"/>
      <c r="C2255" s="49" t="n"/>
      <c r="D2255" s="49" t="n"/>
      <c r="E2255" s="49" t="n"/>
      <c r="F2255" s="49" t="n"/>
      <c r="G2255" s="47" t="n"/>
      <c r="H2255" s="50" t="n"/>
      <c r="I2255" s="51" t="n"/>
      <c r="J2255" s="46" t="n"/>
      <c r="K2255" s="46" t="n"/>
      <c r="L2255" s="23">
        <f>IF(OR($A2255="",$B2255=""),"",IF($K2255&lt;&gt;"",$K2255-$B2255,TODAY()-$B2255))</f>
        <v/>
      </c>
      <c r="M2255" s="27">
        <f>IF(OR($A2255="",$J2255=""),"",IF($K2255="",IF(TODAY()&gt;$J2255,"Atrasado","En ruta"),IF($K2255&lt;=$J2255,"Sí","No")))</f>
        <v/>
      </c>
      <c r="N2255" s="23">
        <f>IF($A2255="","",COUNTIFS(NOVEDADES!$C$4:$C$1503,$A2255))</f>
        <v/>
      </c>
      <c r="O2255" s="27">
        <f>IF($A2255="","",IF(COUNTIFS(NOVEDADES!$C$4:$C$1503,$A2255,NOVEDADES!$M$4:$M$1503,"SÍ")&gt;0,"No","Sí"))</f>
        <v/>
      </c>
      <c r="P2255" s="27">
        <f>IF(OR($A2255="",$K2255=""),"",IF(AND($M2255="Sí",$O2255="Sí"),"OTIF","Falló"))</f>
        <v/>
      </c>
    </row>
    <row r="2256" ht="16" customHeight="1">
      <c r="A2256" s="47" t="n"/>
      <c r="B2256" s="46" t="n"/>
      <c r="C2256" s="49" t="n"/>
      <c r="D2256" s="49" t="n"/>
      <c r="E2256" s="49" t="n"/>
      <c r="F2256" s="49" t="n"/>
      <c r="G2256" s="47" t="n"/>
      <c r="H2256" s="50" t="n"/>
      <c r="I2256" s="51" t="n"/>
      <c r="J2256" s="46" t="n"/>
      <c r="K2256" s="46" t="n"/>
      <c r="L2256" s="23">
        <f>IF(OR($A2256="",$B2256=""),"",IF($K2256&lt;&gt;"",$K2256-$B2256,TODAY()-$B2256))</f>
        <v/>
      </c>
      <c r="M2256" s="27">
        <f>IF(OR($A2256="",$J2256=""),"",IF($K2256="",IF(TODAY()&gt;$J2256,"Atrasado","En ruta"),IF($K2256&lt;=$J2256,"Sí","No")))</f>
        <v/>
      </c>
      <c r="N2256" s="23">
        <f>IF($A2256="","",COUNTIFS(NOVEDADES!$C$4:$C$1503,$A2256))</f>
        <v/>
      </c>
      <c r="O2256" s="27">
        <f>IF($A2256="","",IF(COUNTIFS(NOVEDADES!$C$4:$C$1503,$A2256,NOVEDADES!$M$4:$M$1503,"SÍ")&gt;0,"No","Sí"))</f>
        <v/>
      </c>
      <c r="P2256" s="27">
        <f>IF(OR($A2256="",$K2256=""),"",IF(AND($M2256="Sí",$O2256="Sí"),"OTIF","Falló"))</f>
        <v/>
      </c>
    </row>
    <row r="2257" ht="16" customHeight="1">
      <c r="A2257" s="47" t="n"/>
      <c r="B2257" s="46" t="n"/>
      <c r="C2257" s="49" t="n"/>
      <c r="D2257" s="49" t="n"/>
      <c r="E2257" s="49" t="n"/>
      <c r="F2257" s="49" t="n"/>
      <c r="G2257" s="47" t="n"/>
      <c r="H2257" s="50" t="n"/>
      <c r="I2257" s="51" t="n"/>
      <c r="J2257" s="46" t="n"/>
      <c r="K2257" s="46" t="n"/>
      <c r="L2257" s="23">
        <f>IF(OR($A2257="",$B2257=""),"",IF($K2257&lt;&gt;"",$K2257-$B2257,TODAY()-$B2257))</f>
        <v/>
      </c>
      <c r="M2257" s="27">
        <f>IF(OR($A2257="",$J2257=""),"",IF($K2257="",IF(TODAY()&gt;$J2257,"Atrasado","En ruta"),IF($K2257&lt;=$J2257,"Sí","No")))</f>
        <v/>
      </c>
      <c r="N2257" s="23">
        <f>IF($A2257="","",COUNTIFS(NOVEDADES!$C$4:$C$1503,$A2257))</f>
        <v/>
      </c>
      <c r="O2257" s="27">
        <f>IF($A2257="","",IF(COUNTIFS(NOVEDADES!$C$4:$C$1503,$A2257,NOVEDADES!$M$4:$M$1503,"SÍ")&gt;0,"No","Sí"))</f>
        <v/>
      </c>
      <c r="P2257" s="27">
        <f>IF(OR($A2257="",$K2257=""),"",IF(AND($M2257="Sí",$O2257="Sí"),"OTIF","Falló"))</f>
        <v/>
      </c>
    </row>
    <row r="2258" ht="16" customHeight="1">
      <c r="A2258" s="47" t="n"/>
      <c r="B2258" s="46" t="n"/>
      <c r="C2258" s="49" t="n"/>
      <c r="D2258" s="49" t="n"/>
      <c r="E2258" s="49" t="n"/>
      <c r="F2258" s="49" t="n"/>
      <c r="G2258" s="47" t="n"/>
      <c r="H2258" s="50" t="n"/>
      <c r="I2258" s="51" t="n"/>
      <c r="J2258" s="46" t="n"/>
      <c r="K2258" s="46" t="n"/>
      <c r="L2258" s="23">
        <f>IF(OR($A2258="",$B2258=""),"",IF($K2258&lt;&gt;"",$K2258-$B2258,TODAY()-$B2258))</f>
        <v/>
      </c>
      <c r="M2258" s="27">
        <f>IF(OR($A2258="",$J2258=""),"",IF($K2258="",IF(TODAY()&gt;$J2258,"Atrasado","En ruta"),IF($K2258&lt;=$J2258,"Sí","No")))</f>
        <v/>
      </c>
      <c r="N2258" s="23">
        <f>IF($A2258="","",COUNTIFS(NOVEDADES!$C$4:$C$1503,$A2258))</f>
        <v/>
      </c>
      <c r="O2258" s="27">
        <f>IF($A2258="","",IF(COUNTIFS(NOVEDADES!$C$4:$C$1503,$A2258,NOVEDADES!$M$4:$M$1503,"SÍ")&gt;0,"No","Sí"))</f>
        <v/>
      </c>
      <c r="P2258" s="27">
        <f>IF(OR($A2258="",$K2258=""),"",IF(AND($M2258="Sí",$O2258="Sí"),"OTIF","Falló"))</f>
        <v/>
      </c>
    </row>
    <row r="2259" ht="16" customHeight="1">
      <c r="A2259" s="47" t="n"/>
      <c r="B2259" s="46" t="n"/>
      <c r="C2259" s="49" t="n"/>
      <c r="D2259" s="49" t="n"/>
      <c r="E2259" s="49" t="n"/>
      <c r="F2259" s="49" t="n"/>
      <c r="G2259" s="47" t="n"/>
      <c r="H2259" s="50" t="n"/>
      <c r="I2259" s="51" t="n"/>
      <c r="J2259" s="46" t="n"/>
      <c r="K2259" s="46" t="n"/>
      <c r="L2259" s="23">
        <f>IF(OR($A2259="",$B2259=""),"",IF($K2259&lt;&gt;"",$K2259-$B2259,TODAY()-$B2259))</f>
        <v/>
      </c>
      <c r="M2259" s="27">
        <f>IF(OR($A2259="",$J2259=""),"",IF($K2259="",IF(TODAY()&gt;$J2259,"Atrasado","En ruta"),IF($K2259&lt;=$J2259,"Sí","No")))</f>
        <v/>
      </c>
      <c r="N2259" s="23">
        <f>IF($A2259="","",COUNTIFS(NOVEDADES!$C$4:$C$1503,$A2259))</f>
        <v/>
      </c>
      <c r="O2259" s="27">
        <f>IF($A2259="","",IF(COUNTIFS(NOVEDADES!$C$4:$C$1503,$A2259,NOVEDADES!$M$4:$M$1503,"SÍ")&gt;0,"No","Sí"))</f>
        <v/>
      </c>
      <c r="P2259" s="27">
        <f>IF(OR($A2259="",$K2259=""),"",IF(AND($M2259="Sí",$O2259="Sí"),"OTIF","Falló"))</f>
        <v/>
      </c>
    </row>
    <row r="2260" ht="16" customHeight="1">
      <c r="A2260" s="47" t="n"/>
      <c r="B2260" s="46" t="n"/>
      <c r="C2260" s="49" t="n"/>
      <c r="D2260" s="49" t="n"/>
      <c r="E2260" s="49" t="n"/>
      <c r="F2260" s="49" t="n"/>
      <c r="G2260" s="47" t="n"/>
      <c r="H2260" s="50" t="n"/>
      <c r="I2260" s="51" t="n"/>
      <c r="J2260" s="46" t="n"/>
      <c r="K2260" s="46" t="n"/>
      <c r="L2260" s="23">
        <f>IF(OR($A2260="",$B2260=""),"",IF($K2260&lt;&gt;"",$K2260-$B2260,TODAY()-$B2260))</f>
        <v/>
      </c>
      <c r="M2260" s="27">
        <f>IF(OR($A2260="",$J2260=""),"",IF($K2260="",IF(TODAY()&gt;$J2260,"Atrasado","En ruta"),IF($K2260&lt;=$J2260,"Sí","No")))</f>
        <v/>
      </c>
      <c r="N2260" s="23">
        <f>IF($A2260="","",COUNTIFS(NOVEDADES!$C$4:$C$1503,$A2260))</f>
        <v/>
      </c>
      <c r="O2260" s="27">
        <f>IF($A2260="","",IF(COUNTIFS(NOVEDADES!$C$4:$C$1503,$A2260,NOVEDADES!$M$4:$M$1503,"SÍ")&gt;0,"No","Sí"))</f>
        <v/>
      </c>
      <c r="P2260" s="27">
        <f>IF(OR($A2260="",$K2260=""),"",IF(AND($M2260="Sí",$O2260="Sí"),"OTIF","Falló"))</f>
        <v/>
      </c>
    </row>
    <row r="2261" ht="16" customHeight="1">
      <c r="A2261" s="47" t="n"/>
      <c r="B2261" s="46" t="n"/>
      <c r="C2261" s="49" t="n"/>
      <c r="D2261" s="49" t="n"/>
      <c r="E2261" s="49" t="n"/>
      <c r="F2261" s="49" t="n"/>
      <c r="G2261" s="47" t="n"/>
      <c r="H2261" s="50" t="n"/>
      <c r="I2261" s="51" t="n"/>
      <c r="J2261" s="46" t="n"/>
      <c r="K2261" s="46" t="n"/>
      <c r="L2261" s="23">
        <f>IF(OR($A2261="",$B2261=""),"",IF($K2261&lt;&gt;"",$K2261-$B2261,TODAY()-$B2261))</f>
        <v/>
      </c>
      <c r="M2261" s="27">
        <f>IF(OR($A2261="",$J2261=""),"",IF($K2261="",IF(TODAY()&gt;$J2261,"Atrasado","En ruta"),IF($K2261&lt;=$J2261,"Sí","No")))</f>
        <v/>
      </c>
      <c r="N2261" s="23">
        <f>IF($A2261="","",COUNTIFS(NOVEDADES!$C$4:$C$1503,$A2261))</f>
        <v/>
      </c>
      <c r="O2261" s="27">
        <f>IF($A2261="","",IF(COUNTIFS(NOVEDADES!$C$4:$C$1503,$A2261,NOVEDADES!$M$4:$M$1503,"SÍ")&gt;0,"No","Sí"))</f>
        <v/>
      </c>
      <c r="P2261" s="27">
        <f>IF(OR($A2261="",$K2261=""),"",IF(AND($M2261="Sí",$O2261="Sí"),"OTIF","Falló"))</f>
        <v/>
      </c>
    </row>
    <row r="2262" ht="16" customHeight="1">
      <c r="A2262" s="47" t="n"/>
      <c r="B2262" s="46" t="n"/>
      <c r="C2262" s="49" t="n"/>
      <c r="D2262" s="49" t="n"/>
      <c r="E2262" s="49" t="n"/>
      <c r="F2262" s="49" t="n"/>
      <c r="G2262" s="47" t="n"/>
      <c r="H2262" s="50" t="n"/>
      <c r="I2262" s="51" t="n"/>
      <c r="J2262" s="46" t="n"/>
      <c r="K2262" s="46" t="n"/>
      <c r="L2262" s="23">
        <f>IF(OR($A2262="",$B2262=""),"",IF($K2262&lt;&gt;"",$K2262-$B2262,TODAY()-$B2262))</f>
        <v/>
      </c>
      <c r="M2262" s="27">
        <f>IF(OR($A2262="",$J2262=""),"",IF($K2262="",IF(TODAY()&gt;$J2262,"Atrasado","En ruta"),IF($K2262&lt;=$J2262,"Sí","No")))</f>
        <v/>
      </c>
      <c r="N2262" s="23">
        <f>IF($A2262="","",COUNTIFS(NOVEDADES!$C$4:$C$1503,$A2262))</f>
        <v/>
      </c>
      <c r="O2262" s="27">
        <f>IF($A2262="","",IF(COUNTIFS(NOVEDADES!$C$4:$C$1503,$A2262,NOVEDADES!$M$4:$M$1503,"SÍ")&gt;0,"No","Sí"))</f>
        <v/>
      </c>
      <c r="P2262" s="27">
        <f>IF(OR($A2262="",$K2262=""),"",IF(AND($M2262="Sí",$O2262="Sí"),"OTIF","Falló"))</f>
        <v/>
      </c>
    </row>
    <row r="2263" ht="16" customHeight="1">
      <c r="A2263" s="47" t="n"/>
      <c r="B2263" s="46" t="n"/>
      <c r="C2263" s="49" t="n"/>
      <c r="D2263" s="49" t="n"/>
      <c r="E2263" s="49" t="n"/>
      <c r="F2263" s="49" t="n"/>
      <c r="G2263" s="47" t="n"/>
      <c r="H2263" s="50" t="n"/>
      <c r="I2263" s="51" t="n"/>
      <c r="J2263" s="46" t="n"/>
      <c r="K2263" s="46" t="n"/>
      <c r="L2263" s="23">
        <f>IF(OR($A2263="",$B2263=""),"",IF($K2263&lt;&gt;"",$K2263-$B2263,TODAY()-$B2263))</f>
        <v/>
      </c>
      <c r="M2263" s="27">
        <f>IF(OR($A2263="",$J2263=""),"",IF($K2263="",IF(TODAY()&gt;$J2263,"Atrasado","En ruta"),IF($K2263&lt;=$J2263,"Sí","No")))</f>
        <v/>
      </c>
      <c r="N2263" s="23">
        <f>IF($A2263="","",COUNTIFS(NOVEDADES!$C$4:$C$1503,$A2263))</f>
        <v/>
      </c>
      <c r="O2263" s="27">
        <f>IF($A2263="","",IF(COUNTIFS(NOVEDADES!$C$4:$C$1503,$A2263,NOVEDADES!$M$4:$M$1503,"SÍ")&gt;0,"No","Sí"))</f>
        <v/>
      </c>
      <c r="P2263" s="27">
        <f>IF(OR($A2263="",$K2263=""),"",IF(AND($M2263="Sí",$O2263="Sí"),"OTIF","Falló"))</f>
        <v/>
      </c>
    </row>
    <row r="2264" ht="16" customHeight="1">
      <c r="A2264" s="47" t="n"/>
      <c r="B2264" s="46" t="n"/>
      <c r="C2264" s="49" t="n"/>
      <c r="D2264" s="49" t="n"/>
      <c r="E2264" s="49" t="n"/>
      <c r="F2264" s="49" t="n"/>
      <c r="G2264" s="47" t="n"/>
      <c r="H2264" s="50" t="n"/>
      <c r="I2264" s="51" t="n"/>
      <c r="J2264" s="46" t="n"/>
      <c r="K2264" s="46" t="n"/>
      <c r="L2264" s="23">
        <f>IF(OR($A2264="",$B2264=""),"",IF($K2264&lt;&gt;"",$K2264-$B2264,TODAY()-$B2264))</f>
        <v/>
      </c>
      <c r="M2264" s="27">
        <f>IF(OR($A2264="",$J2264=""),"",IF($K2264="",IF(TODAY()&gt;$J2264,"Atrasado","En ruta"),IF($K2264&lt;=$J2264,"Sí","No")))</f>
        <v/>
      </c>
      <c r="N2264" s="23">
        <f>IF($A2264="","",COUNTIFS(NOVEDADES!$C$4:$C$1503,$A2264))</f>
        <v/>
      </c>
      <c r="O2264" s="27">
        <f>IF($A2264="","",IF(COUNTIFS(NOVEDADES!$C$4:$C$1503,$A2264,NOVEDADES!$M$4:$M$1503,"SÍ")&gt;0,"No","Sí"))</f>
        <v/>
      </c>
      <c r="P2264" s="27">
        <f>IF(OR($A2264="",$K2264=""),"",IF(AND($M2264="Sí",$O2264="Sí"),"OTIF","Falló"))</f>
        <v/>
      </c>
    </row>
    <row r="2265" ht="16" customHeight="1">
      <c r="A2265" s="47" t="n"/>
      <c r="B2265" s="46" t="n"/>
      <c r="C2265" s="49" t="n"/>
      <c r="D2265" s="49" t="n"/>
      <c r="E2265" s="49" t="n"/>
      <c r="F2265" s="49" t="n"/>
      <c r="G2265" s="47" t="n"/>
      <c r="H2265" s="50" t="n"/>
      <c r="I2265" s="51" t="n"/>
      <c r="J2265" s="46" t="n"/>
      <c r="K2265" s="46" t="n"/>
      <c r="L2265" s="23">
        <f>IF(OR($A2265="",$B2265=""),"",IF($K2265&lt;&gt;"",$K2265-$B2265,TODAY()-$B2265))</f>
        <v/>
      </c>
      <c r="M2265" s="27">
        <f>IF(OR($A2265="",$J2265=""),"",IF($K2265="",IF(TODAY()&gt;$J2265,"Atrasado","En ruta"),IF($K2265&lt;=$J2265,"Sí","No")))</f>
        <v/>
      </c>
      <c r="N2265" s="23">
        <f>IF($A2265="","",COUNTIFS(NOVEDADES!$C$4:$C$1503,$A2265))</f>
        <v/>
      </c>
      <c r="O2265" s="27">
        <f>IF($A2265="","",IF(COUNTIFS(NOVEDADES!$C$4:$C$1503,$A2265,NOVEDADES!$M$4:$M$1503,"SÍ")&gt;0,"No","Sí"))</f>
        <v/>
      </c>
      <c r="P2265" s="27">
        <f>IF(OR($A2265="",$K2265=""),"",IF(AND($M2265="Sí",$O2265="Sí"),"OTIF","Falló"))</f>
        <v/>
      </c>
    </row>
    <row r="2266" ht="16" customHeight="1">
      <c r="A2266" s="47" t="n"/>
      <c r="B2266" s="46" t="n"/>
      <c r="C2266" s="49" t="n"/>
      <c r="D2266" s="49" t="n"/>
      <c r="E2266" s="49" t="n"/>
      <c r="F2266" s="49" t="n"/>
      <c r="G2266" s="47" t="n"/>
      <c r="H2266" s="50" t="n"/>
      <c r="I2266" s="51" t="n"/>
      <c r="J2266" s="46" t="n"/>
      <c r="K2266" s="46" t="n"/>
      <c r="L2266" s="23">
        <f>IF(OR($A2266="",$B2266=""),"",IF($K2266&lt;&gt;"",$K2266-$B2266,TODAY()-$B2266))</f>
        <v/>
      </c>
      <c r="M2266" s="27">
        <f>IF(OR($A2266="",$J2266=""),"",IF($K2266="",IF(TODAY()&gt;$J2266,"Atrasado","En ruta"),IF($K2266&lt;=$J2266,"Sí","No")))</f>
        <v/>
      </c>
      <c r="N2266" s="23">
        <f>IF($A2266="","",COUNTIFS(NOVEDADES!$C$4:$C$1503,$A2266))</f>
        <v/>
      </c>
      <c r="O2266" s="27">
        <f>IF($A2266="","",IF(COUNTIFS(NOVEDADES!$C$4:$C$1503,$A2266,NOVEDADES!$M$4:$M$1503,"SÍ")&gt;0,"No","Sí"))</f>
        <v/>
      </c>
      <c r="P2266" s="27">
        <f>IF(OR($A2266="",$K2266=""),"",IF(AND($M2266="Sí",$O2266="Sí"),"OTIF","Falló"))</f>
        <v/>
      </c>
    </row>
    <row r="2267" ht="16" customHeight="1">
      <c r="A2267" s="47" t="n"/>
      <c r="B2267" s="46" t="n"/>
      <c r="C2267" s="49" t="n"/>
      <c r="D2267" s="49" t="n"/>
      <c r="E2267" s="49" t="n"/>
      <c r="F2267" s="49" t="n"/>
      <c r="G2267" s="47" t="n"/>
      <c r="H2267" s="50" t="n"/>
      <c r="I2267" s="51" t="n"/>
      <c r="J2267" s="46" t="n"/>
      <c r="K2267" s="46" t="n"/>
      <c r="L2267" s="23">
        <f>IF(OR($A2267="",$B2267=""),"",IF($K2267&lt;&gt;"",$K2267-$B2267,TODAY()-$B2267))</f>
        <v/>
      </c>
      <c r="M2267" s="27">
        <f>IF(OR($A2267="",$J2267=""),"",IF($K2267="",IF(TODAY()&gt;$J2267,"Atrasado","En ruta"),IF($K2267&lt;=$J2267,"Sí","No")))</f>
        <v/>
      </c>
      <c r="N2267" s="23">
        <f>IF($A2267="","",COUNTIFS(NOVEDADES!$C$4:$C$1503,$A2267))</f>
        <v/>
      </c>
      <c r="O2267" s="27">
        <f>IF($A2267="","",IF(COUNTIFS(NOVEDADES!$C$4:$C$1503,$A2267,NOVEDADES!$M$4:$M$1503,"SÍ")&gt;0,"No","Sí"))</f>
        <v/>
      </c>
      <c r="P2267" s="27">
        <f>IF(OR($A2267="",$K2267=""),"",IF(AND($M2267="Sí",$O2267="Sí"),"OTIF","Falló"))</f>
        <v/>
      </c>
    </row>
    <row r="2268" ht="16" customHeight="1">
      <c r="A2268" s="47" t="n"/>
      <c r="B2268" s="46" t="n"/>
      <c r="C2268" s="49" t="n"/>
      <c r="D2268" s="49" t="n"/>
      <c r="E2268" s="49" t="n"/>
      <c r="F2268" s="49" t="n"/>
      <c r="G2268" s="47" t="n"/>
      <c r="H2268" s="50" t="n"/>
      <c r="I2268" s="51" t="n"/>
      <c r="J2268" s="46" t="n"/>
      <c r="K2268" s="46" t="n"/>
      <c r="L2268" s="23">
        <f>IF(OR($A2268="",$B2268=""),"",IF($K2268&lt;&gt;"",$K2268-$B2268,TODAY()-$B2268))</f>
        <v/>
      </c>
      <c r="M2268" s="27">
        <f>IF(OR($A2268="",$J2268=""),"",IF($K2268="",IF(TODAY()&gt;$J2268,"Atrasado","En ruta"),IF($K2268&lt;=$J2268,"Sí","No")))</f>
        <v/>
      </c>
      <c r="N2268" s="23">
        <f>IF($A2268="","",COUNTIFS(NOVEDADES!$C$4:$C$1503,$A2268))</f>
        <v/>
      </c>
      <c r="O2268" s="27">
        <f>IF($A2268="","",IF(COUNTIFS(NOVEDADES!$C$4:$C$1503,$A2268,NOVEDADES!$M$4:$M$1503,"SÍ")&gt;0,"No","Sí"))</f>
        <v/>
      </c>
      <c r="P2268" s="27">
        <f>IF(OR($A2268="",$K2268=""),"",IF(AND($M2268="Sí",$O2268="Sí"),"OTIF","Falló"))</f>
        <v/>
      </c>
    </row>
    <row r="2269" ht="16" customHeight="1">
      <c r="A2269" s="47" t="n"/>
      <c r="B2269" s="46" t="n"/>
      <c r="C2269" s="49" t="n"/>
      <c r="D2269" s="49" t="n"/>
      <c r="E2269" s="49" t="n"/>
      <c r="F2269" s="49" t="n"/>
      <c r="G2269" s="47" t="n"/>
      <c r="H2269" s="50" t="n"/>
      <c r="I2269" s="51" t="n"/>
      <c r="J2269" s="46" t="n"/>
      <c r="K2269" s="46" t="n"/>
      <c r="L2269" s="23">
        <f>IF(OR($A2269="",$B2269=""),"",IF($K2269&lt;&gt;"",$K2269-$B2269,TODAY()-$B2269))</f>
        <v/>
      </c>
      <c r="M2269" s="27">
        <f>IF(OR($A2269="",$J2269=""),"",IF($K2269="",IF(TODAY()&gt;$J2269,"Atrasado","En ruta"),IF($K2269&lt;=$J2269,"Sí","No")))</f>
        <v/>
      </c>
      <c r="N2269" s="23">
        <f>IF($A2269="","",COUNTIFS(NOVEDADES!$C$4:$C$1503,$A2269))</f>
        <v/>
      </c>
      <c r="O2269" s="27">
        <f>IF($A2269="","",IF(COUNTIFS(NOVEDADES!$C$4:$C$1503,$A2269,NOVEDADES!$M$4:$M$1503,"SÍ")&gt;0,"No","Sí"))</f>
        <v/>
      </c>
      <c r="P2269" s="27">
        <f>IF(OR($A2269="",$K2269=""),"",IF(AND($M2269="Sí",$O2269="Sí"),"OTIF","Falló"))</f>
        <v/>
      </c>
    </row>
    <row r="2270" ht="16" customHeight="1">
      <c r="A2270" s="47" t="n"/>
      <c r="B2270" s="46" t="n"/>
      <c r="C2270" s="49" t="n"/>
      <c r="D2270" s="49" t="n"/>
      <c r="E2270" s="49" t="n"/>
      <c r="F2270" s="49" t="n"/>
      <c r="G2270" s="47" t="n"/>
      <c r="H2270" s="50" t="n"/>
      <c r="I2270" s="51" t="n"/>
      <c r="J2270" s="46" t="n"/>
      <c r="K2270" s="46" t="n"/>
      <c r="L2270" s="23">
        <f>IF(OR($A2270="",$B2270=""),"",IF($K2270&lt;&gt;"",$K2270-$B2270,TODAY()-$B2270))</f>
        <v/>
      </c>
      <c r="M2270" s="27">
        <f>IF(OR($A2270="",$J2270=""),"",IF($K2270="",IF(TODAY()&gt;$J2270,"Atrasado","En ruta"),IF($K2270&lt;=$J2270,"Sí","No")))</f>
        <v/>
      </c>
      <c r="N2270" s="23">
        <f>IF($A2270="","",COUNTIFS(NOVEDADES!$C$4:$C$1503,$A2270))</f>
        <v/>
      </c>
      <c r="O2270" s="27">
        <f>IF($A2270="","",IF(COUNTIFS(NOVEDADES!$C$4:$C$1503,$A2270,NOVEDADES!$M$4:$M$1503,"SÍ")&gt;0,"No","Sí"))</f>
        <v/>
      </c>
      <c r="P2270" s="27">
        <f>IF(OR($A2270="",$K2270=""),"",IF(AND($M2270="Sí",$O2270="Sí"),"OTIF","Falló"))</f>
        <v/>
      </c>
    </row>
    <row r="2271" ht="16" customHeight="1">
      <c r="A2271" s="47" t="n"/>
      <c r="B2271" s="46" t="n"/>
      <c r="C2271" s="49" t="n"/>
      <c r="D2271" s="49" t="n"/>
      <c r="E2271" s="49" t="n"/>
      <c r="F2271" s="49" t="n"/>
      <c r="G2271" s="47" t="n"/>
      <c r="H2271" s="50" t="n"/>
      <c r="I2271" s="51" t="n"/>
      <c r="J2271" s="46" t="n"/>
      <c r="K2271" s="46" t="n"/>
      <c r="L2271" s="23">
        <f>IF(OR($A2271="",$B2271=""),"",IF($K2271&lt;&gt;"",$K2271-$B2271,TODAY()-$B2271))</f>
        <v/>
      </c>
      <c r="M2271" s="27">
        <f>IF(OR($A2271="",$J2271=""),"",IF($K2271="",IF(TODAY()&gt;$J2271,"Atrasado","En ruta"),IF($K2271&lt;=$J2271,"Sí","No")))</f>
        <v/>
      </c>
      <c r="N2271" s="23">
        <f>IF($A2271="","",COUNTIFS(NOVEDADES!$C$4:$C$1503,$A2271))</f>
        <v/>
      </c>
      <c r="O2271" s="27">
        <f>IF($A2271="","",IF(COUNTIFS(NOVEDADES!$C$4:$C$1503,$A2271,NOVEDADES!$M$4:$M$1503,"SÍ")&gt;0,"No","Sí"))</f>
        <v/>
      </c>
      <c r="P2271" s="27">
        <f>IF(OR($A2271="",$K2271=""),"",IF(AND($M2271="Sí",$O2271="Sí"),"OTIF","Falló"))</f>
        <v/>
      </c>
    </row>
    <row r="2272" ht="16" customHeight="1">
      <c r="A2272" s="47" t="n"/>
      <c r="B2272" s="46" t="n"/>
      <c r="C2272" s="49" t="n"/>
      <c r="D2272" s="49" t="n"/>
      <c r="E2272" s="49" t="n"/>
      <c r="F2272" s="49" t="n"/>
      <c r="G2272" s="47" t="n"/>
      <c r="H2272" s="50" t="n"/>
      <c r="I2272" s="51" t="n"/>
      <c r="J2272" s="46" t="n"/>
      <c r="K2272" s="46" t="n"/>
      <c r="L2272" s="23">
        <f>IF(OR($A2272="",$B2272=""),"",IF($K2272&lt;&gt;"",$K2272-$B2272,TODAY()-$B2272))</f>
        <v/>
      </c>
      <c r="M2272" s="27">
        <f>IF(OR($A2272="",$J2272=""),"",IF($K2272="",IF(TODAY()&gt;$J2272,"Atrasado","En ruta"),IF($K2272&lt;=$J2272,"Sí","No")))</f>
        <v/>
      </c>
      <c r="N2272" s="23">
        <f>IF($A2272="","",COUNTIFS(NOVEDADES!$C$4:$C$1503,$A2272))</f>
        <v/>
      </c>
      <c r="O2272" s="27">
        <f>IF($A2272="","",IF(COUNTIFS(NOVEDADES!$C$4:$C$1503,$A2272,NOVEDADES!$M$4:$M$1503,"SÍ")&gt;0,"No","Sí"))</f>
        <v/>
      </c>
      <c r="P2272" s="27">
        <f>IF(OR($A2272="",$K2272=""),"",IF(AND($M2272="Sí",$O2272="Sí"),"OTIF","Falló"))</f>
        <v/>
      </c>
    </row>
    <row r="2273" ht="16" customHeight="1">
      <c r="A2273" s="47" t="n"/>
      <c r="B2273" s="46" t="n"/>
      <c r="C2273" s="49" t="n"/>
      <c r="D2273" s="49" t="n"/>
      <c r="E2273" s="49" t="n"/>
      <c r="F2273" s="49" t="n"/>
      <c r="G2273" s="47" t="n"/>
      <c r="H2273" s="50" t="n"/>
      <c r="I2273" s="51" t="n"/>
      <c r="J2273" s="46" t="n"/>
      <c r="K2273" s="46" t="n"/>
      <c r="L2273" s="23">
        <f>IF(OR($A2273="",$B2273=""),"",IF($K2273&lt;&gt;"",$K2273-$B2273,TODAY()-$B2273))</f>
        <v/>
      </c>
      <c r="M2273" s="27">
        <f>IF(OR($A2273="",$J2273=""),"",IF($K2273="",IF(TODAY()&gt;$J2273,"Atrasado","En ruta"),IF($K2273&lt;=$J2273,"Sí","No")))</f>
        <v/>
      </c>
      <c r="N2273" s="23">
        <f>IF($A2273="","",COUNTIFS(NOVEDADES!$C$4:$C$1503,$A2273))</f>
        <v/>
      </c>
      <c r="O2273" s="27">
        <f>IF($A2273="","",IF(COUNTIFS(NOVEDADES!$C$4:$C$1503,$A2273,NOVEDADES!$M$4:$M$1503,"SÍ")&gt;0,"No","Sí"))</f>
        <v/>
      </c>
      <c r="P2273" s="27">
        <f>IF(OR($A2273="",$K2273=""),"",IF(AND($M2273="Sí",$O2273="Sí"),"OTIF","Falló"))</f>
        <v/>
      </c>
    </row>
    <row r="2274" ht="16" customHeight="1">
      <c r="A2274" s="47" t="n"/>
      <c r="B2274" s="46" t="n"/>
      <c r="C2274" s="49" t="n"/>
      <c r="D2274" s="49" t="n"/>
      <c r="E2274" s="49" t="n"/>
      <c r="F2274" s="49" t="n"/>
      <c r="G2274" s="47" t="n"/>
      <c r="H2274" s="50" t="n"/>
      <c r="I2274" s="51" t="n"/>
      <c r="J2274" s="46" t="n"/>
      <c r="K2274" s="46" t="n"/>
      <c r="L2274" s="23">
        <f>IF(OR($A2274="",$B2274=""),"",IF($K2274&lt;&gt;"",$K2274-$B2274,TODAY()-$B2274))</f>
        <v/>
      </c>
      <c r="M2274" s="27">
        <f>IF(OR($A2274="",$J2274=""),"",IF($K2274="",IF(TODAY()&gt;$J2274,"Atrasado","En ruta"),IF($K2274&lt;=$J2274,"Sí","No")))</f>
        <v/>
      </c>
      <c r="N2274" s="23">
        <f>IF($A2274="","",COUNTIFS(NOVEDADES!$C$4:$C$1503,$A2274))</f>
        <v/>
      </c>
      <c r="O2274" s="27">
        <f>IF($A2274="","",IF(COUNTIFS(NOVEDADES!$C$4:$C$1503,$A2274,NOVEDADES!$M$4:$M$1503,"SÍ")&gt;0,"No","Sí"))</f>
        <v/>
      </c>
      <c r="P2274" s="27">
        <f>IF(OR($A2274="",$K2274=""),"",IF(AND($M2274="Sí",$O2274="Sí"),"OTIF","Falló"))</f>
        <v/>
      </c>
    </row>
    <row r="2275" ht="16" customHeight="1">
      <c r="A2275" s="47" t="n"/>
      <c r="B2275" s="46" t="n"/>
      <c r="C2275" s="49" t="n"/>
      <c r="D2275" s="49" t="n"/>
      <c r="E2275" s="49" t="n"/>
      <c r="F2275" s="49" t="n"/>
      <c r="G2275" s="47" t="n"/>
      <c r="H2275" s="50" t="n"/>
      <c r="I2275" s="51" t="n"/>
      <c r="J2275" s="46" t="n"/>
      <c r="K2275" s="46" t="n"/>
      <c r="L2275" s="23">
        <f>IF(OR($A2275="",$B2275=""),"",IF($K2275&lt;&gt;"",$K2275-$B2275,TODAY()-$B2275))</f>
        <v/>
      </c>
      <c r="M2275" s="27">
        <f>IF(OR($A2275="",$J2275=""),"",IF($K2275="",IF(TODAY()&gt;$J2275,"Atrasado","En ruta"),IF($K2275&lt;=$J2275,"Sí","No")))</f>
        <v/>
      </c>
      <c r="N2275" s="23">
        <f>IF($A2275="","",COUNTIFS(NOVEDADES!$C$4:$C$1503,$A2275))</f>
        <v/>
      </c>
      <c r="O2275" s="27">
        <f>IF($A2275="","",IF(COUNTIFS(NOVEDADES!$C$4:$C$1503,$A2275,NOVEDADES!$M$4:$M$1503,"SÍ")&gt;0,"No","Sí"))</f>
        <v/>
      </c>
      <c r="P2275" s="27">
        <f>IF(OR($A2275="",$K2275=""),"",IF(AND($M2275="Sí",$O2275="Sí"),"OTIF","Falló"))</f>
        <v/>
      </c>
    </row>
    <row r="2276" ht="16" customHeight="1">
      <c r="A2276" s="47" t="n"/>
      <c r="B2276" s="46" t="n"/>
      <c r="C2276" s="49" t="n"/>
      <c r="D2276" s="49" t="n"/>
      <c r="E2276" s="49" t="n"/>
      <c r="F2276" s="49" t="n"/>
      <c r="G2276" s="47" t="n"/>
      <c r="H2276" s="50" t="n"/>
      <c r="I2276" s="51" t="n"/>
      <c r="J2276" s="46" t="n"/>
      <c r="K2276" s="46" t="n"/>
      <c r="L2276" s="23">
        <f>IF(OR($A2276="",$B2276=""),"",IF($K2276&lt;&gt;"",$K2276-$B2276,TODAY()-$B2276))</f>
        <v/>
      </c>
      <c r="M2276" s="27">
        <f>IF(OR($A2276="",$J2276=""),"",IF($K2276="",IF(TODAY()&gt;$J2276,"Atrasado","En ruta"),IF($K2276&lt;=$J2276,"Sí","No")))</f>
        <v/>
      </c>
      <c r="N2276" s="23">
        <f>IF($A2276="","",COUNTIFS(NOVEDADES!$C$4:$C$1503,$A2276))</f>
        <v/>
      </c>
      <c r="O2276" s="27">
        <f>IF($A2276="","",IF(COUNTIFS(NOVEDADES!$C$4:$C$1503,$A2276,NOVEDADES!$M$4:$M$1503,"SÍ")&gt;0,"No","Sí"))</f>
        <v/>
      </c>
      <c r="P2276" s="27">
        <f>IF(OR($A2276="",$K2276=""),"",IF(AND($M2276="Sí",$O2276="Sí"),"OTIF","Falló"))</f>
        <v/>
      </c>
    </row>
    <row r="2277" ht="16" customHeight="1">
      <c r="A2277" s="47" t="n"/>
      <c r="B2277" s="46" t="n"/>
      <c r="C2277" s="49" t="n"/>
      <c r="D2277" s="49" t="n"/>
      <c r="E2277" s="49" t="n"/>
      <c r="F2277" s="49" t="n"/>
      <c r="G2277" s="47" t="n"/>
      <c r="H2277" s="50" t="n"/>
      <c r="I2277" s="51" t="n"/>
      <c r="J2277" s="46" t="n"/>
      <c r="K2277" s="46" t="n"/>
      <c r="L2277" s="23">
        <f>IF(OR($A2277="",$B2277=""),"",IF($K2277&lt;&gt;"",$K2277-$B2277,TODAY()-$B2277))</f>
        <v/>
      </c>
      <c r="M2277" s="27">
        <f>IF(OR($A2277="",$J2277=""),"",IF($K2277="",IF(TODAY()&gt;$J2277,"Atrasado","En ruta"),IF($K2277&lt;=$J2277,"Sí","No")))</f>
        <v/>
      </c>
      <c r="N2277" s="23">
        <f>IF($A2277="","",COUNTIFS(NOVEDADES!$C$4:$C$1503,$A2277))</f>
        <v/>
      </c>
      <c r="O2277" s="27">
        <f>IF($A2277="","",IF(COUNTIFS(NOVEDADES!$C$4:$C$1503,$A2277,NOVEDADES!$M$4:$M$1503,"SÍ")&gt;0,"No","Sí"))</f>
        <v/>
      </c>
      <c r="P2277" s="27">
        <f>IF(OR($A2277="",$K2277=""),"",IF(AND($M2277="Sí",$O2277="Sí"),"OTIF","Falló"))</f>
        <v/>
      </c>
    </row>
    <row r="2278" ht="16" customHeight="1">
      <c r="A2278" s="47" t="n"/>
      <c r="B2278" s="46" t="n"/>
      <c r="C2278" s="49" t="n"/>
      <c r="D2278" s="49" t="n"/>
      <c r="E2278" s="49" t="n"/>
      <c r="F2278" s="49" t="n"/>
      <c r="G2278" s="47" t="n"/>
      <c r="H2278" s="50" t="n"/>
      <c r="I2278" s="51" t="n"/>
      <c r="J2278" s="46" t="n"/>
      <c r="K2278" s="46" t="n"/>
      <c r="L2278" s="23">
        <f>IF(OR($A2278="",$B2278=""),"",IF($K2278&lt;&gt;"",$K2278-$B2278,TODAY()-$B2278))</f>
        <v/>
      </c>
      <c r="M2278" s="27">
        <f>IF(OR($A2278="",$J2278=""),"",IF($K2278="",IF(TODAY()&gt;$J2278,"Atrasado","En ruta"),IF($K2278&lt;=$J2278,"Sí","No")))</f>
        <v/>
      </c>
      <c r="N2278" s="23">
        <f>IF($A2278="","",COUNTIFS(NOVEDADES!$C$4:$C$1503,$A2278))</f>
        <v/>
      </c>
      <c r="O2278" s="27">
        <f>IF($A2278="","",IF(COUNTIFS(NOVEDADES!$C$4:$C$1503,$A2278,NOVEDADES!$M$4:$M$1503,"SÍ")&gt;0,"No","Sí"))</f>
        <v/>
      </c>
      <c r="P2278" s="27">
        <f>IF(OR($A2278="",$K2278=""),"",IF(AND($M2278="Sí",$O2278="Sí"),"OTIF","Falló"))</f>
        <v/>
      </c>
    </row>
    <row r="2279" ht="16" customHeight="1">
      <c r="A2279" s="47" t="n"/>
      <c r="B2279" s="46" t="n"/>
      <c r="C2279" s="49" t="n"/>
      <c r="D2279" s="49" t="n"/>
      <c r="E2279" s="49" t="n"/>
      <c r="F2279" s="49" t="n"/>
      <c r="G2279" s="47" t="n"/>
      <c r="H2279" s="50" t="n"/>
      <c r="I2279" s="51" t="n"/>
      <c r="J2279" s="46" t="n"/>
      <c r="K2279" s="46" t="n"/>
      <c r="L2279" s="23">
        <f>IF(OR($A2279="",$B2279=""),"",IF($K2279&lt;&gt;"",$K2279-$B2279,TODAY()-$B2279))</f>
        <v/>
      </c>
      <c r="M2279" s="27">
        <f>IF(OR($A2279="",$J2279=""),"",IF($K2279="",IF(TODAY()&gt;$J2279,"Atrasado","En ruta"),IF($K2279&lt;=$J2279,"Sí","No")))</f>
        <v/>
      </c>
      <c r="N2279" s="23">
        <f>IF($A2279="","",COUNTIFS(NOVEDADES!$C$4:$C$1503,$A2279))</f>
        <v/>
      </c>
      <c r="O2279" s="27">
        <f>IF($A2279="","",IF(COUNTIFS(NOVEDADES!$C$4:$C$1503,$A2279,NOVEDADES!$M$4:$M$1503,"SÍ")&gt;0,"No","Sí"))</f>
        <v/>
      </c>
      <c r="P2279" s="27">
        <f>IF(OR($A2279="",$K2279=""),"",IF(AND($M2279="Sí",$O2279="Sí"),"OTIF","Falló"))</f>
        <v/>
      </c>
    </row>
    <row r="2280" ht="16" customHeight="1">
      <c r="A2280" s="47" t="n"/>
      <c r="B2280" s="46" t="n"/>
      <c r="C2280" s="49" t="n"/>
      <c r="D2280" s="49" t="n"/>
      <c r="E2280" s="49" t="n"/>
      <c r="F2280" s="49" t="n"/>
      <c r="G2280" s="47" t="n"/>
      <c r="H2280" s="50" t="n"/>
      <c r="I2280" s="51" t="n"/>
      <c r="J2280" s="46" t="n"/>
      <c r="K2280" s="46" t="n"/>
      <c r="L2280" s="23">
        <f>IF(OR($A2280="",$B2280=""),"",IF($K2280&lt;&gt;"",$K2280-$B2280,TODAY()-$B2280))</f>
        <v/>
      </c>
      <c r="M2280" s="27">
        <f>IF(OR($A2280="",$J2280=""),"",IF($K2280="",IF(TODAY()&gt;$J2280,"Atrasado","En ruta"),IF($K2280&lt;=$J2280,"Sí","No")))</f>
        <v/>
      </c>
      <c r="N2280" s="23">
        <f>IF($A2280="","",COUNTIFS(NOVEDADES!$C$4:$C$1503,$A2280))</f>
        <v/>
      </c>
      <c r="O2280" s="27">
        <f>IF($A2280="","",IF(COUNTIFS(NOVEDADES!$C$4:$C$1503,$A2280,NOVEDADES!$M$4:$M$1503,"SÍ")&gt;0,"No","Sí"))</f>
        <v/>
      </c>
      <c r="P2280" s="27">
        <f>IF(OR($A2280="",$K2280=""),"",IF(AND($M2280="Sí",$O2280="Sí"),"OTIF","Falló"))</f>
        <v/>
      </c>
    </row>
    <row r="2281" ht="16" customHeight="1">
      <c r="A2281" s="47" t="n"/>
      <c r="B2281" s="46" t="n"/>
      <c r="C2281" s="49" t="n"/>
      <c r="D2281" s="49" t="n"/>
      <c r="E2281" s="49" t="n"/>
      <c r="F2281" s="49" t="n"/>
      <c r="G2281" s="47" t="n"/>
      <c r="H2281" s="50" t="n"/>
      <c r="I2281" s="51" t="n"/>
      <c r="J2281" s="46" t="n"/>
      <c r="K2281" s="46" t="n"/>
      <c r="L2281" s="23">
        <f>IF(OR($A2281="",$B2281=""),"",IF($K2281&lt;&gt;"",$K2281-$B2281,TODAY()-$B2281))</f>
        <v/>
      </c>
      <c r="M2281" s="27">
        <f>IF(OR($A2281="",$J2281=""),"",IF($K2281="",IF(TODAY()&gt;$J2281,"Atrasado","En ruta"),IF($K2281&lt;=$J2281,"Sí","No")))</f>
        <v/>
      </c>
      <c r="N2281" s="23">
        <f>IF($A2281="","",COUNTIFS(NOVEDADES!$C$4:$C$1503,$A2281))</f>
        <v/>
      </c>
      <c r="O2281" s="27">
        <f>IF($A2281="","",IF(COUNTIFS(NOVEDADES!$C$4:$C$1503,$A2281,NOVEDADES!$M$4:$M$1503,"SÍ")&gt;0,"No","Sí"))</f>
        <v/>
      </c>
      <c r="P2281" s="27">
        <f>IF(OR($A2281="",$K2281=""),"",IF(AND($M2281="Sí",$O2281="Sí"),"OTIF","Falló"))</f>
        <v/>
      </c>
    </row>
    <row r="2282" ht="16" customHeight="1">
      <c r="A2282" s="47" t="n"/>
      <c r="B2282" s="46" t="n"/>
      <c r="C2282" s="49" t="n"/>
      <c r="D2282" s="49" t="n"/>
      <c r="E2282" s="49" t="n"/>
      <c r="F2282" s="49" t="n"/>
      <c r="G2282" s="47" t="n"/>
      <c r="H2282" s="50" t="n"/>
      <c r="I2282" s="51" t="n"/>
      <c r="J2282" s="46" t="n"/>
      <c r="K2282" s="46" t="n"/>
      <c r="L2282" s="23">
        <f>IF(OR($A2282="",$B2282=""),"",IF($K2282&lt;&gt;"",$K2282-$B2282,TODAY()-$B2282))</f>
        <v/>
      </c>
      <c r="M2282" s="27">
        <f>IF(OR($A2282="",$J2282=""),"",IF($K2282="",IF(TODAY()&gt;$J2282,"Atrasado","En ruta"),IF($K2282&lt;=$J2282,"Sí","No")))</f>
        <v/>
      </c>
      <c r="N2282" s="23">
        <f>IF($A2282="","",COUNTIFS(NOVEDADES!$C$4:$C$1503,$A2282))</f>
        <v/>
      </c>
      <c r="O2282" s="27">
        <f>IF($A2282="","",IF(COUNTIFS(NOVEDADES!$C$4:$C$1503,$A2282,NOVEDADES!$M$4:$M$1503,"SÍ")&gt;0,"No","Sí"))</f>
        <v/>
      </c>
      <c r="P2282" s="27">
        <f>IF(OR($A2282="",$K2282=""),"",IF(AND($M2282="Sí",$O2282="Sí"),"OTIF","Falló"))</f>
        <v/>
      </c>
    </row>
    <row r="2283" ht="16" customHeight="1">
      <c r="A2283" s="47" t="n"/>
      <c r="B2283" s="46" t="n"/>
      <c r="C2283" s="49" t="n"/>
      <c r="D2283" s="49" t="n"/>
      <c r="E2283" s="49" t="n"/>
      <c r="F2283" s="49" t="n"/>
      <c r="G2283" s="47" t="n"/>
      <c r="H2283" s="50" t="n"/>
      <c r="I2283" s="51" t="n"/>
      <c r="J2283" s="46" t="n"/>
      <c r="K2283" s="46" t="n"/>
      <c r="L2283" s="23">
        <f>IF(OR($A2283="",$B2283=""),"",IF($K2283&lt;&gt;"",$K2283-$B2283,TODAY()-$B2283))</f>
        <v/>
      </c>
      <c r="M2283" s="27">
        <f>IF(OR($A2283="",$J2283=""),"",IF($K2283="",IF(TODAY()&gt;$J2283,"Atrasado","En ruta"),IF($K2283&lt;=$J2283,"Sí","No")))</f>
        <v/>
      </c>
      <c r="N2283" s="23">
        <f>IF($A2283="","",COUNTIFS(NOVEDADES!$C$4:$C$1503,$A2283))</f>
        <v/>
      </c>
      <c r="O2283" s="27">
        <f>IF($A2283="","",IF(COUNTIFS(NOVEDADES!$C$4:$C$1503,$A2283,NOVEDADES!$M$4:$M$1503,"SÍ")&gt;0,"No","Sí"))</f>
        <v/>
      </c>
      <c r="P2283" s="27">
        <f>IF(OR($A2283="",$K2283=""),"",IF(AND($M2283="Sí",$O2283="Sí"),"OTIF","Falló"))</f>
        <v/>
      </c>
    </row>
    <row r="2284" ht="16" customHeight="1">
      <c r="A2284" s="47" t="n"/>
      <c r="B2284" s="46" t="n"/>
      <c r="C2284" s="49" t="n"/>
      <c r="D2284" s="49" t="n"/>
      <c r="E2284" s="49" t="n"/>
      <c r="F2284" s="49" t="n"/>
      <c r="G2284" s="47" t="n"/>
      <c r="H2284" s="50" t="n"/>
      <c r="I2284" s="51" t="n"/>
      <c r="J2284" s="46" t="n"/>
      <c r="K2284" s="46" t="n"/>
      <c r="L2284" s="23">
        <f>IF(OR($A2284="",$B2284=""),"",IF($K2284&lt;&gt;"",$K2284-$B2284,TODAY()-$B2284))</f>
        <v/>
      </c>
      <c r="M2284" s="27">
        <f>IF(OR($A2284="",$J2284=""),"",IF($K2284="",IF(TODAY()&gt;$J2284,"Atrasado","En ruta"),IF($K2284&lt;=$J2284,"Sí","No")))</f>
        <v/>
      </c>
      <c r="N2284" s="23">
        <f>IF($A2284="","",COUNTIFS(NOVEDADES!$C$4:$C$1503,$A2284))</f>
        <v/>
      </c>
      <c r="O2284" s="27">
        <f>IF($A2284="","",IF(COUNTIFS(NOVEDADES!$C$4:$C$1503,$A2284,NOVEDADES!$M$4:$M$1503,"SÍ")&gt;0,"No","Sí"))</f>
        <v/>
      </c>
      <c r="P2284" s="27">
        <f>IF(OR($A2284="",$K2284=""),"",IF(AND($M2284="Sí",$O2284="Sí"),"OTIF","Falló"))</f>
        <v/>
      </c>
    </row>
    <row r="2285" ht="16" customHeight="1">
      <c r="A2285" s="47" t="n"/>
      <c r="B2285" s="46" t="n"/>
      <c r="C2285" s="49" t="n"/>
      <c r="D2285" s="49" t="n"/>
      <c r="E2285" s="49" t="n"/>
      <c r="F2285" s="49" t="n"/>
      <c r="G2285" s="47" t="n"/>
      <c r="H2285" s="50" t="n"/>
      <c r="I2285" s="51" t="n"/>
      <c r="J2285" s="46" t="n"/>
      <c r="K2285" s="46" t="n"/>
      <c r="L2285" s="23">
        <f>IF(OR($A2285="",$B2285=""),"",IF($K2285&lt;&gt;"",$K2285-$B2285,TODAY()-$B2285))</f>
        <v/>
      </c>
      <c r="M2285" s="27">
        <f>IF(OR($A2285="",$J2285=""),"",IF($K2285="",IF(TODAY()&gt;$J2285,"Atrasado","En ruta"),IF($K2285&lt;=$J2285,"Sí","No")))</f>
        <v/>
      </c>
      <c r="N2285" s="23">
        <f>IF($A2285="","",COUNTIFS(NOVEDADES!$C$4:$C$1503,$A2285))</f>
        <v/>
      </c>
      <c r="O2285" s="27">
        <f>IF($A2285="","",IF(COUNTIFS(NOVEDADES!$C$4:$C$1503,$A2285,NOVEDADES!$M$4:$M$1503,"SÍ")&gt;0,"No","Sí"))</f>
        <v/>
      </c>
      <c r="P2285" s="27">
        <f>IF(OR($A2285="",$K2285=""),"",IF(AND($M2285="Sí",$O2285="Sí"),"OTIF","Falló"))</f>
        <v/>
      </c>
    </row>
    <row r="2286" ht="16" customHeight="1">
      <c r="A2286" s="47" t="n"/>
      <c r="B2286" s="46" t="n"/>
      <c r="C2286" s="49" t="n"/>
      <c r="D2286" s="49" t="n"/>
      <c r="E2286" s="49" t="n"/>
      <c r="F2286" s="49" t="n"/>
      <c r="G2286" s="47" t="n"/>
      <c r="H2286" s="50" t="n"/>
      <c r="I2286" s="51" t="n"/>
      <c r="J2286" s="46" t="n"/>
      <c r="K2286" s="46" t="n"/>
      <c r="L2286" s="23">
        <f>IF(OR($A2286="",$B2286=""),"",IF($K2286&lt;&gt;"",$K2286-$B2286,TODAY()-$B2286))</f>
        <v/>
      </c>
      <c r="M2286" s="27">
        <f>IF(OR($A2286="",$J2286=""),"",IF($K2286="",IF(TODAY()&gt;$J2286,"Atrasado","En ruta"),IF($K2286&lt;=$J2286,"Sí","No")))</f>
        <v/>
      </c>
      <c r="N2286" s="23">
        <f>IF($A2286="","",COUNTIFS(NOVEDADES!$C$4:$C$1503,$A2286))</f>
        <v/>
      </c>
      <c r="O2286" s="27">
        <f>IF($A2286="","",IF(COUNTIFS(NOVEDADES!$C$4:$C$1503,$A2286,NOVEDADES!$M$4:$M$1503,"SÍ")&gt;0,"No","Sí"))</f>
        <v/>
      </c>
      <c r="P2286" s="27">
        <f>IF(OR($A2286="",$K2286=""),"",IF(AND($M2286="Sí",$O2286="Sí"),"OTIF","Falló"))</f>
        <v/>
      </c>
    </row>
    <row r="2287" ht="16" customHeight="1">
      <c r="A2287" s="47" t="n"/>
      <c r="B2287" s="46" t="n"/>
      <c r="C2287" s="49" t="n"/>
      <c r="D2287" s="49" t="n"/>
      <c r="E2287" s="49" t="n"/>
      <c r="F2287" s="49" t="n"/>
      <c r="G2287" s="47" t="n"/>
      <c r="H2287" s="50" t="n"/>
      <c r="I2287" s="51" t="n"/>
      <c r="J2287" s="46" t="n"/>
      <c r="K2287" s="46" t="n"/>
      <c r="L2287" s="23">
        <f>IF(OR($A2287="",$B2287=""),"",IF($K2287&lt;&gt;"",$K2287-$B2287,TODAY()-$B2287))</f>
        <v/>
      </c>
      <c r="M2287" s="27">
        <f>IF(OR($A2287="",$J2287=""),"",IF($K2287="",IF(TODAY()&gt;$J2287,"Atrasado","En ruta"),IF($K2287&lt;=$J2287,"Sí","No")))</f>
        <v/>
      </c>
      <c r="N2287" s="23">
        <f>IF($A2287="","",COUNTIFS(NOVEDADES!$C$4:$C$1503,$A2287))</f>
        <v/>
      </c>
      <c r="O2287" s="27">
        <f>IF($A2287="","",IF(COUNTIFS(NOVEDADES!$C$4:$C$1503,$A2287,NOVEDADES!$M$4:$M$1503,"SÍ")&gt;0,"No","Sí"))</f>
        <v/>
      </c>
      <c r="P2287" s="27">
        <f>IF(OR($A2287="",$K2287=""),"",IF(AND($M2287="Sí",$O2287="Sí"),"OTIF","Falló"))</f>
        <v/>
      </c>
    </row>
    <row r="2288" ht="16" customHeight="1">
      <c r="A2288" s="47" t="n"/>
      <c r="B2288" s="46" t="n"/>
      <c r="C2288" s="49" t="n"/>
      <c r="D2288" s="49" t="n"/>
      <c r="E2288" s="49" t="n"/>
      <c r="F2288" s="49" t="n"/>
      <c r="G2288" s="47" t="n"/>
      <c r="H2288" s="50" t="n"/>
      <c r="I2288" s="51" t="n"/>
      <c r="J2288" s="46" t="n"/>
      <c r="K2288" s="46" t="n"/>
      <c r="L2288" s="23">
        <f>IF(OR($A2288="",$B2288=""),"",IF($K2288&lt;&gt;"",$K2288-$B2288,TODAY()-$B2288))</f>
        <v/>
      </c>
      <c r="M2288" s="27">
        <f>IF(OR($A2288="",$J2288=""),"",IF($K2288="",IF(TODAY()&gt;$J2288,"Atrasado","En ruta"),IF($K2288&lt;=$J2288,"Sí","No")))</f>
        <v/>
      </c>
      <c r="N2288" s="23">
        <f>IF($A2288="","",COUNTIFS(NOVEDADES!$C$4:$C$1503,$A2288))</f>
        <v/>
      </c>
      <c r="O2288" s="27">
        <f>IF($A2288="","",IF(COUNTIFS(NOVEDADES!$C$4:$C$1503,$A2288,NOVEDADES!$M$4:$M$1503,"SÍ")&gt;0,"No","Sí"))</f>
        <v/>
      </c>
      <c r="P2288" s="27">
        <f>IF(OR($A2288="",$K2288=""),"",IF(AND($M2288="Sí",$O2288="Sí"),"OTIF","Falló"))</f>
        <v/>
      </c>
    </row>
    <row r="2289" ht="16" customHeight="1">
      <c r="A2289" s="47" t="n"/>
      <c r="B2289" s="46" t="n"/>
      <c r="C2289" s="49" t="n"/>
      <c r="D2289" s="49" t="n"/>
      <c r="E2289" s="49" t="n"/>
      <c r="F2289" s="49" t="n"/>
      <c r="G2289" s="47" t="n"/>
      <c r="H2289" s="50" t="n"/>
      <c r="I2289" s="51" t="n"/>
      <c r="J2289" s="46" t="n"/>
      <c r="K2289" s="46" t="n"/>
      <c r="L2289" s="23">
        <f>IF(OR($A2289="",$B2289=""),"",IF($K2289&lt;&gt;"",$K2289-$B2289,TODAY()-$B2289))</f>
        <v/>
      </c>
      <c r="M2289" s="27">
        <f>IF(OR($A2289="",$J2289=""),"",IF($K2289="",IF(TODAY()&gt;$J2289,"Atrasado","En ruta"),IF($K2289&lt;=$J2289,"Sí","No")))</f>
        <v/>
      </c>
      <c r="N2289" s="23">
        <f>IF($A2289="","",COUNTIFS(NOVEDADES!$C$4:$C$1503,$A2289))</f>
        <v/>
      </c>
      <c r="O2289" s="27">
        <f>IF($A2289="","",IF(COUNTIFS(NOVEDADES!$C$4:$C$1503,$A2289,NOVEDADES!$M$4:$M$1503,"SÍ")&gt;0,"No","Sí"))</f>
        <v/>
      </c>
      <c r="P2289" s="27">
        <f>IF(OR($A2289="",$K2289=""),"",IF(AND($M2289="Sí",$O2289="Sí"),"OTIF","Falló"))</f>
        <v/>
      </c>
    </row>
    <row r="2290" ht="16" customHeight="1">
      <c r="A2290" s="47" t="n"/>
      <c r="B2290" s="46" t="n"/>
      <c r="C2290" s="49" t="n"/>
      <c r="D2290" s="49" t="n"/>
      <c r="E2290" s="49" t="n"/>
      <c r="F2290" s="49" t="n"/>
      <c r="G2290" s="47" t="n"/>
      <c r="H2290" s="50" t="n"/>
      <c r="I2290" s="51" t="n"/>
      <c r="J2290" s="46" t="n"/>
      <c r="K2290" s="46" t="n"/>
      <c r="L2290" s="23">
        <f>IF(OR($A2290="",$B2290=""),"",IF($K2290&lt;&gt;"",$K2290-$B2290,TODAY()-$B2290))</f>
        <v/>
      </c>
      <c r="M2290" s="27">
        <f>IF(OR($A2290="",$J2290=""),"",IF($K2290="",IF(TODAY()&gt;$J2290,"Atrasado","En ruta"),IF($K2290&lt;=$J2290,"Sí","No")))</f>
        <v/>
      </c>
      <c r="N2290" s="23">
        <f>IF($A2290="","",COUNTIFS(NOVEDADES!$C$4:$C$1503,$A2290))</f>
        <v/>
      </c>
      <c r="O2290" s="27">
        <f>IF($A2290="","",IF(COUNTIFS(NOVEDADES!$C$4:$C$1503,$A2290,NOVEDADES!$M$4:$M$1503,"SÍ")&gt;0,"No","Sí"))</f>
        <v/>
      </c>
      <c r="P2290" s="27">
        <f>IF(OR($A2290="",$K2290=""),"",IF(AND($M2290="Sí",$O2290="Sí"),"OTIF","Falló"))</f>
        <v/>
      </c>
    </row>
    <row r="2291" ht="16" customHeight="1">
      <c r="A2291" s="47" t="n"/>
      <c r="B2291" s="46" t="n"/>
      <c r="C2291" s="49" t="n"/>
      <c r="D2291" s="49" t="n"/>
      <c r="E2291" s="49" t="n"/>
      <c r="F2291" s="49" t="n"/>
      <c r="G2291" s="47" t="n"/>
      <c r="H2291" s="50" t="n"/>
      <c r="I2291" s="51" t="n"/>
      <c r="J2291" s="46" t="n"/>
      <c r="K2291" s="46" t="n"/>
      <c r="L2291" s="23">
        <f>IF(OR($A2291="",$B2291=""),"",IF($K2291&lt;&gt;"",$K2291-$B2291,TODAY()-$B2291))</f>
        <v/>
      </c>
      <c r="M2291" s="27">
        <f>IF(OR($A2291="",$J2291=""),"",IF($K2291="",IF(TODAY()&gt;$J2291,"Atrasado","En ruta"),IF($K2291&lt;=$J2291,"Sí","No")))</f>
        <v/>
      </c>
      <c r="N2291" s="23">
        <f>IF($A2291="","",COUNTIFS(NOVEDADES!$C$4:$C$1503,$A2291))</f>
        <v/>
      </c>
      <c r="O2291" s="27">
        <f>IF($A2291="","",IF(COUNTIFS(NOVEDADES!$C$4:$C$1503,$A2291,NOVEDADES!$M$4:$M$1503,"SÍ")&gt;0,"No","Sí"))</f>
        <v/>
      </c>
      <c r="P2291" s="27">
        <f>IF(OR($A2291="",$K2291=""),"",IF(AND($M2291="Sí",$O2291="Sí"),"OTIF","Falló"))</f>
        <v/>
      </c>
    </row>
    <row r="2292" ht="16" customHeight="1">
      <c r="A2292" s="47" t="n"/>
      <c r="B2292" s="46" t="n"/>
      <c r="C2292" s="49" t="n"/>
      <c r="D2292" s="49" t="n"/>
      <c r="E2292" s="49" t="n"/>
      <c r="F2292" s="49" t="n"/>
      <c r="G2292" s="47" t="n"/>
      <c r="H2292" s="50" t="n"/>
      <c r="I2292" s="51" t="n"/>
      <c r="J2292" s="46" t="n"/>
      <c r="K2292" s="46" t="n"/>
      <c r="L2292" s="23">
        <f>IF(OR($A2292="",$B2292=""),"",IF($K2292&lt;&gt;"",$K2292-$B2292,TODAY()-$B2292))</f>
        <v/>
      </c>
      <c r="M2292" s="27">
        <f>IF(OR($A2292="",$J2292=""),"",IF($K2292="",IF(TODAY()&gt;$J2292,"Atrasado","En ruta"),IF($K2292&lt;=$J2292,"Sí","No")))</f>
        <v/>
      </c>
      <c r="N2292" s="23">
        <f>IF($A2292="","",COUNTIFS(NOVEDADES!$C$4:$C$1503,$A2292))</f>
        <v/>
      </c>
      <c r="O2292" s="27">
        <f>IF($A2292="","",IF(COUNTIFS(NOVEDADES!$C$4:$C$1503,$A2292,NOVEDADES!$M$4:$M$1503,"SÍ")&gt;0,"No","Sí"))</f>
        <v/>
      </c>
      <c r="P2292" s="27">
        <f>IF(OR($A2292="",$K2292=""),"",IF(AND($M2292="Sí",$O2292="Sí"),"OTIF","Falló"))</f>
        <v/>
      </c>
    </row>
    <row r="2293" ht="16" customHeight="1">
      <c r="A2293" s="47" t="n"/>
      <c r="B2293" s="46" t="n"/>
      <c r="C2293" s="49" t="n"/>
      <c r="D2293" s="49" t="n"/>
      <c r="E2293" s="49" t="n"/>
      <c r="F2293" s="49" t="n"/>
      <c r="G2293" s="47" t="n"/>
      <c r="H2293" s="50" t="n"/>
      <c r="I2293" s="51" t="n"/>
      <c r="J2293" s="46" t="n"/>
      <c r="K2293" s="46" t="n"/>
      <c r="L2293" s="23">
        <f>IF(OR($A2293="",$B2293=""),"",IF($K2293&lt;&gt;"",$K2293-$B2293,TODAY()-$B2293))</f>
        <v/>
      </c>
      <c r="M2293" s="27">
        <f>IF(OR($A2293="",$J2293=""),"",IF($K2293="",IF(TODAY()&gt;$J2293,"Atrasado","En ruta"),IF($K2293&lt;=$J2293,"Sí","No")))</f>
        <v/>
      </c>
      <c r="N2293" s="23">
        <f>IF($A2293="","",COUNTIFS(NOVEDADES!$C$4:$C$1503,$A2293))</f>
        <v/>
      </c>
      <c r="O2293" s="27">
        <f>IF($A2293="","",IF(COUNTIFS(NOVEDADES!$C$4:$C$1503,$A2293,NOVEDADES!$M$4:$M$1503,"SÍ")&gt;0,"No","Sí"))</f>
        <v/>
      </c>
      <c r="P2293" s="27">
        <f>IF(OR($A2293="",$K2293=""),"",IF(AND($M2293="Sí",$O2293="Sí"),"OTIF","Falló"))</f>
        <v/>
      </c>
    </row>
    <row r="2294" ht="16" customHeight="1">
      <c r="A2294" s="47" t="n"/>
      <c r="B2294" s="46" t="n"/>
      <c r="C2294" s="49" t="n"/>
      <c r="D2294" s="49" t="n"/>
      <c r="E2294" s="49" t="n"/>
      <c r="F2294" s="49" t="n"/>
      <c r="G2294" s="47" t="n"/>
      <c r="H2294" s="50" t="n"/>
      <c r="I2294" s="51" t="n"/>
      <c r="J2294" s="46" t="n"/>
      <c r="K2294" s="46" t="n"/>
      <c r="L2294" s="23">
        <f>IF(OR($A2294="",$B2294=""),"",IF($K2294&lt;&gt;"",$K2294-$B2294,TODAY()-$B2294))</f>
        <v/>
      </c>
      <c r="M2294" s="27">
        <f>IF(OR($A2294="",$J2294=""),"",IF($K2294="",IF(TODAY()&gt;$J2294,"Atrasado","En ruta"),IF($K2294&lt;=$J2294,"Sí","No")))</f>
        <v/>
      </c>
      <c r="N2294" s="23">
        <f>IF($A2294="","",COUNTIFS(NOVEDADES!$C$4:$C$1503,$A2294))</f>
        <v/>
      </c>
      <c r="O2294" s="27">
        <f>IF($A2294="","",IF(COUNTIFS(NOVEDADES!$C$4:$C$1503,$A2294,NOVEDADES!$M$4:$M$1503,"SÍ")&gt;0,"No","Sí"))</f>
        <v/>
      </c>
      <c r="P2294" s="27">
        <f>IF(OR($A2294="",$K2294=""),"",IF(AND($M2294="Sí",$O2294="Sí"),"OTIF","Falló"))</f>
        <v/>
      </c>
    </row>
    <row r="2295" ht="16" customHeight="1">
      <c r="A2295" s="47" t="n"/>
      <c r="B2295" s="46" t="n"/>
      <c r="C2295" s="49" t="n"/>
      <c r="D2295" s="49" t="n"/>
      <c r="E2295" s="49" t="n"/>
      <c r="F2295" s="49" t="n"/>
      <c r="G2295" s="47" t="n"/>
      <c r="H2295" s="50" t="n"/>
      <c r="I2295" s="51" t="n"/>
      <c r="J2295" s="46" t="n"/>
      <c r="K2295" s="46" t="n"/>
      <c r="L2295" s="23">
        <f>IF(OR($A2295="",$B2295=""),"",IF($K2295&lt;&gt;"",$K2295-$B2295,TODAY()-$B2295))</f>
        <v/>
      </c>
      <c r="M2295" s="27">
        <f>IF(OR($A2295="",$J2295=""),"",IF($K2295="",IF(TODAY()&gt;$J2295,"Atrasado","En ruta"),IF($K2295&lt;=$J2295,"Sí","No")))</f>
        <v/>
      </c>
      <c r="N2295" s="23">
        <f>IF($A2295="","",COUNTIFS(NOVEDADES!$C$4:$C$1503,$A2295))</f>
        <v/>
      </c>
      <c r="O2295" s="27">
        <f>IF($A2295="","",IF(COUNTIFS(NOVEDADES!$C$4:$C$1503,$A2295,NOVEDADES!$M$4:$M$1503,"SÍ")&gt;0,"No","Sí"))</f>
        <v/>
      </c>
      <c r="P2295" s="27">
        <f>IF(OR($A2295="",$K2295=""),"",IF(AND($M2295="Sí",$O2295="Sí"),"OTIF","Falló"))</f>
        <v/>
      </c>
    </row>
    <row r="2296" ht="16" customHeight="1">
      <c r="A2296" s="47" t="n"/>
      <c r="B2296" s="46" t="n"/>
      <c r="C2296" s="49" t="n"/>
      <c r="D2296" s="49" t="n"/>
      <c r="E2296" s="49" t="n"/>
      <c r="F2296" s="49" t="n"/>
      <c r="G2296" s="47" t="n"/>
      <c r="H2296" s="50" t="n"/>
      <c r="I2296" s="51" t="n"/>
      <c r="J2296" s="46" t="n"/>
      <c r="K2296" s="46" t="n"/>
      <c r="L2296" s="23">
        <f>IF(OR($A2296="",$B2296=""),"",IF($K2296&lt;&gt;"",$K2296-$B2296,TODAY()-$B2296))</f>
        <v/>
      </c>
      <c r="M2296" s="27">
        <f>IF(OR($A2296="",$J2296=""),"",IF($K2296="",IF(TODAY()&gt;$J2296,"Atrasado","En ruta"),IF($K2296&lt;=$J2296,"Sí","No")))</f>
        <v/>
      </c>
      <c r="N2296" s="23">
        <f>IF($A2296="","",COUNTIFS(NOVEDADES!$C$4:$C$1503,$A2296))</f>
        <v/>
      </c>
      <c r="O2296" s="27">
        <f>IF($A2296="","",IF(COUNTIFS(NOVEDADES!$C$4:$C$1503,$A2296,NOVEDADES!$M$4:$M$1503,"SÍ")&gt;0,"No","Sí"))</f>
        <v/>
      </c>
      <c r="P2296" s="27">
        <f>IF(OR($A2296="",$K2296=""),"",IF(AND($M2296="Sí",$O2296="Sí"),"OTIF","Falló"))</f>
        <v/>
      </c>
    </row>
    <row r="2297" ht="16" customHeight="1">
      <c r="A2297" s="47" t="n"/>
      <c r="B2297" s="46" t="n"/>
      <c r="C2297" s="49" t="n"/>
      <c r="D2297" s="49" t="n"/>
      <c r="E2297" s="49" t="n"/>
      <c r="F2297" s="49" t="n"/>
      <c r="G2297" s="47" t="n"/>
      <c r="H2297" s="50" t="n"/>
      <c r="I2297" s="51" t="n"/>
      <c r="J2297" s="46" t="n"/>
      <c r="K2297" s="46" t="n"/>
      <c r="L2297" s="23">
        <f>IF(OR($A2297="",$B2297=""),"",IF($K2297&lt;&gt;"",$K2297-$B2297,TODAY()-$B2297))</f>
        <v/>
      </c>
      <c r="M2297" s="27">
        <f>IF(OR($A2297="",$J2297=""),"",IF($K2297="",IF(TODAY()&gt;$J2297,"Atrasado","En ruta"),IF($K2297&lt;=$J2297,"Sí","No")))</f>
        <v/>
      </c>
      <c r="N2297" s="23">
        <f>IF($A2297="","",COUNTIFS(NOVEDADES!$C$4:$C$1503,$A2297))</f>
        <v/>
      </c>
      <c r="O2297" s="27">
        <f>IF($A2297="","",IF(COUNTIFS(NOVEDADES!$C$4:$C$1503,$A2297,NOVEDADES!$M$4:$M$1503,"SÍ")&gt;0,"No","Sí"))</f>
        <v/>
      </c>
      <c r="P2297" s="27">
        <f>IF(OR($A2297="",$K2297=""),"",IF(AND($M2297="Sí",$O2297="Sí"),"OTIF","Falló"))</f>
        <v/>
      </c>
    </row>
    <row r="2298" ht="16" customHeight="1">
      <c r="A2298" s="47" t="n"/>
      <c r="B2298" s="46" t="n"/>
      <c r="C2298" s="49" t="n"/>
      <c r="D2298" s="49" t="n"/>
      <c r="E2298" s="49" t="n"/>
      <c r="F2298" s="49" t="n"/>
      <c r="G2298" s="47" t="n"/>
      <c r="H2298" s="50" t="n"/>
      <c r="I2298" s="51" t="n"/>
      <c r="J2298" s="46" t="n"/>
      <c r="K2298" s="46" t="n"/>
      <c r="L2298" s="23">
        <f>IF(OR($A2298="",$B2298=""),"",IF($K2298&lt;&gt;"",$K2298-$B2298,TODAY()-$B2298))</f>
        <v/>
      </c>
      <c r="M2298" s="27">
        <f>IF(OR($A2298="",$J2298=""),"",IF($K2298="",IF(TODAY()&gt;$J2298,"Atrasado","En ruta"),IF($K2298&lt;=$J2298,"Sí","No")))</f>
        <v/>
      </c>
      <c r="N2298" s="23">
        <f>IF($A2298="","",COUNTIFS(NOVEDADES!$C$4:$C$1503,$A2298))</f>
        <v/>
      </c>
      <c r="O2298" s="27">
        <f>IF($A2298="","",IF(COUNTIFS(NOVEDADES!$C$4:$C$1503,$A2298,NOVEDADES!$M$4:$M$1503,"SÍ")&gt;0,"No","Sí"))</f>
        <v/>
      </c>
      <c r="P2298" s="27">
        <f>IF(OR($A2298="",$K2298=""),"",IF(AND($M2298="Sí",$O2298="Sí"),"OTIF","Falló"))</f>
        <v/>
      </c>
    </row>
    <row r="2299" ht="16" customHeight="1">
      <c r="A2299" s="47" t="n"/>
      <c r="B2299" s="46" t="n"/>
      <c r="C2299" s="49" t="n"/>
      <c r="D2299" s="49" t="n"/>
      <c r="E2299" s="49" t="n"/>
      <c r="F2299" s="49" t="n"/>
      <c r="G2299" s="47" t="n"/>
      <c r="H2299" s="50" t="n"/>
      <c r="I2299" s="51" t="n"/>
      <c r="J2299" s="46" t="n"/>
      <c r="K2299" s="46" t="n"/>
      <c r="L2299" s="23">
        <f>IF(OR($A2299="",$B2299=""),"",IF($K2299&lt;&gt;"",$K2299-$B2299,TODAY()-$B2299))</f>
        <v/>
      </c>
      <c r="M2299" s="27">
        <f>IF(OR($A2299="",$J2299=""),"",IF($K2299="",IF(TODAY()&gt;$J2299,"Atrasado","En ruta"),IF($K2299&lt;=$J2299,"Sí","No")))</f>
        <v/>
      </c>
      <c r="N2299" s="23">
        <f>IF($A2299="","",COUNTIFS(NOVEDADES!$C$4:$C$1503,$A2299))</f>
        <v/>
      </c>
      <c r="O2299" s="27">
        <f>IF($A2299="","",IF(COUNTIFS(NOVEDADES!$C$4:$C$1503,$A2299,NOVEDADES!$M$4:$M$1503,"SÍ")&gt;0,"No","Sí"))</f>
        <v/>
      </c>
      <c r="P2299" s="27">
        <f>IF(OR($A2299="",$K2299=""),"",IF(AND($M2299="Sí",$O2299="Sí"),"OTIF","Falló"))</f>
        <v/>
      </c>
    </row>
    <row r="2300" ht="16" customHeight="1">
      <c r="A2300" s="47" t="n"/>
      <c r="B2300" s="46" t="n"/>
      <c r="C2300" s="49" t="n"/>
      <c r="D2300" s="49" t="n"/>
      <c r="E2300" s="49" t="n"/>
      <c r="F2300" s="49" t="n"/>
      <c r="G2300" s="47" t="n"/>
      <c r="H2300" s="50" t="n"/>
      <c r="I2300" s="51" t="n"/>
      <c r="J2300" s="46" t="n"/>
      <c r="K2300" s="46" t="n"/>
      <c r="L2300" s="23">
        <f>IF(OR($A2300="",$B2300=""),"",IF($K2300&lt;&gt;"",$K2300-$B2300,TODAY()-$B2300))</f>
        <v/>
      </c>
      <c r="M2300" s="27">
        <f>IF(OR($A2300="",$J2300=""),"",IF($K2300="",IF(TODAY()&gt;$J2300,"Atrasado","En ruta"),IF($K2300&lt;=$J2300,"Sí","No")))</f>
        <v/>
      </c>
      <c r="N2300" s="23">
        <f>IF($A2300="","",COUNTIFS(NOVEDADES!$C$4:$C$1503,$A2300))</f>
        <v/>
      </c>
      <c r="O2300" s="27">
        <f>IF($A2300="","",IF(COUNTIFS(NOVEDADES!$C$4:$C$1503,$A2300,NOVEDADES!$M$4:$M$1503,"SÍ")&gt;0,"No","Sí"))</f>
        <v/>
      </c>
      <c r="P2300" s="27">
        <f>IF(OR($A2300="",$K2300=""),"",IF(AND($M2300="Sí",$O2300="Sí"),"OTIF","Falló"))</f>
        <v/>
      </c>
    </row>
    <row r="2301" ht="16" customHeight="1">
      <c r="A2301" s="47" t="n"/>
      <c r="B2301" s="46" t="n"/>
      <c r="C2301" s="49" t="n"/>
      <c r="D2301" s="49" t="n"/>
      <c r="E2301" s="49" t="n"/>
      <c r="F2301" s="49" t="n"/>
      <c r="G2301" s="47" t="n"/>
      <c r="H2301" s="50" t="n"/>
      <c r="I2301" s="51" t="n"/>
      <c r="J2301" s="46" t="n"/>
      <c r="K2301" s="46" t="n"/>
      <c r="L2301" s="23">
        <f>IF(OR($A2301="",$B2301=""),"",IF($K2301&lt;&gt;"",$K2301-$B2301,TODAY()-$B2301))</f>
        <v/>
      </c>
      <c r="M2301" s="27">
        <f>IF(OR($A2301="",$J2301=""),"",IF($K2301="",IF(TODAY()&gt;$J2301,"Atrasado","En ruta"),IF($K2301&lt;=$J2301,"Sí","No")))</f>
        <v/>
      </c>
      <c r="N2301" s="23">
        <f>IF($A2301="","",COUNTIFS(NOVEDADES!$C$4:$C$1503,$A2301))</f>
        <v/>
      </c>
      <c r="O2301" s="27">
        <f>IF($A2301="","",IF(COUNTIFS(NOVEDADES!$C$4:$C$1503,$A2301,NOVEDADES!$M$4:$M$1503,"SÍ")&gt;0,"No","Sí"))</f>
        <v/>
      </c>
      <c r="P2301" s="27">
        <f>IF(OR($A2301="",$K2301=""),"",IF(AND($M2301="Sí",$O2301="Sí"),"OTIF","Falló"))</f>
        <v/>
      </c>
    </row>
    <row r="2302" ht="16" customHeight="1">
      <c r="A2302" s="47" t="n"/>
      <c r="B2302" s="46" t="n"/>
      <c r="C2302" s="49" t="n"/>
      <c r="D2302" s="49" t="n"/>
      <c r="E2302" s="49" t="n"/>
      <c r="F2302" s="49" t="n"/>
      <c r="G2302" s="47" t="n"/>
      <c r="H2302" s="50" t="n"/>
      <c r="I2302" s="51" t="n"/>
      <c r="J2302" s="46" t="n"/>
      <c r="K2302" s="46" t="n"/>
      <c r="L2302" s="23">
        <f>IF(OR($A2302="",$B2302=""),"",IF($K2302&lt;&gt;"",$K2302-$B2302,TODAY()-$B2302))</f>
        <v/>
      </c>
      <c r="M2302" s="27">
        <f>IF(OR($A2302="",$J2302=""),"",IF($K2302="",IF(TODAY()&gt;$J2302,"Atrasado","En ruta"),IF($K2302&lt;=$J2302,"Sí","No")))</f>
        <v/>
      </c>
      <c r="N2302" s="23">
        <f>IF($A2302="","",COUNTIFS(NOVEDADES!$C$4:$C$1503,$A2302))</f>
        <v/>
      </c>
      <c r="O2302" s="27">
        <f>IF($A2302="","",IF(COUNTIFS(NOVEDADES!$C$4:$C$1503,$A2302,NOVEDADES!$M$4:$M$1503,"SÍ")&gt;0,"No","Sí"))</f>
        <v/>
      </c>
      <c r="P2302" s="27">
        <f>IF(OR($A2302="",$K2302=""),"",IF(AND($M2302="Sí",$O2302="Sí"),"OTIF","Falló"))</f>
        <v/>
      </c>
    </row>
    <row r="2303" ht="16" customHeight="1">
      <c r="A2303" s="47" t="n"/>
      <c r="B2303" s="46" t="n"/>
      <c r="C2303" s="49" t="n"/>
      <c r="D2303" s="49" t="n"/>
      <c r="E2303" s="49" t="n"/>
      <c r="F2303" s="49" t="n"/>
      <c r="G2303" s="47" t="n"/>
      <c r="H2303" s="50" t="n"/>
      <c r="I2303" s="51" t="n"/>
      <c r="J2303" s="46" t="n"/>
      <c r="K2303" s="46" t="n"/>
      <c r="L2303" s="23">
        <f>IF(OR($A2303="",$B2303=""),"",IF($K2303&lt;&gt;"",$K2303-$B2303,TODAY()-$B2303))</f>
        <v/>
      </c>
      <c r="M2303" s="27">
        <f>IF(OR($A2303="",$J2303=""),"",IF($K2303="",IF(TODAY()&gt;$J2303,"Atrasado","En ruta"),IF($K2303&lt;=$J2303,"Sí","No")))</f>
        <v/>
      </c>
      <c r="N2303" s="23">
        <f>IF($A2303="","",COUNTIFS(NOVEDADES!$C$4:$C$1503,$A2303))</f>
        <v/>
      </c>
      <c r="O2303" s="27">
        <f>IF($A2303="","",IF(COUNTIFS(NOVEDADES!$C$4:$C$1503,$A2303,NOVEDADES!$M$4:$M$1503,"SÍ")&gt;0,"No","Sí"))</f>
        <v/>
      </c>
      <c r="P2303" s="27">
        <f>IF(OR($A2303="",$K2303=""),"",IF(AND($M2303="Sí",$O2303="Sí"),"OTIF","Falló"))</f>
        <v/>
      </c>
    </row>
    <row r="2304" ht="16" customHeight="1">
      <c r="A2304" s="47" t="n"/>
      <c r="B2304" s="46" t="n"/>
      <c r="C2304" s="49" t="n"/>
      <c r="D2304" s="49" t="n"/>
      <c r="E2304" s="49" t="n"/>
      <c r="F2304" s="49" t="n"/>
      <c r="G2304" s="47" t="n"/>
      <c r="H2304" s="50" t="n"/>
      <c r="I2304" s="51" t="n"/>
      <c r="J2304" s="46" t="n"/>
      <c r="K2304" s="46" t="n"/>
      <c r="L2304" s="23">
        <f>IF(OR($A2304="",$B2304=""),"",IF($K2304&lt;&gt;"",$K2304-$B2304,TODAY()-$B2304))</f>
        <v/>
      </c>
      <c r="M2304" s="27">
        <f>IF(OR($A2304="",$J2304=""),"",IF($K2304="",IF(TODAY()&gt;$J2304,"Atrasado","En ruta"),IF($K2304&lt;=$J2304,"Sí","No")))</f>
        <v/>
      </c>
      <c r="N2304" s="23">
        <f>IF($A2304="","",COUNTIFS(NOVEDADES!$C$4:$C$1503,$A2304))</f>
        <v/>
      </c>
      <c r="O2304" s="27">
        <f>IF($A2304="","",IF(COUNTIFS(NOVEDADES!$C$4:$C$1503,$A2304,NOVEDADES!$M$4:$M$1503,"SÍ")&gt;0,"No","Sí"))</f>
        <v/>
      </c>
      <c r="P2304" s="27">
        <f>IF(OR($A2304="",$K2304=""),"",IF(AND($M2304="Sí",$O2304="Sí"),"OTIF","Falló"))</f>
        <v/>
      </c>
    </row>
    <row r="2305" ht="16" customHeight="1">
      <c r="A2305" s="47" t="n"/>
      <c r="B2305" s="46" t="n"/>
      <c r="C2305" s="49" t="n"/>
      <c r="D2305" s="49" t="n"/>
      <c r="E2305" s="49" t="n"/>
      <c r="F2305" s="49" t="n"/>
      <c r="G2305" s="47" t="n"/>
      <c r="H2305" s="50" t="n"/>
      <c r="I2305" s="51" t="n"/>
      <c r="J2305" s="46" t="n"/>
      <c r="K2305" s="46" t="n"/>
      <c r="L2305" s="23">
        <f>IF(OR($A2305="",$B2305=""),"",IF($K2305&lt;&gt;"",$K2305-$B2305,TODAY()-$B2305))</f>
        <v/>
      </c>
      <c r="M2305" s="27">
        <f>IF(OR($A2305="",$J2305=""),"",IF($K2305="",IF(TODAY()&gt;$J2305,"Atrasado","En ruta"),IF($K2305&lt;=$J2305,"Sí","No")))</f>
        <v/>
      </c>
      <c r="N2305" s="23">
        <f>IF($A2305="","",COUNTIFS(NOVEDADES!$C$4:$C$1503,$A2305))</f>
        <v/>
      </c>
      <c r="O2305" s="27">
        <f>IF($A2305="","",IF(COUNTIFS(NOVEDADES!$C$4:$C$1503,$A2305,NOVEDADES!$M$4:$M$1503,"SÍ")&gt;0,"No","Sí"))</f>
        <v/>
      </c>
      <c r="P2305" s="27">
        <f>IF(OR($A2305="",$K2305=""),"",IF(AND($M2305="Sí",$O2305="Sí"),"OTIF","Falló"))</f>
        <v/>
      </c>
    </row>
    <row r="2306" ht="16" customHeight="1">
      <c r="A2306" s="47" t="n"/>
      <c r="B2306" s="46" t="n"/>
      <c r="C2306" s="49" t="n"/>
      <c r="D2306" s="49" t="n"/>
      <c r="E2306" s="49" t="n"/>
      <c r="F2306" s="49" t="n"/>
      <c r="G2306" s="47" t="n"/>
      <c r="H2306" s="50" t="n"/>
      <c r="I2306" s="51" t="n"/>
      <c r="J2306" s="46" t="n"/>
      <c r="K2306" s="46" t="n"/>
      <c r="L2306" s="23">
        <f>IF(OR($A2306="",$B2306=""),"",IF($K2306&lt;&gt;"",$K2306-$B2306,TODAY()-$B2306))</f>
        <v/>
      </c>
      <c r="M2306" s="27">
        <f>IF(OR($A2306="",$J2306=""),"",IF($K2306="",IF(TODAY()&gt;$J2306,"Atrasado","En ruta"),IF($K2306&lt;=$J2306,"Sí","No")))</f>
        <v/>
      </c>
      <c r="N2306" s="23">
        <f>IF($A2306="","",COUNTIFS(NOVEDADES!$C$4:$C$1503,$A2306))</f>
        <v/>
      </c>
      <c r="O2306" s="27">
        <f>IF($A2306="","",IF(COUNTIFS(NOVEDADES!$C$4:$C$1503,$A2306,NOVEDADES!$M$4:$M$1503,"SÍ")&gt;0,"No","Sí"))</f>
        <v/>
      </c>
      <c r="P2306" s="27">
        <f>IF(OR($A2306="",$K2306=""),"",IF(AND($M2306="Sí",$O2306="Sí"),"OTIF","Falló"))</f>
        <v/>
      </c>
    </row>
    <row r="2307" ht="16" customHeight="1">
      <c r="A2307" s="47" t="n"/>
      <c r="B2307" s="46" t="n"/>
      <c r="C2307" s="49" t="n"/>
      <c r="D2307" s="49" t="n"/>
      <c r="E2307" s="49" t="n"/>
      <c r="F2307" s="49" t="n"/>
      <c r="G2307" s="47" t="n"/>
      <c r="H2307" s="50" t="n"/>
      <c r="I2307" s="51" t="n"/>
      <c r="J2307" s="46" t="n"/>
      <c r="K2307" s="46" t="n"/>
      <c r="L2307" s="23">
        <f>IF(OR($A2307="",$B2307=""),"",IF($K2307&lt;&gt;"",$K2307-$B2307,TODAY()-$B2307))</f>
        <v/>
      </c>
      <c r="M2307" s="27">
        <f>IF(OR($A2307="",$J2307=""),"",IF($K2307="",IF(TODAY()&gt;$J2307,"Atrasado","En ruta"),IF($K2307&lt;=$J2307,"Sí","No")))</f>
        <v/>
      </c>
      <c r="N2307" s="23">
        <f>IF($A2307="","",COUNTIFS(NOVEDADES!$C$4:$C$1503,$A2307))</f>
        <v/>
      </c>
      <c r="O2307" s="27">
        <f>IF($A2307="","",IF(COUNTIFS(NOVEDADES!$C$4:$C$1503,$A2307,NOVEDADES!$M$4:$M$1503,"SÍ")&gt;0,"No","Sí"))</f>
        <v/>
      </c>
      <c r="P2307" s="27">
        <f>IF(OR($A2307="",$K2307=""),"",IF(AND($M2307="Sí",$O2307="Sí"),"OTIF","Falló"))</f>
        <v/>
      </c>
    </row>
    <row r="2308" ht="16" customHeight="1">
      <c r="A2308" s="47" t="n"/>
      <c r="B2308" s="46" t="n"/>
      <c r="C2308" s="49" t="n"/>
      <c r="D2308" s="49" t="n"/>
      <c r="E2308" s="49" t="n"/>
      <c r="F2308" s="49" t="n"/>
      <c r="G2308" s="47" t="n"/>
      <c r="H2308" s="50" t="n"/>
      <c r="I2308" s="51" t="n"/>
      <c r="J2308" s="46" t="n"/>
      <c r="K2308" s="46" t="n"/>
      <c r="L2308" s="23">
        <f>IF(OR($A2308="",$B2308=""),"",IF($K2308&lt;&gt;"",$K2308-$B2308,TODAY()-$B2308))</f>
        <v/>
      </c>
      <c r="M2308" s="27">
        <f>IF(OR($A2308="",$J2308=""),"",IF($K2308="",IF(TODAY()&gt;$J2308,"Atrasado","En ruta"),IF($K2308&lt;=$J2308,"Sí","No")))</f>
        <v/>
      </c>
      <c r="N2308" s="23">
        <f>IF($A2308="","",COUNTIFS(NOVEDADES!$C$4:$C$1503,$A2308))</f>
        <v/>
      </c>
      <c r="O2308" s="27">
        <f>IF($A2308="","",IF(COUNTIFS(NOVEDADES!$C$4:$C$1503,$A2308,NOVEDADES!$M$4:$M$1503,"SÍ")&gt;0,"No","Sí"))</f>
        <v/>
      </c>
      <c r="P2308" s="27">
        <f>IF(OR($A2308="",$K2308=""),"",IF(AND($M2308="Sí",$O2308="Sí"),"OTIF","Falló"))</f>
        <v/>
      </c>
    </row>
    <row r="2309" ht="16" customHeight="1">
      <c r="A2309" s="47" t="n"/>
      <c r="B2309" s="46" t="n"/>
      <c r="C2309" s="49" t="n"/>
      <c r="D2309" s="49" t="n"/>
      <c r="E2309" s="49" t="n"/>
      <c r="F2309" s="49" t="n"/>
      <c r="G2309" s="47" t="n"/>
      <c r="H2309" s="50" t="n"/>
      <c r="I2309" s="51" t="n"/>
      <c r="J2309" s="46" t="n"/>
      <c r="K2309" s="46" t="n"/>
      <c r="L2309" s="23">
        <f>IF(OR($A2309="",$B2309=""),"",IF($K2309&lt;&gt;"",$K2309-$B2309,TODAY()-$B2309))</f>
        <v/>
      </c>
      <c r="M2309" s="27">
        <f>IF(OR($A2309="",$J2309=""),"",IF($K2309="",IF(TODAY()&gt;$J2309,"Atrasado","En ruta"),IF($K2309&lt;=$J2309,"Sí","No")))</f>
        <v/>
      </c>
      <c r="N2309" s="23">
        <f>IF($A2309="","",COUNTIFS(NOVEDADES!$C$4:$C$1503,$A2309))</f>
        <v/>
      </c>
      <c r="O2309" s="27">
        <f>IF($A2309="","",IF(COUNTIFS(NOVEDADES!$C$4:$C$1503,$A2309,NOVEDADES!$M$4:$M$1503,"SÍ")&gt;0,"No","Sí"))</f>
        <v/>
      </c>
      <c r="P2309" s="27">
        <f>IF(OR($A2309="",$K2309=""),"",IF(AND($M2309="Sí",$O2309="Sí"),"OTIF","Falló"))</f>
        <v/>
      </c>
    </row>
    <row r="2310" ht="16" customHeight="1">
      <c r="A2310" s="47" t="n"/>
      <c r="B2310" s="46" t="n"/>
      <c r="C2310" s="49" t="n"/>
      <c r="D2310" s="49" t="n"/>
      <c r="E2310" s="49" t="n"/>
      <c r="F2310" s="49" t="n"/>
      <c r="G2310" s="47" t="n"/>
      <c r="H2310" s="50" t="n"/>
      <c r="I2310" s="51" t="n"/>
      <c r="J2310" s="46" t="n"/>
      <c r="K2310" s="46" t="n"/>
      <c r="L2310" s="23">
        <f>IF(OR($A2310="",$B2310=""),"",IF($K2310&lt;&gt;"",$K2310-$B2310,TODAY()-$B2310))</f>
        <v/>
      </c>
      <c r="M2310" s="27">
        <f>IF(OR($A2310="",$J2310=""),"",IF($K2310="",IF(TODAY()&gt;$J2310,"Atrasado","En ruta"),IF($K2310&lt;=$J2310,"Sí","No")))</f>
        <v/>
      </c>
      <c r="N2310" s="23">
        <f>IF($A2310="","",COUNTIFS(NOVEDADES!$C$4:$C$1503,$A2310))</f>
        <v/>
      </c>
      <c r="O2310" s="27">
        <f>IF($A2310="","",IF(COUNTIFS(NOVEDADES!$C$4:$C$1503,$A2310,NOVEDADES!$M$4:$M$1503,"SÍ")&gt;0,"No","Sí"))</f>
        <v/>
      </c>
      <c r="P2310" s="27">
        <f>IF(OR($A2310="",$K2310=""),"",IF(AND($M2310="Sí",$O2310="Sí"),"OTIF","Falló"))</f>
        <v/>
      </c>
    </row>
    <row r="2311" ht="16" customHeight="1">
      <c r="A2311" s="47" t="n"/>
      <c r="B2311" s="46" t="n"/>
      <c r="C2311" s="49" t="n"/>
      <c r="D2311" s="49" t="n"/>
      <c r="E2311" s="49" t="n"/>
      <c r="F2311" s="49" t="n"/>
      <c r="G2311" s="47" t="n"/>
      <c r="H2311" s="50" t="n"/>
      <c r="I2311" s="51" t="n"/>
      <c r="J2311" s="46" t="n"/>
      <c r="K2311" s="46" t="n"/>
      <c r="L2311" s="23">
        <f>IF(OR($A2311="",$B2311=""),"",IF($K2311&lt;&gt;"",$K2311-$B2311,TODAY()-$B2311))</f>
        <v/>
      </c>
      <c r="M2311" s="27">
        <f>IF(OR($A2311="",$J2311=""),"",IF($K2311="",IF(TODAY()&gt;$J2311,"Atrasado","En ruta"),IF($K2311&lt;=$J2311,"Sí","No")))</f>
        <v/>
      </c>
      <c r="N2311" s="23">
        <f>IF($A2311="","",COUNTIFS(NOVEDADES!$C$4:$C$1503,$A2311))</f>
        <v/>
      </c>
      <c r="O2311" s="27">
        <f>IF($A2311="","",IF(COUNTIFS(NOVEDADES!$C$4:$C$1503,$A2311,NOVEDADES!$M$4:$M$1503,"SÍ")&gt;0,"No","Sí"))</f>
        <v/>
      </c>
      <c r="P2311" s="27">
        <f>IF(OR($A2311="",$K2311=""),"",IF(AND($M2311="Sí",$O2311="Sí"),"OTIF","Falló"))</f>
        <v/>
      </c>
    </row>
    <row r="2312" ht="16" customHeight="1">
      <c r="A2312" s="47" t="n"/>
      <c r="B2312" s="46" t="n"/>
      <c r="C2312" s="49" t="n"/>
      <c r="D2312" s="49" t="n"/>
      <c r="E2312" s="49" t="n"/>
      <c r="F2312" s="49" t="n"/>
      <c r="G2312" s="47" t="n"/>
      <c r="H2312" s="50" t="n"/>
      <c r="I2312" s="51" t="n"/>
      <c r="J2312" s="46" t="n"/>
      <c r="K2312" s="46" t="n"/>
      <c r="L2312" s="23">
        <f>IF(OR($A2312="",$B2312=""),"",IF($K2312&lt;&gt;"",$K2312-$B2312,TODAY()-$B2312))</f>
        <v/>
      </c>
      <c r="M2312" s="27">
        <f>IF(OR($A2312="",$J2312=""),"",IF($K2312="",IF(TODAY()&gt;$J2312,"Atrasado","En ruta"),IF($K2312&lt;=$J2312,"Sí","No")))</f>
        <v/>
      </c>
      <c r="N2312" s="23">
        <f>IF($A2312="","",COUNTIFS(NOVEDADES!$C$4:$C$1503,$A2312))</f>
        <v/>
      </c>
      <c r="O2312" s="27">
        <f>IF($A2312="","",IF(COUNTIFS(NOVEDADES!$C$4:$C$1503,$A2312,NOVEDADES!$M$4:$M$1503,"SÍ")&gt;0,"No","Sí"))</f>
        <v/>
      </c>
      <c r="P2312" s="27">
        <f>IF(OR($A2312="",$K2312=""),"",IF(AND($M2312="Sí",$O2312="Sí"),"OTIF","Falló"))</f>
        <v/>
      </c>
    </row>
    <row r="2313" ht="16" customHeight="1">
      <c r="A2313" s="47" t="n"/>
      <c r="B2313" s="46" t="n"/>
      <c r="C2313" s="49" t="n"/>
      <c r="D2313" s="49" t="n"/>
      <c r="E2313" s="49" t="n"/>
      <c r="F2313" s="49" t="n"/>
      <c r="G2313" s="47" t="n"/>
      <c r="H2313" s="50" t="n"/>
      <c r="I2313" s="51" t="n"/>
      <c r="J2313" s="46" t="n"/>
      <c r="K2313" s="46" t="n"/>
      <c r="L2313" s="23">
        <f>IF(OR($A2313="",$B2313=""),"",IF($K2313&lt;&gt;"",$K2313-$B2313,TODAY()-$B2313))</f>
        <v/>
      </c>
      <c r="M2313" s="27">
        <f>IF(OR($A2313="",$J2313=""),"",IF($K2313="",IF(TODAY()&gt;$J2313,"Atrasado","En ruta"),IF($K2313&lt;=$J2313,"Sí","No")))</f>
        <v/>
      </c>
      <c r="N2313" s="23">
        <f>IF($A2313="","",COUNTIFS(NOVEDADES!$C$4:$C$1503,$A2313))</f>
        <v/>
      </c>
      <c r="O2313" s="27">
        <f>IF($A2313="","",IF(COUNTIFS(NOVEDADES!$C$4:$C$1503,$A2313,NOVEDADES!$M$4:$M$1503,"SÍ")&gt;0,"No","Sí"))</f>
        <v/>
      </c>
      <c r="P2313" s="27">
        <f>IF(OR($A2313="",$K2313=""),"",IF(AND($M2313="Sí",$O2313="Sí"),"OTIF","Falló"))</f>
        <v/>
      </c>
    </row>
    <row r="2314" ht="16" customHeight="1">
      <c r="A2314" s="47" t="n"/>
      <c r="B2314" s="46" t="n"/>
      <c r="C2314" s="49" t="n"/>
      <c r="D2314" s="49" t="n"/>
      <c r="E2314" s="49" t="n"/>
      <c r="F2314" s="49" t="n"/>
      <c r="G2314" s="47" t="n"/>
      <c r="H2314" s="50" t="n"/>
      <c r="I2314" s="51" t="n"/>
      <c r="J2314" s="46" t="n"/>
      <c r="K2314" s="46" t="n"/>
      <c r="L2314" s="23">
        <f>IF(OR($A2314="",$B2314=""),"",IF($K2314&lt;&gt;"",$K2314-$B2314,TODAY()-$B2314))</f>
        <v/>
      </c>
      <c r="M2314" s="27">
        <f>IF(OR($A2314="",$J2314=""),"",IF($K2314="",IF(TODAY()&gt;$J2314,"Atrasado","En ruta"),IF($K2314&lt;=$J2314,"Sí","No")))</f>
        <v/>
      </c>
      <c r="N2314" s="23">
        <f>IF($A2314="","",COUNTIFS(NOVEDADES!$C$4:$C$1503,$A2314))</f>
        <v/>
      </c>
      <c r="O2314" s="27">
        <f>IF($A2314="","",IF(COUNTIFS(NOVEDADES!$C$4:$C$1503,$A2314,NOVEDADES!$M$4:$M$1503,"SÍ")&gt;0,"No","Sí"))</f>
        <v/>
      </c>
      <c r="P2314" s="27">
        <f>IF(OR($A2314="",$K2314=""),"",IF(AND($M2314="Sí",$O2314="Sí"),"OTIF","Falló"))</f>
        <v/>
      </c>
    </row>
    <row r="2315" ht="16" customHeight="1">
      <c r="A2315" s="47" t="n"/>
      <c r="B2315" s="46" t="n"/>
      <c r="C2315" s="49" t="n"/>
      <c r="D2315" s="49" t="n"/>
      <c r="E2315" s="49" t="n"/>
      <c r="F2315" s="49" t="n"/>
      <c r="G2315" s="47" t="n"/>
      <c r="H2315" s="50" t="n"/>
      <c r="I2315" s="51" t="n"/>
      <c r="J2315" s="46" t="n"/>
      <c r="K2315" s="46" t="n"/>
      <c r="L2315" s="23">
        <f>IF(OR($A2315="",$B2315=""),"",IF($K2315&lt;&gt;"",$K2315-$B2315,TODAY()-$B2315))</f>
        <v/>
      </c>
      <c r="M2315" s="27">
        <f>IF(OR($A2315="",$J2315=""),"",IF($K2315="",IF(TODAY()&gt;$J2315,"Atrasado","En ruta"),IF($K2315&lt;=$J2315,"Sí","No")))</f>
        <v/>
      </c>
      <c r="N2315" s="23">
        <f>IF($A2315="","",COUNTIFS(NOVEDADES!$C$4:$C$1503,$A2315))</f>
        <v/>
      </c>
      <c r="O2315" s="27">
        <f>IF($A2315="","",IF(COUNTIFS(NOVEDADES!$C$4:$C$1503,$A2315,NOVEDADES!$M$4:$M$1503,"SÍ")&gt;0,"No","Sí"))</f>
        <v/>
      </c>
      <c r="P2315" s="27">
        <f>IF(OR($A2315="",$K2315=""),"",IF(AND($M2315="Sí",$O2315="Sí"),"OTIF","Falló"))</f>
        <v/>
      </c>
    </row>
    <row r="2316" ht="16" customHeight="1">
      <c r="A2316" s="47" t="n"/>
      <c r="B2316" s="46" t="n"/>
      <c r="C2316" s="49" t="n"/>
      <c r="D2316" s="49" t="n"/>
      <c r="E2316" s="49" t="n"/>
      <c r="F2316" s="49" t="n"/>
      <c r="G2316" s="47" t="n"/>
      <c r="H2316" s="50" t="n"/>
      <c r="I2316" s="51" t="n"/>
      <c r="J2316" s="46" t="n"/>
      <c r="K2316" s="46" t="n"/>
      <c r="L2316" s="23">
        <f>IF(OR($A2316="",$B2316=""),"",IF($K2316&lt;&gt;"",$K2316-$B2316,TODAY()-$B2316))</f>
        <v/>
      </c>
      <c r="M2316" s="27">
        <f>IF(OR($A2316="",$J2316=""),"",IF($K2316="",IF(TODAY()&gt;$J2316,"Atrasado","En ruta"),IF($K2316&lt;=$J2316,"Sí","No")))</f>
        <v/>
      </c>
      <c r="N2316" s="23">
        <f>IF($A2316="","",COUNTIFS(NOVEDADES!$C$4:$C$1503,$A2316))</f>
        <v/>
      </c>
      <c r="O2316" s="27">
        <f>IF($A2316="","",IF(COUNTIFS(NOVEDADES!$C$4:$C$1503,$A2316,NOVEDADES!$M$4:$M$1503,"SÍ")&gt;0,"No","Sí"))</f>
        <v/>
      </c>
      <c r="P2316" s="27">
        <f>IF(OR($A2316="",$K2316=""),"",IF(AND($M2316="Sí",$O2316="Sí"),"OTIF","Falló"))</f>
        <v/>
      </c>
    </row>
    <row r="2317" ht="16" customHeight="1">
      <c r="A2317" s="47" t="n"/>
      <c r="B2317" s="46" t="n"/>
      <c r="C2317" s="49" t="n"/>
      <c r="D2317" s="49" t="n"/>
      <c r="E2317" s="49" t="n"/>
      <c r="F2317" s="49" t="n"/>
      <c r="G2317" s="47" t="n"/>
      <c r="H2317" s="50" t="n"/>
      <c r="I2317" s="51" t="n"/>
      <c r="J2317" s="46" t="n"/>
      <c r="K2317" s="46" t="n"/>
      <c r="L2317" s="23">
        <f>IF(OR($A2317="",$B2317=""),"",IF($K2317&lt;&gt;"",$K2317-$B2317,TODAY()-$B2317))</f>
        <v/>
      </c>
      <c r="M2317" s="27">
        <f>IF(OR($A2317="",$J2317=""),"",IF($K2317="",IF(TODAY()&gt;$J2317,"Atrasado","En ruta"),IF($K2317&lt;=$J2317,"Sí","No")))</f>
        <v/>
      </c>
      <c r="N2317" s="23">
        <f>IF($A2317="","",COUNTIFS(NOVEDADES!$C$4:$C$1503,$A2317))</f>
        <v/>
      </c>
      <c r="O2317" s="27">
        <f>IF($A2317="","",IF(COUNTIFS(NOVEDADES!$C$4:$C$1503,$A2317,NOVEDADES!$M$4:$M$1503,"SÍ")&gt;0,"No","Sí"))</f>
        <v/>
      </c>
      <c r="P2317" s="27">
        <f>IF(OR($A2317="",$K2317=""),"",IF(AND($M2317="Sí",$O2317="Sí"),"OTIF","Falló"))</f>
        <v/>
      </c>
    </row>
    <row r="2318" ht="16" customHeight="1">
      <c r="A2318" s="47" t="n"/>
      <c r="B2318" s="46" t="n"/>
      <c r="C2318" s="49" t="n"/>
      <c r="D2318" s="49" t="n"/>
      <c r="E2318" s="49" t="n"/>
      <c r="F2318" s="49" t="n"/>
      <c r="G2318" s="47" t="n"/>
      <c r="H2318" s="50" t="n"/>
      <c r="I2318" s="51" t="n"/>
      <c r="J2318" s="46" t="n"/>
      <c r="K2318" s="46" t="n"/>
      <c r="L2318" s="23">
        <f>IF(OR($A2318="",$B2318=""),"",IF($K2318&lt;&gt;"",$K2318-$B2318,TODAY()-$B2318))</f>
        <v/>
      </c>
      <c r="M2318" s="27">
        <f>IF(OR($A2318="",$J2318=""),"",IF($K2318="",IF(TODAY()&gt;$J2318,"Atrasado","En ruta"),IF($K2318&lt;=$J2318,"Sí","No")))</f>
        <v/>
      </c>
      <c r="N2318" s="23">
        <f>IF($A2318="","",COUNTIFS(NOVEDADES!$C$4:$C$1503,$A2318))</f>
        <v/>
      </c>
      <c r="O2318" s="27">
        <f>IF($A2318="","",IF(COUNTIFS(NOVEDADES!$C$4:$C$1503,$A2318,NOVEDADES!$M$4:$M$1503,"SÍ")&gt;0,"No","Sí"))</f>
        <v/>
      </c>
      <c r="P2318" s="27">
        <f>IF(OR($A2318="",$K2318=""),"",IF(AND($M2318="Sí",$O2318="Sí"),"OTIF","Falló"))</f>
        <v/>
      </c>
    </row>
    <row r="2319" ht="16" customHeight="1">
      <c r="A2319" s="47" t="n"/>
      <c r="B2319" s="46" t="n"/>
      <c r="C2319" s="49" t="n"/>
      <c r="D2319" s="49" t="n"/>
      <c r="E2319" s="49" t="n"/>
      <c r="F2319" s="49" t="n"/>
      <c r="G2319" s="47" t="n"/>
      <c r="H2319" s="50" t="n"/>
      <c r="I2319" s="51" t="n"/>
      <c r="J2319" s="46" t="n"/>
      <c r="K2319" s="46" t="n"/>
      <c r="L2319" s="23">
        <f>IF(OR($A2319="",$B2319=""),"",IF($K2319&lt;&gt;"",$K2319-$B2319,TODAY()-$B2319))</f>
        <v/>
      </c>
      <c r="M2319" s="27">
        <f>IF(OR($A2319="",$J2319=""),"",IF($K2319="",IF(TODAY()&gt;$J2319,"Atrasado","En ruta"),IF($K2319&lt;=$J2319,"Sí","No")))</f>
        <v/>
      </c>
      <c r="N2319" s="23">
        <f>IF($A2319="","",COUNTIFS(NOVEDADES!$C$4:$C$1503,$A2319))</f>
        <v/>
      </c>
      <c r="O2319" s="27">
        <f>IF($A2319="","",IF(COUNTIFS(NOVEDADES!$C$4:$C$1503,$A2319,NOVEDADES!$M$4:$M$1503,"SÍ")&gt;0,"No","Sí"))</f>
        <v/>
      </c>
      <c r="P2319" s="27">
        <f>IF(OR($A2319="",$K2319=""),"",IF(AND($M2319="Sí",$O2319="Sí"),"OTIF","Falló"))</f>
        <v/>
      </c>
    </row>
    <row r="2320" ht="16" customHeight="1">
      <c r="A2320" s="47" t="n"/>
      <c r="B2320" s="46" t="n"/>
      <c r="C2320" s="49" t="n"/>
      <c r="D2320" s="49" t="n"/>
      <c r="E2320" s="49" t="n"/>
      <c r="F2320" s="49" t="n"/>
      <c r="G2320" s="47" t="n"/>
      <c r="H2320" s="50" t="n"/>
      <c r="I2320" s="51" t="n"/>
      <c r="J2320" s="46" t="n"/>
      <c r="K2320" s="46" t="n"/>
      <c r="L2320" s="23">
        <f>IF(OR($A2320="",$B2320=""),"",IF($K2320&lt;&gt;"",$K2320-$B2320,TODAY()-$B2320))</f>
        <v/>
      </c>
      <c r="M2320" s="27">
        <f>IF(OR($A2320="",$J2320=""),"",IF($K2320="",IF(TODAY()&gt;$J2320,"Atrasado","En ruta"),IF($K2320&lt;=$J2320,"Sí","No")))</f>
        <v/>
      </c>
      <c r="N2320" s="23">
        <f>IF($A2320="","",COUNTIFS(NOVEDADES!$C$4:$C$1503,$A2320))</f>
        <v/>
      </c>
      <c r="O2320" s="27">
        <f>IF($A2320="","",IF(COUNTIFS(NOVEDADES!$C$4:$C$1503,$A2320,NOVEDADES!$M$4:$M$1503,"SÍ")&gt;0,"No","Sí"))</f>
        <v/>
      </c>
      <c r="P2320" s="27">
        <f>IF(OR($A2320="",$K2320=""),"",IF(AND($M2320="Sí",$O2320="Sí"),"OTIF","Falló"))</f>
        <v/>
      </c>
    </row>
    <row r="2321" ht="16" customHeight="1">
      <c r="A2321" s="47" t="n"/>
      <c r="B2321" s="46" t="n"/>
      <c r="C2321" s="49" t="n"/>
      <c r="D2321" s="49" t="n"/>
      <c r="E2321" s="49" t="n"/>
      <c r="F2321" s="49" t="n"/>
      <c r="G2321" s="47" t="n"/>
      <c r="H2321" s="50" t="n"/>
      <c r="I2321" s="51" t="n"/>
      <c r="J2321" s="46" t="n"/>
      <c r="K2321" s="46" t="n"/>
      <c r="L2321" s="23">
        <f>IF(OR($A2321="",$B2321=""),"",IF($K2321&lt;&gt;"",$K2321-$B2321,TODAY()-$B2321))</f>
        <v/>
      </c>
      <c r="M2321" s="27">
        <f>IF(OR($A2321="",$J2321=""),"",IF($K2321="",IF(TODAY()&gt;$J2321,"Atrasado","En ruta"),IF($K2321&lt;=$J2321,"Sí","No")))</f>
        <v/>
      </c>
      <c r="N2321" s="23">
        <f>IF($A2321="","",COUNTIFS(NOVEDADES!$C$4:$C$1503,$A2321))</f>
        <v/>
      </c>
      <c r="O2321" s="27">
        <f>IF($A2321="","",IF(COUNTIFS(NOVEDADES!$C$4:$C$1503,$A2321,NOVEDADES!$M$4:$M$1503,"SÍ")&gt;0,"No","Sí"))</f>
        <v/>
      </c>
      <c r="P2321" s="27">
        <f>IF(OR($A2321="",$K2321=""),"",IF(AND($M2321="Sí",$O2321="Sí"),"OTIF","Falló"))</f>
        <v/>
      </c>
    </row>
    <row r="2322" ht="16" customHeight="1">
      <c r="A2322" s="47" t="n"/>
      <c r="B2322" s="46" t="n"/>
      <c r="C2322" s="49" t="n"/>
      <c r="D2322" s="49" t="n"/>
      <c r="E2322" s="49" t="n"/>
      <c r="F2322" s="49" t="n"/>
      <c r="G2322" s="47" t="n"/>
      <c r="H2322" s="50" t="n"/>
      <c r="I2322" s="51" t="n"/>
      <c r="J2322" s="46" t="n"/>
      <c r="K2322" s="46" t="n"/>
      <c r="L2322" s="23">
        <f>IF(OR($A2322="",$B2322=""),"",IF($K2322&lt;&gt;"",$K2322-$B2322,TODAY()-$B2322))</f>
        <v/>
      </c>
      <c r="M2322" s="27">
        <f>IF(OR($A2322="",$J2322=""),"",IF($K2322="",IF(TODAY()&gt;$J2322,"Atrasado","En ruta"),IF($K2322&lt;=$J2322,"Sí","No")))</f>
        <v/>
      </c>
      <c r="N2322" s="23">
        <f>IF($A2322="","",COUNTIFS(NOVEDADES!$C$4:$C$1503,$A2322))</f>
        <v/>
      </c>
      <c r="O2322" s="27">
        <f>IF($A2322="","",IF(COUNTIFS(NOVEDADES!$C$4:$C$1503,$A2322,NOVEDADES!$M$4:$M$1503,"SÍ")&gt;0,"No","Sí"))</f>
        <v/>
      </c>
      <c r="P2322" s="27">
        <f>IF(OR($A2322="",$K2322=""),"",IF(AND($M2322="Sí",$O2322="Sí"),"OTIF","Falló"))</f>
        <v/>
      </c>
    </row>
    <row r="2323" ht="16" customHeight="1">
      <c r="A2323" s="47" t="n"/>
      <c r="B2323" s="46" t="n"/>
      <c r="C2323" s="49" t="n"/>
      <c r="D2323" s="49" t="n"/>
      <c r="E2323" s="49" t="n"/>
      <c r="F2323" s="49" t="n"/>
      <c r="G2323" s="47" t="n"/>
      <c r="H2323" s="50" t="n"/>
      <c r="I2323" s="51" t="n"/>
      <c r="J2323" s="46" t="n"/>
      <c r="K2323" s="46" t="n"/>
      <c r="L2323" s="23">
        <f>IF(OR($A2323="",$B2323=""),"",IF($K2323&lt;&gt;"",$K2323-$B2323,TODAY()-$B2323))</f>
        <v/>
      </c>
      <c r="M2323" s="27">
        <f>IF(OR($A2323="",$J2323=""),"",IF($K2323="",IF(TODAY()&gt;$J2323,"Atrasado","En ruta"),IF($K2323&lt;=$J2323,"Sí","No")))</f>
        <v/>
      </c>
      <c r="N2323" s="23">
        <f>IF($A2323="","",COUNTIFS(NOVEDADES!$C$4:$C$1503,$A2323))</f>
        <v/>
      </c>
      <c r="O2323" s="27">
        <f>IF($A2323="","",IF(COUNTIFS(NOVEDADES!$C$4:$C$1503,$A2323,NOVEDADES!$M$4:$M$1503,"SÍ")&gt;0,"No","Sí"))</f>
        <v/>
      </c>
      <c r="P2323" s="27">
        <f>IF(OR($A2323="",$K2323=""),"",IF(AND($M2323="Sí",$O2323="Sí"),"OTIF","Falló"))</f>
        <v/>
      </c>
    </row>
    <row r="2324" ht="16" customHeight="1">
      <c r="A2324" s="47" t="n"/>
      <c r="B2324" s="46" t="n"/>
      <c r="C2324" s="49" t="n"/>
      <c r="D2324" s="49" t="n"/>
      <c r="E2324" s="49" t="n"/>
      <c r="F2324" s="49" t="n"/>
      <c r="G2324" s="47" t="n"/>
      <c r="H2324" s="50" t="n"/>
      <c r="I2324" s="51" t="n"/>
      <c r="J2324" s="46" t="n"/>
      <c r="K2324" s="46" t="n"/>
      <c r="L2324" s="23">
        <f>IF(OR($A2324="",$B2324=""),"",IF($K2324&lt;&gt;"",$K2324-$B2324,TODAY()-$B2324))</f>
        <v/>
      </c>
      <c r="M2324" s="27">
        <f>IF(OR($A2324="",$J2324=""),"",IF($K2324="",IF(TODAY()&gt;$J2324,"Atrasado","En ruta"),IF($K2324&lt;=$J2324,"Sí","No")))</f>
        <v/>
      </c>
      <c r="N2324" s="23">
        <f>IF($A2324="","",COUNTIFS(NOVEDADES!$C$4:$C$1503,$A2324))</f>
        <v/>
      </c>
      <c r="O2324" s="27">
        <f>IF($A2324="","",IF(COUNTIFS(NOVEDADES!$C$4:$C$1503,$A2324,NOVEDADES!$M$4:$M$1503,"SÍ")&gt;0,"No","Sí"))</f>
        <v/>
      </c>
      <c r="P2324" s="27">
        <f>IF(OR($A2324="",$K2324=""),"",IF(AND($M2324="Sí",$O2324="Sí"),"OTIF","Falló"))</f>
        <v/>
      </c>
    </row>
    <row r="2325" ht="16" customHeight="1">
      <c r="A2325" s="47" t="n"/>
      <c r="B2325" s="46" t="n"/>
      <c r="C2325" s="49" t="n"/>
      <c r="D2325" s="49" t="n"/>
      <c r="E2325" s="49" t="n"/>
      <c r="F2325" s="49" t="n"/>
      <c r="G2325" s="47" t="n"/>
      <c r="H2325" s="50" t="n"/>
      <c r="I2325" s="51" t="n"/>
      <c r="J2325" s="46" t="n"/>
      <c r="K2325" s="46" t="n"/>
      <c r="L2325" s="23">
        <f>IF(OR($A2325="",$B2325=""),"",IF($K2325&lt;&gt;"",$K2325-$B2325,TODAY()-$B2325))</f>
        <v/>
      </c>
      <c r="M2325" s="27">
        <f>IF(OR($A2325="",$J2325=""),"",IF($K2325="",IF(TODAY()&gt;$J2325,"Atrasado","En ruta"),IF($K2325&lt;=$J2325,"Sí","No")))</f>
        <v/>
      </c>
      <c r="N2325" s="23">
        <f>IF($A2325="","",COUNTIFS(NOVEDADES!$C$4:$C$1503,$A2325))</f>
        <v/>
      </c>
      <c r="O2325" s="27">
        <f>IF($A2325="","",IF(COUNTIFS(NOVEDADES!$C$4:$C$1503,$A2325,NOVEDADES!$M$4:$M$1503,"SÍ")&gt;0,"No","Sí"))</f>
        <v/>
      </c>
      <c r="P2325" s="27">
        <f>IF(OR($A2325="",$K2325=""),"",IF(AND($M2325="Sí",$O2325="Sí"),"OTIF","Falló"))</f>
        <v/>
      </c>
    </row>
    <row r="2326" ht="16" customHeight="1">
      <c r="A2326" s="47" t="n"/>
      <c r="B2326" s="46" t="n"/>
      <c r="C2326" s="49" t="n"/>
      <c r="D2326" s="49" t="n"/>
      <c r="E2326" s="49" t="n"/>
      <c r="F2326" s="49" t="n"/>
      <c r="G2326" s="47" t="n"/>
      <c r="H2326" s="50" t="n"/>
      <c r="I2326" s="51" t="n"/>
      <c r="J2326" s="46" t="n"/>
      <c r="K2326" s="46" t="n"/>
      <c r="L2326" s="23">
        <f>IF(OR($A2326="",$B2326=""),"",IF($K2326&lt;&gt;"",$K2326-$B2326,TODAY()-$B2326))</f>
        <v/>
      </c>
      <c r="M2326" s="27">
        <f>IF(OR($A2326="",$J2326=""),"",IF($K2326="",IF(TODAY()&gt;$J2326,"Atrasado","En ruta"),IF($K2326&lt;=$J2326,"Sí","No")))</f>
        <v/>
      </c>
      <c r="N2326" s="23">
        <f>IF($A2326="","",COUNTIFS(NOVEDADES!$C$4:$C$1503,$A2326))</f>
        <v/>
      </c>
      <c r="O2326" s="27">
        <f>IF($A2326="","",IF(COUNTIFS(NOVEDADES!$C$4:$C$1503,$A2326,NOVEDADES!$M$4:$M$1503,"SÍ")&gt;0,"No","Sí"))</f>
        <v/>
      </c>
      <c r="P2326" s="27">
        <f>IF(OR($A2326="",$K2326=""),"",IF(AND($M2326="Sí",$O2326="Sí"),"OTIF","Falló"))</f>
        <v/>
      </c>
    </row>
    <row r="2327" ht="16" customHeight="1">
      <c r="A2327" s="47" t="n"/>
      <c r="B2327" s="46" t="n"/>
      <c r="C2327" s="49" t="n"/>
      <c r="D2327" s="49" t="n"/>
      <c r="E2327" s="49" t="n"/>
      <c r="F2327" s="49" t="n"/>
      <c r="G2327" s="47" t="n"/>
      <c r="H2327" s="50" t="n"/>
      <c r="I2327" s="51" t="n"/>
      <c r="J2327" s="46" t="n"/>
      <c r="K2327" s="46" t="n"/>
      <c r="L2327" s="23">
        <f>IF(OR($A2327="",$B2327=""),"",IF($K2327&lt;&gt;"",$K2327-$B2327,TODAY()-$B2327))</f>
        <v/>
      </c>
      <c r="M2327" s="27">
        <f>IF(OR($A2327="",$J2327=""),"",IF($K2327="",IF(TODAY()&gt;$J2327,"Atrasado","En ruta"),IF($K2327&lt;=$J2327,"Sí","No")))</f>
        <v/>
      </c>
      <c r="N2327" s="23">
        <f>IF($A2327="","",COUNTIFS(NOVEDADES!$C$4:$C$1503,$A2327))</f>
        <v/>
      </c>
      <c r="O2327" s="27">
        <f>IF($A2327="","",IF(COUNTIFS(NOVEDADES!$C$4:$C$1503,$A2327,NOVEDADES!$M$4:$M$1503,"SÍ")&gt;0,"No","Sí"))</f>
        <v/>
      </c>
      <c r="P2327" s="27">
        <f>IF(OR($A2327="",$K2327=""),"",IF(AND($M2327="Sí",$O2327="Sí"),"OTIF","Falló"))</f>
        <v/>
      </c>
    </row>
    <row r="2328" ht="16" customHeight="1">
      <c r="A2328" s="47" t="n"/>
      <c r="B2328" s="46" t="n"/>
      <c r="C2328" s="49" t="n"/>
      <c r="D2328" s="49" t="n"/>
      <c r="E2328" s="49" t="n"/>
      <c r="F2328" s="49" t="n"/>
      <c r="G2328" s="47" t="n"/>
      <c r="H2328" s="50" t="n"/>
      <c r="I2328" s="51" t="n"/>
      <c r="J2328" s="46" t="n"/>
      <c r="K2328" s="46" t="n"/>
      <c r="L2328" s="23">
        <f>IF(OR($A2328="",$B2328=""),"",IF($K2328&lt;&gt;"",$K2328-$B2328,TODAY()-$B2328))</f>
        <v/>
      </c>
      <c r="M2328" s="27">
        <f>IF(OR($A2328="",$J2328=""),"",IF($K2328="",IF(TODAY()&gt;$J2328,"Atrasado","En ruta"),IF($K2328&lt;=$J2328,"Sí","No")))</f>
        <v/>
      </c>
      <c r="N2328" s="23">
        <f>IF($A2328="","",COUNTIFS(NOVEDADES!$C$4:$C$1503,$A2328))</f>
        <v/>
      </c>
      <c r="O2328" s="27">
        <f>IF($A2328="","",IF(COUNTIFS(NOVEDADES!$C$4:$C$1503,$A2328,NOVEDADES!$M$4:$M$1503,"SÍ")&gt;0,"No","Sí"))</f>
        <v/>
      </c>
      <c r="P2328" s="27">
        <f>IF(OR($A2328="",$K2328=""),"",IF(AND($M2328="Sí",$O2328="Sí"),"OTIF","Falló"))</f>
        <v/>
      </c>
    </row>
    <row r="2329" ht="16" customHeight="1">
      <c r="A2329" s="47" t="n"/>
      <c r="B2329" s="46" t="n"/>
      <c r="C2329" s="49" t="n"/>
      <c r="D2329" s="49" t="n"/>
      <c r="E2329" s="49" t="n"/>
      <c r="F2329" s="49" t="n"/>
      <c r="G2329" s="47" t="n"/>
      <c r="H2329" s="50" t="n"/>
      <c r="I2329" s="51" t="n"/>
      <c r="J2329" s="46" t="n"/>
      <c r="K2329" s="46" t="n"/>
      <c r="L2329" s="23">
        <f>IF(OR($A2329="",$B2329=""),"",IF($K2329&lt;&gt;"",$K2329-$B2329,TODAY()-$B2329))</f>
        <v/>
      </c>
      <c r="M2329" s="27">
        <f>IF(OR($A2329="",$J2329=""),"",IF($K2329="",IF(TODAY()&gt;$J2329,"Atrasado","En ruta"),IF($K2329&lt;=$J2329,"Sí","No")))</f>
        <v/>
      </c>
      <c r="N2329" s="23">
        <f>IF($A2329="","",COUNTIFS(NOVEDADES!$C$4:$C$1503,$A2329))</f>
        <v/>
      </c>
      <c r="O2329" s="27">
        <f>IF($A2329="","",IF(COUNTIFS(NOVEDADES!$C$4:$C$1503,$A2329,NOVEDADES!$M$4:$M$1503,"SÍ")&gt;0,"No","Sí"))</f>
        <v/>
      </c>
      <c r="P2329" s="27">
        <f>IF(OR($A2329="",$K2329=""),"",IF(AND($M2329="Sí",$O2329="Sí"),"OTIF","Falló"))</f>
        <v/>
      </c>
    </row>
    <row r="2330" ht="16" customHeight="1">
      <c r="A2330" s="47" t="n"/>
      <c r="B2330" s="46" t="n"/>
      <c r="C2330" s="49" t="n"/>
      <c r="D2330" s="49" t="n"/>
      <c r="E2330" s="49" t="n"/>
      <c r="F2330" s="49" t="n"/>
      <c r="G2330" s="47" t="n"/>
      <c r="H2330" s="50" t="n"/>
      <c r="I2330" s="51" t="n"/>
      <c r="J2330" s="46" t="n"/>
      <c r="K2330" s="46" t="n"/>
      <c r="L2330" s="23">
        <f>IF(OR($A2330="",$B2330=""),"",IF($K2330&lt;&gt;"",$K2330-$B2330,TODAY()-$B2330))</f>
        <v/>
      </c>
      <c r="M2330" s="27">
        <f>IF(OR($A2330="",$J2330=""),"",IF($K2330="",IF(TODAY()&gt;$J2330,"Atrasado","En ruta"),IF($K2330&lt;=$J2330,"Sí","No")))</f>
        <v/>
      </c>
      <c r="N2330" s="23">
        <f>IF($A2330="","",COUNTIFS(NOVEDADES!$C$4:$C$1503,$A2330))</f>
        <v/>
      </c>
      <c r="O2330" s="27">
        <f>IF($A2330="","",IF(COUNTIFS(NOVEDADES!$C$4:$C$1503,$A2330,NOVEDADES!$M$4:$M$1503,"SÍ")&gt;0,"No","Sí"))</f>
        <v/>
      </c>
      <c r="P2330" s="27">
        <f>IF(OR($A2330="",$K2330=""),"",IF(AND($M2330="Sí",$O2330="Sí"),"OTIF","Falló"))</f>
        <v/>
      </c>
    </row>
    <row r="2331" ht="16" customHeight="1">
      <c r="A2331" s="47" t="n"/>
      <c r="B2331" s="46" t="n"/>
      <c r="C2331" s="49" t="n"/>
      <c r="D2331" s="49" t="n"/>
      <c r="E2331" s="49" t="n"/>
      <c r="F2331" s="49" t="n"/>
      <c r="G2331" s="47" t="n"/>
      <c r="H2331" s="50" t="n"/>
      <c r="I2331" s="51" t="n"/>
      <c r="J2331" s="46" t="n"/>
      <c r="K2331" s="46" t="n"/>
      <c r="L2331" s="23">
        <f>IF(OR($A2331="",$B2331=""),"",IF($K2331&lt;&gt;"",$K2331-$B2331,TODAY()-$B2331))</f>
        <v/>
      </c>
      <c r="M2331" s="27">
        <f>IF(OR($A2331="",$J2331=""),"",IF($K2331="",IF(TODAY()&gt;$J2331,"Atrasado","En ruta"),IF($K2331&lt;=$J2331,"Sí","No")))</f>
        <v/>
      </c>
      <c r="N2331" s="23">
        <f>IF($A2331="","",COUNTIFS(NOVEDADES!$C$4:$C$1503,$A2331))</f>
        <v/>
      </c>
      <c r="O2331" s="27">
        <f>IF($A2331="","",IF(COUNTIFS(NOVEDADES!$C$4:$C$1503,$A2331,NOVEDADES!$M$4:$M$1503,"SÍ")&gt;0,"No","Sí"))</f>
        <v/>
      </c>
      <c r="P2331" s="27">
        <f>IF(OR($A2331="",$K2331=""),"",IF(AND($M2331="Sí",$O2331="Sí"),"OTIF","Falló"))</f>
        <v/>
      </c>
    </row>
    <row r="2332" ht="16" customHeight="1">
      <c r="A2332" s="47" t="n"/>
      <c r="B2332" s="46" t="n"/>
      <c r="C2332" s="49" t="n"/>
      <c r="D2332" s="49" t="n"/>
      <c r="E2332" s="49" t="n"/>
      <c r="F2332" s="49" t="n"/>
      <c r="G2332" s="47" t="n"/>
      <c r="H2332" s="50" t="n"/>
      <c r="I2332" s="51" t="n"/>
      <c r="J2332" s="46" t="n"/>
      <c r="K2332" s="46" t="n"/>
      <c r="L2332" s="23">
        <f>IF(OR($A2332="",$B2332=""),"",IF($K2332&lt;&gt;"",$K2332-$B2332,TODAY()-$B2332))</f>
        <v/>
      </c>
      <c r="M2332" s="27">
        <f>IF(OR($A2332="",$J2332=""),"",IF($K2332="",IF(TODAY()&gt;$J2332,"Atrasado","En ruta"),IF($K2332&lt;=$J2332,"Sí","No")))</f>
        <v/>
      </c>
      <c r="N2332" s="23">
        <f>IF($A2332="","",COUNTIFS(NOVEDADES!$C$4:$C$1503,$A2332))</f>
        <v/>
      </c>
      <c r="O2332" s="27">
        <f>IF($A2332="","",IF(COUNTIFS(NOVEDADES!$C$4:$C$1503,$A2332,NOVEDADES!$M$4:$M$1503,"SÍ")&gt;0,"No","Sí"))</f>
        <v/>
      </c>
      <c r="P2332" s="27">
        <f>IF(OR($A2332="",$K2332=""),"",IF(AND($M2332="Sí",$O2332="Sí"),"OTIF","Falló"))</f>
        <v/>
      </c>
    </row>
    <row r="2333" ht="16" customHeight="1">
      <c r="A2333" s="47" t="n"/>
      <c r="B2333" s="46" t="n"/>
      <c r="C2333" s="49" t="n"/>
      <c r="D2333" s="49" t="n"/>
      <c r="E2333" s="49" t="n"/>
      <c r="F2333" s="49" t="n"/>
      <c r="G2333" s="47" t="n"/>
      <c r="H2333" s="50" t="n"/>
      <c r="I2333" s="51" t="n"/>
      <c r="J2333" s="46" t="n"/>
      <c r="K2333" s="46" t="n"/>
      <c r="L2333" s="23">
        <f>IF(OR($A2333="",$B2333=""),"",IF($K2333&lt;&gt;"",$K2333-$B2333,TODAY()-$B2333))</f>
        <v/>
      </c>
      <c r="M2333" s="27">
        <f>IF(OR($A2333="",$J2333=""),"",IF($K2333="",IF(TODAY()&gt;$J2333,"Atrasado","En ruta"),IF($K2333&lt;=$J2333,"Sí","No")))</f>
        <v/>
      </c>
      <c r="N2333" s="23">
        <f>IF($A2333="","",COUNTIFS(NOVEDADES!$C$4:$C$1503,$A2333))</f>
        <v/>
      </c>
      <c r="O2333" s="27">
        <f>IF($A2333="","",IF(COUNTIFS(NOVEDADES!$C$4:$C$1503,$A2333,NOVEDADES!$M$4:$M$1503,"SÍ")&gt;0,"No","Sí"))</f>
        <v/>
      </c>
      <c r="P2333" s="27">
        <f>IF(OR($A2333="",$K2333=""),"",IF(AND($M2333="Sí",$O2333="Sí"),"OTIF","Falló"))</f>
        <v/>
      </c>
    </row>
    <row r="2334" ht="16" customHeight="1">
      <c r="A2334" s="47" t="n"/>
      <c r="B2334" s="46" t="n"/>
      <c r="C2334" s="49" t="n"/>
      <c r="D2334" s="49" t="n"/>
      <c r="E2334" s="49" t="n"/>
      <c r="F2334" s="49" t="n"/>
      <c r="G2334" s="47" t="n"/>
      <c r="H2334" s="50" t="n"/>
      <c r="I2334" s="51" t="n"/>
      <c r="J2334" s="46" t="n"/>
      <c r="K2334" s="46" t="n"/>
      <c r="L2334" s="23">
        <f>IF(OR($A2334="",$B2334=""),"",IF($K2334&lt;&gt;"",$K2334-$B2334,TODAY()-$B2334))</f>
        <v/>
      </c>
      <c r="M2334" s="27">
        <f>IF(OR($A2334="",$J2334=""),"",IF($K2334="",IF(TODAY()&gt;$J2334,"Atrasado","En ruta"),IF($K2334&lt;=$J2334,"Sí","No")))</f>
        <v/>
      </c>
      <c r="N2334" s="23">
        <f>IF($A2334="","",COUNTIFS(NOVEDADES!$C$4:$C$1503,$A2334))</f>
        <v/>
      </c>
      <c r="O2334" s="27">
        <f>IF($A2334="","",IF(COUNTIFS(NOVEDADES!$C$4:$C$1503,$A2334,NOVEDADES!$M$4:$M$1503,"SÍ")&gt;0,"No","Sí"))</f>
        <v/>
      </c>
      <c r="P2334" s="27">
        <f>IF(OR($A2334="",$K2334=""),"",IF(AND($M2334="Sí",$O2334="Sí"),"OTIF","Falló"))</f>
        <v/>
      </c>
    </row>
    <row r="2335" ht="16" customHeight="1">
      <c r="A2335" s="47" t="n"/>
      <c r="B2335" s="46" t="n"/>
      <c r="C2335" s="49" t="n"/>
      <c r="D2335" s="49" t="n"/>
      <c r="E2335" s="49" t="n"/>
      <c r="F2335" s="49" t="n"/>
      <c r="G2335" s="47" t="n"/>
      <c r="H2335" s="50" t="n"/>
      <c r="I2335" s="51" t="n"/>
      <c r="J2335" s="46" t="n"/>
      <c r="K2335" s="46" t="n"/>
      <c r="L2335" s="23">
        <f>IF(OR($A2335="",$B2335=""),"",IF($K2335&lt;&gt;"",$K2335-$B2335,TODAY()-$B2335))</f>
        <v/>
      </c>
      <c r="M2335" s="27">
        <f>IF(OR($A2335="",$J2335=""),"",IF($K2335="",IF(TODAY()&gt;$J2335,"Atrasado","En ruta"),IF($K2335&lt;=$J2335,"Sí","No")))</f>
        <v/>
      </c>
      <c r="N2335" s="23">
        <f>IF($A2335="","",COUNTIFS(NOVEDADES!$C$4:$C$1503,$A2335))</f>
        <v/>
      </c>
      <c r="O2335" s="27">
        <f>IF($A2335="","",IF(COUNTIFS(NOVEDADES!$C$4:$C$1503,$A2335,NOVEDADES!$M$4:$M$1503,"SÍ")&gt;0,"No","Sí"))</f>
        <v/>
      </c>
      <c r="P2335" s="27">
        <f>IF(OR($A2335="",$K2335=""),"",IF(AND($M2335="Sí",$O2335="Sí"),"OTIF","Falló"))</f>
        <v/>
      </c>
    </row>
    <row r="2336" ht="16" customHeight="1">
      <c r="A2336" s="47" t="n"/>
      <c r="B2336" s="46" t="n"/>
      <c r="C2336" s="49" t="n"/>
      <c r="D2336" s="49" t="n"/>
      <c r="E2336" s="49" t="n"/>
      <c r="F2336" s="49" t="n"/>
      <c r="G2336" s="47" t="n"/>
      <c r="H2336" s="50" t="n"/>
      <c r="I2336" s="51" t="n"/>
      <c r="J2336" s="46" t="n"/>
      <c r="K2336" s="46" t="n"/>
      <c r="L2336" s="23">
        <f>IF(OR($A2336="",$B2336=""),"",IF($K2336&lt;&gt;"",$K2336-$B2336,TODAY()-$B2336))</f>
        <v/>
      </c>
      <c r="M2336" s="27">
        <f>IF(OR($A2336="",$J2336=""),"",IF($K2336="",IF(TODAY()&gt;$J2336,"Atrasado","En ruta"),IF($K2336&lt;=$J2336,"Sí","No")))</f>
        <v/>
      </c>
      <c r="N2336" s="23">
        <f>IF($A2336="","",COUNTIFS(NOVEDADES!$C$4:$C$1503,$A2336))</f>
        <v/>
      </c>
      <c r="O2336" s="27">
        <f>IF($A2336="","",IF(COUNTIFS(NOVEDADES!$C$4:$C$1503,$A2336,NOVEDADES!$M$4:$M$1503,"SÍ")&gt;0,"No","Sí"))</f>
        <v/>
      </c>
      <c r="P2336" s="27">
        <f>IF(OR($A2336="",$K2336=""),"",IF(AND($M2336="Sí",$O2336="Sí"),"OTIF","Falló"))</f>
        <v/>
      </c>
    </row>
    <row r="2337" ht="16" customHeight="1">
      <c r="A2337" s="47" t="n"/>
      <c r="B2337" s="46" t="n"/>
      <c r="C2337" s="49" t="n"/>
      <c r="D2337" s="49" t="n"/>
      <c r="E2337" s="49" t="n"/>
      <c r="F2337" s="49" t="n"/>
      <c r="G2337" s="47" t="n"/>
      <c r="H2337" s="50" t="n"/>
      <c r="I2337" s="51" t="n"/>
      <c r="J2337" s="46" t="n"/>
      <c r="K2337" s="46" t="n"/>
      <c r="L2337" s="23">
        <f>IF(OR($A2337="",$B2337=""),"",IF($K2337&lt;&gt;"",$K2337-$B2337,TODAY()-$B2337))</f>
        <v/>
      </c>
      <c r="M2337" s="27">
        <f>IF(OR($A2337="",$J2337=""),"",IF($K2337="",IF(TODAY()&gt;$J2337,"Atrasado","En ruta"),IF($K2337&lt;=$J2337,"Sí","No")))</f>
        <v/>
      </c>
      <c r="N2337" s="23">
        <f>IF($A2337="","",COUNTIFS(NOVEDADES!$C$4:$C$1503,$A2337))</f>
        <v/>
      </c>
      <c r="O2337" s="27">
        <f>IF($A2337="","",IF(COUNTIFS(NOVEDADES!$C$4:$C$1503,$A2337,NOVEDADES!$M$4:$M$1503,"SÍ")&gt;0,"No","Sí"))</f>
        <v/>
      </c>
      <c r="P2337" s="27">
        <f>IF(OR($A2337="",$K2337=""),"",IF(AND($M2337="Sí",$O2337="Sí"),"OTIF","Falló"))</f>
        <v/>
      </c>
    </row>
    <row r="2338" ht="16" customHeight="1">
      <c r="A2338" s="47" t="n"/>
      <c r="B2338" s="46" t="n"/>
      <c r="C2338" s="49" t="n"/>
      <c r="D2338" s="49" t="n"/>
      <c r="E2338" s="49" t="n"/>
      <c r="F2338" s="49" t="n"/>
      <c r="G2338" s="47" t="n"/>
      <c r="H2338" s="50" t="n"/>
      <c r="I2338" s="51" t="n"/>
      <c r="J2338" s="46" t="n"/>
      <c r="K2338" s="46" t="n"/>
      <c r="L2338" s="23">
        <f>IF(OR($A2338="",$B2338=""),"",IF($K2338&lt;&gt;"",$K2338-$B2338,TODAY()-$B2338))</f>
        <v/>
      </c>
      <c r="M2338" s="27">
        <f>IF(OR($A2338="",$J2338=""),"",IF($K2338="",IF(TODAY()&gt;$J2338,"Atrasado","En ruta"),IF($K2338&lt;=$J2338,"Sí","No")))</f>
        <v/>
      </c>
      <c r="N2338" s="23">
        <f>IF($A2338="","",COUNTIFS(NOVEDADES!$C$4:$C$1503,$A2338))</f>
        <v/>
      </c>
      <c r="O2338" s="27">
        <f>IF($A2338="","",IF(COUNTIFS(NOVEDADES!$C$4:$C$1503,$A2338,NOVEDADES!$M$4:$M$1503,"SÍ")&gt;0,"No","Sí"))</f>
        <v/>
      </c>
      <c r="P2338" s="27">
        <f>IF(OR($A2338="",$K2338=""),"",IF(AND($M2338="Sí",$O2338="Sí"),"OTIF","Falló"))</f>
        <v/>
      </c>
    </row>
    <row r="2339" ht="16" customHeight="1">
      <c r="A2339" s="47" t="n"/>
      <c r="B2339" s="46" t="n"/>
      <c r="C2339" s="49" t="n"/>
      <c r="D2339" s="49" t="n"/>
      <c r="E2339" s="49" t="n"/>
      <c r="F2339" s="49" t="n"/>
      <c r="G2339" s="47" t="n"/>
      <c r="H2339" s="50" t="n"/>
      <c r="I2339" s="51" t="n"/>
      <c r="J2339" s="46" t="n"/>
      <c r="K2339" s="46" t="n"/>
      <c r="L2339" s="23">
        <f>IF(OR($A2339="",$B2339=""),"",IF($K2339&lt;&gt;"",$K2339-$B2339,TODAY()-$B2339))</f>
        <v/>
      </c>
      <c r="M2339" s="27">
        <f>IF(OR($A2339="",$J2339=""),"",IF($K2339="",IF(TODAY()&gt;$J2339,"Atrasado","En ruta"),IF($K2339&lt;=$J2339,"Sí","No")))</f>
        <v/>
      </c>
      <c r="N2339" s="23">
        <f>IF($A2339="","",COUNTIFS(NOVEDADES!$C$4:$C$1503,$A2339))</f>
        <v/>
      </c>
      <c r="O2339" s="27">
        <f>IF($A2339="","",IF(COUNTIFS(NOVEDADES!$C$4:$C$1503,$A2339,NOVEDADES!$M$4:$M$1503,"SÍ")&gt;0,"No","Sí"))</f>
        <v/>
      </c>
      <c r="P2339" s="27">
        <f>IF(OR($A2339="",$K2339=""),"",IF(AND($M2339="Sí",$O2339="Sí"),"OTIF","Falló"))</f>
        <v/>
      </c>
    </row>
    <row r="2340" ht="16" customHeight="1">
      <c r="A2340" s="47" t="n"/>
      <c r="B2340" s="46" t="n"/>
      <c r="C2340" s="49" t="n"/>
      <c r="D2340" s="49" t="n"/>
      <c r="E2340" s="49" t="n"/>
      <c r="F2340" s="49" t="n"/>
      <c r="G2340" s="47" t="n"/>
      <c r="H2340" s="50" t="n"/>
      <c r="I2340" s="51" t="n"/>
      <c r="J2340" s="46" t="n"/>
      <c r="K2340" s="46" t="n"/>
      <c r="L2340" s="23">
        <f>IF(OR($A2340="",$B2340=""),"",IF($K2340&lt;&gt;"",$K2340-$B2340,TODAY()-$B2340))</f>
        <v/>
      </c>
      <c r="M2340" s="27">
        <f>IF(OR($A2340="",$J2340=""),"",IF($K2340="",IF(TODAY()&gt;$J2340,"Atrasado","En ruta"),IF($K2340&lt;=$J2340,"Sí","No")))</f>
        <v/>
      </c>
      <c r="N2340" s="23">
        <f>IF($A2340="","",COUNTIFS(NOVEDADES!$C$4:$C$1503,$A2340))</f>
        <v/>
      </c>
      <c r="O2340" s="27">
        <f>IF($A2340="","",IF(COUNTIFS(NOVEDADES!$C$4:$C$1503,$A2340,NOVEDADES!$M$4:$M$1503,"SÍ")&gt;0,"No","Sí"))</f>
        <v/>
      </c>
      <c r="P2340" s="27">
        <f>IF(OR($A2340="",$K2340=""),"",IF(AND($M2340="Sí",$O2340="Sí"),"OTIF","Falló"))</f>
        <v/>
      </c>
    </row>
    <row r="2341" ht="16" customHeight="1">
      <c r="A2341" s="47" t="n"/>
      <c r="B2341" s="46" t="n"/>
      <c r="C2341" s="49" t="n"/>
      <c r="D2341" s="49" t="n"/>
      <c r="E2341" s="49" t="n"/>
      <c r="F2341" s="49" t="n"/>
      <c r="G2341" s="47" t="n"/>
      <c r="H2341" s="50" t="n"/>
      <c r="I2341" s="51" t="n"/>
      <c r="J2341" s="46" t="n"/>
      <c r="K2341" s="46" t="n"/>
      <c r="L2341" s="23">
        <f>IF(OR($A2341="",$B2341=""),"",IF($K2341&lt;&gt;"",$K2341-$B2341,TODAY()-$B2341))</f>
        <v/>
      </c>
      <c r="M2341" s="27">
        <f>IF(OR($A2341="",$J2341=""),"",IF($K2341="",IF(TODAY()&gt;$J2341,"Atrasado","En ruta"),IF($K2341&lt;=$J2341,"Sí","No")))</f>
        <v/>
      </c>
      <c r="N2341" s="23">
        <f>IF($A2341="","",COUNTIFS(NOVEDADES!$C$4:$C$1503,$A2341))</f>
        <v/>
      </c>
      <c r="O2341" s="27">
        <f>IF($A2341="","",IF(COUNTIFS(NOVEDADES!$C$4:$C$1503,$A2341,NOVEDADES!$M$4:$M$1503,"SÍ")&gt;0,"No","Sí"))</f>
        <v/>
      </c>
      <c r="P2341" s="27">
        <f>IF(OR($A2341="",$K2341=""),"",IF(AND($M2341="Sí",$O2341="Sí"),"OTIF","Falló"))</f>
        <v/>
      </c>
    </row>
    <row r="2342" ht="16" customHeight="1">
      <c r="A2342" s="47" t="n"/>
      <c r="B2342" s="46" t="n"/>
      <c r="C2342" s="49" t="n"/>
      <c r="D2342" s="49" t="n"/>
      <c r="E2342" s="49" t="n"/>
      <c r="F2342" s="49" t="n"/>
      <c r="G2342" s="47" t="n"/>
      <c r="H2342" s="50" t="n"/>
      <c r="I2342" s="51" t="n"/>
      <c r="J2342" s="46" t="n"/>
      <c r="K2342" s="46" t="n"/>
      <c r="L2342" s="23">
        <f>IF(OR($A2342="",$B2342=""),"",IF($K2342&lt;&gt;"",$K2342-$B2342,TODAY()-$B2342))</f>
        <v/>
      </c>
      <c r="M2342" s="27">
        <f>IF(OR($A2342="",$J2342=""),"",IF($K2342="",IF(TODAY()&gt;$J2342,"Atrasado","En ruta"),IF($K2342&lt;=$J2342,"Sí","No")))</f>
        <v/>
      </c>
      <c r="N2342" s="23">
        <f>IF($A2342="","",COUNTIFS(NOVEDADES!$C$4:$C$1503,$A2342))</f>
        <v/>
      </c>
      <c r="O2342" s="27">
        <f>IF($A2342="","",IF(COUNTIFS(NOVEDADES!$C$4:$C$1503,$A2342,NOVEDADES!$M$4:$M$1503,"SÍ")&gt;0,"No","Sí"))</f>
        <v/>
      </c>
      <c r="P2342" s="27">
        <f>IF(OR($A2342="",$K2342=""),"",IF(AND($M2342="Sí",$O2342="Sí"),"OTIF","Falló"))</f>
        <v/>
      </c>
    </row>
    <row r="2343" ht="16" customHeight="1">
      <c r="A2343" s="47" t="n"/>
      <c r="B2343" s="46" t="n"/>
      <c r="C2343" s="49" t="n"/>
      <c r="D2343" s="49" t="n"/>
      <c r="E2343" s="49" t="n"/>
      <c r="F2343" s="49" t="n"/>
      <c r="G2343" s="47" t="n"/>
      <c r="H2343" s="50" t="n"/>
      <c r="I2343" s="51" t="n"/>
      <c r="J2343" s="46" t="n"/>
      <c r="K2343" s="46" t="n"/>
      <c r="L2343" s="23">
        <f>IF(OR($A2343="",$B2343=""),"",IF($K2343&lt;&gt;"",$K2343-$B2343,TODAY()-$B2343))</f>
        <v/>
      </c>
      <c r="M2343" s="27">
        <f>IF(OR($A2343="",$J2343=""),"",IF($K2343="",IF(TODAY()&gt;$J2343,"Atrasado","En ruta"),IF($K2343&lt;=$J2343,"Sí","No")))</f>
        <v/>
      </c>
      <c r="N2343" s="23">
        <f>IF($A2343="","",COUNTIFS(NOVEDADES!$C$4:$C$1503,$A2343))</f>
        <v/>
      </c>
      <c r="O2343" s="27">
        <f>IF($A2343="","",IF(COUNTIFS(NOVEDADES!$C$4:$C$1503,$A2343,NOVEDADES!$M$4:$M$1503,"SÍ")&gt;0,"No","Sí"))</f>
        <v/>
      </c>
      <c r="P2343" s="27">
        <f>IF(OR($A2343="",$K2343=""),"",IF(AND($M2343="Sí",$O2343="Sí"),"OTIF","Falló"))</f>
        <v/>
      </c>
    </row>
    <row r="2344" ht="16" customHeight="1">
      <c r="A2344" s="47" t="n"/>
      <c r="B2344" s="46" t="n"/>
      <c r="C2344" s="49" t="n"/>
      <c r="D2344" s="49" t="n"/>
      <c r="E2344" s="49" t="n"/>
      <c r="F2344" s="49" t="n"/>
      <c r="G2344" s="47" t="n"/>
      <c r="H2344" s="50" t="n"/>
      <c r="I2344" s="51" t="n"/>
      <c r="J2344" s="46" t="n"/>
      <c r="K2344" s="46" t="n"/>
      <c r="L2344" s="23">
        <f>IF(OR($A2344="",$B2344=""),"",IF($K2344&lt;&gt;"",$K2344-$B2344,TODAY()-$B2344))</f>
        <v/>
      </c>
      <c r="M2344" s="27">
        <f>IF(OR($A2344="",$J2344=""),"",IF($K2344="",IF(TODAY()&gt;$J2344,"Atrasado","En ruta"),IF($K2344&lt;=$J2344,"Sí","No")))</f>
        <v/>
      </c>
      <c r="N2344" s="23">
        <f>IF($A2344="","",COUNTIFS(NOVEDADES!$C$4:$C$1503,$A2344))</f>
        <v/>
      </c>
      <c r="O2344" s="27">
        <f>IF($A2344="","",IF(COUNTIFS(NOVEDADES!$C$4:$C$1503,$A2344,NOVEDADES!$M$4:$M$1503,"SÍ")&gt;0,"No","Sí"))</f>
        <v/>
      </c>
      <c r="P2344" s="27">
        <f>IF(OR($A2344="",$K2344=""),"",IF(AND($M2344="Sí",$O2344="Sí"),"OTIF","Falló"))</f>
        <v/>
      </c>
    </row>
    <row r="2345" ht="16" customHeight="1">
      <c r="A2345" s="47" t="n"/>
      <c r="B2345" s="46" t="n"/>
      <c r="C2345" s="49" t="n"/>
      <c r="D2345" s="49" t="n"/>
      <c r="E2345" s="49" t="n"/>
      <c r="F2345" s="49" t="n"/>
      <c r="G2345" s="47" t="n"/>
      <c r="H2345" s="50" t="n"/>
      <c r="I2345" s="51" t="n"/>
      <c r="J2345" s="46" t="n"/>
      <c r="K2345" s="46" t="n"/>
      <c r="L2345" s="23">
        <f>IF(OR($A2345="",$B2345=""),"",IF($K2345&lt;&gt;"",$K2345-$B2345,TODAY()-$B2345))</f>
        <v/>
      </c>
      <c r="M2345" s="27">
        <f>IF(OR($A2345="",$J2345=""),"",IF($K2345="",IF(TODAY()&gt;$J2345,"Atrasado","En ruta"),IF($K2345&lt;=$J2345,"Sí","No")))</f>
        <v/>
      </c>
      <c r="N2345" s="23">
        <f>IF($A2345="","",COUNTIFS(NOVEDADES!$C$4:$C$1503,$A2345))</f>
        <v/>
      </c>
      <c r="O2345" s="27">
        <f>IF($A2345="","",IF(COUNTIFS(NOVEDADES!$C$4:$C$1503,$A2345,NOVEDADES!$M$4:$M$1503,"SÍ")&gt;0,"No","Sí"))</f>
        <v/>
      </c>
      <c r="P2345" s="27">
        <f>IF(OR($A2345="",$K2345=""),"",IF(AND($M2345="Sí",$O2345="Sí"),"OTIF","Falló"))</f>
        <v/>
      </c>
    </row>
    <row r="2346" ht="16" customHeight="1">
      <c r="A2346" s="47" t="n"/>
      <c r="B2346" s="46" t="n"/>
      <c r="C2346" s="49" t="n"/>
      <c r="D2346" s="49" t="n"/>
      <c r="E2346" s="49" t="n"/>
      <c r="F2346" s="49" t="n"/>
      <c r="G2346" s="47" t="n"/>
      <c r="H2346" s="50" t="n"/>
      <c r="I2346" s="51" t="n"/>
      <c r="J2346" s="46" t="n"/>
      <c r="K2346" s="46" t="n"/>
      <c r="L2346" s="23">
        <f>IF(OR($A2346="",$B2346=""),"",IF($K2346&lt;&gt;"",$K2346-$B2346,TODAY()-$B2346))</f>
        <v/>
      </c>
      <c r="M2346" s="27">
        <f>IF(OR($A2346="",$J2346=""),"",IF($K2346="",IF(TODAY()&gt;$J2346,"Atrasado","En ruta"),IF($K2346&lt;=$J2346,"Sí","No")))</f>
        <v/>
      </c>
      <c r="N2346" s="23">
        <f>IF($A2346="","",COUNTIFS(NOVEDADES!$C$4:$C$1503,$A2346))</f>
        <v/>
      </c>
      <c r="O2346" s="27">
        <f>IF($A2346="","",IF(COUNTIFS(NOVEDADES!$C$4:$C$1503,$A2346,NOVEDADES!$M$4:$M$1503,"SÍ")&gt;0,"No","Sí"))</f>
        <v/>
      </c>
      <c r="P2346" s="27">
        <f>IF(OR($A2346="",$K2346=""),"",IF(AND($M2346="Sí",$O2346="Sí"),"OTIF","Falló"))</f>
        <v/>
      </c>
    </row>
    <row r="2347" ht="16" customHeight="1">
      <c r="A2347" s="47" t="n"/>
      <c r="B2347" s="46" t="n"/>
      <c r="C2347" s="49" t="n"/>
      <c r="D2347" s="49" t="n"/>
      <c r="E2347" s="49" t="n"/>
      <c r="F2347" s="49" t="n"/>
      <c r="G2347" s="47" t="n"/>
      <c r="H2347" s="50" t="n"/>
      <c r="I2347" s="51" t="n"/>
      <c r="J2347" s="46" t="n"/>
      <c r="K2347" s="46" t="n"/>
      <c r="L2347" s="23">
        <f>IF(OR($A2347="",$B2347=""),"",IF($K2347&lt;&gt;"",$K2347-$B2347,TODAY()-$B2347))</f>
        <v/>
      </c>
      <c r="M2347" s="27">
        <f>IF(OR($A2347="",$J2347=""),"",IF($K2347="",IF(TODAY()&gt;$J2347,"Atrasado","En ruta"),IF($K2347&lt;=$J2347,"Sí","No")))</f>
        <v/>
      </c>
      <c r="N2347" s="23">
        <f>IF($A2347="","",COUNTIFS(NOVEDADES!$C$4:$C$1503,$A2347))</f>
        <v/>
      </c>
      <c r="O2347" s="27">
        <f>IF($A2347="","",IF(COUNTIFS(NOVEDADES!$C$4:$C$1503,$A2347,NOVEDADES!$M$4:$M$1503,"SÍ")&gt;0,"No","Sí"))</f>
        <v/>
      </c>
      <c r="P2347" s="27">
        <f>IF(OR($A2347="",$K2347=""),"",IF(AND($M2347="Sí",$O2347="Sí"),"OTIF","Falló"))</f>
        <v/>
      </c>
    </row>
    <row r="2348" ht="16" customHeight="1">
      <c r="A2348" s="47" t="n"/>
      <c r="B2348" s="46" t="n"/>
      <c r="C2348" s="49" t="n"/>
      <c r="D2348" s="49" t="n"/>
      <c r="E2348" s="49" t="n"/>
      <c r="F2348" s="49" t="n"/>
      <c r="G2348" s="47" t="n"/>
      <c r="H2348" s="50" t="n"/>
      <c r="I2348" s="51" t="n"/>
      <c r="J2348" s="46" t="n"/>
      <c r="K2348" s="46" t="n"/>
      <c r="L2348" s="23">
        <f>IF(OR($A2348="",$B2348=""),"",IF($K2348&lt;&gt;"",$K2348-$B2348,TODAY()-$B2348))</f>
        <v/>
      </c>
      <c r="M2348" s="27">
        <f>IF(OR($A2348="",$J2348=""),"",IF($K2348="",IF(TODAY()&gt;$J2348,"Atrasado","En ruta"),IF($K2348&lt;=$J2348,"Sí","No")))</f>
        <v/>
      </c>
      <c r="N2348" s="23">
        <f>IF($A2348="","",COUNTIFS(NOVEDADES!$C$4:$C$1503,$A2348))</f>
        <v/>
      </c>
      <c r="O2348" s="27">
        <f>IF($A2348="","",IF(COUNTIFS(NOVEDADES!$C$4:$C$1503,$A2348,NOVEDADES!$M$4:$M$1503,"SÍ")&gt;0,"No","Sí"))</f>
        <v/>
      </c>
      <c r="P2348" s="27">
        <f>IF(OR($A2348="",$K2348=""),"",IF(AND($M2348="Sí",$O2348="Sí"),"OTIF","Falló"))</f>
        <v/>
      </c>
    </row>
    <row r="2349" ht="16" customHeight="1">
      <c r="A2349" s="47" t="n"/>
      <c r="B2349" s="46" t="n"/>
      <c r="C2349" s="49" t="n"/>
      <c r="D2349" s="49" t="n"/>
      <c r="E2349" s="49" t="n"/>
      <c r="F2349" s="49" t="n"/>
      <c r="G2349" s="47" t="n"/>
      <c r="H2349" s="50" t="n"/>
      <c r="I2349" s="51" t="n"/>
      <c r="J2349" s="46" t="n"/>
      <c r="K2349" s="46" t="n"/>
      <c r="L2349" s="23">
        <f>IF(OR($A2349="",$B2349=""),"",IF($K2349&lt;&gt;"",$K2349-$B2349,TODAY()-$B2349))</f>
        <v/>
      </c>
      <c r="M2349" s="27">
        <f>IF(OR($A2349="",$J2349=""),"",IF($K2349="",IF(TODAY()&gt;$J2349,"Atrasado","En ruta"),IF($K2349&lt;=$J2349,"Sí","No")))</f>
        <v/>
      </c>
      <c r="N2349" s="23">
        <f>IF($A2349="","",COUNTIFS(NOVEDADES!$C$4:$C$1503,$A2349))</f>
        <v/>
      </c>
      <c r="O2349" s="27">
        <f>IF($A2349="","",IF(COUNTIFS(NOVEDADES!$C$4:$C$1503,$A2349,NOVEDADES!$M$4:$M$1503,"SÍ")&gt;0,"No","Sí"))</f>
        <v/>
      </c>
      <c r="P2349" s="27">
        <f>IF(OR($A2349="",$K2349=""),"",IF(AND($M2349="Sí",$O2349="Sí"),"OTIF","Falló"))</f>
        <v/>
      </c>
    </row>
    <row r="2350" ht="16" customHeight="1">
      <c r="A2350" s="47" t="n"/>
      <c r="B2350" s="46" t="n"/>
      <c r="C2350" s="49" t="n"/>
      <c r="D2350" s="49" t="n"/>
      <c r="E2350" s="49" t="n"/>
      <c r="F2350" s="49" t="n"/>
      <c r="G2350" s="47" t="n"/>
      <c r="H2350" s="50" t="n"/>
      <c r="I2350" s="51" t="n"/>
      <c r="J2350" s="46" t="n"/>
      <c r="K2350" s="46" t="n"/>
      <c r="L2350" s="23">
        <f>IF(OR($A2350="",$B2350=""),"",IF($K2350&lt;&gt;"",$K2350-$B2350,TODAY()-$B2350))</f>
        <v/>
      </c>
      <c r="M2350" s="27">
        <f>IF(OR($A2350="",$J2350=""),"",IF($K2350="",IF(TODAY()&gt;$J2350,"Atrasado","En ruta"),IF($K2350&lt;=$J2350,"Sí","No")))</f>
        <v/>
      </c>
      <c r="N2350" s="23">
        <f>IF($A2350="","",COUNTIFS(NOVEDADES!$C$4:$C$1503,$A2350))</f>
        <v/>
      </c>
      <c r="O2350" s="27">
        <f>IF($A2350="","",IF(COUNTIFS(NOVEDADES!$C$4:$C$1503,$A2350,NOVEDADES!$M$4:$M$1503,"SÍ")&gt;0,"No","Sí"))</f>
        <v/>
      </c>
      <c r="P2350" s="27">
        <f>IF(OR($A2350="",$K2350=""),"",IF(AND($M2350="Sí",$O2350="Sí"),"OTIF","Falló"))</f>
        <v/>
      </c>
    </row>
    <row r="2351" ht="16" customHeight="1">
      <c r="A2351" s="47" t="n"/>
      <c r="B2351" s="46" t="n"/>
      <c r="C2351" s="49" t="n"/>
      <c r="D2351" s="49" t="n"/>
      <c r="E2351" s="49" t="n"/>
      <c r="F2351" s="49" t="n"/>
      <c r="G2351" s="47" t="n"/>
      <c r="H2351" s="50" t="n"/>
      <c r="I2351" s="51" t="n"/>
      <c r="J2351" s="46" t="n"/>
      <c r="K2351" s="46" t="n"/>
      <c r="L2351" s="23">
        <f>IF(OR($A2351="",$B2351=""),"",IF($K2351&lt;&gt;"",$K2351-$B2351,TODAY()-$B2351))</f>
        <v/>
      </c>
      <c r="M2351" s="27">
        <f>IF(OR($A2351="",$J2351=""),"",IF($K2351="",IF(TODAY()&gt;$J2351,"Atrasado","En ruta"),IF($K2351&lt;=$J2351,"Sí","No")))</f>
        <v/>
      </c>
      <c r="N2351" s="23">
        <f>IF($A2351="","",COUNTIFS(NOVEDADES!$C$4:$C$1503,$A2351))</f>
        <v/>
      </c>
      <c r="O2351" s="27">
        <f>IF($A2351="","",IF(COUNTIFS(NOVEDADES!$C$4:$C$1503,$A2351,NOVEDADES!$M$4:$M$1503,"SÍ")&gt;0,"No","Sí"))</f>
        <v/>
      </c>
      <c r="P2351" s="27">
        <f>IF(OR($A2351="",$K2351=""),"",IF(AND($M2351="Sí",$O2351="Sí"),"OTIF","Falló"))</f>
        <v/>
      </c>
    </row>
    <row r="2352" ht="16" customHeight="1">
      <c r="A2352" s="47" t="n"/>
      <c r="B2352" s="46" t="n"/>
      <c r="C2352" s="49" t="n"/>
      <c r="D2352" s="49" t="n"/>
      <c r="E2352" s="49" t="n"/>
      <c r="F2352" s="49" t="n"/>
      <c r="G2352" s="47" t="n"/>
      <c r="H2352" s="50" t="n"/>
      <c r="I2352" s="51" t="n"/>
      <c r="J2352" s="46" t="n"/>
      <c r="K2352" s="46" t="n"/>
      <c r="L2352" s="23">
        <f>IF(OR($A2352="",$B2352=""),"",IF($K2352&lt;&gt;"",$K2352-$B2352,TODAY()-$B2352))</f>
        <v/>
      </c>
      <c r="M2352" s="27">
        <f>IF(OR($A2352="",$J2352=""),"",IF($K2352="",IF(TODAY()&gt;$J2352,"Atrasado","En ruta"),IF($K2352&lt;=$J2352,"Sí","No")))</f>
        <v/>
      </c>
      <c r="N2352" s="23">
        <f>IF($A2352="","",COUNTIFS(NOVEDADES!$C$4:$C$1503,$A2352))</f>
        <v/>
      </c>
      <c r="O2352" s="27">
        <f>IF($A2352="","",IF(COUNTIFS(NOVEDADES!$C$4:$C$1503,$A2352,NOVEDADES!$M$4:$M$1503,"SÍ")&gt;0,"No","Sí"))</f>
        <v/>
      </c>
      <c r="P2352" s="27">
        <f>IF(OR($A2352="",$K2352=""),"",IF(AND($M2352="Sí",$O2352="Sí"),"OTIF","Falló"))</f>
        <v/>
      </c>
    </row>
    <row r="2353" ht="16" customHeight="1">
      <c r="A2353" s="47" t="n"/>
      <c r="B2353" s="46" t="n"/>
      <c r="C2353" s="49" t="n"/>
      <c r="D2353" s="49" t="n"/>
      <c r="E2353" s="49" t="n"/>
      <c r="F2353" s="49" t="n"/>
      <c r="G2353" s="47" t="n"/>
      <c r="H2353" s="50" t="n"/>
      <c r="I2353" s="51" t="n"/>
      <c r="J2353" s="46" t="n"/>
      <c r="K2353" s="46" t="n"/>
      <c r="L2353" s="23">
        <f>IF(OR($A2353="",$B2353=""),"",IF($K2353&lt;&gt;"",$K2353-$B2353,TODAY()-$B2353))</f>
        <v/>
      </c>
      <c r="M2353" s="27">
        <f>IF(OR($A2353="",$J2353=""),"",IF($K2353="",IF(TODAY()&gt;$J2353,"Atrasado","En ruta"),IF($K2353&lt;=$J2353,"Sí","No")))</f>
        <v/>
      </c>
      <c r="N2353" s="23">
        <f>IF($A2353="","",COUNTIFS(NOVEDADES!$C$4:$C$1503,$A2353))</f>
        <v/>
      </c>
      <c r="O2353" s="27">
        <f>IF($A2353="","",IF(COUNTIFS(NOVEDADES!$C$4:$C$1503,$A2353,NOVEDADES!$M$4:$M$1503,"SÍ")&gt;0,"No","Sí"))</f>
        <v/>
      </c>
      <c r="P2353" s="27">
        <f>IF(OR($A2353="",$K2353=""),"",IF(AND($M2353="Sí",$O2353="Sí"),"OTIF","Falló"))</f>
        <v/>
      </c>
    </row>
    <row r="2354" ht="16" customHeight="1">
      <c r="A2354" s="47" t="n"/>
      <c r="B2354" s="46" t="n"/>
      <c r="C2354" s="49" t="n"/>
      <c r="D2354" s="49" t="n"/>
      <c r="E2354" s="49" t="n"/>
      <c r="F2354" s="49" t="n"/>
      <c r="G2354" s="47" t="n"/>
      <c r="H2354" s="50" t="n"/>
      <c r="I2354" s="51" t="n"/>
      <c r="J2354" s="46" t="n"/>
      <c r="K2354" s="46" t="n"/>
      <c r="L2354" s="23">
        <f>IF(OR($A2354="",$B2354=""),"",IF($K2354&lt;&gt;"",$K2354-$B2354,TODAY()-$B2354))</f>
        <v/>
      </c>
      <c r="M2354" s="27">
        <f>IF(OR($A2354="",$J2354=""),"",IF($K2354="",IF(TODAY()&gt;$J2354,"Atrasado","En ruta"),IF($K2354&lt;=$J2354,"Sí","No")))</f>
        <v/>
      </c>
      <c r="N2354" s="23">
        <f>IF($A2354="","",COUNTIFS(NOVEDADES!$C$4:$C$1503,$A2354))</f>
        <v/>
      </c>
      <c r="O2354" s="27">
        <f>IF($A2354="","",IF(COUNTIFS(NOVEDADES!$C$4:$C$1503,$A2354,NOVEDADES!$M$4:$M$1503,"SÍ")&gt;0,"No","Sí"))</f>
        <v/>
      </c>
      <c r="P2354" s="27">
        <f>IF(OR($A2354="",$K2354=""),"",IF(AND($M2354="Sí",$O2354="Sí"),"OTIF","Falló"))</f>
        <v/>
      </c>
    </row>
    <row r="2355" ht="16" customHeight="1">
      <c r="A2355" s="47" t="n"/>
      <c r="B2355" s="46" t="n"/>
      <c r="C2355" s="49" t="n"/>
      <c r="D2355" s="49" t="n"/>
      <c r="E2355" s="49" t="n"/>
      <c r="F2355" s="49" t="n"/>
      <c r="G2355" s="47" t="n"/>
      <c r="H2355" s="50" t="n"/>
      <c r="I2355" s="51" t="n"/>
      <c r="J2355" s="46" t="n"/>
      <c r="K2355" s="46" t="n"/>
      <c r="L2355" s="23">
        <f>IF(OR($A2355="",$B2355=""),"",IF($K2355&lt;&gt;"",$K2355-$B2355,TODAY()-$B2355))</f>
        <v/>
      </c>
      <c r="M2355" s="27">
        <f>IF(OR($A2355="",$J2355=""),"",IF($K2355="",IF(TODAY()&gt;$J2355,"Atrasado","En ruta"),IF($K2355&lt;=$J2355,"Sí","No")))</f>
        <v/>
      </c>
      <c r="N2355" s="23">
        <f>IF($A2355="","",COUNTIFS(NOVEDADES!$C$4:$C$1503,$A2355))</f>
        <v/>
      </c>
      <c r="O2355" s="27">
        <f>IF($A2355="","",IF(COUNTIFS(NOVEDADES!$C$4:$C$1503,$A2355,NOVEDADES!$M$4:$M$1503,"SÍ")&gt;0,"No","Sí"))</f>
        <v/>
      </c>
      <c r="P2355" s="27">
        <f>IF(OR($A2355="",$K2355=""),"",IF(AND($M2355="Sí",$O2355="Sí"),"OTIF","Falló"))</f>
        <v/>
      </c>
    </row>
    <row r="2356" ht="16" customHeight="1">
      <c r="A2356" s="47" t="n"/>
      <c r="B2356" s="46" t="n"/>
      <c r="C2356" s="49" t="n"/>
      <c r="D2356" s="49" t="n"/>
      <c r="E2356" s="49" t="n"/>
      <c r="F2356" s="49" t="n"/>
      <c r="G2356" s="47" t="n"/>
      <c r="H2356" s="50" t="n"/>
      <c r="I2356" s="51" t="n"/>
      <c r="J2356" s="46" t="n"/>
      <c r="K2356" s="46" t="n"/>
      <c r="L2356" s="23">
        <f>IF(OR($A2356="",$B2356=""),"",IF($K2356&lt;&gt;"",$K2356-$B2356,TODAY()-$B2356))</f>
        <v/>
      </c>
      <c r="M2356" s="27">
        <f>IF(OR($A2356="",$J2356=""),"",IF($K2356="",IF(TODAY()&gt;$J2356,"Atrasado","En ruta"),IF($K2356&lt;=$J2356,"Sí","No")))</f>
        <v/>
      </c>
      <c r="N2356" s="23">
        <f>IF($A2356="","",COUNTIFS(NOVEDADES!$C$4:$C$1503,$A2356))</f>
        <v/>
      </c>
      <c r="O2356" s="27">
        <f>IF($A2356="","",IF(COUNTIFS(NOVEDADES!$C$4:$C$1503,$A2356,NOVEDADES!$M$4:$M$1503,"SÍ")&gt;0,"No","Sí"))</f>
        <v/>
      </c>
      <c r="P2356" s="27">
        <f>IF(OR($A2356="",$K2356=""),"",IF(AND($M2356="Sí",$O2356="Sí"),"OTIF","Falló"))</f>
        <v/>
      </c>
    </row>
    <row r="2357" ht="16" customHeight="1">
      <c r="A2357" s="47" t="n"/>
      <c r="B2357" s="46" t="n"/>
      <c r="C2357" s="49" t="n"/>
      <c r="D2357" s="49" t="n"/>
      <c r="E2357" s="49" t="n"/>
      <c r="F2357" s="49" t="n"/>
      <c r="G2357" s="47" t="n"/>
      <c r="H2357" s="50" t="n"/>
      <c r="I2357" s="51" t="n"/>
      <c r="J2357" s="46" t="n"/>
      <c r="K2357" s="46" t="n"/>
      <c r="L2357" s="23">
        <f>IF(OR($A2357="",$B2357=""),"",IF($K2357&lt;&gt;"",$K2357-$B2357,TODAY()-$B2357))</f>
        <v/>
      </c>
      <c r="M2357" s="27">
        <f>IF(OR($A2357="",$J2357=""),"",IF($K2357="",IF(TODAY()&gt;$J2357,"Atrasado","En ruta"),IF($K2357&lt;=$J2357,"Sí","No")))</f>
        <v/>
      </c>
      <c r="N2357" s="23">
        <f>IF($A2357="","",COUNTIFS(NOVEDADES!$C$4:$C$1503,$A2357))</f>
        <v/>
      </c>
      <c r="O2357" s="27">
        <f>IF($A2357="","",IF(COUNTIFS(NOVEDADES!$C$4:$C$1503,$A2357,NOVEDADES!$M$4:$M$1503,"SÍ")&gt;0,"No","Sí"))</f>
        <v/>
      </c>
      <c r="P2357" s="27">
        <f>IF(OR($A2357="",$K2357=""),"",IF(AND($M2357="Sí",$O2357="Sí"),"OTIF","Falló"))</f>
        <v/>
      </c>
    </row>
    <row r="2358" ht="16" customHeight="1">
      <c r="A2358" s="47" t="n"/>
      <c r="B2358" s="46" t="n"/>
      <c r="C2358" s="49" t="n"/>
      <c r="D2358" s="49" t="n"/>
      <c r="E2358" s="49" t="n"/>
      <c r="F2358" s="49" t="n"/>
      <c r="G2358" s="47" t="n"/>
      <c r="H2358" s="50" t="n"/>
      <c r="I2358" s="51" t="n"/>
      <c r="J2358" s="46" t="n"/>
      <c r="K2358" s="46" t="n"/>
      <c r="L2358" s="23">
        <f>IF(OR($A2358="",$B2358=""),"",IF($K2358&lt;&gt;"",$K2358-$B2358,TODAY()-$B2358))</f>
        <v/>
      </c>
      <c r="M2358" s="27">
        <f>IF(OR($A2358="",$J2358=""),"",IF($K2358="",IF(TODAY()&gt;$J2358,"Atrasado","En ruta"),IF($K2358&lt;=$J2358,"Sí","No")))</f>
        <v/>
      </c>
      <c r="N2358" s="23">
        <f>IF($A2358="","",COUNTIFS(NOVEDADES!$C$4:$C$1503,$A2358))</f>
        <v/>
      </c>
      <c r="O2358" s="27">
        <f>IF($A2358="","",IF(COUNTIFS(NOVEDADES!$C$4:$C$1503,$A2358,NOVEDADES!$M$4:$M$1503,"SÍ")&gt;0,"No","Sí"))</f>
        <v/>
      </c>
      <c r="P2358" s="27">
        <f>IF(OR($A2358="",$K2358=""),"",IF(AND($M2358="Sí",$O2358="Sí"),"OTIF","Falló"))</f>
        <v/>
      </c>
    </row>
    <row r="2359" ht="16" customHeight="1">
      <c r="A2359" s="47" t="n"/>
      <c r="B2359" s="46" t="n"/>
      <c r="C2359" s="49" t="n"/>
      <c r="D2359" s="49" t="n"/>
      <c r="E2359" s="49" t="n"/>
      <c r="F2359" s="49" t="n"/>
      <c r="G2359" s="47" t="n"/>
      <c r="H2359" s="50" t="n"/>
      <c r="I2359" s="51" t="n"/>
      <c r="J2359" s="46" t="n"/>
      <c r="K2359" s="46" t="n"/>
      <c r="L2359" s="23">
        <f>IF(OR($A2359="",$B2359=""),"",IF($K2359&lt;&gt;"",$K2359-$B2359,TODAY()-$B2359))</f>
        <v/>
      </c>
      <c r="M2359" s="27">
        <f>IF(OR($A2359="",$J2359=""),"",IF($K2359="",IF(TODAY()&gt;$J2359,"Atrasado","En ruta"),IF($K2359&lt;=$J2359,"Sí","No")))</f>
        <v/>
      </c>
      <c r="N2359" s="23">
        <f>IF($A2359="","",COUNTIFS(NOVEDADES!$C$4:$C$1503,$A2359))</f>
        <v/>
      </c>
      <c r="O2359" s="27">
        <f>IF($A2359="","",IF(COUNTIFS(NOVEDADES!$C$4:$C$1503,$A2359,NOVEDADES!$M$4:$M$1503,"SÍ")&gt;0,"No","Sí"))</f>
        <v/>
      </c>
      <c r="P2359" s="27">
        <f>IF(OR($A2359="",$K2359=""),"",IF(AND($M2359="Sí",$O2359="Sí"),"OTIF","Falló"))</f>
        <v/>
      </c>
    </row>
    <row r="2360" ht="16" customHeight="1">
      <c r="A2360" s="47" t="n"/>
      <c r="B2360" s="46" t="n"/>
      <c r="C2360" s="49" t="n"/>
      <c r="D2360" s="49" t="n"/>
      <c r="E2360" s="49" t="n"/>
      <c r="F2360" s="49" t="n"/>
      <c r="G2360" s="47" t="n"/>
      <c r="H2360" s="50" t="n"/>
      <c r="I2360" s="51" t="n"/>
      <c r="J2360" s="46" t="n"/>
      <c r="K2360" s="46" t="n"/>
      <c r="L2360" s="23">
        <f>IF(OR($A2360="",$B2360=""),"",IF($K2360&lt;&gt;"",$K2360-$B2360,TODAY()-$B2360))</f>
        <v/>
      </c>
      <c r="M2360" s="27">
        <f>IF(OR($A2360="",$J2360=""),"",IF($K2360="",IF(TODAY()&gt;$J2360,"Atrasado","En ruta"),IF($K2360&lt;=$J2360,"Sí","No")))</f>
        <v/>
      </c>
      <c r="N2360" s="23">
        <f>IF($A2360="","",COUNTIFS(NOVEDADES!$C$4:$C$1503,$A2360))</f>
        <v/>
      </c>
      <c r="O2360" s="27">
        <f>IF($A2360="","",IF(COUNTIFS(NOVEDADES!$C$4:$C$1503,$A2360,NOVEDADES!$M$4:$M$1503,"SÍ")&gt;0,"No","Sí"))</f>
        <v/>
      </c>
      <c r="P2360" s="27">
        <f>IF(OR($A2360="",$K2360=""),"",IF(AND($M2360="Sí",$O2360="Sí"),"OTIF","Falló"))</f>
        <v/>
      </c>
    </row>
    <row r="2361" ht="16" customHeight="1">
      <c r="A2361" s="47" t="n"/>
      <c r="B2361" s="46" t="n"/>
      <c r="C2361" s="49" t="n"/>
      <c r="D2361" s="49" t="n"/>
      <c r="E2361" s="49" t="n"/>
      <c r="F2361" s="49" t="n"/>
      <c r="G2361" s="47" t="n"/>
      <c r="H2361" s="50" t="n"/>
      <c r="I2361" s="51" t="n"/>
      <c r="J2361" s="46" t="n"/>
      <c r="K2361" s="46" t="n"/>
      <c r="L2361" s="23">
        <f>IF(OR($A2361="",$B2361=""),"",IF($K2361&lt;&gt;"",$K2361-$B2361,TODAY()-$B2361))</f>
        <v/>
      </c>
      <c r="M2361" s="27">
        <f>IF(OR($A2361="",$J2361=""),"",IF($K2361="",IF(TODAY()&gt;$J2361,"Atrasado","En ruta"),IF($K2361&lt;=$J2361,"Sí","No")))</f>
        <v/>
      </c>
      <c r="N2361" s="23">
        <f>IF($A2361="","",COUNTIFS(NOVEDADES!$C$4:$C$1503,$A2361))</f>
        <v/>
      </c>
      <c r="O2361" s="27">
        <f>IF($A2361="","",IF(COUNTIFS(NOVEDADES!$C$4:$C$1503,$A2361,NOVEDADES!$M$4:$M$1503,"SÍ")&gt;0,"No","Sí"))</f>
        <v/>
      </c>
      <c r="P2361" s="27">
        <f>IF(OR($A2361="",$K2361=""),"",IF(AND($M2361="Sí",$O2361="Sí"),"OTIF","Falló"))</f>
        <v/>
      </c>
    </row>
    <row r="2362" ht="16" customHeight="1">
      <c r="A2362" s="47" t="n"/>
      <c r="B2362" s="46" t="n"/>
      <c r="C2362" s="49" t="n"/>
      <c r="D2362" s="49" t="n"/>
      <c r="E2362" s="49" t="n"/>
      <c r="F2362" s="49" t="n"/>
      <c r="G2362" s="47" t="n"/>
      <c r="H2362" s="50" t="n"/>
      <c r="I2362" s="51" t="n"/>
      <c r="J2362" s="46" t="n"/>
      <c r="K2362" s="46" t="n"/>
      <c r="L2362" s="23">
        <f>IF(OR($A2362="",$B2362=""),"",IF($K2362&lt;&gt;"",$K2362-$B2362,TODAY()-$B2362))</f>
        <v/>
      </c>
      <c r="M2362" s="27">
        <f>IF(OR($A2362="",$J2362=""),"",IF($K2362="",IF(TODAY()&gt;$J2362,"Atrasado","En ruta"),IF($K2362&lt;=$J2362,"Sí","No")))</f>
        <v/>
      </c>
      <c r="N2362" s="23">
        <f>IF($A2362="","",COUNTIFS(NOVEDADES!$C$4:$C$1503,$A2362))</f>
        <v/>
      </c>
      <c r="O2362" s="27">
        <f>IF($A2362="","",IF(COUNTIFS(NOVEDADES!$C$4:$C$1503,$A2362,NOVEDADES!$M$4:$M$1503,"SÍ")&gt;0,"No","Sí"))</f>
        <v/>
      </c>
      <c r="P2362" s="27">
        <f>IF(OR($A2362="",$K2362=""),"",IF(AND($M2362="Sí",$O2362="Sí"),"OTIF","Falló"))</f>
        <v/>
      </c>
    </row>
    <row r="2363" ht="16" customHeight="1">
      <c r="A2363" s="47" t="n"/>
      <c r="B2363" s="46" t="n"/>
      <c r="C2363" s="49" t="n"/>
      <c r="D2363" s="49" t="n"/>
      <c r="E2363" s="49" t="n"/>
      <c r="F2363" s="49" t="n"/>
      <c r="G2363" s="47" t="n"/>
      <c r="H2363" s="50" t="n"/>
      <c r="I2363" s="51" t="n"/>
      <c r="J2363" s="46" t="n"/>
      <c r="K2363" s="46" t="n"/>
      <c r="L2363" s="23">
        <f>IF(OR($A2363="",$B2363=""),"",IF($K2363&lt;&gt;"",$K2363-$B2363,TODAY()-$B2363))</f>
        <v/>
      </c>
      <c r="M2363" s="27">
        <f>IF(OR($A2363="",$J2363=""),"",IF($K2363="",IF(TODAY()&gt;$J2363,"Atrasado","En ruta"),IF($K2363&lt;=$J2363,"Sí","No")))</f>
        <v/>
      </c>
      <c r="N2363" s="23">
        <f>IF($A2363="","",COUNTIFS(NOVEDADES!$C$4:$C$1503,$A2363))</f>
        <v/>
      </c>
      <c r="O2363" s="27">
        <f>IF($A2363="","",IF(COUNTIFS(NOVEDADES!$C$4:$C$1503,$A2363,NOVEDADES!$M$4:$M$1503,"SÍ")&gt;0,"No","Sí"))</f>
        <v/>
      </c>
      <c r="P2363" s="27">
        <f>IF(OR($A2363="",$K2363=""),"",IF(AND($M2363="Sí",$O2363="Sí"),"OTIF","Falló"))</f>
        <v/>
      </c>
    </row>
    <row r="2364" ht="16" customHeight="1">
      <c r="A2364" s="47" t="n"/>
      <c r="B2364" s="46" t="n"/>
      <c r="C2364" s="49" t="n"/>
      <c r="D2364" s="49" t="n"/>
      <c r="E2364" s="49" t="n"/>
      <c r="F2364" s="49" t="n"/>
      <c r="G2364" s="47" t="n"/>
      <c r="H2364" s="50" t="n"/>
      <c r="I2364" s="51" t="n"/>
      <c r="J2364" s="46" t="n"/>
      <c r="K2364" s="46" t="n"/>
      <c r="L2364" s="23">
        <f>IF(OR($A2364="",$B2364=""),"",IF($K2364&lt;&gt;"",$K2364-$B2364,TODAY()-$B2364))</f>
        <v/>
      </c>
      <c r="M2364" s="27">
        <f>IF(OR($A2364="",$J2364=""),"",IF($K2364="",IF(TODAY()&gt;$J2364,"Atrasado","En ruta"),IF($K2364&lt;=$J2364,"Sí","No")))</f>
        <v/>
      </c>
      <c r="N2364" s="23">
        <f>IF($A2364="","",COUNTIFS(NOVEDADES!$C$4:$C$1503,$A2364))</f>
        <v/>
      </c>
      <c r="O2364" s="27">
        <f>IF($A2364="","",IF(COUNTIFS(NOVEDADES!$C$4:$C$1503,$A2364,NOVEDADES!$M$4:$M$1503,"SÍ")&gt;0,"No","Sí"))</f>
        <v/>
      </c>
      <c r="P2364" s="27">
        <f>IF(OR($A2364="",$K2364=""),"",IF(AND($M2364="Sí",$O2364="Sí"),"OTIF","Falló"))</f>
        <v/>
      </c>
    </row>
    <row r="2365" ht="16" customHeight="1">
      <c r="A2365" s="47" t="n"/>
      <c r="B2365" s="46" t="n"/>
      <c r="C2365" s="49" t="n"/>
      <c r="D2365" s="49" t="n"/>
      <c r="E2365" s="49" t="n"/>
      <c r="F2365" s="49" t="n"/>
      <c r="G2365" s="47" t="n"/>
      <c r="H2365" s="50" t="n"/>
      <c r="I2365" s="51" t="n"/>
      <c r="J2365" s="46" t="n"/>
      <c r="K2365" s="46" t="n"/>
      <c r="L2365" s="23">
        <f>IF(OR($A2365="",$B2365=""),"",IF($K2365&lt;&gt;"",$K2365-$B2365,TODAY()-$B2365))</f>
        <v/>
      </c>
      <c r="M2365" s="27">
        <f>IF(OR($A2365="",$J2365=""),"",IF($K2365="",IF(TODAY()&gt;$J2365,"Atrasado","En ruta"),IF($K2365&lt;=$J2365,"Sí","No")))</f>
        <v/>
      </c>
      <c r="N2365" s="23">
        <f>IF($A2365="","",COUNTIFS(NOVEDADES!$C$4:$C$1503,$A2365))</f>
        <v/>
      </c>
      <c r="O2365" s="27">
        <f>IF($A2365="","",IF(COUNTIFS(NOVEDADES!$C$4:$C$1503,$A2365,NOVEDADES!$M$4:$M$1503,"SÍ")&gt;0,"No","Sí"))</f>
        <v/>
      </c>
      <c r="P2365" s="27">
        <f>IF(OR($A2365="",$K2365=""),"",IF(AND($M2365="Sí",$O2365="Sí"),"OTIF","Falló"))</f>
        <v/>
      </c>
    </row>
    <row r="2366" ht="16" customHeight="1">
      <c r="A2366" s="47" t="n"/>
      <c r="B2366" s="46" t="n"/>
      <c r="C2366" s="49" t="n"/>
      <c r="D2366" s="49" t="n"/>
      <c r="E2366" s="49" t="n"/>
      <c r="F2366" s="49" t="n"/>
      <c r="G2366" s="47" t="n"/>
      <c r="H2366" s="50" t="n"/>
      <c r="I2366" s="51" t="n"/>
      <c r="J2366" s="46" t="n"/>
      <c r="K2366" s="46" t="n"/>
      <c r="L2366" s="23">
        <f>IF(OR($A2366="",$B2366=""),"",IF($K2366&lt;&gt;"",$K2366-$B2366,TODAY()-$B2366))</f>
        <v/>
      </c>
      <c r="M2366" s="27">
        <f>IF(OR($A2366="",$J2366=""),"",IF($K2366="",IF(TODAY()&gt;$J2366,"Atrasado","En ruta"),IF($K2366&lt;=$J2366,"Sí","No")))</f>
        <v/>
      </c>
      <c r="N2366" s="23">
        <f>IF($A2366="","",COUNTIFS(NOVEDADES!$C$4:$C$1503,$A2366))</f>
        <v/>
      </c>
      <c r="O2366" s="27">
        <f>IF($A2366="","",IF(COUNTIFS(NOVEDADES!$C$4:$C$1503,$A2366,NOVEDADES!$M$4:$M$1503,"SÍ")&gt;0,"No","Sí"))</f>
        <v/>
      </c>
      <c r="P2366" s="27">
        <f>IF(OR($A2366="",$K2366=""),"",IF(AND($M2366="Sí",$O2366="Sí"),"OTIF","Falló"))</f>
        <v/>
      </c>
    </row>
    <row r="2367" ht="16" customHeight="1">
      <c r="A2367" s="47" t="n"/>
      <c r="B2367" s="46" t="n"/>
      <c r="C2367" s="49" t="n"/>
      <c r="D2367" s="49" t="n"/>
      <c r="E2367" s="49" t="n"/>
      <c r="F2367" s="49" t="n"/>
      <c r="G2367" s="47" t="n"/>
      <c r="H2367" s="50" t="n"/>
      <c r="I2367" s="51" t="n"/>
      <c r="J2367" s="46" t="n"/>
      <c r="K2367" s="46" t="n"/>
      <c r="L2367" s="23">
        <f>IF(OR($A2367="",$B2367=""),"",IF($K2367&lt;&gt;"",$K2367-$B2367,TODAY()-$B2367))</f>
        <v/>
      </c>
      <c r="M2367" s="27">
        <f>IF(OR($A2367="",$J2367=""),"",IF($K2367="",IF(TODAY()&gt;$J2367,"Atrasado","En ruta"),IF($K2367&lt;=$J2367,"Sí","No")))</f>
        <v/>
      </c>
      <c r="N2367" s="23">
        <f>IF($A2367="","",COUNTIFS(NOVEDADES!$C$4:$C$1503,$A2367))</f>
        <v/>
      </c>
      <c r="O2367" s="27">
        <f>IF($A2367="","",IF(COUNTIFS(NOVEDADES!$C$4:$C$1503,$A2367,NOVEDADES!$M$4:$M$1503,"SÍ")&gt;0,"No","Sí"))</f>
        <v/>
      </c>
      <c r="P2367" s="27">
        <f>IF(OR($A2367="",$K2367=""),"",IF(AND($M2367="Sí",$O2367="Sí"),"OTIF","Falló"))</f>
        <v/>
      </c>
    </row>
    <row r="2368" ht="16" customHeight="1">
      <c r="A2368" s="47" t="n"/>
      <c r="B2368" s="46" t="n"/>
      <c r="C2368" s="49" t="n"/>
      <c r="D2368" s="49" t="n"/>
      <c r="E2368" s="49" t="n"/>
      <c r="F2368" s="49" t="n"/>
      <c r="G2368" s="47" t="n"/>
      <c r="H2368" s="50" t="n"/>
      <c r="I2368" s="51" t="n"/>
      <c r="J2368" s="46" t="n"/>
      <c r="K2368" s="46" t="n"/>
      <c r="L2368" s="23">
        <f>IF(OR($A2368="",$B2368=""),"",IF($K2368&lt;&gt;"",$K2368-$B2368,TODAY()-$B2368))</f>
        <v/>
      </c>
      <c r="M2368" s="27">
        <f>IF(OR($A2368="",$J2368=""),"",IF($K2368="",IF(TODAY()&gt;$J2368,"Atrasado","En ruta"),IF($K2368&lt;=$J2368,"Sí","No")))</f>
        <v/>
      </c>
      <c r="N2368" s="23">
        <f>IF($A2368="","",COUNTIFS(NOVEDADES!$C$4:$C$1503,$A2368))</f>
        <v/>
      </c>
      <c r="O2368" s="27">
        <f>IF($A2368="","",IF(COUNTIFS(NOVEDADES!$C$4:$C$1503,$A2368,NOVEDADES!$M$4:$M$1503,"SÍ")&gt;0,"No","Sí"))</f>
        <v/>
      </c>
      <c r="P2368" s="27">
        <f>IF(OR($A2368="",$K2368=""),"",IF(AND($M2368="Sí",$O2368="Sí"),"OTIF","Falló"))</f>
        <v/>
      </c>
    </row>
    <row r="2369" ht="16" customHeight="1">
      <c r="A2369" s="47" t="n"/>
      <c r="B2369" s="46" t="n"/>
      <c r="C2369" s="49" t="n"/>
      <c r="D2369" s="49" t="n"/>
      <c r="E2369" s="49" t="n"/>
      <c r="F2369" s="49" t="n"/>
      <c r="G2369" s="47" t="n"/>
      <c r="H2369" s="50" t="n"/>
      <c r="I2369" s="51" t="n"/>
      <c r="J2369" s="46" t="n"/>
      <c r="K2369" s="46" t="n"/>
      <c r="L2369" s="23">
        <f>IF(OR($A2369="",$B2369=""),"",IF($K2369&lt;&gt;"",$K2369-$B2369,TODAY()-$B2369))</f>
        <v/>
      </c>
      <c r="M2369" s="27">
        <f>IF(OR($A2369="",$J2369=""),"",IF($K2369="",IF(TODAY()&gt;$J2369,"Atrasado","En ruta"),IF($K2369&lt;=$J2369,"Sí","No")))</f>
        <v/>
      </c>
      <c r="N2369" s="23">
        <f>IF($A2369="","",COUNTIFS(NOVEDADES!$C$4:$C$1503,$A2369))</f>
        <v/>
      </c>
      <c r="O2369" s="27">
        <f>IF($A2369="","",IF(COUNTIFS(NOVEDADES!$C$4:$C$1503,$A2369,NOVEDADES!$M$4:$M$1503,"SÍ")&gt;0,"No","Sí"))</f>
        <v/>
      </c>
      <c r="P2369" s="27">
        <f>IF(OR($A2369="",$K2369=""),"",IF(AND($M2369="Sí",$O2369="Sí"),"OTIF","Falló"))</f>
        <v/>
      </c>
    </row>
    <row r="2370" ht="16" customHeight="1">
      <c r="A2370" s="47" t="n"/>
      <c r="B2370" s="46" t="n"/>
      <c r="C2370" s="49" t="n"/>
      <c r="D2370" s="49" t="n"/>
      <c r="E2370" s="49" t="n"/>
      <c r="F2370" s="49" t="n"/>
      <c r="G2370" s="47" t="n"/>
      <c r="H2370" s="50" t="n"/>
      <c r="I2370" s="51" t="n"/>
      <c r="J2370" s="46" t="n"/>
      <c r="K2370" s="46" t="n"/>
      <c r="L2370" s="23">
        <f>IF(OR($A2370="",$B2370=""),"",IF($K2370&lt;&gt;"",$K2370-$B2370,TODAY()-$B2370))</f>
        <v/>
      </c>
      <c r="M2370" s="27">
        <f>IF(OR($A2370="",$J2370=""),"",IF($K2370="",IF(TODAY()&gt;$J2370,"Atrasado","En ruta"),IF($K2370&lt;=$J2370,"Sí","No")))</f>
        <v/>
      </c>
      <c r="N2370" s="23">
        <f>IF($A2370="","",COUNTIFS(NOVEDADES!$C$4:$C$1503,$A2370))</f>
        <v/>
      </c>
      <c r="O2370" s="27">
        <f>IF($A2370="","",IF(COUNTIFS(NOVEDADES!$C$4:$C$1503,$A2370,NOVEDADES!$M$4:$M$1503,"SÍ")&gt;0,"No","Sí"))</f>
        <v/>
      </c>
      <c r="P2370" s="27">
        <f>IF(OR($A2370="",$K2370=""),"",IF(AND($M2370="Sí",$O2370="Sí"),"OTIF","Falló"))</f>
        <v/>
      </c>
    </row>
    <row r="2371" ht="16" customHeight="1">
      <c r="A2371" s="47" t="n"/>
      <c r="B2371" s="46" t="n"/>
      <c r="C2371" s="49" t="n"/>
      <c r="D2371" s="49" t="n"/>
      <c r="E2371" s="49" t="n"/>
      <c r="F2371" s="49" t="n"/>
      <c r="G2371" s="47" t="n"/>
      <c r="H2371" s="50" t="n"/>
      <c r="I2371" s="51" t="n"/>
      <c r="J2371" s="46" t="n"/>
      <c r="K2371" s="46" t="n"/>
      <c r="L2371" s="23">
        <f>IF(OR($A2371="",$B2371=""),"",IF($K2371&lt;&gt;"",$K2371-$B2371,TODAY()-$B2371))</f>
        <v/>
      </c>
      <c r="M2371" s="27">
        <f>IF(OR($A2371="",$J2371=""),"",IF($K2371="",IF(TODAY()&gt;$J2371,"Atrasado","En ruta"),IF($K2371&lt;=$J2371,"Sí","No")))</f>
        <v/>
      </c>
      <c r="N2371" s="23">
        <f>IF($A2371="","",COUNTIFS(NOVEDADES!$C$4:$C$1503,$A2371))</f>
        <v/>
      </c>
      <c r="O2371" s="27">
        <f>IF($A2371="","",IF(COUNTIFS(NOVEDADES!$C$4:$C$1503,$A2371,NOVEDADES!$M$4:$M$1503,"SÍ")&gt;0,"No","Sí"))</f>
        <v/>
      </c>
      <c r="P2371" s="27">
        <f>IF(OR($A2371="",$K2371=""),"",IF(AND($M2371="Sí",$O2371="Sí"),"OTIF","Falló"))</f>
        <v/>
      </c>
    </row>
    <row r="2372" ht="16" customHeight="1">
      <c r="A2372" s="47" t="n"/>
      <c r="B2372" s="46" t="n"/>
      <c r="C2372" s="49" t="n"/>
      <c r="D2372" s="49" t="n"/>
      <c r="E2372" s="49" t="n"/>
      <c r="F2372" s="49" t="n"/>
      <c r="G2372" s="47" t="n"/>
      <c r="H2372" s="50" t="n"/>
      <c r="I2372" s="51" t="n"/>
      <c r="J2372" s="46" t="n"/>
      <c r="K2372" s="46" t="n"/>
      <c r="L2372" s="23">
        <f>IF(OR($A2372="",$B2372=""),"",IF($K2372&lt;&gt;"",$K2372-$B2372,TODAY()-$B2372))</f>
        <v/>
      </c>
      <c r="M2372" s="27">
        <f>IF(OR($A2372="",$J2372=""),"",IF($K2372="",IF(TODAY()&gt;$J2372,"Atrasado","En ruta"),IF($K2372&lt;=$J2372,"Sí","No")))</f>
        <v/>
      </c>
      <c r="N2372" s="23">
        <f>IF($A2372="","",COUNTIFS(NOVEDADES!$C$4:$C$1503,$A2372))</f>
        <v/>
      </c>
      <c r="O2372" s="27">
        <f>IF($A2372="","",IF(COUNTIFS(NOVEDADES!$C$4:$C$1503,$A2372,NOVEDADES!$M$4:$M$1503,"SÍ")&gt;0,"No","Sí"))</f>
        <v/>
      </c>
      <c r="P2372" s="27">
        <f>IF(OR($A2372="",$K2372=""),"",IF(AND($M2372="Sí",$O2372="Sí"),"OTIF","Falló"))</f>
        <v/>
      </c>
    </row>
    <row r="2373" ht="16" customHeight="1">
      <c r="A2373" s="47" t="n"/>
      <c r="B2373" s="46" t="n"/>
      <c r="C2373" s="49" t="n"/>
      <c r="D2373" s="49" t="n"/>
      <c r="E2373" s="49" t="n"/>
      <c r="F2373" s="49" t="n"/>
      <c r="G2373" s="47" t="n"/>
      <c r="H2373" s="50" t="n"/>
      <c r="I2373" s="51" t="n"/>
      <c r="J2373" s="46" t="n"/>
      <c r="K2373" s="46" t="n"/>
      <c r="L2373" s="23">
        <f>IF(OR($A2373="",$B2373=""),"",IF($K2373&lt;&gt;"",$K2373-$B2373,TODAY()-$B2373))</f>
        <v/>
      </c>
      <c r="M2373" s="27">
        <f>IF(OR($A2373="",$J2373=""),"",IF($K2373="",IF(TODAY()&gt;$J2373,"Atrasado","En ruta"),IF($K2373&lt;=$J2373,"Sí","No")))</f>
        <v/>
      </c>
      <c r="N2373" s="23">
        <f>IF($A2373="","",COUNTIFS(NOVEDADES!$C$4:$C$1503,$A2373))</f>
        <v/>
      </c>
      <c r="O2373" s="27">
        <f>IF($A2373="","",IF(COUNTIFS(NOVEDADES!$C$4:$C$1503,$A2373,NOVEDADES!$M$4:$M$1503,"SÍ")&gt;0,"No","Sí"))</f>
        <v/>
      </c>
      <c r="P2373" s="27">
        <f>IF(OR($A2373="",$K2373=""),"",IF(AND($M2373="Sí",$O2373="Sí"),"OTIF","Falló"))</f>
        <v/>
      </c>
    </row>
    <row r="2374" ht="16" customHeight="1">
      <c r="A2374" s="47" t="n"/>
      <c r="B2374" s="46" t="n"/>
      <c r="C2374" s="49" t="n"/>
      <c r="D2374" s="49" t="n"/>
      <c r="E2374" s="49" t="n"/>
      <c r="F2374" s="49" t="n"/>
      <c r="G2374" s="47" t="n"/>
      <c r="H2374" s="50" t="n"/>
      <c r="I2374" s="51" t="n"/>
      <c r="J2374" s="46" t="n"/>
      <c r="K2374" s="46" t="n"/>
      <c r="L2374" s="23">
        <f>IF(OR($A2374="",$B2374=""),"",IF($K2374&lt;&gt;"",$K2374-$B2374,TODAY()-$B2374))</f>
        <v/>
      </c>
      <c r="M2374" s="27">
        <f>IF(OR($A2374="",$J2374=""),"",IF($K2374="",IF(TODAY()&gt;$J2374,"Atrasado","En ruta"),IF($K2374&lt;=$J2374,"Sí","No")))</f>
        <v/>
      </c>
      <c r="N2374" s="23">
        <f>IF($A2374="","",COUNTIFS(NOVEDADES!$C$4:$C$1503,$A2374))</f>
        <v/>
      </c>
      <c r="O2374" s="27">
        <f>IF($A2374="","",IF(COUNTIFS(NOVEDADES!$C$4:$C$1503,$A2374,NOVEDADES!$M$4:$M$1503,"SÍ")&gt;0,"No","Sí"))</f>
        <v/>
      </c>
      <c r="P2374" s="27">
        <f>IF(OR($A2374="",$K2374=""),"",IF(AND($M2374="Sí",$O2374="Sí"),"OTIF","Falló"))</f>
        <v/>
      </c>
    </row>
    <row r="2375" ht="16" customHeight="1">
      <c r="A2375" s="47" t="n"/>
      <c r="B2375" s="46" t="n"/>
      <c r="C2375" s="49" t="n"/>
      <c r="D2375" s="49" t="n"/>
      <c r="E2375" s="49" t="n"/>
      <c r="F2375" s="49" t="n"/>
      <c r="G2375" s="47" t="n"/>
      <c r="H2375" s="50" t="n"/>
      <c r="I2375" s="51" t="n"/>
      <c r="J2375" s="46" t="n"/>
      <c r="K2375" s="46" t="n"/>
      <c r="L2375" s="23">
        <f>IF(OR($A2375="",$B2375=""),"",IF($K2375&lt;&gt;"",$K2375-$B2375,TODAY()-$B2375))</f>
        <v/>
      </c>
      <c r="M2375" s="27">
        <f>IF(OR($A2375="",$J2375=""),"",IF($K2375="",IF(TODAY()&gt;$J2375,"Atrasado","En ruta"),IF($K2375&lt;=$J2375,"Sí","No")))</f>
        <v/>
      </c>
      <c r="N2375" s="23">
        <f>IF($A2375="","",COUNTIFS(NOVEDADES!$C$4:$C$1503,$A2375))</f>
        <v/>
      </c>
      <c r="O2375" s="27">
        <f>IF($A2375="","",IF(COUNTIFS(NOVEDADES!$C$4:$C$1503,$A2375,NOVEDADES!$M$4:$M$1503,"SÍ")&gt;0,"No","Sí"))</f>
        <v/>
      </c>
      <c r="P2375" s="27">
        <f>IF(OR($A2375="",$K2375=""),"",IF(AND($M2375="Sí",$O2375="Sí"),"OTIF","Falló"))</f>
        <v/>
      </c>
    </row>
    <row r="2376" ht="16" customHeight="1">
      <c r="A2376" s="47" t="n"/>
      <c r="B2376" s="46" t="n"/>
      <c r="C2376" s="49" t="n"/>
      <c r="D2376" s="49" t="n"/>
      <c r="E2376" s="49" t="n"/>
      <c r="F2376" s="49" t="n"/>
      <c r="G2376" s="47" t="n"/>
      <c r="H2376" s="50" t="n"/>
      <c r="I2376" s="51" t="n"/>
      <c r="J2376" s="46" t="n"/>
      <c r="K2376" s="46" t="n"/>
      <c r="L2376" s="23">
        <f>IF(OR($A2376="",$B2376=""),"",IF($K2376&lt;&gt;"",$K2376-$B2376,TODAY()-$B2376))</f>
        <v/>
      </c>
      <c r="M2376" s="27">
        <f>IF(OR($A2376="",$J2376=""),"",IF($K2376="",IF(TODAY()&gt;$J2376,"Atrasado","En ruta"),IF($K2376&lt;=$J2376,"Sí","No")))</f>
        <v/>
      </c>
      <c r="N2376" s="23">
        <f>IF($A2376="","",COUNTIFS(NOVEDADES!$C$4:$C$1503,$A2376))</f>
        <v/>
      </c>
      <c r="O2376" s="27">
        <f>IF($A2376="","",IF(COUNTIFS(NOVEDADES!$C$4:$C$1503,$A2376,NOVEDADES!$M$4:$M$1503,"SÍ")&gt;0,"No","Sí"))</f>
        <v/>
      </c>
      <c r="P2376" s="27">
        <f>IF(OR($A2376="",$K2376=""),"",IF(AND($M2376="Sí",$O2376="Sí"),"OTIF","Falló"))</f>
        <v/>
      </c>
    </row>
    <row r="2377" ht="16" customHeight="1">
      <c r="A2377" s="47" t="n"/>
      <c r="B2377" s="46" t="n"/>
      <c r="C2377" s="49" t="n"/>
      <c r="D2377" s="49" t="n"/>
      <c r="E2377" s="49" t="n"/>
      <c r="F2377" s="49" t="n"/>
      <c r="G2377" s="47" t="n"/>
      <c r="H2377" s="50" t="n"/>
      <c r="I2377" s="51" t="n"/>
      <c r="J2377" s="46" t="n"/>
      <c r="K2377" s="46" t="n"/>
      <c r="L2377" s="23">
        <f>IF(OR($A2377="",$B2377=""),"",IF($K2377&lt;&gt;"",$K2377-$B2377,TODAY()-$B2377))</f>
        <v/>
      </c>
      <c r="M2377" s="27">
        <f>IF(OR($A2377="",$J2377=""),"",IF($K2377="",IF(TODAY()&gt;$J2377,"Atrasado","En ruta"),IF($K2377&lt;=$J2377,"Sí","No")))</f>
        <v/>
      </c>
      <c r="N2377" s="23">
        <f>IF($A2377="","",COUNTIFS(NOVEDADES!$C$4:$C$1503,$A2377))</f>
        <v/>
      </c>
      <c r="O2377" s="27">
        <f>IF($A2377="","",IF(COUNTIFS(NOVEDADES!$C$4:$C$1503,$A2377,NOVEDADES!$M$4:$M$1503,"SÍ")&gt;0,"No","Sí"))</f>
        <v/>
      </c>
      <c r="P2377" s="27">
        <f>IF(OR($A2377="",$K2377=""),"",IF(AND($M2377="Sí",$O2377="Sí"),"OTIF","Falló"))</f>
        <v/>
      </c>
    </row>
    <row r="2378" ht="16" customHeight="1">
      <c r="A2378" s="47" t="n"/>
      <c r="B2378" s="46" t="n"/>
      <c r="C2378" s="49" t="n"/>
      <c r="D2378" s="49" t="n"/>
      <c r="E2378" s="49" t="n"/>
      <c r="F2378" s="49" t="n"/>
      <c r="G2378" s="47" t="n"/>
      <c r="H2378" s="50" t="n"/>
      <c r="I2378" s="51" t="n"/>
      <c r="J2378" s="46" t="n"/>
      <c r="K2378" s="46" t="n"/>
      <c r="L2378" s="23">
        <f>IF(OR($A2378="",$B2378=""),"",IF($K2378&lt;&gt;"",$K2378-$B2378,TODAY()-$B2378))</f>
        <v/>
      </c>
      <c r="M2378" s="27">
        <f>IF(OR($A2378="",$J2378=""),"",IF($K2378="",IF(TODAY()&gt;$J2378,"Atrasado","En ruta"),IF($K2378&lt;=$J2378,"Sí","No")))</f>
        <v/>
      </c>
      <c r="N2378" s="23">
        <f>IF($A2378="","",COUNTIFS(NOVEDADES!$C$4:$C$1503,$A2378))</f>
        <v/>
      </c>
      <c r="O2378" s="27">
        <f>IF($A2378="","",IF(COUNTIFS(NOVEDADES!$C$4:$C$1503,$A2378,NOVEDADES!$M$4:$M$1503,"SÍ")&gt;0,"No","Sí"))</f>
        <v/>
      </c>
      <c r="P2378" s="27">
        <f>IF(OR($A2378="",$K2378=""),"",IF(AND($M2378="Sí",$O2378="Sí"),"OTIF","Falló"))</f>
        <v/>
      </c>
    </row>
    <row r="2379" ht="16" customHeight="1">
      <c r="A2379" s="47" t="n"/>
      <c r="B2379" s="46" t="n"/>
      <c r="C2379" s="49" t="n"/>
      <c r="D2379" s="49" t="n"/>
      <c r="E2379" s="49" t="n"/>
      <c r="F2379" s="49" t="n"/>
      <c r="G2379" s="47" t="n"/>
      <c r="H2379" s="50" t="n"/>
      <c r="I2379" s="51" t="n"/>
      <c r="J2379" s="46" t="n"/>
      <c r="K2379" s="46" t="n"/>
      <c r="L2379" s="23">
        <f>IF(OR($A2379="",$B2379=""),"",IF($K2379&lt;&gt;"",$K2379-$B2379,TODAY()-$B2379))</f>
        <v/>
      </c>
      <c r="M2379" s="27">
        <f>IF(OR($A2379="",$J2379=""),"",IF($K2379="",IF(TODAY()&gt;$J2379,"Atrasado","En ruta"),IF($K2379&lt;=$J2379,"Sí","No")))</f>
        <v/>
      </c>
      <c r="N2379" s="23">
        <f>IF($A2379="","",COUNTIFS(NOVEDADES!$C$4:$C$1503,$A2379))</f>
        <v/>
      </c>
      <c r="O2379" s="27">
        <f>IF($A2379="","",IF(COUNTIFS(NOVEDADES!$C$4:$C$1503,$A2379,NOVEDADES!$M$4:$M$1503,"SÍ")&gt;0,"No","Sí"))</f>
        <v/>
      </c>
      <c r="P2379" s="27">
        <f>IF(OR($A2379="",$K2379=""),"",IF(AND($M2379="Sí",$O2379="Sí"),"OTIF","Falló"))</f>
        <v/>
      </c>
    </row>
    <row r="2380" ht="16" customHeight="1">
      <c r="A2380" s="47" t="n"/>
      <c r="B2380" s="46" t="n"/>
      <c r="C2380" s="49" t="n"/>
      <c r="D2380" s="49" t="n"/>
      <c r="E2380" s="49" t="n"/>
      <c r="F2380" s="49" t="n"/>
      <c r="G2380" s="47" t="n"/>
      <c r="H2380" s="50" t="n"/>
      <c r="I2380" s="51" t="n"/>
      <c r="J2380" s="46" t="n"/>
      <c r="K2380" s="46" t="n"/>
      <c r="L2380" s="23">
        <f>IF(OR($A2380="",$B2380=""),"",IF($K2380&lt;&gt;"",$K2380-$B2380,TODAY()-$B2380))</f>
        <v/>
      </c>
      <c r="M2380" s="27">
        <f>IF(OR($A2380="",$J2380=""),"",IF($K2380="",IF(TODAY()&gt;$J2380,"Atrasado","En ruta"),IF($K2380&lt;=$J2380,"Sí","No")))</f>
        <v/>
      </c>
      <c r="N2380" s="23">
        <f>IF($A2380="","",COUNTIFS(NOVEDADES!$C$4:$C$1503,$A2380))</f>
        <v/>
      </c>
      <c r="O2380" s="27">
        <f>IF($A2380="","",IF(COUNTIFS(NOVEDADES!$C$4:$C$1503,$A2380,NOVEDADES!$M$4:$M$1503,"SÍ")&gt;0,"No","Sí"))</f>
        <v/>
      </c>
      <c r="P2380" s="27">
        <f>IF(OR($A2380="",$K2380=""),"",IF(AND($M2380="Sí",$O2380="Sí"),"OTIF","Falló"))</f>
        <v/>
      </c>
    </row>
    <row r="2381" ht="16" customHeight="1">
      <c r="A2381" s="47" t="n"/>
      <c r="B2381" s="46" t="n"/>
      <c r="C2381" s="49" t="n"/>
      <c r="D2381" s="49" t="n"/>
      <c r="E2381" s="49" t="n"/>
      <c r="F2381" s="49" t="n"/>
      <c r="G2381" s="47" t="n"/>
      <c r="H2381" s="50" t="n"/>
      <c r="I2381" s="51" t="n"/>
      <c r="J2381" s="46" t="n"/>
      <c r="K2381" s="46" t="n"/>
      <c r="L2381" s="23">
        <f>IF(OR($A2381="",$B2381=""),"",IF($K2381&lt;&gt;"",$K2381-$B2381,TODAY()-$B2381))</f>
        <v/>
      </c>
      <c r="M2381" s="27">
        <f>IF(OR($A2381="",$J2381=""),"",IF($K2381="",IF(TODAY()&gt;$J2381,"Atrasado","En ruta"),IF($K2381&lt;=$J2381,"Sí","No")))</f>
        <v/>
      </c>
      <c r="N2381" s="23">
        <f>IF($A2381="","",COUNTIFS(NOVEDADES!$C$4:$C$1503,$A2381))</f>
        <v/>
      </c>
      <c r="O2381" s="27">
        <f>IF($A2381="","",IF(COUNTIFS(NOVEDADES!$C$4:$C$1503,$A2381,NOVEDADES!$M$4:$M$1503,"SÍ")&gt;0,"No","Sí"))</f>
        <v/>
      </c>
      <c r="P2381" s="27">
        <f>IF(OR($A2381="",$K2381=""),"",IF(AND($M2381="Sí",$O2381="Sí"),"OTIF","Falló"))</f>
        <v/>
      </c>
    </row>
    <row r="2382" ht="16" customHeight="1">
      <c r="A2382" s="47" t="n"/>
      <c r="B2382" s="46" t="n"/>
      <c r="C2382" s="49" t="n"/>
      <c r="D2382" s="49" t="n"/>
      <c r="E2382" s="49" t="n"/>
      <c r="F2382" s="49" t="n"/>
      <c r="G2382" s="47" t="n"/>
      <c r="H2382" s="50" t="n"/>
      <c r="I2382" s="51" t="n"/>
      <c r="J2382" s="46" t="n"/>
      <c r="K2382" s="46" t="n"/>
      <c r="L2382" s="23">
        <f>IF(OR($A2382="",$B2382=""),"",IF($K2382&lt;&gt;"",$K2382-$B2382,TODAY()-$B2382))</f>
        <v/>
      </c>
      <c r="M2382" s="27">
        <f>IF(OR($A2382="",$J2382=""),"",IF($K2382="",IF(TODAY()&gt;$J2382,"Atrasado","En ruta"),IF($K2382&lt;=$J2382,"Sí","No")))</f>
        <v/>
      </c>
      <c r="N2382" s="23">
        <f>IF($A2382="","",COUNTIFS(NOVEDADES!$C$4:$C$1503,$A2382))</f>
        <v/>
      </c>
      <c r="O2382" s="27">
        <f>IF($A2382="","",IF(COUNTIFS(NOVEDADES!$C$4:$C$1503,$A2382,NOVEDADES!$M$4:$M$1503,"SÍ")&gt;0,"No","Sí"))</f>
        <v/>
      </c>
      <c r="P2382" s="27">
        <f>IF(OR($A2382="",$K2382=""),"",IF(AND($M2382="Sí",$O2382="Sí"),"OTIF","Falló"))</f>
        <v/>
      </c>
    </row>
    <row r="2383" ht="16" customHeight="1">
      <c r="A2383" s="47" t="n"/>
      <c r="B2383" s="46" t="n"/>
      <c r="C2383" s="49" t="n"/>
      <c r="D2383" s="49" t="n"/>
      <c r="E2383" s="49" t="n"/>
      <c r="F2383" s="49" t="n"/>
      <c r="G2383" s="47" t="n"/>
      <c r="H2383" s="50" t="n"/>
      <c r="I2383" s="51" t="n"/>
      <c r="J2383" s="46" t="n"/>
      <c r="K2383" s="46" t="n"/>
      <c r="L2383" s="23">
        <f>IF(OR($A2383="",$B2383=""),"",IF($K2383&lt;&gt;"",$K2383-$B2383,TODAY()-$B2383))</f>
        <v/>
      </c>
      <c r="M2383" s="27">
        <f>IF(OR($A2383="",$J2383=""),"",IF($K2383="",IF(TODAY()&gt;$J2383,"Atrasado","En ruta"),IF($K2383&lt;=$J2383,"Sí","No")))</f>
        <v/>
      </c>
      <c r="N2383" s="23">
        <f>IF($A2383="","",COUNTIFS(NOVEDADES!$C$4:$C$1503,$A2383))</f>
        <v/>
      </c>
      <c r="O2383" s="27">
        <f>IF($A2383="","",IF(COUNTIFS(NOVEDADES!$C$4:$C$1503,$A2383,NOVEDADES!$M$4:$M$1503,"SÍ")&gt;0,"No","Sí"))</f>
        <v/>
      </c>
      <c r="P2383" s="27">
        <f>IF(OR($A2383="",$K2383=""),"",IF(AND($M2383="Sí",$O2383="Sí"),"OTIF","Falló"))</f>
        <v/>
      </c>
    </row>
    <row r="2384" ht="16" customHeight="1">
      <c r="A2384" s="47" t="n"/>
      <c r="B2384" s="46" t="n"/>
      <c r="C2384" s="49" t="n"/>
      <c r="D2384" s="49" t="n"/>
      <c r="E2384" s="49" t="n"/>
      <c r="F2384" s="49" t="n"/>
      <c r="G2384" s="47" t="n"/>
      <c r="H2384" s="50" t="n"/>
      <c r="I2384" s="51" t="n"/>
      <c r="J2384" s="46" t="n"/>
      <c r="K2384" s="46" t="n"/>
      <c r="L2384" s="23">
        <f>IF(OR($A2384="",$B2384=""),"",IF($K2384&lt;&gt;"",$K2384-$B2384,TODAY()-$B2384))</f>
        <v/>
      </c>
      <c r="M2384" s="27">
        <f>IF(OR($A2384="",$J2384=""),"",IF($K2384="",IF(TODAY()&gt;$J2384,"Atrasado","En ruta"),IF($K2384&lt;=$J2384,"Sí","No")))</f>
        <v/>
      </c>
      <c r="N2384" s="23">
        <f>IF($A2384="","",COUNTIFS(NOVEDADES!$C$4:$C$1503,$A2384))</f>
        <v/>
      </c>
      <c r="O2384" s="27">
        <f>IF($A2384="","",IF(COUNTIFS(NOVEDADES!$C$4:$C$1503,$A2384,NOVEDADES!$M$4:$M$1503,"SÍ")&gt;0,"No","Sí"))</f>
        <v/>
      </c>
      <c r="P2384" s="27">
        <f>IF(OR($A2384="",$K2384=""),"",IF(AND($M2384="Sí",$O2384="Sí"),"OTIF","Falló"))</f>
        <v/>
      </c>
    </row>
    <row r="2385" ht="16" customHeight="1">
      <c r="A2385" s="47" t="n"/>
      <c r="B2385" s="46" t="n"/>
      <c r="C2385" s="49" t="n"/>
      <c r="D2385" s="49" t="n"/>
      <c r="E2385" s="49" t="n"/>
      <c r="F2385" s="49" t="n"/>
      <c r="G2385" s="47" t="n"/>
      <c r="H2385" s="50" t="n"/>
      <c r="I2385" s="51" t="n"/>
      <c r="J2385" s="46" t="n"/>
      <c r="K2385" s="46" t="n"/>
      <c r="L2385" s="23">
        <f>IF(OR($A2385="",$B2385=""),"",IF($K2385&lt;&gt;"",$K2385-$B2385,TODAY()-$B2385))</f>
        <v/>
      </c>
      <c r="M2385" s="27">
        <f>IF(OR($A2385="",$J2385=""),"",IF($K2385="",IF(TODAY()&gt;$J2385,"Atrasado","En ruta"),IF($K2385&lt;=$J2385,"Sí","No")))</f>
        <v/>
      </c>
      <c r="N2385" s="23">
        <f>IF($A2385="","",COUNTIFS(NOVEDADES!$C$4:$C$1503,$A2385))</f>
        <v/>
      </c>
      <c r="O2385" s="27">
        <f>IF($A2385="","",IF(COUNTIFS(NOVEDADES!$C$4:$C$1503,$A2385,NOVEDADES!$M$4:$M$1503,"SÍ")&gt;0,"No","Sí"))</f>
        <v/>
      </c>
      <c r="P2385" s="27">
        <f>IF(OR($A2385="",$K2385=""),"",IF(AND($M2385="Sí",$O2385="Sí"),"OTIF","Falló"))</f>
        <v/>
      </c>
    </row>
    <row r="2386" ht="16" customHeight="1">
      <c r="A2386" s="47" t="n"/>
      <c r="B2386" s="46" t="n"/>
      <c r="C2386" s="49" t="n"/>
      <c r="D2386" s="49" t="n"/>
      <c r="E2386" s="49" t="n"/>
      <c r="F2386" s="49" t="n"/>
      <c r="G2386" s="47" t="n"/>
      <c r="H2386" s="50" t="n"/>
      <c r="I2386" s="51" t="n"/>
      <c r="J2386" s="46" t="n"/>
      <c r="K2386" s="46" t="n"/>
      <c r="L2386" s="23">
        <f>IF(OR($A2386="",$B2386=""),"",IF($K2386&lt;&gt;"",$K2386-$B2386,TODAY()-$B2386))</f>
        <v/>
      </c>
      <c r="M2386" s="27">
        <f>IF(OR($A2386="",$J2386=""),"",IF($K2386="",IF(TODAY()&gt;$J2386,"Atrasado","En ruta"),IF($K2386&lt;=$J2386,"Sí","No")))</f>
        <v/>
      </c>
      <c r="N2386" s="23">
        <f>IF($A2386="","",COUNTIFS(NOVEDADES!$C$4:$C$1503,$A2386))</f>
        <v/>
      </c>
      <c r="O2386" s="27">
        <f>IF($A2386="","",IF(COUNTIFS(NOVEDADES!$C$4:$C$1503,$A2386,NOVEDADES!$M$4:$M$1503,"SÍ")&gt;0,"No","Sí"))</f>
        <v/>
      </c>
      <c r="P2386" s="27">
        <f>IF(OR($A2386="",$K2386=""),"",IF(AND($M2386="Sí",$O2386="Sí"),"OTIF","Falló"))</f>
        <v/>
      </c>
    </row>
    <row r="2387" ht="16" customHeight="1">
      <c r="A2387" s="47" t="n"/>
      <c r="B2387" s="46" t="n"/>
      <c r="C2387" s="49" t="n"/>
      <c r="D2387" s="49" t="n"/>
      <c r="E2387" s="49" t="n"/>
      <c r="F2387" s="49" t="n"/>
      <c r="G2387" s="47" t="n"/>
      <c r="H2387" s="50" t="n"/>
      <c r="I2387" s="51" t="n"/>
      <c r="J2387" s="46" t="n"/>
      <c r="K2387" s="46" t="n"/>
      <c r="L2387" s="23">
        <f>IF(OR($A2387="",$B2387=""),"",IF($K2387&lt;&gt;"",$K2387-$B2387,TODAY()-$B2387))</f>
        <v/>
      </c>
      <c r="M2387" s="27">
        <f>IF(OR($A2387="",$J2387=""),"",IF($K2387="",IF(TODAY()&gt;$J2387,"Atrasado","En ruta"),IF($K2387&lt;=$J2387,"Sí","No")))</f>
        <v/>
      </c>
      <c r="N2387" s="23">
        <f>IF($A2387="","",COUNTIFS(NOVEDADES!$C$4:$C$1503,$A2387))</f>
        <v/>
      </c>
      <c r="O2387" s="27">
        <f>IF($A2387="","",IF(COUNTIFS(NOVEDADES!$C$4:$C$1503,$A2387,NOVEDADES!$M$4:$M$1503,"SÍ")&gt;0,"No","Sí"))</f>
        <v/>
      </c>
      <c r="P2387" s="27">
        <f>IF(OR($A2387="",$K2387=""),"",IF(AND($M2387="Sí",$O2387="Sí"),"OTIF","Falló"))</f>
        <v/>
      </c>
    </row>
    <row r="2388" ht="16" customHeight="1">
      <c r="A2388" s="47" t="n"/>
      <c r="B2388" s="46" t="n"/>
      <c r="C2388" s="49" t="n"/>
      <c r="D2388" s="49" t="n"/>
      <c r="E2388" s="49" t="n"/>
      <c r="F2388" s="49" t="n"/>
      <c r="G2388" s="47" t="n"/>
      <c r="H2388" s="50" t="n"/>
      <c r="I2388" s="51" t="n"/>
      <c r="J2388" s="46" t="n"/>
      <c r="K2388" s="46" t="n"/>
      <c r="L2388" s="23">
        <f>IF(OR($A2388="",$B2388=""),"",IF($K2388&lt;&gt;"",$K2388-$B2388,TODAY()-$B2388))</f>
        <v/>
      </c>
      <c r="M2388" s="27">
        <f>IF(OR($A2388="",$J2388=""),"",IF($K2388="",IF(TODAY()&gt;$J2388,"Atrasado","En ruta"),IF($K2388&lt;=$J2388,"Sí","No")))</f>
        <v/>
      </c>
      <c r="N2388" s="23">
        <f>IF($A2388="","",COUNTIFS(NOVEDADES!$C$4:$C$1503,$A2388))</f>
        <v/>
      </c>
      <c r="O2388" s="27">
        <f>IF($A2388="","",IF(COUNTIFS(NOVEDADES!$C$4:$C$1503,$A2388,NOVEDADES!$M$4:$M$1503,"SÍ")&gt;0,"No","Sí"))</f>
        <v/>
      </c>
      <c r="P2388" s="27">
        <f>IF(OR($A2388="",$K2388=""),"",IF(AND($M2388="Sí",$O2388="Sí"),"OTIF","Falló"))</f>
        <v/>
      </c>
    </row>
    <row r="2389" ht="16" customHeight="1">
      <c r="A2389" s="47" t="n"/>
      <c r="B2389" s="46" t="n"/>
      <c r="C2389" s="49" t="n"/>
      <c r="D2389" s="49" t="n"/>
      <c r="E2389" s="49" t="n"/>
      <c r="F2389" s="49" t="n"/>
      <c r="G2389" s="47" t="n"/>
      <c r="H2389" s="50" t="n"/>
      <c r="I2389" s="51" t="n"/>
      <c r="J2389" s="46" t="n"/>
      <c r="K2389" s="46" t="n"/>
      <c r="L2389" s="23">
        <f>IF(OR($A2389="",$B2389=""),"",IF($K2389&lt;&gt;"",$K2389-$B2389,TODAY()-$B2389))</f>
        <v/>
      </c>
      <c r="M2389" s="27">
        <f>IF(OR($A2389="",$J2389=""),"",IF($K2389="",IF(TODAY()&gt;$J2389,"Atrasado","En ruta"),IF($K2389&lt;=$J2389,"Sí","No")))</f>
        <v/>
      </c>
      <c r="N2389" s="23">
        <f>IF($A2389="","",COUNTIFS(NOVEDADES!$C$4:$C$1503,$A2389))</f>
        <v/>
      </c>
      <c r="O2389" s="27">
        <f>IF($A2389="","",IF(COUNTIFS(NOVEDADES!$C$4:$C$1503,$A2389,NOVEDADES!$M$4:$M$1503,"SÍ")&gt;0,"No","Sí"))</f>
        <v/>
      </c>
      <c r="P2389" s="27">
        <f>IF(OR($A2389="",$K2389=""),"",IF(AND($M2389="Sí",$O2389="Sí"),"OTIF","Falló"))</f>
        <v/>
      </c>
    </row>
    <row r="2390" ht="16" customHeight="1">
      <c r="A2390" s="47" t="n"/>
      <c r="B2390" s="46" t="n"/>
      <c r="C2390" s="49" t="n"/>
      <c r="D2390" s="49" t="n"/>
      <c r="E2390" s="49" t="n"/>
      <c r="F2390" s="49" t="n"/>
      <c r="G2390" s="47" t="n"/>
      <c r="H2390" s="50" t="n"/>
      <c r="I2390" s="51" t="n"/>
      <c r="J2390" s="46" t="n"/>
      <c r="K2390" s="46" t="n"/>
      <c r="L2390" s="23">
        <f>IF(OR($A2390="",$B2390=""),"",IF($K2390&lt;&gt;"",$K2390-$B2390,TODAY()-$B2390))</f>
        <v/>
      </c>
      <c r="M2390" s="27">
        <f>IF(OR($A2390="",$J2390=""),"",IF($K2390="",IF(TODAY()&gt;$J2390,"Atrasado","En ruta"),IF($K2390&lt;=$J2390,"Sí","No")))</f>
        <v/>
      </c>
      <c r="N2390" s="23">
        <f>IF($A2390="","",COUNTIFS(NOVEDADES!$C$4:$C$1503,$A2390))</f>
        <v/>
      </c>
      <c r="O2390" s="27">
        <f>IF($A2390="","",IF(COUNTIFS(NOVEDADES!$C$4:$C$1503,$A2390,NOVEDADES!$M$4:$M$1503,"SÍ")&gt;0,"No","Sí"))</f>
        <v/>
      </c>
      <c r="P2390" s="27">
        <f>IF(OR($A2390="",$K2390=""),"",IF(AND($M2390="Sí",$O2390="Sí"),"OTIF","Falló"))</f>
        <v/>
      </c>
    </row>
    <row r="2391" ht="16" customHeight="1">
      <c r="A2391" s="47" t="n"/>
      <c r="B2391" s="46" t="n"/>
      <c r="C2391" s="49" t="n"/>
      <c r="D2391" s="49" t="n"/>
      <c r="E2391" s="49" t="n"/>
      <c r="F2391" s="49" t="n"/>
      <c r="G2391" s="47" t="n"/>
      <c r="H2391" s="50" t="n"/>
      <c r="I2391" s="51" t="n"/>
      <c r="J2391" s="46" t="n"/>
      <c r="K2391" s="46" t="n"/>
      <c r="L2391" s="23">
        <f>IF(OR($A2391="",$B2391=""),"",IF($K2391&lt;&gt;"",$K2391-$B2391,TODAY()-$B2391))</f>
        <v/>
      </c>
      <c r="M2391" s="27">
        <f>IF(OR($A2391="",$J2391=""),"",IF($K2391="",IF(TODAY()&gt;$J2391,"Atrasado","En ruta"),IF($K2391&lt;=$J2391,"Sí","No")))</f>
        <v/>
      </c>
      <c r="N2391" s="23">
        <f>IF($A2391="","",COUNTIFS(NOVEDADES!$C$4:$C$1503,$A2391))</f>
        <v/>
      </c>
      <c r="O2391" s="27">
        <f>IF($A2391="","",IF(COUNTIFS(NOVEDADES!$C$4:$C$1503,$A2391,NOVEDADES!$M$4:$M$1503,"SÍ")&gt;0,"No","Sí"))</f>
        <v/>
      </c>
      <c r="P2391" s="27">
        <f>IF(OR($A2391="",$K2391=""),"",IF(AND($M2391="Sí",$O2391="Sí"),"OTIF","Falló"))</f>
        <v/>
      </c>
    </row>
    <row r="2392" ht="16" customHeight="1">
      <c r="A2392" s="47" t="n"/>
      <c r="B2392" s="46" t="n"/>
      <c r="C2392" s="49" t="n"/>
      <c r="D2392" s="49" t="n"/>
      <c r="E2392" s="49" t="n"/>
      <c r="F2392" s="49" t="n"/>
      <c r="G2392" s="47" t="n"/>
      <c r="H2392" s="50" t="n"/>
      <c r="I2392" s="51" t="n"/>
      <c r="J2392" s="46" t="n"/>
      <c r="K2392" s="46" t="n"/>
      <c r="L2392" s="23">
        <f>IF(OR($A2392="",$B2392=""),"",IF($K2392&lt;&gt;"",$K2392-$B2392,TODAY()-$B2392))</f>
        <v/>
      </c>
      <c r="M2392" s="27">
        <f>IF(OR($A2392="",$J2392=""),"",IF($K2392="",IF(TODAY()&gt;$J2392,"Atrasado","En ruta"),IF($K2392&lt;=$J2392,"Sí","No")))</f>
        <v/>
      </c>
      <c r="N2392" s="23">
        <f>IF($A2392="","",COUNTIFS(NOVEDADES!$C$4:$C$1503,$A2392))</f>
        <v/>
      </c>
      <c r="O2392" s="27">
        <f>IF($A2392="","",IF(COUNTIFS(NOVEDADES!$C$4:$C$1503,$A2392,NOVEDADES!$M$4:$M$1503,"SÍ")&gt;0,"No","Sí"))</f>
        <v/>
      </c>
      <c r="P2392" s="27">
        <f>IF(OR($A2392="",$K2392=""),"",IF(AND($M2392="Sí",$O2392="Sí"),"OTIF","Falló"))</f>
        <v/>
      </c>
    </row>
    <row r="2393" ht="16" customHeight="1">
      <c r="A2393" s="47" t="n"/>
      <c r="B2393" s="46" t="n"/>
      <c r="C2393" s="49" t="n"/>
      <c r="D2393" s="49" t="n"/>
      <c r="E2393" s="49" t="n"/>
      <c r="F2393" s="49" t="n"/>
      <c r="G2393" s="47" t="n"/>
      <c r="H2393" s="50" t="n"/>
      <c r="I2393" s="51" t="n"/>
      <c r="J2393" s="46" t="n"/>
      <c r="K2393" s="46" t="n"/>
      <c r="L2393" s="23">
        <f>IF(OR($A2393="",$B2393=""),"",IF($K2393&lt;&gt;"",$K2393-$B2393,TODAY()-$B2393))</f>
        <v/>
      </c>
      <c r="M2393" s="27">
        <f>IF(OR($A2393="",$J2393=""),"",IF($K2393="",IF(TODAY()&gt;$J2393,"Atrasado","En ruta"),IF($K2393&lt;=$J2393,"Sí","No")))</f>
        <v/>
      </c>
      <c r="N2393" s="23">
        <f>IF($A2393="","",COUNTIFS(NOVEDADES!$C$4:$C$1503,$A2393))</f>
        <v/>
      </c>
      <c r="O2393" s="27">
        <f>IF($A2393="","",IF(COUNTIFS(NOVEDADES!$C$4:$C$1503,$A2393,NOVEDADES!$M$4:$M$1503,"SÍ")&gt;0,"No","Sí"))</f>
        <v/>
      </c>
      <c r="P2393" s="27">
        <f>IF(OR($A2393="",$K2393=""),"",IF(AND($M2393="Sí",$O2393="Sí"),"OTIF","Falló"))</f>
        <v/>
      </c>
    </row>
    <row r="2394" ht="16" customHeight="1">
      <c r="A2394" s="47" t="n"/>
      <c r="B2394" s="46" t="n"/>
      <c r="C2394" s="49" t="n"/>
      <c r="D2394" s="49" t="n"/>
      <c r="E2394" s="49" t="n"/>
      <c r="F2394" s="49" t="n"/>
      <c r="G2394" s="47" t="n"/>
      <c r="H2394" s="50" t="n"/>
      <c r="I2394" s="51" t="n"/>
      <c r="J2394" s="46" t="n"/>
      <c r="K2394" s="46" t="n"/>
      <c r="L2394" s="23">
        <f>IF(OR($A2394="",$B2394=""),"",IF($K2394&lt;&gt;"",$K2394-$B2394,TODAY()-$B2394))</f>
        <v/>
      </c>
      <c r="M2394" s="27">
        <f>IF(OR($A2394="",$J2394=""),"",IF($K2394="",IF(TODAY()&gt;$J2394,"Atrasado","En ruta"),IF($K2394&lt;=$J2394,"Sí","No")))</f>
        <v/>
      </c>
      <c r="N2394" s="23">
        <f>IF($A2394="","",COUNTIFS(NOVEDADES!$C$4:$C$1503,$A2394))</f>
        <v/>
      </c>
      <c r="O2394" s="27">
        <f>IF($A2394="","",IF(COUNTIFS(NOVEDADES!$C$4:$C$1503,$A2394,NOVEDADES!$M$4:$M$1503,"SÍ")&gt;0,"No","Sí"))</f>
        <v/>
      </c>
      <c r="P2394" s="27">
        <f>IF(OR($A2394="",$K2394=""),"",IF(AND($M2394="Sí",$O2394="Sí"),"OTIF","Falló"))</f>
        <v/>
      </c>
    </row>
    <row r="2395" ht="16" customHeight="1">
      <c r="A2395" s="47" t="n"/>
      <c r="B2395" s="46" t="n"/>
      <c r="C2395" s="49" t="n"/>
      <c r="D2395" s="49" t="n"/>
      <c r="E2395" s="49" t="n"/>
      <c r="F2395" s="49" t="n"/>
      <c r="G2395" s="47" t="n"/>
      <c r="H2395" s="50" t="n"/>
      <c r="I2395" s="51" t="n"/>
      <c r="J2395" s="46" t="n"/>
      <c r="K2395" s="46" t="n"/>
      <c r="L2395" s="23">
        <f>IF(OR($A2395="",$B2395=""),"",IF($K2395&lt;&gt;"",$K2395-$B2395,TODAY()-$B2395))</f>
        <v/>
      </c>
      <c r="M2395" s="27">
        <f>IF(OR($A2395="",$J2395=""),"",IF($K2395="",IF(TODAY()&gt;$J2395,"Atrasado","En ruta"),IF($K2395&lt;=$J2395,"Sí","No")))</f>
        <v/>
      </c>
      <c r="N2395" s="23">
        <f>IF($A2395="","",COUNTIFS(NOVEDADES!$C$4:$C$1503,$A2395))</f>
        <v/>
      </c>
      <c r="O2395" s="27">
        <f>IF($A2395="","",IF(COUNTIFS(NOVEDADES!$C$4:$C$1503,$A2395,NOVEDADES!$M$4:$M$1503,"SÍ")&gt;0,"No","Sí"))</f>
        <v/>
      </c>
      <c r="P2395" s="27">
        <f>IF(OR($A2395="",$K2395=""),"",IF(AND($M2395="Sí",$O2395="Sí"),"OTIF","Falló"))</f>
        <v/>
      </c>
    </row>
    <row r="2396" ht="16" customHeight="1">
      <c r="A2396" s="47" t="n"/>
      <c r="B2396" s="46" t="n"/>
      <c r="C2396" s="49" t="n"/>
      <c r="D2396" s="49" t="n"/>
      <c r="E2396" s="49" t="n"/>
      <c r="F2396" s="49" t="n"/>
      <c r="G2396" s="47" t="n"/>
      <c r="H2396" s="50" t="n"/>
      <c r="I2396" s="51" t="n"/>
      <c r="J2396" s="46" t="n"/>
      <c r="K2396" s="46" t="n"/>
      <c r="L2396" s="23">
        <f>IF(OR($A2396="",$B2396=""),"",IF($K2396&lt;&gt;"",$K2396-$B2396,TODAY()-$B2396))</f>
        <v/>
      </c>
      <c r="M2396" s="27">
        <f>IF(OR($A2396="",$J2396=""),"",IF($K2396="",IF(TODAY()&gt;$J2396,"Atrasado","En ruta"),IF($K2396&lt;=$J2396,"Sí","No")))</f>
        <v/>
      </c>
      <c r="N2396" s="23">
        <f>IF($A2396="","",COUNTIFS(NOVEDADES!$C$4:$C$1503,$A2396))</f>
        <v/>
      </c>
      <c r="O2396" s="27">
        <f>IF($A2396="","",IF(COUNTIFS(NOVEDADES!$C$4:$C$1503,$A2396,NOVEDADES!$M$4:$M$1503,"SÍ")&gt;0,"No","Sí"))</f>
        <v/>
      </c>
      <c r="P2396" s="27">
        <f>IF(OR($A2396="",$K2396=""),"",IF(AND($M2396="Sí",$O2396="Sí"),"OTIF","Falló"))</f>
        <v/>
      </c>
    </row>
    <row r="2397" ht="16" customHeight="1">
      <c r="A2397" s="47" t="n"/>
      <c r="B2397" s="46" t="n"/>
      <c r="C2397" s="49" t="n"/>
      <c r="D2397" s="49" t="n"/>
      <c r="E2397" s="49" t="n"/>
      <c r="F2397" s="49" t="n"/>
      <c r="G2397" s="47" t="n"/>
      <c r="H2397" s="50" t="n"/>
      <c r="I2397" s="51" t="n"/>
      <c r="J2397" s="46" t="n"/>
      <c r="K2397" s="46" t="n"/>
      <c r="L2397" s="23">
        <f>IF(OR($A2397="",$B2397=""),"",IF($K2397&lt;&gt;"",$K2397-$B2397,TODAY()-$B2397))</f>
        <v/>
      </c>
      <c r="M2397" s="27">
        <f>IF(OR($A2397="",$J2397=""),"",IF($K2397="",IF(TODAY()&gt;$J2397,"Atrasado","En ruta"),IF($K2397&lt;=$J2397,"Sí","No")))</f>
        <v/>
      </c>
      <c r="N2397" s="23">
        <f>IF($A2397="","",COUNTIFS(NOVEDADES!$C$4:$C$1503,$A2397))</f>
        <v/>
      </c>
      <c r="O2397" s="27">
        <f>IF($A2397="","",IF(COUNTIFS(NOVEDADES!$C$4:$C$1503,$A2397,NOVEDADES!$M$4:$M$1503,"SÍ")&gt;0,"No","Sí"))</f>
        <v/>
      </c>
      <c r="P2397" s="27">
        <f>IF(OR($A2397="",$K2397=""),"",IF(AND($M2397="Sí",$O2397="Sí"),"OTIF","Falló"))</f>
        <v/>
      </c>
    </row>
    <row r="2398" ht="16" customHeight="1">
      <c r="A2398" s="47" t="n"/>
      <c r="B2398" s="46" t="n"/>
      <c r="C2398" s="49" t="n"/>
      <c r="D2398" s="49" t="n"/>
      <c r="E2398" s="49" t="n"/>
      <c r="F2398" s="49" t="n"/>
      <c r="G2398" s="47" t="n"/>
      <c r="H2398" s="50" t="n"/>
      <c r="I2398" s="51" t="n"/>
      <c r="J2398" s="46" t="n"/>
      <c r="K2398" s="46" t="n"/>
      <c r="L2398" s="23">
        <f>IF(OR($A2398="",$B2398=""),"",IF($K2398&lt;&gt;"",$K2398-$B2398,TODAY()-$B2398))</f>
        <v/>
      </c>
      <c r="M2398" s="27">
        <f>IF(OR($A2398="",$J2398=""),"",IF($K2398="",IF(TODAY()&gt;$J2398,"Atrasado","En ruta"),IF($K2398&lt;=$J2398,"Sí","No")))</f>
        <v/>
      </c>
      <c r="N2398" s="23">
        <f>IF($A2398="","",COUNTIFS(NOVEDADES!$C$4:$C$1503,$A2398))</f>
        <v/>
      </c>
      <c r="O2398" s="27">
        <f>IF($A2398="","",IF(COUNTIFS(NOVEDADES!$C$4:$C$1503,$A2398,NOVEDADES!$M$4:$M$1503,"SÍ")&gt;0,"No","Sí"))</f>
        <v/>
      </c>
      <c r="P2398" s="27">
        <f>IF(OR($A2398="",$K2398=""),"",IF(AND($M2398="Sí",$O2398="Sí"),"OTIF","Falló"))</f>
        <v/>
      </c>
    </row>
    <row r="2399" ht="16" customHeight="1">
      <c r="A2399" s="47" t="n"/>
      <c r="B2399" s="46" t="n"/>
      <c r="C2399" s="49" t="n"/>
      <c r="D2399" s="49" t="n"/>
      <c r="E2399" s="49" t="n"/>
      <c r="F2399" s="49" t="n"/>
      <c r="G2399" s="47" t="n"/>
      <c r="H2399" s="50" t="n"/>
      <c r="I2399" s="51" t="n"/>
      <c r="J2399" s="46" t="n"/>
      <c r="K2399" s="46" t="n"/>
      <c r="L2399" s="23">
        <f>IF(OR($A2399="",$B2399=""),"",IF($K2399&lt;&gt;"",$K2399-$B2399,TODAY()-$B2399))</f>
        <v/>
      </c>
      <c r="M2399" s="27">
        <f>IF(OR($A2399="",$J2399=""),"",IF($K2399="",IF(TODAY()&gt;$J2399,"Atrasado","En ruta"),IF($K2399&lt;=$J2399,"Sí","No")))</f>
        <v/>
      </c>
      <c r="N2399" s="23">
        <f>IF($A2399="","",COUNTIFS(NOVEDADES!$C$4:$C$1503,$A2399))</f>
        <v/>
      </c>
      <c r="O2399" s="27">
        <f>IF($A2399="","",IF(COUNTIFS(NOVEDADES!$C$4:$C$1503,$A2399,NOVEDADES!$M$4:$M$1503,"SÍ")&gt;0,"No","Sí"))</f>
        <v/>
      </c>
      <c r="P2399" s="27">
        <f>IF(OR($A2399="",$K2399=""),"",IF(AND($M2399="Sí",$O2399="Sí"),"OTIF","Falló"))</f>
        <v/>
      </c>
    </row>
    <row r="2400" ht="16" customHeight="1">
      <c r="A2400" s="47" t="n"/>
      <c r="B2400" s="46" t="n"/>
      <c r="C2400" s="49" t="n"/>
      <c r="D2400" s="49" t="n"/>
      <c r="E2400" s="49" t="n"/>
      <c r="F2400" s="49" t="n"/>
      <c r="G2400" s="47" t="n"/>
      <c r="H2400" s="50" t="n"/>
      <c r="I2400" s="51" t="n"/>
      <c r="J2400" s="46" t="n"/>
      <c r="K2400" s="46" t="n"/>
      <c r="L2400" s="23">
        <f>IF(OR($A2400="",$B2400=""),"",IF($K2400&lt;&gt;"",$K2400-$B2400,TODAY()-$B2400))</f>
        <v/>
      </c>
      <c r="M2400" s="27">
        <f>IF(OR($A2400="",$J2400=""),"",IF($K2400="",IF(TODAY()&gt;$J2400,"Atrasado","En ruta"),IF($K2400&lt;=$J2400,"Sí","No")))</f>
        <v/>
      </c>
      <c r="N2400" s="23">
        <f>IF($A2400="","",COUNTIFS(NOVEDADES!$C$4:$C$1503,$A2400))</f>
        <v/>
      </c>
      <c r="O2400" s="27">
        <f>IF($A2400="","",IF(COUNTIFS(NOVEDADES!$C$4:$C$1503,$A2400,NOVEDADES!$M$4:$M$1503,"SÍ")&gt;0,"No","Sí"))</f>
        <v/>
      </c>
      <c r="P2400" s="27">
        <f>IF(OR($A2400="",$K2400=""),"",IF(AND($M2400="Sí",$O2400="Sí"),"OTIF","Falló"))</f>
        <v/>
      </c>
    </row>
    <row r="2401" ht="16" customHeight="1">
      <c r="A2401" s="47" t="n"/>
      <c r="B2401" s="46" t="n"/>
      <c r="C2401" s="49" t="n"/>
      <c r="D2401" s="49" t="n"/>
      <c r="E2401" s="49" t="n"/>
      <c r="F2401" s="49" t="n"/>
      <c r="G2401" s="47" t="n"/>
      <c r="H2401" s="50" t="n"/>
      <c r="I2401" s="51" t="n"/>
      <c r="J2401" s="46" t="n"/>
      <c r="K2401" s="46" t="n"/>
      <c r="L2401" s="23">
        <f>IF(OR($A2401="",$B2401=""),"",IF($K2401&lt;&gt;"",$K2401-$B2401,TODAY()-$B2401))</f>
        <v/>
      </c>
      <c r="M2401" s="27">
        <f>IF(OR($A2401="",$J2401=""),"",IF($K2401="",IF(TODAY()&gt;$J2401,"Atrasado","En ruta"),IF($K2401&lt;=$J2401,"Sí","No")))</f>
        <v/>
      </c>
      <c r="N2401" s="23">
        <f>IF($A2401="","",COUNTIFS(NOVEDADES!$C$4:$C$1503,$A2401))</f>
        <v/>
      </c>
      <c r="O2401" s="27">
        <f>IF($A2401="","",IF(COUNTIFS(NOVEDADES!$C$4:$C$1503,$A2401,NOVEDADES!$M$4:$M$1503,"SÍ")&gt;0,"No","Sí"))</f>
        <v/>
      </c>
      <c r="P2401" s="27">
        <f>IF(OR($A2401="",$K2401=""),"",IF(AND($M2401="Sí",$O2401="Sí"),"OTIF","Falló"))</f>
        <v/>
      </c>
    </row>
    <row r="2402" ht="16" customHeight="1">
      <c r="A2402" s="47" t="n"/>
      <c r="B2402" s="46" t="n"/>
      <c r="C2402" s="49" t="n"/>
      <c r="D2402" s="49" t="n"/>
      <c r="E2402" s="49" t="n"/>
      <c r="F2402" s="49" t="n"/>
      <c r="G2402" s="47" t="n"/>
      <c r="H2402" s="50" t="n"/>
      <c r="I2402" s="51" t="n"/>
      <c r="J2402" s="46" t="n"/>
      <c r="K2402" s="46" t="n"/>
      <c r="L2402" s="23">
        <f>IF(OR($A2402="",$B2402=""),"",IF($K2402&lt;&gt;"",$K2402-$B2402,TODAY()-$B2402))</f>
        <v/>
      </c>
      <c r="M2402" s="27">
        <f>IF(OR($A2402="",$J2402=""),"",IF($K2402="",IF(TODAY()&gt;$J2402,"Atrasado","En ruta"),IF($K2402&lt;=$J2402,"Sí","No")))</f>
        <v/>
      </c>
      <c r="N2402" s="23">
        <f>IF($A2402="","",COUNTIFS(NOVEDADES!$C$4:$C$1503,$A2402))</f>
        <v/>
      </c>
      <c r="O2402" s="27">
        <f>IF($A2402="","",IF(COUNTIFS(NOVEDADES!$C$4:$C$1503,$A2402,NOVEDADES!$M$4:$M$1503,"SÍ")&gt;0,"No","Sí"))</f>
        <v/>
      </c>
      <c r="P2402" s="27">
        <f>IF(OR($A2402="",$K2402=""),"",IF(AND($M2402="Sí",$O2402="Sí"),"OTIF","Falló"))</f>
        <v/>
      </c>
    </row>
    <row r="2403" ht="16" customHeight="1">
      <c r="A2403" s="47" t="n"/>
      <c r="B2403" s="46" t="n"/>
      <c r="C2403" s="49" t="n"/>
      <c r="D2403" s="49" t="n"/>
      <c r="E2403" s="49" t="n"/>
      <c r="F2403" s="49" t="n"/>
      <c r="G2403" s="47" t="n"/>
      <c r="H2403" s="50" t="n"/>
      <c r="I2403" s="51" t="n"/>
      <c r="J2403" s="46" t="n"/>
      <c r="K2403" s="46" t="n"/>
      <c r="L2403" s="23">
        <f>IF(OR($A2403="",$B2403=""),"",IF($K2403&lt;&gt;"",$K2403-$B2403,TODAY()-$B2403))</f>
        <v/>
      </c>
      <c r="M2403" s="27">
        <f>IF(OR($A2403="",$J2403=""),"",IF($K2403="",IF(TODAY()&gt;$J2403,"Atrasado","En ruta"),IF($K2403&lt;=$J2403,"Sí","No")))</f>
        <v/>
      </c>
      <c r="N2403" s="23">
        <f>IF($A2403="","",COUNTIFS(NOVEDADES!$C$4:$C$1503,$A2403))</f>
        <v/>
      </c>
      <c r="O2403" s="27">
        <f>IF($A2403="","",IF(COUNTIFS(NOVEDADES!$C$4:$C$1503,$A2403,NOVEDADES!$M$4:$M$1503,"SÍ")&gt;0,"No","Sí"))</f>
        <v/>
      </c>
      <c r="P2403" s="27">
        <f>IF(OR($A2403="",$K2403=""),"",IF(AND($M2403="Sí",$O2403="Sí"),"OTIF","Falló"))</f>
        <v/>
      </c>
    </row>
    <row r="2404" ht="16" customHeight="1">
      <c r="A2404" s="47" t="n"/>
      <c r="B2404" s="46" t="n"/>
      <c r="C2404" s="49" t="n"/>
      <c r="D2404" s="49" t="n"/>
      <c r="E2404" s="49" t="n"/>
      <c r="F2404" s="49" t="n"/>
      <c r="G2404" s="47" t="n"/>
      <c r="H2404" s="50" t="n"/>
      <c r="I2404" s="51" t="n"/>
      <c r="J2404" s="46" t="n"/>
      <c r="K2404" s="46" t="n"/>
      <c r="L2404" s="23">
        <f>IF(OR($A2404="",$B2404=""),"",IF($K2404&lt;&gt;"",$K2404-$B2404,TODAY()-$B2404))</f>
        <v/>
      </c>
      <c r="M2404" s="27">
        <f>IF(OR($A2404="",$J2404=""),"",IF($K2404="",IF(TODAY()&gt;$J2404,"Atrasado","En ruta"),IF($K2404&lt;=$J2404,"Sí","No")))</f>
        <v/>
      </c>
      <c r="N2404" s="23">
        <f>IF($A2404="","",COUNTIFS(NOVEDADES!$C$4:$C$1503,$A2404))</f>
        <v/>
      </c>
      <c r="O2404" s="27">
        <f>IF($A2404="","",IF(COUNTIFS(NOVEDADES!$C$4:$C$1503,$A2404,NOVEDADES!$M$4:$M$1503,"SÍ")&gt;0,"No","Sí"))</f>
        <v/>
      </c>
      <c r="P2404" s="27">
        <f>IF(OR($A2404="",$K2404=""),"",IF(AND($M2404="Sí",$O2404="Sí"),"OTIF","Falló"))</f>
        <v/>
      </c>
    </row>
    <row r="2405" ht="16" customHeight="1">
      <c r="A2405" s="47" t="n"/>
      <c r="B2405" s="46" t="n"/>
      <c r="C2405" s="49" t="n"/>
      <c r="D2405" s="49" t="n"/>
      <c r="E2405" s="49" t="n"/>
      <c r="F2405" s="49" t="n"/>
      <c r="G2405" s="47" t="n"/>
      <c r="H2405" s="50" t="n"/>
      <c r="I2405" s="51" t="n"/>
      <c r="J2405" s="46" t="n"/>
      <c r="K2405" s="46" t="n"/>
      <c r="L2405" s="23">
        <f>IF(OR($A2405="",$B2405=""),"",IF($K2405&lt;&gt;"",$K2405-$B2405,TODAY()-$B2405))</f>
        <v/>
      </c>
      <c r="M2405" s="27">
        <f>IF(OR($A2405="",$J2405=""),"",IF($K2405="",IF(TODAY()&gt;$J2405,"Atrasado","En ruta"),IF($K2405&lt;=$J2405,"Sí","No")))</f>
        <v/>
      </c>
      <c r="N2405" s="23">
        <f>IF($A2405="","",COUNTIFS(NOVEDADES!$C$4:$C$1503,$A2405))</f>
        <v/>
      </c>
      <c r="O2405" s="27">
        <f>IF($A2405="","",IF(COUNTIFS(NOVEDADES!$C$4:$C$1503,$A2405,NOVEDADES!$M$4:$M$1503,"SÍ")&gt;0,"No","Sí"))</f>
        <v/>
      </c>
      <c r="P2405" s="27">
        <f>IF(OR($A2405="",$K2405=""),"",IF(AND($M2405="Sí",$O2405="Sí"),"OTIF","Falló"))</f>
        <v/>
      </c>
    </row>
    <row r="2406" ht="16" customHeight="1">
      <c r="A2406" s="47" t="n"/>
      <c r="B2406" s="46" t="n"/>
      <c r="C2406" s="49" t="n"/>
      <c r="D2406" s="49" t="n"/>
      <c r="E2406" s="49" t="n"/>
      <c r="F2406" s="49" t="n"/>
      <c r="G2406" s="47" t="n"/>
      <c r="H2406" s="50" t="n"/>
      <c r="I2406" s="51" t="n"/>
      <c r="J2406" s="46" t="n"/>
      <c r="K2406" s="46" t="n"/>
      <c r="L2406" s="23">
        <f>IF(OR($A2406="",$B2406=""),"",IF($K2406&lt;&gt;"",$K2406-$B2406,TODAY()-$B2406))</f>
        <v/>
      </c>
      <c r="M2406" s="27">
        <f>IF(OR($A2406="",$J2406=""),"",IF($K2406="",IF(TODAY()&gt;$J2406,"Atrasado","En ruta"),IF($K2406&lt;=$J2406,"Sí","No")))</f>
        <v/>
      </c>
      <c r="N2406" s="23">
        <f>IF($A2406="","",COUNTIFS(NOVEDADES!$C$4:$C$1503,$A2406))</f>
        <v/>
      </c>
      <c r="O2406" s="27">
        <f>IF($A2406="","",IF(COUNTIFS(NOVEDADES!$C$4:$C$1503,$A2406,NOVEDADES!$M$4:$M$1503,"SÍ")&gt;0,"No","Sí"))</f>
        <v/>
      </c>
      <c r="P2406" s="27">
        <f>IF(OR($A2406="",$K2406=""),"",IF(AND($M2406="Sí",$O2406="Sí"),"OTIF","Falló"))</f>
        <v/>
      </c>
    </row>
    <row r="2407" ht="16" customHeight="1">
      <c r="A2407" s="47" t="n"/>
      <c r="B2407" s="46" t="n"/>
      <c r="C2407" s="49" t="n"/>
      <c r="D2407" s="49" t="n"/>
      <c r="E2407" s="49" t="n"/>
      <c r="F2407" s="49" t="n"/>
      <c r="G2407" s="47" t="n"/>
      <c r="H2407" s="50" t="n"/>
      <c r="I2407" s="51" t="n"/>
      <c r="J2407" s="46" t="n"/>
      <c r="K2407" s="46" t="n"/>
      <c r="L2407" s="23">
        <f>IF(OR($A2407="",$B2407=""),"",IF($K2407&lt;&gt;"",$K2407-$B2407,TODAY()-$B2407))</f>
        <v/>
      </c>
      <c r="M2407" s="27">
        <f>IF(OR($A2407="",$J2407=""),"",IF($K2407="",IF(TODAY()&gt;$J2407,"Atrasado","En ruta"),IF($K2407&lt;=$J2407,"Sí","No")))</f>
        <v/>
      </c>
      <c r="N2407" s="23">
        <f>IF($A2407="","",COUNTIFS(NOVEDADES!$C$4:$C$1503,$A2407))</f>
        <v/>
      </c>
      <c r="O2407" s="27">
        <f>IF($A2407="","",IF(COUNTIFS(NOVEDADES!$C$4:$C$1503,$A2407,NOVEDADES!$M$4:$M$1503,"SÍ")&gt;0,"No","Sí"))</f>
        <v/>
      </c>
      <c r="P2407" s="27">
        <f>IF(OR($A2407="",$K2407=""),"",IF(AND($M2407="Sí",$O2407="Sí"),"OTIF","Falló"))</f>
        <v/>
      </c>
    </row>
    <row r="2408" ht="16" customHeight="1">
      <c r="A2408" s="47" t="n"/>
      <c r="B2408" s="46" t="n"/>
      <c r="C2408" s="49" t="n"/>
      <c r="D2408" s="49" t="n"/>
      <c r="E2408" s="49" t="n"/>
      <c r="F2408" s="49" t="n"/>
      <c r="G2408" s="47" t="n"/>
      <c r="H2408" s="50" t="n"/>
      <c r="I2408" s="51" t="n"/>
      <c r="J2408" s="46" t="n"/>
      <c r="K2408" s="46" t="n"/>
      <c r="L2408" s="23">
        <f>IF(OR($A2408="",$B2408=""),"",IF($K2408&lt;&gt;"",$K2408-$B2408,TODAY()-$B2408))</f>
        <v/>
      </c>
      <c r="M2408" s="27">
        <f>IF(OR($A2408="",$J2408=""),"",IF($K2408="",IF(TODAY()&gt;$J2408,"Atrasado","En ruta"),IF($K2408&lt;=$J2408,"Sí","No")))</f>
        <v/>
      </c>
      <c r="N2408" s="23">
        <f>IF($A2408="","",COUNTIFS(NOVEDADES!$C$4:$C$1503,$A2408))</f>
        <v/>
      </c>
      <c r="O2408" s="27">
        <f>IF($A2408="","",IF(COUNTIFS(NOVEDADES!$C$4:$C$1503,$A2408,NOVEDADES!$M$4:$M$1503,"SÍ")&gt;0,"No","Sí"))</f>
        <v/>
      </c>
      <c r="P2408" s="27">
        <f>IF(OR($A2408="",$K2408=""),"",IF(AND($M2408="Sí",$O2408="Sí"),"OTIF","Falló"))</f>
        <v/>
      </c>
    </row>
    <row r="2409" ht="16" customHeight="1">
      <c r="A2409" s="47" t="n"/>
      <c r="B2409" s="46" t="n"/>
      <c r="C2409" s="49" t="n"/>
      <c r="D2409" s="49" t="n"/>
      <c r="E2409" s="49" t="n"/>
      <c r="F2409" s="49" t="n"/>
      <c r="G2409" s="47" t="n"/>
      <c r="H2409" s="50" t="n"/>
      <c r="I2409" s="51" t="n"/>
      <c r="J2409" s="46" t="n"/>
      <c r="K2409" s="46" t="n"/>
      <c r="L2409" s="23">
        <f>IF(OR($A2409="",$B2409=""),"",IF($K2409&lt;&gt;"",$K2409-$B2409,TODAY()-$B2409))</f>
        <v/>
      </c>
      <c r="M2409" s="27">
        <f>IF(OR($A2409="",$J2409=""),"",IF($K2409="",IF(TODAY()&gt;$J2409,"Atrasado","En ruta"),IF($K2409&lt;=$J2409,"Sí","No")))</f>
        <v/>
      </c>
      <c r="N2409" s="23">
        <f>IF($A2409="","",COUNTIFS(NOVEDADES!$C$4:$C$1503,$A2409))</f>
        <v/>
      </c>
      <c r="O2409" s="27">
        <f>IF($A2409="","",IF(COUNTIFS(NOVEDADES!$C$4:$C$1503,$A2409,NOVEDADES!$M$4:$M$1503,"SÍ")&gt;0,"No","Sí"))</f>
        <v/>
      </c>
      <c r="P2409" s="27">
        <f>IF(OR($A2409="",$K2409=""),"",IF(AND($M2409="Sí",$O2409="Sí"),"OTIF","Falló"))</f>
        <v/>
      </c>
    </row>
    <row r="2410" ht="16" customHeight="1">
      <c r="A2410" s="47" t="n"/>
      <c r="B2410" s="46" t="n"/>
      <c r="C2410" s="49" t="n"/>
      <c r="D2410" s="49" t="n"/>
      <c r="E2410" s="49" t="n"/>
      <c r="F2410" s="49" t="n"/>
      <c r="G2410" s="47" t="n"/>
      <c r="H2410" s="50" t="n"/>
      <c r="I2410" s="51" t="n"/>
      <c r="J2410" s="46" t="n"/>
      <c r="K2410" s="46" t="n"/>
      <c r="L2410" s="23">
        <f>IF(OR($A2410="",$B2410=""),"",IF($K2410&lt;&gt;"",$K2410-$B2410,TODAY()-$B2410))</f>
        <v/>
      </c>
      <c r="M2410" s="27">
        <f>IF(OR($A2410="",$J2410=""),"",IF($K2410="",IF(TODAY()&gt;$J2410,"Atrasado","En ruta"),IF($K2410&lt;=$J2410,"Sí","No")))</f>
        <v/>
      </c>
      <c r="N2410" s="23">
        <f>IF($A2410="","",COUNTIFS(NOVEDADES!$C$4:$C$1503,$A2410))</f>
        <v/>
      </c>
      <c r="O2410" s="27">
        <f>IF($A2410="","",IF(COUNTIFS(NOVEDADES!$C$4:$C$1503,$A2410,NOVEDADES!$M$4:$M$1503,"SÍ")&gt;0,"No","Sí"))</f>
        <v/>
      </c>
      <c r="P2410" s="27">
        <f>IF(OR($A2410="",$K2410=""),"",IF(AND($M2410="Sí",$O2410="Sí"),"OTIF","Falló"))</f>
        <v/>
      </c>
    </row>
    <row r="2411" ht="16" customHeight="1">
      <c r="A2411" s="47" t="n"/>
      <c r="B2411" s="46" t="n"/>
      <c r="C2411" s="49" t="n"/>
      <c r="D2411" s="49" t="n"/>
      <c r="E2411" s="49" t="n"/>
      <c r="F2411" s="49" t="n"/>
      <c r="G2411" s="47" t="n"/>
      <c r="H2411" s="50" t="n"/>
      <c r="I2411" s="51" t="n"/>
      <c r="J2411" s="46" t="n"/>
      <c r="K2411" s="46" t="n"/>
      <c r="L2411" s="23">
        <f>IF(OR($A2411="",$B2411=""),"",IF($K2411&lt;&gt;"",$K2411-$B2411,TODAY()-$B2411))</f>
        <v/>
      </c>
      <c r="M2411" s="27">
        <f>IF(OR($A2411="",$J2411=""),"",IF($K2411="",IF(TODAY()&gt;$J2411,"Atrasado","En ruta"),IF($K2411&lt;=$J2411,"Sí","No")))</f>
        <v/>
      </c>
      <c r="N2411" s="23">
        <f>IF($A2411="","",COUNTIFS(NOVEDADES!$C$4:$C$1503,$A2411))</f>
        <v/>
      </c>
      <c r="O2411" s="27">
        <f>IF($A2411="","",IF(COUNTIFS(NOVEDADES!$C$4:$C$1503,$A2411,NOVEDADES!$M$4:$M$1503,"SÍ")&gt;0,"No","Sí"))</f>
        <v/>
      </c>
      <c r="P2411" s="27">
        <f>IF(OR($A2411="",$K2411=""),"",IF(AND($M2411="Sí",$O2411="Sí"),"OTIF","Falló"))</f>
        <v/>
      </c>
    </row>
    <row r="2412" ht="16" customHeight="1">
      <c r="A2412" s="47" t="n"/>
      <c r="B2412" s="46" t="n"/>
      <c r="C2412" s="49" t="n"/>
      <c r="D2412" s="49" t="n"/>
      <c r="E2412" s="49" t="n"/>
      <c r="F2412" s="49" t="n"/>
      <c r="G2412" s="47" t="n"/>
      <c r="H2412" s="50" t="n"/>
      <c r="I2412" s="51" t="n"/>
      <c r="J2412" s="46" t="n"/>
      <c r="K2412" s="46" t="n"/>
      <c r="L2412" s="23">
        <f>IF(OR($A2412="",$B2412=""),"",IF($K2412&lt;&gt;"",$K2412-$B2412,TODAY()-$B2412))</f>
        <v/>
      </c>
      <c r="M2412" s="27">
        <f>IF(OR($A2412="",$J2412=""),"",IF($K2412="",IF(TODAY()&gt;$J2412,"Atrasado","En ruta"),IF($K2412&lt;=$J2412,"Sí","No")))</f>
        <v/>
      </c>
      <c r="N2412" s="23">
        <f>IF($A2412="","",COUNTIFS(NOVEDADES!$C$4:$C$1503,$A2412))</f>
        <v/>
      </c>
      <c r="O2412" s="27">
        <f>IF($A2412="","",IF(COUNTIFS(NOVEDADES!$C$4:$C$1503,$A2412,NOVEDADES!$M$4:$M$1503,"SÍ")&gt;0,"No","Sí"))</f>
        <v/>
      </c>
      <c r="P2412" s="27">
        <f>IF(OR($A2412="",$K2412=""),"",IF(AND($M2412="Sí",$O2412="Sí"),"OTIF","Falló"))</f>
        <v/>
      </c>
    </row>
    <row r="2413" ht="16" customHeight="1">
      <c r="A2413" s="47" t="n"/>
      <c r="B2413" s="46" t="n"/>
      <c r="C2413" s="49" t="n"/>
      <c r="D2413" s="49" t="n"/>
      <c r="E2413" s="49" t="n"/>
      <c r="F2413" s="49" t="n"/>
      <c r="G2413" s="47" t="n"/>
      <c r="H2413" s="50" t="n"/>
      <c r="I2413" s="51" t="n"/>
      <c r="J2413" s="46" t="n"/>
      <c r="K2413" s="46" t="n"/>
      <c r="L2413" s="23">
        <f>IF(OR($A2413="",$B2413=""),"",IF($K2413&lt;&gt;"",$K2413-$B2413,TODAY()-$B2413))</f>
        <v/>
      </c>
      <c r="M2413" s="27">
        <f>IF(OR($A2413="",$J2413=""),"",IF($K2413="",IF(TODAY()&gt;$J2413,"Atrasado","En ruta"),IF($K2413&lt;=$J2413,"Sí","No")))</f>
        <v/>
      </c>
      <c r="N2413" s="23">
        <f>IF($A2413="","",COUNTIFS(NOVEDADES!$C$4:$C$1503,$A2413))</f>
        <v/>
      </c>
      <c r="O2413" s="27">
        <f>IF($A2413="","",IF(COUNTIFS(NOVEDADES!$C$4:$C$1503,$A2413,NOVEDADES!$M$4:$M$1503,"SÍ")&gt;0,"No","Sí"))</f>
        <v/>
      </c>
      <c r="P2413" s="27">
        <f>IF(OR($A2413="",$K2413=""),"",IF(AND($M2413="Sí",$O2413="Sí"),"OTIF","Falló"))</f>
        <v/>
      </c>
    </row>
    <row r="2414" ht="16" customHeight="1">
      <c r="A2414" s="47" t="n"/>
      <c r="B2414" s="46" t="n"/>
      <c r="C2414" s="49" t="n"/>
      <c r="D2414" s="49" t="n"/>
      <c r="E2414" s="49" t="n"/>
      <c r="F2414" s="49" t="n"/>
      <c r="G2414" s="47" t="n"/>
      <c r="H2414" s="50" t="n"/>
      <c r="I2414" s="51" t="n"/>
      <c r="J2414" s="46" t="n"/>
      <c r="K2414" s="46" t="n"/>
      <c r="L2414" s="23">
        <f>IF(OR($A2414="",$B2414=""),"",IF($K2414&lt;&gt;"",$K2414-$B2414,TODAY()-$B2414))</f>
        <v/>
      </c>
      <c r="M2414" s="27">
        <f>IF(OR($A2414="",$J2414=""),"",IF($K2414="",IF(TODAY()&gt;$J2414,"Atrasado","En ruta"),IF($K2414&lt;=$J2414,"Sí","No")))</f>
        <v/>
      </c>
      <c r="N2414" s="23">
        <f>IF($A2414="","",COUNTIFS(NOVEDADES!$C$4:$C$1503,$A2414))</f>
        <v/>
      </c>
      <c r="O2414" s="27">
        <f>IF($A2414="","",IF(COUNTIFS(NOVEDADES!$C$4:$C$1503,$A2414,NOVEDADES!$M$4:$M$1503,"SÍ")&gt;0,"No","Sí"))</f>
        <v/>
      </c>
      <c r="P2414" s="27">
        <f>IF(OR($A2414="",$K2414=""),"",IF(AND($M2414="Sí",$O2414="Sí"),"OTIF","Falló"))</f>
        <v/>
      </c>
    </row>
    <row r="2415" ht="16" customHeight="1">
      <c r="A2415" s="47" t="n"/>
      <c r="B2415" s="46" t="n"/>
      <c r="C2415" s="49" t="n"/>
      <c r="D2415" s="49" t="n"/>
      <c r="E2415" s="49" t="n"/>
      <c r="F2415" s="49" t="n"/>
      <c r="G2415" s="47" t="n"/>
      <c r="H2415" s="50" t="n"/>
      <c r="I2415" s="51" t="n"/>
      <c r="J2415" s="46" t="n"/>
      <c r="K2415" s="46" t="n"/>
      <c r="L2415" s="23">
        <f>IF(OR($A2415="",$B2415=""),"",IF($K2415&lt;&gt;"",$K2415-$B2415,TODAY()-$B2415))</f>
        <v/>
      </c>
      <c r="M2415" s="27">
        <f>IF(OR($A2415="",$J2415=""),"",IF($K2415="",IF(TODAY()&gt;$J2415,"Atrasado","En ruta"),IF($K2415&lt;=$J2415,"Sí","No")))</f>
        <v/>
      </c>
      <c r="N2415" s="23">
        <f>IF($A2415="","",COUNTIFS(NOVEDADES!$C$4:$C$1503,$A2415))</f>
        <v/>
      </c>
      <c r="O2415" s="27">
        <f>IF($A2415="","",IF(COUNTIFS(NOVEDADES!$C$4:$C$1503,$A2415,NOVEDADES!$M$4:$M$1503,"SÍ")&gt;0,"No","Sí"))</f>
        <v/>
      </c>
      <c r="P2415" s="27">
        <f>IF(OR($A2415="",$K2415=""),"",IF(AND($M2415="Sí",$O2415="Sí"),"OTIF","Falló"))</f>
        <v/>
      </c>
    </row>
    <row r="2416" ht="16" customHeight="1">
      <c r="A2416" s="47" t="n"/>
      <c r="B2416" s="46" t="n"/>
      <c r="C2416" s="49" t="n"/>
      <c r="D2416" s="49" t="n"/>
      <c r="E2416" s="49" t="n"/>
      <c r="F2416" s="49" t="n"/>
      <c r="G2416" s="47" t="n"/>
      <c r="H2416" s="50" t="n"/>
      <c r="I2416" s="51" t="n"/>
      <c r="J2416" s="46" t="n"/>
      <c r="K2416" s="46" t="n"/>
      <c r="L2416" s="23">
        <f>IF(OR($A2416="",$B2416=""),"",IF($K2416&lt;&gt;"",$K2416-$B2416,TODAY()-$B2416))</f>
        <v/>
      </c>
      <c r="M2416" s="27">
        <f>IF(OR($A2416="",$J2416=""),"",IF($K2416="",IF(TODAY()&gt;$J2416,"Atrasado","En ruta"),IF($K2416&lt;=$J2416,"Sí","No")))</f>
        <v/>
      </c>
      <c r="N2416" s="23">
        <f>IF($A2416="","",COUNTIFS(NOVEDADES!$C$4:$C$1503,$A2416))</f>
        <v/>
      </c>
      <c r="O2416" s="27">
        <f>IF($A2416="","",IF(COUNTIFS(NOVEDADES!$C$4:$C$1503,$A2416,NOVEDADES!$M$4:$M$1503,"SÍ")&gt;0,"No","Sí"))</f>
        <v/>
      </c>
      <c r="P2416" s="27">
        <f>IF(OR($A2416="",$K2416=""),"",IF(AND($M2416="Sí",$O2416="Sí"),"OTIF","Falló"))</f>
        <v/>
      </c>
    </row>
    <row r="2417" ht="16" customHeight="1">
      <c r="A2417" s="47" t="n"/>
      <c r="B2417" s="46" t="n"/>
      <c r="C2417" s="49" t="n"/>
      <c r="D2417" s="49" t="n"/>
      <c r="E2417" s="49" t="n"/>
      <c r="F2417" s="49" t="n"/>
      <c r="G2417" s="47" t="n"/>
      <c r="H2417" s="50" t="n"/>
      <c r="I2417" s="51" t="n"/>
      <c r="J2417" s="46" t="n"/>
      <c r="K2417" s="46" t="n"/>
      <c r="L2417" s="23">
        <f>IF(OR($A2417="",$B2417=""),"",IF($K2417&lt;&gt;"",$K2417-$B2417,TODAY()-$B2417))</f>
        <v/>
      </c>
      <c r="M2417" s="27">
        <f>IF(OR($A2417="",$J2417=""),"",IF($K2417="",IF(TODAY()&gt;$J2417,"Atrasado","En ruta"),IF($K2417&lt;=$J2417,"Sí","No")))</f>
        <v/>
      </c>
      <c r="N2417" s="23">
        <f>IF($A2417="","",COUNTIFS(NOVEDADES!$C$4:$C$1503,$A2417))</f>
        <v/>
      </c>
      <c r="O2417" s="27">
        <f>IF($A2417="","",IF(COUNTIFS(NOVEDADES!$C$4:$C$1503,$A2417,NOVEDADES!$M$4:$M$1503,"SÍ")&gt;0,"No","Sí"))</f>
        <v/>
      </c>
      <c r="P2417" s="27">
        <f>IF(OR($A2417="",$K2417=""),"",IF(AND($M2417="Sí",$O2417="Sí"),"OTIF","Falló"))</f>
        <v/>
      </c>
    </row>
    <row r="2418" ht="16" customHeight="1">
      <c r="A2418" s="47" t="n"/>
      <c r="B2418" s="46" t="n"/>
      <c r="C2418" s="49" t="n"/>
      <c r="D2418" s="49" t="n"/>
      <c r="E2418" s="49" t="n"/>
      <c r="F2418" s="49" t="n"/>
      <c r="G2418" s="47" t="n"/>
      <c r="H2418" s="50" t="n"/>
      <c r="I2418" s="51" t="n"/>
      <c r="J2418" s="46" t="n"/>
      <c r="K2418" s="46" t="n"/>
      <c r="L2418" s="23">
        <f>IF(OR($A2418="",$B2418=""),"",IF($K2418&lt;&gt;"",$K2418-$B2418,TODAY()-$B2418))</f>
        <v/>
      </c>
      <c r="M2418" s="27">
        <f>IF(OR($A2418="",$J2418=""),"",IF($K2418="",IF(TODAY()&gt;$J2418,"Atrasado","En ruta"),IF($K2418&lt;=$J2418,"Sí","No")))</f>
        <v/>
      </c>
      <c r="N2418" s="23">
        <f>IF($A2418="","",COUNTIFS(NOVEDADES!$C$4:$C$1503,$A2418))</f>
        <v/>
      </c>
      <c r="O2418" s="27">
        <f>IF($A2418="","",IF(COUNTIFS(NOVEDADES!$C$4:$C$1503,$A2418,NOVEDADES!$M$4:$M$1503,"SÍ")&gt;0,"No","Sí"))</f>
        <v/>
      </c>
      <c r="P2418" s="27">
        <f>IF(OR($A2418="",$K2418=""),"",IF(AND($M2418="Sí",$O2418="Sí"),"OTIF","Falló"))</f>
        <v/>
      </c>
    </row>
    <row r="2419" ht="16" customHeight="1">
      <c r="A2419" s="47" t="n"/>
      <c r="B2419" s="46" t="n"/>
      <c r="C2419" s="49" t="n"/>
      <c r="D2419" s="49" t="n"/>
      <c r="E2419" s="49" t="n"/>
      <c r="F2419" s="49" t="n"/>
      <c r="G2419" s="47" t="n"/>
      <c r="H2419" s="50" t="n"/>
      <c r="I2419" s="51" t="n"/>
      <c r="J2419" s="46" t="n"/>
      <c r="K2419" s="46" t="n"/>
      <c r="L2419" s="23">
        <f>IF(OR($A2419="",$B2419=""),"",IF($K2419&lt;&gt;"",$K2419-$B2419,TODAY()-$B2419))</f>
        <v/>
      </c>
      <c r="M2419" s="27">
        <f>IF(OR($A2419="",$J2419=""),"",IF($K2419="",IF(TODAY()&gt;$J2419,"Atrasado","En ruta"),IF($K2419&lt;=$J2419,"Sí","No")))</f>
        <v/>
      </c>
      <c r="N2419" s="23">
        <f>IF($A2419="","",COUNTIFS(NOVEDADES!$C$4:$C$1503,$A2419))</f>
        <v/>
      </c>
      <c r="O2419" s="27">
        <f>IF($A2419="","",IF(COUNTIFS(NOVEDADES!$C$4:$C$1503,$A2419,NOVEDADES!$M$4:$M$1503,"SÍ")&gt;0,"No","Sí"))</f>
        <v/>
      </c>
      <c r="P2419" s="27">
        <f>IF(OR($A2419="",$K2419=""),"",IF(AND($M2419="Sí",$O2419="Sí"),"OTIF","Falló"))</f>
        <v/>
      </c>
    </row>
    <row r="2420" ht="16" customHeight="1">
      <c r="A2420" s="47" t="n"/>
      <c r="B2420" s="46" t="n"/>
      <c r="C2420" s="49" t="n"/>
      <c r="D2420" s="49" t="n"/>
      <c r="E2420" s="49" t="n"/>
      <c r="F2420" s="49" t="n"/>
      <c r="G2420" s="47" t="n"/>
      <c r="H2420" s="50" t="n"/>
      <c r="I2420" s="51" t="n"/>
      <c r="J2420" s="46" t="n"/>
      <c r="K2420" s="46" t="n"/>
      <c r="L2420" s="23">
        <f>IF(OR($A2420="",$B2420=""),"",IF($K2420&lt;&gt;"",$K2420-$B2420,TODAY()-$B2420))</f>
        <v/>
      </c>
      <c r="M2420" s="27">
        <f>IF(OR($A2420="",$J2420=""),"",IF($K2420="",IF(TODAY()&gt;$J2420,"Atrasado","En ruta"),IF($K2420&lt;=$J2420,"Sí","No")))</f>
        <v/>
      </c>
      <c r="N2420" s="23">
        <f>IF($A2420="","",COUNTIFS(NOVEDADES!$C$4:$C$1503,$A2420))</f>
        <v/>
      </c>
      <c r="O2420" s="27">
        <f>IF($A2420="","",IF(COUNTIFS(NOVEDADES!$C$4:$C$1503,$A2420,NOVEDADES!$M$4:$M$1503,"SÍ")&gt;0,"No","Sí"))</f>
        <v/>
      </c>
      <c r="P2420" s="27">
        <f>IF(OR($A2420="",$K2420=""),"",IF(AND($M2420="Sí",$O2420="Sí"),"OTIF","Falló"))</f>
        <v/>
      </c>
    </row>
    <row r="2421" ht="16" customHeight="1">
      <c r="A2421" s="47" t="n"/>
      <c r="B2421" s="46" t="n"/>
      <c r="C2421" s="49" t="n"/>
      <c r="D2421" s="49" t="n"/>
      <c r="E2421" s="49" t="n"/>
      <c r="F2421" s="49" t="n"/>
      <c r="G2421" s="47" t="n"/>
      <c r="H2421" s="50" t="n"/>
      <c r="I2421" s="51" t="n"/>
      <c r="J2421" s="46" t="n"/>
      <c r="K2421" s="46" t="n"/>
      <c r="L2421" s="23">
        <f>IF(OR($A2421="",$B2421=""),"",IF($K2421&lt;&gt;"",$K2421-$B2421,TODAY()-$B2421))</f>
        <v/>
      </c>
      <c r="M2421" s="27">
        <f>IF(OR($A2421="",$J2421=""),"",IF($K2421="",IF(TODAY()&gt;$J2421,"Atrasado","En ruta"),IF($K2421&lt;=$J2421,"Sí","No")))</f>
        <v/>
      </c>
      <c r="N2421" s="23">
        <f>IF($A2421="","",COUNTIFS(NOVEDADES!$C$4:$C$1503,$A2421))</f>
        <v/>
      </c>
      <c r="O2421" s="27">
        <f>IF($A2421="","",IF(COUNTIFS(NOVEDADES!$C$4:$C$1503,$A2421,NOVEDADES!$M$4:$M$1503,"SÍ")&gt;0,"No","Sí"))</f>
        <v/>
      </c>
      <c r="P2421" s="27">
        <f>IF(OR($A2421="",$K2421=""),"",IF(AND($M2421="Sí",$O2421="Sí"),"OTIF","Falló"))</f>
        <v/>
      </c>
    </row>
    <row r="2422" ht="16" customHeight="1">
      <c r="A2422" s="47" t="n"/>
      <c r="B2422" s="46" t="n"/>
      <c r="C2422" s="49" t="n"/>
      <c r="D2422" s="49" t="n"/>
      <c r="E2422" s="49" t="n"/>
      <c r="F2422" s="49" t="n"/>
      <c r="G2422" s="47" t="n"/>
      <c r="H2422" s="50" t="n"/>
      <c r="I2422" s="51" t="n"/>
      <c r="J2422" s="46" t="n"/>
      <c r="K2422" s="46" t="n"/>
      <c r="L2422" s="23">
        <f>IF(OR($A2422="",$B2422=""),"",IF($K2422&lt;&gt;"",$K2422-$B2422,TODAY()-$B2422))</f>
        <v/>
      </c>
      <c r="M2422" s="27">
        <f>IF(OR($A2422="",$J2422=""),"",IF($K2422="",IF(TODAY()&gt;$J2422,"Atrasado","En ruta"),IF($K2422&lt;=$J2422,"Sí","No")))</f>
        <v/>
      </c>
      <c r="N2422" s="23">
        <f>IF($A2422="","",COUNTIFS(NOVEDADES!$C$4:$C$1503,$A2422))</f>
        <v/>
      </c>
      <c r="O2422" s="27">
        <f>IF($A2422="","",IF(COUNTIFS(NOVEDADES!$C$4:$C$1503,$A2422,NOVEDADES!$M$4:$M$1503,"SÍ")&gt;0,"No","Sí"))</f>
        <v/>
      </c>
      <c r="P2422" s="27">
        <f>IF(OR($A2422="",$K2422=""),"",IF(AND($M2422="Sí",$O2422="Sí"),"OTIF","Falló"))</f>
        <v/>
      </c>
    </row>
    <row r="2423" ht="16" customHeight="1">
      <c r="A2423" s="47" t="n"/>
      <c r="B2423" s="46" t="n"/>
      <c r="C2423" s="49" t="n"/>
      <c r="D2423" s="49" t="n"/>
      <c r="E2423" s="49" t="n"/>
      <c r="F2423" s="49" t="n"/>
      <c r="G2423" s="47" t="n"/>
      <c r="H2423" s="50" t="n"/>
      <c r="I2423" s="51" t="n"/>
      <c r="J2423" s="46" t="n"/>
      <c r="K2423" s="46" t="n"/>
      <c r="L2423" s="23">
        <f>IF(OR($A2423="",$B2423=""),"",IF($K2423&lt;&gt;"",$K2423-$B2423,TODAY()-$B2423))</f>
        <v/>
      </c>
      <c r="M2423" s="27">
        <f>IF(OR($A2423="",$J2423=""),"",IF($K2423="",IF(TODAY()&gt;$J2423,"Atrasado","En ruta"),IF($K2423&lt;=$J2423,"Sí","No")))</f>
        <v/>
      </c>
      <c r="N2423" s="23">
        <f>IF($A2423="","",COUNTIFS(NOVEDADES!$C$4:$C$1503,$A2423))</f>
        <v/>
      </c>
      <c r="O2423" s="27">
        <f>IF($A2423="","",IF(COUNTIFS(NOVEDADES!$C$4:$C$1503,$A2423,NOVEDADES!$M$4:$M$1503,"SÍ")&gt;0,"No","Sí"))</f>
        <v/>
      </c>
      <c r="P2423" s="27">
        <f>IF(OR($A2423="",$K2423=""),"",IF(AND($M2423="Sí",$O2423="Sí"),"OTIF","Falló"))</f>
        <v/>
      </c>
    </row>
    <row r="2424" ht="16" customHeight="1">
      <c r="A2424" s="47" t="n"/>
      <c r="B2424" s="46" t="n"/>
      <c r="C2424" s="49" t="n"/>
      <c r="D2424" s="49" t="n"/>
      <c r="E2424" s="49" t="n"/>
      <c r="F2424" s="49" t="n"/>
      <c r="G2424" s="47" t="n"/>
      <c r="H2424" s="50" t="n"/>
      <c r="I2424" s="51" t="n"/>
      <c r="J2424" s="46" t="n"/>
      <c r="K2424" s="46" t="n"/>
      <c r="L2424" s="23">
        <f>IF(OR($A2424="",$B2424=""),"",IF($K2424&lt;&gt;"",$K2424-$B2424,TODAY()-$B2424))</f>
        <v/>
      </c>
      <c r="M2424" s="27">
        <f>IF(OR($A2424="",$J2424=""),"",IF($K2424="",IF(TODAY()&gt;$J2424,"Atrasado","En ruta"),IF($K2424&lt;=$J2424,"Sí","No")))</f>
        <v/>
      </c>
      <c r="N2424" s="23">
        <f>IF($A2424="","",COUNTIFS(NOVEDADES!$C$4:$C$1503,$A2424))</f>
        <v/>
      </c>
      <c r="O2424" s="27">
        <f>IF($A2424="","",IF(COUNTIFS(NOVEDADES!$C$4:$C$1503,$A2424,NOVEDADES!$M$4:$M$1503,"SÍ")&gt;0,"No","Sí"))</f>
        <v/>
      </c>
      <c r="P2424" s="27">
        <f>IF(OR($A2424="",$K2424=""),"",IF(AND($M2424="Sí",$O2424="Sí"),"OTIF","Falló"))</f>
        <v/>
      </c>
    </row>
    <row r="2425" ht="16" customHeight="1">
      <c r="A2425" s="47" t="n"/>
      <c r="B2425" s="46" t="n"/>
      <c r="C2425" s="49" t="n"/>
      <c r="D2425" s="49" t="n"/>
      <c r="E2425" s="49" t="n"/>
      <c r="F2425" s="49" t="n"/>
      <c r="G2425" s="47" t="n"/>
      <c r="H2425" s="50" t="n"/>
      <c r="I2425" s="51" t="n"/>
      <c r="J2425" s="46" t="n"/>
      <c r="K2425" s="46" t="n"/>
      <c r="L2425" s="23">
        <f>IF(OR($A2425="",$B2425=""),"",IF($K2425&lt;&gt;"",$K2425-$B2425,TODAY()-$B2425))</f>
        <v/>
      </c>
      <c r="M2425" s="27">
        <f>IF(OR($A2425="",$J2425=""),"",IF($K2425="",IF(TODAY()&gt;$J2425,"Atrasado","En ruta"),IF($K2425&lt;=$J2425,"Sí","No")))</f>
        <v/>
      </c>
      <c r="N2425" s="23">
        <f>IF($A2425="","",COUNTIFS(NOVEDADES!$C$4:$C$1503,$A2425))</f>
        <v/>
      </c>
      <c r="O2425" s="27">
        <f>IF($A2425="","",IF(COUNTIFS(NOVEDADES!$C$4:$C$1503,$A2425,NOVEDADES!$M$4:$M$1503,"SÍ")&gt;0,"No","Sí"))</f>
        <v/>
      </c>
      <c r="P2425" s="27">
        <f>IF(OR($A2425="",$K2425=""),"",IF(AND($M2425="Sí",$O2425="Sí"),"OTIF","Falló"))</f>
        <v/>
      </c>
    </row>
    <row r="2426" ht="16" customHeight="1">
      <c r="A2426" s="47" t="n"/>
      <c r="B2426" s="46" t="n"/>
      <c r="C2426" s="49" t="n"/>
      <c r="D2426" s="49" t="n"/>
      <c r="E2426" s="49" t="n"/>
      <c r="F2426" s="49" t="n"/>
      <c r="G2426" s="47" t="n"/>
      <c r="H2426" s="50" t="n"/>
      <c r="I2426" s="51" t="n"/>
      <c r="J2426" s="46" t="n"/>
      <c r="K2426" s="46" t="n"/>
      <c r="L2426" s="23">
        <f>IF(OR($A2426="",$B2426=""),"",IF($K2426&lt;&gt;"",$K2426-$B2426,TODAY()-$B2426))</f>
        <v/>
      </c>
      <c r="M2426" s="27">
        <f>IF(OR($A2426="",$J2426=""),"",IF($K2426="",IF(TODAY()&gt;$J2426,"Atrasado","En ruta"),IF($K2426&lt;=$J2426,"Sí","No")))</f>
        <v/>
      </c>
      <c r="N2426" s="23">
        <f>IF($A2426="","",COUNTIFS(NOVEDADES!$C$4:$C$1503,$A2426))</f>
        <v/>
      </c>
      <c r="O2426" s="27">
        <f>IF($A2426="","",IF(COUNTIFS(NOVEDADES!$C$4:$C$1503,$A2426,NOVEDADES!$M$4:$M$1503,"SÍ")&gt;0,"No","Sí"))</f>
        <v/>
      </c>
      <c r="P2426" s="27">
        <f>IF(OR($A2426="",$K2426=""),"",IF(AND($M2426="Sí",$O2426="Sí"),"OTIF","Falló"))</f>
        <v/>
      </c>
    </row>
    <row r="2427" ht="16" customHeight="1">
      <c r="A2427" s="47" t="n"/>
      <c r="B2427" s="46" t="n"/>
      <c r="C2427" s="49" t="n"/>
      <c r="D2427" s="49" t="n"/>
      <c r="E2427" s="49" t="n"/>
      <c r="F2427" s="49" t="n"/>
      <c r="G2427" s="47" t="n"/>
      <c r="H2427" s="50" t="n"/>
      <c r="I2427" s="51" t="n"/>
      <c r="J2427" s="46" t="n"/>
      <c r="K2427" s="46" t="n"/>
      <c r="L2427" s="23">
        <f>IF(OR($A2427="",$B2427=""),"",IF($K2427&lt;&gt;"",$K2427-$B2427,TODAY()-$B2427))</f>
        <v/>
      </c>
      <c r="M2427" s="27">
        <f>IF(OR($A2427="",$J2427=""),"",IF($K2427="",IF(TODAY()&gt;$J2427,"Atrasado","En ruta"),IF($K2427&lt;=$J2427,"Sí","No")))</f>
        <v/>
      </c>
      <c r="N2427" s="23">
        <f>IF($A2427="","",COUNTIFS(NOVEDADES!$C$4:$C$1503,$A2427))</f>
        <v/>
      </c>
      <c r="O2427" s="27">
        <f>IF($A2427="","",IF(COUNTIFS(NOVEDADES!$C$4:$C$1503,$A2427,NOVEDADES!$M$4:$M$1503,"SÍ")&gt;0,"No","Sí"))</f>
        <v/>
      </c>
      <c r="P2427" s="27">
        <f>IF(OR($A2427="",$K2427=""),"",IF(AND($M2427="Sí",$O2427="Sí"),"OTIF","Falló"))</f>
        <v/>
      </c>
    </row>
    <row r="2428" ht="16" customHeight="1">
      <c r="A2428" s="47" t="n"/>
      <c r="B2428" s="46" t="n"/>
      <c r="C2428" s="49" t="n"/>
      <c r="D2428" s="49" t="n"/>
      <c r="E2428" s="49" t="n"/>
      <c r="F2428" s="49" t="n"/>
      <c r="G2428" s="47" t="n"/>
      <c r="H2428" s="50" t="n"/>
      <c r="I2428" s="51" t="n"/>
      <c r="J2428" s="46" t="n"/>
      <c r="K2428" s="46" t="n"/>
      <c r="L2428" s="23">
        <f>IF(OR($A2428="",$B2428=""),"",IF($K2428&lt;&gt;"",$K2428-$B2428,TODAY()-$B2428))</f>
        <v/>
      </c>
      <c r="M2428" s="27">
        <f>IF(OR($A2428="",$J2428=""),"",IF($K2428="",IF(TODAY()&gt;$J2428,"Atrasado","En ruta"),IF($K2428&lt;=$J2428,"Sí","No")))</f>
        <v/>
      </c>
      <c r="N2428" s="23">
        <f>IF($A2428="","",COUNTIFS(NOVEDADES!$C$4:$C$1503,$A2428))</f>
        <v/>
      </c>
      <c r="O2428" s="27">
        <f>IF($A2428="","",IF(COUNTIFS(NOVEDADES!$C$4:$C$1503,$A2428,NOVEDADES!$M$4:$M$1503,"SÍ")&gt;0,"No","Sí"))</f>
        <v/>
      </c>
      <c r="P2428" s="27">
        <f>IF(OR($A2428="",$K2428=""),"",IF(AND($M2428="Sí",$O2428="Sí"),"OTIF","Falló"))</f>
        <v/>
      </c>
    </row>
    <row r="2429" ht="16" customHeight="1">
      <c r="A2429" s="47" t="n"/>
      <c r="B2429" s="46" t="n"/>
      <c r="C2429" s="49" t="n"/>
      <c r="D2429" s="49" t="n"/>
      <c r="E2429" s="49" t="n"/>
      <c r="F2429" s="49" t="n"/>
      <c r="G2429" s="47" t="n"/>
      <c r="H2429" s="50" t="n"/>
      <c r="I2429" s="51" t="n"/>
      <c r="J2429" s="46" t="n"/>
      <c r="K2429" s="46" t="n"/>
      <c r="L2429" s="23">
        <f>IF(OR($A2429="",$B2429=""),"",IF($K2429&lt;&gt;"",$K2429-$B2429,TODAY()-$B2429))</f>
        <v/>
      </c>
      <c r="M2429" s="27">
        <f>IF(OR($A2429="",$J2429=""),"",IF($K2429="",IF(TODAY()&gt;$J2429,"Atrasado","En ruta"),IF($K2429&lt;=$J2429,"Sí","No")))</f>
        <v/>
      </c>
      <c r="N2429" s="23">
        <f>IF($A2429="","",COUNTIFS(NOVEDADES!$C$4:$C$1503,$A2429))</f>
        <v/>
      </c>
      <c r="O2429" s="27">
        <f>IF($A2429="","",IF(COUNTIFS(NOVEDADES!$C$4:$C$1503,$A2429,NOVEDADES!$M$4:$M$1503,"SÍ")&gt;0,"No","Sí"))</f>
        <v/>
      </c>
      <c r="P2429" s="27">
        <f>IF(OR($A2429="",$K2429=""),"",IF(AND($M2429="Sí",$O2429="Sí"),"OTIF","Falló"))</f>
        <v/>
      </c>
    </row>
    <row r="2430" ht="16" customHeight="1">
      <c r="A2430" s="47" t="n"/>
      <c r="B2430" s="46" t="n"/>
      <c r="C2430" s="49" t="n"/>
      <c r="D2430" s="49" t="n"/>
      <c r="E2430" s="49" t="n"/>
      <c r="F2430" s="49" t="n"/>
      <c r="G2430" s="47" t="n"/>
      <c r="H2430" s="50" t="n"/>
      <c r="I2430" s="51" t="n"/>
      <c r="J2430" s="46" t="n"/>
      <c r="K2430" s="46" t="n"/>
      <c r="L2430" s="23">
        <f>IF(OR($A2430="",$B2430=""),"",IF($K2430&lt;&gt;"",$K2430-$B2430,TODAY()-$B2430))</f>
        <v/>
      </c>
      <c r="M2430" s="27">
        <f>IF(OR($A2430="",$J2430=""),"",IF($K2430="",IF(TODAY()&gt;$J2430,"Atrasado","En ruta"),IF($K2430&lt;=$J2430,"Sí","No")))</f>
        <v/>
      </c>
      <c r="N2430" s="23">
        <f>IF($A2430="","",COUNTIFS(NOVEDADES!$C$4:$C$1503,$A2430))</f>
        <v/>
      </c>
      <c r="O2430" s="27">
        <f>IF($A2430="","",IF(COUNTIFS(NOVEDADES!$C$4:$C$1503,$A2430,NOVEDADES!$M$4:$M$1503,"SÍ")&gt;0,"No","Sí"))</f>
        <v/>
      </c>
      <c r="P2430" s="27">
        <f>IF(OR($A2430="",$K2430=""),"",IF(AND($M2430="Sí",$O2430="Sí"),"OTIF","Falló"))</f>
        <v/>
      </c>
    </row>
    <row r="2431" ht="16" customHeight="1">
      <c r="A2431" s="47" t="n"/>
      <c r="B2431" s="46" t="n"/>
      <c r="C2431" s="49" t="n"/>
      <c r="D2431" s="49" t="n"/>
      <c r="E2431" s="49" t="n"/>
      <c r="F2431" s="49" t="n"/>
      <c r="G2431" s="47" t="n"/>
      <c r="H2431" s="50" t="n"/>
      <c r="I2431" s="51" t="n"/>
      <c r="J2431" s="46" t="n"/>
      <c r="K2431" s="46" t="n"/>
      <c r="L2431" s="23">
        <f>IF(OR($A2431="",$B2431=""),"",IF($K2431&lt;&gt;"",$K2431-$B2431,TODAY()-$B2431))</f>
        <v/>
      </c>
      <c r="M2431" s="27">
        <f>IF(OR($A2431="",$J2431=""),"",IF($K2431="",IF(TODAY()&gt;$J2431,"Atrasado","En ruta"),IF($K2431&lt;=$J2431,"Sí","No")))</f>
        <v/>
      </c>
      <c r="N2431" s="23">
        <f>IF($A2431="","",COUNTIFS(NOVEDADES!$C$4:$C$1503,$A2431))</f>
        <v/>
      </c>
      <c r="O2431" s="27">
        <f>IF($A2431="","",IF(COUNTIFS(NOVEDADES!$C$4:$C$1503,$A2431,NOVEDADES!$M$4:$M$1503,"SÍ")&gt;0,"No","Sí"))</f>
        <v/>
      </c>
      <c r="P2431" s="27">
        <f>IF(OR($A2431="",$K2431=""),"",IF(AND($M2431="Sí",$O2431="Sí"),"OTIF","Falló"))</f>
        <v/>
      </c>
    </row>
    <row r="2432" ht="16" customHeight="1">
      <c r="A2432" s="47" t="n"/>
      <c r="B2432" s="46" t="n"/>
      <c r="C2432" s="49" t="n"/>
      <c r="D2432" s="49" t="n"/>
      <c r="E2432" s="49" t="n"/>
      <c r="F2432" s="49" t="n"/>
      <c r="G2432" s="47" t="n"/>
      <c r="H2432" s="50" t="n"/>
      <c r="I2432" s="51" t="n"/>
      <c r="J2432" s="46" t="n"/>
      <c r="K2432" s="46" t="n"/>
      <c r="L2432" s="23">
        <f>IF(OR($A2432="",$B2432=""),"",IF($K2432&lt;&gt;"",$K2432-$B2432,TODAY()-$B2432))</f>
        <v/>
      </c>
      <c r="M2432" s="27">
        <f>IF(OR($A2432="",$J2432=""),"",IF($K2432="",IF(TODAY()&gt;$J2432,"Atrasado","En ruta"),IF($K2432&lt;=$J2432,"Sí","No")))</f>
        <v/>
      </c>
      <c r="N2432" s="23">
        <f>IF($A2432="","",COUNTIFS(NOVEDADES!$C$4:$C$1503,$A2432))</f>
        <v/>
      </c>
      <c r="O2432" s="27">
        <f>IF($A2432="","",IF(COUNTIFS(NOVEDADES!$C$4:$C$1503,$A2432,NOVEDADES!$M$4:$M$1503,"SÍ")&gt;0,"No","Sí"))</f>
        <v/>
      </c>
      <c r="P2432" s="27">
        <f>IF(OR($A2432="",$K2432=""),"",IF(AND($M2432="Sí",$O2432="Sí"),"OTIF","Falló"))</f>
        <v/>
      </c>
    </row>
    <row r="2433" ht="16" customHeight="1">
      <c r="A2433" s="47" t="n"/>
      <c r="B2433" s="46" t="n"/>
      <c r="C2433" s="49" t="n"/>
      <c r="D2433" s="49" t="n"/>
      <c r="E2433" s="49" t="n"/>
      <c r="F2433" s="49" t="n"/>
      <c r="G2433" s="47" t="n"/>
      <c r="H2433" s="50" t="n"/>
      <c r="I2433" s="51" t="n"/>
      <c r="J2433" s="46" t="n"/>
      <c r="K2433" s="46" t="n"/>
      <c r="L2433" s="23">
        <f>IF(OR($A2433="",$B2433=""),"",IF($K2433&lt;&gt;"",$K2433-$B2433,TODAY()-$B2433))</f>
        <v/>
      </c>
      <c r="M2433" s="27">
        <f>IF(OR($A2433="",$J2433=""),"",IF($K2433="",IF(TODAY()&gt;$J2433,"Atrasado","En ruta"),IF($K2433&lt;=$J2433,"Sí","No")))</f>
        <v/>
      </c>
      <c r="N2433" s="23">
        <f>IF($A2433="","",COUNTIFS(NOVEDADES!$C$4:$C$1503,$A2433))</f>
        <v/>
      </c>
      <c r="O2433" s="27">
        <f>IF($A2433="","",IF(COUNTIFS(NOVEDADES!$C$4:$C$1503,$A2433,NOVEDADES!$M$4:$M$1503,"SÍ")&gt;0,"No","Sí"))</f>
        <v/>
      </c>
      <c r="P2433" s="27">
        <f>IF(OR($A2433="",$K2433=""),"",IF(AND($M2433="Sí",$O2433="Sí"),"OTIF","Falló"))</f>
        <v/>
      </c>
    </row>
    <row r="2434" ht="16" customHeight="1">
      <c r="A2434" s="47" t="n"/>
      <c r="B2434" s="46" t="n"/>
      <c r="C2434" s="49" t="n"/>
      <c r="D2434" s="49" t="n"/>
      <c r="E2434" s="49" t="n"/>
      <c r="F2434" s="49" t="n"/>
      <c r="G2434" s="47" t="n"/>
      <c r="H2434" s="50" t="n"/>
      <c r="I2434" s="51" t="n"/>
      <c r="J2434" s="46" t="n"/>
      <c r="K2434" s="46" t="n"/>
      <c r="L2434" s="23">
        <f>IF(OR($A2434="",$B2434=""),"",IF($K2434&lt;&gt;"",$K2434-$B2434,TODAY()-$B2434))</f>
        <v/>
      </c>
      <c r="M2434" s="27">
        <f>IF(OR($A2434="",$J2434=""),"",IF($K2434="",IF(TODAY()&gt;$J2434,"Atrasado","En ruta"),IF($K2434&lt;=$J2434,"Sí","No")))</f>
        <v/>
      </c>
      <c r="N2434" s="23">
        <f>IF($A2434="","",COUNTIFS(NOVEDADES!$C$4:$C$1503,$A2434))</f>
        <v/>
      </c>
      <c r="O2434" s="27">
        <f>IF($A2434="","",IF(COUNTIFS(NOVEDADES!$C$4:$C$1503,$A2434,NOVEDADES!$M$4:$M$1503,"SÍ")&gt;0,"No","Sí"))</f>
        <v/>
      </c>
      <c r="P2434" s="27">
        <f>IF(OR($A2434="",$K2434=""),"",IF(AND($M2434="Sí",$O2434="Sí"),"OTIF","Falló"))</f>
        <v/>
      </c>
    </row>
    <row r="2435" ht="16" customHeight="1">
      <c r="A2435" s="47" t="n"/>
      <c r="B2435" s="46" t="n"/>
      <c r="C2435" s="49" t="n"/>
      <c r="D2435" s="49" t="n"/>
      <c r="E2435" s="49" t="n"/>
      <c r="F2435" s="49" t="n"/>
      <c r="G2435" s="47" t="n"/>
      <c r="H2435" s="50" t="n"/>
      <c r="I2435" s="51" t="n"/>
      <c r="J2435" s="46" t="n"/>
      <c r="K2435" s="46" t="n"/>
      <c r="L2435" s="23">
        <f>IF(OR($A2435="",$B2435=""),"",IF($K2435&lt;&gt;"",$K2435-$B2435,TODAY()-$B2435))</f>
        <v/>
      </c>
      <c r="M2435" s="27">
        <f>IF(OR($A2435="",$J2435=""),"",IF($K2435="",IF(TODAY()&gt;$J2435,"Atrasado","En ruta"),IF($K2435&lt;=$J2435,"Sí","No")))</f>
        <v/>
      </c>
      <c r="N2435" s="23">
        <f>IF($A2435="","",COUNTIFS(NOVEDADES!$C$4:$C$1503,$A2435))</f>
        <v/>
      </c>
      <c r="O2435" s="27">
        <f>IF($A2435="","",IF(COUNTIFS(NOVEDADES!$C$4:$C$1503,$A2435,NOVEDADES!$M$4:$M$1503,"SÍ")&gt;0,"No","Sí"))</f>
        <v/>
      </c>
      <c r="P2435" s="27">
        <f>IF(OR($A2435="",$K2435=""),"",IF(AND($M2435="Sí",$O2435="Sí"),"OTIF","Falló"))</f>
        <v/>
      </c>
    </row>
    <row r="2436" ht="16" customHeight="1">
      <c r="A2436" s="47" t="n"/>
      <c r="B2436" s="46" t="n"/>
      <c r="C2436" s="49" t="n"/>
      <c r="D2436" s="49" t="n"/>
      <c r="E2436" s="49" t="n"/>
      <c r="F2436" s="49" t="n"/>
      <c r="G2436" s="47" t="n"/>
      <c r="H2436" s="50" t="n"/>
      <c r="I2436" s="51" t="n"/>
      <c r="J2436" s="46" t="n"/>
      <c r="K2436" s="46" t="n"/>
      <c r="L2436" s="23">
        <f>IF(OR($A2436="",$B2436=""),"",IF($K2436&lt;&gt;"",$K2436-$B2436,TODAY()-$B2436))</f>
        <v/>
      </c>
      <c r="M2436" s="27">
        <f>IF(OR($A2436="",$J2436=""),"",IF($K2436="",IF(TODAY()&gt;$J2436,"Atrasado","En ruta"),IF($K2436&lt;=$J2436,"Sí","No")))</f>
        <v/>
      </c>
      <c r="N2436" s="23">
        <f>IF($A2436="","",COUNTIFS(NOVEDADES!$C$4:$C$1503,$A2436))</f>
        <v/>
      </c>
      <c r="O2436" s="27">
        <f>IF($A2436="","",IF(COUNTIFS(NOVEDADES!$C$4:$C$1503,$A2436,NOVEDADES!$M$4:$M$1503,"SÍ")&gt;0,"No","Sí"))</f>
        <v/>
      </c>
      <c r="P2436" s="27">
        <f>IF(OR($A2436="",$K2436=""),"",IF(AND($M2436="Sí",$O2436="Sí"),"OTIF","Falló"))</f>
        <v/>
      </c>
    </row>
    <row r="2437" ht="16" customHeight="1">
      <c r="A2437" s="47" t="n"/>
      <c r="B2437" s="46" t="n"/>
      <c r="C2437" s="49" t="n"/>
      <c r="D2437" s="49" t="n"/>
      <c r="E2437" s="49" t="n"/>
      <c r="F2437" s="49" t="n"/>
      <c r="G2437" s="47" t="n"/>
      <c r="H2437" s="50" t="n"/>
      <c r="I2437" s="51" t="n"/>
      <c r="J2437" s="46" t="n"/>
      <c r="K2437" s="46" t="n"/>
      <c r="L2437" s="23">
        <f>IF(OR($A2437="",$B2437=""),"",IF($K2437&lt;&gt;"",$K2437-$B2437,TODAY()-$B2437))</f>
        <v/>
      </c>
      <c r="M2437" s="27">
        <f>IF(OR($A2437="",$J2437=""),"",IF($K2437="",IF(TODAY()&gt;$J2437,"Atrasado","En ruta"),IF($K2437&lt;=$J2437,"Sí","No")))</f>
        <v/>
      </c>
      <c r="N2437" s="23">
        <f>IF($A2437="","",COUNTIFS(NOVEDADES!$C$4:$C$1503,$A2437))</f>
        <v/>
      </c>
      <c r="O2437" s="27">
        <f>IF($A2437="","",IF(COUNTIFS(NOVEDADES!$C$4:$C$1503,$A2437,NOVEDADES!$M$4:$M$1503,"SÍ")&gt;0,"No","Sí"))</f>
        <v/>
      </c>
      <c r="P2437" s="27">
        <f>IF(OR($A2437="",$K2437=""),"",IF(AND($M2437="Sí",$O2437="Sí"),"OTIF","Falló"))</f>
        <v/>
      </c>
    </row>
    <row r="2438" ht="16" customHeight="1">
      <c r="A2438" s="47" t="n"/>
      <c r="B2438" s="46" t="n"/>
      <c r="C2438" s="49" t="n"/>
      <c r="D2438" s="49" t="n"/>
      <c r="E2438" s="49" t="n"/>
      <c r="F2438" s="49" t="n"/>
      <c r="G2438" s="47" t="n"/>
      <c r="H2438" s="50" t="n"/>
      <c r="I2438" s="51" t="n"/>
      <c r="J2438" s="46" t="n"/>
      <c r="K2438" s="46" t="n"/>
      <c r="L2438" s="23">
        <f>IF(OR($A2438="",$B2438=""),"",IF($K2438&lt;&gt;"",$K2438-$B2438,TODAY()-$B2438))</f>
        <v/>
      </c>
      <c r="M2438" s="27">
        <f>IF(OR($A2438="",$J2438=""),"",IF($K2438="",IF(TODAY()&gt;$J2438,"Atrasado","En ruta"),IF($K2438&lt;=$J2438,"Sí","No")))</f>
        <v/>
      </c>
      <c r="N2438" s="23">
        <f>IF($A2438="","",COUNTIFS(NOVEDADES!$C$4:$C$1503,$A2438))</f>
        <v/>
      </c>
      <c r="O2438" s="27">
        <f>IF($A2438="","",IF(COUNTIFS(NOVEDADES!$C$4:$C$1503,$A2438,NOVEDADES!$M$4:$M$1503,"SÍ")&gt;0,"No","Sí"))</f>
        <v/>
      </c>
      <c r="P2438" s="27">
        <f>IF(OR($A2438="",$K2438=""),"",IF(AND($M2438="Sí",$O2438="Sí"),"OTIF","Falló"))</f>
        <v/>
      </c>
    </row>
    <row r="2439" ht="16" customHeight="1">
      <c r="A2439" s="47" t="n"/>
      <c r="B2439" s="46" t="n"/>
      <c r="C2439" s="49" t="n"/>
      <c r="D2439" s="49" t="n"/>
      <c r="E2439" s="49" t="n"/>
      <c r="F2439" s="49" t="n"/>
      <c r="G2439" s="47" t="n"/>
      <c r="H2439" s="50" t="n"/>
      <c r="I2439" s="51" t="n"/>
      <c r="J2439" s="46" t="n"/>
      <c r="K2439" s="46" t="n"/>
      <c r="L2439" s="23">
        <f>IF(OR($A2439="",$B2439=""),"",IF($K2439&lt;&gt;"",$K2439-$B2439,TODAY()-$B2439))</f>
        <v/>
      </c>
      <c r="M2439" s="27">
        <f>IF(OR($A2439="",$J2439=""),"",IF($K2439="",IF(TODAY()&gt;$J2439,"Atrasado","En ruta"),IF($K2439&lt;=$J2439,"Sí","No")))</f>
        <v/>
      </c>
      <c r="N2439" s="23">
        <f>IF($A2439="","",COUNTIFS(NOVEDADES!$C$4:$C$1503,$A2439))</f>
        <v/>
      </c>
      <c r="O2439" s="27">
        <f>IF($A2439="","",IF(COUNTIFS(NOVEDADES!$C$4:$C$1503,$A2439,NOVEDADES!$M$4:$M$1503,"SÍ")&gt;0,"No","Sí"))</f>
        <v/>
      </c>
      <c r="P2439" s="27">
        <f>IF(OR($A2439="",$K2439=""),"",IF(AND($M2439="Sí",$O2439="Sí"),"OTIF","Falló"))</f>
        <v/>
      </c>
    </row>
    <row r="2440" ht="16" customHeight="1">
      <c r="A2440" s="47" t="n"/>
      <c r="B2440" s="46" t="n"/>
      <c r="C2440" s="49" t="n"/>
      <c r="D2440" s="49" t="n"/>
      <c r="E2440" s="49" t="n"/>
      <c r="F2440" s="49" t="n"/>
      <c r="G2440" s="47" t="n"/>
      <c r="H2440" s="50" t="n"/>
      <c r="I2440" s="51" t="n"/>
      <c r="J2440" s="46" t="n"/>
      <c r="K2440" s="46" t="n"/>
      <c r="L2440" s="23">
        <f>IF(OR($A2440="",$B2440=""),"",IF($K2440&lt;&gt;"",$K2440-$B2440,TODAY()-$B2440))</f>
        <v/>
      </c>
      <c r="M2440" s="27">
        <f>IF(OR($A2440="",$J2440=""),"",IF($K2440="",IF(TODAY()&gt;$J2440,"Atrasado","En ruta"),IF($K2440&lt;=$J2440,"Sí","No")))</f>
        <v/>
      </c>
      <c r="N2440" s="23">
        <f>IF($A2440="","",COUNTIFS(NOVEDADES!$C$4:$C$1503,$A2440))</f>
        <v/>
      </c>
      <c r="O2440" s="27">
        <f>IF($A2440="","",IF(COUNTIFS(NOVEDADES!$C$4:$C$1503,$A2440,NOVEDADES!$M$4:$M$1503,"SÍ")&gt;0,"No","Sí"))</f>
        <v/>
      </c>
      <c r="P2440" s="27">
        <f>IF(OR($A2440="",$K2440=""),"",IF(AND($M2440="Sí",$O2440="Sí"),"OTIF","Falló"))</f>
        <v/>
      </c>
    </row>
    <row r="2441" ht="16" customHeight="1">
      <c r="A2441" s="47" t="n"/>
      <c r="B2441" s="46" t="n"/>
      <c r="C2441" s="49" t="n"/>
      <c r="D2441" s="49" t="n"/>
      <c r="E2441" s="49" t="n"/>
      <c r="F2441" s="49" t="n"/>
      <c r="G2441" s="47" t="n"/>
      <c r="H2441" s="50" t="n"/>
      <c r="I2441" s="51" t="n"/>
      <c r="J2441" s="46" t="n"/>
      <c r="K2441" s="46" t="n"/>
      <c r="L2441" s="23">
        <f>IF(OR($A2441="",$B2441=""),"",IF($K2441&lt;&gt;"",$K2441-$B2441,TODAY()-$B2441))</f>
        <v/>
      </c>
      <c r="M2441" s="27">
        <f>IF(OR($A2441="",$J2441=""),"",IF($K2441="",IF(TODAY()&gt;$J2441,"Atrasado","En ruta"),IF($K2441&lt;=$J2441,"Sí","No")))</f>
        <v/>
      </c>
      <c r="N2441" s="23">
        <f>IF($A2441="","",COUNTIFS(NOVEDADES!$C$4:$C$1503,$A2441))</f>
        <v/>
      </c>
      <c r="O2441" s="27">
        <f>IF($A2441="","",IF(COUNTIFS(NOVEDADES!$C$4:$C$1503,$A2441,NOVEDADES!$M$4:$M$1503,"SÍ")&gt;0,"No","Sí"))</f>
        <v/>
      </c>
      <c r="P2441" s="27">
        <f>IF(OR($A2441="",$K2441=""),"",IF(AND($M2441="Sí",$O2441="Sí"),"OTIF","Falló"))</f>
        <v/>
      </c>
    </row>
    <row r="2442" ht="16" customHeight="1">
      <c r="A2442" s="47" t="n"/>
      <c r="B2442" s="46" t="n"/>
      <c r="C2442" s="49" t="n"/>
      <c r="D2442" s="49" t="n"/>
      <c r="E2442" s="49" t="n"/>
      <c r="F2442" s="49" t="n"/>
      <c r="G2442" s="47" t="n"/>
      <c r="H2442" s="50" t="n"/>
      <c r="I2442" s="51" t="n"/>
      <c r="J2442" s="46" t="n"/>
      <c r="K2442" s="46" t="n"/>
      <c r="L2442" s="23">
        <f>IF(OR($A2442="",$B2442=""),"",IF($K2442&lt;&gt;"",$K2442-$B2442,TODAY()-$B2442))</f>
        <v/>
      </c>
      <c r="M2442" s="27">
        <f>IF(OR($A2442="",$J2442=""),"",IF($K2442="",IF(TODAY()&gt;$J2442,"Atrasado","En ruta"),IF($K2442&lt;=$J2442,"Sí","No")))</f>
        <v/>
      </c>
      <c r="N2442" s="23">
        <f>IF($A2442="","",COUNTIFS(NOVEDADES!$C$4:$C$1503,$A2442))</f>
        <v/>
      </c>
      <c r="O2442" s="27">
        <f>IF($A2442="","",IF(COUNTIFS(NOVEDADES!$C$4:$C$1503,$A2442,NOVEDADES!$M$4:$M$1503,"SÍ")&gt;0,"No","Sí"))</f>
        <v/>
      </c>
      <c r="P2442" s="27">
        <f>IF(OR($A2442="",$K2442=""),"",IF(AND($M2442="Sí",$O2442="Sí"),"OTIF","Falló"))</f>
        <v/>
      </c>
    </row>
    <row r="2443" ht="16" customHeight="1">
      <c r="A2443" s="47" t="n"/>
      <c r="B2443" s="46" t="n"/>
      <c r="C2443" s="49" t="n"/>
      <c r="D2443" s="49" t="n"/>
      <c r="E2443" s="49" t="n"/>
      <c r="F2443" s="49" t="n"/>
      <c r="G2443" s="47" t="n"/>
      <c r="H2443" s="50" t="n"/>
      <c r="I2443" s="51" t="n"/>
      <c r="J2443" s="46" t="n"/>
      <c r="K2443" s="46" t="n"/>
      <c r="L2443" s="23">
        <f>IF(OR($A2443="",$B2443=""),"",IF($K2443&lt;&gt;"",$K2443-$B2443,TODAY()-$B2443))</f>
        <v/>
      </c>
      <c r="M2443" s="27">
        <f>IF(OR($A2443="",$J2443=""),"",IF($K2443="",IF(TODAY()&gt;$J2443,"Atrasado","En ruta"),IF($K2443&lt;=$J2443,"Sí","No")))</f>
        <v/>
      </c>
      <c r="N2443" s="23">
        <f>IF($A2443="","",COUNTIFS(NOVEDADES!$C$4:$C$1503,$A2443))</f>
        <v/>
      </c>
      <c r="O2443" s="27">
        <f>IF($A2443="","",IF(COUNTIFS(NOVEDADES!$C$4:$C$1503,$A2443,NOVEDADES!$M$4:$M$1503,"SÍ")&gt;0,"No","Sí"))</f>
        <v/>
      </c>
      <c r="P2443" s="27">
        <f>IF(OR($A2443="",$K2443=""),"",IF(AND($M2443="Sí",$O2443="Sí"),"OTIF","Falló"))</f>
        <v/>
      </c>
    </row>
    <row r="2444" ht="16" customHeight="1">
      <c r="A2444" s="47" t="n"/>
      <c r="B2444" s="46" t="n"/>
      <c r="C2444" s="49" t="n"/>
      <c r="D2444" s="49" t="n"/>
      <c r="E2444" s="49" t="n"/>
      <c r="F2444" s="49" t="n"/>
      <c r="G2444" s="47" t="n"/>
      <c r="H2444" s="50" t="n"/>
      <c r="I2444" s="51" t="n"/>
      <c r="J2444" s="46" t="n"/>
      <c r="K2444" s="46" t="n"/>
      <c r="L2444" s="23">
        <f>IF(OR($A2444="",$B2444=""),"",IF($K2444&lt;&gt;"",$K2444-$B2444,TODAY()-$B2444))</f>
        <v/>
      </c>
      <c r="M2444" s="27">
        <f>IF(OR($A2444="",$J2444=""),"",IF($K2444="",IF(TODAY()&gt;$J2444,"Atrasado","En ruta"),IF($K2444&lt;=$J2444,"Sí","No")))</f>
        <v/>
      </c>
      <c r="N2444" s="23">
        <f>IF($A2444="","",COUNTIFS(NOVEDADES!$C$4:$C$1503,$A2444))</f>
        <v/>
      </c>
      <c r="O2444" s="27">
        <f>IF($A2444="","",IF(COUNTIFS(NOVEDADES!$C$4:$C$1503,$A2444,NOVEDADES!$M$4:$M$1503,"SÍ")&gt;0,"No","Sí"))</f>
        <v/>
      </c>
      <c r="P2444" s="27">
        <f>IF(OR($A2444="",$K2444=""),"",IF(AND($M2444="Sí",$O2444="Sí"),"OTIF","Falló"))</f>
        <v/>
      </c>
    </row>
    <row r="2445" ht="16" customHeight="1">
      <c r="A2445" s="47" t="n"/>
      <c r="B2445" s="46" t="n"/>
      <c r="C2445" s="49" t="n"/>
      <c r="D2445" s="49" t="n"/>
      <c r="E2445" s="49" t="n"/>
      <c r="F2445" s="49" t="n"/>
      <c r="G2445" s="47" t="n"/>
      <c r="H2445" s="50" t="n"/>
      <c r="I2445" s="51" t="n"/>
      <c r="J2445" s="46" t="n"/>
      <c r="K2445" s="46" t="n"/>
      <c r="L2445" s="23">
        <f>IF(OR($A2445="",$B2445=""),"",IF($K2445&lt;&gt;"",$K2445-$B2445,TODAY()-$B2445))</f>
        <v/>
      </c>
      <c r="M2445" s="27">
        <f>IF(OR($A2445="",$J2445=""),"",IF($K2445="",IF(TODAY()&gt;$J2445,"Atrasado","En ruta"),IF($K2445&lt;=$J2445,"Sí","No")))</f>
        <v/>
      </c>
      <c r="N2445" s="23">
        <f>IF($A2445="","",COUNTIFS(NOVEDADES!$C$4:$C$1503,$A2445))</f>
        <v/>
      </c>
      <c r="O2445" s="27">
        <f>IF($A2445="","",IF(COUNTIFS(NOVEDADES!$C$4:$C$1503,$A2445,NOVEDADES!$M$4:$M$1503,"SÍ")&gt;0,"No","Sí"))</f>
        <v/>
      </c>
      <c r="P2445" s="27">
        <f>IF(OR($A2445="",$K2445=""),"",IF(AND($M2445="Sí",$O2445="Sí"),"OTIF","Falló"))</f>
        <v/>
      </c>
    </row>
    <row r="2446" ht="16" customHeight="1">
      <c r="A2446" s="47" t="n"/>
      <c r="B2446" s="46" t="n"/>
      <c r="C2446" s="49" t="n"/>
      <c r="D2446" s="49" t="n"/>
      <c r="E2446" s="49" t="n"/>
      <c r="F2446" s="49" t="n"/>
      <c r="G2446" s="47" t="n"/>
      <c r="H2446" s="50" t="n"/>
      <c r="I2446" s="51" t="n"/>
      <c r="J2446" s="46" t="n"/>
      <c r="K2446" s="46" t="n"/>
      <c r="L2446" s="23">
        <f>IF(OR($A2446="",$B2446=""),"",IF($K2446&lt;&gt;"",$K2446-$B2446,TODAY()-$B2446))</f>
        <v/>
      </c>
      <c r="M2446" s="27">
        <f>IF(OR($A2446="",$J2446=""),"",IF($K2446="",IF(TODAY()&gt;$J2446,"Atrasado","En ruta"),IF($K2446&lt;=$J2446,"Sí","No")))</f>
        <v/>
      </c>
      <c r="N2446" s="23">
        <f>IF($A2446="","",COUNTIFS(NOVEDADES!$C$4:$C$1503,$A2446))</f>
        <v/>
      </c>
      <c r="O2446" s="27">
        <f>IF($A2446="","",IF(COUNTIFS(NOVEDADES!$C$4:$C$1503,$A2446,NOVEDADES!$M$4:$M$1503,"SÍ")&gt;0,"No","Sí"))</f>
        <v/>
      </c>
      <c r="P2446" s="27">
        <f>IF(OR($A2446="",$K2446=""),"",IF(AND($M2446="Sí",$O2446="Sí"),"OTIF","Falló"))</f>
        <v/>
      </c>
    </row>
    <row r="2447" ht="16" customHeight="1">
      <c r="A2447" s="47" t="n"/>
      <c r="B2447" s="46" t="n"/>
      <c r="C2447" s="49" t="n"/>
      <c r="D2447" s="49" t="n"/>
      <c r="E2447" s="49" t="n"/>
      <c r="F2447" s="49" t="n"/>
      <c r="G2447" s="47" t="n"/>
      <c r="H2447" s="50" t="n"/>
      <c r="I2447" s="51" t="n"/>
      <c r="J2447" s="46" t="n"/>
      <c r="K2447" s="46" t="n"/>
      <c r="L2447" s="23">
        <f>IF(OR($A2447="",$B2447=""),"",IF($K2447&lt;&gt;"",$K2447-$B2447,TODAY()-$B2447))</f>
        <v/>
      </c>
      <c r="M2447" s="27">
        <f>IF(OR($A2447="",$J2447=""),"",IF($K2447="",IF(TODAY()&gt;$J2447,"Atrasado","En ruta"),IF($K2447&lt;=$J2447,"Sí","No")))</f>
        <v/>
      </c>
      <c r="N2447" s="23">
        <f>IF($A2447="","",COUNTIFS(NOVEDADES!$C$4:$C$1503,$A2447))</f>
        <v/>
      </c>
      <c r="O2447" s="27">
        <f>IF($A2447="","",IF(COUNTIFS(NOVEDADES!$C$4:$C$1503,$A2447,NOVEDADES!$M$4:$M$1503,"SÍ")&gt;0,"No","Sí"))</f>
        <v/>
      </c>
      <c r="P2447" s="27">
        <f>IF(OR($A2447="",$K2447=""),"",IF(AND($M2447="Sí",$O2447="Sí"),"OTIF","Falló"))</f>
        <v/>
      </c>
    </row>
    <row r="2448" ht="16" customHeight="1">
      <c r="A2448" s="47" t="n"/>
      <c r="B2448" s="46" t="n"/>
      <c r="C2448" s="49" t="n"/>
      <c r="D2448" s="49" t="n"/>
      <c r="E2448" s="49" t="n"/>
      <c r="F2448" s="49" t="n"/>
      <c r="G2448" s="47" t="n"/>
      <c r="H2448" s="50" t="n"/>
      <c r="I2448" s="51" t="n"/>
      <c r="J2448" s="46" t="n"/>
      <c r="K2448" s="46" t="n"/>
      <c r="L2448" s="23">
        <f>IF(OR($A2448="",$B2448=""),"",IF($K2448&lt;&gt;"",$K2448-$B2448,TODAY()-$B2448))</f>
        <v/>
      </c>
      <c r="M2448" s="27">
        <f>IF(OR($A2448="",$J2448=""),"",IF($K2448="",IF(TODAY()&gt;$J2448,"Atrasado","En ruta"),IF($K2448&lt;=$J2448,"Sí","No")))</f>
        <v/>
      </c>
      <c r="N2448" s="23">
        <f>IF($A2448="","",COUNTIFS(NOVEDADES!$C$4:$C$1503,$A2448))</f>
        <v/>
      </c>
      <c r="O2448" s="27">
        <f>IF($A2448="","",IF(COUNTIFS(NOVEDADES!$C$4:$C$1503,$A2448,NOVEDADES!$M$4:$M$1503,"SÍ")&gt;0,"No","Sí"))</f>
        <v/>
      </c>
      <c r="P2448" s="27">
        <f>IF(OR($A2448="",$K2448=""),"",IF(AND($M2448="Sí",$O2448="Sí"),"OTIF","Falló"))</f>
        <v/>
      </c>
    </row>
    <row r="2449" ht="16" customHeight="1">
      <c r="A2449" s="47" t="n"/>
      <c r="B2449" s="46" t="n"/>
      <c r="C2449" s="49" t="n"/>
      <c r="D2449" s="49" t="n"/>
      <c r="E2449" s="49" t="n"/>
      <c r="F2449" s="49" t="n"/>
      <c r="G2449" s="47" t="n"/>
      <c r="H2449" s="50" t="n"/>
      <c r="I2449" s="51" t="n"/>
      <c r="J2449" s="46" t="n"/>
      <c r="K2449" s="46" t="n"/>
      <c r="L2449" s="23">
        <f>IF(OR($A2449="",$B2449=""),"",IF($K2449&lt;&gt;"",$K2449-$B2449,TODAY()-$B2449))</f>
        <v/>
      </c>
      <c r="M2449" s="27">
        <f>IF(OR($A2449="",$J2449=""),"",IF($K2449="",IF(TODAY()&gt;$J2449,"Atrasado","En ruta"),IF($K2449&lt;=$J2449,"Sí","No")))</f>
        <v/>
      </c>
      <c r="N2449" s="23">
        <f>IF($A2449="","",COUNTIFS(NOVEDADES!$C$4:$C$1503,$A2449))</f>
        <v/>
      </c>
      <c r="O2449" s="27">
        <f>IF($A2449="","",IF(COUNTIFS(NOVEDADES!$C$4:$C$1503,$A2449,NOVEDADES!$M$4:$M$1503,"SÍ")&gt;0,"No","Sí"))</f>
        <v/>
      </c>
      <c r="P2449" s="27">
        <f>IF(OR($A2449="",$K2449=""),"",IF(AND($M2449="Sí",$O2449="Sí"),"OTIF","Falló"))</f>
        <v/>
      </c>
    </row>
    <row r="2450" ht="16" customHeight="1">
      <c r="A2450" s="47" t="n"/>
      <c r="B2450" s="46" t="n"/>
      <c r="C2450" s="49" t="n"/>
      <c r="D2450" s="49" t="n"/>
      <c r="E2450" s="49" t="n"/>
      <c r="F2450" s="49" t="n"/>
      <c r="G2450" s="47" t="n"/>
      <c r="H2450" s="50" t="n"/>
      <c r="I2450" s="51" t="n"/>
      <c r="J2450" s="46" t="n"/>
      <c r="K2450" s="46" t="n"/>
      <c r="L2450" s="23">
        <f>IF(OR($A2450="",$B2450=""),"",IF($K2450&lt;&gt;"",$K2450-$B2450,TODAY()-$B2450))</f>
        <v/>
      </c>
      <c r="M2450" s="27">
        <f>IF(OR($A2450="",$J2450=""),"",IF($K2450="",IF(TODAY()&gt;$J2450,"Atrasado","En ruta"),IF($K2450&lt;=$J2450,"Sí","No")))</f>
        <v/>
      </c>
      <c r="N2450" s="23">
        <f>IF($A2450="","",COUNTIFS(NOVEDADES!$C$4:$C$1503,$A2450))</f>
        <v/>
      </c>
      <c r="O2450" s="27">
        <f>IF($A2450="","",IF(COUNTIFS(NOVEDADES!$C$4:$C$1503,$A2450,NOVEDADES!$M$4:$M$1503,"SÍ")&gt;0,"No","Sí"))</f>
        <v/>
      </c>
      <c r="P2450" s="27">
        <f>IF(OR($A2450="",$K2450=""),"",IF(AND($M2450="Sí",$O2450="Sí"),"OTIF","Falló"))</f>
        <v/>
      </c>
    </row>
    <row r="2451" ht="16" customHeight="1">
      <c r="A2451" s="47" t="n"/>
      <c r="B2451" s="46" t="n"/>
      <c r="C2451" s="49" t="n"/>
      <c r="D2451" s="49" t="n"/>
      <c r="E2451" s="49" t="n"/>
      <c r="F2451" s="49" t="n"/>
      <c r="G2451" s="47" t="n"/>
      <c r="H2451" s="50" t="n"/>
      <c r="I2451" s="51" t="n"/>
      <c r="J2451" s="46" t="n"/>
      <c r="K2451" s="46" t="n"/>
      <c r="L2451" s="23">
        <f>IF(OR($A2451="",$B2451=""),"",IF($K2451&lt;&gt;"",$K2451-$B2451,TODAY()-$B2451))</f>
        <v/>
      </c>
      <c r="M2451" s="27">
        <f>IF(OR($A2451="",$J2451=""),"",IF($K2451="",IF(TODAY()&gt;$J2451,"Atrasado","En ruta"),IF($K2451&lt;=$J2451,"Sí","No")))</f>
        <v/>
      </c>
      <c r="N2451" s="23">
        <f>IF($A2451="","",COUNTIFS(NOVEDADES!$C$4:$C$1503,$A2451))</f>
        <v/>
      </c>
      <c r="O2451" s="27">
        <f>IF($A2451="","",IF(COUNTIFS(NOVEDADES!$C$4:$C$1503,$A2451,NOVEDADES!$M$4:$M$1503,"SÍ")&gt;0,"No","Sí"))</f>
        <v/>
      </c>
      <c r="P2451" s="27">
        <f>IF(OR($A2451="",$K2451=""),"",IF(AND($M2451="Sí",$O2451="Sí"),"OTIF","Falló"))</f>
        <v/>
      </c>
    </row>
    <row r="2452" ht="16" customHeight="1">
      <c r="A2452" s="47" t="n"/>
      <c r="B2452" s="46" t="n"/>
      <c r="C2452" s="49" t="n"/>
      <c r="D2452" s="49" t="n"/>
      <c r="E2452" s="49" t="n"/>
      <c r="F2452" s="49" t="n"/>
      <c r="G2452" s="47" t="n"/>
      <c r="H2452" s="50" t="n"/>
      <c r="I2452" s="51" t="n"/>
      <c r="J2452" s="46" t="n"/>
      <c r="K2452" s="46" t="n"/>
      <c r="L2452" s="23">
        <f>IF(OR($A2452="",$B2452=""),"",IF($K2452&lt;&gt;"",$K2452-$B2452,TODAY()-$B2452))</f>
        <v/>
      </c>
      <c r="M2452" s="27">
        <f>IF(OR($A2452="",$J2452=""),"",IF($K2452="",IF(TODAY()&gt;$J2452,"Atrasado","En ruta"),IF($K2452&lt;=$J2452,"Sí","No")))</f>
        <v/>
      </c>
      <c r="N2452" s="23">
        <f>IF($A2452="","",COUNTIFS(NOVEDADES!$C$4:$C$1503,$A2452))</f>
        <v/>
      </c>
      <c r="O2452" s="27">
        <f>IF($A2452="","",IF(COUNTIFS(NOVEDADES!$C$4:$C$1503,$A2452,NOVEDADES!$M$4:$M$1503,"SÍ")&gt;0,"No","Sí"))</f>
        <v/>
      </c>
      <c r="P2452" s="27">
        <f>IF(OR($A2452="",$K2452=""),"",IF(AND($M2452="Sí",$O2452="Sí"),"OTIF","Falló"))</f>
        <v/>
      </c>
    </row>
    <row r="2453" ht="16" customHeight="1">
      <c r="A2453" s="47" t="n"/>
      <c r="B2453" s="46" t="n"/>
      <c r="C2453" s="49" t="n"/>
      <c r="D2453" s="49" t="n"/>
      <c r="E2453" s="49" t="n"/>
      <c r="F2453" s="49" t="n"/>
      <c r="G2453" s="47" t="n"/>
      <c r="H2453" s="50" t="n"/>
      <c r="I2453" s="51" t="n"/>
      <c r="J2453" s="46" t="n"/>
      <c r="K2453" s="46" t="n"/>
      <c r="L2453" s="23">
        <f>IF(OR($A2453="",$B2453=""),"",IF($K2453&lt;&gt;"",$K2453-$B2453,TODAY()-$B2453))</f>
        <v/>
      </c>
      <c r="M2453" s="27">
        <f>IF(OR($A2453="",$J2453=""),"",IF($K2453="",IF(TODAY()&gt;$J2453,"Atrasado","En ruta"),IF($K2453&lt;=$J2453,"Sí","No")))</f>
        <v/>
      </c>
      <c r="N2453" s="23">
        <f>IF($A2453="","",COUNTIFS(NOVEDADES!$C$4:$C$1503,$A2453))</f>
        <v/>
      </c>
      <c r="O2453" s="27">
        <f>IF($A2453="","",IF(COUNTIFS(NOVEDADES!$C$4:$C$1503,$A2453,NOVEDADES!$M$4:$M$1503,"SÍ")&gt;0,"No","Sí"))</f>
        <v/>
      </c>
      <c r="P2453" s="27">
        <f>IF(OR($A2453="",$K2453=""),"",IF(AND($M2453="Sí",$O2453="Sí"),"OTIF","Falló"))</f>
        <v/>
      </c>
    </row>
    <row r="2454" ht="16" customHeight="1">
      <c r="A2454" s="47" t="n"/>
      <c r="B2454" s="46" t="n"/>
      <c r="C2454" s="49" t="n"/>
      <c r="D2454" s="49" t="n"/>
      <c r="E2454" s="49" t="n"/>
      <c r="F2454" s="49" t="n"/>
      <c r="G2454" s="47" t="n"/>
      <c r="H2454" s="50" t="n"/>
      <c r="I2454" s="51" t="n"/>
      <c r="J2454" s="46" t="n"/>
      <c r="K2454" s="46" t="n"/>
      <c r="L2454" s="23">
        <f>IF(OR($A2454="",$B2454=""),"",IF($K2454&lt;&gt;"",$K2454-$B2454,TODAY()-$B2454))</f>
        <v/>
      </c>
      <c r="M2454" s="27">
        <f>IF(OR($A2454="",$J2454=""),"",IF($K2454="",IF(TODAY()&gt;$J2454,"Atrasado","En ruta"),IF($K2454&lt;=$J2454,"Sí","No")))</f>
        <v/>
      </c>
      <c r="N2454" s="23">
        <f>IF($A2454="","",COUNTIFS(NOVEDADES!$C$4:$C$1503,$A2454))</f>
        <v/>
      </c>
      <c r="O2454" s="27">
        <f>IF($A2454="","",IF(COUNTIFS(NOVEDADES!$C$4:$C$1503,$A2454,NOVEDADES!$M$4:$M$1503,"SÍ")&gt;0,"No","Sí"))</f>
        <v/>
      </c>
      <c r="P2454" s="27">
        <f>IF(OR($A2454="",$K2454=""),"",IF(AND($M2454="Sí",$O2454="Sí"),"OTIF","Falló"))</f>
        <v/>
      </c>
    </row>
    <row r="2455" ht="16" customHeight="1">
      <c r="A2455" s="47" t="n"/>
      <c r="B2455" s="46" t="n"/>
      <c r="C2455" s="49" t="n"/>
      <c r="D2455" s="49" t="n"/>
      <c r="E2455" s="49" t="n"/>
      <c r="F2455" s="49" t="n"/>
      <c r="G2455" s="47" t="n"/>
      <c r="H2455" s="50" t="n"/>
      <c r="I2455" s="51" t="n"/>
      <c r="J2455" s="46" t="n"/>
      <c r="K2455" s="46" t="n"/>
      <c r="L2455" s="23">
        <f>IF(OR($A2455="",$B2455=""),"",IF($K2455&lt;&gt;"",$K2455-$B2455,TODAY()-$B2455))</f>
        <v/>
      </c>
      <c r="M2455" s="27">
        <f>IF(OR($A2455="",$J2455=""),"",IF($K2455="",IF(TODAY()&gt;$J2455,"Atrasado","En ruta"),IF($K2455&lt;=$J2455,"Sí","No")))</f>
        <v/>
      </c>
      <c r="N2455" s="23">
        <f>IF($A2455="","",COUNTIFS(NOVEDADES!$C$4:$C$1503,$A2455))</f>
        <v/>
      </c>
      <c r="O2455" s="27">
        <f>IF($A2455="","",IF(COUNTIFS(NOVEDADES!$C$4:$C$1503,$A2455,NOVEDADES!$M$4:$M$1503,"SÍ")&gt;0,"No","Sí"))</f>
        <v/>
      </c>
      <c r="P2455" s="27">
        <f>IF(OR($A2455="",$K2455=""),"",IF(AND($M2455="Sí",$O2455="Sí"),"OTIF","Falló"))</f>
        <v/>
      </c>
    </row>
    <row r="2456" ht="16" customHeight="1">
      <c r="A2456" s="47" t="n"/>
      <c r="B2456" s="46" t="n"/>
      <c r="C2456" s="49" t="n"/>
      <c r="D2456" s="49" t="n"/>
      <c r="E2456" s="49" t="n"/>
      <c r="F2456" s="49" t="n"/>
      <c r="G2456" s="47" t="n"/>
      <c r="H2456" s="50" t="n"/>
      <c r="I2456" s="51" t="n"/>
      <c r="J2456" s="46" t="n"/>
      <c r="K2456" s="46" t="n"/>
      <c r="L2456" s="23">
        <f>IF(OR($A2456="",$B2456=""),"",IF($K2456&lt;&gt;"",$K2456-$B2456,TODAY()-$B2456))</f>
        <v/>
      </c>
      <c r="M2456" s="27">
        <f>IF(OR($A2456="",$J2456=""),"",IF($K2456="",IF(TODAY()&gt;$J2456,"Atrasado","En ruta"),IF($K2456&lt;=$J2456,"Sí","No")))</f>
        <v/>
      </c>
      <c r="N2456" s="23">
        <f>IF($A2456="","",COUNTIFS(NOVEDADES!$C$4:$C$1503,$A2456))</f>
        <v/>
      </c>
      <c r="O2456" s="27">
        <f>IF($A2456="","",IF(COUNTIFS(NOVEDADES!$C$4:$C$1503,$A2456,NOVEDADES!$M$4:$M$1503,"SÍ")&gt;0,"No","Sí"))</f>
        <v/>
      </c>
      <c r="P2456" s="27">
        <f>IF(OR($A2456="",$K2456=""),"",IF(AND($M2456="Sí",$O2456="Sí"),"OTIF","Falló"))</f>
        <v/>
      </c>
    </row>
    <row r="2457" ht="16" customHeight="1">
      <c r="A2457" s="47" t="n"/>
      <c r="B2457" s="46" t="n"/>
      <c r="C2457" s="49" t="n"/>
      <c r="D2457" s="49" t="n"/>
      <c r="E2457" s="49" t="n"/>
      <c r="F2457" s="49" t="n"/>
      <c r="G2457" s="47" t="n"/>
      <c r="H2457" s="50" t="n"/>
      <c r="I2457" s="51" t="n"/>
      <c r="J2457" s="46" t="n"/>
      <c r="K2457" s="46" t="n"/>
      <c r="L2457" s="23">
        <f>IF(OR($A2457="",$B2457=""),"",IF($K2457&lt;&gt;"",$K2457-$B2457,TODAY()-$B2457))</f>
        <v/>
      </c>
      <c r="M2457" s="27">
        <f>IF(OR($A2457="",$J2457=""),"",IF($K2457="",IF(TODAY()&gt;$J2457,"Atrasado","En ruta"),IF($K2457&lt;=$J2457,"Sí","No")))</f>
        <v/>
      </c>
      <c r="N2457" s="23">
        <f>IF($A2457="","",COUNTIFS(NOVEDADES!$C$4:$C$1503,$A2457))</f>
        <v/>
      </c>
      <c r="O2457" s="27">
        <f>IF($A2457="","",IF(COUNTIFS(NOVEDADES!$C$4:$C$1503,$A2457,NOVEDADES!$M$4:$M$1503,"SÍ")&gt;0,"No","Sí"))</f>
        <v/>
      </c>
      <c r="P2457" s="27">
        <f>IF(OR($A2457="",$K2457=""),"",IF(AND($M2457="Sí",$O2457="Sí"),"OTIF","Falló"))</f>
        <v/>
      </c>
    </row>
    <row r="2458" ht="16" customHeight="1">
      <c r="A2458" s="47" t="n"/>
      <c r="B2458" s="46" t="n"/>
      <c r="C2458" s="49" t="n"/>
      <c r="D2458" s="49" t="n"/>
      <c r="E2458" s="49" t="n"/>
      <c r="F2458" s="49" t="n"/>
      <c r="G2458" s="47" t="n"/>
      <c r="H2458" s="50" t="n"/>
      <c r="I2458" s="51" t="n"/>
      <c r="J2458" s="46" t="n"/>
      <c r="K2458" s="46" t="n"/>
      <c r="L2458" s="23">
        <f>IF(OR($A2458="",$B2458=""),"",IF($K2458&lt;&gt;"",$K2458-$B2458,TODAY()-$B2458))</f>
        <v/>
      </c>
      <c r="M2458" s="27">
        <f>IF(OR($A2458="",$J2458=""),"",IF($K2458="",IF(TODAY()&gt;$J2458,"Atrasado","En ruta"),IF($K2458&lt;=$J2458,"Sí","No")))</f>
        <v/>
      </c>
      <c r="N2458" s="23">
        <f>IF($A2458="","",COUNTIFS(NOVEDADES!$C$4:$C$1503,$A2458))</f>
        <v/>
      </c>
      <c r="O2458" s="27">
        <f>IF($A2458="","",IF(COUNTIFS(NOVEDADES!$C$4:$C$1503,$A2458,NOVEDADES!$M$4:$M$1503,"SÍ")&gt;0,"No","Sí"))</f>
        <v/>
      </c>
      <c r="P2458" s="27">
        <f>IF(OR($A2458="",$K2458=""),"",IF(AND($M2458="Sí",$O2458="Sí"),"OTIF","Falló"))</f>
        <v/>
      </c>
    </row>
    <row r="2459" ht="16" customHeight="1">
      <c r="A2459" s="47" t="n"/>
      <c r="B2459" s="46" t="n"/>
      <c r="C2459" s="49" t="n"/>
      <c r="D2459" s="49" t="n"/>
      <c r="E2459" s="49" t="n"/>
      <c r="F2459" s="49" t="n"/>
      <c r="G2459" s="47" t="n"/>
      <c r="H2459" s="50" t="n"/>
      <c r="I2459" s="51" t="n"/>
      <c r="J2459" s="46" t="n"/>
      <c r="K2459" s="46" t="n"/>
      <c r="L2459" s="23">
        <f>IF(OR($A2459="",$B2459=""),"",IF($K2459&lt;&gt;"",$K2459-$B2459,TODAY()-$B2459))</f>
        <v/>
      </c>
      <c r="M2459" s="27">
        <f>IF(OR($A2459="",$J2459=""),"",IF($K2459="",IF(TODAY()&gt;$J2459,"Atrasado","En ruta"),IF($K2459&lt;=$J2459,"Sí","No")))</f>
        <v/>
      </c>
      <c r="N2459" s="23">
        <f>IF($A2459="","",COUNTIFS(NOVEDADES!$C$4:$C$1503,$A2459))</f>
        <v/>
      </c>
      <c r="O2459" s="27">
        <f>IF($A2459="","",IF(COUNTIFS(NOVEDADES!$C$4:$C$1503,$A2459,NOVEDADES!$M$4:$M$1503,"SÍ")&gt;0,"No","Sí"))</f>
        <v/>
      </c>
      <c r="P2459" s="27">
        <f>IF(OR($A2459="",$K2459=""),"",IF(AND($M2459="Sí",$O2459="Sí"),"OTIF","Falló"))</f>
        <v/>
      </c>
    </row>
    <row r="2460" ht="16" customHeight="1">
      <c r="A2460" s="47" t="n"/>
      <c r="B2460" s="46" t="n"/>
      <c r="C2460" s="49" t="n"/>
      <c r="D2460" s="49" t="n"/>
      <c r="E2460" s="49" t="n"/>
      <c r="F2460" s="49" t="n"/>
      <c r="G2460" s="47" t="n"/>
      <c r="H2460" s="50" t="n"/>
      <c r="I2460" s="51" t="n"/>
      <c r="J2460" s="46" t="n"/>
      <c r="K2460" s="46" t="n"/>
      <c r="L2460" s="23">
        <f>IF(OR($A2460="",$B2460=""),"",IF($K2460&lt;&gt;"",$K2460-$B2460,TODAY()-$B2460))</f>
        <v/>
      </c>
      <c r="M2460" s="27">
        <f>IF(OR($A2460="",$J2460=""),"",IF($K2460="",IF(TODAY()&gt;$J2460,"Atrasado","En ruta"),IF($K2460&lt;=$J2460,"Sí","No")))</f>
        <v/>
      </c>
      <c r="N2460" s="23">
        <f>IF($A2460="","",COUNTIFS(NOVEDADES!$C$4:$C$1503,$A2460))</f>
        <v/>
      </c>
      <c r="O2460" s="27">
        <f>IF($A2460="","",IF(COUNTIFS(NOVEDADES!$C$4:$C$1503,$A2460,NOVEDADES!$M$4:$M$1503,"SÍ")&gt;0,"No","Sí"))</f>
        <v/>
      </c>
      <c r="P2460" s="27">
        <f>IF(OR($A2460="",$K2460=""),"",IF(AND($M2460="Sí",$O2460="Sí"),"OTIF","Falló"))</f>
        <v/>
      </c>
    </row>
    <row r="2461" ht="16" customHeight="1">
      <c r="A2461" s="47" t="n"/>
      <c r="B2461" s="46" t="n"/>
      <c r="C2461" s="49" t="n"/>
      <c r="D2461" s="49" t="n"/>
      <c r="E2461" s="49" t="n"/>
      <c r="F2461" s="49" t="n"/>
      <c r="G2461" s="47" t="n"/>
      <c r="H2461" s="50" t="n"/>
      <c r="I2461" s="51" t="n"/>
      <c r="J2461" s="46" t="n"/>
      <c r="K2461" s="46" t="n"/>
      <c r="L2461" s="23">
        <f>IF(OR($A2461="",$B2461=""),"",IF($K2461&lt;&gt;"",$K2461-$B2461,TODAY()-$B2461))</f>
        <v/>
      </c>
      <c r="M2461" s="27">
        <f>IF(OR($A2461="",$J2461=""),"",IF($K2461="",IF(TODAY()&gt;$J2461,"Atrasado","En ruta"),IF($K2461&lt;=$J2461,"Sí","No")))</f>
        <v/>
      </c>
      <c r="N2461" s="23">
        <f>IF($A2461="","",COUNTIFS(NOVEDADES!$C$4:$C$1503,$A2461))</f>
        <v/>
      </c>
      <c r="O2461" s="27">
        <f>IF($A2461="","",IF(COUNTIFS(NOVEDADES!$C$4:$C$1503,$A2461,NOVEDADES!$M$4:$M$1503,"SÍ")&gt;0,"No","Sí"))</f>
        <v/>
      </c>
      <c r="P2461" s="27">
        <f>IF(OR($A2461="",$K2461=""),"",IF(AND($M2461="Sí",$O2461="Sí"),"OTIF","Falló"))</f>
        <v/>
      </c>
    </row>
    <row r="2462" ht="16" customHeight="1">
      <c r="A2462" s="47" t="n"/>
      <c r="B2462" s="46" t="n"/>
      <c r="C2462" s="49" t="n"/>
      <c r="D2462" s="49" t="n"/>
      <c r="E2462" s="49" t="n"/>
      <c r="F2462" s="49" t="n"/>
      <c r="G2462" s="47" t="n"/>
      <c r="H2462" s="50" t="n"/>
      <c r="I2462" s="51" t="n"/>
      <c r="J2462" s="46" t="n"/>
      <c r="K2462" s="46" t="n"/>
      <c r="L2462" s="23">
        <f>IF(OR($A2462="",$B2462=""),"",IF($K2462&lt;&gt;"",$K2462-$B2462,TODAY()-$B2462))</f>
        <v/>
      </c>
      <c r="M2462" s="27">
        <f>IF(OR($A2462="",$J2462=""),"",IF($K2462="",IF(TODAY()&gt;$J2462,"Atrasado","En ruta"),IF($K2462&lt;=$J2462,"Sí","No")))</f>
        <v/>
      </c>
      <c r="N2462" s="23">
        <f>IF($A2462="","",COUNTIFS(NOVEDADES!$C$4:$C$1503,$A2462))</f>
        <v/>
      </c>
      <c r="O2462" s="27">
        <f>IF($A2462="","",IF(COUNTIFS(NOVEDADES!$C$4:$C$1503,$A2462,NOVEDADES!$M$4:$M$1503,"SÍ")&gt;0,"No","Sí"))</f>
        <v/>
      </c>
      <c r="P2462" s="27">
        <f>IF(OR($A2462="",$K2462=""),"",IF(AND($M2462="Sí",$O2462="Sí"),"OTIF","Falló"))</f>
        <v/>
      </c>
    </row>
    <row r="2463" ht="16" customHeight="1">
      <c r="A2463" s="47" t="n"/>
      <c r="B2463" s="46" t="n"/>
      <c r="C2463" s="49" t="n"/>
      <c r="D2463" s="49" t="n"/>
      <c r="E2463" s="49" t="n"/>
      <c r="F2463" s="49" t="n"/>
      <c r="G2463" s="47" t="n"/>
      <c r="H2463" s="50" t="n"/>
      <c r="I2463" s="51" t="n"/>
      <c r="J2463" s="46" t="n"/>
      <c r="K2463" s="46" t="n"/>
      <c r="L2463" s="23">
        <f>IF(OR($A2463="",$B2463=""),"",IF($K2463&lt;&gt;"",$K2463-$B2463,TODAY()-$B2463))</f>
        <v/>
      </c>
      <c r="M2463" s="27">
        <f>IF(OR($A2463="",$J2463=""),"",IF($K2463="",IF(TODAY()&gt;$J2463,"Atrasado","En ruta"),IF($K2463&lt;=$J2463,"Sí","No")))</f>
        <v/>
      </c>
      <c r="N2463" s="23">
        <f>IF($A2463="","",COUNTIFS(NOVEDADES!$C$4:$C$1503,$A2463))</f>
        <v/>
      </c>
      <c r="O2463" s="27">
        <f>IF($A2463="","",IF(COUNTIFS(NOVEDADES!$C$4:$C$1503,$A2463,NOVEDADES!$M$4:$M$1503,"SÍ")&gt;0,"No","Sí"))</f>
        <v/>
      </c>
      <c r="P2463" s="27">
        <f>IF(OR($A2463="",$K2463=""),"",IF(AND($M2463="Sí",$O2463="Sí"),"OTIF","Falló"))</f>
        <v/>
      </c>
    </row>
    <row r="2464" ht="16" customHeight="1">
      <c r="A2464" s="47" t="n"/>
      <c r="B2464" s="46" t="n"/>
      <c r="C2464" s="49" t="n"/>
      <c r="D2464" s="49" t="n"/>
      <c r="E2464" s="49" t="n"/>
      <c r="F2464" s="49" t="n"/>
      <c r="G2464" s="47" t="n"/>
      <c r="H2464" s="50" t="n"/>
      <c r="I2464" s="51" t="n"/>
      <c r="J2464" s="46" t="n"/>
      <c r="K2464" s="46" t="n"/>
      <c r="L2464" s="23">
        <f>IF(OR($A2464="",$B2464=""),"",IF($K2464&lt;&gt;"",$K2464-$B2464,TODAY()-$B2464))</f>
        <v/>
      </c>
      <c r="M2464" s="27">
        <f>IF(OR($A2464="",$J2464=""),"",IF($K2464="",IF(TODAY()&gt;$J2464,"Atrasado","En ruta"),IF($K2464&lt;=$J2464,"Sí","No")))</f>
        <v/>
      </c>
      <c r="N2464" s="23">
        <f>IF($A2464="","",COUNTIFS(NOVEDADES!$C$4:$C$1503,$A2464))</f>
        <v/>
      </c>
      <c r="O2464" s="27">
        <f>IF($A2464="","",IF(COUNTIFS(NOVEDADES!$C$4:$C$1503,$A2464,NOVEDADES!$M$4:$M$1503,"SÍ")&gt;0,"No","Sí"))</f>
        <v/>
      </c>
      <c r="P2464" s="27">
        <f>IF(OR($A2464="",$K2464=""),"",IF(AND($M2464="Sí",$O2464="Sí"),"OTIF","Falló"))</f>
        <v/>
      </c>
    </row>
    <row r="2465" ht="16" customHeight="1">
      <c r="A2465" s="47" t="n"/>
      <c r="B2465" s="46" t="n"/>
      <c r="C2465" s="49" t="n"/>
      <c r="D2465" s="49" t="n"/>
      <c r="E2465" s="49" t="n"/>
      <c r="F2465" s="49" t="n"/>
      <c r="G2465" s="47" t="n"/>
      <c r="H2465" s="50" t="n"/>
      <c r="I2465" s="51" t="n"/>
      <c r="J2465" s="46" t="n"/>
      <c r="K2465" s="46" t="n"/>
      <c r="L2465" s="23">
        <f>IF(OR($A2465="",$B2465=""),"",IF($K2465&lt;&gt;"",$K2465-$B2465,TODAY()-$B2465))</f>
        <v/>
      </c>
      <c r="M2465" s="27">
        <f>IF(OR($A2465="",$J2465=""),"",IF($K2465="",IF(TODAY()&gt;$J2465,"Atrasado","En ruta"),IF($K2465&lt;=$J2465,"Sí","No")))</f>
        <v/>
      </c>
      <c r="N2465" s="23">
        <f>IF($A2465="","",COUNTIFS(NOVEDADES!$C$4:$C$1503,$A2465))</f>
        <v/>
      </c>
      <c r="O2465" s="27">
        <f>IF($A2465="","",IF(COUNTIFS(NOVEDADES!$C$4:$C$1503,$A2465,NOVEDADES!$M$4:$M$1503,"SÍ")&gt;0,"No","Sí"))</f>
        <v/>
      </c>
      <c r="P2465" s="27">
        <f>IF(OR($A2465="",$K2465=""),"",IF(AND($M2465="Sí",$O2465="Sí"),"OTIF","Falló"))</f>
        <v/>
      </c>
    </row>
    <row r="2466" ht="16" customHeight="1">
      <c r="A2466" s="47" t="n"/>
      <c r="B2466" s="46" t="n"/>
      <c r="C2466" s="49" t="n"/>
      <c r="D2466" s="49" t="n"/>
      <c r="E2466" s="49" t="n"/>
      <c r="F2466" s="49" t="n"/>
      <c r="G2466" s="47" t="n"/>
      <c r="H2466" s="50" t="n"/>
      <c r="I2466" s="51" t="n"/>
      <c r="J2466" s="46" t="n"/>
      <c r="K2466" s="46" t="n"/>
      <c r="L2466" s="23">
        <f>IF(OR($A2466="",$B2466=""),"",IF($K2466&lt;&gt;"",$K2466-$B2466,TODAY()-$B2466))</f>
        <v/>
      </c>
      <c r="M2466" s="27">
        <f>IF(OR($A2466="",$J2466=""),"",IF($K2466="",IF(TODAY()&gt;$J2466,"Atrasado","En ruta"),IF($K2466&lt;=$J2466,"Sí","No")))</f>
        <v/>
      </c>
      <c r="N2466" s="23">
        <f>IF($A2466="","",COUNTIFS(NOVEDADES!$C$4:$C$1503,$A2466))</f>
        <v/>
      </c>
      <c r="O2466" s="27">
        <f>IF($A2466="","",IF(COUNTIFS(NOVEDADES!$C$4:$C$1503,$A2466,NOVEDADES!$M$4:$M$1503,"SÍ")&gt;0,"No","Sí"))</f>
        <v/>
      </c>
      <c r="P2466" s="27">
        <f>IF(OR($A2466="",$K2466=""),"",IF(AND($M2466="Sí",$O2466="Sí"),"OTIF","Falló"))</f>
        <v/>
      </c>
    </row>
    <row r="2467" ht="16" customHeight="1">
      <c r="A2467" s="47" t="n"/>
      <c r="B2467" s="46" t="n"/>
      <c r="C2467" s="49" t="n"/>
      <c r="D2467" s="49" t="n"/>
      <c r="E2467" s="49" t="n"/>
      <c r="F2467" s="49" t="n"/>
      <c r="G2467" s="47" t="n"/>
      <c r="H2467" s="50" t="n"/>
      <c r="I2467" s="51" t="n"/>
      <c r="J2467" s="46" t="n"/>
      <c r="K2467" s="46" t="n"/>
      <c r="L2467" s="23">
        <f>IF(OR($A2467="",$B2467=""),"",IF($K2467&lt;&gt;"",$K2467-$B2467,TODAY()-$B2467))</f>
        <v/>
      </c>
      <c r="M2467" s="27">
        <f>IF(OR($A2467="",$J2467=""),"",IF($K2467="",IF(TODAY()&gt;$J2467,"Atrasado","En ruta"),IF($K2467&lt;=$J2467,"Sí","No")))</f>
        <v/>
      </c>
      <c r="N2467" s="23">
        <f>IF($A2467="","",COUNTIFS(NOVEDADES!$C$4:$C$1503,$A2467))</f>
        <v/>
      </c>
      <c r="O2467" s="27">
        <f>IF($A2467="","",IF(COUNTIFS(NOVEDADES!$C$4:$C$1503,$A2467,NOVEDADES!$M$4:$M$1503,"SÍ")&gt;0,"No","Sí"))</f>
        <v/>
      </c>
      <c r="P2467" s="27">
        <f>IF(OR($A2467="",$K2467=""),"",IF(AND($M2467="Sí",$O2467="Sí"),"OTIF","Falló"))</f>
        <v/>
      </c>
    </row>
    <row r="2468" ht="16" customHeight="1">
      <c r="A2468" s="47" t="n"/>
      <c r="B2468" s="46" t="n"/>
      <c r="C2468" s="49" t="n"/>
      <c r="D2468" s="49" t="n"/>
      <c r="E2468" s="49" t="n"/>
      <c r="F2468" s="49" t="n"/>
      <c r="G2468" s="47" t="n"/>
      <c r="H2468" s="50" t="n"/>
      <c r="I2468" s="51" t="n"/>
      <c r="J2468" s="46" t="n"/>
      <c r="K2468" s="46" t="n"/>
      <c r="L2468" s="23">
        <f>IF(OR($A2468="",$B2468=""),"",IF($K2468&lt;&gt;"",$K2468-$B2468,TODAY()-$B2468))</f>
        <v/>
      </c>
      <c r="M2468" s="27">
        <f>IF(OR($A2468="",$J2468=""),"",IF($K2468="",IF(TODAY()&gt;$J2468,"Atrasado","En ruta"),IF($K2468&lt;=$J2468,"Sí","No")))</f>
        <v/>
      </c>
      <c r="N2468" s="23">
        <f>IF($A2468="","",COUNTIFS(NOVEDADES!$C$4:$C$1503,$A2468))</f>
        <v/>
      </c>
      <c r="O2468" s="27">
        <f>IF($A2468="","",IF(COUNTIFS(NOVEDADES!$C$4:$C$1503,$A2468,NOVEDADES!$M$4:$M$1503,"SÍ")&gt;0,"No","Sí"))</f>
        <v/>
      </c>
      <c r="P2468" s="27">
        <f>IF(OR($A2468="",$K2468=""),"",IF(AND($M2468="Sí",$O2468="Sí"),"OTIF","Falló"))</f>
        <v/>
      </c>
    </row>
    <row r="2469" ht="16" customHeight="1">
      <c r="A2469" s="47" t="n"/>
      <c r="B2469" s="46" t="n"/>
      <c r="C2469" s="49" t="n"/>
      <c r="D2469" s="49" t="n"/>
      <c r="E2469" s="49" t="n"/>
      <c r="F2469" s="49" t="n"/>
      <c r="G2469" s="47" t="n"/>
      <c r="H2469" s="50" t="n"/>
      <c r="I2469" s="51" t="n"/>
      <c r="J2469" s="46" t="n"/>
      <c r="K2469" s="46" t="n"/>
      <c r="L2469" s="23">
        <f>IF(OR($A2469="",$B2469=""),"",IF($K2469&lt;&gt;"",$K2469-$B2469,TODAY()-$B2469))</f>
        <v/>
      </c>
      <c r="M2469" s="27">
        <f>IF(OR($A2469="",$J2469=""),"",IF($K2469="",IF(TODAY()&gt;$J2469,"Atrasado","En ruta"),IF($K2469&lt;=$J2469,"Sí","No")))</f>
        <v/>
      </c>
      <c r="N2469" s="23">
        <f>IF($A2469="","",COUNTIFS(NOVEDADES!$C$4:$C$1503,$A2469))</f>
        <v/>
      </c>
      <c r="O2469" s="27">
        <f>IF($A2469="","",IF(COUNTIFS(NOVEDADES!$C$4:$C$1503,$A2469,NOVEDADES!$M$4:$M$1503,"SÍ")&gt;0,"No","Sí"))</f>
        <v/>
      </c>
      <c r="P2469" s="27">
        <f>IF(OR($A2469="",$K2469=""),"",IF(AND($M2469="Sí",$O2469="Sí"),"OTIF","Falló"))</f>
        <v/>
      </c>
    </row>
    <row r="2470" ht="16" customHeight="1">
      <c r="A2470" s="47" t="n"/>
      <c r="B2470" s="46" t="n"/>
      <c r="C2470" s="49" t="n"/>
      <c r="D2470" s="49" t="n"/>
      <c r="E2470" s="49" t="n"/>
      <c r="F2470" s="49" t="n"/>
      <c r="G2470" s="47" t="n"/>
      <c r="H2470" s="50" t="n"/>
      <c r="I2470" s="51" t="n"/>
      <c r="J2470" s="46" t="n"/>
      <c r="K2470" s="46" t="n"/>
      <c r="L2470" s="23">
        <f>IF(OR($A2470="",$B2470=""),"",IF($K2470&lt;&gt;"",$K2470-$B2470,TODAY()-$B2470))</f>
        <v/>
      </c>
      <c r="M2470" s="27">
        <f>IF(OR($A2470="",$J2470=""),"",IF($K2470="",IF(TODAY()&gt;$J2470,"Atrasado","En ruta"),IF($K2470&lt;=$J2470,"Sí","No")))</f>
        <v/>
      </c>
      <c r="N2470" s="23">
        <f>IF($A2470="","",COUNTIFS(NOVEDADES!$C$4:$C$1503,$A2470))</f>
        <v/>
      </c>
      <c r="O2470" s="27">
        <f>IF($A2470="","",IF(COUNTIFS(NOVEDADES!$C$4:$C$1503,$A2470,NOVEDADES!$M$4:$M$1503,"SÍ")&gt;0,"No","Sí"))</f>
        <v/>
      </c>
      <c r="P2470" s="27">
        <f>IF(OR($A2470="",$K2470=""),"",IF(AND($M2470="Sí",$O2470="Sí"),"OTIF","Falló"))</f>
        <v/>
      </c>
    </row>
    <row r="2471" ht="16" customHeight="1">
      <c r="A2471" s="47" t="n"/>
      <c r="B2471" s="46" t="n"/>
      <c r="C2471" s="49" t="n"/>
      <c r="D2471" s="49" t="n"/>
      <c r="E2471" s="49" t="n"/>
      <c r="F2471" s="49" t="n"/>
      <c r="G2471" s="47" t="n"/>
      <c r="H2471" s="50" t="n"/>
      <c r="I2471" s="51" t="n"/>
      <c r="J2471" s="46" t="n"/>
      <c r="K2471" s="46" t="n"/>
      <c r="L2471" s="23">
        <f>IF(OR($A2471="",$B2471=""),"",IF($K2471&lt;&gt;"",$K2471-$B2471,TODAY()-$B2471))</f>
        <v/>
      </c>
      <c r="M2471" s="27">
        <f>IF(OR($A2471="",$J2471=""),"",IF($K2471="",IF(TODAY()&gt;$J2471,"Atrasado","En ruta"),IF($K2471&lt;=$J2471,"Sí","No")))</f>
        <v/>
      </c>
      <c r="N2471" s="23">
        <f>IF($A2471="","",COUNTIFS(NOVEDADES!$C$4:$C$1503,$A2471))</f>
        <v/>
      </c>
      <c r="O2471" s="27">
        <f>IF($A2471="","",IF(COUNTIFS(NOVEDADES!$C$4:$C$1503,$A2471,NOVEDADES!$M$4:$M$1503,"SÍ")&gt;0,"No","Sí"))</f>
        <v/>
      </c>
      <c r="P2471" s="27">
        <f>IF(OR($A2471="",$K2471=""),"",IF(AND($M2471="Sí",$O2471="Sí"),"OTIF","Falló"))</f>
        <v/>
      </c>
    </row>
    <row r="2472" ht="16" customHeight="1">
      <c r="A2472" s="47" t="n"/>
      <c r="B2472" s="46" t="n"/>
      <c r="C2472" s="49" t="n"/>
      <c r="D2472" s="49" t="n"/>
      <c r="E2472" s="49" t="n"/>
      <c r="F2472" s="49" t="n"/>
      <c r="G2472" s="47" t="n"/>
      <c r="H2472" s="50" t="n"/>
      <c r="I2472" s="51" t="n"/>
      <c r="J2472" s="46" t="n"/>
      <c r="K2472" s="46" t="n"/>
      <c r="L2472" s="23">
        <f>IF(OR($A2472="",$B2472=""),"",IF($K2472&lt;&gt;"",$K2472-$B2472,TODAY()-$B2472))</f>
        <v/>
      </c>
      <c r="M2472" s="27">
        <f>IF(OR($A2472="",$J2472=""),"",IF($K2472="",IF(TODAY()&gt;$J2472,"Atrasado","En ruta"),IF($K2472&lt;=$J2472,"Sí","No")))</f>
        <v/>
      </c>
      <c r="N2472" s="23">
        <f>IF($A2472="","",COUNTIFS(NOVEDADES!$C$4:$C$1503,$A2472))</f>
        <v/>
      </c>
      <c r="O2472" s="27">
        <f>IF($A2472="","",IF(COUNTIFS(NOVEDADES!$C$4:$C$1503,$A2472,NOVEDADES!$M$4:$M$1503,"SÍ")&gt;0,"No","Sí"))</f>
        <v/>
      </c>
      <c r="P2472" s="27">
        <f>IF(OR($A2472="",$K2472=""),"",IF(AND($M2472="Sí",$O2472="Sí"),"OTIF","Falló"))</f>
        <v/>
      </c>
    </row>
    <row r="2473" ht="16" customHeight="1">
      <c r="A2473" s="47" t="n"/>
      <c r="B2473" s="46" t="n"/>
      <c r="C2473" s="49" t="n"/>
      <c r="D2473" s="49" t="n"/>
      <c r="E2473" s="49" t="n"/>
      <c r="F2473" s="49" t="n"/>
      <c r="G2473" s="47" t="n"/>
      <c r="H2473" s="50" t="n"/>
      <c r="I2473" s="51" t="n"/>
      <c r="J2473" s="46" t="n"/>
      <c r="K2473" s="46" t="n"/>
      <c r="L2473" s="23">
        <f>IF(OR($A2473="",$B2473=""),"",IF($K2473&lt;&gt;"",$K2473-$B2473,TODAY()-$B2473))</f>
        <v/>
      </c>
      <c r="M2473" s="27">
        <f>IF(OR($A2473="",$J2473=""),"",IF($K2473="",IF(TODAY()&gt;$J2473,"Atrasado","En ruta"),IF($K2473&lt;=$J2473,"Sí","No")))</f>
        <v/>
      </c>
      <c r="N2473" s="23">
        <f>IF($A2473="","",COUNTIFS(NOVEDADES!$C$4:$C$1503,$A2473))</f>
        <v/>
      </c>
      <c r="O2473" s="27">
        <f>IF($A2473="","",IF(COUNTIFS(NOVEDADES!$C$4:$C$1503,$A2473,NOVEDADES!$M$4:$M$1503,"SÍ")&gt;0,"No","Sí"))</f>
        <v/>
      </c>
      <c r="P2473" s="27">
        <f>IF(OR($A2473="",$K2473=""),"",IF(AND($M2473="Sí",$O2473="Sí"),"OTIF","Falló"))</f>
        <v/>
      </c>
    </row>
    <row r="2474" ht="16" customHeight="1">
      <c r="A2474" s="47" t="n"/>
      <c r="B2474" s="46" t="n"/>
      <c r="C2474" s="49" t="n"/>
      <c r="D2474" s="49" t="n"/>
      <c r="E2474" s="49" t="n"/>
      <c r="F2474" s="49" t="n"/>
      <c r="G2474" s="47" t="n"/>
      <c r="H2474" s="50" t="n"/>
      <c r="I2474" s="51" t="n"/>
      <c r="J2474" s="46" t="n"/>
      <c r="K2474" s="46" t="n"/>
      <c r="L2474" s="23">
        <f>IF(OR($A2474="",$B2474=""),"",IF($K2474&lt;&gt;"",$K2474-$B2474,TODAY()-$B2474))</f>
        <v/>
      </c>
      <c r="M2474" s="27">
        <f>IF(OR($A2474="",$J2474=""),"",IF($K2474="",IF(TODAY()&gt;$J2474,"Atrasado","En ruta"),IF($K2474&lt;=$J2474,"Sí","No")))</f>
        <v/>
      </c>
      <c r="N2474" s="23">
        <f>IF($A2474="","",COUNTIFS(NOVEDADES!$C$4:$C$1503,$A2474))</f>
        <v/>
      </c>
      <c r="O2474" s="27">
        <f>IF($A2474="","",IF(COUNTIFS(NOVEDADES!$C$4:$C$1503,$A2474,NOVEDADES!$M$4:$M$1503,"SÍ")&gt;0,"No","Sí"))</f>
        <v/>
      </c>
      <c r="P2474" s="27">
        <f>IF(OR($A2474="",$K2474=""),"",IF(AND($M2474="Sí",$O2474="Sí"),"OTIF","Falló"))</f>
        <v/>
      </c>
    </row>
    <row r="2475" ht="16" customHeight="1">
      <c r="A2475" s="47" t="n"/>
      <c r="B2475" s="46" t="n"/>
      <c r="C2475" s="49" t="n"/>
      <c r="D2475" s="49" t="n"/>
      <c r="E2475" s="49" t="n"/>
      <c r="F2475" s="49" t="n"/>
      <c r="G2475" s="47" t="n"/>
      <c r="H2475" s="50" t="n"/>
      <c r="I2475" s="51" t="n"/>
      <c r="J2475" s="46" t="n"/>
      <c r="K2475" s="46" t="n"/>
      <c r="L2475" s="23">
        <f>IF(OR($A2475="",$B2475=""),"",IF($K2475&lt;&gt;"",$K2475-$B2475,TODAY()-$B2475))</f>
        <v/>
      </c>
      <c r="M2475" s="27">
        <f>IF(OR($A2475="",$J2475=""),"",IF($K2475="",IF(TODAY()&gt;$J2475,"Atrasado","En ruta"),IF($K2475&lt;=$J2475,"Sí","No")))</f>
        <v/>
      </c>
      <c r="N2475" s="23">
        <f>IF($A2475="","",COUNTIFS(NOVEDADES!$C$4:$C$1503,$A2475))</f>
        <v/>
      </c>
      <c r="O2475" s="27">
        <f>IF($A2475="","",IF(COUNTIFS(NOVEDADES!$C$4:$C$1503,$A2475,NOVEDADES!$M$4:$M$1503,"SÍ")&gt;0,"No","Sí"))</f>
        <v/>
      </c>
      <c r="P2475" s="27">
        <f>IF(OR($A2475="",$K2475=""),"",IF(AND($M2475="Sí",$O2475="Sí"),"OTIF","Falló"))</f>
        <v/>
      </c>
    </row>
    <row r="2476" ht="16" customHeight="1">
      <c r="A2476" s="47" t="n"/>
      <c r="B2476" s="46" t="n"/>
      <c r="C2476" s="49" t="n"/>
      <c r="D2476" s="49" t="n"/>
      <c r="E2476" s="49" t="n"/>
      <c r="F2476" s="49" t="n"/>
      <c r="G2476" s="47" t="n"/>
      <c r="H2476" s="50" t="n"/>
      <c r="I2476" s="51" t="n"/>
      <c r="J2476" s="46" t="n"/>
      <c r="K2476" s="46" t="n"/>
      <c r="L2476" s="23">
        <f>IF(OR($A2476="",$B2476=""),"",IF($K2476&lt;&gt;"",$K2476-$B2476,TODAY()-$B2476))</f>
        <v/>
      </c>
      <c r="M2476" s="27">
        <f>IF(OR($A2476="",$J2476=""),"",IF($K2476="",IF(TODAY()&gt;$J2476,"Atrasado","En ruta"),IF($K2476&lt;=$J2476,"Sí","No")))</f>
        <v/>
      </c>
      <c r="N2476" s="23">
        <f>IF($A2476="","",COUNTIFS(NOVEDADES!$C$4:$C$1503,$A2476))</f>
        <v/>
      </c>
      <c r="O2476" s="27">
        <f>IF($A2476="","",IF(COUNTIFS(NOVEDADES!$C$4:$C$1503,$A2476,NOVEDADES!$M$4:$M$1503,"SÍ")&gt;0,"No","Sí"))</f>
        <v/>
      </c>
      <c r="P2476" s="27">
        <f>IF(OR($A2476="",$K2476=""),"",IF(AND($M2476="Sí",$O2476="Sí"),"OTIF","Falló"))</f>
        <v/>
      </c>
    </row>
    <row r="2477" ht="16" customHeight="1">
      <c r="A2477" s="47" t="n"/>
      <c r="B2477" s="46" t="n"/>
      <c r="C2477" s="49" t="n"/>
      <c r="D2477" s="49" t="n"/>
      <c r="E2477" s="49" t="n"/>
      <c r="F2477" s="49" t="n"/>
      <c r="G2477" s="47" t="n"/>
      <c r="H2477" s="50" t="n"/>
      <c r="I2477" s="51" t="n"/>
      <c r="J2477" s="46" t="n"/>
      <c r="K2477" s="46" t="n"/>
      <c r="L2477" s="23">
        <f>IF(OR($A2477="",$B2477=""),"",IF($K2477&lt;&gt;"",$K2477-$B2477,TODAY()-$B2477))</f>
        <v/>
      </c>
      <c r="M2477" s="27">
        <f>IF(OR($A2477="",$J2477=""),"",IF($K2477="",IF(TODAY()&gt;$J2477,"Atrasado","En ruta"),IF($K2477&lt;=$J2477,"Sí","No")))</f>
        <v/>
      </c>
      <c r="N2477" s="23">
        <f>IF($A2477="","",COUNTIFS(NOVEDADES!$C$4:$C$1503,$A2477))</f>
        <v/>
      </c>
      <c r="O2477" s="27">
        <f>IF($A2477="","",IF(COUNTIFS(NOVEDADES!$C$4:$C$1503,$A2477,NOVEDADES!$M$4:$M$1503,"SÍ")&gt;0,"No","Sí"))</f>
        <v/>
      </c>
      <c r="P2477" s="27">
        <f>IF(OR($A2477="",$K2477=""),"",IF(AND($M2477="Sí",$O2477="Sí"),"OTIF","Falló"))</f>
        <v/>
      </c>
    </row>
    <row r="2478" ht="16" customHeight="1">
      <c r="A2478" s="47" t="n"/>
      <c r="B2478" s="46" t="n"/>
      <c r="C2478" s="49" t="n"/>
      <c r="D2478" s="49" t="n"/>
      <c r="E2478" s="49" t="n"/>
      <c r="F2478" s="49" t="n"/>
      <c r="G2478" s="47" t="n"/>
      <c r="H2478" s="50" t="n"/>
      <c r="I2478" s="51" t="n"/>
      <c r="J2478" s="46" t="n"/>
      <c r="K2478" s="46" t="n"/>
      <c r="L2478" s="23">
        <f>IF(OR($A2478="",$B2478=""),"",IF($K2478&lt;&gt;"",$K2478-$B2478,TODAY()-$B2478))</f>
        <v/>
      </c>
      <c r="M2478" s="27">
        <f>IF(OR($A2478="",$J2478=""),"",IF($K2478="",IF(TODAY()&gt;$J2478,"Atrasado","En ruta"),IF($K2478&lt;=$J2478,"Sí","No")))</f>
        <v/>
      </c>
      <c r="N2478" s="23">
        <f>IF($A2478="","",COUNTIFS(NOVEDADES!$C$4:$C$1503,$A2478))</f>
        <v/>
      </c>
      <c r="O2478" s="27">
        <f>IF($A2478="","",IF(COUNTIFS(NOVEDADES!$C$4:$C$1503,$A2478,NOVEDADES!$M$4:$M$1503,"SÍ")&gt;0,"No","Sí"))</f>
        <v/>
      </c>
      <c r="P2478" s="27">
        <f>IF(OR($A2478="",$K2478=""),"",IF(AND($M2478="Sí",$O2478="Sí"),"OTIF","Falló"))</f>
        <v/>
      </c>
    </row>
    <row r="2479" ht="16" customHeight="1">
      <c r="A2479" s="47" t="n"/>
      <c r="B2479" s="46" t="n"/>
      <c r="C2479" s="49" t="n"/>
      <c r="D2479" s="49" t="n"/>
      <c r="E2479" s="49" t="n"/>
      <c r="F2479" s="49" t="n"/>
      <c r="G2479" s="47" t="n"/>
      <c r="H2479" s="50" t="n"/>
      <c r="I2479" s="51" t="n"/>
      <c r="J2479" s="46" t="n"/>
      <c r="K2479" s="46" t="n"/>
      <c r="L2479" s="23">
        <f>IF(OR($A2479="",$B2479=""),"",IF($K2479&lt;&gt;"",$K2479-$B2479,TODAY()-$B2479))</f>
        <v/>
      </c>
      <c r="M2479" s="27">
        <f>IF(OR($A2479="",$J2479=""),"",IF($K2479="",IF(TODAY()&gt;$J2479,"Atrasado","En ruta"),IF($K2479&lt;=$J2479,"Sí","No")))</f>
        <v/>
      </c>
      <c r="N2479" s="23">
        <f>IF($A2479="","",COUNTIFS(NOVEDADES!$C$4:$C$1503,$A2479))</f>
        <v/>
      </c>
      <c r="O2479" s="27">
        <f>IF($A2479="","",IF(COUNTIFS(NOVEDADES!$C$4:$C$1503,$A2479,NOVEDADES!$M$4:$M$1503,"SÍ")&gt;0,"No","Sí"))</f>
        <v/>
      </c>
      <c r="P2479" s="27">
        <f>IF(OR($A2479="",$K2479=""),"",IF(AND($M2479="Sí",$O2479="Sí"),"OTIF","Falló"))</f>
        <v/>
      </c>
    </row>
    <row r="2480" ht="16" customHeight="1">
      <c r="A2480" s="47" t="n"/>
      <c r="B2480" s="46" t="n"/>
      <c r="C2480" s="49" t="n"/>
      <c r="D2480" s="49" t="n"/>
      <c r="E2480" s="49" t="n"/>
      <c r="F2480" s="49" t="n"/>
      <c r="G2480" s="47" t="n"/>
      <c r="H2480" s="50" t="n"/>
      <c r="I2480" s="51" t="n"/>
      <c r="J2480" s="46" t="n"/>
      <c r="K2480" s="46" t="n"/>
      <c r="L2480" s="23">
        <f>IF(OR($A2480="",$B2480=""),"",IF($K2480&lt;&gt;"",$K2480-$B2480,TODAY()-$B2480))</f>
        <v/>
      </c>
      <c r="M2480" s="27">
        <f>IF(OR($A2480="",$J2480=""),"",IF($K2480="",IF(TODAY()&gt;$J2480,"Atrasado","En ruta"),IF($K2480&lt;=$J2480,"Sí","No")))</f>
        <v/>
      </c>
      <c r="N2480" s="23">
        <f>IF($A2480="","",COUNTIFS(NOVEDADES!$C$4:$C$1503,$A2480))</f>
        <v/>
      </c>
      <c r="O2480" s="27">
        <f>IF($A2480="","",IF(COUNTIFS(NOVEDADES!$C$4:$C$1503,$A2480,NOVEDADES!$M$4:$M$1503,"SÍ")&gt;0,"No","Sí"))</f>
        <v/>
      </c>
      <c r="P2480" s="27">
        <f>IF(OR($A2480="",$K2480=""),"",IF(AND($M2480="Sí",$O2480="Sí"),"OTIF","Falló"))</f>
        <v/>
      </c>
    </row>
    <row r="2481" ht="16" customHeight="1">
      <c r="A2481" s="47" t="n"/>
      <c r="B2481" s="46" t="n"/>
      <c r="C2481" s="49" t="n"/>
      <c r="D2481" s="49" t="n"/>
      <c r="E2481" s="49" t="n"/>
      <c r="F2481" s="49" t="n"/>
      <c r="G2481" s="47" t="n"/>
      <c r="H2481" s="50" t="n"/>
      <c r="I2481" s="51" t="n"/>
      <c r="J2481" s="46" t="n"/>
      <c r="K2481" s="46" t="n"/>
      <c r="L2481" s="23">
        <f>IF(OR($A2481="",$B2481=""),"",IF($K2481&lt;&gt;"",$K2481-$B2481,TODAY()-$B2481))</f>
        <v/>
      </c>
      <c r="M2481" s="27">
        <f>IF(OR($A2481="",$J2481=""),"",IF($K2481="",IF(TODAY()&gt;$J2481,"Atrasado","En ruta"),IF($K2481&lt;=$J2481,"Sí","No")))</f>
        <v/>
      </c>
      <c r="N2481" s="23">
        <f>IF($A2481="","",COUNTIFS(NOVEDADES!$C$4:$C$1503,$A2481))</f>
        <v/>
      </c>
      <c r="O2481" s="27">
        <f>IF($A2481="","",IF(COUNTIFS(NOVEDADES!$C$4:$C$1503,$A2481,NOVEDADES!$M$4:$M$1503,"SÍ")&gt;0,"No","Sí"))</f>
        <v/>
      </c>
      <c r="P2481" s="27">
        <f>IF(OR($A2481="",$K2481=""),"",IF(AND($M2481="Sí",$O2481="Sí"),"OTIF","Falló"))</f>
        <v/>
      </c>
    </row>
    <row r="2482" ht="16" customHeight="1">
      <c r="A2482" s="47" t="n"/>
      <c r="B2482" s="46" t="n"/>
      <c r="C2482" s="49" t="n"/>
      <c r="D2482" s="49" t="n"/>
      <c r="E2482" s="49" t="n"/>
      <c r="F2482" s="49" t="n"/>
      <c r="G2482" s="47" t="n"/>
      <c r="H2482" s="50" t="n"/>
      <c r="I2482" s="51" t="n"/>
      <c r="J2482" s="46" t="n"/>
      <c r="K2482" s="46" t="n"/>
      <c r="L2482" s="23">
        <f>IF(OR($A2482="",$B2482=""),"",IF($K2482&lt;&gt;"",$K2482-$B2482,TODAY()-$B2482))</f>
        <v/>
      </c>
      <c r="M2482" s="27">
        <f>IF(OR($A2482="",$J2482=""),"",IF($K2482="",IF(TODAY()&gt;$J2482,"Atrasado","En ruta"),IF($K2482&lt;=$J2482,"Sí","No")))</f>
        <v/>
      </c>
      <c r="N2482" s="23">
        <f>IF($A2482="","",COUNTIFS(NOVEDADES!$C$4:$C$1503,$A2482))</f>
        <v/>
      </c>
      <c r="O2482" s="27">
        <f>IF($A2482="","",IF(COUNTIFS(NOVEDADES!$C$4:$C$1503,$A2482,NOVEDADES!$M$4:$M$1503,"SÍ")&gt;0,"No","Sí"))</f>
        <v/>
      </c>
      <c r="P2482" s="27">
        <f>IF(OR($A2482="",$K2482=""),"",IF(AND($M2482="Sí",$O2482="Sí"),"OTIF","Falló"))</f>
        <v/>
      </c>
    </row>
    <row r="2483" ht="16" customHeight="1">
      <c r="A2483" s="47" t="n"/>
      <c r="B2483" s="46" t="n"/>
      <c r="C2483" s="49" t="n"/>
      <c r="D2483" s="49" t="n"/>
      <c r="E2483" s="49" t="n"/>
      <c r="F2483" s="49" t="n"/>
      <c r="G2483" s="47" t="n"/>
      <c r="H2483" s="50" t="n"/>
      <c r="I2483" s="51" t="n"/>
      <c r="J2483" s="46" t="n"/>
      <c r="K2483" s="46" t="n"/>
      <c r="L2483" s="23">
        <f>IF(OR($A2483="",$B2483=""),"",IF($K2483&lt;&gt;"",$K2483-$B2483,TODAY()-$B2483))</f>
        <v/>
      </c>
      <c r="M2483" s="27">
        <f>IF(OR($A2483="",$J2483=""),"",IF($K2483="",IF(TODAY()&gt;$J2483,"Atrasado","En ruta"),IF($K2483&lt;=$J2483,"Sí","No")))</f>
        <v/>
      </c>
      <c r="N2483" s="23">
        <f>IF($A2483="","",COUNTIFS(NOVEDADES!$C$4:$C$1503,$A2483))</f>
        <v/>
      </c>
      <c r="O2483" s="27">
        <f>IF($A2483="","",IF(COUNTIFS(NOVEDADES!$C$4:$C$1503,$A2483,NOVEDADES!$M$4:$M$1503,"SÍ")&gt;0,"No","Sí"))</f>
        <v/>
      </c>
      <c r="P2483" s="27">
        <f>IF(OR($A2483="",$K2483=""),"",IF(AND($M2483="Sí",$O2483="Sí"),"OTIF","Falló"))</f>
        <v/>
      </c>
    </row>
    <row r="2484" ht="16" customHeight="1">
      <c r="A2484" s="47" t="n"/>
      <c r="B2484" s="46" t="n"/>
      <c r="C2484" s="49" t="n"/>
      <c r="D2484" s="49" t="n"/>
      <c r="E2484" s="49" t="n"/>
      <c r="F2484" s="49" t="n"/>
      <c r="G2484" s="47" t="n"/>
      <c r="H2484" s="50" t="n"/>
      <c r="I2484" s="51" t="n"/>
      <c r="J2484" s="46" t="n"/>
      <c r="K2484" s="46" t="n"/>
      <c r="L2484" s="23">
        <f>IF(OR($A2484="",$B2484=""),"",IF($K2484&lt;&gt;"",$K2484-$B2484,TODAY()-$B2484))</f>
        <v/>
      </c>
      <c r="M2484" s="27">
        <f>IF(OR($A2484="",$J2484=""),"",IF($K2484="",IF(TODAY()&gt;$J2484,"Atrasado","En ruta"),IF($K2484&lt;=$J2484,"Sí","No")))</f>
        <v/>
      </c>
      <c r="N2484" s="23">
        <f>IF($A2484="","",COUNTIFS(NOVEDADES!$C$4:$C$1503,$A2484))</f>
        <v/>
      </c>
      <c r="O2484" s="27">
        <f>IF($A2484="","",IF(COUNTIFS(NOVEDADES!$C$4:$C$1503,$A2484,NOVEDADES!$M$4:$M$1503,"SÍ")&gt;0,"No","Sí"))</f>
        <v/>
      </c>
      <c r="P2484" s="27">
        <f>IF(OR($A2484="",$K2484=""),"",IF(AND($M2484="Sí",$O2484="Sí"),"OTIF","Falló"))</f>
        <v/>
      </c>
    </row>
    <row r="2485" ht="16" customHeight="1">
      <c r="A2485" s="47" t="n"/>
      <c r="B2485" s="46" t="n"/>
      <c r="C2485" s="49" t="n"/>
      <c r="D2485" s="49" t="n"/>
      <c r="E2485" s="49" t="n"/>
      <c r="F2485" s="49" t="n"/>
      <c r="G2485" s="47" t="n"/>
      <c r="H2485" s="50" t="n"/>
      <c r="I2485" s="51" t="n"/>
      <c r="J2485" s="46" t="n"/>
      <c r="K2485" s="46" t="n"/>
      <c r="L2485" s="23">
        <f>IF(OR($A2485="",$B2485=""),"",IF($K2485&lt;&gt;"",$K2485-$B2485,TODAY()-$B2485))</f>
        <v/>
      </c>
      <c r="M2485" s="27">
        <f>IF(OR($A2485="",$J2485=""),"",IF($K2485="",IF(TODAY()&gt;$J2485,"Atrasado","En ruta"),IF($K2485&lt;=$J2485,"Sí","No")))</f>
        <v/>
      </c>
      <c r="N2485" s="23">
        <f>IF($A2485="","",COUNTIFS(NOVEDADES!$C$4:$C$1503,$A2485))</f>
        <v/>
      </c>
      <c r="O2485" s="27">
        <f>IF($A2485="","",IF(COUNTIFS(NOVEDADES!$C$4:$C$1503,$A2485,NOVEDADES!$M$4:$M$1503,"SÍ")&gt;0,"No","Sí"))</f>
        <v/>
      </c>
      <c r="P2485" s="27">
        <f>IF(OR($A2485="",$K2485=""),"",IF(AND($M2485="Sí",$O2485="Sí"),"OTIF","Falló"))</f>
        <v/>
      </c>
    </row>
    <row r="2486" ht="16" customHeight="1">
      <c r="A2486" s="47" t="n"/>
      <c r="B2486" s="46" t="n"/>
      <c r="C2486" s="49" t="n"/>
      <c r="D2486" s="49" t="n"/>
      <c r="E2486" s="49" t="n"/>
      <c r="F2486" s="49" t="n"/>
      <c r="G2486" s="47" t="n"/>
      <c r="H2486" s="50" t="n"/>
      <c r="I2486" s="51" t="n"/>
      <c r="J2486" s="46" t="n"/>
      <c r="K2486" s="46" t="n"/>
      <c r="L2486" s="23">
        <f>IF(OR($A2486="",$B2486=""),"",IF($K2486&lt;&gt;"",$K2486-$B2486,TODAY()-$B2486))</f>
        <v/>
      </c>
      <c r="M2486" s="27">
        <f>IF(OR($A2486="",$J2486=""),"",IF($K2486="",IF(TODAY()&gt;$J2486,"Atrasado","En ruta"),IF($K2486&lt;=$J2486,"Sí","No")))</f>
        <v/>
      </c>
      <c r="N2486" s="23">
        <f>IF($A2486="","",COUNTIFS(NOVEDADES!$C$4:$C$1503,$A2486))</f>
        <v/>
      </c>
      <c r="O2486" s="27">
        <f>IF($A2486="","",IF(COUNTIFS(NOVEDADES!$C$4:$C$1503,$A2486,NOVEDADES!$M$4:$M$1503,"SÍ")&gt;0,"No","Sí"))</f>
        <v/>
      </c>
      <c r="P2486" s="27">
        <f>IF(OR($A2486="",$K2486=""),"",IF(AND($M2486="Sí",$O2486="Sí"),"OTIF","Falló"))</f>
        <v/>
      </c>
    </row>
    <row r="2487" ht="16" customHeight="1">
      <c r="A2487" s="47" t="n"/>
      <c r="B2487" s="46" t="n"/>
      <c r="C2487" s="49" t="n"/>
      <c r="D2487" s="49" t="n"/>
      <c r="E2487" s="49" t="n"/>
      <c r="F2487" s="49" t="n"/>
      <c r="G2487" s="47" t="n"/>
      <c r="H2487" s="50" t="n"/>
      <c r="I2487" s="51" t="n"/>
      <c r="J2487" s="46" t="n"/>
      <c r="K2487" s="46" t="n"/>
      <c r="L2487" s="23">
        <f>IF(OR($A2487="",$B2487=""),"",IF($K2487&lt;&gt;"",$K2487-$B2487,TODAY()-$B2487))</f>
        <v/>
      </c>
      <c r="M2487" s="27">
        <f>IF(OR($A2487="",$J2487=""),"",IF($K2487="",IF(TODAY()&gt;$J2487,"Atrasado","En ruta"),IF($K2487&lt;=$J2487,"Sí","No")))</f>
        <v/>
      </c>
      <c r="N2487" s="23">
        <f>IF($A2487="","",COUNTIFS(NOVEDADES!$C$4:$C$1503,$A2487))</f>
        <v/>
      </c>
      <c r="O2487" s="27">
        <f>IF($A2487="","",IF(COUNTIFS(NOVEDADES!$C$4:$C$1503,$A2487,NOVEDADES!$M$4:$M$1503,"SÍ")&gt;0,"No","Sí"))</f>
        <v/>
      </c>
      <c r="P2487" s="27">
        <f>IF(OR($A2487="",$K2487=""),"",IF(AND($M2487="Sí",$O2487="Sí"),"OTIF","Falló"))</f>
        <v/>
      </c>
    </row>
    <row r="2488" ht="16" customHeight="1">
      <c r="A2488" s="47" t="n"/>
      <c r="B2488" s="46" t="n"/>
      <c r="C2488" s="49" t="n"/>
      <c r="D2488" s="49" t="n"/>
      <c r="E2488" s="49" t="n"/>
      <c r="F2488" s="49" t="n"/>
      <c r="G2488" s="47" t="n"/>
      <c r="H2488" s="50" t="n"/>
      <c r="I2488" s="51" t="n"/>
      <c r="J2488" s="46" t="n"/>
      <c r="K2488" s="46" t="n"/>
      <c r="L2488" s="23">
        <f>IF(OR($A2488="",$B2488=""),"",IF($K2488&lt;&gt;"",$K2488-$B2488,TODAY()-$B2488))</f>
        <v/>
      </c>
      <c r="M2488" s="27">
        <f>IF(OR($A2488="",$J2488=""),"",IF($K2488="",IF(TODAY()&gt;$J2488,"Atrasado","En ruta"),IF($K2488&lt;=$J2488,"Sí","No")))</f>
        <v/>
      </c>
      <c r="N2488" s="23">
        <f>IF($A2488="","",COUNTIFS(NOVEDADES!$C$4:$C$1503,$A2488))</f>
        <v/>
      </c>
      <c r="O2488" s="27">
        <f>IF($A2488="","",IF(COUNTIFS(NOVEDADES!$C$4:$C$1503,$A2488,NOVEDADES!$M$4:$M$1503,"SÍ")&gt;0,"No","Sí"))</f>
        <v/>
      </c>
      <c r="P2488" s="27">
        <f>IF(OR($A2488="",$K2488=""),"",IF(AND($M2488="Sí",$O2488="Sí"),"OTIF","Falló"))</f>
        <v/>
      </c>
    </row>
    <row r="2489" ht="16" customHeight="1">
      <c r="A2489" s="47" t="n"/>
      <c r="B2489" s="46" t="n"/>
      <c r="C2489" s="49" t="n"/>
      <c r="D2489" s="49" t="n"/>
      <c r="E2489" s="49" t="n"/>
      <c r="F2489" s="49" t="n"/>
      <c r="G2489" s="47" t="n"/>
      <c r="H2489" s="50" t="n"/>
      <c r="I2489" s="51" t="n"/>
      <c r="J2489" s="46" t="n"/>
      <c r="K2489" s="46" t="n"/>
      <c r="L2489" s="23">
        <f>IF(OR($A2489="",$B2489=""),"",IF($K2489&lt;&gt;"",$K2489-$B2489,TODAY()-$B2489))</f>
        <v/>
      </c>
      <c r="M2489" s="27">
        <f>IF(OR($A2489="",$J2489=""),"",IF($K2489="",IF(TODAY()&gt;$J2489,"Atrasado","En ruta"),IF($K2489&lt;=$J2489,"Sí","No")))</f>
        <v/>
      </c>
      <c r="N2489" s="23">
        <f>IF($A2489="","",COUNTIFS(NOVEDADES!$C$4:$C$1503,$A2489))</f>
        <v/>
      </c>
      <c r="O2489" s="27">
        <f>IF($A2489="","",IF(COUNTIFS(NOVEDADES!$C$4:$C$1503,$A2489,NOVEDADES!$M$4:$M$1503,"SÍ")&gt;0,"No","Sí"))</f>
        <v/>
      </c>
      <c r="P2489" s="27">
        <f>IF(OR($A2489="",$K2489=""),"",IF(AND($M2489="Sí",$O2489="Sí"),"OTIF","Falló"))</f>
        <v/>
      </c>
    </row>
    <row r="2490" ht="16" customHeight="1">
      <c r="A2490" s="47" t="n"/>
      <c r="B2490" s="46" t="n"/>
      <c r="C2490" s="49" t="n"/>
      <c r="D2490" s="49" t="n"/>
      <c r="E2490" s="49" t="n"/>
      <c r="F2490" s="49" t="n"/>
      <c r="G2490" s="47" t="n"/>
      <c r="H2490" s="50" t="n"/>
      <c r="I2490" s="51" t="n"/>
      <c r="J2490" s="46" t="n"/>
      <c r="K2490" s="46" t="n"/>
      <c r="L2490" s="23">
        <f>IF(OR($A2490="",$B2490=""),"",IF($K2490&lt;&gt;"",$K2490-$B2490,TODAY()-$B2490))</f>
        <v/>
      </c>
      <c r="M2490" s="27">
        <f>IF(OR($A2490="",$J2490=""),"",IF($K2490="",IF(TODAY()&gt;$J2490,"Atrasado","En ruta"),IF($K2490&lt;=$J2490,"Sí","No")))</f>
        <v/>
      </c>
      <c r="N2490" s="23">
        <f>IF($A2490="","",COUNTIFS(NOVEDADES!$C$4:$C$1503,$A2490))</f>
        <v/>
      </c>
      <c r="O2490" s="27">
        <f>IF($A2490="","",IF(COUNTIFS(NOVEDADES!$C$4:$C$1503,$A2490,NOVEDADES!$M$4:$M$1503,"SÍ")&gt;0,"No","Sí"))</f>
        <v/>
      </c>
      <c r="P2490" s="27">
        <f>IF(OR($A2490="",$K2490=""),"",IF(AND($M2490="Sí",$O2490="Sí"),"OTIF","Falló"))</f>
        <v/>
      </c>
    </row>
    <row r="2491" ht="16" customHeight="1">
      <c r="A2491" s="47" t="n"/>
      <c r="B2491" s="46" t="n"/>
      <c r="C2491" s="49" t="n"/>
      <c r="D2491" s="49" t="n"/>
      <c r="E2491" s="49" t="n"/>
      <c r="F2491" s="49" t="n"/>
      <c r="G2491" s="47" t="n"/>
      <c r="H2491" s="50" t="n"/>
      <c r="I2491" s="51" t="n"/>
      <c r="J2491" s="46" t="n"/>
      <c r="K2491" s="46" t="n"/>
      <c r="L2491" s="23">
        <f>IF(OR($A2491="",$B2491=""),"",IF($K2491&lt;&gt;"",$K2491-$B2491,TODAY()-$B2491))</f>
        <v/>
      </c>
      <c r="M2491" s="27">
        <f>IF(OR($A2491="",$J2491=""),"",IF($K2491="",IF(TODAY()&gt;$J2491,"Atrasado","En ruta"),IF($K2491&lt;=$J2491,"Sí","No")))</f>
        <v/>
      </c>
      <c r="N2491" s="23">
        <f>IF($A2491="","",COUNTIFS(NOVEDADES!$C$4:$C$1503,$A2491))</f>
        <v/>
      </c>
      <c r="O2491" s="27">
        <f>IF($A2491="","",IF(COUNTIFS(NOVEDADES!$C$4:$C$1503,$A2491,NOVEDADES!$M$4:$M$1503,"SÍ")&gt;0,"No","Sí"))</f>
        <v/>
      </c>
      <c r="P2491" s="27">
        <f>IF(OR($A2491="",$K2491=""),"",IF(AND($M2491="Sí",$O2491="Sí"),"OTIF","Falló"))</f>
        <v/>
      </c>
    </row>
    <row r="2492" ht="16" customHeight="1">
      <c r="A2492" s="47" t="n"/>
      <c r="B2492" s="46" t="n"/>
      <c r="C2492" s="49" t="n"/>
      <c r="D2492" s="49" t="n"/>
      <c r="E2492" s="49" t="n"/>
      <c r="F2492" s="49" t="n"/>
      <c r="G2492" s="47" t="n"/>
      <c r="H2492" s="50" t="n"/>
      <c r="I2492" s="51" t="n"/>
      <c r="J2492" s="46" t="n"/>
      <c r="K2492" s="46" t="n"/>
      <c r="L2492" s="23">
        <f>IF(OR($A2492="",$B2492=""),"",IF($K2492&lt;&gt;"",$K2492-$B2492,TODAY()-$B2492))</f>
        <v/>
      </c>
      <c r="M2492" s="27">
        <f>IF(OR($A2492="",$J2492=""),"",IF($K2492="",IF(TODAY()&gt;$J2492,"Atrasado","En ruta"),IF($K2492&lt;=$J2492,"Sí","No")))</f>
        <v/>
      </c>
      <c r="N2492" s="23">
        <f>IF($A2492="","",COUNTIFS(NOVEDADES!$C$4:$C$1503,$A2492))</f>
        <v/>
      </c>
      <c r="O2492" s="27">
        <f>IF($A2492="","",IF(COUNTIFS(NOVEDADES!$C$4:$C$1503,$A2492,NOVEDADES!$M$4:$M$1503,"SÍ")&gt;0,"No","Sí"))</f>
        <v/>
      </c>
      <c r="P2492" s="27">
        <f>IF(OR($A2492="",$K2492=""),"",IF(AND($M2492="Sí",$O2492="Sí"),"OTIF","Falló"))</f>
        <v/>
      </c>
    </row>
    <row r="2493" ht="16" customHeight="1">
      <c r="A2493" s="47" t="n"/>
      <c r="B2493" s="46" t="n"/>
      <c r="C2493" s="49" t="n"/>
      <c r="D2493" s="49" t="n"/>
      <c r="E2493" s="49" t="n"/>
      <c r="F2493" s="49" t="n"/>
      <c r="G2493" s="47" t="n"/>
      <c r="H2493" s="50" t="n"/>
      <c r="I2493" s="51" t="n"/>
      <c r="J2493" s="46" t="n"/>
      <c r="K2493" s="46" t="n"/>
      <c r="L2493" s="23">
        <f>IF(OR($A2493="",$B2493=""),"",IF($K2493&lt;&gt;"",$K2493-$B2493,TODAY()-$B2493))</f>
        <v/>
      </c>
      <c r="M2493" s="27">
        <f>IF(OR($A2493="",$J2493=""),"",IF($K2493="",IF(TODAY()&gt;$J2493,"Atrasado","En ruta"),IF($K2493&lt;=$J2493,"Sí","No")))</f>
        <v/>
      </c>
      <c r="N2493" s="23">
        <f>IF($A2493="","",COUNTIFS(NOVEDADES!$C$4:$C$1503,$A2493))</f>
        <v/>
      </c>
      <c r="O2493" s="27">
        <f>IF($A2493="","",IF(COUNTIFS(NOVEDADES!$C$4:$C$1503,$A2493,NOVEDADES!$M$4:$M$1503,"SÍ")&gt;0,"No","Sí"))</f>
        <v/>
      </c>
      <c r="P2493" s="27">
        <f>IF(OR($A2493="",$K2493=""),"",IF(AND($M2493="Sí",$O2493="Sí"),"OTIF","Falló"))</f>
        <v/>
      </c>
    </row>
    <row r="2494" ht="16" customHeight="1">
      <c r="A2494" s="47" t="n"/>
      <c r="B2494" s="46" t="n"/>
      <c r="C2494" s="49" t="n"/>
      <c r="D2494" s="49" t="n"/>
      <c r="E2494" s="49" t="n"/>
      <c r="F2494" s="49" t="n"/>
      <c r="G2494" s="47" t="n"/>
      <c r="H2494" s="50" t="n"/>
      <c r="I2494" s="51" t="n"/>
      <c r="J2494" s="46" t="n"/>
      <c r="K2494" s="46" t="n"/>
      <c r="L2494" s="23">
        <f>IF(OR($A2494="",$B2494=""),"",IF($K2494&lt;&gt;"",$K2494-$B2494,TODAY()-$B2494))</f>
        <v/>
      </c>
      <c r="M2494" s="27">
        <f>IF(OR($A2494="",$J2494=""),"",IF($K2494="",IF(TODAY()&gt;$J2494,"Atrasado","En ruta"),IF($K2494&lt;=$J2494,"Sí","No")))</f>
        <v/>
      </c>
      <c r="N2494" s="23">
        <f>IF($A2494="","",COUNTIFS(NOVEDADES!$C$4:$C$1503,$A2494))</f>
        <v/>
      </c>
      <c r="O2494" s="27">
        <f>IF($A2494="","",IF(COUNTIFS(NOVEDADES!$C$4:$C$1503,$A2494,NOVEDADES!$M$4:$M$1503,"SÍ")&gt;0,"No","Sí"))</f>
        <v/>
      </c>
      <c r="P2494" s="27">
        <f>IF(OR($A2494="",$K2494=""),"",IF(AND($M2494="Sí",$O2494="Sí"),"OTIF","Falló"))</f>
        <v/>
      </c>
    </row>
    <row r="2495" ht="16" customHeight="1">
      <c r="A2495" s="47" t="n"/>
      <c r="B2495" s="46" t="n"/>
      <c r="C2495" s="49" t="n"/>
      <c r="D2495" s="49" t="n"/>
      <c r="E2495" s="49" t="n"/>
      <c r="F2495" s="49" t="n"/>
      <c r="G2495" s="47" t="n"/>
      <c r="H2495" s="50" t="n"/>
      <c r="I2495" s="51" t="n"/>
      <c r="J2495" s="46" t="n"/>
      <c r="K2495" s="46" t="n"/>
      <c r="L2495" s="23">
        <f>IF(OR($A2495="",$B2495=""),"",IF($K2495&lt;&gt;"",$K2495-$B2495,TODAY()-$B2495))</f>
        <v/>
      </c>
      <c r="M2495" s="27">
        <f>IF(OR($A2495="",$J2495=""),"",IF($K2495="",IF(TODAY()&gt;$J2495,"Atrasado","En ruta"),IF($K2495&lt;=$J2495,"Sí","No")))</f>
        <v/>
      </c>
      <c r="N2495" s="23">
        <f>IF($A2495="","",COUNTIFS(NOVEDADES!$C$4:$C$1503,$A2495))</f>
        <v/>
      </c>
      <c r="O2495" s="27">
        <f>IF($A2495="","",IF(COUNTIFS(NOVEDADES!$C$4:$C$1503,$A2495,NOVEDADES!$M$4:$M$1503,"SÍ")&gt;0,"No","Sí"))</f>
        <v/>
      </c>
      <c r="P2495" s="27">
        <f>IF(OR($A2495="",$K2495=""),"",IF(AND($M2495="Sí",$O2495="Sí"),"OTIF","Falló"))</f>
        <v/>
      </c>
    </row>
    <row r="2496" ht="16" customHeight="1">
      <c r="A2496" s="47" t="n"/>
      <c r="B2496" s="46" t="n"/>
      <c r="C2496" s="49" t="n"/>
      <c r="D2496" s="49" t="n"/>
      <c r="E2496" s="49" t="n"/>
      <c r="F2496" s="49" t="n"/>
      <c r="G2496" s="47" t="n"/>
      <c r="H2496" s="50" t="n"/>
      <c r="I2496" s="51" t="n"/>
      <c r="J2496" s="46" t="n"/>
      <c r="K2496" s="46" t="n"/>
      <c r="L2496" s="23">
        <f>IF(OR($A2496="",$B2496=""),"",IF($K2496&lt;&gt;"",$K2496-$B2496,TODAY()-$B2496))</f>
        <v/>
      </c>
      <c r="M2496" s="27">
        <f>IF(OR($A2496="",$J2496=""),"",IF($K2496="",IF(TODAY()&gt;$J2496,"Atrasado","En ruta"),IF($K2496&lt;=$J2496,"Sí","No")))</f>
        <v/>
      </c>
      <c r="N2496" s="23">
        <f>IF($A2496="","",COUNTIFS(NOVEDADES!$C$4:$C$1503,$A2496))</f>
        <v/>
      </c>
      <c r="O2496" s="27">
        <f>IF($A2496="","",IF(COUNTIFS(NOVEDADES!$C$4:$C$1503,$A2496,NOVEDADES!$M$4:$M$1503,"SÍ")&gt;0,"No","Sí"))</f>
        <v/>
      </c>
      <c r="P2496" s="27">
        <f>IF(OR($A2496="",$K2496=""),"",IF(AND($M2496="Sí",$O2496="Sí"),"OTIF","Falló"))</f>
        <v/>
      </c>
    </row>
    <row r="2497" ht="16" customHeight="1">
      <c r="A2497" s="47" t="n"/>
      <c r="B2497" s="46" t="n"/>
      <c r="C2497" s="49" t="n"/>
      <c r="D2497" s="49" t="n"/>
      <c r="E2497" s="49" t="n"/>
      <c r="F2497" s="49" t="n"/>
      <c r="G2497" s="47" t="n"/>
      <c r="H2497" s="50" t="n"/>
      <c r="I2497" s="51" t="n"/>
      <c r="J2497" s="46" t="n"/>
      <c r="K2497" s="46" t="n"/>
      <c r="L2497" s="23">
        <f>IF(OR($A2497="",$B2497=""),"",IF($K2497&lt;&gt;"",$K2497-$B2497,TODAY()-$B2497))</f>
        <v/>
      </c>
      <c r="M2497" s="27">
        <f>IF(OR($A2497="",$J2497=""),"",IF($K2497="",IF(TODAY()&gt;$J2497,"Atrasado","En ruta"),IF($K2497&lt;=$J2497,"Sí","No")))</f>
        <v/>
      </c>
      <c r="N2497" s="23">
        <f>IF($A2497="","",COUNTIFS(NOVEDADES!$C$4:$C$1503,$A2497))</f>
        <v/>
      </c>
      <c r="O2497" s="27">
        <f>IF($A2497="","",IF(COUNTIFS(NOVEDADES!$C$4:$C$1503,$A2497,NOVEDADES!$M$4:$M$1503,"SÍ")&gt;0,"No","Sí"))</f>
        <v/>
      </c>
      <c r="P2497" s="27">
        <f>IF(OR($A2497="",$K2497=""),"",IF(AND($M2497="Sí",$O2497="Sí"),"OTIF","Falló"))</f>
        <v/>
      </c>
    </row>
    <row r="2498" ht="16" customHeight="1">
      <c r="A2498" s="47" t="n"/>
      <c r="B2498" s="46" t="n"/>
      <c r="C2498" s="49" t="n"/>
      <c r="D2498" s="49" t="n"/>
      <c r="E2498" s="49" t="n"/>
      <c r="F2498" s="49" t="n"/>
      <c r="G2498" s="47" t="n"/>
      <c r="H2498" s="50" t="n"/>
      <c r="I2498" s="51" t="n"/>
      <c r="J2498" s="46" t="n"/>
      <c r="K2498" s="46" t="n"/>
      <c r="L2498" s="23">
        <f>IF(OR($A2498="",$B2498=""),"",IF($K2498&lt;&gt;"",$K2498-$B2498,TODAY()-$B2498))</f>
        <v/>
      </c>
      <c r="M2498" s="27">
        <f>IF(OR($A2498="",$J2498=""),"",IF($K2498="",IF(TODAY()&gt;$J2498,"Atrasado","En ruta"),IF($K2498&lt;=$J2498,"Sí","No")))</f>
        <v/>
      </c>
      <c r="N2498" s="23">
        <f>IF($A2498="","",COUNTIFS(NOVEDADES!$C$4:$C$1503,$A2498))</f>
        <v/>
      </c>
      <c r="O2498" s="27">
        <f>IF($A2498="","",IF(COUNTIFS(NOVEDADES!$C$4:$C$1503,$A2498,NOVEDADES!$M$4:$M$1503,"SÍ")&gt;0,"No","Sí"))</f>
        <v/>
      </c>
      <c r="P2498" s="27">
        <f>IF(OR($A2498="",$K2498=""),"",IF(AND($M2498="Sí",$O2498="Sí"),"OTIF","Falló"))</f>
        <v/>
      </c>
    </row>
    <row r="2499" ht="16" customHeight="1">
      <c r="A2499" s="47" t="n"/>
      <c r="B2499" s="46" t="n"/>
      <c r="C2499" s="49" t="n"/>
      <c r="D2499" s="49" t="n"/>
      <c r="E2499" s="49" t="n"/>
      <c r="F2499" s="49" t="n"/>
      <c r="G2499" s="47" t="n"/>
      <c r="H2499" s="50" t="n"/>
      <c r="I2499" s="51" t="n"/>
      <c r="J2499" s="46" t="n"/>
      <c r="K2499" s="46" t="n"/>
      <c r="L2499" s="23">
        <f>IF(OR($A2499="",$B2499=""),"",IF($K2499&lt;&gt;"",$K2499-$B2499,TODAY()-$B2499))</f>
        <v/>
      </c>
      <c r="M2499" s="27">
        <f>IF(OR($A2499="",$J2499=""),"",IF($K2499="",IF(TODAY()&gt;$J2499,"Atrasado","En ruta"),IF($K2499&lt;=$J2499,"Sí","No")))</f>
        <v/>
      </c>
      <c r="N2499" s="23">
        <f>IF($A2499="","",COUNTIFS(NOVEDADES!$C$4:$C$1503,$A2499))</f>
        <v/>
      </c>
      <c r="O2499" s="27">
        <f>IF($A2499="","",IF(COUNTIFS(NOVEDADES!$C$4:$C$1503,$A2499,NOVEDADES!$M$4:$M$1503,"SÍ")&gt;0,"No","Sí"))</f>
        <v/>
      </c>
      <c r="P2499" s="27">
        <f>IF(OR($A2499="",$K2499=""),"",IF(AND($M2499="Sí",$O2499="Sí"),"OTIF","Falló"))</f>
        <v/>
      </c>
    </row>
    <row r="2500" ht="16" customHeight="1">
      <c r="A2500" s="47" t="n"/>
      <c r="B2500" s="46" t="n"/>
      <c r="C2500" s="49" t="n"/>
      <c r="D2500" s="49" t="n"/>
      <c r="E2500" s="49" t="n"/>
      <c r="F2500" s="49" t="n"/>
      <c r="G2500" s="47" t="n"/>
      <c r="H2500" s="50" t="n"/>
      <c r="I2500" s="51" t="n"/>
      <c r="J2500" s="46" t="n"/>
      <c r="K2500" s="46" t="n"/>
      <c r="L2500" s="23">
        <f>IF(OR($A2500="",$B2500=""),"",IF($K2500&lt;&gt;"",$K2500-$B2500,TODAY()-$B2500))</f>
        <v/>
      </c>
      <c r="M2500" s="27">
        <f>IF(OR($A2500="",$J2500=""),"",IF($K2500="",IF(TODAY()&gt;$J2500,"Atrasado","En ruta"),IF($K2500&lt;=$J2500,"Sí","No")))</f>
        <v/>
      </c>
      <c r="N2500" s="23">
        <f>IF($A2500="","",COUNTIFS(NOVEDADES!$C$4:$C$1503,$A2500))</f>
        <v/>
      </c>
      <c r="O2500" s="27">
        <f>IF($A2500="","",IF(COUNTIFS(NOVEDADES!$C$4:$C$1503,$A2500,NOVEDADES!$M$4:$M$1503,"SÍ")&gt;0,"No","Sí"))</f>
        <v/>
      </c>
      <c r="P2500" s="27">
        <f>IF(OR($A2500="",$K2500=""),"",IF(AND($M2500="Sí",$O2500="Sí"),"OTIF","Falló"))</f>
        <v/>
      </c>
    </row>
    <row r="2501" ht="16" customHeight="1">
      <c r="A2501" s="47" t="n"/>
      <c r="B2501" s="46" t="n"/>
      <c r="C2501" s="49" t="n"/>
      <c r="D2501" s="49" t="n"/>
      <c r="E2501" s="49" t="n"/>
      <c r="F2501" s="49" t="n"/>
      <c r="G2501" s="47" t="n"/>
      <c r="H2501" s="50" t="n"/>
      <c r="I2501" s="51" t="n"/>
      <c r="J2501" s="46" t="n"/>
      <c r="K2501" s="46" t="n"/>
      <c r="L2501" s="23">
        <f>IF(OR($A2501="",$B2501=""),"",IF($K2501&lt;&gt;"",$K2501-$B2501,TODAY()-$B2501))</f>
        <v/>
      </c>
      <c r="M2501" s="27">
        <f>IF(OR($A2501="",$J2501=""),"",IF($K2501="",IF(TODAY()&gt;$J2501,"Atrasado","En ruta"),IF($K2501&lt;=$J2501,"Sí","No")))</f>
        <v/>
      </c>
      <c r="N2501" s="23">
        <f>IF($A2501="","",COUNTIFS(NOVEDADES!$C$4:$C$1503,$A2501))</f>
        <v/>
      </c>
      <c r="O2501" s="27">
        <f>IF($A2501="","",IF(COUNTIFS(NOVEDADES!$C$4:$C$1503,$A2501,NOVEDADES!$M$4:$M$1503,"SÍ")&gt;0,"No","Sí"))</f>
        <v/>
      </c>
      <c r="P2501" s="27">
        <f>IF(OR($A2501="",$K2501=""),"",IF(AND($M2501="Sí",$O2501="Sí"),"OTIF","Falló"))</f>
        <v/>
      </c>
    </row>
    <row r="2502" ht="16" customHeight="1">
      <c r="A2502" s="47" t="n"/>
      <c r="B2502" s="46" t="n"/>
      <c r="C2502" s="49" t="n"/>
      <c r="D2502" s="49" t="n"/>
      <c r="E2502" s="49" t="n"/>
      <c r="F2502" s="49" t="n"/>
      <c r="G2502" s="47" t="n"/>
      <c r="H2502" s="50" t="n"/>
      <c r="I2502" s="51" t="n"/>
      <c r="J2502" s="46" t="n"/>
      <c r="K2502" s="46" t="n"/>
      <c r="L2502" s="23">
        <f>IF(OR($A2502="",$B2502=""),"",IF($K2502&lt;&gt;"",$K2502-$B2502,TODAY()-$B2502))</f>
        <v/>
      </c>
      <c r="M2502" s="27">
        <f>IF(OR($A2502="",$J2502=""),"",IF($K2502="",IF(TODAY()&gt;$J2502,"Atrasado","En ruta"),IF($K2502&lt;=$J2502,"Sí","No")))</f>
        <v/>
      </c>
      <c r="N2502" s="23">
        <f>IF($A2502="","",COUNTIFS(NOVEDADES!$C$4:$C$1503,$A2502))</f>
        <v/>
      </c>
      <c r="O2502" s="27">
        <f>IF($A2502="","",IF(COUNTIFS(NOVEDADES!$C$4:$C$1503,$A2502,NOVEDADES!$M$4:$M$1503,"SÍ")&gt;0,"No","Sí"))</f>
        <v/>
      </c>
      <c r="P2502" s="27">
        <f>IF(OR($A2502="",$K2502=""),"",IF(AND($M2502="Sí",$O2502="Sí"),"OTIF","Falló"))</f>
        <v/>
      </c>
    </row>
    <row r="2503" ht="16" customHeight="1">
      <c r="A2503" s="47" t="n"/>
      <c r="B2503" s="46" t="n"/>
      <c r="C2503" s="49" t="n"/>
      <c r="D2503" s="49" t="n"/>
      <c r="E2503" s="49" t="n"/>
      <c r="F2503" s="49" t="n"/>
      <c r="G2503" s="47" t="n"/>
      <c r="H2503" s="50" t="n"/>
      <c r="I2503" s="51" t="n"/>
      <c r="J2503" s="46" t="n"/>
      <c r="K2503" s="46" t="n"/>
      <c r="L2503" s="23">
        <f>IF(OR($A2503="",$B2503=""),"",IF($K2503&lt;&gt;"",$K2503-$B2503,TODAY()-$B2503))</f>
        <v/>
      </c>
      <c r="M2503" s="27">
        <f>IF(OR($A2503="",$J2503=""),"",IF($K2503="",IF(TODAY()&gt;$J2503,"Atrasado","En ruta"),IF($K2503&lt;=$J2503,"Sí","No")))</f>
        <v/>
      </c>
      <c r="N2503" s="23">
        <f>IF($A2503="","",COUNTIFS(NOVEDADES!$C$4:$C$1503,$A2503))</f>
        <v/>
      </c>
      <c r="O2503" s="27">
        <f>IF($A2503="","",IF(COUNTIFS(NOVEDADES!$C$4:$C$1503,$A2503,NOVEDADES!$M$4:$M$1503,"SÍ")&gt;0,"No","Sí"))</f>
        <v/>
      </c>
      <c r="P2503" s="27">
        <f>IF(OR($A2503="",$K2503=""),"",IF(AND($M2503="Sí",$O2503="Sí"),"OTIF","Falló"))</f>
        <v/>
      </c>
    </row>
    <row r="2504" ht="16" customHeight="1">
      <c r="A2504" s="47" t="n"/>
      <c r="B2504" s="46" t="n"/>
      <c r="C2504" s="49" t="n"/>
      <c r="D2504" s="49" t="n"/>
      <c r="E2504" s="49" t="n"/>
      <c r="F2504" s="49" t="n"/>
      <c r="G2504" s="47" t="n"/>
      <c r="H2504" s="50" t="n"/>
      <c r="I2504" s="51" t="n"/>
      <c r="J2504" s="46" t="n"/>
      <c r="K2504" s="46" t="n"/>
      <c r="L2504" s="23">
        <f>IF(OR($A2504="",$B2504=""),"",IF($K2504&lt;&gt;"",$K2504-$B2504,TODAY()-$B2504))</f>
        <v/>
      </c>
      <c r="M2504" s="27">
        <f>IF(OR($A2504="",$J2504=""),"",IF($K2504="",IF(TODAY()&gt;$J2504,"Atrasado","En ruta"),IF($K2504&lt;=$J2504,"Sí","No")))</f>
        <v/>
      </c>
      <c r="N2504" s="23">
        <f>IF($A2504="","",COUNTIFS(NOVEDADES!$C$4:$C$1503,$A2504))</f>
        <v/>
      </c>
      <c r="O2504" s="27">
        <f>IF($A2504="","",IF(COUNTIFS(NOVEDADES!$C$4:$C$1503,$A2504,NOVEDADES!$M$4:$M$1503,"SÍ")&gt;0,"No","Sí"))</f>
        <v/>
      </c>
      <c r="P2504" s="27">
        <f>IF(OR($A2504="",$K2504=""),"",IF(AND($M2504="Sí",$O2504="Sí"),"OTIF","Falló"))</f>
        <v/>
      </c>
    </row>
    <row r="2505" ht="16" customHeight="1">
      <c r="A2505" s="47" t="n"/>
      <c r="B2505" s="46" t="n"/>
      <c r="C2505" s="49" t="n"/>
      <c r="D2505" s="49" t="n"/>
      <c r="E2505" s="49" t="n"/>
      <c r="F2505" s="49" t="n"/>
      <c r="G2505" s="47" t="n"/>
      <c r="H2505" s="50" t="n"/>
      <c r="I2505" s="51" t="n"/>
      <c r="J2505" s="46" t="n"/>
      <c r="K2505" s="46" t="n"/>
      <c r="L2505" s="23">
        <f>IF(OR($A2505="",$B2505=""),"",IF($K2505&lt;&gt;"",$K2505-$B2505,TODAY()-$B2505))</f>
        <v/>
      </c>
      <c r="M2505" s="27">
        <f>IF(OR($A2505="",$J2505=""),"",IF($K2505="",IF(TODAY()&gt;$J2505,"Atrasado","En ruta"),IF($K2505&lt;=$J2505,"Sí","No")))</f>
        <v/>
      </c>
      <c r="N2505" s="23">
        <f>IF($A2505="","",COUNTIFS(NOVEDADES!$C$4:$C$1503,$A2505))</f>
        <v/>
      </c>
      <c r="O2505" s="27">
        <f>IF($A2505="","",IF(COUNTIFS(NOVEDADES!$C$4:$C$1503,$A2505,NOVEDADES!$M$4:$M$1503,"SÍ")&gt;0,"No","Sí"))</f>
        <v/>
      </c>
      <c r="P2505" s="27">
        <f>IF(OR($A2505="",$K2505=""),"",IF(AND($M2505="Sí",$O2505="Sí"),"OTIF","Falló"))</f>
        <v/>
      </c>
    </row>
    <row r="2506" ht="16" customHeight="1">
      <c r="A2506" s="47" t="n"/>
      <c r="B2506" s="46" t="n"/>
      <c r="C2506" s="49" t="n"/>
      <c r="D2506" s="49" t="n"/>
      <c r="E2506" s="49" t="n"/>
      <c r="F2506" s="49" t="n"/>
      <c r="G2506" s="47" t="n"/>
      <c r="H2506" s="50" t="n"/>
      <c r="I2506" s="51" t="n"/>
      <c r="J2506" s="46" t="n"/>
      <c r="K2506" s="46" t="n"/>
      <c r="L2506" s="23">
        <f>IF(OR($A2506="",$B2506=""),"",IF($K2506&lt;&gt;"",$K2506-$B2506,TODAY()-$B2506))</f>
        <v/>
      </c>
      <c r="M2506" s="27">
        <f>IF(OR($A2506="",$J2506=""),"",IF($K2506="",IF(TODAY()&gt;$J2506,"Atrasado","En ruta"),IF($K2506&lt;=$J2506,"Sí","No")))</f>
        <v/>
      </c>
      <c r="N2506" s="23">
        <f>IF($A2506="","",COUNTIFS(NOVEDADES!$C$4:$C$1503,$A2506))</f>
        <v/>
      </c>
      <c r="O2506" s="27">
        <f>IF($A2506="","",IF(COUNTIFS(NOVEDADES!$C$4:$C$1503,$A2506,NOVEDADES!$M$4:$M$1503,"SÍ")&gt;0,"No","Sí"))</f>
        <v/>
      </c>
      <c r="P2506" s="27">
        <f>IF(OR($A2506="",$K2506=""),"",IF(AND($M2506="Sí",$O2506="Sí"),"OTIF","Falló"))</f>
        <v/>
      </c>
    </row>
    <row r="2507" ht="16" customHeight="1">
      <c r="A2507" s="47" t="n"/>
      <c r="B2507" s="46" t="n"/>
      <c r="C2507" s="49" t="n"/>
      <c r="D2507" s="49" t="n"/>
      <c r="E2507" s="49" t="n"/>
      <c r="F2507" s="49" t="n"/>
      <c r="G2507" s="47" t="n"/>
      <c r="H2507" s="50" t="n"/>
      <c r="I2507" s="51" t="n"/>
      <c r="J2507" s="46" t="n"/>
      <c r="K2507" s="46" t="n"/>
      <c r="L2507" s="23">
        <f>IF(OR($A2507="",$B2507=""),"",IF($K2507&lt;&gt;"",$K2507-$B2507,TODAY()-$B2507))</f>
        <v/>
      </c>
      <c r="M2507" s="27">
        <f>IF(OR($A2507="",$J2507=""),"",IF($K2507="",IF(TODAY()&gt;$J2507,"Atrasado","En ruta"),IF($K2507&lt;=$J2507,"Sí","No")))</f>
        <v/>
      </c>
      <c r="N2507" s="23">
        <f>IF($A2507="","",COUNTIFS(NOVEDADES!$C$4:$C$1503,$A2507))</f>
        <v/>
      </c>
      <c r="O2507" s="27">
        <f>IF($A2507="","",IF(COUNTIFS(NOVEDADES!$C$4:$C$1503,$A2507,NOVEDADES!$M$4:$M$1503,"SÍ")&gt;0,"No","Sí"))</f>
        <v/>
      </c>
      <c r="P2507" s="27">
        <f>IF(OR($A2507="",$K2507=""),"",IF(AND($M2507="Sí",$O2507="Sí"),"OTIF","Falló"))</f>
        <v/>
      </c>
    </row>
    <row r="2508" ht="16" customHeight="1">
      <c r="A2508" s="47" t="n"/>
      <c r="B2508" s="46" t="n"/>
      <c r="C2508" s="49" t="n"/>
      <c r="D2508" s="49" t="n"/>
      <c r="E2508" s="49" t="n"/>
      <c r="F2508" s="49" t="n"/>
      <c r="G2508" s="47" t="n"/>
      <c r="H2508" s="50" t="n"/>
      <c r="I2508" s="51" t="n"/>
      <c r="J2508" s="46" t="n"/>
      <c r="K2508" s="46" t="n"/>
      <c r="L2508" s="23">
        <f>IF(OR($A2508="",$B2508=""),"",IF($K2508&lt;&gt;"",$K2508-$B2508,TODAY()-$B2508))</f>
        <v/>
      </c>
      <c r="M2508" s="27">
        <f>IF(OR($A2508="",$J2508=""),"",IF($K2508="",IF(TODAY()&gt;$J2508,"Atrasado","En ruta"),IF($K2508&lt;=$J2508,"Sí","No")))</f>
        <v/>
      </c>
      <c r="N2508" s="23">
        <f>IF($A2508="","",COUNTIFS(NOVEDADES!$C$4:$C$1503,$A2508))</f>
        <v/>
      </c>
      <c r="O2508" s="27">
        <f>IF($A2508="","",IF(COUNTIFS(NOVEDADES!$C$4:$C$1503,$A2508,NOVEDADES!$M$4:$M$1503,"SÍ")&gt;0,"No","Sí"))</f>
        <v/>
      </c>
      <c r="P2508" s="27">
        <f>IF(OR($A2508="",$K2508=""),"",IF(AND($M2508="Sí",$O2508="Sí"),"OTIF","Falló"))</f>
        <v/>
      </c>
    </row>
    <row r="2509" ht="16" customHeight="1">
      <c r="A2509" s="47" t="n"/>
      <c r="B2509" s="46" t="n"/>
      <c r="C2509" s="49" t="n"/>
      <c r="D2509" s="49" t="n"/>
      <c r="E2509" s="49" t="n"/>
      <c r="F2509" s="49" t="n"/>
      <c r="G2509" s="47" t="n"/>
      <c r="H2509" s="50" t="n"/>
      <c r="I2509" s="51" t="n"/>
      <c r="J2509" s="46" t="n"/>
      <c r="K2509" s="46" t="n"/>
      <c r="L2509" s="23">
        <f>IF(OR($A2509="",$B2509=""),"",IF($K2509&lt;&gt;"",$K2509-$B2509,TODAY()-$B2509))</f>
        <v/>
      </c>
      <c r="M2509" s="27">
        <f>IF(OR($A2509="",$J2509=""),"",IF($K2509="",IF(TODAY()&gt;$J2509,"Atrasado","En ruta"),IF($K2509&lt;=$J2509,"Sí","No")))</f>
        <v/>
      </c>
      <c r="N2509" s="23">
        <f>IF($A2509="","",COUNTIFS(NOVEDADES!$C$4:$C$1503,$A2509))</f>
        <v/>
      </c>
      <c r="O2509" s="27">
        <f>IF($A2509="","",IF(COUNTIFS(NOVEDADES!$C$4:$C$1503,$A2509,NOVEDADES!$M$4:$M$1503,"SÍ")&gt;0,"No","Sí"))</f>
        <v/>
      </c>
      <c r="P2509" s="27">
        <f>IF(OR($A2509="",$K2509=""),"",IF(AND($M2509="Sí",$O2509="Sí"),"OTIF","Falló"))</f>
        <v/>
      </c>
    </row>
    <row r="2510" ht="16" customHeight="1">
      <c r="A2510" s="47" t="n"/>
      <c r="B2510" s="46" t="n"/>
      <c r="C2510" s="49" t="n"/>
      <c r="D2510" s="49" t="n"/>
      <c r="E2510" s="49" t="n"/>
      <c r="F2510" s="49" t="n"/>
      <c r="G2510" s="47" t="n"/>
      <c r="H2510" s="50" t="n"/>
      <c r="I2510" s="51" t="n"/>
      <c r="J2510" s="46" t="n"/>
      <c r="K2510" s="46" t="n"/>
      <c r="L2510" s="23">
        <f>IF(OR($A2510="",$B2510=""),"",IF($K2510&lt;&gt;"",$K2510-$B2510,TODAY()-$B2510))</f>
        <v/>
      </c>
      <c r="M2510" s="27">
        <f>IF(OR($A2510="",$J2510=""),"",IF($K2510="",IF(TODAY()&gt;$J2510,"Atrasado","En ruta"),IF($K2510&lt;=$J2510,"Sí","No")))</f>
        <v/>
      </c>
      <c r="N2510" s="23">
        <f>IF($A2510="","",COUNTIFS(NOVEDADES!$C$4:$C$1503,$A2510))</f>
        <v/>
      </c>
      <c r="O2510" s="27">
        <f>IF($A2510="","",IF(COUNTIFS(NOVEDADES!$C$4:$C$1503,$A2510,NOVEDADES!$M$4:$M$1503,"SÍ")&gt;0,"No","Sí"))</f>
        <v/>
      </c>
      <c r="P2510" s="27">
        <f>IF(OR($A2510="",$K2510=""),"",IF(AND($M2510="Sí",$O2510="Sí"),"OTIF","Falló"))</f>
        <v/>
      </c>
    </row>
    <row r="2511" ht="16" customHeight="1">
      <c r="A2511" s="47" t="n"/>
      <c r="B2511" s="46" t="n"/>
      <c r="C2511" s="49" t="n"/>
      <c r="D2511" s="49" t="n"/>
      <c r="E2511" s="49" t="n"/>
      <c r="F2511" s="49" t="n"/>
      <c r="G2511" s="47" t="n"/>
      <c r="H2511" s="50" t="n"/>
      <c r="I2511" s="51" t="n"/>
      <c r="J2511" s="46" t="n"/>
      <c r="K2511" s="46" t="n"/>
      <c r="L2511" s="23">
        <f>IF(OR($A2511="",$B2511=""),"",IF($K2511&lt;&gt;"",$K2511-$B2511,TODAY()-$B2511))</f>
        <v/>
      </c>
      <c r="M2511" s="27">
        <f>IF(OR($A2511="",$J2511=""),"",IF($K2511="",IF(TODAY()&gt;$J2511,"Atrasado","En ruta"),IF($K2511&lt;=$J2511,"Sí","No")))</f>
        <v/>
      </c>
      <c r="N2511" s="23">
        <f>IF($A2511="","",COUNTIFS(NOVEDADES!$C$4:$C$1503,$A2511))</f>
        <v/>
      </c>
      <c r="O2511" s="27">
        <f>IF($A2511="","",IF(COUNTIFS(NOVEDADES!$C$4:$C$1503,$A2511,NOVEDADES!$M$4:$M$1503,"SÍ")&gt;0,"No","Sí"))</f>
        <v/>
      </c>
      <c r="P2511" s="27">
        <f>IF(OR($A2511="",$K2511=""),"",IF(AND($M2511="Sí",$O2511="Sí"),"OTIF","Falló"))</f>
        <v/>
      </c>
    </row>
    <row r="2512" ht="16" customHeight="1">
      <c r="A2512" s="47" t="n"/>
      <c r="B2512" s="46" t="n"/>
      <c r="C2512" s="49" t="n"/>
      <c r="D2512" s="49" t="n"/>
      <c r="E2512" s="49" t="n"/>
      <c r="F2512" s="49" t="n"/>
      <c r="G2512" s="47" t="n"/>
      <c r="H2512" s="50" t="n"/>
      <c r="I2512" s="51" t="n"/>
      <c r="J2512" s="46" t="n"/>
      <c r="K2512" s="46" t="n"/>
      <c r="L2512" s="23">
        <f>IF(OR($A2512="",$B2512=""),"",IF($K2512&lt;&gt;"",$K2512-$B2512,TODAY()-$B2512))</f>
        <v/>
      </c>
      <c r="M2512" s="27">
        <f>IF(OR($A2512="",$J2512=""),"",IF($K2512="",IF(TODAY()&gt;$J2512,"Atrasado","En ruta"),IF($K2512&lt;=$J2512,"Sí","No")))</f>
        <v/>
      </c>
      <c r="N2512" s="23">
        <f>IF($A2512="","",COUNTIFS(NOVEDADES!$C$4:$C$1503,$A2512))</f>
        <v/>
      </c>
      <c r="O2512" s="27">
        <f>IF($A2512="","",IF(COUNTIFS(NOVEDADES!$C$4:$C$1503,$A2512,NOVEDADES!$M$4:$M$1503,"SÍ")&gt;0,"No","Sí"))</f>
        <v/>
      </c>
      <c r="P2512" s="27">
        <f>IF(OR($A2512="",$K2512=""),"",IF(AND($M2512="Sí",$O2512="Sí"),"OTIF","Falló"))</f>
        <v/>
      </c>
    </row>
    <row r="2513" ht="16" customHeight="1">
      <c r="A2513" s="47" t="n"/>
      <c r="B2513" s="46" t="n"/>
      <c r="C2513" s="49" t="n"/>
      <c r="D2513" s="49" t="n"/>
      <c r="E2513" s="49" t="n"/>
      <c r="F2513" s="49" t="n"/>
      <c r="G2513" s="47" t="n"/>
      <c r="H2513" s="50" t="n"/>
      <c r="I2513" s="51" t="n"/>
      <c r="J2513" s="46" t="n"/>
      <c r="K2513" s="46" t="n"/>
      <c r="L2513" s="23">
        <f>IF(OR($A2513="",$B2513=""),"",IF($K2513&lt;&gt;"",$K2513-$B2513,TODAY()-$B2513))</f>
        <v/>
      </c>
      <c r="M2513" s="27">
        <f>IF(OR($A2513="",$J2513=""),"",IF($K2513="",IF(TODAY()&gt;$J2513,"Atrasado","En ruta"),IF($K2513&lt;=$J2513,"Sí","No")))</f>
        <v/>
      </c>
      <c r="N2513" s="23">
        <f>IF($A2513="","",COUNTIFS(NOVEDADES!$C$4:$C$1503,$A2513))</f>
        <v/>
      </c>
      <c r="O2513" s="27">
        <f>IF($A2513="","",IF(COUNTIFS(NOVEDADES!$C$4:$C$1503,$A2513,NOVEDADES!$M$4:$M$1503,"SÍ")&gt;0,"No","Sí"))</f>
        <v/>
      </c>
      <c r="P2513" s="27">
        <f>IF(OR($A2513="",$K2513=""),"",IF(AND($M2513="Sí",$O2513="Sí"),"OTIF","Falló"))</f>
        <v/>
      </c>
    </row>
    <row r="2514" ht="16" customHeight="1">
      <c r="A2514" s="47" t="n"/>
      <c r="B2514" s="46" t="n"/>
      <c r="C2514" s="49" t="n"/>
      <c r="D2514" s="49" t="n"/>
      <c r="E2514" s="49" t="n"/>
      <c r="F2514" s="49" t="n"/>
      <c r="G2514" s="47" t="n"/>
      <c r="H2514" s="50" t="n"/>
      <c r="I2514" s="51" t="n"/>
      <c r="J2514" s="46" t="n"/>
      <c r="K2514" s="46" t="n"/>
      <c r="L2514" s="23">
        <f>IF(OR($A2514="",$B2514=""),"",IF($K2514&lt;&gt;"",$K2514-$B2514,TODAY()-$B2514))</f>
        <v/>
      </c>
      <c r="M2514" s="27">
        <f>IF(OR($A2514="",$J2514=""),"",IF($K2514="",IF(TODAY()&gt;$J2514,"Atrasado","En ruta"),IF($K2514&lt;=$J2514,"Sí","No")))</f>
        <v/>
      </c>
      <c r="N2514" s="23">
        <f>IF($A2514="","",COUNTIFS(NOVEDADES!$C$4:$C$1503,$A2514))</f>
        <v/>
      </c>
      <c r="O2514" s="27">
        <f>IF($A2514="","",IF(COUNTIFS(NOVEDADES!$C$4:$C$1503,$A2514,NOVEDADES!$M$4:$M$1503,"SÍ")&gt;0,"No","Sí"))</f>
        <v/>
      </c>
      <c r="P2514" s="27">
        <f>IF(OR($A2514="",$K2514=""),"",IF(AND($M2514="Sí",$O2514="Sí"),"OTIF","Falló"))</f>
        <v/>
      </c>
    </row>
    <row r="2515" ht="16" customHeight="1">
      <c r="A2515" s="47" t="n"/>
      <c r="B2515" s="46" t="n"/>
      <c r="C2515" s="49" t="n"/>
      <c r="D2515" s="49" t="n"/>
      <c r="E2515" s="49" t="n"/>
      <c r="F2515" s="49" t="n"/>
      <c r="G2515" s="47" t="n"/>
      <c r="H2515" s="50" t="n"/>
      <c r="I2515" s="51" t="n"/>
      <c r="J2515" s="46" t="n"/>
      <c r="K2515" s="46" t="n"/>
      <c r="L2515" s="23">
        <f>IF(OR($A2515="",$B2515=""),"",IF($K2515&lt;&gt;"",$K2515-$B2515,TODAY()-$B2515))</f>
        <v/>
      </c>
      <c r="M2515" s="27">
        <f>IF(OR($A2515="",$J2515=""),"",IF($K2515="",IF(TODAY()&gt;$J2515,"Atrasado","En ruta"),IF($K2515&lt;=$J2515,"Sí","No")))</f>
        <v/>
      </c>
      <c r="N2515" s="23">
        <f>IF($A2515="","",COUNTIFS(NOVEDADES!$C$4:$C$1503,$A2515))</f>
        <v/>
      </c>
      <c r="O2515" s="27">
        <f>IF($A2515="","",IF(COUNTIFS(NOVEDADES!$C$4:$C$1503,$A2515,NOVEDADES!$M$4:$M$1503,"SÍ")&gt;0,"No","Sí"))</f>
        <v/>
      </c>
      <c r="P2515" s="27">
        <f>IF(OR($A2515="",$K2515=""),"",IF(AND($M2515="Sí",$O2515="Sí"),"OTIF","Falló"))</f>
        <v/>
      </c>
    </row>
    <row r="2516" ht="16" customHeight="1">
      <c r="A2516" s="47" t="n"/>
      <c r="B2516" s="46" t="n"/>
      <c r="C2516" s="49" t="n"/>
      <c r="D2516" s="49" t="n"/>
      <c r="E2516" s="49" t="n"/>
      <c r="F2516" s="49" t="n"/>
      <c r="G2516" s="47" t="n"/>
      <c r="H2516" s="50" t="n"/>
      <c r="I2516" s="51" t="n"/>
      <c r="J2516" s="46" t="n"/>
      <c r="K2516" s="46" t="n"/>
      <c r="L2516" s="23">
        <f>IF(OR($A2516="",$B2516=""),"",IF($K2516&lt;&gt;"",$K2516-$B2516,TODAY()-$B2516))</f>
        <v/>
      </c>
      <c r="M2516" s="27">
        <f>IF(OR($A2516="",$J2516=""),"",IF($K2516="",IF(TODAY()&gt;$J2516,"Atrasado","En ruta"),IF($K2516&lt;=$J2516,"Sí","No")))</f>
        <v/>
      </c>
      <c r="N2516" s="23">
        <f>IF($A2516="","",COUNTIFS(NOVEDADES!$C$4:$C$1503,$A2516))</f>
        <v/>
      </c>
      <c r="O2516" s="27">
        <f>IF($A2516="","",IF(COUNTIFS(NOVEDADES!$C$4:$C$1503,$A2516,NOVEDADES!$M$4:$M$1503,"SÍ")&gt;0,"No","Sí"))</f>
        <v/>
      </c>
      <c r="P2516" s="27">
        <f>IF(OR($A2516="",$K2516=""),"",IF(AND($M2516="Sí",$O2516="Sí"),"OTIF","Falló"))</f>
        <v/>
      </c>
    </row>
    <row r="2517" ht="16" customHeight="1">
      <c r="A2517" s="47" t="n"/>
      <c r="B2517" s="46" t="n"/>
      <c r="C2517" s="49" t="n"/>
      <c r="D2517" s="49" t="n"/>
      <c r="E2517" s="49" t="n"/>
      <c r="F2517" s="49" t="n"/>
      <c r="G2517" s="47" t="n"/>
      <c r="H2517" s="50" t="n"/>
      <c r="I2517" s="51" t="n"/>
      <c r="J2517" s="46" t="n"/>
      <c r="K2517" s="46" t="n"/>
      <c r="L2517" s="23">
        <f>IF(OR($A2517="",$B2517=""),"",IF($K2517&lt;&gt;"",$K2517-$B2517,TODAY()-$B2517))</f>
        <v/>
      </c>
      <c r="M2517" s="27">
        <f>IF(OR($A2517="",$J2517=""),"",IF($K2517="",IF(TODAY()&gt;$J2517,"Atrasado","En ruta"),IF($K2517&lt;=$J2517,"Sí","No")))</f>
        <v/>
      </c>
      <c r="N2517" s="23">
        <f>IF($A2517="","",COUNTIFS(NOVEDADES!$C$4:$C$1503,$A2517))</f>
        <v/>
      </c>
      <c r="O2517" s="27">
        <f>IF($A2517="","",IF(COUNTIFS(NOVEDADES!$C$4:$C$1503,$A2517,NOVEDADES!$M$4:$M$1503,"SÍ")&gt;0,"No","Sí"))</f>
        <v/>
      </c>
      <c r="P2517" s="27">
        <f>IF(OR($A2517="",$K2517=""),"",IF(AND($M2517="Sí",$O2517="Sí"),"OTIF","Falló"))</f>
        <v/>
      </c>
    </row>
    <row r="2518" ht="16" customHeight="1">
      <c r="A2518" s="47" t="n"/>
      <c r="B2518" s="46" t="n"/>
      <c r="C2518" s="49" t="n"/>
      <c r="D2518" s="49" t="n"/>
      <c r="E2518" s="49" t="n"/>
      <c r="F2518" s="49" t="n"/>
      <c r="G2518" s="47" t="n"/>
      <c r="H2518" s="50" t="n"/>
      <c r="I2518" s="51" t="n"/>
      <c r="J2518" s="46" t="n"/>
      <c r="K2518" s="46" t="n"/>
      <c r="L2518" s="23">
        <f>IF(OR($A2518="",$B2518=""),"",IF($K2518&lt;&gt;"",$K2518-$B2518,TODAY()-$B2518))</f>
        <v/>
      </c>
      <c r="M2518" s="27">
        <f>IF(OR($A2518="",$J2518=""),"",IF($K2518="",IF(TODAY()&gt;$J2518,"Atrasado","En ruta"),IF($K2518&lt;=$J2518,"Sí","No")))</f>
        <v/>
      </c>
      <c r="N2518" s="23">
        <f>IF($A2518="","",COUNTIFS(NOVEDADES!$C$4:$C$1503,$A2518))</f>
        <v/>
      </c>
      <c r="O2518" s="27">
        <f>IF($A2518="","",IF(COUNTIFS(NOVEDADES!$C$4:$C$1503,$A2518,NOVEDADES!$M$4:$M$1503,"SÍ")&gt;0,"No","Sí"))</f>
        <v/>
      </c>
      <c r="P2518" s="27">
        <f>IF(OR($A2518="",$K2518=""),"",IF(AND($M2518="Sí",$O2518="Sí"),"OTIF","Falló"))</f>
        <v/>
      </c>
    </row>
    <row r="2519" ht="16" customHeight="1">
      <c r="A2519" s="47" t="n"/>
      <c r="B2519" s="46" t="n"/>
      <c r="C2519" s="49" t="n"/>
      <c r="D2519" s="49" t="n"/>
      <c r="E2519" s="49" t="n"/>
      <c r="F2519" s="49" t="n"/>
      <c r="G2519" s="47" t="n"/>
      <c r="H2519" s="50" t="n"/>
      <c r="I2519" s="51" t="n"/>
      <c r="J2519" s="46" t="n"/>
      <c r="K2519" s="46" t="n"/>
      <c r="L2519" s="23">
        <f>IF(OR($A2519="",$B2519=""),"",IF($K2519&lt;&gt;"",$K2519-$B2519,TODAY()-$B2519))</f>
        <v/>
      </c>
      <c r="M2519" s="27">
        <f>IF(OR($A2519="",$J2519=""),"",IF($K2519="",IF(TODAY()&gt;$J2519,"Atrasado","En ruta"),IF($K2519&lt;=$J2519,"Sí","No")))</f>
        <v/>
      </c>
      <c r="N2519" s="23">
        <f>IF($A2519="","",COUNTIFS(NOVEDADES!$C$4:$C$1503,$A2519))</f>
        <v/>
      </c>
      <c r="O2519" s="27">
        <f>IF($A2519="","",IF(COUNTIFS(NOVEDADES!$C$4:$C$1503,$A2519,NOVEDADES!$M$4:$M$1503,"SÍ")&gt;0,"No","Sí"))</f>
        <v/>
      </c>
      <c r="P2519" s="27">
        <f>IF(OR($A2519="",$K2519=""),"",IF(AND($M2519="Sí",$O2519="Sí"),"OTIF","Falló"))</f>
        <v/>
      </c>
    </row>
    <row r="2520" ht="16" customHeight="1">
      <c r="A2520" s="47" t="n"/>
      <c r="B2520" s="46" t="n"/>
      <c r="C2520" s="49" t="n"/>
      <c r="D2520" s="49" t="n"/>
      <c r="E2520" s="49" t="n"/>
      <c r="F2520" s="49" t="n"/>
      <c r="G2520" s="47" t="n"/>
      <c r="H2520" s="50" t="n"/>
      <c r="I2520" s="51" t="n"/>
      <c r="J2520" s="46" t="n"/>
      <c r="K2520" s="46" t="n"/>
      <c r="L2520" s="23">
        <f>IF(OR($A2520="",$B2520=""),"",IF($K2520&lt;&gt;"",$K2520-$B2520,TODAY()-$B2520))</f>
        <v/>
      </c>
      <c r="M2520" s="27">
        <f>IF(OR($A2520="",$J2520=""),"",IF($K2520="",IF(TODAY()&gt;$J2520,"Atrasado","En ruta"),IF($K2520&lt;=$J2520,"Sí","No")))</f>
        <v/>
      </c>
      <c r="N2520" s="23">
        <f>IF($A2520="","",COUNTIFS(NOVEDADES!$C$4:$C$1503,$A2520))</f>
        <v/>
      </c>
      <c r="O2520" s="27">
        <f>IF($A2520="","",IF(COUNTIFS(NOVEDADES!$C$4:$C$1503,$A2520,NOVEDADES!$M$4:$M$1503,"SÍ")&gt;0,"No","Sí"))</f>
        <v/>
      </c>
      <c r="P2520" s="27">
        <f>IF(OR($A2520="",$K2520=""),"",IF(AND($M2520="Sí",$O2520="Sí"),"OTIF","Falló"))</f>
        <v/>
      </c>
    </row>
    <row r="2521" ht="16" customHeight="1">
      <c r="A2521" s="47" t="n"/>
      <c r="B2521" s="46" t="n"/>
      <c r="C2521" s="49" t="n"/>
      <c r="D2521" s="49" t="n"/>
      <c r="E2521" s="49" t="n"/>
      <c r="F2521" s="49" t="n"/>
      <c r="G2521" s="47" t="n"/>
      <c r="H2521" s="50" t="n"/>
      <c r="I2521" s="51" t="n"/>
      <c r="J2521" s="46" t="n"/>
      <c r="K2521" s="46" t="n"/>
      <c r="L2521" s="23">
        <f>IF(OR($A2521="",$B2521=""),"",IF($K2521&lt;&gt;"",$K2521-$B2521,TODAY()-$B2521))</f>
        <v/>
      </c>
      <c r="M2521" s="27">
        <f>IF(OR($A2521="",$J2521=""),"",IF($K2521="",IF(TODAY()&gt;$J2521,"Atrasado","En ruta"),IF($K2521&lt;=$J2521,"Sí","No")))</f>
        <v/>
      </c>
      <c r="N2521" s="23">
        <f>IF($A2521="","",COUNTIFS(NOVEDADES!$C$4:$C$1503,$A2521))</f>
        <v/>
      </c>
      <c r="O2521" s="27">
        <f>IF($A2521="","",IF(COUNTIFS(NOVEDADES!$C$4:$C$1503,$A2521,NOVEDADES!$M$4:$M$1503,"SÍ")&gt;0,"No","Sí"))</f>
        <v/>
      </c>
      <c r="P2521" s="27">
        <f>IF(OR($A2521="",$K2521=""),"",IF(AND($M2521="Sí",$O2521="Sí"),"OTIF","Falló"))</f>
        <v/>
      </c>
    </row>
    <row r="2522" ht="16" customHeight="1">
      <c r="A2522" s="47" t="n"/>
      <c r="B2522" s="46" t="n"/>
      <c r="C2522" s="49" t="n"/>
      <c r="D2522" s="49" t="n"/>
      <c r="E2522" s="49" t="n"/>
      <c r="F2522" s="49" t="n"/>
      <c r="G2522" s="47" t="n"/>
      <c r="H2522" s="50" t="n"/>
      <c r="I2522" s="51" t="n"/>
      <c r="J2522" s="46" t="n"/>
      <c r="K2522" s="46" t="n"/>
      <c r="L2522" s="23">
        <f>IF(OR($A2522="",$B2522=""),"",IF($K2522&lt;&gt;"",$K2522-$B2522,TODAY()-$B2522))</f>
        <v/>
      </c>
      <c r="M2522" s="27">
        <f>IF(OR($A2522="",$J2522=""),"",IF($K2522="",IF(TODAY()&gt;$J2522,"Atrasado","En ruta"),IF($K2522&lt;=$J2522,"Sí","No")))</f>
        <v/>
      </c>
      <c r="N2522" s="23">
        <f>IF($A2522="","",COUNTIFS(NOVEDADES!$C$4:$C$1503,$A2522))</f>
        <v/>
      </c>
      <c r="O2522" s="27">
        <f>IF($A2522="","",IF(COUNTIFS(NOVEDADES!$C$4:$C$1503,$A2522,NOVEDADES!$M$4:$M$1503,"SÍ")&gt;0,"No","Sí"))</f>
        <v/>
      </c>
      <c r="P2522" s="27">
        <f>IF(OR($A2522="",$K2522=""),"",IF(AND($M2522="Sí",$O2522="Sí"),"OTIF","Falló"))</f>
        <v/>
      </c>
    </row>
    <row r="2523" ht="16" customHeight="1">
      <c r="A2523" s="47" t="n"/>
      <c r="B2523" s="46" t="n"/>
      <c r="C2523" s="49" t="n"/>
      <c r="D2523" s="49" t="n"/>
      <c r="E2523" s="49" t="n"/>
      <c r="F2523" s="49" t="n"/>
      <c r="G2523" s="47" t="n"/>
      <c r="H2523" s="50" t="n"/>
      <c r="I2523" s="51" t="n"/>
      <c r="J2523" s="46" t="n"/>
      <c r="K2523" s="46" t="n"/>
      <c r="L2523" s="23">
        <f>IF(OR($A2523="",$B2523=""),"",IF($K2523&lt;&gt;"",$K2523-$B2523,TODAY()-$B2523))</f>
        <v/>
      </c>
      <c r="M2523" s="27">
        <f>IF(OR($A2523="",$J2523=""),"",IF($K2523="",IF(TODAY()&gt;$J2523,"Atrasado","En ruta"),IF($K2523&lt;=$J2523,"Sí","No")))</f>
        <v/>
      </c>
      <c r="N2523" s="23">
        <f>IF($A2523="","",COUNTIFS(NOVEDADES!$C$4:$C$1503,$A2523))</f>
        <v/>
      </c>
      <c r="O2523" s="27">
        <f>IF($A2523="","",IF(COUNTIFS(NOVEDADES!$C$4:$C$1503,$A2523,NOVEDADES!$M$4:$M$1503,"SÍ")&gt;0,"No","Sí"))</f>
        <v/>
      </c>
      <c r="P2523" s="27">
        <f>IF(OR($A2523="",$K2523=""),"",IF(AND($M2523="Sí",$O2523="Sí"),"OTIF","Falló"))</f>
        <v/>
      </c>
    </row>
    <row r="2524" ht="16" customHeight="1">
      <c r="A2524" s="47" t="n"/>
      <c r="B2524" s="46" t="n"/>
      <c r="C2524" s="49" t="n"/>
      <c r="D2524" s="49" t="n"/>
      <c r="E2524" s="49" t="n"/>
      <c r="F2524" s="49" t="n"/>
      <c r="G2524" s="47" t="n"/>
      <c r="H2524" s="50" t="n"/>
      <c r="I2524" s="51" t="n"/>
      <c r="J2524" s="46" t="n"/>
      <c r="K2524" s="46" t="n"/>
      <c r="L2524" s="23">
        <f>IF(OR($A2524="",$B2524=""),"",IF($K2524&lt;&gt;"",$K2524-$B2524,TODAY()-$B2524))</f>
        <v/>
      </c>
      <c r="M2524" s="27">
        <f>IF(OR($A2524="",$J2524=""),"",IF($K2524="",IF(TODAY()&gt;$J2524,"Atrasado","En ruta"),IF($K2524&lt;=$J2524,"Sí","No")))</f>
        <v/>
      </c>
      <c r="N2524" s="23">
        <f>IF($A2524="","",COUNTIFS(NOVEDADES!$C$4:$C$1503,$A2524))</f>
        <v/>
      </c>
      <c r="O2524" s="27">
        <f>IF($A2524="","",IF(COUNTIFS(NOVEDADES!$C$4:$C$1503,$A2524,NOVEDADES!$M$4:$M$1503,"SÍ")&gt;0,"No","Sí"))</f>
        <v/>
      </c>
      <c r="P2524" s="27">
        <f>IF(OR($A2524="",$K2524=""),"",IF(AND($M2524="Sí",$O2524="Sí"),"OTIF","Falló"))</f>
        <v/>
      </c>
    </row>
    <row r="2525" ht="16" customHeight="1">
      <c r="A2525" s="47" t="n"/>
      <c r="B2525" s="46" t="n"/>
      <c r="C2525" s="49" t="n"/>
      <c r="D2525" s="49" t="n"/>
      <c r="E2525" s="49" t="n"/>
      <c r="F2525" s="49" t="n"/>
      <c r="G2525" s="47" t="n"/>
      <c r="H2525" s="50" t="n"/>
      <c r="I2525" s="51" t="n"/>
      <c r="J2525" s="46" t="n"/>
      <c r="K2525" s="46" t="n"/>
      <c r="L2525" s="23">
        <f>IF(OR($A2525="",$B2525=""),"",IF($K2525&lt;&gt;"",$K2525-$B2525,TODAY()-$B2525))</f>
        <v/>
      </c>
      <c r="M2525" s="27">
        <f>IF(OR($A2525="",$J2525=""),"",IF($K2525="",IF(TODAY()&gt;$J2525,"Atrasado","En ruta"),IF($K2525&lt;=$J2525,"Sí","No")))</f>
        <v/>
      </c>
      <c r="N2525" s="23">
        <f>IF($A2525="","",COUNTIFS(NOVEDADES!$C$4:$C$1503,$A2525))</f>
        <v/>
      </c>
      <c r="O2525" s="27">
        <f>IF($A2525="","",IF(COUNTIFS(NOVEDADES!$C$4:$C$1503,$A2525,NOVEDADES!$M$4:$M$1503,"SÍ")&gt;0,"No","Sí"))</f>
        <v/>
      </c>
      <c r="P2525" s="27">
        <f>IF(OR($A2525="",$K2525=""),"",IF(AND($M2525="Sí",$O2525="Sí"),"OTIF","Falló"))</f>
        <v/>
      </c>
    </row>
    <row r="2526" ht="16" customHeight="1">
      <c r="A2526" s="47" t="n"/>
      <c r="B2526" s="46" t="n"/>
      <c r="C2526" s="49" t="n"/>
      <c r="D2526" s="49" t="n"/>
      <c r="E2526" s="49" t="n"/>
      <c r="F2526" s="49" t="n"/>
      <c r="G2526" s="47" t="n"/>
      <c r="H2526" s="50" t="n"/>
      <c r="I2526" s="51" t="n"/>
      <c r="J2526" s="46" t="n"/>
      <c r="K2526" s="46" t="n"/>
      <c r="L2526" s="23">
        <f>IF(OR($A2526="",$B2526=""),"",IF($K2526&lt;&gt;"",$K2526-$B2526,TODAY()-$B2526))</f>
        <v/>
      </c>
      <c r="M2526" s="27">
        <f>IF(OR($A2526="",$J2526=""),"",IF($K2526="",IF(TODAY()&gt;$J2526,"Atrasado","En ruta"),IF($K2526&lt;=$J2526,"Sí","No")))</f>
        <v/>
      </c>
      <c r="N2526" s="23">
        <f>IF($A2526="","",COUNTIFS(NOVEDADES!$C$4:$C$1503,$A2526))</f>
        <v/>
      </c>
      <c r="O2526" s="27">
        <f>IF($A2526="","",IF(COUNTIFS(NOVEDADES!$C$4:$C$1503,$A2526,NOVEDADES!$M$4:$M$1503,"SÍ")&gt;0,"No","Sí"))</f>
        <v/>
      </c>
      <c r="P2526" s="27">
        <f>IF(OR($A2526="",$K2526=""),"",IF(AND($M2526="Sí",$O2526="Sí"),"OTIF","Falló"))</f>
        <v/>
      </c>
    </row>
    <row r="2527" ht="16" customHeight="1">
      <c r="A2527" s="47" t="n"/>
      <c r="B2527" s="46" t="n"/>
      <c r="C2527" s="49" t="n"/>
      <c r="D2527" s="49" t="n"/>
      <c r="E2527" s="49" t="n"/>
      <c r="F2527" s="49" t="n"/>
      <c r="G2527" s="47" t="n"/>
      <c r="H2527" s="50" t="n"/>
      <c r="I2527" s="51" t="n"/>
      <c r="J2527" s="46" t="n"/>
      <c r="K2527" s="46" t="n"/>
      <c r="L2527" s="23">
        <f>IF(OR($A2527="",$B2527=""),"",IF($K2527&lt;&gt;"",$K2527-$B2527,TODAY()-$B2527))</f>
        <v/>
      </c>
      <c r="M2527" s="27">
        <f>IF(OR($A2527="",$J2527=""),"",IF($K2527="",IF(TODAY()&gt;$J2527,"Atrasado","En ruta"),IF($K2527&lt;=$J2527,"Sí","No")))</f>
        <v/>
      </c>
      <c r="N2527" s="23">
        <f>IF($A2527="","",COUNTIFS(NOVEDADES!$C$4:$C$1503,$A2527))</f>
        <v/>
      </c>
      <c r="O2527" s="27">
        <f>IF($A2527="","",IF(COUNTIFS(NOVEDADES!$C$4:$C$1503,$A2527,NOVEDADES!$M$4:$M$1503,"SÍ")&gt;0,"No","Sí"))</f>
        <v/>
      </c>
      <c r="P2527" s="27">
        <f>IF(OR($A2527="",$K2527=""),"",IF(AND($M2527="Sí",$O2527="Sí"),"OTIF","Falló"))</f>
        <v/>
      </c>
    </row>
    <row r="2528" ht="16" customHeight="1">
      <c r="A2528" s="47" t="n"/>
      <c r="B2528" s="46" t="n"/>
      <c r="C2528" s="49" t="n"/>
      <c r="D2528" s="49" t="n"/>
      <c r="E2528" s="49" t="n"/>
      <c r="F2528" s="49" t="n"/>
      <c r="G2528" s="47" t="n"/>
      <c r="H2528" s="50" t="n"/>
      <c r="I2528" s="51" t="n"/>
      <c r="J2528" s="46" t="n"/>
      <c r="K2528" s="46" t="n"/>
      <c r="L2528" s="23">
        <f>IF(OR($A2528="",$B2528=""),"",IF($K2528&lt;&gt;"",$K2528-$B2528,TODAY()-$B2528))</f>
        <v/>
      </c>
      <c r="M2528" s="27">
        <f>IF(OR($A2528="",$J2528=""),"",IF($K2528="",IF(TODAY()&gt;$J2528,"Atrasado","En ruta"),IF($K2528&lt;=$J2528,"Sí","No")))</f>
        <v/>
      </c>
      <c r="N2528" s="23">
        <f>IF($A2528="","",COUNTIFS(NOVEDADES!$C$4:$C$1503,$A2528))</f>
        <v/>
      </c>
      <c r="O2528" s="27">
        <f>IF($A2528="","",IF(COUNTIFS(NOVEDADES!$C$4:$C$1503,$A2528,NOVEDADES!$M$4:$M$1503,"SÍ")&gt;0,"No","Sí"))</f>
        <v/>
      </c>
      <c r="P2528" s="27">
        <f>IF(OR($A2528="",$K2528=""),"",IF(AND($M2528="Sí",$O2528="Sí"),"OTIF","Falló"))</f>
        <v/>
      </c>
    </row>
    <row r="2529" ht="16" customHeight="1">
      <c r="A2529" s="47" t="n"/>
      <c r="B2529" s="46" t="n"/>
      <c r="C2529" s="49" t="n"/>
      <c r="D2529" s="49" t="n"/>
      <c r="E2529" s="49" t="n"/>
      <c r="F2529" s="49" t="n"/>
      <c r="G2529" s="47" t="n"/>
      <c r="H2529" s="50" t="n"/>
      <c r="I2529" s="51" t="n"/>
      <c r="J2529" s="46" t="n"/>
      <c r="K2529" s="46" t="n"/>
      <c r="L2529" s="23">
        <f>IF(OR($A2529="",$B2529=""),"",IF($K2529&lt;&gt;"",$K2529-$B2529,TODAY()-$B2529))</f>
        <v/>
      </c>
      <c r="M2529" s="27">
        <f>IF(OR($A2529="",$J2529=""),"",IF($K2529="",IF(TODAY()&gt;$J2529,"Atrasado","En ruta"),IF($K2529&lt;=$J2529,"Sí","No")))</f>
        <v/>
      </c>
      <c r="N2529" s="23">
        <f>IF($A2529="","",COUNTIFS(NOVEDADES!$C$4:$C$1503,$A2529))</f>
        <v/>
      </c>
      <c r="O2529" s="27">
        <f>IF($A2529="","",IF(COUNTIFS(NOVEDADES!$C$4:$C$1503,$A2529,NOVEDADES!$M$4:$M$1503,"SÍ")&gt;0,"No","Sí"))</f>
        <v/>
      </c>
      <c r="P2529" s="27">
        <f>IF(OR($A2529="",$K2529=""),"",IF(AND($M2529="Sí",$O2529="Sí"),"OTIF","Falló"))</f>
        <v/>
      </c>
    </row>
    <row r="2530" ht="16" customHeight="1">
      <c r="A2530" s="47" t="n"/>
      <c r="B2530" s="46" t="n"/>
      <c r="C2530" s="49" t="n"/>
      <c r="D2530" s="49" t="n"/>
      <c r="E2530" s="49" t="n"/>
      <c r="F2530" s="49" t="n"/>
      <c r="G2530" s="47" t="n"/>
      <c r="H2530" s="50" t="n"/>
      <c r="I2530" s="51" t="n"/>
      <c r="J2530" s="46" t="n"/>
      <c r="K2530" s="46" t="n"/>
      <c r="L2530" s="23">
        <f>IF(OR($A2530="",$B2530=""),"",IF($K2530&lt;&gt;"",$K2530-$B2530,TODAY()-$B2530))</f>
        <v/>
      </c>
      <c r="M2530" s="27">
        <f>IF(OR($A2530="",$J2530=""),"",IF($K2530="",IF(TODAY()&gt;$J2530,"Atrasado","En ruta"),IF($K2530&lt;=$J2530,"Sí","No")))</f>
        <v/>
      </c>
      <c r="N2530" s="23">
        <f>IF($A2530="","",COUNTIFS(NOVEDADES!$C$4:$C$1503,$A2530))</f>
        <v/>
      </c>
      <c r="O2530" s="27">
        <f>IF($A2530="","",IF(COUNTIFS(NOVEDADES!$C$4:$C$1503,$A2530,NOVEDADES!$M$4:$M$1503,"SÍ")&gt;0,"No","Sí"))</f>
        <v/>
      </c>
      <c r="P2530" s="27">
        <f>IF(OR($A2530="",$K2530=""),"",IF(AND($M2530="Sí",$O2530="Sí"),"OTIF","Falló"))</f>
        <v/>
      </c>
    </row>
    <row r="2531" ht="16" customHeight="1">
      <c r="A2531" s="47" t="n"/>
      <c r="B2531" s="46" t="n"/>
      <c r="C2531" s="49" t="n"/>
      <c r="D2531" s="49" t="n"/>
      <c r="E2531" s="49" t="n"/>
      <c r="F2531" s="49" t="n"/>
      <c r="G2531" s="47" t="n"/>
      <c r="H2531" s="50" t="n"/>
      <c r="I2531" s="51" t="n"/>
      <c r="J2531" s="46" t="n"/>
      <c r="K2531" s="46" t="n"/>
      <c r="L2531" s="23">
        <f>IF(OR($A2531="",$B2531=""),"",IF($K2531&lt;&gt;"",$K2531-$B2531,TODAY()-$B2531))</f>
        <v/>
      </c>
      <c r="M2531" s="27">
        <f>IF(OR($A2531="",$J2531=""),"",IF($K2531="",IF(TODAY()&gt;$J2531,"Atrasado","En ruta"),IF($K2531&lt;=$J2531,"Sí","No")))</f>
        <v/>
      </c>
      <c r="N2531" s="23">
        <f>IF($A2531="","",COUNTIFS(NOVEDADES!$C$4:$C$1503,$A2531))</f>
        <v/>
      </c>
      <c r="O2531" s="27">
        <f>IF($A2531="","",IF(COUNTIFS(NOVEDADES!$C$4:$C$1503,$A2531,NOVEDADES!$M$4:$M$1503,"SÍ")&gt;0,"No","Sí"))</f>
        <v/>
      </c>
      <c r="P2531" s="27">
        <f>IF(OR($A2531="",$K2531=""),"",IF(AND($M2531="Sí",$O2531="Sí"),"OTIF","Falló"))</f>
        <v/>
      </c>
    </row>
    <row r="2532" ht="16" customHeight="1">
      <c r="A2532" s="47" t="n"/>
      <c r="B2532" s="46" t="n"/>
      <c r="C2532" s="49" t="n"/>
      <c r="D2532" s="49" t="n"/>
      <c r="E2532" s="49" t="n"/>
      <c r="F2532" s="49" t="n"/>
      <c r="G2532" s="47" t="n"/>
      <c r="H2532" s="50" t="n"/>
      <c r="I2532" s="51" t="n"/>
      <c r="J2532" s="46" t="n"/>
      <c r="K2532" s="46" t="n"/>
      <c r="L2532" s="23">
        <f>IF(OR($A2532="",$B2532=""),"",IF($K2532&lt;&gt;"",$K2532-$B2532,TODAY()-$B2532))</f>
        <v/>
      </c>
      <c r="M2532" s="27">
        <f>IF(OR($A2532="",$J2532=""),"",IF($K2532="",IF(TODAY()&gt;$J2532,"Atrasado","En ruta"),IF($K2532&lt;=$J2532,"Sí","No")))</f>
        <v/>
      </c>
      <c r="N2532" s="23">
        <f>IF($A2532="","",COUNTIFS(NOVEDADES!$C$4:$C$1503,$A2532))</f>
        <v/>
      </c>
      <c r="O2532" s="27">
        <f>IF($A2532="","",IF(COUNTIFS(NOVEDADES!$C$4:$C$1503,$A2532,NOVEDADES!$M$4:$M$1503,"SÍ")&gt;0,"No","Sí"))</f>
        <v/>
      </c>
      <c r="P2532" s="27">
        <f>IF(OR($A2532="",$K2532=""),"",IF(AND($M2532="Sí",$O2532="Sí"),"OTIF","Falló"))</f>
        <v/>
      </c>
    </row>
    <row r="2533" ht="16" customHeight="1">
      <c r="A2533" s="47" t="n"/>
      <c r="B2533" s="46" t="n"/>
      <c r="C2533" s="49" t="n"/>
      <c r="D2533" s="49" t="n"/>
      <c r="E2533" s="49" t="n"/>
      <c r="F2533" s="49" t="n"/>
      <c r="G2533" s="47" t="n"/>
      <c r="H2533" s="50" t="n"/>
      <c r="I2533" s="51" t="n"/>
      <c r="J2533" s="46" t="n"/>
      <c r="K2533" s="46" t="n"/>
      <c r="L2533" s="23">
        <f>IF(OR($A2533="",$B2533=""),"",IF($K2533&lt;&gt;"",$K2533-$B2533,TODAY()-$B2533))</f>
        <v/>
      </c>
      <c r="M2533" s="27">
        <f>IF(OR($A2533="",$J2533=""),"",IF($K2533="",IF(TODAY()&gt;$J2533,"Atrasado","En ruta"),IF($K2533&lt;=$J2533,"Sí","No")))</f>
        <v/>
      </c>
      <c r="N2533" s="23">
        <f>IF($A2533="","",COUNTIFS(NOVEDADES!$C$4:$C$1503,$A2533))</f>
        <v/>
      </c>
      <c r="O2533" s="27">
        <f>IF($A2533="","",IF(COUNTIFS(NOVEDADES!$C$4:$C$1503,$A2533,NOVEDADES!$M$4:$M$1503,"SÍ")&gt;0,"No","Sí"))</f>
        <v/>
      </c>
      <c r="P2533" s="27">
        <f>IF(OR($A2533="",$K2533=""),"",IF(AND($M2533="Sí",$O2533="Sí"),"OTIF","Falló"))</f>
        <v/>
      </c>
    </row>
    <row r="2534" ht="16" customHeight="1">
      <c r="A2534" s="47" t="n"/>
      <c r="B2534" s="46" t="n"/>
      <c r="C2534" s="49" t="n"/>
      <c r="D2534" s="49" t="n"/>
      <c r="E2534" s="49" t="n"/>
      <c r="F2534" s="49" t="n"/>
      <c r="G2534" s="47" t="n"/>
      <c r="H2534" s="50" t="n"/>
      <c r="I2534" s="51" t="n"/>
      <c r="J2534" s="46" t="n"/>
      <c r="K2534" s="46" t="n"/>
      <c r="L2534" s="23">
        <f>IF(OR($A2534="",$B2534=""),"",IF($K2534&lt;&gt;"",$K2534-$B2534,TODAY()-$B2534))</f>
        <v/>
      </c>
      <c r="M2534" s="27">
        <f>IF(OR($A2534="",$J2534=""),"",IF($K2534="",IF(TODAY()&gt;$J2534,"Atrasado","En ruta"),IF($K2534&lt;=$J2534,"Sí","No")))</f>
        <v/>
      </c>
      <c r="N2534" s="23">
        <f>IF($A2534="","",COUNTIFS(NOVEDADES!$C$4:$C$1503,$A2534))</f>
        <v/>
      </c>
      <c r="O2534" s="27">
        <f>IF($A2534="","",IF(COUNTIFS(NOVEDADES!$C$4:$C$1503,$A2534,NOVEDADES!$M$4:$M$1503,"SÍ")&gt;0,"No","Sí"))</f>
        <v/>
      </c>
      <c r="P2534" s="27">
        <f>IF(OR($A2534="",$K2534=""),"",IF(AND($M2534="Sí",$O2534="Sí"),"OTIF","Falló"))</f>
        <v/>
      </c>
    </row>
    <row r="2535" ht="16" customHeight="1">
      <c r="A2535" s="47" t="n"/>
      <c r="B2535" s="46" t="n"/>
      <c r="C2535" s="49" t="n"/>
      <c r="D2535" s="49" t="n"/>
      <c r="E2535" s="49" t="n"/>
      <c r="F2535" s="49" t="n"/>
      <c r="G2535" s="47" t="n"/>
      <c r="H2535" s="50" t="n"/>
      <c r="I2535" s="51" t="n"/>
      <c r="J2535" s="46" t="n"/>
      <c r="K2535" s="46" t="n"/>
      <c r="L2535" s="23">
        <f>IF(OR($A2535="",$B2535=""),"",IF($K2535&lt;&gt;"",$K2535-$B2535,TODAY()-$B2535))</f>
        <v/>
      </c>
      <c r="M2535" s="27">
        <f>IF(OR($A2535="",$J2535=""),"",IF($K2535="",IF(TODAY()&gt;$J2535,"Atrasado","En ruta"),IF($K2535&lt;=$J2535,"Sí","No")))</f>
        <v/>
      </c>
      <c r="N2535" s="23">
        <f>IF($A2535="","",COUNTIFS(NOVEDADES!$C$4:$C$1503,$A2535))</f>
        <v/>
      </c>
      <c r="O2535" s="27">
        <f>IF($A2535="","",IF(COUNTIFS(NOVEDADES!$C$4:$C$1503,$A2535,NOVEDADES!$M$4:$M$1503,"SÍ")&gt;0,"No","Sí"))</f>
        <v/>
      </c>
      <c r="P2535" s="27">
        <f>IF(OR($A2535="",$K2535=""),"",IF(AND($M2535="Sí",$O2535="Sí"),"OTIF","Falló"))</f>
        <v/>
      </c>
    </row>
    <row r="2536" ht="16" customHeight="1">
      <c r="A2536" s="47" t="n"/>
      <c r="B2536" s="46" t="n"/>
      <c r="C2536" s="49" t="n"/>
      <c r="D2536" s="49" t="n"/>
      <c r="E2536" s="49" t="n"/>
      <c r="F2536" s="49" t="n"/>
      <c r="G2536" s="47" t="n"/>
      <c r="H2536" s="50" t="n"/>
      <c r="I2536" s="51" t="n"/>
      <c r="J2536" s="46" t="n"/>
      <c r="K2536" s="46" t="n"/>
      <c r="L2536" s="23">
        <f>IF(OR($A2536="",$B2536=""),"",IF($K2536&lt;&gt;"",$K2536-$B2536,TODAY()-$B2536))</f>
        <v/>
      </c>
      <c r="M2536" s="27">
        <f>IF(OR($A2536="",$J2536=""),"",IF($K2536="",IF(TODAY()&gt;$J2536,"Atrasado","En ruta"),IF($K2536&lt;=$J2536,"Sí","No")))</f>
        <v/>
      </c>
      <c r="N2536" s="23">
        <f>IF($A2536="","",COUNTIFS(NOVEDADES!$C$4:$C$1503,$A2536))</f>
        <v/>
      </c>
      <c r="O2536" s="27">
        <f>IF($A2536="","",IF(COUNTIFS(NOVEDADES!$C$4:$C$1503,$A2536,NOVEDADES!$M$4:$M$1503,"SÍ")&gt;0,"No","Sí"))</f>
        <v/>
      </c>
      <c r="P2536" s="27">
        <f>IF(OR($A2536="",$K2536=""),"",IF(AND($M2536="Sí",$O2536="Sí"),"OTIF","Falló"))</f>
        <v/>
      </c>
    </row>
    <row r="2537" ht="16" customHeight="1">
      <c r="A2537" s="47" t="n"/>
      <c r="B2537" s="46" t="n"/>
      <c r="C2537" s="49" t="n"/>
      <c r="D2537" s="49" t="n"/>
      <c r="E2537" s="49" t="n"/>
      <c r="F2537" s="49" t="n"/>
      <c r="G2537" s="47" t="n"/>
      <c r="H2537" s="50" t="n"/>
      <c r="I2537" s="51" t="n"/>
      <c r="J2537" s="46" t="n"/>
      <c r="K2537" s="46" t="n"/>
      <c r="L2537" s="23">
        <f>IF(OR($A2537="",$B2537=""),"",IF($K2537&lt;&gt;"",$K2537-$B2537,TODAY()-$B2537))</f>
        <v/>
      </c>
      <c r="M2537" s="27">
        <f>IF(OR($A2537="",$J2537=""),"",IF($K2537="",IF(TODAY()&gt;$J2537,"Atrasado","En ruta"),IF($K2537&lt;=$J2537,"Sí","No")))</f>
        <v/>
      </c>
      <c r="N2537" s="23">
        <f>IF($A2537="","",COUNTIFS(NOVEDADES!$C$4:$C$1503,$A2537))</f>
        <v/>
      </c>
      <c r="O2537" s="27">
        <f>IF($A2537="","",IF(COUNTIFS(NOVEDADES!$C$4:$C$1503,$A2537,NOVEDADES!$M$4:$M$1503,"SÍ")&gt;0,"No","Sí"))</f>
        <v/>
      </c>
      <c r="P2537" s="27">
        <f>IF(OR($A2537="",$K2537=""),"",IF(AND($M2537="Sí",$O2537="Sí"),"OTIF","Falló"))</f>
        <v/>
      </c>
    </row>
    <row r="2538" ht="16" customHeight="1">
      <c r="A2538" s="47" t="n"/>
      <c r="B2538" s="46" t="n"/>
      <c r="C2538" s="49" t="n"/>
      <c r="D2538" s="49" t="n"/>
      <c r="E2538" s="49" t="n"/>
      <c r="F2538" s="49" t="n"/>
      <c r="G2538" s="47" t="n"/>
      <c r="H2538" s="50" t="n"/>
      <c r="I2538" s="51" t="n"/>
      <c r="J2538" s="46" t="n"/>
      <c r="K2538" s="46" t="n"/>
      <c r="L2538" s="23">
        <f>IF(OR($A2538="",$B2538=""),"",IF($K2538&lt;&gt;"",$K2538-$B2538,TODAY()-$B2538))</f>
        <v/>
      </c>
      <c r="M2538" s="27">
        <f>IF(OR($A2538="",$J2538=""),"",IF($K2538="",IF(TODAY()&gt;$J2538,"Atrasado","En ruta"),IF($K2538&lt;=$J2538,"Sí","No")))</f>
        <v/>
      </c>
      <c r="N2538" s="23">
        <f>IF($A2538="","",COUNTIFS(NOVEDADES!$C$4:$C$1503,$A2538))</f>
        <v/>
      </c>
      <c r="O2538" s="27">
        <f>IF($A2538="","",IF(COUNTIFS(NOVEDADES!$C$4:$C$1503,$A2538,NOVEDADES!$M$4:$M$1503,"SÍ")&gt;0,"No","Sí"))</f>
        <v/>
      </c>
      <c r="P2538" s="27">
        <f>IF(OR($A2538="",$K2538=""),"",IF(AND($M2538="Sí",$O2538="Sí"),"OTIF","Falló"))</f>
        <v/>
      </c>
    </row>
    <row r="2539" ht="16" customHeight="1">
      <c r="A2539" s="47" t="n"/>
      <c r="B2539" s="46" t="n"/>
      <c r="C2539" s="49" t="n"/>
      <c r="D2539" s="49" t="n"/>
      <c r="E2539" s="49" t="n"/>
      <c r="F2539" s="49" t="n"/>
      <c r="G2539" s="47" t="n"/>
      <c r="H2539" s="50" t="n"/>
      <c r="I2539" s="51" t="n"/>
      <c r="J2539" s="46" t="n"/>
      <c r="K2539" s="46" t="n"/>
      <c r="L2539" s="23">
        <f>IF(OR($A2539="",$B2539=""),"",IF($K2539&lt;&gt;"",$K2539-$B2539,TODAY()-$B2539))</f>
        <v/>
      </c>
      <c r="M2539" s="27">
        <f>IF(OR($A2539="",$J2539=""),"",IF($K2539="",IF(TODAY()&gt;$J2539,"Atrasado","En ruta"),IF($K2539&lt;=$J2539,"Sí","No")))</f>
        <v/>
      </c>
      <c r="N2539" s="23">
        <f>IF($A2539="","",COUNTIFS(NOVEDADES!$C$4:$C$1503,$A2539))</f>
        <v/>
      </c>
      <c r="O2539" s="27">
        <f>IF($A2539="","",IF(COUNTIFS(NOVEDADES!$C$4:$C$1503,$A2539,NOVEDADES!$M$4:$M$1503,"SÍ")&gt;0,"No","Sí"))</f>
        <v/>
      </c>
      <c r="P2539" s="27">
        <f>IF(OR($A2539="",$K2539=""),"",IF(AND($M2539="Sí",$O2539="Sí"),"OTIF","Falló"))</f>
        <v/>
      </c>
    </row>
    <row r="2540" ht="16" customHeight="1">
      <c r="A2540" s="47" t="n"/>
      <c r="B2540" s="46" t="n"/>
      <c r="C2540" s="49" t="n"/>
      <c r="D2540" s="49" t="n"/>
      <c r="E2540" s="49" t="n"/>
      <c r="F2540" s="49" t="n"/>
      <c r="G2540" s="47" t="n"/>
      <c r="H2540" s="50" t="n"/>
      <c r="I2540" s="51" t="n"/>
      <c r="J2540" s="46" t="n"/>
      <c r="K2540" s="46" t="n"/>
      <c r="L2540" s="23">
        <f>IF(OR($A2540="",$B2540=""),"",IF($K2540&lt;&gt;"",$K2540-$B2540,TODAY()-$B2540))</f>
        <v/>
      </c>
      <c r="M2540" s="27">
        <f>IF(OR($A2540="",$J2540=""),"",IF($K2540="",IF(TODAY()&gt;$J2540,"Atrasado","En ruta"),IF($K2540&lt;=$J2540,"Sí","No")))</f>
        <v/>
      </c>
      <c r="N2540" s="23">
        <f>IF($A2540="","",COUNTIFS(NOVEDADES!$C$4:$C$1503,$A2540))</f>
        <v/>
      </c>
      <c r="O2540" s="27">
        <f>IF($A2540="","",IF(COUNTIFS(NOVEDADES!$C$4:$C$1503,$A2540,NOVEDADES!$M$4:$M$1503,"SÍ")&gt;0,"No","Sí"))</f>
        <v/>
      </c>
      <c r="P2540" s="27">
        <f>IF(OR($A2540="",$K2540=""),"",IF(AND($M2540="Sí",$O2540="Sí"),"OTIF","Falló"))</f>
        <v/>
      </c>
    </row>
    <row r="2541" ht="16" customHeight="1">
      <c r="A2541" s="47" t="n"/>
      <c r="B2541" s="46" t="n"/>
      <c r="C2541" s="49" t="n"/>
      <c r="D2541" s="49" t="n"/>
      <c r="E2541" s="49" t="n"/>
      <c r="F2541" s="49" t="n"/>
      <c r="G2541" s="47" t="n"/>
      <c r="H2541" s="50" t="n"/>
      <c r="I2541" s="51" t="n"/>
      <c r="J2541" s="46" t="n"/>
      <c r="K2541" s="46" t="n"/>
      <c r="L2541" s="23">
        <f>IF(OR($A2541="",$B2541=""),"",IF($K2541&lt;&gt;"",$K2541-$B2541,TODAY()-$B2541))</f>
        <v/>
      </c>
      <c r="M2541" s="27">
        <f>IF(OR($A2541="",$J2541=""),"",IF($K2541="",IF(TODAY()&gt;$J2541,"Atrasado","En ruta"),IF($K2541&lt;=$J2541,"Sí","No")))</f>
        <v/>
      </c>
      <c r="N2541" s="23">
        <f>IF($A2541="","",COUNTIFS(NOVEDADES!$C$4:$C$1503,$A2541))</f>
        <v/>
      </c>
      <c r="O2541" s="27">
        <f>IF($A2541="","",IF(COUNTIFS(NOVEDADES!$C$4:$C$1503,$A2541,NOVEDADES!$M$4:$M$1503,"SÍ")&gt;0,"No","Sí"))</f>
        <v/>
      </c>
      <c r="P2541" s="27">
        <f>IF(OR($A2541="",$K2541=""),"",IF(AND($M2541="Sí",$O2541="Sí"),"OTIF","Falló"))</f>
        <v/>
      </c>
    </row>
    <row r="2542" ht="16" customHeight="1">
      <c r="A2542" s="47" t="n"/>
      <c r="B2542" s="46" t="n"/>
      <c r="C2542" s="49" t="n"/>
      <c r="D2542" s="49" t="n"/>
      <c r="E2542" s="49" t="n"/>
      <c r="F2542" s="49" t="n"/>
      <c r="G2542" s="47" t="n"/>
      <c r="H2542" s="50" t="n"/>
      <c r="I2542" s="51" t="n"/>
      <c r="J2542" s="46" t="n"/>
      <c r="K2542" s="46" t="n"/>
      <c r="L2542" s="23">
        <f>IF(OR($A2542="",$B2542=""),"",IF($K2542&lt;&gt;"",$K2542-$B2542,TODAY()-$B2542))</f>
        <v/>
      </c>
      <c r="M2542" s="27">
        <f>IF(OR($A2542="",$J2542=""),"",IF($K2542="",IF(TODAY()&gt;$J2542,"Atrasado","En ruta"),IF($K2542&lt;=$J2542,"Sí","No")))</f>
        <v/>
      </c>
      <c r="N2542" s="23">
        <f>IF($A2542="","",COUNTIFS(NOVEDADES!$C$4:$C$1503,$A2542))</f>
        <v/>
      </c>
      <c r="O2542" s="27">
        <f>IF($A2542="","",IF(COUNTIFS(NOVEDADES!$C$4:$C$1503,$A2542,NOVEDADES!$M$4:$M$1503,"SÍ")&gt;0,"No","Sí"))</f>
        <v/>
      </c>
      <c r="P2542" s="27">
        <f>IF(OR($A2542="",$K2542=""),"",IF(AND($M2542="Sí",$O2542="Sí"),"OTIF","Falló"))</f>
        <v/>
      </c>
    </row>
    <row r="2543" ht="16" customHeight="1">
      <c r="A2543" s="47" t="n"/>
      <c r="B2543" s="46" t="n"/>
      <c r="C2543" s="49" t="n"/>
      <c r="D2543" s="49" t="n"/>
      <c r="E2543" s="49" t="n"/>
      <c r="F2543" s="49" t="n"/>
      <c r="G2543" s="47" t="n"/>
      <c r="H2543" s="50" t="n"/>
      <c r="I2543" s="51" t="n"/>
      <c r="J2543" s="46" t="n"/>
      <c r="K2543" s="46" t="n"/>
      <c r="L2543" s="23">
        <f>IF(OR($A2543="",$B2543=""),"",IF($K2543&lt;&gt;"",$K2543-$B2543,TODAY()-$B2543))</f>
        <v/>
      </c>
      <c r="M2543" s="27">
        <f>IF(OR($A2543="",$J2543=""),"",IF($K2543="",IF(TODAY()&gt;$J2543,"Atrasado","En ruta"),IF($K2543&lt;=$J2543,"Sí","No")))</f>
        <v/>
      </c>
      <c r="N2543" s="23">
        <f>IF($A2543="","",COUNTIFS(NOVEDADES!$C$4:$C$1503,$A2543))</f>
        <v/>
      </c>
      <c r="O2543" s="27">
        <f>IF($A2543="","",IF(COUNTIFS(NOVEDADES!$C$4:$C$1503,$A2543,NOVEDADES!$M$4:$M$1503,"SÍ")&gt;0,"No","Sí"))</f>
        <v/>
      </c>
      <c r="P2543" s="27">
        <f>IF(OR($A2543="",$K2543=""),"",IF(AND($M2543="Sí",$O2543="Sí"),"OTIF","Falló"))</f>
        <v/>
      </c>
    </row>
    <row r="2544" ht="16" customHeight="1">
      <c r="A2544" s="47" t="n"/>
      <c r="B2544" s="46" t="n"/>
      <c r="C2544" s="49" t="n"/>
      <c r="D2544" s="49" t="n"/>
      <c r="E2544" s="49" t="n"/>
      <c r="F2544" s="49" t="n"/>
      <c r="G2544" s="47" t="n"/>
      <c r="H2544" s="50" t="n"/>
      <c r="I2544" s="51" t="n"/>
      <c r="J2544" s="46" t="n"/>
      <c r="K2544" s="46" t="n"/>
      <c r="L2544" s="23">
        <f>IF(OR($A2544="",$B2544=""),"",IF($K2544&lt;&gt;"",$K2544-$B2544,TODAY()-$B2544))</f>
        <v/>
      </c>
      <c r="M2544" s="27">
        <f>IF(OR($A2544="",$J2544=""),"",IF($K2544="",IF(TODAY()&gt;$J2544,"Atrasado","En ruta"),IF($K2544&lt;=$J2544,"Sí","No")))</f>
        <v/>
      </c>
      <c r="N2544" s="23">
        <f>IF($A2544="","",COUNTIFS(NOVEDADES!$C$4:$C$1503,$A2544))</f>
        <v/>
      </c>
      <c r="O2544" s="27">
        <f>IF($A2544="","",IF(COUNTIFS(NOVEDADES!$C$4:$C$1503,$A2544,NOVEDADES!$M$4:$M$1503,"SÍ")&gt;0,"No","Sí"))</f>
        <v/>
      </c>
      <c r="P2544" s="27">
        <f>IF(OR($A2544="",$K2544=""),"",IF(AND($M2544="Sí",$O2544="Sí"),"OTIF","Falló"))</f>
        <v/>
      </c>
    </row>
    <row r="2545" ht="16" customHeight="1">
      <c r="A2545" s="47" t="n"/>
      <c r="B2545" s="46" t="n"/>
      <c r="C2545" s="49" t="n"/>
      <c r="D2545" s="49" t="n"/>
      <c r="E2545" s="49" t="n"/>
      <c r="F2545" s="49" t="n"/>
      <c r="G2545" s="47" t="n"/>
      <c r="H2545" s="50" t="n"/>
      <c r="I2545" s="51" t="n"/>
      <c r="J2545" s="46" t="n"/>
      <c r="K2545" s="46" t="n"/>
      <c r="L2545" s="23">
        <f>IF(OR($A2545="",$B2545=""),"",IF($K2545&lt;&gt;"",$K2545-$B2545,TODAY()-$B2545))</f>
        <v/>
      </c>
      <c r="M2545" s="27">
        <f>IF(OR($A2545="",$J2545=""),"",IF($K2545="",IF(TODAY()&gt;$J2545,"Atrasado","En ruta"),IF($K2545&lt;=$J2545,"Sí","No")))</f>
        <v/>
      </c>
      <c r="N2545" s="23">
        <f>IF($A2545="","",COUNTIFS(NOVEDADES!$C$4:$C$1503,$A2545))</f>
        <v/>
      </c>
      <c r="O2545" s="27">
        <f>IF($A2545="","",IF(COUNTIFS(NOVEDADES!$C$4:$C$1503,$A2545,NOVEDADES!$M$4:$M$1503,"SÍ")&gt;0,"No","Sí"))</f>
        <v/>
      </c>
      <c r="P2545" s="27">
        <f>IF(OR($A2545="",$K2545=""),"",IF(AND($M2545="Sí",$O2545="Sí"),"OTIF","Falló"))</f>
        <v/>
      </c>
    </row>
    <row r="2546" ht="16" customHeight="1">
      <c r="A2546" s="47" t="n"/>
      <c r="B2546" s="46" t="n"/>
      <c r="C2546" s="49" t="n"/>
      <c r="D2546" s="49" t="n"/>
      <c r="E2546" s="49" t="n"/>
      <c r="F2546" s="49" t="n"/>
      <c r="G2546" s="47" t="n"/>
      <c r="H2546" s="50" t="n"/>
      <c r="I2546" s="51" t="n"/>
      <c r="J2546" s="46" t="n"/>
      <c r="K2546" s="46" t="n"/>
      <c r="L2546" s="23">
        <f>IF(OR($A2546="",$B2546=""),"",IF($K2546&lt;&gt;"",$K2546-$B2546,TODAY()-$B2546))</f>
        <v/>
      </c>
      <c r="M2546" s="27">
        <f>IF(OR($A2546="",$J2546=""),"",IF($K2546="",IF(TODAY()&gt;$J2546,"Atrasado","En ruta"),IF($K2546&lt;=$J2546,"Sí","No")))</f>
        <v/>
      </c>
      <c r="N2546" s="23">
        <f>IF($A2546="","",COUNTIFS(NOVEDADES!$C$4:$C$1503,$A2546))</f>
        <v/>
      </c>
      <c r="O2546" s="27">
        <f>IF($A2546="","",IF(COUNTIFS(NOVEDADES!$C$4:$C$1503,$A2546,NOVEDADES!$M$4:$M$1503,"SÍ")&gt;0,"No","Sí"))</f>
        <v/>
      </c>
      <c r="P2546" s="27">
        <f>IF(OR($A2546="",$K2546=""),"",IF(AND($M2546="Sí",$O2546="Sí"),"OTIF","Falló"))</f>
        <v/>
      </c>
    </row>
    <row r="2547" ht="16" customHeight="1">
      <c r="A2547" s="47" t="n"/>
      <c r="B2547" s="46" t="n"/>
      <c r="C2547" s="49" t="n"/>
      <c r="D2547" s="49" t="n"/>
      <c r="E2547" s="49" t="n"/>
      <c r="F2547" s="49" t="n"/>
      <c r="G2547" s="47" t="n"/>
      <c r="H2547" s="50" t="n"/>
      <c r="I2547" s="51" t="n"/>
      <c r="J2547" s="46" t="n"/>
      <c r="K2547" s="46" t="n"/>
      <c r="L2547" s="23">
        <f>IF(OR($A2547="",$B2547=""),"",IF($K2547&lt;&gt;"",$K2547-$B2547,TODAY()-$B2547))</f>
        <v/>
      </c>
      <c r="M2547" s="27">
        <f>IF(OR($A2547="",$J2547=""),"",IF($K2547="",IF(TODAY()&gt;$J2547,"Atrasado","En ruta"),IF($K2547&lt;=$J2547,"Sí","No")))</f>
        <v/>
      </c>
      <c r="N2547" s="23">
        <f>IF($A2547="","",COUNTIFS(NOVEDADES!$C$4:$C$1503,$A2547))</f>
        <v/>
      </c>
      <c r="O2547" s="27">
        <f>IF($A2547="","",IF(COUNTIFS(NOVEDADES!$C$4:$C$1503,$A2547,NOVEDADES!$M$4:$M$1503,"SÍ")&gt;0,"No","Sí"))</f>
        <v/>
      </c>
      <c r="P2547" s="27">
        <f>IF(OR($A2547="",$K2547=""),"",IF(AND($M2547="Sí",$O2547="Sí"),"OTIF","Falló"))</f>
        <v/>
      </c>
    </row>
    <row r="2548" ht="16" customHeight="1">
      <c r="A2548" s="47" t="n"/>
      <c r="B2548" s="46" t="n"/>
      <c r="C2548" s="49" t="n"/>
      <c r="D2548" s="49" t="n"/>
      <c r="E2548" s="49" t="n"/>
      <c r="F2548" s="49" t="n"/>
      <c r="G2548" s="47" t="n"/>
      <c r="H2548" s="50" t="n"/>
      <c r="I2548" s="51" t="n"/>
      <c r="J2548" s="46" t="n"/>
      <c r="K2548" s="46" t="n"/>
      <c r="L2548" s="23">
        <f>IF(OR($A2548="",$B2548=""),"",IF($K2548&lt;&gt;"",$K2548-$B2548,TODAY()-$B2548))</f>
        <v/>
      </c>
      <c r="M2548" s="27">
        <f>IF(OR($A2548="",$J2548=""),"",IF($K2548="",IF(TODAY()&gt;$J2548,"Atrasado","En ruta"),IF($K2548&lt;=$J2548,"Sí","No")))</f>
        <v/>
      </c>
      <c r="N2548" s="23">
        <f>IF($A2548="","",COUNTIFS(NOVEDADES!$C$4:$C$1503,$A2548))</f>
        <v/>
      </c>
      <c r="O2548" s="27">
        <f>IF($A2548="","",IF(COUNTIFS(NOVEDADES!$C$4:$C$1503,$A2548,NOVEDADES!$M$4:$M$1503,"SÍ")&gt;0,"No","Sí"))</f>
        <v/>
      </c>
      <c r="P2548" s="27">
        <f>IF(OR($A2548="",$K2548=""),"",IF(AND($M2548="Sí",$O2548="Sí"),"OTIF","Falló"))</f>
        <v/>
      </c>
    </row>
    <row r="2549" ht="16" customHeight="1">
      <c r="A2549" s="47" t="n"/>
      <c r="B2549" s="46" t="n"/>
      <c r="C2549" s="49" t="n"/>
      <c r="D2549" s="49" t="n"/>
      <c r="E2549" s="49" t="n"/>
      <c r="F2549" s="49" t="n"/>
      <c r="G2549" s="47" t="n"/>
      <c r="H2549" s="50" t="n"/>
      <c r="I2549" s="51" t="n"/>
      <c r="J2549" s="46" t="n"/>
      <c r="K2549" s="46" t="n"/>
      <c r="L2549" s="23">
        <f>IF(OR($A2549="",$B2549=""),"",IF($K2549&lt;&gt;"",$K2549-$B2549,TODAY()-$B2549))</f>
        <v/>
      </c>
      <c r="M2549" s="27">
        <f>IF(OR($A2549="",$J2549=""),"",IF($K2549="",IF(TODAY()&gt;$J2549,"Atrasado","En ruta"),IF($K2549&lt;=$J2549,"Sí","No")))</f>
        <v/>
      </c>
      <c r="N2549" s="23">
        <f>IF($A2549="","",COUNTIFS(NOVEDADES!$C$4:$C$1503,$A2549))</f>
        <v/>
      </c>
      <c r="O2549" s="27">
        <f>IF($A2549="","",IF(COUNTIFS(NOVEDADES!$C$4:$C$1503,$A2549,NOVEDADES!$M$4:$M$1503,"SÍ")&gt;0,"No","Sí"))</f>
        <v/>
      </c>
      <c r="P2549" s="27">
        <f>IF(OR($A2549="",$K2549=""),"",IF(AND($M2549="Sí",$O2549="Sí"),"OTIF","Falló"))</f>
        <v/>
      </c>
    </row>
    <row r="2550" ht="16" customHeight="1">
      <c r="A2550" s="47" t="n"/>
      <c r="B2550" s="46" t="n"/>
      <c r="C2550" s="49" t="n"/>
      <c r="D2550" s="49" t="n"/>
      <c r="E2550" s="49" t="n"/>
      <c r="F2550" s="49" t="n"/>
      <c r="G2550" s="47" t="n"/>
      <c r="H2550" s="50" t="n"/>
      <c r="I2550" s="51" t="n"/>
      <c r="J2550" s="46" t="n"/>
      <c r="K2550" s="46" t="n"/>
      <c r="L2550" s="23">
        <f>IF(OR($A2550="",$B2550=""),"",IF($K2550&lt;&gt;"",$K2550-$B2550,TODAY()-$B2550))</f>
        <v/>
      </c>
      <c r="M2550" s="27">
        <f>IF(OR($A2550="",$J2550=""),"",IF($K2550="",IF(TODAY()&gt;$J2550,"Atrasado","En ruta"),IF($K2550&lt;=$J2550,"Sí","No")))</f>
        <v/>
      </c>
      <c r="N2550" s="23">
        <f>IF($A2550="","",COUNTIFS(NOVEDADES!$C$4:$C$1503,$A2550))</f>
        <v/>
      </c>
      <c r="O2550" s="27">
        <f>IF($A2550="","",IF(COUNTIFS(NOVEDADES!$C$4:$C$1503,$A2550,NOVEDADES!$M$4:$M$1503,"SÍ")&gt;0,"No","Sí"))</f>
        <v/>
      </c>
      <c r="P2550" s="27">
        <f>IF(OR($A2550="",$K2550=""),"",IF(AND($M2550="Sí",$O2550="Sí"),"OTIF","Falló"))</f>
        <v/>
      </c>
    </row>
    <row r="2551" ht="16" customHeight="1">
      <c r="A2551" s="47" t="n"/>
      <c r="B2551" s="46" t="n"/>
      <c r="C2551" s="49" t="n"/>
      <c r="D2551" s="49" t="n"/>
      <c r="E2551" s="49" t="n"/>
      <c r="F2551" s="49" t="n"/>
      <c r="G2551" s="47" t="n"/>
      <c r="H2551" s="50" t="n"/>
      <c r="I2551" s="51" t="n"/>
      <c r="J2551" s="46" t="n"/>
      <c r="K2551" s="46" t="n"/>
      <c r="L2551" s="23">
        <f>IF(OR($A2551="",$B2551=""),"",IF($K2551&lt;&gt;"",$K2551-$B2551,TODAY()-$B2551))</f>
        <v/>
      </c>
      <c r="M2551" s="27">
        <f>IF(OR($A2551="",$J2551=""),"",IF($K2551="",IF(TODAY()&gt;$J2551,"Atrasado","En ruta"),IF($K2551&lt;=$J2551,"Sí","No")))</f>
        <v/>
      </c>
      <c r="N2551" s="23">
        <f>IF($A2551="","",COUNTIFS(NOVEDADES!$C$4:$C$1503,$A2551))</f>
        <v/>
      </c>
      <c r="O2551" s="27">
        <f>IF($A2551="","",IF(COUNTIFS(NOVEDADES!$C$4:$C$1503,$A2551,NOVEDADES!$M$4:$M$1503,"SÍ")&gt;0,"No","Sí"))</f>
        <v/>
      </c>
      <c r="P2551" s="27">
        <f>IF(OR($A2551="",$K2551=""),"",IF(AND($M2551="Sí",$O2551="Sí"),"OTIF","Falló"))</f>
        <v/>
      </c>
    </row>
    <row r="2552" ht="16" customHeight="1">
      <c r="A2552" s="47" t="n"/>
      <c r="B2552" s="46" t="n"/>
      <c r="C2552" s="49" t="n"/>
      <c r="D2552" s="49" t="n"/>
      <c r="E2552" s="49" t="n"/>
      <c r="F2552" s="49" t="n"/>
      <c r="G2552" s="47" t="n"/>
      <c r="H2552" s="50" t="n"/>
      <c r="I2552" s="51" t="n"/>
      <c r="J2552" s="46" t="n"/>
      <c r="K2552" s="46" t="n"/>
      <c r="L2552" s="23">
        <f>IF(OR($A2552="",$B2552=""),"",IF($K2552&lt;&gt;"",$K2552-$B2552,TODAY()-$B2552))</f>
        <v/>
      </c>
      <c r="M2552" s="27">
        <f>IF(OR($A2552="",$J2552=""),"",IF($K2552="",IF(TODAY()&gt;$J2552,"Atrasado","En ruta"),IF($K2552&lt;=$J2552,"Sí","No")))</f>
        <v/>
      </c>
      <c r="N2552" s="23">
        <f>IF($A2552="","",COUNTIFS(NOVEDADES!$C$4:$C$1503,$A2552))</f>
        <v/>
      </c>
      <c r="O2552" s="27">
        <f>IF($A2552="","",IF(COUNTIFS(NOVEDADES!$C$4:$C$1503,$A2552,NOVEDADES!$M$4:$M$1503,"SÍ")&gt;0,"No","Sí"))</f>
        <v/>
      </c>
      <c r="P2552" s="27">
        <f>IF(OR($A2552="",$K2552=""),"",IF(AND($M2552="Sí",$O2552="Sí"),"OTIF","Falló"))</f>
        <v/>
      </c>
    </row>
    <row r="2553" ht="16" customHeight="1">
      <c r="A2553" s="47" t="n"/>
      <c r="B2553" s="46" t="n"/>
      <c r="C2553" s="49" t="n"/>
      <c r="D2553" s="49" t="n"/>
      <c r="E2553" s="49" t="n"/>
      <c r="F2553" s="49" t="n"/>
      <c r="G2553" s="47" t="n"/>
      <c r="H2553" s="50" t="n"/>
      <c r="I2553" s="51" t="n"/>
      <c r="J2553" s="46" t="n"/>
      <c r="K2553" s="46" t="n"/>
      <c r="L2553" s="23">
        <f>IF(OR($A2553="",$B2553=""),"",IF($K2553&lt;&gt;"",$K2553-$B2553,TODAY()-$B2553))</f>
        <v/>
      </c>
      <c r="M2553" s="27">
        <f>IF(OR($A2553="",$J2553=""),"",IF($K2553="",IF(TODAY()&gt;$J2553,"Atrasado","En ruta"),IF($K2553&lt;=$J2553,"Sí","No")))</f>
        <v/>
      </c>
      <c r="N2553" s="23">
        <f>IF($A2553="","",COUNTIFS(NOVEDADES!$C$4:$C$1503,$A2553))</f>
        <v/>
      </c>
      <c r="O2553" s="27">
        <f>IF($A2553="","",IF(COUNTIFS(NOVEDADES!$C$4:$C$1503,$A2553,NOVEDADES!$M$4:$M$1503,"SÍ")&gt;0,"No","Sí"))</f>
        <v/>
      </c>
      <c r="P2553" s="27">
        <f>IF(OR($A2553="",$K2553=""),"",IF(AND($M2553="Sí",$O2553="Sí"),"OTIF","Falló"))</f>
        <v/>
      </c>
    </row>
    <row r="2554" ht="16" customHeight="1">
      <c r="A2554" s="47" t="n"/>
      <c r="B2554" s="46" t="n"/>
      <c r="C2554" s="49" t="n"/>
      <c r="D2554" s="49" t="n"/>
      <c r="E2554" s="49" t="n"/>
      <c r="F2554" s="49" t="n"/>
      <c r="G2554" s="47" t="n"/>
      <c r="H2554" s="50" t="n"/>
      <c r="I2554" s="51" t="n"/>
      <c r="J2554" s="46" t="n"/>
      <c r="K2554" s="46" t="n"/>
      <c r="L2554" s="23">
        <f>IF(OR($A2554="",$B2554=""),"",IF($K2554&lt;&gt;"",$K2554-$B2554,TODAY()-$B2554))</f>
        <v/>
      </c>
      <c r="M2554" s="27">
        <f>IF(OR($A2554="",$J2554=""),"",IF($K2554="",IF(TODAY()&gt;$J2554,"Atrasado","En ruta"),IF($K2554&lt;=$J2554,"Sí","No")))</f>
        <v/>
      </c>
      <c r="N2554" s="23">
        <f>IF($A2554="","",COUNTIFS(NOVEDADES!$C$4:$C$1503,$A2554))</f>
        <v/>
      </c>
      <c r="O2554" s="27">
        <f>IF($A2554="","",IF(COUNTIFS(NOVEDADES!$C$4:$C$1503,$A2554,NOVEDADES!$M$4:$M$1503,"SÍ")&gt;0,"No","Sí"))</f>
        <v/>
      </c>
      <c r="P2554" s="27">
        <f>IF(OR($A2554="",$K2554=""),"",IF(AND($M2554="Sí",$O2554="Sí"),"OTIF","Falló"))</f>
        <v/>
      </c>
    </row>
    <row r="2555" ht="16" customHeight="1">
      <c r="A2555" s="47" t="n"/>
      <c r="B2555" s="46" t="n"/>
      <c r="C2555" s="49" t="n"/>
      <c r="D2555" s="49" t="n"/>
      <c r="E2555" s="49" t="n"/>
      <c r="F2555" s="49" t="n"/>
      <c r="G2555" s="47" t="n"/>
      <c r="H2555" s="50" t="n"/>
      <c r="I2555" s="51" t="n"/>
      <c r="J2555" s="46" t="n"/>
      <c r="K2555" s="46" t="n"/>
      <c r="L2555" s="23">
        <f>IF(OR($A2555="",$B2555=""),"",IF($K2555&lt;&gt;"",$K2555-$B2555,TODAY()-$B2555))</f>
        <v/>
      </c>
      <c r="M2555" s="27">
        <f>IF(OR($A2555="",$J2555=""),"",IF($K2555="",IF(TODAY()&gt;$J2555,"Atrasado","En ruta"),IF($K2555&lt;=$J2555,"Sí","No")))</f>
        <v/>
      </c>
      <c r="N2555" s="23">
        <f>IF($A2555="","",COUNTIFS(NOVEDADES!$C$4:$C$1503,$A2555))</f>
        <v/>
      </c>
      <c r="O2555" s="27">
        <f>IF($A2555="","",IF(COUNTIFS(NOVEDADES!$C$4:$C$1503,$A2555,NOVEDADES!$M$4:$M$1503,"SÍ")&gt;0,"No","Sí"))</f>
        <v/>
      </c>
      <c r="P2555" s="27">
        <f>IF(OR($A2555="",$K2555=""),"",IF(AND($M2555="Sí",$O2555="Sí"),"OTIF","Falló"))</f>
        <v/>
      </c>
    </row>
    <row r="2556" ht="16" customHeight="1">
      <c r="A2556" s="47" t="n"/>
      <c r="B2556" s="46" t="n"/>
      <c r="C2556" s="49" t="n"/>
      <c r="D2556" s="49" t="n"/>
      <c r="E2556" s="49" t="n"/>
      <c r="F2556" s="49" t="n"/>
      <c r="G2556" s="47" t="n"/>
      <c r="H2556" s="50" t="n"/>
      <c r="I2556" s="51" t="n"/>
      <c r="J2556" s="46" t="n"/>
      <c r="K2556" s="46" t="n"/>
      <c r="L2556" s="23">
        <f>IF(OR($A2556="",$B2556=""),"",IF($K2556&lt;&gt;"",$K2556-$B2556,TODAY()-$B2556))</f>
        <v/>
      </c>
      <c r="M2556" s="27">
        <f>IF(OR($A2556="",$J2556=""),"",IF($K2556="",IF(TODAY()&gt;$J2556,"Atrasado","En ruta"),IF($K2556&lt;=$J2556,"Sí","No")))</f>
        <v/>
      </c>
      <c r="N2556" s="23">
        <f>IF($A2556="","",COUNTIFS(NOVEDADES!$C$4:$C$1503,$A2556))</f>
        <v/>
      </c>
      <c r="O2556" s="27">
        <f>IF($A2556="","",IF(COUNTIFS(NOVEDADES!$C$4:$C$1503,$A2556,NOVEDADES!$M$4:$M$1503,"SÍ")&gt;0,"No","Sí"))</f>
        <v/>
      </c>
      <c r="P2556" s="27">
        <f>IF(OR($A2556="",$K2556=""),"",IF(AND($M2556="Sí",$O2556="Sí"),"OTIF","Falló"))</f>
        <v/>
      </c>
    </row>
    <row r="2557" ht="16" customHeight="1">
      <c r="A2557" s="47" t="n"/>
      <c r="B2557" s="46" t="n"/>
      <c r="C2557" s="49" t="n"/>
      <c r="D2557" s="49" t="n"/>
      <c r="E2557" s="49" t="n"/>
      <c r="F2557" s="49" t="n"/>
      <c r="G2557" s="47" t="n"/>
      <c r="H2557" s="50" t="n"/>
      <c r="I2557" s="51" t="n"/>
      <c r="J2557" s="46" t="n"/>
      <c r="K2557" s="46" t="n"/>
      <c r="L2557" s="23">
        <f>IF(OR($A2557="",$B2557=""),"",IF($K2557&lt;&gt;"",$K2557-$B2557,TODAY()-$B2557))</f>
        <v/>
      </c>
      <c r="M2557" s="27">
        <f>IF(OR($A2557="",$J2557=""),"",IF($K2557="",IF(TODAY()&gt;$J2557,"Atrasado","En ruta"),IF($K2557&lt;=$J2557,"Sí","No")))</f>
        <v/>
      </c>
      <c r="N2557" s="23">
        <f>IF($A2557="","",COUNTIFS(NOVEDADES!$C$4:$C$1503,$A2557))</f>
        <v/>
      </c>
      <c r="O2557" s="27">
        <f>IF($A2557="","",IF(COUNTIFS(NOVEDADES!$C$4:$C$1503,$A2557,NOVEDADES!$M$4:$M$1503,"SÍ")&gt;0,"No","Sí"))</f>
        <v/>
      </c>
      <c r="P2557" s="27">
        <f>IF(OR($A2557="",$K2557=""),"",IF(AND($M2557="Sí",$O2557="Sí"),"OTIF","Falló"))</f>
        <v/>
      </c>
    </row>
    <row r="2558" ht="16" customHeight="1">
      <c r="A2558" s="47" t="n"/>
      <c r="B2558" s="46" t="n"/>
      <c r="C2558" s="49" t="n"/>
      <c r="D2558" s="49" t="n"/>
      <c r="E2558" s="49" t="n"/>
      <c r="F2558" s="49" t="n"/>
      <c r="G2558" s="47" t="n"/>
      <c r="H2558" s="50" t="n"/>
      <c r="I2558" s="51" t="n"/>
      <c r="J2558" s="46" t="n"/>
      <c r="K2558" s="46" t="n"/>
      <c r="L2558" s="23">
        <f>IF(OR($A2558="",$B2558=""),"",IF($K2558&lt;&gt;"",$K2558-$B2558,TODAY()-$B2558))</f>
        <v/>
      </c>
      <c r="M2558" s="27">
        <f>IF(OR($A2558="",$J2558=""),"",IF($K2558="",IF(TODAY()&gt;$J2558,"Atrasado","En ruta"),IF($K2558&lt;=$J2558,"Sí","No")))</f>
        <v/>
      </c>
      <c r="N2558" s="23">
        <f>IF($A2558="","",COUNTIFS(NOVEDADES!$C$4:$C$1503,$A2558))</f>
        <v/>
      </c>
      <c r="O2558" s="27">
        <f>IF($A2558="","",IF(COUNTIFS(NOVEDADES!$C$4:$C$1503,$A2558,NOVEDADES!$M$4:$M$1503,"SÍ")&gt;0,"No","Sí"))</f>
        <v/>
      </c>
      <c r="P2558" s="27">
        <f>IF(OR($A2558="",$K2558=""),"",IF(AND($M2558="Sí",$O2558="Sí"),"OTIF","Falló"))</f>
        <v/>
      </c>
    </row>
    <row r="2559" ht="16" customHeight="1">
      <c r="A2559" s="47" t="n"/>
      <c r="B2559" s="46" t="n"/>
      <c r="C2559" s="49" t="n"/>
      <c r="D2559" s="49" t="n"/>
      <c r="E2559" s="49" t="n"/>
      <c r="F2559" s="49" t="n"/>
      <c r="G2559" s="47" t="n"/>
      <c r="H2559" s="50" t="n"/>
      <c r="I2559" s="51" t="n"/>
      <c r="J2559" s="46" t="n"/>
      <c r="K2559" s="46" t="n"/>
      <c r="L2559" s="23">
        <f>IF(OR($A2559="",$B2559=""),"",IF($K2559&lt;&gt;"",$K2559-$B2559,TODAY()-$B2559))</f>
        <v/>
      </c>
      <c r="M2559" s="27">
        <f>IF(OR($A2559="",$J2559=""),"",IF($K2559="",IF(TODAY()&gt;$J2559,"Atrasado","En ruta"),IF($K2559&lt;=$J2559,"Sí","No")))</f>
        <v/>
      </c>
      <c r="N2559" s="23">
        <f>IF($A2559="","",COUNTIFS(NOVEDADES!$C$4:$C$1503,$A2559))</f>
        <v/>
      </c>
      <c r="O2559" s="27">
        <f>IF($A2559="","",IF(COUNTIFS(NOVEDADES!$C$4:$C$1503,$A2559,NOVEDADES!$M$4:$M$1503,"SÍ")&gt;0,"No","Sí"))</f>
        <v/>
      </c>
      <c r="P2559" s="27">
        <f>IF(OR($A2559="",$K2559=""),"",IF(AND($M2559="Sí",$O2559="Sí"),"OTIF","Falló"))</f>
        <v/>
      </c>
    </row>
    <row r="2560" ht="16" customHeight="1">
      <c r="A2560" s="47" t="n"/>
      <c r="B2560" s="46" t="n"/>
      <c r="C2560" s="49" t="n"/>
      <c r="D2560" s="49" t="n"/>
      <c r="E2560" s="49" t="n"/>
      <c r="F2560" s="49" t="n"/>
      <c r="G2560" s="47" t="n"/>
      <c r="H2560" s="50" t="n"/>
      <c r="I2560" s="51" t="n"/>
      <c r="J2560" s="46" t="n"/>
      <c r="K2560" s="46" t="n"/>
      <c r="L2560" s="23">
        <f>IF(OR($A2560="",$B2560=""),"",IF($K2560&lt;&gt;"",$K2560-$B2560,TODAY()-$B2560))</f>
        <v/>
      </c>
      <c r="M2560" s="27">
        <f>IF(OR($A2560="",$J2560=""),"",IF($K2560="",IF(TODAY()&gt;$J2560,"Atrasado","En ruta"),IF($K2560&lt;=$J2560,"Sí","No")))</f>
        <v/>
      </c>
      <c r="N2560" s="23">
        <f>IF($A2560="","",COUNTIFS(NOVEDADES!$C$4:$C$1503,$A2560))</f>
        <v/>
      </c>
      <c r="O2560" s="27">
        <f>IF($A2560="","",IF(COUNTIFS(NOVEDADES!$C$4:$C$1503,$A2560,NOVEDADES!$M$4:$M$1503,"SÍ")&gt;0,"No","Sí"))</f>
        <v/>
      </c>
      <c r="P2560" s="27">
        <f>IF(OR($A2560="",$K2560=""),"",IF(AND($M2560="Sí",$O2560="Sí"),"OTIF","Falló"))</f>
        <v/>
      </c>
    </row>
    <row r="2561" ht="16" customHeight="1">
      <c r="A2561" s="47" t="n"/>
      <c r="B2561" s="46" t="n"/>
      <c r="C2561" s="49" t="n"/>
      <c r="D2561" s="49" t="n"/>
      <c r="E2561" s="49" t="n"/>
      <c r="F2561" s="49" t="n"/>
      <c r="G2561" s="47" t="n"/>
      <c r="H2561" s="50" t="n"/>
      <c r="I2561" s="51" t="n"/>
      <c r="J2561" s="46" t="n"/>
      <c r="K2561" s="46" t="n"/>
      <c r="L2561" s="23">
        <f>IF(OR($A2561="",$B2561=""),"",IF($K2561&lt;&gt;"",$K2561-$B2561,TODAY()-$B2561))</f>
        <v/>
      </c>
      <c r="M2561" s="27">
        <f>IF(OR($A2561="",$J2561=""),"",IF($K2561="",IF(TODAY()&gt;$J2561,"Atrasado","En ruta"),IF($K2561&lt;=$J2561,"Sí","No")))</f>
        <v/>
      </c>
      <c r="N2561" s="23">
        <f>IF($A2561="","",COUNTIFS(NOVEDADES!$C$4:$C$1503,$A2561))</f>
        <v/>
      </c>
      <c r="O2561" s="27">
        <f>IF($A2561="","",IF(COUNTIFS(NOVEDADES!$C$4:$C$1503,$A2561,NOVEDADES!$M$4:$M$1503,"SÍ")&gt;0,"No","Sí"))</f>
        <v/>
      </c>
      <c r="P2561" s="27">
        <f>IF(OR($A2561="",$K2561=""),"",IF(AND($M2561="Sí",$O2561="Sí"),"OTIF","Falló"))</f>
        <v/>
      </c>
    </row>
    <row r="2562" ht="16" customHeight="1">
      <c r="A2562" s="47" t="n"/>
      <c r="B2562" s="46" t="n"/>
      <c r="C2562" s="49" t="n"/>
      <c r="D2562" s="49" t="n"/>
      <c r="E2562" s="49" t="n"/>
      <c r="F2562" s="49" t="n"/>
      <c r="G2562" s="47" t="n"/>
      <c r="H2562" s="50" t="n"/>
      <c r="I2562" s="51" t="n"/>
      <c r="J2562" s="46" t="n"/>
      <c r="K2562" s="46" t="n"/>
      <c r="L2562" s="23">
        <f>IF(OR($A2562="",$B2562=""),"",IF($K2562&lt;&gt;"",$K2562-$B2562,TODAY()-$B2562))</f>
        <v/>
      </c>
      <c r="M2562" s="27">
        <f>IF(OR($A2562="",$J2562=""),"",IF($K2562="",IF(TODAY()&gt;$J2562,"Atrasado","En ruta"),IF($K2562&lt;=$J2562,"Sí","No")))</f>
        <v/>
      </c>
      <c r="N2562" s="23">
        <f>IF($A2562="","",COUNTIFS(NOVEDADES!$C$4:$C$1503,$A2562))</f>
        <v/>
      </c>
      <c r="O2562" s="27">
        <f>IF($A2562="","",IF(COUNTIFS(NOVEDADES!$C$4:$C$1503,$A2562,NOVEDADES!$M$4:$M$1503,"SÍ")&gt;0,"No","Sí"))</f>
        <v/>
      </c>
      <c r="P2562" s="27">
        <f>IF(OR($A2562="",$K2562=""),"",IF(AND($M2562="Sí",$O2562="Sí"),"OTIF","Falló"))</f>
        <v/>
      </c>
    </row>
    <row r="2563" ht="16" customHeight="1">
      <c r="A2563" s="47" t="n"/>
      <c r="B2563" s="46" t="n"/>
      <c r="C2563" s="49" t="n"/>
      <c r="D2563" s="49" t="n"/>
      <c r="E2563" s="49" t="n"/>
      <c r="F2563" s="49" t="n"/>
      <c r="G2563" s="47" t="n"/>
      <c r="H2563" s="50" t="n"/>
      <c r="I2563" s="51" t="n"/>
      <c r="J2563" s="46" t="n"/>
      <c r="K2563" s="46" t="n"/>
      <c r="L2563" s="23">
        <f>IF(OR($A2563="",$B2563=""),"",IF($K2563&lt;&gt;"",$K2563-$B2563,TODAY()-$B2563))</f>
        <v/>
      </c>
      <c r="M2563" s="27">
        <f>IF(OR($A2563="",$J2563=""),"",IF($K2563="",IF(TODAY()&gt;$J2563,"Atrasado","En ruta"),IF($K2563&lt;=$J2563,"Sí","No")))</f>
        <v/>
      </c>
      <c r="N2563" s="23">
        <f>IF($A2563="","",COUNTIFS(NOVEDADES!$C$4:$C$1503,$A2563))</f>
        <v/>
      </c>
      <c r="O2563" s="27">
        <f>IF($A2563="","",IF(COUNTIFS(NOVEDADES!$C$4:$C$1503,$A2563,NOVEDADES!$M$4:$M$1503,"SÍ")&gt;0,"No","Sí"))</f>
        <v/>
      </c>
      <c r="P2563" s="27">
        <f>IF(OR($A2563="",$K2563=""),"",IF(AND($M2563="Sí",$O2563="Sí"),"OTIF","Falló"))</f>
        <v/>
      </c>
    </row>
    <row r="2564" ht="16" customHeight="1">
      <c r="A2564" s="47" t="n"/>
      <c r="B2564" s="46" t="n"/>
      <c r="C2564" s="49" t="n"/>
      <c r="D2564" s="49" t="n"/>
      <c r="E2564" s="49" t="n"/>
      <c r="F2564" s="49" t="n"/>
      <c r="G2564" s="47" t="n"/>
      <c r="H2564" s="50" t="n"/>
      <c r="I2564" s="51" t="n"/>
      <c r="J2564" s="46" t="n"/>
      <c r="K2564" s="46" t="n"/>
      <c r="L2564" s="23">
        <f>IF(OR($A2564="",$B2564=""),"",IF($K2564&lt;&gt;"",$K2564-$B2564,TODAY()-$B2564))</f>
        <v/>
      </c>
      <c r="M2564" s="27">
        <f>IF(OR($A2564="",$J2564=""),"",IF($K2564="",IF(TODAY()&gt;$J2564,"Atrasado","En ruta"),IF($K2564&lt;=$J2564,"Sí","No")))</f>
        <v/>
      </c>
      <c r="N2564" s="23">
        <f>IF($A2564="","",COUNTIFS(NOVEDADES!$C$4:$C$1503,$A2564))</f>
        <v/>
      </c>
      <c r="O2564" s="27">
        <f>IF($A2564="","",IF(COUNTIFS(NOVEDADES!$C$4:$C$1503,$A2564,NOVEDADES!$M$4:$M$1503,"SÍ")&gt;0,"No","Sí"))</f>
        <v/>
      </c>
      <c r="P2564" s="27">
        <f>IF(OR($A2564="",$K2564=""),"",IF(AND($M2564="Sí",$O2564="Sí"),"OTIF","Falló"))</f>
        <v/>
      </c>
    </row>
    <row r="2565" ht="16" customHeight="1">
      <c r="A2565" s="47" t="n"/>
      <c r="B2565" s="46" t="n"/>
      <c r="C2565" s="49" t="n"/>
      <c r="D2565" s="49" t="n"/>
      <c r="E2565" s="49" t="n"/>
      <c r="F2565" s="49" t="n"/>
      <c r="G2565" s="47" t="n"/>
      <c r="H2565" s="50" t="n"/>
      <c r="I2565" s="51" t="n"/>
      <c r="J2565" s="46" t="n"/>
      <c r="K2565" s="46" t="n"/>
      <c r="L2565" s="23">
        <f>IF(OR($A2565="",$B2565=""),"",IF($K2565&lt;&gt;"",$K2565-$B2565,TODAY()-$B2565))</f>
        <v/>
      </c>
      <c r="M2565" s="27">
        <f>IF(OR($A2565="",$J2565=""),"",IF($K2565="",IF(TODAY()&gt;$J2565,"Atrasado","En ruta"),IF($K2565&lt;=$J2565,"Sí","No")))</f>
        <v/>
      </c>
      <c r="N2565" s="23">
        <f>IF($A2565="","",COUNTIFS(NOVEDADES!$C$4:$C$1503,$A2565))</f>
        <v/>
      </c>
      <c r="O2565" s="27">
        <f>IF($A2565="","",IF(COUNTIFS(NOVEDADES!$C$4:$C$1503,$A2565,NOVEDADES!$M$4:$M$1503,"SÍ")&gt;0,"No","Sí"))</f>
        <v/>
      </c>
      <c r="P2565" s="27">
        <f>IF(OR($A2565="",$K2565=""),"",IF(AND($M2565="Sí",$O2565="Sí"),"OTIF","Falló"))</f>
        <v/>
      </c>
    </row>
    <row r="2566" ht="16" customHeight="1">
      <c r="A2566" s="47" t="n"/>
      <c r="B2566" s="46" t="n"/>
      <c r="C2566" s="49" t="n"/>
      <c r="D2566" s="49" t="n"/>
      <c r="E2566" s="49" t="n"/>
      <c r="F2566" s="49" t="n"/>
      <c r="G2566" s="47" t="n"/>
      <c r="H2566" s="50" t="n"/>
      <c r="I2566" s="51" t="n"/>
      <c r="J2566" s="46" t="n"/>
      <c r="K2566" s="46" t="n"/>
      <c r="L2566" s="23">
        <f>IF(OR($A2566="",$B2566=""),"",IF($K2566&lt;&gt;"",$K2566-$B2566,TODAY()-$B2566))</f>
        <v/>
      </c>
      <c r="M2566" s="27">
        <f>IF(OR($A2566="",$J2566=""),"",IF($K2566="",IF(TODAY()&gt;$J2566,"Atrasado","En ruta"),IF($K2566&lt;=$J2566,"Sí","No")))</f>
        <v/>
      </c>
      <c r="N2566" s="23">
        <f>IF($A2566="","",COUNTIFS(NOVEDADES!$C$4:$C$1503,$A2566))</f>
        <v/>
      </c>
      <c r="O2566" s="27">
        <f>IF($A2566="","",IF(COUNTIFS(NOVEDADES!$C$4:$C$1503,$A2566,NOVEDADES!$M$4:$M$1503,"SÍ")&gt;0,"No","Sí"))</f>
        <v/>
      </c>
      <c r="P2566" s="27">
        <f>IF(OR($A2566="",$K2566=""),"",IF(AND($M2566="Sí",$O2566="Sí"),"OTIF","Falló"))</f>
        <v/>
      </c>
    </row>
    <row r="2567" ht="16" customHeight="1">
      <c r="A2567" s="47" t="n"/>
      <c r="B2567" s="46" t="n"/>
      <c r="C2567" s="49" t="n"/>
      <c r="D2567" s="49" t="n"/>
      <c r="E2567" s="49" t="n"/>
      <c r="F2567" s="49" t="n"/>
      <c r="G2567" s="47" t="n"/>
      <c r="H2567" s="50" t="n"/>
      <c r="I2567" s="51" t="n"/>
      <c r="J2567" s="46" t="n"/>
      <c r="K2567" s="46" t="n"/>
      <c r="L2567" s="23">
        <f>IF(OR($A2567="",$B2567=""),"",IF($K2567&lt;&gt;"",$K2567-$B2567,TODAY()-$B2567))</f>
        <v/>
      </c>
      <c r="M2567" s="27">
        <f>IF(OR($A2567="",$J2567=""),"",IF($K2567="",IF(TODAY()&gt;$J2567,"Atrasado","En ruta"),IF($K2567&lt;=$J2567,"Sí","No")))</f>
        <v/>
      </c>
      <c r="N2567" s="23">
        <f>IF($A2567="","",COUNTIFS(NOVEDADES!$C$4:$C$1503,$A2567))</f>
        <v/>
      </c>
      <c r="O2567" s="27">
        <f>IF($A2567="","",IF(COUNTIFS(NOVEDADES!$C$4:$C$1503,$A2567,NOVEDADES!$M$4:$M$1503,"SÍ")&gt;0,"No","Sí"))</f>
        <v/>
      </c>
      <c r="P2567" s="27">
        <f>IF(OR($A2567="",$K2567=""),"",IF(AND($M2567="Sí",$O2567="Sí"),"OTIF","Falló"))</f>
        <v/>
      </c>
    </row>
    <row r="2568" ht="16" customHeight="1">
      <c r="A2568" s="47" t="n"/>
      <c r="B2568" s="46" t="n"/>
      <c r="C2568" s="49" t="n"/>
      <c r="D2568" s="49" t="n"/>
      <c r="E2568" s="49" t="n"/>
      <c r="F2568" s="49" t="n"/>
      <c r="G2568" s="47" t="n"/>
      <c r="H2568" s="50" t="n"/>
      <c r="I2568" s="51" t="n"/>
      <c r="J2568" s="46" t="n"/>
      <c r="K2568" s="46" t="n"/>
      <c r="L2568" s="23">
        <f>IF(OR($A2568="",$B2568=""),"",IF($K2568&lt;&gt;"",$K2568-$B2568,TODAY()-$B2568))</f>
        <v/>
      </c>
      <c r="M2568" s="27">
        <f>IF(OR($A2568="",$J2568=""),"",IF($K2568="",IF(TODAY()&gt;$J2568,"Atrasado","En ruta"),IF($K2568&lt;=$J2568,"Sí","No")))</f>
        <v/>
      </c>
      <c r="N2568" s="23">
        <f>IF($A2568="","",COUNTIFS(NOVEDADES!$C$4:$C$1503,$A2568))</f>
        <v/>
      </c>
      <c r="O2568" s="27">
        <f>IF($A2568="","",IF(COUNTIFS(NOVEDADES!$C$4:$C$1503,$A2568,NOVEDADES!$M$4:$M$1503,"SÍ")&gt;0,"No","Sí"))</f>
        <v/>
      </c>
      <c r="P2568" s="27">
        <f>IF(OR($A2568="",$K2568=""),"",IF(AND($M2568="Sí",$O2568="Sí"),"OTIF","Falló"))</f>
        <v/>
      </c>
    </row>
    <row r="2569" ht="16" customHeight="1">
      <c r="A2569" s="47" t="n"/>
      <c r="B2569" s="46" t="n"/>
      <c r="C2569" s="49" t="n"/>
      <c r="D2569" s="49" t="n"/>
      <c r="E2569" s="49" t="n"/>
      <c r="F2569" s="49" t="n"/>
      <c r="G2569" s="47" t="n"/>
      <c r="H2569" s="50" t="n"/>
      <c r="I2569" s="51" t="n"/>
      <c r="J2569" s="46" t="n"/>
      <c r="K2569" s="46" t="n"/>
      <c r="L2569" s="23">
        <f>IF(OR($A2569="",$B2569=""),"",IF($K2569&lt;&gt;"",$K2569-$B2569,TODAY()-$B2569))</f>
        <v/>
      </c>
      <c r="M2569" s="27">
        <f>IF(OR($A2569="",$J2569=""),"",IF($K2569="",IF(TODAY()&gt;$J2569,"Atrasado","En ruta"),IF($K2569&lt;=$J2569,"Sí","No")))</f>
        <v/>
      </c>
      <c r="N2569" s="23">
        <f>IF($A2569="","",COUNTIFS(NOVEDADES!$C$4:$C$1503,$A2569))</f>
        <v/>
      </c>
      <c r="O2569" s="27">
        <f>IF($A2569="","",IF(COUNTIFS(NOVEDADES!$C$4:$C$1503,$A2569,NOVEDADES!$M$4:$M$1503,"SÍ")&gt;0,"No","Sí"))</f>
        <v/>
      </c>
      <c r="P2569" s="27">
        <f>IF(OR($A2569="",$K2569=""),"",IF(AND($M2569="Sí",$O2569="Sí"),"OTIF","Falló"))</f>
        <v/>
      </c>
    </row>
    <row r="2570" ht="16" customHeight="1">
      <c r="A2570" s="47" t="n"/>
      <c r="B2570" s="46" t="n"/>
      <c r="C2570" s="49" t="n"/>
      <c r="D2570" s="49" t="n"/>
      <c r="E2570" s="49" t="n"/>
      <c r="F2570" s="49" t="n"/>
      <c r="G2570" s="47" t="n"/>
      <c r="H2570" s="50" t="n"/>
      <c r="I2570" s="51" t="n"/>
      <c r="J2570" s="46" t="n"/>
      <c r="K2570" s="46" t="n"/>
      <c r="L2570" s="23">
        <f>IF(OR($A2570="",$B2570=""),"",IF($K2570&lt;&gt;"",$K2570-$B2570,TODAY()-$B2570))</f>
        <v/>
      </c>
      <c r="M2570" s="27">
        <f>IF(OR($A2570="",$J2570=""),"",IF($K2570="",IF(TODAY()&gt;$J2570,"Atrasado","En ruta"),IF($K2570&lt;=$J2570,"Sí","No")))</f>
        <v/>
      </c>
      <c r="N2570" s="23">
        <f>IF($A2570="","",COUNTIFS(NOVEDADES!$C$4:$C$1503,$A2570))</f>
        <v/>
      </c>
      <c r="O2570" s="27">
        <f>IF($A2570="","",IF(COUNTIFS(NOVEDADES!$C$4:$C$1503,$A2570,NOVEDADES!$M$4:$M$1503,"SÍ")&gt;0,"No","Sí"))</f>
        <v/>
      </c>
      <c r="P2570" s="27">
        <f>IF(OR($A2570="",$K2570=""),"",IF(AND($M2570="Sí",$O2570="Sí"),"OTIF","Falló"))</f>
        <v/>
      </c>
    </row>
    <row r="2571" ht="16" customHeight="1">
      <c r="A2571" s="47" t="n"/>
      <c r="B2571" s="46" t="n"/>
      <c r="C2571" s="49" t="n"/>
      <c r="D2571" s="49" t="n"/>
      <c r="E2571" s="49" t="n"/>
      <c r="F2571" s="49" t="n"/>
      <c r="G2571" s="47" t="n"/>
      <c r="H2571" s="50" t="n"/>
      <c r="I2571" s="51" t="n"/>
      <c r="J2571" s="46" t="n"/>
      <c r="K2571" s="46" t="n"/>
      <c r="L2571" s="23">
        <f>IF(OR($A2571="",$B2571=""),"",IF($K2571&lt;&gt;"",$K2571-$B2571,TODAY()-$B2571))</f>
        <v/>
      </c>
      <c r="M2571" s="27">
        <f>IF(OR($A2571="",$J2571=""),"",IF($K2571="",IF(TODAY()&gt;$J2571,"Atrasado","En ruta"),IF($K2571&lt;=$J2571,"Sí","No")))</f>
        <v/>
      </c>
      <c r="N2571" s="23">
        <f>IF($A2571="","",COUNTIFS(NOVEDADES!$C$4:$C$1503,$A2571))</f>
        <v/>
      </c>
      <c r="O2571" s="27">
        <f>IF($A2571="","",IF(COUNTIFS(NOVEDADES!$C$4:$C$1503,$A2571,NOVEDADES!$M$4:$M$1503,"SÍ")&gt;0,"No","Sí"))</f>
        <v/>
      </c>
      <c r="P2571" s="27">
        <f>IF(OR($A2571="",$K2571=""),"",IF(AND($M2571="Sí",$O2571="Sí"),"OTIF","Falló"))</f>
        <v/>
      </c>
    </row>
    <row r="2572" ht="16" customHeight="1">
      <c r="A2572" s="47" t="n"/>
      <c r="B2572" s="46" t="n"/>
      <c r="C2572" s="49" t="n"/>
      <c r="D2572" s="49" t="n"/>
      <c r="E2572" s="49" t="n"/>
      <c r="F2572" s="49" t="n"/>
      <c r="G2572" s="47" t="n"/>
      <c r="H2572" s="50" t="n"/>
      <c r="I2572" s="51" t="n"/>
      <c r="J2572" s="46" t="n"/>
      <c r="K2572" s="46" t="n"/>
      <c r="L2572" s="23">
        <f>IF(OR($A2572="",$B2572=""),"",IF($K2572&lt;&gt;"",$K2572-$B2572,TODAY()-$B2572))</f>
        <v/>
      </c>
      <c r="M2572" s="27">
        <f>IF(OR($A2572="",$J2572=""),"",IF($K2572="",IF(TODAY()&gt;$J2572,"Atrasado","En ruta"),IF($K2572&lt;=$J2572,"Sí","No")))</f>
        <v/>
      </c>
      <c r="N2572" s="23">
        <f>IF($A2572="","",COUNTIFS(NOVEDADES!$C$4:$C$1503,$A2572))</f>
        <v/>
      </c>
      <c r="O2572" s="27">
        <f>IF($A2572="","",IF(COUNTIFS(NOVEDADES!$C$4:$C$1503,$A2572,NOVEDADES!$M$4:$M$1503,"SÍ")&gt;0,"No","Sí"))</f>
        <v/>
      </c>
      <c r="P2572" s="27">
        <f>IF(OR($A2572="",$K2572=""),"",IF(AND($M2572="Sí",$O2572="Sí"),"OTIF","Falló"))</f>
        <v/>
      </c>
    </row>
    <row r="2573" ht="16" customHeight="1">
      <c r="A2573" s="47" t="n"/>
      <c r="B2573" s="46" t="n"/>
      <c r="C2573" s="49" t="n"/>
      <c r="D2573" s="49" t="n"/>
      <c r="E2573" s="49" t="n"/>
      <c r="F2573" s="49" t="n"/>
      <c r="G2573" s="47" t="n"/>
      <c r="H2573" s="50" t="n"/>
      <c r="I2573" s="51" t="n"/>
      <c r="J2573" s="46" t="n"/>
      <c r="K2573" s="46" t="n"/>
      <c r="L2573" s="23">
        <f>IF(OR($A2573="",$B2573=""),"",IF($K2573&lt;&gt;"",$K2573-$B2573,TODAY()-$B2573))</f>
        <v/>
      </c>
      <c r="M2573" s="27">
        <f>IF(OR($A2573="",$J2573=""),"",IF($K2573="",IF(TODAY()&gt;$J2573,"Atrasado","En ruta"),IF($K2573&lt;=$J2573,"Sí","No")))</f>
        <v/>
      </c>
      <c r="N2573" s="23">
        <f>IF($A2573="","",COUNTIFS(NOVEDADES!$C$4:$C$1503,$A2573))</f>
        <v/>
      </c>
      <c r="O2573" s="27">
        <f>IF($A2573="","",IF(COUNTIFS(NOVEDADES!$C$4:$C$1503,$A2573,NOVEDADES!$M$4:$M$1503,"SÍ")&gt;0,"No","Sí"))</f>
        <v/>
      </c>
      <c r="P2573" s="27">
        <f>IF(OR($A2573="",$K2573=""),"",IF(AND($M2573="Sí",$O2573="Sí"),"OTIF","Falló"))</f>
        <v/>
      </c>
    </row>
    <row r="2574" ht="16" customHeight="1">
      <c r="A2574" s="47" t="n"/>
      <c r="B2574" s="46" t="n"/>
      <c r="C2574" s="49" t="n"/>
      <c r="D2574" s="49" t="n"/>
      <c r="E2574" s="49" t="n"/>
      <c r="F2574" s="49" t="n"/>
      <c r="G2574" s="47" t="n"/>
      <c r="H2574" s="50" t="n"/>
      <c r="I2574" s="51" t="n"/>
      <c r="J2574" s="46" t="n"/>
      <c r="K2574" s="46" t="n"/>
      <c r="L2574" s="23">
        <f>IF(OR($A2574="",$B2574=""),"",IF($K2574&lt;&gt;"",$K2574-$B2574,TODAY()-$B2574))</f>
        <v/>
      </c>
      <c r="M2574" s="27">
        <f>IF(OR($A2574="",$J2574=""),"",IF($K2574="",IF(TODAY()&gt;$J2574,"Atrasado","En ruta"),IF($K2574&lt;=$J2574,"Sí","No")))</f>
        <v/>
      </c>
      <c r="N2574" s="23">
        <f>IF($A2574="","",COUNTIFS(NOVEDADES!$C$4:$C$1503,$A2574))</f>
        <v/>
      </c>
      <c r="O2574" s="27">
        <f>IF($A2574="","",IF(COUNTIFS(NOVEDADES!$C$4:$C$1503,$A2574,NOVEDADES!$M$4:$M$1503,"SÍ")&gt;0,"No","Sí"))</f>
        <v/>
      </c>
      <c r="P2574" s="27">
        <f>IF(OR($A2574="",$K2574=""),"",IF(AND($M2574="Sí",$O2574="Sí"),"OTIF","Falló"))</f>
        <v/>
      </c>
    </row>
    <row r="2575" ht="16" customHeight="1">
      <c r="A2575" s="47" t="n"/>
      <c r="B2575" s="46" t="n"/>
      <c r="C2575" s="49" t="n"/>
      <c r="D2575" s="49" t="n"/>
      <c r="E2575" s="49" t="n"/>
      <c r="F2575" s="49" t="n"/>
      <c r="G2575" s="47" t="n"/>
      <c r="H2575" s="50" t="n"/>
      <c r="I2575" s="51" t="n"/>
      <c r="J2575" s="46" t="n"/>
      <c r="K2575" s="46" t="n"/>
      <c r="L2575" s="23">
        <f>IF(OR($A2575="",$B2575=""),"",IF($K2575&lt;&gt;"",$K2575-$B2575,TODAY()-$B2575))</f>
        <v/>
      </c>
      <c r="M2575" s="27">
        <f>IF(OR($A2575="",$J2575=""),"",IF($K2575="",IF(TODAY()&gt;$J2575,"Atrasado","En ruta"),IF($K2575&lt;=$J2575,"Sí","No")))</f>
        <v/>
      </c>
      <c r="N2575" s="23">
        <f>IF($A2575="","",COUNTIFS(NOVEDADES!$C$4:$C$1503,$A2575))</f>
        <v/>
      </c>
      <c r="O2575" s="27">
        <f>IF($A2575="","",IF(COUNTIFS(NOVEDADES!$C$4:$C$1503,$A2575,NOVEDADES!$M$4:$M$1503,"SÍ")&gt;0,"No","Sí"))</f>
        <v/>
      </c>
      <c r="P2575" s="27">
        <f>IF(OR($A2575="",$K2575=""),"",IF(AND($M2575="Sí",$O2575="Sí"),"OTIF","Falló"))</f>
        <v/>
      </c>
    </row>
    <row r="2576" ht="16" customHeight="1">
      <c r="A2576" s="47" t="n"/>
      <c r="B2576" s="46" t="n"/>
      <c r="C2576" s="49" t="n"/>
      <c r="D2576" s="49" t="n"/>
      <c r="E2576" s="49" t="n"/>
      <c r="F2576" s="49" t="n"/>
      <c r="G2576" s="47" t="n"/>
      <c r="H2576" s="50" t="n"/>
      <c r="I2576" s="51" t="n"/>
      <c r="J2576" s="46" t="n"/>
      <c r="K2576" s="46" t="n"/>
      <c r="L2576" s="23">
        <f>IF(OR($A2576="",$B2576=""),"",IF($K2576&lt;&gt;"",$K2576-$B2576,TODAY()-$B2576))</f>
        <v/>
      </c>
      <c r="M2576" s="27">
        <f>IF(OR($A2576="",$J2576=""),"",IF($K2576="",IF(TODAY()&gt;$J2576,"Atrasado","En ruta"),IF($K2576&lt;=$J2576,"Sí","No")))</f>
        <v/>
      </c>
      <c r="N2576" s="23">
        <f>IF($A2576="","",COUNTIFS(NOVEDADES!$C$4:$C$1503,$A2576))</f>
        <v/>
      </c>
      <c r="O2576" s="27">
        <f>IF($A2576="","",IF(COUNTIFS(NOVEDADES!$C$4:$C$1503,$A2576,NOVEDADES!$M$4:$M$1503,"SÍ")&gt;0,"No","Sí"))</f>
        <v/>
      </c>
      <c r="P2576" s="27">
        <f>IF(OR($A2576="",$K2576=""),"",IF(AND($M2576="Sí",$O2576="Sí"),"OTIF","Falló"))</f>
        <v/>
      </c>
    </row>
    <row r="2577" ht="16" customHeight="1">
      <c r="A2577" s="47" t="n"/>
      <c r="B2577" s="46" t="n"/>
      <c r="C2577" s="49" t="n"/>
      <c r="D2577" s="49" t="n"/>
      <c r="E2577" s="49" t="n"/>
      <c r="F2577" s="49" t="n"/>
      <c r="G2577" s="47" t="n"/>
      <c r="H2577" s="50" t="n"/>
      <c r="I2577" s="51" t="n"/>
      <c r="J2577" s="46" t="n"/>
      <c r="K2577" s="46" t="n"/>
      <c r="L2577" s="23">
        <f>IF(OR($A2577="",$B2577=""),"",IF($K2577&lt;&gt;"",$K2577-$B2577,TODAY()-$B2577))</f>
        <v/>
      </c>
      <c r="M2577" s="27">
        <f>IF(OR($A2577="",$J2577=""),"",IF($K2577="",IF(TODAY()&gt;$J2577,"Atrasado","En ruta"),IF($K2577&lt;=$J2577,"Sí","No")))</f>
        <v/>
      </c>
      <c r="N2577" s="23">
        <f>IF($A2577="","",COUNTIFS(NOVEDADES!$C$4:$C$1503,$A2577))</f>
        <v/>
      </c>
      <c r="O2577" s="27">
        <f>IF($A2577="","",IF(COUNTIFS(NOVEDADES!$C$4:$C$1503,$A2577,NOVEDADES!$M$4:$M$1503,"SÍ")&gt;0,"No","Sí"))</f>
        <v/>
      </c>
      <c r="P2577" s="27">
        <f>IF(OR($A2577="",$K2577=""),"",IF(AND($M2577="Sí",$O2577="Sí"),"OTIF","Falló"))</f>
        <v/>
      </c>
    </row>
    <row r="2578" ht="16" customHeight="1">
      <c r="A2578" s="47" t="n"/>
      <c r="B2578" s="46" t="n"/>
      <c r="C2578" s="49" t="n"/>
      <c r="D2578" s="49" t="n"/>
      <c r="E2578" s="49" t="n"/>
      <c r="F2578" s="49" t="n"/>
      <c r="G2578" s="47" t="n"/>
      <c r="H2578" s="50" t="n"/>
      <c r="I2578" s="51" t="n"/>
      <c r="J2578" s="46" t="n"/>
      <c r="K2578" s="46" t="n"/>
      <c r="L2578" s="23">
        <f>IF(OR($A2578="",$B2578=""),"",IF($K2578&lt;&gt;"",$K2578-$B2578,TODAY()-$B2578))</f>
        <v/>
      </c>
      <c r="M2578" s="27">
        <f>IF(OR($A2578="",$J2578=""),"",IF($K2578="",IF(TODAY()&gt;$J2578,"Atrasado","En ruta"),IF($K2578&lt;=$J2578,"Sí","No")))</f>
        <v/>
      </c>
      <c r="N2578" s="23">
        <f>IF($A2578="","",COUNTIFS(NOVEDADES!$C$4:$C$1503,$A2578))</f>
        <v/>
      </c>
      <c r="O2578" s="27">
        <f>IF($A2578="","",IF(COUNTIFS(NOVEDADES!$C$4:$C$1503,$A2578,NOVEDADES!$M$4:$M$1503,"SÍ")&gt;0,"No","Sí"))</f>
        <v/>
      </c>
      <c r="P2578" s="27">
        <f>IF(OR($A2578="",$K2578=""),"",IF(AND($M2578="Sí",$O2578="Sí"),"OTIF","Falló"))</f>
        <v/>
      </c>
    </row>
    <row r="2579" ht="16" customHeight="1">
      <c r="A2579" s="47" t="n"/>
      <c r="B2579" s="46" t="n"/>
      <c r="C2579" s="49" t="n"/>
      <c r="D2579" s="49" t="n"/>
      <c r="E2579" s="49" t="n"/>
      <c r="F2579" s="49" t="n"/>
      <c r="G2579" s="47" t="n"/>
      <c r="H2579" s="50" t="n"/>
      <c r="I2579" s="51" t="n"/>
      <c r="J2579" s="46" t="n"/>
      <c r="K2579" s="46" t="n"/>
      <c r="L2579" s="23">
        <f>IF(OR($A2579="",$B2579=""),"",IF($K2579&lt;&gt;"",$K2579-$B2579,TODAY()-$B2579))</f>
        <v/>
      </c>
      <c r="M2579" s="27">
        <f>IF(OR($A2579="",$J2579=""),"",IF($K2579="",IF(TODAY()&gt;$J2579,"Atrasado","En ruta"),IF($K2579&lt;=$J2579,"Sí","No")))</f>
        <v/>
      </c>
      <c r="N2579" s="23">
        <f>IF($A2579="","",COUNTIFS(NOVEDADES!$C$4:$C$1503,$A2579))</f>
        <v/>
      </c>
      <c r="O2579" s="27">
        <f>IF($A2579="","",IF(COUNTIFS(NOVEDADES!$C$4:$C$1503,$A2579,NOVEDADES!$M$4:$M$1503,"SÍ")&gt;0,"No","Sí"))</f>
        <v/>
      </c>
      <c r="P2579" s="27">
        <f>IF(OR($A2579="",$K2579=""),"",IF(AND($M2579="Sí",$O2579="Sí"),"OTIF","Falló"))</f>
        <v/>
      </c>
    </row>
    <row r="2580" ht="16" customHeight="1">
      <c r="A2580" s="47" t="n"/>
      <c r="B2580" s="46" t="n"/>
      <c r="C2580" s="49" t="n"/>
      <c r="D2580" s="49" t="n"/>
      <c r="E2580" s="49" t="n"/>
      <c r="F2580" s="49" t="n"/>
      <c r="G2580" s="47" t="n"/>
      <c r="H2580" s="50" t="n"/>
      <c r="I2580" s="51" t="n"/>
      <c r="J2580" s="46" t="n"/>
      <c r="K2580" s="46" t="n"/>
      <c r="L2580" s="23">
        <f>IF(OR($A2580="",$B2580=""),"",IF($K2580&lt;&gt;"",$K2580-$B2580,TODAY()-$B2580))</f>
        <v/>
      </c>
      <c r="M2580" s="27">
        <f>IF(OR($A2580="",$J2580=""),"",IF($K2580="",IF(TODAY()&gt;$J2580,"Atrasado","En ruta"),IF($K2580&lt;=$J2580,"Sí","No")))</f>
        <v/>
      </c>
      <c r="N2580" s="23">
        <f>IF($A2580="","",COUNTIFS(NOVEDADES!$C$4:$C$1503,$A2580))</f>
        <v/>
      </c>
      <c r="O2580" s="27">
        <f>IF($A2580="","",IF(COUNTIFS(NOVEDADES!$C$4:$C$1503,$A2580,NOVEDADES!$M$4:$M$1503,"SÍ")&gt;0,"No","Sí"))</f>
        <v/>
      </c>
      <c r="P2580" s="27">
        <f>IF(OR($A2580="",$K2580=""),"",IF(AND($M2580="Sí",$O2580="Sí"),"OTIF","Falló"))</f>
        <v/>
      </c>
    </row>
    <row r="2581" ht="16" customHeight="1">
      <c r="A2581" s="47" t="n"/>
      <c r="B2581" s="46" t="n"/>
      <c r="C2581" s="49" t="n"/>
      <c r="D2581" s="49" t="n"/>
      <c r="E2581" s="49" t="n"/>
      <c r="F2581" s="49" t="n"/>
      <c r="G2581" s="47" t="n"/>
      <c r="H2581" s="50" t="n"/>
      <c r="I2581" s="51" t="n"/>
      <c r="J2581" s="46" t="n"/>
      <c r="K2581" s="46" t="n"/>
      <c r="L2581" s="23">
        <f>IF(OR($A2581="",$B2581=""),"",IF($K2581&lt;&gt;"",$K2581-$B2581,TODAY()-$B2581))</f>
        <v/>
      </c>
      <c r="M2581" s="27">
        <f>IF(OR($A2581="",$J2581=""),"",IF($K2581="",IF(TODAY()&gt;$J2581,"Atrasado","En ruta"),IF($K2581&lt;=$J2581,"Sí","No")))</f>
        <v/>
      </c>
      <c r="N2581" s="23">
        <f>IF($A2581="","",COUNTIFS(NOVEDADES!$C$4:$C$1503,$A2581))</f>
        <v/>
      </c>
      <c r="O2581" s="27">
        <f>IF($A2581="","",IF(COUNTIFS(NOVEDADES!$C$4:$C$1503,$A2581,NOVEDADES!$M$4:$M$1503,"SÍ")&gt;0,"No","Sí"))</f>
        <v/>
      </c>
      <c r="P2581" s="27">
        <f>IF(OR($A2581="",$K2581=""),"",IF(AND($M2581="Sí",$O2581="Sí"),"OTIF","Falló"))</f>
        <v/>
      </c>
    </row>
    <row r="2582" ht="16" customHeight="1">
      <c r="A2582" s="47" t="n"/>
      <c r="B2582" s="46" t="n"/>
      <c r="C2582" s="49" t="n"/>
      <c r="D2582" s="49" t="n"/>
      <c r="E2582" s="49" t="n"/>
      <c r="F2582" s="49" t="n"/>
      <c r="G2582" s="47" t="n"/>
      <c r="H2582" s="50" t="n"/>
      <c r="I2582" s="51" t="n"/>
      <c r="J2582" s="46" t="n"/>
      <c r="K2582" s="46" t="n"/>
      <c r="L2582" s="23">
        <f>IF(OR($A2582="",$B2582=""),"",IF($K2582&lt;&gt;"",$K2582-$B2582,TODAY()-$B2582))</f>
        <v/>
      </c>
      <c r="M2582" s="27">
        <f>IF(OR($A2582="",$J2582=""),"",IF($K2582="",IF(TODAY()&gt;$J2582,"Atrasado","En ruta"),IF($K2582&lt;=$J2582,"Sí","No")))</f>
        <v/>
      </c>
      <c r="N2582" s="23">
        <f>IF($A2582="","",COUNTIFS(NOVEDADES!$C$4:$C$1503,$A2582))</f>
        <v/>
      </c>
      <c r="O2582" s="27">
        <f>IF($A2582="","",IF(COUNTIFS(NOVEDADES!$C$4:$C$1503,$A2582,NOVEDADES!$M$4:$M$1503,"SÍ")&gt;0,"No","Sí"))</f>
        <v/>
      </c>
      <c r="P2582" s="27">
        <f>IF(OR($A2582="",$K2582=""),"",IF(AND($M2582="Sí",$O2582="Sí"),"OTIF","Falló"))</f>
        <v/>
      </c>
    </row>
    <row r="2583" ht="16" customHeight="1">
      <c r="A2583" s="47" t="n"/>
      <c r="B2583" s="46" t="n"/>
      <c r="C2583" s="49" t="n"/>
      <c r="D2583" s="49" t="n"/>
      <c r="E2583" s="49" t="n"/>
      <c r="F2583" s="49" t="n"/>
      <c r="G2583" s="47" t="n"/>
      <c r="H2583" s="50" t="n"/>
      <c r="I2583" s="51" t="n"/>
      <c r="J2583" s="46" t="n"/>
      <c r="K2583" s="46" t="n"/>
      <c r="L2583" s="23">
        <f>IF(OR($A2583="",$B2583=""),"",IF($K2583&lt;&gt;"",$K2583-$B2583,TODAY()-$B2583))</f>
        <v/>
      </c>
      <c r="M2583" s="27">
        <f>IF(OR($A2583="",$J2583=""),"",IF($K2583="",IF(TODAY()&gt;$J2583,"Atrasado","En ruta"),IF($K2583&lt;=$J2583,"Sí","No")))</f>
        <v/>
      </c>
      <c r="N2583" s="23">
        <f>IF($A2583="","",COUNTIFS(NOVEDADES!$C$4:$C$1503,$A2583))</f>
        <v/>
      </c>
      <c r="O2583" s="27">
        <f>IF($A2583="","",IF(COUNTIFS(NOVEDADES!$C$4:$C$1503,$A2583,NOVEDADES!$M$4:$M$1503,"SÍ")&gt;0,"No","Sí"))</f>
        <v/>
      </c>
      <c r="P2583" s="27">
        <f>IF(OR($A2583="",$K2583=""),"",IF(AND($M2583="Sí",$O2583="Sí"),"OTIF","Falló"))</f>
        <v/>
      </c>
    </row>
    <row r="2584" ht="16" customHeight="1">
      <c r="A2584" s="47" t="n"/>
      <c r="B2584" s="46" t="n"/>
      <c r="C2584" s="49" t="n"/>
      <c r="D2584" s="49" t="n"/>
      <c r="E2584" s="49" t="n"/>
      <c r="F2584" s="49" t="n"/>
      <c r="G2584" s="47" t="n"/>
      <c r="H2584" s="50" t="n"/>
      <c r="I2584" s="51" t="n"/>
      <c r="J2584" s="46" t="n"/>
      <c r="K2584" s="46" t="n"/>
      <c r="L2584" s="23">
        <f>IF(OR($A2584="",$B2584=""),"",IF($K2584&lt;&gt;"",$K2584-$B2584,TODAY()-$B2584))</f>
        <v/>
      </c>
      <c r="M2584" s="27">
        <f>IF(OR($A2584="",$J2584=""),"",IF($K2584="",IF(TODAY()&gt;$J2584,"Atrasado","En ruta"),IF($K2584&lt;=$J2584,"Sí","No")))</f>
        <v/>
      </c>
      <c r="N2584" s="23">
        <f>IF($A2584="","",COUNTIFS(NOVEDADES!$C$4:$C$1503,$A2584))</f>
        <v/>
      </c>
      <c r="O2584" s="27">
        <f>IF($A2584="","",IF(COUNTIFS(NOVEDADES!$C$4:$C$1503,$A2584,NOVEDADES!$M$4:$M$1503,"SÍ")&gt;0,"No","Sí"))</f>
        <v/>
      </c>
      <c r="P2584" s="27">
        <f>IF(OR($A2584="",$K2584=""),"",IF(AND($M2584="Sí",$O2584="Sí"),"OTIF","Falló"))</f>
        <v/>
      </c>
    </row>
    <row r="2585" ht="16" customHeight="1">
      <c r="A2585" s="47" t="n"/>
      <c r="B2585" s="46" t="n"/>
      <c r="C2585" s="49" t="n"/>
      <c r="D2585" s="49" t="n"/>
      <c r="E2585" s="49" t="n"/>
      <c r="F2585" s="49" t="n"/>
      <c r="G2585" s="47" t="n"/>
      <c r="H2585" s="50" t="n"/>
      <c r="I2585" s="51" t="n"/>
      <c r="J2585" s="46" t="n"/>
      <c r="K2585" s="46" t="n"/>
      <c r="L2585" s="23">
        <f>IF(OR($A2585="",$B2585=""),"",IF($K2585&lt;&gt;"",$K2585-$B2585,TODAY()-$B2585))</f>
        <v/>
      </c>
      <c r="M2585" s="27">
        <f>IF(OR($A2585="",$J2585=""),"",IF($K2585="",IF(TODAY()&gt;$J2585,"Atrasado","En ruta"),IF($K2585&lt;=$J2585,"Sí","No")))</f>
        <v/>
      </c>
      <c r="N2585" s="23">
        <f>IF($A2585="","",COUNTIFS(NOVEDADES!$C$4:$C$1503,$A2585))</f>
        <v/>
      </c>
      <c r="O2585" s="27">
        <f>IF($A2585="","",IF(COUNTIFS(NOVEDADES!$C$4:$C$1503,$A2585,NOVEDADES!$M$4:$M$1503,"SÍ")&gt;0,"No","Sí"))</f>
        <v/>
      </c>
      <c r="P2585" s="27">
        <f>IF(OR($A2585="",$K2585=""),"",IF(AND($M2585="Sí",$O2585="Sí"),"OTIF","Falló"))</f>
        <v/>
      </c>
    </row>
    <row r="2586" ht="16" customHeight="1">
      <c r="A2586" s="47" t="n"/>
      <c r="B2586" s="46" t="n"/>
      <c r="C2586" s="49" t="n"/>
      <c r="D2586" s="49" t="n"/>
      <c r="E2586" s="49" t="n"/>
      <c r="F2586" s="49" t="n"/>
      <c r="G2586" s="47" t="n"/>
      <c r="H2586" s="50" t="n"/>
      <c r="I2586" s="51" t="n"/>
      <c r="J2586" s="46" t="n"/>
      <c r="K2586" s="46" t="n"/>
      <c r="L2586" s="23">
        <f>IF(OR($A2586="",$B2586=""),"",IF($K2586&lt;&gt;"",$K2586-$B2586,TODAY()-$B2586))</f>
        <v/>
      </c>
      <c r="M2586" s="27">
        <f>IF(OR($A2586="",$J2586=""),"",IF($K2586="",IF(TODAY()&gt;$J2586,"Atrasado","En ruta"),IF($K2586&lt;=$J2586,"Sí","No")))</f>
        <v/>
      </c>
      <c r="N2586" s="23">
        <f>IF($A2586="","",COUNTIFS(NOVEDADES!$C$4:$C$1503,$A2586))</f>
        <v/>
      </c>
      <c r="O2586" s="27">
        <f>IF($A2586="","",IF(COUNTIFS(NOVEDADES!$C$4:$C$1503,$A2586,NOVEDADES!$M$4:$M$1503,"SÍ")&gt;0,"No","Sí"))</f>
        <v/>
      </c>
      <c r="P2586" s="27">
        <f>IF(OR($A2586="",$K2586=""),"",IF(AND($M2586="Sí",$O2586="Sí"),"OTIF","Falló"))</f>
        <v/>
      </c>
    </row>
    <row r="2587" ht="16" customHeight="1">
      <c r="A2587" s="47" t="n"/>
      <c r="B2587" s="46" t="n"/>
      <c r="C2587" s="49" t="n"/>
      <c r="D2587" s="49" t="n"/>
      <c r="E2587" s="49" t="n"/>
      <c r="F2587" s="49" t="n"/>
      <c r="G2587" s="47" t="n"/>
      <c r="H2587" s="50" t="n"/>
      <c r="I2587" s="51" t="n"/>
      <c r="J2587" s="46" t="n"/>
      <c r="K2587" s="46" t="n"/>
      <c r="L2587" s="23">
        <f>IF(OR($A2587="",$B2587=""),"",IF($K2587&lt;&gt;"",$K2587-$B2587,TODAY()-$B2587))</f>
        <v/>
      </c>
      <c r="M2587" s="27">
        <f>IF(OR($A2587="",$J2587=""),"",IF($K2587="",IF(TODAY()&gt;$J2587,"Atrasado","En ruta"),IF($K2587&lt;=$J2587,"Sí","No")))</f>
        <v/>
      </c>
      <c r="N2587" s="23">
        <f>IF($A2587="","",COUNTIFS(NOVEDADES!$C$4:$C$1503,$A2587))</f>
        <v/>
      </c>
      <c r="O2587" s="27">
        <f>IF($A2587="","",IF(COUNTIFS(NOVEDADES!$C$4:$C$1503,$A2587,NOVEDADES!$M$4:$M$1503,"SÍ")&gt;0,"No","Sí"))</f>
        <v/>
      </c>
      <c r="P2587" s="27">
        <f>IF(OR($A2587="",$K2587=""),"",IF(AND($M2587="Sí",$O2587="Sí"),"OTIF","Falló"))</f>
        <v/>
      </c>
    </row>
    <row r="2588" ht="16" customHeight="1">
      <c r="A2588" s="47" t="n"/>
      <c r="B2588" s="46" t="n"/>
      <c r="C2588" s="49" t="n"/>
      <c r="D2588" s="49" t="n"/>
      <c r="E2588" s="49" t="n"/>
      <c r="F2588" s="49" t="n"/>
      <c r="G2588" s="47" t="n"/>
      <c r="H2588" s="50" t="n"/>
      <c r="I2588" s="51" t="n"/>
      <c r="J2588" s="46" t="n"/>
      <c r="K2588" s="46" t="n"/>
      <c r="L2588" s="23">
        <f>IF(OR($A2588="",$B2588=""),"",IF($K2588&lt;&gt;"",$K2588-$B2588,TODAY()-$B2588))</f>
        <v/>
      </c>
      <c r="M2588" s="27">
        <f>IF(OR($A2588="",$J2588=""),"",IF($K2588="",IF(TODAY()&gt;$J2588,"Atrasado","En ruta"),IF($K2588&lt;=$J2588,"Sí","No")))</f>
        <v/>
      </c>
      <c r="N2588" s="23">
        <f>IF($A2588="","",COUNTIFS(NOVEDADES!$C$4:$C$1503,$A2588))</f>
        <v/>
      </c>
      <c r="O2588" s="27">
        <f>IF($A2588="","",IF(COUNTIFS(NOVEDADES!$C$4:$C$1503,$A2588,NOVEDADES!$M$4:$M$1503,"SÍ")&gt;0,"No","Sí"))</f>
        <v/>
      </c>
      <c r="P2588" s="27">
        <f>IF(OR($A2588="",$K2588=""),"",IF(AND($M2588="Sí",$O2588="Sí"),"OTIF","Falló"))</f>
        <v/>
      </c>
    </row>
    <row r="2589" ht="16" customHeight="1">
      <c r="A2589" s="47" t="n"/>
      <c r="B2589" s="46" t="n"/>
      <c r="C2589" s="49" t="n"/>
      <c r="D2589" s="49" t="n"/>
      <c r="E2589" s="49" t="n"/>
      <c r="F2589" s="49" t="n"/>
      <c r="G2589" s="47" t="n"/>
      <c r="H2589" s="50" t="n"/>
      <c r="I2589" s="51" t="n"/>
      <c r="J2589" s="46" t="n"/>
      <c r="K2589" s="46" t="n"/>
      <c r="L2589" s="23">
        <f>IF(OR($A2589="",$B2589=""),"",IF($K2589&lt;&gt;"",$K2589-$B2589,TODAY()-$B2589))</f>
        <v/>
      </c>
      <c r="M2589" s="27">
        <f>IF(OR($A2589="",$J2589=""),"",IF($K2589="",IF(TODAY()&gt;$J2589,"Atrasado","En ruta"),IF($K2589&lt;=$J2589,"Sí","No")))</f>
        <v/>
      </c>
      <c r="N2589" s="23">
        <f>IF($A2589="","",COUNTIFS(NOVEDADES!$C$4:$C$1503,$A2589))</f>
        <v/>
      </c>
      <c r="O2589" s="27">
        <f>IF($A2589="","",IF(COUNTIFS(NOVEDADES!$C$4:$C$1503,$A2589,NOVEDADES!$M$4:$M$1503,"SÍ")&gt;0,"No","Sí"))</f>
        <v/>
      </c>
      <c r="P2589" s="27">
        <f>IF(OR($A2589="",$K2589=""),"",IF(AND($M2589="Sí",$O2589="Sí"),"OTIF","Falló"))</f>
        <v/>
      </c>
    </row>
    <row r="2590" ht="16" customHeight="1">
      <c r="A2590" s="47" t="n"/>
      <c r="B2590" s="46" t="n"/>
      <c r="C2590" s="49" t="n"/>
      <c r="D2590" s="49" t="n"/>
      <c r="E2590" s="49" t="n"/>
      <c r="F2590" s="49" t="n"/>
      <c r="G2590" s="47" t="n"/>
      <c r="H2590" s="50" t="n"/>
      <c r="I2590" s="51" t="n"/>
      <c r="J2590" s="46" t="n"/>
      <c r="K2590" s="46" t="n"/>
      <c r="L2590" s="23">
        <f>IF(OR($A2590="",$B2590=""),"",IF($K2590&lt;&gt;"",$K2590-$B2590,TODAY()-$B2590))</f>
        <v/>
      </c>
      <c r="M2590" s="27">
        <f>IF(OR($A2590="",$J2590=""),"",IF($K2590="",IF(TODAY()&gt;$J2590,"Atrasado","En ruta"),IF($K2590&lt;=$J2590,"Sí","No")))</f>
        <v/>
      </c>
      <c r="N2590" s="23">
        <f>IF($A2590="","",COUNTIFS(NOVEDADES!$C$4:$C$1503,$A2590))</f>
        <v/>
      </c>
      <c r="O2590" s="27">
        <f>IF($A2590="","",IF(COUNTIFS(NOVEDADES!$C$4:$C$1503,$A2590,NOVEDADES!$M$4:$M$1503,"SÍ")&gt;0,"No","Sí"))</f>
        <v/>
      </c>
      <c r="P2590" s="27">
        <f>IF(OR($A2590="",$K2590=""),"",IF(AND($M2590="Sí",$O2590="Sí"),"OTIF","Falló"))</f>
        <v/>
      </c>
    </row>
    <row r="2591" ht="16" customHeight="1">
      <c r="A2591" s="47" t="n"/>
      <c r="B2591" s="46" t="n"/>
      <c r="C2591" s="49" t="n"/>
      <c r="D2591" s="49" t="n"/>
      <c r="E2591" s="49" t="n"/>
      <c r="F2591" s="49" t="n"/>
      <c r="G2591" s="47" t="n"/>
      <c r="H2591" s="50" t="n"/>
      <c r="I2591" s="51" t="n"/>
      <c r="J2591" s="46" t="n"/>
      <c r="K2591" s="46" t="n"/>
      <c r="L2591" s="23">
        <f>IF(OR($A2591="",$B2591=""),"",IF($K2591&lt;&gt;"",$K2591-$B2591,TODAY()-$B2591))</f>
        <v/>
      </c>
      <c r="M2591" s="27">
        <f>IF(OR($A2591="",$J2591=""),"",IF($K2591="",IF(TODAY()&gt;$J2591,"Atrasado","En ruta"),IF($K2591&lt;=$J2591,"Sí","No")))</f>
        <v/>
      </c>
      <c r="N2591" s="23">
        <f>IF($A2591="","",COUNTIFS(NOVEDADES!$C$4:$C$1503,$A2591))</f>
        <v/>
      </c>
      <c r="O2591" s="27">
        <f>IF($A2591="","",IF(COUNTIFS(NOVEDADES!$C$4:$C$1503,$A2591,NOVEDADES!$M$4:$M$1503,"SÍ")&gt;0,"No","Sí"))</f>
        <v/>
      </c>
      <c r="P2591" s="27">
        <f>IF(OR($A2591="",$K2591=""),"",IF(AND($M2591="Sí",$O2591="Sí"),"OTIF","Falló"))</f>
        <v/>
      </c>
    </row>
    <row r="2592" ht="16" customHeight="1">
      <c r="A2592" s="47" t="n"/>
      <c r="B2592" s="46" t="n"/>
      <c r="C2592" s="49" t="n"/>
      <c r="D2592" s="49" t="n"/>
      <c r="E2592" s="49" t="n"/>
      <c r="F2592" s="49" t="n"/>
      <c r="G2592" s="47" t="n"/>
      <c r="H2592" s="50" t="n"/>
      <c r="I2592" s="51" t="n"/>
      <c r="J2592" s="46" t="n"/>
      <c r="K2592" s="46" t="n"/>
      <c r="L2592" s="23">
        <f>IF(OR($A2592="",$B2592=""),"",IF($K2592&lt;&gt;"",$K2592-$B2592,TODAY()-$B2592))</f>
        <v/>
      </c>
      <c r="M2592" s="27">
        <f>IF(OR($A2592="",$J2592=""),"",IF($K2592="",IF(TODAY()&gt;$J2592,"Atrasado","En ruta"),IF($K2592&lt;=$J2592,"Sí","No")))</f>
        <v/>
      </c>
      <c r="N2592" s="23">
        <f>IF($A2592="","",COUNTIFS(NOVEDADES!$C$4:$C$1503,$A2592))</f>
        <v/>
      </c>
      <c r="O2592" s="27">
        <f>IF($A2592="","",IF(COUNTIFS(NOVEDADES!$C$4:$C$1503,$A2592,NOVEDADES!$M$4:$M$1503,"SÍ")&gt;0,"No","Sí"))</f>
        <v/>
      </c>
      <c r="P2592" s="27">
        <f>IF(OR($A2592="",$K2592=""),"",IF(AND($M2592="Sí",$O2592="Sí"),"OTIF","Falló"))</f>
        <v/>
      </c>
    </row>
    <row r="2593" ht="16" customHeight="1">
      <c r="A2593" s="47" t="n"/>
      <c r="B2593" s="46" t="n"/>
      <c r="C2593" s="49" t="n"/>
      <c r="D2593" s="49" t="n"/>
      <c r="E2593" s="49" t="n"/>
      <c r="F2593" s="49" t="n"/>
      <c r="G2593" s="47" t="n"/>
      <c r="H2593" s="50" t="n"/>
      <c r="I2593" s="51" t="n"/>
      <c r="J2593" s="46" t="n"/>
      <c r="K2593" s="46" t="n"/>
      <c r="L2593" s="23">
        <f>IF(OR($A2593="",$B2593=""),"",IF($K2593&lt;&gt;"",$K2593-$B2593,TODAY()-$B2593))</f>
        <v/>
      </c>
      <c r="M2593" s="27">
        <f>IF(OR($A2593="",$J2593=""),"",IF($K2593="",IF(TODAY()&gt;$J2593,"Atrasado","En ruta"),IF($K2593&lt;=$J2593,"Sí","No")))</f>
        <v/>
      </c>
      <c r="N2593" s="23">
        <f>IF($A2593="","",COUNTIFS(NOVEDADES!$C$4:$C$1503,$A2593))</f>
        <v/>
      </c>
      <c r="O2593" s="27">
        <f>IF($A2593="","",IF(COUNTIFS(NOVEDADES!$C$4:$C$1503,$A2593,NOVEDADES!$M$4:$M$1503,"SÍ")&gt;0,"No","Sí"))</f>
        <v/>
      </c>
      <c r="P2593" s="27">
        <f>IF(OR($A2593="",$K2593=""),"",IF(AND($M2593="Sí",$O2593="Sí"),"OTIF","Falló"))</f>
        <v/>
      </c>
    </row>
    <row r="2594" ht="16" customHeight="1">
      <c r="A2594" s="47" t="n"/>
      <c r="B2594" s="46" t="n"/>
      <c r="C2594" s="49" t="n"/>
      <c r="D2594" s="49" t="n"/>
      <c r="E2594" s="49" t="n"/>
      <c r="F2594" s="49" t="n"/>
      <c r="G2594" s="47" t="n"/>
      <c r="H2594" s="50" t="n"/>
      <c r="I2594" s="51" t="n"/>
      <c r="J2594" s="46" t="n"/>
      <c r="K2594" s="46" t="n"/>
      <c r="L2594" s="23">
        <f>IF(OR($A2594="",$B2594=""),"",IF($K2594&lt;&gt;"",$K2594-$B2594,TODAY()-$B2594))</f>
        <v/>
      </c>
      <c r="M2594" s="27">
        <f>IF(OR($A2594="",$J2594=""),"",IF($K2594="",IF(TODAY()&gt;$J2594,"Atrasado","En ruta"),IF($K2594&lt;=$J2594,"Sí","No")))</f>
        <v/>
      </c>
      <c r="N2594" s="23">
        <f>IF($A2594="","",COUNTIFS(NOVEDADES!$C$4:$C$1503,$A2594))</f>
        <v/>
      </c>
      <c r="O2594" s="27">
        <f>IF($A2594="","",IF(COUNTIFS(NOVEDADES!$C$4:$C$1503,$A2594,NOVEDADES!$M$4:$M$1503,"SÍ")&gt;0,"No","Sí"))</f>
        <v/>
      </c>
      <c r="P2594" s="27">
        <f>IF(OR($A2594="",$K2594=""),"",IF(AND($M2594="Sí",$O2594="Sí"),"OTIF","Falló"))</f>
        <v/>
      </c>
    </row>
    <row r="2595" ht="16" customHeight="1">
      <c r="A2595" s="47" t="n"/>
      <c r="B2595" s="46" t="n"/>
      <c r="C2595" s="49" t="n"/>
      <c r="D2595" s="49" t="n"/>
      <c r="E2595" s="49" t="n"/>
      <c r="F2595" s="49" t="n"/>
      <c r="G2595" s="47" t="n"/>
      <c r="H2595" s="50" t="n"/>
      <c r="I2595" s="51" t="n"/>
      <c r="J2595" s="46" t="n"/>
      <c r="K2595" s="46" t="n"/>
      <c r="L2595" s="23">
        <f>IF(OR($A2595="",$B2595=""),"",IF($K2595&lt;&gt;"",$K2595-$B2595,TODAY()-$B2595))</f>
        <v/>
      </c>
      <c r="M2595" s="27">
        <f>IF(OR($A2595="",$J2595=""),"",IF($K2595="",IF(TODAY()&gt;$J2595,"Atrasado","En ruta"),IF($K2595&lt;=$J2595,"Sí","No")))</f>
        <v/>
      </c>
      <c r="N2595" s="23">
        <f>IF($A2595="","",COUNTIFS(NOVEDADES!$C$4:$C$1503,$A2595))</f>
        <v/>
      </c>
      <c r="O2595" s="27">
        <f>IF($A2595="","",IF(COUNTIFS(NOVEDADES!$C$4:$C$1503,$A2595,NOVEDADES!$M$4:$M$1503,"SÍ")&gt;0,"No","Sí"))</f>
        <v/>
      </c>
      <c r="P2595" s="27">
        <f>IF(OR($A2595="",$K2595=""),"",IF(AND($M2595="Sí",$O2595="Sí"),"OTIF","Falló"))</f>
        <v/>
      </c>
    </row>
    <row r="2596" ht="16" customHeight="1">
      <c r="A2596" s="47" t="n"/>
      <c r="B2596" s="46" t="n"/>
      <c r="C2596" s="49" t="n"/>
      <c r="D2596" s="49" t="n"/>
      <c r="E2596" s="49" t="n"/>
      <c r="F2596" s="49" t="n"/>
      <c r="G2596" s="47" t="n"/>
      <c r="H2596" s="50" t="n"/>
      <c r="I2596" s="51" t="n"/>
      <c r="J2596" s="46" t="n"/>
      <c r="K2596" s="46" t="n"/>
      <c r="L2596" s="23">
        <f>IF(OR($A2596="",$B2596=""),"",IF($K2596&lt;&gt;"",$K2596-$B2596,TODAY()-$B2596))</f>
        <v/>
      </c>
      <c r="M2596" s="27">
        <f>IF(OR($A2596="",$J2596=""),"",IF($K2596="",IF(TODAY()&gt;$J2596,"Atrasado","En ruta"),IF($K2596&lt;=$J2596,"Sí","No")))</f>
        <v/>
      </c>
      <c r="N2596" s="23">
        <f>IF($A2596="","",COUNTIFS(NOVEDADES!$C$4:$C$1503,$A2596))</f>
        <v/>
      </c>
      <c r="O2596" s="27">
        <f>IF($A2596="","",IF(COUNTIFS(NOVEDADES!$C$4:$C$1503,$A2596,NOVEDADES!$M$4:$M$1503,"SÍ")&gt;0,"No","Sí"))</f>
        <v/>
      </c>
      <c r="P2596" s="27">
        <f>IF(OR($A2596="",$K2596=""),"",IF(AND($M2596="Sí",$O2596="Sí"),"OTIF","Falló"))</f>
        <v/>
      </c>
    </row>
    <row r="2597" ht="16" customHeight="1">
      <c r="A2597" s="47" t="n"/>
      <c r="B2597" s="46" t="n"/>
      <c r="C2597" s="49" t="n"/>
      <c r="D2597" s="49" t="n"/>
      <c r="E2597" s="49" t="n"/>
      <c r="F2597" s="49" t="n"/>
      <c r="G2597" s="47" t="n"/>
      <c r="H2597" s="50" t="n"/>
      <c r="I2597" s="51" t="n"/>
      <c r="J2597" s="46" t="n"/>
      <c r="K2597" s="46" t="n"/>
      <c r="L2597" s="23">
        <f>IF(OR($A2597="",$B2597=""),"",IF($K2597&lt;&gt;"",$K2597-$B2597,TODAY()-$B2597))</f>
        <v/>
      </c>
      <c r="M2597" s="27">
        <f>IF(OR($A2597="",$J2597=""),"",IF($K2597="",IF(TODAY()&gt;$J2597,"Atrasado","En ruta"),IF($K2597&lt;=$J2597,"Sí","No")))</f>
        <v/>
      </c>
      <c r="N2597" s="23">
        <f>IF($A2597="","",COUNTIFS(NOVEDADES!$C$4:$C$1503,$A2597))</f>
        <v/>
      </c>
      <c r="O2597" s="27">
        <f>IF($A2597="","",IF(COUNTIFS(NOVEDADES!$C$4:$C$1503,$A2597,NOVEDADES!$M$4:$M$1503,"SÍ")&gt;0,"No","Sí"))</f>
        <v/>
      </c>
      <c r="P2597" s="27">
        <f>IF(OR($A2597="",$K2597=""),"",IF(AND($M2597="Sí",$O2597="Sí"),"OTIF","Falló"))</f>
        <v/>
      </c>
    </row>
    <row r="2598" ht="16" customHeight="1">
      <c r="A2598" s="47" t="n"/>
      <c r="B2598" s="46" t="n"/>
      <c r="C2598" s="49" t="n"/>
      <c r="D2598" s="49" t="n"/>
      <c r="E2598" s="49" t="n"/>
      <c r="F2598" s="49" t="n"/>
      <c r="G2598" s="47" t="n"/>
      <c r="H2598" s="50" t="n"/>
      <c r="I2598" s="51" t="n"/>
      <c r="J2598" s="46" t="n"/>
      <c r="K2598" s="46" t="n"/>
      <c r="L2598" s="23">
        <f>IF(OR($A2598="",$B2598=""),"",IF($K2598&lt;&gt;"",$K2598-$B2598,TODAY()-$B2598))</f>
        <v/>
      </c>
      <c r="M2598" s="27">
        <f>IF(OR($A2598="",$J2598=""),"",IF($K2598="",IF(TODAY()&gt;$J2598,"Atrasado","En ruta"),IF($K2598&lt;=$J2598,"Sí","No")))</f>
        <v/>
      </c>
      <c r="N2598" s="23">
        <f>IF($A2598="","",COUNTIFS(NOVEDADES!$C$4:$C$1503,$A2598))</f>
        <v/>
      </c>
      <c r="O2598" s="27">
        <f>IF($A2598="","",IF(COUNTIFS(NOVEDADES!$C$4:$C$1503,$A2598,NOVEDADES!$M$4:$M$1503,"SÍ")&gt;0,"No","Sí"))</f>
        <v/>
      </c>
      <c r="P2598" s="27">
        <f>IF(OR($A2598="",$K2598=""),"",IF(AND($M2598="Sí",$O2598="Sí"),"OTIF","Falló"))</f>
        <v/>
      </c>
    </row>
    <row r="2599" ht="16" customHeight="1">
      <c r="A2599" s="47" t="n"/>
      <c r="B2599" s="46" t="n"/>
      <c r="C2599" s="49" t="n"/>
      <c r="D2599" s="49" t="n"/>
      <c r="E2599" s="49" t="n"/>
      <c r="F2599" s="49" t="n"/>
      <c r="G2599" s="47" t="n"/>
      <c r="H2599" s="50" t="n"/>
      <c r="I2599" s="51" t="n"/>
      <c r="J2599" s="46" t="n"/>
      <c r="K2599" s="46" t="n"/>
      <c r="L2599" s="23">
        <f>IF(OR($A2599="",$B2599=""),"",IF($K2599&lt;&gt;"",$K2599-$B2599,TODAY()-$B2599))</f>
        <v/>
      </c>
      <c r="M2599" s="27">
        <f>IF(OR($A2599="",$J2599=""),"",IF($K2599="",IF(TODAY()&gt;$J2599,"Atrasado","En ruta"),IF($K2599&lt;=$J2599,"Sí","No")))</f>
        <v/>
      </c>
      <c r="N2599" s="23">
        <f>IF($A2599="","",COUNTIFS(NOVEDADES!$C$4:$C$1503,$A2599))</f>
        <v/>
      </c>
      <c r="O2599" s="27">
        <f>IF($A2599="","",IF(COUNTIFS(NOVEDADES!$C$4:$C$1503,$A2599,NOVEDADES!$M$4:$M$1503,"SÍ")&gt;0,"No","Sí"))</f>
        <v/>
      </c>
      <c r="P2599" s="27">
        <f>IF(OR($A2599="",$K2599=""),"",IF(AND($M2599="Sí",$O2599="Sí"),"OTIF","Falló"))</f>
        <v/>
      </c>
    </row>
    <row r="2600" ht="16" customHeight="1">
      <c r="A2600" s="47" t="n"/>
      <c r="B2600" s="46" t="n"/>
      <c r="C2600" s="49" t="n"/>
      <c r="D2600" s="49" t="n"/>
      <c r="E2600" s="49" t="n"/>
      <c r="F2600" s="49" t="n"/>
      <c r="G2600" s="47" t="n"/>
      <c r="H2600" s="50" t="n"/>
      <c r="I2600" s="51" t="n"/>
      <c r="J2600" s="46" t="n"/>
      <c r="K2600" s="46" t="n"/>
      <c r="L2600" s="23">
        <f>IF(OR($A2600="",$B2600=""),"",IF($K2600&lt;&gt;"",$K2600-$B2600,TODAY()-$B2600))</f>
        <v/>
      </c>
      <c r="M2600" s="27">
        <f>IF(OR($A2600="",$J2600=""),"",IF($K2600="",IF(TODAY()&gt;$J2600,"Atrasado","En ruta"),IF($K2600&lt;=$J2600,"Sí","No")))</f>
        <v/>
      </c>
      <c r="N2600" s="23">
        <f>IF($A2600="","",COUNTIFS(NOVEDADES!$C$4:$C$1503,$A2600))</f>
        <v/>
      </c>
      <c r="O2600" s="27">
        <f>IF($A2600="","",IF(COUNTIFS(NOVEDADES!$C$4:$C$1503,$A2600,NOVEDADES!$M$4:$M$1503,"SÍ")&gt;0,"No","Sí"))</f>
        <v/>
      </c>
      <c r="P2600" s="27">
        <f>IF(OR($A2600="",$K2600=""),"",IF(AND($M2600="Sí",$O2600="Sí"),"OTIF","Falló"))</f>
        <v/>
      </c>
    </row>
    <row r="2601" ht="16" customHeight="1">
      <c r="A2601" s="47" t="n"/>
      <c r="B2601" s="46" t="n"/>
      <c r="C2601" s="49" t="n"/>
      <c r="D2601" s="49" t="n"/>
      <c r="E2601" s="49" t="n"/>
      <c r="F2601" s="49" t="n"/>
      <c r="G2601" s="47" t="n"/>
      <c r="H2601" s="50" t="n"/>
      <c r="I2601" s="51" t="n"/>
      <c r="J2601" s="46" t="n"/>
      <c r="K2601" s="46" t="n"/>
      <c r="L2601" s="23">
        <f>IF(OR($A2601="",$B2601=""),"",IF($K2601&lt;&gt;"",$K2601-$B2601,TODAY()-$B2601))</f>
        <v/>
      </c>
      <c r="M2601" s="27">
        <f>IF(OR($A2601="",$J2601=""),"",IF($K2601="",IF(TODAY()&gt;$J2601,"Atrasado","En ruta"),IF($K2601&lt;=$J2601,"Sí","No")))</f>
        <v/>
      </c>
      <c r="N2601" s="23">
        <f>IF($A2601="","",COUNTIFS(NOVEDADES!$C$4:$C$1503,$A2601))</f>
        <v/>
      </c>
      <c r="O2601" s="27">
        <f>IF($A2601="","",IF(COUNTIFS(NOVEDADES!$C$4:$C$1503,$A2601,NOVEDADES!$M$4:$M$1503,"SÍ")&gt;0,"No","Sí"))</f>
        <v/>
      </c>
      <c r="P2601" s="27">
        <f>IF(OR($A2601="",$K2601=""),"",IF(AND($M2601="Sí",$O2601="Sí"),"OTIF","Falló"))</f>
        <v/>
      </c>
    </row>
    <row r="2602" ht="16" customHeight="1">
      <c r="A2602" s="47" t="n"/>
      <c r="B2602" s="46" t="n"/>
      <c r="C2602" s="49" t="n"/>
      <c r="D2602" s="49" t="n"/>
      <c r="E2602" s="49" t="n"/>
      <c r="F2602" s="49" t="n"/>
      <c r="G2602" s="47" t="n"/>
      <c r="H2602" s="50" t="n"/>
      <c r="I2602" s="51" t="n"/>
      <c r="J2602" s="46" t="n"/>
      <c r="K2602" s="46" t="n"/>
      <c r="L2602" s="23">
        <f>IF(OR($A2602="",$B2602=""),"",IF($K2602&lt;&gt;"",$K2602-$B2602,TODAY()-$B2602))</f>
        <v/>
      </c>
      <c r="M2602" s="27">
        <f>IF(OR($A2602="",$J2602=""),"",IF($K2602="",IF(TODAY()&gt;$J2602,"Atrasado","En ruta"),IF($K2602&lt;=$J2602,"Sí","No")))</f>
        <v/>
      </c>
      <c r="N2602" s="23">
        <f>IF($A2602="","",COUNTIFS(NOVEDADES!$C$4:$C$1503,$A2602))</f>
        <v/>
      </c>
      <c r="O2602" s="27">
        <f>IF($A2602="","",IF(COUNTIFS(NOVEDADES!$C$4:$C$1503,$A2602,NOVEDADES!$M$4:$M$1503,"SÍ")&gt;0,"No","Sí"))</f>
        <v/>
      </c>
      <c r="P2602" s="27">
        <f>IF(OR($A2602="",$K2602=""),"",IF(AND($M2602="Sí",$O2602="Sí"),"OTIF","Falló"))</f>
        <v/>
      </c>
    </row>
    <row r="2603" ht="16" customHeight="1">
      <c r="A2603" s="47" t="n"/>
      <c r="B2603" s="46" t="n"/>
      <c r="C2603" s="49" t="n"/>
      <c r="D2603" s="49" t="n"/>
      <c r="E2603" s="49" t="n"/>
      <c r="F2603" s="49" t="n"/>
      <c r="G2603" s="47" t="n"/>
      <c r="H2603" s="50" t="n"/>
      <c r="I2603" s="51" t="n"/>
      <c r="J2603" s="46" t="n"/>
      <c r="K2603" s="46" t="n"/>
      <c r="L2603" s="23">
        <f>IF(OR($A2603="",$B2603=""),"",IF($K2603&lt;&gt;"",$K2603-$B2603,TODAY()-$B2603))</f>
        <v/>
      </c>
      <c r="M2603" s="27">
        <f>IF(OR($A2603="",$J2603=""),"",IF($K2603="",IF(TODAY()&gt;$J2603,"Atrasado","En ruta"),IF($K2603&lt;=$J2603,"Sí","No")))</f>
        <v/>
      </c>
      <c r="N2603" s="23">
        <f>IF($A2603="","",COUNTIFS(NOVEDADES!$C$4:$C$1503,$A2603))</f>
        <v/>
      </c>
      <c r="O2603" s="27">
        <f>IF($A2603="","",IF(COUNTIFS(NOVEDADES!$C$4:$C$1503,$A2603,NOVEDADES!$M$4:$M$1503,"SÍ")&gt;0,"No","Sí"))</f>
        <v/>
      </c>
      <c r="P2603" s="27">
        <f>IF(OR($A2603="",$K2603=""),"",IF(AND($M2603="Sí",$O2603="Sí"),"OTIF","Falló"))</f>
        <v/>
      </c>
    </row>
    <row r="2604" ht="16" customHeight="1">
      <c r="A2604" s="47" t="n"/>
      <c r="B2604" s="46" t="n"/>
      <c r="C2604" s="49" t="n"/>
      <c r="D2604" s="49" t="n"/>
      <c r="E2604" s="49" t="n"/>
      <c r="F2604" s="49" t="n"/>
      <c r="G2604" s="47" t="n"/>
      <c r="H2604" s="50" t="n"/>
      <c r="I2604" s="51" t="n"/>
      <c r="J2604" s="46" t="n"/>
      <c r="K2604" s="46" t="n"/>
      <c r="L2604" s="23">
        <f>IF(OR($A2604="",$B2604=""),"",IF($K2604&lt;&gt;"",$K2604-$B2604,TODAY()-$B2604))</f>
        <v/>
      </c>
      <c r="M2604" s="27">
        <f>IF(OR($A2604="",$J2604=""),"",IF($K2604="",IF(TODAY()&gt;$J2604,"Atrasado","En ruta"),IF($K2604&lt;=$J2604,"Sí","No")))</f>
        <v/>
      </c>
      <c r="N2604" s="23">
        <f>IF($A2604="","",COUNTIFS(NOVEDADES!$C$4:$C$1503,$A2604))</f>
        <v/>
      </c>
      <c r="O2604" s="27">
        <f>IF($A2604="","",IF(COUNTIFS(NOVEDADES!$C$4:$C$1503,$A2604,NOVEDADES!$M$4:$M$1503,"SÍ")&gt;0,"No","Sí"))</f>
        <v/>
      </c>
      <c r="P2604" s="27">
        <f>IF(OR($A2604="",$K2604=""),"",IF(AND($M2604="Sí",$O2604="Sí"),"OTIF","Falló"))</f>
        <v/>
      </c>
    </row>
    <row r="2605" ht="16" customHeight="1">
      <c r="A2605" s="47" t="n"/>
      <c r="B2605" s="46" t="n"/>
      <c r="C2605" s="49" t="n"/>
      <c r="D2605" s="49" t="n"/>
      <c r="E2605" s="49" t="n"/>
      <c r="F2605" s="49" t="n"/>
      <c r="G2605" s="47" t="n"/>
      <c r="H2605" s="50" t="n"/>
      <c r="I2605" s="51" t="n"/>
      <c r="J2605" s="46" t="n"/>
      <c r="K2605" s="46" t="n"/>
      <c r="L2605" s="23">
        <f>IF(OR($A2605="",$B2605=""),"",IF($K2605&lt;&gt;"",$K2605-$B2605,TODAY()-$B2605))</f>
        <v/>
      </c>
      <c r="M2605" s="27">
        <f>IF(OR($A2605="",$J2605=""),"",IF($K2605="",IF(TODAY()&gt;$J2605,"Atrasado","En ruta"),IF($K2605&lt;=$J2605,"Sí","No")))</f>
        <v/>
      </c>
      <c r="N2605" s="23">
        <f>IF($A2605="","",COUNTIFS(NOVEDADES!$C$4:$C$1503,$A2605))</f>
        <v/>
      </c>
      <c r="O2605" s="27">
        <f>IF($A2605="","",IF(COUNTIFS(NOVEDADES!$C$4:$C$1503,$A2605,NOVEDADES!$M$4:$M$1503,"SÍ")&gt;0,"No","Sí"))</f>
        <v/>
      </c>
      <c r="P2605" s="27">
        <f>IF(OR($A2605="",$K2605=""),"",IF(AND($M2605="Sí",$O2605="Sí"),"OTIF","Falló"))</f>
        <v/>
      </c>
    </row>
    <row r="2606" ht="16" customHeight="1">
      <c r="A2606" s="47" t="n"/>
      <c r="B2606" s="46" t="n"/>
      <c r="C2606" s="49" t="n"/>
      <c r="D2606" s="49" t="n"/>
      <c r="E2606" s="49" t="n"/>
      <c r="F2606" s="49" t="n"/>
      <c r="G2606" s="47" t="n"/>
      <c r="H2606" s="50" t="n"/>
      <c r="I2606" s="51" t="n"/>
      <c r="J2606" s="46" t="n"/>
      <c r="K2606" s="46" t="n"/>
      <c r="L2606" s="23">
        <f>IF(OR($A2606="",$B2606=""),"",IF($K2606&lt;&gt;"",$K2606-$B2606,TODAY()-$B2606))</f>
        <v/>
      </c>
      <c r="M2606" s="27">
        <f>IF(OR($A2606="",$J2606=""),"",IF($K2606="",IF(TODAY()&gt;$J2606,"Atrasado","En ruta"),IF($K2606&lt;=$J2606,"Sí","No")))</f>
        <v/>
      </c>
      <c r="N2606" s="23">
        <f>IF($A2606="","",COUNTIFS(NOVEDADES!$C$4:$C$1503,$A2606))</f>
        <v/>
      </c>
      <c r="O2606" s="27">
        <f>IF($A2606="","",IF(COUNTIFS(NOVEDADES!$C$4:$C$1503,$A2606,NOVEDADES!$M$4:$M$1503,"SÍ")&gt;0,"No","Sí"))</f>
        <v/>
      </c>
      <c r="P2606" s="27">
        <f>IF(OR($A2606="",$K2606=""),"",IF(AND($M2606="Sí",$O2606="Sí"),"OTIF","Falló"))</f>
        <v/>
      </c>
    </row>
    <row r="2607" ht="16" customHeight="1">
      <c r="A2607" s="47" t="n"/>
      <c r="B2607" s="46" t="n"/>
      <c r="C2607" s="49" t="n"/>
      <c r="D2607" s="49" t="n"/>
      <c r="E2607" s="49" t="n"/>
      <c r="F2607" s="49" t="n"/>
      <c r="G2607" s="47" t="n"/>
      <c r="H2607" s="50" t="n"/>
      <c r="I2607" s="51" t="n"/>
      <c r="J2607" s="46" t="n"/>
      <c r="K2607" s="46" t="n"/>
      <c r="L2607" s="23">
        <f>IF(OR($A2607="",$B2607=""),"",IF($K2607&lt;&gt;"",$K2607-$B2607,TODAY()-$B2607))</f>
        <v/>
      </c>
      <c r="M2607" s="27">
        <f>IF(OR($A2607="",$J2607=""),"",IF($K2607="",IF(TODAY()&gt;$J2607,"Atrasado","En ruta"),IF($K2607&lt;=$J2607,"Sí","No")))</f>
        <v/>
      </c>
      <c r="N2607" s="23">
        <f>IF($A2607="","",COUNTIFS(NOVEDADES!$C$4:$C$1503,$A2607))</f>
        <v/>
      </c>
      <c r="O2607" s="27">
        <f>IF($A2607="","",IF(COUNTIFS(NOVEDADES!$C$4:$C$1503,$A2607,NOVEDADES!$M$4:$M$1503,"SÍ")&gt;0,"No","Sí"))</f>
        <v/>
      </c>
      <c r="P2607" s="27">
        <f>IF(OR($A2607="",$K2607=""),"",IF(AND($M2607="Sí",$O2607="Sí"),"OTIF","Falló"))</f>
        <v/>
      </c>
    </row>
    <row r="2608" ht="16" customHeight="1">
      <c r="A2608" s="47" t="n"/>
      <c r="B2608" s="46" t="n"/>
      <c r="C2608" s="49" t="n"/>
      <c r="D2608" s="49" t="n"/>
      <c r="E2608" s="49" t="n"/>
      <c r="F2608" s="49" t="n"/>
      <c r="G2608" s="47" t="n"/>
      <c r="H2608" s="50" t="n"/>
      <c r="I2608" s="51" t="n"/>
      <c r="J2608" s="46" t="n"/>
      <c r="K2608" s="46" t="n"/>
      <c r="L2608" s="23">
        <f>IF(OR($A2608="",$B2608=""),"",IF($K2608&lt;&gt;"",$K2608-$B2608,TODAY()-$B2608))</f>
        <v/>
      </c>
      <c r="M2608" s="27">
        <f>IF(OR($A2608="",$J2608=""),"",IF($K2608="",IF(TODAY()&gt;$J2608,"Atrasado","En ruta"),IF($K2608&lt;=$J2608,"Sí","No")))</f>
        <v/>
      </c>
      <c r="N2608" s="23">
        <f>IF($A2608="","",COUNTIFS(NOVEDADES!$C$4:$C$1503,$A2608))</f>
        <v/>
      </c>
      <c r="O2608" s="27">
        <f>IF($A2608="","",IF(COUNTIFS(NOVEDADES!$C$4:$C$1503,$A2608,NOVEDADES!$M$4:$M$1503,"SÍ")&gt;0,"No","Sí"))</f>
        <v/>
      </c>
      <c r="P2608" s="27">
        <f>IF(OR($A2608="",$K2608=""),"",IF(AND($M2608="Sí",$O2608="Sí"),"OTIF","Falló"))</f>
        <v/>
      </c>
    </row>
    <row r="2609" ht="16" customHeight="1">
      <c r="A2609" s="47" t="n"/>
      <c r="B2609" s="46" t="n"/>
      <c r="C2609" s="49" t="n"/>
      <c r="D2609" s="49" t="n"/>
      <c r="E2609" s="49" t="n"/>
      <c r="F2609" s="49" t="n"/>
      <c r="G2609" s="47" t="n"/>
      <c r="H2609" s="50" t="n"/>
      <c r="I2609" s="51" t="n"/>
      <c r="J2609" s="46" t="n"/>
      <c r="K2609" s="46" t="n"/>
      <c r="L2609" s="23">
        <f>IF(OR($A2609="",$B2609=""),"",IF($K2609&lt;&gt;"",$K2609-$B2609,TODAY()-$B2609))</f>
        <v/>
      </c>
      <c r="M2609" s="27">
        <f>IF(OR($A2609="",$J2609=""),"",IF($K2609="",IF(TODAY()&gt;$J2609,"Atrasado","En ruta"),IF($K2609&lt;=$J2609,"Sí","No")))</f>
        <v/>
      </c>
      <c r="N2609" s="23">
        <f>IF($A2609="","",COUNTIFS(NOVEDADES!$C$4:$C$1503,$A2609))</f>
        <v/>
      </c>
      <c r="O2609" s="27">
        <f>IF($A2609="","",IF(COUNTIFS(NOVEDADES!$C$4:$C$1503,$A2609,NOVEDADES!$M$4:$M$1503,"SÍ")&gt;0,"No","Sí"))</f>
        <v/>
      </c>
      <c r="P2609" s="27">
        <f>IF(OR($A2609="",$K2609=""),"",IF(AND($M2609="Sí",$O2609="Sí"),"OTIF","Falló"))</f>
        <v/>
      </c>
    </row>
    <row r="2610" ht="16" customHeight="1">
      <c r="A2610" s="47" t="n"/>
      <c r="B2610" s="46" t="n"/>
      <c r="C2610" s="49" t="n"/>
      <c r="D2610" s="49" t="n"/>
      <c r="E2610" s="49" t="n"/>
      <c r="F2610" s="49" t="n"/>
      <c r="G2610" s="47" t="n"/>
      <c r="H2610" s="50" t="n"/>
      <c r="I2610" s="51" t="n"/>
      <c r="J2610" s="46" t="n"/>
      <c r="K2610" s="46" t="n"/>
      <c r="L2610" s="23">
        <f>IF(OR($A2610="",$B2610=""),"",IF($K2610&lt;&gt;"",$K2610-$B2610,TODAY()-$B2610))</f>
        <v/>
      </c>
      <c r="M2610" s="27">
        <f>IF(OR($A2610="",$J2610=""),"",IF($K2610="",IF(TODAY()&gt;$J2610,"Atrasado","En ruta"),IF($K2610&lt;=$J2610,"Sí","No")))</f>
        <v/>
      </c>
      <c r="N2610" s="23">
        <f>IF($A2610="","",COUNTIFS(NOVEDADES!$C$4:$C$1503,$A2610))</f>
        <v/>
      </c>
      <c r="O2610" s="27">
        <f>IF($A2610="","",IF(COUNTIFS(NOVEDADES!$C$4:$C$1503,$A2610,NOVEDADES!$M$4:$M$1503,"SÍ")&gt;0,"No","Sí"))</f>
        <v/>
      </c>
      <c r="P2610" s="27">
        <f>IF(OR($A2610="",$K2610=""),"",IF(AND($M2610="Sí",$O2610="Sí"),"OTIF","Falló"))</f>
        <v/>
      </c>
    </row>
    <row r="2611" ht="16" customHeight="1">
      <c r="A2611" s="47" t="n"/>
      <c r="B2611" s="46" t="n"/>
      <c r="C2611" s="49" t="n"/>
      <c r="D2611" s="49" t="n"/>
      <c r="E2611" s="49" t="n"/>
      <c r="F2611" s="49" t="n"/>
      <c r="G2611" s="47" t="n"/>
      <c r="H2611" s="50" t="n"/>
      <c r="I2611" s="51" t="n"/>
      <c r="J2611" s="46" t="n"/>
      <c r="K2611" s="46" t="n"/>
      <c r="L2611" s="23">
        <f>IF(OR($A2611="",$B2611=""),"",IF($K2611&lt;&gt;"",$K2611-$B2611,TODAY()-$B2611))</f>
        <v/>
      </c>
      <c r="M2611" s="27">
        <f>IF(OR($A2611="",$J2611=""),"",IF($K2611="",IF(TODAY()&gt;$J2611,"Atrasado","En ruta"),IF($K2611&lt;=$J2611,"Sí","No")))</f>
        <v/>
      </c>
      <c r="N2611" s="23">
        <f>IF($A2611="","",COUNTIFS(NOVEDADES!$C$4:$C$1503,$A2611))</f>
        <v/>
      </c>
      <c r="O2611" s="27">
        <f>IF($A2611="","",IF(COUNTIFS(NOVEDADES!$C$4:$C$1503,$A2611,NOVEDADES!$M$4:$M$1503,"SÍ")&gt;0,"No","Sí"))</f>
        <v/>
      </c>
      <c r="P2611" s="27">
        <f>IF(OR($A2611="",$K2611=""),"",IF(AND($M2611="Sí",$O2611="Sí"),"OTIF","Falló"))</f>
        <v/>
      </c>
    </row>
    <row r="2612" ht="16" customHeight="1">
      <c r="A2612" s="47" t="n"/>
      <c r="B2612" s="46" t="n"/>
      <c r="C2612" s="49" t="n"/>
      <c r="D2612" s="49" t="n"/>
      <c r="E2612" s="49" t="n"/>
      <c r="F2612" s="49" t="n"/>
      <c r="G2612" s="47" t="n"/>
      <c r="H2612" s="50" t="n"/>
      <c r="I2612" s="51" t="n"/>
      <c r="J2612" s="46" t="n"/>
      <c r="K2612" s="46" t="n"/>
      <c r="L2612" s="23">
        <f>IF(OR($A2612="",$B2612=""),"",IF($K2612&lt;&gt;"",$K2612-$B2612,TODAY()-$B2612))</f>
        <v/>
      </c>
      <c r="M2612" s="27">
        <f>IF(OR($A2612="",$J2612=""),"",IF($K2612="",IF(TODAY()&gt;$J2612,"Atrasado","En ruta"),IF($K2612&lt;=$J2612,"Sí","No")))</f>
        <v/>
      </c>
      <c r="N2612" s="23">
        <f>IF($A2612="","",COUNTIFS(NOVEDADES!$C$4:$C$1503,$A2612))</f>
        <v/>
      </c>
      <c r="O2612" s="27">
        <f>IF($A2612="","",IF(COUNTIFS(NOVEDADES!$C$4:$C$1503,$A2612,NOVEDADES!$M$4:$M$1503,"SÍ")&gt;0,"No","Sí"))</f>
        <v/>
      </c>
      <c r="P2612" s="27">
        <f>IF(OR($A2612="",$K2612=""),"",IF(AND($M2612="Sí",$O2612="Sí"),"OTIF","Falló"))</f>
        <v/>
      </c>
    </row>
    <row r="2613" ht="16" customHeight="1">
      <c r="A2613" s="47" t="n"/>
      <c r="B2613" s="46" t="n"/>
      <c r="C2613" s="49" t="n"/>
      <c r="D2613" s="49" t="n"/>
      <c r="E2613" s="49" t="n"/>
      <c r="F2613" s="49" t="n"/>
      <c r="G2613" s="47" t="n"/>
      <c r="H2613" s="50" t="n"/>
      <c r="I2613" s="51" t="n"/>
      <c r="J2613" s="46" t="n"/>
      <c r="K2613" s="46" t="n"/>
      <c r="L2613" s="23">
        <f>IF(OR($A2613="",$B2613=""),"",IF($K2613&lt;&gt;"",$K2613-$B2613,TODAY()-$B2613))</f>
        <v/>
      </c>
      <c r="M2613" s="27">
        <f>IF(OR($A2613="",$J2613=""),"",IF($K2613="",IF(TODAY()&gt;$J2613,"Atrasado","En ruta"),IF($K2613&lt;=$J2613,"Sí","No")))</f>
        <v/>
      </c>
      <c r="N2613" s="23">
        <f>IF($A2613="","",COUNTIFS(NOVEDADES!$C$4:$C$1503,$A2613))</f>
        <v/>
      </c>
      <c r="O2613" s="27">
        <f>IF($A2613="","",IF(COUNTIFS(NOVEDADES!$C$4:$C$1503,$A2613,NOVEDADES!$M$4:$M$1503,"SÍ")&gt;0,"No","Sí"))</f>
        <v/>
      </c>
      <c r="P2613" s="27">
        <f>IF(OR($A2613="",$K2613=""),"",IF(AND($M2613="Sí",$O2613="Sí"),"OTIF","Falló"))</f>
        <v/>
      </c>
    </row>
    <row r="2614" ht="16" customHeight="1">
      <c r="A2614" s="47" t="n"/>
      <c r="B2614" s="46" t="n"/>
      <c r="C2614" s="49" t="n"/>
      <c r="D2614" s="49" t="n"/>
      <c r="E2614" s="49" t="n"/>
      <c r="F2614" s="49" t="n"/>
      <c r="G2614" s="47" t="n"/>
      <c r="H2614" s="50" t="n"/>
      <c r="I2614" s="51" t="n"/>
      <c r="J2614" s="46" t="n"/>
      <c r="K2614" s="46" t="n"/>
      <c r="L2614" s="23">
        <f>IF(OR($A2614="",$B2614=""),"",IF($K2614&lt;&gt;"",$K2614-$B2614,TODAY()-$B2614))</f>
        <v/>
      </c>
      <c r="M2614" s="27">
        <f>IF(OR($A2614="",$J2614=""),"",IF($K2614="",IF(TODAY()&gt;$J2614,"Atrasado","En ruta"),IF($K2614&lt;=$J2614,"Sí","No")))</f>
        <v/>
      </c>
      <c r="N2614" s="23">
        <f>IF($A2614="","",COUNTIFS(NOVEDADES!$C$4:$C$1503,$A2614))</f>
        <v/>
      </c>
      <c r="O2614" s="27">
        <f>IF($A2614="","",IF(COUNTIFS(NOVEDADES!$C$4:$C$1503,$A2614,NOVEDADES!$M$4:$M$1503,"SÍ")&gt;0,"No","Sí"))</f>
        <v/>
      </c>
      <c r="P2614" s="27">
        <f>IF(OR($A2614="",$K2614=""),"",IF(AND($M2614="Sí",$O2614="Sí"),"OTIF","Falló"))</f>
        <v/>
      </c>
    </row>
    <row r="2615" ht="16" customHeight="1">
      <c r="A2615" s="47" t="n"/>
      <c r="B2615" s="46" t="n"/>
      <c r="C2615" s="49" t="n"/>
      <c r="D2615" s="49" t="n"/>
      <c r="E2615" s="49" t="n"/>
      <c r="F2615" s="49" t="n"/>
      <c r="G2615" s="47" t="n"/>
      <c r="H2615" s="50" t="n"/>
      <c r="I2615" s="51" t="n"/>
      <c r="J2615" s="46" t="n"/>
      <c r="K2615" s="46" t="n"/>
      <c r="L2615" s="23">
        <f>IF(OR($A2615="",$B2615=""),"",IF($K2615&lt;&gt;"",$K2615-$B2615,TODAY()-$B2615))</f>
        <v/>
      </c>
      <c r="M2615" s="27">
        <f>IF(OR($A2615="",$J2615=""),"",IF($K2615="",IF(TODAY()&gt;$J2615,"Atrasado","En ruta"),IF($K2615&lt;=$J2615,"Sí","No")))</f>
        <v/>
      </c>
      <c r="N2615" s="23">
        <f>IF($A2615="","",COUNTIFS(NOVEDADES!$C$4:$C$1503,$A2615))</f>
        <v/>
      </c>
      <c r="O2615" s="27">
        <f>IF($A2615="","",IF(COUNTIFS(NOVEDADES!$C$4:$C$1503,$A2615,NOVEDADES!$M$4:$M$1503,"SÍ")&gt;0,"No","Sí"))</f>
        <v/>
      </c>
      <c r="P2615" s="27">
        <f>IF(OR($A2615="",$K2615=""),"",IF(AND($M2615="Sí",$O2615="Sí"),"OTIF","Falló"))</f>
        <v/>
      </c>
    </row>
    <row r="2616" ht="16" customHeight="1">
      <c r="A2616" s="47" t="n"/>
      <c r="B2616" s="46" t="n"/>
      <c r="C2616" s="49" t="n"/>
      <c r="D2616" s="49" t="n"/>
      <c r="E2616" s="49" t="n"/>
      <c r="F2616" s="49" t="n"/>
      <c r="G2616" s="47" t="n"/>
      <c r="H2616" s="50" t="n"/>
      <c r="I2616" s="51" t="n"/>
      <c r="J2616" s="46" t="n"/>
      <c r="K2616" s="46" t="n"/>
      <c r="L2616" s="23">
        <f>IF(OR($A2616="",$B2616=""),"",IF($K2616&lt;&gt;"",$K2616-$B2616,TODAY()-$B2616))</f>
        <v/>
      </c>
      <c r="M2616" s="27">
        <f>IF(OR($A2616="",$J2616=""),"",IF($K2616="",IF(TODAY()&gt;$J2616,"Atrasado","En ruta"),IF($K2616&lt;=$J2616,"Sí","No")))</f>
        <v/>
      </c>
      <c r="N2616" s="23">
        <f>IF($A2616="","",COUNTIFS(NOVEDADES!$C$4:$C$1503,$A2616))</f>
        <v/>
      </c>
      <c r="O2616" s="27">
        <f>IF($A2616="","",IF(COUNTIFS(NOVEDADES!$C$4:$C$1503,$A2616,NOVEDADES!$M$4:$M$1503,"SÍ")&gt;0,"No","Sí"))</f>
        <v/>
      </c>
      <c r="P2616" s="27">
        <f>IF(OR($A2616="",$K2616=""),"",IF(AND($M2616="Sí",$O2616="Sí"),"OTIF","Falló"))</f>
        <v/>
      </c>
    </row>
    <row r="2617" ht="16" customHeight="1">
      <c r="A2617" s="47" t="n"/>
      <c r="B2617" s="46" t="n"/>
      <c r="C2617" s="49" t="n"/>
      <c r="D2617" s="49" t="n"/>
      <c r="E2617" s="49" t="n"/>
      <c r="F2617" s="49" t="n"/>
      <c r="G2617" s="47" t="n"/>
      <c r="H2617" s="50" t="n"/>
      <c r="I2617" s="51" t="n"/>
      <c r="J2617" s="46" t="n"/>
      <c r="K2617" s="46" t="n"/>
      <c r="L2617" s="23">
        <f>IF(OR($A2617="",$B2617=""),"",IF($K2617&lt;&gt;"",$K2617-$B2617,TODAY()-$B2617))</f>
        <v/>
      </c>
      <c r="M2617" s="27">
        <f>IF(OR($A2617="",$J2617=""),"",IF($K2617="",IF(TODAY()&gt;$J2617,"Atrasado","En ruta"),IF($K2617&lt;=$J2617,"Sí","No")))</f>
        <v/>
      </c>
      <c r="N2617" s="23">
        <f>IF($A2617="","",COUNTIFS(NOVEDADES!$C$4:$C$1503,$A2617))</f>
        <v/>
      </c>
      <c r="O2617" s="27">
        <f>IF($A2617="","",IF(COUNTIFS(NOVEDADES!$C$4:$C$1503,$A2617,NOVEDADES!$M$4:$M$1503,"SÍ")&gt;0,"No","Sí"))</f>
        <v/>
      </c>
      <c r="P2617" s="27">
        <f>IF(OR($A2617="",$K2617=""),"",IF(AND($M2617="Sí",$O2617="Sí"),"OTIF","Falló"))</f>
        <v/>
      </c>
    </row>
    <row r="2618" ht="16" customHeight="1">
      <c r="A2618" s="47" t="n"/>
      <c r="B2618" s="46" t="n"/>
      <c r="C2618" s="49" t="n"/>
      <c r="D2618" s="49" t="n"/>
      <c r="E2618" s="49" t="n"/>
      <c r="F2618" s="49" t="n"/>
      <c r="G2618" s="47" t="n"/>
      <c r="H2618" s="50" t="n"/>
      <c r="I2618" s="51" t="n"/>
      <c r="J2618" s="46" t="n"/>
      <c r="K2618" s="46" t="n"/>
      <c r="L2618" s="23">
        <f>IF(OR($A2618="",$B2618=""),"",IF($K2618&lt;&gt;"",$K2618-$B2618,TODAY()-$B2618))</f>
        <v/>
      </c>
      <c r="M2618" s="27">
        <f>IF(OR($A2618="",$J2618=""),"",IF($K2618="",IF(TODAY()&gt;$J2618,"Atrasado","En ruta"),IF($K2618&lt;=$J2618,"Sí","No")))</f>
        <v/>
      </c>
      <c r="N2618" s="23">
        <f>IF($A2618="","",COUNTIFS(NOVEDADES!$C$4:$C$1503,$A2618))</f>
        <v/>
      </c>
      <c r="O2618" s="27">
        <f>IF($A2618="","",IF(COUNTIFS(NOVEDADES!$C$4:$C$1503,$A2618,NOVEDADES!$M$4:$M$1503,"SÍ")&gt;0,"No","Sí"))</f>
        <v/>
      </c>
      <c r="P2618" s="27">
        <f>IF(OR($A2618="",$K2618=""),"",IF(AND($M2618="Sí",$O2618="Sí"),"OTIF","Falló"))</f>
        <v/>
      </c>
    </row>
    <row r="2619" ht="16" customHeight="1">
      <c r="A2619" s="47" t="n"/>
      <c r="B2619" s="46" t="n"/>
      <c r="C2619" s="49" t="n"/>
      <c r="D2619" s="49" t="n"/>
      <c r="E2619" s="49" t="n"/>
      <c r="F2619" s="49" t="n"/>
      <c r="G2619" s="47" t="n"/>
      <c r="H2619" s="50" t="n"/>
      <c r="I2619" s="51" t="n"/>
      <c r="J2619" s="46" t="n"/>
      <c r="K2619" s="46" t="n"/>
      <c r="L2619" s="23">
        <f>IF(OR($A2619="",$B2619=""),"",IF($K2619&lt;&gt;"",$K2619-$B2619,TODAY()-$B2619))</f>
        <v/>
      </c>
      <c r="M2619" s="27">
        <f>IF(OR($A2619="",$J2619=""),"",IF($K2619="",IF(TODAY()&gt;$J2619,"Atrasado","En ruta"),IF($K2619&lt;=$J2619,"Sí","No")))</f>
        <v/>
      </c>
      <c r="N2619" s="23">
        <f>IF($A2619="","",COUNTIFS(NOVEDADES!$C$4:$C$1503,$A2619))</f>
        <v/>
      </c>
      <c r="O2619" s="27">
        <f>IF($A2619="","",IF(COUNTIFS(NOVEDADES!$C$4:$C$1503,$A2619,NOVEDADES!$M$4:$M$1503,"SÍ")&gt;0,"No","Sí"))</f>
        <v/>
      </c>
      <c r="P2619" s="27">
        <f>IF(OR($A2619="",$K2619=""),"",IF(AND($M2619="Sí",$O2619="Sí"),"OTIF","Falló"))</f>
        <v/>
      </c>
    </row>
    <row r="2620" ht="16" customHeight="1">
      <c r="A2620" s="47" t="n"/>
      <c r="B2620" s="46" t="n"/>
      <c r="C2620" s="49" t="n"/>
      <c r="D2620" s="49" t="n"/>
      <c r="E2620" s="49" t="n"/>
      <c r="F2620" s="49" t="n"/>
      <c r="G2620" s="47" t="n"/>
      <c r="H2620" s="50" t="n"/>
      <c r="I2620" s="51" t="n"/>
      <c r="J2620" s="46" t="n"/>
      <c r="K2620" s="46" t="n"/>
      <c r="L2620" s="23">
        <f>IF(OR($A2620="",$B2620=""),"",IF($K2620&lt;&gt;"",$K2620-$B2620,TODAY()-$B2620))</f>
        <v/>
      </c>
      <c r="M2620" s="27">
        <f>IF(OR($A2620="",$J2620=""),"",IF($K2620="",IF(TODAY()&gt;$J2620,"Atrasado","En ruta"),IF($K2620&lt;=$J2620,"Sí","No")))</f>
        <v/>
      </c>
      <c r="N2620" s="23">
        <f>IF($A2620="","",COUNTIFS(NOVEDADES!$C$4:$C$1503,$A2620))</f>
        <v/>
      </c>
      <c r="O2620" s="27">
        <f>IF($A2620="","",IF(COUNTIFS(NOVEDADES!$C$4:$C$1503,$A2620,NOVEDADES!$M$4:$M$1503,"SÍ")&gt;0,"No","Sí"))</f>
        <v/>
      </c>
      <c r="P2620" s="27">
        <f>IF(OR($A2620="",$K2620=""),"",IF(AND($M2620="Sí",$O2620="Sí"),"OTIF","Falló"))</f>
        <v/>
      </c>
    </row>
    <row r="2621" ht="16" customHeight="1">
      <c r="A2621" s="47" t="n"/>
      <c r="B2621" s="46" t="n"/>
      <c r="C2621" s="49" t="n"/>
      <c r="D2621" s="49" t="n"/>
      <c r="E2621" s="49" t="n"/>
      <c r="F2621" s="49" t="n"/>
      <c r="G2621" s="47" t="n"/>
      <c r="H2621" s="50" t="n"/>
      <c r="I2621" s="51" t="n"/>
      <c r="J2621" s="46" t="n"/>
      <c r="K2621" s="46" t="n"/>
      <c r="L2621" s="23">
        <f>IF(OR($A2621="",$B2621=""),"",IF($K2621&lt;&gt;"",$K2621-$B2621,TODAY()-$B2621))</f>
        <v/>
      </c>
      <c r="M2621" s="27">
        <f>IF(OR($A2621="",$J2621=""),"",IF($K2621="",IF(TODAY()&gt;$J2621,"Atrasado","En ruta"),IF($K2621&lt;=$J2621,"Sí","No")))</f>
        <v/>
      </c>
      <c r="N2621" s="23">
        <f>IF($A2621="","",COUNTIFS(NOVEDADES!$C$4:$C$1503,$A2621))</f>
        <v/>
      </c>
      <c r="O2621" s="27">
        <f>IF($A2621="","",IF(COUNTIFS(NOVEDADES!$C$4:$C$1503,$A2621,NOVEDADES!$M$4:$M$1503,"SÍ")&gt;0,"No","Sí"))</f>
        <v/>
      </c>
      <c r="P2621" s="27">
        <f>IF(OR($A2621="",$K2621=""),"",IF(AND($M2621="Sí",$O2621="Sí"),"OTIF","Falló"))</f>
        <v/>
      </c>
    </row>
    <row r="2622" ht="16" customHeight="1">
      <c r="A2622" s="47" t="n"/>
      <c r="B2622" s="46" t="n"/>
      <c r="C2622" s="49" t="n"/>
      <c r="D2622" s="49" t="n"/>
      <c r="E2622" s="49" t="n"/>
      <c r="F2622" s="49" t="n"/>
      <c r="G2622" s="47" t="n"/>
      <c r="H2622" s="50" t="n"/>
      <c r="I2622" s="51" t="n"/>
      <c r="J2622" s="46" t="n"/>
      <c r="K2622" s="46" t="n"/>
      <c r="L2622" s="23">
        <f>IF(OR($A2622="",$B2622=""),"",IF($K2622&lt;&gt;"",$K2622-$B2622,TODAY()-$B2622))</f>
        <v/>
      </c>
      <c r="M2622" s="27">
        <f>IF(OR($A2622="",$J2622=""),"",IF($K2622="",IF(TODAY()&gt;$J2622,"Atrasado","En ruta"),IF($K2622&lt;=$J2622,"Sí","No")))</f>
        <v/>
      </c>
      <c r="N2622" s="23">
        <f>IF($A2622="","",COUNTIFS(NOVEDADES!$C$4:$C$1503,$A2622))</f>
        <v/>
      </c>
      <c r="O2622" s="27">
        <f>IF($A2622="","",IF(COUNTIFS(NOVEDADES!$C$4:$C$1503,$A2622,NOVEDADES!$M$4:$M$1503,"SÍ")&gt;0,"No","Sí"))</f>
        <v/>
      </c>
      <c r="P2622" s="27">
        <f>IF(OR($A2622="",$K2622=""),"",IF(AND($M2622="Sí",$O2622="Sí"),"OTIF","Falló"))</f>
        <v/>
      </c>
    </row>
    <row r="2623" ht="16" customHeight="1">
      <c r="A2623" s="47" t="n"/>
      <c r="B2623" s="46" t="n"/>
      <c r="C2623" s="49" t="n"/>
      <c r="D2623" s="49" t="n"/>
      <c r="E2623" s="49" t="n"/>
      <c r="F2623" s="49" t="n"/>
      <c r="G2623" s="47" t="n"/>
      <c r="H2623" s="50" t="n"/>
      <c r="I2623" s="51" t="n"/>
      <c r="J2623" s="46" t="n"/>
      <c r="K2623" s="46" t="n"/>
      <c r="L2623" s="23">
        <f>IF(OR($A2623="",$B2623=""),"",IF($K2623&lt;&gt;"",$K2623-$B2623,TODAY()-$B2623))</f>
        <v/>
      </c>
      <c r="M2623" s="27">
        <f>IF(OR($A2623="",$J2623=""),"",IF($K2623="",IF(TODAY()&gt;$J2623,"Atrasado","En ruta"),IF($K2623&lt;=$J2623,"Sí","No")))</f>
        <v/>
      </c>
      <c r="N2623" s="23">
        <f>IF($A2623="","",COUNTIFS(NOVEDADES!$C$4:$C$1503,$A2623))</f>
        <v/>
      </c>
      <c r="O2623" s="27">
        <f>IF($A2623="","",IF(COUNTIFS(NOVEDADES!$C$4:$C$1503,$A2623,NOVEDADES!$M$4:$M$1503,"SÍ")&gt;0,"No","Sí"))</f>
        <v/>
      </c>
      <c r="P2623" s="27">
        <f>IF(OR($A2623="",$K2623=""),"",IF(AND($M2623="Sí",$O2623="Sí"),"OTIF","Falló"))</f>
        <v/>
      </c>
    </row>
    <row r="2624" ht="16" customHeight="1">
      <c r="A2624" s="47" t="n"/>
      <c r="B2624" s="46" t="n"/>
      <c r="C2624" s="49" t="n"/>
      <c r="D2624" s="49" t="n"/>
      <c r="E2624" s="49" t="n"/>
      <c r="F2624" s="49" t="n"/>
      <c r="G2624" s="47" t="n"/>
      <c r="H2624" s="50" t="n"/>
      <c r="I2624" s="51" t="n"/>
      <c r="J2624" s="46" t="n"/>
      <c r="K2624" s="46" t="n"/>
      <c r="L2624" s="23">
        <f>IF(OR($A2624="",$B2624=""),"",IF($K2624&lt;&gt;"",$K2624-$B2624,TODAY()-$B2624))</f>
        <v/>
      </c>
      <c r="M2624" s="27">
        <f>IF(OR($A2624="",$J2624=""),"",IF($K2624="",IF(TODAY()&gt;$J2624,"Atrasado","En ruta"),IF($K2624&lt;=$J2624,"Sí","No")))</f>
        <v/>
      </c>
      <c r="N2624" s="23">
        <f>IF($A2624="","",COUNTIFS(NOVEDADES!$C$4:$C$1503,$A2624))</f>
        <v/>
      </c>
      <c r="O2624" s="27">
        <f>IF($A2624="","",IF(COUNTIFS(NOVEDADES!$C$4:$C$1503,$A2624,NOVEDADES!$M$4:$M$1503,"SÍ")&gt;0,"No","Sí"))</f>
        <v/>
      </c>
      <c r="P2624" s="27">
        <f>IF(OR($A2624="",$K2624=""),"",IF(AND($M2624="Sí",$O2624="Sí"),"OTIF","Falló"))</f>
        <v/>
      </c>
    </row>
    <row r="2625" ht="16" customHeight="1">
      <c r="A2625" s="47" t="n"/>
      <c r="B2625" s="46" t="n"/>
      <c r="C2625" s="49" t="n"/>
      <c r="D2625" s="49" t="n"/>
      <c r="E2625" s="49" t="n"/>
      <c r="F2625" s="49" t="n"/>
      <c r="G2625" s="47" t="n"/>
      <c r="H2625" s="50" t="n"/>
      <c r="I2625" s="51" t="n"/>
      <c r="J2625" s="46" t="n"/>
      <c r="K2625" s="46" t="n"/>
      <c r="L2625" s="23">
        <f>IF(OR($A2625="",$B2625=""),"",IF($K2625&lt;&gt;"",$K2625-$B2625,TODAY()-$B2625))</f>
        <v/>
      </c>
      <c r="M2625" s="27">
        <f>IF(OR($A2625="",$J2625=""),"",IF($K2625="",IF(TODAY()&gt;$J2625,"Atrasado","En ruta"),IF($K2625&lt;=$J2625,"Sí","No")))</f>
        <v/>
      </c>
      <c r="N2625" s="23">
        <f>IF($A2625="","",COUNTIFS(NOVEDADES!$C$4:$C$1503,$A2625))</f>
        <v/>
      </c>
      <c r="O2625" s="27">
        <f>IF($A2625="","",IF(COUNTIFS(NOVEDADES!$C$4:$C$1503,$A2625,NOVEDADES!$M$4:$M$1503,"SÍ")&gt;0,"No","Sí"))</f>
        <v/>
      </c>
      <c r="P2625" s="27">
        <f>IF(OR($A2625="",$K2625=""),"",IF(AND($M2625="Sí",$O2625="Sí"),"OTIF","Falló"))</f>
        <v/>
      </c>
    </row>
    <row r="2626" ht="16" customHeight="1">
      <c r="A2626" s="47" t="n"/>
      <c r="B2626" s="46" t="n"/>
      <c r="C2626" s="49" t="n"/>
      <c r="D2626" s="49" t="n"/>
      <c r="E2626" s="49" t="n"/>
      <c r="F2626" s="49" t="n"/>
      <c r="G2626" s="47" t="n"/>
      <c r="H2626" s="50" t="n"/>
      <c r="I2626" s="51" t="n"/>
      <c r="J2626" s="46" t="n"/>
      <c r="K2626" s="46" t="n"/>
      <c r="L2626" s="23">
        <f>IF(OR($A2626="",$B2626=""),"",IF($K2626&lt;&gt;"",$K2626-$B2626,TODAY()-$B2626))</f>
        <v/>
      </c>
      <c r="M2626" s="27">
        <f>IF(OR($A2626="",$J2626=""),"",IF($K2626="",IF(TODAY()&gt;$J2626,"Atrasado","En ruta"),IF($K2626&lt;=$J2626,"Sí","No")))</f>
        <v/>
      </c>
      <c r="N2626" s="23">
        <f>IF($A2626="","",COUNTIFS(NOVEDADES!$C$4:$C$1503,$A2626))</f>
        <v/>
      </c>
      <c r="O2626" s="27">
        <f>IF($A2626="","",IF(COUNTIFS(NOVEDADES!$C$4:$C$1503,$A2626,NOVEDADES!$M$4:$M$1503,"SÍ")&gt;0,"No","Sí"))</f>
        <v/>
      </c>
      <c r="P2626" s="27">
        <f>IF(OR($A2626="",$K2626=""),"",IF(AND($M2626="Sí",$O2626="Sí"),"OTIF","Falló"))</f>
        <v/>
      </c>
    </row>
    <row r="2627" ht="16" customHeight="1">
      <c r="A2627" s="47" t="n"/>
      <c r="B2627" s="46" t="n"/>
      <c r="C2627" s="49" t="n"/>
      <c r="D2627" s="49" t="n"/>
      <c r="E2627" s="49" t="n"/>
      <c r="F2627" s="49" t="n"/>
      <c r="G2627" s="47" t="n"/>
      <c r="H2627" s="50" t="n"/>
      <c r="I2627" s="51" t="n"/>
      <c r="J2627" s="46" t="n"/>
      <c r="K2627" s="46" t="n"/>
      <c r="L2627" s="23">
        <f>IF(OR($A2627="",$B2627=""),"",IF($K2627&lt;&gt;"",$K2627-$B2627,TODAY()-$B2627))</f>
        <v/>
      </c>
      <c r="M2627" s="27">
        <f>IF(OR($A2627="",$J2627=""),"",IF($K2627="",IF(TODAY()&gt;$J2627,"Atrasado","En ruta"),IF($K2627&lt;=$J2627,"Sí","No")))</f>
        <v/>
      </c>
      <c r="N2627" s="23">
        <f>IF($A2627="","",COUNTIFS(NOVEDADES!$C$4:$C$1503,$A2627))</f>
        <v/>
      </c>
      <c r="O2627" s="27">
        <f>IF($A2627="","",IF(COUNTIFS(NOVEDADES!$C$4:$C$1503,$A2627,NOVEDADES!$M$4:$M$1503,"SÍ")&gt;0,"No","Sí"))</f>
        <v/>
      </c>
      <c r="P2627" s="27">
        <f>IF(OR($A2627="",$K2627=""),"",IF(AND($M2627="Sí",$O2627="Sí"),"OTIF","Falló"))</f>
        <v/>
      </c>
    </row>
    <row r="2628" ht="16" customHeight="1">
      <c r="A2628" s="47" t="n"/>
      <c r="B2628" s="46" t="n"/>
      <c r="C2628" s="49" t="n"/>
      <c r="D2628" s="49" t="n"/>
      <c r="E2628" s="49" t="n"/>
      <c r="F2628" s="49" t="n"/>
      <c r="G2628" s="47" t="n"/>
      <c r="H2628" s="50" t="n"/>
      <c r="I2628" s="51" t="n"/>
      <c r="J2628" s="46" t="n"/>
      <c r="K2628" s="46" t="n"/>
      <c r="L2628" s="23">
        <f>IF(OR($A2628="",$B2628=""),"",IF($K2628&lt;&gt;"",$K2628-$B2628,TODAY()-$B2628))</f>
        <v/>
      </c>
      <c r="M2628" s="27">
        <f>IF(OR($A2628="",$J2628=""),"",IF($K2628="",IF(TODAY()&gt;$J2628,"Atrasado","En ruta"),IF($K2628&lt;=$J2628,"Sí","No")))</f>
        <v/>
      </c>
      <c r="N2628" s="23">
        <f>IF($A2628="","",COUNTIFS(NOVEDADES!$C$4:$C$1503,$A2628))</f>
        <v/>
      </c>
      <c r="O2628" s="27">
        <f>IF($A2628="","",IF(COUNTIFS(NOVEDADES!$C$4:$C$1503,$A2628,NOVEDADES!$M$4:$M$1503,"SÍ")&gt;0,"No","Sí"))</f>
        <v/>
      </c>
      <c r="P2628" s="27">
        <f>IF(OR($A2628="",$K2628=""),"",IF(AND($M2628="Sí",$O2628="Sí"),"OTIF","Falló"))</f>
        <v/>
      </c>
    </row>
    <row r="2629" ht="16" customHeight="1">
      <c r="A2629" s="47" t="n"/>
      <c r="B2629" s="46" t="n"/>
      <c r="C2629" s="49" t="n"/>
      <c r="D2629" s="49" t="n"/>
      <c r="E2629" s="49" t="n"/>
      <c r="F2629" s="49" t="n"/>
      <c r="G2629" s="47" t="n"/>
      <c r="H2629" s="50" t="n"/>
      <c r="I2629" s="51" t="n"/>
      <c r="J2629" s="46" t="n"/>
      <c r="K2629" s="46" t="n"/>
      <c r="L2629" s="23">
        <f>IF(OR($A2629="",$B2629=""),"",IF($K2629&lt;&gt;"",$K2629-$B2629,TODAY()-$B2629))</f>
        <v/>
      </c>
      <c r="M2629" s="27">
        <f>IF(OR($A2629="",$J2629=""),"",IF($K2629="",IF(TODAY()&gt;$J2629,"Atrasado","En ruta"),IF($K2629&lt;=$J2629,"Sí","No")))</f>
        <v/>
      </c>
      <c r="N2629" s="23">
        <f>IF($A2629="","",COUNTIFS(NOVEDADES!$C$4:$C$1503,$A2629))</f>
        <v/>
      </c>
      <c r="O2629" s="27">
        <f>IF($A2629="","",IF(COUNTIFS(NOVEDADES!$C$4:$C$1503,$A2629,NOVEDADES!$M$4:$M$1503,"SÍ")&gt;0,"No","Sí"))</f>
        <v/>
      </c>
      <c r="P2629" s="27">
        <f>IF(OR($A2629="",$K2629=""),"",IF(AND($M2629="Sí",$O2629="Sí"),"OTIF","Falló"))</f>
        <v/>
      </c>
    </row>
    <row r="2630" ht="16" customHeight="1">
      <c r="A2630" s="47" t="n"/>
      <c r="B2630" s="46" t="n"/>
      <c r="C2630" s="49" t="n"/>
      <c r="D2630" s="49" t="n"/>
      <c r="E2630" s="49" t="n"/>
      <c r="F2630" s="49" t="n"/>
      <c r="G2630" s="47" t="n"/>
      <c r="H2630" s="50" t="n"/>
      <c r="I2630" s="51" t="n"/>
      <c r="J2630" s="46" t="n"/>
      <c r="K2630" s="46" t="n"/>
      <c r="L2630" s="23">
        <f>IF(OR($A2630="",$B2630=""),"",IF($K2630&lt;&gt;"",$K2630-$B2630,TODAY()-$B2630))</f>
        <v/>
      </c>
      <c r="M2630" s="27">
        <f>IF(OR($A2630="",$J2630=""),"",IF($K2630="",IF(TODAY()&gt;$J2630,"Atrasado","En ruta"),IF($K2630&lt;=$J2630,"Sí","No")))</f>
        <v/>
      </c>
      <c r="N2630" s="23">
        <f>IF($A2630="","",COUNTIFS(NOVEDADES!$C$4:$C$1503,$A2630))</f>
        <v/>
      </c>
      <c r="O2630" s="27">
        <f>IF($A2630="","",IF(COUNTIFS(NOVEDADES!$C$4:$C$1503,$A2630,NOVEDADES!$M$4:$M$1503,"SÍ")&gt;0,"No","Sí"))</f>
        <v/>
      </c>
      <c r="P2630" s="27">
        <f>IF(OR($A2630="",$K2630=""),"",IF(AND($M2630="Sí",$O2630="Sí"),"OTIF","Falló"))</f>
        <v/>
      </c>
    </row>
    <row r="2631" ht="16" customHeight="1">
      <c r="A2631" s="47" t="n"/>
      <c r="B2631" s="46" t="n"/>
      <c r="C2631" s="49" t="n"/>
      <c r="D2631" s="49" t="n"/>
      <c r="E2631" s="49" t="n"/>
      <c r="F2631" s="49" t="n"/>
      <c r="G2631" s="47" t="n"/>
      <c r="H2631" s="50" t="n"/>
      <c r="I2631" s="51" t="n"/>
      <c r="J2631" s="46" t="n"/>
      <c r="K2631" s="46" t="n"/>
      <c r="L2631" s="23">
        <f>IF(OR($A2631="",$B2631=""),"",IF($K2631&lt;&gt;"",$K2631-$B2631,TODAY()-$B2631))</f>
        <v/>
      </c>
      <c r="M2631" s="27">
        <f>IF(OR($A2631="",$J2631=""),"",IF($K2631="",IF(TODAY()&gt;$J2631,"Atrasado","En ruta"),IF($K2631&lt;=$J2631,"Sí","No")))</f>
        <v/>
      </c>
      <c r="N2631" s="23">
        <f>IF($A2631="","",COUNTIFS(NOVEDADES!$C$4:$C$1503,$A2631))</f>
        <v/>
      </c>
      <c r="O2631" s="27">
        <f>IF($A2631="","",IF(COUNTIFS(NOVEDADES!$C$4:$C$1503,$A2631,NOVEDADES!$M$4:$M$1503,"SÍ")&gt;0,"No","Sí"))</f>
        <v/>
      </c>
      <c r="P2631" s="27">
        <f>IF(OR($A2631="",$K2631=""),"",IF(AND($M2631="Sí",$O2631="Sí"),"OTIF","Falló"))</f>
        <v/>
      </c>
    </row>
    <row r="2632" ht="16" customHeight="1">
      <c r="A2632" s="47" t="n"/>
      <c r="B2632" s="46" t="n"/>
      <c r="C2632" s="49" t="n"/>
      <c r="D2632" s="49" t="n"/>
      <c r="E2632" s="49" t="n"/>
      <c r="F2632" s="49" t="n"/>
      <c r="G2632" s="47" t="n"/>
      <c r="H2632" s="50" t="n"/>
      <c r="I2632" s="51" t="n"/>
      <c r="J2632" s="46" t="n"/>
      <c r="K2632" s="46" t="n"/>
      <c r="L2632" s="23">
        <f>IF(OR($A2632="",$B2632=""),"",IF($K2632&lt;&gt;"",$K2632-$B2632,TODAY()-$B2632))</f>
        <v/>
      </c>
      <c r="M2632" s="27">
        <f>IF(OR($A2632="",$J2632=""),"",IF($K2632="",IF(TODAY()&gt;$J2632,"Atrasado","En ruta"),IF($K2632&lt;=$J2632,"Sí","No")))</f>
        <v/>
      </c>
      <c r="N2632" s="23">
        <f>IF($A2632="","",COUNTIFS(NOVEDADES!$C$4:$C$1503,$A2632))</f>
        <v/>
      </c>
      <c r="O2632" s="27">
        <f>IF($A2632="","",IF(COUNTIFS(NOVEDADES!$C$4:$C$1503,$A2632,NOVEDADES!$M$4:$M$1503,"SÍ")&gt;0,"No","Sí"))</f>
        <v/>
      </c>
      <c r="P2632" s="27">
        <f>IF(OR($A2632="",$K2632=""),"",IF(AND($M2632="Sí",$O2632="Sí"),"OTIF","Falló"))</f>
        <v/>
      </c>
    </row>
    <row r="2633" ht="16" customHeight="1">
      <c r="A2633" s="47" t="n"/>
      <c r="B2633" s="46" t="n"/>
      <c r="C2633" s="49" t="n"/>
      <c r="D2633" s="49" t="n"/>
      <c r="E2633" s="49" t="n"/>
      <c r="F2633" s="49" t="n"/>
      <c r="G2633" s="47" t="n"/>
      <c r="H2633" s="50" t="n"/>
      <c r="I2633" s="51" t="n"/>
      <c r="J2633" s="46" t="n"/>
      <c r="K2633" s="46" t="n"/>
      <c r="L2633" s="23">
        <f>IF(OR($A2633="",$B2633=""),"",IF($K2633&lt;&gt;"",$K2633-$B2633,TODAY()-$B2633))</f>
        <v/>
      </c>
      <c r="M2633" s="27">
        <f>IF(OR($A2633="",$J2633=""),"",IF($K2633="",IF(TODAY()&gt;$J2633,"Atrasado","En ruta"),IF($K2633&lt;=$J2633,"Sí","No")))</f>
        <v/>
      </c>
      <c r="N2633" s="23">
        <f>IF($A2633="","",COUNTIFS(NOVEDADES!$C$4:$C$1503,$A2633))</f>
        <v/>
      </c>
      <c r="O2633" s="27">
        <f>IF($A2633="","",IF(COUNTIFS(NOVEDADES!$C$4:$C$1503,$A2633,NOVEDADES!$M$4:$M$1503,"SÍ")&gt;0,"No","Sí"))</f>
        <v/>
      </c>
      <c r="P2633" s="27">
        <f>IF(OR($A2633="",$K2633=""),"",IF(AND($M2633="Sí",$O2633="Sí"),"OTIF","Falló"))</f>
        <v/>
      </c>
    </row>
    <row r="2634" ht="16" customHeight="1">
      <c r="A2634" s="47" t="n"/>
      <c r="B2634" s="46" t="n"/>
      <c r="C2634" s="49" t="n"/>
      <c r="D2634" s="49" t="n"/>
      <c r="E2634" s="49" t="n"/>
      <c r="F2634" s="49" t="n"/>
      <c r="G2634" s="47" t="n"/>
      <c r="H2634" s="50" t="n"/>
      <c r="I2634" s="51" t="n"/>
      <c r="J2634" s="46" t="n"/>
      <c r="K2634" s="46" t="n"/>
      <c r="L2634" s="23">
        <f>IF(OR($A2634="",$B2634=""),"",IF($K2634&lt;&gt;"",$K2634-$B2634,TODAY()-$B2634))</f>
        <v/>
      </c>
      <c r="M2634" s="27">
        <f>IF(OR($A2634="",$J2634=""),"",IF($K2634="",IF(TODAY()&gt;$J2634,"Atrasado","En ruta"),IF($K2634&lt;=$J2634,"Sí","No")))</f>
        <v/>
      </c>
      <c r="N2634" s="23">
        <f>IF($A2634="","",COUNTIFS(NOVEDADES!$C$4:$C$1503,$A2634))</f>
        <v/>
      </c>
      <c r="O2634" s="27">
        <f>IF($A2634="","",IF(COUNTIFS(NOVEDADES!$C$4:$C$1503,$A2634,NOVEDADES!$M$4:$M$1503,"SÍ")&gt;0,"No","Sí"))</f>
        <v/>
      </c>
      <c r="P2634" s="27">
        <f>IF(OR($A2634="",$K2634=""),"",IF(AND($M2634="Sí",$O2634="Sí"),"OTIF","Falló"))</f>
        <v/>
      </c>
    </row>
    <row r="2635" ht="16" customHeight="1">
      <c r="A2635" s="47" t="n"/>
      <c r="B2635" s="46" t="n"/>
      <c r="C2635" s="49" t="n"/>
      <c r="D2635" s="49" t="n"/>
      <c r="E2635" s="49" t="n"/>
      <c r="F2635" s="49" t="n"/>
      <c r="G2635" s="47" t="n"/>
      <c r="H2635" s="50" t="n"/>
      <c r="I2635" s="51" t="n"/>
      <c r="J2635" s="46" t="n"/>
      <c r="K2635" s="46" t="n"/>
      <c r="L2635" s="23">
        <f>IF(OR($A2635="",$B2635=""),"",IF($K2635&lt;&gt;"",$K2635-$B2635,TODAY()-$B2635))</f>
        <v/>
      </c>
      <c r="M2635" s="27">
        <f>IF(OR($A2635="",$J2635=""),"",IF($K2635="",IF(TODAY()&gt;$J2635,"Atrasado","En ruta"),IF($K2635&lt;=$J2635,"Sí","No")))</f>
        <v/>
      </c>
      <c r="N2635" s="23">
        <f>IF($A2635="","",COUNTIFS(NOVEDADES!$C$4:$C$1503,$A2635))</f>
        <v/>
      </c>
      <c r="O2635" s="27">
        <f>IF($A2635="","",IF(COUNTIFS(NOVEDADES!$C$4:$C$1503,$A2635,NOVEDADES!$M$4:$M$1503,"SÍ")&gt;0,"No","Sí"))</f>
        <v/>
      </c>
      <c r="P2635" s="27">
        <f>IF(OR($A2635="",$K2635=""),"",IF(AND($M2635="Sí",$O2635="Sí"),"OTIF","Falló"))</f>
        <v/>
      </c>
    </row>
    <row r="2636" ht="16" customHeight="1">
      <c r="A2636" s="47" t="n"/>
      <c r="B2636" s="46" t="n"/>
      <c r="C2636" s="49" t="n"/>
      <c r="D2636" s="49" t="n"/>
      <c r="E2636" s="49" t="n"/>
      <c r="F2636" s="49" t="n"/>
      <c r="G2636" s="47" t="n"/>
      <c r="H2636" s="50" t="n"/>
      <c r="I2636" s="51" t="n"/>
      <c r="J2636" s="46" t="n"/>
      <c r="K2636" s="46" t="n"/>
      <c r="L2636" s="23">
        <f>IF(OR($A2636="",$B2636=""),"",IF($K2636&lt;&gt;"",$K2636-$B2636,TODAY()-$B2636))</f>
        <v/>
      </c>
      <c r="M2636" s="27">
        <f>IF(OR($A2636="",$J2636=""),"",IF($K2636="",IF(TODAY()&gt;$J2636,"Atrasado","En ruta"),IF($K2636&lt;=$J2636,"Sí","No")))</f>
        <v/>
      </c>
      <c r="N2636" s="23">
        <f>IF($A2636="","",COUNTIFS(NOVEDADES!$C$4:$C$1503,$A2636))</f>
        <v/>
      </c>
      <c r="O2636" s="27">
        <f>IF($A2636="","",IF(COUNTIFS(NOVEDADES!$C$4:$C$1503,$A2636,NOVEDADES!$M$4:$M$1503,"SÍ")&gt;0,"No","Sí"))</f>
        <v/>
      </c>
      <c r="P2636" s="27">
        <f>IF(OR($A2636="",$K2636=""),"",IF(AND($M2636="Sí",$O2636="Sí"),"OTIF","Falló"))</f>
        <v/>
      </c>
    </row>
    <row r="2637" ht="16" customHeight="1">
      <c r="A2637" s="47" t="n"/>
      <c r="B2637" s="46" t="n"/>
      <c r="C2637" s="49" t="n"/>
      <c r="D2637" s="49" t="n"/>
      <c r="E2637" s="49" t="n"/>
      <c r="F2637" s="49" t="n"/>
      <c r="G2637" s="47" t="n"/>
      <c r="H2637" s="50" t="n"/>
      <c r="I2637" s="51" t="n"/>
      <c r="J2637" s="46" t="n"/>
      <c r="K2637" s="46" t="n"/>
      <c r="L2637" s="23">
        <f>IF(OR($A2637="",$B2637=""),"",IF($K2637&lt;&gt;"",$K2637-$B2637,TODAY()-$B2637))</f>
        <v/>
      </c>
      <c r="M2637" s="27">
        <f>IF(OR($A2637="",$J2637=""),"",IF($K2637="",IF(TODAY()&gt;$J2637,"Atrasado","En ruta"),IF($K2637&lt;=$J2637,"Sí","No")))</f>
        <v/>
      </c>
      <c r="N2637" s="23">
        <f>IF($A2637="","",COUNTIFS(NOVEDADES!$C$4:$C$1503,$A2637))</f>
        <v/>
      </c>
      <c r="O2637" s="27">
        <f>IF($A2637="","",IF(COUNTIFS(NOVEDADES!$C$4:$C$1503,$A2637,NOVEDADES!$M$4:$M$1503,"SÍ")&gt;0,"No","Sí"))</f>
        <v/>
      </c>
      <c r="P2637" s="27">
        <f>IF(OR($A2637="",$K2637=""),"",IF(AND($M2637="Sí",$O2637="Sí"),"OTIF","Falló"))</f>
        <v/>
      </c>
    </row>
    <row r="2638" ht="16" customHeight="1">
      <c r="A2638" s="47" t="n"/>
      <c r="B2638" s="46" t="n"/>
      <c r="C2638" s="49" t="n"/>
      <c r="D2638" s="49" t="n"/>
      <c r="E2638" s="49" t="n"/>
      <c r="F2638" s="49" t="n"/>
      <c r="G2638" s="47" t="n"/>
      <c r="H2638" s="50" t="n"/>
      <c r="I2638" s="51" t="n"/>
      <c r="J2638" s="46" t="n"/>
      <c r="K2638" s="46" t="n"/>
      <c r="L2638" s="23">
        <f>IF(OR($A2638="",$B2638=""),"",IF($K2638&lt;&gt;"",$K2638-$B2638,TODAY()-$B2638))</f>
        <v/>
      </c>
      <c r="M2638" s="27">
        <f>IF(OR($A2638="",$J2638=""),"",IF($K2638="",IF(TODAY()&gt;$J2638,"Atrasado","En ruta"),IF($K2638&lt;=$J2638,"Sí","No")))</f>
        <v/>
      </c>
      <c r="N2638" s="23">
        <f>IF($A2638="","",COUNTIFS(NOVEDADES!$C$4:$C$1503,$A2638))</f>
        <v/>
      </c>
      <c r="O2638" s="27">
        <f>IF($A2638="","",IF(COUNTIFS(NOVEDADES!$C$4:$C$1503,$A2638,NOVEDADES!$M$4:$M$1503,"SÍ")&gt;0,"No","Sí"))</f>
        <v/>
      </c>
      <c r="P2638" s="27">
        <f>IF(OR($A2638="",$K2638=""),"",IF(AND($M2638="Sí",$O2638="Sí"),"OTIF","Falló"))</f>
        <v/>
      </c>
    </row>
    <row r="2639" ht="16" customHeight="1">
      <c r="A2639" s="47" t="n"/>
      <c r="B2639" s="46" t="n"/>
      <c r="C2639" s="49" t="n"/>
      <c r="D2639" s="49" t="n"/>
      <c r="E2639" s="49" t="n"/>
      <c r="F2639" s="49" t="n"/>
      <c r="G2639" s="47" t="n"/>
      <c r="H2639" s="50" t="n"/>
      <c r="I2639" s="51" t="n"/>
      <c r="J2639" s="46" t="n"/>
      <c r="K2639" s="46" t="n"/>
      <c r="L2639" s="23">
        <f>IF(OR($A2639="",$B2639=""),"",IF($K2639&lt;&gt;"",$K2639-$B2639,TODAY()-$B2639))</f>
        <v/>
      </c>
      <c r="M2639" s="27">
        <f>IF(OR($A2639="",$J2639=""),"",IF($K2639="",IF(TODAY()&gt;$J2639,"Atrasado","En ruta"),IF($K2639&lt;=$J2639,"Sí","No")))</f>
        <v/>
      </c>
      <c r="N2639" s="23">
        <f>IF($A2639="","",COUNTIFS(NOVEDADES!$C$4:$C$1503,$A2639))</f>
        <v/>
      </c>
      <c r="O2639" s="27">
        <f>IF($A2639="","",IF(COUNTIFS(NOVEDADES!$C$4:$C$1503,$A2639,NOVEDADES!$M$4:$M$1503,"SÍ")&gt;0,"No","Sí"))</f>
        <v/>
      </c>
      <c r="P2639" s="27">
        <f>IF(OR($A2639="",$K2639=""),"",IF(AND($M2639="Sí",$O2639="Sí"),"OTIF","Falló"))</f>
        <v/>
      </c>
    </row>
    <row r="2640" ht="16" customHeight="1">
      <c r="A2640" s="47" t="n"/>
      <c r="B2640" s="46" t="n"/>
      <c r="C2640" s="49" t="n"/>
      <c r="D2640" s="49" t="n"/>
      <c r="E2640" s="49" t="n"/>
      <c r="F2640" s="49" t="n"/>
      <c r="G2640" s="47" t="n"/>
      <c r="H2640" s="50" t="n"/>
      <c r="I2640" s="51" t="n"/>
      <c r="J2640" s="46" t="n"/>
      <c r="K2640" s="46" t="n"/>
      <c r="L2640" s="23">
        <f>IF(OR($A2640="",$B2640=""),"",IF($K2640&lt;&gt;"",$K2640-$B2640,TODAY()-$B2640))</f>
        <v/>
      </c>
      <c r="M2640" s="27">
        <f>IF(OR($A2640="",$J2640=""),"",IF($K2640="",IF(TODAY()&gt;$J2640,"Atrasado","En ruta"),IF($K2640&lt;=$J2640,"Sí","No")))</f>
        <v/>
      </c>
      <c r="N2640" s="23">
        <f>IF($A2640="","",COUNTIFS(NOVEDADES!$C$4:$C$1503,$A2640))</f>
        <v/>
      </c>
      <c r="O2640" s="27">
        <f>IF($A2640="","",IF(COUNTIFS(NOVEDADES!$C$4:$C$1503,$A2640,NOVEDADES!$M$4:$M$1503,"SÍ")&gt;0,"No","Sí"))</f>
        <v/>
      </c>
      <c r="P2640" s="27">
        <f>IF(OR($A2640="",$K2640=""),"",IF(AND($M2640="Sí",$O2640="Sí"),"OTIF","Falló"))</f>
        <v/>
      </c>
    </row>
    <row r="2641" ht="16" customHeight="1">
      <c r="A2641" s="47" t="n"/>
      <c r="B2641" s="46" t="n"/>
      <c r="C2641" s="49" t="n"/>
      <c r="D2641" s="49" t="n"/>
      <c r="E2641" s="49" t="n"/>
      <c r="F2641" s="49" t="n"/>
      <c r="G2641" s="47" t="n"/>
      <c r="H2641" s="50" t="n"/>
      <c r="I2641" s="51" t="n"/>
      <c r="J2641" s="46" t="n"/>
      <c r="K2641" s="46" t="n"/>
      <c r="L2641" s="23">
        <f>IF(OR($A2641="",$B2641=""),"",IF($K2641&lt;&gt;"",$K2641-$B2641,TODAY()-$B2641))</f>
        <v/>
      </c>
      <c r="M2641" s="27">
        <f>IF(OR($A2641="",$J2641=""),"",IF($K2641="",IF(TODAY()&gt;$J2641,"Atrasado","En ruta"),IF($K2641&lt;=$J2641,"Sí","No")))</f>
        <v/>
      </c>
      <c r="N2641" s="23">
        <f>IF($A2641="","",COUNTIFS(NOVEDADES!$C$4:$C$1503,$A2641))</f>
        <v/>
      </c>
      <c r="O2641" s="27">
        <f>IF($A2641="","",IF(COUNTIFS(NOVEDADES!$C$4:$C$1503,$A2641,NOVEDADES!$M$4:$M$1503,"SÍ")&gt;0,"No","Sí"))</f>
        <v/>
      </c>
      <c r="P2641" s="27">
        <f>IF(OR($A2641="",$K2641=""),"",IF(AND($M2641="Sí",$O2641="Sí"),"OTIF","Falló"))</f>
        <v/>
      </c>
    </row>
    <row r="2642" ht="16" customHeight="1">
      <c r="A2642" s="47" t="n"/>
      <c r="B2642" s="46" t="n"/>
      <c r="C2642" s="49" t="n"/>
      <c r="D2642" s="49" t="n"/>
      <c r="E2642" s="49" t="n"/>
      <c r="F2642" s="49" t="n"/>
      <c r="G2642" s="47" t="n"/>
      <c r="H2642" s="50" t="n"/>
      <c r="I2642" s="51" t="n"/>
      <c r="J2642" s="46" t="n"/>
      <c r="K2642" s="46" t="n"/>
      <c r="L2642" s="23">
        <f>IF(OR($A2642="",$B2642=""),"",IF($K2642&lt;&gt;"",$K2642-$B2642,TODAY()-$B2642))</f>
        <v/>
      </c>
      <c r="M2642" s="27">
        <f>IF(OR($A2642="",$J2642=""),"",IF($K2642="",IF(TODAY()&gt;$J2642,"Atrasado","En ruta"),IF($K2642&lt;=$J2642,"Sí","No")))</f>
        <v/>
      </c>
      <c r="N2642" s="23">
        <f>IF($A2642="","",COUNTIFS(NOVEDADES!$C$4:$C$1503,$A2642))</f>
        <v/>
      </c>
      <c r="O2642" s="27">
        <f>IF($A2642="","",IF(COUNTIFS(NOVEDADES!$C$4:$C$1503,$A2642,NOVEDADES!$M$4:$M$1503,"SÍ")&gt;0,"No","Sí"))</f>
        <v/>
      </c>
      <c r="P2642" s="27">
        <f>IF(OR($A2642="",$K2642=""),"",IF(AND($M2642="Sí",$O2642="Sí"),"OTIF","Falló"))</f>
        <v/>
      </c>
    </row>
    <row r="2643" ht="16" customHeight="1">
      <c r="A2643" s="47" t="n"/>
      <c r="B2643" s="46" t="n"/>
      <c r="C2643" s="49" t="n"/>
      <c r="D2643" s="49" t="n"/>
      <c r="E2643" s="49" t="n"/>
      <c r="F2643" s="49" t="n"/>
      <c r="G2643" s="47" t="n"/>
      <c r="H2643" s="50" t="n"/>
      <c r="I2643" s="51" t="n"/>
      <c r="J2643" s="46" t="n"/>
      <c r="K2643" s="46" t="n"/>
      <c r="L2643" s="23">
        <f>IF(OR($A2643="",$B2643=""),"",IF($K2643&lt;&gt;"",$K2643-$B2643,TODAY()-$B2643))</f>
        <v/>
      </c>
      <c r="M2643" s="27">
        <f>IF(OR($A2643="",$J2643=""),"",IF($K2643="",IF(TODAY()&gt;$J2643,"Atrasado","En ruta"),IF($K2643&lt;=$J2643,"Sí","No")))</f>
        <v/>
      </c>
      <c r="N2643" s="23">
        <f>IF($A2643="","",COUNTIFS(NOVEDADES!$C$4:$C$1503,$A2643))</f>
        <v/>
      </c>
      <c r="O2643" s="27">
        <f>IF($A2643="","",IF(COUNTIFS(NOVEDADES!$C$4:$C$1503,$A2643,NOVEDADES!$M$4:$M$1503,"SÍ")&gt;0,"No","Sí"))</f>
        <v/>
      </c>
      <c r="P2643" s="27">
        <f>IF(OR($A2643="",$K2643=""),"",IF(AND($M2643="Sí",$O2643="Sí"),"OTIF","Falló"))</f>
        <v/>
      </c>
    </row>
    <row r="2644" ht="16" customHeight="1">
      <c r="A2644" s="47" t="n"/>
      <c r="B2644" s="46" t="n"/>
      <c r="C2644" s="49" t="n"/>
      <c r="D2644" s="49" t="n"/>
      <c r="E2644" s="49" t="n"/>
      <c r="F2644" s="49" t="n"/>
      <c r="G2644" s="47" t="n"/>
      <c r="H2644" s="50" t="n"/>
      <c r="I2644" s="51" t="n"/>
      <c r="J2644" s="46" t="n"/>
      <c r="K2644" s="46" t="n"/>
      <c r="L2644" s="23">
        <f>IF(OR($A2644="",$B2644=""),"",IF($K2644&lt;&gt;"",$K2644-$B2644,TODAY()-$B2644))</f>
        <v/>
      </c>
      <c r="M2644" s="27">
        <f>IF(OR($A2644="",$J2644=""),"",IF($K2644="",IF(TODAY()&gt;$J2644,"Atrasado","En ruta"),IF($K2644&lt;=$J2644,"Sí","No")))</f>
        <v/>
      </c>
      <c r="N2644" s="23">
        <f>IF($A2644="","",COUNTIFS(NOVEDADES!$C$4:$C$1503,$A2644))</f>
        <v/>
      </c>
      <c r="O2644" s="27">
        <f>IF($A2644="","",IF(COUNTIFS(NOVEDADES!$C$4:$C$1503,$A2644,NOVEDADES!$M$4:$M$1503,"SÍ")&gt;0,"No","Sí"))</f>
        <v/>
      </c>
      <c r="P2644" s="27">
        <f>IF(OR($A2644="",$K2644=""),"",IF(AND($M2644="Sí",$O2644="Sí"),"OTIF","Falló"))</f>
        <v/>
      </c>
    </row>
    <row r="2645" ht="16" customHeight="1">
      <c r="A2645" s="47" t="n"/>
      <c r="B2645" s="46" t="n"/>
      <c r="C2645" s="49" t="n"/>
      <c r="D2645" s="49" t="n"/>
      <c r="E2645" s="49" t="n"/>
      <c r="F2645" s="49" t="n"/>
      <c r="G2645" s="47" t="n"/>
      <c r="H2645" s="50" t="n"/>
      <c r="I2645" s="51" t="n"/>
      <c r="J2645" s="46" t="n"/>
      <c r="K2645" s="46" t="n"/>
      <c r="L2645" s="23">
        <f>IF(OR($A2645="",$B2645=""),"",IF($K2645&lt;&gt;"",$K2645-$B2645,TODAY()-$B2645))</f>
        <v/>
      </c>
      <c r="M2645" s="27">
        <f>IF(OR($A2645="",$J2645=""),"",IF($K2645="",IF(TODAY()&gt;$J2645,"Atrasado","En ruta"),IF($K2645&lt;=$J2645,"Sí","No")))</f>
        <v/>
      </c>
      <c r="N2645" s="23">
        <f>IF($A2645="","",COUNTIFS(NOVEDADES!$C$4:$C$1503,$A2645))</f>
        <v/>
      </c>
      <c r="O2645" s="27">
        <f>IF($A2645="","",IF(COUNTIFS(NOVEDADES!$C$4:$C$1503,$A2645,NOVEDADES!$M$4:$M$1503,"SÍ")&gt;0,"No","Sí"))</f>
        <v/>
      </c>
      <c r="P2645" s="27">
        <f>IF(OR($A2645="",$K2645=""),"",IF(AND($M2645="Sí",$O2645="Sí"),"OTIF","Falló"))</f>
        <v/>
      </c>
    </row>
    <row r="2646" ht="16" customHeight="1">
      <c r="A2646" s="47" t="n"/>
      <c r="B2646" s="46" t="n"/>
      <c r="C2646" s="49" t="n"/>
      <c r="D2646" s="49" t="n"/>
      <c r="E2646" s="49" t="n"/>
      <c r="F2646" s="49" t="n"/>
      <c r="G2646" s="47" t="n"/>
      <c r="H2646" s="50" t="n"/>
      <c r="I2646" s="51" t="n"/>
      <c r="J2646" s="46" t="n"/>
      <c r="K2646" s="46" t="n"/>
      <c r="L2646" s="23">
        <f>IF(OR($A2646="",$B2646=""),"",IF($K2646&lt;&gt;"",$K2646-$B2646,TODAY()-$B2646))</f>
        <v/>
      </c>
      <c r="M2646" s="27">
        <f>IF(OR($A2646="",$J2646=""),"",IF($K2646="",IF(TODAY()&gt;$J2646,"Atrasado","En ruta"),IF($K2646&lt;=$J2646,"Sí","No")))</f>
        <v/>
      </c>
      <c r="N2646" s="23">
        <f>IF($A2646="","",COUNTIFS(NOVEDADES!$C$4:$C$1503,$A2646))</f>
        <v/>
      </c>
      <c r="O2646" s="27">
        <f>IF($A2646="","",IF(COUNTIFS(NOVEDADES!$C$4:$C$1503,$A2646,NOVEDADES!$M$4:$M$1503,"SÍ")&gt;0,"No","Sí"))</f>
        <v/>
      </c>
      <c r="P2646" s="27">
        <f>IF(OR($A2646="",$K2646=""),"",IF(AND($M2646="Sí",$O2646="Sí"),"OTIF","Falló"))</f>
        <v/>
      </c>
    </row>
    <row r="2647" ht="16" customHeight="1">
      <c r="A2647" s="47" t="n"/>
      <c r="B2647" s="46" t="n"/>
      <c r="C2647" s="49" t="n"/>
      <c r="D2647" s="49" t="n"/>
      <c r="E2647" s="49" t="n"/>
      <c r="F2647" s="49" t="n"/>
      <c r="G2647" s="47" t="n"/>
      <c r="H2647" s="50" t="n"/>
      <c r="I2647" s="51" t="n"/>
      <c r="J2647" s="46" t="n"/>
      <c r="K2647" s="46" t="n"/>
      <c r="L2647" s="23">
        <f>IF(OR($A2647="",$B2647=""),"",IF($K2647&lt;&gt;"",$K2647-$B2647,TODAY()-$B2647))</f>
        <v/>
      </c>
      <c r="M2647" s="27">
        <f>IF(OR($A2647="",$J2647=""),"",IF($K2647="",IF(TODAY()&gt;$J2647,"Atrasado","En ruta"),IF($K2647&lt;=$J2647,"Sí","No")))</f>
        <v/>
      </c>
      <c r="N2647" s="23">
        <f>IF($A2647="","",COUNTIFS(NOVEDADES!$C$4:$C$1503,$A2647))</f>
        <v/>
      </c>
      <c r="O2647" s="27">
        <f>IF($A2647="","",IF(COUNTIFS(NOVEDADES!$C$4:$C$1503,$A2647,NOVEDADES!$M$4:$M$1503,"SÍ")&gt;0,"No","Sí"))</f>
        <v/>
      </c>
      <c r="P2647" s="27">
        <f>IF(OR($A2647="",$K2647=""),"",IF(AND($M2647="Sí",$O2647="Sí"),"OTIF","Falló"))</f>
        <v/>
      </c>
    </row>
    <row r="2648" ht="16" customHeight="1">
      <c r="A2648" s="47" t="n"/>
      <c r="B2648" s="46" t="n"/>
      <c r="C2648" s="49" t="n"/>
      <c r="D2648" s="49" t="n"/>
      <c r="E2648" s="49" t="n"/>
      <c r="F2648" s="49" t="n"/>
      <c r="G2648" s="47" t="n"/>
      <c r="H2648" s="50" t="n"/>
      <c r="I2648" s="51" t="n"/>
      <c r="J2648" s="46" t="n"/>
      <c r="K2648" s="46" t="n"/>
      <c r="L2648" s="23">
        <f>IF(OR($A2648="",$B2648=""),"",IF($K2648&lt;&gt;"",$K2648-$B2648,TODAY()-$B2648))</f>
        <v/>
      </c>
      <c r="M2648" s="27">
        <f>IF(OR($A2648="",$J2648=""),"",IF($K2648="",IF(TODAY()&gt;$J2648,"Atrasado","En ruta"),IF($K2648&lt;=$J2648,"Sí","No")))</f>
        <v/>
      </c>
      <c r="N2648" s="23">
        <f>IF($A2648="","",COUNTIFS(NOVEDADES!$C$4:$C$1503,$A2648))</f>
        <v/>
      </c>
      <c r="O2648" s="27">
        <f>IF($A2648="","",IF(COUNTIFS(NOVEDADES!$C$4:$C$1503,$A2648,NOVEDADES!$M$4:$M$1503,"SÍ")&gt;0,"No","Sí"))</f>
        <v/>
      </c>
      <c r="P2648" s="27">
        <f>IF(OR($A2648="",$K2648=""),"",IF(AND($M2648="Sí",$O2648="Sí"),"OTIF","Falló"))</f>
        <v/>
      </c>
    </row>
    <row r="2649" ht="16" customHeight="1">
      <c r="A2649" s="47" t="n"/>
      <c r="B2649" s="46" t="n"/>
      <c r="C2649" s="49" t="n"/>
      <c r="D2649" s="49" t="n"/>
      <c r="E2649" s="49" t="n"/>
      <c r="F2649" s="49" t="n"/>
      <c r="G2649" s="47" t="n"/>
      <c r="H2649" s="50" t="n"/>
      <c r="I2649" s="51" t="n"/>
      <c r="J2649" s="46" t="n"/>
      <c r="K2649" s="46" t="n"/>
      <c r="L2649" s="23">
        <f>IF(OR($A2649="",$B2649=""),"",IF($K2649&lt;&gt;"",$K2649-$B2649,TODAY()-$B2649))</f>
        <v/>
      </c>
      <c r="M2649" s="27">
        <f>IF(OR($A2649="",$J2649=""),"",IF($K2649="",IF(TODAY()&gt;$J2649,"Atrasado","En ruta"),IF($K2649&lt;=$J2649,"Sí","No")))</f>
        <v/>
      </c>
      <c r="N2649" s="23">
        <f>IF($A2649="","",COUNTIFS(NOVEDADES!$C$4:$C$1503,$A2649))</f>
        <v/>
      </c>
      <c r="O2649" s="27">
        <f>IF($A2649="","",IF(COUNTIFS(NOVEDADES!$C$4:$C$1503,$A2649,NOVEDADES!$M$4:$M$1503,"SÍ")&gt;0,"No","Sí"))</f>
        <v/>
      </c>
      <c r="P2649" s="27">
        <f>IF(OR($A2649="",$K2649=""),"",IF(AND($M2649="Sí",$O2649="Sí"),"OTIF","Falló"))</f>
        <v/>
      </c>
    </row>
    <row r="2650" ht="16" customHeight="1">
      <c r="A2650" s="47" t="n"/>
      <c r="B2650" s="46" t="n"/>
      <c r="C2650" s="49" t="n"/>
      <c r="D2650" s="49" t="n"/>
      <c r="E2650" s="49" t="n"/>
      <c r="F2650" s="49" t="n"/>
      <c r="G2650" s="47" t="n"/>
      <c r="H2650" s="50" t="n"/>
      <c r="I2650" s="51" t="n"/>
      <c r="J2650" s="46" t="n"/>
      <c r="K2650" s="46" t="n"/>
      <c r="L2650" s="23">
        <f>IF(OR($A2650="",$B2650=""),"",IF($K2650&lt;&gt;"",$K2650-$B2650,TODAY()-$B2650))</f>
        <v/>
      </c>
      <c r="M2650" s="27">
        <f>IF(OR($A2650="",$J2650=""),"",IF($K2650="",IF(TODAY()&gt;$J2650,"Atrasado","En ruta"),IF($K2650&lt;=$J2650,"Sí","No")))</f>
        <v/>
      </c>
      <c r="N2650" s="23">
        <f>IF($A2650="","",COUNTIFS(NOVEDADES!$C$4:$C$1503,$A2650))</f>
        <v/>
      </c>
      <c r="O2650" s="27">
        <f>IF($A2650="","",IF(COUNTIFS(NOVEDADES!$C$4:$C$1503,$A2650,NOVEDADES!$M$4:$M$1503,"SÍ")&gt;0,"No","Sí"))</f>
        <v/>
      </c>
      <c r="P2650" s="27">
        <f>IF(OR($A2650="",$K2650=""),"",IF(AND($M2650="Sí",$O2650="Sí"),"OTIF","Falló"))</f>
        <v/>
      </c>
    </row>
    <row r="2651" ht="16" customHeight="1">
      <c r="A2651" s="47" t="n"/>
      <c r="B2651" s="46" t="n"/>
      <c r="C2651" s="49" t="n"/>
      <c r="D2651" s="49" t="n"/>
      <c r="E2651" s="49" t="n"/>
      <c r="F2651" s="49" t="n"/>
      <c r="G2651" s="47" t="n"/>
      <c r="H2651" s="50" t="n"/>
      <c r="I2651" s="51" t="n"/>
      <c r="J2651" s="46" t="n"/>
      <c r="K2651" s="46" t="n"/>
      <c r="L2651" s="23">
        <f>IF(OR($A2651="",$B2651=""),"",IF($K2651&lt;&gt;"",$K2651-$B2651,TODAY()-$B2651))</f>
        <v/>
      </c>
      <c r="M2651" s="27">
        <f>IF(OR($A2651="",$J2651=""),"",IF($K2651="",IF(TODAY()&gt;$J2651,"Atrasado","En ruta"),IF($K2651&lt;=$J2651,"Sí","No")))</f>
        <v/>
      </c>
      <c r="N2651" s="23">
        <f>IF($A2651="","",COUNTIFS(NOVEDADES!$C$4:$C$1503,$A2651))</f>
        <v/>
      </c>
      <c r="O2651" s="27">
        <f>IF($A2651="","",IF(COUNTIFS(NOVEDADES!$C$4:$C$1503,$A2651,NOVEDADES!$M$4:$M$1503,"SÍ")&gt;0,"No","Sí"))</f>
        <v/>
      </c>
      <c r="P2651" s="27">
        <f>IF(OR($A2651="",$K2651=""),"",IF(AND($M2651="Sí",$O2651="Sí"),"OTIF","Falló"))</f>
        <v/>
      </c>
    </row>
    <row r="2652" ht="16" customHeight="1">
      <c r="A2652" s="47" t="n"/>
      <c r="B2652" s="46" t="n"/>
      <c r="C2652" s="49" t="n"/>
      <c r="D2652" s="49" t="n"/>
      <c r="E2652" s="49" t="n"/>
      <c r="F2652" s="49" t="n"/>
      <c r="G2652" s="47" t="n"/>
      <c r="H2652" s="50" t="n"/>
      <c r="I2652" s="51" t="n"/>
      <c r="J2652" s="46" t="n"/>
      <c r="K2652" s="46" t="n"/>
      <c r="L2652" s="23">
        <f>IF(OR($A2652="",$B2652=""),"",IF($K2652&lt;&gt;"",$K2652-$B2652,TODAY()-$B2652))</f>
        <v/>
      </c>
      <c r="M2652" s="27">
        <f>IF(OR($A2652="",$J2652=""),"",IF($K2652="",IF(TODAY()&gt;$J2652,"Atrasado","En ruta"),IF($K2652&lt;=$J2652,"Sí","No")))</f>
        <v/>
      </c>
      <c r="N2652" s="23">
        <f>IF($A2652="","",COUNTIFS(NOVEDADES!$C$4:$C$1503,$A2652))</f>
        <v/>
      </c>
      <c r="O2652" s="27">
        <f>IF($A2652="","",IF(COUNTIFS(NOVEDADES!$C$4:$C$1503,$A2652,NOVEDADES!$M$4:$M$1503,"SÍ")&gt;0,"No","Sí"))</f>
        <v/>
      </c>
      <c r="P2652" s="27">
        <f>IF(OR($A2652="",$K2652=""),"",IF(AND($M2652="Sí",$O2652="Sí"),"OTIF","Falló"))</f>
        <v/>
      </c>
    </row>
    <row r="2653" ht="16" customHeight="1">
      <c r="A2653" s="47" t="n"/>
      <c r="B2653" s="46" t="n"/>
      <c r="C2653" s="49" t="n"/>
      <c r="D2653" s="49" t="n"/>
      <c r="E2653" s="49" t="n"/>
      <c r="F2653" s="49" t="n"/>
      <c r="G2653" s="47" t="n"/>
      <c r="H2653" s="50" t="n"/>
      <c r="I2653" s="51" t="n"/>
      <c r="J2653" s="46" t="n"/>
      <c r="K2653" s="46" t="n"/>
      <c r="L2653" s="23">
        <f>IF(OR($A2653="",$B2653=""),"",IF($K2653&lt;&gt;"",$K2653-$B2653,TODAY()-$B2653))</f>
        <v/>
      </c>
      <c r="M2653" s="27">
        <f>IF(OR($A2653="",$J2653=""),"",IF($K2653="",IF(TODAY()&gt;$J2653,"Atrasado","En ruta"),IF($K2653&lt;=$J2653,"Sí","No")))</f>
        <v/>
      </c>
      <c r="N2653" s="23">
        <f>IF($A2653="","",COUNTIFS(NOVEDADES!$C$4:$C$1503,$A2653))</f>
        <v/>
      </c>
      <c r="O2653" s="27">
        <f>IF($A2653="","",IF(COUNTIFS(NOVEDADES!$C$4:$C$1503,$A2653,NOVEDADES!$M$4:$M$1503,"SÍ")&gt;0,"No","Sí"))</f>
        <v/>
      </c>
      <c r="P2653" s="27">
        <f>IF(OR($A2653="",$K2653=""),"",IF(AND($M2653="Sí",$O2653="Sí"),"OTIF","Falló"))</f>
        <v/>
      </c>
    </row>
    <row r="2654" ht="16" customHeight="1">
      <c r="A2654" s="47" t="n"/>
      <c r="B2654" s="46" t="n"/>
      <c r="C2654" s="49" t="n"/>
      <c r="D2654" s="49" t="n"/>
      <c r="E2654" s="49" t="n"/>
      <c r="F2654" s="49" t="n"/>
      <c r="G2654" s="47" t="n"/>
      <c r="H2654" s="50" t="n"/>
      <c r="I2654" s="51" t="n"/>
      <c r="J2654" s="46" t="n"/>
      <c r="K2654" s="46" t="n"/>
      <c r="L2654" s="23">
        <f>IF(OR($A2654="",$B2654=""),"",IF($K2654&lt;&gt;"",$K2654-$B2654,TODAY()-$B2654))</f>
        <v/>
      </c>
      <c r="M2654" s="27">
        <f>IF(OR($A2654="",$J2654=""),"",IF($K2654="",IF(TODAY()&gt;$J2654,"Atrasado","En ruta"),IF($K2654&lt;=$J2654,"Sí","No")))</f>
        <v/>
      </c>
      <c r="N2654" s="23">
        <f>IF($A2654="","",COUNTIFS(NOVEDADES!$C$4:$C$1503,$A2654))</f>
        <v/>
      </c>
      <c r="O2654" s="27">
        <f>IF($A2654="","",IF(COUNTIFS(NOVEDADES!$C$4:$C$1503,$A2654,NOVEDADES!$M$4:$M$1503,"SÍ")&gt;0,"No","Sí"))</f>
        <v/>
      </c>
      <c r="P2654" s="27">
        <f>IF(OR($A2654="",$K2654=""),"",IF(AND($M2654="Sí",$O2654="Sí"),"OTIF","Falló"))</f>
        <v/>
      </c>
    </row>
    <row r="2655" ht="16" customHeight="1">
      <c r="A2655" s="47" t="n"/>
      <c r="B2655" s="46" t="n"/>
      <c r="C2655" s="49" t="n"/>
      <c r="D2655" s="49" t="n"/>
      <c r="E2655" s="49" t="n"/>
      <c r="F2655" s="49" t="n"/>
      <c r="G2655" s="47" t="n"/>
      <c r="H2655" s="50" t="n"/>
      <c r="I2655" s="51" t="n"/>
      <c r="J2655" s="46" t="n"/>
      <c r="K2655" s="46" t="n"/>
      <c r="L2655" s="23">
        <f>IF(OR($A2655="",$B2655=""),"",IF($K2655&lt;&gt;"",$K2655-$B2655,TODAY()-$B2655))</f>
        <v/>
      </c>
      <c r="M2655" s="27">
        <f>IF(OR($A2655="",$J2655=""),"",IF($K2655="",IF(TODAY()&gt;$J2655,"Atrasado","En ruta"),IF($K2655&lt;=$J2655,"Sí","No")))</f>
        <v/>
      </c>
      <c r="N2655" s="23">
        <f>IF($A2655="","",COUNTIFS(NOVEDADES!$C$4:$C$1503,$A2655))</f>
        <v/>
      </c>
      <c r="O2655" s="27">
        <f>IF($A2655="","",IF(COUNTIFS(NOVEDADES!$C$4:$C$1503,$A2655,NOVEDADES!$M$4:$M$1503,"SÍ")&gt;0,"No","Sí"))</f>
        <v/>
      </c>
      <c r="P2655" s="27">
        <f>IF(OR($A2655="",$K2655=""),"",IF(AND($M2655="Sí",$O2655="Sí"),"OTIF","Falló"))</f>
        <v/>
      </c>
    </row>
    <row r="2656" ht="16" customHeight="1">
      <c r="A2656" s="47" t="n"/>
      <c r="B2656" s="46" t="n"/>
      <c r="C2656" s="49" t="n"/>
      <c r="D2656" s="49" t="n"/>
      <c r="E2656" s="49" t="n"/>
      <c r="F2656" s="49" t="n"/>
      <c r="G2656" s="47" t="n"/>
      <c r="H2656" s="50" t="n"/>
      <c r="I2656" s="51" t="n"/>
      <c r="J2656" s="46" t="n"/>
      <c r="K2656" s="46" t="n"/>
      <c r="L2656" s="23">
        <f>IF(OR($A2656="",$B2656=""),"",IF($K2656&lt;&gt;"",$K2656-$B2656,TODAY()-$B2656))</f>
        <v/>
      </c>
      <c r="M2656" s="27">
        <f>IF(OR($A2656="",$J2656=""),"",IF($K2656="",IF(TODAY()&gt;$J2656,"Atrasado","En ruta"),IF($K2656&lt;=$J2656,"Sí","No")))</f>
        <v/>
      </c>
      <c r="N2656" s="23">
        <f>IF($A2656="","",COUNTIFS(NOVEDADES!$C$4:$C$1503,$A2656))</f>
        <v/>
      </c>
      <c r="O2656" s="27">
        <f>IF($A2656="","",IF(COUNTIFS(NOVEDADES!$C$4:$C$1503,$A2656,NOVEDADES!$M$4:$M$1503,"SÍ")&gt;0,"No","Sí"))</f>
        <v/>
      </c>
      <c r="P2656" s="27">
        <f>IF(OR($A2656="",$K2656=""),"",IF(AND($M2656="Sí",$O2656="Sí"),"OTIF","Falló"))</f>
        <v/>
      </c>
    </row>
    <row r="2657" ht="16" customHeight="1">
      <c r="A2657" s="47" t="n"/>
      <c r="B2657" s="46" t="n"/>
      <c r="C2657" s="49" t="n"/>
      <c r="D2657" s="49" t="n"/>
      <c r="E2657" s="49" t="n"/>
      <c r="F2657" s="49" t="n"/>
      <c r="G2657" s="47" t="n"/>
      <c r="H2657" s="50" t="n"/>
      <c r="I2657" s="51" t="n"/>
      <c r="J2657" s="46" t="n"/>
      <c r="K2657" s="46" t="n"/>
      <c r="L2657" s="23">
        <f>IF(OR($A2657="",$B2657=""),"",IF($K2657&lt;&gt;"",$K2657-$B2657,TODAY()-$B2657))</f>
        <v/>
      </c>
      <c r="M2657" s="27">
        <f>IF(OR($A2657="",$J2657=""),"",IF($K2657="",IF(TODAY()&gt;$J2657,"Atrasado","En ruta"),IF($K2657&lt;=$J2657,"Sí","No")))</f>
        <v/>
      </c>
      <c r="N2657" s="23">
        <f>IF($A2657="","",COUNTIFS(NOVEDADES!$C$4:$C$1503,$A2657))</f>
        <v/>
      </c>
      <c r="O2657" s="27">
        <f>IF($A2657="","",IF(COUNTIFS(NOVEDADES!$C$4:$C$1503,$A2657,NOVEDADES!$M$4:$M$1503,"SÍ")&gt;0,"No","Sí"))</f>
        <v/>
      </c>
      <c r="P2657" s="27">
        <f>IF(OR($A2657="",$K2657=""),"",IF(AND($M2657="Sí",$O2657="Sí"),"OTIF","Falló"))</f>
        <v/>
      </c>
    </row>
    <row r="2658" ht="16" customHeight="1">
      <c r="A2658" s="47" t="n"/>
      <c r="B2658" s="46" t="n"/>
      <c r="C2658" s="49" t="n"/>
      <c r="D2658" s="49" t="n"/>
      <c r="E2658" s="49" t="n"/>
      <c r="F2658" s="49" t="n"/>
      <c r="G2658" s="47" t="n"/>
      <c r="H2658" s="50" t="n"/>
      <c r="I2658" s="51" t="n"/>
      <c r="J2658" s="46" t="n"/>
      <c r="K2658" s="46" t="n"/>
      <c r="L2658" s="23">
        <f>IF(OR($A2658="",$B2658=""),"",IF($K2658&lt;&gt;"",$K2658-$B2658,TODAY()-$B2658))</f>
        <v/>
      </c>
      <c r="M2658" s="27">
        <f>IF(OR($A2658="",$J2658=""),"",IF($K2658="",IF(TODAY()&gt;$J2658,"Atrasado","En ruta"),IF($K2658&lt;=$J2658,"Sí","No")))</f>
        <v/>
      </c>
      <c r="N2658" s="23">
        <f>IF($A2658="","",COUNTIFS(NOVEDADES!$C$4:$C$1503,$A2658))</f>
        <v/>
      </c>
      <c r="O2658" s="27">
        <f>IF($A2658="","",IF(COUNTIFS(NOVEDADES!$C$4:$C$1503,$A2658,NOVEDADES!$M$4:$M$1503,"SÍ")&gt;0,"No","Sí"))</f>
        <v/>
      </c>
      <c r="P2658" s="27">
        <f>IF(OR($A2658="",$K2658=""),"",IF(AND($M2658="Sí",$O2658="Sí"),"OTIF","Falló"))</f>
        <v/>
      </c>
    </row>
    <row r="2659" ht="16" customHeight="1">
      <c r="A2659" s="47" t="n"/>
      <c r="B2659" s="46" t="n"/>
      <c r="C2659" s="49" t="n"/>
      <c r="D2659" s="49" t="n"/>
      <c r="E2659" s="49" t="n"/>
      <c r="F2659" s="49" t="n"/>
      <c r="G2659" s="47" t="n"/>
      <c r="H2659" s="50" t="n"/>
      <c r="I2659" s="51" t="n"/>
      <c r="J2659" s="46" t="n"/>
      <c r="K2659" s="46" t="n"/>
      <c r="L2659" s="23">
        <f>IF(OR($A2659="",$B2659=""),"",IF($K2659&lt;&gt;"",$K2659-$B2659,TODAY()-$B2659))</f>
        <v/>
      </c>
      <c r="M2659" s="27">
        <f>IF(OR($A2659="",$J2659=""),"",IF($K2659="",IF(TODAY()&gt;$J2659,"Atrasado","En ruta"),IF($K2659&lt;=$J2659,"Sí","No")))</f>
        <v/>
      </c>
      <c r="N2659" s="23">
        <f>IF($A2659="","",COUNTIFS(NOVEDADES!$C$4:$C$1503,$A2659))</f>
        <v/>
      </c>
      <c r="O2659" s="27">
        <f>IF($A2659="","",IF(COUNTIFS(NOVEDADES!$C$4:$C$1503,$A2659,NOVEDADES!$M$4:$M$1503,"SÍ")&gt;0,"No","Sí"))</f>
        <v/>
      </c>
      <c r="P2659" s="27">
        <f>IF(OR($A2659="",$K2659=""),"",IF(AND($M2659="Sí",$O2659="Sí"),"OTIF","Falló"))</f>
        <v/>
      </c>
    </row>
    <row r="2660" ht="16" customHeight="1">
      <c r="A2660" s="47" t="n"/>
      <c r="B2660" s="46" t="n"/>
      <c r="C2660" s="49" t="n"/>
      <c r="D2660" s="49" t="n"/>
      <c r="E2660" s="49" t="n"/>
      <c r="F2660" s="49" t="n"/>
      <c r="G2660" s="47" t="n"/>
      <c r="H2660" s="50" t="n"/>
      <c r="I2660" s="51" t="n"/>
      <c r="J2660" s="46" t="n"/>
      <c r="K2660" s="46" t="n"/>
      <c r="L2660" s="23">
        <f>IF(OR($A2660="",$B2660=""),"",IF($K2660&lt;&gt;"",$K2660-$B2660,TODAY()-$B2660))</f>
        <v/>
      </c>
      <c r="M2660" s="27">
        <f>IF(OR($A2660="",$J2660=""),"",IF($K2660="",IF(TODAY()&gt;$J2660,"Atrasado","En ruta"),IF($K2660&lt;=$J2660,"Sí","No")))</f>
        <v/>
      </c>
      <c r="N2660" s="23">
        <f>IF($A2660="","",COUNTIFS(NOVEDADES!$C$4:$C$1503,$A2660))</f>
        <v/>
      </c>
      <c r="O2660" s="27">
        <f>IF($A2660="","",IF(COUNTIFS(NOVEDADES!$C$4:$C$1503,$A2660,NOVEDADES!$M$4:$M$1503,"SÍ")&gt;0,"No","Sí"))</f>
        <v/>
      </c>
      <c r="P2660" s="27">
        <f>IF(OR($A2660="",$K2660=""),"",IF(AND($M2660="Sí",$O2660="Sí"),"OTIF","Falló"))</f>
        <v/>
      </c>
    </row>
    <row r="2661" ht="16" customHeight="1">
      <c r="A2661" s="47" t="n"/>
      <c r="B2661" s="46" t="n"/>
      <c r="C2661" s="49" t="n"/>
      <c r="D2661" s="49" t="n"/>
      <c r="E2661" s="49" t="n"/>
      <c r="F2661" s="49" t="n"/>
      <c r="G2661" s="47" t="n"/>
      <c r="H2661" s="50" t="n"/>
      <c r="I2661" s="51" t="n"/>
      <c r="J2661" s="46" t="n"/>
      <c r="K2661" s="46" t="n"/>
      <c r="L2661" s="23">
        <f>IF(OR($A2661="",$B2661=""),"",IF($K2661&lt;&gt;"",$K2661-$B2661,TODAY()-$B2661))</f>
        <v/>
      </c>
      <c r="M2661" s="27">
        <f>IF(OR($A2661="",$J2661=""),"",IF($K2661="",IF(TODAY()&gt;$J2661,"Atrasado","En ruta"),IF($K2661&lt;=$J2661,"Sí","No")))</f>
        <v/>
      </c>
      <c r="N2661" s="23">
        <f>IF($A2661="","",COUNTIFS(NOVEDADES!$C$4:$C$1503,$A2661))</f>
        <v/>
      </c>
      <c r="O2661" s="27">
        <f>IF($A2661="","",IF(COUNTIFS(NOVEDADES!$C$4:$C$1503,$A2661,NOVEDADES!$M$4:$M$1503,"SÍ")&gt;0,"No","Sí"))</f>
        <v/>
      </c>
      <c r="P2661" s="27">
        <f>IF(OR($A2661="",$K2661=""),"",IF(AND($M2661="Sí",$O2661="Sí"),"OTIF","Falló"))</f>
        <v/>
      </c>
    </row>
    <row r="2662" ht="16" customHeight="1">
      <c r="A2662" s="47" t="n"/>
      <c r="B2662" s="46" t="n"/>
      <c r="C2662" s="49" t="n"/>
      <c r="D2662" s="49" t="n"/>
      <c r="E2662" s="49" t="n"/>
      <c r="F2662" s="49" t="n"/>
      <c r="G2662" s="47" t="n"/>
      <c r="H2662" s="50" t="n"/>
      <c r="I2662" s="51" t="n"/>
      <c r="J2662" s="46" t="n"/>
      <c r="K2662" s="46" t="n"/>
      <c r="L2662" s="23">
        <f>IF(OR($A2662="",$B2662=""),"",IF($K2662&lt;&gt;"",$K2662-$B2662,TODAY()-$B2662))</f>
        <v/>
      </c>
      <c r="M2662" s="27">
        <f>IF(OR($A2662="",$J2662=""),"",IF($K2662="",IF(TODAY()&gt;$J2662,"Atrasado","En ruta"),IF($K2662&lt;=$J2662,"Sí","No")))</f>
        <v/>
      </c>
      <c r="N2662" s="23">
        <f>IF($A2662="","",COUNTIFS(NOVEDADES!$C$4:$C$1503,$A2662))</f>
        <v/>
      </c>
      <c r="O2662" s="27">
        <f>IF($A2662="","",IF(COUNTIFS(NOVEDADES!$C$4:$C$1503,$A2662,NOVEDADES!$M$4:$M$1503,"SÍ")&gt;0,"No","Sí"))</f>
        <v/>
      </c>
      <c r="P2662" s="27">
        <f>IF(OR($A2662="",$K2662=""),"",IF(AND($M2662="Sí",$O2662="Sí"),"OTIF","Falló"))</f>
        <v/>
      </c>
    </row>
    <row r="2663" ht="16" customHeight="1">
      <c r="A2663" s="47" t="n"/>
      <c r="B2663" s="46" t="n"/>
      <c r="C2663" s="49" t="n"/>
      <c r="D2663" s="49" t="n"/>
      <c r="E2663" s="49" t="n"/>
      <c r="F2663" s="49" t="n"/>
      <c r="G2663" s="47" t="n"/>
      <c r="H2663" s="50" t="n"/>
      <c r="I2663" s="51" t="n"/>
      <c r="J2663" s="46" t="n"/>
      <c r="K2663" s="46" t="n"/>
      <c r="L2663" s="23">
        <f>IF(OR($A2663="",$B2663=""),"",IF($K2663&lt;&gt;"",$K2663-$B2663,TODAY()-$B2663))</f>
        <v/>
      </c>
      <c r="M2663" s="27">
        <f>IF(OR($A2663="",$J2663=""),"",IF($K2663="",IF(TODAY()&gt;$J2663,"Atrasado","En ruta"),IF($K2663&lt;=$J2663,"Sí","No")))</f>
        <v/>
      </c>
      <c r="N2663" s="23">
        <f>IF($A2663="","",COUNTIFS(NOVEDADES!$C$4:$C$1503,$A2663))</f>
        <v/>
      </c>
      <c r="O2663" s="27">
        <f>IF($A2663="","",IF(COUNTIFS(NOVEDADES!$C$4:$C$1503,$A2663,NOVEDADES!$M$4:$M$1503,"SÍ")&gt;0,"No","Sí"))</f>
        <v/>
      </c>
      <c r="P2663" s="27">
        <f>IF(OR($A2663="",$K2663=""),"",IF(AND($M2663="Sí",$O2663="Sí"),"OTIF","Falló"))</f>
        <v/>
      </c>
    </row>
    <row r="2664" ht="16" customHeight="1">
      <c r="A2664" s="47" t="n"/>
      <c r="B2664" s="46" t="n"/>
      <c r="C2664" s="49" t="n"/>
      <c r="D2664" s="49" t="n"/>
      <c r="E2664" s="49" t="n"/>
      <c r="F2664" s="49" t="n"/>
      <c r="G2664" s="47" t="n"/>
      <c r="H2664" s="50" t="n"/>
      <c r="I2664" s="51" t="n"/>
      <c r="J2664" s="46" t="n"/>
      <c r="K2664" s="46" t="n"/>
      <c r="L2664" s="23">
        <f>IF(OR($A2664="",$B2664=""),"",IF($K2664&lt;&gt;"",$K2664-$B2664,TODAY()-$B2664))</f>
        <v/>
      </c>
      <c r="M2664" s="27">
        <f>IF(OR($A2664="",$J2664=""),"",IF($K2664="",IF(TODAY()&gt;$J2664,"Atrasado","En ruta"),IF($K2664&lt;=$J2664,"Sí","No")))</f>
        <v/>
      </c>
      <c r="N2664" s="23">
        <f>IF($A2664="","",COUNTIFS(NOVEDADES!$C$4:$C$1503,$A2664))</f>
        <v/>
      </c>
      <c r="O2664" s="27">
        <f>IF($A2664="","",IF(COUNTIFS(NOVEDADES!$C$4:$C$1503,$A2664,NOVEDADES!$M$4:$M$1503,"SÍ")&gt;0,"No","Sí"))</f>
        <v/>
      </c>
      <c r="P2664" s="27">
        <f>IF(OR($A2664="",$K2664=""),"",IF(AND($M2664="Sí",$O2664="Sí"),"OTIF","Falló"))</f>
        <v/>
      </c>
    </row>
    <row r="2665" ht="16" customHeight="1">
      <c r="A2665" s="47" t="n"/>
      <c r="B2665" s="46" t="n"/>
      <c r="C2665" s="49" t="n"/>
      <c r="D2665" s="49" t="n"/>
      <c r="E2665" s="49" t="n"/>
      <c r="F2665" s="49" t="n"/>
      <c r="G2665" s="47" t="n"/>
      <c r="H2665" s="50" t="n"/>
      <c r="I2665" s="51" t="n"/>
      <c r="J2665" s="46" t="n"/>
      <c r="K2665" s="46" t="n"/>
      <c r="L2665" s="23">
        <f>IF(OR($A2665="",$B2665=""),"",IF($K2665&lt;&gt;"",$K2665-$B2665,TODAY()-$B2665))</f>
        <v/>
      </c>
      <c r="M2665" s="27">
        <f>IF(OR($A2665="",$J2665=""),"",IF($K2665="",IF(TODAY()&gt;$J2665,"Atrasado","En ruta"),IF($K2665&lt;=$J2665,"Sí","No")))</f>
        <v/>
      </c>
      <c r="N2665" s="23">
        <f>IF($A2665="","",COUNTIFS(NOVEDADES!$C$4:$C$1503,$A2665))</f>
        <v/>
      </c>
      <c r="O2665" s="27">
        <f>IF($A2665="","",IF(COUNTIFS(NOVEDADES!$C$4:$C$1503,$A2665,NOVEDADES!$M$4:$M$1503,"SÍ")&gt;0,"No","Sí"))</f>
        <v/>
      </c>
      <c r="P2665" s="27">
        <f>IF(OR($A2665="",$K2665=""),"",IF(AND($M2665="Sí",$O2665="Sí"),"OTIF","Falló"))</f>
        <v/>
      </c>
    </row>
    <row r="2666" ht="16" customHeight="1">
      <c r="A2666" s="47" t="n"/>
      <c r="B2666" s="46" t="n"/>
      <c r="C2666" s="49" t="n"/>
      <c r="D2666" s="49" t="n"/>
      <c r="E2666" s="49" t="n"/>
      <c r="F2666" s="49" t="n"/>
      <c r="G2666" s="47" t="n"/>
      <c r="H2666" s="50" t="n"/>
      <c r="I2666" s="51" t="n"/>
      <c r="J2666" s="46" t="n"/>
      <c r="K2666" s="46" t="n"/>
      <c r="L2666" s="23">
        <f>IF(OR($A2666="",$B2666=""),"",IF($K2666&lt;&gt;"",$K2666-$B2666,TODAY()-$B2666))</f>
        <v/>
      </c>
      <c r="M2666" s="27">
        <f>IF(OR($A2666="",$J2666=""),"",IF($K2666="",IF(TODAY()&gt;$J2666,"Atrasado","En ruta"),IF($K2666&lt;=$J2666,"Sí","No")))</f>
        <v/>
      </c>
      <c r="N2666" s="23">
        <f>IF($A2666="","",COUNTIFS(NOVEDADES!$C$4:$C$1503,$A2666))</f>
        <v/>
      </c>
      <c r="O2666" s="27">
        <f>IF($A2666="","",IF(COUNTIFS(NOVEDADES!$C$4:$C$1503,$A2666,NOVEDADES!$M$4:$M$1503,"SÍ")&gt;0,"No","Sí"))</f>
        <v/>
      </c>
      <c r="P2666" s="27">
        <f>IF(OR($A2666="",$K2666=""),"",IF(AND($M2666="Sí",$O2666="Sí"),"OTIF","Falló"))</f>
        <v/>
      </c>
    </row>
    <row r="2667" ht="16" customHeight="1">
      <c r="A2667" s="47" t="n"/>
      <c r="B2667" s="46" t="n"/>
      <c r="C2667" s="49" t="n"/>
      <c r="D2667" s="49" t="n"/>
      <c r="E2667" s="49" t="n"/>
      <c r="F2667" s="49" t="n"/>
      <c r="G2667" s="47" t="n"/>
      <c r="H2667" s="50" t="n"/>
      <c r="I2667" s="51" t="n"/>
      <c r="J2667" s="46" t="n"/>
      <c r="K2667" s="46" t="n"/>
      <c r="L2667" s="23">
        <f>IF(OR($A2667="",$B2667=""),"",IF($K2667&lt;&gt;"",$K2667-$B2667,TODAY()-$B2667))</f>
        <v/>
      </c>
      <c r="M2667" s="27">
        <f>IF(OR($A2667="",$J2667=""),"",IF($K2667="",IF(TODAY()&gt;$J2667,"Atrasado","En ruta"),IF($K2667&lt;=$J2667,"Sí","No")))</f>
        <v/>
      </c>
      <c r="N2667" s="23">
        <f>IF($A2667="","",COUNTIFS(NOVEDADES!$C$4:$C$1503,$A2667))</f>
        <v/>
      </c>
      <c r="O2667" s="27">
        <f>IF($A2667="","",IF(COUNTIFS(NOVEDADES!$C$4:$C$1503,$A2667,NOVEDADES!$M$4:$M$1503,"SÍ")&gt;0,"No","Sí"))</f>
        <v/>
      </c>
      <c r="P2667" s="27">
        <f>IF(OR($A2667="",$K2667=""),"",IF(AND($M2667="Sí",$O2667="Sí"),"OTIF","Falló"))</f>
        <v/>
      </c>
    </row>
    <row r="2668" ht="16" customHeight="1">
      <c r="A2668" s="47" t="n"/>
      <c r="B2668" s="46" t="n"/>
      <c r="C2668" s="49" t="n"/>
      <c r="D2668" s="49" t="n"/>
      <c r="E2668" s="49" t="n"/>
      <c r="F2668" s="49" t="n"/>
      <c r="G2668" s="47" t="n"/>
      <c r="H2668" s="50" t="n"/>
      <c r="I2668" s="51" t="n"/>
      <c r="J2668" s="46" t="n"/>
      <c r="K2668" s="46" t="n"/>
      <c r="L2668" s="23">
        <f>IF(OR($A2668="",$B2668=""),"",IF($K2668&lt;&gt;"",$K2668-$B2668,TODAY()-$B2668))</f>
        <v/>
      </c>
      <c r="M2668" s="27">
        <f>IF(OR($A2668="",$J2668=""),"",IF($K2668="",IF(TODAY()&gt;$J2668,"Atrasado","En ruta"),IF($K2668&lt;=$J2668,"Sí","No")))</f>
        <v/>
      </c>
      <c r="N2668" s="23">
        <f>IF($A2668="","",COUNTIFS(NOVEDADES!$C$4:$C$1503,$A2668))</f>
        <v/>
      </c>
      <c r="O2668" s="27">
        <f>IF($A2668="","",IF(COUNTIFS(NOVEDADES!$C$4:$C$1503,$A2668,NOVEDADES!$M$4:$M$1503,"SÍ")&gt;0,"No","Sí"))</f>
        <v/>
      </c>
      <c r="P2668" s="27">
        <f>IF(OR($A2668="",$K2668=""),"",IF(AND($M2668="Sí",$O2668="Sí"),"OTIF","Falló"))</f>
        <v/>
      </c>
    </row>
    <row r="2669" ht="16" customHeight="1">
      <c r="A2669" s="47" t="n"/>
      <c r="B2669" s="46" t="n"/>
      <c r="C2669" s="49" t="n"/>
      <c r="D2669" s="49" t="n"/>
      <c r="E2669" s="49" t="n"/>
      <c r="F2669" s="49" t="n"/>
      <c r="G2669" s="47" t="n"/>
      <c r="H2669" s="50" t="n"/>
      <c r="I2669" s="51" t="n"/>
      <c r="J2669" s="46" t="n"/>
      <c r="K2669" s="46" t="n"/>
      <c r="L2669" s="23">
        <f>IF(OR($A2669="",$B2669=""),"",IF($K2669&lt;&gt;"",$K2669-$B2669,TODAY()-$B2669))</f>
        <v/>
      </c>
      <c r="M2669" s="27">
        <f>IF(OR($A2669="",$J2669=""),"",IF($K2669="",IF(TODAY()&gt;$J2669,"Atrasado","En ruta"),IF($K2669&lt;=$J2669,"Sí","No")))</f>
        <v/>
      </c>
      <c r="N2669" s="23">
        <f>IF($A2669="","",COUNTIFS(NOVEDADES!$C$4:$C$1503,$A2669))</f>
        <v/>
      </c>
      <c r="O2669" s="27">
        <f>IF($A2669="","",IF(COUNTIFS(NOVEDADES!$C$4:$C$1503,$A2669,NOVEDADES!$M$4:$M$1503,"SÍ")&gt;0,"No","Sí"))</f>
        <v/>
      </c>
      <c r="P2669" s="27">
        <f>IF(OR($A2669="",$K2669=""),"",IF(AND($M2669="Sí",$O2669="Sí"),"OTIF","Falló"))</f>
        <v/>
      </c>
    </row>
    <row r="2670" ht="16" customHeight="1">
      <c r="A2670" s="47" t="n"/>
      <c r="B2670" s="46" t="n"/>
      <c r="C2670" s="49" t="n"/>
      <c r="D2670" s="49" t="n"/>
      <c r="E2670" s="49" t="n"/>
      <c r="F2670" s="49" t="n"/>
      <c r="G2670" s="47" t="n"/>
      <c r="H2670" s="50" t="n"/>
      <c r="I2670" s="51" t="n"/>
      <c r="J2670" s="46" t="n"/>
      <c r="K2670" s="46" t="n"/>
      <c r="L2670" s="23">
        <f>IF(OR($A2670="",$B2670=""),"",IF($K2670&lt;&gt;"",$K2670-$B2670,TODAY()-$B2670))</f>
        <v/>
      </c>
      <c r="M2670" s="27">
        <f>IF(OR($A2670="",$J2670=""),"",IF($K2670="",IF(TODAY()&gt;$J2670,"Atrasado","En ruta"),IF($K2670&lt;=$J2670,"Sí","No")))</f>
        <v/>
      </c>
      <c r="N2670" s="23">
        <f>IF($A2670="","",COUNTIFS(NOVEDADES!$C$4:$C$1503,$A2670))</f>
        <v/>
      </c>
      <c r="O2670" s="27">
        <f>IF($A2670="","",IF(COUNTIFS(NOVEDADES!$C$4:$C$1503,$A2670,NOVEDADES!$M$4:$M$1503,"SÍ")&gt;0,"No","Sí"))</f>
        <v/>
      </c>
      <c r="P2670" s="27">
        <f>IF(OR($A2670="",$K2670=""),"",IF(AND($M2670="Sí",$O2670="Sí"),"OTIF","Falló"))</f>
        <v/>
      </c>
    </row>
    <row r="2671" ht="16" customHeight="1">
      <c r="A2671" s="47" t="n"/>
      <c r="B2671" s="46" t="n"/>
      <c r="C2671" s="49" t="n"/>
      <c r="D2671" s="49" t="n"/>
      <c r="E2671" s="49" t="n"/>
      <c r="F2671" s="49" t="n"/>
      <c r="G2671" s="47" t="n"/>
      <c r="H2671" s="50" t="n"/>
      <c r="I2671" s="51" t="n"/>
      <c r="J2671" s="46" t="n"/>
      <c r="K2671" s="46" t="n"/>
      <c r="L2671" s="23">
        <f>IF(OR($A2671="",$B2671=""),"",IF($K2671&lt;&gt;"",$K2671-$B2671,TODAY()-$B2671))</f>
        <v/>
      </c>
      <c r="M2671" s="27">
        <f>IF(OR($A2671="",$J2671=""),"",IF($K2671="",IF(TODAY()&gt;$J2671,"Atrasado","En ruta"),IF($K2671&lt;=$J2671,"Sí","No")))</f>
        <v/>
      </c>
      <c r="N2671" s="23">
        <f>IF($A2671="","",COUNTIFS(NOVEDADES!$C$4:$C$1503,$A2671))</f>
        <v/>
      </c>
      <c r="O2671" s="27">
        <f>IF($A2671="","",IF(COUNTIFS(NOVEDADES!$C$4:$C$1503,$A2671,NOVEDADES!$M$4:$M$1503,"SÍ")&gt;0,"No","Sí"))</f>
        <v/>
      </c>
      <c r="P2671" s="27">
        <f>IF(OR($A2671="",$K2671=""),"",IF(AND($M2671="Sí",$O2671="Sí"),"OTIF","Falló"))</f>
        <v/>
      </c>
    </row>
    <row r="2672" ht="16" customHeight="1">
      <c r="A2672" s="47" t="n"/>
      <c r="B2672" s="46" t="n"/>
      <c r="C2672" s="49" t="n"/>
      <c r="D2672" s="49" t="n"/>
      <c r="E2672" s="49" t="n"/>
      <c r="F2672" s="49" t="n"/>
      <c r="G2672" s="47" t="n"/>
      <c r="H2672" s="50" t="n"/>
      <c r="I2672" s="51" t="n"/>
      <c r="J2672" s="46" t="n"/>
      <c r="K2672" s="46" t="n"/>
      <c r="L2672" s="23">
        <f>IF(OR($A2672="",$B2672=""),"",IF($K2672&lt;&gt;"",$K2672-$B2672,TODAY()-$B2672))</f>
        <v/>
      </c>
      <c r="M2672" s="27">
        <f>IF(OR($A2672="",$J2672=""),"",IF($K2672="",IF(TODAY()&gt;$J2672,"Atrasado","En ruta"),IF($K2672&lt;=$J2672,"Sí","No")))</f>
        <v/>
      </c>
      <c r="N2672" s="23">
        <f>IF($A2672="","",COUNTIFS(NOVEDADES!$C$4:$C$1503,$A2672))</f>
        <v/>
      </c>
      <c r="O2672" s="27">
        <f>IF($A2672="","",IF(COUNTIFS(NOVEDADES!$C$4:$C$1503,$A2672,NOVEDADES!$M$4:$M$1503,"SÍ")&gt;0,"No","Sí"))</f>
        <v/>
      </c>
      <c r="P2672" s="27">
        <f>IF(OR($A2672="",$K2672=""),"",IF(AND($M2672="Sí",$O2672="Sí"),"OTIF","Falló"))</f>
        <v/>
      </c>
    </row>
    <row r="2673" ht="16" customHeight="1">
      <c r="A2673" s="47" t="n"/>
      <c r="B2673" s="46" t="n"/>
      <c r="C2673" s="49" t="n"/>
      <c r="D2673" s="49" t="n"/>
      <c r="E2673" s="49" t="n"/>
      <c r="F2673" s="49" t="n"/>
      <c r="G2673" s="47" t="n"/>
      <c r="H2673" s="50" t="n"/>
      <c r="I2673" s="51" t="n"/>
      <c r="J2673" s="46" t="n"/>
      <c r="K2673" s="46" t="n"/>
      <c r="L2673" s="23">
        <f>IF(OR($A2673="",$B2673=""),"",IF($K2673&lt;&gt;"",$K2673-$B2673,TODAY()-$B2673))</f>
        <v/>
      </c>
      <c r="M2673" s="27">
        <f>IF(OR($A2673="",$J2673=""),"",IF($K2673="",IF(TODAY()&gt;$J2673,"Atrasado","En ruta"),IF($K2673&lt;=$J2673,"Sí","No")))</f>
        <v/>
      </c>
      <c r="N2673" s="23">
        <f>IF($A2673="","",COUNTIFS(NOVEDADES!$C$4:$C$1503,$A2673))</f>
        <v/>
      </c>
      <c r="O2673" s="27">
        <f>IF($A2673="","",IF(COUNTIFS(NOVEDADES!$C$4:$C$1503,$A2673,NOVEDADES!$M$4:$M$1503,"SÍ")&gt;0,"No","Sí"))</f>
        <v/>
      </c>
      <c r="P2673" s="27">
        <f>IF(OR($A2673="",$K2673=""),"",IF(AND($M2673="Sí",$O2673="Sí"),"OTIF","Falló"))</f>
        <v/>
      </c>
    </row>
    <row r="2674" ht="16" customHeight="1">
      <c r="A2674" s="47" t="n"/>
      <c r="B2674" s="46" t="n"/>
      <c r="C2674" s="49" t="n"/>
      <c r="D2674" s="49" t="n"/>
      <c r="E2674" s="49" t="n"/>
      <c r="F2674" s="49" t="n"/>
      <c r="G2674" s="47" t="n"/>
      <c r="H2674" s="50" t="n"/>
      <c r="I2674" s="51" t="n"/>
      <c r="J2674" s="46" t="n"/>
      <c r="K2674" s="46" t="n"/>
      <c r="L2674" s="23">
        <f>IF(OR($A2674="",$B2674=""),"",IF($K2674&lt;&gt;"",$K2674-$B2674,TODAY()-$B2674))</f>
        <v/>
      </c>
      <c r="M2674" s="27">
        <f>IF(OR($A2674="",$J2674=""),"",IF($K2674="",IF(TODAY()&gt;$J2674,"Atrasado","En ruta"),IF($K2674&lt;=$J2674,"Sí","No")))</f>
        <v/>
      </c>
      <c r="N2674" s="23">
        <f>IF($A2674="","",COUNTIFS(NOVEDADES!$C$4:$C$1503,$A2674))</f>
        <v/>
      </c>
      <c r="O2674" s="27">
        <f>IF($A2674="","",IF(COUNTIFS(NOVEDADES!$C$4:$C$1503,$A2674,NOVEDADES!$M$4:$M$1503,"SÍ")&gt;0,"No","Sí"))</f>
        <v/>
      </c>
      <c r="P2674" s="27">
        <f>IF(OR($A2674="",$K2674=""),"",IF(AND($M2674="Sí",$O2674="Sí"),"OTIF","Falló"))</f>
        <v/>
      </c>
    </row>
    <row r="2675" ht="16" customHeight="1">
      <c r="A2675" s="47" t="n"/>
      <c r="B2675" s="46" t="n"/>
      <c r="C2675" s="49" t="n"/>
      <c r="D2675" s="49" t="n"/>
      <c r="E2675" s="49" t="n"/>
      <c r="F2675" s="49" t="n"/>
      <c r="G2675" s="47" t="n"/>
      <c r="H2675" s="50" t="n"/>
      <c r="I2675" s="51" t="n"/>
      <c r="J2675" s="46" t="n"/>
      <c r="K2675" s="46" t="n"/>
      <c r="L2675" s="23">
        <f>IF(OR($A2675="",$B2675=""),"",IF($K2675&lt;&gt;"",$K2675-$B2675,TODAY()-$B2675))</f>
        <v/>
      </c>
      <c r="M2675" s="27">
        <f>IF(OR($A2675="",$J2675=""),"",IF($K2675="",IF(TODAY()&gt;$J2675,"Atrasado","En ruta"),IF($K2675&lt;=$J2675,"Sí","No")))</f>
        <v/>
      </c>
      <c r="N2675" s="23">
        <f>IF($A2675="","",COUNTIFS(NOVEDADES!$C$4:$C$1503,$A2675))</f>
        <v/>
      </c>
      <c r="O2675" s="27">
        <f>IF($A2675="","",IF(COUNTIFS(NOVEDADES!$C$4:$C$1503,$A2675,NOVEDADES!$M$4:$M$1503,"SÍ")&gt;0,"No","Sí"))</f>
        <v/>
      </c>
      <c r="P2675" s="27">
        <f>IF(OR($A2675="",$K2675=""),"",IF(AND($M2675="Sí",$O2675="Sí"),"OTIF","Falló"))</f>
        <v/>
      </c>
    </row>
    <row r="2676" ht="16" customHeight="1">
      <c r="A2676" s="47" t="n"/>
      <c r="B2676" s="46" t="n"/>
      <c r="C2676" s="49" t="n"/>
      <c r="D2676" s="49" t="n"/>
      <c r="E2676" s="49" t="n"/>
      <c r="F2676" s="49" t="n"/>
      <c r="G2676" s="47" t="n"/>
      <c r="H2676" s="50" t="n"/>
      <c r="I2676" s="51" t="n"/>
      <c r="J2676" s="46" t="n"/>
      <c r="K2676" s="46" t="n"/>
      <c r="L2676" s="23">
        <f>IF(OR($A2676="",$B2676=""),"",IF($K2676&lt;&gt;"",$K2676-$B2676,TODAY()-$B2676))</f>
        <v/>
      </c>
      <c r="M2676" s="27">
        <f>IF(OR($A2676="",$J2676=""),"",IF($K2676="",IF(TODAY()&gt;$J2676,"Atrasado","En ruta"),IF($K2676&lt;=$J2676,"Sí","No")))</f>
        <v/>
      </c>
      <c r="N2676" s="23">
        <f>IF($A2676="","",COUNTIFS(NOVEDADES!$C$4:$C$1503,$A2676))</f>
        <v/>
      </c>
      <c r="O2676" s="27">
        <f>IF($A2676="","",IF(COUNTIFS(NOVEDADES!$C$4:$C$1503,$A2676,NOVEDADES!$M$4:$M$1503,"SÍ")&gt;0,"No","Sí"))</f>
        <v/>
      </c>
      <c r="P2676" s="27">
        <f>IF(OR($A2676="",$K2676=""),"",IF(AND($M2676="Sí",$O2676="Sí"),"OTIF","Falló"))</f>
        <v/>
      </c>
    </row>
    <row r="2677" ht="16" customHeight="1">
      <c r="A2677" s="47" t="n"/>
      <c r="B2677" s="46" t="n"/>
      <c r="C2677" s="49" t="n"/>
      <c r="D2677" s="49" t="n"/>
      <c r="E2677" s="49" t="n"/>
      <c r="F2677" s="49" t="n"/>
      <c r="G2677" s="47" t="n"/>
      <c r="H2677" s="50" t="n"/>
      <c r="I2677" s="51" t="n"/>
      <c r="J2677" s="46" t="n"/>
      <c r="K2677" s="46" t="n"/>
      <c r="L2677" s="23">
        <f>IF(OR($A2677="",$B2677=""),"",IF($K2677&lt;&gt;"",$K2677-$B2677,TODAY()-$B2677))</f>
        <v/>
      </c>
      <c r="M2677" s="27">
        <f>IF(OR($A2677="",$J2677=""),"",IF($K2677="",IF(TODAY()&gt;$J2677,"Atrasado","En ruta"),IF($K2677&lt;=$J2677,"Sí","No")))</f>
        <v/>
      </c>
      <c r="N2677" s="23">
        <f>IF($A2677="","",COUNTIFS(NOVEDADES!$C$4:$C$1503,$A2677))</f>
        <v/>
      </c>
      <c r="O2677" s="27">
        <f>IF($A2677="","",IF(COUNTIFS(NOVEDADES!$C$4:$C$1503,$A2677,NOVEDADES!$M$4:$M$1503,"SÍ")&gt;0,"No","Sí"))</f>
        <v/>
      </c>
      <c r="P2677" s="27">
        <f>IF(OR($A2677="",$K2677=""),"",IF(AND($M2677="Sí",$O2677="Sí"),"OTIF","Falló"))</f>
        <v/>
      </c>
    </row>
    <row r="2678" ht="16" customHeight="1">
      <c r="A2678" s="47" t="n"/>
      <c r="B2678" s="46" t="n"/>
      <c r="C2678" s="49" t="n"/>
      <c r="D2678" s="49" t="n"/>
      <c r="E2678" s="49" t="n"/>
      <c r="F2678" s="49" t="n"/>
      <c r="G2678" s="47" t="n"/>
      <c r="H2678" s="50" t="n"/>
      <c r="I2678" s="51" t="n"/>
      <c r="J2678" s="46" t="n"/>
      <c r="K2678" s="46" t="n"/>
      <c r="L2678" s="23">
        <f>IF(OR($A2678="",$B2678=""),"",IF($K2678&lt;&gt;"",$K2678-$B2678,TODAY()-$B2678))</f>
        <v/>
      </c>
      <c r="M2678" s="27">
        <f>IF(OR($A2678="",$J2678=""),"",IF($K2678="",IF(TODAY()&gt;$J2678,"Atrasado","En ruta"),IF($K2678&lt;=$J2678,"Sí","No")))</f>
        <v/>
      </c>
      <c r="N2678" s="23">
        <f>IF($A2678="","",COUNTIFS(NOVEDADES!$C$4:$C$1503,$A2678))</f>
        <v/>
      </c>
      <c r="O2678" s="27">
        <f>IF($A2678="","",IF(COUNTIFS(NOVEDADES!$C$4:$C$1503,$A2678,NOVEDADES!$M$4:$M$1503,"SÍ")&gt;0,"No","Sí"))</f>
        <v/>
      </c>
      <c r="P2678" s="27">
        <f>IF(OR($A2678="",$K2678=""),"",IF(AND($M2678="Sí",$O2678="Sí"),"OTIF","Falló"))</f>
        <v/>
      </c>
    </row>
    <row r="2679" ht="16" customHeight="1">
      <c r="A2679" s="47" t="n"/>
      <c r="B2679" s="46" t="n"/>
      <c r="C2679" s="49" t="n"/>
      <c r="D2679" s="49" t="n"/>
      <c r="E2679" s="49" t="n"/>
      <c r="F2679" s="49" t="n"/>
      <c r="G2679" s="47" t="n"/>
      <c r="H2679" s="50" t="n"/>
      <c r="I2679" s="51" t="n"/>
      <c r="J2679" s="46" t="n"/>
      <c r="K2679" s="46" t="n"/>
      <c r="L2679" s="23">
        <f>IF(OR($A2679="",$B2679=""),"",IF($K2679&lt;&gt;"",$K2679-$B2679,TODAY()-$B2679))</f>
        <v/>
      </c>
      <c r="M2679" s="27">
        <f>IF(OR($A2679="",$J2679=""),"",IF($K2679="",IF(TODAY()&gt;$J2679,"Atrasado","En ruta"),IF($K2679&lt;=$J2679,"Sí","No")))</f>
        <v/>
      </c>
      <c r="N2679" s="23">
        <f>IF($A2679="","",COUNTIFS(NOVEDADES!$C$4:$C$1503,$A2679))</f>
        <v/>
      </c>
      <c r="O2679" s="27">
        <f>IF($A2679="","",IF(COUNTIFS(NOVEDADES!$C$4:$C$1503,$A2679,NOVEDADES!$M$4:$M$1503,"SÍ")&gt;0,"No","Sí"))</f>
        <v/>
      </c>
      <c r="P2679" s="27">
        <f>IF(OR($A2679="",$K2679=""),"",IF(AND($M2679="Sí",$O2679="Sí"),"OTIF","Falló"))</f>
        <v/>
      </c>
    </row>
    <row r="2680" ht="16" customHeight="1">
      <c r="A2680" s="47" t="n"/>
      <c r="B2680" s="46" t="n"/>
      <c r="C2680" s="49" t="n"/>
      <c r="D2680" s="49" t="n"/>
      <c r="E2680" s="49" t="n"/>
      <c r="F2680" s="49" t="n"/>
      <c r="G2680" s="47" t="n"/>
      <c r="H2680" s="50" t="n"/>
      <c r="I2680" s="51" t="n"/>
      <c r="J2680" s="46" t="n"/>
      <c r="K2680" s="46" t="n"/>
      <c r="L2680" s="23">
        <f>IF(OR($A2680="",$B2680=""),"",IF($K2680&lt;&gt;"",$K2680-$B2680,TODAY()-$B2680))</f>
        <v/>
      </c>
      <c r="M2680" s="27">
        <f>IF(OR($A2680="",$J2680=""),"",IF($K2680="",IF(TODAY()&gt;$J2680,"Atrasado","En ruta"),IF($K2680&lt;=$J2680,"Sí","No")))</f>
        <v/>
      </c>
      <c r="N2680" s="23">
        <f>IF($A2680="","",COUNTIFS(NOVEDADES!$C$4:$C$1503,$A2680))</f>
        <v/>
      </c>
      <c r="O2680" s="27">
        <f>IF($A2680="","",IF(COUNTIFS(NOVEDADES!$C$4:$C$1503,$A2680,NOVEDADES!$M$4:$M$1503,"SÍ")&gt;0,"No","Sí"))</f>
        <v/>
      </c>
      <c r="P2680" s="27">
        <f>IF(OR($A2680="",$K2680=""),"",IF(AND($M2680="Sí",$O2680="Sí"),"OTIF","Falló"))</f>
        <v/>
      </c>
    </row>
    <row r="2681" ht="16" customHeight="1">
      <c r="A2681" s="47" t="n"/>
      <c r="B2681" s="46" t="n"/>
      <c r="C2681" s="49" t="n"/>
      <c r="D2681" s="49" t="n"/>
      <c r="E2681" s="49" t="n"/>
      <c r="F2681" s="49" t="n"/>
      <c r="G2681" s="47" t="n"/>
      <c r="H2681" s="50" t="n"/>
      <c r="I2681" s="51" t="n"/>
      <c r="J2681" s="46" t="n"/>
      <c r="K2681" s="46" t="n"/>
      <c r="L2681" s="23">
        <f>IF(OR($A2681="",$B2681=""),"",IF($K2681&lt;&gt;"",$K2681-$B2681,TODAY()-$B2681))</f>
        <v/>
      </c>
      <c r="M2681" s="27">
        <f>IF(OR($A2681="",$J2681=""),"",IF($K2681="",IF(TODAY()&gt;$J2681,"Atrasado","En ruta"),IF($K2681&lt;=$J2681,"Sí","No")))</f>
        <v/>
      </c>
      <c r="N2681" s="23">
        <f>IF($A2681="","",COUNTIFS(NOVEDADES!$C$4:$C$1503,$A2681))</f>
        <v/>
      </c>
      <c r="O2681" s="27">
        <f>IF($A2681="","",IF(COUNTIFS(NOVEDADES!$C$4:$C$1503,$A2681,NOVEDADES!$M$4:$M$1503,"SÍ")&gt;0,"No","Sí"))</f>
        <v/>
      </c>
      <c r="P2681" s="27">
        <f>IF(OR($A2681="",$K2681=""),"",IF(AND($M2681="Sí",$O2681="Sí"),"OTIF","Falló"))</f>
        <v/>
      </c>
    </row>
    <row r="2682" ht="16" customHeight="1">
      <c r="A2682" s="47" t="n"/>
      <c r="B2682" s="46" t="n"/>
      <c r="C2682" s="49" t="n"/>
      <c r="D2682" s="49" t="n"/>
      <c r="E2682" s="49" t="n"/>
      <c r="F2682" s="49" t="n"/>
      <c r="G2682" s="47" t="n"/>
      <c r="H2682" s="50" t="n"/>
      <c r="I2682" s="51" t="n"/>
      <c r="J2682" s="46" t="n"/>
      <c r="K2682" s="46" t="n"/>
      <c r="L2682" s="23">
        <f>IF(OR($A2682="",$B2682=""),"",IF($K2682&lt;&gt;"",$K2682-$B2682,TODAY()-$B2682))</f>
        <v/>
      </c>
      <c r="M2682" s="27">
        <f>IF(OR($A2682="",$J2682=""),"",IF($K2682="",IF(TODAY()&gt;$J2682,"Atrasado","En ruta"),IF($K2682&lt;=$J2682,"Sí","No")))</f>
        <v/>
      </c>
      <c r="N2682" s="23">
        <f>IF($A2682="","",COUNTIFS(NOVEDADES!$C$4:$C$1503,$A2682))</f>
        <v/>
      </c>
      <c r="O2682" s="27">
        <f>IF($A2682="","",IF(COUNTIFS(NOVEDADES!$C$4:$C$1503,$A2682,NOVEDADES!$M$4:$M$1503,"SÍ")&gt;0,"No","Sí"))</f>
        <v/>
      </c>
      <c r="P2682" s="27">
        <f>IF(OR($A2682="",$K2682=""),"",IF(AND($M2682="Sí",$O2682="Sí"),"OTIF","Falló"))</f>
        <v/>
      </c>
    </row>
    <row r="2683" ht="16" customHeight="1">
      <c r="A2683" s="47" t="n"/>
      <c r="B2683" s="46" t="n"/>
      <c r="C2683" s="49" t="n"/>
      <c r="D2683" s="49" t="n"/>
      <c r="E2683" s="49" t="n"/>
      <c r="F2683" s="49" t="n"/>
      <c r="G2683" s="47" t="n"/>
      <c r="H2683" s="50" t="n"/>
      <c r="I2683" s="51" t="n"/>
      <c r="J2683" s="46" t="n"/>
      <c r="K2683" s="46" t="n"/>
      <c r="L2683" s="23">
        <f>IF(OR($A2683="",$B2683=""),"",IF($K2683&lt;&gt;"",$K2683-$B2683,TODAY()-$B2683))</f>
        <v/>
      </c>
      <c r="M2683" s="27">
        <f>IF(OR($A2683="",$J2683=""),"",IF($K2683="",IF(TODAY()&gt;$J2683,"Atrasado","En ruta"),IF($K2683&lt;=$J2683,"Sí","No")))</f>
        <v/>
      </c>
      <c r="N2683" s="23">
        <f>IF($A2683="","",COUNTIFS(NOVEDADES!$C$4:$C$1503,$A2683))</f>
        <v/>
      </c>
      <c r="O2683" s="27">
        <f>IF($A2683="","",IF(COUNTIFS(NOVEDADES!$C$4:$C$1503,$A2683,NOVEDADES!$M$4:$M$1503,"SÍ")&gt;0,"No","Sí"))</f>
        <v/>
      </c>
      <c r="P2683" s="27">
        <f>IF(OR($A2683="",$K2683=""),"",IF(AND($M2683="Sí",$O2683="Sí"),"OTIF","Falló"))</f>
        <v/>
      </c>
    </row>
    <row r="2684" ht="16" customHeight="1">
      <c r="A2684" s="47" t="n"/>
      <c r="B2684" s="46" t="n"/>
      <c r="C2684" s="49" t="n"/>
      <c r="D2684" s="49" t="n"/>
      <c r="E2684" s="49" t="n"/>
      <c r="F2684" s="49" t="n"/>
      <c r="G2684" s="47" t="n"/>
      <c r="H2684" s="50" t="n"/>
      <c r="I2684" s="51" t="n"/>
      <c r="J2684" s="46" t="n"/>
      <c r="K2684" s="46" t="n"/>
      <c r="L2684" s="23">
        <f>IF(OR($A2684="",$B2684=""),"",IF($K2684&lt;&gt;"",$K2684-$B2684,TODAY()-$B2684))</f>
        <v/>
      </c>
      <c r="M2684" s="27">
        <f>IF(OR($A2684="",$J2684=""),"",IF($K2684="",IF(TODAY()&gt;$J2684,"Atrasado","En ruta"),IF($K2684&lt;=$J2684,"Sí","No")))</f>
        <v/>
      </c>
      <c r="N2684" s="23">
        <f>IF($A2684="","",COUNTIFS(NOVEDADES!$C$4:$C$1503,$A2684))</f>
        <v/>
      </c>
      <c r="O2684" s="27">
        <f>IF($A2684="","",IF(COUNTIFS(NOVEDADES!$C$4:$C$1503,$A2684,NOVEDADES!$M$4:$M$1503,"SÍ")&gt;0,"No","Sí"))</f>
        <v/>
      </c>
      <c r="P2684" s="27">
        <f>IF(OR($A2684="",$K2684=""),"",IF(AND($M2684="Sí",$O2684="Sí"),"OTIF","Falló"))</f>
        <v/>
      </c>
    </row>
    <row r="2685" ht="16" customHeight="1">
      <c r="A2685" s="47" t="n"/>
      <c r="B2685" s="46" t="n"/>
      <c r="C2685" s="49" t="n"/>
      <c r="D2685" s="49" t="n"/>
      <c r="E2685" s="49" t="n"/>
      <c r="F2685" s="49" t="n"/>
      <c r="G2685" s="47" t="n"/>
      <c r="H2685" s="50" t="n"/>
      <c r="I2685" s="51" t="n"/>
      <c r="J2685" s="46" t="n"/>
      <c r="K2685" s="46" t="n"/>
      <c r="L2685" s="23">
        <f>IF(OR($A2685="",$B2685=""),"",IF($K2685&lt;&gt;"",$K2685-$B2685,TODAY()-$B2685))</f>
        <v/>
      </c>
      <c r="M2685" s="27">
        <f>IF(OR($A2685="",$J2685=""),"",IF($K2685="",IF(TODAY()&gt;$J2685,"Atrasado","En ruta"),IF($K2685&lt;=$J2685,"Sí","No")))</f>
        <v/>
      </c>
      <c r="N2685" s="23">
        <f>IF($A2685="","",COUNTIFS(NOVEDADES!$C$4:$C$1503,$A2685))</f>
        <v/>
      </c>
      <c r="O2685" s="27">
        <f>IF($A2685="","",IF(COUNTIFS(NOVEDADES!$C$4:$C$1503,$A2685,NOVEDADES!$M$4:$M$1503,"SÍ")&gt;0,"No","Sí"))</f>
        <v/>
      </c>
      <c r="P2685" s="27">
        <f>IF(OR($A2685="",$K2685=""),"",IF(AND($M2685="Sí",$O2685="Sí"),"OTIF","Falló"))</f>
        <v/>
      </c>
    </row>
    <row r="2686" ht="16" customHeight="1">
      <c r="A2686" s="47" t="n"/>
      <c r="B2686" s="46" t="n"/>
      <c r="C2686" s="49" t="n"/>
      <c r="D2686" s="49" t="n"/>
      <c r="E2686" s="49" t="n"/>
      <c r="F2686" s="49" t="n"/>
      <c r="G2686" s="47" t="n"/>
      <c r="H2686" s="50" t="n"/>
      <c r="I2686" s="51" t="n"/>
      <c r="J2686" s="46" t="n"/>
      <c r="K2686" s="46" t="n"/>
      <c r="L2686" s="23">
        <f>IF(OR($A2686="",$B2686=""),"",IF($K2686&lt;&gt;"",$K2686-$B2686,TODAY()-$B2686))</f>
        <v/>
      </c>
      <c r="M2686" s="27">
        <f>IF(OR($A2686="",$J2686=""),"",IF($K2686="",IF(TODAY()&gt;$J2686,"Atrasado","En ruta"),IF($K2686&lt;=$J2686,"Sí","No")))</f>
        <v/>
      </c>
      <c r="N2686" s="23">
        <f>IF($A2686="","",COUNTIFS(NOVEDADES!$C$4:$C$1503,$A2686))</f>
        <v/>
      </c>
      <c r="O2686" s="27">
        <f>IF($A2686="","",IF(COUNTIFS(NOVEDADES!$C$4:$C$1503,$A2686,NOVEDADES!$M$4:$M$1503,"SÍ")&gt;0,"No","Sí"))</f>
        <v/>
      </c>
      <c r="P2686" s="27">
        <f>IF(OR($A2686="",$K2686=""),"",IF(AND($M2686="Sí",$O2686="Sí"),"OTIF","Falló"))</f>
        <v/>
      </c>
    </row>
    <row r="2687" ht="16" customHeight="1">
      <c r="A2687" s="47" t="n"/>
      <c r="B2687" s="46" t="n"/>
      <c r="C2687" s="49" t="n"/>
      <c r="D2687" s="49" t="n"/>
      <c r="E2687" s="49" t="n"/>
      <c r="F2687" s="49" t="n"/>
      <c r="G2687" s="47" t="n"/>
      <c r="H2687" s="50" t="n"/>
      <c r="I2687" s="51" t="n"/>
      <c r="J2687" s="46" t="n"/>
      <c r="K2687" s="46" t="n"/>
      <c r="L2687" s="23">
        <f>IF(OR($A2687="",$B2687=""),"",IF($K2687&lt;&gt;"",$K2687-$B2687,TODAY()-$B2687))</f>
        <v/>
      </c>
      <c r="M2687" s="27">
        <f>IF(OR($A2687="",$J2687=""),"",IF($K2687="",IF(TODAY()&gt;$J2687,"Atrasado","En ruta"),IF($K2687&lt;=$J2687,"Sí","No")))</f>
        <v/>
      </c>
      <c r="N2687" s="23">
        <f>IF($A2687="","",COUNTIFS(NOVEDADES!$C$4:$C$1503,$A2687))</f>
        <v/>
      </c>
      <c r="O2687" s="27">
        <f>IF($A2687="","",IF(COUNTIFS(NOVEDADES!$C$4:$C$1503,$A2687,NOVEDADES!$M$4:$M$1503,"SÍ")&gt;0,"No","Sí"))</f>
        <v/>
      </c>
      <c r="P2687" s="27">
        <f>IF(OR($A2687="",$K2687=""),"",IF(AND($M2687="Sí",$O2687="Sí"),"OTIF","Falló"))</f>
        <v/>
      </c>
    </row>
    <row r="2688" ht="16" customHeight="1">
      <c r="A2688" s="47" t="n"/>
      <c r="B2688" s="46" t="n"/>
      <c r="C2688" s="49" t="n"/>
      <c r="D2688" s="49" t="n"/>
      <c r="E2688" s="49" t="n"/>
      <c r="F2688" s="49" t="n"/>
      <c r="G2688" s="47" t="n"/>
      <c r="H2688" s="50" t="n"/>
      <c r="I2688" s="51" t="n"/>
      <c r="J2688" s="46" t="n"/>
      <c r="K2688" s="46" t="n"/>
      <c r="L2688" s="23">
        <f>IF(OR($A2688="",$B2688=""),"",IF($K2688&lt;&gt;"",$K2688-$B2688,TODAY()-$B2688))</f>
        <v/>
      </c>
      <c r="M2688" s="27">
        <f>IF(OR($A2688="",$J2688=""),"",IF($K2688="",IF(TODAY()&gt;$J2688,"Atrasado","En ruta"),IF($K2688&lt;=$J2688,"Sí","No")))</f>
        <v/>
      </c>
      <c r="N2688" s="23">
        <f>IF($A2688="","",COUNTIFS(NOVEDADES!$C$4:$C$1503,$A2688))</f>
        <v/>
      </c>
      <c r="O2688" s="27">
        <f>IF($A2688="","",IF(COUNTIFS(NOVEDADES!$C$4:$C$1503,$A2688,NOVEDADES!$M$4:$M$1503,"SÍ")&gt;0,"No","Sí"))</f>
        <v/>
      </c>
      <c r="P2688" s="27">
        <f>IF(OR($A2688="",$K2688=""),"",IF(AND($M2688="Sí",$O2688="Sí"),"OTIF","Falló"))</f>
        <v/>
      </c>
    </row>
    <row r="2689" ht="16" customHeight="1">
      <c r="A2689" s="47" t="n"/>
      <c r="B2689" s="46" t="n"/>
      <c r="C2689" s="49" t="n"/>
      <c r="D2689" s="49" t="n"/>
      <c r="E2689" s="49" t="n"/>
      <c r="F2689" s="49" t="n"/>
      <c r="G2689" s="47" t="n"/>
      <c r="H2689" s="50" t="n"/>
      <c r="I2689" s="51" t="n"/>
      <c r="J2689" s="46" t="n"/>
      <c r="K2689" s="46" t="n"/>
      <c r="L2689" s="23">
        <f>IF(OR($A2689="",$B2689=""),"",IF($K2689&lt;&gt;"",$K2689-$B2689,TODAY()-$B2689))</f>
        <v/>
      </c>
      <c r="M2689" s="27">
        <f>IF(OR($A2689="",$J2689=""),"",IF($K2689="",IF(TODAY()&gt;$J2689,"Atrasado","En ruta"),IF($K2689&lt;=$J2689,"Sí","No")))</f>
        <v/>
      </c>
      <c r="N2689" s="23">
        <f>IF($A2689="","",COUNTIFS(NOVEDADES!$C$4:$C$1503,$A2689))</f>
        <v/>
      </c>
      <c r="O2689" s="27">
        <f>IF($A2689="","",IF(COUNTIFS(NOVEDADES!$C$4:$C$1503,$A2689,NOVEDADES!$M$4:$M$1503,"SÍ")&gt;0,"No","Sí"))</f>
        <v/>
      </c>
      <c r="P2689" s="27">
        <f>IF(OR($A2689="",$K2689=""),"",IF(AND($M2689="Sí",$O2689="Sí"),"OTIF","Falló"))</f>
        <v/>
      </c>
    </row>
    <row r="2690" ht="16" customHeight="1">
      <c r="A2690" s="47" t="n"/>
      <c r="B2690" s="46" t="n"/>
      <c r="C2690" s="49" t="n"/>
      <c r="D2690" s="49" t="n"/>
      <c r="E2690" s="49" t="n"/>
      <c r="F2690" s="49" t="n"/>
      <c r="G2690" s="47" t="n"/>
      <c r="H2690" s="50" t="n"/>
      <c r="I2690" s="51" t="n"/>
      <c r="J2690" s="46" t="n"/>
      <c r="K2690" s="46" t="n"/>
      <c r="L2690" s="23">
        <f>IF(OR($A2690="",$B2690=""),"",IF($K2690&lt;&gt;"",$K2690-$B2690,TODAY()-$B2690))</f>
        <v/>
      </c>
      <c r="M2690" s="27">
        <f>IF(OR($A2690="",$J2690=""),"",IF($K2690="",IF(TODAY()&gt;$J2690,"Atrasado","En ruta"),IF($K2690&lt;=$J2690,"Sí","No")))</f>
        <v/>
      </c>
      <c r="N2690" s="23">
        <f>IF($A2690="","",COUNTIFS(NOVEDADES!$C$4:$C$1503,$A2690))</f>
        <v/>
      </c>
      <c r="O2690" s="27">
        <f>IF($A2690="","",IF(COUNTIFS(NOVEDADES!$C$4:$C$1503,$A2690,NOVEDADES!$M$4:$M$1503,"SÍ")&gt;0,"No","Sí"))</f>
        <v/>
      </c>
      <c r="P2690" s="27">
        <f>IF(OR($A2690="",$K2690=""),"",IF(AND($M2690="Sí",$O2690="Sí"),"OTIF","Falló"))</f>
        <v/>
      </c>
    </row>
    <row r="2691" ht="16" customHeight="1">
      <c r="A2691" s="47" t="n"/>
      <c r="B2691" s="46" t="n"/>
      <c r="C2691" s="49" t="n"/>
      <c r="D2691" s="49" t="n"/>
      <c r="E2691" s="49" t="n"/>
      <c r="F2691" s="49" t="n"/>
      <c r="G2691" s="47" t="n"/>
      <c r="H2691" s="50" t="n"/>
      <c r="I2691" s="51" t="n"/>
      <c r="J2691" s="46" t="n"/>
      <c r="K2691" s="46" t="n"/>
      <c r="L2691" s="23">
        <f>IF(OR($A2691="",$B2691=""),"",IF($K2691&lt;&gt;"",$K2691-$B2691,TODAY()-$B2691))</f>
        <v/>
      </c>
      <c r="M2691" s="27">
        <f>IF(OR($A2691="",$J2691=""),"",IF($K2691="",IF(TODAY()&gt;$J2691,"Atrasado","En ruta"),IF($K2691&lt;=$J2691,"Sí","No")))</f>
        <v/>
      </c>
      <c r="N2691" s="23">
        <f>IF($A2691="","",COUNTIFS(NOVEDADES!$C$4:$C$1503,$A2691))</f>
        <v/>
      </c>
      <c r="O2691" s="27">
        <f>IF($A2691="","",IF(COUNTIFS(NOVEDADES!$C$4:$C$1503,$A2691,NOVEDADES!$M$4:$M$1503,"SÍ")&gt;0,"No","Sí"))</f>
        <v/>
      </c>
      <c r="P2691" s="27">
        <f>IF(OR($A2691="",$K2691=""),"",IF(AND($M2691="Sí",$O2691="Sí"),"OTIF","Falló"))</f>
        <v/>
      </c>
    </row>
    <row r="2692" ht="16" customHeight="1">
      <c r="A2692" s="47" t="n"/>
      <c r="B2692" s="46" t="n"/>
      <c r="C2692" s="49" t="n"/>
      <c r="D2692" s="49" t="n"/>
      <c r="E2692" s="49" t="n"/>
      <c r="F2692" s="49" t="n"/>
      <c r="G2692" s="47" t="n"/>
      <c r="H2692" s="50" t="n"/>
      <c r="I2692" s="51" t="n"/>
      <c r="J2692" s="46" t="n"/>
      <c r="K2692" s="46" t="n"/>
      <c r="L2692" s="23">
        <f>IF(OR($A2692="",$B2692=""),"",IF($K2692&lt;&gt;"",$K2692-$B2692,TODAY()-$B2692))</f>
        <v/>
      </c>
      <c r="M2692" s="27">
        <f>IF(OR($A2692="",$J2692=""),"",IF($K2692="",IF(TODAY()&gt;$J2692,"Atrasado","En ruta"),IF($K2692&lt;=$J2692,"Sí","No")))</f>
        <v/>
      </c>
      <c r="N2692" s="23">
        <f>IF($A2692="","",COUNTIFS(NOVEDADES!$C$4:$C$1503,$A2692))</f>
        <v/>
      </c>
      <c r="O2692" s="27">
        <f>IF($A2692="","",IF(COUNTIFS(NOVEDADES!$C$4:$C$1503,$A2692,NOVEDADES!$M$4:$M$1503,"SÍ")&gt;0,"No","Sí"))</f>
        <v/>
      </c>
      <c r="P2692" s="27">
        <f>IF(OR($A2692="",$K2692=""),"",IF(AND($M2692="Sí",$O2692="Sí"),"OTIF","Falló"))</f>
        <v/>
      </c>
    </row>
    <row r="2693" ht="16" customHeight="1">
      <c r="A2693" s="47" t="n"/>
      <c r="B2693" s="46" t="n"/>
      <c r="C2693" s="49" t="n"/>
      <c r="D2693" s="49" t="n"/>
      <c r="E2693" s="49" t="n"/>
      <c r="F2693" s="49" t="n"/>
      <c r="G2693" s="47" t="n"/>
      <c r="H2693" s="50" t="n"/>
      <c r="I2693" s="51" t="n"/>
      <c r="J2693" s="46" t="n"/>
      <c r="K2693" s="46" t="n"/>
      <c r="L2693" s="23">
        <f>IF(OR($A2693="",$B2693=""),"",IF($K2693&lt;&gt;"",$K2693-$B2693,TODAY()-$B2693))</f>
        <v/>
      </c>
      <c r="M2693" s="27">
        <f>IF(OR($A2693="",$J2693=""),"",IF($K2693="",IF(TODAY()&gt;$J2693,"Atrasado","En ruta"),IF($K2693&lt;=$J2693,"Sí","No")))</f>
        <v/>
      </c>
      <c r="N2693" s="23">
        <f>IF($A2693="","",COUNTIFS(NOVEDADES!$C$4:$C$1503,$A2693))</f>
        <v/>
      </c>
      <c r="O2693" s="27">
        <f>IF($A2693="","",IF(COUNTIFS(NOVEDADES!$C$4:$C$1503,$A2693,NOVEDADES!$M$4:$M$1503,"SÍ")&gt;0,"No","Sí"))</f>
        <v/>
      </c>
      <c r="P2693" s="27">
        <f>IF(OR($A2693="",$K2693=""),"",IF(AND($M2693="Sí",$O2693="Sí"),"OTIF","Falló"))</f>
        <v/>
      </c>
    </row>
    <row r="2694" ht="16" customHeight="1">
      <c r="A2694" s="47" t="n"/>
      <c r="B2694" s="46" t="n"/>
      <c r="C2694" s="49" t="n"/>
      <c r="D2694" s="49" t="n"/>
      <c r="E2694" s="49" t="n"/>
      <c r="F2694" s="49" t="n"/>
      <c r="G2694" s="47" t="n"/>
      <c r="H2694" s="50" t="n"/>
      <c r="I2694" s="51" t="n"/>
      <c r="J2694" s="46" t="n"/>
      <c r="K2694" s="46" t="n"/>
      <c r="L2694" s="23">
        <f>IF(OR($A2694="",$B2694=""),"",IF($K2694&lt;&gt;"",$K2694-$B2694,TODAY()-$B2694))</f>
        <v/>
      </c>
      <c r="M2694" s="27">
        <f>IF(OR($A2694="",$J2694=""),"",IF($K2694="",IF(TODAY()&gt;$J2694,"Atrasado","En ruta"),IF($K2694&lt;=$J2694,"Sí","No")))</f>
        <v/>
      </c>
      <c r="N2694" s="23">
        <f>IF($A2694="","",COUNTIFS(NOVEDADES!$C$4:$C$1503,$A2694))</f>
        <v/>
      </c>
      <c r="O2694" s="27">
        <f>IF($A2694="","",IF(COUNTIFS(NOVEDADES!$C$4:$C$1503,$A2694,NOVEDADES!$M$4:$M$1503,"SÍ")&gt;0,"No","Sí"))</f>
        <v/>
      </c>
      <c r="P2694" s="27">
        <f>IF(OR($A2694="",$K2694=""),"",IF(AND($M2694="Sí",$O2694="Sí"),"OTIF","Falló"))</f>
        <v/>
      </c>
    </row>
    <row r="2695" ht="16" customHeight="1">
      <c r="A2695" s="47" t="n"/>
      <c r="B2695" s="46" t="n"/>
      <c r="C2695" s="49" t="n"/>
      <c r="D2695" s="49" t="n"/>
      <c r="E2695" s="49" t="n"/>
      <c r="F2695" s="49" t="n"/>
      <c r="G2695" s="47" t="n"/>
      <c r="H2695" s="50" t="n"/>
      <c r="I2695" s="51" t="n"/>
      <c r="J2695" s="46" t="n"/>
      <c r="K2695" s="46" t="n"/>
      <c r="L2695" s="23">
        <f>IF(OR($A2695="",$B2695=""),"",IF($K2695&lt;&gt;"",$K2695-$B2695,TODAY()-$B2695))</f>
        <v/>
      </c>
      <c r="M2695" s="27">
        <f>IF(OR($A2695="",$J2695=""),"",IF($K2695="",IF(TODAY()&gt;$J2695,"Atrasado","En ruta"),IF($K2695&lt;=$J2695,"Sí","No")))</f>
        <v/>
      </c>
      <c r="N2695" s="23">
        <f>IF($A2695="","",COUNTIFS(NOVEDADES!$C$4:$C$1503,$A2695))</f>
        <v/>
      </c>
      <c r="O2695" s="27">
        <f>IF($A2695="","",IF(COUNTIFS(NOVEDADES!$C$4:$C$1503,$A2695,NOVEDADES!$M$4:$M$1503,"SÍ")&gt;0,"No","Sí"))</f>
        <v/>
      </c>
      <c r="P2695" s="27">
        <f>IF(OR($A2695="",$K2695=""),"",IF(AND($M2695="Sí",$O2695="Sí"),"OTIF","Falló"))</f>
        <v/>
      </c>
    </row>
    <row r="2696" ht="16" customHeight="1">
      <c r="A2696" s="47" t="n"/>
      <c r="B2696" s="46" t="n"/>
      <c r="C2696" s="49" t="n"/>
      <c r="D2696" s="49" t="n"/>
      <c r="E2696" s="49" t="n"/>
      <c r="F2696" s="49" t="n"/>
      <c r="G2696" s="47" t="n"/>
      <c r="H2696" s="50" t="n"/>
      <c r="I2696" s="51" t="n"/>
      <c r="J2696" s="46" t="n"/>
      <c r="K2696" s="46" t="n"/>
      <c r="L2696" s="23">
        <f>IF(OR($A2696="",$B2696=""),"",IF($K2696&lt;&gt;"",$K2696-$B2696,TODAY()-$B2696))</f>
        <v/>
      </c>
      <c r="M2696" s="27">
        <f>IF(OR($A2696="",$J2696=""),"",IF($K2696="",IF(TODAY()&gt;$J2696,"Atrasado","En ruta"),IF($K2696&lt;=$J2696,"Sí","No")))</f>
        <v/>
      </c>
      <c r="N2696" s="23">
        <f>IF($A2696="","",COUNTIFS(NOVEDADES!$C$4:$C$1503,$A2696))</f>
        <v/>
      </c>
      <c r="O2696" s="27">
        <f>IF($A2696="","",IF(COUNTIFS(NOVEDADES!$C$4:$C$1503,$A2696,NOVEDADES!$M$4:$M$1503,"SÍ")&gt;0,"No","Sí"))</f>
        <v/>
      </c>
      <c r="P2696" s="27">
        <f>IF(OR($A2696="",$K2696=""),"",IF(AND($M2696="Sí",$O2696="Sí"),"OTIF","Falló"))</f>
        <v/>
      </c>
    </row>
    <row r="2697" ht="16" customHeight="1">
      <c r="A2697" s="47" t="n"/>
      <c r="B2697" s="46" t="n"/>
      <c r="C2697" s="49" t="n"/>
      <c r="D2697" s="49" t="n"/>
      <c r="E2697" s="49" t="n"/>
      <c r="F2697" s="49" t="n"/>
      <c r="G2697" s="47" t="n"/>
      <c r="H2697" s="50" t="n"/>
      <c r="I2697" s="51" t="n"/>
      <c r="J2697" s="46" t="n"/>
      <c r="K2697" s="46" t="n"/>
      <c r="L2697" s="23">
        <f>IF(OR($A2697="",$B2697=""),"",IF($K2697&lt;&gt;"",$K2697-$B2697,TODAY()-$B2697))</f>
        <v/>
      </c>
      <c r="M2697" s="27">
        <f>IF(OR($A2697="",$J2697=""),"",IF($K2697="",IF(TODAY()&gt;$J2697,"Atrasado","En ruta"),IF($K2697&lt;=$J2697,"Sí","No")))</f>
        <v/>
      </c>
      <c r="N2697" s="23">
        <f>IF($A2697="","",COUNTIFS(NOVEDADES!$C$4:$C$1503,$A2697))</f>
        <v/>
      </c>
      <c r="O2697" s="27">
        <f>IF($A2697="","",IF(COUNTIFS(NOVEDADES!$C$4:$C$1503,$A2697,NOVEDADES!$M$4:$M$1503,"SÍ")&gt;0,"No","Sí"))</f>
        <v/>
      </c>
      <c r="P2697" s="27">
        <f>IF(OR($A2697="",$K2697=""),"",IF(AND($M2697="Sí",$O2697="Sí"),"OTIF","Falló"))</f>
        <v/>
      </c>
    </row>
    <row r="2698" ht="16" customHeight="1">
      <c r="A2698" s="47" t="n"/>
      <c r="B2698" s="46" t="n"/>
      <c r="C2698" s="49" t="n"/>
      <c r="D2698" s="49" t="n"/>
      <c r="E2698" s="49" t="n"/>
      <c r="F2698" s="49" t="n"/>
      <c r="G2698" s="47" t="n"/>
      <c r="H2698" s="50" t="n"/>
      <c r="I2698" s="51" t="n"/>
      <c r="J2698" s="46" t="n"/>
      <c r="K2698" s="46" t="n"/>
      <c r="L2698" s="23">
        <f>IF(OR($A2698="",$B2698=""),"",IF($K2698&lt;&gt;"",$K2698-$B2698,TODAY()-$B2698))</f>
        <v/>
      </c>
      <c r="M2698" s="27">
        <f>IF(OR($A2698="",$J2698=""),"",IF($K2698="",IF(TODAY()&gt;$J2698,"Atrasado","En ruta"),IF($K2698&lt;=$J2698,"Sí","No")))</f>
        <v/>
      </c>
      <c r="N2698" s="23">
        <f>IF($A2698="","",COUNTIFS(NOVEDADES!$C$4:$C$1503,$A2698))</f>
        <v/>
      </c>
      <c r="O2698" s="27">
        <f>IF($A2698="","",IF(COUNTIFS(NOVEDADES!$C$4:$C$1503,$A2698,NOVEDADES!$M$4:$M$1503,"SÍ")&gt;0,"No","Sí"))</f>
        <v/>
      </c>
      <c r="P2698" s="27">
        <f>IF(OR($A2698="",$K2698=""),"",IF(AND($M2698="Sí",$O2698="Sí"),"OTIF","Falló"))</f>
        <v/>
      </c>
    </row>
    <row r="2699" ht="16" customHeight="1">
      <c r="A2699" s="47" t="n"/>
      <c r="B2699" s="46" t="n"/>
      <c r="C2699" s="49" t="n"/>
      <c r="D2699" s="49" t="n"/>
      <c r="E2699" s="49" t="n"/>
      <c r="F2699" s="49" t="n"/>
      <c r="G2699" s="47" t="n"/>
      <c r="H2699" s="50" t="n"/>
      <c r="I2699" s="51" t="n"/>
      <c r="J2699" s="46" t="n"/>
      <c r="K2699" s="46" t="n"/>
      <c r="L2699" s="23">
        <f>IF(OR($A2699="",$B2699=""),"",IF($K2699&lt;&gt;"",$K2699-$B2699,TODAY()-$B2699))</f>
        <v/>
      </c>
      <c r="M2699" s="27">
        <f>IF(OR($A2699="",$J2699=""),"",IF($K2699="",IF(TODAY()&gt;$J2699,"Atrasado","En ruta"),IF($K2699&lt;=$J2699,"Sí","No")))</f>
        <v/>
      </c>
      <c r="N2699" s="23">
        <f>IF($A2699="","",COUNTIFS(NOVEDADES!$C$4:$C$1503,$A2699))</f>
        <v/>
      </c>
      <c r="O2699" s="27">
        <f>IF($A2699="","",IF(COUNTIFS(NOVEDADES!$C$4:$C$1503,$A2699,NOVEDADES!$M$4:$M$1503,"SÍ")&gt;0,"No","Sí"))</f>
        <v/>
      </c>
      <c r="P2699" s="27">
        <f>IF(OR($A2699="",$K2699=""),"",IF(AND($M2699="Sí",$O2699="Sí"),"OTIF","Falló"))</f>
        <v/>
      </c>
    </row>
    <row r="2700" ht="16" customHeight="1">
      <c r="A2700" s="47" t="n"/>
      <c r="B2700" s="46" t="n"/>
      <c r="C2700" s="49" t="n"/>
      <c r="D2700" s="49" t="n"/>
      <c r="E2700" s="49" t="n"/>
      <c r="F2700" s="49" t="n"/>
      <c r="G2700" s="47" t="n"/>
      <c r="H2700" s="50" t="n"/>
      <c r="I2700" s="51" t="n"/>
      <c r="J2700" s="46" t="n"/>
      <c r="K2700" s="46" t="n"/>
      <c r="L2700" s="23">
        <f>IF(OR($A2700="",$B2700=""),"",IF($K2700&lt;&gt;"",$K2700-$B2700,TODAY()-$B2700))</f>
        <v/>
      </c>
      <c r="M2700" s="27">
        <f>IF(OR($A2700="",$J2700=""),"",IF($K2700="",IF(TODAY()&gt;$J2700,"Atrasado","En ruta"),IF($K2700&lt;=$J2700,"Sí","No")))</f>
        <v/>
      </c>
      <c r="N2700" s="23">
        <f>IF($A2700="","",COUNTIFS(NOVEDADES!$C$4:$C$1503,$A2700))</f>
        <v/>
      </c>
      <c r="O2700" s="27">
        <f>IF($A2700="","",IF(COUNTIFS(NOVEDADES!$C$4:$C$1503,$A2700,NOVEDADES!$M$4:$M$1503,"SÍ")&gt;0,"No","Sí"))</f>
        <v/>
      </c>
      <c r="P2700" s="27">
        <f>IF(OR($A2700="",$K2700=""),"",IF(AND($M2700="Sí",$O2700="Sí"),"OTIF","Falló"))</f>
        <v/>
      </c>
    </row>
    <row r="2701" ht="16" customHeight="1">
      <c r="A2701" s="47" t="n"/>
      <c r="B2701" s="46" t="n"/>
      <c r="C2701" s="49" t="n"/>
      <c r="D2701" s="49" t="n"/>
      <c r="E2701" s="49" t="n"/>
      <c r="F2701" s="49" t="n"/>
      <c r="G2701" s="47" t="n"/>
      <c r="H2701" s="50" t="n"/>
      <c r="I2701" s="51" t="n"/>
      <c r="J2701" s="46" t="n"/>
      <c r="K2701" s="46" t="n"/>
      <c r="L2701" s="23">
        <f>IF(OR($A2701="",$B2701=""),"",IF($K2701&lt;&gt;"",$K2701-$B2701,TODAY()-$B2701))</f>
        <v/>
      </c>
      <c r="M2701" s="27">
        <f>IF(OR($A2701="",$J2701=""),"",IF($K2701="",IF(TODAY()&gt;$J2701,"Atrasado","En ruta"),IF($K2701&lt;=$J2701,"Sí","No")))</f>
        <v/>
      </c>
      <c r="N2701" s="23">
        <f>IF($A2701="","",COUNTIFS(NOVEDADES!$C$4:$C$1503,$A2701))</f>
        <v/>
      </c>
      <c r="O2701" s="27">
        <f>IF($A2701="","",IF(COUNTIFS(NOVEDADES!$C$4:$C$1503,$A2701,NOVEDADES!$M$4:$M$1503,"SÍ")&gt;0,"No","Sí"))</f>
        <v/>
      </c>
      <c r="P2701" s="27">
        <f>IF(OR($A2701="",$K2701=""),"",IF(AND($M2701="Sí",$O2701="Sí"),"OTIF","Falló"))</f>
        <v/>
      </c>
    </row>
    <row r="2702" ht="16" customHeight="1">
      <c r="A2702" s="47" t="n"/>
      <c r="B2702" s="46" t="n"/>
      <c r="C2702" s="49" t="n"/>
      <c r="D2702" s="49" t="n"/>
      <c r="E2702" s="49" t="n"/>
      <c r="F2702" s="49" t="n"/>
      <c r="G2702" s="47" t="n"/>
      <c r="H2702" s="50" t="n"/>
      <c r="I2702" s="51" t="n"/>
      <c r="J2702" s="46" t="n"/>
      <c r="K2702" s="46" t="n"/>
      <c r="L2702" s="23">
        <f>IF(OR($A2702="",$B2702=""),"",IF($K2702&lt;&gt;"",$K2702-$B2702,TODAY()-$B2702))</f>
        <v/>
      </c>
      <c r="M2702" s="27">
        <f>IF(OR($A2702="",$J2702=""),"",IF($K2702="",IF(TODAY()&gt;$J2702,"Atrasado","En ruta"),IF($K2702&lt;=$J2702,"Sí","No")))</f>
        <v/>
      </c>
      <c r="N2702" s="23">
        <f>IF($A2702="","",COUNTIFS(NOVEDADES!$C$4:$C$1503,$A2702))</f>
        <v/>
      </c>
      <c r="O2702" s="27">
        <f>IF($A2702="","",IF(COUNTIFS(NOVEDADES!$C$4:$C$1503,$A2702,NOVEDADES!$M$4:$M$1503,"SÍ")&gt;0,"No","Sí"))</f>
        <v/>
      </c>
      <c r="P2702" s="27">
        <f>IF(OR($A2702="",$K2702=""),"",IF(AND($M2702="Sí",$O2702="Sí"),"OTIF","Falló"))</f>
        <v/>
      </c>
    </row>
    <row r="2703" ht="16" customHeight="1">
      <c r="A2703" s="47" t="n"/>
      <c r="B2703" s="46" t="n"/>
      <c r="C2703" s="49" t="n"/>
      <c r="D2703" s="49" t="n"/>
      <c r="E2703" s="49" t="n"/>
      <c r="F2703" s="49" t="n"/>
      <c r="G2703" s="47" t="n"/>
      <c r="H2703" s="50" t="n"/>
      <c r="I2703" s="51" t="n"/>
      <c r="J2703" s="46" t="n"/>
      <c r="K2703" s="46" t="n"/>
      <c r="L2703" s="23">
        <f>IF(OR($A2703="",$B2703=""),"",IF($K2703&lt;&gt;"",$K2703-$B2703,TODAY()-$B2703))</f>
        <v/>
      </c>
      <c r="M2703" s="27">
        <f>IF(OR($A2703="",$J2703=""),"",IF($K2703="",IF(TODAY()&gt;$J2703,"Atrasado","En ruta"),IF($K2703&lt;=$J2703,"Sí","No")))</f>
        <v/>
      </c>
      <c r="N2703" s="23">
        <f>IF($A2703="","",COUNTIFS(NOVEDADES!$C$4:$C$1503,$A2703))</f>
        <v/>
      </c>
      <c r="O2703" s="27">
        <f>IF($A2703="","",IF(COUNTIFS(NOVEDADES!$C$4:$C$1503,$A2703,NOVEDADES!$M$4:$M$1503,"SÍ")&gt;0,"No","Sí"))</f>
        <v/>
      </c>
      <c r="P2703" s="27">
        <f>IF(OR($A2703="",$K2703=""),"",IF(AND($M2703="Sí",$O2703="Sí"),"OTIF","Falló"))</f>
        <v/>
      </c>
    </row>
    <row r="2704" ht="16" customHeight="1">
      <c r="A2704" s="47" t="n"/>
      <c r="B2704" s="46" t="n"/>
      <c r="C2704" s="49" t="n"/>
      <c r="D2704" s="49" t="n"/>
      <c r="E2704" s="49" t="n"/>
      <c r="F2704" s="49" t="n"/>
      <c r="G2704" s="47" t="n"/>
      <c r="H2704" s="50" t="n"/>
      <c r="I2704" s="51" t="n"/>
      <c r="J2704" s="46" t="n"/>
      <c r="K2704" s="46" t="n"/>
      <c r="L2704" s="23">
        <f>IF(OR($A2704="",$B2704=""),"",IF($K2704&lt;&gt;"",$K2704-$B2704,TODAY()-$B2704))</f>
        <v/>
      </c>
      <c r="M2704" s="27">
        <f>IF(OR($A2704="",$J2704=""),"",IF($K2704="",IF(TODAY()&gt;$J2704,"Atrasado","En ruta"),IF($K2704&lt;=$J2704,"Sí","No")))</f>
        <v/>
      </c>
      <c r="N2704" s="23">
        <f>IF($A2704="","",COUNTIFS(NOVEDADES!$C$4:$C$1503,$A2704))</f>
        <v/>
      </c>
      <c r="O2704" s="27">
        <f>IF($A2704="","",IF(COUNTIFS(NOVEDADES!$C$4:$C$1503,$A2704,NOVEDADES!$M$4:$M$1503,"SÍ")&gt;0,"No","Sí"))</f>
        <v/>
      </c>
      <c r="P2704" s="27">
        <f>IF(OR($A2704="",$K2704=""),"",IF(AND($M2704="Sí",$O2704="Sí"),"OTIF","Falló"))</f>
        <v/>
      </c>
    </row>
    <row r="2705" ht="16" customHeight="1">
      <c r="A2705" s="47" t="n"/>
      <c r="B2705" s="46" t="n"/>
      <c r="C2705" s="49" t="n"/>
      <c r="D2705" s="49" t="n"/>
      <c r="E2705" s="49" t="n"/>
      <c r="F2705" s="49" t="n"/>
      <c r="G2705" s="47" t="n"/>
      <c r="H2705" s="50" t="n"/>
      <c r="I2705" s="51" t="n"/>
      <c r="J2705" s="46" t="n"/>
      <c r="K2705" s="46" t="n"/>
      <c r="L2705" s="23">
        <f>IF(OR($A2705="",$B2705=""),"",IF($K2705&lt;&gt;"",$K2705-$B2705,TODAY()-$B2705))</f>
        <v/>
      </c>
      <c r="M2705" s="27">
        <f>IF(OR($A2705="",$J2705=""),"",IF($K2705="",IF(TODAY()&gt;$J2705,"Atrasado","En ruta"),IF($K2705&lt;=$J2705,"Sí","No")))</f>
        <v/>
      </c>
      <c r="N2705" s="23">
        <f>IF($A2705="","",COUNTIFS(NOVEDADES!$C$4:$C$1503,$A2705))</f>
        <v/>
      </c>
      <c r="O2705" s="27">
        <f>IF($A2705="","",IF(COUNTIFS(NOVEDADES!$C$4:$C$1503,$A2705,NOVEDADES!$M$4:$M$1503,"SÍ")&gt;0,"No","Sí"))</f>
        <v/>
      </c>
      <c r="P2705" s="27">
        <f>IF(OR($A2705="",$K2705=""),"",IF(AND($M2705="Sí",$O2705="Sí"),"OTIF","Falló"))</f>
        <v/>
      </c>
    </row>
    <row r="2706" ht="16" customHeight="1">
      <c r="A2706" s="47" t="n"/>
      <c r="B2706" s="46" t="n"/>
      <c r="C2706" s="49" t="n"/>
      <c r="D2706" s="49" t="n"/>
      <c r="E2706" s="49" t="n"/>
      <c r="F2706" s="49" t="n"/>
      <c r="G2706" s="47" t="n"/>
      <c r="H2706" s="50" t="n"/>
      <c r="I2706" s="51" t="n"/>
      <c r="J2706" s="46" t="n"/>
      <c r="K2706" s="46" t="n"/>
      <c r="L2706" s="23">
        <f>IF(OR($A2706="",$B2706=""),"",IF($K2706&lt;&gt;"",$K2706-$B2706,TODAY()-$B2706))</f>
        <v/>
      </c>
      <c r="M2706" s="27">
        <f>IF(OR($A2706="",$J2706=""),"",IF($K2706="",IF(TODAY()&gt;$J2706,"Atrasado","En ruta"),IF($K2706&lt;=$J2706,"Sí","No")))</f>
        <v/>
      </c>
      <c r="N2706" s="23">
        <f>IF($A2706="","",COUNTIFS(NOVEDADES!$C$4:$C$1503,$A2706))</f>
        <v/>
      </c>
      <c r="O2706" s="27">
        <f>IF($A2706="","",IF(COUNTIFS(NOVEDADES!$C$4:$C$1503,$A2706,NOVEDADES!$M$4:$M$1503,"SÍ")&gt;0,"No","Sí"))</f>
        <v/>
      </c>
      <c r="P2706" s="27">
        <f>IF(OR($A2706="",$K2706=""),"",IF(AND($M2706="Sí",$O2706="Sí"),"OTIF","Falló"))</f>
        <v/>
      </c>
    </row>
    <row r="2707" ht="16" customHeight="1">
      <c r="A2707" s="47" t="n"/>
      <c r="B2707" s="46" t="n"/>
      <c r="C2707" s="49" t="n"/>
      <c r="D2707" s="49" t="n"/>
      <c r="E2707" s="49" t="n"/>
      <c r="F2707" s="49" t="n"/>
      <c r="G2707" s="47" t="n"/>
      <c r="H2707" s="50" t="n"/>
      <c r="I2707" s="51" t="n"/>
      <c r="J2707" s="46" t="n"/>
      <c r="K2707" s="46" t="n"/>
      <c r="L2707" s="23">
        <f>IF(OR($A2707="",$B2707=""),"",IF($K2707&lt;&gt;"",$K2707-$B2707,TODAY()-$B2707))</f>
        <v/>
      </c>
      <c r="M2707" s="27">
        <f>IF(OR($A2707="",$J2707=""),"",IF($K2707="",IF(TODAY()&gt;$J2707,"Atrasado","En ruta"),IF($K2707&lt;=$J2707,"Sí","No")))</f>
        <v/>
      </c>
      <c r="N2707" s="23">
        <f>IF($A2707="","",COUNTIFS(NOVEDADES!$C$4:$C$1503,$A2707))</f>
        <v/>
      </c>
      <c r="O2707" s="27">
        <f>IF($A2707="","",IF(COUNTIFS(NOVEDADES!$C$4:$C$1503,$A2707,NOVEDADES!$M$4:$M$1503,"SÍ")&gt;0,"No","Sí"))</f>
        <v/>
      </c>
      <c r="P2707" s="27">
        <f>IF(OR($A2707="",$K2707=""),"",IF(AND($M2707="Sí",$O2707="Sí"),"OTIF","Falló"))</f>
        <v/>
      </c>
    </row>
    <row r="2708" ht="16" customHeight="1">
      <c r="A2708" s="47" t="n"/>
      <c r="B2708" s="46" t="n"/>
      <c r="C2708" s="49" t="n"/>
      <c r="D2708" s="49" t="n"/>
      <c r="E2708" s="49" t="n"/>
      <c r="F2708" s="49" t="n"/>
      <c r="G2708" s="47" t="n"/>
      <c r="H2708" s="50" t="n"/>
      <c r="I2708" s="51" t="n"/>
      <c r="J2708" s="46" t="n"/>
      <c r="K2708" s="46" t="n"/>
      <c r="L2708" s="23">
        <f>IF(OR($A2708="",$B2708=""),"",IF($K2708&lt;&gt;"",$K2708-$B2708,TODAY()-$B2708))</f>
        <v/>
      </c>
      <c r="M2708" s="27">
        <f>IF(OR($A2708="",$J2708=""),"",IF($K2708="",IF(TODAY()&gt;$J2708,"Atrasado","En ruta"),IF($K2708&lt;=$J2708,"Sí","No")))</f>
        <v/>
      </c>
      <c r="N2708" s="23">
        <f>IF($A2708="","",COUNTIFS(NOVEDADES!$C$4:$C$1503,$A2708))</f>
        <v/>
      </c>
      <c r="O2708" s="27">
        <f>IF($A2708="","",IF(COUNTIFS(NOVEDADES!$C$4:$C$1503,$A2708,NOVEDADES!$M$4:$M$1503,"SÍ")&gt;0,"No","Sí"))</f>
        <v/>
      </c>
      <c r="P2708" s="27">
        <f>IF(OR($A2708="",$K2708=""),"",IF(AND($M2708="Sí",$O2708="Sí"),"OTIF","Falló"))</f>
        <v/>
      </c>
    </row>
    <row r="2709" ht="16" customHeight="1">
      <c r="A2709" s="47" t="n"/>
      <c r="B2709" s="46" t="n"/>
      <c r="C2709" s="49" t="n"/>
      <c r="D2709" s="49" t="n"/>
      <c r="E2709" s="49" t="n"/>
      <c r="F2709" s="49" t="n"/>
      <c r="G2709" s="47" t="n"/>
      <c r="H2709" s="50" t="n"/>
      <c r="I2709" s="51" t="n"/>
      <c r="J2709" s="46" t="n"/>
      <c r="K2709" s="46" t="n"/>
      <c r="L2709" s="23">
        <f>IF(OR($A2709="",$B2709=""),"",IF($K2709&lt;&gt;"",$K2709-$B2709,TODAY()-$B2709))</f>
        <v/>
      </c>
      <c r="M2709" s="27">
        <f>IF(OR($A2709="",$J2709=""),"",IF($K2709="",IF(TODAY()&gt;$J2709,"Atrasado","En ruta"),IF($K2709&lt;=$J2709,"Sí","No")))</f>
        <v/>
      </c>
      <c r="N2709" s="23">
        <f>IF($A2709="","",COUNTIFS(NOVEDADES!$C$4:$C$1503,$A2709))</f>
        <v/>
      </c>
      <c r="O2709" s="27">
        <f>IF($A2709="","",IF(COUNTIFS(NOVEDADES!$C$4:$C$1503,$A2709,NOVEDADES!$M$4:$M$1503,"SÍ")&gt;0,"No","Sí"))</f>
        <v/>
      </c>
      <c r="P2709" s="27">
        <f>IF(OR($A2709="",$K2709=""),"",IF(AND($M2709="Sí",$O2709="Sí"),"OTIF","Falló"))</f>
        <v/>
      </c>
    </row>
    <row r="2710" ht="16" customHeight="1">
      <c r="A2710" s="47" t="n"/>
      <c r="B2710" s="46" t="n"/>
      <c r="C2710" s="49" t="n"/>
      <c r="D2710" s="49" t="n"/>
      <c r="E2710" s="49" t="n"/>
      <c r="F2710" s="49" t="n"/>
      <c r="G2710" s="47" t="n"/>
      <c r="H2710" s="50" t="n"/>
      <c r="I2710" s="51" t="n"/>
      <c r="J2710" s="46" t="n"/>
      <c r="K2710" s="46" t="n"/>
      <c r="L2710" s="23">
        <f>IF(OR($A2710="",$B2710=""),"",IF($K2710&lt;&gt;"",$K2710-$B2710,TODAY()-$B2710))</f>
        <v/>
      </c>
      <c r="M2710" s="27">
        <f>IF(OR($A2710="",$J2710=""),"",IF($K2710="",IF(TODAY()&gt;$J2710,"Atrasado","En ruta"),IF($K2710&lt;=$J2710,"Sí","No")))</f>
        <v/>
      </c>
      <c r="N2710" s="23">
        <f>IF($A2710="","",COUNTIFS(NOVEDADES!$C$4:$C$1503,$A2710))</f>
        <v/>
      </c>
      <c r="O2710" s="27">
        <f>IF($A2710="","",IF(COUNTIFS(NOVEDADES!$C$4:$C$1503,$A2710,NOVEDADES!$M$4:$M$1503,"SÍ")&gt;0,"No","Sí"))</f>
        <v/>
      </c>
      <c r="P2710" s="27">
        <f>IF(OR($A2710="",$K2710=""),"",IF(AND($M2710="Sí",$O2710="Sí"),"OTIF","Falló"))</f>
        <v/>
      </c>
    </row>
    <row r="2711" ht="16" customHeight="1">
      <c r="A2711" s="47" t="n"/>
      <c r="B2711" s="46" t="n"/>
      <c r="C2711" s="49" t="n"/>
      <c r="D2711" s="49" t="n"/>
      <c r="E2711" s="49" t="n"/>
      <c r="F2711" s="49" t="n"/>
      <c r="G2711" s="47" t="n"/>
      <c r="H2711" s="50" t="n"/>
      <c r="I2711" s="51" t="n"/>
      <c r="J2711" s="46" t="n"/>
      <c r="K2711" s="46" t="n"/>
      <c r="L2711" s="23">
        <f>IF(OR($A2711="",$B2711=""),"",IF($K2711&lt;&gt;"",$K2711-$B2711,TODAY()-$B2711))</f>
        <v/>
      </c>
      <c r="M2711" s="27">
        <f>IF(OR($A2711="",$J2711=""),"",IF($K2711="",IF(TODAY()&gt;$J2711,"Atrasado","En ruta"),IF($K2711&lt;=$J2711,"Sí","No")))</f>
        <v/>
      </c>
      <c r="N2711" s="23">
        <f>IF($A2711="","",COUNTIFS(NOVEDADES!$C$4:$C$1503,$A2711))</f>
        <v/>
      </c>
      <c r="O2711" s="27">
        <f>IF($A2711="","",IF(COUNTIFS(NOVEDADES!$C$4:$C$1503,$A2711,NOVEDADES!$M$4:$M$1503,"SÍ")&gt;0,"No","Sí"))</f>
        <v/>
      </c>
      <c r="P2711" s="27">
        <f>IF(OR($A2711="",$K2711=""),"",IF(AND($M2711="Sí",$O2711="Sí"),"OTIF","Falló"))</f>
        <v/>
      </c>
    </row>
    <row r="2712" ht="16" customHeight="1">
      <c r="A2712" s="47" t="n"/>
      <c r="B2712" s="46" t="n"/>
      <c r="C2712" s="49" t="n"/>
      <c r="D2712" s="49" t="n"/>
      <c r="E2712" s="49" t="n"/>
      <c r="F2712" s="49" t="n"/>
      <c r="G2712" s="47" t="n"/>
      <c r="H2712" s="50" t="n"/>
      <c r="I2712" s="51" t="n"/>
      <c r="J2712" s="46" t="n"/>
      <c r="K2712" s="46" t="n"/>
      <c r="L2712" s="23">
        <f>IF(OR($A2712="",$B2712=""),"",IF($K2712&lt;&gt;"",$K2712-$B2712,TODAY()-$B2712))</f>
        <v/>
      </c>
      <c r="M2712" s="27">
        <f>IF(OR($A2712="",$J2712=""),"",IF($K2712="",IF(TODAY()&gt;$J2712,"Atrasado","En ruta"),IF($K2712&lt;=$J2712,"Sí","No")))</f>
        <v/>
      </c>
      <c r="N2712" s="23">
        <f>IF($A2712="","",COUNTIFS(NOVEDADES!$C$4:$C$1503,$A2712))</f>
        <v/>
      </c>
      <c r="O2712" s="27">
        <f>IF($A2712="","",IF(COUNTIFS(NOVEDADES!$C$4:$C$1503,$A2712,NOVEDADES!$M$4:$M$1503,"SÍ")&gt;0,"No","Sí"))</f>
        <v/>
      </c>
      <c r="P2712" s="27">
        <f>IF(OR($A2712="",$K2712=""),"",IF(AND($M2712="Sí",$O2712="Sí"),"OTIF","Falló"))</f>
        <v/>
      </c>
    </row>
    <row r="2713" ht="16" customHeight="1">
      <c r="A2713" s="47" t="n"/>
      <c r="B2713" s="46" t="n"/>
      <c r="C2713" s="49" t="n"/>
      <c r="D2713" s="49" t="n"/>
      <c r="E2713" s="49" t="n"/>
      <c r="F2713" s="49" t="n"/>
      <c r="G2713" s="47" t="n"/>
      <c r="H2713" s="50" t="n"/>
      <c r="I2713" s="51" t="n"/>
      <c r="J2713" s="46" t="n"/>
      <c r="K2713" s="46" t="n"/>
      <c r="L2713" s="23">
        <f>IF(OR($A2713="",$B2713=""),"",IF($K2713&lt;&gt;"",$K2713-$B2713,TODAY()-$B2713))</f>
        <v/>
      </c>
      <c r="M2713" s="27">
        <f>IF(OR($A2713="",$J2713=""),"",IF($K2713="",IF(TODAY()&gt;$J2713,"Atrasado","En ruta"),IF($K2713&lt;=$J2713,"Sí","No")))</f>
        <v/>
      </c>
      <c r="N2713" s="23">
        <f>IF($A2713="","",COUNTIFS(NOVEDADES!$C$4:$C$1503,$A2713))</f>
        <v/>
      </c>
      <c r="O2713" s="27">
        <f>IF($A2713="","",IF(COUNTIFS(NOVEDADES!$C$4:$C$1503,$A2713,NOVEDADES!$M$4:$M$1503,"SÍ")&gt;0,"No","Sí"))</f>
        <v/>
      </c>
      <c r="P2713" s="27">
        <f>IF(OR($A2713="",$K2713=""),"",IF(AND($M2713="Sí",$O2713="Sí"),"OTIF","Falló"))</f>
        <v/>
      </c>
    </row>
    <row r="2714" ht="16" customHeight="1">
      <c r="A2714" s="47" t="n"/>
      <c r="B2714" s="46" t="n"/>
      <c r="C2714" s="49" t="n"/>
      <c r="D2714" s="49" t="n"/>
      <c r="E2714" s="49" t="n"/>
      <c r="F2714" s="49" t="n"/>
      <c r="G2714" s="47" t="n"/>
      <c r="H2714" s="50" t="n"/>
      <c r="I2714" s="51" t="n"/>
      <c r="J2714" s="46" t="n"/>
      <c r="K2714" s="46" t="n"/>
      <c r="L2714" s="23">
        <f>IF(OR($A2714="",$B2714=""),"",IF($K2714&lt;&gt;"",$K2714-$B2714,TODAY()-$B2714))</f>
        <v/>
      </c>
      <c r="M2714" s="27">
        <f>IF(OR($A2714="",$J2714=""),"",IF($K2714="",IF(TODAY()&gt;$J2714,"Atrasado","En ruta"),IF($K2714&lt;=$J2714,"Sí","No")))</f>
        <v/>
      </c>
      <c r="N2714" s="23">
        <f>IF($A2714="","",COUNTIFS(NOVEDADES!$C$4:$C$1503,$A2714))</f>
        <v/>
      </c>
      <c r="O2714" s="27">
        <f>IF($A2714="","",IF(COUNTIFS(NOVEDADES!$C$4:$C$1503,$A2714,NOVEDADES!$M$4:$M$1503,"SÍ")&gt;0,"No","Sí"))</f>
        <v/>
      </c>
      <c r="P2714" s="27">
        <f>IF(OR($A2714="",$K2714=""),"",IF(AND($M2714="Sí",$O2714="Sí"),"OTIF","Falló"))</f>
        <v/>
      </c>
    </row>
    <row r="2715" ht="16" customHeight="1">
      <c r="A2715" s="47" t="n"/>
      <c r="B2715" s="46" t="n"/>
      <c r="C2715" s="49" t="n"/>
      <c r="D2715" s="49" t="n"/>
      <c r="E2715" s="49" t="n"/>
      <c r="F2715" s="49" t="n"/>
      <c r="G2715" s="47" t="n"/>
      <c r="H2715" s="50" t="n"/>
      <c r="I2715" s="51" t="n"/>
      <c r="J2715" s="46" t="n"/>
      <c r="K2715" s="46" t="n"/>
      <c r="L2715" s="23">
        <f>IF(OR($A2715="",$B2715=""),"",IF($K2715&lt;&gt;"",$K2715-$B2715,TODAY()-$B2715))</f>
        <v/>
      </c>
      <c r="M2715" s="27">
        <f>IF(OR($A2715="",$J2715=""),"",IF($K2715="",IF(TODAY()&gt;$J2715,"Atrasado","En ruta"),IF($K2715&lt;=$J2715,"Sí","No")))</f>
        <v/>
      </c>
      <c r="N2715" s="23">
        <f>IF($A2715="","",COUNTIFS(NOVEDADES!$C$4:$C$1503,$A2715))</f>
        <v/>
      </c>
      <c r="O2715" s="27">
        <f>IF($A2715="","",IF(COUNTIFS(NOVEDADES!$C$4:$C$1503,$A2715,NOVEDADES!$M$4:$M$1503,"SÍ")&gt;0,"No","Sí"))</f>
        <v/>
      </c>
      <c r="P2715" s="27">
        <f>IF(OR($A2715="",$K2715=""),"",IF(AND($M2715="Sí",$O2715="Sí"),"OTIF","Falló"))</f>
        <v/>
      </c>
    </row>
    <row r="2716" ht="16" customHeight="1">
      <c r="A2716" s="47" t="n"/>
      <c r="B2716" s="46" t="n"/>
      <c r="C2716" s="49" t="n"/>
      <c r="D2716" s="49" t="n"/>
      <c r="E2716" s="49" t="n"/>
      <c r="F2716" s="49" t="n"/>
      <c r="G2716" s="47" t="n"/>
      <c r="H2716" s="50" t="n"/>
      <c r="I2716" s="51" t="n"/>
      <c r="J2716" s="46" t="n"/>
      <c r="K2716" s="46" t="n"/>
      <c r="L2716" s="23">
        <f>IF(OR($A2716="",$B2716=""),"",IF($K2716&lt;&gt;"",$K2716-$B2716,TODAY()-$B2716))</f>
        <v/>
      </c>
      <c r="M2716" s="27">
        <f>IF(OR($A2716="",$J2716=""),"",IF($K2716="",IF(TODAY()&gt;$J2716,"Atrasado","En ruta"),IF($K2716&lt;=$J2716,"Sí","No")))</f>
        <v/>
      </c>
      <c r="N2716" s="23">
        <f>IF($A2716="","",COUNTIFS(NOVEDADES!$C$4:$C$1503,$A2716))</f>
        <v/>
      </c>
      <c r="O2716" s="27">
        <f>IF($A2716="","",IF(COUNTIFS(NOVEDADES!$C$4:$C$1503,$A2716,NOVEDADES!$M$4:$M$1503,"SÍ")&gt;0,"No","Sí"))</f>
        <v/>
      </c>
      <c r="P2716" s="27">
        <f>IF(OR($A2716="",$K2716=""),"",IF(AND($M2716="Sí",$O2716="Sí"),"OTIF","Falló"))</f>
        <v/>
      </c>
    </row>
    <row r="2717" ht="16" customHeight="1">
      <c r="A2717" s="47" t="n"/>
      <c r="B2717" s="46" t="n"/>
      <c r="C2717" s="49" t="n"/>
      <c r="D2717" s="49" t="n"/>
      <c r="E2717" s="49" t="n"/>
      <c r="F2717" s="49" t="n"/>
      <c r="G2717" s="47" t="n"/>
      <c r="H2717" s="50" t="n"/>
      <c r="I2717" s="51" t="n"/>
      <c r="J2717" s="46" t="n"/>
      <c r="K2717" s="46" t="n"/>
      <c r="L2717" s="23">
        <f>IF(OR($A2717="",$B2717=""),"",IF($K2717&lt;&gt;"",$K2717-$B2717,TODAY()-$B2717))</f>
        <v/>
      </c>
      <c r="M2717" s="27">
        <f>IF(OR($A2717="",$J2717=""),"",IF($K2717="",IF(TODAY()&gt;$J2717,"Atrasado","En ruta"),IF($K2717&lt;=$J2717,"Sí","No")))</f>
        <v/>
      </c>
      <c r="N2717" s="23">
        <f>IF($A2717="","",COUNTIFS(NOVEDADES!$C$4:$C$1503,$A2717))</f>
        <v/>
      </c>
      <c r="O2717" s="27">
        <f>IF($A2717="","",IF(COUNTIFS(NOVEDADES!$C$4:$C$1503,$A2717,NOVEDADES!$M$4:$M$1503,"SÍ")&gt;0,"No","Sí"))</f>
        <v/>
      </c>
      <c r="P2717" s="27">
        <f>IF(OR($A2717="",$K2717=""),"",IF(AND($M2717="Sí",$O2717="Sí"),"OTIF","Falló"))</f>
        <v/>
      </c>
    </row>
    <row r="2718" ht="16" customHeight="1">
      <c r="A2718" s="47" t="n"/>
      <c r="B2718" s="46" t="n"/>
      <c r="C2718" s="49" t="n"/>
      <c r="D2718" s="49" t="n"/>
      <c r="E2718" s="49" t="n"/>
      <c r="F2718" s="49" t="n"/>
      <c r="G2718" s="47" t="n"/>
      <c r="H2718" s="50" t="n"/>
      <c r="I2718" s="51" t="n"/>
      <c r="J2718" s="46" t="n"/>
      <c r="K2718" s="46" t="n"/>
      <c r="L2718" s="23">
        <f>IF(OR($A2718="",$B2718=""),"",IF($K2718&lt;&gt;"",$K2718-$B2718,TODAY()-$B2718))</f>
        <v/>
      </c>
      <c r="M2718" s="27">
        <f>IF(OR($A2718="",$J2718=""),"",IF($K2718="",IF(TODAY()&gt;$J2718,"Atrasado","En ruta"),IF($K2718&lt;=$J2718,"Sí","No")))</f>
        <v/>
      </c>
      <c r="N2718" s="23">
        <f>IF($A2718="","",COUNTIFS(NOVEDADES!$C$4:$C$1503,$A2718))</f>
        <v/>
      </c>
      <c r="O2718" s="27">
        <f>IF($A2718="","",IF(COUNTIFS(NOVEDADES!$C$4:$C$1503,$A2718,NOVEDADES!$M$4:$M$1503,"SÍ")&gt;0,"No","Sí"))</f>
        <v/>
      </c>
      <c r="P2718" s="27">
        <f>IF(OR($A2718="",$K2718=""),"",IF(AND($M2718="Sí",$O2718="Sí"),"OTIF","Falló"))</f>
        <v/>
      </c>
    </row>
    <row r="2719" ht="16" customHeight="1">
      <c r="A2719" s="47" t="n"/>
      <c r="B2719" s="46" t="n"/>
      <c r="C2719" s="49" t="n"/>
      <c r="D2719" s="49" t="n"/>
      <c r="E2719" s="49" t="n"/>
      <c r="F2719" s="49" t="n"/>
      <c r="G2719" s="47" t="n"/>
      <c r="H2719" s="50" t="n"/>
      <c r="I2719" s="51" t="n"/>
      <c r="J2719" s="46" t="n"/>
      <c r="K2719" s="46" t="n"/>
      <c r="L2719" s="23">
        <f>IF(OR($A2719="",$B2719=""),"",IF($K2719&lt;&gt;"",$K2719-$B2719,TODAY()-$B2719))</f>
        <v/>
      </c>
      <c r="M2719" s="27">
        <f>IF(OR($A2719="",$J2719=""),"",IF($K2719="",IF(TODAY()&gt;$J2719,"Atrasado","En ruta"),IF($K2719&lt;=$J2719,"Sí","No")))</f>
        <v/>
      </c>
      <c r="N2719" s="23">
        <f>IF($A2719="","",COUNTIFS(NOVEDADES!$C$4:$C$1503,$A2719))</f>
        <v/>
      </c>
      <c r="O2719" s="27">
        <f>IF($A2719="","",IF(COUNTIFS(NOVEDADES!$C$4:$C$1503,$A2719,NOVEDADES!$M$4:$M$1503,"SÍ")&gt;0,"No","Sí"))</f>
        <v/>
      </c>
      <c r="P2719" s="27">
        <f>IF(OR($A2719="",$K2719=""),"",IF(AND($M2719="Sí",$O2719="Sí"),"OTIF","Falló"))</f>
        <v/>
      </c>
    </row>
    <row r="2720" ht="16" customHeight="1">
      <c r="A2720" s="47" t="n"/>
      <c r="B2720" s="46" t="n"/>
      <c r="C2720" s="49" t="n"/>
      <c r="D2720" s="49" t="n"/>
      <c r="E2720" s="49" t="n"/>
      <c r="F2720" s="49" t="n"/>
      <c r="G2720" s="47" t="n"/>
      <c r="H2720" s="50" t="n"/>
      <c r="I2720" s="51" t="n"/>
      <c r="J2720" s="46" t="n"/>
      <c r="K2720" s="46" t="n"/>
      <c r="L2720" s="23">
        <f>IF(OR($A2720="",$B2720=""),"",IF($K2720&lt;&gt;"",$K2720-$B2720,TODAY()-$B2720))</f>
        <v/>
      </c>
      <c r="M2720" s="27">
        <f>IF(OR($A2720="",$J2720=""),"",IF($K2720="",IF(TODAY()&gt;$J2720,"Atrasado","En ruta"),IF($K2720&lt;=$J2720,"Sí","No")))</f>
        <v/>
      </c>
      <c r="N2720" s="23">
        <f>IF($A2720="","",COUNTIFS(NOVEDADES!$C$4:$C$1503,$A2720))</f>
        <v/>
      </c>
      <c r="O2720" s="27">
        <f>IF($A2720="","",IF(COUNTIFS(NOVEDADES!$C$4:$C$1503,$A2720,NOVEDADES!$M$4:$M$1503,"SÍ")&gt;0,"No","Sí"))</f>
        <v/>
      </c>
      <c r="P2720" s="27">
        <f>IF(OR($A2720="",$K2720=""),"",IF(AND($M2720="Sí",$O2720="Sí"),"OTIF","Falló"))</f>
        <v/>
      </c>
    </row>
    <row r="2721" ht="16" customHeight="1">
      <c r="A2721" s="47" t="n"/>
      <c r="B2721" s="46" t="n"/>
      <c r="C2721" s="49" t="n"/>
      <c r="D2721" s="49" t="n"/>
      <c r="E2721" s="49" t="n"/>
      <c r="F2721" s="49" t="n"/>
      <c r="G2721" s="47" t="n"/>
      <c r="H2721" s="50" t="n"/>
      <c r="I2721" s="51" t="n"/>
      <c r="J2721" s="46" t="n"/>
      <c r="K2721" s="46" t="n"/>
      <c r="L2721" s="23">
        <f>IF(OR($A2721="",$B2721=""),"",IF($K2721&lt;&gt;"",$K2721-$B2721,TODAY()-$B2721))</f>
        <v/>
      </c>
      <c r="M2721" s="27">
        <f>IF(OR($A2721="",$J2721=""),"",IF($K2721="",IF(TODAY()&gt;$J2721,"Atrasado","En ruta"),IF($K2721&lt;=$J2721,"Sí","No")))</f>
        <v/>
      </c>
      <c r="N2721" s="23">
        <f>IF($A2721="","",COUNTIFS(NOVEDADES!$C$4:$C$1503,$A2721))</f>
        <v/>
      </c>
      <c r="O2721" s="27">
        <f>IF($A2721="","",IF(COUNTIFS(NOVEDADES!$C$4:$C$1503,$A2721,NOVEDADES!$M$4:$M$1503,"SÍ")&gt;0,"No","Sí"))</f>
        <v/>
      </c>
      <c r="P2721" s="27">
        <f>IF(OR($A2721="",$K2721=""),"",IF(AND($M2721="Sí",$O2721="Sí"),"OTIF","Falló"))</f>
        <v/>
      </c>
    </row>
    <row r="2722" ht="16" customHeight="1">
      <c r="A2722" s="47" t="n"/>
      <c r="B2722" s="46" t="n"/>
      <c r="C2722" s="49" t="n"/>
      <c r="D2722" s="49" t="n"/>
      <c r="E2722" s="49" t="n"/>
      <c r="F2722" s="49" t="n"/>
      <c r="G2722" s="47" t="n"/>
      <c r="H2722" s="50" t="n"/>
      <c r="I2722" s="51" t="n"/>
      <c r="J2722" s="46" t="n"/>
      <c r="K2722" s="46" t="n"/>
      <c r="L2722" s="23">
        <f>IF(OR($A2722="",$B2722=""),"",IF($K2722&lt;&gt;"",$K2722-$B2722,TODAY()-$B2722))</f>
        <v/>
      </c>
      <c r="M2722" s="27">
        <f>IF(OR($A2722="",$J2722=""),"",IF($K2722="",IF(TODAY()&gt;$J2722,"Atrasado","En ruta"),IF($K2722&lt;=$J2722,"Sí","No")))</f>
        <v/>
      </c>
      <c r="N2722" s="23">
        <f>IF($A2722="","",COUNTIFS(NOVEDADES!$C$4:$C$1503,$A2722))</f>
        <v/>
      </c>
      <c r="O2722" s="27">
        <f>IF($A2722="","",IF(COUNTIFS(NOVEDADES!$C$4:$C$1503,$A2722,NOVEDADES!$M$4:$M$1503,"SÍ")&gt;0,"No","Sí"))</f>
        <v/>
      </c>
      <c r="P2722" s="27">
        <f>IF(OR($A2722="",$K2722=""),"",IF(AND($M2722="Sí",$O2722="Sí"),"OTIF","Falló"))</f>
        <v/>
      </c>
    </row>
    <row r="2723" ht="16" customHeight="1">
      <c r="A2723" s="47" t="n"/>
      <c r="B2723" s="46" t="n"/>
      <c r="C2723" s="49" t="n"/>
      <c r="D2723" s="49" t="n"/>
      <c r="E2723" s="49" t="n"/>
      <c r="F2723" s="49" t="n"/>
      <c r="G2723" s="47" t="n"/>
      <c r="H2723" s="50" t="n"/>
      <c r="I2723" s="51" t="n"/>
      <c r="J2723" s="46" t="n"/>
      <c r="K2723" s="46" t="n"/>
      <c r="L2723" s="23">
        <f>IF(OR($A2723="",$B2723=""),"",IF($K2723&lt;&gt;"",$K2723-$B2723,TODAY()-$B2723))</f>
        <v/>
      </c>
      <c r="M2723" s="27">
        <f>IF(OR($A2723="",$J2723=""),"",IF($K2723="",IF(TODAY()&gt;$J2723,"Atrasado","En ruta"),IF($K2723&lt;=$J2723,"Sí","No")))</f>
        <v/>
      </c>
      <c r="N2723" s="23">
        <f>IF($A2723="","",COUNTIFS(NOVEDADES!$C$4:$C$1503,$A2723))</f>
        <v/>
      </c>
      <c r="O2723" s="27">
        <f>IF($A2723="","",IF(COUNTIFS(NOVEDADES!$C$4:$C$1503,$A2723,NOVEDADES!$M$4:$M$1503,"SÍ")&gt;0,"No","Sí"))</f>
        <v/>
      </c>
      <c r="P2723" s="27">
        <f>IF(OR($A2723="",$K2723=""),"",IF(AND($M2723="Sí",$O2723="Sí"),"OTIF","Falló"))</f>
        <v/>
      </c>
    </row>
    <row r="2724" ht="16" customHeight="1">
      <c r="A2724" s="47" t="n"/>
      <c r="B2724" s="46" t="n"/>
      <c r="C2724" s="49" t="n"/>
      <c r="D2724" s="49" t="n"/>
      <c r="E2724" s="49" t="n"/>
      <c r="F2724" s="49" t="n"/>
      <c r="G2724" s="47" t="n"/>
      <c r="H2724" s="50" t="n"/>
      <c r="I2724" s="51" t="n"/>
      <c r="J2724" s="46" t="n"/>
      <c r="K2724" s="46" t="n"/>
      <c r="L2724" s="23">
        <f>IF(OR($A2724="",$B2724=""),"",IF($K2724&lt;&gt;"",$K2724-$B2724,TODAY()-$B2724))</f>
        <v/>
      </c>
      <c r="M2724" s="27">
        <f>IF(OR($A2724="",$J2724=""),"",IF($K2724="",IF(TODAY()&gt;$J2724,"Atrasado","En ruta"),IF($K2724&lt;=$J2724,"Sí","No")))</f>
        <v/>
      </c>
      <c r="N2724" s="23">
        <f>IF($A2724="","",COUNTIFS(NOVEDADES!$C$4:$C$1503,$A2724))</f>
        <v/>
      </c>
      <c r="O2724" s="27">
        <f>IF($A2724="","",IF(COUNTIFS(NOVEDADES!$C$4:$C$1503,$A2724,NOVEDADES!$M$4:$M$1503,"SÍ")&gt;0,"No","Sí"))</f>
        <v/>
      </c>
      <c r="P2724" s="27">
        <f>IF(OR($A2724="",$K2724=""),"",IF(AND($M2724="Sí",$O2724="Sí"),"OTIF","Falló"))</f>
        <v/>
      </c>
    </row>
    <row r="2725" ht="16" customHeight="1">
      <c r="A2725" s="47" t="n"/>
      <c r="B2725" s="46" t="n"/>
      <c r="C2725" s="49" t="n"/>
      <c r="D2725" s="49" t="n"/>
      <c r="E2725" s="49" t="n"/>
      <c r="F2725" s="49" t="n"/>
      <c r="G2725" s="47" t="n"/>
      <c r="H2725" s="50" t="n"/>
      <c r="I2725" s="51" t="n"/>
      <c r="J2725" s="46" t="n"/>
      <c r="K2725" s="46" t="n"/>
      <c r="L2725" s="23">
        <f>IF(OR($A2725="",$B2725=""),"",IF($K2725&lt;&gt;"",$K2725-$B2725,TODAY()-$B2725))</f>
        <v/>
      </c>
      <c r="M2725" s="27">
        <f>IF(OR($A2725="",$J2725=""),"",IF($K2725="",IF(TODAY()&gt;$J2725,"Atrasado","En ruta"),IF($K2725&lt;=$J2725,"Sí","No")))</f>
        <v/>
      </c>
      <c r="N2725" s="23">
        <f>IF($A2725="","",COUNTIFS(NOVEDADES!$C$4:$C$1503,$A2725))</f>
        <v/>
      </c>
      <c r="O2725" s="27">
        <f>IF($A2725="","",IF(COUNTIFS(NOVEDADES!$C$4:$C$1503,$A2725,NOVEDADES!$M$4:$M$1503,"SÍ")&gt;0,"No","Sí"))</f>
        <v/>
      </c>
      <c r="P2725" s="27">
        <f>IF(OR($A2725="",$K2725=""),"",IF(AND($M2725="Sí",$O2725="Sí"),"OTIF","Falló"))</f>
        <v/>
      </c>
    </row>
    <row r="2726" ht="16" customHeight="1">
      <c r="A2726" s="47" t="n"/>
      <c r="B2726" s="46" t="n"/>
      <c r="C2726" s="49" t="n"/>
      <c r="D2726" s="49" t="n"/>
      <c r="E2726" s="49" t="n"/>
      <c r="F2726" s="49" t="n"/>
      <c r="G2726" s="47" t="n"/>
      <c r="H2726" s="50" t="n"/>
      <c r="I2726" s="51" t="n"/>
      <c r="J2726" s="46" t="n"/>
      <c r="K2726" s="46" t="n"/>
      <c r="L2726" s="23">
        <f>IF(OR($A2726="",$B2726=""),"",IF($K2726&lt;&gt;"",$K2726-$B2726,TODAY()-$B2726))</f>
        <v/>
      </c>
      <c r="M2726" s="27">
        <f>IF(OR($A2726="",$J2726=""),"",IF($K2726="",IF(TODAY()&gt;$J2726,"Atrasado","En ruta"),IF($K2726&lt;=$J2726,"Sí","No")))</f>
        <v/>
      </c>
      <c r="N2726" s="23">
        <f>IF($A2726="","",COUNTIFS(NOVEDADES!$C$4:$C$1503,$A2726))</f>
        <v/>
      </c>
      <c r="O2726" s="27">
        <f>IF($A2726="","",IF(COUNTIFS(NOVEDADES!$C$4:$C$1503,$A2726,NOVEDADES!$M$4:$M$1503,"SÍ")&gt;0,"No","Sí"))</f>
        <v/>
      </c>
      <c r="P2726" s="27">
        <f>IF(OR($A2726="",$K2726=""),"",IF(AND($M2726="Sí",$O2726="Sí"),"OTIF","Falló"))</f>
        <v/>
      </c>
    </row>
    <row r="2727" ht="16" customHeight="1">
      <c r="A2727" s="47" t="n"/>
      <c r="B2727" s="46" t="n"/>
      <c r="C2727" s="49" t="n"/>
      <c r="D2727" s="49" t="n"/>
      <c r="E2727" s="49" t="n"/>
      <c r="F2727" s="49" t="n"/>
      <c r="G2727" s="47" t="n"/>
      <c r="H2727" s="50" t="n"/>
      <c r="I2727" s="51" t="n"/>
      <c r="J2727" s="46" t="n"/>
      <c r="K2727" s="46" t="n"/>
      <c r="L2727" s="23">
        <f>IF(OR($A2727="",$B2727=""),"",IF($K2727&lt;&gt;"",$K2727-$B2727,TODAY()-$B2727))</f>
        <v/>
      </c>
      <c r="M2727" s="27">
        <f>IF(OR($A2727="",$J2727=""),"",IF($K2727="",IF(TODAY()&gt;$J2727,"Atrasado","En ruta"),IF($K2727&lt;=$J2727,"Sí","No")))</f>
        <v/>
      </c>
      <c r="N2727" s="23">
        <f>IF($A2727="","",COUNTIFS(NOVEDADES!$C$4:$C$1503,$A2727))</f>
        <v/>
      </c>
      <c r="O2727" s="27">
        <f>IF($A2727="","",IF(COUNTIFS(NOVEDADES!$C$4:$C$1503,$A2727,NOVEDADES!$M$4:$M$1503,"SÍ")&gt;0,"No","Sí"))</f>
        <v/>
      </c>
      <c r="P2727" s="27">
        <f>IF(OR($A2727="",$K2727=""),"",IF(AND($M2727="Sí",$O2727="Sí"),"OTIF","Falló"))</f>
        <v/>
      </c>
    </row>
    <row r="2728" ht="16" customHeight="1">
      <c r="A2728" s="47" t="n"/>
      <c r="B2728" s="46" t="n"/>
      <c r="C2728" s="49" t="n"/>
      <c r="D2728" s="49" t="n"/>
      <c r="E2728" s="49" t="n"/>
      <c r="F2728" s="49" t="n"/>
      <c r="G2728" s="47" t="n"/>
      <c r="H2728" s="50" t="n"/>
      <c r="I2728" s="51" t="n"/>
      <c r="J2728" s="46" t="n"/>
      <c r="K2728" s="46" t="n"/>
      <c r="L2728" s="23">
        <f>IF(OR($A2728="",$B2728=""),"",IF($K2728&lt;&gt;"",$K2728-$B2728,TODAY()-$B2728))</f>
        <v/>
      </c>
      <c r="M2728" s="27">
        <f>IF(OR($A2728="",$J2728=""),"",IF($K2728="",IF(TODAY()&gt;$J2728,"Atrasado","En ruta"),IF($K2728&lt;=$J2728,"Sí","No")))</f>
        <v/>
      </c>
      <c r="N2728" s="23">
        <f>IF($A2728="","",COUNTIFS(NOVEDADES!$C$4:$C$1503,$A2728))</f>
        <v/>
      </c>
      <c r="O2728" s="27">
        <f>IF($A2728="","",IF(COUNTIFS(NOVEDADES!$C$4:$C$1503,$A2728,NOVEDADES!$M$4:$M$1503,"SÍ")&gt;0,"No","Sí"))</f>
        <v/>
      </c>
      <c r="P2728" s="27">
        <f>IF(OR($A2728="",$K2728=""),"",IF(AND($M2728="Sí",$O2728="Sí"),"OTIF","Falló"))</f>
        <v/>
      </c>
    </row>
    <row r="2729" ht="16" customHeight="1">
      <c r="A2729" s="47" t="n"/>
      <c r="B2729" s="46" t="n"/>
      <c r="C2729" s="49" t="n"/>
      <c r="D2729" s="49" t="n"/>
      <c r="E2729" s="49" t="n"/>
      <c r="F2729" s="49" t="n"/>
      <c r="G2729" s="47" t="n"/>
      <c r="H2729" s="50" t="n"/>
      <c r="I2729" s="51" t="n"/>
      <c r="J2729" s="46" t="n"/>
      <c r="K2729" s="46" t="n"/>
      <c r="L2729" s="23">
        <f>IF(OR($A2729="",$B2729=""),"",IF($K2729&lt;&gt;"",$K2729-$B2729,TODAY()-$B2729))</f>
        <v/>
      </c>
      <c r="M2729" s="27">
        <f>IF(OR($A2729="",$J2729=""),"",IF($K2729="",IF(TODAY()&gt;$J2729,"Atrasado","En ruta"),IF($K2729&lt;=$J2729,"Sí","No")))</f>
        <v/>
      </c>
      <c r="N2729" s="23">
        <f>IF($A2729="","",COUNTIFS(NOVEDADES!$C$4:$C$1503,$A2729))</f>
        <v/>
      </c>
      <c r="O2729" s="27">
        <f>IF($A2729="","",IF(COUNTIFS(NOVEDADES!$C$4:$C$1503,$A2729,NOVEDADES!$M$4:$M$1503,"SÍ")&gt;0,"No","Sí"))</f>
        <v/>
      </c>
      <c r="P2729" s="27">
        <f>IF(OR($A2729="",$K2729=""),"",IF(AND($M2729="Sí",$O2729="Sí"),"OTIF","Falló"))</f>
        <v/>
      </c>
    </row>
    <row r="2730" ht="16" customHeight="1">
      <c r="A2730" s="47" t="n"/>
      <c r="B2730" s="46" t="n"/>
      <c r="C2730" s="49" t="n"/>
      <c r="D2730" s="49" t="n"/>
      <c r="E2730" s="49" t="n"/>
      <c r="F2730" s="49" t="n"/>
      <c r="G2730" s="47" t="n"/>
      <c r="H2730" s="50" t="n"/>
      <c r="I2730" s="51" t="n"/>
      <c r="J2730" s="46" t="n"/>
      <c r="K2730" s="46" t="n"/>
      <c r="L2730" s="23">
        <f>IF(OR($A2730="",$B2730=""),"",IF($K2730&lt;&gt;"",$K2730-$B2730,TODAY()-$B2730))</f>
        <v/>
      </c>
      <c r="M2730" s="27">
        <f>IF(OR($A2730="",$J2730=""),"",IF($K2730="",IF(TODAY()&gt;$J2730,"Atrasado","En ruta"),IF($K2730&lt;=$J2730,"Sí","No")))</f>
        <v/>
      </c>
      <c r="N2730" s="23">
        <f>IF($A2730="","",COUNTIFS(NOVEDADES!$C$4:$C$1503,$A2730))</f>
        <v/>
      </c>
      <c r="O2730" s="27">
        <f>IF($A2730="","",IF(COUNTIFS(NOVEDADES!$C$4:$C$1503,$A2730,NOVEDADES!$M$4:$M$1503,"SÍ")&gt;0,"No","Sí"))</f>
        <v/>
      </c>
      <c r="P2730" s="27">
        <f>IF(OR($A2730="",$K2730=""),"",IF(AND($M2730="Sí",$O2730="Sí"),"OTIF","Falló"))</f>
        <v/>
      </c>
    </row>
    <row r="2731" ht="16" customHeight="1">
      <c r="A2731" s="47" t="n"/>
      <c r="B2731" s="46" t="n"/>
      <c r="C2731" s="49" t="n"/>
      <c r="D2731" s="49" t="n"/>
      <c r="E2731" s="49" t="n"/>
      <c r="F2731" s="49" t="n"/>
      <c r="G2731" s="47" t="n"/>
      <c r="H2731" s="50" t="n"/>
      <c r="I2731" s="51" t="n"/>
      <c r="J2731" s="46" t="n"/>
      <c r="K2731" s="46" t="n"/>
      <c r="L2731" s="23">
        <f>IF(OR($A2731="",$B2731=""),"",IF($K2731&lt;&gt;"",$K2731-$B2731,TODAY()-$B2731))</f>
        <v/>
      </c>
      <c r="M2731" s="27">
        <f>IF(OR($A2731="",$J2731=""),"",IF($K2731="",IF(TODAY()&gt;$J2731,"Atrasado","En ruta"),IF($K2731&lt;=$J2731,"Sí","No")))</f>
        <v/>
      </c>
      <c r="N2731" s="23">
        <f>IF($A2731="","",COUNTIFS(NOVEDADES!$C$4:$C$1503,$A2731))</f>
        <v/>
      </c>
      <c r="O2731" s="27">
        <f>IF($A2731="","",IF(COUNTIFS(NOVEDADES!$C$4:$C$1503,$A2731,NOVEDADES!$M$4:$M$1503,"SÍ")&gt;0,"No","Sí"))</f>
        <v/>
      </c>
      <c r="P2731" s="27">
        <f>IF(OR($A2731="",$K2731=""),"",IF(AND($M2731="Sí",$O2731="Sí"),"OTIF","Falló"))</f>
        <v/>
      </c>
    </row>
    <row r="2732" ht="16" customHeight="1">
      <c r="A2732" s="47" t="n"/>
      <c r="B2732" s="46" t="n"/>
      <c r="C2732" s="49" t="n"/>
      <c r="D2732" s="49" t="n"/>
      <c r="E2732" s="49" t="n"/>
      <c r="F2732" s="49" t="n"/>
      <c r="G2732" s="47" t="n"/>
      <c r="H2732" s="50" t="n"/>
      <c r="I2732" s="51" t="n"/>
      <c r="J2732" s="46" t="n"/>
      <c r="K2732" s="46" t="n"/>
      <c r="L2732" s="23">
        <f>IF(OR($A2732="",$B2732=""),"",IF($K2732&lt;&gt;"",$K2732-$B2732,TODAY()-$B2732))</f>
        <v/>
      </c>
      <c r="M2732" s="27">
        <f>IF(OR($A2732="",$J2732=""),"",IF($K2732="",IF(TODAY()&gt;$J2732,"Atrasado","En ruta"),IF($K2732&lt;=$J2732,"Sí","No")))</f>
        <v/>
      </c>
      <c r="N2732" s="23">
        <f>IF($A2732="","",COUNTIFS(NOVEDADES!$C$4:$C$1503,$A2732))</f>
        <v/>
      </c>
      <c r="O2732" s="27">
        <f>IF($A2732="","",IF(COUNTIFS(NOVEDADES!$C$4:$C$1503,$A2732,NOVEDADES!$M$4:$M$1503,"SÍ")&gt;0,"No","Sí"))</f>
        <v/>
      </c>
      <c r="P2732" s="27">
        <f>IF(OR($A2732="",$K2732=""),"",IF(AND($M2732="Sí",$O2732="Sí"),"OTIF","Falló"))</f>
        <v/>
      </c>
    </row>
    <row r="2733" ht="16" customHeight="1">
      <c r="A2733" s="47" t="n"/>
      <c r="B2733" s="46" t="n"/>
      <c r="C2733" s="49" t="n"/>
      <c r="D2733" s="49" t="n"/>
      <c r="E2733" s="49" t="n"/>
      <c r="F2733" s="49" t="n"/>
      <c r="G2733" s="47" t="n"/>
      <c r="H2733" s="50" t="n"/>
      <c r="I2733" s="51" t="n"/>
      <c r="J2733" s="46" t="n"/>
      <c r="K2733" s="46" t="n"/>
      <c r="L2733" s="23">
        <f>IF(OR($A2733="",$B2733=""),"",IF($K2733&lt;&gt;"",$K2733-$B2733,TODAY()-$B2733))</f>
        <v/>
      </c>
      <c r="M2733" s="27">
        <f>IF(OR($A2733="",$J2733=""),"",IF($K2733="",IF(TODAY()&gt;$J2733,"Atrasado","En ruta"),IF($K2733&lt;=$J2733,"Sí","No")))</f>
        <v/>
      </c>
      <c r="N2733" s="23">
        <f>IF($A2733="","",COUNTIFS(NOVEDADES!$C$4:$C$1503,$A2733))</f>
        <v/>
      </c>
      <c r="O2733" s="27">
        <f>IF($A2733="","",IF(COUNTIFS(NOVEDADES!$C$4:$C$1503,$A2733,NOVEDADES!$M$4:$M$1503,"SÍ")&gt;0,"No","Sí"))</f>
        <v/>
      </c>
      <c r="P2733" s="27">
        <f>IF(OR($A2733="",$K2733=""),"",IF(AND($M2733="Sí",$O2733="Sí"),"OTIF","Falló"))</f>
        <v/>
      </c>
    </row>
    <row r="2734" ht="16" customHeight="1">
      <c r="A2734" s="47" t="n"/>
      <c r="B2734" s="46" t="n"/>
      <c r="C2734" s="49" t="n"/>
      <c r="D2734" s="49" t="n"/>
      <c r="E2734" s="49" t="n"/>
      <c r="F2734" s="49" t="n"/>
      <c r="G2734" s="47" t="n"/>
      <c r="H2734" s="50" t="n"/>
      <c r="I2734" s="51" t="n"/>
      <c r="J2734" s="46" t="n"/>
      <c r="K2734" s="46" t="n"/>
      <c r="L2734" s="23">
        <f>IF(OR($A2734="",$B2734=""),"",IF($K2734&lt;&gt;"",$K2734-$B2734,TODAY()-$B2734))</f>
        <v/>
      </c>
      <c r="M2734" s="27">
        <f>IF(OR($A2734="",$J2734=""),"",IF($K2734="",IF(TODAY()&gt;$J2734,"Atrasado","En ruta"),IF($K2734&lt;=$J2734,"Sí","No")))</f>
        <v/>
      </c>
      <c r="N2734" s="23">
        <f>IF($A2734="","",COUNTIFS(NOVEDADES!$C$4:$C$1503,$A2734))</f>
        <v/>
      </c>
      <c r="O2734" s="27">
        <f>IF($A2734="","",IF(COUNTIFS(NOVEDADES!$C$4:$C$1503,$A2734,NOVEDADES!$M$4:$M$1503,"SÍ")&gt;0,"No","Sí"))</f>
        <v/>
      </c>
      <c r="P2734" s="27">
        <f>IF(OR($A2734="",$K2734=""),"",IF(AND($M2734="Sí",$O2734="Sí"),"OTIF","Falló"))</f>
        <v/>
      </c>
    </row>
    <row r="2735" ht="16" customHeight="1">
      <c r="A2735" s="47" t="n"/>
      <c r="B2735" s="46" t="n"/>
      <c r="C2735" s="49" t="n"/>
      <c r="D2735" s="49" t="n"/>
      <c r="E2735" s="49" t="n"/>
      <c r="F2735" s="49" t="n"/>
      <c r="G2735" s="47" t="n"/>
      <c r="H2735" s="50" t="n"/>
      <c r="I2735" s="51" t="n"/>
      <c r="J2735" s="46" t="n"/>
      <c r="K2735" s="46" t="n"/>
      <c r="L2735" s="23">
        <f>IF(OR($A2735="",$B2735=""),"",IF($K2735&lt;&gt;"",$K2735-$B2735,TODAY()-$B2735))</f>
        <v/>
      </c>
      <c r="M2735" s="27">
        <f>IF(OR($A2735="",$J2735=""),"",IF($K2735="",IF(TODAY()&gt;$J2735,"Atrasado","En ruta"),IF($K2735&lt;=$J2735,"Sí","No")))</f>
        <v/>
      </c>
      <c r="N2735" s="23">
        <f>IF($A2735="","",COUNTIFS(NOVEDADES!$C$4:$C$1503,$A2735))</f>
        <v/>
      </c>
      <c r="O2735" s="27">
        <f>IF($A2735="","",IF(COUNTIFS(NOVEDADES!$C$4:$C$1503,$A2735,NOVEDADES!$M$4:$M$1503,"SÍ")&gt;0,"No","Sí"))</f>
        <v/>
      </c>
      <c r="P2735" s="27">
        <f>IF(OR($A2735="",$K2735=""),"",IF(AND($M2735="Sí",$O2735="Sí"),"OTIF","Falló"))</f>
        <v/>
      </c>
    </row>
    <row r="2736" ht="16" customHeight="1">
      <c r="A2736" s="47" t="n"/>
      <c r="B2736" s="46" t="n"/>
      <c r="C2736" s="49" t="n"/>
      <c r="D2736" s="49" t="n"/>
      <c r="E2736" s="49" t="n"/>
      <c r="F2736" s="49" t="n"/>
      <c r="G2736" s="47" t="n"/>
      <c r="H2736" s="50" t="n"/>
      <c r="I2736" s="51" t="n"/>
      <c r="J2736" s="46" t="n"/>
      <c r="K2736" s="46" t="n"/>
      <c r="L2736" s="23">
        <f>IF(OR($A2736="",$B2736=""),"",IF($K2736&lt;&gt;"",$K2736-$B2736,TODAY()-$B2736))</f>
        <v/>
      </c>
      <c r="M2736" s="27">
        <f>IF(OR($A2736="",$J2736=""),"",IF($K2736="",IF(TODAY()&gt;$J2736,"Atrasado","En ruta"),IF($K2736&lt;=$J2736,"Sí","No")))</f>
        <v/>
      </c>
      <c r="N2736" s="23">
        <f>IF($A2736="","",COUNTIFS(NOVEDADES!$C$4:$C$1503,$A2736))</f>
        <v/>
      </c>
      <c r="O2736" s="27">
        <f>IF($A2736="","",IF(COUNTIFS(NOVEDADES!$C$4:$C$1503,$A2736,NOVEDADES!$M$4:$M$1503,"SÍ")&gt;0,"No","Sí"))</f>
        <v/>
      </c>
      <c r="P2736" s="27">
        <f>IF(OR($A2736="",$K2736=""),"",IF(AND($M2736="Sí",$O2736="Sí"),"OTIF","Falló"))</f>
        <v/>
      </c>
    </row>
    <row r="2737" ht="16" customHeight="1">
      <c r="A2737" s="47" t="n"/>
      <c r="B2737" s="46" t="n"/>
      <c r="C2737" s="49" t="n"/>
      <c r="D2737" s="49" t="n"/>
      <c r="E2737" s="49" t="n"/>
      <c r="F2737" s="49" t="n"/>
      <c r="G2737" s="47" t="n"/>
      <c r="H2737" s="50" t="n"/>
      <c r="I2737" s="51" t="n"/>
      <c r="J2737" s="46" t="n"/>
      <c r="K2737" s="46" t="n"/>
      <c r="L2737" s="23">
        <f>IF(OR($A2737="",$B2737=""),"",IF($K2737&lt;&gt;"",$K2737-$B2737,TODAY()-$B2737))</f>
        <v/>
      </c>
      <c r="M2737" s="27">
        <f>IF(OR($A2737="",$J2737=""),"",IF($K2737="",IF(TODAY()&gt;$J2737,"Atrasado","En ruta"),IF($K2737&lt;=$J2737,"Sí","No")))</f>
        <v/>
      </c>
      <c r="N2737" s="23">
        <f>IF($A2737="","",COUNTIFS(NOVEDADES!$C$4:$C$1503,$A2737))</f>
        <v/>
      </c>
      <c r="O2737" s="27">
        <f>IF($A2737="","",IF(COUNTIFS(NOVEDADES!$C$4:$C$1503,$A2737,NOVEDADES!$M$4:$M$1503,"SÍ")&gt;0,"No","Sí"))</f>
        <v/>
      </c>
      <c r="P2737" s="27">
        <f>IF(OR($A2737="",$K2737=""),"",IF(AND($M2737="Sí",$O2737="Sí"),"OTIF","Falló"))</f>
        <v/>
      </c>
    </row>
    <row r="2738" ht="16" customHeight="1">
      <c r="A2738" s="47" t="n"/>
      <c r="B2738" s="46" t="n"/>
      <c r="C2738" s="49" t="n"/>
      <c r="D2738" s="49" t="n"/>
      <c r="E2738" s="49" t="n"/>
      <c r="F2738" s="49" t="n"/>
      <c r="G2738" s="47" t="n"/>
      <c r="H2738" s="50" t="n"/>
      <c r="I2738" s="51" t="n"/>
      <c r="J2738" s="46" t="n"/>
      <c r="K2738" s="46" t="n"/>
      <c r="L2738" s="23">
        <f>IF(OR($A2738="",$B2738=""),"",IF($K2738&lt;&gt;"",$K2738-$B2738,TODAY()-$B2738))</f>
        <v/>
      </c>
      <c r="M2738" s="27">
        <f>IF(OR($A2738="",$J2738=""),"",IF($K2738="",IF(TODAY()&gt;$J2738,"Atrasado","En ruta"),IF($K2738&lt;=$J2738,"Sí","No")))</f>
        <v/>
      </c>
      <c r="N2738" s="23">
        <f>IF($A2738="","",COUNTIFS(NOVEDADES!$C$4:$C$1503,$A2738))</f>
        <v/>
      </c>
      <c r="O2738" s="27">
        <f>IF($A2738="","",IF(COUNTIFS(NOVEDADES!$C$4:$C$1503,$A2738,NOVEDADES!$M$4:$M$1503,"SÍ")&gt;0,"No","Sí"))</f>
        <v/>
      </c>
      <c r="P2738" s="27">
        <f>IF(OR($A2738="",$K2738=""),"",IF(AND($M2738="Sí",$O2738="Sí"),"OTIF","Falló"))</f>
        <v/>
      </c>
    </row>
    <row r="2739" ht="16" customHeight="1">
      <c r="A2739" s="47" t="n"/>
      <c r="B2739" s="46" t="n"/>
      <c r="C2739" s="49" t="n"/>
      <c r="D2739" s="49" t="n"/>
      <c r="E2739" s="49" t="n"/>
      <c r="F2739" s="49" t="n"/>
      <c r="G2739" s="47" t="n"/>
      <c r="H2739" s="50" t="n"/>
      <c r="I2739" s="51" t="n"/>
      <c r="J2739" s="46" t="n"/>
      <c r="K2739" s="46" t="n"/>
      <c r="L2739" s="23">
        <f>IF(OR($A2739="",$B2739=""),"",IF($K2739&lt;&gt;"",$K2739-$B2739,TODAY()-$B2739))</f>
        <v/>
      </c>
      <c r="M2739" s="27">
        <f>IF(OR($A2739="",$J2739=""),"",IF($K2739="",IF(TODAY()&gt;$J2739,"Atrasado","En ruta"),IF($K2739&lt;=$J2739,"Sí","No")))</f>
        <v/>
      </c>
      <c r="N2739" s="23">
        <f>IF($A2739="","",COUNTIFS(NOVEDADES!$C$4:$C$1503,$A2739))</f>
        <v/>
      </c>
      <c r="O2739" s="27">
        <f>IF($A2739="","",IF(COUNTIFS(NOVEDADES!$C$4:$C$1503,$A2739,NOVEDADES!$M$4:$M$1503,"SÍ")&gt;0,"No","Sí"))</f>
        <v/>
      </c>
      <c r="P2739" s="27">
        <f>IF(OR($A2739="",$K2739=""),"",IF(AND($M2739="Sí",$O2739="Sí"),"OTIF","Falló"))</f>
        <v/>
      </c>
    </row>
    <row r="2740" ht="16" customHeight="1">
      <c r="A2740" s="47" t="n"/>
      <c r="B2740" s="46" t="n"/>
      <c r="C2740" s="49" t="n"/>
      <c r="D2740" s="49" t="n"/>
      <c r="E2740" s="49" t="n"/>
      <c r="F2740" s="49" t="n"/>
      <c r="G2740" s="47" t="n"/>
      <c r="H2740" s="50" t="n"/>
      <c r="I2740" s="51" t="n"/>
      <c r="J2740" s="46" t="n"/>
      <c r="K2740" s="46" t="n"/>
      <c r="L2740" s="23">
        <f>IF(OR($A2740="",$B2740=""),"",IF($K2740&lt;&gt;"",$K2740-$B2740,TODAY()-$B2740))</f>
        <v/>
      </c>
      <c r="M2740" s="27">
        <f>IF(OR($A2740="",$J2740=""),"",IF($K2740="",IF(TODAY()&gt;$J2740,"Atrasado","En ruta"),IF($K2740&lt;=$J2740,"Sí","No")))</f>
        <v/>
      </c>
      <c r="N2740" s="23">
        <f>IF($A2740="","",COUNTIFS(NOVEDADES!$C$4:$C$1503,$A2740))</f>
        <v/>
      </c>
      <c r="O2740" s="27">
        <f>IF($A2740="","",IF(COUNTIFS(NOVEDADES!$C$4:$C$1503,$A2740,NOVEDADES!$M$4:$M$1503,"SÍ")&gt;0,"No","Sí"))</f>
        <v/>
      </c>
      <c r="P2740" s="27">
        <f>IF(OR($A2740="",$K2740=""),"",IF(AND($M2740="Sí",$O2740="Sí"),"OTIF","Falló"))</f>
        <v/>
      </c>
    </row>
    <row r="2741" ht="16" customHeight="1">
      <c r="A2741" s="47" t="n"/>
      <c r="B2741" s="46" t="n"/>
      <c r="C2741" s="49" t="n"/>
      <c r="D2741" s="49" t="n"/>
      <c r="E2741" s="49" t="n"/>
      <c r="F2741" s="49" t="n"/>
      <c r="G2741" s="47" t="n"/>
      <c r="H2741" s="50" t="n"/>
      <c r="I2741" s="51" t="n"/>
      <c r="J2741" s="46" t="n"/>
      <c r="K2741" s="46" t="n"/>
      <c r="L2741" s="23">
        <f>IF(OR($A2741="",$B2741=""),"",IF($K2741&lt;&gt;"",$K2741-$B2741,TODAY()-$B2741))</f>
        <v/>
      </c>
      <c r="M2741" s="27">
        <f>IF(OR($A2741="",$J2741=""),"",IF($K2741="",IF(TODAY()&gt;$J2741,"Atrasado","En ruta"),IF($K2741&lt;=$J2741,"Sí","No")))</f>
        <v/>
      </c>
      <c r="N2741" s="23">
        <f>IF($A2741="","",COUNTIFS(NOVEDADES!$C$4:$C$1503,$A2741))</f>
        <v/>
      </c>
      <c r="O2741" s="27">
        <f>IF($A2741="","",IF(COUNTIFS(NOVEDADES!$C$4:$C$1503,$A2741,NOVEDADES!$M$4:$M$1503,"SÍ")&gt;0,"No","Sí"))</f>
        <v/>
      </c>
      <c r="P2741" s="27">
        <f>IF(OR($A2741="",$K2741=""),"",IF(AND($M2741="Sí",$O2741="Sí"),"OTIF","Falló"))</f>
        <v/>
      </c>
    </row>
    <row r="2742" ht="16" customHeight="1">
      <c r="A2742" s="47" t="n"/>
      <c r="B2742" s="46" t="n"/>
      <c r="C2742" s="49" t="n"/>
      <c r="D2742" s="49" t="n"/>
      <c r="E2742" s="49" t="n"/>
      <c r="F2742" s="49" t="n"/>
      <c r="G2742" s="47" t="n"/>
      <c r="H2742" s="50" t="n"/>
      <c r="I2742" s="51" t="n"/>
      <c r="J2742" s="46" t="n"/>
      <c r="K2742" s="46" t="n"/>
      <c r="L2742" s="23">
        <f>IF(OR($A2742="",$B2742=""),"",IF($K2742&lt;&gt;"",$K2742-$B2742,TODAY()-$B2742))</f>
        <v/>
      </c>
      <c r="M2742" s="27">
        <f>IF(OR($A2742="",$J2742=""),"",IF($K2742="",IF(TODAY()&gt;$J2742,"Atrasado","En ruta"),IF($K2742&lt;=$J2742,"Sí","No")))</f>
        <v/>
      </c>
      <c r="N2742" s="23">
        <f>IF($A2742="","",COUNTIFS(NOVEDADES!$C$4:$C$1503,$A2742))</f>
        <v/>
      </c>
      <c r="O2742" s="27">
        <f>IF($A2742="","",IF(COUNTIFS(NOVEDADES!$C$4:$C$1503,$A2742,NOVEDADES!$M$4:$M$1503,"SÍ")&gt;0,"No","Sí"))</f>
        <v/>
      </c>
      <c r="P2742" s="27">
        <f>IF(OR($A2742="",$K2742=""),"",IF(AND($M2742="Sí",$O2742="Sí"),"OTIF","Falló"))</f>
        <v/>
      </c>
    </row>
    <row r="2743" ht="16" customHeight="1">
      <c r="A2743" s="47" t="n"/>
      <c r="B2743" s="46" t="n"/>
      <c r="C2743" s="49" t="n"/>
      <c r="D2743" s="49" t="n"/>
      <c r="E2743" s="49" t="n"/>
      <c r="F2743" s="49" t="n"/>
      <c r="G2743" s="47" t="n"/>
      <c r="H2743" s="50" t="n"/>
      <c r="I2743" s="51" t="n"/>
      <c r="J2743" s="46" t="n"/>
      <c r="K2743" s="46" t="n"/>
      <c r="L2743" s="23">
        <f>IF(OR($A2743="",$B2743=""),"",IF($K2743&lt;&gt;"",$K2743-$B2743,TODAY()-$B2743))</f>
        <v/>
      </c>
      <c r="M2743" s="27">
        <f>IF(OR($A2743="",$J2743=""),"",IF($K2743="",IF(TODAY()&gt;$J2743,"Atrasado","En ruta"),IF($K2743&lt;=$J2743,"Sí","No")))</f>
        <v/>
      </c>
      <c r="N2743" s="23">
        <f>IF($A2743="","",COUNTIFS(NOVEDADES!$C$4:$C$1503,$A2743))</f>
        <v/>
      </c>
      <c r="O2743" s="27">
        <f>IF($A2743="","",IF(COUNTIFS(NOVEDADES!$C$4:$C$1503,$A2743,NOVEDADES!$M$4:$M$1503,"SÍ")&gt;0,"No","Sí"))</f>
        <v/>
      </c>
      <c r="P2743" s="27">
        <f>IF(OR($A2743="",$K2743=""),"",IF(AND($M2743="Sí",$O2743="Sí"),"OTIF","Falló"))</f>
        <v/>
      </c>
    </row>
    <row r="2744" ht="16" customHeight="1">
      <c r="A2744" s="47" t="n"/>
      <c r="B2744" s="46" t="n"/>
      <c r="C2744" s="49" t="n"/>
      <c r="D2744" s="49" t="n"/>
      <c r="E2744" s="49" t="n"/>
      <c r="F2744" s="49" t="n"/>
      <c r="G2744" s="47" t="n"/>
      <c r="H2744" s="50" t="n"/>
      <c r="I2744" s="51" t="n"/>
      <c r="J2744" s="46" t="n"/>
      <c r="K2744" s="46" t="n"/>
      <c r="L2744" s="23">
        <f>IF(OR($A2744="",$B2744=""),"",IF($K2744&lt;&gt;"",$K2744-$B2744,TODAY()-$B2744))</f>
        <v/>
      </c>
      <c r="M2744" s="27">
        <f>IF(OR($A2744="",$J2744=""),"",IF($K2744="",IF(TODAY()&gt;$J2744,"Atrasado","En ruta"),IF($K2744&lt;=$J2744,"Sí","No")))</f>
        <v/>
      </c>
      <c r="N2744" s="23">
        <f>IF($A2744="","",COUNTIFS(NOVEDADES!$C$4:$C$1503,$A2744))</f>
        <v/>
      </c>
      <c r="O2744" s="27">
        <f>IF($A2744="","",IF(COUNTIFS(NOVEDADES!$C$4:$C$1503,$A2744,NOVEDADES!$M$4:$M$1503,"SÍ")&gt;0,"No","Sí"))</f>
        <v/>
      </c>
      <c r="P2744" s="27">
        <f>IF(OR($A2744="",$K2744=""),"",IF(AND($M2744="Sí",$O2744="Sí"),"OTIF","Falló"))</f>
        <v/>
      </c>
    </row>
    <row r="2745" ht="16" customHeight="1">
      <c r="A2745" s="47" t="n"/>
      <c r="B2745" s="46" t="n"/>
      <c r="C2745" s="49" t="n"/>
      <c r="D2745" s="49" t="n"/>
      <c r="E2745" s="49" t="n"/>
      <c r="F2745" s="49" t="n"/>
      <c r="G2745" s="47" t="n"/>
      <c r="H2745" s="50" t="n"/>
      <c r="I2745" s="51" t="n"/>
      <c r="J2745" s="46" t="n"/>
      <c r="K2745" s="46" t="n"/>
      <c r="L2745" s="23">
        <f>IF(OR($A2745="",$B2745=""),"",IF($K2745&lt;&gt;"",$K2745-$B2745,TODAY()-$B2745))</f>
        <v/>
      </c>
      <c r="M2745" s="27">
        <f>IF(OR($A2745="",$J2745=""),"",IF($K2745="",IF(TODAY()&gt;$J2745,"Atrasado","En ruta"),IF($K2745&lt;=$J2745,"Sí","No")))</f>
        <v/>
      </c>
      <c r="N2745" s="23">
        <f>IF($A2745="","",COUNTIFS(NOVEDADES!$C$4:$C$1503,$A2745))</f>
        <v/>
      </c>
      <c r="O2745" s="27">
        <f>IF($A2745="","",IF(COUNTIFS(NOVEDADES!$C$4:$C$1503,$A2745,NOVEDADES!$M$4:$M$1503,"SÍ")&gt;0,"No","Sí"))</f>
        <v/>
      </c>
      <c r="P2745" s="27">
        <f>IF(OR($A2745="",$K2745=""),"",IF(AND($M2745="Sí",$O2745="Sí"),"OTIF","Falló"))</f>
        <v/>
      </c>
    </row>
    <row r="2746" ht="16" customHeight="1">
      <c r="A2746" s="47" t="n"/>
      <c r="B2746" s="46" t="n"/>
      <c r="C2746" s="49" t="n"/>
      <c r="D2746" s="49" t="n"/>
      <c r="E2746" s="49" t="n"/>
      <c r="F2746" s="49" t="n"/>
      <c r="G2746" s="47" t="n"/>
      <c r="H2746" s="50" t="n"/>
      <c r="I2746" s="51" t="n"/>
      <c r="J2746" s="46" t="n"/>
      <c r="K2746" s="46" t="n"/>
      <c r="L2746" s="23">
        <f>IF(OR($A2746="",$B2746=""),"",IF($K2746&lt;&gt;"",$K2746-$B2746,TODAY()-$B2746))</f>
        <v/>
      </c>
      <c r="M2746" s="27">
        <f>IF(OR($A2746="",$J2746=""),"",IF($K2746="",IF(TODAY()&gt;$J2746,"Atrasado","En ruta"),IF($K2746&lt;=$J2746,"Sí","No")))</f>
        <v/>
      </c>
      <c r="N2746" s="23">
        <f>IF($A2746="","",COUNTIFS(NOVEDADES!$C$4:$C$1503,$A2746))</f>
        <v/>
      </c>
      <c r="O2746" s="27">
        <f>IF($A2746="","",IF(COUNTIFS(NOVEDADES!$C$4:$C$1503,$A2746,NOVEDADES!$M$4:$M$1503,"SÍ")&gt;0,"No","Sí"))</f>
        <v/>
      </c>
      <c r="P2746" s="27">
        <f>IF(OR($A2746="",$K2746=""),"",IF(AND($M2746="Sí",$O2746="Sí"),"OTIF","Falló"))</f>
        <v/>
      </c>
    </row>
    <row r="2747" ht="16" customHeight="1">
      <c r="A2747" s="47" t="n"/>
      <c r="B2747" s="46" t="n"/>
      <c r="C2747" s="49" t="n"/>
      <c r="D2747" s="49" t="n"/>
      <c r="E2747" s="49" t="n"/>
      <c r="F2747" s="49" t="n"/>
      <c r="G2747" s="47" t="n"/>
      <c r="H2747" s="50" t="n"/>
      <c r="I2747" s="51" t="n"/>
      <c r="J2747" s="46" t="n"/>
      <c r="K2747" s="46" t="n"/>
      <c r="L2747" s="23">
        <f>IF(OR($A2747="",$B2747=""),"",IF($K2747&lt;&gt;"",$K2747-$B2747,TODAY()-$B2747))</f>
        <v/>
      </c>
      <c r="M2747" s="27">
        <f>IF(OR($A2747="",$J2747=""),"",IF($K2747="",IF(TODAY()&gt;$J2747,"Atrasado","En ruta"),IF($K2747&lt;=$J2747,"Sí","No")))</f>
        <v/>
      </c>
      <c r="N2747" s="23">
        <f>IF($A2747="","",COUNTIFS(NOVEDADES!$C$4:$C$1503,$A2747))</f>
        <v/>
      </c>
      <c r="O2747" s="27">
        <f>IF($A2747="","",IF(COUNTIFS(NOVEDADES!$C$4:$C$1503,$A2747,NOVEDADES!$M$4:$M$1503,"SÍ")&gt;0,"No","Sí"))</f>
        <v/>
      </c>
      <c r="P2747" s="27">
        <f>IF(OR($A2747="",$K2747=""),"",IF(AND($M2747="Sí",$O2747="Sí"),"OTIF","Falló"))</f>
        <v/>
      </c>
    </row>
    <row r="2748" ht="16" customHeight="1">
      <c r="A2748" s="47" t="n"/>
      <c r="B2748" s="46" t="n"/>
      <c r="C2748" s="49" t="n"/>
      <c r="D2748" s="49" t="n"/>
      <c r="E2748" s="49" t="n"/>
      <c r="F2748" s="49" t="n"/>
      <c r="G2748" s="47" t="n"/>
      <c r="H2748" s="50" t="n"/>
      <c r="I2748" s="51" t="n"/>
      <c r="J2748" s="46" t="n"/>
      <c r="K2748" s="46" t="n"/>
      <c r="L2748" s="23">
        <f>IF(OR($A2748="",$B2748=""),"",IF($K2748&lt;&gt;"",$K2748-$B2748,TODAY()-$B2748))</f>
        <v/>
      </c>
      <c r="M2748" s="27">
        <f>IF(OR($A2748="",$J2748=""),"",IF($K2748="",IF(TODAY()&gt;$J2748,"Atrasado","En ruta"),IF($K2748&lt;=$J2748,"Sí","No")))</f>
        <v/>
      </c>
      <c r="N2748" s="23">
        <f>IF($A2748="","",COUNTIFS(NOVEDADES!$C$4:$C$1503,$A2748))</f>
        <v/>
      </c>
      <c r="O2748" s="27">
        <f>IF($A2748="","",IF(COUNTIFS(NOVEDADES!$C$4:$C$1503,$A2748,NOVEDADES!$M$4:$M$1503,"SÍ")&gt;0,"No","Sí"))</f>
        <v/>
      </c>
      <c r="P2748" s="27">
        <f>IF(OR($A2748="",$K2748=""),"",IF(AND($M2748="Sí",$O2748="Sí"),"OTIF","Falló"))</f>
        <v/>
      </c>
    </row>
    <row r="2749" ht="16" customHeight="1">
      <c r="A2749" s="47" t="n"/>
      <c r="B2749" s="46" t="n"/>
      <c r="C2749" s="49" t="n"/>
      <c r="D2749" s="49" t="n"/>
      <c r="E2749" s="49" t="n"/>
      <c r="F2749" s="49" t="n"/>
      <c r="G2749" s="47" t="n"/>
      <c r="H2749" s="50" t="n"/>
      <c r="I2749" s="51" t="n"/>
      <c r="J2749" s="46" t="n"/>
      <c r="K2749" s="46" t="n"/>
      <c r="L2749" s="23">
        <f>IF(OR($A2749="",$B2749=""),"",IF($K2749&lt;&gt;"",$K2749-$B2749,TODAY()-$B2749))</f>
        <v/>
      </c>
      <c r="M2749" s="27">
        <f>IF(OR($A2749="",$J2749=""),"",IF($K2749="",IF(TODAY()&gt;$J2749,"Atrasado","En ruta"),IF($K2749&lt;=$J2749,"Sí","No")))</f>
        <v/>
      </c>
      <c r="N2749" s="23">
        <f>IF($A2749="","",COUNTIFS(NOVEDADES!$C$4:$C$1503,$A2749))</f>
        <v/>
      </c>
      <c r="O2749" s="27">
        <f>IF($A2749="","",IF(COUNTIFS(NOVEDADES!$C$4:$C$1503,$A2749,NOVEDADES!$M$4:$M$1503,"SÍ")&gt;0,"No","Sí"))</f>
        <v/>
      </c>
      <c r="P2749" s="27">
        <f>IF(OR($A2749="",$K2749=""),"",IF(AND($M2749="Sí",$O2749="Sí"),"OTIF","Falló"))</f>
        <v/>
      </c>
    </row>
    <row r="2750" ht="16" customHeight="1">
      <c r="A2750" s="47" t="n"/>
      <c r="B2750" s="46" t="n"/>
      <c r="C2750" s="49" t="n"/>
      <c r="D2750" s="49" t="n"/>
      <c r="E2750" s="49" t="n"/>
      <c r="F2750" s="49" t="n"/>
      <c r="G2750" s="47" t="n"/>
      <c r="H2750" s="50" t="n"/>
      <c r="I2750" s="51" t="n"/>
      <c r="J2750" s="46" t="n"/>
      <c r="K2750" s="46" t="n"/>
      <c r="L2750" s="23">
        <f>IF(OR($A2750="",$B2750=""),"",IF($K2750&lt;&gt;"",$K2750-$B2750,TODAY()-$B2750))</f>
        <v/>
      </c>
      <c r="M2750" s="27">
        <f>IF(OR($A2750="",$J2750=""),"",IF($K2750="",IF(TODAY()&gt;$J2750,"Atrasado","En ruta"),IF($K2750&lt;=$J2750,"Sí","No")))</f>
        <v/>
      </c>
      <c r="N2750" s="23">
        <f>IF($A2750="","",COUNTIFS(NOVEDADES!$C$4:$C$1503,$A2750))</f>
        <v/>
      </c>
      <c r="O2750" s="27">
        <f>IF($A2750="","",IF(COUNTIFS(NOVEDADES!$C$4:$C$1503,$A2750,NOVEDADES!$M$4:$M$1503,"SÍ")&gt;0,"No","Sí"))</f>
        <v/>
      </c>
      <c r="P2750" s="27">
        <f>IF(OR($A2750="",$K2750=""),"",IF(AND($M2750="Sí",$O2750="Sí"),"OTIF","Falló"))</f>
        <v/>
      </c>
    </row>
    <row r="2751" ht="16" customHeight="1">
      <c r="A2751" s="47" t="n"/>
      <c r="B2751" s="46" t="n"/>
      <c r="C2751" s="49" t="n"/>
      <c r="D2751" s="49" t="n"/>
      <c r="E2751" s="49" t="n"/>
      <c r="F2751" s="49" t="n"/>
      <c r="G2751" s="47" t="n"/>
      <c r="H2751" s="50" t="n"/>
      <c r="I2751" s="51" t="n"/>
      <c r="J2751" s="46" t="n"/>
      <c r="K2751" s="46" t="n"/>
      <c r="L2751" s="23">
        <f>IF(OR($A2751="",$B2751=""),"",IF($K2751&lt;&gt;"",$K2751-$B2751,TODAY()-$B2751))</f>
        <v/>
      </c>
      <c r="M2751" s="27">
        <f>IF(OR($A2751="",$J2751=""),"",IF($K2751="",IF(TODAY()&gt;$J2751,"Atrasado","En ruta"),IF($K2751&lt;=$J2751,"Sí","No")))</f>
        <v/>
      </c>
      <c r="N2751" s="23">
        <f>IF($A2751="","",COUNTIFS(NOVEDADES!$C$4:$C$1503,$A2751))</f>
        <v/>
      </c>
      <c r="O2751" s="27">
        <f>IF($A2751="","",IF(COUNTIFS(NOVEDADES!$C$4:$C$1503,$A2751,NOVEDADES!$M$4:$M$1503,"SÍ")&gt;0,"No","Sí"))</f>
        <v/>
      </c>
      <c r="P2751" s="27">
        <f>IF(OR($A2751="",$K2751=""),"",IF(AND($M2751="Sí",$O2751="Sí"),"OTIF","Falló"))</f>
        <v/>
      </c>
    </row>
    <row r="2752" ht="16" customHeight="1">
      <c r="A2752" s="47" t="n"/>
      <c r="B2752" s="46" t="n"/>
      <c r="C2752" s="49" t="n"/>
      <c r="D2752" s="49" t="n"/>
      <c r="E2752" s="49" t="n"/>
      <c r="F2752" s="49" t="n"/>
      <c r="G2752" s="47" t="n"/>
      <c r="H2752" s="50" t="n"/>
      <c r="I2752" s="51" t="n"/>
      <c r="J2752" s="46" t="n"/>
      <c r="K2752" s="46" t="n"/>
      <c r="L2752" s="23">
        <f>IF(OR($A2752="",$B2752=""),"",IF($K2752&lt;&gt;"",$K2752-$B2752,TODAY()-$B2752))</f>
        <v/>
      </c>
      <c r="M2752" s="27">
        <f>IF(OR($A2752="",$J2752=""),"",IF($K2752="",IF(TODAY()&gt;$J2752,"Atrasado","En ruta"),IF($K2752&lt;=$J2752,"Sí","No")))</f>
        <v/>
      </c>
      <c r="N2752" s="23">
        <f>IF($A2752="","",COUNTIFS(NOVEDADES!$C$4:$C$1503,$A2752))</f>
        <v/>
      </c>
      <c r="O2752" s="27">
        <f>IF($A2752="","",IF(COUNTIFS(NOVEDADES!$C$4:$C$1503,$A2752,NOVEDADES!$M$4:$M$1503,"SÍ")&gt;0,"No","Sí"))</f>
        <v/>
      </c>
      <c r="P2752" s="27">
        <f>IF(OR($A2752="",$K2752=""),"",IF(AND($M2752="Sí",$O2752="Sí"),"OTIF","Falló"))</f>
        <v/>
      </c>
    </row>
    <row r="2753" ht="16" customHeight="1">
      <c r="A2753" s="47" t="n"/>
      <c r="B2753" s="46" t="n"/>
      <c r="C2753" s="49" t="n"/>
      <c r="D2753" s="49" t="n"/>
      <c r="E2753" s="49" t="n"/>
      <c r="F2753" s="49" t="n"/>
      <c r="G2753" s="47" t="n"/>
      <c r="H2753" s="50" t="n"/>
      <c r="I2753" s="51" t="n"/>
      <c r="J2753" s="46" t="n"/>
      <c r="K2753" s="46" t="n"/>
      <c r="L2753" s="23">
        <f>IF(OR($A2753="",$B2753=""),"",IF($K2753&lt;&gt;"",$K2753-$B2753,TODAY()-$B2753))</f>
        <v/>
      </c>
      <c r="M2753" s="27">
        <f>IF(OR($A2753="",$J2753=""),"",IF($K2753="",IF(TODAY()&gt;$J2753,"Atrasado","En ruta"),IF($K2753&lt;=$J2753,"Sí","No")))</f>
        <v/>
      </c>
      <c r="N2753" s="23">
        <f>IF($A2753="","",COUNTIFS(NOVEDADES!$C$4:$C$1503,$A2753))</f>
        <v/>
      </c>
      <c r="O2753" s="27">
        <f>IF($A2753="","",IF(COUNTIFS(NOVEDADES!$C$4:$C$1503,$A2753,NOVEDADES!$M$4:$M$1503,"SÍ")&gt;0,"No","Sí"))</f>
        <v/>
      </c>
      <c r="P2753" s="27">
        <f>IF(OR($A2753="",$K2753=""),"",IF(AND($M2753="Sí",$O2753="Sí"),"OTIF","Falló"))</f>
        <v/>
      </c>
    </row>
    <row r="2754" ht="16" customHeight="1">
      <c r="A2754" s="47" t="n"/>
      <c r="B2754" s="46" t="n"/>
      <c r="C2754" s="49" t="n"/>
      <c r="D2754" s="49" t="n"/>
      <c r="E2754" s="49" t="n"/>
      <c r="F2754" s="49" t="n"/>
      <c r="G2754" s="47" t="n"/>
      <c r="H2754" s="50" t="n"/>
      <c r="I2754" s="51" t="n"/>
      <c r="J2754" s="46" t="n"/>
      <c r="K2754" s="46" t="n"/>
      <c r="L2754" s="23">
        <f>IF(OR($A2754="",$B2754=""),"",IF($K2754&lt;&gt;"",$K2754-$B2754,TODAY()-$B2754))</f>
        <v/>
      </c>
      <c r="M2754" s="27">
        <f>IF(OR($A2754="",$J2754=""),"",IF($K2754="",IF(TODAY()&gt;$J2754,"Atrasado","En ruta"),IF($K2754&lt;=$J2754,"Sí","No")))</f>
        <v/>
      </c>
      <c r="N2754" s="23">
        <f>IF($A2754="","",COUNTIFS(NOVEDADES!$C$4:$C$1503,$A2754))</f>
        <v/>
      </c>
      <c r="O2754" s="27">
        <f>IF($A2754="","",IF(COUNTIFS(NOVEDADES!$C$4:$C$1503,$A2754,NOVEDADES!$M$4:$M$1503,"SÍ")&gt;0,"No","Sí"))</f>
        <v/>
      </c>
      <c r="P2754" s="27">
        <f>IF(OR($A2754="",$K2754=""),"",IF(AND($M2754="Sí",$O2754="Sí"),"OTIF","Falló"))</f>
        <v/>
      </c>
    </row>
    <row r="2755" ht="16" customHeight="1">
      <c r="A2755" s="47" t="n"/>
      <c r="B2755" s="46" t="n"/>
      <c r="C2755" s="49" t="n"/>
      <c r="D2755" s="49" t="n"/>
      <c r="E2755" s="49" t="n"/>
      <c r="F2755" s="49" t="n"/>
      <c r="G2755" s="47" t="n"/>
      <c r="H2755" s="50" t="n"/>
      <c r="I2755" s="51" t="n"/>
      <c r="J2755" s="46" t="n"/>
      <c r="K2755" s="46" t="n"/>
      <c r="L2755" s="23">
        <f>IF(OR($A2755="",$B2755=""),"",IF($K2755&lt;&gt;"",$K2755-$B2755,TODAY()-$B2755))</f>
        <v/>
      </c>
      <c r="M2755" s="27">
        <f>IF(OR($A2755="",$J2755=""),"",IF($K2755="",IF(TODAY()&gt;$J2755,"Atrasado","En ruta"),IF($K2755&lt;=$J2755,"Sí","No")))</f>
        <v/>
      </c>
      <c r="N2755" s="23">
        <f>IF($A2755="","",COUNTIFS(NOVEDADES!$C$4:$C$1503,$A2755))</f>
        <v/>
      </c>
      <c r="O2755" s="27">
        <f>IF($A2755="","",IF(COUNTIFS(NOVEDADES!$C$4:$C$1503,$A2755,NOVEDADES!$M$4:$M$1503,"SÍ")&gt;0,"No","Sí"))</f>
        <v/>
      </c>
      <c r="P2755" s="27">
        <f>IF(OR($A2755="",$K2755=""),"",IF(AND($M2755="Sí",$O2755="Sí"),"OTIF","Falló"))</f>
        <v/>
      </c>
    </row>
    <row r="2756" ht="16" customHeight="1">
      <c r="A2756" s="47" t="n"/>
      <c r="B2756" s="46" t="n"/>
      <c r="C2756" s="49" t="n"/>
      <c r="D2756" s="49" t="n"/>
      <c r="E2756" s="49" t="n"/>
      <c r="F2756" s="49" t="n"/>
      <c r="G2756" s="47" t="n"/>
      <c r="H2756" s="50" t="n"/>
      <c r="I2756" s="51" t="n"/>
      <c r="J2756" s="46" t="n"/>
      <c r="K2756" s="46" t="n"/>
      <c r="L2756" s="23">
        <f>IF(OR($A2756="",$B2756=""),"",IF($K2756&lt;&gt;"",$K2756-$B2756,TODAY()-$B2756))</f>
        <v/>
      </c>
      <c r="M2756" s="27">
        <f>IF(OR($A2756="",$J2756=""),"",IF($K2756="",IF(TODAY()&gt;$J2756,"Atrasado","En ruta"),IF($K2756&lt;=$J2756,"Sí","No")))</f>
        <v/>
      </c>
      <c r="N2756" s="23">
        <f>IF($A2756="","",COUNTIFS(NOVEDADES!$C$4:$C$1503,$A2756))</f>
        <v/>
      </c>
      <c r="O2756" s="27">
        <f>IF($A2756="","",IF(COUNTIFS(NOVEDADES!$C$4:$C$1503,$A2756,NOVEDADES!$M$4:$M$1503,"SÍ")&gt;0,"No","Sí"))</f>
        <v/>
      </c>
      <c r="P2756" s="27">
        <f>IF(OR($A2756="",$K2756=""),"",IF(AND($M2756="Sí",$O2756="Sí"),"OTIF","Falló"))</f>
        <v/>
      </c>
    </row>
    <row r="2757" ht="16" customHeight="1">
      <c r="A2757" s="47" t="n"/>
      <c r="B2757" s="46" t="n"/>
      <c r="C2757" s="49" t="n"/>
      <c r="D2757" s="49" t="n"/>
      <c r="E2757" s="49" t="n"/>
      <c r="F2757" s="49" t="n"/>
      <c r="G2757" s="47" t="n"/>
      <c r="H2757" s="50" t="n"/>
      <c r="I2757" s="51" t="n"/>
      <c r="J2757" s="46" t="n"/>
      <c r="K2757" s="46" t="n"/>
      <c r="L2757" s="23">
        <f>IF(OR($A2757="",$B2757=""),"",IF($K2757&lt;&gt;"",$K2757-$B2757,TODAY()-$B2757))</f>
        <v/>
      </c>
      <c r="M2757" s="27">
        <f>IF(OR($A2757="",$J2757=""),"",IF($K2757="",IF(TODAY()&gt;$J2757,"Atrasado","En ruta"),IF($K2757&lt;=$J2757,"Sí","No")))</f>
        <v/>
      </c>
      <c r="N2757" s="23">
        <f>IF($A2757="","",COUNTIFS(NOVEDADES!$C$4:$C$1503,$A2757))</f>
        <v/>
      </c>
      <c r="O2757" s="27">
        <f>IF($A2757="","",IF(COUNTIFS(NOVEDADES!$C$4:$C$1503,$A2757,NOVEDADES!$M$4:$M$1503,"SÍ")&gt;0,"No","Sí"))</f>
        <v/>
      </c>
      <c r="P2757" s="27">
        <f>IF(OR($A2757="",$K2757=""),"",IF(AND($M2757="Sí",$O2757="Sí"),"OTIF","Falló"))</f>
        <v/>
      </c>
    </row>
    <row r="2758" ht="16" customHeight="1">
      <c r="A2758" s="47" t="n"/>
      <c r="B2758" s="46" t="n"/>
      <c r="C2758" s="49" t="n"/>
      <c r="D2758" s="49" t="n"/>
      <c r="E2758" s="49" t="n"/>
      <c r="F2758" s="49" t="n"/>
      <c r="G2758" s="47" t="n"/>
      <c r="H2758" s="50" t="n"/>
      <c r="I2758" s="51" t="n"/>
      <c r="J2758" s="46" t="n"/>
      <c r="K2758" s="46" t="n"/>
      <c r="L2758" s="23">
        <f>IF(OR($A2758="",$B2758=""),"",IF($K2758&lt;&gt;"",$K2758-$B2758,TODAY()-$B2758))</f>
        <v/>
      </c>
      <c r="M2758" s="27">
        <f>IF(OR($A2758="",$J2758=""),"",IF($K2758="",IF(TODAY()&gt;$J2758,"Atrasado","En ruta"),IF($K2758&lt;=$J2758,"Sí","No")))</f>
        <v/>
      </c>
      <c r="N2758" s="23">
        <f>IF($A2758="","",COUNTIFS(NOVEDADES!$C$4:$C$1503,$A2758))</f>
        <v/>
      </c>
      <c r="O2758" s="27">
        <f>IF($A2758="","",IF(COUNTIFS(NOVEDADES!$C$4:$C$1503,$A2758,NOVEDADES!$M$4:$M$1503,"SÍ")&gt;0,"No","Sí"))</f>
        <v/>
      </c>
      <c r="P2758" s="27">
        <f>IF(OR($A2758="",$K2758=""),"",IF(AND($M2758="Sí",$O2758="Sí"),"OTIF","Falló"))</f>
        <v/>
      </c>
    </row>
    <row r="2759" ht="16" customHeight="1">
      <c r="A2759" s="47" t="n"/>
      <c r="B2759" s="46" t="n"/>
      <c r="C2759" s="49" t="n"/>
      <c r="D2759" s="49" t="n"/>
      <c r="E2759" s="49" t="n"/>
      <c r="F2759" s="49" t="n"/>
      <c r="G2759" s="47" t="n"/>
      <c r="H2759" s="50" t="n"/>
      <c r="I2759" s="51" t="n"/>
      <c r="J2759" s="46" t="n"/>
      <c r="K2759" s="46" t="n"/>
      <c r="L2759" s="23">
        <f>IF(OR($A2759="",$B2759=""),"",IF($K2759&lt;&gt;"",$K2759-$B2759,TODAY()-$B2759))</f>
        <v/>
      </c>
      <c r="M2759" s="27">
        <f>IF(OR($A2759="",$J2759=""),"",IF($K2759="",IF(TODAY()&gt;$J2759,"Atrasado","En ruta"),IF($K2759&lt;=$J2759,"Sí","No")))</f>
        <v/>
      </c>
      <c r="N2759" s="23">
        <f>IF($A2759="","",COUNTIFS(NOVEDADES!$C$4:$C$1503,$A2759))</f>
        <v/>
      </c>
      <c r="O2759" s="27">
        <f>IF($A2759="","",IF(COUNTIFS(NOVEDADES!$C$4:$C$1503,$A2759,NOVEDADES!$M$4:$M$1503,"SÍ")&gt;0,"No","Sí"))</f>
        <v/>
      </c>
      <c r="P2759" s="27">
        <f>IF(OR($A2759="",$K2759=""),"",IF(AND($M2759="Sí",$O2759="Sí"),"OTIF","Falló"))</f>
        <v/>
      </c>
    </row>
    <row r="2760" ht="16" customHeight="1">
      <c r="A2760" s="47" t="n"/>
      <c r="B2760" s="46" t="n"/>
      <c r="C2760" s="49" t="n"/>
      <c r="D2760" s="49" t="n"/>
      <c r="E2760" s="49" t="n"/>
      <c r="F2760" s="49" t="n"/>
      <c r="G2760" s="47" t="n"/>
      <c r="H2760" s="50" t="n"/>
      <c r="I2760" s="51" t="n"/>
      <c r="J2760" s="46" t="n"/>
      <c r="K2760" s="46" t="n"/>
      <c r="L2760" s="23">
        <f>IF(OR($A2760="",$B2760=""),"",IF($K2760&lt;&gt;"",$K2760-$B2760,TODAY()-$B2760))</f>
        <v/>
      </c>
      <c r="M2760" s="27">
        <f>IF(OR($A2760="",$J2760=""),"",IF($K2760="",IF(TODAY()&gt;$J2760,"Atrasado","En ruta"),IF($K2760&lt;=$J2760,"Sí","No")))</f>
        <v/>
      </c>
      <c r="N2760" s="23">
        <f>IF($A2760="","",COUNTIFS(NOVEDADES!$C$4:$C$1503,$A2760))</f>
        <v/>
      </c>
      <c r="O2760" s="27">
        <f>IF($A2760="","",IF(COUNTIFS(NOVEDADES!$C$4:$C$1503,$A2760,NOVEDADES!$M$4:$M$1503,"SÍ")&gt;0,"No","Sí"))</f>
        <v/>
      </c>
      <c r="P2760" s="27">
        <f>IF(OR($A2760="",$K2760=""),"",IF(AND($M2760="Sí",$O2760="Sí"),"OTIF","Falló"))</f>
        <v/>
      </c>
    </row>
    <row r="2761" ht="16" customHeight="1">
      <c r="A2761" s="47" t="n"/>
      <c r="B2761" s="46" t="n"/>
      <c r="C2761" s="49" t="n"/>
      <c r="D2761" s="49" t="n"/>
      <c r="E2761" s="49" t="n"/>
      <c r="F2761" s="49" t="n"/>
      <c r="G2761" s="47" t="n"/>
      <c r="H2761" s="50" t="n"/>
      <c r="I2761" s="51" t="n"/>
      <c r="J2761" s="46" t="n"/>
      <c r="K2761" s="46" t="n"/>
      <c r="L2761" s="23">
        <f>IF(OR($A2761="",$B2761=""),"",IF($K2761&lt;&gt;"",$K2761-$B2761,TODAY()-$B2761))</f>
        <v/>
      </c>
      <c r="M2761" s="27">
        <f>IF(OR($A2761="",$J2761=""),"",IF($K2761="",IF(TODAY()&gt;$J2761,"Atrasado","En ruta"),IF($K2761&lt;=$J2761,"Sí","No")))</f>
        <v/>
      </c>
      <c r="N2761" s="23">
        <f>IF($A2761="","",COUNTIFS(NOVEDADES!$C$4:$C$1503,$A2761))</f>
        <v/>
      </c>
      <c r="O2761" s="27">
        <f>IF($A2761="","",IF(COUNTIFS(NOVEDADES!$C$4:$C$1503,$A2761,NOVEDADES!$M$4:$M$1503,"SÍ")&gt;0,"No","Sí"))</f>
        <v/>
      </c>
      <c r="P2761" s="27">
        <f>IF(OR($A2761="",$K2761=""),"",IF(AND($M2761="Sí",$O2761="Sí"),"OTIF","Falló"))</f>
        <v/>
      </c>
    </row>
    <row r="2762" ht="16" customHeight="1">
      <c r="A2762" s="47" t="n"/>
      <c r="B2762" s="46" t="n"/>
      <c r="C2762" s="49" t="n"/>
      <c r="D2762" s="49" t="n"/>
      <c r="E2762" s="49" t="n"/>
      <c r="F2762" s="49" t="n"/>
      <c r="G2762" s="47" t="n"/>
      <c r="H2762" s="50" t="n"/>
      <c r="I2762" s="51" t="n"/>
      <c r="J2762" s="46" t="n"/>
      <c r="K2762" s="46" t="n"/>
      <c r="L2762" s="23">
        <f>IF(OR($A2762="",$B2762=""),"",IF($K2762&lt;&gt;"",$K2762-$B2762,TODAY()-$B2762))</f>
        <v/>
      </c>
      <c r="M2762" s="27">
        <f>IF(OR($A2762="",$J2762=""),"",IF($K2762="",IF(TODAY()&gt;$J2762,"Atrasado","En ruta"),IF($K2762&lt;=$J2762,"Sí","No")))</f>
        <v/>
      </c>
      <c r="N2762" s="23">
        <f>IF($A2762="","",COUNTIFS(NOVEDADES!$C$4:$C$1503,$A2762))</f>
        <v/>
      </c>
      <c r="O2762" s="27">
        <f>IF($A2762="","",IF(COUNTIFS(NOVEDADES!$C$4:$C$1503,$A2762,NOVEDADES!$M$4:$M$1503,"SÍ")&gt;0,"No","Sí"))</f>
        <v/>
      </c>
      <c r="P2762" s="27">
        <f>IF(OR($A2762="",$K2762=""),"",IF(AND($M2762="Sí",$O2762="Sí"),"OTIF","Falló"))</f>
        <v/>
      </c>
    </row>
    <row r="2763" ht="16" customHeight="1">
      <c r="A2763" s="47" t="n"/>
      <c r="B2763" s="46" t="n"/>
      <c r="C2763" s="49" t="n"/>
      <c r="D2763" s="49" t="n"/>
      <c r="E2763" s="49" t="n"/>
      <c r="F2763" s="49" t="n"/>
      <c r="G2763" s="47" t="n"/>
      <c r="H2763" s="50" t="n"/>
      <c r="I2763" s="51" t="n"/>
      <c r="J2763" s="46" t="n"/>
      <c r="K2763" s="46" t="n"/>
      <c r="L2763" s="23">
        <f>IF(OR($A2763="",$B2763=""),"",IF($K2763&lt;&gt;"",$K2763-$B2763,TODAY()-$B2763))</f>
        <v/>
      </c>
      <c r="M2763" s="27">
        <f>IF(OR($A2763="",$J2763=""),"",IF($K2763="",IF(TODAY()&gt;$J2763,"Atrasado","En ruta"),IF($K2763&lt;=$J2763,"Sí","No")))</f>
        <v/>
      </c>
      <c r="N2763" s="23">
        <f>IF($A2763="","",COUNTIFS(NOVEDADES!$C$4:$C$1503,$A2763))</f>
        <v/>
      </c>
      <c r="O2763" s="27">
        <f>IF($A2763="","",IF(COUNTIFS(NOVEDADES!$C$4:$C$1503,$A2763,NOVEDADES!$M$4:$M$1503,"SÍ")&gt;0,"No","Sí"))</f>
        <v/>
      </c>
      <c r="P2763" s="27">
        <f>IF(OR($A2763="",$K2763=""),"",IF(AND($M2763="Sí",$O2763="Sí"),"OTIF","Falló"))</f>
        <v/>
      </c>
    </row>
    <row r="2764" ht="16" customHeight="1">
      <c r="A2764" s="47" t="n"/>
      <c r="B2764" s="46" t="n"/>
      <c r="C2764" s="49" t="n"/>
      <c r="D2764" s="49" t="n"/>
      <c r="E2764" s="49" t="n"/>
      <c r="F2764" s="49" t="n"/>
      <c r="G2764" s="47" t="n"/>
      <c r="H2764" s="50" t="n"/>
      <c r="I2764" s="51" t="n"/>
      <c r="J2764" s="46" t="n"/>
      <c r="K2764" s="46" t="n"/>
      <c r="L2764" s="23">
        <f>IF(OR($A2764="",$B2764=""),"",IF($K2764&lt;&gt;"",$K2764-$B2764,TODAY()-$B2764))</f>
        <v/>
      </c>
      <c r="M2764" s="27">
        <f>IF(OR($A2764="",$J2764=""),"",IF($K2764="",IF(TODAY()&gt;$J2764,"Atrasado","En ruta"),IF($K2764&lt;=$J2764,"Sí","No")))</f>
        <v/>
      </c>
      <c r="N2764" s="23">
        <f>IF($A2764="","",COUNTIFS(NOVEDADES!$C$4:$C$1503,$A2764))</f>
        <v/>
      </c>
      <c r="O2764" s="27">
        <f>IF($A2764="","",IF(COUNTIFS(NOVEDADES!$C$4:$C$1503,$A2764,NOVEDADES!$M$4:$M$1503,"SÍ")&gt;0,"No","Sí"))</f>
        <v/>
      </c>
      <c r="P2764" s="27">
        <f>IF(OR($A2764="",$K2764=""),"",IF(AND($M2764="Sí",$O2764="Sí"),"OTIF","Falló"))</f>
        <v/>
      </c>
    </row>
    <row r="2765" ht="16" customHeight="1">
      <c r="A2765" s="47" t="n"/>
      <c r="B2765" s="46" t="n"/>
      <c r="C2765" s="49" t="n"/>
      <c r="D2765" s="49" t="n"/>
      <c r="E2765" s="49" t="n"/>
      <c r="F2765" s="49" t="n"/>
      <c r="G2765" s="47" t="n"/>
      <c r="H2765" s="50" t="n"/>
      <c r="I2765" s="51" t="n"/>
      <c r="J2765" s="46" t="n"/>
      <c r="K2765" s="46" t="n"/>
      <c r="L2765" s="23">
        <f>IF(OR($A2765="",$B2765=""),"",IF($K2765&lt;&gt;"",$K2765-$B2765,TODAY()-$B2765))</f>
        <v/>
      </c>
      <c r="M2765" s="27">
        <f>IF(OR($A2765="",$J2765=""),"",IF($K2765="",IF(TODAY()&gt;$J2765,"Atrasado","En ruta"),IF($K2765&lt;=$J2765,"Sí","No")))</f>
        <v/>
      </c>
      <c r="N2765" s="23">
        <f>IF($A2765="","",COUNTIFS(NOVEDADES!$C$4:$C$1503,$A2765))</f>
        <v/>
      </c>
      <c r="O2765" s="27">
        <f>IF($A2765="","",IF(COUNTIFS(NOVEDADES!$C$4:$C$1503,$A2765,NOVEDADES!$M$4:$M$1503,"SÍ")&gt;0,"No","Sí"))</f>
        <v/>
      </c>
      <c r="P2765" s="27">
        <f>IF(OR($A2765="",$K2765=""),"",IF(AND($M2765="Sí",$O2765="Sí"),"OTIF","Falló"))</f>
        <v/>
      </c>
    </row>
    <row r="2766" ht="16" customHeight="1">
      <c r="A2766" s="47" t="n"/>
      <c r="B2766" s="46" t="n"/>
      <c r="C2766" s="49" t="n"/>
      <c r="D2766" s="49" t="n"/>
      <c r="E2766" s="49" t="n"/>
      <c r="F2766" s="49" t="n"/>
      <c r="G2766" s="47" t="n"/>
      <c r="H2766" s="50" t="n"/>
      <c r="I2766" s="51" t="n"/>
      <c r="J2766" s="46" t="n"/>
      <c r="K2766" s="46" t="n"/>
      <c r="L2766" s="23">
        <f>IF(OR($A2766="",$B2766=""),"",IF($K2766&lt;&gt;"",$K2766-$B2766,TODAY()-$B2766))</f>
        <v/>
      </c>
      <c r="M2766" s="27">
        <f>IF(OR($A2766="",$J2766=""),"",IF($K2766="",IF(TODAY()&gt;$J2766,"Atrasado","En ruta"),IF($K2766&lt;=$J2766,"Sí","No")))</f>
        <v/>
      </c>
      <c r="N2766" s="23">
        <f>IF($A2766="","",COUNTIFS(NOVEDADES!$C$4:$C$1503,$A2766))</f>
        <v/>
      </c>
      <c r="O2766" s="27">
        <f>IF($A2766="","",IF(COUNTIFS(NOVEDADES!$C$4:$C$1503,$A2766,NOVEDADES!$M$4:$M$1503,"SÍ")&gt;0,"No","Sí"))</f>
        <v/>
      </c>
      <c r="P2766" s="27">
        <f>IF(OR($A2766="",$K2766=""),"",IF(AND($M2766="Sí",$O2766="Sí"),"OTIF","Falló"))</f>
        <v/>
      </c>
    </row>
    <row r="2767" ht="16" customHeight="1">
      <c r="A2767" s="47" t="n"/>
      <c r="B2767" s="46" t="n"/>
      <c r="C2767" s="49" t="n"/>
      <c r="D2767" s="49" t="n"/>
      <c r="E2767" s="49" t="n"/>
      <c r="F2767" s="49" t="n"/>
      <c r="G2767" s="47" t="n"/>
      <c r="H2767" s="50" t="n"/>
      <c r="I2767" s="51" t="n"/>
      <c r="J2767" s="46" t="n"/>
      <c r="K2767" s="46" t="n"/>
      <c r="L2767" s="23">
        <f>IF(OR($A2767="",$B2767=""),"",IF($K2767&lt;&gt;"",$K2767-$B2767,TODAY()-$B2767))</f>
        <v/>
      </c>
      <c r="M2767" s="27">
        <f>IF(OR($A2767="",$J2767=""),"",IF($K2767="",IF(TODAY()&gt;$J2767,"Atrasado","En ruta"),IF($K2767&lt;=$J2767,"Sí","No")))</f>
        <v/>
      </c>
      <c r="N2767" s="23">
        <f>IF($A2767="","",COUNTIFS(NOVEDADES!$C$4:$C$1503,$A2767))</f>
        <v/>
      </c>
      <c r="O2767" s="27">
        <f>IF($A2767="","",IF(COUNTIFS(NOVEDADES!$C$4:$C$1503,$A2767,NOVEDADES!$M$4:$M$1503,"SÍ")&gt;0,"No","Sí"))</f>
        <v/>
      </c>
      <c r="P2767" s="27">
        <f>IF(OR($A2767="",$K2767=""),"",IF(AND($M2767="Sí",$O2767="Sí"),"OTIF","Falló"))</f>
        <v/>
      </c>
    </row>
    <row r="2768" ht="16" customHeight="1">
      <c r="A2768" s="47" t="n"/>
      <c r="B2768" s="46" t="n"/>
      <c r="C2768" s="49" t="n"/>
      <c r="D2768" s="49" t="n"/>
      <c r="E2768" s="49" t="n"/>
      <c r="F2768" s="49" t="n"/>
      <c r="G2768" s="47" t="n"/>
      <c r="H2768" s="50" t="n"/>
      <c r="I2768" s="51" t="n"/>
      <c r="J2768" s="46" t="n"/>
      <c r="K2768" s="46" t="n"/>
      <c r="L2768" s="23">
        <f>IF(OR($A2768="",$B2768=""),"",IF($K2768&lt;&gt;"",$K2768-$B2768,TODAY()-$B2768))</f>
        <v/>
      </c>
      <c r="M2768" s="27">
        <f>IF(OR($A2768="",$J2768=""),"",IF($K2768="",IF(TODAY()&gt;$J2768,"Atrasado","En ruta"),IF($K2768&lt;=$J2768,"Sí","No")))</f>
        <v/>
      </c>
      <c r="N2768" s="23">
        <f>IF($A2768="","",COUNTIFS(NOVEDADES!$C$4:$C$1503,$A2768))</f>
        <v/>
      </c>
      <c r="O2768" s="27">
        <f>IF($A2768="","",IF(COUNTIFS(NOVEDADES!$C$4:$C$1503,$A2768,NOVEDADES!$M$4:$M$1503,"SÍ")&gt;0,"No","Sí"))</f>
        <v/>
      </c>
      <c r="P2768" s="27">
        <f>IF(OR($A2768="",$K2768=""),"",IF(AND($M2768="Sí",$O2768="Sí"),"OTIF","Falló"))</f>
        <v/>
      </c>
    </row>
    <row r="2769" ht="16" customHeight="1">
      <c r="A2769" s="47" t="n"/>
      <c r="B2769" s="46" t="n"/>
      <c r="C2769" s="49" t="n"/>
      <c r="D2769" s="49" t="n"/>
      <c r="E2769" s="49" t="n"/>
      <c r="F2769" s="49" t="n"/>
      <c r="G2769" s="47" t="n"/>
      <c r="H2769" s="50" t="n"/>
      <c r="I2769" s="51" t="n"/>
      <c r="J2769" s="46" t="n"/>
      <c r="K2769" s="46" t="n"/>
      <c r="L2769" s="23">
        <f>IF(OR($A2769="",$B2769=""),"",IF($K2769&lt;&gt;"",$K2769-$B2769,TODAY()-$B2769))</f>
        <v/>
      </c>
      <c r="M2769" s="27">
        <f>IF(OR($A2769="",$J2769=""),"",IF($K2769="",IF(TODAY()&gt;$J2769,"Atrasado","En ruta"),IF($K2769&lt;=$J2769,"Sí","No")))</f>
        <v/>
      </c>
      <c r="N2769" s="23">
        <f>IF($A2769="","",COUNTIFS(NOVEDADES!$C$4:$C$1503,$A2769))</f>
        <v/>
      </c>
      <c r="O2769" s="27">
        <f>IF($A2769="","",IF(COUNTIFS(NOVEDADES!$C$4:$C$1503,$A2769,NOVEDADES!$M$4:$M$1503,"SÍ")&gt;0,"No","Sí"))</f>
        <v/>
      </c>
      <c r="P2769" s="27">
        <f>IF(OR($A2769="",$K2769=""),"",IF(AND($M2769="Sí",$O2769="Sí"),"OTIF","Falló"))</f>
        <v/>
      </c>
    </row>
    <row r="2770" ht="16" customHeight="1">
      <c r="A2770" s="47" t="n"/>
      <c r="B2770" s="46" t="n"/>
      <c r="C2770" s="49" t="n"/>
      <c r="D2770" s="49" t="n"/>
      <c r="E2770" s="49" t="n"/>
      <c r="F2770" s="49" t="n"/>
      <c r="G2770" s="47" t="n"/>
      <c r="H2770" s="50" t="n"/>
      <c r="I2770" s="51" t="n"/>
      <c r="J2770" s="46" t="n"/>
      <c r="K2770" s="46" t="n"/>
      <c r="L2770" s="23">
        <f>IF(OR($A2770="",$B2770=""),"",IF($K2770&lt;&gt;"",$K2770-$B2770,TODAY()-$B2770))</f>
        <v/>
      </c>
      <c r="M2770" s="27">
        <f>IF(OR($A2770="",$J2770=""),"",IF($K2770="",IF(TODAY()&gt;$J2770,"Atrasado","En ruta"),IF($K2770&lt;=$J2770,"Sí","No")))</f>
        <v/>
      </c>
      <c r="N2770" s="23">
        <f>IF($A2770="","",COUNTIFS(NOVEDADES!$C$4:$C$1503,$A2770))</f>
        <v/>
      </c>
      <c r="O2770" s="27">
        <f>IF($A2770="","",IF(COUNTIFS(NOVEDADES!$C$4:$C$1503,$A2770,NOVEDADES!$M$4:$M$1503,"SÍ")&gt;0,"No","Sí"))</f>
        <v/>
      </c>
      <c r="P2770" s="27">
        <f>IF(OR($A2770="",$K2770=""),"",IF(AND($M2770="Sí",$O2770="Sí"),"OTIF","Falló"))</f>
        <v/>
      </c>
    </row>
    <row r="2771" ht="16" customHeight="1">
      <c r="A2771" s="47" t="n"/>
      <c r="B2771" s="46" t="n"/>
      <c r="C2771" s="49" t="n"/>
      <c r="D2771" s="49" t="n"/>
      <c r="E2771" s="49" t="n"/>
      <c r="F2771" s="49" t="n"/>
      <c r="G2771" s="47" t="n"/>
      <c r="H2771" s="50" t="n"/>
      <c r="I2771" s="51" t="n"/>
      <c r="J2771" s="46" t="n"/>
      <c r="K2771" s="46" t="n"/>
      <c r="L2771" s="23">
        <f>IF(OR($A2771="",$B2771=""),"",IF($K2771&lt;&gt;"",$K2771-$B2771,TODAY()-$B2771))</f>
        <v/>
      </c>
      <c r="M2771" s="27">
        <f>IF(OR($A2771="",$J2771=""),"",IF($K2771="",IF(TODAY()&gt;$J2771,"Atrasado","En ruta"),IF($K2771&lt;=$J2771,"Sí","No")))</f>
        <v/>
      </c>
      <c r="N2771" s="23">
        <f>IF($A2771="","",COUNTIFS(NOVEDADES!$C$4:$C$1503,$A2771))</f>
        <v/>
      </c>
      <c r="O2771" s="27">
        <f>IF($A2771="","",IF(COUNTIFS(NOVEDADES!$C$4:$C$1503,$A2771,NOVEDADES!$M$4:$M$1503,"SÍ")&gt;0,"No","Sí"))</f>
        <v/>
      </c>
      <c r="P2771" s="27">
        <f>IF(OR($A2771="",$K2771=""),"",IF(AND($M2771="Sí",$O2771="Sí"),"OTIF","Falló"))</f>
        <v/>
      </c>
    </row>
    <row r="2772" ht="16" customHeight="1">
      <c r="A2772" s="47" t="n"/>
      <c r="B2772" s="46" t="n"/>
      <c r="C2772" s="49" t="n"/>
      <c r="D2772" s="49" t="n"/>
      <c r="E2772" s="49" t="n"/>
      <c r="F2772" s="49" t="n"/>
      <c r="G2772" s="47" t="n"/>
      <c r="H2772" s="50" t="n"/>
      <c r="I2772" s="51" t="n"/>
      <c r="J2772" s="46" t="n"/>
      <c r="K2772" s="46" t="n"/>
      <c r="L2772" s="23">
        <f>IF(OR($A2772="",$B2772=""),"",IF($K2772&lt;&gt;"",$K2772-$B2772,TODAY()-$B2772))</f>
        <v/>
      </c>
      <c r="M2772" s="27">
        <f>IF(OR($A2772="",$J2772=""),"",IF($K2772="",IF(TODAY()&gt;$J2772,"Atrasado","En ruta"),IF($K2772&lt;=$J2772,"Sí","No")))</f>
        <v/>
      </c>
      <c r="N2772" s="23">
        <f>IF($A2772="","",COUNTIFS(NOVEDADES!$C$4:$C$1503,$A2772))</f>
        <v/>
      </c>
      <c r="O2772" s="27">
        <f>IF($A2772="","",IF(COUNTIFS(NOVEDADES!$C$4:$C$1503,$A2772,NOVEDADES!$M$4:$M$1503,"SÍ")&gt;0,"No","Sí"))</f>
        <v/>
      </c>
      <c r="P2772" s="27">
        <f>IF(OR($A2772="",$K2772=""),"",IF(AND($M2772="Sí",$O2772="Sí"),"OTIF","Falló"))</f>
        <v/>
      </c>
    </row>
    <row r="2773" ht="16" customHeight="1">
      <c r="A2773" s="47" t="n"/>
      <c r="B2773" s="46" t="n"/>
      <c r="C2773" s="49" t="n"/>
      <c r="D2773" s="49" t="n"/>
      <c r="E2773" s="49" t="n"/>
      <c r="F2773" s="49" t="n"/>
      <c r="G2773" s="47" t="n"/>
      <c r="H2773" s="50" t="n"/>
      <c r="I2773" s="51" t="n"/>
      <c r="J2773" s="46" t="n"/>
      <c r="K2773" s="46" t="n"/>
      <c r="L2773" s="23">
        <f>IF(OR($A2773="",$B2773=""),"",IF($K2773&lt;&gt;"",$K2773-$B2773,TODAY()-$B2773))</f>
        <v/>
      </c>
      <c r="M2773" s="27">
        <f>IF(OR($A2773="",$J2773=""),"",IF($K2773="",IF(TODAY()&gt;$J2773,"Atrasado","En ruta"),IF($K2773&lt;=$J2773,"Sí","No")))</f>
        <v/>
      </c>
      <c r="N2773" s="23">
        <f>IF($A2773="","",COUNTIFS(NOVEDADES!$C$4:$C$1503,$A2773))</f>
        <v/>
      </c>
      <c r="O2773" s="27">
        <f>IF($A2773="","",IF(COUNTIFS(NOVEDADES!$C$4:$C$1503,$A2773,NOVEDADES!$M$4:$M$1503,"SÍ")&gt;0,"No","Sí"))</f>
        <v/>
      </c>
      <c r="P2773" s="27">
        <f>IF(OR($A2773="",$K2773=""),"",IF(AND($M2773="Sí",$O2773="Sí"),"OTIF","Falló"))</f>
        <v/>
      </c>
    </row>
    <row r="2774" ht="16" customHeight="1">
      <c r="A2774" s="47" t="n"/>
      <c r="B2774" s="46" t="n"/>
      <c r="C2774" s="49" t="n"/>
      <c r="D2774" s="49" t="n"/>
      <c r="E2774" s="49" t="n"/>
      <c r="F2774" s="49" t="n"/>
      <c r="G2774" s="47" t="n"/>
      <c r="H2774" s="50" t="n"/>
      <c r="I2774" s="51" t="n"/>
      <c r="J2774" s="46" t="n"/>
      <c r="K2774" s="46" t="n"/>
      <c r="L2774" s="23">
        <f>IF(OR($A2774="",$B2774=""),"",IF($K2774&lt;&gt;"",$K2774-$B2774,TODAY()-$B2774))</f>
        <v/>
      </c>
      <c r="M2774" s="27">
        <f>IF(OR($A2774="",$J2774=""),"",IF($K2774="",IF(TODAY()&gt;$J2774,"Atrasado","En ruta"),IF($K2774&lt;=$J2774,"Sí","No")))</f>
        <v/>
      </c>
      <c r="N2774" s="23">
        <f>IF($A2774="","",COUNTIFS(NOVEDADES!$C$4:$C$1503,$A2774))</f>
        <v/>
      </c>
      <c r="O2774" s="27">
        <f>IF($A2774="","",IF(COUNTIFS(NOVEDADES!$C$4:$C$1503,$A2774,NOVEDADES!$M$4:$M$1503,"SÍ")&gt;0,"No","Sí"))</f>
        <v/>
      </c>
      <c r="P2774" s="27">
        <f>IF(OR($A2774="",$K2774=""),"",IF(AND($M2774="Sí",$O2774="Sí"),"OTIF","Falló"))</f>
        <v/>
      </c>
    </row>
    <row r="2775" ht="16" customHeight="1">
      <c r="A2775" s="47" t="n"/>
      <c r="B2775" s="46" t="n"/>
      <c r="C2775" s="49" t="n"/>
      <c r="D2775" s="49" t="n"/>
      <c r="E2775" s="49" t="n"/>
      <c r="F2775" s="49" t="n"/>
      <c r="G2775" s="47" t="n"/>
      <c r="H2775" s="50" t="n"/>
      <c r="I2775" s="51" t="n"/>
      <c r="J2775" s="46" t="n"/>
      <c r="K2775" s="46" t="n"/>
      <c r="L2775" s="23">
        <f>IF(OR($A2775="",$B2775=""),"",IF($K2775&lt;&gt;"",$K2775-$B2775,TODAY()-$B2775))</f>
        <v/>
      </c>
      <c r="M2775" s="27">
        <f>IF(OR($A2775="",$J2775=""),"",IF($K2775="",IF(TODAY()&gt;$J2775,"Atrasado","En ruta"),IF($K2775&lt;=$J2775,"Sí","No")))</f>
        <v/>
      </c>
      <c r="N2775" s="23">
        <f>IF($A2775="","",COUNTIFS(NOVEDADES!$C$4:$C$1503,$A2775))</f>
        <v/>
      </c>
      <c r="O2775" s="27">
        <f>IF($A2775="","",IF(COUNTIFS(NOVEDADES!$C$4:$C$1503,$A2775,NOVEDADES!$M$4:$M$1503,"SÍ")&gt;0,"No","Sí"))</f>
        <v/>
      </c>
      <c r="P2775" s="27">
        <f>IF(OR($A2775="",$K2775=""),"",IF(AND($M2775="Sí",$O2775="Sí"),"OTIF","Falló"))</f>
        <v/>
      </c>
    </row>
    <row r="2776" ht="16" customHeight="1">
      <c r="A2776" s="47" t="n"/>
      <c r="B2776" s="46" t="n"/>
      <c r="C2776" s="49" t="n"/>
      <c r="D2776" s="49" t="n"/>
      <c r="E2776" s="49" t="n"/>
      <c r="F2776" s="49" t="n"/>
      <c r="G2776" s="47" t="n"/>
      <c r="H2776" s="50" t="n"/>
      <c r="I2776" s="51" t="n"/>
      <c r="J2776" s="46" t="n"/>
      <c r="K2776" s="46" t="n"/>
      <c r="L2776" s="23">
        <f>IF(OR($A2776="",$B2776=""),"",IF($K2776&lt;&gt;"",$K2776-$B2776,TODAY()-$B2776))</f>
        <v/>
      </c>
      <c r="M2776" s="27">
        <f>IF(OR($A2776="",$J2776=""),"",IF($K2776="",IF(TODAY()&gt;$J2776,"Atrasado","En ruta"),IF($K2776&lt;=$J2776,"Sí","No")))</f>
        <v/>
      </c>
      <c r="N2776" s="23">
        <f>IF($A2776="","",COUNTIFS(NOVEDADES!$C$4:$C$1503,$A2776))</f>
        <v/>
      </c>
      <c r="O2776" s="27">
        <f>IF($A2776="","",IF(COUNTIFS(NOVEDADES!$C$4:$C$1503,$A2776,NOVEDADES!$M$4:$M$1503,"SÍ")&gt;0,"No","Sí"))</f>
        <v/>
      </c>
      <c r="P2776" s="27">
        <f>IF(OR($A2776="",$K2776=""),"",IF(AND($M2776="Sí",$O2776="Sí"),"OTIF","Falló"))</f>
        <v/>
      </c>
    </row>
    <row r="2777" ht="16" customHeight="1">
      <c r="A2777" s="47" t="n"/>
      <c r="B2777" s="46" t="n"/>
      <c r="C2777" s="49" t="n"/>
      <c r="D2777" s="49" t="n"/>
      <c r="E2777" s="49" t="n"/>
      <c r="F2777" s="49" t="n"/>
      <c r="G2777" s="47" t="n"/>
      <c r="H2777" s="50" t="n"/>
      <c r="I2777" s="51" t="n"/>
      <c r="J2777" s="46" t="n"/>
      <c r="K2777" s="46" t="n"/>
      <c r="L2777" s="23">
        <f>IF(OR($A2777="",$B2777=""),"",IF($K2777&lt;&gt;"",$K2777-$B2777,TODAY()-$B2777))</f>
        <v/>
      </c>
      <c r="M2777" s="27">
        <f>IF(OR($A2777="",$J2777=""),"",IF($K2777="",IF(TODAY()&gt;$J2777,"Atrasado","En ruta"),IF($K2777&lt;=$J2777,"Sí","No")))</f>
        <v/>
      </c>
      <c r="N2777" s="23">
        <f>IF($A2777="","",COUNTIFS(NOVEDADES!$C$4:$C$1503,$A2777))</f>
        <v/>
      </c>
      <c r="O2777" s="27">
        <f>IF($A2777="","",IF(COUNTIFS(NOVEDADES!$C$4:$C$1503,$A2777,NOVEDADES!$M$4:$M$1503,"SÍ")&gt;0,"No","Sí"))</f>
        <v/>
      </c>
      <c r="P2777" s="27">
        <f>IF(OR($A2777="",$K2777=""),"",IF(AND($M2777="Sí",$O2777="Sí"),"OTIF","Falló"))</f>
        <v/>
      </c>
    </row>
    <row r="2778" ht="16" customHeight="1">
      <c r="A2778" s="47" t="n"/>
      <c r="B2778" s="46" t="n"/>
      <c r="C2778" s="49" t="n"/>
      <c r="D2778" s="49" t="n"/>
      <c r="E2778" s="49" t="n"/>
      <c r="F2778" s="49" t="n"/>
      <c r="G2778" s="47" t="n"/>
      <c r="H2778" s="50" t="n"/>
      <c r="I2778" s="51" t="n"/>
      <c r="J2778" s="46" t="n"/>
      <c r="K2778" s="46" t="n"/>
      <c r="L2778" s="23">
        <f>IF(OR($A2778="",$B2778=""),"",IF($K2778&lt;&gt;"",$K2778-$B2778,TODAY()-$B2778))</f>
        <v/>
      </c>
      <c r="M2778" s="27">
        <f>IF(OR($A2778="",$J2778=""),"",IF($K2778="",IF(TODAY()&gt;$J2778,"Atrasado","En ruta"),IF($K2778&lt;=$J2778,"Sí","No")))</f>
        <v/>
      </c>
      <c r="N2778" s="23">
        <f>IF($A2778="","",COUNTIFS(NOVEDADES!$C$4:$C$1503,$A2778))</f>
        <v/>
      </c>
      <c r="O2778" s="27">
        <f>IF($A2778="","",IF(COUNTIFS(NOVEDADES!$C$4:$C$1503,$A2778,NOVEDADES!$M$4:$M$1503,"SÍ")&gt;0,"No","Sí"))</f>
        <v/>
      </c>
      <c r="P2778" s="27">
        <f>IF(OR($A2778="",$K2778=""),"",IF(AND($M2778="Sí",$O2778="Sí"),"OTIF","Falló"))</f>
        <v/>
      </c>
    </row>
    <row r="2779" ht="16" customHeight="1">
      <c r="A2779" s="47" t="n"/>
      <c r="B2779" s="46" t="n"/>
      <c r="C2779" s="49" t="n"/>
      <c r="D2779" s="49" t="n"/>
      <c r="E2779" s="49" t="n"/>
      <c r="F2779" s="49" t="n"/>
      <c r="G2779" s="47" t="n"/>
      <c r="H2779" s="50" t="n"/>
      <c r="I2779" s="51" t="n"/>
      <c r="J2779" s="46" t="n"/>
      <c r="K2779" s="46" t="n"/>
      <c r="L2779" s="23">
        <f>IF(OR($A2779="",$B2779=""),"",IF($K2779&lt;&gt;"",$K2779-$B2779,TODAY()-$B2779))</f>
        <v/>
      </c>
      <c r="M2779" s="27">
        <f>IF(OR($A2779="",$J2779=""),"",IF($K2779="",IF(TODAY()&gt;$J2779,"Atrasado","En ruta"),IF($K2779&lt;=$J2779,"Sí","No")))</f>
        <v/>
      </c>
      <c r="N2779" s="23">
        <f>IF($A2779="","",COUNTIFS(NOVEDADES!$C$4:$C$1503,$A2779))</f>
        <v/>
      </c>
      <c r="O2779" s="27">
        <f>IF($A2779="","",IF(COUNTIFS(NOVEDADES!$C$4:$C$1503,$A2779,NOVEDADES!$M$4:$M$1503,"SÍ")&gt;0,"No","Sí"))</f>
        <v/>
      </c>
      <c r="P2779" s="27">
        <f>IF(OR($A2779="",$K2779=""),"",IF(AND($M2779="Sí",$O2779="Sí"),"OTIF","Falló"))</f>
        <v/>
      </c>
    </row>
    <row r="2780" ht="16" customHeight="1">
      <c r="A2780" s="47" t="n"/>
      <c r="B2780" s="46" t="n"/>
      <c r="C2780" s="49" t="n"/>
      <c r="D2780" s="49" t="n"/>
      <c r="E2780" s="49" t="n"/>
      <c r="F2780" s="49" t="n"/>
      <c r="G2780" s="47" t="n"/>
      <c r="H2780" s="50" t="n"/>
      <c r="I2780" s="51" t="n"/>
      <c r="J2780" s="46" t="n"/>
      <c r="K2780" s="46" t="n"/>
      <c r="L2780" s="23">
        <f>IF(OR($A2780="",$B2780=""),"",IF($K2780&lt;&gt;"",$K2780-$B2780,TODAY()-$B2780))</f>
        <v/>
      </c>
      <c r="M2780" s="27">
        <f>IF(OR($A2780="",$J2780=""),"",IF($K2780="",IF(TODAY()&gt;$J2780,"Atrasado","En ruta"),IF($K2780&lt;=$J2780,"Sí","No")))</f>
        <v/>
      </c>
      <c r="N2780" s="23">
        <f>IF($A2780="","",COUNTIFS(NOVEDADES!$C$4:$C$1503,$A2780))</f>
        <v/>
      </c>
      <c r="O2780" s="27">
        <f>IF($A2780="","",IF(COUNTIFS(NOVEDADES!$C$4:$C$1503,$A2780,NOVEDADES!$M$4:$M$1503,"SÍ")&gt;0,"No","Sí"))</f>
        <v/>
      </c>
      <c r="P2780" s="27">
        <f>IF(OR($A2780="",$K2780=""),"",IF(AND($M2780="Sí",$O2780="Sí"),"OTIF","Falló"))</f>
        <v/>
      </c>
    </row>
    <row r="2781" ht="16" customHeight="1">
      <c r="A2781" s="47" t="n"/>
      <c r="B2781" s="46" t="n"/>
      <c r="C2781" s="49" t="n"/>
      <c r="D2781" s="49" t="n"/>
      <c r="E2781" s="49" t="n"/>
      <c r="F2781" s="49" t="n"/>
      <c r="G2781" s="47" t="n"/>
      <c r="H2781" s="50" t="n"/>
      <c r="I2781" s="51" t="n"/>
      <c r="J2781" s="46" t="n"/>
      <c r="K2781" s="46" t="n"/>
      <c r="L2781" s="23">
        <f>IF(OR($A2781="",$B2781=""),"",IF($K2781&lt;&gt;"",$K2781-$B2781,TODAY()-$B2781))</f>
        <v/>
      </c>
      <c r="M2781" s="27">
        <f>IF(OR($A2781="",$J2781=""),"",IF($K2781="",IF(TODAY()&gt;$J2781,"Atrasado","En ruta"),IF($K2781&lt;=$J2781,"Sí","No")))</f>
        <v/>
      </c>
      <c r="N2781" s="23">
        <f>IF($A2781="","",COUNTIFS(NOVEDADES!$C$4:$C$1503,$A2781))</f>
        <v/>
      </c>
      <c r="O2781" s="27">
        <f>IF($A2781="","",IF(COUNTIFS(NOVEDADES!$C$4:$C$1503,$A2781,NOVEDADES!$M$4:$M$1503,"SÍ")&gt;0,"No","Sí"))</f>
        <v/>
      </c>
      <c r="P2781" s="27">
        <f>IF(OR($A2781="",$K2781=""),"",IF(AND($M2781="Sí",$O2781="Sí"),"OTIF","Falló"))</f>
        <v/>
      </c>
    </row>
    <row r="2782" ht="16" customHeight="1">
      <c r="A2782" s="47" t="n"/>
      <c r="B2782" s="46" t="n"/>
      <c r="C2782" s="49" t="n"/>
      <c r="D2782" s="49" t="n"/>
      <c r="E2782" s="49" t="n"/>
      <c r="F2782" s="49" t="n"/>
      <c r="G2782" s="47" t="n"/>
      <c r="H2782" s="50" t="n"/>
      <c r="I2782" s="51" t="n"/>
      <c r="J2782" s="46" t="n"/>
      <c r="K2782" s="46" t="n"/>
      <c r="L2782" s="23">
        <f>IF(OR($A2782="",$B2782=""),"",IF($K2782&lt;&gt;"",$K2782-$B2782,TODAY()-$B2782))</f>
        <v/>
      </c>
      <c r="M2782" s="27">
        <f>IF(OR($A2782="",$J2782=""),"",IF($K2782="",IF(TODAY()&gt;$J2782,"Atrasado","En ruta"),IF($K2782&lt;=$J2782,"Sí","No")))</f>
        <v/>
      </c>
      <c r="N2782" s="23">
        <f>IF($A2782="","",COUNTIFS(NOVEDADES!$C$4:$C$1503,$A2782))</f>
        <v/>
      </c>
      <c r="O2782" s="27">
        <f>IF($A2782="","",IF(COUNTIFS(NOVEDADES!$C$4:$C$1503,$A2782,NOVEDADES!$M$4:$M$1503,"SÍ")&gt;0,"No","Sí"))</f>
        <v/>
      </c>
      <c r="P2782" s="27">
        <f>IF(OR($A2782="",$K2782=""),"",IF(AND($M2782="Sí",$O2782="Sí"),"OTIF","Falló"))</f>
        <v/>
      </c>
    </row>
    <row r="2783" ht="16" customHeight="1">
      <c r="A2783" s="47" t="n"/>
      <c r="B2783" s="46" t="n"/>
      <c r="C2783" s="49" t="n"/>
      <c r="D2783" s="49" t="n"/>
      <c r="E2783" s="49" t="n"/>
      <c r="F2783" s="49" t="n"/>
      <c r="G2783" s="47" t="n"/>
      <c r="H2783" s="50" t="n"/>
      <c r="I2783" s="51" t="n"/>
      <c r="J2783" s="46" t="n"/>
      <c r="K2783" s="46" t="n"/>
      <c r="L2783" s="23">
        <f>IF(OR($A2783="",$B2783=""),"",IF($K2783&lt;&gt;"",$K2783-$B2783,TODAY()-$B2783))</f>
        <v/>
      </c>
      <c r="M2783" s="27">
        <f>IF(OR($A2783="",$J2783=""),"",IF($K2783="",IF(TODAY()&gt;$J2783,"Atrasado","En ruta"),IF($K2783&lt;=$J2783,"Sí","No")))</f>
        <v/>
      </c>
      <c r="N2783" s="23">
        <f>IF($A2783="","",COUNTIFS(NOVEDADES!$C$4:$C$1503,$A2783))</f>
        <v/>
      </c>
      <c r="O2783" s="27">
        <f>IF($A2783="","",IF(COUNTIFS(NOVEDADES!$C$4:$C$1503,$A2783,NOVEDADES!$M$4:$M$1503,"SÍ")&gt;0,"No","Sí"))</f>
        <v/>
      </c>
      <c r="P2783" s="27">
        <f>IF(OR($A2783="",$K2783=""),"",IF(AND($M2783="Sí",$O2783="Sí"),"OTIF","Falló"))</f>
        <v/>
      </c>
    </row>
    <row r="2784" ht="16" customHeight="1">
      <c r="A2784" s="47" t="n"/>
      <c r="B2784" s="46" t="n"/>
      <c r="C2784" s="49" t="n"/>
      <c r="D2784" s="49" t="n"/>
      <c r="E2784" s="49" t="n"/>
      <c r="F2784" s="49" t="n"/>
      <c r="G2784" s="47" t="n"/>
      <c r="H2784" s="50" t="n"/>
      <c r="I2784" s="51" t="n"/>
      <c r="J2784" s="46" t="n"/>
      <c r="K2784" s="46" t="n"/>
      <c r="L2784" s="23">
        <f>IF(OR($A2784="",$B2784=""),"",IF($K2784&lt;&gt;"",$K2784-$B2784,TODAY()-$B2784))</f>
        <v/>
      </c>
      <c r="M2784" s="27">
        <f>IF(OR($A2784="",$J2784=""),"",IF($K2784="",IF(TODAY()&gt;$J2784,"Atrasado","En ruta"),IF($K2784&lt;=$J2784,"Sí","No")))</f>
        <v/>
      </c>
      <c r="N2784" s="23">
        <f>IF($A2784="","",COUNTIFS(NOVEDADES!$C$4:$C$1503,$A2784))</f>
        <v/>
      </c>
      <c r="O2784" s="27">
        <f>IF($A2784="","",IF(COUNTIFS(NOVEDADES!$C$4:$C$1503,$A2784,NOVEDADES!$M$4:$M$1503,"SÍ")&gt;0,"No","Sí"))</f>
        <v/>
      </c>
      <c r="P2784" s="27">
        <f>IF(OR($A2784="",$K2784=""),"",IF(AND($M2784="Sí",$O2784="Sí"),"OTIF","Falló"))</f>
        <v/>
      </c>
    </row>
    <row r="2785" ht="16" customHeight="1">
      <c r="A2785" s="47" t="n"/>
      <c r="B2785" s="46" t="n"/>
      <c r="C2785" s="49" t="n"/>
      <c r="D2785" s="49" t="n"/>
      <c r="E2785" s="49" t="n"/>
      <c r="F2785" s="49" t="n"/>
      <c r="G2785" s="47" t="n"/>
      <c r="H2785" s="50" t="n"/>
      <c r="I2785" s="51" t="n"/>
      <c r="J2785" s="46" t="n"/>
      <c r="K2785" s="46" t="n"/>
      <c r="L2785" s="23">
        <f>IF(OR($A2785="",$B2785=""),"",IF($K2785&lt;&gt;"",$K2785-$B2785,TODAY()-$B2785))</f>
        <v/>
      </c>
      <c r="M2785" s="27">
        <f>IF(OR($A2785="",$J2785=""),"",IF($K2785="",IF(TODAY()&gt;$J2785,"Atrasado","En ruta"),IF($K2785&lt;=$J2785,"Sí","No")))</f>
        <v/>
      </c>
      <c r="N2785" s="23">
        <f>IF($A2785="","",COUNTIFS(NOVEDADES!$C$4:$C$1503,$A2785))</f>
        <v/>
      </c>
      <c r="O2785" s="27">
        <f>IF($A2785="","",IF(COUNTIFS(NOVEDADES!$C$4:$C$1503,$A2785,NOVEDADES!$M$4:$M$1503,"SÍ")&gt;0,"No","Sí"))</f>
        <v/>
      </c>
      <c r="P2785" s="27">
        <f>IF(OR($A2785="",$K2785=""),"",IF(AND($M2785="Sí",$O2785="Sí"),"OTIF","Falló"))</f>
        <v/>
      </c>
    </row>
    <row r="2786" ht="16" customHeight="1">
      <c r="A2786" s="47" t="n"/>
      <c r="B2786" s="46" t="n"/>
      <c r="C2786" s="49" t="n"/>
      <c r="D2786" s="49" t="n"/>
      <c r="E2786" s="49" t="n"/>
      <c r="F2786" s="49" t="n"/>
      <c r="G2786" s="47" t="n"/>
      <c r="H2786" s="50" t="n"/>
      <c r="I2786" s="51" t="n"/>
      <c r="J2786" s="46" t="n"/>
      <c r="K2786" s="46" t="n"/>
      <c r="L2786" s="23">
        <f>IF(OR($A2786="",$B2786=""),"",IF($K2786&lt;&gt;"",$K2786-$B2786,TODAY()-$B2786))</f>
        <v/>
      </c>
      <c r="M2786" s="27">
        <f>IF(OR($A2786="",$J2786=""),"",IF($K2786="",IF(TODAY()&gt;$J2786,"Atrasado","En ruta"),IF($K2786&lt;=$J2786,"Sí","No")))</f>
        <v/>
      </c>
      <c r="N2786" s="23">
        <f>IF($A2786="","",COUNTIFS(NOVEDADES!$C$4:$C$1503,$A2786))</f>
        <v/>
      </c>
      <c r="O2786" s="27">
        <f>IF($A2786="","",IF(COUNTIFS(NOVEDADES!$C$4:$C$1503,$A2786,NOVEDADES!$M$4:$M$1503,"SÍ")&gt;0,"No","Sí"))</f>
        <v/>
      </c>
      <c r="P2786" s="27">
        <f>IF(OR($A2786="",$K2786=""),"",IF(AND($M2786="Sí",$O2786="Sí"),"OTIF","Falló"))</f>
        <v/>
      </c>
    </row>
    <row r="2787" ht="16" customHeight="1">
      <c r="A2787" s="47" t="n"/>
      <c r="B2787" s="46" t="n"/>
      <c r="C2787" s="49" t="n"/>
      <c r="D2787" s="49" t="n"/>
      <c r="E2787" s="49" t="n"/>
      <c r="F2787" s="49" t="n"/>
      <c r="G2787" s="47" t="n"/>
      <c r="H2787" s="50" t="n"/>
      <c r="I2787" s="51" t="n"/>
      <c r="J2787" s="46" t="n"/>
      <c r="K2787" s="46" t="n"/>
      <c r="L2787" s="23">
        <f>IF(OR($A2787="",$B2787=""),"",IF($K2787&lt;&gt;"",$K2787-$B2787,TODAY()-$B2787))</f>
        <v/>
      </c>
      <c r="M2787" s="27">
        <f>IF(OR($A2787="",$J2787=""),"",IF($K2787="",IF(TODAY()&gt;$J2787,"Atrasado","En ruta"),IF($K2787&lt;=$J2787,"Sí","No")))</f>
        <v/>
      </c>
      <c r="N2787" s="23">
        <f>IF($A2787="","",COUNTIFS(NOVEDADES!$C$4:$C$1503,$A2787))</f>
        <v/>
      </c>
      <c r="O2787" s="27">
        <f>IF($A2787="","",IF(COUNTIFS(NOVEDADES!$C$4:$C$1503,$A2787,NOVEDADES!$M$4:$M$1503,"SÍ")&gt;0,"No","Sí"))</f>
        <v/>
      </c>
      <c r="P2787" s="27">
        <f>IF(OR($A2787="",$K2787=""),"",IF(AND($M2787="Sí",$O2787="Sí"),"OTIF","Falló"))</f>
        <v/>
      </c>
    </row>
    <row r="2788" ht="16" customHeight="1">
      <c r="A2788" s="47" t="n"/>
      <c r="B2788" s="46" t="n"/>
      <c r="C2788" s="49" t="n"/>
      <c r="D2788" s="49" t="n"/>
      <c r="E2788" s="49" t="n"/>
      <c r="F2788" s="49" t="n"/>
      <c r="G2788" s="47" t="n"/>
      <c r="H2788" s="50" t="n"/>
      <c r="I2788" s="51" t="n"/>
      <c r="J2788" s="46" t="n"/>
      <c r="K2788" s="46" t="n"/>
      <c r="L2788" s="23">
        <f>IF(OR($A2788="",$B2788=""),"",IF($K2788&lt;&gt;"",$K2788-$B2788,TODAY()-$B2788))</f>
        <v/>
      </c>
      <c r="M2788" s="27">
        <f>IF(OR($A2788="",$J2788=""),"",IF($K2788="",IF(TODAY()&gt;$J2788,"Atrasado","En ruta"),IF($K2788&lt;=$J2788,"Sí","No")))</f>
        <v/>
      </c>
      <c r="N2788" s="23">
        <f>IF($A2788="","",COUNTIFS(NOVEDADES!$C$4:$C$1503,$A2788))</f>
        <v/>
      </c>
      <c r="O2788" s="27">
        <f>IF($A2788="","",IF(COUNTIFS(NOVEDADES!$C$4:$C$1503,$A2788,NOVEDADES!$M$4:$M$1503,"SÍ")&gt;0,"No","Sí"))</f>
        <v/>
      </c>
      <c r="P2788" s="27">
        <f>IF(OR($A2788="",$K2788=""),"",IF(AND($M2788="Sí",$O2788="Sí"),"OTIF","Falló"))</f>
        <v/>
      </c>
    </row>
    <row r="2789" ht="16" customHeight="1">
      <c r="A2789" s="47" t="n"/>
      <c r="B2789" s="46" t="n"/>
      <c r="C2789" s="49" t="n"/>
      <c r="D2789" s="49" t="n"/>
      <c r="E2789" s="49" t="n"/>
      <c r="F2789" s="49" t="n"/>
      <c r="G2789" s="47" t="n"/>
      <c r="H2789" s="50" t="n"/>
      <c r="I2789" s="51" t="n"/>
      <c r="J2789" s="46" t="n"/>
      <c r="K2789" s="46" t="n"/>
      <c r="L2789" s="23">
        <f>IF(OR($A2789="",$B2789=""),"",IF($K2789&lt;&gt;"",$K2789-$B2789,TODAY()-$B2789))</f>
        <v/>
      </c>
      <c r="M2789" s="27">
        <f>IF(OR($A2789="",$J2789=""),"",IF($K2789="",IF(TODAY()&gt;$J2789,"Atrasado","En ruta"),IF($K2789&lt;=$J2789,"Sí","No")))</f>
        <v/>
      </c>
      <c r="N2789" s="23">
        <f>IF($A2789="","",COUNTIFS(NOVEDADES!$C$4:$C$1503,$A2789))</f>
        <v/>
      </c>
      <c r="O2789" s="27">
        <f>IF($A2789="","",IF(COUNTIFS(NOVEDADES!$C$4:$C$1503,$A2789,NOVEDADES!$M$4:$M$1503,"SÍ")&gt;0,"No","Sí"))</f>
        <v/>
      </c>
      <c r="P2789" s="27">
        <f>IF(OR($A2789="",$K2789=""),"",IF(AND($M2789="Sí",$O2789="Sí"),"OTIF","Falló"))</f>
        <v/>
      </c>
    </row>
    <row r="2790" ht="16" customHeight="1">
      <c r="A2790" s="47" t="n"/>
      <c r="B2790" s="46" t="n"/>
      <c r="C2790" s="49" t="n"/>
      <c r="D2790" s="49" t="n"/>
      <c r="E2790" s="49" t="n"/>
      <c r="F2790" s="49" t="n"/>
      <c r="G2790" s="47" t="n"/>
      <c r="H2790" s="50" t="n"/>
      <c r="I2790" s="51" t="n"/>
      <c r="J2790" s="46" t="n"/>
      <c r="K2790" s="46" t="n"/>
      <c r="L2790" s="23">
        <f>IF(OR($A2790="",$B2790=""),"",IF($K2790&lt;&gt;"",$K2790-$B2790,TODAY()-$B2790))</f>
        <v/>
      </c>
      <c r="M2790" s="27">
        <f>IF(OR($A2790="",$J2790=""),"",IF($K2790="",IF(TODAY()&gt;$J2790,"Atrasado","En ruta"),IF($K2790&lt;=$J2790,"Sí","No")))</f>
        <v/>
      </c>
      <c r="N2790" s="23">
        <f>IF($A2790="","",COUNTIFS(NOVEDADES!$C$4:$C$1503,$A2790))</f>
        <v/>
      </c>
      <c r="O2790" s="27">
        <f>IF($A2790="","",IF(COUNTIFS(NOVEDADES!$C$4:$C$1503,$A2790,NOVEDADES!$M$4:$M$1503,"SÍ")&gt;0,"No","Sí"))</f>
        <v/>
      </c>
      <c r="P2790" s="27">
        <f>IF(OR($A2790="",$K2790=""),"",IF(AND($M2790="Sí",$O2790="Sí"),"OTIF","Falló"))</f>
        <v/>
      </c>
    </row>
    <row r="2791" ht="16" customHeight="1">
      <c r="A2791" s="47" t="n"/>
      <c r="B2791" s="46" t="n"/>
      <c r="C2791" s="49" t="n"/>
      <c r="D2791" s="49" t="n"/>
      <c r="E2791" s="49" t="n"/>
      <c r="F2791" s="49" t="n"/>
      <c r="G2791" s="47" t="n"/>
      <c r="H2791" s="50" t="n"/>
      <c r="I2791" s="51" t="n"/>
      <c r="J2791" s="46" t="n"/>
      <c r="K2791" s="46" t="n"/>
      <c r="L2791" s="23">
        <f>IF(OR($A2791="",$B2791=""),"",IF($K2791&lt;&gt;"",$K2791-$B2791,TODAY()-$B2791))</f>
        <v/>
      </c>
      <c r="M2791" s="27">
        <f>IF(OR($A2791="",$J2791=""),"",IF($K2791="",IF(TODAY()&gt;$J2791,"Atrasado","En ruta"),IF($K2791&lt;=$J2791,"Sí","No")))</f>
        <v/>
      </c>
      <c r="N2791" s="23">
        <f>IF($A2791="","",COUNTIFS(NOVEDADES!$C$4:$C$1503,$A2791))</f>
        <v/>
      </c>
      <c r="O2791" s="27">
        <f>IF($A2791="","",IF(COUNTIFS(NOVEDADES!$C$4:$C$1503,$A2791,NOVEDADES!$M$4:$M$1503,"SÍ")&gt;0,"No","Sí"))</f>
        <v/>
      </c>
      <c r="P2791" s="27">
        <f>IF(OR($A2791="",$K2791=""),"",IF(AND($M2791="Sí",$O2791="Sí"),"OTIF","Falló"))</f>
        <v/>
      </c>
    </row>
    <row r="2792" ht="16" customHeight="1">
      <c r="A2792" s="47" t="n"/>
      <c r="B2792" s="46" t="n"/>
      <c r="C2792" s="49" t="n"/>
      <c r="D2792" s="49" t="n"/>
      <c r="E2792" s="49" t="n"/>
      <c r="F2792" s="49" t="n"/>
      <c r="G2792" s="47" t="n"/>
      <c r="H2792" s="50" t="n"/>
      <c r="I2792" s="51" t="n"/>
      <c r="J2792" s="46" t="n"/>
      <c r="K2792" s="46" t="n"/>
      <c r="L2792" s="23">
        <f>IF(OR($A2792="",$B2792=""),"",IF($K2792&lt;&gt;"",$K2792-$B2792,TODAY()-$B2792))</f>
        <v/>
      </c>
      <c r="M2792" s="27">
        <f>IF(OR($A2792="",$J2792=""),"",IF($K2792="",IF(TODAY()&gt;$J2792,"Atrasado","En ruta"),IF($K2792&lt;=$J2792,"Sí","No")))</f>
        <v/>
      </c>
      <c r="N2792" s="23">
        <f>IF($A2792="","",COUNTIFS(NOVEDADES!$C$4:$C$1503,$A2792))</f>
        <v/>
      </c>
      <c r="O2792" s="27">
        <f>IF($A2792="","",IF(COUNTIFS(NOVEDADES!$C$4:$C$1503,$A2792,NOVEDADES!$M$4:$M$1503,"SÍ")&gt;0,"No","Sí"))</f>
        <v/>
      </c>
      <c r="P2792" s="27">
        <f>IF(OR($A2792="",$K2792=""),"",IF(AND($M2792="Sí",$O2792="Sí"),"OTIF","Falló"))</f>
        <v/>
      </c>
    </row>
    <row r="2793" ht="16" customHeight="1">
      <c r="A2793" s="47" t="n"/>
      <c r="B2793" s="46" t="n"/>
      <c r="C2793" s="49" t="n"/>
      <c r="D2793" s="49" t="n"/>
      <c r="E2793" s="49" t="n"/>
      <c r="F2793" s="49" t="n"/>
      <c r="G2793" s="47" t="n"/>
      <c r="H2793" s="50" t="n"/>
      <c r="I2793" s="51" t="n"/>
      <c r="J2793" s="46" t="n"/>
      <c r="K2793" s="46" t="n"/>
      <c r="L2793" s="23">
        <f>IF(OR($A2793="",$B2793=""),"",IF($K2793&lt;&gt;"",$K2793-$B2793,TODAY()-$B2793))</f>
        <v/>
      </c>
      <c r="M2793" s="27">
        <f>IF(OR($A2793="",$J2793=""),"",IF($K2793="",IF(TODAY()&gt;$J2793,"Atrasado","En ruta"),IF($K2793&lt;=$J2793,"Sí","No")))</f>
        <v/>
      </c>
      <c r="N2793" s="23">
        <f>IF($A2793="","",COUNTIFS(NOVEDADES!$C$4:$C$1503,$A2793))</f>
        <v/>
      </c>
      <c r="O2793" s="27">
        <f>IF($A2793="","",IF(COUNTIFS(NOVEDADES!$C$4:$C$1503,$A2793,NOVEDADES!$M$4:$M$1503,"SÍ")&gt;0,"No","Sí"))</f>
        <v/>
      </c>
      <c r="P2793" s="27">
        <f>IF(OR($A2793="",$K2793=""),"",IF(AND($M2793="Sí",$O2793="Sí"),"OTIF","Falló"))</f>
        <v/>
      </c>
    </row>
    <row r="2794" ht="16" customHeight="1">
      <c r="A2794" s="47" t="n"/>
      <c r="B2794" s="46" t="n"/>
      <c r="C2794" s="49" t="n"/>
      <c r="D2794" s="49" t="n"/>
      <c r="E2794" s="49" t="n"/>
      <c r="F2794" s="49" t="n"/>
      <c r="G2794" s="47" t="n"/>
      <c r="H2794" s="50" t="n"/>
      <c r="I2794" s="51" t="n"/>
      <c r="J2794" s="46" t="n"/>
      <c r="K2794" s="46" t="n"/>
      <c r="L2794" s="23">
        <f>IF(OR($A2794="",$B2794=""),"",IF($K2794&lt;&gt;"",$K2794-$B2794,TODAY()-$B2794))</f>
        <v/>
      </c>
      <c r="M2794" s="27">
        <f>IF(OR($A2794="",$J2794=""),"",IF($K2794="",IF(TODAY()&gt;$J2794,"Atrasado","En ruta"),IF($K2794&lt;=$J2794,"Sí","No")))</f>
        <v/>
      </c>
      <c r="N2794" s="23">
        <f>IF($A2794="","",COUNTIFS(NOVEDADES!$C$4:$C$1503,$A2794))</f>
        <v/>
      </c>
      <c r="O2794" s="27">
        <f>IF($A2794="","",IF(COUNTIFS(NOVEDADES!$C$4:$C$1503,$A2794,NOVEDADES!$M$4:$M$1503,"SÍ")&gt;0,"No","Sí"))</f>
        <v/>
      </c>
      <c r="P2794" s="27">
        <f>IF(OR($A2794="",$K2794=""),"",IF(AND($M2794="Sí",$O2794="Sí"),"OTIF","Falló"))</f>
        <v/>
      </c>
    </row>
    <row r="2795" ht="16" customHeight="1">
      <c r="A2795" s="47" t="n"/>
      <c r="B2795" s="46" t="n"/>
      <c r="C2795" s="49" t="n"/>
      <c r="D2795" s="49" t="n"/>
      <c r="E2795" s="49" t="n"/>
      <c r="F2795" s="49" t="n"/>
      <c r="G2795" s="47" t="n"/>
      <c r="H2795" s="50" t="n"/>
      <c r="I2795" s="51" t="n"/>
      <c r="J2795" s="46" t="n"/>
      <c r="K2795" s="46" t="n"/>
      <c r="L2795" s="23">
        <f>IF(OR($A2795="",$B2795=""),"",IF($K2795&lt;&gt;"",$K2795-$B2795,TODAY()-$B2795))</f>
        <v/>
      </c>
      <c r="M2795" s="27">
        <f>IF(OR($A2795="",$J2795=""),"",IF($K2795="",IF(TODAY()&gt;$J2795,"Atrasado","En ruta"),IF($K2795&lt;=$J2795,"Sí","No")))</f>
        <v/>
      </c>
      <c r="N2795" s="23">
        <f>IF($A2795="","",COUNTIFS(NOVEDADES!$C$4:$C$1503,$A2795))</f>
        <v/>
      </c>
      <c r="O2795" s="27">
        <f>IF($A2795="","",IF(COUNTIFS(NOVEDADES!$C$4:$C$1503,$A2795,NOVEDADES!$M$4:$M$1503,"SÍ")&gt;0,"No","Sí"))</f>
        <v/>
      </c>
      <c r="P2795" s="27">
        <f>IF(OR($A2795="",$K2795=""),"",IF(AND($M2795="Sí",$O2795="Sí"),"OTIF","Falló"))</f>
        <v/>
      </c>
    </row>
    <row r="2796" ht="16" customHeight="1">
      <c r="A2796" s="47" t="n"/>
      <c r="B2796" s="46" t="n"/>
      <c r="C2796" s="49" t="n"/>
      <c r="D2796" s="49" t="n"/>
      <c r="E2796" s="49" t="n"/>
      <c r="F2796" s="49" t="n"/>
      <c r="G2796" s="47" t="n"/>
      <c r="H2796" s="50" t="n"/>
      <c r="I2796" s="51" t="n"/>
      <c r="J2796" s="46" t="n"/>
      <c r="K2796" s="46" t="n"/>
      <c r="L2796" s="23">
        <f>IF(OR($A2796="",$B2796=""),"",IF($K2796&lt;&gt;"",$K2796-$B2796,TODAY()-$B2796))</f>
        <v/>
      </c>
      <c r="M2796" s="27">
        <f>IF(OR($A2796="",$J2796=""),"",IF($K2796="",IF(TODAY()&gt;$J2796,"Atrasado","En ruta"),IF($K2796&lt;=$J2796,"Sí","No")))</f>
        <v/>
      </c>
      <c r="N2796" s="23">
        <f>IF($A2796="","",COUNTIFS(NOVEDADES!$C$4:$C$1503,$A2796))</f>
        <v/>
      </c>
      <c r="O2796" s="27">
        <f>IF($A2796="","",IF(COUNTIFS(NOVEDADES!$C$4:$C$1503,$A2796,NOVEDADES!$M$4:$M$1503,"SÍ")&gt;0,"No","Sí"))</f>
        <v/>
      </c>
      <c r="P2796" s="27">
        <f>IF(OR($A2796="",$K2796=""),"",IF(AND($M2796="Sí",$O2796="Sí"),"OTIF","Falló"))</f>
        <v/>
      </c>
    </row>
    <row r="2797" ht="16" customHeight="1">
      <c r="A2797" s="47" t="n"/>
      <c r="B2797" s="46" t="n"/>
      <c r="C2797" s="49" t="n"/>
      <c r="D2797" s="49" t="n"/>
      <c r="E2797" s="49" t="n"/>
      <c r="F2797" s="49" t="n"/>
      <c r="G2797" s="47" t="n"/>
      <c r="H2797" s="50" t="n"/>
      <c r="I2797" s="51" t="n"/>
      <c r="J2797" s="46" t="n"/>
      <c r="K2797" s="46" t="n"/>
      <c r="L2797" s="23">
        <f>IF(OR($A2797="",$B2797=""),"",IF($K2797&lt;&gt;"",$K2797-$B2797,TODAY()-$B2797))</f>
        <v/>
      </c>
      <c r="M2797" s="27">
        <f>IF(OR($A2797="",$J2797=""),"",IF($K2797="",IF(TODAY()&gt;$J2797,"Atrasado","En ruta"),IF($K2797&lt;=$J2797,"Sí","No")))</f>
        <v/>
      </c>
      <c r="N2797" s="23">
        <f>IF($A2797="","",COUNTIFS(NOVEDADES!$C$4:$C$1503,$A2797))</f>
        <v/>
      </c>
      <c r="O2797" s="27">
        <f>IF($A2797="","",IF(COUNTIFS(NOVEDADES!$C$4:$C$1503,$A2797,NOVEDADES!$M$4:$M$1503,"SÍ")&gt;0,"No","Sí"))</f>
        <v/>
      </c>
      <c r="P2797" s="27">
        <f>IF(OR($A2797="",$K2797=""),"",IF(AND($M2797="Sí",$O2797="Sí"),"OTIF","Falló"))</f>
        <v/>
      </c>
    </row>
    <row r="2798" ht="16" customHeight="1">
      <c r="A2798" s="47" t="n"/>
      <c r="B2798" s="46" t="n"/>
      <c r="C2798" s="49" t="n"/>
      <c r="D2798" s="49" t="n"/>
      <c r="E2798" s="49" t="n"/>
      <c r="F2798" s="49" t="n"/>
      <c r="G2798" s="47" t="n"/>
      <c r="H2798" s="50" t="n"/>
      <c r="I2798" s="51" t="n"/>
      <c r="J2798" s="46" t="n"/>
      <c r="K2798" s="46" t="n"/>
      <c r="L2798" s="23">
        <f>IF(OR($A2798="",$B2798=""),"",IF($K2798&lt;&gt;"",$K2798-$B2798,TODAY()-$B2798))</f>
        <v/>
      </c>
      <c r="M2798" s="27">
        <f>IF(OR($A2798="",$J2798=""),"",IF($K2798="",IF(TODAY()&gt;$J2798,"Atrasado","En ruta"),IF($K2798&lt;=$J2798,"Sí","No")))</f>
        <v/>
      </c>
      <c r="N2798" s="23">
        <f>IF($A2798="","",COUNTIFS(NOVEDADES!$C$4:$C$1503,$A2798))</f>
        <v/>
      </c>
      <c r="O2798" s="27">
        <f>IF($A2798="","",IF(COUNTIFS(NOVEDADES!$C$4:$C$1503,$A2798,NOVEDADES!$M$4:$M$1503,"SÍ")&gt;0,"No","Sí"))</f>
        <v/>
      </c>
      <c r="P2798" s="27">
        <f>IF(OR($A2798="",$K2798=""),"",IF(AND($M2798="Sí",$O2798="Sí"),"OTIF","Falló"))</f>
        <v/>
      </c>
    </row>
    <row r="2799" ht="16" customHeight="1">
      <c r="A2799" s="47" t="n"/>
      <c r="B2799" s="46" t="n"/>
      <c r="C2799" s="49" t="n"/>
      <c r="D2799" s="49" t="n"/>
      <c r="E2799" s="49" t="n"/>
      <c r="F2799" s="49" t="n"/>
      <c r="G2799" s="47" t="n"/>
      <c r="H2799" s="50" t="n"/>
      <c r="I2799" s="51" t="n"/>
      <c r="J2799" s="46" t="n"/>
      <c r="K2799" s="46" t="n"/>
      <c r="L2799" s="23">
        <f>IF(OR($A2799="",$B2799=""),"",IF($K2799&lt;&gt;"",$K2799-$B2799,TODAY()-$B2799))</f>
        <v/>
      </c>
      <c r="M2799" s="27">
        <f>IF(OR($A2799="",$J2799=""),"",IF($K2799="",IF(TODAY()&gt;$J2799,"Atrasado","En ruta"),IF($K2799&lt;=$J2799,"Sí","No")))</f>
        <v/>
      </c>
      <c r="N2799" s="23">
        <f>IF($A2799="","",COUNTIFS(NOVEDADES!$C$4:$C$1503,$A2799))</f>
        <v/>
      </c>
      <c r="O2799" s="27">
        <f>IF($A2799="","",IF(COUNTIFS(NOVEDADES!$C$4:$C$1503,$A2799,NOVEDADES!$M$4:$M$1503,"SÍ")&gt;0,"No","Sí"))</f>
        <v/>
      </c>
      <c r="P2799" s="27">
        <f>IF(OR($A2799="",$K2799=""),"",IF(AND($M2799="Sí",$O2799="Sí"),"OTIF","Falló"))</f>
        <v/>
      </c>
    </row>
    <row r="2800" ht="16" customHeight="1">
      <c r="A2800" s="47" t="n"/>
      <c r="B2800" s="46" t="n"/>
      <c r="C2800" s="49" t="n"/>
      <c r="D2800" s="49" t="n"/>
      <c r="E2800" s="49" t="n"/>
      <c r="F2800" s="49" t="n"/>
      <c r="G2800" s="47" t="n"/>
      <c r="H2800" s="50" t="n"/>
      <c r="I2800" s="51" t="n"/>
      <c r="J2800" s="46" t="n"/>
      <c r="K2800" s="46" t="n"/>
      <c r="L2800" s="23">
        <f>IF(OR($A2800="",$B2800=""),"",IF($K2800&lt;&gt;"",$K2800-$B2800,TODAY()-$B2800))</f>
        <v/>
      </c>
      <c r="M2800" s="27">
        <f>IF(OR($A2800="",$J2800=""),"",IF($K2800="",IF(TODAY()&gt;$J2800,"Atrasado","En ruta"),IF($K2800&lt;=$J2800,"Sí","No")))</f>
        <v/>
      </c>
      <c r="N2800" s="23">
        <f>IF($A2800="","",COUNTIFS(NOVEDADES!$C$4:$C$1503,$A2800))</f>
        <v/>
      </c>
      <c r="O2800" s="27">
        <f>IF($A2800="","",IF(COUNTIFS(NOVEDADES!$C$4:$C$1503,$A2800,NOVEDADES!$M$4:$M$1503,"SÍ")&gt;0,"No","Sí"))</f>
        <v/>
      </c>
      <c r="P2800" s="27">
        <f>IF(OR($A2800="",$K2800=""),"",IF(AND($M2800="Sí",$O2800="Sí"),"OTIF","Falló"))</f>
        <v/>
      </c>
    </row>
    <row r="2801" ht="16" customHeight="1">
      <c r="A2801" s="47" t="n"/>
      <c r="B2801" s="46" t="n"/>
      <c r="C2801" s="49" t="n"/>
      <c r="D2801" s="49" t="n"/>
      <c r="E2801" s="49" t="n"/>
      <c r="F2801" s="49" t="n"/>
      <c r="G2801" s="47" t="n"/>
      <c r="H2801" s="50" t="n"/>
      <c r="I2801" s="51" t="n"/>
      <c r="J2801" s="46" t="n"/>
      <c r="K2801" s="46" t="n"/>
      <c r="L2801" s="23">
        <f>IF(OR($A2801="",$B2801=""),"",IF($K2801&lt;&gt;"",$K2801-$B2801,TODAY()-$B2801))</f>
        <v/>
      </c>
      <c r="M2801" s="27">
        <f>IF(OR($A2801="",$J2801=""),"",IF($K2801="",IF(TODAY()&gt;$J2801,"Atrasado","En ruta"),IF($K2801&lt;=$J2801,"Sí","No")))</f>
        <v/>
      </c>
      <c r="N2801" s="23">
        <f>IF($A2801="","",COUNTIFS(NOVEDADES!$C$4:$C$1503,$A2801))</f>
        <v/>
      </c>
      <c r="O2801" s="27">
        <f>IF($A2801="","",IF(COUNTIFS(NOVEDADES!$C$4:$C$1503,$A2801,NOVEDADES!$M$4:$M$1503,"SÍ")&gt;0,"No","Sí"))</f>
        <v/>
      </c>
      <c r="P2801" s="27">
        <f>IF(OR($A2801="",$K2801=""),"",IF(AND($M2801="Sí",$O2801="Sí"),"OTIF","Falló"))</f>
        <v/>
      </c>
    </row>
    <row r="2802" ht="16" customHeight="1">
      <c r="A2802" s="47" t="n"/>
      <c r="B2802" s="46" t="n"/>
      <c r="C2802" s="49" t="n"/>
      <c r="D2802" s="49" t="n"/>
      <c r="E2802" s="49" t="n"/>
      <c r="F2802" s="49" t="n"/>
      <c r="G2802" s="47" t="n"/>
      <c r="H2802" s="50" t="n"/>
      <c r="I2802" s="51" t="n"/>
      <c r="J2802" s="46" t="n"/>
      <c r="K2802" s="46" t="n"/>
      <c r="L2802" s="23">
        <f>IF(OR($A2802="",$B2802=""),"",IF($K2802&lt;&gt;"",$K2802-$B2802,TODAY()-$B2802))</f>
        <v/>
      </c>
      <c r="M2802" s="27">
        <f>IF(OR($A2802="",$J2802=""),"",IF($K2802="",IF(TODAY()&gt;$J2802,"Atrasado","En ruta"),IF($K2802&lt;=$J2802,"Sí","No")))</f>
        <v/>
      </c>
      <c r="N2802" s="23">
        <f>IF($A2802="","",COUNTIFS(NOVEDADES!$C$4:$C$1503,$A2802))</f>
        <v/>
      </c>
      <c r="O2802" s="27">
        <f>IF($A2802="","",IF(COUNTIFS(NOVEDADES!$C$4:$C$1503,$A2802,NOVEDADES!$M$4:$M$1503,"SÍ")&gt;0,"No","Sí"))</f>
        <v/>
      </c>
      <c r="P2802" s="27">
        <f>IF(OR($A2802="",$K2802=""),"",IF(AND($M2802="Sí",$O2802="Sí"),"OTIF","Falló"))</f>
        <v/>
      </c>
    </row>
    <row r="2803" ht="16" customHeight="1">
      <c r="A2803" s="47" t="n"/>
      <c r="B2803" s="46" t="n"/>
      <c r="C2803" s="49" t="n"/>
      <c r="D2803" s="49" t="n"/>
      <c r="E2803" s="49" t="n"/>
      <c r="F2803" s="49" t="n"/>
      <c r="G2803" s="47" t="n"/>
      <c r="H2803" s="50" t="n"/>
      <c r="I2803" s="51" t="n"/>
      <c r="J2803" s="46" t="n"/>
      <c r="K2803" s="46" t="n"/>
      <c r="L2803" s="23">
        <f>IF(OR($A2803="",$B2803=""),"",IF($K2803&lt;&gt;"",$K2803-$B2803,TODAY()-$B2803))</f>
        <v/>
      </c>
      <c r="M2803" s="27">
        <f>IF(OR($A2803="",$J2803=""),"",IF($K2803="",IF(TODAY()&gt;$J2803,"Atrasado","En ruta"),IF($K2803&lt;=$J2803,"Sí","No")))</f>
        <v/>
      </c>
      <c r="N2803" s="23">
        <f>IF($A2803="","",COUNTIFS(NOVEDADES!$C$4:$C$1503,$A2803))</f>
        <v/>
      </c>
      <c r="O2803" s="27">
        <f>IF($A2803="","",IF(COUNTIFS(NOVEDADES!$C$4:$C$1503,$A2803,NOVEDADES!$M$4:$M$1503,"SÍ")&gt;0,"No","Sí"))</f>
        <v/>
      </c>
      <c r="P2803" s="27">
        <f>IF(OR($A2803="",$K2803=""),"",IF(AND($M2803="Sí",$O2803="Sí"),"OTIF","Falló"))</f>
        <v/>
      </c>
    </row>
    <row r="2804" ht="16" customHeight="1">
      <c r="A2804" s="47" t="n"/>
      <c r="B2804" s="46" t="n"/>
      <c r="C2804" s="49" t="n"/>
      <c r="D2804" s="49" t="n"/>
      <c r="E2804" s="49" t="n"/>
      <c r="F2804" s="49" t="n"/>
      <c r="G2804" s="47" t="n"/>
      <c r="H2804" s="50" t="n"/>
      <c r="I2804" s="51" t="n"/>
      <c r="J2804" s="46" t="n"/>
      <c r="K2804" s="46" t="n"/>
      <c r="L2804" s="23">
        <f>IF(OR($A2804="",$B2804=""),"",IF($K2804&lt;&gt;"",$K2804-$B2804,TODAY()-$B2804))</f>
        <v/>
      </c>
      <c r="M2804" s="27">
        <f>IF(OR($A2804="",$J2804=""),"",IF($K2804="",IF(TODAY()&gt;$J2804,"Atrasado","En ruta"),IF($K2804&lt;=$J2804,"Sí","No")))</f>
        <v/>
      </c>
      <c r="N2804" s="23">
        <f>IF($A2804="","",COUNTIFS(NOVEDADES!$C$4:$C$1503,$A2804))</f>
        <v/>
      </c>
      <c r="O2804" s="27">
        <f>IF($A2804="","",IF(COUNTIFS(NOVEDADES!$C$4:$C$1503,$A2804,NOVEDADES!$M$4:$M$1503,"SÍ")&gt;0,"No","Sí"))</f>
        <v/>
      </c>
      <c r="P2804" s="27">
        <f>IF(OR($A2804="",$K2804=""),"",IF(AND($M2804="Sí",$O2804="Sí"),"OTIF","Falló"))</f>
        <v/>
      </c>
    </row>
    <row r="2805" ht="16" customHeight="1">
      <c r="A2805" s="47" t="n"/>
      <c r="B2805" s="46" t="n"/>
      <c r="C2805" s="49" t="n"/>
      <c r="D2805" s="49" t="n"/>
      <c r="E2805" s="49" t="n"/>
      <c r="F2805" s="49" t="n"/>
      <c r="G2805" s="47" t="n"/>
      <c r="H2805" s="50" t="n"/>
      <c r="I2805" s="51" t="n"/>
      <c r="J2805" s="46" t="n"/>
      <c r="K2805" s="46" t="n"/>
      <c r="L2805" s="23">
        <f>IF(OR($A2805="",$B2805=""),"",IF($K2805&lt;&gt;"",$K2805-$B2805,TODAY()-$B2805))</f>
        <v/>
      </c>
      <c r="M2805" s="27">
        <f>IF(OR($A2805="",$J2805=""),"",IF($K2805="",IF(TODAY()&gt;$J2805,"Atrasado","En ruta"),IF($K2805&lt;=$J2805,"Sí","No")))</f>
        <v/>
      </c>
      <c r="N2805" s="23">
        <f>IF($A2805="","",COUNTIFS(NOVEDADES!$C$4:$C$1503,$A2805))</f>
        <v/>
      </c>
      <c r="O2805" s="27">
        <f>IF($A2805="","",IF(COUNTIFS(NOVEDADES!$C$4:$C$1503,$A2805,NOVEDADES!$M$4:$M$1503,"SÍ")&gt;0,"No","Sí"))</f>
        <v/>
      </c>
      <c r="P2805" s="27">
        <f>IF(OR($A2805="",$K2805=""),"",IF(AND($M2805="Sí",$O2805="Sí"),"OTIF","Falló"))</f>
        <v/>
      </c>
    </row>
    <row r="2806" ht="16" customHeight="1">
      <c r="A2806" s="47" t="n"/>
      <c r="B2806" s="46" t="n"/>
      <c r="C2806" s="49" t="n"/>
      <c r="D2806" s="49" t="n"/>
      <c r="E2806" s="49" t="n"/>
      <c r="F2806" s="49" t="n"/>
      <c r="G2806" s="47" t="n"/>
      <c r="H2806" s="50" t="n"/>
      <c r="I2806" s="51" t="n"/>
      <c r="J2806" s="46" t="n"/>
      <c r="K2806" s="46" t="n"/>
      <c r="L2806" s="23">
        <f>IF(OR($A2806="",$B2806=""),"",IF($K2806&lt;&gt;"",$K2806-$B2806,TODAY()-$B2806))</f>
        <v/>
      </c>
      <c r="M2806" s="27">
        <f>IF(OR($A2806="",$J2806=""),"",IF($K2806="",IF(TODAY()&gt;$J2806,"Atrasado","En ruta"),IF($K2806&lt;=$J2806,"Sí","No")))</f>
        <v/>
      </c>
      <c r="N2806" s="23">
        <f>IF($A2806="","",COUNTIFS(NOVEDADES!$C$4:$C$1503,$A2806))</f>
        <v/>
      </c>
      <c r="O2806" s="27">
        <f>IF($A2806="","",IF(COUNTIFS(NOVEDADES!$C$4:$C$1503,$A2806,NOVEDADES!$M$4:$M$1503,"SÍ")&gt;0,"No","Sí"))</f>
        <v/>
      </c>
      <c r="P2806" s="27">
        <f>IF(OR($A2806="",$K2806=""),"",IF(AND($M2806="Sí",$O2806="Sí"),"OTIF","Falló"))</f>
        <v/>
      </c>
    </row>
    <row r="2807" ht="16" customHeight="1">
      <c r="A2807" s="47" t="n"/>
      <c r="B2807" s="46" t="n"/>
      <c r="C2807" s="49" t="n"/>
      <c r="D2807" s="49" t="n"/>
      <c r="E2807" s="49" t="n"/>
      <c r="F2807" s="49" t="n"/>
      <c r="G2807" s="47" t="n"/>
      <c r="H2807" s="50" t="n"/>
      <c r="I2807" s="51" t="n"/>
      <c r="J2807" s="46" t="n"/>
      <c r="K2807" s="46" t="n"/>
      <c r="L2807" s="23">
        <f>IF(OR($A2807="",$B2807=""),"",IF($K2807&lt;&gt;"",$K2807-$B2807,TODAY()-$B2807))</f>
        <v/>
      </c>
      <c r="M2807" s="27">
        <f>IF(OR($A2807="",$J2807=""),"",IF($K2807="",IF(TODAY()&gt;$J2807,"Atrasado","En ruta"),IF($K2807&lt;=$J2807,"Sí","No")))</f>
        <v/>
      </c>
      <c r="N2807" s="23">
        <f>IF($A2807="","",COUNTIFS(NOVEDADES!$C$4:$C$1503,$A2807))</f>
        <v/>
      </c>
      <c r="O2807" s="27">
        <f>IF($A2807="","",IF(COUNTIFS(NOVEDADES!$C$4:$C$1503,$A2807,NOVEDADES!$M$4:$M$1503,"SÍ")&gt;0,"No","Sí"))</f>
        <v/>
      </c>
      <c r="P2807" s="27">
        <f>IF(OR($A2807="",$K2807=""),"",IF(AND($M2807="Sí",$O2807="Sí"),"OTIF","Falló"))</f>
        <v/>
      </c>
    </row>
    <row r="2808" ht="16" customHeight="1">
      <c r="A2808" s="47" t="n"/>
      <c r="B2808" s="46" t="n"/>
      <c r="C2808" s="49" t="n"/>
      <c r="D2808" s="49" t="n"/>
      <c r="E2808" s="49" t="n"/>
      <c r="F2808" s="49" t="n"/>
      <c r="G2808" s="47" t="n"/>
      <c r="H2808" s="50" t="n"/>
      <c r="I2808" s="51" t="n"/>
      <c r="J2808" s="46" t="n"/>
      <c r="K2808" s="46" t="n"/>
      <c r="L2808" s="23">
        <f>IF(OR($A2808="",$B2808=""),"",IF($K2808&lt;&gt;"",$K2808-$B2808,TODAY()-$B2808))</f>
        <v/>
      </c>
      <c r="M2808" s="27">
        <f>IF(OR($A2808="",$J2808=""),"",IF($K2808="",IF(TODAY()&gt;$J2808,"Atrasado","En ruta"),IF($K2808&lt;=$J2808,"Sí","No")))</f>
        <v/>
      </c>
      <c r="N2808" s="23">
        <f>IF($A2808="","",COUNTIFS(NOVEDADES!$C$4:$C$1503,$A2808))</f>
        <v/>
      </c>
      <c r="O2808" s="27">
        <f>IF($A2808="","",IF(COUNTIFS(NOVEDADES!$C$4:$C$1503,$A2808,NOVEDADES!$M$4:$M$1503,"SÍ")&gt;0,"No","Sí"))</f>
        <v/>
      </c>
      <c r="P2808" s="27">
        <f>IF(OR($A2808="",$K2808=""),"",IF(AND($M2808="Sí",$O2808="Sí"),"OTIF","Falló"))</f>
        <v/>
      </c>
    </row>
    <row r="2809" ht="16" customHeight="1">
      <c r="A2809" s="47" t="n"/>
      <c r="B2809" s="46" t="n"/>
      <c r="C2809" s="49" t="n"/>
      <c r="D2809" s="49" t="n"/>
      <c r="E2809" s="49" t="n"/>
      <c r="F2809" s="49" t="n"/>
      <c r="G2809" s="47" t="n"/>
      <c r="H2809" s="50" t="n"/>
      <c r="I2809" s="51" t="n"/>
      <c r="J2809" s="46" t="n"/>
      <c r="K2809" s="46" t="n"/>
      <c r="L2809" s="23">
        <f>IF(OR($A2809="",$B2809=""),"",IF($K2809&lt;&gt;"",$K2809-$B2809,TODAY()-$B2809))</f>
        <v/>
      </c>
      <c r="M2809" s="27">
        <f>IF(OR($A2809="",$J2809=""),"",IF($K2809="",IF(TODAY()&gt;$J2809,"Atrasado","En ruta"),IF($K2809&lt;=$J2809,"Sí","No")))</f>
        <v/>
      </c>
      <c r="N2809" s="23">
        <f>IF($A2809="","",COUNTIFS(NOVEDADES!$C$4:$C$1503,$A2809))</f>
        <v/>
      </c>
      <c r="O2809" s="27">
        <f>IF($A2809="","",IF(COUNTIFS(NOVEDADES!$C$4:$C$1503,$A2809,NOVEDADES!$M$4:$M$1503,"SÍ")&gt;0,"No","Sí"))</f>
        <v/>
      </c>
      <c r="P2809" s="27">
        <f>IF(OR($A2809="",$K2809=""),"",IF(AND($M2809="Sí",$O2809="Sí"),"OTIF","Falló"))</f>
        <v/>
      </c>
    </row>
    <row r="2810" ht="16" customHeight="1">
      <c r="A2810" s="47" t="n"/>
      <c r="B2810" s="46" t="n"/>
      <c r="C2810" s="49" t="n"/>
      <c r="D2810" s="49" t="n"/>
      <c r="E2810" s="49" t="n"/>
      <c r="F2810" s="49" t="n"/>
      <c r="G2810" s="47" t="n"/>
      <c r="H2810" s="50" t="n"/>
      <c r="I2810" s="51" t="n"/>
      <c r="J2810" s="46" t="n"/>
      <c r="K2810" s="46" t="n"/>
      <c r="L2810" s="23">
        <f>IF(OR($A2810="",$B2810=""),"",IF($K2810&lt;&gt;"",$K2810-$B2810,TODAY()-$B2810))</f>
        <v/>
      </c>
      <c r="M2810" s="27">
        <f>IF(OR($A2810="",$J2810=""),"",IF($K2810="",IF(TODAY()&gt;$J2810,"Atrasado","En ruta"),IF($K2810&lt;=$J2810,"Sí","No")))</f>
        <v/>
      </c>
      <c r="N2810" s="23">
        <f>IF($A2810="","",COUNTIFS(NOVEDADES!$C$4:$C$1503,$A2810))</f>
        <v/>
      </c>
      <c r="O2810" s="27">
        <f>IF($A2810="","",IF(COUNTIFS(NOVEDADES!$C$4:$C$1503,$A2810,NOVEDADES!$M$4:$M$1503,"SÍ")&gt;0,"No","Sí"))</f>
        <v/>
      </c>
      <c r="P2810" s="27">
        <f>IF(OR($A2810="",$K2810=""),"",IF(AND($M2810="Sí",$O2810="Sí"),"OTIF","Falló"))</f>
        <v/>
      </c>
    </row>
    <row r="2811" ht="16" customHeight="1">
      <c r="A2811" s="47" t="n"/>
      <c r="B2811" s="46" t="n"/>
      <c r="C2811" s="49" t="n"/>
      <c r="D2811" s="49" t="n"/>
      <c r="E2811" s="49" t="n"/>
      <c r="F2811" s="49" t="n"/>
      <c r="G2811" s="47" t="n"/>
      <c r="H2811" s="50" t="n"/>
      <c r="I2811" s="51" t="n"/>
      <c r="J2811" s="46" t="n"/>
      <c r="K2811" s="46" t="n"/>
      <c r="L2811" s="23">
        <f>IF(OR($A2811="",$B2811=""),"",IF($K2811&lt;&gt;"",$K2811-$B2811,TODAY()-$B2811))</f>
        <v/>
      </c>
      <c r="M2811" s="27">
        <f>IF(OR($A2811="",$J2811=""),"",IF($K2811="",IF(TODAY()&gt;$J2811,"Atrasado","En ruta"),IF($K2811&lt;=$J2811,"Sí","No")))</f>
        <v/>
      </c>
      <c r="N2811" s="23">
        <f>IF($A2811="","",COUNTIFS(NOVEDADES!$C$4:$C$1503,$A2811))</f>
        <v/>
      </c>
      <c r="O2811" s="27">
        <f>IF($A2811="","",IF(COUNTIFS(NOVEDADES!$C$4:$C$1503,$A2811,NOVEDADES!$M$4:$M$1503,"SÍ")&gt;0,"No","Sí"))</f>
        <v/>
      </c>
      <c r="P2811" s="27">
        <f>IF(OR($A2811="",$K2811=""),"",IF(AND($M2811="Sí",$O2811="Sí"),"OTIF","Falló"))</f>
        <v/>
      </c>
    </row>
    <row r="2812" ht="16" customHeight="1">
      <c r="A2812" s="47" t="n"/>
      <c r="B2812" s="46" t="n"/>
      <c r="C2812" s="49" t="n"/>
      <c r="D2812" s="49" t="n"/>
      <c r="E2812" s="49" t="n"/>
      <c r="F2812" s="49" t="n"/>
      <c r="G2812" s="47" t="n"/>
      <c r="H2812" s="50" t="n"/>
      <c r="I2812" s="51" t="n"/>
      <c r="J2812" s="46" t="n"/>
      <c r="K2812" s="46" t="n"/>
      <c r="L2812" s="23">
        <f>IF(OR($A2812="",$B2812=""),"",IF($K2812&lt;&gt;"",$K2812-$B2812,TODAY()-$B2812))</f>
        <v/>
      </c>
      <c r="M2812" s="27">
        <f>IF(OR($A2812="",$J2812=""),"",IF($K2812="",IF(TODAY()&gt;$J2812,"Atrasado","En ruta"),IF($K2812&lt;=$J2812,"Sí","No")))</f>
        <v/>
      </c>
      <c r="N2812" s="23">
        <f>IF($A2812="","",COUNTIFS(NOVEDADES!$C$4:$C$1503,$A2812))</f>
        <v/>
      </c>
      <c r="O2812" s="27">
        <f>IF($A2812="","",IF(COUNTIFS(NOVEDADES!$C$4:$C$1503,$A2812,NOVEDADES!$M$4:$M$1503,"SÍ")&gt;0,"No","Sí"))</f>
        <v/>
      </c>
      <c r="P2812" s="27">
        <f>IF(OR($A2812="",$K2812=""),"",IF(AND($M2812="Sí",$O2812="Sí"),"OTIF","Falló"))</f>
        <v/>
      </c>
    </row>
    <row r="2813" ht="16" customHeight="1">
      <c r="A2813" s="47" t="n"/>
      <c r="B2813" s="46" t="n"/>
      <c r="C2813" s="49" t="n"/>
      <c r="D2813" s="49" t="n"/>
      <c r="E2813" s="49" t="n"/>
      <c r="F2813" s="49" t="n"/>
      <c r="G2813" s="47" t="n"/>
      <c r="H2813" s="50" t="n"/>
      <c r="I2813" s="51" t="n"/>
      <c r="J2813" s="46" t="n"/>
      <c r="K2813" s="46" t="n"/>
      <c r="L2813" s="23">
        <f>IF(OR($A2813="",$B2813=""),"",IF($K2813&lt;&gt;"",$K2813-$B2813,TODAY()-$B2813))</f>
        <v/>
      </c>
      <c r="M2813" s="27">
        <f>IF(OR($A2813="",$J2813=""),"",IF($K2813="",IF(TODAY()&gt;$J2813,"Atrasado","En ruta"),IF($K2813&lt;=$J2813,"Sí","No")))</f>
        <v/>
      </c>
      <c r="N2813" s="23">
        <f>IF($A2813="","",COUNTIFS(NOVEDADES!$C$4:$C$1503,$A2813))</f>
        <v/>
      </c>
      <c r="O2813" s="27">
        <f>IF($A2813="","",IF(COUNTIFS(NOVEDADES!$C$4:$C$1503,$A2813,NOVEDADES!$M$4:$M$1503,"SÍ")&gt;0,"No","Sí"))</f>
        <v/>
      </c>
      <c r="P2813" s="27">
        <f>IF(OR($A2813="",$K2813=""),"",IF(AND($M2813="Sí",$O2813="Sí"),"OTIF","Falló"))</f>
        <v/>
      </c>
    </row>
    <row r="2814" ht="16" customHeight="1">
      <c r="A2814" s="47" t="n"/>
      <c r="B2814" s="46" t="n"/>
      <c r="C2814" s="49" t="n"/>
      <c r="D2814" s="49" t="n"/>
      <c r="E2814" s="49" t="n"/>
      <c r="F2814" s="49" t="n"/>
      <c r="G2814" s="47" t="n"/>
      <c r="H2814" s="50" t="n"/>
      <c r="I2814" s="51" t="n"/>
      <c r="J2814" s="46" t="n"/>
      <c r="K2814" s="46" t="n"/>
      <c r="L2814" s="23">
        <f>IF(OR($A2814="",$B2814=""),"",IF($K2814&lt;&gt;"",$K2814-$B2814,TODAY()-$B2814))</f>
        <v/>
      </c>
      <c r="M2814" s="27">
        <f>IF(OR($A2814="",$J2814=""),"",IF($K2814="",IF(TODAY()&gt;$J2814,"Atrasado","En ruta"),IF($K2814&lt;=$J2814,"Sí","No")))</f>
        <v/>
      </c>
      <c r="N2814" s="23">
        <f>IF($A2814="","",COUNTIFS(NOVEDADES!$C$4:$C$1503,$A2814))</f>
        <v/>
      </c>
      <c r="O2814" s="27">
        <f>IF($A2814="","",IF(COUNTIFS(NOVEDADES!$C$4:$C$1503,$A2814,NOVEDADES!$M$4:$M$1503,"SÍ")&gt;0,"No","Sí"))</f>
        <v/>
      </c>
      <c r="P2814" s="27">
        <f>IF(OR($A2814="",$K2814=""),"",IF(AND($M2814="Sí",$O2814="Sí"),"OTIF","Falló"))</f>
        <v/>
      </c>
    </row>
    <row r="2815" ht="16" customHeight="1">
      <c r="A2815" s="47" t="n"/>
      <c r="B2815" s="46" t="n"/>
      <c r="C2815" s="49" t="n"/>
      <c r="D2815" s="49" t="n"/>
      <c r="E2815" s="49" t="n"/>
      <c r="F2815" s="49" t="n"/>
      <c r="G2815" s="47" t="n"/>
      <c r="H2815" s="50" t="n"/>
      <c r="I2815" s="51" t="n"/>
      <c r="J2815" s="46" t="n"/>
      <c r="K2815" s="46" t="n"/>
      <c r="L2815" s="23">
        <f>IF(OR($A2815="",$B2815=""),"",IF($K2815&lt;&gt;"",$K2815-$B2815,TODAY()-$B2815))</f>
        <v/>
      </c>
      <c r="M2815" s="27">
        <f>IF(OR($A2815="",$J2815=""),"",IF($K2815="",IF(TODAY()&gt;$J2815,"Atrasado","En ruta"),IF($K2815&lt;=$J2815,"Sí","No")))</f>
        <v/>
      </c>
      <c r="N2815" s="23">
        <f>IF($A2815="","",COUNTIFS(NOVEDADES!$C$4:$C$1503,$A2815))</f>
        <v/>
      </c>
      <c r="O2815" s="27">
        <f>IF($A2815="","",IF(COUNTIFS(NOVEDADES!$C$4:$C$1503,$A2815,NOVEDADES!$M$4:$M$1503,"SÍ")&gt;0,"No","Sí"))</f>
        <v/>
      </c>
      <c r="P2815" s="27">
        <f>IF(OR($A2815="",$K2815=""),"",IF(AND($M2815="Sí",$O2815="Sí"),"OTIF","Falló"))</f>
        <v/>
      </c>
    </row>
    <row r="2816" ht="16" customHeight="1">
      <c r="A2816" s="47" t="n"/>
      <c r="B2816" s="46" t="n"/>
      <c r="C2816" s="49" t="n"/>
      <c r="D2816" s="49" t="n"/>
      <c r="E2816" s="49" t="n"/>
      <c r="F2816" s="49" t="n"/>
      <c r="G2816" s="47" t="n"/>
      <c r="H2816" s="50" t="n"/>
      <c r="I2816" s="51" t="n"/>
      <c r="J2816" s="46" t="n"/>
      <c r="K2816" s="46" t="n"/>
      <c r="L2816" s="23">
        <f>IF(OR($A2816="",$B2816=""),"",IF($K2816&lt;&gt;"",$K2816-$B2816,TODAY()-$B2816))</f>
        <v/>
      </c>
      <c r="M2816" s="27">
        <f>IF(OR($A2816="",$J2816=""),"",IF($K2816="",IF(TODAY()&gt;$J2816,"Atrasado","En ruta"),IF($K2816&lt;=$J2816,"Sí","No")))</f>
        <v/>
      </c>
      <c r="N2816" s="23">
        <f>IF($A2816="","",COUNTIFS(NOVEDADES!$C$4:$C$1503,$A2816))</f>
        <v/>
      </c>
      <c r="O2816" s="27">
        <f>IF($A2816="","",IF(COUNTIFS(NOVEDADES!$C$4:$C$1503,$A2816,NOVEDADES!$M$4:$M$1503,"SÍ")&gt;0,"No","Sí"))</f>
        <v/>
      </c>
      <c r="P2816" s="27">
        <f>IF(OR($A2816="",$K2816=""),"",IF(AND($M2816="Sí",$O2816="Sí"),"OTIF","Falló"))</f>
        <v/>
      </c>
    </row>
    <row r="2817" ht="16" customHeight="1">
      <c r="A2817" s="47" t="n"/>
      <c r="B2817" s="46" t="n"/>
      <c r="C2817" s="49" t="n"/>
      <c r="D2817" s="49" t="n"/>
      <c r="E2817" s="49" t="n"/>
      <c r="F2817" s="49" t="n"/>
      <c r="G2817" s="47" t="n"/>
      <c r="H2817" s="50" t="n"/>
      <c r="I2817" s="51" t="n"/>
      <c r="J2817" s="46" t="n"/>
      <c r="K2817" s="46" t="n"/>
      <c r="L2817" s="23">
        <f>IF(OR($A2817="",$B2817=""),"",IF($K2817&lt;&gt;"",$K2817-$B2817,TODAY()-$B2817))</f>
        <v/>
      </c>
      <c r="M2817" s="27">
        <f>IF(OR($A2817="",$J2817=""),"",IF($K2817="",IF(TODAY()&gt;$J2817,"Atrasado","En ruta"),IF($K2817&lt;=$J2817,"Sí","No")))</f>
        <v/>
      </c>
      <c r="N2817" s="23">
        <f>IF($A2817="","",COUNTIFS(NOVEDADES!$C$4:$C$1503,$A2817))</f>
        <v/>
      </c>
      <c r="O2817" s="27">
        <f>IF($A2817="","",IF(COUNTIFS(NOVEDADES!$C$4:$C$1503,$A2817,NOVEDADES!$M$4:$M$1503,"SÍ")&gt;0,"No","Sí"))</f>
        <v/>
      </c>
      <c r="P2817" s="27">
        <f>IF(OR($A2817="",$K2817=""),"",IF(AND($M2817="Sí",$O2817="Sí"),"OTIF","Falló"))</f>
        <v/>
      </c>
    </row>
    <row r="2818" ht="16" customHeight="1">
      <c r="A2818" s="47" t="n"/>
      <c r="B2818" s="46" t="n"/>
      <c r="C2818" s="49" t="n"/>
      <c r="D2818" s="49" t="n"/>
      <c r="E2818" s="49" t="n"/>
      <c r="F2818" s="49" t="n"/>
      <c r="G2818" s="47" t="n"/>
      <c r="H2818" s="50" t="n"/>
      <c r="I2818" s="51" t="n"/>
      <c r="J2818" s="46" t="n"/>
      <c r="K2818" s="46" t="n"/>
      <c r="L2818" s="23">
        <f>IF(OR($A2818="",$B2818=""),"",IF($K2818&lt;&gt;"",$K2818-$B2818,TODAY()-$B2818))</f>
        <v/>
      </c>
      <c r="M2818" s="27">
        <f>IF(OR($A2818="",$J2818=""),"",IF($K2818="",IF(TODAY()&gt;$J2818,"Atrasado","En ruta"),IF($K2818&lt;=$J2818,"Sí","No")))</f>
        <v/>
      </c>
      <c r="N2818" s="23">
        <f>IF($A2818="","",COUNTIFS(NOVEDADES!$C$4:$C$1503,$A2818))</f>
        <v/>
      </c>
      <c r="O2818" s="27">
        <f>IF($A2818="","",IF(COUNTIFS(NOVEDADES!$C$4:$C$1503,$A2818,NOVEDADES!$M$4:$M$1503,"SÍ")&gt;0,"No","Sí"))</f>
        <v/>
      </c>
      <c r="P2818" s="27">
        <f>IF(OR($A2818="",$K2818=""),"",IF(AND($M2818="Sí",$O2818="Sí"),"OTIF","Falló"))</f>
        <v/>
      </c>
    </row>
    <row r="2819" ht="16" customHeight="1">
      <c r="A2819" s="47" t="n"/>
      <c r="B2819" s="46" t="n"/>
      <c r="C2819" s="49" t="n"/>
      <c r="D2819" s="49" t="n"/>
      <c r="E2819" s="49" t="n"/>
      <c r="F2819" s="49" t="n"/>
      <c r="G2819" s="47" t="n"/>
      <c r="H2819" s="50" t="n"/>
      <c r="I2819" s="51" t="n"/>
      <c r="J2819" s="46" t="n"/>
      <c r="K2819" s="46" t="n"/>
      <c r="L2819" s="23">
        <f>IF(OR($A2819="",$B2819=""),"",IF($K2819&lt;&gt;"",$K2819-$B2819,TODAY()-$B2819))</f>
        <v/>
      </c>
      <c r="M2819" s="27">
        <f>IF(OR($A2819="",$J2819=""),"",IF($K2819="",IF(TODAY()&gt;$J2819,"Atrasado","En ruta"),IF($K2819&lt;=$J2819,"Sí","No")))</f>
        <v/>
      </c>
      <c r="N2819" s="23">
        <f>IF($A2819="","",COUNTIFS(NOVEDADES!$C$4:$C$1503,$A2819))</f>
        <v/>
      </c>
      <c r="O2819" s="27">
        <f>IF($A2819="","",IF(COUNTIFS(NOVEDADES!$C$4:$C$1503,$A2819,NOVEDADES!$M$4:$M$1503,"SÍ")&gt;0,"No","Sí"))</f>
        <v/>
      </c>
      <c r="P2819" s="27">
        <f>IF(OR($A2819="",$K2819=""),"",IF(AND($M2819="Sí",$O2819="Sí"),"OTIF","Falló"))</f>
        <v/>
      </c>
    </row>
    <row r="2820" ht="16" customHeight="1">
      <c r="A2820" s="47" t="n"/>
      <c r="B2820" s="46" t="n"/>
      <c r="C2820" s="49" t="n"/>
      <c r="D2820" s="49" t="n"/>
      <c r="E2820" s="49" t="n"/>
      <c r="F2820" s="49" t="n"/>
      <c r="G2820" s="47" t="n"/>
      <c r="H2820" s="50" t="n"/>
      <c r="I2820" s="51" t="n"/>
      <c r="J2820" s="46" t="n"/>
      <c r="K2820" s="46" t="n"/>
      <c r="L2820" s="23">
        <f>IF(OR($A2820="",$B2820=""),"",IF($K2820&lt;&gt;"",$K2820-$B2820,TODAY()-$B2820))</f>
        <v/>
      </c>
      <c r="M2820" s="27">
        <f>IF(OR($A2820="",$J2820=""),"",IF($K2820="",IF(TODAY()&gt;$J2820,"Atrasado","En ruta"),IF($K2820&lt;=$J2820,"Sí","No")))</f>
        <v/>
      </c>
      <c r="N2820" s="23">
        <f>IF($A2820="","",COUNTIFS(NOVEDADES!$C$4:$C$1503,$A2820))</f>
        <v/>
      </c>
      <c r="O2820" s="27">
        <f>IF($A2820="","",IF(COUNTIFS(NOVEDADES!$C$4:$C$1503,$A2820,NOVEDADES!$M$4:$M$1503,"SÍ")&gt;0,"No","Sí"))</f>
        <v/>
      </c>
      <c r="P2820" s="27">
        <f>IF(OR($A2820="",$K2820=""),"",IF(AND($M2820="Sí",$O2820="Sí"),"OTIF","Falló"))</f>
        <v/>
      </c>
    </row>
    <row r="2821" ht="16" customHeight="1">
      <c r="A2821" s="47" t="n"/>
      <c r="B2821" s="46" t="n"/>
      <c r="C2821" s="49" t="n"/>
      <c r="D2821" s="49" t="n"/>
      <c r="E2821" s="49" t="n"/>
      <c r="F2821" s="49" t="n"/>
      <c r="G2821" s="47" t="n"/>
      <c r="H2821" s="50" t="n"/>
      <c r="I2821" s="51" t="n"/>
      <c r="J2821" s="46" t="n"/>
      <c r="K2821" s="46" t="n"/>
      <c r="L2821" s="23">
        <f>IF(OR($A2821="",$B2821=""),"",IF($K2821&lt;&gt;"",$K2821-$B2821,TODAY()-$B2821))</f>
        <v/>
      </c>
      <c r="M2821" s="27">
        <f>IF(OR($A2821="",$J2821=""),"",IF($K2821="",IF(TODAY()&gt;$J2821,"Atrasado","En ruta"),IF($K2821&lt;=$J2821,"Sí","No")))</f>
        <v/>
      </c>
      <c r="N2821" s="23">
        <f>IF($A2821="","",COUNTIFS(NOVEDADES!$C$4:$C$1503,$A2821))</f>
        <v/>
      </c>
      <c r="O2821" s="27">
        <f>IF($A2821="","",IF(COUNTIFS(NOVEDADES!$C$4:$C$1503,$A2821,NOVEDADES!$M$4:$M$1503,"SÍ")&gt;0,"No","Sí"))</f>
        <v/>
      </c>
      <c r="P2821" s="27">
        <f>IF(OR($A2821="",$K2821=""),"",IF(AND($M2821="Sí",$O2821="Sí"),"OTIF","Falló"))</f>
        <v/>
      </c>
    </row>
    <row r="2822" ht="16" customHeight="1">
      <c r="A2822" s="47" t="n"/>
      <c r="B2822" s="46" t="n"/>
      <c r="C2822" s="49" t="n"/>
      <c r="D2822" s="49" t="n"/>
      <c r="E2822" s="49" t="n"/>
      <c r="F2822" s="49" t="n"/>
      <c r="G2822" s="47" t="n"/>
      <c r="H2822" s="50" t="n"/>
      <c r="I2822" s="51" t="n"/>
      <c r="J2822" s="46" t="n"/>
      <c r="K2822" s="46" t="n"/>
      <c r="L2822" s="23">
        <f>IF(OR($A2822="",$B2822=""),"",IF($K2822&lt;&gt;"",$K2822-$B2822,TODAY()-$B2822))</f>
        <v/>
      </c>
      <c r="M2822" s="27">
        <f>IF(OR($A2822="",$J2822=""),"",IF($K2822="",IF(TODAY()&gt;$J2822,"Atrasado","En ruta"),IF($K2822&lt;=$J2822,"Sí","No")))</f>
        <v/>
      </c>
      <c r="N2822" s="23">
        <f>IF($A2822="","",COUNTIFS(NOVEDADES!$C$4:$C$1503,$A2822))</f>
        <v/>
      </c>
      <c r="O2822" s="27">
        <f>IF($A2822="","",IF(COUNTIFS(NOVEDADES!$C$4:$C$1503,$A2822,NOVEDADES!$M$4:$M$1503,"SÍ")&gt;0,"No","Sí"))</f>
        <v/>
      </c>
      <c r="P2822" s="27">
        <f>IF(OR($A2822="",$K2822=""),"",IF(AND($M2822="Sí",$O2822="Sí"),"OTIF","Falló"))</f>
        <v/>
      </c>
    </row>
    <row r="2823" ht="16" customHeight="1">
      <c r="A2823" s="47" t="n"/>
      <c r="B2823" s="46" t="n"/>
      <c r="C2823" s="49" t="n"/>
      <c r="D2823" s="49" t="n"/>
      <c r="E2823" s="49" t="n"/>
      <c r="F2823" s="49" t="n"/>
      <c r="G2823" s="47" t="n"/>
      <c r="H2823" s="50" t="n"/>
      <c r="I2823" s="51" t="n"/>
      <c r="J2823" s="46" t="n"/>
      <c r="K2823" s="46" t="n"/>
      <c r="L2823" s="23">
        <f>IF(OR($A2823="",$B2823=""),"",IF($K2823&lt;&gt;"",$K2823-$B2823,TODAY()-$B2823))</f>
        <v/>
      </c>
      <c r="M2823" s="27">
        <f>IF(OR($A2823="",$J2823=""),"",IF($K2823="",IF(TODAY()&gt;$J2823,"Atrasado","En ruta"),IF($K2823&lt;=$J2823,"Sí","No")))</f>
        <v/>
      </c>
      <c r="N2823" s="23">
        <f>IF($A2823="","",COUNTIFS(NOVEDADES!$C$4:$C$1503,$A2823))</f>
        <v/>
      </c>
      <c r="O2823" s="27">
        <f>IF($A2823="","",IF(COUNTIFS(NOVEDADES!$C$4:$C$1503,$A2823,NOVEDADES!$M$4:$M$1503,"SÍ")&gt;0,"No","Sí"))</f>
        <v/>
      </c>
      <c r="P2823" s="27">
        <f>IF(OR($A2823="",$K2823=""),"",IF(AND($M2823="Sí",$O2823="Sí"),"OTIF","Falló"))</f>
        <v/>
      </c>
    </row>
    <row r="2824" ht="16" customHeight="1">
      <c r="A2824" s="47" t="n"/>
      <c r="B2824" s="46" t="n"/>
      <c r="C2824" s="49" t="n"/>
      <c r="D2824" s="49" t="n"/>
      <c r="E2824" s="49" t="n"/>
      <c r="F2824" s="49" t="n"/>
      <c r="G2824" s="47" t="n"/>
      <c r="H2824" s="50" t="n"/>
      <c r="I2824" s="51" t="n"/>
      <c r="J2824" s="46" t="n"/>
      <c r="K2824" s="46" t="n"/>
      <c r="L2824" s="23">
        <f>IF(OR($A2824="",$B2824=""),"",IF($K2824&lt;&gt;"",$K2824-$B2824,TODAY()-$B2824))</f>
        <v/>
      </c>
      <c r="M2824" s="27">
        <f>IF(OR($A2824="",$J2824=""),"",IF($K2824="",IF(TODAY()&gt;$J2824,"Atrasado","En ruta"),IF($K2824&lt;=$J2824,"Sí","No")))</f>
        <v/>
      </c>
      <c r="N2824" s="23">
        <f>IF($A2824="","",COUNTIFS(NOVEDADES!$C$4:$C$1503,$A2824))</f>
        <v/>
      </c>
      <c r="O2824" s="27">
        <f>IF($A2824="","",IF(COUNTIFS(NOVEDADES!$C$4:$C$1503,$A2824,NOVEDADES!$M$4:$M$1503,"SÍ")&gt;0,"No","Sí"))</f>
        <v/>
      </c>
      <c r="P2824" s="27">
        <f>IF(OR($A2824="",$K2824=""),"",IF(AND($M2824="Sí",$O2824="Sí"),"OTIF","Falló"))</f>
        <v/>
      </c>
    </row>
    <row r="2825" ht="16" customHeight="1">
      <c r="A2825" s="47" t="n"/>
      <c r="B2825" s="46" t="n"/>
      <c r="C2825" s="49" t="n"/>
      <c r="D2825" s="49" t="n"/>
      <c r="E2825" s="49" t="n"/>
      <c r="F2825" s="49" t="n"/>
      <c r="G2825" s="47" t="n"/>
      <c r="H2825" s="50" t="n"/>
      <c r="I2825" s="51" t="n"/>
      <c r="J2825" s="46" t="n"/>
      <c r="K2825" s="46" t="n"/>
      <c r="L2825" s="23">
        <f>IF(OR($A2825="",$B2825=""),"",IF($K2825&lt;&gt;"",$K2825-$B2825,TODAY()-$B2825))</f>
        <v/>
      </c>
      <c r="M2825" s="27">
        <f>IF(OR($A2825="",$J2825=""),"",IF($K2825="",IF(TODAY()&gt;$J2825,"Atrasado","En ruta"),IF($K2825&lt;=$J2825,"Sí","No")))</f>
        <v/>
      </c>
      <c r="N2825" s="23">
        <f>IF($A2825="","",COUNTIFS(NOVEDADES!$C$4:$C$1503,$A2825))</f>
        <v/>
      </c>
      <c r="O2825" s="27">
        <f>IF($A2825="","",IF(COUNTIFS(NOVEDADES!$C$4:$C$1503,$A2825,NOVEDADES!$M$4:$M$1503,"SÍ")&gt;0,"No","Sí"))</f>
        <v/>
      </c>
      <c r="P2825" s="27">
        <f>IF(OR($A2825="",$K2825=""),"",IF(AND($M2825="Sí",$O2825="Sí"),"OTIF","Falló"))</f>
        <v/>
      </c>
    </row>
    <row r="2826" ht="16" customHeight="1">
      <c r="A2826" s="47" t="n"/>
      <c r="B2826" s="46" t="n"/>
      <c r="C2826" s="49" t="n"/>
      <c r="D2826" s="49" t="n"/>
      <c r="E2826" s="49" t="n"/>
      <c r="F2826" s="49" t="n"/>
      <c r="G2826" s="47" t="n"/>
      <c r="H2826" s="50" t="n"/>
      <c r="I2826" s="51" t="n"/>
      <c r="J2826" s="46" t="n"/>
      <c r="K2826" s="46" t="n"/>
      <c r="L2826" s="23">
        <f>IF(OR($A2826="",$B2826=""),"",IF($K2826&lt;&gt;"",$K2826-$B2826,TODAY()-$B2826))</f>
        <v/>
      </c>
      <c r="M2826" s="27">
        <f>IF(OR($A2826="",$J2826=""),"",IF($K2826="",IF(TODAY()&gt;$J2826,"Atrasado","En ruta"),IF($K2826&lt;=$J2826,"Sí","No")))</f>
        <v/>
      </c>
      <c r="N2826" s="23">
        <f>IF($A2826="","",COUNTIFS(NOVEDADES!$C$4:$C$1503,$A2826))</f>
        <v/>
      </c>
      <c r="O2826" s="27">
        <f>IF($A2826="","",IF(COUNTIFS(NOVEDADES!$C$4:$C$1503,$A2826,NOVEDADES!$M$4:$M$1503,"SÍ")&gt;0,"No","Sí"))</f>
        <v/>
      </c>
      <c r="P2826" s="27">
        <f>IF(OR($A2826="",$K2826=""),"",IF(AND($M2826="Sí",$O2826="Sí"),"OTIF","Falló"))</f>
        <v/>
      </c>
    </row>
    <row r="2827" ht="16" customHeight="1">
      <c r="A2827" s="47" t="n"/>
      <c r="B2827" s="46" t="n"/>
      <c r="C2827" s="49" t="n"/>
      <c r="D2827" s="49" t="n"/>
      <c r="E2827" s="49" t="n"/>
      <c r="F2827" s="49" t="n"/>
      <c r="G2827" s="47" t="n"/>
      <c r="H2827" s="50" t="n"/>
      <c r="I2827" s="51" t="n"/>
      <c r="J2827" s="46" t="n"/>
      <c r="K2827" s="46" t="n"/>
      <c r="L2827" s="23">
        <f>IF(OR($A2827="",$B2827=""),"",IF($K2827&lt;&gt;"",$K2827-$B2827,TODAY()-$B2827))</f>
        <v/>
      </c>
      <c r="M2827" s="27">
        <f>IF(OR($A2827="",$J2827=""),"",IF($K2827="",IF(TODAY()&gt;$J2827,"Atrasado","En ruta"),IF($K2827&lt;=$J2827,"Sí","No")))</f>
        <v/>
      </c>
      <c r="N2827" s="23">
        <f>IF($A2827="","",COUNTIFS(NOVEDADES!$C$4:$C$1503,$A2827))</f>
        <v/>
      </c>
      <c r="O2827" s="27">
        <f>IF($A2827="","",IF(COUNTIFS(NOVEDADES!$C$4:$C$1503,$A2827,NOVEDADES!$M$4:$M$1503,"SÍ")&gt;0,"No","Sí"))</f>
        <v/>
      </c>
      <c r="P2827" s="27">
        <f>IF(OR($A2827="",$K2827=""),"",IF(AND($M2827="Sí",$O2827="Sí"),"OTIF","Falló"))</f>
        <v/>
      </c>
    </row>
    <row r="2828" ht="16" customHeight="1">
      <c r="A2828" s="47" t="n"/>
      <c r="B2828" s="46" t="n"/>
      <c r="C2828" s="49" t="n"/>
      <c r="D2828" s="49" t="n"/>
      <c r="E2828" s="49" t="n"/>
      <c r="F2828" s="49" t="n"/>
      <c r="G2828" s="47" t="n"/>
      <c r="H2828" s="50" t="n"/>
      <c r="I2828" s="51" t="n"/>
      <c r="J2828" s="46" t="n"/>
      <c r="K2828" s="46" t="n"/>
      <c r="L2828" s="23">
        <f>IF(OR($A2828="",$B2828=""),"",IF($K2828&lt;&gt;"",$K2828-$B2828,TODAY()-$B2828))</f>
        <v/>
      </c>
      <c r="M2828" s="27">
        <f>IF(OR($A2828="",$J2828=""),"",IF($K2828="",IF(TODAY()&gt;$J2828,"Atrasado","En ruta"),IF($K2828&lt;=$J2828,"Sí","No")))</f>
        <v/>
      </c>
      <c r="N2828" s="23">
        <f>IF($A2828="","",COUNTIFS(NOVEDADES!$C$4:$C$1503,$A2828))</f>
        <v/>
      </c>
      <c r="O2828" s="27">
        <f>IF($A2828="","",IF(COUNTIFS(NOVEDADES!$C$4:$C$1503,$A2828,NOVEDADES!$M$4:$M$1503,"SÍ")&gt;0,"No","Sí"))</f>
        <v/>
      </c>
      <c r="P2828" s="27">
        <f>IF(OR($A2828="",$K2828=""),"",IF(AND($M2828="Sí",$O2828="Sí"),"OTIF","Falló"))</f>
        <v/>
      </c>
    </row>
    <row r="2829" ht="16" customHeight="1">
      <c r="A2829" s="47" t="n"/>
      <c r="B2829" s="46" t="n"/>
      <c r="C2829" s="49" t="n"/>
      <c r="D2829" s="49" t="n"/>
      <c r="E2829" s="49" t="n"/>
      <c r="F2829" s="49" t="n"/>
      <c r="G2829" s="47" t="n"/>
      <c r="H2829" s="50" t="n"/>
      <c r="I2829" s="51" t="n"/>
      <c r="J2829" s="46" t="n"/>
      <c r="K2829" s="46" t="n"/>
      <c r="L2829" s="23">
        <f>IF(OR($A2829="",$B2829=""),"",IF($K2829&lt;&gt;"",$K2829-$B2829,TODAY()-$B2829))</f>
        <v/>
      </c>
      <c r="M2829" s="27">
        <f>IF(OR($A2829="",$J2829=""),"",IF($K2829="",IF(TODAY()&gt;$J2829,"Atrasado","En ruta"),IF($K2829&lt;=$J2829,"Sí","No")))</f>
        <v/>
      </c>
      <c r="N2829" s="23">
        <f>IF($A2829="","",COUNTIFS(NOVEDADES!$C$4:$C$1503,$A2829))</f>
        <v/>
      </c>
      <c r="O2829" s="27">
        <f>IF($A2829="","",IF(COUNTIFS(NOVEDADES!$C$4:$C$1503,$A2829,NOVEDADES!$M$4:$M$1503,"SÍ")&gt;0,"No","Sí"))</f>
        <v/>
      </c>
      <c r="P2829" s="27">
        <f>IF(OR($A2829="",$K2829=""),"",IF(AND($M2829="Sí",$O2829="Sí"),"OTIF","Falló"))</f>
        <v/>
      </c>
    </row>
    <row r="2830" ht="16" customHeight="1">
      <c r="A2830" s="47" t="n"/>
      <c r="B2830" s="46" t="n"/>
      <c r="C2830" s="49" t="n"/>
      <c r="D2830" s="49" t="n"/>
      <c r="E2830" s="49" t="n"/>
      <c r="F2830" s="49" t="n"/>
      <c r="G2830" s="47" t="n"/>
      <c r="H2830" s="50" t="n"/>
      <c r="I2830" s="51" t="n"/>
      <c r="J2830" s="46" t="n"/>
      <c r="K2830" s="46" t="n"/>
      <c r="L2830" s="23">
        <f>IF(OR($A2830="",$B2830=""),"",IF($K2830&lt;&gt;"",$K2830-$B2830,TODAY()-$B2830))</f>
        <v/>
      </c>
      <c r="M2830" s="27">
        <f>IF(OR($A2830="",$J2830=""),"",IF($K2830="",IF(TODAY()&gt;$J2830,"Atrasado","En ruta"),IF($K2830&lt;=$J2830,"Sí","No")))</f>
        <v/>
      </c>
      <c r="N2830" s="23">
        <f>IF($A2830="","",COUNTIFS(NOVEDADES!$C$4:$C$1503,$A2830))</f>
        <v/>
      </c>
      <c r="O2830" s="27">
        <f>IF($A2830="","",IF(COUNTIFS(NOVEDADES!$C$4:$C$1503,$A2830,NOVEDADES!$M$4:$M$1503,"SÍ")&gt;0,"No","Sí"))</f>
        <v/>
      </c>
      <c r="P2830" s="27">
        <f>IF(OR($A2830="",$K2830=""),"",IF(AND($M2830="Sí",$O2830="Sí"),"OTIF","Falló"))</f>
        <v/>
      </c>
    </row>
    <row r="2831" ht="16" customHeight="1">
      <c r="A2831" s="47" t="n"/>
      <c r="B2831" s="46" t="n"/>
      <c r="C2831" s="49" t="n"/>
      <c r="D2831" s="49" t="n"/>
      <c r="E2831" s="49" t="n"/>
      <c r="F2831" s="49" t="n"/>
      <c r="G2831" s="47" t="n"/>
      <c r="H2831" s="50" t="n"/>
      <c r="I2831" s="51" t="n"/>
      <c r="J2831" s="46" t="n"/>
      <c r="K2831" s="46" t="n"/>
      <c r="L2831" s="23">
        <f>IF(OR($A2831="",$B2831=""),"",IF($K2831&lt;&gt;"",$K2831-$B2831,TODAY()-$B2831))</f>
        <v/>
      </c>
      <c r="M2831" s="27">
        <f>IF(OR($A2831="",$J2831=""),"",IF($K2831="",IF(TODAY()&gt;$J2831,"Atrasado","En ruta"),IF($K2831&lt;=$J2831,"Sí","No")))</f>
        <v/>
      </c>
      <c r="N2831" s="23">
        <f>IF($A2831="","",COUNTIFS(NOVEDADES!$C$4:$C$1503,$A2831))</f>
        <v/>
      </c>
      <c r="O2831" s="27">
        <f>IF($A2831="","",IF(COUNTIFS(NOVEDADES!$C$4:$C$1503,$A2831,NOVEDADES!$M$4:$M$1503,"SÍ")&gt;0,"No","Sí"))</f>
        <v/>
      </c>
      <c r="P2831" s="27">
        <f>IF(OR($A2831="",$K2831=""),"",IF(AND($M2831="Sí",$O2831="Sí"),"OTIF","Falló"))</f>
        <v/>
      </c>
    </row>
    <row r="2832" ht="16" customHeight="1">
      <c r="A2832" s="47" t="n"/>
      <c r="B2832" s="46" t="n"/>
      <c r="C2832" s="49" t="n"/>
      <c r="D2832" s="49" t="n"/>
      <c r="E2832" s="49" t="n"/>
      <c r="F2832" s="49" t="n"/>
      <c r="G2832" s="47" t="n"/>
      <c r="H2832" s="50" t="n"/>
      <c r="I2832" s="51" t="n"/>
      <c r="J2832" s="46" t="n"/>
      <c r="K2832" s="46" t="n"/>
      <c r="L2832" s="23">
        <f>IF(OR($A2832="",$B2832=""),"",IF($K2832&lt;&gt;"",$K2832-$B2832,TODAY()-$B2832))</f>
        <v/>
      </c>
      <c r="M2832" s="27">
        <f>IF(OR($A2832="",$J2832=""),"",IF($K2832="",IF(TODAY()&gt;$J2832,"Atrasado","En ruta"),IF($K2832&lt;=$J2832,"Sí","No")))</f>
        <v/>
      </c>
      <c r="N2832" s="23">
        <f>IF($A2832="","",COUNTIFS(NOVEDADES!$C$4:$C$1503,$A2832))</f>
        <v/>
      </c>
      <c r="O2832" s="27">
        <f>IF($A2832="","",IF(COUNTIFS(NOVEDADES!$C$4:$C$1503,$A2832,NOVEDADES!$M$4:$M$1503,"SÍ")&gt;0,"No","Sí"))</f>
        <v/>
      </c>
      <c r="P2832" s="27">
        <f>IF(OR($A2832="",$K2832=""),"",IF(AND($M2832="Sí",$O2832="Sí"),"OTIF","Falló"))</f>
        <v/>
      </c>
    </row>
    <row r="2833" ht="16" customHeight="1">
      <c r="A2833" s="47" t="n"/>
      <c r="B2833" s="46" t="n"/>
      <c r="C2833" s="49" t="n"/>
      <c r="D2833" s="49" t="n"/>
      <c r="E2833" s="49" t="n"/>
      <c r="F2833" s="49" t="n"/>
      <c r="G2833" s="47" t="n"/>
      <c r="H2833" s="50" t="n"/>
      <c r="I2833" s="51" t="n"/>
      <c r="J2833" s="46" t="n"/>
      <c r="K2833" s="46" t="n"/>
      <c r="L2833" s="23">
        <f>IF(OR($A2833="",$B2833=""),"",IF($K2833&lt;&gt;"",$K2833-$B2833,TODAY()-$B2833))</f>
        <v/>
      </c>
      <c r="M2833" s="27">
        <f>IF(OR($A2833="",$J2833=""),"",IF($K2833="",IF(TODAY()&gt;$J2833,"Atrasado","En ruta"),IF($K2833&lt;=$J2833,"Sí","No")))</f>
        <v/>
      </c>
      <c r="N2833" s="23">
        <f>IF($A2833="","",COUNTIFS(NOVEDADES!$C$4:$C$1503,$A2833))</f>
        <v/>
      </c>
      <c r="O2833" s="27">
        <f>IF($A2833="","",IF(COUNTIFS(NOVEDADES!$C$4:$C$1503,$A2833,NOVEDADES!$M$4:$M$1503,"SÍ")&gt;0,"No","Sí"))</f>
        <v/>
      </c>
      <c r="P2833" s="27">
        <f>IF(OR($A2833="",$K2833=""),"",IF(AND($M2833="Sí",$O2833="Sí"),"OTIF","Falló"))</f>
        <v/>
      </c>
    </row>
    <row r="2834" ht="16" customHeight="1">
      <c r="A2834" s="47" t="n"/>
      <c r="B2834" s="46" t="n"/>
      <c r="C2834" s="49" t="n"/>
      <c r="D2834" s="49" t="n"/>
      <c r="E2834" s="49" t="n"/>
      <c r="F2834" s="49" t="n"/>
      <c r="G2834" s="47" t="n"/>
      <c r="H2834" s="50" t="n"/>
      <c r="I2834" s="51" t="n"/>
      <c r="J2834" s="46" t="n"/>
      <c r="K2834" s="46" t="n"/>
      <c r="L2834" s="23">
        <f>IF(OR($A2834="",$B2834=""),"",IF($K2834&lt;&gt;"",$K2834-$B2834,TODAY()-$B2834))</f>
        <v/>
      </c>
      <c r="M2834" s="27">
        <f>IF(OR($A2834="",$J2834=""),"",IF($K2834="",IF(TODAY()&gt;$J2834,"Atrasado","En ruta"),IF($K2834&lt;=$J2834,"Sí","No")))</f>
        <v/>
      </c>
      <c r="N2834" s="23">
        <f>IF($A2834="","",COUNTIFS(NOVEDADES!$C$4:$C$1503,$A2834))</f>
        <v/>
      </c>
      <c r="O2834" s="27">
        <f>IF($A2834="","",IF(COUNTIFS(NOVEDADES!$C$4:$C$1503,$A2834,NOVEDADES!$M$4:$M$1503,"SÍ")&gt;0,"No","Sí"))</f>
        <v/>
      </c>
      <c r="P2834" s="27">
        <f>IF(OR($A2834="",$K2834=""),"",IF(AND($M2834="Sí",$O2834="Sí"),"OTIF","Falló"))</f>
        <v/>
      </c>
    </row>
    <row r="2835" ht="16" customHeight="1">
      <c r="A2835" s="47" t="n"/>
      <c r="B2835" s="46" t="n"/>
      <c r="C2835" s="49" t="n"/>
      <c r="D2835" s="49" t="n"/>
      <c r="E2835" s="49" t="n"/>
      <c r="F2835" s="49" t="n"/>
      <c r="G2835" s="47" t="n"/>
      <c r="H2835" s="50" t="n"/>
      <c r="I2835" s="51" t="n"/>
      <c r="J2835" s="46" t="n"/>
      <c r="K2835" s="46" t="n"/>
      <c r="L2835" s="23">
        <f>IF(OR($A2835="",$B2835=""),"",IF($K2835&lt;&gt;"",$K2835-$B2835,TODAY()-$B2835))</f>
        <v/>
      </c>
      <c r="M2835" s="27">
        <f>IF(OR($A2835="",$J2835=""),"",IF($K2835="",IF(TODAY()&gt;$J2835,"Atrasado","En ruta"),IF($K2835&lt;=$J2835,"Sí","No")))</f>
        <v/>
      </c>
      <c r="N2835" s="23">
        <f>IF($A2835="","",COUNTIFS(NOVEDADES!$C$4:$C$1503,$A2835))</f>
        <v/>
      </c>
      <c r="O2835" s="27">
        <f>IF($A2835="","",IF(COUNTIFS(NOVEDADES!$C$4:$C$1503,$A2835,NOVEDADES!$M$4:$M$1503,"SÍ")&gt;0,"No","Sí"))</f>
        <v/>
      </c>
      <c r="P2835" s="27">
        <f>IF(OR($A2835="",$K2835=""),"",IF(AND($M2835="Sí",$O2835="Sí"),"OTIF","Falló"))</f>
        <v/>
      </c>
    </row>
    <row r="2836" ht="16" customHeight="1">
      <c r="A2836" s="47" t="n"/>
      <c r="B2836" s="46" t="n"/>
      <c r="C2836" s="49" t="n"/>
      <c r="D2836" s="49" t="n"/>
      <c r="E2836" s="49" t="n"/>
      <c r="F2836" s="49" t="n"/>
      <c r="G2836" s="47" t="n"/>
      <c r="H2836" s="50" t="n"/>
      <c r="I2836" s="51" t="n"/>
      <c r="J2836" s="46" t="n"/>
      <c r="K2836" s="46" t="n"/>
      <c r="L2836" s="23">
        <f>IF(OR($A2836="",$B2836=""),"",IF($K2836&lt;&gt;"",$K2836-$B2836,TODAY()-$B2836))</f>
        <v/>
      </c>
      <c r="M2836" s="27">
        <f>IF(OR($A2836="",$J2836=""),"",IF($K2836="",IF(TODAY()&gt;$J2836,"Atrasado","En ruta"),IF($K2836&lt;=$J2836,"Sí","No")))</f>
        <v/>
      </c>
      <c r="N2836" s="23">
        <f>IF($A2836="","",COUNTIFS(NOVEDADES!$C$4:$C$1503,$A2836))</f>
        <v/>
      </c>
      <c r="O2836" s="27">
        <f>IF($A2836="","",IF(COUNTIFS(NOVEDADES!$C$4:$C$1503,$A2836,NOVEDADES!$M$4:$M$1503,"SÍ")&gt;0,"No","Sí"))</f>
        <v/>
      </c>
      <c r="P2836" s="27">
        <f>IF(OR($A2836="",$K2836=""),"",IF(AND($M2836="Sí",$O2836="Sí"),"OTIF","Falló"))</f>
        <v/>
      </c>
    </row>
    <row r="2837" ht="16" customHeight="1">
      <c r="A2837" s="47" t="n"/>
      <c r="B2837" s="46" t="n"/>
      <c r="C2837" s="49" t="n"/>
      <c r="D2837" s="49" t="n"/>
      <c r="E2837" s="49" t="n"/>
      <c r="F2837" s="49" t="n"/>
      <c r="G2837" s="47" t="n"/>
      <c r="H2837" s="50" t="n"/>
      <c r="I2837" s="51" t="n"/>
      <c r="J2837" s="46" t="n"/>
      <c r="K2837" s="46" t="n"/>
      <c r="L2837" s="23">
        <f>IF(OR($A2837="",$B2837=""),"",IF($K2837&lt;&gt;"",$K2837-$B2837,TODAY()-$B2837))</f>
        <v/>
      </c>
      <c r="M2837" s="27">
        <f>IF(OR($A2837="",$J2837=""),"",IF($K2837="",IF(TODAY()&gt;$J2837,"Atrasado","En ruta"),IF($K2837&lt;=$J2837,"Sí","No")))</f>
        <v/>
      </c>
      <c r="N2837" s="23">
        <f>IF($A2837="","",COUNTIFS(NOVEDADES!$C$4:$C$1503,$A2837))</f>
        <v/>
      </c>
      <c r="O2837" s="27">
        <f>IF($A2837="","",IF(COUNTIFS(NOVEDADES!$C$4:$C$1503,$A2837,NOVEDADES!$M$4:$M$1503,"SÍ")&gt;0,"No","Sí"))</f>
        <v/>
      </c>
      <c r="P2837" s="27">
        <f>IF(OR($A2837="",$K2837=""),"",IF(AND($M2837="Sí",$O2837="Sí"),"OTIF","Falló"))</f>
        <v/>
      </c>
    </row>
    <row r="2838" ht="16" customHeight="1">
      <c r="A2838" s="47" t="n"/>
      <c r="B2838" s="46" t="n"/>
      <c r="C2838" s="49" t="n"/>
      <c r="D2838" s="49" t="n"/>
      <c r="E2838" s="49" t="n"/>
      <c r="F2838" s="49" t="n"/>
      <c r="G2838" s="47" t="n"/>
      <c r="H2838" s="50" t="n"/>
      <c r="I2838" s="51" t="n"/>
      <c r="J2838" s="46" t="n"/>
      <c r="K2838" s="46" t="n"/>
      <c r="L2838" s="23">
        <f>IF(OR($A2838="",$B2838=""),"",IF($K2838&lt;&gt;"",$K2838-$B2838,TODAY()-$B2838))</f>
        <v/>
      </c>
      <c r="M2838" s="27">
        <f>IF(OR($A2838="",$J2838=""),"",IF($K2838="",IF(TODAY()&gt;$J2838,"Atrasado","En ruta"),IF($K2838&lt;=$J2838,"Sí","No")))</f>
        <v/>
      </c>
      <c r="N2838" s="23">
        <f>IF($A2838="","",COUNTIFS(NOVEDADES!$C$4:$C$1503,$A2838))</f>
        <v/>
      </c>
      <c r="O2838" s="27">
        <f>IF($A2838="","",IF(COUNTIFS(NOVEDADES!$C$4:$C$1503,$A2838,NOVEDADES!$M$4:$M$1503,"SÍ")&gt;0,"No","Sí"))</f>
        <v/>
      </c>
      <c r="P2838" s="27">
        <f>IF(OR($A2838="",$K2838=""),"",IF(AND($M2838="Sí",$O2838="Sí"),"OTIF","Falló"))</f>
        <v/>
      </c>
    </row>
    <row r="2839" ht="16" customHeight="1">
      <c r="A2839" s="47" t="n"/>
      <c r="B2839" s="46" t="n"/>
      <c r="C2839" s="49" t="n"/>
      <c r="D2839" s="49" t="n"/>
      <c r="E2839" s="49" t="n"/>
      <c r="F2839" s="49" t="n"/>
      <c r="G2839" s="47" t="n"/>
      <c r="H2839" s="50" t="n"/>
      <c r="I2839" s="51" t="n"/>
      <c r="J2839" s="46" t="n"/>
      <c r="K2839" s="46" t="n"/>
      <c r="L2839" s="23">
        <f>IF(OR($A2839="",$B2839=""),"",IF($K2839&lt;&gt;"",$K2839-$B2839,TODAY()-$B2839))</f>
        <v/>
      </c>
      <c r="M2839" s="27">
        <f>IF(OR($A2839="",$J2839=""),"",IF($K2839="",IF(TODAY()&gt;$J2839,"Atrasado","En ruta"),IF($K2839&lt;=$J2839,"Sí","No")))</f>
        <v/>
      </c>
      <c r="N2839" s="23">
        <f>IF($A2839="","",COUNTIFS(NOVEDADES!$C$4:$C$1503,$A2839))</f>
        <v/>
      </c>
      <c r="O2839" s="27">
        <f>IF($A2839="","",IF(COUNTIFS(NOVEDADES!$C$4:$C$1503,$A2839,NOVEDADES!$M$4:$M$1503,"SÍ")&gt;0,"No","Sí"))</f>
        <v/>
      </c>
      <c r="P2839" s="27">
        <f>IF(OR($A2839="",$K2839=""),"",IF(AND($M2839="Sí",$O2839="Sí"),"OTIF","Falló"))</f>
        <v/>
      </c>
    </row>
    <row r="2840" ht="16" customHeight="1">
      <c r="A2840" s="47" t="n"/>
      <c r="B2840" s="46" t="n"/>
      <c r="C2840" s="49" t="n"/>
      <c r="D2840" s="49" t="n"/>
      <c r="E2840" s="49" t="n"/>
      <c r="F2840" s="49" t="n"/>
      <c r="G2840" s="47" t="n"/>
      <c r="H2840" s="50" t="n"/>
      <c r="I2840" s="51" t="n"/>
      <c r="J2840" s="46" t="n"/>
      <c r="K2840" s="46" t="n"/>
      <c r="L2840" s="23">
        <f>IF(OR($A2840="",$B2840=""),"",IF($K2840&lt;&gt;"",$K2840-$B2840,TODAY()-$B2840))</f>
        <v/>
      </c>
      <c r="M2840" s="27">
        <f>IF(OR($A2840="",$J2840=""),"",IF($K2840="",IF(TODAY()&gt;$J2840,"Atrasado","En ruta"),IF($K2840&lt;=$J2840,"Sí","No")))</f>
        <v/>
      </c>
      <c r="N2840" s="23">
        <f>IF($A2840="","",COUNTIFS(NOVEDADES!$C$4:$C$1503,$A2840))</f>
        <v/>
      </c>
      <c r="O2840" s="27">
        <f>IF($A2840="","",IF(COUNTIFS(NOVEDADES!$C$4:$C$1503,$A2840,NOVEDADES!$M$4:$M$1503,"SÍ")&gt;0,"No","Sí"))</f>
        <v/>
      </c>
      <c r="P2840" s="27">
        <f>IF(OR($A2840="",$K2840=""),"",IF(AND($M2840="Sí",$O2840="Sí"),"OTIF","Falló"))</f>
        <v/>
      </c>
    </row>
    <row r="2841" ht="16" customHeight="1">
      <c r="A2841" s="47" t="n"/>
      <c r="B2841" s="46" t="n"/>
      <c r="C2841" s="49" t="n"/>
      <c r="D2841" s="49" t="n"/>
      <c r="E2841" s="49" t="n"/>
      <c r="F2841" s="49" t="n"/>
      <c r="G2841" s="47" t="n"/>
      <c r="H2841" s="50" t="n"/>
      <c r="I2841" s="51" t="n"/>
      <c r="J2841" s="46" t="n"/>
      <c r="K2841" s="46" t="n"/>
      <c r="L2841" s="23">
        <f>IF(OR($A2841="",$B2841=""),"",IF($K2841&lt;&gt;"",$K2841-$B2841,TODAY()-$B2841))</f>
        <v/>
      </c>
      <c r="M2841" s="27">
        <f>IF(OR($A2841="",$J2841=""),"",IF($K2841="",IF(TODAY()&gt;$J2841,"Atrasado","En ruta"),IF($K2841&lt;=$J2841,"Sí","No")))</f>
        <v/>
      </c>
      <c r="N2841" s="23">
        <f>IF($A2841="","",COUNTIFS(NOVEDADES!$C$4:$C$1503,$A2841))</f>
        <v/>
      </c>
      <c r="O2841" s="27">
        <f>IF($A2841="","",IF(COUNTIFS(NOVEDADES!$C$4:$C$1503,$A2841,NOVEDADES!$M$4:$M$1503,"SÍ")&gt;0,"No","Sí"))</f>
        <v/>
      </c>
      <c r="P2841" s="27">
        <f>IF(OR($A2841="",$K2841=""),"",IF(AND($M2841="Sí",$O2841="Sí"),"OTIF","Falló"))</f>
        <v/>
      </c>
    </row>
    <row r="2842" ht="16" customHeight="1">
      <c r="A2842" s="47" t="n"/>
      <c r="B2842" s="46" t="n"/>
      <c r="C2842" s="49" t="n"/>
      <c r="D2842" s="49" t="n"/>
      <c r="E2842" s="49" t="n"/>
      <c r="F2842" s="49" t="n"/>
      <c r="G2842" s="47" t="n"/>
      <c r="H2842" s="50" t="n"/>
      <c r="I2842" s="51" t="n"/>
      <c r="J2842" s="46" t="n"/>
      <c r="K2842" s="46" t="n"/>
      <c r="L2842" s="23">
        <f>IF(OR($A2842="",$B2842=""),"",IF($K2842&lt;&gt;"",$K2842-$B2842,TODAY()-$B2842))</f>
        <v/>
      </c>
      <c r="M2842" s="27">
        <f>IF(OR($A2842="",$J2842=""),"",IF($K2842="",IF(TODAY()&gt;$J2842,"Atrasado","En ruta"),IF($K2842&lt;=$J2842,"Sí","No")))</f>
        <v/>
      </c>
      <c r="N2842" s="23">
        <f>IF($A2842="","",COUNTIFS(NOVEDADES!$C$4:$C$1503,$A2842))</f>
        <v/>
      </c>
      <c r="O2842" s="27">
        <f>IF($A2842="","",IF(COUNTIFS(NOVEDADES!$C$4:$C$1503,$A2842,NOVEDADES!$M$4:$M$1503,"SÍ")&gt;0,"No","Sí"))</f>
        <v/>
      </c>
      <c r="P2842" s="27">
        <f>IF(OR($A2842="",$K2842=""),"",IF(AND($M2842="Sí",$O2842="Sí"),"OTIF","Falló"))</f>
        <v/>
      </c>
    </row>
    <row r="2843" ht="16" customHeight="1">
      <c r="A2843" s="47" t="n"/>
      <c r="B2843" s="46" t="n"/>
      <c r="C2843" s="49" t="n"/>
      <c r="D2843" s="49" t="n"/>
      <c r="E2843" s="49" t="n"/>
      <c r="F2843" s="49" t="n"/>
      <c r="G2843" s="47" t="n"/>
      <c r="H2843" s="50" t="n"/>
      <c r="I2843" s="51" t="n"/>
      <c r="J2843" s="46" t="n"/>
      <c r="K2843" s="46" t="n"/>
      <c r="L2843" s="23">
        <f>IF(OR($A2843="",$B2843=""),"",IF($K2843&lt;&gt;"",$K2843-$B2843,TODAY()-$B2843))</f>
        <v/>
      </c>
      <c r="M2843" s="27">
        <f>IF(OR($A2843="",$J2843=""),"",IF($K2843="",IF(TODAY()&gt;$J2843,"Atrasado","En ruta"),IF($K2843&lt;=$J2843,"Sí","No")))</f>
        <v/>
      </c>
      <c r="N2843" s="23">
        <f>IF($A2843="","",COUNTIFS(NOVEDADES!$C$4:$C$1503,$A2843))</f>
        <v/>
      </c>
      <c r="O2843" s="27">
        <f>IF($A2843="","",IF(COUNTIFS(NOVEDADES!$C$4:$C$1503,$A2843,NOVEDADES!$M$4:$M$1503,"SÍ")&gt;0,"No","Sí"))</f>
        <v/>
      </c>
      <c r="P2843" s="27">
        <f>IF(OR($A2843="",$K2843=""),"",IF(AND($M2843="Sí",$O2843="Sí"),"OTIF","Falló"))</f>
        <v/>
      </c>
    </row>
    <row r="2844" ht="16" customHeight="1">
      <c r="A2844" s="47" t="n"/>
      <c r="B2844" s="46" t="n"/>
      <c r="C2844" s="49" t="n"/>
      <c r="D2844" s="49" t="n"/>
      <c r="E2844" s="49" t="n"/>
      <c r="F2844" s="49" t="n"/>
      <c r="G2844" s="47" t="n"/>
      <c r="H2844" s="50" t="n"/>
      <c r="I2844" s="51" t="n"/>
      <c r="J2844" s="46" t="n"/>
      <c r="K2844" s="46" t="n"/>
      <c r="L2844" s="23">
        <f>IF(OR($A2844="",$B2844=""),"",IF($K2844&lt;&gt;"",$K2844-$B2844,TODAY()-$B2844))</f>
        <v/>
      </c>
      <c r="M2844" s="27">
        <f>IF(OR($A2844="",$J2844=""),"",IF($K2844="",IF(TODAY()&gt;$J2844,"Atrasado","En ruta"),IF($K2844&lt;=$J2844,"Sí","No")))</f>
        <v/>
      </c>
      <c r="N2844" s="23">
        <f>IF($A2844="","",COUNTIFS(NOVEDADES!$C$4:$C$1503,$A2844))</f>
        <v/>
      </c>
      <c r="O2844" s="27">
        <f>IF($A2844="","",IF(COUNTIFS(NOVEDADES!$C$4:$C$1503,$A2844,NOVEDADES!$M$4:$M$1503,"SÍ")&gt;0,"No","Sí"))</f>
        <v/>
      </c>
      <c r="P2844" s="27">
        <f>IF(OR($A2844="",$K2844=""),"",IF(AND($M2844="Sí",$O2844="Sí"),"OTIF","Falló"))</f>
        <v/>
      </c>
    </row>
    <row r="2845" ht="16" customHeight="1">
      <c r="A2845" s="47" t="n"/>
      <c r="B2845" s="46" t="n"/>
      <c r="C2845" s="49" t="n"/>
      <c r="D2845" s="49" t="n"/>
      <c r="E2845" s="49" t="n"/>
      <c r="F2845" s="49" t="n"/>
      <c r="G2845" s="47" t="n"/>
      <c r="H2845" s="50" t="n"/>
      <c r="I2845" s="51" t="n"/>
      <c r="J2845" s="46" t="n"/>
      <c r="K2845" s="46" t="n"/>
      <c r="L2845" s="23">
        <f>IF(OR($A2845="",$B2845=""),"",IF($K2845&lt;&gt;"",$K2845-$B2845,TODAY()-$B2845))</f>
        <v/>
      </c>
      <c r="M2845" s="27">
        <f>IF(OR($A2845="",$J2845=""),"",IF($K2845="",IF(TODAY()&gt;$J2845,"Atrasado","En ruta"),IF($K2845&lt;=$J2845,"Sí","No")))</f>
        <v/>
      </c>
      <c r="N2845" s="23">
        <f>IF($A2845="","",COUNTIFS(NOVEDADES!$C$4:$C$1503,$A2845))</f>
        <v/>
      </c>
      <c r="O2845" s="27">
        <f>IF($A2845="","",IF(COUNTIFS(NOVEDADES!$C$4:$C$1503,$A2845,NOVEDADES!$M$4:$M$1503,"SÍ")&gt;0,"No","Sí"))</f>
        <v/>
      </c>
      <c r="P2845" s="27">
        <f>IF(OR($A2845="",$K2845=""),"",IF(AND($M2845="Sí",$O2845="Sí"),"OTIF","Falló"))</f>
        <v/>
      </c>
    </row>
    <row r="2846" ht="16" customHeight="1">
      <c r="A2846" s="47" t="n"/>
      <c r="B2846" s="46" t="n"/>
      <c r="C2846" s="49" t="n"/>
      <c r="D2846" s="49" t="n"/>
      <c r="E2846" s="49" t="n"/>
      <c r="F2846" s="49" t="n"/>
      <c r="G2846" s="47" t="n"/>
      <c r="H2846" s="50" t="n"/>
      <c r="I2846" s="51" t="n"/>
      <c r="J2846" s="46" t="n"/>
      <c r="K2846" s="46" t="n"/>
      <c r="L2846" s="23">
        <f>IF(OR($A2846="",$B2846=""),"",IF($K2846&lt;&gt;"",$K2846-$B2846,TODAY()-$B2846))</f>
        <v/>
      </c>
      <c r="M2846" s="27">
        <f>IF(OR($A2846="",$J2846=""),"",IF($K2846="",IF(TODAY()&gt;$J2846,"Atrasado","En ruta"),IF($K2846&lt;=$J2846,"Sí","No")))</f>
        <v/>
      </c>
      <c r="N2846" s="23">
        <f>IF($A2846="","",COUNTIFS(NOVEDADES!$C$4:$C$1503,$A2846))</f>
        <v/>
      </c>
      <c r="O2846" s="27">
        <f>IF($A2846="","",IF(COUNTIFS(NOVEDADES!$C$4:$C$1503,$A2846,NOVEDADES!$M$4:$M$1503,"SÍ")&gt;0,"No","Sí"))</f>
        <v/>
      </c>
      <c r="P2846" s="27">
        <f>IF(OR($A2846="",$K2846=""),"",IF(AND($M2846="Sí",$O2846="Sí"),"OTIF","Falló"))</f>
        <v/>
      </c>
    </row>
    <row r="2847" ht="16" customHeight="1">
      <c r="A2847" s="47" t="n"/>
      <c r="B2847" s="46" t="n"/>
      <c r="C2847" s="49" t="n"/>
      <c r="D2847" s="49" t="n"/>
      <c r="E2847" s="49" t="n"/>
      <c r="F2847" s="49" t="n"/>
      <c r="G2847" s="47" t="n"/>
      <c r="H2847" s="50" t="n"/>
      <c r="I2847" s="51" t="n"/>
      <c r="J2847" s="46" t="n"/>
      <c r="K2847" s="46" t="n"/>
      <c r="L2847" s="23">
        <f>IF(OR($A2847="",$B2847=""),"",IF($K2847&lt;&gt;"",$K2847-$B2847,TODAY()-$B2847))</f>
        <v/>
      </c>
      <c r="M2847" s="27">
        <f>IF(OR($A2847="",$J2847=""),"",IF($K2847="",IF(TODAY()&gt;$J2847,"Atrasado","En ruta"),IF($K2847&lt;=$J2847,"Sí","No")))</f>
        <v/>
      </c>
      <c r="N2847" s="23">
        <f>IF($A2847="","",COUNTIFS(NOVEDADES!$C$4:$C$1503,$A2847))</f>
        <v/>
      </c>
      <c r="O2847" s="27">
        <f>IF($A2847="","",IF(COUNTIFS(NOVEDADES!$C$4:$C$1503,$A2847,NOVEDADES!$M$4:$M$1503,"SÍ")&gt;0,"No","Sí"))</f>
        <v/>
      </c>
      <c r="P2847" s="27">
        <f>IF(OR($A2847="",$K2847=""),"",IF(AND($M2847="Sí",$O2847="Sí"),"OTIF","Falló"))</f>
        <v/>
      </c>
    </row>
    <row r="2848" ht="16" customHeight="1">
      <c r="A2848" s="47" t="n"/>
      <c r="B2848" s="46" t="n"/>
      <c r="C2848" s="49" t="n"/>
      <c r="D2848" s="49" t="n"/>
      <c r="E2848" s="49" t="n"/>
      <c r="F2848" s="49" t="n"/>
      <c r="G2848" s="47" t="n"/>
      <c r="H2848" s="50" t="n"/>
      <c r="I2848" s="51" t="n"/>
      <c r="J2848" s="46" t="n"/>
      <c r="K2848" s="46" t="n"/>
      <c r="L2848" s="23">
        <f>IF(OR($A2848="",$B2848=""),"",IF($K2848&lt;&gt;"",$K2848-$B2848,TODAY()-$B2848))</f>
        <v/>
      </c>
      <c r="M2848" s="27">
        <f>IF(OR($A2848="",$J2848=""),"",IF($K2848="",IF(TODAY()&gt;$J2848,"Atrasado","En ruta"),IF($K2848&lt;=$J2848,"Sí","No")))</f>
        <v/>
      </c>
      <c r="N2848" s="23">
        <f>IF($A2848="","",COUNTIFS(NOVEDADES!$C$4:$C$1503,$A2848))</f>
        <v/>
      </c>
      <c r="O2848" s="27">
        <f>IF($A2848="","",IF(COUNTIFS(NOVEDADES!$C$4:$C$1503,$A2848,NOVEDADES!$M$4:$M$1503,"SÍ")&gt;0,"No","Sí"))</f>
        <v/>
      </c>
      <c r="P2848" s="27">
        <f>IF(OR($A2848="",$K2848=""),"",IF(AND($M2848="Sí",$O2848="Sí"),"OTIF","Falló"))</f>
        <v/>
      </c>
    </row>
    <row r="2849" ht="16" customHeight="1">
      <c r="A2849" s="47" t="n"/>
      <c r="B2849" s="46" t="n"/>
      <c r="C2849" s="49" t="n"/>
      <c r="D2849" s="49" t="n"/>
      <c r="E2849" s="49" t="n"/>
      <c r="F2849" s="49" t="n"/>
      <c r="G2849" s="47" t="n"/>
      <c r="H2849" s="50" t="n"/>
      <c r="I2849" s="51" t="n"/>
      <c r="J2849" s="46" t="n"/>
      <c r="K2849" s="46" t="n"/>
      <c r="L2849" s="23">
        <f>IF(OR($A2849="",$B2849=""),"",IF($K2849&lt;&gt;"",$K2849-$B2849,TODAY()-$B2849))</f>
        <v/>
      </c>
      <c r="M2849" s="27">
        <f>IF(OR($A2849="",$J2849=""),"",IF($K2849="",IF(TODAY()&gt;$J2849,"Atrasado","En ruta"),IF($K2849&lt;=$J2849,"Sí","No")))</f>
        <v/>
      </c>
      <c r="N2849" s="23">
        <f>IF($A2849="","",COUNTIFS(NOVEDADES!$C$4:$C$1503,$A2849))</f>
        <v/>
      </c>
      <c r="O2849" s="27">
        <f>IF($A2849="","",IF(COUNTIFS(NOVEDADES!$C$4:$C$1503,$A2849,NOVEDADES!$M$4:$M$1503,"SÍ")&gt;0,"No","Sí"))</f>
        <v/>
      </c>
      <c r="P2849" s="27">
        <f>IF(OR($A2849="",$K2849=""),"",IF(AND($M2849="Sí",$O2849="Sí"),"OTIF","Falló"))</f>
        <v/>
      </c>
    </row>
    <row r="2850" ht="16" customHeight="1">
      <c r="A2850" s="47" t="n"/>
      <c r="B2850" s="46" t="n"/>
      <c r="C2850" s="49" t="n"/>
      <c r="D2850" s="49" t="n"/>
      <c r="E2850" s="49" t="n"/>
      <c r="F2850" s="49" t="n"/>
      <c r="G2850" s="47" t="n"/>
      <c r="H2850" s="50" t="n"/>
      <c r="I2850" s="51" t="n"/>
      <c r="J2850" s="46" t="n"/>
      <c r="K2850" s="46" t="n"/>
      <c r="L2850" s="23">
        <f>IF(OR($A2850="",$B2850=""),"",IF($K2850&lt;&gt;"",$K2850-$B2850,TODAY()-$B2850))</f>
        <v/>
      </c>
      <c r="M2850" s="27">
        <f>IF(OR($A2850="",$J2850=""),"",IF($K2850="",IF(TODAY()&gt;$J2850,"Atrasado","En ruta"),IF($K2850&lt;=$J2850,"Sí","No")))</f>
        <v/>
      </c>
      <c r="N2850" s="23">
        <f>IF($A2850="","",COUNTIFS(NOVEDADES!$C$4:$C$1503,$A2850))</f>
        <v/>
      </c>
      <c r="O2850" s="27">
        <f>IF($A2850="","",IF(COUNTIFS(NOVEDADES!$C$4:$C$1503,$A2850,NOVEDADES!$M$4:$M$1503,"SÍ")&gt;0,"No","Sí"))</f>
        <v/>
      </c>
      <c r="P2850" s="27">
        <f>IF(OR($A2850="",$K2850=""),"",IF(AND($M2850="Sí",$O2850="Sí"),"OTIF","Falló"))</f>
        <v/>
      </c>
    </row>
    <row r="2851" ht="16" customHeight="1">
      <c r="A2851" s="47" t="n"/>
      <c r="B2851" s="46" t="n"/>
      <c r="C2851" s="49" t="n"/>
      <c r="D2851" s="49" t="n"/>
      <c r="E2851" s="49" t="n"/>
      <c r="F2851" s="49" t="n"/>
      <c r="G2851" s="47" t="n"/>
      <c r="H2851" s="50" t="n"/>
      <c r="I2851" s="51" t="n"/>
      <c r="J2851" s="46" t="n"/>
      <c r="K2851" s="46" t="n"/>
      <c r="L2851" s="23">
        <f>IF(OR($A2851="",$B2851=""),"",IF($K2851&lt;&gt;"",$K2851-$B2851,TODAY()-$B2851))</f>
        <v/>
      </c>
      <c r="M2851" s="27">
        <f>IF(OR($A2851="",$J2851=""),"",IF($K2851="",IF(TODAY()&gt;$J2851,"Atrasado","En ruta"),IF($K2851&lt;=$J2851,"Sí","No")))</f>
        <v/>
      </c>
      <c r="N2851" s="23">
        <f>IF($A2851="","",COUNTIFS(NOVEDADES!$C$4:$C$1503,$A2851))</f>
        <v/>
      </c>
      <c r="O2851" s="27">
        <f>IF($A2851="","",IF(COUNTIFS(NOVEDADES!$C$4:$C$1503,$A2851,NOVEDADES!$M$4:$M$1503,"SÍ")&gt;0,"No","Sí"))</f>
        <v/>
      </c>
      <c r="P2851" s="27">
        <f>IF(OR($A2851="",$K2851=""),"",IF(AND($M2851="Sí",$O2851="Sí"),"OTIF","Falló"))</f>
        <v/>
      </c>
    </row>
    <row r="2852" ht="16" customHeight="1">
      <c r="A2852" s="47" t="n"/>
      <c r="B2852" s="46" t="n"/>
      <c r="C2852" s="49" t="n"/>
      <c r="D2852" s="49" t="n"/>
      <c r="E2852" s="49" t="n"/>
      <c r="F2852" s="49" t="n"/>
      <c r="G2852" s="47" t="n"/>
      <c r="H2852" s="50" t="n"/>
      <c r="I2852" s="51" t="n"/>
      <c r="J2852" s="46" t="n"/>
      <c r="K2852" s="46" t="n"/>
      <c r="L2852" s="23">
        <f>IF(OR($A2852="",$B2852=""),"",IF($K2852&lt;&gt;"",$K2852-$B2852,TODAY()-$B2852))</f>
        <v/>
      </c>
      <c r="M2852" s="27">
        <f>IF(OR($A2852="",$J2852=""),"",IF($K2852="",IF(TODAY()&gt;$J2852,"Atrasado","En ruta"),IF($K2852&lt;=$J2852,"Sí","No")))</f>
        <v/>
      </c>
      <c r="N2852" s="23">
        <f>IF($A2852="","",COUNTIFS(NOVEDADES!$C$4:$C$1503,$A2852))</f>
        <v/>
      </c>
      <c r="O2852" s="27">
        <f>IF($A2852="","",IF(COUNTIFS(NOVEDADES!$C$4:$C$1503,$A2852,NOVEDADES!$M$4:$M$1503,"SÍ")&gt;0,"No","Sí"))</f>
        <v/>
      </c>
      <c r="P2852" s="27">
        <f>IF(OR($A2852="",$K2852=""),"",IF(AND($M2852="Sí",$O2852="Sí"),"OTIF","Falló"))</f>
        <v/>
      </c>
    </row>
    <row r="2853" ht="16" customHeight="1">
      <c r="A2853" s="47" t="n"/>
      <c r="B2853" s="46" t="n"/>
      <c r="C2853" s="49" t="n"/>
      <c r="D2853" s="49" t="n"/>
      <c r="E2853" s="49" t="n"/>
      <c r="F2853" s="49" t="n"/>
      <c r="G2853" s="47" t="n"/>
      <c r="H2853" s="50" t="n"/>
      <c r="I2853" s="51" t="n"/>
      <c r="J2853" s="46" t="n"/>
      <c r="K2853" s="46" t="n"/>
      <c r="L2853" s="23">
        <f>IF(OR($A2853="",$B2853=""),"",IF($K2853&lt;&gt;"",$K2853-$B2853,TODAY()-$B2853))</f>
        <v/>
      </c>
      <c r="M2853" s="27">
        <f>IF(OR($A2853="",$J2853=""),"",IF($K2853="",IF(TODAY()&gt;$J2853,"Atrasado","En ruta"),IF($K2853&lt;=$J2853,"Sí","No")))</f>
        <v/>
      </c>
      <c r="N2853" s="23">
        <f>IF($A2853="","",COUNTIFS(NOVEDADES!$C$4:$C$1503,$A2853))</f>
        <v/>
      </c>
      <c r="O2853" s="27">
        <f>IF($A2853="","",IF(COUNTIFS(NOVEDADES!$C$4:$C$1503,$A2853,NOVEDADES!$M$4:$M$1503,"SÍ")&gt;0,"No","Sí"))</f>
        <v/>
      </c>
      <c r="P2853" s="27">
        <f>IF(OR($A2853="",$K2853=""),"",IF(AND($M2853="Sí",$O2853="Sí"),"OTIF","Falló"))</f>
        <v/>
      </c>
    </row>
    <row r="2854" ht="16" customHeight="1">
      <c r="A2854" s="47" t="n"/>
      <c r="B2854" s="46" t="n"/>
      <c r="C2854" s="49" t="n"/>
      <c r="D2854" s="49" t="n"/>
      <c r="E2854" s="49" t="n"/>
      <c r="F2854" s="49" t="n"/>
      <c r="G2854" s="47" t="n"/>
      <c r="H2854" s="50" t="n"/>
      <c r="I2854" s="51" t="n"/>
      <c r="J2854" s="46" t="n"/>
      <c r="K2854" s="46" t="n"/>
      <c r="L2854" s="23">
        <f>IF(OR($A2854="",$B2854=""),"",IF($K2854&lt;&gt;"",$K2854-$B2854,TODAY()-$B2854))</f>
        <v/>
      </c>
      <c r="M2854" s="27">
        <f>IF(OR($A2854="",$J2854=""),"",IF($K2854="",IF(TODAY()&gt;$J2854,"Atrasado","En ruta"),IF($K2854&lt;=$J2854,"Sí","No")))</f>
        <v/>
      </c>
      <c r="N2854" s="23">
        <f>IF($A2854="","",COUNTIFS(NOVEDADES!$C$4:$C$1503,$A2854))</f>
        <v/>
      </c>
      <c r="O2854" s="27">
        <f>IF($A2854="","",IF(COUNTIFS(NOVEDADES!$C$4:$C$1503,$A2854,NOVEDADES!$M$4:$M$1503,"SÍ")&gt;0,"No","Sí"))</f>
        <v/>
      </c>
      <c r="P2854" s="27">
        <f>IF(OR($A2854="",$K2854=""),"",IF(AND($M2854="Sí",$O2854="Sí"),"OTIF","Falló"))</f>
        <v/>
      </c>
    </row>
    <row r="2855" ht="16" customHeight="1">
      <c r="A2855" s="47" t="n"/>
      <c r="B2855" s="46" t="n"/>
      <c r="C2855" s="49" t="n"/>
      <c r="D2855" s="49" t="n"/>
      <c r="E2855" s="49" t="n"/>
      <c r="F2855" s="49" t="n"/>
      <c r="G2855" s="47" t="n"/>
      <c r="H2855" s="50" t="n"/>
      <c r="I2855" s="51" t="n"/>
      <c r="J2855" s="46" t="n"/>
      <c r="K2855" s="46" t="n"/>
      <c r="L2855" s="23">
        <f>IF(OR($A2855="",$B2855=""),"",IF($K2855&lt;&gt;"",$K2855-$B2855,TODAY()-$B2855))</f>
        <v/>
      </c>
      <c r="M2855" s="27">
        <f>IF(OR($A2855="",$J2855=""),"",IF($K2855="",IF(TODAY()&gt;$J2855,"Atrasado","En ruta"),IF($K2855&lt;=$J2855,"Sí","No")))</f>
        <v/>
      </c>
      <c r="N2855" s="23">
        <f>IF($A2855="","",COUNTIFS(NOVEDADES!$C$4:$C$1503,$A2855))</f>
        <v/>
      </c>
      <c r="O2855" s="27">
        <f>IF($A2855="","",IF(COUNTIFS(NOVEDADES!$C$4:$C$1503,$A2855,NOVEDADES!$M$4:$M$1503,"SÍ")&gt;0,"No","Sí"))</f>
        <v/>
      </c>
      <c r="P2855" s="27">
        <f>IF(OR($A2855="",$K2855=""),"",IF(AND($M2855="Sí",$O2855="Sí"),"OTIF","Falló"))</f>
        <v/>
      </c>
    </row>
    <row r="2856" ht="16" customHeight="1">
      <c r="A2856" s="47" t="n"/>
      <c r="B2856" s="46" t="n"/>
      <c r="C2856" s="49" t="n"/>
      <c r="D2856" s="49" t="n"/>
      <c r="E2856" s="49" t="n"/>
      <c r="F2856" s="49" t="n"/>
      <c r="G2856" s="47" t="n"/>
      <c r="H2856" s="50" t="n"/>
      <c r="I2856" s="51" t="n"/>
      <c r="J2856" s="46" t="n"/>
      <c r="K2856" s="46" t="n"/>
      <c r="L2856" s="23">
        <f>IF(OR($A2856="",$B2856=""),"",IF($K2856&lt;&gt;"",$K2856-$B2856,TODAY()-$B2856))</f>
        <v/>
      </c>
      <c r="M2856" s="27">
        <f>IF(OR($A2856="",$J2856=""),"",IF($K2856="",IF(TODAY()&gt;$J2856,"Atrasado","En ruta"),IF($K2856&lt;=$J2856,"Sí","No")))</f>
        <v/>
      </c>
      <c r="N2856" s="23">
        <f>IF($A2856="","",COUNTIFS(NOVEDADES!$C$4:$C$1503,$A2856))</f>
        <v/>
      </c>
      <c r="O2856" s="27">
        <f>IF($A2856="","",IF(COUNTIFS(NOVEDADES!$C$4:$C$1503,$A2856,NOVEDADES!$M$4:$M$1503,"SÍ")&gt;0,"No","Sí"))</f>
        <v/>
      </c>
      <c r="P2856" s="27">
        <f>IF(OR($A2856="",$K2856=""),"",IF(AND($M2856="Sí",$O2856="Sí"),"OTIF","Falló"))</f>
        <v/>
      </c>
    </row>
    <row r="2857" ht="16" customHeight="1">
      <c r="A2857" s="47" t="n"/>
      <c r="B2857" s="46" t="n"/>
      <c r="C2857" s="49" t="n"/>
      <c r="D2857" s="49" t="n"/>
      <c r="E2857" s="49" t="n"/>
      <c r="F2857" s="49" t="n"/>
      <c r="G2857" s="47" t="n"/>
      <c r="H2857" s="50" t="n"/>
      <c r="I2857" s="51" t="n"/>
      <c r="J2857" s="46" t="n"/>
      <c r="K2857" s="46" t="n"/>
      <c r="L2857" s="23">
        <f>IF(OR($A2857="",$B2857=""),"",IF($K2857&lt;&gt;"",$K2857-$B2857,TODAY()-$B2857))</f>
        <v/>
      </c>
      <c r="M2857" s="27">
        <f>IF(OR($A2857="",$J2857=""),"",IF($K2857="",IF(TODAY()&gt;$J2857,"Atrasado","En ruta"),IF($K2857&lt;=$J2857,"Sí","No")))</f>
        <v/>
      </c>
      <c r="N2857" s="23">
        <f>IF($A2857="","",COUNTIFS(NOVEDADES!$C$4:$C$1503,$A2857))</f>
        <v/>
      </c>
      <c r="O2857" s="27">
        <f>IF($A2857="","",IF(COUNTIFS(NOVEDADES!$C$4:$C$1503,$A2857,NOVEDADES!$M$4:$M$1503,"SÍ")&gt;0,"No","Sí"))</f>
        <v/>
      </c>
      <c r="P2857" s="27">
        <f>IF(OR($A2857="",$K2857=""),"",IF(AND($M2857="Sí",$O2857="Sí"),"OTIF","Falló"))</f>
        <v/>
      </c>
    </row>
    <row r="2858" ht="16" customHeight="1">
      <c r="A2858" s="47" t="n"/>
      <c r="B2858" s="46" t="n"/>
      <c r="C2858" s="49" t="n"/>
      <c r="D2858" s="49" t="n"/>
      <c r="E2858" s="49" t="n"/>
      <c r="F2858" s="49" t="n"/>
      <c r="G2858" s="47" t="n"/>
      <c r="H2858" s="50" t="n"/>
      <c r="I2858" s="51" t="n"/>
      <c r="J2858" s="46" t="n"/>
      <c r="K2858" s="46" t="n"/>
      <c r="L2858" s="23">
        <f>IF(OR($A2858="",$B2858=""),"",IF($K2858&lt;&gt;"",$K2858-$B2858,TODAY()-$B2858))</f>
        <v/>
      </c>
      <c r="M2858" s="27">
        <f>IF(OR($A2858="",$J2858=""),"",IF($K2858="",IF(TODAY()&gt;$J2858,"Atrasado","En ruta"),IF($K2858&lt;=$J2858,"Sí","No")))</f>
        <v/>
      </c>
      <c r="N2858" s="23">
        <f>IF($A2858="","",COUNTIFS(NOVEDADES!$C$4:$C$1503,$A2858))</f>
        <v/>
      </c>
      <c r="O2858" s="27">
        <f>IF($A2858="","",IF(COUNTIFS(NOVEDADES!$C$4:$C$1503,$A2858,NOVEDADES!$M$4:$M$1503,"SÍ")&gt;0,"No","Sí"))</f>
        <v/>
      </c>
      <c r="P2858" s="27">
        <f>IF(OR($A2858="",$K2858=""),"",IF(AND($M2858="Sí",$O2858="Sí"),"OTIF","Falló"))</f>
        <v/>
      </c>
    </row>
    <row r="2859" ht="16" customHeight="1">
      <c r="A2859" s="47" t="n"/>
      <c r="B2859" s="46" t="n"/>
      <c r="C2859" s="49" t="n"/>
      <c r="D2859" s="49" t="n"/>
      <c r="E2859" s="49" t="n"/>
      <c r="F2859" s="49" t="n"/>
      <c r="G2859" s="47" t="n"/>
      <c r="H2859" s="50" t="n"/>
      <c r="I2859" s="51" t="n"/>
      <c r="J2859" s="46" t="n"/>
      <c r="K2859" s="46" t="n"/>
      <c r="L2859" s="23">
        <f>IF(OR($A2859="",$B2859=""),"",IF($K2859&lt;&gt;"",$K2859-$B2859,TODAY()-$B2859))</f>
        <v/>
      </c>
      <c r="M2859" s="27">
        <f>IF(OR($A2859="",$J2859=""),"",IF($K2859="",IF(TODAY()&gt;$J2859,"Atrasado","En ruta"),IF($K2859&lt;=$J2859,"Sí","No")))</f>
        <v/>
      </c>
      <c r="N2859" s="23">
        <f>IF($A2859="","",COUNTIFS(NOVEDADES!$C$4:$C$1503,$A2859))</f>
        <v/>
      </c>
      <c r="O2859" s="27">
        <f>IF($A2859="","",IF(COUNTIFS(NOVEDADES!$C$4:$C$1503,$A2859,NOVEDADES!$M$4:$M$1503,"SÍ")&gt;0,"No","Sí"))</f>
        <v/>
      </c>
      <c r="P2859" s="27">
        <f>IF(OR($A2859="",$K2859=""),"",IF(AND($M2859="Sí",$O2859="Sí"),"OTIF","Falló"))</f>
        <v/>
      </c>
    </row>
    <row r="2860" ht="16" customHeight="1">
      <c r="A2860" s="47" t="n"/>
      <c r="B2860" s="46" t="n"/>
      <c r="C2860" s="49" t="n"/>
      <c r="D2860" s="49" t="n"/>
      <c r="E2860" s="49" t="n"/>
      <c r="F2860" s="49" t="n"/>
      <c r="G2860" s="47" t="n"/>
      <c r="H2860" s="50" t="n"/>
      <c r="I2860" s="51" t="n"/>
      <c r="J2860" s="46" t="n"/>
      <c r="K2860" s="46" t="n"/>
      <c r="L2860" s="23">
        <f>IF(OR($A2860="",$B2860=""),"",IF($K2860&lt;&gt;"",$K2860-$B2860,TODAY()-$B2860))</f>
        <v/>
      </c>
      <c r="M2860" s="27">
        <f>IF(OR($A2860="",$J2860=""),"",IF($K2860="",IF(TODAY()&gt;$J2860,"Atrasado","En ruta"),IF($K2860&lt;=$J2860,"Sí","No")))</f>
        <v/>
      </c>
      <c r="N2860" s="23">
        <f>IF($A2860="","",COUNTIFS(NOVEDADES!$C$4:$C$1503,$A2860))</f>
        <v/>
      </c>
      <c r="O2860" s="27">
        <f>IF($A2860="","",IF(COUNTIFS(NOVEDADES!$C$4:$C$1503,$A2860,NOVEDADES!$M$4:$M$1503,"SÍ")&gt;0,"No","Sí"))</f>
        <v/>
      </c>
      <c r="P2860" s="27">
        <f>IF(OR($A2860="",$K2860=""),"",IF(AND($M2860="Sí",$O2860="Sí"),"OTIF","Falló"))</f>
        <v/>
      </c>
    </row>
    <row r="2861" ht="16" customHeight="1">
      <c r="A2861" s="47" t="n"/>
      <c r="B2861" s="46" t="n"/>
      <c r="C2861" s="49" t="n"/>
      <c r="D2861" s="49" t="n"/>
      <c r="E2861" s="49" t="n"/>
      <c r="F2861" s="49" t="n"/>
      <c r="G2861" s="47" t="n"/>
      <c r="H2861" s="50" t="n"/>
      <c r="I2861" s="51" t="n"/>
      <c r="J2861" s="46" t="n"/>
      <c r="K2861" s="46" t="n"/>
      <c r="L2861" s="23">
        <f>IF(OR($A2861="",$B2861=""),"",IF($K2861&lt;&gt;"",$K2861-$B2861,TODAY()-$B2861))</f>
        <v/>
      </c>
      <c r="M2861" s="27">
        <f>IF(OR($A2861="",$J2861=""),"",IF($K2861="",IF(TODAY()&gt;$J2861,"Atrasado","En ruta"),IF($K2861&lt;=$J2861,"Sí","No")))</f>
        <v/>
      </c>
      <c r="N2861" s="23">
        <f>IF($A2861="","",COUNTIFS(NOVEDADES!$C$4:$C$1503,$A2861))</f>
        <v/>
      </c>
      <c r="O2861" s="27">
        <f>IF($A2861="","",IF(COUNTIFS(NOVEDADES!$C$4:$C$1503,$A2861,NOVEDADES!$M$4:$M$1503,"SÍ")&gt;0,"No","Sí"))</f>
        <v/>
      </c>
      <c r="P2861" s="27">
        <f>IF(OR($A2861="",$K2861=""),"",IF(AND($M2861="Sí",$O2861="Sí"),"OTIF","Falló"))</f>
        <v/>
      </c>
    </row>
    <row r="2862" ht="16" customHeight="1">
      <c r="A2862" s="47" t="n"/>
      <c r="B2862" s="46" t="n"/>
      <c r="C2862" s="49" t="n"/>
      <c r="D2862" s="49" t="n"/>
      <c r="E2862" s="49" t="n"/>
      <c r="F2862" s="49" t="n"/>
      <c r="G2862" s="47" t="n"/>
      <c r="H2862" s="50" t="n"/>
      <c r="I2862" s="51" t="n"/>
      <c r="J2862" s="46" t="n"/>
      <c r="K2862" s="46" t="n"/>
      <c r="L2862" s="23">
        <f>IF(OR($A2862="",$B2862=""),"",IF($K2862&lt;&gt;"",$K2862-$B2862,TODAY()-$B2862))</f>
        <v/>
      </c>
      <c r="M2862" s="27">
        <f>IF(OR($A2862="",$J2862=""),"",IF($K2862="",IF(TODAY()&gt;$J2862,"Atrasado","En ruta"),IF($K2862&lt;=$J2862,"Sí","No")))</f>
        <v/>
      </c>
      <c r="N2862" s="23">
        <f>IF($A2862="","",COUNTIFS(NOVEDADES!$C$4:$C$1503,$A2862))</f>
        <v/>
      </c>
      <c r="O2862" s="27">
        <f>IF($A2862="","",IF(COUNTIFS(NOVEDADES!$C$4:$C$1503,$A2862,NOVEDADES!$M$4:$M$1503,"SÍ")&gt;0,"No","Sí"))</f>
        <v/>
      </c>
      <c r="P2862" s="27">
        <f>IF(OR($A2862="",$K2862=""),"",IF(AND($M2862="Sí",$O2862="Sí"),"OTIF","Falló"))</f>
        <v/>
      </c>
    </row>
    <row r="2863" ht="16" customHeight="1">
      <c r="A2863" s="47" t="n"/>
      <c r="B2863" s="46" t="n"/>
      <c r="C2863" s="49" t="n"/>
      <c r="D2863" s="49" t="n"/>
      <c r="E2863" s="49" t="n"/>
      <c r="F2863" s="49" t="n"/>
      <c r="G2863" s="47" t="n"/>
      <c r="H2863" s="50" t="n"/>
      <c r="I2863" s="51" t="n"/>
      <c r="J2863" s="46" t="n"/>
      <c r="K2863" s="46" t="n"/>
      <c r="L2863" s="23">
        <f>IF(OR($A2863="",$B2863=""),"",IF($K2863&lt;&gt;"",$K2863-$B2863,TODAY()-$B2863))</f>
        <v/>
      </c>
      <c r="M2863" s="27">
        <f>IF(OR($A2863="",$J2863=""),"",IF($K2863="",IF(TODAY()&gt;$J2863,"Atrasado","En ruta"),IF($K2863&lt;=$J2863,"Sí","No")))</f>
        <v/>
      </c>
      <c r="N2863" s="23">
        <f>IF($A2863="","",COUNTIFS(NOVEDADES!$C$4:$C$1503,$A2863))</f>
        <v/>
      </c>
      <c r="O2863" s="27">
        <f>IF($A2863="","",IF(COUNTIFS(NOVEDADES!$C$4:$C$1503,$A2863,NOVEDADES!$M$4:$M$1503,"SÍ")&gt;0,"No","Sí"))</f>
        <v/>
      </c>
      <c r="P2863" s="27">
        <f>IF(OR($A2863="",$K2863=""),"",IF(AND($M2863="Sí",$O2863="Sí"),"OTIF","Falló"))</f>
        <v/>
      </c>
    </row>
    <row r="2864" ht="16" customHeight="1">
      <c r="A2864" s="47" t="n"/>
      <c r="B2864" s="46" t="n"/>
      <c r="C2864" s="49" t="n"/>
      <c r="D2864" s="49" t="n"/>
      <c r="E2864" s="49" t="n"/>
      <c r="F2864" s="49" t="n"/>
      <c r="G2864" s="47" t="n"/>
      <c r="H2864" s="50" t="n"/>
      <c r="I2864" s="51" t="n"/>
      <c r="J2864" s="46" t="n"/>
      <c r="K2864" s="46" t="n"/>
      <c r="L2864" s="23">
        <f>IF(OR($A2864="",$B2864=""),"",IF($K2864&lt;&gt;"",$K2864-$B2864,TODAY()-$B2864))</f>
        <v/>
      </c>
      <c r="M2864" s="27">
        <f>IF(OR($A2864="",$J2864=""),"",IF($K2864="",IF(TODAY()&gt;$J2864,"Atrasado","En ruta"),IF($K2864&lt;=$J2864,"Sí","No")))</f>
        <v/>
      </c>
      <c r="N2864" s="23">
        <f>IF($A2864="","",COUNTIFS(NOVEDADES!$C$4:$C$1503,$A2864))</f>
        <v/>
      </c>
      <c r="O2864" s="27">
        <f>IF($A2864="","",IF(COUNTIFS(NOVEDADES!$C$4:$C$1503,$A2864,NOVEDADES!$M$4:$M$1503,"SÍ")&gt;0,"No","Sí"))</f>
        <v/>
      </c>
      <c r="P2864" s="27">
        <f>IF(OR($A2864="",$K2864=""),"",IF(AND($M2864="Sí",$O2864="Sí"),"OTIF","Falló"))</f>
        <v/>
      </c>
    </row>
    <row r="2865" ht="16" customHeight="1">
      <c r="A2865" s="47" t="n"/>
      <c r="B2865" s="46" t="n"/>
      <c r="C2865" s="49" t="n"/>
      <c r="D2865" s="49" t="n"/>
      <c r="E2865" s="49" t="n"/>
      <c r="F2865" s="49" t="n"/>
      <c r="G2865" s="47" t="n"/>
      <c r="H2865" s="50" t="n"/>
      <c r="I2865" s="51" t="n"/>
      <c r="J2865" s="46" t="n"/>
      <c r="K2865" s="46" t="n"/>
      <c r="L2865" s="23">
        <f>IF(OR($A2865="",$B2865=""),"",IF($K2865&lt;&gt;"",$K2865-$B2865,TODAY()-$B2865))</f>
        <v/>
      </c>
      <c r="M2865" s="27">
        <f>IF(OR($A2865="",$J2865=""),"",IF($K2865="",IF(TODAY()&gt;$J2865,"Atrasado","En ruta"),IF($K2865&lt;=$J2865,"Sí","No")))</f>
        <v/>
      </c>
      <c r="N2865" s="23">
        <f>IF($A2865="","",COUNTIFS(NOVEDADES!$C$4:$C$1503,$A2865))</f>
        <v/>
      </c>
      <c r="O2865" s="27">
        <f>IF($A2865="","",IF(COUNTIFS(NOVEDADES!$C$4:$C$1503,$A2865,NOVEDADES!$M$4:$M$1503,"SÍ")&gt;0,"No","Sí"))</f>
        <v/>
      </c>
      <c r="P2865" s="27">
        <f>IF(OR($A2865="",$K2865=""),"",IF(AND($M2865="Sí",$O2865="Sí"),"OTIF","Falló"))</f>
        <v/>
      </c>
    </row>
    <row r="2866" ht="16" customHeight="1">
      <c r="A2866" s="47" t="n"/>
      <c r="B2866" s="46" t="n"/>
      <c r="C2866" s="49" t="n"/>
      <c r="D2866" s="49" t="n"/>
      <c r="E2866" s="49" t="n"/>
      <c r="F2866" s="49" t="n"/>
      <c r="G2866" s="47" t="n"/>
      <c r="H2866" s="50" t="n"/>
      <c r="I2866" s="51" t="n"/>
      <c r="J2866" s="46" t="n"/>
      <c r="K2866" s="46" t="n"/>
      <c r="L2866" s="23">
        <f>IF(OR($A2866="",$B2866=""),"",IF($K2866&lt;&gt;"",$K2866-$B2866,TODAY()-$B2866))</f>
        <v/>
      </c>
      <c r="M2866" s="27">
        <f>IF(OR($A2866="",$J2866=""),"",IF($K2866="",IF(TODAY()&gt;$J2866,"Atrasado","En ruta"),IF($K2866&lt;=$J2866,"Sí","No")))</f>
        <v/>
      </c>
      <c r="N2866" s="23">
        <f>IF($A2866="","",COUNTIFS(NOVEDADES!$C$4:$C$1503,$A2866))</f>
        <v/>
      </c>
      <c r="O2866" s="27">
        <f>IF($A2866="","",IF(COUNTIFS(NOVEDADES!$C$4:$C$1503,$A2866,NOVEDADES!$M$4:$M$1503,"SÍ")&gt;0,"No","Sí"))</f>
        <v/>
      </c>
      <c r="P2866" s="27">
        <f>IF(OR($A2866="",$K2866=""),"",IF(AND($M2866="Sí",$O2866="Sí"),"OTIF","Falló"))</f>
        <v/>
      </c>
    </row>
    <row r="2867" ht="16" customHeight="1">
      <c r="A2867" s="47" t="n"/>
      <c r="B2867" s="46" t="n"/>
      <c r="C2867" s="49" t="n"/>
      <c r="D2867" s="49" t="n"/>
      <c r="E2867" s="49" t="n"/>
      <c r="F2867" s="49" t="n"/>
      <c r="G2867" s="47" t="n"/>
      <c r="H2867" s="50" t="n"/>
      <c r="I2867" s="51" t="n"/>
      <c r="J2867" s="46" t="n"/>
      <c r="K2867" s="46" t="n"/>
      <c r="L2867" s="23">
        <f>IF(OR($A2867="",$B2867=""),"",IF($K2867&lt;&gt;"",$K2867-$B2867,TODAY()-$B2867))</f>
        <v/>
      </c>
      <c r="M2867" s="27">
        <f>IF(OR($A2867="",$J2867=""),"",IF($K2867="",IF(TODAY()&gt;$J2867,"Atrasado","En ruta"),IF($K2867&lt;=$J2867,"Sí","No")))</f>
        <v/>
      </c>
      <c r="N2867" s="23">
        <f>IF($A2867="","",COUNTIFS(NOVEDADES!$C$4:$C$1503,$A2867))</f>
        <v/>
      </c>
      <c r="O2867" s="27">
        <f>IF($A2867="","",IF(COUNTIFS(NOVEDADES!$C$4:$C$1503,$A2867,NOVEDADES!$M$4:$M$1503,"SÍ")&gt;0,"No","Sí"))</f>
        <v/>
      </c>
      <c r="P2867" s="27">
        <f>IF(OR($A2867="",$K2867=""),"",IF(AND($M2867="Sí",$O2867="Sí"),"OTIF","Falló"))</f>
        <v/>
      </c>
    </row>
    <row r="2868" ht="16" customHeight="1">
      <c r="A2868" s="47" t="n"/>
      <c r="B2868" s="46" t="n"/>
      <c r="C2868" s="49" t="n"/>
      <c r="D2868" s="49" t="n"/>
      <c r="E2868" s="49" t="n"/>
      <c r="F2868" s="49" t="n"/>
      <c r="G2868" s="47" t="n"/>
      <c r="H2868" s="50" t="n"/>
      <c r="I2868" s="51" t="n"/>
      <c r="J2868" s="46" t="n"/>
      <c r="K2868" s="46" t="n"/>
      <c r="L2868" s="23">
        <f>IF(OR($A2868="",$B2868=""),"",IF($K2868&lt;&gt;"",$K2868-$B2868,TODAY()-$B2868))</f>
        <v/>
      </c>
      <c r="M2868" s="27">
        <f>IF(OR($A2868="",$J2868=""),"",IF($K2868="",IF(TODAY()&gt;$J2868,"Atrasado","En ruta"),IF($K2868&lt;=$J2868,"Sí","No")))</f>
        <v/>
      </c>
      <c r="N2868" s="23">
        <f>IF($A2868="","",COUNTIFS(NOVEDADES!$C$4:$C$1503,$A2868))</f>
        <v/>
      </c>
      <c r="O2868" s="27">
        <f>IF($A2868="","",IF(COUNTIFS(NOVEDADES!$C$4:$C$1503,$A2868,NOVEDADES!$M$4:$M$1503,"SÍ")&gt;0,"No","Sí"))</f>
        <v/>
      </c>
      <c r="P2868" s="27">
        <f>IF(OR($A2868="",$K2868=""),"",IF(AND($M2868="Sí",$O2868="Sí"),"OTIF","Falló"))</f>
        <v/>
      </c>
    </row>
    <row r="2869" ht="16" customHeight="1">
      <c r="A2869" s="47" t="n"/>
      <c r="B2869" s="46" t="n"/>
      <c r="C2869" s="49" t="n"/>
      <c r="D2869" s="49" t="n"/>
      <c r="E2869" s="49" t="n"/>
      <c r="F2869" s="49" t="n"/>
      <c r="G2869" s="47" t="n"/>
      <c r="H2869" s="50" t="n"/>
      <c r="I2869" s="51" t="n"/>
      <c r="J2869" s="46" t="n"/>
      <c r="K2869" s="46" t="n"/>
      <c r="L2869" s="23">
        <f>IF(OR($A2869="",$B2869=""),"",IF($K2869&lt;&gt;"",$K2869-$B2869,TODAY()-$B2869))</f>
        <v/>
      </c>
      <c r="M2869" s="27">
        <f>IF(OR($A2869="",$J2869=""),"",IF($K2869="",IF(TODAY()&gt;$J2869,"Atrasado","En ruta"),IF($K2869&lt;=$J2869,"Sí","No")))</f>
        <v/>
      </c>
      <c r="N2869" s="23">
        <f>IF($A2869="","",COUNTIFS(NOVEDADES!$C$4:$C$1503,$A2869))</f>
        <v/>
      </c>
      <c r="O2869" s="27">
        <f>IF($A2869="","",IF(COUNTIFS(NOVEDADES!$C$4:$C$1503,$A2869,NOVEDADES!$M$4:$M$1503,"SÍ")&gt;0,"No","Sí"))</f>
        <v/>
      </c>
      <c r="P2869" s="27">
        <f>IF(OR($A2869="",$K2869=""),"",IF(AND($M2869="Sí",$O2869="Sí"),"OTIF","Falló"))</f>
        <v/>
      </c>
    </row>
    <row r="2870" ht="16" customHeight="1">
      <c r="A2870" s="47" t="n"/>
      <c r="B2870" s="46" t="n"/>
      <c r="C2870" s="49" t="n"/>
      <c r="D2870" s="49" t="n"/>
      <c r="E2870" s="49" t="n"/>
      <c r="F2870" s="49" t="n"/>
      <c r="G2870" s="47" t="n"/>
      <c r="H2870" s="50" t="n"/>
      <c r="I2870" s="51" t="n"/>
      <c r="J2870" s="46" t="n"/>
      <c r="K2870" s="46" t="n"/>
      <c r="L2870" s="23">
        <f>IF(OR($A2870="",$B2870=""),"",IF($K2870&lt;&gt;"",$K2870-$B2870,TODAY()-$B2870))</f>
        <v/>
      </c>
      <c r="M2870" s="27">
        <f>IF(OR($A2870="",$J2870=""),"",IF($K2870="",IF(TODAY()&gt;$J2870,"Atrasado","En ruta"),IF($K2870&lt;=$J2870,"Sí","No")))</f>
        <v/>
      </c>
      <c r="N2870" s="23">
        <f>IF($A2870="","",COUNTIFS(NOVEDADES!$C$4:$C$1503,$A2870))</f>
        <v/>
      </c>
      <c r="O2870" s="27">
        <f>IF($A2870="","",IF(COUNTIFS(NOVEDADES!$C$4:$C$1503,$A2870,NOVEDADES!$M$4:$M$1503,"SÍ")&gt;0,"No","Sí"))</f>
        <v/>
      </c>
      <c r="P2870" s="27">
        <f>IF(OR($A2870="",$K2870=""),"",IF(AND($M2870="Sí",$O2870="Sí"),"OTIF","Falló"))</f>
        <v/>
      </c>
    </row>
    <row r="2871" ht="16" customHeight="1">
      <c r="A2871" s="47" t="n"/>
      <c r="B2871" s="46" t="n"/>
      <c r="C2871" s="49" t="n"/>
      <c r="D2871" s="49" t="n"/>
      <c r="E2871" s="49" t="n"/>
      <c r="F2871" s="49" t="n"/>
      <c r="G2871" s="47" t="n"/>
      <c r="H2871" s="50" t="n"/>
      <c r="I2871" s="51" t="n"/>
      <c r="J2871" s="46" t="n"/>
      <c r="K2871" s="46" t="n"/>
      <c r="L2871" s="23">
        <f>IF(OR($A2871="",$B2871=""),"",IF($K2871&lt;&gt;"",$K2871-$B2871,TODAY()-$B2871))</f>
        <v/>
      </c>
      <c r="M2871" s="27">
        <f>IF(OR($A2871="",$J2871=""),"",IF($K2871="",IF(TODAY()&gt;$J2871,"Atrasado","En ruta"),IF($K2871&lt;=$J2871,"Sí","No")))</f>
        <v/>
      </c>
      <c r="N2871" s="23">
        <f>IF($A2871="","",COUNTIFS(NOVEDADES!$C$4:$C$1503,$A2871))</f>
        <v/>
      </c>
      <c r="O2871" s="27">
        <f>IF($A2871="","",IF(COUNTIFS(NOVEDADES!$C$4:$C$1503,$A2871,NOVEDADES!$M$4:$M$1503,"SÍ")&gt;0,"No","Sí"))</f>
        <v/>
      </c>
      <c r="P2871" s="27">
        <f>IF(OR($A2871="",$K2871=""),"",IF(AND($M2871="Sí",$O2871="Sí"),"OTIF","Falló"))</f>
        <v/>
      </c>
    </row>
    <row r="2872" ht="16" customHeight="1">
      <c r="A2872" s="47" t="n"/>
      <c r="B2872" s="46" t="n"/>
      <c r="C2872" s="49" t="n"/>
      <c r="D2872" s="49" t="n"/>
      <c r="E2872" s="49" t="n"/>
      <c r="F2872" s="49" t="n"/>
      <c r="G2872" s="47" t="n"/>
      <c r="H2872" s="50" t="n"/>
      <c r="I2872" s="51" t="n"/>
      <c r="J2872" s="46" t="n"/>
      <c r="K2872" s="46" t="n"/>
      <c r="L2872" s="23">
        <f>IF(OR($A2872="",$B2872=""),"",IF($K2872&lt;&gt;"",$K2872-$B2872,TODAY()-$B2872))</f>
        <v/>
      </c>
      <c r="M2872" s="27">
        <f>IF(OR($A2872="",$J2872=""),"",IF($K2872="",IF(TODAY()&gt;$J2872,"Atrasado","En ruta"),IF($K2872&lt;=$J2872,"Sí","No")))</f>
        <v/>
      </c>
      <c r="N2872" s="23">
        <f>IF($A2872="","",COUNTIFS(NOVEDADES!$C$4:$C$1503,$A2872))</f>
        <v/>
      </c>
      <c r="O2872" s="27">
        <f>IF($A2872="","",IF(COUNTIFS(NOVEDADES!$C$4:$C$1503,$A2872,NOVEDADES!$M$4:$M$1503,"SÍ")&gt;0,"No","Sí"))</f>
        <v/>
      </c>
      <c r="P2872" s="27">
        <f>IF(OR($A2872="",$K2872=""),"",IF(AND($M2872="Sí",$O2872="Sí"),"OTIF","Falló"))</f>
        <v/>
      </c>
    </row>
    <row r="2873" ht="16" customHeight="1">
      <c r="A2873" s="47" t="n"/>
      <c r="B2873" s="46" t="n"/>
      <c r="C2873" s="49" t="n"/>
      <c r="D2873" s="49" t="n"/>
      <c r="E2873" s="49" t="n"/>
      <c r="F2873" s="49" t="n"/>
      <c r="G2873" s="47" t="n"/>
      <c r="H2873" s="50" t="n"/>
      <c r="I2873" s="51" t="n"/>
      <c r="J2873" s="46" t="n"/>
      <c r="K2873" s="46" t="n"/>
      <c r="L2873" s="23">
        <f>IF(OR($A2873="",$B2873=""),"",IF($K2873&lt;&gt;"",$K2873-$B2873,TODAY()-$B2873))</f>
        <v/>
      </c>
      <c r="M2873" s="27">
        <f>IF(OR($A2873="",$J2873=""),"",IF($K2873="",IF(TODAY()&gt;$J2873,"Atrasado","En ruta"),IF($K2873&lt;=$J2873,"Sí","No")))</f>
        <v/>
      </c>
      <c r="N2873" s="23">
        <f>IF($A2873="","",COUNTIFS(NOVEDADES!$C$4:$C$1503,$A2873))</f>
        <v/>
      </c>
      <c r="O2873" s="27">
        <f>IF($A2873="","",IF(COUNTIFS(NOVEDADES!$C$4:$C$1503,$A2873,NOVEDADES!$M$4:$M$1503,"SÍ")&gt;0,"No","Sí"))</f>
        <v/>
      </c>
      <c r="P2873" s="27">
        <f>IF(OR($A2873="",$K2873=""),"",IF(AND($M2873="Sí",$O2873="Sí"),"OTIF","Falló"))</f>
        <v/>
      </c>
    </row>
    <row r="2874" ht="16" customHeight="1">
      <c r="A2874" s="47" t="n"/>
      <c r="B2874" s="46" t="n"/>
      <c r="C2874" s="49" t="n"/>
      <c r="D2874" s="49" t="n"/>
      <c r="E2874" s="49" t="n"/>
      <c r="F2874" s="49" t="n"/>
      <c r="G2874" s="47" t="n"/>
      <c r="H2874" s="50" t="n"/>
      <c r="I2874" s="51" t="n"/>
      <c r="J2874" s="46" t="n"/>
      <c r="K2874" s="46" t="n"/>
      <c r="L2874" s="23">
        <f>IF(OR($A2874="",$B2874=""),"",IF($K2874&lt;&gt;"",$K2874-$B2874,TODAY()-$B2874))</f>
        <v/>
      </c>
      <c r="M2874" s="27">
        <f>IF(OR($A2874="",$J2874=""),"",IF($K2874="",IF(TODAY()&gt;$J2874,"Atrasado","En ruta"),IF($K2874&lt;=$J2874,"Sí","No")))</f>
        <v/>
      </c>
      <c r="N2874" s="23">
        <f>IF($A2874="","",COUNTIFS(NOVEDADES!$C$4:$C$1503,$A2874))</f>
        <v/>
      </c>
      <c r="O2874" s="27">
        <f>IF($A2874="","",IF(COUNTIFS(NOVEDADES!$C$4:$C$1503,$A2874,NOVEDADES!$M$4:$M$1503,"SÍ")&gt;0,"No","Sí"))</f>
        <v/>
      </c>
      <c r="P2874" s="27">
        <f>IF(OR($A2874="",$K2874=""),"",IF(AND($M2874="Sí",$O2874="Sí"),"OTIF","Falló"))</f>
        <v/>
      </c>
    </row>
    <row r="2875" ht="16" customHeight="1">
      <c r="A2875" s="47" t="n"/>
      <c r="B2875" s="46" t="n"/>
      <c r="C2875" s="49" t="n"/>
      <c r="D2875" s="49" t="n"/>
      <c r="E2875" s="49" t="n"/>
      <c r="F2875" s="49" t="n"/>
      <c r="G2875" s="47" t="n"/>
      <c r="H2875" s="50" t="n"/>
      <c r="I2875" s="51" t="n"/>
      <c r="J2875" s="46" t="n"/>
      <c r="K2875" s="46" t="n"/>
      <c r="L2875" s="23">
        <f>IF(OR($A2875="",$B2875=""),"",IF($K2875&lt;&gt;"",$K2875-$B2875,TODAY()-$B2875))</f>
        <v/>
      </c>
      <c r="M2875" s="27">
        <f>IF(OR($A2875="",$J2875=""),"",IF($K2875="",IF(TODAY()&gt;$J2875,"Atrasado","En ruta"),IF($K2875&lt;=$J2875,"Sí","No")))</f>
        <v/>
      </c>
      <c r="N2875" s="23">
        <f>IF($A2875="","",COUNTIFS(NOVEDADES!$C$4:$C$1503,$A2875))</f>
        <v/>
      </c>
      <c r="O2875" s="27">
        <f>IF($A2875="","",IF(COUNTIFS(NOVEDADES!$C$4:$C$1503,$A2875,NOVEDADES!$M$4:$M$1503,"SÍ")&gt;0,"No","Sí"))</f>
        <v/>
      </c>
      <c r="P2875" s="27">
        <f>IF(OR($A2875="",$K2875=""),"",IF(AND($M2875="Sí",$O2875="Sí"),"OTIF","Falló"))</f>
        <v/>
      </c>
    </row>
    <row r="2876" ht="16" customHeight="1">
      <c r="A2876" s="47" t="n"/>
      <c r="B2876" s="46" t="n"/>
      <c r="C2876" s="49" t="n"/>
      <c r="D2876" s="49" t="n"/>
      <c r="E2876" s="49" t="n"/>
      <c r="F2876" s="49" t="n"/>
      <c r="G2876" s="47" t="n"/>
      <c r="H2876" s="50" t="n"/>
      <c r="I2876" s="51" t="n"/>
      <c r="J2876" s="46" t="n"/>
      <c r="K2876" s="46" t="n"/>
      <c r="L2876" s="23">
        <f>IF(OR($A2876="",$B2876=""),"",IF($K2876&lt;&gt;"",$K2876-$B2876,TODAY()-$B2876))</f>
        <v/>
      </c>
      <c r="M2876" s="27">
        <f>IF(OR($A2876="",$J2876=""),"",IF($K2876="",IF(TODAY()&gt;$J2876,"Atrasado","En ruta"),IF($K2876&lt;=$J2876,"Sí","No")))</f>
        <v/>
      </c>
      <c r="N2876" s="23">
        <f>IF($A2876="","",COUNTIFS(NOVEDADES!$C$4:$C$1503,$A2876))</f>
        <v/>
      </c>
      <c r="O2876" s="27">
        <f>IF($A2876="","",IF(COUNTIFS(NOVEDADES!$C$4:$C$1503,$A2876,NOVEDADES!$M$4:$M$1503,"SÍ")&gt;0,"No","Sí"))</f>
        <v/>
      </c>
      <c r="P2876" s="27">
        <f>IF(OR($A2876="",$K2876=""),"",IF(AND($M2876="Sí",$O2876="Sí"),"OTIF","Falló"))</f>
        <v/>
      </c>
    </row>
    <row r="2877" ht="16" customHeight="1">
      <c r="A2877" s="47" t="n"/>
      <c r="B2877" s="46" t="n"/>
      <c r="C2877" s="49" t="n"/>
      <c r="D2877" s="49" t="n"/>
      <c r="E2877" s="49" t="n"/>
      <c r="F2877" s="49" t="n"/>
      <c r="G2877" s="47" t="n"/>
      <c r="H2877" s="50" t="n"/>
      <c r="I2877" s="51" t="n"/>
      <c r="J2877" s="46" t="n"/>
      <c r="K2877" s="46" t="n"/>
      <c r="L2877" s="23">
        <f>IF(OR($A2877="",$B2877=""),"",IF($K2877&lt;&gt;"",$K2877-$B2877,TODAY()-$B2877))</f>
        <v/>
      </c>
      <c r="M2877" s="27">
        <f>IF(OR($A2877="",$J2877=""),"",IF($K2877="",IF(TODAY()&gt;$J2877,"Atrasado","En ruta"),IF($K2877&lt;=$J2877,"Sí","No")))</f>
        <v/>
      </c>
      <c r="N2877" s="23">
        <f>IF($A2877="","",COUNTIFS(NOVEDADES!$C$4:$C$1503,$A2877))</f>
        <v/>
      </c>
      <c r="O2877" s="27">
        <f>IF($A2877="","",IF(COUNTIFS(NOVEDADES!$C$4:$C$1503,$A2877,NOVEDADES!$M$4:$M$1503,"SÍ")&gt;0,"No","Sí"))</f>
        <v/>
      </c>
      <c r="P2877" s="27">
        <f>IF(OR($A2877="",$K2877=""),"",IF(AND($M2877="Sí",$O2877="Sí"),"OTIF","Falló"))</f>
        <v/>
      </c>
    </row>
    <row r="2878" ht="16" customHeight="1">
      <c r="A2878" s="47" t="n"/>
      <c r="B2878" s="46" t="n"/>
      <c r="C2878" s="49" t="n"/>
      <c r="D2878" s="49" t="n"/>
      <c r="E2878" s="49" t="n"/>
      <c r="F2878" s="49" t="n"/>
      <c r="G2878" s="47" t="n"/>
      <c r="H2878" s="50" t="n"/>
      <c r="I2878" s="51" t="n"/>
      <c r="J2878" s="46" t="n"/>
      <c r="K2878" s="46" t="n"/>
      <c r="L2878" s="23">
        <f>IF(OR($A2878="",$B2878=""),"",IF($K2878&lt;&gt;"",$K2878-$B2878,TODAY()-$B2878))</f>
        <v/>
      </c>
      <c r="M2878" s="27">
        <f>IF(OR($A2878="",$J2878=""),"",IF($K2878="",IF(TODAY()&gt;$J2878,"Atrasado","En ruta"),IF($K2878&lt;=$J2878,"Sí","No")))</f>
        <v/>
      </c>
      <c r="N2878" s="23">
        <f>IF($A2878="","",COUNTIFS(NOVEDADES!$C$4:$C$1503,$A2878))</f>
        <v/>
      </c>
      <c r="O2878" s="27">
        <f>IF($A2878="","",IF(COUNTIFS(NOVEDADES!$C$4:$C$1503,$A2878,NOVEDADES!$M$4:$M$1503,"SÍ")&gt;0,"No","Sí"))</f>
        <v/>
      </c>
      <c r="P2878" s="27">
        <f>IF(OR($A2878="",$K2878=""),"",IF(AND($M2878="Sí",$O2878="Sí"),"OTIF","Falló"))</f>
        <v/>
      </c>
    </row>
    <row r="2879" ht="16" customHeight="1">
      <c r="A2879" s="47" t="n"/>
      <c r="B2879" s="46" t="n"/>
      <c r="C2879" s="49" t="n"/>
      <c r="D2879" s="49" t="n"/>
      <c r="E2879" s="49" t="n"/>
      <c r="F2879" s="49" t="n"/>
      <c r="G2879" s="47" t="n"/>
      <c r="H2879" s="50" t="n"/>
      <c r="I2879" s="51" t="n"/>
      <c r="J2879" s="46" t="n"/>
      <c r="K2879" s="46" t="n"/>
      <c r="L2879" s="23">
        <f>IF(OR($A2879="",$B2879=""),"",IF($K2879&lt;&gt;"",$K2879-$B2879,TODAY()-$B2879))</f>
        <v/>
      </c>
      <c r="M2879" s="27">
        <f>IF(OR($A2879="",$J2879=""),"",IF($K2879="",IF(TODAY()&gt;$J2879,"Atrasado","En ruta"),IF($K2879&lt;=$J2879,"Sí","No")))</f>
        <v/>
      </c>
      <c r="N2879" s="23">
        <f>IF($A2879="","",COUNTIFS(NOVEDADES!$C$4:$C$1503,$A2879))</f>
        <v/>
      </c>
      <c r="O2879" s="27">
        <f>IF($A2879="","",IF(COUNTIFS(NOVEDADES!$C$4:$C$1503,$A2879,NOVEDADES!$M$4:$M$1503,"SÍ")&gt;0,"No","Sí"))</f>
        <v/>
      </c>
      <c r="P2879" s="27">
        <f>IF(OR($A2879="",$K2879=""),"",IF(AND($M2879="Sí",$O2879="Sí"),"OTIF","Falló"))</f>
        <v/>
      </c>
    </row>
    <row r="2880" ht="16" customHeight="1">
      <c r="A2880" s="47" t="n"/>
      <c r="B2880" s="46" t="n"/>
      <c r="C2880" s="49" t="n"/>
      <c r="D2880" s="49" t="n"/>
      <c r="E2880" s="49" t="n"/>
      <c r="F2880" s="49" t="n"/>
      <c r="G2880" s="47" t="n"/>
      <c r="H2880" s="50" t="n"/>
      <c r="I2880" s="51" t="n"/>
      <c r="J2880" s="46" t="n"/>
      <c r="K2880" s="46" t="n"/>
      <c r="L2880" s="23">
        <f>IF(OR($A2880="",$B2880=""),"",IF($K2880&lt;&gt;"",$K2880-$B2880,TODAY()-$B2880))</f>
        <v/>
      </c>
      <c r="M2880" s="27">
        <f>IF(OR($A2880="",$J2880=""),"",IF($K2880="",IF(TODAY()&gt;$J2880,"Atrasado","En ruta"),IF($K2880&lt;=$J2880,"Sí","No")))</f>
        <v/>
      </c>
      <c r="N2880" s="23">
        <f>IF($A2880="","",COUNTIFS(NOVEDADES!$C$4:$C$1503,$A2880))</f>
        <v/>
      </c>
      <c r="O2880" s="27">
        <f>IF($A2880="","",IF(COUNTIFS(NOVEDADES!$C$4:$C$1503,$A2880,NOVEDADES!$M$4:$M$1503,"SÍ")&gt;0,"No","Sí"))</f>
        <v/>
      </c>
      <c r="P2880" s="27">
        <f>IF(OR($A2880="",$K2880=""),"",IF(AND($M2880="Sí",$O2880="Sí"),"OTIF","Falló"))</f>
        <v/>
      </c>
    </row>
    <row r="2881" ht="16" customHeight="1">
      <c r="A2881" s="47" t="n"/>
      <c r="B2881" s="46" t="n"/>
      <c r="C2881" s="49" t="n"/>
      <c r="D2881" s="49" t="n"/>
      <c r="E2881" s="49" t="n"/>
      <c r="F2881" s="49" t="n"/>
      <c r="G2881" s="47" t="n"/>
      <c r="H2881" s="50" t="n"/>
      <c r="I2881" s="51" t="n"/>
      <c r="J2881" s="46" t="n"/>
      <c r="K2881" s="46" t="n"/>
      <c r="L2881" s="23">
        <f>IF(OR($A2881="",$B2881=""),"",IF($K2881&lt;&gt;"",$K2881-$B2881,TODAY()-$B2881))</f>
        <v/>
      </c>
      <c r="M2881" s="27">
        <f>IF(OR($A2881="",$J2881=""),"",IF($K2881="",IF(TODAY()&gt;$J2881,"Atrasado","En ruta"),IF($K2881&lt;=$J2881,"Sí","No")))</f>
        <v/>
      </c>
      <c r="N2881" s="23">
        <f>IF($A2881="","",COUNTIFS(NOVEDADES!$C$4:$C$1503,$A2881))</f>
        <v/>
      </c>
      <c r="O2881" s="27">
        <f>IF($A2881="","",IF(COUNTIFS(NOVEDADES!$C$4:$C$1503,$A2881,NOVEDADES!$M$4:$M$1503,"SÍ")&gt;0,"No","Sí"))</f>
        <v/>
      </c>
      <c r="P2881" s="27">
        <f>IF(OR($A2881="",$K2881=""),"",IF(AND($M2881="Sí",$O2881="Sí"),"OTIF","Falló"))</f>
        <v/>
      </c>
    </row>
    <row r="2882" ht="16" customHeight="1">
      <c r="A2882" s="47" t="n"/>
      <c r="B2882" s="46" t="n"/>
      <c r="C2882" s="49" t="n"/>
      <c r="D2882" s="49" t="n"/>
      <c r="E2882" s="49" t="n"/>
      <c r="F2882" s="49" t="n"/>
      <c r="G2882" s="47" t="n"/>
      <c r="H2882" s="50" t="n"/>
      <c r="I2882" s="51" t="n"/>
      <c r="J2882" s="46" t="n"/>
      <c r="K2882" s="46" t="n"/>
      <c r="L2882" s="23">
        <f>IF(OR($A2882="",$B2882=""),"",IF($K2882&lt;&gt;"",$K2882-$B2882,TODAY()-$B2882))</f>
        <v/>
      </c>
      <c r="M2882" s="27">
        <f>IF(OR($A2882="",$J2882=""),"",IF($K2882="",IF(TODAY()&gt;$J2882,"Atrasado","En ruta"),IF($K2882&lt;=$J2882,"Sí","No")))</f>
        <v/>
      </c>
      <c r="N2882" s="23">
        <f>IF($A2882="","",COUNTIFS(NOVEDADES!$C$4:$C$1503,$A2882))</f>
        <v/>
      </c>
      <c r="O2882" s="27">
        <f>IF($A2882="","",IF(COUNTIFS(NOVEDADES!$C$4:$C$1503,$A2882,NOVEDADES!$M$4:$M$1503,"SÍ")&gt;0,"No","Sí"))</f>
        <v/>
      </c>
      <c r="P2882" s="27">
        <f>IF(OR($A2882="",$K2882=""),"",IF(AND($M2882="Sí",$O2882="Sí"),"OTIF","Falló"))</f>
        <v/>
      </c>
    </row>
    <row r="2883" ht="16" customHeight="1">
      <c r="A2883" s="47" t="n"/>
      <c r="B2883" s="46" t="n"/>
      <c r="C2883" s="49" t="n"/>
      <c r="D2883" s="49" t="n"/>
      <c r="E2883" s="49" t="n"/>
      <c r="F2883" s="49" t="n"/>
      <c r="G2883" s="47" t="n"/>
      <c r="H2883" s="50" t="n"/>
      <c r="I2883" s="51" t="n"/>
      <c r="J2883" s="46" t="n"/>
      <c r="K2883" s="46" t="n"/>
      <c r="L2883" s="23">
        <f>IF(OR($A2883="",$B2883=""),"",IF($K2883&lt;&gt;"",$K2883-$B2883,TODAY()-$B2883))</f>
        <v/>
      </c>
      <c r="M2883" s="27">
        <f>IF(OR($A2883="",$J2883=""),"",IF($K2883="",IF(TODAY()&gt;$J2883,"Atrasado","En ruta"),IF($K2883&lt;=$J2883,"Sí","No")))</f>
        <v/>
      </c>
      <c r="N2883" s="23">
        <f>IF($A2883="","",COUNTIFS(NOVEDADES!$C$4:$C$1503,$A2883))</f>
        <v/>
      </c>
      <c r="O2883" s="27">
        <f>IF($A2883="","",IF(COUNTIFS(NOVEDADES!$C$4:$C$1503,$A2883,NOVEDADES!$M$4:$M$1503,"SÍ")&gt;0,"No","Sí"))</f>
        <v/>
      </c>
      <c r="P2883" s="27">
        <f>IF(OR($A2883="",$K2883=""),"",IF(AND($M2883="Sí",$O2883="Sí"),"OTIF","Falló"))</f>
        <v/>
      </c>
    </row>
    <row r="2884" ht="16" customHeight="1">
      <c r="A2884" s="47" t="n"/>
      <c r="B2884" s="46" t="n"/>
      <c r="C2884" s="49" t="n"/>
      <c r="D2884" s="49" t="n"/>
      <c r="E2884" s="49" t="n"/>
      <c r="F2884" s="49" t="n"/>
      <c r="G2884" s="47" t="n"/>
      <c r="H2884" s="50" t="n"/>
      <c r="I2884" s="51" t="n"/>
      <c r="J2884" s="46" t="n"/>
      <c r="K2884" s="46" t="n"/>
      <c r="L2884" s="23">
        <f>IF(OR($A2884="",$B2884=""),"",IF($K2884&lt;&gt;"",$K2884-$B2884,TODAY()-$B2884))</f>
        <v/>
      </c>
      <c r="M2884" s="27">
        <f>IF(OR($A2884="",$J2884=""),"",IF($K2884="",IF(TODAY()&gt;$J2884,"Atrasado","En ruta"),IF($K2884&lt;=$J2884,"Sí","No")))</f>
        <v/>
      </c>
      <c r="N2884" s="23">
        <f>IF($A2884="","",COUNTIFS(NOVEDADES!$C$4:$C$1503,$A2884))</f>
        <v/>
      </c>
      <c r="O2884" s="27">
        <f>IF($A2884="","",IF(COUNTIFS(NOVEDADES!$C$4:$C$1503,$A2884,NOVEDADES!$M$4:$M$1503,"SÍ")&gt;0,"No","Sí"))</f>
        <v/>
      </c>
      <c r="P2884" s="27">
        <f>IF(OR($A2884="",$K2884=""),"",IF(AND($M2884="Sí",$O2884="Sí"),"OTIF","Falló"))</f>
        <v/>
      </c>
    </row>
    <row r="2885" ht="16" customHeight="1">
      <c r="A2885" s="47" t="n"/>
      <c r="B2885" s="46" t="n"/>
      <c r="C2885" s="49" t="n"/>
      <c r="D2885" s="49" t="n"/>
      <c r="E2885" s="49" t="n"/>
      <c r="F2885" s="49" t="n"/>
      <c r="G2885" s="47" t="n"/>
      <c r="H2885" s="50" t="n"/>
      <c r="I2885" s="51" t="n"/>
      <c r="J2885" s="46" t="n"/>
      <c r="K2885" s="46" t="n"/>
      <c r="L2885" s="23">
        <f>IF(OR($A2885="",$B2885=""),"",IF($K2885&lt;&gt;"",$K2885-$B2885,TODAY()-$B2885))</f>
        <v/>
      </c>
      <c r="M2885" s="27">
        <f>IF(OR($A2885="",$J2885=""),"",IF($K2885="",IF(TODAY()&gt;$J2885,"Atrasado","En ruta"),IF($K2885&lt;=$J2885,"Sí","No")))</f>
        <v/>
      </c>
      <c r="N2885" s="23">
        <f>IF($A2885="","",COUNTIFS(NOVEDADES!$C$4:$C$1503,$A2885))</f>
        <v/>
      </c>
      <c r="O2885" s="27">
        <f>IF($A2885="","",IF(COUNTIFS(NOVEDADES!$C$4:$C$1503,$A2885,NOVEDADES!$M$4:$M$1503,"SÍ")&gt;0,"No","Sí"))</f>
        <v/>
      </c>
      <c r="P2885" s="27">
        <f>IF(OR($A2885="",$K2885=""),"",IF(AND($M2885="Sí",$O2885="Sí"),"OTIF","Falló"))</f>
        <v/>
      </c>
    </row>
    <row r="2886" ht="16" customHeight="1">
      <c r="A2886" s="47" t="n"/>
      <c r="B2886" s="46" t="n"/>
      <c r="C2886" s="49" t="n"/>
      <c r="D2886" s="49" t="n"/>
      <c r="E2886" s="49" t="n"/>
      <c r="F2886" s="49" t="n"/>
      <c r="G2886" s="47" t="n"/>
      <c r="H2886" s="50" t="n"/>
      <c r="I2886" s="51" t="n"/>
      <c r="J2886" s="46" t="n"/>
      <c r="K2886" s="46" t="n"/>
      <c r="L2886" s="23">
        <f>IF(OR($A2886="",$B2886=""),"",IF($K2886&lt;&gt;"",$K2886-$B2886,TODAY()-$B2886))</f>
        <v/>
      </c>
      <c r="M2886" s="27">
        <f>IF(OR($A2886="",$J2886=""),"",IF($K2886="",IF(TODAY()&gt;$J2886,"Atrasado","En ruta"),IF($K2886&lt;=$J2886,"Sí","No")))</f>
        <v/>
      </c>
      <c r="N2886" s="23">
        <f>IF($A2886="","",COUNTIFS(NOVEDADES!$C$4:$C$1503,$A2886))</f>
        <v/>
      </c>
      <c r="O2886" s="27">
        <f>IF($A2886="","",IF(COUNTIFS(NOVEDADES!$C$4:$C$1503,$A2886,NOVEDADES!$M$4:$M$1503,"SÍ")&gt;0,"No","Sí"))</f>
        <v/>
      </c>
      <c r="P2886" s="27">
        <f>IF(OR($A2886="",$K2886=""),"",IF(AND($M2886="Sí",$O2886="Sí"),"OTIF","Falló"))</f>
        <v/>
      </c>
    </row>
    <row r="2887" ht="16" customHeight="1">
      <c r="A2887" s="47" t="n"/>
      <c r="B2887" s="46" t="n"/>
      <c r="C2887" s="49" t="n"/>
      <c r="D2887" s="49" t="n"/>
      <c r="E2887" s="49" t="n"/>
      <c r="F2887" s="49" t="n"/>
      <c r="G2887" s="47" t="n"/>
      <c r="H2887" s="50" t="n"/>
      <c r="I2887" s="51" t="n"/>
      <c r="J2887" s="46" t="n"/>
      <c r="K2887" s="46" t="n"/>
      <c r="L2887" s="23">
        <f>IF(OR($A2887="",$B2887=""),"",IF($K2887&lt;&gt;"",$K2887-$B2887,TODAY()-$B2887))</f>
        <v/>
      </c>
      <c r="M2887" s="27">
        <f>IF(OR($A2887="",$J2887=""),"",IF($K2887="",IF(TODAY()&gt;$J2887,"Atrasado","En ruta"),IF($K2887&lt;=$J2887,"Sí","No")))</f>
        <v/>
      </c>
      <c r="N2887" s="23">
        <f>IF($A2887="","",COUNTIFS(NOVEDADES!$C$4:$C$1503,$A2887))</f>
        <v/>
      </c>
      <c r="O2887" s="27">
        <f>IF($A2887="","",IF(COUNTIFS(NOVEDADES!$C$4:$C$1503,$A2887,NOVEDADES!$M$4:$M$1503,"SÍ")&gt;0,"No","Sí"))</f>
        <v/>
      </c>
      <c r="P2887" s="27">
        <f>IF(OR($A2887="",$K2887=""),"",IF(AND($M2887="Sí",$O2887="Sí"),"OTIF","Falló"))</f>
        <v/>
      </c>
    </row>
    <row r="2888" ht="16" customHeight="1">
      <c r="A2888" s="47" t="n"/>
      <c r="B2888" s="46" t="n"/>
      <c r="C2888" s="49" t="n"/>
      <c r="D2888" s="49" t="n"/>
      <c r="E2888" s="49" t="n"/>
      <c r="F2888" s="49" t="n"/>
      <c r="G2888" s="47" t="n"/>
      <c r="H2888" s="50" t="n"/>
      <c r="I2888" s="51" t="n"/>
      <c r="J2888" s="46" t="n"/>
      <c r="K2888" s="46" t="n"/>
      <c r="L2888" s="23">
        <f>IF(OR($A2888="",$B2888=""),"",IF($K2888&lt;&gt;"",$K2888-$B2888,TODAY()-$B2888))</f>
        <v/>
      </c>
      <c r="M2888" s="27">
        <f>IF(OR($A2888="",$J2888=""),"",IF($K2888="",IF(TODAY()&gt;$J2888,"Atrasado","En ruta"),IF($K2888&lt;=$J2888,"Sí","No")))</f>
        <v/>
      </c>
      <c r="N2888" s="23">
        <f>IF($A2888="","",COUNTIFS(NOVEDADES!$C$4:$C$1503,$A2888))</f>
        <v/>
      </c>
      <c r="O2888" s="27">
        <f>IF($A2888="","",IF(COUNTIFS(NOVEDADES!$C$4:$C$1503,$A2888,NOVEDADES!$M$4:$M$1503,"SÍ")&gt;0,"No","Sí"))</f>
        <v/>
      </c>
      <c r="P2888" s="27">
        <f>IF(OR($A2888="",$K2888=""),"",IF(AND($M2888="Sí",$O2888="Sí"),"OTIF","Falló"))</f>
        <v/>
      </c>
    </row>
    <row r="2889" ht="16" customHeight="1">
      <c r="A2889" s="47" t="n"/>
      <c r="B2889" s="46" t="n"/>
      <c r="C2889" s="49" t="n"/>
      <c r="D2889" s="49" t="n"/>
      <c r="E2889" s="49" t="n"/>
      <c r="F2889" s="49" t="n"/>
      <c r="G2889" s="47" t="n"/>
      <c r="H2889" s="50" t="n"/>
      <c r="I2889" s="51" t="n"/>
      <c r="J2889" s="46" t="n"/>
      <c r="K2889" s="46" t="n"/>
      <c r="L2889" s="23">
        <f>IF(OR($A2889="",$B2889=""),"",IF($K2889&lt;&gt;"",$K2889-$B2889,TODAY()-$B2889))</f>
        <v/>
      </c>
      <c r="M2889" s="27">
        <f>IF(OR($A2889="",$J2889=""),"",IF($K2889="",IF(TODAY()&gt;$J2889,"Atrasado","En ruta"),IF($K2889&lt;=$J2889,"Sí","No")))</f>
        <v/>
      </c>
      <c r="N2889" s="23">
        <f>IF($A2889="","",COUNTIFS(NOVEDADES!$C$4:$C$1503,$A2889))</f>
        <v/>
      </c>
      <c r="O2889" s="27">
        <f>IF($A2889="","",IF(COUNTIFS(NOVEDADES!$C$4:$C$1503,$A2889,NOVEDADES!$M$4:$M$1503,"SÍ")&gt;0,"No","Sí"))</f>
        <v/>
      </c>
      <c r="P2889" s="27">
        <f>IF(OR($A2889="",$K2889=""),"",IF(AND($M2889="Sí",$O2889="Sí"),"OTIF","Falló"))</f>
        <v/>
      </c>
    </row>
    <row r="2890" ht="16" customHeight="1">
      <c r="A2890" s="47" t="n"/>
      <c r="B2890" s="46" t="n"/>
      <c r="C2890" s="49" t="n"/>
      <c r="D2890" s="49" t="n"/>
      <c r="E2890" s="49" t="n"/>
      <c r="F2890" s="49" t="n"/>
      <c r="G2890" s="47" t="n"/>
      <c r="H2890" s="50" t="n"/>
      <c r="I2890" s="51" t="n"/>
      <c r="J2890" s="46" t="n"/>
      <c r="K2890" s="46" t="n"/>
      <c r="L2890" s="23">
        <f>IF(OR($A2890="",$B2890=""),"",IF($K2890&lt;&gt;"",$K2890-$B2890,TODAY()-$B2890))</f>
        <v/>
      </c>
      <c r="M2890" s="27">
        <f>IF(OR($A2890="",$J2890=""),"",IF($K2890="",IF(TODAY()&gt;$J2890,"Atrasado","En ruta"),IF($K2890&lt;=$J2890,"Sí","No")))</f>
        <v/>
      </c>
      <c r="N2890" s="23">
        <f>IF($A2890="","",COUNTIFS(NOVEDADES!$C$4:$C$1503,$A2890))</f>
        <v/>
      </c>
      <c r="O2890" s="27">
        <f>IF($A2890="","",IF(COUNTIFS(NOVEDADES!$C$4:$C$1503,$A2890,NOVEDADES!$M$4:$M$1503,"SÍ")&gt;0,"No","Sí"))</f>
        <v/>
      </c>
      <c r="P2890" s="27">
        <f>IF(OR($A2890="",$K2890=""),"",IF(AND($M2890="Sí",$O2890="Sí"),"OTIF","Falló"))</f>
        <v/>
      </c>
    </row>
    <row r="2891" ht="16" customHeight="1">
      <c r="A2891" s="47" t="n"/>
      <c r="B2891" s="46" t="n"/>
      <c r="C2891" s="49" t="n"/>
      <c r="D2891" s="49" t="n"/>
      <c r="E2891" s="49" t="n"/>
      <c r="F2891" s="49" t="n"/>
      <c r="G2891" s="47" t="n"/>
      <c r="H2891" s="50" t="n"/>
      <c r="I2891" s="51" t="n"/>
      <c r="J2891" s="46" t="n"/>
      <c r="K2891" s="46" t="n"/>
      <c r="L2891" s="23">
        <f>IF(OR($A2891="",$B2891=""),"",IF($K2891&lt;&gt;"",$K2891-$B2891,TODAY()-$B2891))</f>
        <v/>
      </c>
      <c r="M2891" s="27">
        <f>IF(OR($A2891="",$J2891=""),"",IF($K2891="",IF(TODAY()&gt;$J2891,"Atrasado","En ruta"),IF($K2891&lt;=$J2891,"Sí","No")))</f>
        <v/>
      </c>
      <c r="N2891" s="23">
        <f>IF($A2891="","",COUNTIFS(NOVEDADES!$C$4:$C$1503,$A2891))</f>
        <v/>
      </c>
      <c r="O2891" s="27">
        <f>IF($A2891="","",IF(COUNTIFS(NOVEDADES!$C$4:$C$1503,$A2891,NOVEDADES!$M$4:$M$1503,"SÍ")&gt;0,"No","Sí"))</f>
        <v/>
      </c>
      <c r="P2891" s="27">
        <f>IF(OR($A2891="",$K2891=""),"",IF(AND($M2891="Sí",$O2891="Sí"),"OTIF","Falló"))</f>
        <v/>
      </c>
    </row>
    <row r="2892" ht="16" customHeight="1">
      <c r="A2892" s="47" t="n"/>
      <c r="B2892" s="46" t="n"/>
      <c r="C2892" s="49" t="n"/>
      <c r="D2892" s="49" t="n"/>
      <c r="E2892" s="49" t="n"/>
      <c r="F2892" s="49" t="n"/>
      <c r="G2892" s="47" t="n"/>
      <c r="H2892" s="50" t="n"/>
      <c r="I2892" s="51" t="n"/>
      <c r="J2892" s="46" t="n"/>
      <c r="K2892" s="46" t="n"/>
      <c r="L2892" s="23">
        <f>IF(OR($A2892="",$B2892=""),"",IF($K2892&lt;&gt;"",$K2892-$B2892,TODAY()-$B2892))</f>
        <v/>
      </c>
      <c r="M2892" s="27">
        <f>IF(OR($A2892="",$J2892=""),"",IF($K2892="",IF(TODAY()&gt;$J2892,"Atrasado","En ruta"),IF($K2892&lt;=$J2892,"Sí","No")))</f>
        <v/>
      </c>
      <c r="N2892" s="23">
        <f>IF($A2892="","",COUNTIFS(NOVEDADES!$C$4:$C$1503,$A2892))</f>
        <v/>
      </c>
      <c r="O2892" s="27">
        <f>IF($A2892="","",IF(COUNTIFS(NOVEDADES!$C$4:$C$1503,$A2892,NOVEDADES!$M$4:$M$1503,"SÍ")&gt;0,"No","Sí"))</f>
        <v/>
      </c>
      <c r="P2892" s="27">
        <f>IF(OR($A2892="",$K2892=""),"",IF(AND($M2892="Sí",$O2892="Sí"),"OTIF","Falló"))</f>
        <v/>
      </c>
    </row>
    <row r="2893" ht="16" customHeight="1">
      <c r="A2893" s="47" t="n"/>
      <c r="B2893" s="46" t="n"/>
      <c r="C2893" s="49" t="n"/>
      <c r="D2893" s="49" t="n"/>
      <c r="E2893" s="49" t="n"/>
      <c r="F2893" s="49" t="n"/>
      <c r="G2893" s="47" t="n"/>
      <c r="H2893" s="50" t="n"/>
      <c r="I2893" s="51" t="n"/>
      <c r="J2893" s="46" t="n"/>
      <c r="K2893" s="46" t="n"/>
      <c r="L2893" s="23">
        <f>IF(OR($A2893="",$B2893=""),"",IF($K2893&lt;&gt;"",$K2893-$B2893,TODAY()-$B2893))</f>
        <v/>
      </c>
      <c r="M2893" s="27">
        <f>IF(OR($A2893="",$J2893=""),"",IF($K2893="",IF(TODAY()&gt;$J2893,"Atrasado","En ruta"),IF($K2893&lt;=$J2893,"Sí","No")))</f>
        <v/>
      </c>
      <c r="N2893" s="23">
        <f>IF($A2893="","",COUNTIFS(NOVEDADES!$C$4:$C$1503,$A2893))</f>
        <v/>
      </c>
      <c r="O2893" s="27">
        <f>IF($A2893="","",IF(COUNTIFS(NOVEDADES!$C$4:$C$1503,$A2893,NOVEDADES!$M$4:$M$1503,"SÍ")&gt;0,"No","Sí"))</f>
        <v/>
      </c>
      <c r="P2893" s="27">
        <f>IF(OR($A2893="",$K2893=""),"",IF(AND($M2893="Sí",$O2893="Sí"),"OTIF","Falló"))</f>
        <v/>
      </c>
    </row>
    <row r="2894" ht="16" customHeight="1">
      <c r="A2894" s="47" t="n"/>
      <c r="B2894" s="46" t="n"/>
      <c r="C2894" s="49" t="n"/>
      <c r="D2894" s="49" t="n"/>
      <c r="E2894" s="49" t="n"/>
      <c r="F2894" s="49" t="n"/>
      <c r="G2894" s="47" t="n"/>
      <c r="H2894" s="50" t="n"/>
      <c r="I2894" s="51" t="n"/>
      <c r="J2894" s="46" t="n"/>
      <c r="K2894" s="46" t="n"/>
      <c r="L2894" s="23">
        <f>IF(OR($A2894="",$B2894=""),"",IF($K2894&lt;&gt;"",$K2894-$B2894,TODAY()-$B2894))</f>
        <v/>
      </c>
      <c r="M2894" s="27">
        <f>IF(OR($A2894="",$J2894=""),"",IF($K2894="",IF(TODAY()&gt;$J2894,"Atrasado","En ruta"),IF($K2894&lt;=$J2894,"Sí","No")))</f>
        <v/>
      </c>
      <c r="N2894" s="23">
        <f>IF($A2894="","",COUNTIFS(NOVEDADES!$C$4:$C$1503,$A2894))</f>
        <v/>
      </c>
      <c r="O2894" s="27">
        <f>IF($A2894="","",IF(COUNTIFS(NOVEDADES!$C$4:$C$1503,$A2894,NOVEDADES!$M$4:$M$1503,"SÍ")&gt;0,"No","Sí"))</f>
        <v/>
      </c>
      <c r="P2894" s="27">
        <f>IF(OR($A2894="",$K2894=""),"",IF(AND($M2894="Sí",$O2894="Sí"),"OTIF","Falló"))</f>
        <v/>
      </c>
    </row>
    <row r="2895" ht="16" customHeight="1">
      <c r="A2895" s="47" t="n"/>
      <c r="B2895" s="46" t="n"/>
      <c r="C2895" s="49" t="n"/>
      <c r="D2895" s="49" t="n"/>
      <c r="E2895" s="49" t="n"/>
      <c r="F2895" s="49" t="n"/>
      <c r="G2895" s="47" t="n"/>
      <c r="H2895" s="50" t="n"/>
      <c r="I2895" s="51" t="n"/>
      <c r="J2895" s="46" t="n"/>
      <c r="K2895" s="46" t="n"/>
      <c r="L2895" s="23">
        <f>IF(OR($A2895="",$B2895=""),"",IF($K2895&lt;&gt;"",$K2895-$B2895,TODAY()-$B2895))</f>
        <v/>
      </c>
      <c r="M2895" s="27">
        <f>IF(OR($A2895="",$J2895=""),"",IF($K2895="",IF(TODAY()&gt;$J2895,"Atrasado","En ruta"),IF($K2895&lt;=$J2895,"Sí","No")))</f>
        <v/>
      </c>
      <c r="N2895" s="23">
        <f>IF($A2895="","",COUNTIFS(NOVEDADES!$C$4:$C$1503,$A2895))</f>
        <v/>
      </c>
      <c r="O2895" s="27">
        <f>IF($A2895="","",IF(COUNTIFS(NOVEDADES!$C$4:$C$1503,$A2895,NOVEDADES!$M$4:$M$1503,"SÍ")&gt;0,"No","Sí"))</f>
        <v/>
      </c>
      <c r="P2895" s="27">
        <f>IF(OR($A2895="",$K2895=""),"",IF(AND($M2895="Sí",$O2895="Sí"),"OTIF","Falló"))</f>
        <v/>
      </c>
    </row>
    <row r="2896" ht="16" customHeight="1">
      <c r="A2896" s="47" t="n"/>
      <c r="B2896" s="46" t="n"/>
      <c r="C2896" s="49" t="n"/>
      <c r="D2896" s="49" t="n"/>
      <c r="E2896" s="49" t="n"/>
      <c r="F2896" s="49" t="n"/>
      <c r="G2896" s="47" t="n"/>
      <c r="H2896" s="50" t="n"/>
      <c r="I2896" s="51" t="n"/>
      <c r="J2896" s="46" t="n"/>
      <c r="K2896" s="46" t="n"/>
      <c r="L2896" s="23">
        <f>IF(OR($A2896="",$B2896=""),"",IF($K2896&lt;&gt;"",$K2896-$B2896,TODAY()-$B2896))</f>
        <v/>
      </c>
      <c r="M2896" s="27">
        <f>IF(OR($A2896="",$J2896=""),"",IF($K2896="",IF(TODAY()&gt;$J2896,"Atrasado","En ruta"),IF($K2896&lt;=$J2896,"Sí","No")))</f>
        <v/>
      </c>
      <c r="N2896" s="23">
        <f>IF($A2896="","",COUNTIFS(NOVEDADES!$C$4:$C$1503,$A2896))</f>
        <v/>
      </c>
      <c r="O2896" s="27">
        <f>IF($A2896="","",IF(COUNTIFS(NOVEDADES!$C$4:$C$1503,$A2896,NOVEDADES!$M$4:$M$1503,"SÍ")&gt;0,"No","Sí"))</f>
        <v/>
      </c>
      <c r="P2896" s="27">
        <f>IF(OR($A2896="",$K2896=""),"",IF(AND($M2896="Sí",$O2896="Sí"),"OTIF","Falló"))</f>
        <v/>
      </c>
    </row>
    <row r="2897" ht="16" customHeight="1">
      <c r="A2897" s="47" t="n"/>
      <c r="B2897" s="46" t="n"/>
      <c r="C2897" s="49" t="n"/>
      <c r="D2897" s="49" t="n"/>
      <c r="E2897" s="49" t="n"/>
      <c r="F2897" s="49" t="n"/>
      <c r="G2897" s="47" t="n"/>
      <c r="H2897" s="50" t="n"/>
      <c r="I2897" s="51" t="n"/>
      <c r="J2897" s="46" t="n"/>
      <c r="K2897" s="46" t="n"/>
      <c r="L2897" s="23">
        <f>IF(OR($A2897="",$B2897=""),"",IF($K2897&lt;&gt;"",$K2897-$B2897,TODAY()-$B2897))</f>
        <v/>
      </c>
      <c r="M2897" s="27">
        <f>IF(OR($A2897="",$J2897=""),"",IF($K2897="",IF(TODAY()&gt;$J2897,"Atrasado","En ruta"),IF($K2897&lt;=$J2897,"Sí","No")))</f>
        <v/>
      </c>
      <c r="N2897" s="23">
        <f>IF($A2897="","",COUNTIFS(NOVEDADES!$C$4:$C$1503,$A2897))</f>
        <v/>
      </c>
      <c r="O2897" s="27">
        <f>IF($A2897="","",IF(COUNTIFS(NOVEDADES!$C$4:$C$1503,$A2897,NOVEDADES!$M$4:$M$1503,"SÍ")&gt;0,"No","Sí"))</f>
        <v/>
      </c>
      <c r="P2897" s="27">
        <f>IF(OR($A2897="",$K2897=""),"",IF(AND($M2897="Sí",$O2897="Sí"),"OTIF","Falló"))</f>
        <v/>
      </c>
    </row>
    <row r="2898" ht="16" customHeight="1">
      <c r="A2898" s="47" t="n"/>
      <c r="B2898" s="46" t="n"/>
      <c r="C2898" s="49" t="n"/>
      <c r="D2898" s="49" t="n"/>
      <c r="E2898" s="49" t="n"/>
      <c r="F2898" s="49" t="n"/>
      <c r="G2898" s="47" t="n"/>
      <c r="H2898" s="50" t="n"/>
      <c r="I2898" s="51" t="n"/>
      <c r="J2898" s="46" t="n"/>
      <c r="K2898" s="46" t="n"/>
      <c r="L2898" s="23">
        <f>IF(OR($A2898="",$B2898=""),"",IF($K2898&lt;&gt;"",$K2898-$B2898,TODAY()-$B2898))</f>
        <v/>
      </c>
      <c r="M2898" s="27">
        <f>IF(OR($A2898="",$J2898=""),"",IF($K2898="",IF(TODAY()&gt;$J2898,"Atrasado","En ruta"),IF($K2898&lt;=$J2898,"Sí","No")))</f>
        <v/>
      </c>
      <c r="N2898" s="23">
        <f>IF($A2898="","",COUNTIFS(NOVEDADES!$C$4:$C$1503,$A2898))</f>
        <v/>
      </c>
      <c r="O2898" s="27">
        <f>IF($A2898="","",IF(COUNTIFS(NOVEDADES!$C$4:$C$1503,$A2898,NOVEDADES!$M$4:$M$1503,"SÍ")&gt;0,"No","Sí"))</f>
        <v/>
      </c>
      <c r="P2898" s="27">
        <f>IF(OR($A2898="",$K2898=""),"",IF(AND($M2898="Sí",$O2898="Sí"),"OTIF","Falló"))</f>
        <v/>
      </c>
    </row>
    <row r="2899" ht="16" customHeight="1">
      <c r="A2899" s="47" t="n"/>
      <c r="B2899" s="46" t="n"/>
      <c r="C2899" s="49" t="n"/>
      <c r="D2899" s="49" t="n"/>
      <c r="E2899" s="49" t="n"/>
      <c r="F2899" s="49" t="n"/>
      <c r="G2899" s="47" t="n"/>
      <c r="H2899" s="50" t="n"/>
      <c r="I2899" s="51" t="n"/>
      <c r="J2899" s="46" t="n"/>
      <c r="K2899" s="46" t="n"/>
      <c r="L2899" s="23">
        <f>IF(OR($A2899="",$B2899=""),"",IF($K2899&lt;&gt;"",$K2899-$B2899,TODAY()-$B2899))</f>
        <v/>
      </c>
      <c r="M2899" s="27">
        <f>IF(OR($A2899="",$J2899=""),"",IF($K2899="",IF(TODAY()&gt;$J2899,"Atrasado","En ruta"),IF($K2899&lt;=$J2899,"Sí","No")))</f>
        <v/>
      </c>
      <c r="N2899" s="23">
        <f>IF($A2899="","",COUNTIFS(NOVEDADES!$C$4:$C$1503,$A2899))</f>
        <v/>
      </c>
      <c r="O2899" s="27">
        <f>IF($A2899="","",IF(COUNTIFS(NOVEDADES!$C$4:$C$1503,$A2899,NOVEDADES!$M$4:$M$1503,"SÍ")&gt;0,"No","Sí"))</f>
        <v/>
      </c>
      <c r="P2899" s="27">
        <f>IF(OR($A2899="",$K2899=""),"",IF(AND($M2899="Sí",$O2899="Sí"),"OTIF","Falló"))</f>
        <v/>
      </c>
    </row>
    <row r="2900" ht="16" customHeight="1">
      <c r="A2900" s="47" t="n"/>
      <c r="B2900" s="46" t="n"/>
      <c r="C2900" s="49" t="n"/>
      <c r="D2900" s="49" t="n"/>
      <c r="E2900" s="49" t="n"/>
      <c r="F2900" s="49" t="n"/>
      <c r="G2900" s="47" t="n"/>
      <c r="H2900" s="50" t="n"/>
      <c r="I2900" s="51" t="n"/>
      <c r="J2900" s="46" t="n"/>
      <c r="K2900" s="46" t="n"/>
      <c r="L2900" s="23">
        <f>IF(OR($A2900="",$B2900=""),"",IF($K2900&lt;&gt;"",$K2900-$B2900,TODAY()-$B2900))</f>
        <v/>
      </c>
      <c r="M2900" s="27">
        <f>IF(OR($A2900="",$J2900=""),"",IF($K2900="",IF(TODAY()&gt;$J2900,"Atrasado","En ruta"),IF($K2900&lt;=$J2900,"Sí","No")))</f>
        <v/>
      </c>
      <c r="N2900" s="23">
        <f>IF($A2900="","",COUNTIFS(NOVEDADES!$C$4:$C$1503,$A2900))</f>
        <v/>
      </c>
      <c r="O2900" s="27">
        <f>IF($A2900="","",IF(COUNTIFS(NOVEDADES!$C$4:$C$1503,$A2900,NOVEDADES!$M$4:$M$1503,"SÍ")&gt;0,"No","Sí"))</f>
        <v/>
      </c>
      <c r="P2900" s="27">
        <f>IF(OR($A2900="",$K2900=""),"",IF(AND($M2900="Sí",$O2900="Sí"),"OTIF","Falló"))</f>
        <v/>
      </c>
    </row>
    <row r="2901" ht="16" customHeight="1">
      <c r="A2901" s="47" t="n"/>
      <c r="B2901" s="46" t="n"/>
      <c r="C2901" s="49" t="n"/>
      <c r="D2901" s="49" t="n"/>
      <c r="E2901" s="49" t="n"/>
      <c r="F2901" s="49" t="n"/>
      <c r="G2901" s="47" t="n"/>
      <c r="H2901" s="50" t="n"/>
      <c r="I2901" s="51" t="n"/>
      <c r="J2901" s="46" t="n"/>
      <c r="K2901" s="46" t="n"/>
      <c r="L2901" s="23">
        <f>IF(OR($A2901="",$B2901=""),"",IF($K2901&lt;&gt;"",$K2901-$B2901,TODAY()-$B2901))</f>
        <v/>
      </c>
      <c r="M2901" s="27">
        <f>IF(OR($A2901="",$J2901=""),"",IF($K2901="",IF(TODAY()&gt;$J2901,"Atrasado","En ruta"),IF($K2901&lt;=$J2901,"Sí","No")))</f>
        <v/>
      </c>
      <c r="N2901" s="23">
        <f>IF($A2901="","",COUNTIFS(NOVEDADES!$C$4:$C$1503,$A2901))</f>
        <v/>
      </c>
      <c r="O2901" s="27">
        <f>IF($A2901="","",IF(COUNTIFS(NOVEDADES!$C$4:$C$1503,$A2901,NOVEDADES!$M$4:$M$1503,"SÍ")&gt;0,"No","Sí"))</f>
        <v/>
      </c>
      <c r="P2901" s="27">
        <f>IF(OR($A2901="",$K2901=""),"",IF(AND($M2901="Sí",$O2901="Sí"),"OTIF","Falló"))</f>
        <v/>
      </c>
    </row>
    <row r="2902" ht="16" customHeight="1">
      <c r="A2902" s="47" t="n"/>
      <c r="B2902" s="46" t="n"/>
      <c r="C2902" s="49" t="n"/>
      <c r="D2902" s="49" t="n"/>
      <c r="E2902" s="49" t="n"/>
      <c r="F2902" s="49" t="n"/>
      <c r="G2902" s="47" t="n"/>
      <c r="H2902" s="50" t="n"/>
      <c r="I2902" s="51" t="n"/>
      <c r="J2902" s="46" t="n"/>
      <c r="K2902" s="46" t="n"/>
      <c r="L2902" s="23">
        <f>IF(OR($A2902="",$B2902=""),"",IF($K2902&lt;&gt;"",$K2902-$B2902,TODAY()-$B2902))</f>
        <v/>
      </c>
      <c r="M2902" s="27">
        <f>IF(OR($A2902="",$J2902=""),"",IF($K2902="",IF(TODAY()&gt;$J2902,"Atrasado","En ruta"),IF($K2902&lt;=$J2902,"Sí","No")))</f>
        <v/>
      </c>
      <c r="N2902" s="23">
        <f>IF($A2902="","",COUNTIFS(NOVEDADES!$C$4:$C$1503,$A2902))</f>
        <v/>
      </c>
      <c r="O2902" s="27">
        <f>IF($A2902="","",IF(COUNTIFS(NOVEDADES!$C$4:$C$1503,$A2902,NOVEDADES!$M$4:$M$1503,"SÍ")&gt;0,"No","Sí"))</f>
        <v/>
      </c>
      <c r="P2902" s="27">
        <f>IF(OR($A2902="",$K2902=""),"",IF(AND($M2902="Sí",$O2902="Sí"),"OTIF","Falló"))</f>
        <v/>
      </c>
    </row>
    <row r="2903" ht="16" customHeight="1">
      <c r="A2903" s="47" t="n"/>
      <c r="B2903" s="46" t="n"/>
      <c r="C2903" s="49" t="n"/>
      <c r="D2903" s="49" t="n"/>
      <c r="E2903" s="49" t="n"/>
      <c r="F2903" s="49" t="n"/>
      <c r="G2903" s="47" t="n"/>
      <c r="H2903" s="50" t="n"/>
      <c r="I2903" s="51" t="n"/>
      <c r="J2903" s="46" t="n"/>
      <c r="K2903" s="46" t="n"/>
      <c r="L2903" s="23">
        <f>IF(OR($A2903="",$B2903=""),"",IF($K2903&lt;&gt;"",$K2903-$B2903,TODAY()-$B2903))</f>
        <v/>
      </c>
      <c r="M2903" s="27">
        <f>IF(OR($A2903="",$J2903=""),"",IF($K2903="",IF(TODAY()&gt;$J2903,"Atrasado","En ruta"),IF($K2903&lt;=$J2903,"Sí","No")))</f>
        <v/>
      </c>
      <c r="N2903" s="23">
        <f>IF($A2903="","",COUNTIFS(NOVEDADES!$C$4:$C$1503,$A2903))</f>
        <v/>
      </c>
      <c r="O2903" s="27">
        <f>IF($A2903="","",IF(COUNTIFS(NOVEDADES!$C$4:$C$1503,$A2903,NOVEDADES!$M$4:$M$1503,"SÍ")&gt;0,"No","Sí"))</f>
        <v/>
      </c>
      <c r="P2903" s="27">
        <f>IF(OR($A2903="",$K2903=""),"",IF(AND($M2903="Sí",$O2903="Sí"),"OTIF","Falló"))</f>
        <v/>
      </c>
    </row>
    <row r="2904" ht="16" customHeight="1">
      <c r="A2904" s="47" t="n"/>
      <c r="B2904" s="46" t="n"/>
      <c r="C2904" s="49" t="n"/>
      <c r="D2904" s="49" t="n"/>
      <c r="E2904" s="49" t="n"/>
      <c r="F2904" s="49" t="n"/>
      <c r="G2904" s="47" t="n"/>
      <c r="H2904" s="50" t="n"/>
      <c r="I2904" s="51" t="n"/>
      <c r="J2904" s="46" t="n"/>
      <c r="K2904" s="46" t="n"/>
      <c r="L2904" s="23">
        <f>IF(OR($A2904="",$B2904=""),"",IF($K2904&lt;&gt;"",$K2904-$B2904,TODAY()-$B2904))</f>
        <v/>
      </c>
      <c r="M2904" s="27">
        <f>IF(OR($A2904="",$J2904=""),"",IF($K2904="",IF(TODAY()&gt;$J2904,"Atrasado","En ruta"),IF($K2904&lt;=$J2904,"Sí","No")))</f>
        <v/>
      </c>
      <c r="N2904" s="23">
        <f>IF($A2904="","",COUNTIFS(NOVEDADES!$C$4:$C$1503,$A2904))</f>
        <v/>
      </c>
      <c r="O2904" s="27">
        <f>IF($A2904="","",IF(COUNTIFS(NOVEDADES!$C$4:$C$1503,$A2904,NOVEDADES!$M$4:$M$1503,"SÍ")&gt;0,"No","Sí"))</f>
        <v/>
      </c>
      <c r="P2904" s="27">
        <f>IF(OR($A2904="",$K2904=""),"",IF(AND($M2904="Sí",$O2904="Sí"),"OTIF","Falló"))</f>
        <v/>
      </c>
    </row>
    <row r="2905" ht="16" customHeight="1">
      <c r="A2905" s="47" t="n"/>
      <c r="B2905" s="46" t="n"/>
      <c r="C2905" s="49" t="n"/>
      <c r="D2905" s="49" t="n"/>
      <c r="E2905" s="49" t="n"/>
      <c r="F2905" s="49" t="n"/>
      <c r="G2905" s="47" t="n"/>
      <c r="H2905" s="50" t="n"/>
      <c r="I2905" s="51" t="n"/>
      <c r="J2905" s="46" t="n"/>
      <c r="K2905" s="46" t="n"/>
      <c r="L2905" s="23">
        <f>IF(OR($A2905="",$B2905=""),"",IF($K2905&lt;&gt;"",$K2905-$B2905,TODAY()-$B2905))</f>
        <v/>
      </c>
      <c r="M2905" s="27">
        <f>IF(OR($A2905="",$J2905=""),"",IF($K2905="",IF(TODAY()&gt;$J2905,"Atrasado","En ruta"),IF($K2905&lt;=$J2905,"Sí","No")))</f>
        <v/>
      </c>
      <c r="N2905" s="23">
        <f>IF($A2905="","",COUNTIFS(NOVEDADES!$C$4:$C$1503,$A2905))</f>
        <v/>
      </c>
      <c r="O2905" s="27">
        <f>IF($A2905="","",IF(COUNTIFS(NOVEDADES!$C$4:$C$1503,$A2905,NOVEDADES!$M$4:$M$1503,"SÍ")&gt;0,"No","Sí"))</f>
        <v/>
      </c>
      <c r="P2905" s="27">
        <f>IF(OR($A2905="",$K2905=""),"",IF(AND($M2905="Sí",$O2905="Sí"),"OTIF","Falló"))</f>
        <v/>
      </c>
    </row>
    <row r="2906" ht="16" customHeight="1">
      <c r="A2906" s="47" t="n"/>
      <c r="B2906" s="46" t="n"/>
      <c r="C2906" s="49" t="n"/>
      <c r="D2906" s="49" t="n"/>
      <c r="E2906" s="49" t="n"/>
      <c r="F2906" s="49" t="n"/>
      <c r="G2906" s="47" t="n"/>
      <c r="H2906" s="50" t="n"/>
      <c r="I2906" s="51" t="n"/>
      <c r="J2906" s="46" t="n"/>
      <c r="K2906" s="46" t="n"/>
      <c r="L2906" s="23">
        <f>IF(OR($A2906="",$B2906=""),"",IF($K2906&lt;&gt;"",$K2906-$B2906,TODAY()-$B2906))</f>
        <v/>
      </c>
      <c r="M2906" s="27">
        <f>IF(OR($A2906="",$J2906=""),"",IF($K2906="",IF(TODAY()&gt;$J2906,"Atrasado","En ruta"),IF($K2906&lt;=$J2906,"Sí","No")))</f>
        <v/>
      </c>
      <c r="N2906" s="23">
        <f>IF($A2906="","",COUNTIFS(NOVEDADES!$C$4:$C$1503,$A2906))</f>
        <v/>
      </c>
      <c r="O2906" s="27">
        <f>IF($A2906="","",IF(COUNTIFS(NOVEDADES!$C$4:$C$1503,$A2906,NOVEDADES!$M$4:$M$1503,"SÍ")&gt;0,"No","Sí"))</f>
        <v/>
      </c>
      <c r="P2906" s="27">
        <f>IF(OR($A2906="",$K2906=""),"",IF(AND($M2906="Sí",$O2906="Sí"),"OTIF","Falló"))</f>
        <v/>
      </c>
    </row>
    <row r="2907" ht="16" customHeight="1">
      <c r="A2907" s="47" t="n"/>
      <c r="B2907" s="46" t="n"/>
      <c r="C2907" s="49" t="n"/>
      <c r="D2907" s="49" t="n"/>
      <c r="E2907" s="49" t="n"/>
      <c r="F2907" s="49" t="n"/>
      <c r="G2907" s="47" t="n"/>
      <c r="H2907" s="50" t="n"/>
      <c r="I2907" s="51" t="n"/>
      <c r="J2907" s="46" t="n"/>
      <c r="K2907" s="46" t="n"/>
      <c r="L2907" s="23">
        <f>IF(OR($A2907="",$B2907=""),"",IF($K2907&lt;&gt;"",$K2907-$B2907,TODAY()-$B2907))</f>
        <v/>
      </c>
      <c r="M2907" s="27">
        <f>IF(OR($A2907="",$J2907=""),"",IF($K2907="",IF(TODAY()&gt;$J2907,"Atrasado","En ruta"),IF($K2907&lt;=$J2907,"Sí","No")))</f>
        <v/>
      </c>
      <c r="N2907" s="23">
        <f>IF($A2907="","",COUNTIFS(NOVEDADES!$C$4:$C$1503,$A2907))</f>
        <v/>
      </c>
      <c r="O2907" s="27">
        <f>IF($A2907="","",IF(COUNTIFS(NOVEDADES!$C$4:$C$1503,$A2907,NOVEDADES!$M$4:$M$1503,"SÍ")&gt;0,"No","Sí"))</f>
        <v/>
      </c>
      <c r="P2907" s="27">
        <f>IF(OR($A2907="",$K2907=""),"",IF(AND($M2907="Sí",$O2907="Sí"),"OTIF","Falló"))</f>
        <v/>
      </c>
    </row>
    <row r="2908" ht="16" customHeight="1">
      <c r="A2908" s="47" t="n"/>
      <c r="B2908" s="46" t="n"/>
      <c r="C2908" s="49" t="n"/>
      <c r="D2908" s="49" t="n"/>
      <c r="E2908" s="49" t="n"/>
      <c r="F2908" s="49" t="n"/>
      <c r="G2908" s="47" t="n"/>
      <c r="H2908" s="50" t="n"/>
      <c r="I2908" s="51" t="n"/>
      <c r="J2908" s="46" t="n"/>
      <c r="K2908" s="46" t="n"/>
      <c r="L2908" s="23">
        <f>IF(OR($A2908="",$B2908=""),"",IF($K2908&lt;&gt;"",$K2908-$B2908,TODAY()-$B2908))</f>
        <v/>
      </c>
      <c r="M2908" s="27">
        <f>IF(OR($A2908="",$J2908=""),"",IF($K2908="",IF(TODAY()&gt;$J2908,"Atrasado","En ruta"),IF($K2908&lt;=$J2908,"Sí","No")))</f>
        <v/>
      </c>
      <c r="N2908" s="23">
        <f>IF($A2908="","",COUNTIFS(NOVEDADES!$C$4:$C$1503,$A2908))</f>
        <v/>
      </c>
      <c r="O2908" s="27">
        <f>IF($A2908="","",IF(COUNTIFS(NOVEDADES!$C$4:$C$1503,$A2908,NOVEDADES!$M$4:$M$1503,"SÍ")&gt;0,"No","Sí"))</f>
        <v/>
      </c>
      <c r="P2908" s="27">
        <f>IF(OR($A2908="",$K2908=""),"",IF(AND($M2908="Sí",$O2908="Sí"),"OTIF","Falló"))</f>
        <v/>
      </c>
    </row>
    <row r="2909" ht="16" customHeight="1">
      <c r="A2909" s="47" t="n"/>
      <c r="B2909" s="46" t="n"/>
      <c r="C2909" s="49" t="n"/>
      <c r="D2909" s="49" t="n"/>
      <c r="E2909" s="49" t="n"/>
      <c r="F2909" s="49" t="n"/>
      <c r="G2909" s="47" t="n"/>
      <c r="H2909" s="50" t="n"/>
      <c r="I2909" s="51" t="n"/>
      <c r="J2909" s="46" t="n"/>
      <c r="K2909" s="46" t="n"/>
      <c r="L2909" s="23">
        <f>IF(OR($A2909="",$B2909=""),"",IF($K2909&lt;&gt;"",$K2909-$B2909,TODAY()-$B2909))</f>
        <v/>
      </c>
      <c r="M2909" s="27">
        <f>IF(OR($A2909="",$J2909=""),"",IF($K2909="",IF(TODAY()&gt;$J2909,"Atrasado","En ruta"),IF($K2909&lt;=$J2909,"Sí","No")))</f>
        <v/>
      </c>
      <c r="N2909" s="23">
        <f>IF($A2909="","",COUNTIFS(NOVEDADES!$C$4:$C$1503,$A2909))</f>
        <v/>
      </c>
      <c r="O2909" s="27">
        <f>IF($A2909="","",IF(COUNTIFS(NOVEDADES!$C$4:$C$1503,$A2909,NOVEDADES!$M$4:$M$1503,"SÍ")&gt;0,"No","Sí"))</f>
        <v/>
      </c>
      <c r="P2909" s="27">
        <f>IF(OR($A2909="",$K2909=""),"",IF(AND($M2909="Sí",$O2909="Sí"),"OTIF","Falló"))</f>
        <v/>
      </c>
    </row>
    <row r="2910" ht="16" customHeight="1">
      <c r="A2910" s="47" t="n"/>
      <c r="B2910" s="46" t="n"/>
      <c r="C2910" s="49" t="n"/>
      <c r="D2910" s="49" t="n"/>
      <c r="E2910" s="49" t="n"/>
      <c r="F2910" s="49" t="n"/>
      <c r="G2910" s="47" t="n"/>
      <c r="H2910" s="50" t="n"/>
      <c r="I2910" s="51" t="n"/>
      <c r="J2910" s="46" t="n"/>
      <c r="K2910" s="46" t="n"/>
      <c r="L2910" s="23">
        <f>IF(OR($A2910="",$B2910=""),"",IF($K2910&lt;&gt;"",$K2910-$B2910,TODAY()-$B2910))</f>
        <v/>
      </c>
      <c r="M2910" s="27">
        <f>IF(OR($A2910="",$J2910=""),"",IF($K2910="",IF(TODAY()&gt;$J2910,"Atrasado","En ruta"),IF($K2910&lt;=$J2910,"Sí","No")))</f>
        <v/>
      </c>
      <c r="N2910" s="23">
        <f>IF($A2910="","",COUNTIFS(NOVEDADES!$C$4:$C$1503,$A2910))</f>
        <v/>
      </c>
      <c r="O2910" s="27">
        <f>IF($A2910="","",IF(COUNTIFS(NOVEDADES!$C$4:$C$1503,$A2910,NOVEDADES!$M$4:$M$1503,"SÍ")&gt;0,"No","Sí"))</f>
        <v/>
      </c>
      <c r="P2910" s="27">
        <f>IF(OR($A2910="",$K2910=""),"",IF(AND($M2910="Sí",$O2910="Sí"),"OTIF","Falló"))</f>
        <v/>
      </c>
    </row>
    <row r="2911" ht="16" customHeight="1">
      <c r="A2911" s="47" t="n"/>
      <c r="B2911" s="46" t="n"/>
      <c r="C2911" s="49" t="n"/>
      <c r="D2911" s="49" t="n"/>
      <c r="E2911" s="49" t="n"/>
      <c r="F2911" s="49" t="n"/>
      <c r="G2911" s="47" t="n"/>
      <c r="H2911" s="50" t="n"/>
      <c r="I2911" s="51" t="n"/>
      <c r="J2911" s="46" t="n"/>
      <c r="K2911" s="46" t="n"/>
      <c r="L2911" s="23">
        <f>IF(OR($A2911="",$B2911=""),"",IF($K2911&lt;&gt;"",$K2911-$B2911,TODAY()-$B2911))</f>
        <v/>
      </c>
      <c r="M2911" s="27">
        <f>IF(OR($A2911="",$J2911=""),"",IF($K2911="",IF(TODAY()&gt;$J2911,"Atrasado","En ruta"),IF($K2911&lt;=$J2911,"Sí","No")))</f>
        <v/>
      </c>
      <c r="N2911" s="23">
        <f>IF($A2911="","",COUNTIFS(NOVEDADES!$C$4:$C$1503,$A2911))</f>
        <v/>
      </c>
      <c r="O2911" s="27">
        <f>IF($A2911="","",IF(COUNTIFS(NOVEDADES!$C$4:$C$1503,$A2911,NOVEDADES!$M$4:$M$1503,"SÍ")&gt;0,"No","Sí"))</f>
        <v/>
      </c>
      <c r="P2911" s="27">
        <f>IF(OR($A2911="",$K2911=""),"",IF(AND($M2911="Sí",$O2911="Sí"),"OTIF","Falló"))</f>
        <v/>
      </c>
    </row>
    <row r="2912" ht="16" customHeight="1">
      <c r="A2912" s="47" t="n"/>
      <c r="B2912" s="46" t="n"/>
      <c r="C2912" s="49" t="n"/>
      <c r="D2912" s="49" t="n"/>
      <c r="E2912" s="49" t="n"/>
      <c r="F2912" s="49" t="n"/>
      <c r="G2912" s="47" t="n"/>
      <c r="H2912" s="50" t="n"/>
      <c r="I2912" s="51" t="n"/>
      <c r="J2912" s="46" t="n"/>
      <c r="K2912" s="46" t="n"/>
      <c r="L2912" s="23">
        <f>IF(OR($A2912="",$B2912=""),"",IF($K2912&lt;&gt;"",$K2912-$B2912,TODAY()-$B2912))</f>
        <v/>
      </c>
      <c r="M2912" s="27">
        <f>IF(OR($A2912="",$J2912=""),"",IF($K2912="",IF(TODAY()&gt;$J2912,"Atrasado","En ruta"),IF($K2912&lt;=$J2912,"Sí","No")))</f>
        <v/>
      </c>
      <c r="N2912" s="23">
        <f>IF($A2912="","",COUNTIFS(NOVEDADES!$C$4:$C$1503,$A2912))</f>
        <v/>
      </c>
      <c r="O2912" s="27">
        <f>IF($A2912="","",IF(COUNTIFS(NOVEDADES!$C$4:$C$1503,$A2912,NOVEDADES!$M$4:$M$1503,"SÍ")&gt;0,"No","Sí"))</f>
        <v/>
      </c>
      <c r="P2912" s="27">
        <f>IF(OR($A2912="",$K2912=""),"",IF(AND($M2912="Sí",$O2912="Sí"),"OTIF","Falló"))</f>
        <v/>
      </c>
    </row>
    <row r="2913" ht="16" customHeight="1">
      <c r="A2913" s="47" t="n"/>
      <c r="B2913" s="46" t="n"/>
      <c r="C2913" s="49" t="n"/>
      <c r="D2913" s="49" t="n"/>
      <c r="E2913" s="49" t="n"/>
      <c r="F2913" s="49" t="n"/>
      <c r="G2913" s="47" t="n"/>
      <c r="H2913" s="50" t="n"/>
      <c r="I2913" s="51" t="n"/>
      <c r="J2913" s="46" t="n"/>
      <c r="K2913" s="46" t="n"/>
      <c r="L2913" s="23">
        <f>IF(OR($A2913="",$B2913=""),"",IF($K2913&lt;&gt;"",$K2913-$B2913,TODAY()-$B2913))</f>
        <v/>
      </c>
      <c r="M2913" s="27">
        <f>IF(OR($A2913="",$J2913=""),"",IF($K2913="",IF(TODAY()&gt;$J2913,"Atrasado","En ruta"),IF($K2913&lt;=$J2913,"Sí","No")))</f>
        <v/>
      </c>
      <c r="N2913" s="23">
        <f>IF($A2913="","",COUNTIFS(NOVEDADES!$C$4:$C$1503,$A2913))</f>
        <v/>
      </c>
      <c r="O2913" s="27">
        <f>IF($A2913="","",IF(COUNTIFS(NOVEDADES!$C$4:$C$1503,$A2913,NOVEDADES!$M$4:$M$1503,"SÍ")&gt;0,"No","Sí"))</f>
        <v/>
      </c>
      <c r="P2913" s="27">
        <f>IF(OR($A2913="",$K2913=""),"",IF(AND($M2913="Sí",$O2913="Sí"),"OTIF","Falló"))</f>
        <v/>
      </c>
    </row>
    <row r="2914" ht="16" customHeight="1">
      <c r="A2914" s="47" t="n"/>
      <c r="B2914" s="46" t="n"/>
      <c r="C2914" s="49" t="n"/>
      <c r="D2914" s="49" t="n"/>
      <c r="E2914" s="49" t="n"/>
      <c r="F2914" s="49" t="n"/>
      <c r="G2914" s="47" t="n"/>
      <c r="H2914" s="50" t="n"/>
      <c r="I2914" s="51" t="n"/>
      <c r="J2914" s="46" t="n"/>
      <c r="K2914" s="46" t="n"/>
      <c r="L2914" s="23">
        <f>IF(OR($A2914="",$B2914=""),"",IF($K2914&lt;&gt;"",$K2914-$B2914,TODAY()-$B2914))</f>
        <v/>
      </c>
      <c r="M2914" s="27">
        <f>IF(OR($A2914="",$J2914=""),"",IF($K2914="",IF(TODAY()&gt;$J2914,"Atrasado","En ruta"),IF($K2914&lt;=$J2914,"Sí","No")))</f>
        <v/>
      </c>
      <c r="N2914" s="23">
        <f>IF($A2914="","",COUNTIFS(NOVEDADES!$C$4:$C$1503,$A2914))</f>
        <v/>
      </c>
      <c r="O2914" s="27">
        <f>IF($A2914="","",IF(COUNTIFS(NOVEDADES!$C$4:$C$1503,$A2914,NOVEDADES!$M$4:$M$1503,"SÍ")&gt;0,"No","Sí"))</f>
        <v/>
      </c>
      <c r="P2914" s="27">
        <f>IF(OR($A2914="",$K2914=""),"",IF(AND($M2914="Sí",$O2914="Sí"),"OTIF","Falló"))</f>
        <v/>
      </c>
    </row>
    <row r="2915" ht="16" customHeight="1">
      <c r="A2915" s="47" t="n"/>
      <c r="B2915" s="46" t="n"/>
      <c r="C2915" s="49" t="n"/>
      <c r="D2915" s="49" t="n"/>
      <c r="E2915" s="49" t="n"/>
      <c r="F2915" s="49" t="n"/>
      <c r="G2915" s="47" t="n"/>
      <c r="H2915" s="50" t="n"/>
      <c r="I2915" s="51" t="n"/>
      <c r="J2915" s="46" t="n"/>
      <c r="K2915" s="46" t="n"/>
      <c r="L2915" s="23">
        <f>IF(OR($A2915="",$B2915=""),"",IF($K2915&lt;&gt;"",$K2915-$B2915,TODAY()-$B2915))</f>
        <v/>
      </c>
      <c r="M2915" s="27">
        <f>IF(OR($A2915="",$J2915=""),"",IF($K2915="",IF(TODAY()&gt;$J2915,"Atrasado","En ruta"),IF($K2915&lt;=$J2915,"Sí","No")))</f>
        <v/>
      </c>
      <c r="N2915" s="23">
        <f>IF($A2915="","",COUNTIFS(NOVEDADES!$C$4:$C$1503,$A2915))</f>
        <v/>
      </c>
      <c r="O2915" s="27">
        <f>IF($A2915="","",IF(COUNTIFS(NOVEDADES!$C$4:$C$1503,$A2915,NOVEDADES!$M$4:$M$1503,"SÍ")&gt;0,"No","Sí"))</f>
        <v/>
      </c>
      <c r="P2915" s="27">
        <f>IF(OR($A2915="",$K2915=""),"",IF(AND($M2915="Sí",$O2915="Sí"),"OTIF","Falló"))</f>
        <v/>
      </c>
    </row>
    <row r="2916" ht="16" customHeight="1">
      <c r="A2916" s="47" t="n"/>
      <c r="B2916" s="46" t="n"/>
      <c r="C2916" s="49" t="n"/>
      <c r="D2916" s="49" t="n"/>
      <c r="E2916" s="49" t="n"/>
      <c r="F2916" s="49" t="n"/>
      <c r="G2916" s="47" t="n"/>
      <c r="H2916" s="50" t="n"/>
      <c r="I2916" s="51" t="n"/>
      <c r="J2916" s="46" t="n"/>
      <c r="K2916" s="46" t="n"/>
      <c r="L2916" s="23">
        <f>IF(OR($A2916="",$B2916=""),"",IF($K2916&lt;&gt;"",$K2916-$B2916,TODAY()-$B2916))</f>
        <v/>
      </c>
      <c r="M2916" s="27">
        <f>IF(OR($A2916="",$J2916=""),"",IF($K2916="",IF(TODAY()&gt;$J2916,"Atrasado","En ruta"),IF($K2916&lt;=$J2916,"Sí","No")))</f>
        <v/>
      </c>
      <c r="N2916" s="23">
        <f>IF($A2916="","",COUNTIFS(NOVEDADES!$C$4:$C$1503,$A2916))</f>
        <v/>
      </c>
      <c r="O2916" s="27">
        <f>IF($A2916="","",IF(COUNTIFS(NOVEDADES!$C$4:$C$1503,$A2916,NOVEDADES!$M$4:$M$1503,"SÍ")&gt;0,"No","Sí"))</f>
        <v/>
      </c>
      <c r="P2916" s="27">
        <f>IF(OR($A2916="",$K2916=""),"",IF(AND($M2916="Sí",$O2916="Sí"),"OTIF","Falló"))</f>
        <v/>
      </c>
    </row>
    <row r="2917" ht="16" customHeight="1">
      <c r="A2917" s="47" t="n"/>
      <c r="B2917" s="46" t="n"/>
      <c r="C2917" s="49" t="n"/>
      <c r="D2917" s="49" t="n"/>
      <c r="E2917" s="49" t="n"/>
      <c r="F2917" s="49" t="n"/>
      <c r="G2917" s="47" t="n"/>
      <c r="H2917" s="50" t="n"/>
      <c r="I2917" s="51" t="n"/>
      <c r="J2917" s="46" t="n"/>
      <c r="K2917" s="46" t="n"/>
      <c r="L2917" s="23">
        <f>IF(OR($A2917="",$B2917=""),"",IF($K2917&lt;&gt;"",$K2917-$B2917,TODAY()-$B2917))</f>
        <v/>
      </c>
      <c r="M2917" s="27">
        <f>IF(OR($A2917="",$J2917=""),"",IF($K2917="",IF(TODAY()&gt;$J2917,"Atrasado","En ruta"),IF($K2917&lt;=$J2917,"Sí","No")))</f>
        <v/>
      </c>
      <c r="N2917" s="23">
        <f>IF($A2917="","",COUNTIFS(NOVEDADES!$C$4:$C$1503,$A2917))</f>
        <v/>
      </c>
      <c r="O2917" s="27">
        <f>IF($A2917="","",IF(COUNTIFS(NOVEDADES!$C$4:$C$1503,$A2917,NOVEDADES!$M$4:$M$1503,"SÍ")&gt;0,"No","Sí"))</f>
        <v/>
      </c>
      <c r="P2917" s="27">
        <f>IF(OR($A2917="",$K2917=""),"",IF(AND($M2917="Sí",$O2917="Sí"),"OTIF","Falló"))</f>
        <v/>
      </c>
    </row>
    <row r="2918" ht="16" customHeight="1">
      <c r="A2918" s="47" t="n"/>
      <c r="B2918" s="46" t="n"/>
      <c r="C2918" s="49" t="n"/>
      <c r="D2918" s="49" t="n"/>
      <c r="E2918" s="49" t="n"/>
      <c r="F2918" s="49" t="n"/>
      <c r="G2918" s="47" t="n"/>
      <c r="H2918" s="50" t="n"/>
      <c r="I2918" s="51" t="n"/>
      <c r="J2918" s="46" t="n"/>
      <c r="K2918" s="46" t="n"/>
      <c r="L2918" s="23">
        <f>IF(OR($A2918="",$B2918=""),"",IF($K2918&lt;&gt;"",$K2918-$B2918,TODAY()-$B2918))</f>
        <v/>
      </c>
      <c r="M2918" s="27">
        <f>IF(OR($A2918="",$J2918=""),"",IF($K2918="",IF(TODAY()&gt;$J2918,"Atrasado","En ruta"),IF($K2918&lt;=$J2918,"Sí","No")))</f>
        <v/>
      </c>
      <c r="N2918" s="23">
        <f>IF($A2918="","",COUNTIFS(NOVEDADES!$C$4:$C$1503,$A2918))</f>
        <v/>
      </c>
      <c r="O2918" s="27">
        <f>IF($A2918="","",IF(COUNTIFS(NOVEDADES!$C$4:$C$1503,$A2918,NOVEDADES!$M$4:$M$1503,"SÍ")&gt;0,"No","Sí"))</f>
        <v/>
      </c>
      <c r="P2918" s="27">
        <f>IF(OR($A2918="",$K2918=""),"",IF(AND($M2918="Sí",$O2918="Sí"),"OTIF","Falló"))</f>
        <v/>
      </c>
    </row>
    <row r="2919" ht="16" customHeight="1">
      <c r="A2919" s="47" t="n"/>
      <c r="B2919" s="46" t="n"/>
      <c r="C2919" s="49" t="n"/>
      <c r="D2919" s="49" t="n"/>
      <c r="E2919" s="49" t="n"/>
      <c r="F2919" s="49" t="n"/>
      <c r="G2919" s="47" t="n"/>
      <c r="H2919" s="50" t="n"/>
      <c r="I2919" s="51" t="n"/>
      <c r="J2919" s="46" t="n"/>
      <c r="K2919" s="46" t="n"/>
      <c r="L2919" s="23">
        <f>IF(OR($A2919="",$B2919=""),"",IF($K2919&lt;&gt;"",$K2919-$B2919,TODAY()-$B2919))</f>
        <v/>
      </c>
      <c r="M2919" s="27">
        <f>IF(OR($A2919="",$J2919=""),"",IF($K2919="",IF(TODAY()&gt;$J2919,"Atrasado","En ruta"),IF($K2919&lt;=$J2919,"Sí","No")))</f>
        <v/>
      </c>
      <c r="N2919" s="23">
        <f>IF($A2919="","",COUNTIFS(NOVEDADES!$C$4:$C$1503,$A2919))</f>
        <v/>
      </c>
      <c r="O2919" s="27">
        <f>IF($A2919="","",IF(COUNTIFS(NOVEDADES!$C$4:$C$1503,$A2919,NOVEDADES!$M$4:$M$1503,"SÍ")&gt;0,"No","Sí"))</f>
        <v/>
      </c>
      <c r="P2919" s="27">
        <f>IF(OR($A2919="",$K2919=""),"",IF(AND($M2919="Sí",$O2919="Sí"),"OTIF","Falló"))</f>
        <v/>
      </c>
    </row>
    <row r="2920" ht="16" customHeight="1">
      <c r="A2920" s="47" t="n"/>
      <c r="B2920" s="46" t="n"/>
      <c r="C2920" s="49" t="n"/>
      <c r="D2920" s="49" t="n"/>
      <c r="E2920" s="49" t="n"/>
      <c r="F2920" s="49" t="n"/>
      <c r="G2920" s="47" t="n"/>
      <c r="H2920" s="50" t="n"/>
      <c r="I2920" s="51" t="n"/>
      <c r="J2920" s="46" t="n"/>
      <c r="K2920" s="46" t="n"/>
      <c r="L2920" s="23">
        <f>IF(OR($A2920="",$B2920=""),"",IF($K2920&lt;&gt;"",$K2920-$B2920,TODAY()-$B2920))</f>
        <v/>
      </c>
      <c r="M2920" s="27">
        <f>IF(OR($A2920="",$J2920=""),"",IF($K2920="",IF(TODAY()&gt;$J2920,"Atrasado","En ruta"),IF($K2920&lt;=$J2920,"Sí","No")))</f>
        <v/>
      </c>
      <c r="N2920" s="23">
        <f>IF($A2920="","",COUNTIFS(NOVEDADES!$C$4:$C$1503,$A2920))</f>
        <v/>
      </c>
      <c r="O2920" s="27">
        <f>IF($A2920="","",IF(COUNTIFS(NOVEDADES!$C$4:$C$1503,$A2920,NOVEDADES!$M$4:$M$1503,"SÍ")&gt;0,"No","Sí"))</f>
        <v/>
      </c>
      <c r="P2920" s="27">
        <f>IF(OR($A2920="",$K2920=""),"",IF(AND($M2920="Sí",$O2920="Sí"),"OTIF","Falló"))</f>
        <v/>
      </c>
    </row>
    <row r="2921" ht="16" customHeight="1">
      <c r="A2921" s="47" t="n"/>
      <c r="B2921" s="46" t="n"/>
      <c r="C2921" s="49" t="n"/>
      <c r="D2921" s="49" t="n"/>
      <c r="E2921" s="49" t="n"/>
      <c r="F2921" s="49" t="n"/>
      <c r="G2921" s="47" t="n"/>
      <c r="H2921" s="50" t="n"/>
      <c r="I2921" s="51" t="n"/>
      <c r="J2921" s="46" t="n"/>
      <c r="K2921" s="46" t="n"/>
      <c r="L2921" s="23">
        <f>IF(OR($A2921="",$B2921=""),"",IF($K2921&lt;&gt;"",$K2921-$B2921,TODAY()-$B2921))</f>
        <v/>
      </c>
      <c r="M2921" s="27">
        <f>IF(OR($A2921="",$J2921=""),"",IF($K2921="",IF(TODAY()&gt;$J2921,"Atrasado","En ruta"),IF($K2921&lt;=$J2921,"Sí","No")))</f>
        <v/>
      </c>
      <c r="N2921" s="23">
        <f>IF($A2921="","",COUNTIFS(NOVEDADES!$C$4:$C$1503,$A2921))</f>
        <v/>
      </c>
      <c r="O2921" s="27">
        <f>IF($A2921="","",IF(COUNTIFS(NOVEDADES!$C$4:$C$1503,$A2921,NOVEDADES!$M$4:$M$1503,"SÍ")&gt;0,"No","Sí"))</f>
        <v/>
      </c>
      <c r="P2921" s="27">
        <f>IF(OR($A2921="",$K2921=""),"",IF(AND($M2921="Sí",$O2921="Sí"),"OTIF","Falló"))</f>
        <v/>
      </c>
    </row>
    <row r="2922" ht="16" customHeight="1">
      <c r="A2922" s="47" t="n"/>
      <c r="B2922" s="46" t="n"/>
      <c r="C2922" s="49" t="n"/>
      <c r="D2922" s="49" t="n"/>
      <c r="E2922" s="49" t="n"/>
      <c r="F2922" s="49" t="n"/>
      <c r="G2922" s="47" t="n"/>
      <c r="H2922" s="50" t="n"/>
      <c r="I2922" s="51" t="n"/>
      <c r="J2922" s="46" t="n"/>
      <c r="K2922" s="46" t="n"/>
      <c r="L2922" s="23">
        <f>IF(OR($A2922="",$B2922=""),"",IF($K2922&lt;&gt;"",$K2922-$B2922,TODAY()-$B2922))</f>
        <v/>
      </c>
      <c r="M2922" s="27">
        <f>IF(OR($A2922="",$J2922=""),"",IF($K2922="",IF(TODAY()&gt;$J2922,"Atrasado","En ruta"),IF($K2922&lt;=$J2922,"Sí","No")))</f>
        <v/>
      </c>
      <c r="N2922" s="23">
        <f>IF($A2922="","",COUNTIFS(NOVEDADES!$C$4:$C$1503,$A2922))</f>
        <v/>
      </c>
      <c r="O2922" s="27">
        <f>IF($A2922="","",IF(COUNTIFS(NOVEDADES!$C$4:$C$1503,$A2922,NOVEDADES!$M$4:$M$1503,"SÍ")&gt;0,"No","Sí"))</f>
        <v/>
      </c>
      <c r="P2922" s="27">
        <f>IF(OR($A2922="",$K2922=""),"",IF(AND($M2922="Sí",$O2922="Sí"),"OTIF","Falló"))</f>
        <v/>
      </c>
    </row>
    <row r="2923" ht="16" customHeight="1">
      <c r="A2923" s="47" t="n"/>
      <c r="B2923" s="46" t="n"/>
      <c r="C2923" s="49" t="n"/>
      <c r="D2923" s="49" t="n"/>
      <c r="E2923" s="49" t="n"/>
      <c r="F2923" s="49" t="n"/>
      <c r="G2923" s="47" t="n"/>
      <c r="H2923" s="50" t="n"/>
      <c r="I2923" s="51" t="n"/>
      <c r="J2923" s="46" t="n"/>
      <c r="K2923" s="46" t="n"/>
      <c r="L2923" s="23">
        <f>IF(OR($A2923="",$B2923=""),"",IF($K2923&lt;&gt;"",$K2923-$B2923,TODAY()-$B2923))</f>
        <v/>
      </c>
      <c r="M2923" s="27">
        <f>IF(OR($A2923="",$J2923=""),"",IF($K2923="",IF(TODAY()&gt;$J2923,"Atrasado","En ruta"),IF($K2923&lt;=$J2923,"Sí","No")))</f>
        <v/>
      </c>
      <c r="N2923" s="23">
        <f>IF($A2923="","",COUNTIFS(NOVEDADES!$C$4:$C$1503,$A2923))</f>
        <v/>
      </c>
      <c r="O2923" s="27">
        <f>IF($A2923="","",IF(COUNTIFS(NOVEDADES!$C$4:$C$1503,$A2923,NOVEDADES!$M$4:$M$1503,"SÍ")&gt;0,"No","Sí"))</f>
        <v/>
      </c>
      <c r="P2923" s="27">
        <f>IF(OR($A2923="",$K2923=""),"",IF(AND($M2923="Sí",$O2923="Sí"),"OTIF","Falló"))</f>
        <v/>
      </c>
    </row>
    <row r="2924" ht="16" customHeight="1">
      <c r="A2924" s="47" t="n"/>
      <c r="B2924" s="46" t="n"/>
      <c r="C2924" s="49" t="n"/>
      <c r="D2924" s="49" t="n"/>
      <c r="E2924" s="49" t="n"/>
      <c r="F2924" s="49" t="n"/>
      <c r="G2924" s="47" t="n"/>
      <c r="H2924" s="50" t="n"/>
      <c r="I2924" s="51" t="n"/>
      <c r="J2924" s="46" t="n"/>
      <c r="K2924" s="46" t="n"/>
      <c r="L2924" s="23">
        <f>IF(OR($A2924="",$B2924=""),"",IF($K2924&lt;&gt;"",$K2924-$B2924,TODAY()-$B2924))</f>
        <v/>
      </c>
      <c r="M2924" s="27">
        <f>IF(OR($A2924="",$J2924=""),"",IF($K2924="",IF(TODAY()&gt;$J2924,"Atrasado","En ruta"),IF($K2924&lt;=$J2924,"Sí","No")))</f>
        <v/>
      </c>
      <c r="N2924" s="23">
        <f>IF($A2924="","",COUNTIFS(NOVEDADES!$C$4:$C$1503,$A2924))</f>
        <v/>
      </c>
      <c r="O2924" s="27">
        <f>IF($A2924="","",IF(COUNTIFS(NOVEDADES!$C$4:$C$1503,$A2924,NOVEDADES!$M$4:$M$1503,"SÍ")&gt;0,"No","Sí"))</f>
        <v/>
      </c>
      <c r="P2924" s="27">
        <f>IF(OR($A2924="",$K2924=""),"",IF(AND($M2924="Sí",$O2924="Sí"),"OTIF","Falló"))</f>
        <v/>
      </c>
    </row>
    <row r="2925" ht="16" customHeight="1">
      <c r="A2925" s="47" t="n"/>
      <c r="B2925" s="46" t="n"/>
      <c r="C2925" s="49" t="n"/>
      <c r="D2925" s="49" t="n"/>
      <c r="E2925" s="49" t="n"/>
      <c r="F2925" s="49" t="n"/>
      <c r="G2925" s="47" t="n"/>
      <c r="H2925" s="50" t="n"/>
      <c r="I2925" s="51" t="n"/>
      <c r="J2925" s="46" t="n"/>
      <c r="K2925" s="46" t="n"/>
      <c r="L2925" s="23">
        <f>IF(OR($A2925="",$B2925=""),"",IF($K2925&lt;&gt;"",$K2925-$B2925,TODAY()-$B2925))</f>
        <v/>
      </c>
      <c r="M2925" s="27">
        <f>IF(OR($A2925="",$J2925=""),"",IF($K2925="",IF(TODAY()&gt;$J2925,"Atrasado","En ruta"),IF($K2925&lt;=$J2925,"Sí","No")))</f>
        <v/>
      </c>
      <c r="N2925" s="23">
        <f>IF($A2925="","",COUNTIFS(NOVEDADES!$C$4:$C$1503,$A2925))</f>
        <v/>
      </c>
      <c r="O2925" s="27">
        <f>IF($A2925="","",IF(COUNTIFS(NOVEDADES!$C$4:$C$1503,$A2925,NOVEDADES!$M$4:$M$1503,"SÍ")&gt;0,"No","Sí"))</f>
        <v/>
      </c>
      <c r="P2925" s="27">
        <f>IF(OR($A2925="",$K2925=""),"",IF(AND($M2925="Sí",$O2925="Sí"),"OTIF","Falló"))</f>
        <v/>
      </c>
    </row>
    <row r="2926" ht="16" customHeight="1">
      <c r="A2926" s="47" t="n"/>
      <c r="B2926" s="46" t="n"/>
      <c r="C2926" s="49" t="n"/>
      <c r="D2926" s="49" t="n"/>
      <c r="E2926" s="49" t="n"/>
      <c r="F2926" s="49" t="n"/>
      <c r="G2926" s="47" t="n"/>
      <c r="H2926" s="50" t="n"/>
      <c r="I2926" s="51" t="n"/>
      <c r="J2926" s="46" t="n"/>
      <c r="K2926" s="46" t="n"/>
      <c r="L2926" s="23">
        <f>IF(OR($A2926="",$B2926=""),"",IF($K2926&lt;&gt;"",$K2926-$B2926,TODAY()-$B2926))</f>
        <v/>
      </c>
      <c r="M2926" s="27">
        <f>IF(OR($A2926="",$J2926=""),"",IF($K2926="",IF(TODAY()&gt;$J2926,"Atrasado","En ruta"),IF($K2926&lt;=$J2926,"Sí","No")))</f>
        <v/>
      </c>
      <c r="N2926" s="23">
        <f>IF($A2926="","",COUNTIFS(NOVEDADES!$C$4:$C$1503,$A2926))</f>
        <v/>
      </c>
      <c r="O2926" s="27">
        <f>IF($A2926="","",IF(COUNTIFS(NOVEDADES!$C$4:$C$1503,$A2926,NOVEDADES!$M$4:$M$1503,"SÍ")&gt;0,"No","Sí"))</f>
        <v/>
      </c>
      <c r="P2926" s="27">
        <f>IF(OR($A2926="",$K2926=""),"",IF(AND($M2926="Sí",$O2926="Sí"),"OTIF","Falló"))</f>
        <v/>
      </c>
    </row>
    <row r="2927" ht="16" customHeight="1">
      <c r="A2927" s="47" t="n"/>
      <c r="B2927" s="46" t="n"/>
      <c r="C2927" s="49" t="n"/>
      <c r="D2927" s="49" t="n"/>
      <c r="E2927" s="49" t="n"/>
      <c r="F2927" s="49" t="n"/>
      <c r="G2927" s="47" t="n"/>
      <c r="H2927" s="50" t="n"/>
      <c r="I2927" s="51" t="n"/>
      <c r="J2927" s="46" t="n"/>
      <c r="K2927" s="46" t="n"/>
      <c r="L2927" s="23">
        <f>IF(OR($A2927="",$B2927=""),"",IF($K2927&lt;&gt;"",$K2927-$B2927,TODAY()-$B2927))</f>
        <v/>
      </c>
      <c r="M2927" s="27">
        <f>IF(OR($A2927="",$J2927=""),"",IF($K2927="",IF(TODAY()&gt;$J2927,"Atrasado","En ruta"),IF($K2927&lt;=$J2927,"Sí","No")))</f>
        <v/>
      </c>
      <c r="N2927" s="23">
        <f>IF($A2927="","",COUNTIFS(NOVEDADES!$C$4:$C$1503,$A2927))</f>
        <v/>
      </c>
      <c r="O2927" s="27">
        <f>IF($A2927="","",IF(COUNTIFS(NOVEDADES!$C$4:$C$1503,$A2927,NOVEDADES!$M$4:$M$1503,"SÍ")&gt;0,"No","Sí"))</f>
        <v/>
      </c>
      <c r="P2927" s="27">
        <f>IF(OR($A2927="",$K2927=""),"",IF(AND($M2927="Sí",$O2927="Sí"),"OTIF","Falló"))</f>
        <v/>
      </c>
    </row>
    <row r="2928" ht="16" customHeight="1">
      <c r="A2928" s="47" t="n"/>
      <c r="B2928" s="46" t="n"/>
      <c r="C2928" s="49" t="n"/>
      <c r="D2928" s="49" t="n"/>
      <c r="E2928" s="49" t="n"/>
      <c r="F2928" s="49" t="n"/>
      <c r="G2928" s="47" t="n"/>
      <c r="H2928" s="50" t="n"/>
      <c r="I2928" s="51" t="n"/>
      <c r="J2928" s="46" t="n"/>
      <c r="K2928" s="46" t="n"/>
      <c r="L2928" s="23">
        <f>IF(OR($A2928="",$B2928=""),"",IF($K2928&lt;&gt;"",$K2928-$B2928,TODAY()-$B2928))</f>
        <v/>
      </c>
      <c r="M2928" s="27">
        <f>IF(OR($A2928="",$J2928=""),"",IF($K2928="",IF(TODAY()&gt;$J2928,"Atrasado","En ruta"),IF($K2928&lt;=$J2928,"Sí","No")))</f>
        <v/>
      </c>
      <c r="N2928" s="23">
        <f>IF($A2928="","",COUNTIFS(NOVEDADES!$C$4:$C$1503,$A2928))</f>
        <v/>
      </c>
      <c r="O2928" s="27">
        <f>IF($A2928="","",IF(COUNTIFS(NOVEDADES!$C$4:$C$1503,$A2928,NOVEDADES!$M$4:$M$1503,"SÍ")&gt;0,"No","Sí"))</f>
        <v/>
      </c>
      <c r="P2928" s="27">
        <f>IF(OR($A2928="",$K2928=""),"",IF(AND($M2928="Sí",$O2928="Sí"),"OTIF","Falló"))</f>
        <v/>
      </c>
    </row>
    <row r="2929" ht="16" customHeight="1">
      <c r="A2929" s="47" t="n"/>
      <c r="B2929" s="46" t="n"/>
      <c r="C2929" s="49" t="n"/>
      <c r="D2929" s="49" t="n"/>
      <c r="E2929" s="49" t="n"/>
      <c r="F2929" s="49" t="n"/>
      <c r="G2929" s="47" t="n"/>
      <c r="H2929" s="50" t="n"/>
      <c r="I2929" s="51" t="n"/>
      <c r="J2929" s="46" t="n"/>
      <c r="K2929" s="46" t="n"/>
      <c r="L2929" s="23">
        <f>IF(OR($A2929="",$B2929=""),"",IF($K2929&lt;&gt;"",$K2929-$B2929,TODAY()-$B2929))</f>
        <v/>
      </c>
      <c r="M2929" s="27">
        <f>IF(OR($A2929="",$J2929=""),"",IF($K2929="",IF(TODAY()&gt;$J2929,"Atrasado","En ruta"),IF($K2929&lt;=$J2929,"Sí","No")))</f>
        <v/>
      </c>
      <c r="N2929" s="23">
        <f>IF($A2929="","",COUNTIFS(NOVEDADES!$C$4:$C$1503,$A2929))</f>
        <v/>
      </c>
      <c r="O2929" s="27">
        <f>IF($A2929="","",IF(COUNTIFS(NOVEDADES!$C$4:$C$1503,$A2929,NOVEDADES!$M$4:$M$1503,"SÍ")&gt;0,"No","Sí"))</f>
        <v/>
      </c>
      <c r="P2929" s="27">
        <f>IF(OR($A2929="",$K2929=""),"",IF(AND($M2929="Sí",$O2929="Sí"),"OTIF","Falló"))</f>
        <v/>
      </c>
    </row>
    <row r="2930" ht="16" customHeight="1">
      <c r="A2930" s="47" t="n"/>
      <c r="B2930" s="46" t="n"/>
      <c r="C2930" s="49" t="n"/>
      <c r="D2930" s="49" t="n"/>
      <c r="E2930" s="49" t="n"/>
      <c r="F2930" s="49" t="n"/>
      <c r="G2930" s="47" t="n"/>
      <c r="H2930" s="50" t="n"/>
      <c r="I2930" s="51" t="n"/>
      <c r="J2930" s="46" t="n"/>
      <c r="K2930" s="46" t="n"/>
      <c r="L2930" s="23">
        <f>IF(OR($A2930="",$B2930=""),"",IF($K2930&lt;&gt;"",$K2930-$B2930,TODAY()-$B2930))</f>
        <v/>
      </c>
      <c r="M2930" s="27">
        <f>IF(OR($A2930="",$J2930=""),"",IF($K2930="",IF(TODAY()&gt;$J2930,"Atrasado","En ruta"),IF($K2930&lt;=$J2930,"Sí","No")))</f>
        <v/>
      </c>
      <c r="N2930" s="23">
        <f>IF($A2930="","",COUNTIFS(NOVEDADES!$C$4:$C$1503,$A2930))</f>
        <v/>
      </c>
      <c r="O2930" s="27">
        <f>IF($A2930="","",IF(COUNTIFS(NOVEDADES!$C$4:$C$1503,$A2930,NOVEDADES!$M$4:$M$1503,"SÍ")&gt;0,"No","Sí"))</f>
        <v/>
      </c>
      <c r="P2930" s="27">
        <f>IF(OR($A2930="",$K2930=""),"",IF(AND($M2930="Sí",$O2930="Sí"),"OTIF","Falló"))</f>
        <v/>
      </c>
    </row>
    <row r="2931" ht="16" customHeight="1">
      <c r="A2931" s="47" t="n"/>
      <c r="B2931" s="46" t="n"/>
      <c r="C2931" s="49" t="n"/>
      <c r="D2931" s="49" t="n"/>
      <c r="E2931" s="49" t="n"/>
      <c r="F2931" s="49" t="n"/>
      <c r="G2931" s="47" t="n"/>
      <c r="H2931" s="50" t="n"/>
      <c r="I2931" s="51" t="n"/>
      <c r="J2931" s="46" t="n"/>
      <c r="K2931" s="46" t="n"/>
      <c r="L2931" s="23">
        <f>IF(OR($A2931="",$B2931=""),"",IF($K2931&lt;&gt;"",$K2931-$B2931,TODAY()-$B2931))</f>
        <v/>
      </c>
      <c r="M2931" s="27">
        <f>IF(OR($A2931="",$J2931=""),"",IF($K2931="",IF(TODAY()&gt;$J2931,"Atrasado","En ruta"),IF($K2931&lt;=$J2931,"Sí","No")))</f>
        <v/>
      </c>
      <c r="N2931" s="23">
        <f>IF($A2931="","",COUNTIFS(NOVEDADES!$C$4:$C$1503,$A2931))</f>
        <v/>
      </c>
      <c r="O2931" s="27">
        <f>IF($A2931="","",IF(COUNTIFS(NOVEDADES!$C$4:$C$1503,$A2931,NOVEDADES!$M$4:$M$1503,"SÍ")&gt;0,"No","Sí"))</f>
        <v/>
      </c>
      <c r="P2931" s="27">
        <f>IF(OR($A2931="",$K2931=""),"",IF(AND($M2931="Sí",$O2931="Sí"),"OTIF","Falló"))</f>
        <v/>
      </c>
    </row>
    <row r="2932" ht="16" customHeight="1">
      <c r="A2932" s="47" t="n"/>
      <c r="B2932" s="46" t="n"/>
      <c r="C2932" s="49" t="n"/>
      <c r="D2932" s="49" t="n"/>
      <c r="E2932" s="49" t="n"/>
      <c r="F2932" s="49" t="n"/>
      <c r="G2932" s="47" t="n"/>
      <c r="H2932" s="50" t="n"/>
      <c r="I2932" s="51" t="n"/>
      <c r="J2932" s="46" t="n"/>
      <c r="K2932" s="46" t="n"/>
      <c r="L2932" s="23">
        <f>IF(OR($A2932="",$B2932=""),"",IF($K2932&lt;&gt;"",$K2932-$B2932,TODAY()-$B2932))</f>
        <v/>
      </c>
      <c r="M2932" s="27">
        <f>IF(OR($A2932="",$J2932=""),"",IF($K2932="",IF(TODAY()&gt;$J2932,"Atrasado","En ruta"),IF($K2932&lt;=$J2932,"Sí","No")))</f>
        <v/>
      </c>
      <c r="N2932" s="23">
        <f>IF($A2932="","",COUNTIFS(NOVEDADES!$C$4:$C$1503,$A2932))</f>
        <v/>
      </c>
      <c r="O2932" s="27">
        <f>IF($A2932="","",IF(COUNTIFS(NOVEDADES!$C$4:$C$1503,$A2932,NOVEDADES!$M$4:$M$1503,"SÍ")&gt;0,"No","Sí"))</f>
        <v/>
      </c>
      <c r="P2932" s="27">
        <f>IF(OR($A2932="",$K2932=""),"",IF(AND($M2932="Sí",$O2932="Sí"),"OTIF","Falló"))</f>
        <v/>
      </c>
    </row>
    <row r="2933" ht="16" customHeight="1">
      <c r="A2933" s="47" t="n"/>
      <c r="B2933" s="46" t="n"/>
      <c r="C2933" s="49" t="n"/>
      <c r="D2933" s="49" t="n"/>
      <c r="E2933" s="49" t="n"/>
      <c r="F2933" s="49" t="n"/>
      <c r="G2933" s="47" t="n"/>
      <c r="H2933" s="50" t="n"/>
      <c r="I2933" s="51" t="n"/>
      <c r="J2933" s="46" t="n"/>
      <c r="K2933" s="46" t="n"/>
      <c r="L2933" s="23">
        <f>IF(OR($A2933="",$B2933=""),"",IF($K2933&lt;&gt;"",$K2933-$B2933,TODAY()-$B2933))</f>
        <v/>
      </c>
      <c r="M2933" s="27">
        <f>IF(OR($A2933="",$J2933=""),"",IF($K2933="",IF(TODAY()&gt;$J2933,"Atrasado","En ruta"),IF($K2933&lt;=$J2933,"Sí","No")))</f>
        <v/>
      </c>
      <c r="N2933" s="23">
        <f>IF($A2933="","",COUNTIFS(NOVEDADES!$C$4:$C$1503,$A2933))</f>
        <v/>
      </c>
      <c r="O2933" s="27">
        <f>IF($A2933="","",IF(COUNTIFS(NOVEDADES!$C$4:$C$1503,$A2933,NOVEDADES!$M$4:$M$1503,"SÍ")&gt;0,"No","Sí"))</f>
        <v/>
      </c>
      <c r="P2933" s="27">
        <f>IF(OR($A2933="",$K2933=""),"",IF(AND($M2933="Sí",$O2933="Sí"),"OTIF","Falló"))</f>
        <v/>
      </c>
    </row>
    <row r="2934" ht="16" customHeight="1">
      <c r="A2934" s="47" t="n"/>
      <c r="B2934" s="46" t="n"/>
      <c r="C2934" s="49" t="n"/>
      <c r="D2934" s="49" t="n"/>
      <c r="E2934" s="49" t="n"/>
      <c r="F2934" s="49" t="n"/>
      <c r="G2934" s="47" t="n"/>
      <c r="H2934" s="50" t="n"/>
      <c r="I2934" s="51" t="n"/>
      <c r="J2934" s="46" t="n"/>
      <c r="K2934" s="46" t="n"/>
      <c r="L2934" s="23">
        <f>IF(OR($A2934="",$B2934=""),"",IF($K2934&lt;&gt;"",$K2934-$B2934,TODAY()-$B2934))</f>
        <v/>
      </c>
      <c r="M2934" s="27">
        <f>IF(OR($A2934="",$J2934=""),"",IF($K2934="",IF(TODAY()&gt;$J2934,"Atrasado","En ruta"),IF($K2934&lt;=$J2934,"Sí","No")))</f>
        <v/>
      </c>
      <c r="N2934" s="23">
        <f>IF($A2934="","",COUNTIFS(NOVEDADES!$C$4:$C$1503,$A2934))</f>
        <v/>
      </c>
      <c r="O2934" s="27">
        <f>IF($A2934="","",IF(COUNTIFS(NOVEDADES!$C$4:$C$1503,$A2934,NOVEDADES!$M$4:$M$1503,"SÍ")&gt;0,"No","Sí"))</f>
        <v/>
      </c>
      <c r="P2934" s="27">
        <f>IF(OR($A2934="",$K2934=""),"",IF(AND($M2934="Sí",$O2934="Sí"),"OTIF","Falló"))</f>
        <v/>
      </c>
    </row>
    <row r="2935" ht="16" customHeight="1">
      <c r="A2935" s="47" t="n"/>
      <c r="B2935" s="46" t="n"/>
      <c r="C2935" s="49" t="n"/>
      <c r="D2935" s="49" t="n"/>
      <c r="E2935" s="49" t="n"/>
      <c r="F2935" s="49" t="n"/>
      <c r="G2935" s="47" t="n"/>
      <c r="H2935" s="50" t="n"/>
      <c r="I2935" s="51" t="n"/>
      <c r="J2935" s="46" t="n"/>
      <c r="K2935" s="46" t="n"/>
      <c r="L2935" s="23">
        <f>IF(OR($A2935="",$B2935=""),"",IF($K2935&lt;&gt;"",$K2935-$B2935,TODAY()-$B2935))</f>
        <v/>
      </c>
      <c r="M2935" s="27">
        <f>IF(OR($A2935="",$J2935=""),"",IF($K2935="",IF(TODAY()&gt;$J2935,"Atrasado","En ruta"),IF($K2935&lt;=$J2935,"Sí","No")))</f>
        <v/>
      </c>
      <c r="N2935" s="23">
        <f>IF($A2935="","",COUNTIFS(NOVEDADES!$C$4:$C$1503,$A2935))</f>
        <v/>
      </c>
      <c r="O2935" s="27">
        <f>IF($A2935="","",IF(COUNTIFS(NOVEDADES!$C$4:$C$1503,$A2935,NOVEDADES!$M$4:$M$1503,"SÍ")&gt;0,"No","Sí"))</f>
        <v/>
      </c>
      <c r="P2935" s="27">
        <f>IF(OR($A2935="",$K2935=""),"",IF(AND($M2935="Sí",$O2935="Sí"),"OTIF","Falló"))</f>
        <v/>
      </c>
    </row>
    <row r="2936" ht="16" customHeight="1">
      <c r="A2936" s="47" t="n"/>
      <c r="B2936" s="46" t="n"/>
      <c r="C2936" s="49" t="n"/>
      <c r="D2936" s="49" t="n"/>
      <c r="E2936" s="49" t="n"/>
      <c r="F2936" s="49" t="n"/>
      <c r="G2936" s="47" t="n"/>
      <c r="H2936" s="50" t="n"/>
      <c r="I2936" s="51" t="n"/>
      <c r="J2936" s="46" t="n"/>
      <c r="K2936" s="46" t="n"/>
      <c r="L2936" s="23">
        <f>IF(OR($A2936="",$B2936=""),"",IF($K2936&lt;&gt;"",$K2936-$B2936,TODAY()-$B2936))</f>
        <v/>
      </c>
      <c r="M2936" s="27">
        <f>IF(OR($A2936="",$J2936=""),"",IF($K2936="",IF(TODAY()&gt;$J2936,"Atrasado","En ruta"),IF($K2936&lt;=$J2936,"Sí","No")))</f>
        <v/>
      </c>
      <c r="N2936" s="23">
        <f>IF($A2936="","",COUNTIFS(NOVEDADES!$C$4:$C$1503,$A2936))</f>
        <v/>
      </c>
      <c r="O2936" s="27">
        <f>IF($A2936="","",IF(COUNTIFS(NOVEDADES!$C$4:$C$1503,$A2936,NOVEDADES!$M$4:$M$1503,"SÍ")&gt;0,"No","Sí"))</f>
        <v/>
      </c>
      <c r="P2936" s="27">
        <f>IF(OR($A2936="",$K2936=""),"",IF(AND($M2936="Sí",$O2936="Sí"),"OTIF","Falló"))</f>
        <v/>
      </c>
    </row>
    <row r="2937" ht="16" customHeight="1">
      <c r="A2937" s="47" t="n"/>
      <c r="B2937" s="46" t="n"/>
      <c r="C2937" s="49" t="n"/>
      <c r="D2937" s="49" t="n"/>
      <c r="E2937" s="49" t="n"/>
      <c r="F2937" s="49" t="n"/>
      <c r="G2937" s="47" t="n"/>
      <c r="H2937" s="50" t="n"/>
      <c r="I2937" s="51" t="n"/>
      <c r="J2937" s="46" t="n"/>
      <c r="K2937" s="46" t="n"/>
      <c r="L2937" s="23">
        <f>IF(OR($A2937="",$B2937=""),"",IF($K2937&lt;&gt;"",$K2937-$B2937,TODAY()-$B2937))</f>
        <v/>
      </c>
      <c r="M2937" s="27">
        <f>IF(OR($A2937="",$J2937=""),"",IF($K2937="",IF(TODAY()&gt;$J2937,"Atrasado","En ruta"),IF($K2937&lt;=$J2937,"Sí","No")))</f>
        <v/>
      </c>
      <c r="N2937" s="23">
        <f>IF($A2937="","",COUNTIFS(NOVEDADES!$C$4:$C$1503,$A2937))</f>
        <v/>
      </c>
      <c r="O2937" s="27">
        <f>IF($A2937="","",IF(COUNTIFS(NOVEDADES!$C$4:$C$1503,$A2937,NOVEDADES!$M$4:$M$1503,"SÍ")&gt;0,"No","Sí"))</f>
        <v/>
      </c>
      <c r="P2937" s="27">
        <f>IF(OR($A2937="",$K2937=""),"",IF(AND($M2937="Sí",$O2937="Sí"),"OTIF","Falló"))</f>
        <v/>
      </c>
    </row>
    <row r="2938" ht="16" customHeight="1">
      <c r="A2938" s="47" t="n"/>
      <c r="B2938" s="46" t="n"/>
      <c r="C2938" s="49" t="n"/>
      <c r="D2938" s="49" t="n"/>
      <c r="E2938" s="49" t="n"/>
      <c r="F2938" s="49" t="n"/>
      <c r="G2938" s="47" t="n"/>
      <c r="H2938" s="50" t="n"/>
      <c r="I2938" s="51" t="n"/>
      <c r="J2938" s="46" t="n"/>
      <c r="K2938" s="46" t="n"/>
      <c r="L2938" s="23">
        <f>IF(OR($A2938="",$B2938=""),"",IF($K2938&lt;&gt;"",$K2938-$B2938,TODAY()-$B2938))</f>
        <v/>
      </c>
      <c r="M2938" s="27">
        <f>IF(OR($A2938="",$J2938=""),"",IF($K2938="",IF(TODAY()&gt;$J2938,"Atrasado","En ruta"),IF($K2938&lt;=$J2938,"Sí","No")))</f>
        <v/>
      </c>
      <c r="N2938" s="23">
        <f>IF($A2938="","",COUNTIFS(NOVEDADES!$C$4:$C$1503,$A2938))</f>
        <v/>
      </c>
      <c r="O2938" s="27">
        <f>IF($A2938="","",IF(COUNTIFS(NOVEDADES!$C$4:$C$1503,$A2938,NOVEDADES!$M$4:$M$1503,"SÍ")&gt;0,"No","Sí"))</f>
        <v/>
      </c>
      <c r="P2938" s="27">
        <f>IF(OR($A2938="",$K2938=""),"",IF(AND($M2938="Sí",$O2938="Sí"),"OTIF","Falló"))</f>
        <v/>
      </c>
    </row>
    <row r="2939" ht="16" customHeight="1">
      <c r="A2939" s="47" t="n"/>
      <c r="B2939" s="46" t="n"/>
      <c r="C2939" s="49" t="n"/>
      <c r="D2939" s="49" t="n"/>
      <c r="E2939" s="49" t="n"/>
      <c r="F2939" s="49" t="n"/>
      <c r="G2939" s="47" t="n"/>
      <c r="H2939" s="50" t="n"/>
      <c r="I2939" s="51" t="n"/>
      <c r="J2939" s="46" t="n"/>
      <c r="K2939" s="46" t="n"/>
      <c r="L2939" s="23">
        <f>IF(OR($A2939="",$B2939=""),"",IF($K2939&lt;&gt;"",$K2939-$B2939,TODAY()-$B2939))</f>
        <v/>
      </c>
      <c r="M2939" s="27">
        <f>IF(OR($A2939="",$J2939=""),"",IF($K2939="",IF(TODAY()&gt;$J2939,"Atrasado","En ruta"),IF($K2939&lt;=$J2939,"Sí","No")))</f>
        <v/>
      </c>
      <c r="N2939" s="23">
        <f>IF($A2939="","",COUNTIFS(NOVEDADES!$C$4:$C$1503,$A2939))</f>
        <v/>
      </c>
      <c r="O2939" s="27">
        <f>IF($A2939="","",IF(COUNTIFS(NOVEDADES!$C$4:$C$1503,$A2939,NOVEDADES!$M$4:$M$1503,"SÍ")&gt;0,"No","Sí"))</f>
        <v/>
      </c>
      <c r="P2939" s="27">
        <f>IF(OR($A2939="",$K2939=""),"",IF(AND($M2939="Sí",$O2939="Sí"),"OTIF","Falló"))</f>
        <v/>
      </c>
    </row>
    <row r="2940" ht="16" customHeight="1">
      <c r="A2940" s="47" t="n"/>
      <c r="B2940" s="46" t="n"/>
      <c r="C2940" s="49" t="n"/>
      <c r="D2940" s="49" t="n"/>
      <c r="E2940" s="49" t="n"/>
      <c r="F2940" s="49" t="n"/>
      <c r="G2940" s="47" t="n"/>
      <c r="H2940" s="50" t="n"/>
      <c r="I2940" s="51" t="n"/>
      <c r="J2940" s="46" t="n"/>
      <c r="K2940" s="46" t="n"/>
      <c r="L2940" s="23">
        <f>IF(OR($A2940="",$B2940=""),"",IF($K2940&lt;&gt;"",$K2940-$B2940,TODAY()-$B2940))</f>
        <v/>
      </c>
      <c r="M2940" s="27">
        <f>IF(OR($A2940="",$J2940=""),"",IF($K2940="",IF(TODAY()&gt;$J2940,"Atrasado","En ruta"),IF($K2940&lt;=$J2940,"Sí","No")))</f>
        <v/>
      </c>
      <c r="N2940" s="23">
        <f>IF($A2940="","",COUNTIFS(NOVEDADES!$C$4:$C$1503,$A2940))</f>
        <v/>
      </c>
      <c r="O2940" s="27">
        <f>IF($A2940="","",IF(COUNTIFS(NOVEDADES!$C$4:$C$1503,$A2940,NOVEDADES!$M$4:$M$1503,"SÍ")&gt;0,"No","Sí"))</f>
        <v/>
      </c>
      <c r="P2940" s="27">
        <f>IF(OR($A2940="",$K2940=""),"",IF(AND($M2940="Sí",$O2940="Sí"),"OTIF","Falló"))</f>
        <v/>
      </c>
    </row>
    <row r="2941" ht="16" customHeight="1">
      <c r="A2941" s="47" t="n"/>
      <c r="B2941" s="46" t="n"/>
      <c r="C2941" s="49" t="n"/>
      <c r="D2941" s="49" t="n"/>
      <c r="E2941" s="49" t="n"/>
      <c r="F2941" s="49" t="n"/>
      <c r="G2941" s="47" t="n"/>
      <c r="H2941" s="50" t="n"/>
      <c r="I2941" s="51" t="n"/>
      <c r="J2941" s="46" t="n"/>
      <c r="K2941" s="46" t="n"/>
      <c r="L2941" s="23">
        <f>IF(OR($A2941="",$B2941=""),"",IF($K2941&lt;&gt;"",$K2941-$B2941,TODAY()-$B2941))</f>
        <v/>
      </c>
      <c r="M2941" s="27">
        <f>IF(OR($A2941="",$J2941=""),"",IF($K2941="",IF(TODAY()&gt;$J2941,"Atrasado","En ruta"),IF($K2941&lt;=$J2941,"Sí","No")))</f>
        <v/>
      </c>
      <c r="N2941" s="23">
        <f>IF($A2941="","",COUNTIFS(NOVEDADES!$C$4:$C$1503,$A2941))</f>
        <v/>
      </c>
      <c r="O2941" s="27">
        <f>IF($A2941="","",IF(COUNTIFS(NOVEDADES!$C$4:$C$1503,$A2941,NOVEDADES!$M$4:$M$1503,"SÍ")&gt;0,"No","Sí"))</f>
        <v/>
      </c>
      <c r="P2941" s="27">
        <f>IF(OR($A2941="",$K2941=""),"",IF(AND($M2941="Sí",$O2941="Sí"),"OTIF","Falló"))</f>
        <v/>
      </c>
    </row>
    <row r="2942" ht="16" customHeight="1">
      <c r="A2942" s="47" t="n"/>
      <c r="B2942" s="46" t="n"/>
      <c r="C2942" s="49" t="n"/>
      <c r="D2942" s="49" t="n"/>
      <c r="E2942" s="49" t="n"/>
      <c r="F2942" s="49" t="n"/>
      <c r="G2942" s="47" t="n"/>
      <c r="H2942" s="50" t="n"/>
      <c r="I2942" s="51" t="n"/>
      <c r="J2942" s="46" t="n"/>
      <c r="K2942" s="46" t="n"/>
      <c r="L2942" s="23">
        <f>IF(OR($A2942="",$B2942=""),"",IF($K2942&lt;&gt;"",$K2942-$B2942,TODAY()-$B2942))</f>
        <v/>
      </c>
      <c r="M2942" s="27">
        <f>IF(OR($A2942="",$J2942=""),"",IF($K2942="",IF(TODAY()&gt;$J2942,"Atrasado","En ruta"),IF($K2942&lt;=$J2942,"Sí","No")))</f>
        <v/>
      </c>
      <c r="N2942" s="23">
        <f>IF($A2942="","",COUNTIFS(NOVEDADES!$C$4:$C$1503,$A2942))</f>
        <v/>
      </c>
      <c r="O2942" s="27">
        <f>IF($A2942="","",IF(COUNTIFS(NOVEDADES!$C$4:$C$1503,$A2942,NOVEDADES!$M$4:$M$1503,"SÍ")&gt;0,"No","Sí"))</f>
        <v/>
      </c>
      <c r="P2942" s="27">
        <f>IF(OR($A2942="",$K2942=""),"",IF(AND($M2942="Sí",$O2942="Sí"),"OTIF","Falló"))</f>
        <v/>
      </c>
    </row>
    <row r="2943" ht="16" customHeight="1">
      <c r="A2943" s="47" t="n"/>
      <c r="B2943" s="46" t="n"/>
      <c r="C2943" s="49" t="n"/>
      <c r="D2943" s="49" t="n"/>
      <c r="E2943" s="49" t="n"/>
      <c r="F2943" s="49" t="n"/>
      <c r="G2943" s="47" t="n"/>
      <c r="H2943" s="50" t="n"/>
      <c r="I2943" s="51" t="n"/>
      <c r="J2943" s="46" t="n"/>
      <c r="K2943" s="46" t="n"/>
      <c r="L2943" s="23">
        <f>IF(OR($A2943="",$B2943=""),"",IF($K2943&lt;&gt;"",$K2943-$B2943,TODAY()-$B2943))</f>
        <v/>
      </c>
      <c r="M2943" s="27">
        <f>IF(OR($A2943="",$J2943=""),"",IF($K2943="",IF(TODAY()&gt;$J2943,"Atrasado","En ruta"),IF($K2943&lt;=$J2943,"Sí","No")))</f>
        <v/>
      </c>
      <c r="N2943" s="23">
        <f>IF($A2943="","",COUNTIFS(NOVEDADES!$C$4:$C$1503,$A2943))</f>
        <v/>
      </c>
      <c r="O2943" s="27">
        <f>IF($A2943="","",IF(COUNTIFS(NOVEDADES!$C$4:$C$1503,$A2943,NOVEDADES!$M$4:$M$1503,"SÍ")&gt;0,"No","Sí"))</f>
        <v/>
      </c>
      <c r="P2943" s="27">
        <f>IF(OR($A2943="",$K2943=""),"",IF(AND($M2943="Sí",$O2943="Sí"),"OTIF","Falló"))</f>
        <v/>
      </c>
    </row>
    <row r="2944" ht="16" customHeight="1">
      <c r="A2944" s="47" t="n"/>
      <c r="B2944" s="46" t="n"/>
      <c r="C2944" s="49" t="n"/>
      <c r="D2944" s="49" t="n"/>
      <c r="E2944" s="49" t="n"/>
      <c r="F2944" s="49" t="n"/>
      <c r="G2944" s="47" t="n"/>
      <c r="H2944" s="50" t="n"/>
      <c r="I2944" s="51" t="n"/>
      <c r="J2944" s="46" t="n"/>
      <c r="K2944" s="46" t="n"/>
      <c r="L2944" s="23">
        <f>IF(OR($A2944="",$B2944=""),"",IF($K2944&lt;&gt;"",$K2944-$B2944,TODAY()-$B2944))</f>
        <v/>
      </c>
      <c r="M2944" s="27">
        <f>IF(OR($A2944="",$J2944=""),"",IF($K2944="",IF(TODAY()&gt;$J2944,"Atrasado","En ruta"),IF($K2944&lt;=$J2944,"Sí","No")))</f>
        <v/>
      </c>
      <c r="N2944" s="23">
        <f>IF($A2944="","",COUNTIFS(NOVEDADES!$C$4:$C$1503,$A2944))</f>
        <v/>
      </c>
      <c r="O2944" s="27">
        <f>IF($A2944="","",IF(COUNTIFS(NOVEDADES!$C$4:$C$1503,$A2944,NOVEDADES!$M$4:$M$1503,"SÍ")&gt;0,"No","Sí"))</f>
        <v/>
      </c>
      <c r="P2944" s="27">
        <f>IF(OR($A2944="",$K2944=""),"",IF(AND($M2944="Sí",$O2944="Sí"),"OTIF","Falló"))</f>
        <v/>
      </c>
    </row>
    <row r="2945" ht="16" customHeight="1">
      <c r="A2945" s="47" t="n"/>
      <c r="B2945" s="46" t="n"/>
      <c r="C2945" s="49" t="n"/>
      <c r="D2945" s="49" t="n"/>
      <c r="E2945" s="49" t="n"/>
      <c r="F2945" s="49" t="n"/>
      <c r="G2945" s="47" t="n"/>
      <c r="H2945" s="50" t="n"/>
      <c r="I2945" s="51" t="n"/>
      <c r="J2945" s="46" t="n"/>
      <c r="K2945" s="46" t="n"/>
      <c r="L2945" s="23">
        <f>IF(OR($A2945="",$B2945=""),"",IF($K2945&lt;&gt;"",$K2945-$B2945,TODAY()-$B2945))</f>
        <v/>
      </c>
      <c r="M2945" s="27">
        <f>IF(OR($A2945="",$J2945=""),"",IF($K2945="",IF(TODAY()&gt;$J2945,"Atrasado","En ruta"),IF($K2945&lt;=$J2945,"Sí","No")))</f>
        <v/>
      </c>
      <c r="N2945" s="23">
        <f>IF($A2945="","",COUNTIFS(NOVEDADES!$C$4:$C$1503,$A2945))</f>
        <v/>
      </c>
      <c r="O2945" s="27">
        <f>IF($A2945="","",IF(COUNTIFS(NOVEDADES!$C$4:$C$1503,$A2945,NOVEDADES!$M$4:$M$1503,"SÍ")&gt;0,"No","Sí"))</f>
        <v/>
      </c>
      <c r="P2945" s="27">
        <f>IF(OR($A2945="",$K2945=""),"",IF(AND($M2945="Sí",$O2945="Sí"),"OTIF","Falló"))</f>
        <v/>
      </c>
    </row>
    <row r="2946" ht="16" customHeight="1">
      <c r="A2946" s="47" t="n"/>
      <c r="B2946" s="46" t="n"/>
      <c r="C2946" s="49" t="n"/>
      <c r="D2946" s="49" t="n"/>
      <c r="E2946" s="49" t="n"/>
      <c r="F2946" s="49" t="n"/>
      <c r="G2946" s="47" t="n"/>
      <c r="H2946" s="50" t="n"/>
      <c r="I2946" s="51" t="n"/>
      <c r="J2946" s="46" t="n"/>
      <c r="K2946" s="46" t="n"/>
      <c r="L2946" s="23">
        <f>IF(OR($A2946="",$B2946=""),"",IF($K2946&lt;&gt;"",$K2946-$B2946,TODAY()-$B2946))</f>
        <v/>
      </c>
      <c r="M2946" s="27">
        <f>IF(OR($A2946="",$J2946=""),"",IF($K2946="",IF(TODAY()&gt;$J2946,"Atrasado","En ruta"),IF($K2946&lt;=$J2946,"Sí","No")))</f>
        <v/>
      </c>
      <c r="N2946" s="23">
        <f>IF($A2946="","",COUNTIFS(NOVEDADES!$C$4:$C$1503,$A2946))</f>
        <v/>
      </c>
      <c r="O2946" s="27">
        <f>IF($A2946="","",IF(COUNTIFS(NOVEDADES!$C$4:$C$1503,$A2946,NOVEDADES!$M$4:$M$1503,"SÍ")&gt;0,"No","Sí"))</f>
        <v/>
      </c>
      <c r="P2946" s="27">
        <f>IF(OR($A2946="",$K2946=""),"",IF(AND($M2946="Sí",$O2946="Sí"),"OTIF","Falló"))</f>
        <v/>
      </c>
    </row>
    <row r="2947" ht="16" customHeight="1">
      <c r="A2947" s="47" t="n"/>
      <c r="B2947" s="46" t="n"/>
      <c r="C2947" s="49" t="n"/>
      <c r="D2947" s="49" t="n"/>
      <c r="E2947" s="49" t="n"/>
      <c r="F2947" s="49" t="n"/>
      <c r="G2947" s="47" t="n"/>
      <c r="H2947" s="50" t="n"/>
      <c r="I2947" s="51" t="n"/>
      <c r="J2947" s="46" t="n"/>
      <c r="K2947" s="46" t="n"/>
      <c r="L2947" s="23">
        <f>IF(OR($A2947="",$B2947=""),"",IF($K2947&lt;&gt;"",$K2947-$B2947,TODAY()-$B2947))</f>
        <v/>
      </c>
      <c r="M2947" s="27">
        <f>IF(OR($A2947="",$J2947=""),"",IF($K2947="",IF(TODAY()&gt;$J2947,"Atrasado","En ruta"),IF($K2947&lt;=$J2947,"Sí","No")))</f>
        <v/>
      </c>
      <c r="N2947" s="23">
        <f>IF($A2947="","",COUNTIFS(NOVEDADES!$C$4:$C$1503,$A2947))</f>
        <v/>
      </c>
      <c r="O2947" s="27">
        <f>IF($A2947="","",IF(COUNTIFS(NOVEDADES!$C$4:$C$1503,$A2947,NOVEDADES!$M$4:$M$1503,"SÍ")&gt;0,"No","Sí"))</f>
        <v/>
      </c>
      <c r="P2947" s="27">
        <f>IF(OR($A2947="",$K2947=""),"",IF(AND($M2947="Sí",$O2947="Sí"),"OTIF","Falló"))</f>
        <v/>
      </c>
    </row>
    <row r="2948" ht="16" customHeight="1">
      <c r="A2948" s="47" t="n"/>
      <c r="B2948" s="46" t="n"/>
      <c r="C2948" s="49" t="n"/>
      <c r="D2948" s="49" t="n"/>
      <c r="E2948" s="49" t="n"/>
      <c r="F2948" s="49" t="n"/>
      <c r="G2948" s="47" t="n"/>
      <c r="H2948" s="50" t="n"/>
      <c r="I2948" s="51" t="n"/>
      <c r="J2948" s="46" t="n"/>
      <c r="K2948" s="46" t="n"/>
      <c r="L2948" s="23">
        <f>IF(OR($A2948="",$B2948=""),"",IF($K2948&lt;&gt;"",$K2948-$B2948,TODAY()-$B2948))</f>
        <v/>
      </c>
      <c r="M2948" s="27">
        <f>IF(OR($A2948="",$J2948=""),"",IF($K2948="",IF(TODAY()&gt;$J2948,"Atrasado","En ruta"),IF($K2948&lt;=$J2948,"Sí","No")))</f>
        <v/>
      </c>
      <c r="N2948" s="23">
        <f>IF($A2948="","",COUNTIFS(NOVEDADES!$C$4:$C$1503,$A2948))</f>
        <v/>
      </c>
      <c r="O2948" s="27">
        <f>IF($A2948="","",IF(COUNTIFS(NOVEDADES!$C$4:$C$1503,$A2948,NOVEDADES!$M$4:$M$1503,"SÍ")&gt;0,"No","Sí"))</f>
        <v/>
      </c>
      <c r="P2948" s="27">
        <f>IF(OR($A2948="",$K2948=""),"",IF(AND($M2948="Sí",$O2948="Sí"),"OTIF","Falló"))</f>
        <v/>
      </c>
    </row>
    <row r="2949" ht="16" customHeight="1">
      <c r="A2949" s="47" t="n"/>
      <c r="B2949" s="46" t="n"/>
      <c r="C2949" s="49" t="n"/>
      <c r="D2949" s="49" t="n"/>
      <c r="E2949" s="49" t="n"/>
      <c r="F2949" s="49" t="n"/>
      <c r="G2949" s="47" t="n"/>
      <c r="H2949" s="50" t="n"/>
      <c r="I2949" s="51" t="n"/>
      <c r="J2949" s="46" t="n"/>
      <c r="K2949" s="46" t="n"/>
      <c r="L2949" s="23">
        <f>IF(OR($A2949="",$B2949=""),"",IF($K2949&lt;&gt;"",$K2949-$B2949,TODAY()-$B2949))</f>
        <v/>
      </c>
      <c r="M2949" s="27">
        <f>IF(OR($A2949="",$J2949=""),"",IF($K2949="",IF(TODAY()&gt;$J2949,"Atrasado","En ruta"),IF($K2949&lt;=$J2949,"Sí","No")))</f>
        <v/>
      </c>
      <c r="N2949" s="23">
        <f>IF($A2949="","",COUNTIFS(NOVEDADES!$C$4:$C$1503,$A2949))</f>
        <v/>
      </c>
      <c r="O2949" s="27">
        <f>IF($A2949="","",IF(COUNTIFS(NOVEDADES!$C$4:$C$1503,$A2949,NOVEDADES!$M$4:$M$1503,"SÍ")&gt;0,"No","Sí"))</f>
        <v/>
      </c>
      <c r="P2949" s="27">
        <f>IF(OR($A2949="",$K2949=""),"",IF(AND($M2949="Sí",$O2949="Sí"),"OTIF","Falló"))</f>
        <v/>
      </c>
    </row>
    <row r="2950" ht="16" customHeight="1">
      <c r="A2950" s="47" t="n"/>
      <c r="B2950" s="46" t="n"/>
      <c r="C2950" s="49" t="n"/>
      <c r="D2950" s="49" t="n"/>
      <c r="E2950" s="49" t="n"/>
      <c r="F2950" s="49" t="n"/>
      <c r="G2950" s="47" t="n"/>
      <c r="H2950" s="50" t="n"/>
      <c r="I2950" s="51" t="n"/>
      <c r="J2950" s="46" t="n"/>
      <c r="K2950" s="46" t="n"/>
      <c r="L2950" s="23">
        <f>IF(OR($A2950="",$B2950=""),"",IF($K2950&lt;&gt;"",$K2950-$B2950,TODAY()-$B2950))</f>
        <v/>
      </c>
      <c r="M2950" s="27">
        <f>IF(OR($A2950="",$J2950=""),"",IF($K2950="",IF(TODAY()&gt;$J2950,"Atrasado","En ruta"),IF($K2950&lt;=$J2950,"Sí","No")))</f>
        <v/>
      </c>
      <c r="N2950" s="23">
        <f>IF($A2950="","",COUNTIFS(NOVEDADES!$C$4:$C$1503,$A2950))</f>
        <v/>
      </c>
      <c r="O2950" s="27">
        <f>IF($A2950="","",IF(COUNTIFS(NOVEDADES!$C$4:$C$1503,$A2950,NOVEDADES!$M$4:$M$1503,"SÍ")&gt;0,"No","Sí"))</f>
        <v/>
      </c>
      <c r="P2950" s="27">
        <f>IF(OR($A2950="",$K2950=""),"",IF(AND($M2950="Sí",$O2950="Sí"),"OTIF","Falló"))</f>
        <v/>
      </c>
    </row>
    <row r="2951" ht="16" customHeight="1">
      <c r="A2951" s="47" t="n"/>
      <c r="B2951" s="46" t="n"/>
      <c r="C2951" s="49" t="n"/>
      <c r="D2951" s="49" t="n"/>
      <c r="E2951" s="49" t="n"/>
      <c r="F2951" s="49" t="n"/>
      <c r="G2951" s="47" t="n"/>
      <c r="H2951" s="50" t="n"/>
      <c r="I2951" s="51" t="n"/>
      <c r="J2951" s="46" t="n"/>
      <c r="K2951" s="46" t="n"/>
      <c r="L2951" s="23">
        <f>IF(OR($A2951="",$B2951=""),"",IF($K2951&lt;&gt;"",$K2951-$B2951,TODAY()-$B2951))</f>
        <v/>
      </c>
      <c r="M2951" s="27">
        <f>IF(OR($A2951="",$J2951=""),"",IF($K2951="",IF(TODAY()&gt;$J2951,"Atrasado","En ruta"),IF($K2951&lt;=$J2951,"Sí","No")))</f>
        <v/>
      </c>
      <c r="N2951" s="23">
        <f>IF($A2951="","",COUNTIFS(NOVEDADES!$C$4:$C$1503,$A2951))</f>
        <v/>
      </c>
      <c r="O2951" s="27">
        <f>IF($A2951="","",IF(COUNTIFS(NOVEDADES!$C$4:$C$1503,$A2951,NOVEDADES!$M$4:$M$1503,"SÍ")&gt;0,"No","Sí"))</f>
        <v/>
      </c>
      <c r="P2951" s="27">
        <f>IF(OR($A2951="",$K2951=""),"",IF(AND($M2951="Sí",$O2951="Sí"),"OTIF","Falló"))</f>
        <v/>
      </c>
    </row>
    <row r="2952" ht="16" customHeight="1">
      <c r="A2952" s="47" t="n"/>
      <c r="B2952" s="46" t="n"/>
      <c r="C2952" s="49" t="n"/>
      <c r="D2952" s="49" t="n"/>
      <c r="E2952" s="49" t="n"/>
      <c r="F2952" s="49" t="n"/>
      <c r="G2952" s="47" t="n"/>
      <c r="H2952" s="50" t="n"/>
      <c r="I2952" s="51" t="n"/>
      <c r="J2952" s="46" t="n"/>
      <c r="K2952" s="46" t="n"/>
      <c r="L2952" s="23">
        <f>IF(OR($A2952="",$B2952=""),"",IF($K2952&lt;&gt;"",$K2952-$B2952,TODAY()-$B2952))</f>
        <v/>
      </c>
      <c r="M2952" s="27">
        <f>IF(OR($A2952="",$J2952=""),"",IF($K2952="",IF(TODAY()&gt;$J2952,"Atrasado","En ruta"),IF($K2952&lt;=$J2952,"Sí","No")))</f>
        <v/>
      </c>
      <c r="N2952" s="23">
        <f>IF($A2952="","",COUNTIFS(NOVEDADES!$C$4:$C$1503,$A2952))</f>
        <v/>
      </c>
      <c r="O2952" s="27">
        <f>IF($A2952="","",IF(COUNTIFS(NOVEDADES!$C$4:$C$1503,$A2952,NOVEDADES!$M$4:$M$1503,"SÍ")&gt;0,"No","Sí"))</f>
        <v/>
      </c>
      <c r="P2952" s="27">
        <f>IF(OR($A2952="",$K2952=""),"",IF(AND($M2952="Sí",$O2952="Sí"),"OTIF","Falló"))</f>
        <v/>
      </c>
    </row>
    <row r="2953" ht="16" customHeight="1">
      <c r="A2953" s="47" t="n"/>
      <c r="B2953" s="46" t="n"/>
      <c r="C2953" s="49" t="n"/>
      <c r="D2953" s="49" t="n"/>
      <c r="E2953" s="49" t="n"/>
      <c r="F2953" s="49" t="n"/>
      <c r="G2953" s="47" t="n"/>
      <c r="H2953" s="50" t="n"/>
      <c r="I2953" s="51" t="n"/>
      <c r="J2953" s="46" t="n"/>
      <c r="K2953" s="46" t="n"/>
      <c r="L2953" s="23">
        <f>IF(OR($A2953="",$B2953=""),"",IF($K2953&lt;&gt;"",$K2953-$B2953,TODAY()-$B2953))</f>
        <v/>
      </c>
      <c r="M2953" s="27">
        <f>IF(OR($A2953="",$J2953=""),"",IF($K2953="",IF(TODAY()&gt;$J2953,"Atrasado","En ruta"),IF($K2953&lt;=$J2953,"Sí","No")))</f>
        <v/>
      </c>
      <c r="N2953" s="23">
        <f>IF($A2953="","",COUNTIFS(NOVEDADES!$C$4:$C$1503,$A2953))</f>
        <v/>
      </c>
      <c r="O2953" s="27">
        <f>IF($A2953="","",IF(COUNTIFS(NOVEDADES!$C$4:$C$1503,$A2953,NOVEDADES!$M$4:$M$1503,"SÍ")&gt;0,"No","Sí"))</f>
        <v/>
      </c>
      <c r="P2953" s="27">
        <f>IF(OR($A2953="",$K2953=""),"",IF(AND($M2953="Sí",$O2953="Sí"),"OTIF","Falló"))</f>
        <v/>
      </c>
    </row>
    <row r="2954" ht="16" customHeight="1">
      <c r="A2954" s="47" t="n"/>
      <c r="B2954" s="46" t="n"/>
      <c r="C2954" s="49" t="n"/>
      <c r="D2954" s="49" t="n"/>
      <c r="E2954" s="49" t="n"/>
      <c r="F2954" s="49" t="n"/>
      <c r="G2954" s="47" t="n"/>
      <c r="H2954" s="50" t="n"/>
      <c r="I2954" s="51" t="n"/>
      <c r="J2954" s="46" t="n"/>
      <c r="K2954" s="46" t="n"/>
      <c r="L2954" s="23">
        <f>IF(OR($A2954="",$B2954=""),"",IF($K2954&lt;&gt;"",$K2954-$B2954,TODAY()-$B2954))</f>
        <v/>
      </c>
      <c r="M2954" s="27">
        <f>IF(OR($A2954="",$J2954=""),"",IF($K2954="",IF(TODAY()&gt;$J2954,"Atrasado","En ruta"),IF($K2954&lt;=$J2954,"Sí","No")))</f>
        <v/>
      </c>
      <c r="N2954" s="23">
        <f>IF($A2954="","",COUNTIFS(NOVEDADES!$C$4:$C$1503,$A2954))</f>
        <v/>
      </c>
      <c r="O2954" s="27">
        <f>IF($A2954="","",IF(COUNTIFS(NOVEDADES!$C$4:$C$1503,$A2954,NOVEDADES!$M$4:$M$1503,"SÍ")&gt;0,"No","Sí"))</f>
        <v/>
      </c>
      <c r="P2954" s="27">
        <f>IF(OR($A2954="",$K2954=""),"",IF(AND($M2954="Sí",$O2954="Sí"),"OTIF","Falló"))</f>
        <v/>
      </c>
    </row>
    <row r="2955" ht="16" customHeight="1">
      <c r="A2955" s="47" t="n"/>
      <c r="B2955" s="46" t="n"/>
      <c r="C2955" s="49" t="n"/>
      <c r="D2955" s="49" t="n"/>
      <c r="E2955" s="49" t="n"/>
      <c r="F2955" s="49" t="n"/>
      <c r="G2955" s="47" t="n"/>
      <c r="H2955" s="50" t="n"/>
      <c r="I2955" s="51" t="n"/>
      <c r="J2955" s="46" t="n"/>
      <c r="K2955" s="46" t="n"/>
      <c r="L2955" s="23">
        <f>IF(OR($A2955="",$B2955=""),"",IF($K2955&lt;&gt;"",$K2955-$B2955,TODAY()-$B2955))</f>
        <v/>
      </c>
      <c r="M2955" s="27">
        <f>IF(OR($A2955="",$J2955=""),"",IF($K2955="",IF(TODAY()&gt;$J2955,"Atrasado","En ruta"),IF($K2955&lt;=$J2955,"Sí","No")))</f>
        <v/>
      </c>
      <c r="N2955" s="23">
        <f>IF($A2955="","",COUNTIFS(NOVEDADES!$C$4:$C$1503,$A2955))</f>
        <v/>
      </c>
      <c r="O2955" s="27">
        <f>IF($A2955="","",IF(COUNTIFS(NOVEDADES!$C$4:$C$1503,$A2955,NOVEDADES!$M$4:$M$1503,"SÍ")&gt;0,"No","Sí"))</f>
        <v/>
      </c>
      <c r="P2955" s="27">
        <f>IF(OR($A2955="",$K2955=""),"",IF(AND($M2955="Sí",$O2955="Sí"),"OTIF","Falló"))</f>
        <v/>
      </c>
    </row>
    <row r="2956" ht="16" customHeight="1">
      <c r="A2956" s="47" t="n"/>
      <c r="B2956" s="46" t="n"/>
      <c r="C2956" s="49" t="n"/>
      <c r="D2956" s="49" t="n"/>
      <c r="E2956" s="49" t="n"/>
      <c r="F2956" s="49" t="n"/>
      <c r="G2956" s="47" t="n"/>
      <c r="H2956" s="50" t="n"/>
      <c r="I2956" s="51" t="n"/>
      <c r="J2956" s="46" t="n"/>
      <c r="K2956" s="46" t="n"/>
      <c r="L2956" s="23">
        <f>IF(OR($A2956="",$B2956=""),"",IF($K2956&lt;&gt;"",$K2956-$B2956,TODAY()-$B2956))</f>
        <v/>
      </c>
      <c r="M2956" s="27">
        <f>IF(OR($A2956="",$J2956=""),"",IF($K2956="",IF(TODAY()&gt;$J2956,"Atrasado","En ruta"),IF($K2956&lt;=$J2956,"Sí","No")))</f>
        <v/>
      </c>
      <c r="N2956" s="23">
        <f>IF($A2956="","",COUNTIFS(NOVEDADES!$C$4:$C$1503,$A2956))</f>
        <v/>
      </c>
      <c r="O2956" s="27">
        <f>IF($A2956="","",IF(COUNTIFS(NOVEDADES!$C$4:$C$1503,$A2956,NOVEDADES!$M$4:$M$1503,"SÍ")&gt;0,"No","Sí"))</f>
        <v/>
      </c>
      <c r="P2956" s="27">
        <f>IF(OR($A2956="",$K2956=""),"",IF(AND($M2956="Sí",$O2956="Sí"),"OTIF","Falló"))</f>
        <v/>
      </c>
    </row>
    <row r="2957" ht="16" customHeight="1">
      <c r="A2957" s="47" t="n"/>
      <c r="B2957" s="46" t="n"/>
      <c r="C2957" s="49" t="n"/>
      <c r="D2957" s="49" t="n"/>
      <c r="E2957" s="49" t="n"/>
      <c r="F2957" s="49" t="n"/>
      <c r="G2957" s="47" t="n"/>
      <c r="H2957" s="50" t="n"/>
      <c r="I2957" s="51" t="n"/>
      <c r="J2957" s="46" t="n"/>
      <c r="K2957" s="46" t="n"/>
      <c r="L2957" s="23">
        <f>IF(OR($A2957="",$B2957=""),"",IF($K2957&lt;&gt;"",$K2957-$B2957,TODAY()-$B2957))</f>
        <v/>
      </c>
      <c r="M2957" s="27">
        <f>IF(OR($A2957="",$J2957=""),"",IF($K2957="",IF(TODAY()&gt;$J2957,"Atrasado","En ruta"),IF($K2957&lt;=$J2957,"Sí","No")))</f>
        <v/>
      </c>
      <c r="N2957" s="23">
        <f>IF($A2957="","",COUNTIFS(NOVEDADES!$C$4:$C$1503,$A2957))</f>
        <v/>
      </c>
      <c r="O2957" s="27">
        <f>IF($A2957="","",IF(COUNTIFS(NOVEDADES!$C$4:$C$1503,$A2957,NOVEDADES!$M$4:$M$1503,"SÍ")&gt;0,"No","Sí"))</f>
        <v/>
      </c>
      <c r="P2957" s="27">
        <f>IF(OR($A2957="",$K2957=""),"",IF(AND($M2957="Sí",$O2957="Sí"),"OTIF","Falló"))</f>
        <v/>
      </c>
    </row>
    <row r="2958" ht="16" customHeight="1">
      <c r="A2958" s="47" t="n"/>
      <c r="B2958" s="46" t="n"/>
      <c r="C2958" s="49" t="n"/>
      <c r="D2958" s="49" t="n"/>
      <c r="E2958" s="49" t="n"/>
      <c r="F2958" s="49" t="n"/>
      <c r="G2958" s="47" t="n"/>
      <c r="H2958" s="50" t="n"/>
      <c r="I2958" s="51" t="n"/>
      <c r="J2958" s="46" t="n"/>
      <c r="K2958" s="46" t="n"/>
      <c r="L2958" s="23">
        <f>IF(OR($A2958="",$B2958=""),"",IF($K2958&lt;&gt;"",$K2958-$B2958,TODAY()-$B2958))</f>
        <v/>
      </c>
      <c r="M2958" s="27">
        <f>IF(OR($A2958="",$J2958=""),"",IF($K2958="",IF(TODAY()&gt;$J2958,"Atrasado","En ruta"),IF($K2958&lt;=$J2958,"Sí","No")))</f>
        <v/>
      </c>
      <c r="N2958" s="23">
        <f>IF($A2958="","",COUNTIFS(NOVEDADES!$C$4:$C$1503,$A2958))</f>
        <v/>
      </c>
      <c r="O2958" s="27">
        <f>IF($A2958="","",IF(COUNTIFS(NOVEDADES!$C$4:$C$1503,$A2958,NOVEDADES!$M$4:$M$1503,"SÍ")&gt;0,"No","Sí"))</f>
        <v/>
      </c>
      <c r="P2958" s="27">
        <f>IF(OR($A2958="",$K2958=""),"",IF(AND($M2958="Sí",$O2958="Sí"),"OTIF","Falló"))</f>
        <v/>
      </c>
    </row>
    <row r="2959" ht="16" customHeight="1">
      <c r="A2959" s="47" t="n"/>
      <c r="B2959" s="46" t="n"/>
      <c r="C2959" s="49" t="n"/>
      <c r="D2959" s="49" t="n"/>
      <c r="E2959" s="49" t="n"/>
      <c r="F2959" s="49" t="n"/>
      <c r="G2959" s="47" t="n"/>
      <c r="H2959" s="50" t="n"/>
      <c r="I2959" s="51" t="n"/>
      <c r="J2959" s="46" t="n"/>
      <c r="K2959" s="46" t="n"/>
      <c r="L2959" s="23">
        <f>IF(OR($A2959="",$B2959=""),"",IF($K2959&lt;&gt;"",$K2959-$B2959,TODAY()-$B2959))</f>
        <v/>
      </c>
      <c r="M2959" s="27">
        <f>IF(OR($A2959="",$J2959=""),"",IF($K2959="",IF(TODAY()&gt;$J2959,"Atrasado","En ruta"),IF($K2959&lt;=$J2959,"Sí","No")))</f>
        <v/>
      </c>
      <c r="N2959" s="23">
        <f>IF($A2959="","",COUNTIFS(NOVEDADES!$C$4:$C$1503,$A2959))</f>
        <v/>
      </c>
      <c r="O2959" s="27">
        <f>IF($A2959="","",IF(COUNTIFS(NOVEDADES!$C$4:$C$1503,$A2959,NOVEDADES!$M$4:$M$1503,"SÍ")&gt;0,"No","Sí"))</f>
        <v/>
      </c>
      <c r="P2959" s="27">
        <f>IF(OR($A2959="",$K2959=""),"",IF(AND($M2959="Sí",$O2959="Sí"),"OTIF","Falló"))</f>
        <v/>
      </c>
    </row>
    <row r="2960" ht="16" customHeight="1">
      <c r="A2960" s="47" t="n"/>
      <c r="B2960" s="46" t="n"/>
      <c r="C2960" s="49" t="n"/>
      <c r="D2960" s="49" t="n"/>
      <c r="E2960" s="49" t="n"/>
      <c r="F2960" s="49" t="n"/>
      <c r="G2960" s="47" t="n"/>
      <c r="H2960" s="50" t="n"/>
      <c r="I2960" s="51" t="n"/>
      <c r="J2960" s="46" t="n"/>
      <c r="K2960" s="46" t="n"/>
      <c r="L2960" s="23">
        <f>IF(OR($A2960="",$B2960=""),"",IF($K2960&lt;&gt;"",$K2960-$B2960,TODAY()-$B2960))</f>
        <v/>
      </c>
      <c r="M2960" s="27">
        <f>IF(OR($A2960="",$J2960=""),"",IF($K2960="",IF(TODAY()&gt;$J2960,"Atrasado","En ruta"),IF($K2960&lt;=$J2960,"Sí","No")))</f>
        <v/>
      </c>
      <c r="N2960" s="23">
        <f>IF($A2960="","",COUNTIFS(NOVEDADES!$C$4:$C$1503,$A2960))</f>
        <v/>
      </c>
      <c r="O2960" s="27">
        <f>IF($A2960="","",IF(COUNTIFS(NOVEDADES!$C$4:$C$1503,$A2960,NOVEDADES!$M$4:$M$1503,"SÍ")&gt;0,"No","Sí"))</f>
        <v/>
      </c>
      <c r="P2960" s="27">
        <f>IF(OR($A2960="",$K2960=""),"",IF(AND($M2960="Sí",$O2960="Sí"),"OTIF","Falló"))</f>
        <v/>
      </c>
    </row>
    <row r="2961" ht="16" customHeight="1">
      <c r="A2961" s="47" t="n"/>
      <c r="B2961" s="46" t="n"/>
      <c r="C2961" s="49" t="n"/>
      <c r="D2961" s="49" t="n"/>
      <c r="E2961" s="49" t="n"/>
      <c r="F2961" s="49" t="n"/>
      <c r="G2961" s="47" t="n"/>
      <c r="H2961" s="50" t="n"/>
      <c r="I2961" s="51" t="n"/>
      <c r="J2961" s="46" t="n"/>
      <c r="K2961" s="46" t="n"/>
      <c r="L2961" s="23">
        <f>IF(OR($A2961="",$B2961=""),"",IF($K2961&lt;&gt;"",$K2961-$B2961,TODAY()-$B2961))</f>
        <v/>
      </c>
      <c r="M2961" s="27">
        <f>IF(OR($A2961="",$J2961=""),"",IF($K2961="",IF(TODAY()&gt;$J2961,"Atrasado","En ruta"),IF($K2961&lt;=$J2961,"Sí","No")))</f>
        <v/>
      </c>
      <c r="N2961" s="23">
        <f>IF($A2961="","",COUNTIFS(NOVEDADES!$C$4:$C$1503,$A2961))</f>
        <v/>
      </c>
      <c r="O2961" s="27">
        <f>IF($A2961="","",IF(COUNTIFS(NOVEDADES!$C$4:$C$1503,$A2961,NOVEDADES!$M$4:$M$1503,"SÍ")&gt;0,"No","Sí"))</f>
        <v/>
      </c>
      <c r="P2961" s="27">
        <f>IF(OR($A2961="",$K2961=""),"",IF(AND($M2961="Sí",$O2961="Sí"),"OTIF","Falló"))</f>
        <v/>
      </c>
    </row>
    <row r="2962" ht="16" customHeight="1">
      <c r="A2962" s="47" t="n"/>
      <c r="B2962" s="46" t="n"/>
      <c r="C2962" s="49" t="n"/>
      <c r="D2962" s="49" t="n"/>
      <c r="E2962" s="49" t="n"/>
      <c r="F2962" s="49" t="n"/>
      <c r="G2962" s="47" t="n"/>
      <c r="H2962" s="50" t="n"/>
      <c r="I2962" s="51" t="n"/>
      <c r="J2962" s="46" t="n"/>
      <c r="K2962" s="46" t="n"/>
      <c r="L2962" s="23">
        <f>IF(OR($A2962="",$B2962=""),"",IF($K2962&lt;&gt;"",$K2962-$B2962,TODAY()-$B2962))</f>
        <v/>
      </c>
      <c r="M2962" s="27">
        <f>IF(OR($A2962="",$J2962=""),"",IF($K2962="",IF(TODAY()&gt;$J2962,"Atrasado","En ruta"),IF($K2962&lt;=$J2962,"Sí","No")))</f>
        <v/>
      </c>
      <c r="N2962" s="23">
        <f>IF($A2962="","",COUNTIFS(NOVEDADES!$C$4:$C$1503,$A2962))</f>
        <v/>
      </c>
      <c r="O2962" s="27">
        <f>IF($A2962="","",IF(COUNTIFS(NOVEDADES!$C$4:$C$1503,$A2962,NOVEDADES!$M$4:$M$1503,"SÍ")&gt;0,"No","Sí"))</f>
        <v/>
      </c>
      <c r="P2962" s="27">
        <f>IF(OR($A2962="",$K2962=""),"",IF(AND($M2962="Sí",$O2962="Sí"),"OTIF","Falló"))</f>
        <v/>
      </c>
    </row>
    <row r="2963" ht="16" customHeight="1">
      <c r="A2963" s="47" t="n"/>
      <c r="B2963" s="46" t="n"/>
      <c r="C2963" s="49" t="n"/>
      <c r="D2963" s="49" t="n"/>
      <c r="E2963" s="49" t="n"/>
      <c r="F2963" s="49" t="n"/>
      <c r="G2963" s="47" t="n"/>
      <c r="H2963" s="50" t="n"/>
      <c r="I2963" s="51" t="n"/>
      <c r="J2963" s="46" t="n"/>
      <c r="K2963" s="46" t="n"/>
      <c r="L2963" s="23">
        <f>IF(OR($A2963="",$B2963=""),"",IF($K2963&lt;&gt;"",$K2963-$B2963,TODAY()-$B2963))</f>
        <v/>
      </c>
      <c r="M2963" s="27">
        <f>IF(OR($A2963="",$J2963=""),"",IF($K2963="",IF(TODAY()&gt;$J2963,"Atrasado","En ruta"),IF($K2963&lt;=$J2963,"Sí","No")))</f>
        <v/>
      </c>
      <c r="N2963" s="23">
        <f>IF($A2963="","",COUNTIFS(NOVEDADES!$C$4:$C$1503,$A2963))</f>
        <v/>
      </c>
      <c r="O2963" s="27">
        <f>IF($A2963="","",IF(COUNTIFS(NOVEDADES!$C$4:$C$1503,$A2963,NOVEDADES!$M$4:$M$1503,"SÍ")&gt;0,"No","Sí"))</f>
        <v/>
      </c>
      <c r="P2963" s="27">
        <f>IF(OR($A2963="",$K2963=""),"",IF(AND($M2963="Sí",$O2963="Sí"),"OTIF","Falló"))</f>
        <v/>
      </c>
    </row>
    <row r="2964" ht="16" customHeight="1">
      <c r="A2964" s="47" t="n"/>
      <c r="B2964" s="46" t="n"/>
      <c r="C2964" s="49" t="n"/>
      <c r="D2964" s="49" t="n"/>
      <c r="E2964" s="49" t="n"/>
      <c r="F2964" s="49" t="n"/>
      <c r="G2964" s="47" t="n"/>
      <c r="H2964" s="50" t="n"/>
      <c r="I2964" s="51" t="n"/>
      <c r="J2964" s="46" t="n"/>
      <c r="K2964" s="46" t="n"/>
      <c r="L2964" s="23">
        <f>IF(OR($A2964="",$B2964=""),"",IF($K2964&lt;&gt;"",$K2964-$B2964,TODAY()-$B2964))</f>
        <v/>
      </c>
      <c r="M2964" s="27">
        <f>IF(OR($A2964="",$J2964=""),"",IF($K2964="",IF(TODAY()&gt;$J2964,"Atrasado","En ruta"),IF($K2964&lt;=$J2964,"Sí","No")))</f>
        <v/>
      </c>
      <c r="N2964" s="23">
        <f>IF($A2964="","",COUNTIFS(NOVEDADES!$C$4:$C$1503,$A2964))</f>
        <v/>
      </c>
      <c r="O2964" s="27">
        <f>IF($A2964="","",IF(COUNTIFS(NOVEDADES!$C$4:$C$1503,$A2964,NOVEDADES!$M$4:$M$1503,"SÍ")&gt;0,"No","Sí"))</f>
        <v/>
      </c>
      <c r="P2964" s="27">
        <f>IF(OR($A2964="",$K2964=""),"",IF(AND($M2964="Sí",$O2964="Sí"),"OTIF","Falló"))</f>
        <v/>
      </c>
    </row>
    <row r="2965" ht="16" customHeight="1">
      <c r="A2965" s="47" t="n"/>
      <c r="B2965" s="46" t="n"/>
      <c r="C2965" s="49" t="n"/>
      <c r="D2965" s="49" t="n"/>
      <c r="E2965" s="49" t="n"/>
      <c r="F2965" s="49" t="n"/>
      <c r="G2965" s="47" t="n"/>
      <c r="H2965" s="50" t="n"/>
      <c r="I2965" s="51" t="n"/>
      <c r="J2965" s="46" t="n"/>
      <c r="K2965" s="46" t="n"/>
      <c r="L2965" s="23">
        <f>IF(OR($A2965="",$B2965=""),"",IF($K2965&lt;&gt;"",$K2965-$B2965,TODAY()-$B2965))</f>
        <v/>
      </c>
      <c r="M2965" s="27">
        <f>IF(OR($A2965="",$J2965=""),"",IF($K2965="",IF(TODAY()&gt;$J2965,"Atrasado","En ruta"),IF($K2965&lt;=$J2965,"Sí","No")))</f>
        <v/>
      </c>
      <c r="N2965" s="23">
        <f>IF($A2965="","",COUNTIFS(NOVEDADES!$C$4:$C$1503,$A2965))</f>
        <v/>
      </c>
      <c r="O2965" s="27">
        <f>IF($A2965="","",IF(COUNTIFS(NOVEDADES!$C$4:$C$1503,$A2965,NOVEDADES!$M$4:$M$1503,"SÍ")&gt;0,"No","Sí"))</f>
        <v/>
      </c>
      <c r="P2965" s="27">
        <f>IF(OR($A2965="",$K2965=""),"",IF(AND($M2965="Sí",$O2965="Sí"),"OTIF","Falló"))</f>
        <v/>
      </c>
    </row>
    <row r="2966" ht="16" customHeight="1">
      <c r="A2966" s="47" t="n"/>
      <c r="B2966" s="46" t="n"/>
      <c r="C2966" s="49" t="n"/>
      <c r="D2966" s="49" t="n"/>
      <c r="E2966" s="49" t="n"/>
      <c r="F2966" s="49" t="n"/>
      <c r="G2966" s="47" t="n"/>
      <c r="H2966" s="50" t="n"/>
      <c r="I2966" s="51" t="n"/>
      <c r="J2966" s="46" t="n"/>
      <c r="K2966" s="46" t="n"/>
      <c r="L2966" s="23">
        <f>IF(OR($A2966="",$B2966=""),"",IF($K2966&lt;&gt;"",$K2966-$B2966,TODAY()-$B2966))</f>
        <v/>
      </c>
      <c r="M2966" s="27">
        <f>IF(OR($A2966="",$J2966=""),"",IF($K2966="",IF(TODAY()&gt;$J2966,"Atrasado","En ruta"),IF($K2966&lt;=$J2966,"Sí","No")))</f>
        <v/>
      </c>
      <c r="N2966" s="23">
        <f>IF($A2966="","",COUNTIFS(NOVEDADES!$C$4:$C$1503,$A2966))</f>
        <v/>
      </c>
      <c r="O2966" s="27">
        <f>IF($A2966="","",IF(COUNTIFS(NOVEDADES!$C$4:$C$1503,$A2966,NOVEDADES!$M$4:$M$1503,"SÍ")&gt;0,"No","Sí"))</f>
        <v/>
      </c>
      <c r="P2966" s="27">
        <f>IF(OR($A2966="",$K2966=""),"",IF(AND($M2966="Sí",$O2966="Sí"),"OTIF","Falló"))</f>
        <v/>
      </c>
    </row>
    <row r="2967" ht="16" customHeight="1">
      <c r="A2967" s="47" t="n"/>
      <c r="B2967" s="46" t="n"/>
      <c r="C2967" s="49" t="n"/>
      <c r="D2967" s="49" t="n"/>
      <c r="E2967" s="49" t="n"/>
      <c r="F2967" s="49" t="n"/>
      <c r="G2967" s="47" t="n"/>
      <c r="H2967" s="50" t="n"/>
      <c r="I2967" s="51" t="n"/>
      <c r="J2967" s="46" t="n"/>
      <c r="K2967" s="46" t="n"/>
      <c r="L2967" s="23">
        <f>IF(OR($A2967="",$B2967=""),"",IF($K2967&lt;&gt;"",$K2967-$B2967,TODAY()-$B2967))</f>
        <v/>
      </c>
      <c r="M2967" s="27">
        <f>IF(OR($A2967="",$J2967=""),"",IF($K2967="",IF(TODAY()&gt;$J2967,"Atrasado","En ruta"),IF($K2967&lt;=$J2967,"Sí","No")))</f>
        <v/>
      </c>
      <c r="N2967" s="23">
        <f>IF($A2967="","",COUNTIFS(NOVEDADES!$C$4:$C$1503,$A2967))</f>
        <v/>
      </c>
      <c r="O2967" s="27">
        <f>IF($A2967="","",IF(COUNTIFS(NOVEDADES!$C$4:$C$1503,$A2967,NOVEDADES!$M$4:$M$1503,"SÍ")&gt;0,"No","Sí"))</f>
        <v/>
      </c>
      <c r="P2967" s="27">
        <f>IF(OR($A2967="",$K2967=""),"",IF(AND($M2967="Sí",$O2967="Sí"),"OTIF","Falló"))</f>
        <v/>
      </c>
    </row>
    <row r="2968" ht="16" customHeight="1">
      <c r="A2968" s="47" t="n"/>
      <c r="B2968" s="46" t="n"/>
      <c r="C2968" s="49" t="n"/>
      <c r="D2968" s="49" t="n"/>
      <c r="E2968" s="49" t="n"/>
      <c r="F2968" s="49" t="n"/>
      <c r="G2968" s="47" t="n"/>
      <c r="H2968" s="50" t="n"/>
      <c r="I2968" s="51" t="n"/>
      <c r="J2968" s="46" t="n"/>
      <c r="K2968" s="46" t="n"/>
      <c r="L2968" s="23">
        <f>IF(OR($A2968="",$B2968=""),"",IF($K2968&lt;&gt;"",$K2968-$B2968,TODAY()-$B2968))</f>
        <v/>
      </c>
      <c r="M2968" s="27">
        <f>IF(OR($A2968="",$J2968=""),"",IF($K2968="",IF(TODAY()&gt;$J2968,"Atrasado","En ruta"),IF($K2968&lt;=$J2968,"Sí","No")))</f>
        <v/>
      </c>
      <c r="N2968" s="23">
        <f>IF($A2968="","",COUNTIFS(NOVEDADES!$C$4:$C$1503,$A2968))</f>
        <v/>
      </c>
      <c r="O2968" s="27">
        <f>IF($A2968="","",IF(COUNTIFS(NOVEDADES!$C$4:$C$1503,$A2968,NOVEDADES!$M$4:$M$1503,"SÍ")&gt;0,"No","Sí"))</f>
        <v/>
      </c>
      <c r="P2968" s="27">
        <f>IF(OR($A2968="",$K2968=""),"",IF(AND($M2968="Sí",$O2968="Sí"),"OTIF","Falló"))</f>
        <v/>
      </c>
    </row>
    <row r="2969" ht="16" customHeight="1">
      <c r="A2969" s="47" t="n"/>
      <c r="B2969" s="46" t="n"/>
      <c r="C2969" s="49" t="n"/>
      <c r="D2969" s="49" t="n"/>
      <c r="E2969" s="49" t="n"/>
      <c r="F2969" s="49" t="n"/>
      <c r="G2969" s="47" t="n"/>
      <c r="H2969" s="50" t="n"/>
      <c r="I2969" s="51" t="n"/>
      <c r="J2969" s="46" t="n"/>
      <c r="K2969" s="46" t="n"/>
      <c r="L2969" s="23">
        <f>IF(OR($A2969="",$B2969=""),"",IF($K2969&lt;&gt;"",$K2969-$B2969,TODAY()-$B2969))</f>
        <v/>
      </c>
      <c r="M2969" s="27">
        <f>IF(OR($A2969="",$J2969=""),"",IF($K2969="",IF(TODAY()&gt;$J2969,"Atrasado","En ruta"),IF($K2969&lt;=$J2969,"Sí","No")))</f>
        <v/>
      </c>
      <c r="N2969" s="23">
        <f>IF($A2969="","",COUNTIFS(NOVEDADES!$C$4:$C$1503,$A2969))</f>
        <v/>
      </c>
      <c r="O2969" s="27">
        <f>IF($A2969="","",IF(COUNTIFS(NOVEDADES!$C$4:$C$1503,$A2969,NOVEDADES!$M$4:$M$1503,"SÍ")&gt;0,"No","Sí"))</f>
        <v/>
      </c>
      <c r="P2969" s="27">
        <f>IF(OR($A2969="",$K2969=""),"",IF(AND($M2969="Sí",$O2969="Sí"),"OTIF","Falló"))</f>
        <v/>
      </c>
    </row>
    <row r="2970" ht="16" customHeight="1">
      <c r="A2970" s="47" t="n"/>
      <c r="B2970" s="46" t="n"/>
      <c r="C2970" s="49" t="n"/>
      <c r="D2970" s="49" t="n"/>
      <c r="E2970" s="49" t="n"/>
      <c r="F2970" s="49" t="n"/>
      <c r="G2970" s="47" t="n"/>
      <c r="H2970" s="50" t="n"/>
      <c r="I2970" s="51" t="n"/>
      <c r="J2970" s="46" t="n"/>
      <c r="K2970" s="46" t="n"/>
      <c r="L2970" s="23">
        <f>IF(OR($A2970="",$B2970=""),"",IF($K2970&lt;&gt;"",$K2970-$B2970,TODAY()-$B2970))</f>
        <v/>
      </c>
      <c r="M2970" s="27">
        <f>IF(OR($A2970="",$J2970=""),"",IF($K2970="",IF(TODAY()&gt;$J2970,"Atrasado","En ruta"),IF($K2970&lt;=$J2970,"Sí","No")))</f>
        <v/>
      </c>
      <c r="N2970" s="23">
        <f>IF($A2970="","",COUNTIFS(NOVEDADES!$C$4:$C$1503,$A2970))</f>
        <v/>
      </c>
      <c r="O2970" s="27">
        <f>IF($A2970="","",IF(COUNTIFS(NOVEDADES!$C$4:$C$1503,$A2970,NOVEDADES!$M$4:$M$1503,"SÍ")&gt;0,"No","Sí"))</f>
        <v/>
      </c>
      <c r="P2970" s="27">
        <f>IF(OR($A2970="",$K2970=""),"",IF(AND($M2970="Sí",$O2970="Sí"),"OTIF","Falló"))</f>
        <v/>
      </c>
    </row>
    <row r="2971" ht="16" customHeight="1">
      <c r="A2971" s="47" t="n"/>
      <c r="B2971" s="46" t="n"/>
      <c r="C2971" s="49" t="n"/>
      <c r="D2971" s="49" t="n"/>
      <c r="E2971" s="49" t="n"/>
      <c r="F2971" s="49" t="n"/>
      <c r="G2971" s="47" t="n"/>
      <c r="H2971" s="50" t="n"/>
      <c r="I2971" s="51" t="n"/>
      <c r="J2971" s="46" t="n"/>
      <c r="K2971" s="46" t="n"/>
      <c r="L2971" s="23">
        <f>IF(OR($A2971="",$B2971=""),"",IF($K2971&lt;&gt;"",$K2971-$B2971,TODAY()-$B2971))</f>
        <v/>
      </c>
      <c r="M2971" s="27">
        <f>IF(OR($A2971="",$J2971=""),"",IF($K2971="",IF(TODAY()&gt;$J2971,"Atrasado","En ruta"),IF($K2971&lt;=$J2971,"Sí","No")))</f>
        <v/>
      </c>
      <c r="N2971" s="23">
        <f>IF($A2971="","",COUNTIFS(NOVEDADES!$C$4:$C$1503,$A2971))</f>
        <v/>
      </c>
      <c r="O2971" s="27">
        <f>IF($A2971="","",IF(COUNTIFS(NOVEDADES!$C$4:$C$1503,$A2971,NOVEDADES!$M$4:$M$1503,"SÍ")&gt;0,"No","Sí"))</f>
        <v/>
      </c>
      <c r="P2971" s="27">
        <f>IF(OR($A2971="",$K2971=""),"",IF(AND($M2971="Sí",$O2971="Sí"),"OTIF","Falló"))</f>
        <v/>
      </c>
    </row>
    <row r="2972" ht="16" customHeight="1">
      <c r="A2972" s="47" t="n"/>
      <c r="B2972" s="46" t="n"/>
      <c r="C2972" s="49" t="n"/>
      <c r="D2972" s="49" t="n"/>
      <c r="E2972" s="49" t="n"/>
      <c r="F2972" s="49" t="n"/>
      <c r="G2972" s="47" t="n"/>
      <c r="H2972" s="50" t="n"/>
      <c r="I2972" s="51" t="n"/>
      <c r="J2972" s="46" t="n"/>
      <c r="K2972" s="46" t="n"/>
      <c r="L2972" s="23">
        <f>IF(OR($A2972="",$B2972=""),"",IF($K2972&lt;&gt;"",$K2972-$B2972,TODAY()-$B2972))</f>
        <v/>
      </c>
      <c r="M2972" s="27">
        <f>IF(OR($A2972="",$J2972=""),"",IF($K2972="",IF(TODAY()&gt;$J2972,"Atrasado","En ruta"),IF($K2972&lt;=$J2972,"Sí","No")))</f>
        <v/>
      </c>
      <c r="N2972" s="23">
        <f>IF($A2972="","",COUNTIFS(NOVEDADES!$C$4:$C$1503,$A2972))</f>
        <v/>
      </c>
      <c r="O2972" s="27">
        <f>IF($A2972="","",IF(COUNTIFS(NOVEDADES!$C$4:$C$1503,$A2972,NOVEDADES!$M$4:$M$1503,"SÍ")&gt;0,"No","Sí"))</f>
        <v/>
      </c>
      <c r="P2972" s="27">
        <f>IF(OR($A2972="",$K2972=""),"",IF(AND($M2972="Sí",$O2972="Sí"),"OTIF","Falló"))</f>
        <v/>
      </c>
    </row>
    <row r="2973" ht="16" customHeight="1">
      <c r="A2973" s="47" t="n"/>
      <c r="B2973" s="46" t="n"/>
      <c r="C2973" s="49" t="n"/>
      <c r="D2973" s="49" t="n"/>
      <c r="E2973" s="49" t="n"/>
      <c r="F2973" s="49" t="n"/>
      <c r="G2973" s="47" t="n"/>
      <c r="H2973" s="50" t="n"/>
      <c r="I2973" s="51" t="n"/>
      <c r="J2973" s="46" t="n"/>
      <c r="K2973" s="46" t="n"/>
      <c r="L2973" s="23">
        <f>IF(OR($A2973="",$B2973=""),"",IF($K2973&lt;&gt;"",$K2973-$B2973,TODAY()-$B2973))</f>
        <v/>
      </c>
      <c r="M2973" s="27">
        <f>IF(OR($A2973="",$J2973=""),"",IF($K2973="",IF(TODAY()&gt;$J2973,"Atrasado","En ruta"),IF($K2973&lt;=$J2973,"Sí","No")))</f>
        <v/>
      </c>
      <c r="N2973" s="23">
        <f>IF($A2973="","",COUNTIFS(NOVEDADES!$C$4:$C$1503,$A2973))</f>
        <v/>
      </c>
      <c r="O2973" s="27">
        <f>IF($A2973="","",IF(COUNTIFS(NOVEDADES!$C$4:$C$1503,$A2973,NOVEDADES!$M$4:$M$1503,"SÍ")&gt;0,"No","Sí"))</f>
        <v/>
      </c>
      <c r="P2973" s="27">
        <f>IF(OR($A2973="",$K2973=""),"",IF(AND($M2973="Sí",$O2973="Sí"),"OTIF","Falló"))</f>
        <v/>
      </c>
    </row>
    <row r="2974" ht="16" customHeight="1">
      <c r="A2974" s="47" t="n"/>
      <c r="B2974" s="46" t="n"/>
      <c r="C2974" s="49" t="n"/>
      <c r="D2974" s="49" t="n"/>
      <c r="E2974" s="49" t="n"/>
      <c r="F2974" s="49" t="n"/>
      <c r="G2974" s="47" t="n"/>
      <c r="H2974" s="50" t="n"/>
      <c r="I2974" s="51" t="n"/>
      <c r="J2974" s="46" t="n"/>
      <c r="K2974" s="46" t="n"/>
      <c r="L2974" s="23">
        <f>IF(OR($A2974="",$B2974=""),"",IF($K2974&lt;&gt;"",$K2974-$B2974,TODAY()-$B2974))</f>
        <v/>
      </c>
      <c r="M2974" s="27">
        <f>IF(OR($A2974="",$J2974=""),"",IF($K2974="",IF(TODAY()&gt;$J2974,"Atrasado","En ruta"),IF($K2974&lt;=$J2974,"Sí","No")))</f>
        <v/>
      </c>
      <c r="N2974" s="23">
        <f>IF($A2974="","",COUNTIFS(NOVEDADES!$C$4:$C$1503,$A2974))</f>
        <v/>
      </c>
      <c r="O2974" s="27">
        <f>IF($A2974="","",IF(COUNTIFS(NOVEDADES!$C$4:$C$1503,$A2974,NOVEDADES!$M$4:$M$1503,"SÍ")&gt;0,"No","Sí"))</f>
        <v/>
      </c>
      <c r="P2974" s="27">
        <f>IF(OR($A2974="",$K2974=""),"",IF(AND($M2974="Sí",$O2974="Sí"),"OTIF","Falló"))</f>
        <v/>
      </c>
    </row>
    <row r="2975" ht="16" customHeight="1">
      <c r="A2975" s="47" t="n"/>
      <c r="B2975" s="46" t="n"/>
      <c r="C2975" s="49" t="n"/>
      <c r="D2975" s="49" t="n"/>
      <c r="E2975" s="49" t="n"/>
      <c r="F2975" s="49" t="n"/>
      <c r="G2975" s="47" t="n"/>
      <c r="H2975" s="50" t="n"/>
      <c r="I2975" s="51" t="n"/>
      <c r="J2975" s="46" t="n"/>
      <c r="K2975" s="46" t="n"/>
      <c r="L2975" s="23">
        <f>IF(OR($A2975="",$B2975=""),"",IF($K2975&lt;&gt;"",$K2975-$B2975,TODAY()-$B2975))</f>
        <v/>
      </c>
      <c r="M2975" s="27">
        <f>IF(OR($A2975="",$J2975=""),"",IF($K2975="",IF(TODAY()&gt;$J2975,"Atrasado","En ruta"),IF($K2975&lt;=$J2975,"Sí","No")))</f>
        <v/>
      </c>
      <c r="N2975" s="23">
        <f>IF($A2975="","",COUNTIFS(NOVEDADES!$C$4:$C$1503,$A2975))</f>
        <v/>
      </c>
      <c r="O2975" s="27">
        <f>IF($A2975="","",IF(COUNTIFS(NOVEDADES!$C$4:$C$1503,$A2975,NOVEDADES!$M$4:$M$1503,"SÍ")&gt;0,"No","Sí"))</f>
        <v/>
      </c>
      <c r="P2975" s="27">
        <f>IF(OR($A2975="",$K2975=""),"",IF(AND($M2975="Sí",$O2975="Sí"),"OTIF","Falló"))</f>
        <v/>
      </c>
    </row>
    <row r="2976" ht="16" customHeight="1">
      <c r="A2976" s="47" t="n"/>
      <c r="B2976" s="46" t="n"/>
      <c r="C2976" s="49" t="n"/>
      <c r="D2976" s="49" t="n"/>
      <c r="E2976" s="49" t="n"/>
      <c r="F2976" s="49" t="n"/>
      <c r="G2976" s="47" t="n"/>
      <c r="H2976" s="50" t="n"/>
      <c r="I2976" s="51" t="n"/>
      <c r="J2976" s="46" t="n"/>
      <c r="K2976" s="46" t="n"/>
      <c r="L2976" s="23">
        <f>IF(OR($A2976="",$B2976=""),"",IF($K2976&lt;&gt;"",$K2976-$B2976,TODAY()-$B2976))</f>
        <v/>
      </c>
      <c r="M2976" s="27">
        <f>IF(OR($A2976="",$J2976=""),"",IF($K2976="",IF(TODAY()&gt;$J2976,"Atrasado","En ruta"),IF($K2976&lt;=$J2976,"Sí","No")))</f>
        <v/>
      </c>
      <c r="N2976" s="23">
        <f>IF($A2976="","",COUNTIFS(NOVEDADES!$C$4:$C$1503,$A2976))</f>
        <v/>
      </c>
      <c r="O2976" s="27">
        <f>IF($A2976="","",IF(COUNTIFS(NOVEDADES!$C$4:$C$1503,$A2976,NOVEDADES!$M$4:$M$1503,"SÍ")&gt;0,"No","Sí"))</f>
        <v/>
      </c>
      <c r="P2976" s="27">
        <f>IF(OR($A2976="",$K2976=""),"",IF(AND($M2976="Sí",$O2976="Sí"),"OTIF","Falló"))</f>
        <v/>
      </c>
    </row>
    <row r="2977" ht="16" customHeight="1">
      <c r="A2977" s="47" t="n"/>
      <c r="B2977" s="46" t="n"/>
      <c r="C2977" s="49" t="n"/>
      <c r="D2977" s="49" t="n"/>
      <c r="E2977" s="49" t="n"/>
      <c r="F2977" s="49" t="n"/>
      <c r="G2977" s="47" t="n"/>
      <c r="H2977" s="50" t="n"/>
      <c r="I2977" s="51" t="n"/>
      <c r="J2977" s="46" t="n"/>
      <c r="K2977" s="46" t="n"/>
      <c r="L2977" s="23">
        <f>IF(OR($A2977="",$B2977=""),"",IF($K2977&lt;&gt;"",$K2977-$B2977,TODAY()-$B2977))</f>
        <v/>
      </c>
      <c r="M2977" s="27">
        <f>IF(OR($A2977="",$J2977=""),"",IF($K2977="",IF(TODAY()&gt;$J2977,"Atrasado","En ruta"),IF($K2977&lt;=$J2977,"Sí","No")))</f>
        <v/>
      </c>
      <c r="N2977" s="23">
        <f>IF($A2977="","",COUNTIFS(NOVEDADES!$C$4:$C$1503,$A2977))</f>
        <v/>
      </c>
      <c r="O2977" s="27">
        <f>IF($A2977="","",IF(COUNTIFS(NOVEDADES!$C$4:$C$1503,$A2977,NOVEDADES!$M$4:$M$1503,"SÍ")&gt;0,"No","Sí"))</f>
        <v/>
      </c>
      <c r="P2977" s="27">
        <f>IF(OR($A2977="",$K2977=""),"",IF(AND($M2977="Sí",$O2977="Sí"),"OTIF","Falló"))</f>
        <v/>
      </c>
    </row>
    <row r="2978" ht="16" customHeight="1">
      <c r="A2978" s="47" t="n"/>
      <c r="B2978" s="46" t="n"/>
      <c r="C2978" s="49" t="n"/>
      <c r="D2978" s="49" t="n"/>
      <c r="E2978" s="49" t="n"/>
      <c r="F2978" s="49" t="n"/>
      <c r="G2978" s="47" t="n"/>
      <c r="H2978" s="50" t="n"/>
      <c r="I2978" s="51" t="n"/>
      <c r="J2978" s="46" t="n"/>
      <c r="K2978" s="46" t="n"/>
      <c r="L2978" s="23">
        <f>IF(OR($A2978="",$B2978=""),"",IF($K2978&lt;&gt;"",$K2978-$B2978,TODAY()-$B2978))</f>
        <v/>
      </c>
      <c r="M2978" s="27">
        <f>IF(OR($A2978="",$J2978=""),"",IF($K2978="",IF(TODAY()&gt;$J2978,"Atrasado","En ruta"),IF($K2978&lt;=$J2978,"Sí","No")))</f>
        <v/>
      </c>
      <c r="N2978" s="23">
        <f>IF($A2978="","",COUNTIFS(NOVEDADES!$C$4:$C$1503,$A2978))</f>
        <v/>
      </c>
      <c r="O2978" s="27">
        <f>IF($A2978="","",IF(COUNTIFS(NOVEDADES!$C$4:$C$1503,$A2978,NOVEDADES!$M$4:$M$1503,"SÍ")&gt;0,"No","Sí"))</f>
        <v/>
      </c>
      <c r="P2978" s="27">
        <f>IF(OR($A2978="",$K2978=""),"",IF(AND($M2978="Sí",$O2978="Sí"),"OTIF","Falló"))</f>
        <v/>
      </c>
    </row>
    <row r="2979" ht="16" customHeight="1">
      <c r="A2979" s="47" t="n"/>
      <c r="B2979" s="46" t="n"/>
      <c r="C2979" s="49" t="n"/>
      <c r="D2979" s="49" t="n"/>
      <c r="E2979" s="49" t="n"/>
      <c r="F2979" s="49" t="n"/>
      <c r="G2979" s="47" t="n"/>
      <c r="H2979" s="50" t="n"/>
      <c r="I2979" s="51" t="n"/>
      <c r="J2979" s="46" t="n"/>
      <c r="K2979" s="46" t="n"/>
      <c r="L2979" s="23">
        <f>IF(OR($A2979="",$B2979=""),"",IF($K2979&lt;&gt;"",$K2979-$B2979,TODAY()-$B2979))</f>
        <v/>
      </c>
      <c r="M2979" s="27">
        <f>IF(OR($A2979="",$J2979=""),"",IF($K2979="",IF(TODAY()&gt;$J2979,"Atrasado","En ruta"),IF($K2979&lt;=$J2979,"Sí","No")))</f>
        <v/>
      </c>
      <c r="N2979" s="23">
        <f>IF($A2979="","",COUNTIFS(NOVEDADES!$C$4:$C$1503,$A2979))</f>
        <v/>
      </c>
      <c r="O2979" s="27">
        <f>IF($A2979="","",IF(COUNTIFS(NOVEDADES!$C$4:$C$1503,$A2979,NOVEDADES!$M$4:$M$1503,"SÍ")&gt;0,"No","Sí"))</f>
        <v/>
      </c>
      <c r="P2979" s="27">
        <f>IF(OR($A2979="",$K2979=""),"",IF(AND($M2979="Sí",$O2979="Sí"),"OTIF","Falló"))</f>
        <v/>
      </c>
    </row>
    <row r="2980" ht="16" customHeight="1">
      <c r="A2980" s="47" t="n"/>
      <c r="B2980" s="46" t="n"/>
      <c r="C2980" s="49" t="n"/>
      <c r="D2980" s="49" t="n"/>
      <c r="E2980" s="49" t="n"/>
      <c r="F2980" s="49" t="n"/>
      <c r="G2980" s="47" t="n"/>
      <c r="H2980" s="50" t="n"/>
      <c r="I2980" s="51" t="n"/>
      <c r="J2980" s="46" t="n"/>
      <c r="K2980" s="46" t="n"/>
      <c r="L2980" s="23">
        <f>IF(OR($A2980="",$B2980=""),"",IF($K2980&lt;&gt;"",$K2980-$B2980,TODAY()-$B2980))</f>
        <v/>
      </c>
      <c r="M2980" s="27">
        <f>IF(OR($A2980="",$J2980=""),"",IF($K2980="",IF(TODAY()&gt;$J2980,"Atrasado","En ruta"),IF($K2980&lt;=$J2980,"Sí","No")))</f>
        <v/>
      </c>
      <c r="N2980" s="23">
        <f>IF($A2980="","",COUNTIFS(NOVEDADES!$C$4:$C$1503,$A2980))</f>
        <v/>
      </c>
      <c r="O2980" s="27">
        <f>IF($A2980="","",IF(COUNTIFS(NOVEDADES!$C$4:$C$1503,$A2980,NOVEDADES!$M$4:$M$1503,"SÍ")&gt;0,"No","Sí"))</f>
        <v/>
      </c>
      <c r="P2980" s="27">
        <f>IF(OR($A2980="",$K2980=""),"",IF(AND($M2980="Sí",$O2980="Sí"),"OTIF","Falló"))</f>
        <v/>
      </c>
    </row>
    <row r="2981" ht="16" customHeight="1">
      <c r="A2981" s="47" t="n"/>
      <c r="B2981" s="46" t="n"/>
      <c r="C2981" s="49" t="n"/>
      <c r="D2981" s="49" t="n"/>
      <c r="E2981" s="49" t="n"/>
      <c r="F2981" s="49" t="n"/>
      <c r="G2981" s="47" t="n"/>
      <c r="H2981" s="50" t="n"/>
      <c r="I2981" s="51" t="n"/>
      <c r="J2981" s="46" t="n"/>
      <c r="K2981" s="46" t="n"/>
      <c r="L2981" s="23">
        <f>IF(OR($A2981="",$B2981=""),"",IF($K2981&lt;&gt;"",$K2981-$B2981,TODAY()-$B2981))</f>
        <v/>
      </c>
      <c r="M2981" s="27">
        <f>IF(OR($A2981="",$J2981=""),"",IF($K2981="",IF(TODAY()&gt;$J2981,"Atrasado","En ruta"),IF($K2981&lt;=$J2981,"Sí","No")))</f>
        <v/>
      </c>
      <c r="N2981" s="23">
        <f>IF($A2981="","",COUNTIFS(NOVEDADES!$C$4:$C$1503,$A2981))</f>
        <v/>
      </c>
      <c r="O2981" s="27">
        <f>IF($A2981="","",IF(COUNTIFS(NOVEDADES!$C$4:$C$1503,$A2981,NOVEDADES!$M$4:$M$1503,"SÍ")&gt;0,"No","Sí"))</f>
        <v/>
      </c>
      <c r="P2981" s="27">
        <f>IF(OR($A2981="",$K2981=""),"",IF(AND($M2981="Sí",$O2981="Sí"),"OTIF","Falló"))</f>
        <v/>
      </c>
    </row>
    <row r="2982" ht="16" customHeight="1">
      <c r="A2982" s="47" t="n"/>
      <c r="B2982" s="46" t="n"/>
      <c r="C2982" s="49" t="n"/>
      <c r="D2982" s="49" t="n"/>
      <c r="E2982" s="49" t="n"/>
      <c r="F2982" s="49" t="n"/>
      <c r="G2982" s="47" t="n"/>
      <c r="H2982" s="50" t="n"/>
      <c r="I2982" s="51" t="n"/>
      <c r="J2982" s="46" t="n"/>
      <c r="K2982" s="46" t="n"/>
      <c r="L2982" s="23">
        <f>IF(OR($A2982="",$B2982=""),"",IF($K2982&lt;&gt;"",$K2982-$B2982,TODAY()-$B2982))</f>
        <v/>
      </c>
      <c r="M2982" s="27">
        <f>IF(OR($A2982="",$J2982=""),"",IF($K2982="",IF(TODAY()&gt;$J2982,"Atrasado","En ruta"),IF($K2982&lt;=$J2982,"Sí","No")))</f>
        <v/>
      </c>
      <c r="N2982" s="23">
        <f>IF($A2982="","",COUNTIFS(NOVEDADES!$C$4:$C$1503,$A2982))</f>
        <v/>
      </c>
      <c r="O2982" s="27">
        <f>IF($A2982="","",IF(COUNTIFS(NOVEDADES!$C$4:$C$1503,$A2982,NOVEDADES!$M$4:$M$1503,"SÍ")&gt;0,"No","Sí"))</f>
        <v/>
      </c>
      <c r="P2982" s="27">
        <f>IF(OR($A2982="",$K2982=""),"",IF(AND($M2982="Sí",$O2982="Sí"),"OTIF","Falló"))</f>
        <v/>
      </c>
    </row>
    <row r="2983" ht="16" customHeight="1">
      <c r="A2983" s="47" t="n"/>
      <c r="B2983" s="46" t="n"/>
      <c r="C2983" s="49" t="n"/>
      <c r="D2983" s="49" t="n"/>
      <c r="E2983" s="49" t="n"/>
      <c r="F2983" s="49" t="n"/>
      <c r="G2983" s="47" t="n"/>
      <c r="H2983" s="50" t="n"/>
      <c r="I2983" s="51" t="n"/>
      <c r="J2983" s="46" t="n"/>
      <c r="K2983" s="46" t="n"/>
      <c r="L2983" s="23">
        <f>IF(OR($A2983="",$B2983=""),"",IF($K2983&lt;&gt;"",$K2983-$B2983,TODAY()-$B2983))</f>
        <v/>
      </c>
      <c r="M2983" s="27">
        <f>IF(OR($A2983="",$J2983=""),"",IF($K2983="",IF(TODAY()&gt;$J2983,"Atrasado","En ruta"),IF($K2983&lt;=$J2983,"Sí","No")))</f>
        <v/>
      </c>
      <c r="N2983" s="23">
        <f>IF($A2983="","",COUNTIFS(NOVEDADES!$C$4:$C$1503,$A2983))</f>
        <v/>
      </c>
      <c r="O2983" s="27">
        <f>IF($A2983="","",IF(COUNTIFS(NOVEDADES!$C$4:$C$1503,$A2983,NOVEDADES!$M$4:$M$1503,"SÍ")&gt;0,"No","Sí"))</f>
        <v/>
      </c>
      <c r="P2983" s="27">
        <f>IF(OR($A2983="",$K2983=""),"",IF(AND($M2983="Sí",$O2983="Sí"),"OTIF","Falló"))</f>
        <v/>
      </c>
    </row>
    <row r="2984" ht="16" customHeight="1">
      <c r="A2984" s="47" t="n"/>
      <c r="B2984" s="46" t="n"/>
      <c r="C2984" s="49" t="n"/>
      <c r="D2984" s="49" t="n"/>
      <c r="E2984" s="49" t="n"/>
      <c r="F2984" s="49" t="n"/>
      <c r="G2984" s="47" t="n"/>
      <c r="H2984" s="50" t="n"/>
      <c r="I2984" s="51" t="n"/>
      <c r="J2984" s="46" t="n"/>
      <c r="K2984" s="46" t="n"/>
      <c r="L2984" s="23">
        <f>IF(OR($A2984="",$B2984=""),"",IF($K2984&lt;&gt;"",$K2984-$B2984,TODAY()-$B2984))</f>
        <v/>
      </c>
      <c r="M2984" s="27">
        <f>IF(OR($A2984="",$J2984=""),"",IF($K2984="",IF(TODAY()&gt;$J2984,"Atrasado","En ruta"),IF($K2984&lt;=$J2984,"Sí","No")))</f>
        <v/>
      </c>
      <c r="N2984" s="23">
        <f>IF($A2984="","",COUNTIFS(NOVEDADES!$C$4:$C$1503,$A2984))</f>
        <v/>
      </c>
      <c r="O2984" s="27">
        <f>IF($A2984="","",IF(COUNTIFS(NOVEDADES!$C$4:$C$1503,$A2984,NOVEDADES!$M$4:$M$1503,"SÍ")&gt;0,"No","Sí"))</f>
        <v/>
      </c>
      <c r="P2984" s="27">
        <f>IF(OR($A2984="",$K2984=""),"",IF(AND($M2984="Sí",$O2984="Sí"),"OTIF","Falló"))</f>
        <v/>
      </c>
    </row>
    <row r="2985" ht="16" customHeight="1">
      <c r="A2985" s="47" t="n"/>
      <c r="B2985" s="46" t="n"/>
      <c r="C2985" s="49" t="n"/>
      <c r="D2985" s="49" t="n"/>
      <c r="E2985" s="49" t="n"/>
      <c r="F2985" s="49" t="n"/>
      <c r="G2985" s="47" t="n"/>
      <c r="H2985" s="50" t="n"/>
      <c r="I2985" s="51" t="n"/>
      <c r="J2985" s="46" t="n"/>
      <c r="K2985" s="46" t="n"/>
      <c r="L2985" s="23">
        <f>IF(OR($A2985="",$B2985=""),"",IF($K2985&lt;&gt;"",$K2985-$B2985,TODAY()-$B2985))</f>
        <v/>
      </c>
      <c r="M2985" s="27">
        <f>IF(OR($A2985="",$J2985=""),"",IF($K2985="",IF(TODAY()&gt;$J2985,"Atrasado","En ruta"),IF($K2985&lt;=$J2985,"Sí","No")))</f>
        <v/>
      </c>
      <c r="N2985" s="23">
        <f>IF($A2985="","",COUNTIFS(NOVEDADES!$C$4:$C$1503,$A2985))</f>
        <v/>
      </c>
      <c r="O2985" s="27">
        <f>IF($A2985="","",IF(COUNTIFS(NOVEDADES!$C$4:$C$1503,$A2985,NOVEDADES!$M$4:$M$1503,"SÍ")&gt;0,"No","Sí"))</f>
        <v/>
      </c>
      <c r="P2985" s="27">
        <f>IF(OR($A2985="",$K2985=""),"",IF(AND($M2985="Sí",$O2985="Sí"),"OTIF","Falló"))</f>
        <v/>
      </c>
    </row>
    <row r="2986" ht="16" customHeight="1">
      <c r="A2986" s="47" t="n"/>
      <c r="B2986" s="46" t="n"/>
      <c r="C2986" s="49" t="n"/>
      <c r="D2986" s="49" t="n"/>
      <c r="E2986" s="49" t="n"/>
      <c r="F2986" s="49" t="n"/>
      <c r="G2986" s="47" t="n"/>
      <c r="H2986" s="50" t="n"/>
      <c r="I2986" s="51" t="n"/>
      <c r="J2986" s="46" t="n"/>
      <c r="K2986" s="46" t="n"/>
      <c r="L2986" s="23">
        <f>IF(OR($A2986="",$B2986=""),"",IF($K2986&lt;&gt;"",$K2986-$B2986,TODAY()-$B2986))</f>
        <v/>
      </c>
      <c r="M2986" s="27">
        <f>IF(OR($A2986="",$J2986=""),"",IF($K2986="",IF(TODAY()&gt;$J2986,"Atrasado","En ruta"),IF($K2986&lt;=$J2986,"Sí","No")))</f>
        <v/>
      </c>
      <c r="N2986" s="23">
        <f>IF($A2986="","",COUNTIFS(NOVEDADES!$C$4:$C$1503,$A2986))</f>
        <v/>
      </c>
      <c r="O2986" s="27">
        <f>IF($A2986="","",IF(COUNTIFS(NOVEDADES!$C$4:$C$1503,$A2986,NOVEDADES!$M$4:$M$1503,"SÍ")&gt;0,"No","Sí"))</f>
        <v/>
      </c>
      <c r="P2986" s="27">
        <f>IF(OR($A2986="",$K2986=""),"",IF(AND($M2986="Sí",$O2986="Sí"),"OTIF","Falló"))</f>
        <v/>
      </c>
    </row>
    <row r="2987" ht="16" customHeight="1">
      <c r="A2987" s="47" t="n"/>
      <c r="B2987" s="46" t="n"/>
      <c r="C2987" s="49" t="n"/>
      <c r="D2987" s="49" t="n"/>
      <c r="E2987" s="49" t="n"/>
      <c r="F2987" s="49" t="n"/>
      <c r="G2987" s="47" t="n"/>
      <c r="H2987" s="50" t="n"/>
      <c r="I2987" s="51" t="n"/>
      <c r="J2987" s="46" t="n"/>
      <c r="K2987" s="46" t="n"/>
      <c r="L2987" s="23">
        <f>IF(OR($A2987="",$B2987=""),"",IF($K2987&lt;&gt;"",$K2987-$B2987,TODAY()-$B2987))</f>
        <v/>
      </c>
      <c r="M2987" s="27">
        <f>IF(OR($A2987="",$J2987=""),"",IF($K2987="",IF(TODAY()&gt;$J2987,"Atrasado","En ruta"),IF($K2987&lt;=$J2987,"Sí","No")))</f>
        <v/>
      </c>
      <c r="N2987" s="23">
        <f>IF($A2987="","",COUNTIFS(NOVEDADES!$C$4:$C$1503,$A2987))</f>
        <v/>
      </c>
      <c r="O2987" s="27">
        <f>IF($A2987="","",IF(COUNTIFS(NOVEDADES!$C$4:$C$1503,$A2987,NOVEDADES!$M$4:$M$1503,"SÍ")&gt;0,"No","Sí"))</f>
        <v/>
      </c>
      <c r="P2987" s="27">
        <f>IF(OR($A2987="",$K2987=""),"",IF(AND($M2987="Sí",$O2987="Sí"),"OTIF","Falló"))</f>
        <v/>
      </c>
    </row>
    <row r="2988" ht="16" customHeight="1">
      <c r="A2988" s="47" t="n"/>
      <c r="B2988" s="46" t="n"/>
      <c r="C2988" s="49" t="n"/>
      <c r="D2988" s="49" t="n"/>
      <c r="E2988" s="49" t="n"/>
      <c r="F2988" s="49" t="n"/>
      <c r="G2988" s="47" t="n"/>
      <c r="H2988" s="50" t="n"/>
      <c r="I2988" s="51" t="n"/>
      <c r="J2988" s="46" t="n"/>
      <c r="K2988" s="46" t="n"/>
      <c r="L2988" s="23">
        <f>IF(OR($A2988="",$B2988=""),"",IF($K2988&lt;&gt;"",$K2988-$B2988,TODAY()-$B2988))</f>
        <v/>
      </c>
      <c r="M2988" s="27">
        <f>IF(OR($A2988="",$J2988=""),"",IF($K2988="",IF(TODAY()&gt;$J2988,"Atrasado","En ruta"),IF($K2988&lt;=$J2988,"Sí","No")))</f>
        <v/>
      </c>
      <c r="N2988" s="23">
        <f>IF($A2988="","",COUNTIFS(NOVEDADES!$C$4:$C$1503,$A2988))</f>
        <v/>
      </c>
      <c r="O2988" s="27">
        <f>IF($A2988="","",IF(COUNTIFS(NOVEDADES!$C$4:$C$1503,$A2988,NOVEDADES!$M$4:$M$1503,"SÍ")&gt;0,"No","Sí"))</f>
        <v/>
      </c>
      <c r="P2988" s="27">
        <f>IF(OR($A2988="",$K2988=""),"",IF(AND($M2988="Sí",$O2988="Sí"),"OTIF","Falló"))</f>
        <v/>
      </c>
    </row>
    <row r="2989" ht="16" customHeight="1">
      <c r="A2989" s="47" t="n"/>
      <c r="B2989" s="46" t="n"/>
      <c r="C2989" s="49" t="n"/>
      <c r="D2989" s="49" t="n"/>
      <c r="E2989" s="49" t="n"/>
      <c r="F2989" s="49" t="n"/>
      <c r="G2989" s="47" t="n"/>
      <c r="H2989" s="50" t="n"/>
      <c r="I2989" s="51" t="n"/>
      <c r="J2989" s="46" t="n"/>
      <c r="K2989" s="46" t="n"/>
      <c r="L2989" s="23">
        <f>IF(OR($A2989="",$B2989=""),"",IF($K2989&lt;&gt;"",$K2989-$B2989,TODAY()-$B2989))</f>
        <v/>
      </c>
      <c r="M2989" s="27">
        <f>IF(OR($A2989="",$J2989=""),"",IF($K2989="",IF(TODAY()&gt;$J2989,"Atrasado","En ruta"),IF($K2989&lt;=$J2989,"Sí","No")))</f>
        <v/>
      </c>
      <c r="N2989" s="23">
        <f>IF($A2989="","",COUNTIFS(NOVEDADES!$C$4:$C$1503,$A2989))</f>
        <v/>
      </c>
      <c r="O2989" s="27">
        <f>IF($A2989="","",IF(COUNTIFS(NOVEDADES!$C$4:$C$1503,$A2989,NOVEDADES!$M$4:$M$1503,"SÍ")&gt;0,"No","Sí"))</f>
        <v/>
      </c>
      <c r="P2989" s="27">
        <f>IF(OR($A2989="",$K2989=""),"",IF(AND($M2989="Sí",$O2989="Sí"),"OTIF","Falló"))</f>
        <v/>
      </c>
    </row>
    <row r="2990" ht="16" customHeight="1">
      <c r="A2990" s="47" t="n"/>
      <c r="B2990" s="46" t="n"/>
      <c r="C2990" s="49" t="n"/>
      <c r="D2990" s="49" t="n"/>
      <c r="E2990" s="49" t="n"/>
      <c r="F2990" s="49" t="n"/>
      <c r="G2990" s="47" t="n"/>
      <c r="H2990" s="50" t="n"/>
      <c r="I2990" s="51" t="n"/>
      <c r="J2990" s="46" t="n"/>
      <c r="K2990" s="46" t="n"/>
      <c r="L2990" s="23">
        <f>IF(OR($A2990="",$B2990=""),"",IF($K2990&lt;&gt;"",$K2990-$B2990,TODAY()-$B2990))</f>
        <v/>
      </c>
      <c r="M2990" s="27">
        <f>IF(OR($A2990="",$J2990=""),"",IF($K2990="",IF(TODAY()&gt;$J2990,"Atrasado","En ruta"),IF($K2990&lt;=$J2990,"Sí","No")))</f>
        <v/>
      </c>
      <c r="N2990" s="23">
        <f>IF($A2990="","",COUNTIFS(NOVEDADES!$C$4:$C$1503,$A2990))</f>
        <v/>
      </c>
      <c r="O2990" s="27">
        <f>IF($A2990="","",IF(COUNTIFS(NOVEDADES!$C$4:$C$1503,$A2990,NOVEDADES!$M$4:$M$1503,"SÍ")&gt;0,"No","Sí"))</f>
        <v/>
      </c>
      <c r="P2990" s="27">
        <f>IF(OR($A2990="",$K2990=""),"",IF(AND($M2990="Sí",$O2990="Sí"),"OTIF","Falló"))</f>
        <v/>
      </c>
    </row>
    <row r="2991" ht="16" customHeight="1">
      <c r="A2991" s="47" t="n"/>
      <c r="B2991" s="46" t="n"/>
      <c r="C2991" s="49" t="n"/>
      <c r="D2991" s="49" t="n"/>
      <c r="E2991" s="49" t="n"/>
      <c r="F2991" s="49" t="n"/>
      <c r="G2991" s="47" t="n"/>
      <c r="H2991" s="50" t="n"/>
      <c r="I2991" s="51" t="n"/>
      <c r="J2991" s="46" t="n"/>
      <c r="K2991" s="46" t="n"/>
      <c r="L2991" s="23">
        <f>IF(OR($A2991="",$B2991=""),"",IF($K2991&lt;&gt;"",$K2991-$B2991,TODAY()-$B2991))</f>
        <v/>
      </c>
      <c r="M2991" s="27">
        <f>IF(OR($A2991="",$J2991=""),"",IF($K2991="",IF(TODAY()&gt;$J2991,"Atrasado","En ruta"),IF($K2991&lt;=$J2991,"Sí","No")))</f>
        <v/>
      </c>
      <c r="N2991" s="23">
        <f>IF($A2991="","",COUNTIFS(NOVEDADES!$C$4:$C$1503,$A2991))</f>
        <v/>
      </c>
      <c r="O2991" s="27">
        <f>IF($A2991="","",IF(COUNTIFS(NOVEDADES!$C$4:$C$1503,$A2991,NOVEDADES!$M$4:$M$1503,"SÍ")&gt;0,"No","Sí"))</f>
        <v/>
      </c>
      <c r="P2991" s="27">
        <f>IF(OR($A2991="",$K2991=""),"",IF(AND($M2991="Sí",$O2991="Sí"),"OTIF","Falló"))</f>
        <v/>
      </c>
    </row>
    <row r="2992" ht="16" customHeight="1">
      <c r="A2992" s="47" t="n"/>
      <c r="B2992" s="46" t="n"/>
      <c r="C2992" s="49" t="n"/>
      <c r="D2992" s="49" t="n"/>
      <c r="E2992" s="49" t="n"/>
      <c r="F2992" s="49" t="n"/>
      <c r="G2992" s="47" t="n"/>
      <c r="H2992" s="50" t="n"/>
      <c r="I2992" s="51" t="n"/>
      <c r="J2992" s="46" t="n"/>
      <c r="K2992" s="46" t="n"/>
      <c r="L2992" s="23">
        <f>IF(OR($A2992="",$B2992=""),"",IF($K2992&lt;&gt;"",$K2992-$B2992,TODAY()-$B2992))</f>
        <v/>
      </c>
      <c r="M2992" s="27">
        <f>IF(OR($A2992="",$J2992=""),"",IF($K2992="",IF(TODAY()&gt;$J2992,"Atrasado","En ruta"),IF($K2992&lt;=$J2992,"Sí","No")))</f>
        <v/>
      </c>
      <c r="N2992" s="23">
        <f>IF($A2992="","",COUNTIFS(NOVEDADES!$C$4:$C$1503,$A2992))</f>
        <v/>
      </c>
      <c r="O2992" s="27">
        <f>IF($A2992="","",IF(COUNTIFS(NOVEDADES!$C$4:$C$1503,$A2992,NOVEDADES!$M$4:$M$1503,"SÍ")&gt;0,"No","Sí"))</f>
        <v/>
      </c>
      <c r="P2992" s="27">
        <f>IF(OR($A2992="",$K2992=""),"",IF(AND($M2992="Sí",$O2992="Sí"),"OTIF","Falló"))</f>
        <v/>
      </c>
    </row>
    <row r="2993" ht="16" customHeight="1">
      <c r="A2993" s="47" t="n"/>
      <c r="B2993" s="46" t="n"/>
      <c r="C2993" s="49" t="n"/>
      <c r="D2993" s="49" t="n"/>
      <c r="E2993" s="49" t="n"/>
      <c r="F2993" s="49" t="n"/>
      <c r="G2993" s="47" t="n"/>
      <c r="H2993" s="50" t="n"/>
      <c r="I2993" s="51" t="n"/>
      <c r="J2993" s="46" t="n"/>
      <c r="K2993" s="46" t="n"/>
      <c r="L2993" s="23">
        <f>IF(OR($A2993="",$B2993=""),"",IF($K2993&lt;&gt;"",$K2993-$B2993,TODAY()-$B2993))</f>
        <v/>
      </c>
      <c r="M2993" s="27">
        <f>IF(OR($A2993="",$J2993=""),"",IF($K2993="",IF(TODAY()&gt;$J2993,"Atrasado","En ruta"),IF($K2993&lt;=$J2993,"Sí","No")))</f>
        <v/>
      </c>
      <c r="N2993" s="23">
        <f>IF($A2993="","",COUNTIFS(NOVEDADES!$C$4:$C$1503,$A2993))</f>
        <v/>
      </c>
      <c r="O2993" s="27">
        <f>IF($A2993="","",IF(COUNTIFS(NOVEDADES!$C$4:$C$1503,$A2993,NOVEDADES!$M$4:$M$1503,"SÍ")&gt;0,"No","Sí"))</f>
        <v/>
      </c>
      <c r="P2993" s="27">
        <f>IF(OR($A2993="",$K2993=""),"",IF(AND($M2993="Sí",$O2993="Sí"),"OTIF","Falló"))</f>
        <v/>
      </c>
    </row>
    <row r="2994" ht="16" customHeight="1">
      <c r="A2994" s="47" t="n"/>
      <c r="B2994" s="46" t="n"/>
      <c r="C2994" s="49" t="n"/>
      <c r="D2994" s="49" t="n"/>
      <c r="E2994" s="49" t="n"/>
      <c r="F2994" s="49" t="n"/>
      <c r="G2994" s="47" t="n"/>
      <c r="H2994" s="50" t="n"/>
      <c r="I2994" s="51" t="n"/>
      <c r="J2994" s="46" t="n"/>
      <c r="K2994" s="46" t="n"/>
      <c r="L2994" s="23">
        <f>IF(OR($A2994="",$B2994=""),"",IF($K2994&lt;&gt;"",$K2994-$B2994,TODAY()-$B2994))</f>
        <v/>
      </c>
      <c r="M2994" s="27">
        <f>IF(OR($A2994="",$J2994=""),"",IF($K2994="",IF(TODAY()&gt;$J2994,"Atrasado","En ruta"),IF($K2994&lt;=$J2994,"Sí","No")))</f>
        <v/>
      </c>
      <c r="N2994" s="23">
        <f>IF($A2994="","",COUNTIFS(NOVEDADES!$C$4:$C$1503,$A2994))</f>
        <v/>
      </c>
      <c r="O2994" s="27">
        <f>IF($A2994="","",IF(COUNTIFS(NOVEDADES!$C$4:$C$1503,$A2994,NOVEDADES!$M$4:$M$1503,"SÍ")&gt;0,"No","Sí"))</f>
        <v/>
      </c>
      <c r="P2994" s="27">
        <f>IF(OR($A2994="",$K2994=""),"",IF(AND($M2994="Sí",$O2994="Sí"),"OTIF","Falló"))</f>
        <v/>
      </c>
    </row>
    <row r="2995" ht="16" customHeight="1">
      <c r="A2995" s="47" t="n"/>
      <c r="B2995" s="46" t="n"/>
      <c r="C2995" s="49" t="n"/>
      <c r="D2995" s="49" t="n"/>
      <c r="E2995" s="49" t="n"/>
      <c r="F2995" s="49" t="n"/>
      <c r="G2995" s="47" t="n"/>
      <c r="H2995" s="50" t="n"/>
      <c r="I2995" s="51" t="n"/>
      <c r="J2995" s="46" t="n"/>
      <c r="K2995" s="46" t="n"/>
      <c r="L2995" s="23">
        <f>IF(OR($A2995="",$B2995=""),"",IF($K2995&lt;&gt;"",$K2995-$B2995,TODAY()-$B2995))</f>
        <v/>
      </c>
      <c r="M2995" s="27">
        <f>IF(OR($A2995="",$J2995=""),"",IF($K2995="",IF(TODAY()&gt;$J2995,"Atrasado","En ruta"),IF($K2995&lt;=$J2995,"Sí","No")))</f>
        <v/>
      </c>
      <c r="N2995" s="23">
        <f>IF($A2995="","",COUNTIFS(NOVEDADES!$C$4:$C$1503,$A2995))</f>
        <v/>
      </c>
      <c r="O2995" s="27">
        <f>IF($A2995="","",IF(COUNTIFS(NOVEDADES!$C$4:$C$1503,$A2995,NOVEDADES!$M$4:$M$1503,"SÍ")&gt;0,"No","Sí"))</f>
        <v/>
      </c>
      <c r="P2995" s="27">
        <f>IF(OR($A2995="",$K2995=""),"",IF(AND($M2995="Sí",$O2995="Sí"),"OTIF","Falló"))</f>
        <v/>
      </c>
    </row>
    <row r="2996" ht="16" customHeight="1">
      <c r="A2996" s="47" t="n"/>
      <c r="B2996" s="46" t="n"/>
      <c r="C2996" s="49" t="n"/>
      <c r="D2996" s="49" t="n"/>
      <c r="E2996" s="49" t="n"/>
      <c r="F2996" s="49" t="n"/>
      <c r="G2996" s="47" t="n"/>
      <c r="H2996" s="50" t="n"/>
      <c r="I2996" s="51" t="n"/>
      <c r="J2996" s="46" t="n"/>
      <c r="K2996" s="46" t="n"/>
      <c r="L2996" s="23">
        <f>IF(OR($A2996="",$B2996=""),"",IF($K2996&lt;&gt;"",$K2996-$B2996,TODAY()-$B2996))</f>
        <v/>
      </c>
      <c r="M2996" s="27">
        <f>IF(OR($A2996="",$J2996=""),"",IF($K2996="",IF(TODAY()&gt;$J2996,"Atrasado","En ruta"),IF($K2996&lt;=$J2996,"Sí","No")))</f>
        <v/>
      </c>
      <c r="N2996" s="23">
        <f>IF($A2996="","",COUNTIFS(NOVEDADES!$C$4:$C$1503,$A2996))</f>
        <v/>
      </c>
      <c r="O2996" s="27">
        <f>IF($A2996="","",IF(COUNTIFS(NOVEDADES!$C$4:$C$1503,$A2996,NOVEDADES!$M$4:$M$1503,"SÍ")&gt;0,"No","Sí"))</f>
        <v/>
      </c>
      <c r="P2996" s="27">
        <f>IF(OR($A2996="",$K2996=""),"",IF(AND($M2996="Sí",$O2996="Sí"),"OTIF","Falló"))</f>
        <v/>
      </c>
    </row>
    <row r="2997" ht="16" customHeight="1">
      <c r="A2997" s="47" t="n"/>
      <c r="B2997" s="46" t="n"/>
      <c r="C2997" s="49" t="n"/>
      <c r="D2997" s="49" t="n"/>
      <c r="E2997" s="49" t="n"/>
      <c r="F2997" s="49" t="n"/>
      <c r="G2997" s="47" t="n"/>
      <c r="H2997" s="50" t="n"/>
      <c r="I2997" s="51" t="n"/>
      <c r="J2997" s="46" t="n"/>
      <c r="K2997" s="46" t="n"/>
      <c r="L2997" s="23">
        <f>IF(OR($A2997="",$B2997=""),"",IF($K2997&lt;&gt;"",$K2997-$B2997,TODAY()-$B2997))</f>
        <v/>
      </c>
      <c r="M2997" s="27">
        <f>IF(OR($A2997="",$J2997=""),"",IF($K2997="",IF(TODAY()&gt;$J2997,"Atrasado","En ruta"),IF($K2997&lt;=$J2997,"Sí","No")))</f>
        <v/>
      </c>
      <c r="N2997" s="23">
        <f>IF($A2997="","",COUNTIFS(NOVEDADES!$C$4:$C$1503,$A2997))</f>
        <v/>
      </c>
      <c r="O2997" s="27">
        <f>IF($A2997="","",IF(COUNTIFS(NOVEDADES!$C$4:$C$1503,$A2997,NOVEDADES!$M$4:$M$1503,"SÍ")&gt;0,"No","Sí"))</f>
        <v/>
      </c>
      <c r="P2997" s="27">
        <f>IF(OR($A2997="",$K2997=""),"",IF(AND($M2997="Sí",$O2997="Sí"),"OTIF","Falló"))</f>
        <v/>
      </c>
    </row>
    <row r="2998" ht="16" customHeight="1">
      <c r="A2998" s="47" t="n"/>
      <c r="B2998" s="46" t="n"/>
      <c r="C2998" s="49" t="n"/>
      <c r="D2998" s="49" t="n"/>
      <c r="E2998" s="49" t="n"/>
      <c r="F2998" s="49" t="n"/>
      <c r="G2998" s="47" t="n"/>
      <c r="H2998" s="50" t="n"/>
      <c r="I2998" s="51" t="n"/>
      <c r="J2998" s="46" t="n"/>
      <c r="K2998" s="46" t="n"/>
      <c r="L2998" s="23">
        <f>IF(OR($A2998="",$B2998=""),"",IF($K2998&lt;&gt;"",$K2998-$B2998,TODAY()-$B2998))</f>
        <v/>
      </c>
      <c r="M2998" s="27">
        <f>IF(OR($A2998="",$J2998=""),"",IF($K2998="",IF(TODAY()&gt;$J2998,"Atrasado","En ruta"),IF($K2998&lt;=$J2998,"Sí","No")))</f>
        <v/>
      </c>
      <c r="N2998" s="23">
        <f>IF($A2998="","",COUNTIFS(NOVEDADES!$C$4:$C$1503,$A2998))</f>
        <v/>
      </c>
      <c r="O2998" s="27">
        <f>IF($A2998="","",IF(COUNTIFS(NOVEDADES!$C$4:$C$1503,$A2998,NOVEDADES!$M$4:$M$1503,"SÍ")&gt;0,"No","Sí"))</f>
        <v/>
      </c>
      <c r="P2998" s="27">
        <f>IF(OR($A2998="",$K2998=""),"",IF(AND($M2998="Sí",$O2998="Sí"),"OTIF","Falló"))</f>
        <v/>
      </c>
    </row>
    <row r="2999" ht="16" customHeight="1">
      <c r="A2999" s="47" t="n"/>
      <c r="B2999" s="46" t="n"/>
      <c r="C2999" s="49" t="n"/>
      <c r="D2999" s="49" t="n"/>
      <c r="E2999" s="49" t="n"/>
      <c r="F2999" s="49" t="n"/>
      <c r="G2999" s="47" t="n"/>
      <c r="H2999" s="50" t="n"/>
      <c r="I2999" s="51" t="n"/>
      <c r="J2999" s="46" t="n"/>
      <c r="K2999" s="46" t="n"/>
      <c r="L2999" s="23">
        <f>IF(OR($A2999="",$B2999=""),"",IF($K2999&lt;&gt;"",$K2999-$B2999,TODAY()-$B2999))</f>
        <v/>
      </c>
      <c r="M2999" s="27">
        <f>IF(OR($A2999="",$J2999=""),"",IF($K2999="",IF(TODAY()&gt;$J2999,"Atrasado","En ruta"),IF($K2999&lt;=$J2999,"Sí","No")))</f>
        <v/>
      </c>
      <c r="N2999" s="23">
        <f>IF($A2999="","",COUNTIFS(NOVEDADES!$C$4:$C$1503,$A2999))</f>
        <v/>
      </c>
      <c r="O2999" s="27">
        <f>IF($A2999="","",IF(COUNTIFS(NOVEDADES!$C$4:$C$1503,$A2999,NOVEDADES!$M$4:$M$1503,"SÍ")&gt;0,"No","Sí"))</f>
        <v/>
      </c>
      <c r="P2999" s="27">
        <f>IF(OR($A2999="",$K2999=""),"",IF(AND($M2999="Sí",$O2999="Sí"),"OTIF","Falló"))</f>
        <v/>
      </c>
    </row>
    <row r="3000" ht="16" customHeight="1">
      <c r="A3000" s="47" t="n"/>
      <c r="B3000" s="46" t="n"/>
      <c r="C3000" s="49" t="n"/>
      <c r="D3000" s="49" t="n"/>
      <c r="E3000" s="49" t="n"/>
      <c r="F3000" s="49" t="n"/>
      <c r="G3000" s="47" t="n"/>
      <c r="H3000" s="50" t="n"/>
      <c r="I3000" s="51" t="n"/>
      <c r="J3000" s="46" t="n"/>
      <c r="K3000" s="46" t="n"/>
      <c r="L3000" s="23">
        <f>IF(OR($A3000="",$B3000=""),"",IF($K3000&lt;&gt;"",$K3000-$B3000,TODAY()-$B3000))</f>
        <v/>
      </c>
      <c r="M3000" s="27">
        <f>IF(OR($A3000="",$J3000=""),"",IF($K3000="",IF(TODAY()&gt;$J3000,"Atrasado","En ruta"),IF($K3000&lt;=$J3000,"Sí","No")))</f>
        <v/>
      </c>
      <c r="N3000" s="23">
        <f>IF($A3000="","",COUNTIFS(NOVEDADES!$C$4:$C$1503,$A3000))</f>
        <v/>
      </c>
      <c r="O3000" s="27">
        <f>IF($A3000="","",IF(COUNTIFS(NOVEDADES!$C$4:$C$1503,$A3000,NOVEDADES!$M$4:$M$1503,"SÍ")&gt;0,"No","Sí"))</f>
        <v/>
      </c>
      <c r="P3000" s="27">
        <f>IF(OR($A3000="",$K3000=""),"",IF(AND($M3000="Sí",$O3000="Sí"),"OTIF","Falló"))</f>
        <v/>
      </c>
    </row>
    <row r="3001" ht="16" customHeight="1">
      <c r="A3001" s="47" t="n"/>
      <c r="B3001" s="46" t="n"/>
      <c r="C3001" s="49" t="n"/>
      <c r="D3001" s="49" t="n"/>
      <c r="E3001" s="49" t="n"/>
      <c r="F3001" s="49" t="n"/>
      <c r="G3001" s="47" t="n"/>
      <c r="H3001" s="50" t="n"/>
      <c r="I3001" s="51" t="n"/>
      <c r="J3001" s="46" t="n"/>
      <c r="K3001" s="46" t="n"/>
      <c r="L3001" s="23">
        <f>IF(OR($A3001="",$B3001=""),"",IF($K3001&lt;&gt;"",$K3001-$B3001,TODAY()-$B3001))</f>
        <v/>
      </c>
      <c r="M3001" s="27">
        <f>IF(OR($A3001="",$J3001=""),"",IF($K3001="",IF(TODAY()&gt;$J3001,"Atrasado","En ruta"),IF($K3001&lt;=$J3001,"Sí","No")))</f>
        <v/>
      </c>
      <c r="N3001" s="23">
        <f>IF($A3001="","",COUNTIFS(NOVEDADES!$C$4:$C$1503,$A3001))</f>
        <v/>
      </c>
      <c r="O3001" s="27">
        <f>IF($A3001="","",IF(COUNTIFS(NOVEDADES!$C$4:$C$1503,$A3001,NOVEDADES!$M$4:$M$1503,"SÍ")&gt;0,"No","Sí"))</f>
        <v/>
      </c>
      <c r="P3001" s="27">
        <f>IF(OR($A3001="",$K3001=""),"",IF(AND($M3001="Sí",$O3001="Sí"),"OTIF","Falló"))</f>
        <v/>
      </c>
    </row>
    <row r="3002" ht="16" customHeight="1">
      <c r="A3002" s="47" t="n"/>
      <c r="B3002" s="46" t="n"/>
      <c r="C3002" s="49" t="n"/>
      <c r="D3002" s="49" t="n"/>
      <c r="E3002" s="49" t="n"/>
      <c r="F3002" s="49" t="n"/>
      <c r="G3002" s="47" t="n"/>
      <c r="H3002" s="50" t="n"/>
      <c r="I3002" s="51" t="n"/>
      <c r="J3002" s="46" t="n"/>
      <c r="K3002" s="46" t="n"/>
      <c r="L3002" s="23">
        <f>IF(OR($A3002="",$B3002=""),"",IF($K3002&lt;&gt;"",$K3002-$B3002,TODAY()-$B3002))</f>
        <v/>
      </c>
      <c r="M3002" s="27">
        <f>IF(OR($A3002="",$J3002=""),"",IF($K3002="",IF(TODAY()&gt;$J3002,"Atrasado","En ruta"),IF($K3002&lt;=$J3002,"Sí","No")))</f>
        <v/>
      </c>
      <c r="N3002" s="23">
        <f>IF($A3002="","",COUNTIFS(NOVEDADES!$C$4:$C$1503,$A3002))</f>
        <v/>
      </c>
      <c r="O3002" s="27">
        <f>IF($A3002="","",IF(COUNTIFS(NOVEDADES!$C$4:$C$1503,$A3002,NOVEDADES!$M$4:$M$1503,"SÍ")&gt;0,"No","Sí"))</f>
        <v/>
      </c>
      <c r="P3002" s="27">
        <f>IF(OR($A3002="",$K3002=""),"",IF(AND($M3002="Sí",$O3002="Sí"),"OTIF","Falló"))</f>
        <v/>
      </c>
    </row>
    <row r="3003" ht="16" customHeight="1">
      <c r="A3003" s="47" t="n"/>
      <c r="B3003" s="46" t="n"/>
      <c r="C3003" s="49" t="n"/>
      <c r="D3003" s="49" t="n"/>
      <c r="E3003" s="49" t="n"/>
      <c r="F3003" s="49" t="n"/>
      <c r="G3003" s="47" t="n"/>
      <c r="H3003" s="50" t="n"/>
      <c r="I3003" s="51" t="n"/>
      <c r="J3003" s="46" t="n"/>
      <c r="K3003" s="46" t="n"/>
      <c r="L3003" s="23">
        <f>IF(OR($A3003="",$B3003=""),"",IF($K3003&lt;&gt;"",$K3003-$B3003,TODAY()-$B3003))</f>
        <v/>
      </c>
      <c r="M3003" s="27">
        <f>IF(OR($A3003="",$J3003=""),"",IF($K3003="",IF(TODAY()&gt;$J3003,"Atrasado","En ruta"),IF($K3003&lt;=$J3003,"Sí","No")))</f>
        <v/>
      </c>
      <c r="N3003" s="23">
        <f>IF($A3003="","",COUNTIFS(NOVEDADES!$C$4:$C$1503,$A3003))</f>
        <v/>
      </c>
      <c r="O3003" s="27">
        <f>IF($A3003="","",IF(COUNTIFS(NOVEDADES!$C$4:$C$1503,$A3003,NOVEDADES!$M$4:$M$1503,"SÍ")&gt;0,"No","Sí"))</f>
        <v/>
      </c>
      <c r="P3003" s="27">
        <f>IF(OR($A3003="",$K3003=""),"",IF(AND($M3003="Sí",$O3003="Sí"),"OTIF","Falló"))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3:P3003"/>
  <mergeCells count="4">
    <mergeCell ref="K2"/>
    <mergeCell ref="A1:P1"/>
    <mergeCell ref="L2:P2"/>
    <mergeCell ref="A2:J2"/>
  </mergeCells>
  <conditionalFormatting sqref="M4:M3003">
    <cfRule type="cellIs" priority="1" operator="equal" dxfId="3">
      <formula>"Sí"</formula>
    </cfRule>
    <cfRule type="cellIs" priority="2" operator="equal" dxfId="6">
      <formula>"No"</formula>
    </cfRule>
    <cfRule type="cellIs" priority="3" operator="equal" dxfId="8">
      <formula>"En ruta"</formula>
    </cfRule>
    <cfRule type="cellIs" priority="4" operator="equal" dxfId="6">
      <formula>"Atrasado"</formula>
    </cfRule>
  </conditionalFormatting>
  <conditionalFormatting sqref="O4:O3003">
    <cfRule type="cellIs" priority="5" operator="equal" dxfId="3">
      <formula>"Sí"</formula>
    </cfRule>
    <cfRule type="cellIs" priority="6" operator="equal" dxfId="6">
      <formula>"No"</formula>
    </cfRule>
  </conditionalFormatting>
  <conditionalFormatting sqref="P4:P3003">
    <cfRule type="cellIs" priority="7" operator="equal" dxfId="3">
      <formula>"OTIF"</formula>
    </cfRule>
    <cfRule type="cellIs" priority="8" operator="equal" dxfId="6">
      <formula>"Falló"</formula>
    </cfRule>
  </conditionalFormatting>
  <conditionalFormatting sqref="N4:N3003">
    <cfRule type="cellIs" priority="9" operator="greaterThan" dxfId="5">
      <formula>0</formula>
    </cfRule>
  </conditionalFormatting>
  <conditionalFormatting sqref="A4:P3003">
    <cfRule type="expression" priority="10" dxfId="11">
      <formula>AND($A4&lt;&gt;"",COUNTIFS($A$4:$A$3003,$A4)&gt;1)</formula>
    </cfRule>
  </conditionalFormatting>
  <dataValidations count="6">
    <dataValidation sqref="E4:E3003" showDropDown="0" showInputMessage="0" showErrorMessage="1" allowBlank="1" errorTitle="Transportadora nueva" error="No está en CONFIG. Si es correcta, agréguela en CONFIG columna M para que entre al tablero." type="list" errorStyle="warning">
      <formula1>TRANSPORTADORAS</formula1>
    </dataValidation>
    <dataValidation sqref="B4:B3003" showDropDown="0" showInputMessage="0" showErrorMessage="1" allowBlank="1" errorTitle="Fecha no válida" error="Escriba una fecha real (dd/mm/aaaa)." type="date" errorStyle="warning" operator="between">
      <formula1>DATE(2020,1,1)</formula1>
      <formula2>DATE(2040,12,31)</formula2>
    </dataValidation>
    <dataValidation sqref="J4:J3003" showDropDown="0" showInputMessage="0" showErrorMessage="1" allowBlank="1" errorTitle="Fecha no válida" error="Escriba una fecha real (dd/mm/aaaa)." type="date" errorStyle="warning" operator="between">
      <formula1>DATE(2020,1,1)</formula1>
      <formula2>DATE(2040,12,31)</formula2>
    </dataValidation>
    <dataValidation sqref="K4:K3003" showDropDown="0" showInputMessage="0" showErrorMessage="1" allowBlank="1" errorTitle="Fecha no válida" error="Escriba una fecha real (dd/mm/aaaa)." type="date" errorStyle="warning" operator="between">
      <formula1>DATE(2020,1,1)</formula1>
      <formula2>DATE(2040,12,31)</formula2>
    </dataValidation>
    <dataValidation sqref="H4:H3003" showDropDown="0" showInputMessage="0" showErrorMessage="1" allowBlank="1" errorTitle="Valor inválido" error="Debe ser un número mayor o igual a 0." type="decimal" errorStyle="warning" operator="greaterThanOrEqual">
      <formula1>0</formula1>
    </dataValidation>
    <dataValidation sqref="I4:I3003" showDropDown="0" showInputMessage="0" showErrorMessage="1" allowBlank="1" errorTitle="Valor inválido" error="Debe ser un número mayor o igual a 0." type="decimal" errorStyle="warning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64748B"/>
    <outlinePr summaryBelow="1" summaryRight="1"/>
    <pageSetUpPr/>
  </sheetPr>
  <dimension ref="A1:Q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5" customWidth="1" min="3" max="3"/>
    <col width="18" customWidth="1" min="4" max="4"/>
    <col width="2" customWidth="1" min="5" max="5"/>
    <col width="40" customWidth="1" min="6" max="6"/>
    <col width="16" customWidth="1" min="7" max="7"/>
    <col width="16" customWidth="1" min="8" max="8"/>
    <col width="2" customWidth="1" min="9" max="9"/>
    <col width="28" customWidth="1" min="10" max="10"/>
    <col width="16" customWidth="1" min="11" max="11"/>
    <col width="2" customWidth="1" min="12" max="12"/>
    <col width="24" customWidth="1" min="13" max="13"/>
    <col width="2" customWidth="1" min="14" max="14"/>
    <col width="26" customWidth="1" min="15" max="15"/>
    <col width="2" customWidth="1" min="16" max="16"/>
    <col width="30" customWidth="1" min="17" max="17"/>
  </cols>
  <sheetData>
    <row r="1" ht="34" customHeight="1">
      <c r="A1" s="1" t="inlineStr">
        <is>
          <t>CONFIG · catálogos y reglas de negocio</t>
        </is>
      </c>
    </row>
    <row r="2">
      <c r="A2" s="7" t="inlineStr">
        <is>
          <t>Aquí se cambia el comportamiento de toda la matriz sin tocar una sola fórmula. Agregue filas hacia abajo: las listas desplegables crecen solas.</t>
        </is>
      </c>
    </row>
    <row r="3" ht="30" customHeight="1">
      <c r="A3" s="45" t="inlineStr">
        <is>
          <t>TIPO DE NOVEDAD</t>
        </is>
      </c>
      <c r="B3" s="45" t="inlineStr">
        <is>
          <t>GRAVEDAD</t>
        </is>
      </c>
      <c r="C3" s="45" t="inlineStr">
        <is>
          <t>SLA (días hábiles)</t>
        </is>
      </c>
      <c r="D3" s="45" t="inlineStr">
        <is>
          <t>¿AFECTA LA ENTREGA?</t>
        </is>
      </c>
      <c r="F3" s="45" t="inlineStr">
        <is>
          <t>CAUSA RAÍZ</t>
        </is>
      </c>
      <c r="G3" s="45" t="inlineStr">
        <is>
          <t>FAMILIA (6M)</t>
        </is>
      </c>
      <c r="H3" s="45" t="inlineStr">
        <is>
          <t>ÁREA RESPONSABLE</t>
        </is>
      </c>
      <c r="J3" s="45" t="inlineStr">
        <is>
          <t>ESTADO</t>
        </is>
      </c>
      <c r="K3" s="45" t="inlineStr">
        <is>
          <t>¿CIERRA EL CASO?</t>
        </is>
      </c>
      <c r="M3" s="45" t="inlineStr">
        <is>
          <t>TRANSPORTADORA</t>
        </is>
      </c>
      <c r="O3" s="45" t="inlineStr">
        <is>
          <t>RESPONSABLE</t>
        </is>
      </c>
      <c r="Q3" s="8" t="inlineStr">
        <is>
          <t>⚙ CÁLCULO DEL TABLERO — no borrar</t>
        </is>
      </c>
    </row>
    <row r="4" ht="16" customHeight="1">
      <c r="A4" s="49" t="inlineStr">
        <is>
          <t>Cliente ausente / no atiende</t>
        </is>
      </c>
      <c r="B4" s="47" t="inlineStr">
        <is>
          <t>Media</t>
        </is>
      </c>
      <c r="C4" s="50" t="n">
        <v>2</v>
      </c>
      <c r="D4" s="47" t="inlineStr">
        <is>
          <t>SÍ</t>
        </is>
      </c>
      <c r="F4" s="49" t="inlineStr">
        <is>
          <t>Error de alistamiento (picking)</t>
        </is>
      </c>
      <c r="G4" s="47" t="inlineStr">
        <is>
          <t>Método</t>
        </is>
      </c>
      <c r="H4" s="47" t="inlineStr">
        <is>
          <t>Bodega</t>
        </is>
      </c>
      <c r="J4" s="49" t="inlineStr">
        <is>
          <t>Sin gestionar</t>
        </is>
      </c>
      <c r="K4" s="47" t="inlineStr">
        <is>
          <t>NO</t>
        </is>
      </c>
      <c r="M4" s="49" t="inlineStr">
        <is>
          <t>Transportadora A</t>
        </is>
      </c>
      <c r="O4" s="49" t="inlineStr">
        <is>
          <t>Coordinador de logística</t>
        </is>
      </c>
      <c r="Q4" s="52">
        <f>IF($F4="","",COUNTIFS(NOVEDADES!$N$4:$N$1503,$F4,NOVEDADES!$B$4:$B$1503,"&gt;="&amp;TABLERO!$E$4,NOVEDADES!$B$4:$B$1503,"&lt;="&amp;TABLERO!$G$4)+ROW()/100000)</f>
        <v/>
      </c>
    </row>
    <row r="5" ht="16" customHeight="1">
      <c r="A5" s="49" t="inlineStr">
        <is>
          <t>Cliente rechaza el envío</t>
        </is>
      </c>
      <c r="B5" s="47" t="inlineStr">
        <is>
          <t>Alta</t>
        </is>
      </c>
      <c r="C5" s="50" t="n">
        <v>2</v>
      </c>
      <c r="D5" s="47" t="inlineStr">
        <is>
          <t>SÍ</t>
        </is>
      </c>
      <c r="F5" s="49" t="inlineStr">
        <is>
          <t>Embalaje o estibado deficiente</t>
        </is>
      </c>
      <c r="G5" s="47" t="inlineStr">
        <is>
          <t>Material</t>
        </is>
      </c>
      <c r="H5" s="47" t="inlineStr">
        <is>
          <t>Bodega</t>
        </is>
      </c>
      <c r="J5" s="49" t="inlineStr">
        <is>
          <t>En gestión</t>
        </is>
      </c>
      <c r="K5" s="47" t="inlineStr">
        <is>
          <t>NO</t>
        </is>
      </c>
      <c r="M5" s="49" t="inlineStr">
        <is>
          <t>Transportadora B</t>
        </is>
      </c>
      <c r="O5" s="49" t="inlineStr">
        <is>
          <t>Jefe de bodega</t>
        </is>
      </c>
      <c r="Q5" s="52">
        <f>IF($F5="","",COUNTIFS(NOVEDADES!$N$4:$N$1503,$F5,NOVEDADES!$B$4:$B$1503,"&gt;="&amp;TABLERO!$E$4,NOVEDADES!$B$4:$B$1503,"&lt;="&amp;TABLERO!$G$4)+ROW()/100000)</f>
        <v/>
      </c>
    </row>
    <row r="6" ht="16" customHeight="1">
      <c r="A6" s="49" t="inlineStr">
        <is>
          <t>Dirección errada o incompleta</t>
        </is>
      </c>
      <c r="B6" s="47" t="inlineStr">
        <is>
          <t>Media</t>
        </is>
      </c>
      <c r="C6" s="50" t="n">
        <v>2</v>
      </c>
      <c r="D6" s="47" t="inlineStr">
        <is>
          <t>SÍ</t>
        </is>
      </c>
      <c r="F6" s="49" t="inlineStr">
        <is>
          <t>Inventario descuadrado</t>
        </is>
      </c>
      <c r="G6" s="47" t="inlineStr">
        <is>
          <t>Medición</t>
        </is>
      </c>
      <c r="H6" s="47" t="inlineStr">
        <is>
          <t>Bodega</t>
        </is>
      </c>
      <c r="J6" s="49" t="inlineStr">
        <is>
          <t>Esperando a la transportadora</t>
        </is>
      </c>
      <c r="K6" s="47" t="inlineStr">
        <is>
          <t>NO</t>
        </is>
      </c>
      <c r="M6" s="49" t="inlineStr">
        <is>
          <t>Transportadora C</t>
        </is>
      </c>
      <c r="O6" s="49" t="inlineStr">
        <is>
          <t>Analista de transporte</t>
        </is>
      </c>
      <c r="Q6" s="52">
        <f>IF($F6="","",COUNTIFS(NOVEDADES!$N$4:$N$1503,$F6,NOVEDADES!$B$4:$B$1503,"&gt;="&amp;TABLERO!$E$4,NOVEDADES!$B$4:$B$1503,"&lt;="&amp;TABLERO!$G$4)+ROW()/100000)</f>
        <v/>
      </c>
    </row>
    <row r="7" ht="16" customHeight="1">
      <c r="A7" s="49" t="inlineStr">
        <is>
          <t>Cliente cerrado / fuera de horario</t>
        </is>
      </c>
      <c r="B7" s="47" t="inlineStr">
        <is>
          <t>Media</t>
        </is>
      </c>
      <c r="C7" s="50" t="n">
        <v>2</v>
      </c>
      <c r="D7" s="47" t="inlineStr">
        <is>
          <t>SÍ</t>
        </is>
      </c>
      <c r="F7" s="49" t="inlineStr">
        <is>
          <t>Manipulación brusca en cargue/descargue</t>
        </is>
      </c>
      <c r="G7" s="47" t="inlineStr">
        <is>
          <t>Mano de obra</t>
        </is>
      </c>
      <c r="H7" s="47" t="inlineStr">
        <is>
          <t>Transporte</t>
        </is>
      </c>
      <c r="J7" s="49" t="inlineStr">
        <is>
          <t>Esperando al cliente</t>
        </is>
      </c>
      <c r="K7" s="47" t="inlineStr">
        <is>
          <t>NO</t>
        </is>
      </c>
      <c r="M7" s="49" t="inlineStr">
        <is>
          <t>Flota propia</t>
        </is>
      </c>
      <c r="O7" s="49" t="inlineStr">
        <is>
          <t>Servicio al cliente</t>
        </is>
      </c>
      <c r="Q7" s="52">
        <f>IF($F7="","",COUNTIFS(NOVEDADES!$N$4:$N$1503,$F7,NOVEDADES!$B$4:$B$1503,"&gt;="&amp;TABLERO!$E$4,NOVEDADES!$B$4:$B$1503,"&lt;="&amp;TABLERO!$G$4)+ROW()/100000)</f>
        <v/>
      </c>
    </row>
    <row r="8" ht="16" customHeight="1">
      <c r="A8" s="49" t="inlineStr">
        <is>
          <t>Zona restringida o sin acceso</t>
        </is>
      </c>
      <c r="B8" s="47" t="inlineStr">
        <is>
          <t>Media</t>
        </is>
      </c>
      <c r="C8" s="50" t="n">
        <v>3</v>
      </c>
      <c r="D8" s="47" t="inlineStr">
        <is>
          <t>SÍ</t>
        </is>
      </c>
      <c r="F8" s="49" t="inlineStr">
        <is>
          <t>Sobrecupo o mal acomodo en el vehículo</t>
        </is>
      </c>
      <c r="G8" s="47" t="inlineStr">
        <is>
          <t>Método</t>
        </is>
      </c>
      <c r="H8" s="47" t="inlineStr">
        <is>
          <t>Transporte</t>
        </is>
      </c>
      <c r="J8" s="49" t="inlineStr">
        <is>
          <t>Resuelta</t>
        </is>
      </c>
      <c r="K8" s="47" t="inlineStr">
        <is>
          <t>SÍ</t>
        </is>
      </c>
      <c r="O8" s="49" t="inlineStr">
        <is>
          <t>Comercial</t>
        </is>
      </c>
      <c r="Q8" s="52">
        <f>IF($F8="","",COUNTIFS(NOVEDADES!$N$4:$N$1503,$F8,NOVEDADES!$B$4:$B$1503,"&gt;="&amp;TABLERO!$E$4,NOVEDADES!$B$4:$B$1503,"&lt;="&amp;TABLERO!$G$4)+ROW()/100000)</f>
        <v/>
      </c>
    </row>
    <row r="9" ht="16" customHeight="1">
      <c r="A9" s="49" t="inlineStr">
        <is>
          <t>Pago contraentrega fallido</t>
        </is>
      </c>
      <c r="B9" s="47" t="inlineStr">
        <is>
          <t>Alta</t>
        </is>
      </c>
      <c r="C9" s="50" t="n">
        <v>2</v>
      </c>
      <c r="D9" s="47" t="inlineStr">
        <is>
          <t>SÍ</t>
        </is>
      </c>
      <c r="F9" s="49" t="inlineStr">
        <is>
          <t>Conductor sin capacitación o procedimiento</t>
        </is>
      </c>
      <c r="G9" s="47" t="inlineStr">
        <is>
          <t>Mano de obra</t>
        </is>
      </c>
      <c r="H9" s="47" t="inlineStr">
        <is>
          <t>Transporte</t>
        </is>
      </c>
      <c r="J9" s="49" t="inlineStr">
        <is>
          <t>Anulada</t>
        </is>
      </c>
      <c r="K9" s="47" t="inlineStr">
        <is>
          <t>SÍ</t>
        </is>
      </c>
      <c r="O9" s="49" t="inlineStr">
        <is>
          <t>Facturación</t>
        </is>
      </c>
      <c r="Q9" s="52">
        <f>IF($F9="","",COUNTIFS(NOVEDADES!$N$4:$N$1503,$F9,NOVEDADES!$B$4:$B$1503,"&gt;="&amp;TABLERO!$E$4,NOVEDADES!$B$4:$B$1503,"&lt;="&amp;TABLERO!$G$4)+ROW()/100000)</f>
        <v/>
      </c>
    </row>
    <row r="10" ht="16" customHeight="1">
      <c r="A10" s="49" t="inlineStr">
        <is>
          <t>Avería / producto dañado</t>
        </is>
      </c>
      <c r="B10" s="47" t="inlineStr">
        <is>
          <t>Alta</t>
        </is>
      </c>
      <c r="C10" s="50" t="n">
        <v>3</v>
      </c>
      <c r="D10" s="47" t="inlineStr">
        <is>
          <t>SÍ</t>
        </is>
      </c>
      <c r="F10" s="49" t="inlineStr">
        <is>
          <t>Falla mecánica del vehículo</t>
        </is>
      </c>
      <c r="G10" s="47" t="inlineStr">
        <is>
          <t>Máquina</t>
        </is>
      </c>
      <c r="H10" s="47" t="inlineStr">
        <is>
          <t>Transporte</t>
        </is>
      </c>
      <c r="O10" s="49" t="inlineStr">
        <is>
          <t>Cartera</t>
        </is>
      </c>
      <c r="Q10" s="52">
        <f>IF($F10="","",COUNTIFS(NOVEDADES!$N$4:$N$1503,$F10,NOVEDADES!$B$4:$B$1503,"&gt;="&amp;TABLERO!$E$4,NOVEDADES!$B$4:$B$1503,"&lt;="&amp;TABLERO!$G$4)+ROW()/100000)</f>
        <v/>
      </c>
    </row>
    <row r="11" ht="16" customHeight="1">
      <c r="A11" s="49" t="inlineStr">
        <is>
          <t>Faltante (llegó de menos)</t>
        </is>
      </c>
      <c r="B11" s="47" t="inlineStr">
        <is>
          <t>Alta</t>
        </is>
      </c>
      <c r="C11" s="50" t="n">
        <v>2</v>
      </c>
      <c r="D11" s="47" t="inlineStr">
        <is>
          <t>SÍ</t>
        </is>
      </c>
      <c r="F11" s="49" t="inlineStr">
        <is>
          <t>Ruta mal planeada o secuencia errada</t>
        </is>
      </c>
      <c r="G11" s="47" t="inlineStr">
        <is>
          <t>Método</t>
        </is>
      </c>
      <c r="H11" s="47" t="inlineStr">
        <is>
          <t>Planeación</t>
        </is>
      </c>
      <c r="O11" s="49" t="inlineStr">
        <is>
          <t>Calidad</t>
        </is>
      </c>
      <c r="Q11" s="52">
        <f>IF($F11="","",COUNTIFS(NOVEDADES!$N$4:$N$1503,$F11,NOVEDADES!$B$4:$B$1503,"&gt;="&amp;TABLERO!$E$4,NOVEDADES!$B$4:$B$1503,"&lt;="&amp;TABLERO!$G$4)+ROW()/100000)</f>
        <v/>
      </c>
    </row>
    <row r="12" ht="16" customHeight="1">
      <c r="A12" s="49" t="inlineStr">
        <is>
          <t>Sobrante (llegó de más)</t>
        </is>
      </c>
      <c r="B12" s="47" t="inlineStr">
        <is>
          <t>Baja</t>
        </is>
      </c>
      <c r="C12" s="50" t="n">
        <v>5</v>
      </c>
      <c r="D12" s="47" t="inlineStr">
        <is>
          <t>NO</t>
        </is>
      </c>
      <c r="F12" s="49" t="inlineStr">
        <is>
          <t>Promesa de entrega irreal</t>
        </is>
      </c>
      <c r="G12" s="47" t="inlineStr">
        <is>
          <t>Método</t>
        </is>
      </c>
      <c r="H12" s="47" t="inlineStr">
        <is>
          <t>Planeación</t>
        </is>
      </c>
      <c r="Q12" s="52">
        <f>IF($F12="","",COUNTIFS(NOVEDADES!$N$4:$N$1503,$F12,NOVEDADES!$B$4:$B$1503,"&gt;="&amp;TABLERO!$E$4,NOVEDADES!$B$4:$B$1503,"&lt;="&amp;TABLERO!$G$4)+ROW()/100000)</f>
        <v/>
      </c>
    </row>
    <row r="13" ht="16" customHeight="1">
      <c r="A13" s="49" t="inlineStr">
        <is>
          <t>Producto equivocado</t>
        </is>
      </c>
      <c r="B13" s="47" t="inlineStr">
        <is>
          <t>Alta</t>
        </is>
      </c>
      <c r="C13" s="50" t="n">
        <v>2</v>
      </c>
      <c r="D13" s="47" t="inlineStr">
        <is>
          <t>SÍ</t>
        </is>
      </c>
      <c r="F13" s="49" t="inlineStr">
        <is>
          <t>Datos del cliente desactualizados</t>
        </is>
      </c>
      <c r="G13" s="47" t="inlineStr">
        <is>
          <t>Medición</t>
        </is>
      </c>
      <c r="H13" s="47" t="inlineStr">
        <is>
          <t>Comercial</t>
        </is>
      </c>
      <c r="Q13" s="52">
        <f>IF($F13="","",COUNTIFS(NOVEDADES!$N$4:$N$1503,$F13,NOVEDADES!$B$4:$B$1503,"&gt;="&amp;TABLERO!$E$4,NOVEDADES!$B$4:$B$1503,"&lt;="&amp;TABLERO!$G$4)+ROW()/100000)</f>
        <v/>
      </c>
    </row>
    <row r="14" ht="16" customHeight="1">
      <c r="A14" s="49" t="inlineStr">
        <is>
          <t>Producto vencido o próximo a vencer</t>
        </is>
      </c>
      <c r="B14" s="47" t="inlineStr">
        <is>
          <t>Alta</t>
        </is>
      </c>
      <c r="C14" s="50" t="n">
        <v>3</v>
      </c>
      <c r="D14" s="47" t="inlineStr">
        <is>
          <t>SÍ</t>
        </is>
      </c>
      <c r="F14" s="49" t="inlineStr">
        <is>
          <t>Error de digitación del pedido</t>
        </is>
      </c>
      <c r="G14" s="47" t="inlineStr">
        <is>
          <t>Mano de obra</t>
        </is>
      </c>
      <c r="H14" s="47" t="inlineStr">
        <is>
          <t>Comercial</t>
        </is>
      </c>
      <c r="Q14" s="52">
        <f>IF($F14="","",COUNTIFS(NOVEDADES!$N$4:$N$1503,$F14,NOVEDADES!$B$4:$B$1503,"&gt;="&amp;TABLERO!$E$4,NOVEDADES!$B$4:$B$1503,"&lt;="&amp;TABLERO!$G$4)+ROW()/100000)</f>
        <v/>
      </c>
    </row>
    <row r="15" ht="16" customHeight="1">
      <c r="A15" s="49" t="inlineStr">
        <is>
          <t>Empaque en mal estado</t>
        </is>
      </c>
      <c r="B15" s="47" t="inlineStr">
        <is>
          <t>Media</t>
        </is>
      </c>
      <c r="C15" s="50" t="n">
        <v>3</v>
      </c>
      <c r="D15" s="47" t="inlineStr">
        <is>
          <t>NO</t>
        </is>
      </c>
      <c r="F15" s="49" t="inlineStr">
        <is>
          <t>Cliente cambió de decisión</t>
        </is>
      </c>
      <c r="G15" s="47" t="inlineStr">
        <is>
          <t>Externo</t>
        </is>
      </c>
      <c r="H15" s="47" t="inlineStr">
        <is>
          <t>Comercial</t>
        </is>
      </c>
      <c r="Q15" s="52">
        <f>IF($F15="","",COUNTIFS(NOVEDADES!$N$4:$N$1503,$F15,NOVEDADES!$B$4:$B$1503,"&gt;="&amp;TABLERO!$E$4,NOVEDADES!$B$4:$B$1503,"&lt;="&amp;TABLERO!$G$4)+ROW()/100000)</f>
        <v/>
      </c>
    </row>
    <row r="16" ht="16" customHeight="1">
      <c r="A16" s="49" t="inlineStr">
        <is>
          <t>Retraso en vía</t>
        </is>
      </c>
      <c r="B16" s="47" t="inlineStr">
        <is>
          <t>Alta</t>
        </is>
      </c>
      <c r="C16" s="50" t="n">
        <v>1</v>
      </c>
      <c r="D16" s="47" t="inlineStr">
        <is>
          <t>NO</t>
        </is>
      </c>
      <c r="F16" s="49" t="inlineStr">
        <is>
          <t>Error en facturación o precio</t>
        </is>
      </c>
      <c r="G16" s="47" t="inlineStr">
        <is>
          <t>Método</t>
        </is>
      </c>
      <c r="H16" s="47" t="inlineStr">
        <is>
          <t>Facturación</t>
        </is>
      </c>
      <c r="Q16" s="52">
        <f>IF($F16="","",COUNTIFS(NOVEDADES!$N$4:$N$1503,$F16,NOVEDADES!$B$4:$B$1503,"&gt;="&amp;TABLERO!$E$4,NOVEDADES!$B$4:$B$1503,"&lt;="&amp;TABLERO!$G$4)+ROW()/100000)</f>
        <v/>
      </c>
    </row>
    <row r="17" ht="16" customHeight="1">
      <c r="A17" s="49" t="inlineStr">
        <is>
          <t>Vehículo varado / falla mecánica</t>
        </is>
      </c>
      <c r="B17" s="47" t="inlineStr">
        <is>
          <t>Crítica</t>
        </is>
      </c>
      <c r="C17" s="50" t="n">
        <v>1</v>
      </c>
      <c r="D17" s="47" t="inlineStr">
        <is>
          <t>SÍ</t>
        </is>
      </c>
      <c r="F17" s="49" t="inlineStr">
        <is>
          <t>Cliente sin cupo / cartera bloqueada</t>
        </is>
      </c>
      <c r="G17" s="47" t="inlineStr">
        <is>
          <t>Método</t>
        </is>
      </c>
      <c r="H17" s="47" t="inlineStr">
        <is>
          <t>Cartera</t>
        </is>
      </c>
      <c r="Q17" s="52">
        <f>IF($F17="","",COUNTIFS(NOVEDADES!$N$4:$N$1503,$F17,NOVEDADES!$B$4:$B$1503,"&gt;="&amp;TABLERO!$E$4,NOVEDADES!$B$4:$B$1503,"&lt;="&amp;TABLERO!$G$4)+ROW()/100000)</f>
        <v/>
      </c>
    </row>
    <row r="18" ht="16" customHeight="1">
      <c r="A18" s="49" t="inlineStr">
        <is>
          <t>Pérdida o robo de mercancía</t>
        </is>
      </c>
      <c r="B18" s="47" t="inlineStr">
        <is>
          <t>Crítica</t>
        </is>
      </c>
      <c r="C18" s="50" t="n">
        <v>1</v>
      </c>
      <c r="D18" s="47" t="inlineStr">
        <is>
          <t>SÍ</t>
        </is>
      </c>
      <c r="F18" s="49" t="inlineStr">
        <is>
          <t>Producto con calidad o rotación deficiente</t>
        </is>
      </c>
      <c r="G18" s="47" t="inlineStr">
        <is>
          <t>Material</t>
        </is>
      </c>
      <c r="H18" s="47" t="inlineStr">
        <is>
          <t>Calidad</t>
        </is>
      </c>
      <c r="Q18" s="52">
        <f>IF($F18="","",COUNTIFS(NOVEDADES!$N$4:$N$1503,$F18,NOVEDADES!$B$4:$B$1503,"&gt;="&amp;TABLERO!$E$4,NOVEDADES!$B$4:$B$1503,"&lt;="&amp;TABLERO!$G$4)+ROW()/100000)</f>
        <v/>
      </c>
    </row>
    <row r="19" ht="16" customHeight="1">
      <c r="A19" s="49" t="inlineStr">
        <is>
          <t>Entrega parcial acordada</t>
        </is>
      </c>
      <c r="B19" s="47" t="inlineStr">
        <is>
          <t>Baja</t>
        </is>
      </c>
      <c r="C19" s="50" t="n">
        <v>5</v>
      </c>
      <c r="D19" s="47" t="inlineStr">
        <is>
          <t>SÍ</t>
        </is>
      </c>
      <c r="F19" s="49" t="inlineStr">
        <is>
          <t>Tráfico, cierre vial u orden público</t>
        </is>
      </c>
      <c r="G19" s="47" t="inlineStr">
        <is>
          <t>Medio ambiente</t>
        </is>
      </c>
      <c r="H19" s="47" t="inlineStr">
        <is>
          <t>Externo</t>
        </is>
      </c>
      <c r="Q19" s="52">
        <f>IF($F19="","",COUNTIFS(NOVEDADES!$N$4:$N$1503,$F19,NOVEDADES!$B$4:$B$1503,"&gt;="&amp;TABLERO!$E$4,NOVEDADES!$B$4:$B$1503,"&lt;="&amp;TABLERO!$G$4)+ROW()/100000)</f>
        <v/>
      </c>
    </row>
    <row r="20" ht="16" customHeight="1">
      <c r="A20" s="49" t="inlineStr">
        <is>
          <t>Soporte de entrega sin firmar</t>
        </is>
      </c>
      <c r="B20" s="47" t="inlineStr">
        <is>
          <t>Media</t>
        </is>
      </c>
      <c r="C20" s="50" t="n">
        <v>4</v>
      </c>
      <c r="D20" s="47" t="inlineStr">
        <is>
          <t>NO</t>
        </is>
      </c>
      <c r="F20" s="49" t="inlineStr">
        <is>
          <t>Clima adverso</t>
        </is>
      </c>
      <c r="G20" s="47" t="inlineStr">
        <is>
          <t>Medio ambiente</t>
        </is>
      </c>
      <c r="H20" s="47" t="inlineStr">
        <is>
          <t>Externo</t>
        </is>
      </c>
      <c r="Q20" s="52">
        <f>IF($F20="","",COUNTIFS(NOVEDADES!$N$4:$N$1503,$F20,NOVEDADES!$B$4:$B$1503,"&gt;="&amp;TABLERO!$E$4,NOVEDADES!$B$4:$B$1503,"&lt;="&amp;TABLERO!$G$4)+ROW()/100000)</f>
        <v/>
      </c>
    </row>
    <row r="21" ht="16" customHeight="1">
      <c r="A21" s="49" t="inlineStr">
        <is>
          <t>Error en factura o precio</t>
        </is>
      </c>
      <c r="B21" s="47" t="inlineStr">
        <is>
          <t>Media</t>
        </is>
      </c>
      <c r="C21" s="50" t="n">
        <v>5</v>
      </c>
      <c r="D21" s="47" t="inlineStr">
        <is>
          <t>NO</t>
        </is>
      </c>
      <c r="F21" s="49" t="inlineStr">
        <is>
          <t>Sin clasificar aún</t>
        </is>
      </c>
      <c r="G21" s="47" t="inlineStr">
        <is>
          <t>Por definir</t>
        </is>
      </c>
      <c r="H21" s="47" t="inlineStr">
        <is>
          <t>Por definir</t>
        </is>
      </c>
      <c r="Q21" s="52">
        <f>IF($F21="","",COUNTIFS(NOVEDADES!$N$4:$N$1503,$F21,NOVEDADES!$B$4:$B$1503,"&gt;="&amp;TABLERO!$E$4,NOVEDADES!$B$4:$B$1503,"&lt;="&amp;TABLERO!$G$4)+ROW()/100000)</f>
        <v/>
      </c>
    </row>
    <row r="22" ht="16" customHeight="1">
      <c r="A22" s="49" t="inlineStr">
        <is>
          <t>Flete no liquidado</t>
        </is>
      </c>
      <c r="B22" s="47" t="inlineStr">
        <is>
          <t>Baja</t>
        </is>
      </c>
      <c r="C22" s="50" t="n">
        <v>5</v>
      </c>
      <c r="D22" s="47" t="inlineStr">
        <is>
          <t>NO</t>
        </is>
      </c>
      <c r="Q22" s="52">
        <f>IF($F22="","",COUNTIFS(NOVEDADES!$N$4:$N$1503,$F22,NOVEDADES!$B$4:$B$1503,"&gt;="&amp;TABLERO!$E$4,NOVEDADES!$B$4:$B$1503,"&lt;="&amp;TABLERO!$G$4)+ROW()/100000)</f>
        <v/>
      </c>
    </row>
    <row r="23" ht="16" customHeight="1">
      <c r="Q23" s="52">
        <f>IF($F23="","",COUNTIFS(NOVEDADES!$N$4:$N$1503,$F23,NOVEDADES!$B$4:$B$1503,"&gt;="&amp;TABLERO!$E$4,NOVEDADES!$B$4:$B$1503,"&lt;="&amp;TABLERO!$G$4)+ROW()/100000)</f>
        <v/>
      </c>
    </row>
    <row r="24" ht="16" customHeight="1"/>
    <row r="25" ht="16" customHeight="1"/>
    <row r="26" ht="16" customHeight="1"/>
    <row r="27" ht="16" customHeight="1"/>
    <row r="28" ht="16" customHeight="1"/>
    <row r="29" ht="16" customHeight="1"/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</sheetData>
  <mergeCells count="2">
    <mergeCell ref="A1:O1"/>
    <mergeCell ref="A2:O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2026-09-10T02:04:21Z</dcterms:created>
  <dcterms:modified xsi:type="dcterms:W3CDTF">2026-09-10T02:04:26Z</dcterms:modified>
</cp:coreProperties>
</file>